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95"/>
  </bookViews>
  <sheets>
    <sheet name="福彩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<sst xmlns="http://schemas.openxmlformats.org/spreadsheetml/2006/main" count="3615" uniqueCount="562">
  <si>
    <t>福彩3D差</t>
  </si>
  <si>
    <t>百十</t>
  </si>
  <si>
    <t>百个</t>
  </si>
  <si>
    <t>十个</t>
  </si>
  <si>
    <t>期号</t>
  </si>
  <si>
    <t>奖号</t>
  </si>
  <si>
    <t>和值</t>
  </si>
  <si>
    <t>和尾</t>
  </si>
  <si>
    <t>和跨比</t>
  </si>
  <si>
    <t>形态</t>
  </si>
  <si>
    <t>极</t>
  </si>
  <si>
    <t>紧</t>
  </si>
  <si>
    <t>标</t>
  </si>
  <si>
    <t>松</t>
  </si>
  <si>
    <t>跨度</t>
  </si>
  <si>
    <t>跨度表</t>
  </si>
  <si>
    <t>两码差和</t>
  </si>
  <si>
    <t>不定位两码差</t>
  </si>
  <si>
    <t>不定位差</t>
  </si>
  <si>
    <t>百十定位差</t>
  </si>
  <si>
    <t>百个定位差</t>
  </si>
  <si>
    <t>十个定位差</t>
  </si>
  <si>
    <t>最小差</t>
  </si>
  <si>
    <t>最大差</t>
  </si>
  <si>
    <t>复</t>
  </si>
  <si>
    <t>隔</t>
  </si>
  <si>
    <t>中码</t>
  </si>
  <si>
    <t>邻</t>
  </si>
  <si>
    <t>传</t>
  </si>
  <si>
    <t>孤</t>
  </si>
  <si>
    <t>269</t>
  </si>
  <si>
    <t>495</t>
  </si>
  <si>
    <t>490</t>
  </si>
  <si>
    <t>371</t>
  </si>
  <si>
    <t>014</t>
  </si>
  <si>
    <t>169</t>
  </si>
  <si>
    <t>573</t>
  </si>
  <si>
    <t>376</t>
  </si>
  <si>
    <t>241</t>
  </si>
  <si>
    <t>161</t>
  </si>
  <si>
    <t>188</t>
  </si>
  <si>
    <t>900</t>
  </si>
  <si>
    <t>111</t>
  </si>
  <si>
    <t>862</t>
  </si>
  <si>
    <t>477</t>
  </si>
  <si>
    <t>847</t>
  </si>
  <si>
    <t>138</t>
  </si>
  <si>
    <t>227</t>
  </si>
  <si>
    <t>769</t>
  </si>
  <si>
    <t>848</t>
  </si>
  <si>
    <t>968</t>
  </si>
  <si>
    <t>436</t>
  </si>
  <si>
    <t>491</t>
  </si>
  <si>
    <t>560</t>
  </si>
  <si>
    <t>653</t>
  </si>
  <si>
    <t>514</t>
  </si>
  <si>
    <t>771</t>
  </si>
  <si>
    <t>218</t>
  </si>
  <si>
    <t>669</t>
  </si>
  <si>
    <t>729</t>
  </si>
  <si>
    <t>705</t>
  </si>
  <si>
    <t>806</t>
  </si>
  <si>
    <t>212</t>
  </si>
  <si>
    <t>633</t>
  </si>
  <si>
    <t>423</t>
  </si>
  <si>
    <t>265</t>
  </si>
  <si>
    <t>437</t>
  </si>
  <si>
    <t>927</t>
  </si>
  <si>
    <t>590</t>
  </si>
  <si>
    <t>468</t>
  </si>
  <si>
    <t>251</t>
  </si>
  <si>
    <t>438</t>
  </si>
  <si>
    <t>620</t>
  </si>
  <si>
    <t>659</t>
  </si>
  <si>
    <t>430</t>
  </si>
  <si>
    <t>953</t>
  </si>
  <si>
    <t>868</t>
  </si>
  <si>
    <t>446</t>
  </si>
  <si>
    <t>285</t>
  </si>
  <si>
    <t>247</t>
  </si>
  <si>
    <t>473</t>
  </si>
  <si>
    <t>749</t>
  </si>
  <si>
    <t>149</t>
  </si>
  <si>
    <t>849</t>
  </si>
  <si>
    <t>662</t>
  </si>
  <si>
    <t>094</t>
  </si>
  <si>
    <t>935</t>
  </si>
  <si>
    <t>060</t>
  </si>
  <si>
    <t>995</t>
  </si>
  <si>
    <t>945</t>
  </si>
  <si>
    <t>856</t>
  </si>
  <si>
    <t>045</t>
  </si>
  <si>
    <t>460</t>
  </si>
  <si>
    <t>676</t>
  </si>
  <si>
    <t>228</t>
  </si>
  <si>
    <t>736</t>
  </si>
  <si>
    <t>315</t>
  </si>
  <si>
    <t>086</t>
  </si>
  <si>
    <t>257</t>
  </si>
  <si>
    <t>363</t>
  </si>
  <si>
    <t>406</t>
  </si>
  <si>
    <t>730</t>
  </si>
  <si>
    <t>420</t>
  </si>
  <si>
    <t>128</t>
  </si>
  <si>
    <t>811</t>
  </si>
  <si>
    <t>634</t>
  </si>
  <si>
    <t>340</t>
  </si>
  <si>
    <t>310</t>
  </si>
  <si>
    <t>478</t>
  </si>
  <si>
    <t>192</t>
  </si>
  <si>
    <t>589</t>
  </si>
  <si>
    <t>542</t>
  </si>
  <si>
    <t>805</t>
  </si>
  <si>
    <t>469</t>
  </si>
  <si>
    <t>758</t>
  </si>
  <si>
    <t>897</t>
  </si>
  <si>
    <t>377</t>
  </si>
  <si>
    <t>349</t>
  </si>
  <si>
    <t>009</t>
  </si>
  <si>
    <t>198</t>
  </si>
  <si>
    <t>709</t>
  </si>
  <si>
    <t>642</t>
  </si>
  <si>
    <t>451</t>
  </si>
  <si>
    <t>617</t>
  </si>
  <si>
    <t>213</t>
  </si>
  <si>
    <t>977</t>
  </si>
  <si>
    <t>258</t>
  </si>
  <si>
    <t>041</t>
  </si>
  <si>
    <t>254</t>
  </si>
  <si>
    <t>655</t>
  </si>
  <si>
    <t>336</t>
  </si>
  <si>
    <t>397</t>
  </si>
  <si>
    <t>931</t>
  </si>
  <si>
    <t>778</t>
  </si>
  <si>
    <t>108</t>
  </si>
  <si>
    <t>920</t>
  </si>
  <si>
    <t>899</t>
  </si>
  <si>
    <t>219</t>
  </si>
  <si>
    <t>532</t>
  </si>
  <si>
    <t>797</t>
  </si>
  <si>
    <t>761</t>
  </si>
  <si>
    <t>457</t>
  </si>
  <si>
    <t>890</t>
  </si>
  <si>
    <t>564</t>
  </si>
  <si>
    <t>071</t>
  </si>
  <si>
    <t>647</t>
  </si>
  <si>
    <t>679</t>
  </si>
  <si>
    <t>123</t>
  </si>
  <si>
    <t>389</t>
  </si>
  <si>
    <t>190</t>
  </si>
  <si>
    <t>936</t>
  </si>
  <si>
    <t>594</t>
  </si>
  <si>
    <t>339</t>
  </si>
  <si>
    <t>984</t>
  </si>
  <si>
    <t>579</t>
  </si>
  <si>
    <t>976</t>
  </si>
  <si>
    <t>127</t>
  </si>
  <si>
    <t>062</t>
  </si>
  <si>
    <t>432</t>
  </si>
  <si>
    <t>181</t>
  </si>
  <si>
    <t>506</t>
  </si>
  <si>
    <t>206</t>
  </si>
  <si>
    <t>630</t>
  </si>
  <si>
    <t>242</t>
  </si>
  <si>
    <t>075</t>
  </si>
  <si>
    <t>099</t>
  </si>
  <si>
    <t>851</t>
  </si>
  <si>
    <t>989</t>
  </si>
  <si>
    <t>343</t>
  </si>
  <si>
    <t>508</t>
  </si>
  <si>
    <t>546</t>
  </si>
  <si>
    <t>289</t>
  </si>
  <si>
    <t>708</t>
  </si>
  <si>
    <t>183</t>
  </si>
  <si>
    <t>787</t>
  </si>
  <si>
    <t>649</t>
  </si>
  <si>
    <t>323</t>
  </si>
  <si>
    <t>214</t>
  </si>
  <si>
    <t>067</t>
  </si>
  <si>
    <t>066</t>
  </si>
  <si>
    <t>069</t>
  </si>
  <si>
    <t>652</t>
  </si>
  <si>
    <t>741</t>
  </si>
  <si>
    <t>640</t>
  </si>
  <si>
    <t>035</t>
  </si>
  <si>
    <t>982</t>
  </si>
  <si>
    <t>955</t>
  </si>
  <si>
    <t>748</t>
  </si>
  <si>
    <t>536</t>
  </si>
  <si>
    <t>256</t>
  </si>
  <si>
    <t>813</t>
  </si>
  <si>
    <t>816</t>
  </si>
  <si>
    <t>756</t>
  </si>
  <si>
    <t>180</t>
  </si>
  <si>
    <t>225</t>
  </si>
  <si>
    <t>426</t>
  </si>
  <si>
    <t>153</t>
  </si>
  <si>
    <t>356</t>
  </si>
  <si>
    <t>765</t>
  </si>
  <si>
    <t>287</t>
  </si>
  <si>
    <t>834</t>
  </si>
  <si>
    <t>411</t>
  </si>
  <si>
    <t>126</t>
  </si>
  <si>
    <t>821</t>
  </si>
  <si>
    <t>690</t>
  </si>
  <si>
    <t>164</t>
  </si>
  <si>
    <t>304</t>
  </si>
  <si>
    <t>354</t>
  </si>
  <si>
    <t>145</t>
  </si>
  <si>
    <t>220</t>
  </si>
  <si>
    <t>752</t>
  </si>
  <si>
    <t>402</t>
  </si>
  <si>
    <t>480</t>
  </si>
  <si>
    <t>908</t>
  </si>
  <si>
    <t>449</t>
  </si>
  <si>
    <t>236</t>
  </si>
  <si>
    <t>488</t>
  </si>
  <si>
    <t>581</t>
  </si>
  <si>
    <t>005</t>
  </si>
  <si>
    <t>918</t>
  </si>
  <si>
    <t>230</t>
  </si>
  <si>
    <t>884</t>
  </si>
  <si>
    <t>443</t>
  </si>
  <si>
    <t>933</t>
  </si>
  <si>
    <t>306</t>
  </si>
  <si>
    <t>380</t>
  </si>
  <si>
    <t>956</t>
  </si>
  <si>
    <t>530</t>
  </si>
  <si>
    <t>410</t>
  </si>
  <si>
    <t>382</t>
  </si>
  <si>
    <t>681</t>
  </si>
  <si>
    <t>137</t>
  </si>
  <si>
    <t>725</t>
  </si>
  <si>
    <t>056</t>
  </si>
  <si>
    <t>224</t>
  </si>
  <si>
    <t>710</t>
  </si>
  <si>
    <t>147</t>
  </si>
  <si>
    <t>309</t>
  </si>
  <si>
    <t>843</t>
  </si>
  <si>
    <t>552</t>
  </si>
  <si>
    <t>172</t>
  </si>
  <si>
    <t>390</t>
  </si>
  <si>
    <t>651</t>
  </si>
  <si>
    <t>818</t>
  </si>
  <si>
    <t>892</t>
  </si>
  <si>
    <t>281</t>
  </si>
  <si>
    <t>054</t>
  </si>
  <si>
    <t>089</t>
  </si>
  <si>
    <t>365</t>
  </si>
  <si>
    <t>483</t>
  </si>
  <si>
    <t>444</t>
  </si>
  <si>
    <t>405</t>
  </si>
  <si>
    <t>467</t>
  </si>
  <si>
    <t>305</t>
  </si>
  <si>
    <t>414</t>
  </si>
  <si>
    <t>103</t>
  </si>
  <si>
    <t>773</t>
  </si>
  <si>
    <t>312</t>
  </si>
  <si>
    <t>298</t>
  </si>
  <si>
    <t>911</t>
  </si>
  <si>
    <t>497</t>
  </si>
  <si>
    <t>938</t>
  </si>
  <si>
    <t>012</t>
  </si>
  <si>
    <t>715</t>
  </si>
  <si>
    <t>492</t>
  </si>
  <si>
    <t>512</t>
  </si>
  <si>
    <t>274</t>
  </si>
  <si>
    <t>524</t>
  </si>
  <si>
    <t>065</t>
  </si>
  <si>
    <t>470</t>
  </si>
  <si>
    <t>623</t>
  </si>
  <si>
    <t>863</t>
  </si>
  <si>
    <t>783</t>
  </si>
  <si>
    <t>861</t>
  </si>
  <si>
    <t>253</t>
  </si>
  <si>
    <t>156</t>
  </si>
  <si>
    <t>409</t>
  </si>
  <si>
    <t>096</t>
  </si>
  <si>
    <t>199</t>
  </si>
  <si>
    <t>077</t>
  </si>
  <si>
    <t>249</t>
  </si>
  <si>
    <t>926</t>
  </si>
  <si>
    <t>766</t>
  </si>
  <si>
    <t>465</t>
  </si>
  <si>
    <t>292</t>
  </si>
  <si>
    <t>245</t>
  </si>
  <si>
    <t>388</t>
  </si>
  <si>
    <t>699</t>
  </si>
  <si>
    <t>795</t>
  </si>
  <si>
    <t>275</t>
  </si>
  <si>
    <t>833</t>
  </si>
  <si>
    <t>827</t>
  </si>
  <si>
    <t>684</t>
  </si>
  <si>
    <t>221</t>
  </si>
  <si>
    <t>248</t>
  </si>
  <si>
    <t>983</t>
  </si>
  <si>
    <t>419</t>
  </si>
  <si>
    <t>342</t>
  </si>
  <si>
    <t>718</t>
  </si>
  <si>
    <t>621</t>
  </si>
  <si>
    <t>839</t>
  </si>
  <si>
    <t>462</t>
  </si>
  <si>
    <t>521</t>
  </si>
  <si>
    <t>364</t>
  </si>
  <si>
    <t>571</t>
  </si>
  <si>
    <t>372</t>
  </si>
  <si>
    <t>055</t>
  </si>
  <si>
    <t>949</t>
  </si>
  <si>
    <t>666</t>
  </si>
  <si>
    <t>435</t>
  </si>
  <si>
    <t>516</t>
  </si>
  <si>
    <t>966</t>
  </si>
  <si>
    <t>296</t>
  </si>
  <si>
    <t>654</t>
  </si>
  <si>
    <t>539</t>
  </si>
  <si>
    <t>603</t>
  </si>
  <si>
    <t>754</t>
  </si>
  <si>
    <t>095</t>
  </si>
  <si>
    <t>672</t>
  </si>
  <si>
    <t>802</t>
  </si>
  <si>
    <t>789</t>
  </si>
  <si>
    <t>386</t>
  </si>
  <si>
    <t>525</t>
  </si>
  <si>
    <t>726</t>
  </si>
  <si>
    <t>867</t>
  </si>
  <si>
    <t>384</t>
  </si>
  <si>
    <t>158</t>
  </si>
  <si>
    <t>722</t>
  </si>
  <si>
    <t>280</t>
  </si>
  <si>
    <t>910</t>
  </si>
  <si>
    <t>167</t>
  </si>
  <si>
    <t>964</t>
  </si>
  <si>
    <t>951</t>
  </si>
  <si>
    <t>541</t>
  </si>
  <si>
    <t>593</t>
  </si>
  <si>
    <t>509</t>
  </si>
  <si>
    <t>278</t>
  </si>
  <si>
    <t>317</t>
  </si>
  <si>
    <t>392</t>
  </si>
  <si>
    <t>928</t>
  </si>
  <si>
    <t>657</t>
  </si>
  <si>
    <t>703</t>
  </si>
  <si>
    <t>916</t>
  </si>
  <si>
    <t>085</t>
  </si>
  <si>
    <t>898</t>
  </si>
  <si>
    <t>141</t>
  </si>
  <si>
    <t>260</t>
  </si>
  <si>
    <t>416</t>
  </si>
  <si>
    <t>333</t>
  </si>
  <si>
    <t>518</t>
  </si>
  <si>
    <t>487</t>
  </si>
  <si>
    <t>606</t>
  </si>
  <si>
    <t>942</t>
  </si>
  <si>
    <t>104</t>
  </si>
  <si>
    <t>027</t>
  </si>
  <si>
    <t>836</t>
  </si>
  <si>
    <t>638</t>
  </si>
  <si>
    <t>591</t>
  </si>
  <si>
    <t>762</t>
  </si>
  <si>
    <t>486</t>
  </si>
  <si>
    <t>588</t>
  </si>
  <si>
    <t>383</t>
  </si>
  <si>
    <t>302</t>
  </si>
  <si>
    <t>379</t>
  </si>
  <si>
    <t>499</t>
  </si>
  <si>
    <t>261</t>
  </si>
  <si>
    <t>131</t>
  </si>
  <si>
    <t>932</t>
  </si>
  <si>
    <t>428</t>
  </si>
  <si>
    <t>401</t>
  </si>
  <si>
    <t>775</t>
  </si>
  <si>
    <t>475</t>
  </si>
  <si>
    <t>912</t>
  </si>
  <si>
    <t>554</t>
  </si>
  <si>
    <t>004</t>
  </si>
  <si>
    <t>905</t>
  </si>
  <si>
    <t>585</t>
  </si>
  <si>
    <t>895</t>
  </si>
  <si>
    <t>368</t>
  </si>
  <si>
    <t>476</t>
  </si>
  <si>
    <t>810</t>
  </si>
  <si>
    <t>538</t>
  </si>
  <si>
    <t>720</t>
  </si>
  <si>
    <t>385</t>
  </si>
  <si>
    <t>555</t>
  </si>
  <si>
    <t>906</t>
  </si>
  <si>
    <t>434</t>
  </si>
  <si>
    <t>272</t>
  </si>
  <si>
    <t>781</t>
  </si>
  <si>
    <t>625</t>
  </si>
  <si>
    <t>000</t>
  </si>
  <si>
    <t>500</t>
  </si>
  <si>
    <t>403</t>
  </si>
  <si>
    <t>417</t>
  </si>
  <si>
    <t>915</t>
  </si>
  <si>
    <t>030</t>
  </si>
  <si>
    <t>338</t>
  </si>
  <si>
    <t>826</t>
  </si>
  <si>
    <t>022</t>
  </si>
  <si>
    <t>658</t>
  </si>
  <si>
    <t>159</t>
  </si>
  <si>
    <t>135</t>
  </si>
  <si>
    <t>545</t>
  </si>
  <si>
    <t>068</t>
  </si>
  <si>
    <t>714</t>
  </si>
  <si>
    <t>707</t>
  </si>
  <si>
    <t>016</t>
  </si>
  <si>
    <t>370</t>
  </si>
  <si>
    <t>877</t>
  </si>
  <si>
    <t>015</t>
  </si>
  <si>
    <t>407</t>
  </si>
  <si>
    <t>841</t>
  </si>
  <si>
    <t>914</t>
  </si>
  <si>
    <t>270</t>
  </si>
  <si>
    <t>954</t>
  </si>
  <si>
    <t>635</t>
  </si>
  <si>
    <t>375</t>
  </si>
  <si>
    <t>320</t>
  </si>
  <si>
    <t>120</t>
  </si>
  <si>
    <t>809</t>
  </si>
  <si>
    <t>351</t>
  </si>
  <si>
    <t>431</t>
  </si>
  <si>
    <t>814</t>
  </si>
  <si>
    <t>204</t>
  </si>
  <si>
    <t>203</t>
  </si>
  <si>
    <t>689</t>
  </si>
  <si>
    <t>645</t>
  </si>
  <si>
    <t>458</t>
  </si>
  <si>
    <t>113</t>
  </si>
  <si>
    <t>838</t>
  </si>
  <si>
    <t>598</t>
  </si>
  <si>
    <t>202</t>
  </si>
  <si>
    <t>267</t>
  </si>
  <si>
    <t>321</t>
  </si>
  <si>
    <t>734</t>
  </si>
  <si>
    <t>210</t>
  </si>
  <si>
    <t>923</t>
  </si>
  <si>
    <t>969</t>
  </si>
  <si>
    <t>701</t>
  </si>
  <si>
    <t>073</t>
  </si>
  <si>
    <t>503</t>
  </si>
  <si>
    <t>636</t>
  </si>
  <si>
    <t>337</t>
  </si>
  <si>
    <t>609</t>
  </si>
  <si>
    <t>808</t>
  </si>
  <si>
    <t>702</t>
  </si>
  <si>
    <t>978</t>
  </si>
  <si>
    <t>092</t>
  </si>
  <si>
    <t>533</t>
  </si>
  <si>
    <t>616</t>
  </si>
  <si>
    <t>122</t>
  </si>
  <si>
    <t>728</t>
  </si>
  <si>
    <t>886</t>
  </si>
  <si>
    <t>744</t>
  </si>
  <si>
    <t>799</t>
  </si>
  <si>
    <t>018</t>
  </si>
  <si>
    <t>907</t>
  </si>
  <si>
    <t>691</t>
  </si>
  <si>
    <t>876</t>
  </si>
  <si>
    <t>980</t>
  </si>
  <si>
    <t>057</t>
  </si>
  <si>
    <t>943</t>
  </si>
  <si>
    <t>846</t>
  </si>
  <si>
    <t>013</t>
  </si>
  <si>
    <t>007</t>
  </si>
  <si>
    <t>255</t>
  </si>
  <si>
    <t>387</t>
  </si>
  <si>
    <t>520</t>
  </si>
  <si>
    <t>456</t>
  </si>
  <si>
    <t>381</t>
  </si>
  <si>
    <t>853</t>
  </si>
  <si>
    <t>894</t>
  </si>
  <si>
    <t>526</t>
  </si>
  <si>
    <t>010</t>
  </si>
  <si>
    <t>990</t>
  </si>
  <si>
    <t>611</t>
  </si>
  <si>
    <t>439</t>
  </si>
  <si>
    <t>732</t>
  </si>
  <si>
    <t>044</t>
  </si>
  <si>
    <t>259</t>
  </si>
  <si>
    <t>355</t>
  </si>
  <si>
    <t>860</t>
  </si>
  <si>
    <t>125</t>
  </si>
  <si>
    <t>160</t>
  </si>
  <si>
    <t>176</t>
  </si>
  <si>
    <t>673</t>
  </si>
  <si>
    <t>997</t>
  </si>
  <si>
    <t>262</t>
  </si>
  <si>
    <t>952</t>
  </si>
  <si>
    <t>902</t>
  </si>
  <si>
    <t>792</t>
  </si>
  <si>
    <t>072</t>
  </si>
  <si>
    <t>264</t>
  </si>
  <si>
    <t>626</t>
  </si>
  <si>
    <t>751</t>
  </si>
  <si>
    <t>399</t>
  </si>
  <si>
    <t>723</t>
  </si>
  <si>
    <t>391</t>
  </si>
  <si>
    <t>674</t>
  </si>
  <si>
    <t>408</t>
  </si>
  <si>
    <t>727</t>
  </si>
  <si>
    <t>967</t>
  </si>
  <si>
    <t>596</t>
  </si>
  <si>
    <t>061</t>
  </si>
  <si>
    <t>629</t>
  </si>
  <si>
    <t>664</t>
  </si>
  <si>
    <t>844</t>
  </si>
  <si>
    <t>767</t>
  </si>
  <si>
    <t>332</t>
  </si>
  <si>
    <t>794</t>
  </si>
  <si>
    <t>117</t>
  </si>
  <si>
    <t>154</t>
  </si>
  <si>
    <t>513</t>
  </si>
  <si>
    <t>273</t>
  </si>
  <si>
    <t>537</t>
  </si>
  <si>
    <t>051</t>
  </si>
  <si>
    <t>2025300</t>
  </si>
  <si>
    <t>2025301</t>
  </si>
  <si>
    <t>755</t>
  </si>
  <si>
    <t>2025302</t>
  </si>
  <si>
    <t>2025303</t>
  </si>
  <si>
    <t>2025304</t>
  </si>
  <si>
    <t>471</t>
  </si>
  <si>
    <t>2025305</t>
  </si>
  <si>
    <t>2025306</t>
  </si>
  <si>
    <t>697</t>
  </si>
  <si>
    <t>2025307</t>
  </si>
  <si>
    <t>2025308</t>
  </si>
  <si>
    <t>448</t>
  </si>
  <si>
    <t>2025309</t>
  </si>
  <si>
    <t>2025310</t>
  </si>
  <si>
    <t>2025311</t>
  </si>
  <si>
    <t>2025312</t>
  </si>
  <si>
    <t>2025313</t>
  </si>
  <si>
    <t>644</t>
  </si>
  <si>
    <t>2025314</t>
  </si>
  <si>
    <t>917</t>
  </si>
  <si>
    <t>2025315</t>
  </si>
  <si>
    <t>2025316</t>
  </si>
  <si>
    <t>2025317</t>
  </si>
  <si>
    <t>301</t>
  </si>
  <si>
    <t>2025318</t>
  </si>
  <si>
    <t>2025319</t>
  </si>
  <si>
    <t>294</t>
  </si>
  <si>
    <t>2025320</t>
  </si>
  <si>
    <t>121</t>
  </si>
  <si>
    <t>2025321</t>
  </si>
  <si>
    <t>2025322</t>
  </si>
  <si>
    <t>226</t>
  </si>
  <si>
    <t>2025323</t>
  </si>
  <si>
    <t>551</t>
  </si>
  <si>
    <t>2025324</t>
  </si>
  <si>
    <t>661</t>
  </si>
  <si>
    <t>2025325</t>
  </si>
  <si>
    <t>165</t>
  </si>
  <si>
    <t>2025326</t>
  </si>
  <si>
    <t>185</t>
  </si>
  <si>
    <t>出现次数</t>
  </si>
  <si>
    <t>平均遗漏</t>
  </si>
  <si>
    <t>最大遗漏</t>
  </si>
  <si>
    <t>当前遗漏</t>
  </si>
  <si>
    <t>最大连出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</si>
</sst>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);[Red]\(0.00\)"/>
  </numFmts>
  <fonts count="30">
    <font>
      <sz val="11"/>
      <color theme="1"/>
      <name val="等线"/>
      <charset val="134"/>
      <scheme val="minor"/>
    </font>
    <font>
      <sz val="28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rgb="FF3F3F76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3F3F7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rgb="FF7F7F7F"/>
      </left>
      <right style="thin">
        <color theme="1" tint="0.0499893185216834"/>
      </right>
      <top/>
      <bottom/>
      <diagonal/>
    </border>
    <border>
      <left style="thin">
        <color rgb="FFB2B2B2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1" tint="0.0499893185216834"/>
      </left>
      <right style="thin">
        <color rgb="FF7F7F7F"/>
      </right>
      <top/>
      <bottom style="thin">
        <color theme="1" tint="0.0499893185216834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B2B2B2"/>
      </right>
      <top/>
      <bottom/>
      <diagonal/>
    </border>
    <border>
      <left style="thin">
        <color rgb="FF7F7F7F"/>
      </left>
      <right style="thin">
        <color theme="1" tint="0.0499893185216834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9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21" fillId="4" borderId="1" applyNumberFormat="0" applyAlignment="0" applyProtection="0">
      <alignment vertical="center"/>
    </xf>
    <xf numFmtId="0" fontId="22" fillId="20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49" fontId="3" fillId="2" borderId="1" xfId="40" applyNumberFormat="1" applyFont="1" applyBorder="1">
      <alignment vertical="center"/>
    </xf>
    <xf numFmtId="0" fontId="0" fillId="3" borderId="1" xfId="31" applyNumberFormat="1" applyBorder="1">
      <alignment vertical="center"/>
    </xf>
    <xf numFmtId="0" fontId="5" fillId="4" borderId="2" xfId="17">
      <alignment vertical="center"/>
    </xf>
    <xf numFmtId="0" fontId="4" fillId="5" borderId="0" xfId="36" applyNumberFormat="1" applyFont="1">
      <alignment vertical="center"/>
    </xf>
    <xf numFmtId="0" fontId="0" fillId="6" borderId="0" xfId="39" applyFont="1" applyAlignment="1">
      <alignment horizontal="center" vertical="center"/>
    </xf>
    <xf numFmtId="0" fontId="4" fillId="7" borderId="0" xfId="27" applyFont="1" applyAlignment="1">
      <alignment horizontal="center" vertical="center"/>
    </xf>
    <xf numFmtId="0" fontId="0" fillId="5" borderId="1" xfId="36" applyBorder="1">
      <alignment vertical="center"/>
    </xf>
    <xf numFmtId="0" fontId="0" fillId="0" borderId="0" xfId="0" applyAlignment="1">
      <alignment horizontal="center" vertical="center"/>
    </xf>
    <xf numFmtId="0" fontId="0" fillId="6" borderId="3" xfId="39" applyBorder="1">
      <alignment vertical="center"/>
    </xf>
    <xf numFmtId="0" fontId="0" fillId="8" borderId="3" xfId="30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4" fillId="9" borderId="1" xfId="16" applyNumberFormat="1" applyFont="1" applyAlignment="1">
      <alignment horizontal="center" vertical="center"/>
    </xf>
    <xf numFmtId="0" fontId="4" fillId="9" borderId="1" xfId="16" applyFont="1" applyAlignment="1">
      <alignment horizontal="center" vertical="center"/>
    </xf>
    <xf numFmtId="0" fontId="4" fillId="0" borderId="0" xfId="0" applyFont="1">
      <alignment vertical="center"/>
    </xf>
    <xf numFmtId="0" fontId="4" fillId="10" borderId="1" xfId="43" applyFont="1" applyBorder="1" applyAlignment="1">
      <alignment horizontal="center" vertical="center"/>
    </xf>
    <xf numFmtId="0" fontId="4" fillId="11" borderId="1" xfId="47" applyFont="1" applyBorder="1" applyAlignment="1">
      <alignment horizontal="center" vertical="center"/>
    </xf>
    <xf numFmtId="0" fontId="4" fillId="5" borderId="4" xfId="36" applyFont="1" applyBorder="1" applyAlignment="1">
      <alignment horizontal="center" vertical="center"/>
    </xf>
    <xf numFmtId="177" fontId="4" fillId="5" borderId="5" xfId="36" applyNumberFormat="1" applyFont="1" applyBorder="1" applyAlignment="1">
      <alignment horizontal="center" vertical="center"/>
    </xf>
    <xf numFmtId="0" fontId="4" fillId="5" borderId="5" xfId="3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1" xfId="4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0" fillId="6" borderId="0" xfId="39" applyFont="1" applyAlignment="1">
      <alignment horizontal="left" vertical="center"/>
    </xf>
    <xf numFmtId="0" fontId="6" fillId="9" borderId="1" xfId="16" applyFont="1" applyAlignment="1">
      <alignment horizontal="center" vertical="center"/>
    </xf>
    <xf numFmtId="0" fontId="7" fillId="9" borderId="1" xfId="16" applyFont="1">
      <alignment vertical="center"/>
    </xf>
    <xf numFmtId="0" fontId="6" fillId="10" borderId="1" xfId="43" applyFont="1" applyBorder="1" applyAlignment="1">
      <alignment horizontal="center" vertical="center"/>
    </xf>
    <xf numFmtId="0" fontId="8" fillId="10" borderId="1" xfId="43" applyFont="1" applyBorder="1">
      <alignment vertical="center"/>
    </xf>
    <xf numFmtId="0" fontId="6" fillId="11" borderId="1" xfId="47" applyFont="1" applyBorder="1" applyAlignment="1">
      <alignment horizontal="center" vertical="center"/>
    </xf>
    <xf numFmtId="0" fontId="8" fillId="11" borderId="1" xfId="47" applyFont="1" applyBorder="1">
      <alignment vertical="center"/>
    </xf>
    <xf numFmtId="0" fontId="6" fillId="5" borderId="8" xfId="36" applyFont="1" applyBorder="1" applyAlignment="1">
      <alignment horizontal="center" vertical="center"/>
    </xf>
    <xf numFmtId="0" fontId="6" fillId="5" borderId="9" xfId="36" applyFont="1" applyBorder="1" applyAlignment="1">
      <alignment horizontal="center" vertical="center"/>
    </xf>
    <xf numFmtId="0" fontId="6" fillId="5" borderId="10" xfId="36" applyFont="1" applyBorder="1" applyAlignment="1">
      <alignment horizontal="center" vertical="center"/>
    </xf>
    <xf numFmtId="0" fontId="6" fillId="2" borderId="11" xfId="40" applyFont="1" applyBorder="1" applyAlignment="1">
      <alignment horizontal="center" vertical="center"/>
    </xf>
    <xf numFmtId="0" fontId="6" fillId="2" borderId="0" xfId="40" applyFont="1" applyBorder="1" applyAlignment="1">
      <alignment horizontal="center" vertical="center"/>
    </xf>
    <xf numFmtId="0" fontId="6" fillId="2" borderId="12" xfId="40" applyFont="1" applyBorder="1" applyAlignment="1">
      <alignment horizontal="center" vertical="center"/>
    </xf>
    <xf numFmtId="49" fontId="4" fillId="12" borderId="13" xfId="42" applyNumberFormat="1" applyFont="1" applyBorder="1" applyAlignment="1">
      <alignment horizontal="left" vertical="center"/>
    </xf>
    <xf numFmtId="49" fontId="3" fillId="2" borderId="13" xfId="40" applyNumberFormat="1" applyFont="1" applyBorder="1">
      <alignment vertical="center"/>
    </xf>
    <xf numFmtId="0" fontId="0" fillId="3" borderId="13" xfId="31" applyNumberFormat="1" applyBorder="1">
      <alignment vertical="center"/>
    </xf>
    <xf numFmtId="0" fontId="5" fillId="4" borderId="14" xfId="17" applyBorder="1">
      <alignment vertical="center"/>
    </xf>
    <xf numFmtId="0" fontId="4" fillId="5" borderId="13" xfId="36" applyNumberFormat="1" applyFont="1" applyBorder="1" applyAlignment="1">
      <alignment horizontal="center" vertical="center"/>
    </xf>
    <xf numFmtId="0" fontId="0" fillId="6" borderId="13" xfId="39" applyFont="1" applyBorder="1" applyAlignment="1">
      <alignment horizontal="center" vertical="center"/>
    </xf>
    <xf numFmtId="0" fontId="4" fillId="7" borderId="13" xfId="27" applyFont="1" applyBorder="1" applyAlignment="1">
      <alignment horizontal="center" vertical="center"/>
    </xf>
    <xf numFmtId="0" fontId="0" fillId="5" borderId="13" xfId="36" applyBorder="1">
      <alignment vertical="center"/>
    </xf>
    <xf numFmtId="0" fontId="0" fillId="11" borderId="13" xfId="47" applyBorder="1" applyAlignment="1">
      <alignment horizontal="center" vertical="center"/>
    </xf>
    <xf numFmtId="0" fontId="0" fillId="13" borderId="15" xfId="8" applyFont="1" applyBorder="1">
      <alignment vertical="center"/>
    </xf>
    <xf numFmtId="0" fontId="0" fillId="6" borderId="15" xfId="39" applyBorder="1" applyAlignment="1">
      <alignment horizontal="center" vertical="center"/>
    </xf>
    <xf numFmtId="0" fontId="0" fillId="8" borderId="15" xfId="30" applyBorder="1" applyAlignment="1">
      <alignment horizontal="center" vertical="center"/>
    </xf>
    <xf numFmtId="49" fontId="0" fillId="14" borderId="0" xfId="26" applyNumberFormat="1" applyAlignment="1">
      <alignment horizontal="center" vertical="center"/>
    </xf>
    <xf numFmtId="49" fontId="0" fillId="14" borderId="16" xfId="26" applyNumberFormat="1" applyBorder="1" applyAlignment="1">
      <alignment horizontal="center" vertical="center"/>
    </xf>
    <xf numFmtId="49" fontId="0" fillId="13" borderId="15" xfId="8" applyNumberFormat="1" applyFont="1" applyBorder="1" applyAlignment="1">
      <alignment horizontal="center" vertical="center"/>
    </xf>
    <xf numFmtId="49" fontId="0" fillId="15" borderId="15" xfId="46" applyNumberFormat="1" applyBorder="1" applyAlignment="1">
      <alignment horizontal="center" vertical="center"/>
    </xf>
    <xf numFmtId="0" fontId="0" fillId="16" borderId="0" xfId="35" applyAlignment="1">
      <alignment horizontal="center" vertical="center"/>
    </xf>
    <xf numFmtId="0" fontId="6" fillId="9" borderId="1" xfId="16" applyNumberFormat="1" applyFont="1" applyAlignment="1">
      <alignment horizontal="center" vertical="center"/>
    </xf>
    <xf numFmtId="0" fontId="9" fillId="9" borderId="1" xfId="16">
      <alignment vertical="center"/>
    </xf>
    <xf numFmtId="0" fontId="6" fillId="10" borderId="1" xfId="43" applyNumberFormat="1" applyFont="1" applyBorder="1" applyAlignment="1">
      <alignment horizontal="center" vertical="center"/>
    </xf>
    <xf numFmtId="0" fontId="0" fillId="10" borderId="1" xfId="43" applyBorder="1">
      <alignment vertical="center"/>
    </xf>
    <xf numFmtId="0" fontId="6" fillId="11" borderId="1" xfId="47" applyNumberFormat="1" applyFont="1" applyBorder="1" applyAlignment="1">
      <alignment horizontal="center" vertical="center"/>
    </xf>
    <xf numFmtId="0" fontId="0" fillId="11" borderId="1" xfId="47" applyBorder="1">
      <alignment vertical="center"/>
    </xf>
    <xf numFmtId="0" fontId="10" fillId="5" borderId="4" xfId="36" applyNumberFormat="1" applyFont="1" applyBorder="1" applyAlignment="1">
      <alignment horizontal="center" vertical="center"/>
    </xf>
    <xf numFmtId="177" fontId="6" fillId="5" borderId="5" xfId="36" applyNumberFormat="1" applyFont="1" applyBorder="1" applyAlignment="1">
      <alignment horizontal="center" vertical="center"/>
    </xf>
    <xf numFmtId="0" fontId="6" fillId="5" borderId="5" xfId="36" applyFont="1" applyBorder="1" applyAlignment="1">
      <alignment horizontal="center" vertical="center"/>
    </xf>
    <xf numFmtId="0" fontId="4" fillId="5" borderId="6" xfId="36" applyFont="1" applyBorder="1" applyAlignment="1">
      <alignment horizontal="center" vertical="center"/>
    </xf>
    <xf numFmtId="0" fontId="10" fillId="2" borderId="1" xfId="40" applyNumberFormat="1" applyFont="1" applyBorder="1" applyAlignment="1">
      <alignment horizontal="center" vertical="center"/>
    </xf>
    <xf numFmtId="0" fontId="6" fillId="2" borderId="1" xfId="40" applyNumberFormat="1" applyFont="1" applyBorder="1" applyAlignment="1">
      <alignment horizontal="center" vertical="center"/>
    </xf>
    <xf numFmtId="0" fontId="0" fillId="2" borderId="1" xfId="40" applyBorder="1" applyAlignment="1">
      <alignment horizontal="center" vertical="center"/>
    </xf>
    <xf numFmtId="0" fontId="10" fillId="11" borderId="1" xfId="47" applyNumberFormat="1" applyFont="1" applyBorder="1" applyAlignment="1">
      <alignment horizontal="center" vertical="center"/>
    </xf>
    <xf numFmtId="0" fontId="0" fillId="11" borderId="17" xfId="47" applyBorder="1">
      <alignment vertical="center"/>
    </xf>
    <xf numFmtId="49" fontId="4" fillId="12" borderId="1" xfId="42" applyNumberFormat="1" applyFont="1" applyBorder="1" applyAlignment="1">
      <alignment horizontal="left" vertical="center"/>
    </xf>
    <xf numFmtId="0" fontId="0" fillId="3" borderId="1" xfId="31" applyNumberFormat="1" applyBorder="1" applyAlignment="1">
      <alignment horizontal="center" vertical="center"/>
    </xf>
    <xf numFmtId="0" fontId="5" fillId="4" borderId="2" xfId="17" applyAlignment="1">
      <alignment horizontal="center" vertical="center"/>
    </xf>
    <xf numFmtId="0" fontId="4" fillId="5" borderId="1" xfId="36" applyNumberFormat="1" applyFont="1" applyBorder="1" applyAlignment="1">
      <alignment horizontal="center" vertical="center"/>
    </xf>
    <xf numFmtId="0" fontId="0" fillId="6" borderId="1" xfId="39" applyFont="1" applyBorder="1" applyAlignment="1">
      <alignment horizontal="center" vertical="center"/>
    </xf>
    <xf numFmtId="0" fontId="4" fillId="7" borderId="1" xfId="27" applyFont="1" applyBorder="1" applyAlignment="1">
      <alignment horizontal="center" vertical="center"/>
    </xf>
    <xf numFmtId="49" fontId="0" fillId="5" borderId="1" xfId="36" applyNumberFormat="1" applyBorder="1" applyAlignment="1">
      <alignment horizontal="center" vertical="center"/>
    </xf>
    <xf numFmtId="0" fontId="0" fillId="11" borderId="1" xfId="47" applyBorder="1" applyAlignment="1">
      <alignment horizontal="center" vertical="center"/>
    </xf>
    <xf numFmtId="0" fontId="0" fillId="13" borderId="3" xfId="8" applyFont="1" applyAlignment="1">
      <alignment horizontal="center" vertical="center"/>
    </xf>
    <xf numFmtId="0" fontId="0" fillId="6" borderId="3" xfId="39" applyBorder="1" applyAlignment="1">
      <alignment horizontal="center" vertical="center"/>
    </xf>
    <xf numFmtId="49" fontId="0" fillId="14" borderId="1" xfId="26" applyNumberFormat="1" applyBorder="1" applyAlignment="1">
      <alignment horizontal="center" vertical="center"/>
    </xf>
    <xf numFmtId="49" fontId="2" fillId="13" borderId="3" xfId="8" applyNumberFormat="1" applyFont="1" applyAlignment="1">
      <alignment horizontal="center" vertical="center"/>
    </xf>
    <xf numFmtId="49" fontId="0" fillId="15" borderId="3" xfId="46" applyNumberFormat="1" applyBorder="1" applyAlignment="1">
      <alignment horizontal="center" vertical="center"/>
    </xf>
    <xf numFmtId="0" fontId="0" fillId="16" borderId="1" xfId="35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5" borderId="5" xfId="36" applyNumberFormat="1" applyFont="1" applyBorder="1" applyAlignment="1">
      <alignment horizontal="center" vertical="center"/>
    </xf>
    <xf numFmtId="0" fontId="2" fillId="3" borderId="1" xfId="31" applyNumberFormat="1" applyFont="1" applyBorder="1" applyAlignment="1">
      <alignment horizontal="center" vertical="center"/>
    </xf>
    <xf numFmtId="0" fontId="11" fillId="4" borderId="2" xfId="17" applyFont="1" applyAlignment="1">
      <alignment horizontal="center" vertical="center"/>
    </xf>
    <xf numFmtId="49" fontId="2" fillId="5" borderId="1" xfId="36" applyNumberFormat="1" applyFont="1" applyBorder="1" applyAlignment="1">
      <alignment horizontal="center" vertical="center"/>
    </xf>
    <xf numFmtId="0" fontId="2" fillId="13" borderId="3" xfId="8" applyFont="1" applyAlignment="1">
      <alignment horizontal="center" vertical="center"/>
    </xf>
    <xf numFmtId="0" fontId="2" fillId="8" borderId="3" xfId="30" applyFont="1" applyBorder="1" applyAlignment="1">
      <alignment horizontal="center" vertical="center"/>
    </xf>
    <xf numFmtId="49" fontId="2" fillId="14" borderId="1" xfId="26" applyNumberFormat="1" applyFont="1" applyBorder="1" applyAlignment="1">
      <alignment horizontal="center" vertical="center"/>
    </xf>
    <xf numFmtId="49" fontId="2" fillId="15" borderId="3" xfId="46" applyNumberFormat="1" applyFont="1" applyBorder="1" applyAlignment="1">
      <alignment horizontal="center" vertical="center"/>
    </xf>
    <xf numFmtId="0" fontId="2" fillId="16" borderId="1" xfId="35" applyFont="1" applyBorder="1" applyAlignment="1">
      <alignment horizontal="center" vertical="center"/>
    </xf>
    <xf numFmtId="177" fontId="4" fillId="7" borderId="1" xfId="27" applyNumberFormat="1" applyFont="1" applyBorder="1" applyAlignment="1">
      <alignment horizontal="center" vertical="center"/>
    </xf>
    <xf numFmtId="49" fontId="4" fillId="3" borderId="1" xfId="31" applyNumberFormat="1" applyFont="1" applyBorder="1" applyAlignment="1">
      <alignment horizontal="left" vertical="center"/>
    </xf>
    <xf numFmtId="0" fontId="3" fillId="3" borderId="1" xfId="31" applyFont="1" applyBorder="1" applyAlignment="1">
      <alignment horizontal="center" vertical="center"/>
    </xf>
    <xf numFmtId="0" fontId="0" fillId="3" borderId="1" xfId="31" applyBorder="1">
      <alignment vertical="center"/>
    </xf>
    <xf numFmtId="0" fontId="0" fillId="3" borderId="3" xfId="31" applyBorder="1" applyAlignment="1">
      <alignment horizontal="center" vertical="center"/>
    </xf>
    <xf numFmtId="0" fontId="3" fillId="3" borderId="1" xfId="31" applyNumberFormat="1" applyFont="1" applyBorder="1" applyAlignment="1">
      <alignment horizontal="center" vertical="center"/>
    </xf>
    <xf numFmtId="0" fontId="3" fillId="6" borderId="1" xfId="39" applyNumberFormat="1" applyFont="1" applyBorder="1" applyAlignment="1">
      <alignment horizontal="center" vertical="center"/>
    </xf>
    <xf numFmtId="0" fontId="3" fillId="17" borderId="1" xfId="48" applyNumberFormat="1" applyFont="1" applyBorder="1" applyAlignment="1">
      <alignment horizontal="center" vertical="center"/>
    </xf>
    <xf numFmtId="49" fontId="4" fillId="2" borderId="1" xfId="40" applyNumberFormat="1" applyFont="1" applyBorder="1" applyAlignment="1">
      <alignment horizontal="left" vertical="center"/>
    </xf>
    <xf numFmtId="176" fontId="0" fillId="2" borderId="1" xfId="40" applyNumberFormat="1" applyBorder="1">
      <alignment vertical="center"/>
    </xf>
    <xf numFmtId="0" fontId="0" fillId="2" borderId="1" xfId="40" applyNumberFormat="1" applyBorder="1">
      <alignment vertical="center"/>
    </xf>
    <xf numFmtId="0" fontId="3" fillId="2" borderId="1" xfId="40" applyNumberFormat="1" applyFont="1" applyBorder="1" applyAlignment="1">
      <alignment horizontal="center" vertical="center"/>
    </xf>
    <xf numFmtId="176" fontId="3" fillId="2" borderId="1" xfId="40" applyNumberFormat="1" applyFont="1" applyBorder="1">
      <alignment vertical="center"/>
    </xf>
    <xf numFmtId="176" fontId="3" fillId="17" borderId="1" xfId="48" applyNumberFormat="1" applyFont="1" applyBorder="1">
      <alignment vertical="center"/>
    </xf>
    <xf numFmtId="176" fontId="12" fillId="9" borderId="1" xfId="16" applyNumberFormat="1" applyFont="1">
      <alignment vertical="center"/>
    </xf>
    <xf numFmtId="176" fontId="3" fillId="18" borderId="1" xfId="28" applyNumberFormat="1" applyFont="1" applyBorder="1">
      <alignment vertical="center"/>
    </xf>
    <xf numFmtId="49" fontId="4" fillId="17" borderId="1" xfId="48" applyNumberFormat="1" applyFont="1" applyBorder="1" applyAlignment="1">
      <alignment horizontal="left" vertical="center"/>
    </xf>
    <xf numFmtId="0" fontId="0" fillId="17" borderId="1" xfId="48" applyNumberFormat="1" applyBorder="1" applyAlignment="1">
      <alignment horizontal="center" vertical="center"/>
    </xf>
    <xf numFmtId="0" fontId="3" fillId="17" borderId="1" xfId="48" applyFont="1" applyBorder="1" applyAlignment="1">
      <alignment horizontal="center" vertical="center"/>
    </xf>
    <xf numFmtId="0" fontId="0" fillId="17" borderId="1" xfId="48" applyBorder="1">
      <alignment vertical="center"/>
    </xf>
    <xf numFmtId="0" fontId="3" fillId="19" borderId="1" xfId="44" applyNumberFormat="1" applyFont="1" applyBorder="1" applyAlignment="1">
      <alignment horizontal="center" vertical="center"/>
    </xf>
    <xf numFmtId="49" fontId="4" fillId="7" borderId="1" xfId="27" applyNumberFormat="1" applyFont="1" applyBorder="1" applyAlignment="1">
      <alignment horizontal="left" vertical="center"/>
    </xf>
    <xf numFmtId="0" fontId="0" fillId="7" borderId="1" xfId="27" applyNumberFormat="1" applyBorder="1">
      <alignment vertical="center"/>
    </xf>
    <xf numFmtId="0" fontId="3" fillId="7" borderId="1" xfId="27" applyNumberFormat="1" applyFont="1" applyBorder="1" applyAlignment="1">
      <alignment horizontal="center" vertical="center"/>
    </xf>
    <xf numFmtId="0" fontId="3" fillId="7" borderId="1" xfId="27" applyFont="1" applyBorder="1" applyAlignment="1">
      <alignment horizontal="center" vertical="center"/>
    </xf>
    <xf numFmtId="0" fontId="0" fillId="7" borderId="1" xfId="27" applyBorder="1">
      <alignment vertical="center"/>
    </xf>
    <xf numFmtId="0" fontId="3" fillId="7" borderId="1" xfId="27" applyNumberFormat="1" applyFont="1" applyBorder="1">
      <alignment vertical="center"/>
    </xf>
    <xf numFmtId="0" fontId="12" fillId="13" borderId="3" xfId="8" applyNumberFormat="1" applyFont="1" applyAlignment="1">
      <alignment horizontal="center" vertical="center"/>
    </xf>
    <xf numFmtId="0" fontId="3" fillId="5" borderId="1" xfId="36" applyNumberFormat="1" applyFont="1" applyBorder="1" applyAlignment="1">
      <alignment horizontal="center" vertical="center"/>
    </xf>
    <xf numFmtId="49" fontId="12" fillId="9" borderId="1" xfId="16" applyNumberFormat="1" applyFont="1" applyAlignment="1">
      <alignment horizontal="left" vertical="center"/>
    </xf>
    <xf numFmtId="0" fontId="12" fillId="9" borderId="1" xfId="16" applyNumberFormat="1" applyFont="1" applyAlignment="1">
      <alignment horizontal="center" vertical="center"/>
    </xf>
    <xf numFmtId="0" fontId="12" fillId="9" borderId="1" xfId="16" applyFont="1" applyAlignment="1">
      <alignment horizontal="center" vertical="center"/>
    </xf>
    <xf numFmtId="0" fontId="4" fillId="0" borderId="0" xfId="0" applyNumberFormat="1" applyFon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fill>
        <patternFill patternType="solid">
          <bgColor theme="4" tint="0.399945066682943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theme="4" tint="0.599963377788629"/>
        </patternFill>
      </fill>
    </dxf>
    <dxf>
      <fill>
        <patternFill patternType="solid">
          <bgColor theme="9" tint="0.599963377788629"/>
        </patternFill>
      </fill>
    </dxf>
    <dxf>
      <font>
        <b val="1"/>
        <i val="0"/>
        <color theme="1"/>
      </font>
      <fill>
        <patternFill patternType="solid">
          <bgColor rgb="FFFF0000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rgb="FFFF0000"/>
          <bgColor rgb="FF00B0F0"/>
        </patternFill>
      </fill>
    </dxf>
    <dxf>
      <numFmt numFmtId="178" formatCode="0.00_ "/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120650</xdr:colOff>
      <xdr:row>587</xdr:row>
      <xdr:rowOff>158750</xdr:rowOff>
    </xdr:from>
    <xdr:ext cx="65" cy="156352"/>
    <xdr:sp>
      <xdr:nvSpPr>
        <xdr:cNvPr id="2" name="文本框 1"/>
        <xdr:cNvSpPr txBox="1"/>
      </xdr:nvSpPr>
      <xdr:spPr>
        <a:xfrm>
          <a:off x="9170035" y="1064831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566</xdr:row>
      <xdr:rowOff>158750</xdr:rowOff>
    </xdr:from>
    <xdr:ext cx="65" cy="156352"/>
    <xdr:sp>
      <xdr:nvSpPr>
        <xdr:cNvPr id="3" name="文本框 2"/>
        <xdr:cNvSpPr txBox="1"/>
      </xdr:nvSpPr>
      <xdr:spPr>
        <a:xfrm>
          <a:off x="9170035" y="102682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546</xdr:row>
      <xdr:rowOff>158750</xdr:rowOff>
    </xdr:from>
    <xdr:ext cx="65" cy="156352"/>
    <xdr:sp>
      <xdr:nvSpPr>
        <xdr:cNvPr id="4" name="文本框 3"/>
        <xdr:cNvSpPr txBox="1"/>
      </xdr:nvSpPr>
      <xdr:spPr>
        <a:xfrm>
          <a:off x="9170035" y="990631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524</xdr:row>
      <xdr:rowOff>158750</xdr:rowOff>
    </xdr:from>
    <xdr:ext cx="65" cy="156352"/>
    <xdr:sp>
      <xdr:nvSpPr>
        <xdr:cNvPr id="5" name="文本框 4"/>
        <xdr:cNvSpPr txBox="1"/>
      </xdr:nvSpPr>
      <xdr:spPr>
        <a:xfrm>
          <a:off x="9170035" y="950817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499</xdr:row>
      <xdr:rowOff>158750</xdr:rowOff>
    </xdr:from>
    <xdr:ext cx="65" cy="156352"/>
    <xdr:sp>
      <xdr:nvSpPr>
        <xdr:cNvPr id="6" name="文本框 5"/>
        <xdr:cNvSpPr txBox="1"/>
      </xdr:nvSpPr>
      <xdr:spPr>
        <a:xfrm>
          <a:off x="9170035" y="905573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474</xdr:row>
      <xdr:rowOff>158750</xdr:rowOff>
    </xdr:from>
    <xdr:ext cx="65" cy="156352"/>
    <xdr:sp>
      <xdr:nvSpPr>
        <xdr:cNvPr id="7" name="文本框 6"/>
        <xdr:cNvSpPr txBox="1"/>
      </xdr:nvSpPr>
      <xdr:spPr>
        <a:xfrm>
          <a:off x="9170035" y="860329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447</xdr:row>
      <xdr:rowOff>158750</xdr:rowOff>
    </xdr:from>
    <xdr:ext cx="65" cy="156352"/>
    <xdr:sp>
      <xdr:nvSpPr>
        <xdr:cNvPr id="8" name="文本框 7"/>
        <xdr:cNvSpPr txBox="1"/>
      </xdr:nvSpPr>
      <xdr:spPr>
        <a:xfrm>
          <a:off x="9170035" y="811466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421</xdr:row>
      <xdr:rowOff>158750</xdr:rowOff>
    </xdr:from>
    <xdr:ext cx="65" cy="156352"/>
    <xdr:sp>
      <xdr:nvSpPr>
        <xdr:cNvPr id="9" name="文本框 8"/>
        <xdr:cNvSpPr txBox="1"/>
      </xdr:nvSpPr>
      <xdr:spPr>
        <a:xfrm>
          <a:off x="9170035" y="764413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396</xdr:row>
      <xdr:rowOff>158750</xdr:rowOff>
    </xdr:from>
    <xdr:ext cx="65" cy="156352"/>
    <xdr:sp>
      <xdr:nvSpPr>
        <xdr:cNvPr id="10" name="文本框 9"/>
        <xdr:cNvSpPr txBox="1"/>
      </xdr:nvSpPr>
      <xdr:spPr>
        <a:xfrm>
          <a:off x="9170035" y="719169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377</xdr:row>
      <xdr:rowOff>158750</xdr:rowOff>
    </xdr:from>
    <xdr:ext cx="65" cy="156352"/>
    <xdr:sp>
      <xdr:nvSpPr>
        <xdr:cNvPr id="11" name="文本框 10"/>
        <xdr:cNvSpPr txBox="1"/>
      </xdr:nvSpPr>
      <xdr:spPr>
        <a:xfrm>
          <a:off x="9170035" y="684784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360</xdr:row>
      <xdr:rowOff>158750</xdr:rowOff>
    </xdr:from>
    <xdr:ext cx="65" cy="156352"/>
    <xdr:sp>
      <xdr:nvSpPr>
        <xdr:cNvPr id="12" name="文本框 11"/>
        <xdr:cNvSpPr txBox="1"/>
      </xdr:nvSpPr>
      <xdr:spPr>
        <a:xfrm>
          <a:off x="9170035" y="654018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351</xdr:row>
      <xdr:rowOff>158750</xdr:rowOff>
    </xdr:from>
    <xdr:ext cx="65" cy="156352"/>
    <xdr:sp>
      <xdr:nvSpPr>
        <xdr:cNvPr id="13" name="文本框 12"/>
        <xdr:cNvSpPr txBox="1"/>
      </xdr:nvSpPr>
      <xdr:spPr>
        <a:xfrm>
          <a:off x="9170035" y="637730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334</xdr:row>
      <xdr:rowOff>158750</xdr:rowOff>
    </xdr:from>
    <xdr:ext cx="65" cy="156352"/>
    <xdr:sp>
      <xdr:nvSpPr>
        <xdr:cNvPr id="14" name="文本框 13"/>
        <xdr:cNvSpPr txBox="1"/>
      </xdr:nvSpPr>
      <xdr:spPr>
        <a:xfrm>
          <a:off x="9170035" y="606964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327</xdr:row>
      <xdr:rowOff>158750</xdr:rowOff>
    </xdr:from>
    <xdr:ext cx="65" cy="156352"/>
    <xdr:sp>
      <xdr:nvSpPr>
        <xdr:cNvPr id="15" name="文本框 14"/>
        <xdr:cNvSpPr txBox="1"/>
      </xdr:nvSpPr>
      <xdr:spPr>
        <a:xfrm>
          <a:off x="9170035" y="594296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310</xdr:row>
      <xdr:rowOff>158750</xdr:rowOff>
    </xdr:from>
    <xdr:ext cx="65" cy="156352"/>
    <xdr:sp>
      <xdr:nvSpPr>
        <xdr:cNvPr id="16" name="文本框 15"/>
        <xdr:cNvSpPr txBox="1"/>
      </xdr:nvSpPr>
      <xdr:spPr>
        <a:xfrm>
          <a:off x="9170035" y="563530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303</xdr:row>
      <xdr:rowOff>158750</xdr:rowOff>
    </xdr:from>
    <xdr:ext cx="65" cy="156352"/>
    <xdr:sp>
      <xdr:nvSpPr>
        <xdr:cNvPr id="17" name="文本框 16"/>
        <xdr:cNvSpPr txBox="1"/>
      </xdr:nvSpPr>
      <xdr:spPr>
        <a:xfrm>
          <a:off x="9170035" y="550862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286</xdr:row>
      <xdr:rowOff>158750</xdr:rowOff>
    </xdr:from>
    <xdr:ext cx="65" cy="156352"/>
    <xdr:sp>
      <xdr:nvSpPr>
        <xdr:cNvPr id="18" name="文本框 17"/>
        <xdr:cNvSpPr txBox="1"/>
      </xdr:nvSpPr>
      <xdr:spPr>
        <a:xfrm>
          <a:off x="9170035" y="52009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278</xdr:row>
      <xdr:rowOff>158750</xdr:rowOff>
    </xdr:from>
    <xdr:ext cx="65" cy="156352"/>
    <xdr:sp>
      <xdr:nvSpPr>
        <xdr:cNvPr id="19" name="文本框 18"/>
        <xdr:cNvSpPr txBox="1"/>
      </xdr:nvSpPr>
      <xdr:spPr>
        <a:xfrm>
          <a:off x="9170035" y="505618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261</xdr:row>
      <xdr:rowOff>158750</xdr:rowOff>
    </xdr:from>
    <xdr:ext cx="65" cy="156352"/>
    <xdr:sp>
      <xdr:nvSpPr>
        <xdr:cNvPr id="20" name="文本框 19"/>
        <xdr:cNvSpPr txBox="1"/>
      </xdr:nvSpPr>
      <xdr:spPr>
        <a:xfrm>
          <a:off x="9170035" y="474853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241</xdr:row>
      <xdr:rowOff>158750</xdr:rowOff>
    </xdr:from>
    <xdr:ext cx="65" cy="156352"/>
    <xdr:sp>
      <xdr:nvSpPr>
        <xdr:cNvPr id="21" name="文本框 20"/>
        <xdr:cNvSpPr txBox="1"/>
      </xdr:nvSpPr>
      <xdr:spPr>
        <a:xfrm>
          <a:off x="9170035" y="4386580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216</xdr:row>
      <xdr:rowOff>158750</xdr:rowOff>
    </xdr:from>
    <xdr:ext cx="65" cy="156352"/>
    <xdr:sp>
      <xdr:nvSpPr>
        <xdr:cNvPr id="22" name="文本框 21"/>
        <xdr:cNvSpPr txBox="1"/>
      </xdr:nvSpPr>
      <xdr:spPr>
        <a:xfrm>
          <a:off x="9170035" y="3934142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191</xdr:row>
      <xdr:rowOff>158750</xdr:rowOff>
    </xdr:from>
    <xdr:ext cx="65" cy="156352"/>
    <xdr:sp>
      <xdr:nvSpPr>
        <xdr:cNvPr id="23" name="文本框 22"/>
        <xdr:cNvSpPr txBox="1"/>
      </xdr:nvSpPr>
      <xdr:spPr>
        <a:xfrm>
          <a:off x="9170035" y="34817050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26</xdr:col>
      <xdr:colOff>120650</xdr:colOff>
      <xdr:row>166</xdr:row>
      <xdr:rowOff>158750</xdr:rowOff>
    </xdr:from>
    <xdr:ext cx="65" cy="156352"/>
    <xdr:sp>
      <xdr:nvSpPr>
        <xdr:cNvPr id="24" name="文本框 23"/>
        <xdr:cNvSpPr txBox="1"/>
      </xdr:nvSpPr>
      <xdr:spPr>
        <a:xfrm>
          <a:off x="9170035" y="30292675"/>
          <a:ext cx="0" cy="156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CP783"/>
  <sheetViews>
    <sheetView tabSelected="1" topLeftCell="A700" workbookViewId="0">
      <selection activeCell="D711" sqref="D711"/>
    </sheetView>
  </sheetViews>
  <sheetFormatPr defaultColWidth="9" defaultRowHeight="14.25"/>
  <cols>
    <col min="1" max="1" width="3.625" customWidth="1"/>
    <col min="2" max="2" width="9.86666666666667" style="7" customWidth="1"/>
    <col min="3" max="3" width="4.08333333333333" style="8" customWidth="1"/>
    <col min="4" max="4" width="4" style="9" customWidth="1"/>
    <col min="5" max="5" width="4.25" style="10" customWidth="1"/>
    <col min="6" max="6" width="5.53333333333333" style="11" customWidth="1"/>
    <col min="7" max="7" width="6.875" style="12" customWidth="1"/>
    <col min="8" max="8" width="4.375" style="13" customWidth="1"/>
    <col min="9" max="9" width="4" style="13" customWidth="1"/>
    <col min="10" max="10" width="3.875" style="13" customWidth="1"/>
    <col min="11" max="11" width="4.25" style="13" customWidth="1"/>
    <col min="12" max="12" width="3.83333333333333" style="14" customWidth="1"/>
    <col min="13" max="13" width="4.875" style="15" customWidth="1"/>
    <col min="14" max="16" width="3.83333333333333" style="15" customWidth="1"/>
    <col min="17" max="18" width="5.14166666666667" style="15" customWidth="1"/>
    <col min="19" max="19" width="4.7" style="15" customWidth="1"/>
    <col min="20" max="21" width="3.83333333333333" style="15" customWidth="1"/>
    <col min="22" max="22" width="3.25" style="15" customWidth="1"/>
    <col min="23" max="23" width="3.75" customWidth="1"/>
    <col min="24" max="24" width="3.66666666666667" customWidth="1"/>
    <col min="25" max="25" width="2.5" customWidth="1"/>
    <col min="26" max="26" width="8" style="16" customWidth="1"/>
    <col min="27" max="27" width="11.375" style="17" customWidth="1"/>
    <col min="28" max="28" width="5.20833333333333" style="18" customWidth="1"/>
    <col min="29" max="29" width="5.30833333333333" style="18" customWidth="1"/>
    <col min="30" max="30" width="4.88333333333333" style="18" customWidth="1"/>
    <col min="31" max="31" width="5.20833333333333" style="18" customWidth="1"/>
    <col min="32" max="32" width="5.14166666666667" style="18" customWidth="1"/>
    <col min="33" max="33" width="4.88333333333333" style="18" customWidth="1"/>
    <col min="34" max="34" width="4.975" style="18" customWidth="1"/>
    <col min="35" max="35" width="6.19166666666667" style="18" customWidth="1"/>
    <col min="36" max="36" width="5.53333333333333" style="18" customWidth="1"/>
    <col min="37" max="37" width="6.40833333333333" style="18" customWidth="1"/>
    <col min="38" max="38" width="8" style="18" customWidth="1"/>
    <col min="39" max="39" width="4.88333333333333" style="18" customWidth="1"/>
    <col min="40" max="40" width="5.86666666666667" style="18" customWidth="1"/>
    <col min="41" max="41" width="5.85833333333333" style="18" customWidth="1"/>
    <col min="42" max="42" width="5.10833333333333" style="18" customWidth="1"/>
    <col min="43" max="43" width="5.1" style="18" customWidth="1"/>
    <col min="44" max="44" width="6.09166666666667" style="18" customWidth="1"/>
    <col min="45" max="45" width="6.08333333333333" style="18" customWidth="1"/>
    <col min="46" max="46" width="6.41666666666667" style="18" customWidth="1"/>
    <col min="47" max="47" width="6.40833333333333" style="18" customWidth="1"/>
    <col min="48" max="48" width="6.08333333333333" style="18" customWidth="1"/>
    <col min="49" max="49" width="5.85833333333333" style="18" customWidth="1"/>
    <col min="50" max="50" width="4.99166666666667" style="18" customWidth="1"/>
    <col min="51" max="51" width="4.88333333333333" style="18" customWidth="1"/>
    <col min="52" max="53" width="5.31666666666667" style="18" customWidth="1"/>
    <col min="54" max="54" width="6.09166666666667" style="18" customWidth="1"/>
    <col min="55" max="55" width="6.29166666666667" style="18" customWidth="1"/>
    <col min="56" max="56" width="6.95833333333333" style="18" customWidth="1"/>
    <col min="57" max="57" width="6.40833333333333" style="18" customWidth="1"/>
    <col min="58" max="58" width="6.51666666666667" customWidth="1"/>
    <col min="59" max="59" width="5.20833333333333" customWidth="1"/>
    <col min="60" max="60" width="5.38333333333333" customWidth="1"/>
    <col min="61" max="62" width="4.88333333333333" customWidth="1"/>
    <col min="63" max="63" width="5.31666666666667" customWidth="1"/>
    <col min="64" max="64" width="6.30833333333333" customWidth="1"/>
    <col min="65" max="65" width="6.3" customWidth="1"/>
    <col min="66" max="66" width="6.09166666666667" customWidth="1"/>
    <col min="67" max="67" width="6.19166666666667" customWidth="1"/>
    <col min="68" max="68" width="7.58333333333333" style="19" customWidth="1"/>
    <col min="69" max="69" width="5.33333333333333" style="15" customWidth="1"/>
    <col min="70" max="70" width="4.08333333333333" style="15" customWidth="1"/>
    <col min="71" max="71" width="3.33333333333333" style="20" customWidth="1"/>
    <col min="72" max="72" width="3.33333333333333" style="21" customWidth="1"/>
    <col min="73" max="73" width="12.0833333333333" style="21" customWidth="1"/>
    <col min="74" max="74" width="6" style="22" customWidth="1"/>
    <col min="75" max="76" width="3.25" style="23" customWidth="1"/>
    <col min="77" max="77" width="13.25" style="23" customWidth="1"/>
    <col min="78" max="78" width="6.08333333333333" style="22" customWidth="1"/>
    <col min="79" max="80" width="3.41666666666667" style="24" customWidth="1"/>
    <col min="81" max="81" width="13.6666666666667" style="24" customWidth="1"/>
    <col min="82" max="82" width="6.66666666666667" style="22" customWidth="1"/>
    <col min="83" max="83" width="5.83333333333333" style="25" customWidth="1"/>
    <col min="84" max="84" width="3.33333333333333" style="26" customWidth="1"/>
    <col min="85" max="85" width="8.66666666666667" style="27"/>
    <col min="86" max="86" width="8.66666666666667" style="28"/>
    <col min="87" max="87" width="5.91666666666667" style="29" customWidth="1"/>
    <col min="88" max="88" width="4.5" style="29" customWidth="1"/>
    <col min="89" max="89" width="8.66666666666667" style="29"/>
    <col min="90" max="90" width="8.66666666666667" style="19"/>
    <col min="91" max="92" width="5.91666666666667" style="24" customWidth="1"/>
    <col min="93" max="93" width="8.66666666666667" style="24"/>
    <col min="94" max="94" width="8.66666666666667" style="30"/>
  </cols>
  <sheetData>
    <row r="1" s="1" customFormat="1" ht="17" customHeight="1" spans="1:94">
      <c r="B1" s="31" t="s">
        <v>0</v>
      </c>
      <c r="C1" s="32"/>
      <c r="D1" s="33"/>
      <c r="E1" s="33"/>
      <c r="F1" s="34"/>
      <c r="G1" s="35"/>
      <c r="H1" s="32"/>
      <c r="I1" s="32"/>
      <c r="J1" s="32"/>
      <c r="K1" s="32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2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6" t="s">
        <v>1</v>
      </c>
      <c r="BT1" s="36"/>
      <c r="BU1" s="36"/>
      <c r="BV1" s="37"/>
      <c r="BW1" s="38" t="s">
        <v>2</v>
      </c>
      <c r="BX1" s="38"/>
      <c r="BY1" s="38"/>
      <c r="BZ1" s="39"/>
      <c r="CA1" s="40" t="s">
        <v>3</v>
      </c>
      <c r="CB1" s="40"/>
      <c r="CC1" s="40"/>
      <c r="CD1" s="41"/>
      <c r="CE1" s="42" t="s">
        <v>1</v>
      </c>
      <c r="CF1" s="43"/>
      <c r="CG1" s="43"/>
      <c r="CH1" s="44"/>
      <c r="CI1" s="45" t="s">
        <v>2</v>
      </c>
      <c r="CJ1" s="46"/>
      <c r="CK1" s="46"/>
      <c r="CL1" s="47"/>
      <c r="CM1" s="40" t="s">
        <v>3</v>
      </c>
      <c r="CN1" s="40"/>
      <c r="CO1" s="40"/>
      <c r="CP1" s="40"/>
    </row>
    <row r="2" ht="18.75" spans="1:94">
      <c r="B2" s="48" t="s">
        <v>4</v>
      </c>
      <c r="C2" s="49" t="s">
        <v>5</v>
      </c>
      <c r="D2" s="50" t="s">
        <v>6</v>
      </c>
      <c r="E2" s="51" t="s">
        <v>7</v>
      </c>
      <c r="F2" s="52" t="s">
        <v>8</v>
      </c>
      <c r="G2" s="53" t="s">
        <v>9</v>
      </c>
      <c r="H2" s="54" t="s">
        <v>10</v>
      </c>
      <c r="I2" s="54" t="s">
        <v>11</v>
      </c>
      <c r="J2" s="54" t="s">
        <v>12</v>
      </c>
      <c r="K2" s="54" t="s">
        <v>13</v>
      </c>
      <c r="L2" s="55" t="s">
        <v>14</v>
      </c>
      <c r="M2" s="56" t="s">
        <v>15</v>
      </c>
      <c r="N2" s="56"/>
      <c r="O2" s="56"/>
      <c r="P2" s="56"/>
      <c r="Q2" s="56"/>
      <c r="R2" s="56"/>
      <c r="S2" s="56"/>
      <c r="T2" s="56"/>
      <c r="U2" s="56"/>
      <c r="V2" s="56"/>
      <c r="W2" s="57" t="s">
        <v>1</v>
      </c>
      <c r="X2" s="57" t="s">
        <v>2</v>
      </c>
      <c r="Y2" s="57" t="s">
        <v>3</v>
      </c>
      <c r="Z2" s="58" t="s">
        <v>16</v>
      </c>
      <c r="AA2" s="59" t="s">
        <v>17</v>
      </c>
      <c r="AB2" s="60" t="s">
        <v>18</v>
      </c>
      <c r="AC2" s="60"/>
      <c r="AD2" s="60"/>
      <c r="AE2" s="60"/>
      <c r="AF2" s="60"/>
      <c r="AG2" s="60"/>
      <c r="AH2" s="60"/>
      <c r="AI2" s="60"/>
      <c r="AJ2" s="60"/>
      <c r="AK2" s="61"/>
      <c r="AL2" s="62" t="s">
        <v>19</v>
      </c>
      <c r="AM2" s="62"/>
      <c r="AN2" s="62"/>
      <c r="AO2" s="62"/>
      <c r="AP2" s="62"/>
      <c r="AQ2" s="62"/>
      <c r="AR2" s="62"/>
      <c r="AS2" s="62"/>
      <c r="AT2" s="62"/>
      <c r="AU2" s="62"/>
      <c r="AV2" s="63" t="s">
        <v>20</v>
      </c>
      <c r="AW2" s="63"/>
      <c r="AX2" s="63"/>
      <c r="AY2" s="63"/>
      <c r="AZ2" s="63"/>
      <c r="BA2" s="63"/>
      <c r="BB2" s="63"/>
      <c r="BC2" s="63"/>
      <c r="BD2" s="63"/>
      <c r="BE2" s="63"/>
      <c r="BF2" s="64" t="s">
        <v>21</v>
      </c>
      <c r="BG2" s="64"/>
      <c r="BH2" s="64"/>
      <c r="BI2" s="64"/>
      <c r="BJ2" s="64"/>
      <c r="BK2" s="64"/>
      <c r="BL2" s="64"/>
      <c r="BM2" s="64"/>
      <c r="BN2" s="64"/>
      <c r="BO2" s="64"/>
      <c r="BP2" s="19" t="s">
        <v>9</v>
      </c>
      <c r="BQ2" s="15" t="s">
        <v>22</v>
      </c>
      <c r="BR2" s="15" t="s">
        <v>23</v>
      </c>
      <c r="BS2" s="65" t="s">
        <v>24</v>
      </c>
      <c r="BT2" s="36" t="s">
        <v>25</v>
      </c>
      <c r="BU2" s="36" t="s">
        <v>26</v>
      </c>
      <c r="BV2" s="66"/>
      <c r="BW2" s="67" t="s">
        <v>24</v>
      </c>
      <c r="BX2" s="67" t="s">
        <v>25</v>
      </c>
      <c r="BY2" s="67" t="s">
        <v>26</v>
      </c>
      <c r="BZ2" s="68"/>
      <c r="CA2" s="69" t="s">
        <v>24</v>
      </c>
      <c r="CB2" s="40" t="s">
        <v>25</v>
      </c>
      <c r="CC2" s="40" t="s">
        <v>26</v>
      </c>
      <c r="CD2" s="70"/>
      <c r="CE2" s="71" t="s">
        <v>27</v>
      </c>
      <c r="CF2" s="72" t="s">
        <v>28</v>
      </c>
      <c r="CG2" s="73" t="s">
        <v>29</v>
      </c>
      <c r="CH2" s="74"/>
      <c r="CI2" s="75" t="s">
        <v>27</v>
      </c>
      <c r="CJ2" s="76" t="s">
        <v>28</v>
      </c>
      <c r="CK2" s="76" t="s">
        <v>29</v>
      </c>
      <c r="CL2" s="77"/>
      <c r="CM2" s="78" t="s">
        <v>27</v>
      </c>
      <c r="CN2" s="40" t="s">
        <v>28</v>
      </c>
      <c r="CO2" s="40" t="s">
        <v>29</v>
      </c>
      <c r="CP2" s="79"/>
    </row>
    <row r="3" customFormat="1" spans="1:94">
      <c r="A3" s="15">
        <v>3</v>
      </c>
      <c r="B3" s="80">
        <v>2023323</v>
      </c>
      <c r="C3" s="8" t="s">
        <v>30</v>
      </c>
      <c r="D3" s="81">
        <f t="shared" ref="D3:D24" si="0">LEFT(C3,1)+MID(C3,2,1)+RIGHT(C3,1)</f>
        <v>17</v>
      </c>
      <c r="E3" s="82">
        <f t="shared" ref="E3:E24" si="1">MOD(LEFT(C3,1)+MID(C3,2,1)+RIGHT(C3,1),10)</f>
        <v>7</v>
      </c>
      <c r="F3" s="83">
        <f>IF(L3=0,0.1,D3/L3)</f>
        <v>2.42857142857143</v>
      </c>
      <c r="G3" s="84" t="str">
        <f>IF(F3=0.1,"极紧凑",IF(F3&gt;3.5,"紧凑",IF(AND(F3&gt;=2,F3&lt;=3.5),"标准",IF(AND(F3&gt;=1,F3&lt;2),"松散",""))))</f>
        <v>标准</v>
      </c>
      <c r="H3" s="85" t="s">
        <v>10</v>
      </c>
      <c r="I3" s="85" t="s">
        <v>11</v>
      </c>
      <c r="J3" s="85" t="s">
        <v>12</v>
      </c>
      <c r="K3" s="85" t="s">
        <v>13</v>
      </c>
      <c r="L3" s="86">
        <f>MAX(MID(C3,{1,2,3},1)*1)-MIN(MID(C3,{1,2,3},1)*1)</f>
        <v>7</v>
      </c>
      <c r="M3" s="87">
        <v>0</v>
      </c>
      <c r="N3" s="87">
        <v>1</v>
      </c>
      <c r="O3" s="87">
        <v>2</v>
      </c>
      <c r="P3" s="87">
        <v>3</v>
      </c>
      <c r="Q3" s="87">
        <v>4</v>
      </c>
      <c r="R3" s="87">
        <v>5</v>
      </c>
      <c r="S3" s="87">
        <v>6</v>
      </c>
      <c r="T3" s="87">
        <v>7</v>
      </c>
      <c r="U3" s="87">
        <v>8</v>
      </c>
      <c r="V3" s="87">
        <v>9</v>
      </c>
      <c r="W3" s="88">
        <f t="shared" ref="W3:W24" si="2">ABS(LEFT(C3,1)-MID(C3,2,1))</f>
        <v>4</v>
      </c>
      <c r="X3" s="88">
        <f t="shared" ref="X3:X24" si="3">ABS(LEFT(C3,1)-RIGHT(C3,1))</f>
        <v>7</v>
      </c>
      <c r="Y3" s="88">
        <f t="shared" ref="Y3:Y24" si="4">ABS(MID(C3,2,1)-RIGHT(C3,1))</f>
        <v>3</v>
      </c>
      <c r="Z3" s="89">
        <f t="shared" ref="Z3:Z24" si="5">W3+X3+Y3</f>
        <v>14</v>
      </c>
      <c r="AA3" s="17" t="str">
        <f>_xlfn.TEXTJOIN(", ",TRUE,ABS(MID(C3,{1,1,2},1)-MID(C3,{2,3,3},1)))</f>
        <v>4, 7, 3</v>
      </c>
      <c r="AB3" s="90">
        <v>0</v>
      </c>
      <c r="AC3" s="90">
        <v>1</v>
      </c>
      <c r="AD3" s="90">
        <v>2</v>
      </c>
      <c r="AE3" s="90">
        <v>3</v>
      </c>
      <c r="AF3" s="90">
        <v>4</v>
      </c>
      <c r="AG3" s="90">
        <v>5</v>
      </c>
      <c r="AH3" s="90">
        <v>6</v>
      </c>
      <c r="AI3" s="90">
        <v>7</v>
      </c>
      <c r="AJ3" s="90">
        <v>8</v>
      </c>
      <c r="AK3" s="90">
        <v>9</v>
      </c>
      <c r="AL3" s="91">
        <v>0</v>
      </c>
      <c r="AM3" s="91">
        <v>1</v>
      </c>
      <c r="AN3" s="91">
        <v>2</v>
      </c>
      <c r="AO3" s="91">
        <v>3</v>
      </c>
      <c r="AP3" s="91">
        <v>4</v>
      </c>
      <c r="AQ3" s="91">
        <v>5</v>
      </c>
      <c r="AR3" s="91">
        <v>6</v>
      </c>
      <c r="AS3" s="91">
        <v>7</v>
      </c>
      <c r="AT3" s="91">
        <v>8</v>
      </c>
      <c r="AU3" s="91">
        <v>9</v>
      </c>
      <c r="AV3" s="92">
        <v>0</v>
      </c>
      <c r="AW3" s="92">
        <v>1</v>
      </c>
      <c r="AX3" s="92">
        <v>2</v>
      </c>
      <c r="AY3" s="92">
        <v>3</v>
      </c>
      <c r="AZ3" s="92">
        <v>4</v>
      </c>
      <c r="BA3" s="92">
        <v>5</v>
      </c>
      <c r="BB3" s="92">
        <v>6</v>
      </c>
      <c r="BC3" s="92">
        <v>7</v>
      </c>
      <c r="BD3" s="92">
        <v>8</v>
      </c>
      <c r="BE3" s="92">
        <v>9</v>
      </c>
      <c r="BF3" s="93">
        <v>0</v>
      </c>
      <c r="BG3" s="93">
        <v>1</v>
      </c>
      <c r="BH3" s="93">
        <v>2</v>
      </c>
      <c r="BI3" s="93">
        <v>3</v>
      </c>
      <c r="BJ3" s="93">
        <v>4</v>
      </c>
      <c r="BK3" s="93">
        <v>5</v>
      </c>
      <c r="BL3" s="93">
        <v>6</v>
      </c>
      <c r="BM3" s="93">
        <v>7</v>
      </c>
      <c r="BN3" s="93">
        <v>8</v>
      </c>
      <c r="BO3" s="93">
        <v>9</v>
      </c>
      <c r="BP3" s="94" t="str">
        <f t="shared" ref="BP3:BP24" si="6">IF(AND(BQ3&lt;=1,BR3&lt;=4),"紧凑型",IF(OR(BQ3&gt;=3,BR3&gt;=6),"松散型",IF(AND(BQ3&gt;=1,BR3&lt;=5),"标准型","对子")))</f>
        <v>松散型</v>
      </c>
      <c r="BQ3" s="15">
        <f t="shared" ref="BQ3:BQ24" si="7">MIN(ABS(INT(C3/100)-INT(MOD(C3,100)/10)),ABS(INT(C3/100)-MOD(C3,10)),ABS(INT(MOD(C3,100)/10)-MOD(C3,10)))</f>
        <v>3</v>
      </c>
      <c r="BR3" s="15">
        <f t="shared" ref="BR3:BR24" si="8">MAX(ABS(INT(C3/100)-INT(MOD(C3,100)/10)),ABS(INT(C3/100)-MOD(C3,10)),ABS(INT(MOD(C3,100)/10)-MOD(C3,10)))</f>
        <v>7</v>
      </c>
      <c r="BS3" s="20"/>
      <c r="BT3" s="21"/>
      <c r="BU3" s="21"/>
      <c r="BV3" s="66"/>
      <c r="BW3" s="23"/>
      <c r="BX3" s="23"/>
      <c r="BY3" s="23"/>
      <c r="BZ3" s="68"/>
      <c r="CA3" s="24"/>
      <c r="CB3" s="24"/>
      <c r="CC3" s="24"/>
      <c r="CD3" s="70"/>
      <c r="CE3" s="25"/>
      <c r="CF3" s="26"/>
      <c r="CG3" s="27"/>
      <c r="CH3" s="74"/>
      <c r="CI3" s="29"/>
      <c r="CJ3" s="29"/>
      <c r="CK3" s="29"/>
      <c r="CL3" s="77"/>
      <c r="CM3" s="24"/>
      <c r="CN3" s="24"/>
      <c r="CO3" s="24"/>
      <c r="CP3" s="79"/>
    </row>
    <row r="4" customFormat="1" spans="1:94">
      <c r="A4" s="15">
        <v>4</v>
      </c>
      <c r="B4" s="80">
        <v>2023324</v>
      </c>
      <c r="C4" s="8" t="s">
        <v>31</v>
      </c>
      <c r="D4" s="81">
        <f t="shared" si="0"/>
        <v>18</v>
      </c>
      <c r="E4" s="82">
        <f t="shared" si="1"/>
        <v>8</v>
      </c>
      <c r="F4" s="83">
        <f t="shared" ref="F4:F67" si="9">IF(L4=0,0.1,D4/L4)</f>
        <v>3.6</v>
      </c>
      <c r="G4" s="84" t="str">
        <f t="shared" ref="G4:G67" si="10">IF(F4=0.1,"极紧凑",IF(F4&gt;3.5,"紧凑",IF(AND(F4&gt;=2,F4&lt;=3.5),"标准",IF(AND(F4&gt;=1,F4&lt;2),"松散",""))))</f>
        <v>紧凑</v>
      </c>
      <c r="H4" s="85" t="s">
        <v>10</v>
      </c>
      <c r="I4" s="85" t="s">
        <v>11</v>
      </c>
      <c r="J4" s="85" t="s">
        <v>12</v>
      </c>
      <c r="K4" s="85" t="s">
        <v>13</v>
      </c>
      <c r="L4" s="86">
        <f>MAX(MID(C4,{1,2,3},1)*1)-MIN(MID(C4,{1,2,3},1)*1)</f>
        <v>5</v>
      </c>
      <c r="M4" s="87">
        <v>0</v>
      </c>
      <c r="N4" s="87">
        <v>1</v>
      </c>
      <c r="O4" s="87">
        <v>2</v>
      </c>
      <c r="P4" s="87">
        <v>3</v>
      </c>
      <c r="Q4" s="87">
        <v>4</v>
      </c>
      <c r="R4" s="87">
        <v>5</v>
      </c>
      <c r="S4" s="87">
        <v>6</v>
      </c>
      <c r="T4" s="87">
        <v>7</v>
      </c>
      <c r="U4" s="87">
        <v>8</v>
      </c>
      <c r="V4" s="87">
        <v>9</v>
      </c>
      <c r="W4" s="88">
        <f t="shared" si="2"/>
        <v>5</v>
      </c>
      <c r="X4" s="88">
        <f t="shared" si="3"/>
        <v>1</v>
      </c>
      <c r="Y4" s="88">
        <f t="shared" si="4"/>
        <v>4</v>
      </c>
      <c r="Z4" s="89">
        <f t="shared" si="5"/>
        <v>10</v>
      </c>
      <c r="AA4" s="17" t="str">
        <f>_xlfn.TEXTJOIN(", ",TRUE,ABS(MID(C4,{1,1,2},1)-MID(C4,{2,3,3},1)))</f>
        <v>5, 1, 4</v>
      </c>
      <c r="AB4" s="90">
        <v>0</v>
      </c>
      <c r="AC4" s="90">
        <v>1</v>
      </c>
      <c r="AD4" s="90">
        <v>2</v>
      </c>
      <c r="AE4" s="90">
        <v>3</v>
      </c>
      <c r="AF4" s="90">
        <v>4</v>
      </c>
      <c r="AG4" s="90">
        <v>5</v>
      </c>
      <c r="AH4" s="90">
        <v>6</v>
      </c>
      <c r="AI4" s="90">
        <v>7</v>
      </c>
      <c r="AJ4" s="90">
        <v>8</v>
      </c>
      <c r="AK4" s="90">
        <v>9</v>
      </c>
      <c r="AL4" s="91">
        <v>0</v>
      </c>
      <c r="AM4" s="91">
        <v>1</v>
      </c>
      <c r="AN4" s="91">
        <v>2</v>
      </c>
      <c r="AO4" s="91">
        <v>3</v>
      </c>
      <c r="AP4" s="91">
        <v>4</v>
      </c>
      <c r="AQ4" s="91">
        <v>5</v>
      </c>
      <c r="AR4" s="91">
        <v>6</v>
      </c>
      <c r="AS4" s="91">
        <v>7</v>
      </c>
      <c r="AT4" s="91">
        <v>8</v>
      </c>
      <c r="AU4" s="91">
        <v>9</v>
      </c>
      <c r="AV4" s="92">
        <v>0</v>
      </c>
      <c r="AW4" s="92">
        <v>1</v>
      </c>
      <c r="AX4" s="92">
        <v>2</v>
      </c>
      <c r="AY4" s="92">
        <v>3</v>
      </c>
      <c r="AZ4" s="92">
        <v>4</v>
      </c>
      <c r="BA4" s="92">
        <v>5</v>
      </c>
      <c r="BB4" s="92">
        <v>6</v>
      </c>
      <c r="BC4" s="92">
        <v>7</v>
      </c>
      <c r="BD4" s="92">
        <v>8</v>
      </c>
      <c r="BE4" s="92">
        <v>9</v>
      </c>
      <c r="BF4" s="93">
        <v>0</v>
      </c>
      <c r="BG4" s="93">
        <v>1</v>
      </c>
      <c r="BH4" s="93">
        <v>2</v>
      </c>
      <c r="BI4" s="93">
        <v>3</v>
      </c>
      <c r="BJ4" s="93">
        <v>4</v>
      </c>
      <c r="BK4" s="93">
        <v>5</v>
      </c>
      <c r="BL4" s="93">
        <v>6</v>
      </c>
      <c r="BM4" s="93">
        <v>7</v>
      </c>
      <c r="BN4" s="93">
        <v>8</v>
      </c>
      <c r="BO4" s="93">
        <v>9</v>
      </c>
      <c r="BP4" s="94" t="str">
        <f t="shared" si="6"/>
        <v>标准型</v>
      </c>
      <c r="BQ4" s="15">
        <f t="shared" si="7"/>
        <v>1</v>
      </c>
      <c r="BR4" s="15">
        <f t="shared" si="8"/>
        <v>5</v>
      </c>
      <c r="BS4" s="20" t="str">
        <f t="shared" ref="BS4:BS23" si="11">IF(COUNTIF($W3:$Y3,W4)&gt;0,W4,"")</f>
        <v/>
      </c>
      <c r="BT4" s="21"/>
      <c r="BU4" s="21" t="str">
        <f t="array" ref="BU4">_xlfn.TEXTJOIN("",TRUE,IF(ISERROR(FIND(ROW($1:$168)-1,BS4&amp;BT4)),ROW($1:$168)-1,""))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" s="22" t="str">
        <f t="shared" ref="BV4:BV23" si="12">IF(BS4&lt;&gt;"","复","中")&amp;IF(BT4&lt;&gt;"","隔","中")&amp;"中"</f>
        <v>中中中</v>
      </c>
      <c r="BW4" s="23" t="str">
        <f t="shared" ref="BW4:BW23" si="13">IF(COUNTIF($W3:$Y3,X4)&gt;0,X4,"")</f>
        <v/>
      </c>
      <c r="BX4" s="23"/>
      <c r="BY4" s="23" t="str">
        <f t="array" ref="BY4">_xlfn.TEXTJOIN("",TRUE,IF(ISERROR(FIND(ROW($1:$168)-1,BW4&amp;BX4)),ROW($1:$168)-1,""))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" s="22" t="str">
        <f t="shared" ref="BZ4:BZ23" si="14">IF(BW4&lt;&gt;"","复","中")&amp;IF(BX4&lt;&gt;"","隔","中")&amp;"中"</f>
        <v>中中中</v>
      </c>
      <c r="CA4" s="24">
        <f t="shared" ref="CA4:CA23" si="15">IF(COUNTIF($W3:$Y3,Y4)&gt;0,Y4,"")</f>
        <v>4</v>
      </c>
      <c r="CB4" s="24"/>
      <c r="CC4" s="24" t="str">
        <f t="array" ref="CC4">_xlfn.TEXTJOIN("",TRUE,IF(ISERROR(FIND(ROW($1:$168)-1,CA4&amp;CB4)),ROW($1:$168)-1,""))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" s="22" t="str">
        <f t="shared" ref="CD4:CD23" si="16">IF(CA4&lt;&gt;"","复","中")&amp;IF(CB4&lt;&gt;"","隔","中")&amp;"中"</f>
        <v>复中中</v>
      </c>
      <c r="CE4" s="25" t="str">
        <f t="shared" ref="CE4:CE23" si="17">IF(W4=0,9,W4-1)&amp;""&amp;IF(W4=9,0,W4+1)</f>
        <v>46</v>
      </c>
      <c r="CF4" s="26"/>
      <c r="CG4" s="27" t="str">
        <f t="array" ref="CG4">_xlfn.TEXTJOIN("",TRUE,IF(ISERROR(FIND(ROW($1:$168)-1,CE4&amp;CF4)),ROW($1:$168)-1,""))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" s="28" t="str">
        <f t="shared" ref="CH4:CH23" si="18">IF(CE4&lt;&gt;"","邻","孤")&amp;IF(CF4&lt;&gt;"","传","孤")&amp;"孤"</f>
        <v>邻孤孤</v>
      </c>
      <c r="CI4" s="29" t="str">
        <f t="shared" ref="CI4:CI23" si="19">IF(X4=0,9,X4-1)&amp;""&amp;IF(X4=9,0,X4+1)</f>
        <v>02</v>
      </c>
      <c r="CJ4" s="29"/>
      <c r="CK4" s="29" t="str">
        <f t="array" ref="CK4">_xlfn.TEXTJOIN("",TRUE,IF(ISERROR(FIND(ROW($1:$168)-1,CI4&amp;CJ4)),ROW($1:$168)-1,""))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" s="19" t="str">
        <f t="shared" ref="CL4:CL23" si="20">IF(CI4&lt;&gt;"","邻","孤")&amp;IF(CJ4&lt;&gt;"","传","孤")&amp;"孤"</f>
        <v>邻孤孤</v>
      </c>
      <c r="CM4" s="24" t="str">
        <f t="shared" ref="CM4:CM23" si="21">IF(Y4=0,9,Y4-1)&amp;""&amp;IF(Y4=9,0,Y4+1)</f>
        <v>35</v>
      </c>
      <c r="CN4" s="24"/>
      <c r="CO4" s="24" t="str">
        <f t="array" ref="CO4">_xlfn.TEXTJOIN("",TRUE,IF(ISERROR(FIND(ROW($1:$168)-1,CM4&amp;CN4)),ROW($1:$168)-1,""))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" s="30" t="str">
        <f t="shared" ref="CP4:CP23" si="22">IF(CM4&lt;&gt;"","邻","孤")&amp;IF(CN4&lt;&gt;"","传","孤")&amp;"孤"</f>
        <v>邻孤孤</v>
      </c>
    </row>
    <row r="5" customFormat="1" spans="1:94">
      <c r="A5" s="15">
        <v>5</v>
      </c>
      <c r="B5" s="80">
        <v>2023325</v>
      </c>
      <c r="C5" s="8" t="s">
        <v>32</v>
      </c>
      <c r="D5" s="81">
        <f t="shared" si="0"/>
        <v>13</v>
      </c>
      <c r="E5" s="82">
        <f t="shared" si="1"/>
        <v>3</v>
      </c>
      <c r="F5" s="83">
        <f t="shared" si="9"/>
        <v>1.44444444444444</v>
      </c>
      <c r="G5" s="84" t="str">
        <f t="shared" si="10"/>
        <v>松散</v>
      </c>
      <c r="H5" s="85" t="s">
        <v>10</v>
      </c>
      <c r="I5" s="85" t="s">
        <v>11</v>
      </c>
      <c r="J5" s="85" t="s">
        <v>12</v>
      </c>
      <c r="K5" s="85" t="s">
        <v>13</v>
      </c>
      <c r="L5" s="86">
        <f>MAX(MID(C5,{1,2,3},1)*1)-MIN(MID(C5,{1,2,3},1)*1)</f>
        <v>9</v>
      </c>
      <c r="M5" s="87">
        <v>0</v>
      </c>
      <c r="N5" s="87">
        <v>1</v>
      </c>
      <c r="O5" s="87">
        <v>2</v>
      </c>
      <c r="P5" s="87">
        <v>3</v>
      </c>
      <c r="Q5" s="87">
        <v>4</v>
      </c>
      <c r="R5" s="87">
        <v>5</v>
      </c>
      <c r="S5" s="87">
        <v>6</v>
      </c>
      <c r="T5" s="87">
        <v>7</v>
      </c>
      <c r="U5" s="87">
        <v>8</v>
      </c>
      <c r="V5" s="87">
        <v>9</v>
      </c>
      <c r="W5" s="88">
        <f t="shared" si="2"/>
        <v>5</v>
      </c>
      <c r="X5" s="88">
        <f t="shared" si="3"/>
        <v>4</v>
      </c>
      <c r="Y5" s="88">
        <f t="shared" si="4"/>
        <v>9</v>
      </c>
      <c r="Z5" s="89">
        <f t="shared" si="5"/>
        <v>18</v>
      </c>
      <c r="AA5" s="17" t="str">
        <f>_xlfn.TEXTJOIN(", ",TRUE,ABS(MID(C5,{1,1,2},1)-MID(C5,{2,3,3},1)))</f>
        <v>5, 4, 9</v>
      </c>
      <c r="AB5" s="90">
        <v>0</v>
      </c>
      <c r="AC5" s="90">
        <v>1</v>
      </c>
      <c r="AD5" s="90">
        <v>2</v>
      </c>
      <c r="AE5" s="90">
        <v>3</v>
      </c>
      <c r="AF5" s="90">
        <v>4</v>
      </c>
      <c r="AG5" s="90">
        <v>5</v>
      </c>
      <c r="AH5" s="90">
        <v>6</v>
      </c>
      <c r="AI5" s="90">
        <v>7</v>
      </c>
      <c r="AJ5" s="90">
        <v>8</v>
      </c>
      <c r="AK5" s="90">
        <v>9</v>
      </c>
      <c r="AL5" s="91">
        <v>0</v>
      </c>
      <c r="AM5" s="91">
        <v>1</v>
      </c>
      <c r="AN5" s="91">
        <v>2</v>
      </c>
      <c r="AO5" s="91">
        <v>3</v>
      </c>
      <c r="AP5" s="91">
        <v>4</v>
      </c>
      <c r="AQ5" s="91">
        <v>5</v>
      </c>
      <c r="AR5" s="91">
        <v>6</v>
      </c>
      <c r="AS5" s="91">
        <v>7</v>
      </c>
      <c r="AT5" s="91">
        <v>8</v>
      </c>
      <c r="AU5" s="91">
        <v>9</v>
      </c>
      <c r="AV5" s="92">
        <v>0</v>
      </c>
      <c r="AW5" s="92">
        <v>1</v>
      </c>
      <c r="AX5" s="92">
        <v>2</v>
      </c>
      <c r="AY5" s="92">
        <v>3</v>
      </c>
      <c r="AZ5" s="92">
        <v>4</v>
      </c>
      <c r="BA5" s="92">
        <v>5</v>
      </c>
      <c r="BB5" s="92">
        <v>6</v>
      </c>
      <c r="BC5" s="92">
        <v>7</v>
      </c>
      <c r="BD5" s="92">
        <v>8</v>
      </c>
      <c r="BE5" s="92">
        <v>9</v>
      </c>
      <c r="BF5" s="93">
        <v>0</v>
      </c>
      <c r="BG5" s="93">
        <v>1</v>
      </c>
      <c r="BH5" s="93">
        <v>2</v>
      </c>
      <c r="BI5" s="93">
        <v>3</v>
      </c>
      <c r="BJ5" s="93">
        <v>4</v>
      </c>
      <c r="BK5" s="93">
        <v>5</v>
      </c>
      <c r="BL5" s="93">
        <v>6</v>
      </c>
      <c r="BM5" s="93">
        <v>7</v>
      </c>
      <c r="BN5" s="93">
        <v>8</v>
      </c>
      <c r="BO5" s="93">
        <v>9</v>
      </c>
      <c r="BP5" s="94" t="str">
        <f t="shared" si="6"/>
        <v>松散型</v>
      </c>
      <c r="BQ5" s="15">
        <f t="shared" si="7"/>
        <v>4</v>
      </c>
      <c r="BR5" s="15">
        <f t="shared" si="8"/>
        <v>9</v>
      </c>
      <c r="BS5" s="20">
        <f t="shared" si="11"/>
        <v>5</v>
      </c>
      <c r="BT5" s="21" t="str">
        <f t="shared" ref="BT5:BT23" si="23">IF(COUNTIF($W3:$Y3,W5)&gt;0,W5,"")</f>
        <v/>
      </c>
      <c r="BU5" s="21" t="str">
        <f t="array" ref="BU5">_xlfn.TEXTJOIN("",TRUE,IF(ISERROR(FIND(ROW($1:$168)-1,BS5&amp;BT5)),ROW($1:$168)-1,""))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" s="22" t="str">
        <f t="shared" si="12"/>
        <v>复中中</v>
      </c>
      <c r="BW5" s="23">
        <f t="shared" si="13"/>
        <v>4</v>
      </c>
      <c r="BX5" s="23">
        <f t="shared" ref="BX5:BX23" si="24">IF(COUNTIF($W3:$Y3,X5)&gt;0,X5,"")</f>
        <v>4</v>
      </c>
      <c r="BY5" s="23" t="str">
        <f t="array" ref="BY5">_xlfn.TEXTJOIN("",TRUE,IF(ISERROR(FIND(ROW($1:$168)-1,BW5&amp;BX5)),ROW($1:$168)-1,""))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" s="22" t="str">
        <f t="shared" si="14"/>
        <v>复隔中</v>
      </c>
      <c r="CA5" s="24" t="str">
        <f t="shared" si="15"/>
        <v/>
      </c>
      <c r="CB5" s="24" t="str">
        <f t="shared" ref="CB5:CB23" si="25">IF(COUNTIF($W3:$Y3,Y5)&gt;0,Y5,"")</f>
        <v/>
      </c>
      <c r="CC5" s="24" t="str">
        <f t="array" ref="CC5">_xlfn.TEXTJOIN("",TRUE,IF(ISERROR(FIND(ROW($1:$168)-1,CA5&amp;CB5)),ROW($1:$168)-1,""))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" s="22" t="str">
        <f t="shared" si="16"/>
        <v>中中中</v>
      </c>
      <c r="CE5" s="25" t="str">
        <f t="shared" si="17"/>
        <v>46</v>
      </c>
      <c r="CF5" s="95" t="str">
        <f t="array" ref="CF5">_xlfn.TEXTJOIN("",TRUE,IF(ISNUMBER(FIND(MID(CE4&amp;W4,ROW($1:$162),1),CE5&amp;W5)),MID(CE4&amp;W4,ROW($1:$162),1),""))</f>
        <v>465</v>
      </c>
      <c r="CG5" s="27" t="str">
        <f t="array" ref="CG5">_xlfn.TEXTJOIN("",TRUE,IF(ISERROR(FIND(ROW($1:$168)-1,CE5&amp;CF5)),ROW($1:$168)-1,""))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" s="28" t="str">
        <f t="shared" si="18"/>
        <v>邻传孤</v>
      </c>
      <c r="CI5" s="29" t="str">
        <f t="shared" si="19"/>
        <v>35</v>
      </c>
      <c r="CJ5" s="29" t="str">
        <f t="array" ref="CJ5">_xlfn.TEXTJOIN("",TRUE,IF(ISNUMBER(FIND(MID(CI4&amp;X4,ROW($1:$162),1),CI5&amp;X5)),MID(CI4&amp;X4,ROW($1:$162),1),""))</f>
        <v/>
      </c>
      <c r="CK5" s="29" t="str">
        <f t="array" ref="CK5">_xlfn.TEXTJOIN("",TRUE,IF(ISERROR(FIND(ROW($1:$168)-1,CI5&amp;CJ5)),ROW($1:$168)-1,""))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" s="19" t="str">
        <f t="shared" si="20"/>
        <v>邻孤孤</v>
      </c>
      <c r="CM5" s="24" t="str">
        <f t="shared" si="21"/>
        <v>80</v>
      </c>
      <c r="CN5" s="24" t="str">
        <f t="array" ref="CN5">_xlfn.TEXTJOIN("",TRUE,IF(ISNUMBER(FIND(MID(CM4&amp;Y4,ROW($1:$162),1),CM5&amp;Y5)),MID(CM4&amp;Y4,ROW($1:$162),1),""))</f>
        <v/>
      </c>
      <c r="CO5" s="24" t="str">
        <f t="array" ref="CO5">_xlfn.TEXTJOIN("",TRUE,IF(ISERROR(FIND(ROW($1:$168)-1,CM5&amp;CN5)),ROW($1:$168)-1,""))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5" s="30" t="str">
        <f t="shared" si="22"/>
        <v>邻孤孤</v>
      </c>
    </row>
    <row r="6" customFormat="1" spans="1:94">
      <c r="A6" s="15">
        <v>6</v>
      </c>
      <c r="B6" s="80">
        <v>2023326</v>
      </c>
      <c r="C6" s="8" t="s">
        <v>33</v>
      </c>
      <c r="D6" s="81">
        <f t="shared" si="0"/>
        <v>11</v>
      </c>
      <c r="E6" s="82">
        <f t="shared" si="1"/>
        <v>1</v>
      </c>
      <c r="F6" s="83">
        <f t="shared" si="9"/>
        <v>1.83333333333333</v>
      </c>
      <c r="G6" s="84" t="str">
        <f t="shared" si="10"/>
        <v>松散</v>
      </c>
      <c r="H6" s="85" t="s">
        <v>10</v>
      </c>
      <c r="I6" s="85" t="s">
        <v>11</v>
      </c>
      <c r="J6" s="85" t="s">
        <v>12</v>
      </c>
      <c r="K6" s="85" t="s">
        <v>13</v>
      </c>
      <c r="L6" s="86">
        <f>MAX(MID(C6,{1,2,3},1)*1)-MIN(MID(C6,{1,2,3},1)*1)</f>
        <v>6</v>
      </c>
      <c r="M6" s="87">
        <v>0</v>
      </c>
      <c r="N6" s="87">
        <v>1</v>
      </c>
      <c r="O6" s="87">
        <v>2</v>
      </c>
      <c r="P6" s="87">
        <v>3</v>
      </c>
      <c r="Q6" s="87">
        <v>4</v>
      </c>
      <c r="R6" s="87">
        <v>5</v>
      </c>
      <c r="S6" s="87">
        <v>6</v>
      </c>
      <c r="T6" s="87">
        <v>7</v>
      </c>
      <c r="U6" s="87">
        <v>8</v>
      </c>
      <c r="V6" s="87">
        <v>9</v>
      </c>
      <c r="W6" s="88">
        <f t="shared" si="2"/>
        <v>4</v>
      </c>
      <c r="X6" s="88">
        <f t="shared" si="3"/>
        <v>2</v>
      </c>
      <c r="Y6" s="88">
        <f t="shared" si="4"/>
        <v>6</v>
      </c>
      <c r="Z6" s="89">
        <f t="shared" si="5"/>
        <v>12</v>
      </c>
      <c r="AA6" s="17" t="str">
        <f>_xlfn.TEXTJOIN(", ",TRUE,ABS(MID(C6,{1,1,2},1)-MID(C6,{2,3,3},1)))</f>
        <v>4, 2, 6</v>
      </c>
      <c r="AB6" s="90">
        <v>0</v>
      </c>
      <c r="AC6" s="90">
        <v>1</v>
      </c>
      <c r="AD6" s="90">
        <v>2</v>
      </c>
      <c r="AE6" s="90">
        <v>3</v>
      </c>
      <c r="AF6" s="90">
        <v>4</v>
      </c>
      <c r="AG6" s="90">
        <v>5</v>
      </c>
      <c r="AH6" s="90">
        <v>6</v>
      </c>
      <c r="AI6" s="90">
        <v>7</v>
      </c>
      <c r="AJ6" s="90">
        <v>8</v>
      </c>
      <c r="AK6" s="90">
        <v>9</v>
      </c>
      <c r="AL6" s="91">
        <v>0</v>
      </c>
      <c r="AM6" s="91">
        <v>1</v>
      </c>
      <c r="AN6" s="91">
        <v>2</v>
      </c>
      <c r="AO6" s="91">
        <v>3</v>
      </c>
      <c r="AP6" s="91">
        <v>4</v>
      </c>
      <c r="AQ6" s="91">
        <v>5</v>
      </c>
      <c r="AR6" s="91">
        <v>6</v>
      </c>
      <c r="AS6" s="91">
        <v>7</v>
      </c>
      <c r="AT6" s="91">
        <v>8</v>
      </c>
      <c r="AU6" s="91">
        <v>9</v>
      </c>
      <c r="AV6" s="92">
        <v>0</v>
      </c>
      <c r="AW6" s="92">
        <v>1</v>
      </c>
      <c r="AX6" s="92">
        <v>2</v>
      </c>
      <c r="AY6" s="92">
        <v>3</v>
      </c>
      <c r="AZ6" s="92">
        <v>4</v>
      </c>
      <c r="BA6" s="92">
        <v>5</v>
      </c>
      <c r="BB6" s="92">
        <v>6</v>
      </c>
      <c r="BC6" s="92">
        <v>7</v>
      </c>
      <c r="BD6" s="92">
        <v>8</v>
      </c>
      <c r="BE6" s="92">
        <v>9</v>
      </c>
      <c r="BF6" s="93">
        <v>0</v>
      </c>
      <c r="BG6" s="93">
        <v>1</v>
      </c>
      <c r="BH6" s="93">
        <v>2</v>
      </c>
      <c r="BI6" s="93">
        <v>3</v>
      </c>
      <c r="BJ6" s="93">
        <v>4</v>
      </c>
      <c r="BK6" s="93">
        <v>5</v>
      </c>
      <c r="BL6" s="93">
        <v>6</v>
      </c>
      <c r="BM6" s="93">
        <v>7</v>
      </c>
      <c r="BN6" s="93">
        <v>8</v>
      </c>
      <c r="BO6" s="93">
        <v>9</v>
      </c>
      <c r="BP6" s="94" t="str">
        <f t="shared" si="6"/>
        <v>松散型</v>
      </c>
      <c r="BQ6" s="15">
        <f t="shared" si="7"/>
        <v>2</v>
      </c>
      <c r="BR6" s="15">
        <f t="shared" si="8"/>
        <v>6</v>
      </c>
      <c r="BS6" s="20">
        <f t="shared" si="11"/>
        <v>4</v>
      </c>
      <c r="BT6" s="21">
        <f t="shared" si="23"/>
        <v>4</v>
      </c>
      <c r="BU6" s="21" t="str">
        <f t="array" ref="BU6">_xlfn.TEXTJOIN("",TRUE,IF(ISERROR(FIND(ROW($1:$168)-1,BS6&amp;BT6)),ROW($1:$168)-1,""))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" s="22" t="str">
        <f t="shared" si="12"/>
        <v>复隔中</v>
      </c>
      <c r="BW6" s="23"/>
      <c r="BX6" s="23" t="str">
        <f t="shared" si="24"/>
        <v/>
      </c>
      <c r="BY6" s="23" t="str">
        <f t="array" ref="BY6">_xlfn.TEXTJOIN("",TRUE,IF(ISERROR(FIND(ROW($1:$168)-1,BW6&amp;BX6)),ROW($1:$168)-1,""))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" s="22" t="str">
        <f t="shared" si="14"/>
        <v>中中中</v>
      </c>
      <c r="CA6" s="24" t="str">
        <f t="shared" si="15"/>
        <v/>
      </c>
      <c r="CB6" s="24" t="str">
        <f t="shared" si="25"/>
        <v/>
      </c>
      <c r="CC6" s="24" t="str">
        <f t="array" ref="CC6">_xlfn.TEXTJOIN("",TRUE,IF(ISERROR(FIND(ROW($1:$168)-1,CA6&amp;CB6)),ROW($1:$168)-1,""))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" s="22" t="str">
        <f t="shared" si="16"/>
        <v>中中中</v>
      </c>
      <c r="CE6" s="25" t="str">
        <f t="shared" si="17"/>
        <v>35</v>
      </c>
      <c r="CF6" s="26" t="str">
        <f t="array" ref="CF6">_xlfn.TEXTJOIN("",TRUE,IF(ISNUMBER(FIND(MID(CE5&amp;W5,ROW($1:$162),1),CE6&amp;W6)),MID(CE5&amp;W5,ROW($1:$162),1),""))</f>
        <v>45</v>
      </c>
      <c r="CG6" s="27" t="str">
        <f t="array" ref="CG6">_xlfn.TEXTJOIN("",TRUE,IF(ISERROR(FIND(ROW($1:$168)-1,CE6&amp;CF6)),ROW($1:$168)-1,""))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" s="28" t="str">
        <f t="shared" si="18"/>
        <v>邻传孤</v>
      </c>
      <c r="CI6" s="29" t="str">
        <f t="shared" si="19"/>
        <v>13</v>
      </c>
      <c r="CJ6" s="29" t="str">
        <f t="array" ref="CJ6">_xlfn.TEXTJOIN("",TRUE,IF(ISNUMBER(FIND(MID(CI5&amp;X5,ROW($1:$162),1),CI6&amp;X6)),MID(CI5&amp;X5,ROW($1:$162),1),""))</f>
        <v>3</v>
      </c>
      <c r="CK6" s="29" t="str">
        <f t="array" ref="CK6">_xlfn.TEXTJOIN("",TRUE,IF(ISERROR(FIND(ROW($1:$168)-1,CI6&amp;CJ6)),ROW($1:$168)-1,""))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6" s="19" t="str">
        <f t="shared" si="20"/>
        <v>邻传孤</v>
      </c>
      <c r="CM6" s="24" t="str">
        <f t="shared" si="21"/>
        <v>57</v>
      </c>
      <c r="CN6" s="24" t="str">
        <f t="array" ref="CN6">_xlfn.TEXTJOIN("",TRUE,IF(ISNUMBER(FIND(MID(CM5&amp;Y5,ROW($1:$162),1),CM6&amp;Y6)),MID(CM5&amp;Y5,ROW($1:$162),1),""))</f>
        <v/>
      </c>
      <c r="CO6" s="24" t="str">
        <f t="array" ref="CO6">_xlfn.TEXTJOIN("",TRUE,IF(ISERROR(FIND(ROW($1:$168)-1,CM6&amp;CN6)),ROW($1:$168)-1,""))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" s="30" t="str">
        <f t="shared" si="22"/>
        <v>邻孤孤</v>
      </c>
    </row>
    <row r="7" customFormat="1" spans="1:94">
      <c r="A7" s="15">
        <v>7</v>
      </c>
      <c r="B7" s="80">
        <v>2023327</v>
      </c>
      <c r="C7" s="8" t="s">
        <v>34</v>
      </c>
      <c r="D7" s="81">
        <f t="shared" si="0"/>
        <v>5</v>
      </c>
      <c r="E7" s="82">
        <f t="shared" si="1"/>
        <v>5</v>
      </c>
      <c r="F7" s="83">
        <f t="shared" si="9"/>
        <v>1.25</v>
      </c>
      <c r="G7" s="84" t="str">
        <f t="shared" si="10"/>
        <v>松散</v>
      </c>
      <c r="H7" s="85" t="s">
        <v>10</v>
      </c>
      <c r="I7" s="85" t="s">
        <v>11</v>
      </c>
      <c r="J7" s="85" t="s">
        <v>12</v>
      </c>
      <c r="K7" s="85" t="s">
        <v>13</v>
      </c>
      <c r="L7" s="86">
        <f>MAX(MID(C7,{1,2,3},1)*1)-MIN(MID(C7,{1,2,3},1)*1)</f>
        <v>4</v>
      </c>
      <c r="M7" s="87">
        <v>0</v>
      </c>
      <c r="N7" s="87">
        <v>1</v>
      </c>
      <c r="O7" s="87">
        <v>2</v>
      </c>
      <c r="P7" s="87">
        <v>3</v>
      </c>
      <c r="Q7" s="87">
        <v>4</v>
      </c>
      <c r="R7" s="87">
        <v>5</v>
      </c>
      <c r="S7" s="87">
        <v>6</v>
      </c>
      <c r="T7" s="87">
        <v>7</v>
      </c>
      <c r="U7" s="87">
        <v>8</v>
      </c>
      <c r="V7" s="87">
        <v>9</v>
      </c>
      <c r="W7" s="88">
        <f t="shared" si="2"/>
        <v>1</v>
      </c>
      <c r="X7" s="88">
        <f t="shared" si="3"/>
        <v>4</v>
      </c>
      <c r="Y7" s="88">
        <f t="shared" si="4"/>
        <v>3</v>
      </c>
      <c r="Z7" s="89">
        <f t="shared" si="5"/>
        <v>8</v>
      </c>
      <c r="AA7" s="17" t="str">
        <f>_xlfn.TEXTJOIN(", ",TRUE,ABS(MID(C7,{1,1,2},1)-MID(C7,{2,3,3},1)))</f>
        <v>1, 4, 3</v>
      </c>
      <c r="AB7" s="90">
        <v>0</v>
      </c>
      <c r="AC7" s="90">
        <v>1</v>
      </c>
      <c r="AD7" s="90">
        <v>2</v>
      </c>
      <c r="AE7" s="90">
        <v>3</v>
      </c>
      <c r="AF7" s="90">
        <v>4</v>
      </c>
      <c r="AG7" s="90">
        <v>5</v>
      </c>
      <c r="AH7" s="90">
        <v>6</v>
      </c>
      <c r="AI7" s="90">
        <v>7</v>
      </c>
      <c r="AJ7" s="90">
        <v>8</v>
      </c>
      <c r="AK7" s="90">
        <v>9</v>
      </c>
      <c r="AL7" s="91">
        <v>0</v>
      </c>
      <c r="AM7" s="91">
        <v>1</v>
      </c>
      <c r="AN7" s="91"/>
      <c r="AO7" s="91">
        <v>3</v>
      </c>
      <c r="AP7" s="91">
        <v>4</v>
      </c>
      <c r="AQ7" s="91">
        <v>5</v>
      </c>
      <c r="AR7" s="91">
        <v>6</v>
      </c>
      <c r="AS7" s="91">
        <v>7</v>
      </c>
      <c r="AT7" s="91">
        <v>8</v>
      </c>
      <c r="AU7" s="91">
        <v>9</v>
      </c>
      <c r="AV7" s="92">
        <v>0</v>
      </c>
      <c r="AW7" s="92">
        <v>1</v>
      </c>
      <c r="AX7" s="92">
        <v>2</v>
      </c>
      <c r="AY7" s="92">
        <v>3</v>
      </c>
      <c r="AZ7" s="92">
        <v>4</v>
      </c>
      <c r="BA7" s="92">
        <v>5</v>
      </c>
      <c r="BB7" s="92">
        <v>6</v>
      </c>
      <c r="BC7" s="92">
        <v>7</v>
      </c>
      <c r="BD7" s="92">
        <v>8</v>
      </c>
      <c r="BE7" s="92">
        <v>9</v>
      </c>
      <c r="BF7" s="93">
        <v>0</v>
      </c>
      <c r="BG7" s="93">
        <v>1</v>
      </c>
      <c r="BH7" s="93">
        <v>2</v>
      </c>
      <c r="BI7" s="93">
        <v>3</v>
      </c>
      <c r="BJ7" s="93">
        <v>4</v>
      </c>
      <c r="BK7" s="93">
        <v>5</v>
      </c>
      <c r="BL7" s="93">
        <v>6</v>
      </c>
      <c r="BM7" s="93">
        <v>7</v>
      </c>
      <c r="BN7" s="93">
        <v>8</v>
      </c>
      <c r="BO7" s="93">
        <v>9</v>
      </c>
      <c r="BP7" s="94" t="str">
        <f t="shared" si="6"/>
        <v>紧凑型</v>
      </c>
      <c r="BQ7" s="15">
        <f t="shared" si="7"/>
        <v>1</v>
      </c>
      <c r="BR7" s="15">
        <f t="shared" si="8"/>
        <v>4</v>
      </c>
      <c r="BS7" s="20" t="str">
        <f t="shared" si="11"/>
        <v/>
      </c>
      <c r="BT7" s="21" t="str">
        <f t="shared" si="23"/>
        <v/>
      </c>
      <c r="BU7" s="21" t="str">
        <f t="array" ref="BU7">_xlfn.TEXTJOIN("",TRUE,IF(ISERROR(FIND(ROW($1:$168)-1,BS7&amp;BT7)),ROW($1:$168)-1,""))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" s="22" t="str">
        <f t="shared" si="12"/>
        <v>中中中</v>
      </c>
      <c r="BW7" s="23">
        <f t="shared" si="13"/>
        <v>4</v>
      </c>
      <c r="BX7" s="23">
        <f t="shared" si="24"/>
        <v>4</v>
      </c>
      <c r="BY7" s="23" t="str">
        <f t="array" ref="BY7">_xlfn.TEXTJOIN("",TRUE,IF(ISERROR(FIND(ROW($1:$168)-1,BW7&amp;BX7)),ROW($1:$168)-1,""))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" s="22" t="str">
        <f t="shared" si="14"/>
        <v>复隔中</v>
      </c>
      <c r="CA7" s="24" t="str">
        <f t="shared" si="15"/>
        <v/>
      </c>
      <c r="CB7" s="24" t="str">
        <f t="shared" si="25"/>
        <v/>
      </c>
      <c r="CC7" s="24" t="str">
        <f t="array" ref="CC7">_xlfn.TEXTJOIN("",TRUE,IF(ISERROR(FIND(ROW($1:$168)-1,CA7&amp;CB7)),ROW($1:$168)-1,""))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" s="22" t="str">
        <f t="shared" si="16"/>
        <v>中中中</v>
      </c>
      <c r="CE7" s="25" t="str">
        <f t="shared" si="17"/>
        <v>02</v>
      </c>
      <c r="CF7" s="26" t="str">
        <f t="array" ref="CF7">_xlfn.TEXTJOIN("",TRUE,IF(ISNUMBER(FIND(MID(CE6&amp;W6,ROW($1:$162),1),CE7&amp;W7)),MID(CE6&amp;W6,ROW($1:$162),1),""))</f>
        <v/>
      </c>
      <c r="CG7" s="27" t="str">
        <f t="array" ref="CG7">_xlfn.TEXTJOIN("",TRUE,IF(ISERROR(FIND(ROW($1:$168)-1,CE7&amp;CF7)),ROW($1:$168)-1,""))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" s="28" t="str">
        <f t="shared" si="18"/>
        <v>邻孤孤</v>
      </c>
      <c r="CI7" s="29" t="str">
        <f t="shared" si="19"/>
        <v>35</v>
      </c>
      <c r="CJ7" s="29" t="str">
        <f t="array" ref="CJ7">_xlfn.TEXTJOIN("",TRUE,IF(ISNUMBER(FIND(MID(CI6&amp;X6,ROW($1:$162),1),CI7&amp;X7)),MID(CI6&amp;X6,ROW($1:$162),1),""))</f>
        <v>3</v>
      </c>
      <c r="CK7" s="29" t="str">
        <f t="array" ref="CK7">_xlfn.TEXTJOIN("",TRUE,IF(ISERROR(FIND(ROW($1:$168)-1,CI7&amp;CJ7)),ROW($1:$168)-1,""))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" s="19" t="str">
        <f t="shared" si="20"/>
        <v>邻传孤</v>
      </c>
      <c r="CM7" s="24" t="str">
        <f t="shared" si="21"/>
        <v>24</v>
      </c>
      <c r="CN7" s="24" t="str">
        <f t="array" ref="CN7">_xlfn.TEXTJOIN("",TRUE,IF(ISNUMBER(FIND(MID(CM6&amp;Y6,ROW($1:$162),1),CM7&amp;Y7)),MID(CM6&amp;Y6,ROW($1:$162),1),""))</f>
        <v/>
      </c>
      <c r="CO7" s="24" t="str">
        <f t="array" ref="CO7">_xlfn.TEXTJOIN("",TRUE,IF(ISERROR(FIND(ROW($1:$168)-1,CM7&amp;CN7)),ROW($1:$168)-1,""))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" s="30" t="str">
        <f t="shared" si="22"/>
        <v>邻孤孤</v>
      </c>
    </row>
    <row r="8" customFormat="1" spans="1:94">
      <c r="A8" s="15">
        <v>8</v>
      </c>
      <c r="B8" s="80">
        <v>2023328</v>
      </c>
      <c r="C8" s="8" t="s">
        <v>35</v>
      </c>
      <c r="D8" s="81">
        <f t="shared" si="0"/>
        <v>16</v>
      </c>
      <c r="E8" s="82">
        <f t="shared" si="1"/>
        <v>6</v>
      </c>
      <c r="F8" s="83">
        <f t="shared" si="9"/>
        <v>2</v>
      </c>
      <c r="G8" s="84" t="str">
        <f t="shared" si="10"/>
        <v>标准</v>
      </c>
      <c r="H8" s="85" t="s">
        <v>10</v>
      </c>
      <c r="I8" s="85" t="s">
        <v>11</v>
      </c>
      <c r="J8" s="85" t="s">
        <v>12</v>
      </c>
      <c r="K8" s="85" t="s">
        <v>13</v>
      </c>
      <c r="L8" s="86">
        <f>MAX(MID(C8,{1,2,3},1)*1)-MIN(MID(C8,{1,2,3},1)*1)</f>
        <v>8</v>
      </c>
      <c r="M8" s="87">
        <v>0</v>
      </c>
      <c r="N8" s="87">
        <v>1</v>
      </c>
      <c r="O8" s="87">
        <v>2</v>
      </c>
      <c r="P8" s="87">
        <v>3</v>
      </c>
      <c r="Q8" s="87">
        <v>4</v>
      </c>
      <c r="R8" s="87">
        <v>5</v>
      </c>
      <c r="S8" s="87">
        <v>6</v>
      </c>
      <c r="T8" s="87">
        <v>7</v>
      </c>
      <c r="U8" s="87">
        <v>8</v>
      </c>
      <c r="V8" s="87">
        <v>9</v>
      </c>
      <c r="W8" s="88">
        <f t="shared" si="2"/>
        <v>5</v>
      </c>
      <c r="X8" s="88">
        <f t="shared" si="3"/>
        <v>8</v>
      </c>
      <c r="Y8" s="88">
        <f t="shared" si="4"/>
        <v>3</v>
      </c>
      <c r="Z8" s="89">
        <f t="shared" si="5"/>
        <v>16</v>
      </c>
      <c r="AA8" s="17" t="str">
        <f>_xlfn.TEXTJOIN(", ",TRUE,ABS(MID(C8,{1,1,2},1)-MID(C8,{2,3,3},1)))</f>
        <v>5, 8, 3</v>
      </c>
      <c r="AB8" s="90">
        <v>0</v>
      </c>
      <c r="AC8" s="90">
        <v>1</v>
      </c>
      <c r="AD8" s="90">
        <v>2</v>
      </c>
      <c r="AE8" s="90">
        <v>3</v>
      </c>
      <c r="AF8" s="90">
        <v>4</v>
      </c>
      <c r="AG8" s="90">
        <v>5</v>
      </c>
      <c r="AH8" s="90">
        <v>6</v>
      </c>
      <c r="AI8" s="90">
        <v>7</v>
      </c>
      <c r="AJ8" s="90">
        <v>8</v>
      </c>
      <c r="AK8" s="90">
        <v>9</v>
      </c>
      <c r="AL8" s="91">
        <v>0</v>
      </c>
      <c r="AM8" s="91">
        <v>1</v>
      </c>
      <c r="AN8" s="91">
        <v>2</v>
      </c>
      <c r="AO8" s="91">
        <v>3</v>
      </c>
      <c r="AP8" s="91">
        <v>4</v>
      </c>
      <c r="AQ8" s="91">
        <v>5</v>
      </c>
      <c r="AR8" s="91">
        <v>6</v>
      </c>
      <c r="AS8" s="91">
        <v>7</v>
      </c>
      <c r="AT8" s="91">
        <v>8</v>
      </c>
      <c r="AU8" s="91">
        <v>9</v>
      </c>
      <c r="AV8" s="92">
        <v>0</v>
      </c>
      <c r="AW8" s="92">
        <v>1</v>
      </c>
      <c r="AX8" s="92">
        <v>2</v>
      </c>
      <c r="AY8" s="92">
        <v>3</v>
      </c>
      <c r="AZ8" s="92">
        <v>4</v>
      </c>
      <c r="BA8" s="92">
        <v>5</v>
      </c>
      <c r="BB8" s="92">
        <v>6</v>
      </c>
      <c r="BC8" s="92">
        <v>7</v>
      </c>
      <c r="BD8" s="92">
        <v>8</v>
      </c>
      <c r="BE8" s="92">
        <v>9</v>
      </c>
      <c r="BF8" s="93">
        <v>0</v>
      </c>
      <c r="BG8" s="93">
        <v>1</v>
      </c>
      <c r="BH8" s="93">
        <v>2</v>
      </c>
      <c r="BI8" s="93">
        <v>3</v>
      </c>
      <c r="BJ8" s="93">
        <v>4</v>
      </c>
      <c r="BK8" s="93">
        <v>5</v>
      </c>
      <c r="BL8" s="93">
        <v>6</v>
      </c>
      <c r="BM8" s="93">
        <v>7</v>
      </c>
      <c r="BN8" s="93">
        <v>8</v>
      </c>
      <c r="BO8" s="93">
        <v>9</v>
      </c>
      <c r="BP8" s="94" t="str">
        <f t="shared" si="6"/>
        <v>松散型</v>
      </c>
      <c r="BQ8" s="15">
        <f t="shared" si="7"/>
        <v>3</v>
      </c>
      <c r="BR8" s="15">
        <f t="shared" si="8"/>
        <v>8</v>
      </c>
      <c r="BS8" s="20" t="str">
        <f t="shared" si="11"/>
        <v/>
      </c>
      <c r="BT8" s="21" t="str">
        <f t="shared" si="23"/>
        <v/>
      </c>
      <c r="BU8" s="21" t="str">
        <f t="array" ref="BU8">_xlfn.TEXTJOIN("",TRUE,IF(ISERROR(FIND(ROW($1:$168)-1,BS8&amp;BT8)),ROW($1:$168)-1,""))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8" s="22" t="str">
        <f t="shared" si="12"/>
        <v>中中中</v>
      </c>
      <c r="BW8" s="23" t="str">
        <f t="shared" si="13"/>
        <v/>
      </c>
      <c r="BX8" s="23" t="str">
        <f t="shared" si="24"/>
        <v/>
      </c>
      <c r="BY8" s="23" t="str">
        <f t="array" ref="BY8">_xlfn.TEXTJOIN("",TRUE,IF(ISERROR(FIND(ROW($1:$168)-1,BW8&amp;BX8)),ROW($1:$168)-1,""))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8" s="22" t="str">
        <f t="shared" si="14"/>
        <v>中中中</v>
      </c>
      <c r="CA8" s="24">
        <f t="shared" si="15"/>
        <v>3</v>
      </c>
      <c r="CB8" s="24" t="str">
        <f t="shared" si="25"/>
        <v/>
      </c>
      <c r="CC8" s="24" t="str">
        <f t="array" ref="CC8">_xlfn.TEXTJOIN("",TRUE,IF(ISERROR(FIND(ROW($1:$168)-1,CA8&amp;CB8)),ROW($1:$168)-1,""))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8" s="22" t="str">
        <f t="shared" si="16"/>
        <v>复中中</v>
      </c>
      <c r="CE8" s="25" t="str">
        <f t="shared" si="17"/>
        <v>46</v>
      </c>
      <c r="CF8" s="26" t="str">
        <f t="array" ref="CF8">_xlfn.TEXTJOIN("",TRUE,IF(ISNUMBER(FIND(MID(CE7&amp;W7,ROW($1:$162),1),CE8&amp;W8)),MID(CE7&amp;W7,ROW($1:$162),1),""))</f>
        <v/>
      </c>
      <c r="CG8" s="27" t="str">
        <f t="array" ref="CG8">_xlfn.TEXTJOIN("",TRUE,IF(ISERROR(FIND(ROW($1:$168)-1,CE8&amp;CF8)),ROW($1:$168)-1,""))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8" s="28" t="str">
        <f t="shared" si="18"/>
        <v>邻孤孤</v>
      </c>
      <c r="CI8" s="29" t="str">
        <f t="shared" si="19"/>
        <v>79</v>
      </c>
      <c r="CJ8" s="29" t="str">
        <f t="array" ref="CJ8">_xlfn.TEXTJOIN("",TRUE,IF(ISNUMBER(FIND(MID(CI7&amp;X7,ROW($1:$162),1),CI8&amp;X8)),MID(CI7&amp;X7,ROW($1:$162),1),""))</f>
        <v/>
      </c>
      <c r="CK8" s="29" t="str">
        <f t="array" ref="CK8">_xlfn.TEXTJOIN("",TRUE,IF(ISERROR(FIND(ROW($1:$168)-1,CI8&amp;CJ8)),ROW($1:$168)-1,""))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8" s="19" t="str">
        <f t="shared" si="20"/>
        <v>邻孤孤</v>
      </c>
      <c r="CM8" s="24" t="str">
        <f t="shared" si="21"/>
        <v>24</v>
      </c>
      <c r="CN8" s="24" t="str">
        <f t="array" ref="CN8">_xlfn.TEXTJOIN("",TRUE,IF(ISNUMBER(FIND(MID(CM7&amp;Y7,ROW($1:$162),1),CM8&amp;Y8)),MID(CM7&amp;Y7,ROW($1:$162),1),""))</f>
        <v>243</v>
      </c>
      <c r="CO8" s="24" t="str">
        <f t="array" ref="CO8">_xlfn.TEXTJOIN("",TRUE,IF(ISERROR(FIND(ROW($1:$168)-1,CM8&amp;CN8)),ROW($1:$168)-1,""))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8" s="30" t="str">
        <f t="shared" si="22"/>
        <v>邻传孤</v>
      </c>
    </row>
    <row r="9" customFormat="1" spans="1:94">
      <c r="A9" s="15">
        <v>9</v>
      </c>
      <c r="B9" s="80">
        <v>2023329</v>
      </c>
      <c r="C9" s="8" t="s">
        <v>36</v>
      </c>
      <c r="D9" s="81">
        <f t="shared" si="0"/>
        <v>15</v>
      </c>
      <c r="E9" s="82">
        <f t="shared" si="1"/>
        <v>5</v>
      </c>
      <c r="F9" s="83">
        <f t="shared" si="9"/>
        <v>3.75</v>
      </c>
      <c r="G9" s="84" t="str">
        <f t="shared" si="10"/>
        <v>紧凑</v>
      </c>
      <c r="H9" s="85" t="s">
        <v>10</v>
      </c>
      <c r="I9" s="85" t="s">
        <v>11</v>
      </c>
      <c r="J9" s="85" t="s">
        <v>12</v>
      </c>
      <c r="K9" s="85" t="s">
        <v>13</v>
      </c>
      <c r="L9" s="86">
        <f>MAX(MID(C9,{1,2,3},1)*1)-MIN(MID(C9,{1,2,3},1)*1)</f>
        <v>4</v>
      </c>
      <c r="M9" s="87">
        <v>0</v>
      </c>
      <c r="N9" s="87">
        <v>1</v>
      </c>
      <c r="O9" s="87">
        <v>2</v>
      </c>
      <c r="P9" s="87">
        <v>3</v>
      </c>
      <c r="Q9" s="87">
        <v>4</v>
      </c>
      <c r="R9" s="87">
        <v>5</v>
      </c>
      <c r="S9" s="87">
        <v>6</v>
      </c>
      <c r="T9" s="87">
        <v>7</v>
      </c>
      <c r="U9" s="87">
        <v>8</v>
      </c>
      <c r="V9" s="87">
        <v>9</v>
      </c>
      <c r="W9" s="88">
        <f t="shared" si="2"/>
        <v>2</v>
      </c>
      <c r="X9" s="88">
        <f t="shared" si="3"/>
        <v>2</v>
      </c>
      <c r="Y9" s="88">
        <f t="shared" si="4"/>
        <v>4</v>
      </c>
      <c r="Z9" s="89">
        <f t="shared" si="5"/>
        <v>8</v>
      </c>
      <c r="AA9" s="17" t="str">
        <f>_xlfn.TEXTJOIN(", ",TRUE,ABS(MID(C9,{1,1,2},1)-MID(C9,{2,3,3},1)))</f>
        <v>2, 2, 4</v>
      </c>
      <c r="AB9" s="90">
        <v>0</v>
      </c>
      <c r="AC9" s="90">
        <v>1</v>
      </c>
      <c r="AD9" s="90">
        <v>2</v>
      </c>
      <c r="AE9" s="90">
        <v>3</v>
      </c>
      <c r="AF9" s="90">
        <v>4</v>
      </c>
      <c r="AG9" s="90">
        <v>5</v>
      </c>
      <c r="AH9" s="90">
        <v>6</v>
      </c>
      <c r="AI9" s="90">
        <v>7</v>
      </c>
      <c r="AJ9" s="90">
        <v>8</v>
      </c>
      <c r="AK9" s="90">
        <v>9</v>
      </c>
      <c r="AL9" s="91">
        <v>0</v>
      </c>
      <c r="AM9" s="91">
        <v>1</v>
      </c>
      <c r="AN9" s="91">
        <v>2</v>
      </c>
      <c r="AO9" s="91">
        <v>3</v>
      </c>
      <c r="AP9" s="91">
        <v>4</v>
      </c>
      <c r="AQ9" s="91">
        <v>5</v>
      </c>
      <c r="AR9" s="91">
        <v>6</v>
      </c>
      <c r="AS9" s="91">
        <v>7</v>
      </c>
      <c r="AT9" s="91">
        <v>8</v>
      </c>
      <c r="AU9" s="91">
        <v>9</v>
      </c>
      <c r="AV9" s="92">
        <v>0</v>
      </c>
      <c r="AW9" s="92">
        <v>1</v>
      </c>
      <c r="AX9" s="92">
        <v>2</v>
      </c>
      <c r="AY9" s="92">
        <v>3</v>
      </c>
      <c r="AZ9" s="92">
        <v>4</v>
      </c>
      <c r="BA9" s="92">
        <v>5</v>
      </c>
      <c r="BB9" s="92">
        <v>6</v>
      </c>
      <c r="BC9" s="92">
        <v>7</v>
      </c>
      <c r="BD9" s="92">
        <v>8</v>
      </c>
      <c r="BE9" s="92">
        <v>9</v>
      </c>
      <c r="BF9" s="93">
        <v>0</v>
      </c>
      <c r="BG9" s="93">
        <v>1</v>
      </c>
      <c r="BH9" s="93">
        <v>2</v>
      </c>
      <c r="BI9" s="93">
        <v>3</v>
      </c>
      <c r="BJ9" s="93">
        <v>4</v>
      </c>
      <c r="BK9" s="93">
        <v>5</v>
      </c>
      <c r="BL9" s="93">
        <v>6</v>
      </c>
      <c r="BM9" s="93">
        <v>7</v>
      </c>
      <c r="BN9" s="93">
        <v>8</v>
      </c>
      <c r="BO9" s="93">
        <v>9</v>
      </c>
      <c r="BP9" s="94" t="str">
        <f t="shared" si="6"/>
        <v>标准型</v>
      </c>
      <c r="BQ9" s="15">
        <f t="shared" si="7"/>
        <v>2</v>
      </c>
      <c r="BR9" s="15">
        <f t="shared" si="8"/>
        <v>4</v>
      </c>
      <c r="BS9" s="20" t="str">
        <f t="shared" si="11"/>
        <v/>
      </c>
      <c r="BT9" s="21" t="str">
        <f t="shared" si="23"/>
        <v/>
      </c>
      <c r="BU9" s="21" t="str">
        <f t="array" ref="BU9">_xlfn.TEXTJOIN("",TRUE,IF(ISERROR(FIND(ROW($1:$168)-1,BS9&amp;BT9)),ROW($1:$168)-1,""))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9" s="22" t="str">
        <f t="shared" si="12"/>
        <v>中中中</v>
      </c>
      <c r="BW9" s="23" t="str">
        <f t="shared" si="13"/>
        <v/>
      </c>
      <c r="BX9" s="23" t="str">
        <f t="shared" si="24"/>
        <v/>
      </c>
      <c r="BY9" s="23" t="str">
        <f t="array" ref="BY9">_xlfn.TEXTJOIN("",TRUE,IF(ISERROR(FIND(ROW($1:$168)-1,BW9&amp;BX9)),ROW($1:$168)-1,""))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9" s="22" t="str">
        <f t="shared" si="14"/>
        <v>中中中</v>
      </c>
      <c r="CA9" s="24" t="str">
        <f t="shared" si="15"/>
        <v/>
      </c>
      <c r="CB9" s="24">
        <f t="shared" si="25"/>
        <v>4</v>
      </c>
      <c r="CC9" s="24" t="str">
        <f t="array" ref="CC9">_xlfn.TEXTJOIN("",TRUE,IF(ISERROR(FIND(ROW($1:$168)-1,CA9&amp;CB9)),ROW($1:$168)-1,""))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9" s="22" t="str">
        <f t="shared" si="16"/>
        <v>中隔中</v>
      </c>
      <c r="CE9" s="25" t="str">
        <f t="shared" si="17"/>
        <v>13</v>
      </c>
      <c r="CF9" s="26" t="str">
        <f t="array" ref="CF9">_xlfn.TEXTJOIN("",TRUE,IF(ISNUMBER(FIND(MID(CE8&amp;W8,ROW($1:$162),1),CE9&amp;W9)),MID(CE8&amp;W8,ROW($1:$162),1),""))</f>
        <v/>
      </c>
      <c r="CG9" s="27" t="str">
        <f t="array" ref="CG9">_xlfn.TEXTJOIN("",TRUE,IF(ISERROR(FIND(ROW($1:$168)-1,CE9&amp;CF9)),ROW($1:$168)-1,""))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9" s="28" t="str">
        <f t="shared" si="18"/>
        <v>邻孤孤</v>
      </c>
      <c r="CI9" s="29" t="str">
        <f t="shared" si="19"/>
        <v>13</v>
      </c>
      <c r="CJ9" s="29" t="str">
        <f t="array" ref="CJ9">_xlfn.TEXTJOIN("",TRUE,IF(ISNUMBER(FIND(MID(CI8&amp;X8,ROW($1:$162),1),CI9&amp;X9)),MID(CI8&amp;X8,ROW($1:$162),1),""))</f>
        <v/>
      </c>
      <c r="CK9" s="29" t="str">
        <f t="array" ref="CK9">_xlfn.TEXTJOIN("",TRUE,IF(ISERROR(FIND(ROW($1:$168)-1,CI9&amp;CJ9)),ROW($1:$168)-1,""))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9" s="19" t="str">
        <f t="shared" si="20"/>
        <v>邻孤孤</v>
      </c>
      <c r="CM9" s="24" t="str">
        <f t="shared" si="21"/>
        <v>35</v>
      </c>
      <c r="CN9" s="24" t="str">
        <f t="array" ref="CN9">_xlfn.TEXTJOIN("",TRUE,IF(ISNUMBER(FIND(MID(CM8&amp;Y8,ROW($1:$162),1),CM9&amp;Y9)),MID(CM8&amp;Y8,ROW($1:$162),1),""))</f>
        <v>43</v>
      </c>
      <c r="CO9" s="24" t="str">
        <f t="array" ref="CO9">_xlfn.TEXTJOIN("",TRUE,IF(ISERROR(FIND(ROW($1:$168)-1,CM9&amp;CN9)),ROW($1:$168)-1,""))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9" s="30" t="str">
        <f t="shared" si="22"/>
        <v>邻传孤</v>
      </c>
    </row>
    <row r="10" customFormat="1" spans="1:94">
      <c r="A10" s="15">
        <v>10</v>
      </c>
      <c r="B10" s="80">
        <v>2023330</v>
      </c>
      <c r="C10" s="8" t="s">
        <v>37</v>
      </c>
      <c r="D10" s="81">
        <f t="shared" si="0"/>
        <v>16</v>
      </c>
      <c r="E10" s="82">
        <f t="shared" si="1"/>
        <v>6</v>
      </c>
      <c r="F10" s="83">
        <f t="shared" si="9"/>
        <v>4</v>
      </c>
      <c r="G10" s="84" t="str">
        <f t="shared" si="10"/>
        <v>紧凑</v>
      </c>
      <c r="H10" s="85" t="s">
        <v>10</v>
      </c>
      <c r="I10" s="85" t="s">
        <v>11</v>
      </c>
      <c r="J10" s="85" t="s">
        <v>12</v>
      </c>
      <c r="K10" s="85" t="s">
        <v>13</v>
      </c>
      <c r="L10" s="86">
        <f>MAX(MID(C10,{1,2,3},1)*1)-MIN(MID(C10,{1,2,3},1)*1)</f>
        <v>4</v>
      </c>
      <c r="M10" s="87">
        <v>0</v>
      </c>
      <c r="N10" s="87">
        <v>1</v>
      </c>
      <c r="O10" s="87">
        <v>2</v>
      </c>
      <c r="P10" s="87">
        <v>3</v>
      </c>
      <c r="Q10" s="87">
        <v>4</v>
      </c>
      <c r="R10" s="87">
        <v>5</v>
      </c>
      <c r="S10" s="87">
        <v>6</v>
      </c>
      <c r="T10" s="87">
        <v>7</v>
      </c>
      <c r="U10" s="87">
        <v>8</v>
      </c>
      <c r="V10" s="87">
        <v>9</v>
      </c>
      <c r="W10" s="88">
        <f t="shared" si="2"/>
        <v>4</v>
      </c>
      <c r="X10" s="88">
        <f t="shared" si="3"/>
        <v>3</v>
      </c>
      <c r="Y10" s="88">
        <f t="shared" si="4"/>
        <v>1</v>
      </c>
      <c r="Z10" s="89">
        <f t="shared" si="5"/>
        <v>8</v>
      </c>
      <c r="AA10" s="17" t="str">
        <f>_xlfn.TEXTJOIN(", ",TRUE,ABS(MID(C10,{1,1,2},1)-MID(C10,{2,3,3},1)))</f>
        <v>4, 3, 1</v>
      </c>
      <c r="AB10" s="90">
        <v>0</v>
      </c>
      <c r="AC10" s="90">
        <v>1</v>
      </c>
      <c r="AD10" s="90">
        <v>2</v>
      </c>
      <c r="AE10" s="90">
        <v>3</v>
      </c>
      <c r="AF10" s="90">
        <v>4</v>
      </c>
      <c r="AG10" s="90">
        <v>5</v>
      </c>
      <c r="AH10" s="90">
        <v>6</v>
      </c>
      <c r="AI10" s="90">
        <v>7</v>
      </c>
      <c r="AJ10" s="90">
        <v>8</v>
      </c>
      <c r="AK10" s="90">
        <v>9</v>
      </c>
      <c r="AL10" s="91">
        <v>0</v>
      </c>
      <c r="AM10" s="91">
        <v>1</v>
      </c>
      <c r="AN10" s="91">
        <v>2</v>
      </c>
      <c r="AO10" s="91">
        <v>3</v>
      </c>
      <c r="AP10" s="91">
        <v>4</v>
      </c>
      <c r="AQ10" s="91">
        <v>5</v>
      </c>
      <c r="AR10" s="91">
        <v>6</v>
      </c>
      <c r="AS10" s="91">
        <v>7</v>
      </c>
      <c r="AT10" s="91">
        <v>8</v>
      </c>
      <c r="AU10" s="91">
        <v>9</v>
      </c>
      <c r="AV10" s="92">
        <v>0</v>
      </c>
      <c r="AW10" s="92">
        <v>1</v>
      </c>
      <c r="AX10" s="92">
        <v>2</v>
      </c>
      <c r="AY10" s="92">
        <v>3</v>
      </c>
      <c r="AZ10" s="92">
        <v>4</v>
      </c>
      <c r="BA10" s="92">
        <v>5</v>
      </c>
      <c r="BB10" s="92">
        <v>6</v>
      </c>
      <c r="BC10" s="92">
        <v>7</v>
      </c>
      <c r="BD10" s="92">
        <v>8</v>
      </c>
      <c r="BE10" s="92">
        <v>9</v>
      </c>
      <c r="BF10" s="93">
        <v>0</v>
      </c>
      <c r="BG10" s="93">
        <v>1</v>
      </c>
      <c r="BH10" s="93">
        <v>2</v>
      </c>
      <c r="BI10" s="93">
        <v>3</v>
      </c>
      <c r="BJ10" s="93">
        <v>4</v>
      </c>
      <c r="BK10" s="93">
        <v>5</v>
      </c>
      <c r="BL10" s="93">
        <v>6</v>
      </c>
      <c r="BM10" s="93">
        <v>7</v>
      </c>
      <c r="BN10" s="93">
        <v>8</v>
      </c>
      <c r="BO10" s="93">
        <v>9</v>
      </c>
      <c r="BP10" s="94" t="str">
        <f t="shared" si="6"/>
        <v>紧凑型</v>
      </c>
      <c r="BQ10" s="15">
        <f t="shared" si="7"/>
        <v>1</v>
      </c>
      <c r="BR10" s="15">
        <f t="shared" si="8"/>
        <v>4</v>
      </c>
      <c r="BS10" s="20">
        <f t="shared" si="11"/>
        <v>4</v>
      </c>
      <c r="BT10" s="21" t="str">
        <f t="shared" si="23"/>
        <v/>
      </c>
      <c r="BU10" s="21" t="str">
        <f t="array" ref="BU10">_xlfn.TEXTJOIN("",TRUE,IF(ISERROR(FIND(ROW($1:$168)-1,BS10&amp;BT10)),ROW($1:$168)-1,""))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0" s="22" t="str">
        <f t="shared" si="12"/>
        <v>复中中</v>
      </c>
      <c r="BW10" s="23" t="str">
        <f t="shared" si="13"/>
        <v/>
      </c>
      <c r="BX10" s="23">
        <f t="shared" si="24"/>
        <v>3</v>
      </c>
      <c r="BY10" s="23" t="str">
        <f t="array" ref="BY10">_xlfn.TEXTJOIN("",TRUE,IF(ISERROR(FIND(ROW($1:$168)-1,BW10&amp;BX10)),ROW($1:$168)-1,""))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0" s="22" t="str">
        <f t="shared" si="14"/>
        <v>中隔中</v>
      </c>
      <c r="CA10" s="24" t="str">
        <f t="shared" si="15"/>
        <v/>
      </c>
      <c r="CB10" s="24" t="str">
        <f t="shared" si="25"/>
        <v/>
      </c>
      <c r="CC10" s="24" t="str">
        <f t="array" ref="CC10">_xlfn.TEXTJOIN("",TRUE,IF(ISERROR(FIND(ROW($1:$168)-1,CA10&amp;CB10)),ROW($1:$168)-1,""))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0" s="22" t="str">
        <f t="shared" si="16"/>
        <v>中中中</v>
      </c>
      <c r="CE10" s="25" t="str">
        <f t="shared" si="17"/>
        <v>35</v>
      </c>
      <c r="CF10" s="26" t="str">
        <f t="array" ref="CF10">_xlfn.TEXTJOIN("",TRUE,IF(ISNUMBER(FIND(MID(CE9&amp;W9,ROW($1:$162),1),CE10&amp;W10)),MID(CE9&amp;W9,ROW($1:$162),1),""))</f>
        <v>3</v>
      </c>
      <c r="CG10" s="27" t="str">
        <f t="array" ref="CG10">_xlfn.TEXTJOIN("",TRUE,IF(ISERROR(FIND(ROW($1:$168)-1,CE10&amp;CF10)),ROW($1:$168)-1,""))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0" s="28" t="str">
        <f t="shared" si="18"/>
        <v>邻传孤</v>
      </c>
      <c r="CI10" s="29" t="str">
        <f t="shared" si="19"/>
        <v>24</v>
      </c>
      <c r="CJ10" s="29" t="str">
        <f t="array" ref="CJ10">_xlfn.TEXTJOIN("",TRUE,IF(ISNUMBER(FIND(MID(CI9&amp;X9,ROW($1:$162),1),CI10&amp;X10)),MID(CI9&amp;X9,ROW($1:$162),1),""))</f>
        <v>32</v>
      </c>
      <c r="CK10" s="29" t="str">
        <f t="array" ref="CK10">_xlfn.TEXTJOIN("",TRUE,IF(ISERROR(FIND(ROW($1:$168)-1,CI10&amp;CJ10)),ROW($1:$168)-1,""))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0" s="19" t="str">
        <f t="shared" si="20"/>
        <v>邻传孤</v>
      </c>
      <c r="CM10" s="24" t="str">
        <f t="shared" si="21"/>
        <v>02</v>
      </c>
      <c r="CN10" s="24" t="str">
        <f t="array" ref="CN10">_xlfn.TEXTJOIN("",TRUE,IF(ISNUMBER(FIND(MID(CM9&amp;Y9,ROW($1:$162),1),CM10&amp;Y10)),MID(CM9&amp;Y9,ROW($1:$162),1),""))</f>
        <v/>
      </c>
      <c r="CO10" s="24" t="str">
        <f t="array" ref="CO10">_xlfn.TEXTJOIN("",TRUE,IF(ISERROR(FIND(ROW($1:$168)-1,CM10&amp;CN10)),ROW($1:$168)-1,""))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0" s="30" t="str">
        <f t="shared" si="22"/>
        <v>邻孤孤</v>
      </c>
    </row>
    <row r="11" customFormat="1" spans="1:94">
      <c r="A11" s="15">
        <v>11</v>
      </c>
      <c r="B11" s="80">
        <v>2023331</v>
      </c>
      <c r="C11" s="8" t="s">
        <v>38</v>
      </c>
      <c r="D11" s="81">
        <f t="shared" si="0"/>
        <v>7</v>
      </c>
      <c r="E11" s="82">
        <f t="shared" si="1"/>
        <v>7</v>
      </c>
      <c r="F11" s="83">
        <f t="shared" si="9"/>
        <v>2.33333333333333</v>
      </c>
      <c r="G11" s="84" t="str">
        <f t="shared" si="10"/>
        <v>标准</v>
      </c>
      <c r="H11" s="85" t="s">
        <v>10</v>
      </c>
      <c r="I11" s="85" t="s">
        <v>11</v>
      </c>
      <c r="J11" s="85" t="s">
        <v>12</v>
      </c>
      <c r="K11" s="85" t="s">
        <v>13</v>
      </c>
      <c r="L11" s="86">
        <f>MAX(MID(C11,{1,2,3},1)*1)-MIN(MID(C11,{1,2,3},1)*1)</f>
        <v>3</v>
      </c>
      <c r="M11" s="87">
        <v>0</v>
      </c>
      <c r="N11" s="87">
        <v>1</v>
      </c>
      <c r="O11" s="87">
        <v>2</v>
      </c>
      <c r="P11" s="87">
        <v>3</v>
      </c>
      <c r="Q11" s="87">
        <v>4</v>
      </c>
      <c r="R11" s="87">
        <v>5</v>
      </c>
      <c r="S11" s="87">
        <v>6</v>
      </c>
      <c r="T11" s="87">
        <v>7</v>
      </c>
      <c r="U11" s="87">
        <v>8</v>
      </c>
      <c r="V11" s="87">
        <v>9</v>
      </c>
      <c r="W11" s="88">
        <f t="shared" si="2"/>
        <v>2</v>
      </c>
      <c r="X11" s="88">
        <f t="shared" si="3"/>
        <v>1</v>
      </c>
      <c r="Y11" s="88">
        <f t="shared" si="4"/>
        <v>3</v>
      </c>
      <c r="Z11" s="89">
        <f t="shared" si="5"/>
        <v>6</v>
      </c>
      <c r="AA11" s="17" t="str">
        <f>_xlfn.TEXTJOIN(", ",TRUE,ABS(MID(C11,{1,1,2},1)-MID(C11,{2,3,3},1)))</f>
        <v>2, 1, 3</v>
      </c>
      <c r="AB11" s="90">
        <v>0</v>
      </c>
      <c r="AC11" s="90">
        <v>1</v>
      </c>
      <c r="AD11" s="90">
        <v>2</v>
      </c>
      <c r="AE11" s="90">
        <v>3</v>
      </c>
      <c r="AF11" s="90">
        <v>4</v>
      </c>
      <c r="AG11" s="90">
        <v>5</v>
      </c>
      <c r="AH11" s="90">
        <v>6</v>
      </c>
      <c r="AI11" s="90">
        <v>7</v>
      </c>
      <c r="AJ11" s="90">
        <v>8</v>
      </c>
      <c r="AK11" s="90">
        <v>9</v>
      </c>
      <c r="AL11" s="91">
        <v>0</v>
      </c>
      <c r="AM11" s="91">
        <v>1</v>
      </c>
      <c r="AN11" s="91">
        <v>2</v>
      </c>
      <c r="AO11" s="91">
        <v>3</v>
      </c>
      <c r="AP11" s="91">
        <v>4</v>
      </c>
      <c r="AQ11" s="91">
        <v>5</v>
      </c>
      <c r="AR11" s="91">
        <v>6</v>
      </c>
      <c r="AS11" s="91">
        <v>7</v>
      </c>
      <c r="AT11" s="91">
        <v>8</v>
      </c>
      <c r="AU11" s="91">
        <v>9</v>
      </c>
      <c r="AV11" s="92">
        <v>0</v>
      </c>
      <c r="AW11" s="92">
        <v>1</v>
      </c>
      <c r="AX11" s="92">
        <v>2</v>
      </c>
      <c r="AY11" s="92">
        <v>3</v>
      </c>
      <c r="AZ11" s="92">
        <v>4</v>
      </c>
      <c r="BA11" s="92">
        <v>5</v>
      </c>
      <c r="BB11" s="92">
        <v>6</v>
      </c>
      <c r="BC11" s="92">
        <v>7</v>
      </c>
      <c r="BD11" s="92">
        <v>8</v>
      </c>
      <c r="BE11" s="92">
        <v>9</v>
      </c>
      <c r="BF11" s="93">
        <v>0</v>
      </c>
      <c r="BG11" s="93">
        <v>1</v>
      </c>
      <c r="BH11" s="93">
        <v>2</v>
      </c>
      <c r="BI11" s="93">
        <v>3</v>
      </c>
      <c r="BJ11" s="93">
        <v>4</v>
      </c>
      <c r="BK11" s="93">
        <v>5</v>
      </c>
      <c r="BL11" s="93">
        <v>6</v>
      </c>
      <c r="BM11" s="93">
        <v>7</v>
      </c>
      <c r="BN11" s="93">
        <v>8</v>
      </c>
      <c r="BO11" s="93">
        <v>9</v>
      </c>
      <c r="BP11" s="94" t="str">
        <f t="shared" si="6"/>
        <v>紧凑型</v>
      </c>
      <c r="BQ11" s="15">
        <f t="shared" si="7"/>
        <v>1</v>
      </c>
      <c r="BR11" s="15">
        <f t="shared" si="8"/>
        <v>3</v>
      </c>
      <c r="BS11" s="20" t="str">
        <f t="shared" si="11"/>
        <v/>
      </c>
      <c r="BT11" s="21">
        <f t="shared" si="23"/>
        <v>2</v>
      </c>
      <c r="BU11" s="21" t="str">
        <f t="array" ref="BU11">_xlfn.TEXTJOIN("",TRUE,IF(ISERROR(FIND(ROW($1:$168)-1,BS11&amp;BT11)),ROW($1:$168)-1,""))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1" s="22" t="str">
        <f t="shared" si="12"/>
        <v>中隔中</v>
      </c>
      <c r="BW11" s="23">
        <f t="shared" si="13"/>
        <v>1</v>
      </c>
      <c r="BX11" s="23" t="str">
        <f t="shared" si="24"/>
        <v/>
      </c>
      <c r="BY11" s="23" t="str">
        <f t="array" ref="BY11">_xlfn.TEXTJOIN("",TRUE,IF(ISERROR(FIND(ROW($1:$168)-1,BW11&amp;BX11)),ROW($1:$168)-1,""))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1" s="22" t="str">
        <f t="shared" si="14"/>
        <v>复中中</v>
      </c>
      <c r="CA11" s="24">
        <f t="shared" si="15"/>
        <v>3</v>
      </c>
      <c r="CB11" s="24" t="str">
        <f t="shared" si="25"/>
        <v/>
      </c>
      <c r="CC11" s="24" t="str">
        <f t="array" ref="CC11">_xlfn.TEXTJOIN("",TRUE,IF(ISERROR(FIND(ROW($1:$168)-1,CA11&amp;CB11)),ROW($1:$168)-1,""))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1" s="22" t="str">
        <f t="shared" si="16"/>
        <v>复中中</v>
      </c>
      <c r="CE11" s="25" t="str">
        <f t="shared" si="17"/>
        <v>13</v>
      </c>
      <c r="CF11" s="26" t="str">
        <f t="array" ref="CF11">_xlfn.TEXTJOIN("",TRUE,IF(ISNUMBER(FIND(MID(CE10&amp;W10,ROW($1:$162),1),CE11&amp;W11)),MID(CE10&amp;W10,ROW($1:$162),1),""))</f>
        <v>3</v>
      </c>
      <c r="CG11" s="27" t="str">
        <f t="array" ref="CG11">_xlfn.TEXTJOIN("",TRUE,IF(ISERROR(FIND(ROW($1:$168)-1,CE11&amp;CF11)),ROW($1:$168)-1,""))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11" s="28" t="str">
        <f t="shared" si="18"/>
        <v>邻传孤</v>
      </c>
      <c r="CI11" s="29" t="str">
        <f t="shared" si="19"/>
        <v>02</v>
      </c>
      <c r="CJ11" s="29" t="str">
        <f t="array" ref="CJ11">_xlfn.TEXTJOIN("",TRUE,IF(ISNUMBER(FIND(MID(CI10&amp;X10,ROW($1:$162),1),CI11&amp;X11)),MID(CI10&amp;X10,ROW($1:$162),1),""))</f>
        <v>2</v>
      </c>
      <c r="CK11" s="29" t="str">
        <f t="array" ref="CK11">_xlfn.TEXTJOIN("",TRUE,IF(ISERROR(FIND(ROW($1:$168)-1,CI11&amp;CJ11)),ROW($1:$168)-1,""))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1" s="19" t="str">
        <f t="shared" si="20"/>
        <v>邻传孤</v>
      </c>
      <c r="CM11" s="24" t="str">
        <f t="shared" si="21"/>
        <v>24</v>
      </c>
      <c r="CN11" s="24" t="str">
        <f t="array" ref="CN11">_xlfn.TEXTJOIN("",TRUE,IF(ISNUMBER(FIND(MID(CM10&amp;Y10,ROW($1:$162),1),CM11&amp;Y11)),MID(CM10&amp;Y10,ROW($1:$162),1),""))</f>
        <v>2</v>
      </c>
      <c r="CO11" s="24" t="str">
        <f t="array" ref="CO11">_xlfn.TEXTJOIN("",TRUE,IF(ISERROR(FIND(ROW($1:$168)-1,CM11&amp;CN11)),ROW($1:$168)-1,""))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1" s="30" t="str">
        <f t="shared" si="22"/>
        <v>邻传孤</v>
      </c>
    </row>
    <row r="12" customFormat="1" spans="1:94">
      <c r="A12" s="15">
        <v>12</v>
      </c>
      <c r="B12" s="80">
        <v>2023332</v>
      </c>
      <c r="C12" s="8" t="s">
        <v>39</v>
      </c>
      <c r="D12" s="81">
        <f t="shared" si="0"/>
        <v>8</v>
      </c>
      <c r="E12" s="82">
        <f t="shared" si="1"/>
        <v>8</v>
      </c>
      <c r="F12" s="83">
        <f t="shared" si="9"/>
        <v>1.6</v>
      </c>
      <c r="G12" s="84" t="str">
        <f t="shared" si="10"/>
        <v>松散</v>
      </c>
      <c r="H12" s="85" t="s">
        <v>10</v>
      </c>
      <c r="I12" s="85" t="s">
        <v>11</v>
      </c>
      <c r="J12" s="85" t="s">
        <v>12</v>
      </c>
      <c r="K12" s="85" t="s">
        <v>13</v>
      </c>
      <c r="L12" s="86">
        <f>MAX(MID(C12,{1,2,3},1)*1)-MIN(MID(C12,{1,2,3},1)*1)</f>
        <v>5</v>
      </c>
      <c r="M12" s="87">
        <v>0</v>
      </c>
      <c r="N12" s="87">
        <v>1</v>
      </c>
      <c r="O12" s="87">
        <v>2</v>
      </c>
      <c r="P12" s="87">
        <v>3</v>
      </c>
      <c r="Q12" s="87">
        <v>4</v>
      </c>
      <c r="R12" s="87">
        <v>5</v>
      </c>
      <c r="S12" s="87">
        <v>6</v>
      </c>
      <c r="T12" s="87">
        <v>7</v>
      </c>
      <c r="U12" s="87">
        <v>8</v>
      </c>
      <c r="V12" s="87">
        <v>9</v>
      </c>
      <c r="W12" s="88">
        <f t="shared" si="2"/>
        <v>5</v>
      </c>
      <c r="X12" s="88">
        <f t="shared" si="3"/>
        <v>0</v>
      </c>
      <c r="Y12" s="88">
        <f t="shared" si="4"/>
        <v>5</v>
      </c>
      <c r="Z12" s="89">
        <f t="shared" si="5"/>
        <v>10</v>
      </c>
      <c r="AA12" s="17" t="str">
        <f>_xlfn.TEXTJOIN(", ",TRUE,ABS(MID(C12,{1,1,2},1)-MID(C12,{2,3,3},1)))</f>
        <v>5, 0, 5</v>
      </c>
      <c r="AB12" s="90">
        <v>0</v>
      </c>
      <c r="AC12" s="90">
        <v>1</v>
      </c>
      <c r="AD12" s="90">
        <v>2</v>
      </c>
      <c r="AE12" s="90">
        <v>3</v>
      </c>
      <c r="AF12" s="90">
        <v>4</v>
      </c>
      <c r="AG12" s="90">
        <v>5</v>
      </c>
      <c r="AH12" s="90">
        <v>6</v>
      </c>
      <c r="AI12" s="90">
        <v>7</v>
      </c>
      <c r="AJ12" s="90">
        <v>8</v>
      </c>
      <c r="AK12" s="90">
        <v>9</v>
      </c>
      <c r="AL12" s="91">
        <v>0</v>
      </c>
      <c r="AM12" s="91">
        <v>1</v>
      </c>
      <c r="AN12" s="91">
        <v>2</v>
      </c>
      <c r="AO12" s="91">
        <v>3</v>
      </c>
      <c r="AP12" s="91">
        <v>4</v>
      </c>
      <c r="AQ12" s="91">
        <v>5</v>
      </c>
      <c r="AR12" s="91">
        <v>6</v>
      </c>
      <c r="AS12" s="91">
        <v>7</v>
      </c>
      <c r="AT12" s="91">
        <v>8</v>
      </c>
      <c r="AU12" s="91">
        <v>9</v>
      </c>
      <c r="AV12" s="92">
        <v>0</v>
      </c>
      <c r="AW12" s="92">
        <v>1</v>
      </c>
      <c r="AX12" s="92">
        <v>2</v>
      </c>
      <c r="AY12" s="92">
        <v>3</v>
      </c>
      <c r="AZ12" s="92">
        <v>4</v>
      </c>
      <c r="BA12" s="92">
        <v>5</v>
      </c>
      <c r="BB12" s="92">
        <v>6</v>
      </c>
      <c r="BC12" s="92">
        <v>7</v>
      </c>
      <c r="BD12" s="92">
        <v>8</v>
      </c>
      <c r="BE12" s="92">
        <v>9</v>
      </c>
      <c r="BF12" s="93">
        <v>0</v>
      </c>
      <c r="BG12" s="93">
        <v>1</v>
      </c>
      <c r="BH12" s="93">
        <v>2</v>
      </c>
      <c r="BI12" s="93">
        <v>3</v>
      </c>
      <c r="BJ12" s="93">
        <v>4</v>
      </c>
      <c r="BK12" s="93">
        <v>5</v>
      </c>
      <c r="BL12" s="93">
        <v>6</v>
      </c>
      <c r="BM12" s="93">
        <v>7</v>
      </c>
      <c r="BN12" s="93">
        <v>8</v>
      </c>
      <c r="BO12" s="93">
        <v>9</v>
      </c>
      <c r="BP12" s="94" t="str">
        <f t="shared" si="6"/>
        <v>对子</v>
      </c>
      <c r="BQ12" s="15">
        <f t="shared" si="7"/>
        <v>0</v>
      </c>
      <c r="BR12" s="15">
        <f t="shared" si="8"/>
        <v>5</v>
      </c>
      <c r="BS12" s="20" t="str">
        <f t="shared" si="11"/>
        <v/>
      </c>
      <c r="BT12" s="21" t="str">
        <f t="shared" si="23"/>
        <v/>
      </c>
      <c r="BU12" s="21" t="str">
        <f t="array" ref="BU12">_xlfn.TEXTJOIN("",TRUE,IF(ISERROR(FIND(ROW($1:$168)-1,BS12&amp;BT12)),ROW($1:$168)-1,""))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2" s="22" t="str">
        <f t="shared" si="12"/>
        <v>中中中</v>
      </c>
      <c r="BW12" s="23" t="str">
        <f t="shared" si="13"/>
        <v/>
      </c>
      <c r="BX12" s="23" t="str">
        <f t="shared" si="24"/>
        <v/>
      </c>
      <c r="BY12" s="23" t="str">
        <f t="array" ref="BY12">_xlfn.TEXTJOIN("",TRUE,IF(ISERROR(FIND(ROW($1:$168)-1,BW12&amp;BX12)),ROW($1:$168)-1,""))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2" s="22" t="str">
        <f t="shared" si="14"/>
        <v>中中中</v>
      </c>
      <c r="CA12" s="24" t="str">
        <f t="shared" si="15"/>
        <v/>
      </c>
      <c r="CB12" s="24" t="str">
        <f t="shared" si="25"/>
        <v/>
      </c>
      <c r="CC12" s="24" t="str">
        <f t="array" ref="CC12">_xlfn.TEXTJOIN("",TRUE,IF(ISERROR(FIND(ROW($1:$168)-1,CA12&amp;CB12)),ROW($1:$168)-1,""))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2" s="22" t="str">
        <f t="shared" si="16"/>
        <v>中中中</v>
      </c>
      <c r="CE12" s="25" t="str">
        <f t="shared" si="17"/>
        <v>46</v>
      </c>
      <c r="CF12" s="26" t="str">
        <f t="array" ref="CF12">_xlfn.TEXTJOIN("",TRUE,IF(ISNUMBER(FIND(MID(CE11&amp;W11,ROW($1:$162),1),CE12&amp;W12)),MID(CE11&amp;W11,ROW($1:$162),1),""))</f>
        <v/>
      </c>
      <c r="CG12" s="27" t="str">
        <f t="array" ref="CG12">_xlfn.TEXTJOIN("",TRUE,IF(ISERROR(FIND(ROW($1:$168)-1,CE12&amp;CF12)),ROW($1:$168)-1,""))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2" s="28" t="str">
        <f t="shared" si="18"/>
        <v>邻孤孤</v>
      </c>
      <c r="CI12" s="29" t="str">
        <f t="shared" si="19"/>
        <v>91</v>
      </c>
      <c r="CJ12" s="29" t="str">
        <f t="array" ref="CJ12">_xlfn.TEXTJOIN("",TRUE,IF(ISNUMBER(FIND(MID(CI11&amp;X11,ROW($1:$162),1),CI12&amp;X12)),MID(CI11&amp;X11,ROW($1:$162),1),""))</f>
        <v>01</v>
      </c>
      <c r="CK12" s="29" t="str">
        <f t="array" ref="CK12">_xlfn.TEXTJOIN("",TRUE,IF(ISERROR(FIND(ROW($1:$168)-1,CI12&amp;CJ12)),ROW($1:$168)-1,""))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L12" s="19" t="str">
        <f t="shared" si="20"/>
        <v>邻传孤</v>
      </c>
      <c r="CM12" s="24" t="str">
        <f t="shared" si="21"/>
        <v>46</v>
      </c>
      <c r="CN12" s="24" t="str">
        <f t="array" ref="CN12">_xlfn.TEXTJOIN("",TRUE,IF(ISNUMBER(FIND(MID(CM11&amp;Y11,ROW($1:$162),1),CM12&amp;Y12)),MID(CM11&amp;Y11,ROW($1:$162),1),""))</f>
        <v>4</v>
      </c>
      <c r="CO12" s="24" t="str">
        <f t="array" ref="CO12">_xlfn.TEXTJOIN("",TRUE,IF(ISERROR(FIND(ROW($1:$168)-1,CM12&amp;CN12)),ROW($1:$168)-1,""))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2" s="30" t="str">
        <f t="shared" si="22"/>
        <v>邻传孤</v>
      </c>
    </row>
    <row r="13" customFormat="1" spans="1:94">
      <c r="A13" s="15">
        <v>13</v>
      </c>
      <c r="B13" s="80">
        <v>2023333</v>
      </c>
      <c r="C13" s="8" t="s">
        <v>40</v>
      </c>
      <c r="D13" s="81">
        <f t="shared" si="0"/>
        <v>17</v>
      </c>
      <c r="E13" s="82">
        <f t="shared" si="1"/>
        <v>7</v>
      </c>
      <c r="F13" s="83">
        <f t="shared" si="9"/>
        <v>2.42857142857143</v>
      </c>
      <c r="G13" s="84" t="str">
        <f t="shared" si="10"/>
        <v>标准</v>
      </c>
      <c r="H13" s="85" t="s">
        <v>10</v>
      </c>
      <c r="I13" s="85" t="s">
        <v>11</v>
      </c>
      <c r="J13" s="85" t="s">
        <v>12</v>
      </c>
      <c r="K13" s="85" t="s">
        <v>13</v>
      </c>
      <c r="L13" s="86">
        <f>MAX(MID(C13,{1,2,3},1)*1)-MIN(MID(C13,{1,2,3},1)*1)</f>
        <v>7</v>
      </c>
      <c r="M13" s="87">
        <v>0</v>
      </c>
      <c r="N13" s="87">
        <v>1</v>
      </c>
      <c r="O13" s="87">
        <v>2</v>
      </c>
      <c r="P13" s="87">
        <v>3</v>
      </c>
      <c r="Q13" s="87">
        <v>4</v>
      </c>
      <c r="R13" s="87">
        <v>5</v>
      </c>
      <c r="S13" s="87">
        <v>6</v>
      </c>
      <c r="T13" s="87">
        <v>7</v>
      </c>
      <c r="U13" s="87">
        <v>8</v>
      </c>
      <c r="V13" s="87">
        <v>9</v>
      </c>
      <c r="W13" s="88">
        <f t="shared" si="2"/>
        <v>7</v>
      </c>
      <c r="X13" s="88">
        <f t="shared" si="3"/>
        <v>7</v>
      </c>
      <c r="Y13" s="88">
        <f t="shared" si="4"/>
        <v>0</v>
      </c>
      <c r="Z13" s="89">
        <f t="shared" si="5"/>
        <v>14</v>
      </c>
      <c r="AA13" s="17" t="str">
        <f>_xlfn.TEXTJOIN(", ",TRUE,ABS(MID(C13,{1,1,2},1)-MID(C13,{2,3,3},1)))</f>
        <v>7, 7, 0</v>
      </c>
      <c r="AB13" s="90">
        <v>0</v>
      </c>
      <c r="AC13" s="90">
        <v>1</v>
      </c>
      <c r="AD13" s="90">
        <v>2</v>
      </c>
      <c r="AE13" s="90">
        <v>3</v>
      </c>
      <c r="AF13" s="90">
        <v>4</v>
      </c>
      <c r="AG13" s="90">
        <v>5</v>
      </c>
      <c r="AH13" s="90">
        <v>6</v>
      </c>
      <c r="AI13" s="90">
        <v>7</v>
      </c>
      <c r="AJ13" s="90">
        <v>8</v>
      </c>
      <c r="AK13" s="90">
        <v>9</v>
      </c>
      <c r="AL13" s="91">
        <v>0</v>
      </c>
      <c r="AM13" s="91">
        <v>1</v>
      </c>
      <c r="AN13" s="91">
        <v>2</v>
      </c>
      <c r="AO13" s="91">
        <v>3</v>
      </c>
      <c r="AP13" s="91">
        <v>4</v>
      </c>
      <c r="AQ13" s="91">
        <v>5</v>
      </c>
      <c r="AR13" s="91">
        <v>6</v>
      </c>
      <c r="AS13" s="91">
        <v>7</v>
      </c>
      <c r="AT13" s="91">
        <v>8</v>
      </c>
      <c r="AU13" s="91">
        <v>9</v>
      </c>
      <c r="AV13" s="92">
        <v>0</v>
      </c>
      <c r="AW13" s="92">
        <v>1</v>
      </c>
      <c r="AX13" s="92">
        <v>2</v>
      </c>
      <c r="AY13" s="92">
        <v>3</v>
      </c>
      <c r="AZ13" s="92">
        <v>4</v>
      </c>
      <c r="BA13" s="92">
        <v>5</v>
      </c>
      <c r="BB13" s="92">
        <v>6</v>
      </c>
      <c r="BC13" s="92">
        <v>7</v>
      </c>
      <c r="BD13" s="92">
        <v>8</v>
      </c>
      <c r="BE13" s="92">
        <v>9</v>
      </c>
      <c r="BF13" s="93">
        <v>0</v>
      </c>
      <c r="BG13" s="93">
        <v>1</v>
      </c>
      <c r="BH13" s="93">
        <v>2</v>
      </c>
      <c r="BI13" s="93">
        <v>3</v>
      </c>
      <c r="BJ13" s="93">
        <v>4</v>
      </c>
      <c r="BK13" s="93">
        <v>5</v>
      </c>
      <c r="BL13" s="93">
        <v>6</v>
      </c>
      <c r="BM13" s="93">
        <v>7</v>
      </c>
      <c r="BN13" s="93">
        <v>8</v>
      </c>
      <c r="BO13" s="93">
        <v>9</v>
      </c>
      <c r="BP13" s="94" t="str">
        <f t="shared" si="6"/>
        <v>松散型</v>
      </c>
      <c r="BQ13" s="15">
        <f t="shared" si="7"/>
        <v>0</v>
      </c>
      <c r="BR13" s="15">
        <f t="shared" si="8"/>
        <v>7</v>
      </c>
      <c r="BS13" s="20" t="str">
        <f t="shared" si="11"/>
        <v/>
      </c>
      <c r="BT13" s="21" t="str">
        <f t="shared" si="23"/>
        <v/>
      </c>
      <c r="BU13" s="21" t="str">
        <f t="array" ref="BU13">_xlfn.TEXTJOIN("",TRUE,IF(ISERROR(FIND(ROW($1:$168)-1,BS13&amp;BT13)),ROW($1:$168)-1,""))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3" s="22" t="str">
        <f t="shared" si="12"/>
        <v>中中中</v>
      </c>
      <c r="BW13" s="23" t="str">
        <f t="shared" si="13"/>
        <v/>
      </c>
      <c r="BX13" s="23" t="str">
        <f t="shared" si="24"/>
        <v/>
      </c>
      <c r="BY13" s="23" t="str">
        <f t="array" ref="BY13">_xlfn.TEXTJOIN("",TRUE,IF(ISERROR(FIND(ROW($1:$168)-1,BW13&amp;BX13)),ROW($1:$168)-1,""))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3" s="22" t="str">
        <f t="shared" si="14"/>
        <v>中中中</v>
      </c>
      <c r="CA13" s="24">
        <f t="shared" si="15"/>
        <v>0</v>
      </c>
      <c r="CB13" s="24" t="str">
        <f t="shared" si="25"/>
        <v/>
      </c>
      <c r="CC13" s="24" t="str">
        <f t="array" ref="CC13">_xlfn.TEXTJOIN("",TRUE,IF(ISERROR(FIND(ROW($1:$168)-1,CA13&amp;CB13)),ROW($1:$168)-1,""))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3" s="22" t="str">
        <f t="shared" si="16"/>
        <v>复中中</v>
      </c>
      <c r="CE13" s="25" t="str">
        <f t="shared" si="17"/>
        <v>68</v>
      </c>
      <c r="CF13" s="26" t="str">
        <f t="array" ref="CF13">_xlfn.TEXTJOIN("",TRUE,IF(ISNUMBER(FIND(MID(CE12&amp;W12,ROW($1:$162),1),CE13&amp;W13)),MID(CE12&amp;W12,ROW($1:$162),1),""))</f>
        <v>6</v>
      </c>
      <c r="CG13" s="27" t="str">
        <f t="array" ref="CG13">_xlfn.TEXTJOIN("",TRUE,IF(ISERROR(FIND(ROW($1:$168)-1,CE13&amp;CF13)),ROW($1:$168)-1,""))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H13" s="28" t="str">
        <f t="shared" si="18"/>
        <v>邻传孤</v>
      </c>
      <c r="CI13" s="29" t="str">
        <f t="shared" si="19"/>
        <v>68</v>
      </c>
      <c r="CJ13" s="29" t="str">
        <f t="array" ref="CJ13">_xlfn.TEXTJOIN("",TRUE,IF(ISNUMBER(FIND(MID(CI12&amp;X12,ROW($1:$162),1),CI13&amp;X13)),MID(CI12&amp;X12,ROW($1:$162),1),""))</f>
        <v/>
      </c>
      <c r="CK13" s="29" t="str">
        <f t="array" ref="CK13">_xlfn.TEXTJOIN("",TRUE,IF(ISERROR(FIND(ROW($1:$168)-1,CI13&amp;CJ13)),ROW($1:$168)-1,""))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3" s="19" t="str">
        <f t="shared" si="20"/>
        <v>邻孤孤</v>
      </c>
      <c r="CM13" s="24" t="str">
        <f t="shared" si="21"/>
        <v>91</v>
      </c>
      <c r="CN13" s="24" t="str">
        <f t="array" ref="CN13">_xlfn.TEXTJOIN("",TRUE,IF(ISNUMBER(FIND(MID(CM12&amp;Y12,ROW($1:$162),1),CM13&amp;Y13)),MID(CM12&amp;Y12,ROW($1:$162),1),""))</f>
        <v/>
      </c>
      <c r="CO13" s="24" t="str">
        <f t="array" ref="CO13">_xlfn.TEXTJOIN("",TRUE,IF(ISERROR(FIND(ROW($1:$168)-1,CM13&amp;CN13)),ROW($1:$168)-1,""))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13" s="30" t="str">
        <f t="shared" si="22"/>
        <v>邻孤孤</v>
      </c>
    </row>
    <row r="14" customFormat="1" spans="1:94">
      <c r="A14" s="15">
        <v>14</v>
      </c>
      <c r="B14" s="80">
        <v>2023334</v>
      </c>
      <c r="C14" s="8" t="s">
        <v>41</v>
      </c>
      <c r="D14" s="81">
        <f t="shared" si="0"/>
        <v>9</v>
      </c>
      <c r="E14" s="82">
        <f t="shared" si="1"/>
        <v>9</v>
      </c>
      <c r="F14" s="83">
        <f t="shared" si="9"/>
        <v>1</v>
      </c>
      <c r="G14" s="84" t="str">
        <f t="shared" si="10"/>
        <v>松散</v>
      </c>
      <c r="H14" s="85" t="s">
        <v>10</v>
      </c>
      <c r="I14" s="85" t="s">
        <v>11</v>
      </c>
      <c r="J14" s="85" t="s">
        <v>12</v>
      </c>
      <c r="K14" s="85" t="s">
        <v>13</v>
      </c>
      <c r="L14" s="86">
        <f>MAX(MID(C14,{1,2,3},1)*1)-MIN(MID(C14,{1,2,3},1)*1)</f>
        <v>9</v>
      </c>
      <c r="M14" s="87">
        <v>0</v>
      </c>
      <c r="N14" s="87">
        <v>1</v>
      </c>
      <c r="O14" s="87">
        <v>2</v>
      </c>
      <c r="P14" s="87">
        <v>3</v>
      </c>
      <c r="Q14" s="87">
        <v>4</v>
      </c>
      <c r="R14" s="87">
        <v>5</v>
      </c>
      <c r="S14" s="87">
        <v>6</v>
      </c>
      <c r="T14" s="87">
        <v>7</v>
      </c>
      <c r="U14" s="87">
        <v>8</v>
      </c>
      <c r="V14" s="87">
        <v>9</v>
      </c>
      <c r="W14" s="88">
        <f t="shared" si="2"/>
        <v>9</v>
      </c>
      <c r="X14" s="88">
        <f t="shared" si="3"/>
        <v>9</v>
      </c>
      <c r="Y14" s="88">
        <f t="shared" si="4"/>
        <v>0</v>
      </c>
      <c r="Z14" s="89">
        <f t="shared" si="5"/>
        <v>18</v>
      </c>
      <c r="AA14" s="17" t="str">
        <f>_xlfn.TEXTJOIN(", ",TRUE,ABS(MID(C14,{1,1,2},1)-MID(C14,{2,3,3},1)))</f>
        <v>9, 9, 0</v>
      </c>
      <c r="AB14" s="90">
        <v>0</v>
      </c>
      <c r="AC14" s="90">
        <v>1</v>
      </c>
      <c r="AD14" s="90">
        <v>2</v>
      </c>
      <c r="AE14" s="90">
        <v>3</v>
      </c>
      <c r="AF14" s="90">
        <v>4</v>
      </c>
      <c r="AG14" s="90">
        <v>5</v>
      </c>
      <c r="AH14" s="90">
        <v>6</v>
      </c>
      <c r="AI14" s="90">
        <v>7</v>
      </c>
      <c r="AJ14" s="90">
        <v>8</v>
      </c>
      <c r="AK14" s="90">
        <v>9</v>
      </c>
      <c r="AL14" s="91">
        <v>0</v>
      </c>
      <c r="AM14" s="91">
        <v>1</v>
      </c>
      <c r="AN14" s="91">
        <v>2</v>
      </c>
      <c r="AO14" s="91">
        <v>3</v>
      </c>
      <c r="AP14" s="91">
        <v>4</v>
      </c>
      <c r="AQ14" s="91">
        <v>5</v>
      </c>
      <c r="AR14" s="91">
        <v>6</v>
      </c>
      <c r="AS14" s="91">
        <v>7</v>
      </c>
      <c r="AT14" s="91">
        <v>8</v>
      </c>
      <c r="AU14" s="91">
        <v>9</v>
      </c>
      <c r="AV14" s="92">
        <v>0</v>
      </c>
      <c r="AW14" s="92">
        <v>1</v>
      </c>
      <c r="AX14" s="92">
        <v>2</v>
      </c>
      <c r="AY14" s="92">
        <v>3</v>
      </c>
      <c r="AZ14" s="92">
        <v>4</v>
      </c>
      <c r="BA14" s="92">
        <v>5</v>
      </c>
      <c r="BB14" s="92">
        <v>6</v>
      </c>
      <c r="BC14" s="92">
        <v>7</v>
      </c>
      <c r="BD14" s="92">
        <v>8</v>
      </c>
      <c r="BE14" s="92">
        <v>9</v>
      </c>
      <c r="BF14" s="93">
        <v>0</v>
      </c>
      <c r="BG14" s="93">
        <v>1</v>
      </c>
      <c r="BH14" s="93">
        <v>2</v>
      </c>
      <c r="BI14" s="93">
        <v>3</v>
      </c>
      <c r="BJ14" s="93">
        <v>4</v>
      </c>
      <c r="BK14" s="93">
        <v>5</v>
      </c>
      <c r="BL14" s="93">
        <v>6</v>
      </c>
      <c r="BM14" s="93">
        <v>7</v>
      </c>
      <c r="BN14" s="93">
        <v>8</v>
      </c>
      <c r="BO14" s="93">
        <v>9</v>
      </c>
      <c r="BP14" s="94" t="str">
        <f t="shared" si="6"/>
        <v>松散型</v>
      </c>
      <c r="BQ14" s="15">
        <f t="shared" si="7"/>
        <v>0</v>
      </c>
      <c r="BR14" s="15">
        <f t="shared" si="8"/>
        <v>9</v>
      </c>
      <c r="BS14" s="20" t="str">
        <f t="shared" si="11"/>
        <v/>
      </c>
      <c r="BT14" s="21" t="str">
        <f t="shared" si="23"/>
        <v/>
      </c>
      <c r="BU14" s="21" t="str">
        <f t="array" ref="BU14">_xlfn.TEXTJOIN("",TRUE,IF(ISERROR(FIND(ROW($1:$168)-1,BS14&amp;BT14)),ROW($1:$168)-1,""))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4" s="22" t="str">
        <f t="shared" si="12"/>
        <v>中中中</v>
      </c>
      <c r="BW14" s="23" t="str">
        <f t="shared" si="13"/>
        <v/>
      </c>
      <c r="BX14" s="23" t="str">
        <f t="shared" si="24"/>
        <v/>
      </c>
      <c r="BY14" s="23" t="str">
        <f t="array" ref="BY14">_xlfn.TEXTJOIN("",TRUE,IF(ISERROR(FIND(ROW($1:$168)-1,BW14&amp;BX14)),ROW($1:$168)-1,""))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4" s="22" t="str">
        <f t="shared" si="14"/>
        <v>中中中</v>
      </c>
      <c r="CA14" s="24">
        <f t="shared" si="15"/>
        <v>0</v>
      </c>
      <c r="CB14" s="24">
        <f t="shared" si="25"/>
        <v>0</v>
      </c>
      <c r="CC14" s="24" t="str">
        <f t="array" ref="CC14">_xlfn.TEXTJOIN("",TRUE,IF(ISERROR(FIND(ROW($1:$168)-1,CA14&amp;CB14)),ROW($1:$168)-1,""))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4" s="22" t="str">
        <f t="shared" si="16"/>
        <v>复隔中</v>
      </c>
      <c r="CE14" s="25" t="str">
        <f t="shared" si="17"/>
        <v>80</v>
      </c>
      <c r="CF14" s="26" t="str">
        <f t="array" ref="CF14">_xlfn.TEXTJOIN("",TRUE,IF(ISNUMBER(FIND(MID(CE13&amp;W13,ROW($1:$162),1),CE14&amp;W14)),MID(CE13&amp;W13,ROW($1:$162),1),""))</f>
        <v>8</v>
      </c>
      <c r="CG14" s="27" t="str">
        <f t="array" ref="CG14">_xlfn.TEXTJOIN("",TRUE,IF(ISERROR(FIND(ROW($1:$168)-1,CE14&amp;CF14)),ROW($1:$168)-1,""))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H14" s="28" t="str">
        <f t="shared" si="18"/>
        <v>邻传孤</v>
      </c>
      <c r="CI14" s="29" t="str">
        <f t="shared" si="19"/>
        <v>80</v>
      </c>
      <c r="CJ14" s="29" t="str">
        <f t="array" ref="CJ14">_xlfn.TEXTJOIN("",TRUE,IF(ISNUMBER(FIND(MID(CI13&amp;X13,ROW($1:$162),1),CI14&amp;X14)),MID(CI13&amp;X13,ROW($1:$162),1),""))</f>
        <v>8</v>
      </c>
      <c r="CK14" s="29" t="str">
        <f t="array" ref="CK14">_xlfn.TEXTJOIN("",TRUE,IF(ISERROR(FIND(ROW($1:$168)-1,CI14&amp;CJ14)),ROW($1:$168)-1,""))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14" s="19" t="str">
        <f t="shared" si="20"/>
        <v>邻传孤</v>
      </c>
      <c r="CM14" s="24" t="str">
        <f t="shared" si="21"/>
        <v>91</v>
      </c>
      <c r="CN14" s="24" t="str">
        <f t="array" ref="CN14">_xlfn.TEXTJOIN("",TRUE,IF(ISNUMBER(FIND(MID(CM13&amp;Y13,ROW($1:$162),1),CM14&amp;Y14)),MID(CM13&amp;Y13,ROW($1:$162),1),""))</f>
        <v>910</v>
      </c>
      <c r="CO14" s="24" t="str">
        <f t="array" ref="CO14">_xlfn.TEXTJOIN("",TRUE,IF(ISERROR(FIND(ROW($1:$168)-1,CM14&amp;CN14)),ROW($1:$168)-1,""))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14" s="30" t="str">
        <f t="shared" si="22"/>
        <v>邻传孤</v>
      </c>
    </row>
    <row r="15" customFormat="1" spans="1:94">
      <c r="A15" s="15">
        <v>15</v>
      </c>
      <c r="B15" s="80">
        <v>2023335</v>
      </c>
      <c r="C15" s="8" t="s">
        <v>42</v>
      </c>
      <c r="D15" s="81">
        <f t="shared" si="0"/>
        <v>3</v>
      </c>
      <c r="E15" s="82">
        <f t="shared" si="1"/>
        <v>3</v>
      </c>
      <c r="F15" s="83">
        <f t="shared" si="9"/>
        <v>0.1</v>
      </c>
      <c r="G15" s="84" t="str">
        <f t="shared" si="10"/>
        <v>极紧凑</v>
      </c>
      <c r="H15" s="85" t="s">
        <v>10</v>
      </c>
      <c r="I15" s="85" t="s">
        <v>11</v>
      </c>
      <c r="J15" s="85" t="s">
        <v>12</v>
      </c>
      <c r="K15" s="85" t="s">
        <v>13</v>
      </c>
      <c r="L15" s="86">
        <f>MAX(MID(C15,{1,2,3},1)*1)-MIN(MID(C15,{1,2,3},1)*1)</f>
        <v>0</v>
      </c>
      <c r="M15" s="87">
        <v>0</v>
      </c>
      <c r="N15" s="87">
        <v>1</v>
      </c>
      <c r="O15" s="87">
        <v>2</v>
      </c>
      <c r="P15" s="87">
        <v>3</v>
      </c>
      <c r="Q15" s="87">
        <v>4</v>
      </c>
      <c r="R15" s="87">
        <v>5</v>
      </c>
      <c r="S15" s="87">
        <v>6</v>
      </c>
      <c r="T15" s="87">
        <v>7</v>
      </c>
      <c r="U15" s="87">
        <v>8</v>
      </c>
      <c r="V15" s="87">
        <v>9</v>
      </c>
      <c r="W15" s="88">
        <f t="shared" si="2"/>
        <v>0</v>
      </c>
      <c r="X15" s="88">
        <f t="shared" si="3"/>
        <v>0</v>
      </c>
      <c r="Y15" s="88">
        <f t="shared" si="4"/>
        <v>0</v>
      </c>
      <c r="Z15" s="89">
        <f t="shared" si="5"/>
        <v>0</v>
      </c>
      <c r="AA15" s="17" t="str">
        <f>_xlfn.TEXTJOIN(", ",TRUE,ABS(MID(C15,{1,1,2},1)-MID(C15,{2,3,3},1)))</f>
        <v>0, 0, 0</v>
      </c>
      <c r="AB15" s="90">
        <v>0</v>
      </c>
      <c r="AC15" s="90">
        <v>1</v>
      </c>
      <c r="AD15" s="90">
        <v>2</v>
      </c>
      <c r="AE15" s="90">
        <v>3</v>
      </c>
      <c r="AF15" s="90">
        <v>4</v>
      </c>
      <c r="AG15" s="90">
        <v>5</v>
      </c>
      <c r="AH15" s="90">
        <v>6</v>
      </c>
      <c r="AI15" s="90">
        <v>7</v>
      </c>
      <c r="AJ15" s="90">
        <v>8</v>
      </c>
      <c r="AK15" s="90">
        <v>9</v>
      </c>
      <c r="AL15" s="91">
        <v>0</v>
      </c>
      <c r="AM15" s="91">
        <v>1</v>
      </c>
      <c r="AN15" s="91">
        <v>2</v>
      </c>
      <c r="AO15" s="91">
        <v>3</v>
      </c>
      <c r="AP15" s="91">
        <v>4</v>
      </c>
      <c r="AQ15" s="91">
        <v>5</v>
      </c>
      <c r="AR15" s="91">
        <v>6</v>
      </c>
      <c r="AS15" s="91">
        <v>7</v>
      </c>
      <c r="AT15" s="91">
        <v>8</v>
      </c>
      <c r="AU15" s="91">
        <v>9</v>
      </c>
      <c r="AV15" s="92">
        <v>0</v>
      </c>
      <c r="AW15" s="92">
        <v>1</v>
      </c>
      <c r="AX15" s="92">
        <v>2</v>
      </c>
      <c r="AY15" s="92">
        <v>3</v>
      </c>
      <c r="AZ15" s="92">
        <v>4</v>
      </c>
      <c r="BA15" s="92">
        <v>5</v>
      </c>
      <c r="BB15" s="92">
        <v>6</v>
      </c>
      <c r="BC15" s="92">
        <v>7</v>
      </c>
      <c r="BD15" s="92">
        <v>8</v>
      </c>
      <c r="BE15" s="92">
        <v>9</v>
      </c>
      <c r="BF15" s="93">
        <v>0</v>
      </c>
      <c r="BG15" s="93">
        <v>1</v>
      </c>
      <c r="BH15" s="93">
        <v>2</v>
      </c>
      <c r="BI15" s="93">
        <v>3</v>
      </c>
      <c r="BJ15" s="93">
        <v>4</v>
      </c>
      <c r="BK15" s="93">
        <v>5</v>
      </c>
      <c r="BL15" s="93">
        <v>6</v>
      </c>
      <c r="BM15" s="93">
        <v>7</v>
      </c>
      <c r="BN15" s="93">
        <v>8</v>
      </c>
      <c r="BO15" s="93">
        <v>9</v>
      </c>
      <c r="BP15" s="94" t="str">
        <f t="shared" si="6"/>
        <v>紧凑型</v>
      </c>
      <c r="BQ15" s="15">
        <f t="shared" si="7"/>
        <v>0</v>
      </c>
      <c r="BR15" s="15">
        <f t="shared" si="8"/>
        <v>0</v>
      </c>
      <c r="BS15" s="20">
        <f t="shared" si="11"/>
        <v>0</v>
      </c>
      <c r="BT15" s="21">
        <f t="shared" si="23"/>
        <v>0</v>
      </c>
      <c r="BU15" s="21" t="str">
        <f t="array" ref="BU15">_xlfn.TEXTJOIN("",TRUE,IF(ISERROR(FIND(ROW($1:$168)-1,BS15&amp;BT15)),ROW($1:$168)-1,""))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5" s="22" t="str">
        <f t="shared" si="12"/>
        <v>复隔中</v>
      </c>
      <c r="BW15" s="23">
        <f t="shared" si="13"/>
        <v>0</v>
      </c>
      <c r="BX15" s="23">
        <f t="shared" si="24"/>
        <v>0</v>
      </c>
      <c r="BY15" s="23" t="str">
        <f t="array" ref="BY15">_xlfn.TEXTJOIN("",TRUE,IF(ISERROR(FIND(ROW($1:$168)-1,BW15&amp;BX15)),ROW($1:$168)-1,""))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5" s="22" t="str">
        <f t="shared" si="14"/>
        <v>复隔中</v>
      </c>
      <c r="CA15" s="24">
        <f t="shared" si="15"/>
        <v>0</v>
      </c>
      <c r="CB15" s="24">
        <f t="shared" si="25"/>
        <v>0</v>
      </c>
      <c r="CC15" s="24" t="str">
        <f t="array" ref="CC15">_xlfn.TEXTJOIN("",TRUE,IF(ISERROR(FIND(ROW($1:$168)-1,CA15&amp;CB15)),ROW($1:$168)-1,""))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5" s="22" t="str">
        <f t="shared" si="16"/>
        <v>复隔中</v>
      </c>
      <c r="CE15" s="25" t="str">
        <f t="shared" si="17"/>
        <v>91</v>
      </c>
      <c r="CF15" s="26" t="str">
        <f t="array" ref="CF15">_xlfn.TEXTJOIN("",TRUE,IF(ISNUMBER(FIND(MID(CE14&amp;W14,ROW($1:$162),1),CE15&amp;W15)),MID(CE14&amp;W14,ROW($1:$162),1),""))</f>
        <v>09</v>
      </c>
      <c r="CG15" s="27" t="str">
        <f t="array" ref="CG15">_xlfn.TEXTJOIN("",TRUE,IF(ISERROR(FIND(ROW($1:$168)-1,CE15&amp;CF15)),ROW($1:$168)-1,""))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H15" s="28" t="str">
        <f t="shared" si="18"/>
        <v>邻传孤</v>
      </c>
      <c r="CI15" s="29" t="str">
        <f t="shared" si="19"/>
        <v>91</v>
      </c>
      <c r="CJ15" s="29" t="str">
        <f t="array" ref="CJ15">_xlfn.TEXTJOIN("",TRUE,IF(ISNUMBER(FIND(MID(CI14&amp;X14,ROW($1:$162),1),CI15&amp;X15)),MID(CI14&amp;X14,ROW($1:$162),1),""))</f>
        <v>09</v>
      </c>
      <c r="CK15" s="29" t="str">
        <f t="array" ref="CK15">_xlfn.TEXTJOIN("",TRUE,IF(ISERROR(FIND(ROW($1:$168)-1,CI15&amp;CJ15)),ROW($1:$168)-1,""))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L15" s="19" t="str">
        <f t="shared" si="20"/>
        <v>邻传孤</v>
      </c>
      <c r="CM15" s="24" t="str">
        <f t="shared" si="21"/>
        <v>91</v>
      </c>
      <c r="CN15" s="24" t="str">
        <f t="array" ref="CN15">_xlfn.TEXTJOIN("",TRUE,IF(ISNUMBER(FIND(MID(CM14&amp;Y14,ROW($1:$162),1),CM15&amp;Y15)),MID(CM14&amp;Y14,ROW($1:$162),1),""))</f>
        <v>910</v>
      </c>
      <c r="CO15" s="24" t="str">
        <f t="array" ref="CO15">_xlfn.TEXTJOIN("",TRUE,IF(ISERROR(FIND(ROW($1:$168)-1,CM15&amp;CN15)),ROW($1:$168)-1,""))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15" s="30" t="str">
        <f t="shared" si="22"/>
        <v>邻传孤</v>
      </c>
    </row>
    <row r="16" customFormat="1" spans="1:94">
      <c r="A16" s="15">
        <v>16</v>
      </c>
      <c r="B16" s="80">
        <v>2023336</v>
      </c>
      <c r="C16" s="8" t="s">
        <v>40</v>
      </c>
      <c r="D16" s="81">
        <f t="shared" si="0"/>
        <v>17</v>
      </c>
      <c r="E16" s="82">
        <f t="shared" si="1"/>
        <v>7</v>
      </c>
      <c r="F16" s="83">
        <f t="shared" si="9"/>
        <v>2.42857142857143</v>
      </c>
      <c r="G16" s="84" t="str">
        <f t="shared" si="10"/>
        <v>标准</v>
      </c>
      <c r="H16" s="85" t="s">
        <v>10</v>
      </c>
      <c r="I16" s="85" t="s">
        <v>11</v>
      </c>
      <c r="J16" s="85" t="s">
        <v>12</v>
      </c>
      <c r="K16" s="85" t="s">
        <v>13</v>
      </c>
      <c r="L16" s="86">
        <f>MAX(MID(C16,{1,2,3},1)*1)-MIN(MID(C16,{1,2,3},1)*1)</f>
        <v>7</v>
      </c>
      <c r="M16" s="87">
        <v>0</v>
      </c>
      <c r="N16" s="87">
        <v>1</v>
      </c>
      <c r="O16" s="87">
        <v>2</v>
      </c>
      <c r="P16" s="87">
        <v>3</v>
      </c>
      <c r="Q16" s="87">
        <v>4</v>
      </c>
      <c r="R16" s="87">
        <v>5</v>
      </c>
      <c r="S16" s="87">
        <v>6</v>
      </c>
      <c r="T16" s="87">
        <v>7</v>
      </c>
      <c r="U16" s="87">
        <v>8</v>
      </c>
      <c r="V16" s="87">
        <v>9</v>
      </c>
      <c r="W16" s="88">
        <f t="shared" si="2"/>
        <v>7</v>
      </c>
      <c r="X16" s="88">
        <f t="shared" si="3"/>
        <v>7</v>
      </c>
      <c r="Y16" s="88">
        <f t="shared" si="4"/>
        <v>0</v>
      </c>
      <c r="Z16" s="89">
        <f t="shared" si="5"/>
        <v>14</v>
      </c>
      <c r="AA16" s="17" t="str">
        <f>_xlfn.TEXTJOIN(", ",TRUE,ABS(MID(C16,{1,1,2},1)-MID(C16,{2,3,3},1)))</f>
        <v>7, 7, 0</v>
      </c>
      <c r="AB16" s="90">
        <v>0</v>
      </c>
      <c r="AC16" s="90">
        <v>1</v>
      </c>
      <c r="AD16" s="90">
        <v>2</v>
      </c>
      <c r="AE16" s="90">
        <v>3</v>
      </c>
      <c r="AF16" s="90">
        <v>4</v>
      </c>
      <c r="AG16" s="90">
        <v>5</v>
      </c>
      <c r="AH16" s="90">
        <v>6</v>
      </c>
      <c r="AI16" s="90">
        <v>7</v>
      </c>
      <c r="AJ16" s="90">
        <v>8</v>
      </c>
      <c r="AK16" s="90">
        <v>9</v>
      </c>
      <c r="AL16" s="91">
        <v>0</v>
      </c>
      <c r="AM16" s="91">
        <v>1</v>
      </c>
      <c r="AN16" s="91">
        <v>2</v>
      </c>
      <c r="AO16" s="91">
        <v>3</v>
      </c>
      <c r="AP16" s="91">
        <v>4</v>
      </c>
      <c r="AQ16" s="91">
        <v>5</v>
      </c>
      <c r="AR16" s="91">
        <v>6</v>
      </c>
      <c r="AS16" s="91">
        <v>7</v>
      </c>
      <c r="AT16" s="91">
        <v>8</v>
      </c>
      <c r="AU16" s="91">
        <v>9</v>
      </c>
      <c r="AV16" s="92">
        <v>0</v>
      </c>
      <c r="AW16" s="92">
        <v>1</v>
      </c>
      <c r="AX16" s="92">
        <v>2</v>
      </c>
      <c r="AY16" s="92">
        <v>3</v>
      </c>
      <c r="AZ16" s="92">
        <v>4</v>
      </c>
      <c r="BA16" s="92">
        <v>5</v>
      </c>
      <c r="BB16" s="92">
        <v>6</v>
      </c>
      <c r="BC16" s="92">
        <v>7</v>
      </c>
      <c r="BD16" s="92">
        <v>8</v>
      </c>
      <c r="BE16" s="92">
        <v>9</v>
      </c>
      <c r="BF16" s="93">
        <v>0</v>
      </c>
      <c r="BG16" s="93">
        <v>1</v>
      </c>
      <c r="BH16" s="93">
        <v>2</v>
      </c>
      <c r="BI16" s="93">
        <v>3</v>
      </c>
      <c r="BJ16" s="93">
        <v>4</v>
      </c>
      <c r="BK16" s="93">
        <v>5</v>
      </c>
      <c r="BL16" s="93">
        <v>6</v>
      </c>
      <c r="BM16" s="93">
        <v>7</v>
      </c>
      <c r="BN16" s="93">
        <v>8</v>
      </c>
      <c r="BO16" s="93">
        <v>9</v>
      </c>
      <c r="BP16" s="94" t="str">
        <f t="shared" si="6"/>
        <v>松散型</v>
      </c>
      <c r="BQ16" s="15">
        <f t="shared" si="7"/>
        <v>0</v>
      </c>
      <c r="BR16" s="15">
        <f t="shared" si="8"/>
        <v>7</v>
      </c>
      <c r="BS16" s="20" t="str">
        <f t="shared" si="11"/>
        <v/>
      </c>
      <c r="BT16" s="21" t="str">
        <f t="shared" si="23"/>
        <v/>
      </c>
      <c r="BU16" s="21" t="str">
        <f t="array" ref="BU16">_xlfn.TEXTJOIN("",TRUE,IF(ISERROR(FIND(ROW($1:$168)-1,BS16&amp;BT16)),ROW($1:$168)-1,""))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6" s="22" t="str">
        <f t="shared" si="12"/>
        <v>中中中</v>
      </c>
      <c r="BW16" s="23" t="str">
        <f t="shared" si="13"/>
        <v/>
      </c>
      <c r="BX16" s="23" t="str">
        <f t="shared" si="24"/>
        <v/>
      </c>
      <c r="BY16" s="23" t="str">
        <f t="array" ref="BY16">_xlfn.TEXTJOIN("",TRUE,IF(ISERROR(FIND(ROW($1:$168)-1,BW16&amp;BX16)),ROW($1:$168)-1,""))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6" s="22" t="str">
        <f t="shared" si="14"/>
        <v>中中中</v>
      </c>
      <c r="CA16" s="24">
        <f t="shared" si="15"/>
        <v>0</v>
      </c>
      <c r="CB16" s="24">
        <f t="shared" si="25"/>
        <v>0</v>
      </c>
      <c r="CC16" s="24" t="str">
        <f t="array" ref="CC16">_xlfn.TEXTJOIN("",TRUE,IF(ISERROR(FIND(ROW($1:$168)-1,CA16&amp;CB16)),ROW($1:$168)-1,""))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6" s="22" t="str">
        <f t="shared" si="16"/>
        <v>复隔中</v>
      </c>
      <c r="CE16" s="25" t="str">
        <f t="shared" si="17"/>
        <v>68</v>
      </c>
      <c r="CF16" s="26" t="str">
        <f t="array" ref="CF16">_xlfn.TEXTJOIN("",TRUE,IF(ISNUMBER(FIND(MID(CE15&amp;W15,ROW($1:$162),1),CE16&amp;W16)),MID(CE15&amp;W15,ROW($1:$162),1),""))</f>
        <v/>
      </c>
      <c r="CG16" s="27" t="str">
        <f t="array" ref="CG16">_xlfn.TEXTJOIN("",TRUE,IF(ISERROR(FIND(ROW($1:$168)-1,CE16&amp;CF16)),ROW($1:$168)-1,""))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6" s="28" t="str">
        <f t="shared" si="18"/>
        <v>邻孤孤</v>
      </c>
      <c r="CI16" s="29" t="str">
        <f t="shared" si="19"/>
        <v>68</v>
      </c>
      <c r="CJ16" s="29" t="str">
        <f t="array" ref="CJ16">_xlfn.TEXTJOIN("",TRUE,IF(ISNUMBER(FIND(MID(CI15&amp;X15,ROW($1:$162),1),CI16&amp;X16)),MID(CI15&amp;X15,ROW($1:$162),1),""))</f>
        <v/>
      </c>
      <c r="CK16" s="29" t="str">
        <f t="array" ref="CK16">_xlfn.TEXTJOIN("",TRUE,IF(ISERROR(FIND(ROW($1:$168)-1,CI16&amp;CJ16)),ROW($1:$168)-1,""))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6" s="19" t="str">
        <f t="shared" si="20"/>
        <v>邻孤孤</v>
      </c>
      <c r="CM16" s="24" t="str">
        <f t="shared" si="21"/>
        <v>91</v>
      </c>
      <c r="CN16" s="24" t="str">
        <f t="array" ref="CN16">_xlfn.TEXTJOIN("",TRUE,IF(ISNUMBER(FIND(MID(CM15&amp;Y15,ROW($1:$162),1),CM16&amp;Y16)),MID(CM15&amp;Y15,ROW($1:$162),1),""))</f>
        <v>910</v>
      </c>
      <c r="CO16" s="24" t="str">
        <f t="array" ref="CO16">_xlfn.TEXTJOIN("",TRUE,IF(ISERROR(FIND(ROW($1:$168)-1,CM16&amp;CN16)),ROW($1:$168)-1,""))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16" s="30" t="str">
        <f t="shared" si="22"/>
        <v>邻传孤</v>
      </c>
    </row>
    <row r="17" customFormat="1" spans="1:94">
      <c r="A17" s="15">
        <v>17</v>
      </c>
      <c r="B17" s="80">
        <v>2023337</v>
      </c>
      <c r="C17" s="8" t="s">
        <v>43</v>
      </c>
      <c r="D17" s="81">
        <f t="shared" si="0"/>
        <v>16</v>
      </c>
      <c r="E17" s="82">
        <f t="shared" si="1"/>
        <v>6</v>
      </c>
      <c r="F17" s="83">
        <f t="shared" si="9"/>
        <v>2.66666666666667</v>
      </c>
      <c r="G17" s="84" t="str">
        <f t="shared" si="10"/>
        <v>标准</v>
      </c>
      <c r="H17" s="85" t="s">
        <v>10</v>
      </c>
      <c r="I17" s="85" t="s">
        <v>11</v>
      </c>
      <c r="J17" s="85" t="s">
        <v>12</v>
      </c>
      <c r="K17" s="85" t="s">
        <v>13</v>
      </c>
      <c r="L17" s="86">
        <f>MAX(MID(C17,{1,2,3},1)*1)-MIN(MID(C17,{1,2,3},1)*1)</f>
        <v>6</v>
      </c>
      <c r="M17" s="87">
        <v>0</v>
      </c>
      <c r="N17" s="87">
        <v>1</v>
      </c>
      <c r="O17" s="87">
        <v>2</v>
      </c>
      <c r="P17" s="87">
        <v>3</v>
      </c>
      <c r="Q17" s="87">
        <v>4</v>
      </c>
      <c r="R17" s="87">
        <v>5</v>
      </c>
      <c r="S17" s="87">
        <v>6</v>
      </c>
      <c r="T17" s="87">
        <v>7</v>
      </c>
      <c r="U17" s="87">
        <v>8</v>
      </c>
      <c r="V17" s="87">
        <v>9</v>
      </c>
      <c r="W17" s="88">
        <f t="shared" si="2"/>
        <v>2</v>
      </c>
      <c r="X17" s="88">
        <f t="shared" si="3"/>
        <v>6</v>
      </c>
      <c r="Y17" s="88">
        <f t="shared" si="4"/>
        <v>4</v>
      </c>
      <c r="Z17" s="89">
        <f t="shared" si="5"/>
        <v>12</v>
      </c>
      <c r="AA17" s="17" t="str">
        <f>_xlfn.TEXTJOIN(", ",TRUE,ABS(MID(C17,{1,1,2},1)-MID(C17,{2,3,3},1)))</f>
        <v>2, 6, 4</v>
      </c>
      <c r="AB17" s="90">
        <v>0</v>
      </c>
      <c r="AC17" s="90">
        <v>1</v>
      </c>
      <c r="AD17" s="90">
        <v>2</v>
      </c>
      <c r="AE17" s="90">
        <v>3</v>
      </c>
      <c r="AF17" s="90">
        <v>4</v>
      </c>
      <c r="AG17" s="90">
        <v>5</v>
      </c>
      <c r="AH17" s="90">
        <v>6</v>
      </c>
      <c r="AI17" s="90">
        <v>7</v>
      </c>
      <c r="AJ17" s="90">
        <v>8</v>
      </c>
      <c r="AK17" s="90">
        <v>9</v>
      </c>
      <c r="AL17" s="91">
        <v>0</v>
      </c>
      <c r="AM17" s="91">
        <v>1</v>
      </c>
      <c r="AN17" s="91">
        <v>2</v>
      </c>
      <c r="AO17" s="91">
        <v>3</v>
      </c>
      <c r="AP17" s="91">
        <v>4</v>
      </c>
      <c r="AQ17" s="91">
        <v>5</v>
      </c>
      <c r="AR17" s="91">
        <v>6</v>
      </c>
      <c r="AS17" s="91">
        <v>7</v>
      </c>
      <c r="AT17" s="91">
        <v>8</v>
      </c>
      <c r="AU17" s="91">
        <v>9</v>
      </c>
      <c r="AV17" s="92">
        <v>0</v>
      </c>
      <c r="AW17" s="92">
        <v>1</v>
      </c>
      <c r="AX17" s="92">
        <v>2</v>
      </c>
      <c r="AY17" s="92">
        <v>3</v>
      </c>
      <c r="AZ17" s="92">
        <v>4</v>
      </c>
      <c r="BA17" s="92">
        <v>5</v>
      </c>
      <c r="BB17" s="92">
        <v>6</v>
      </c>
      <c r="BC17" s="92">
        <v>7</v>
      </c>
      <c r="BD17" s="92">
        <v>8</v>
      </c>
      <c r="BE17" s="92">
        <v>9</v>
      </c>
      <c r="BF17" s="93">
        <v>0</v>
      </c>
      <c r="BG17" s="93">
        <v>1</v>
      </c>
      <c r="BH17" s="93">
        <v>2</v>
      </c>
      <c r="BI17" s="93">
        <v>3</v>
      </c>
      <c r="BJ17" s="93">
        <v>4</v>
      </c>
      <c r="BK17" s="93">
        <v>5</v>
      </c>
      <c r="BL17" s="93">
        <v>6</v>
      </c>
      <c r="BM17" s="93">
        <v>7</v>
      </c>
      <c r="BN17" s="93">
        <v>8</v>
      </c>
      <c r="BO17" s="93">
        <v>9</v>
      </c>
      <c r="BP17" s="94" t="str">
        <f t="shared" si="6"/>
        <v>松散型</v>
      </c>
      <c r="BQ17" s="15">
        <f t="shared" si="7"/>
        <v>2</v>
      </c>
      <c r="BR17" s="15">
        <f t="shared" si="8"/>
        <v>6</v>
      </c>
      <c r="BS17" s="20" t="str">
        <f t="shared" si="11"/>
        <v/>
      </c>
      <c r="BT17" s="21" t="str">
        <f t="shared" si="23"/>
        <v/>
      </c>
      <c r="BU17" s="21" t="str">
        <f t="array" ref="BU17">_xlfn.TEXTJOIN("",TRUE,IF(ISERROR(FIND(ROW($1:$168)-1,BS17&amp;BT17)),ROW($1:$168)-1,""))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7" s="22" t="str">
        <f t="shared" si="12"/>
        <v>中中中</v>
      </c>
      <c r="BW17" s="23" t="str">
        <f t="shared" si="13"/>
        <v/>
      </c>
      <c r="BX17" s="23" t="str">
        <f t="shared" si="24"/>
        <v/>
      </c>
      <c r="BY17" s="23" t="str">
        <f t="array" ref="BY17">_xlfn.TEXTJOIN("",TRUE,IF(ISERROR(FIND(ROW($1:$168)-1,BW17&amp;BX17)),ROW($1:$168)-1,""))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7" s="22" t="str">
        <f t="shared" si="14"/>
        <v>中中中</v>
      </c>
      <c r="CA17" s="24" t="str">
        <f t="shared" si="15"/>
        <v/>
      </c>
      <c r="CB17" s="24" t="str">
        <f t="shared" si="25"/>
        <v/>
      </c>
      <c r="CC17" s="24" t="str">
        <f t="array" ref="CC17">_xlfn.TEXTJOIN("",TRUE,IF(ISERROR(FIND(ROW($1:$168)-1,CA17&amp;CB17)),ROW($1:$168)-1,""))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7" s="22" t="str">
        <f t="shared" si="16"/>
        <v>中中中</v>
      </c>
      <c r="CE17" s="25" t="str">
        <f t="shared" si="17"/>
        <v>13</v>
      </c>
      <c r="CF17" s="26" t="str">
        <f t="array" ref="CF17">_xlfn.TEXTJOIN("",TRUE,IF(ISNUMBER(FIND(MID(CE16&amp;W16,ROW($1:$162),1),CE17&amp;W17)),MID(CE16&amp;W16,ROW($1:$162),1),""))</f>
        <v/>
      </c>
      <c r="CG17" s="27" t="str">
        <f t="array" ref="CG17">_xlfn.TEXTJOIN("",TRUE,IF(ISERROR(FIND(ROW($1:$168)-1,CE17&amp;CF17)),ROW($1:$168)-1,""))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7" s="28" t="str">
        <f t="shared" si="18"/>
        <v>邻孤孤</v>
      </c>
      <c r="CI17" s="29" t="str">
        <f t="shared" si="19"/>
        <v>57</v>
      </c>
      <c r="CJ17" s="29" t="str">
        <f t="array" ref="CJ17">_xlfn.TEXTJOIN("",TRUE,IF(ISNUMBER(FIND(MID(CI16&amp;X16,ROW($1:$162),1),CI17&amp;X17)),MID(CI16&amp;X16,ROW($1:$162),1),""))</f>
        <v>67</v>
      </c>
      <c r="CK17" s="29" t="str">
        <f t="array" ref="CK17">_xlfn.TEXTJOIN("",TRUE,IF(ISERROR(FIND(ROW($1:$168)-1,CI17&amp;CJ17)),ROW($1:$168)-1,""))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7" s="19" t="str">
        <f t="shared" si="20"/>
        <v>邻传孤</v>
      </c>
      <c r="CM17" s="24" t="str">
        <f t="shared" si="21"/>
        <v>35</v>
      </c>
      <c r="CN17" s="24" t="str">
        <f t="array" ref="CN17">_xlfn.TEXTJOIN("",TRUE,IF(ISNUMBER(FIND(MID(CM16&amp;Y16,ROW($1:$162),1),CM17&amp;Y17)),MID(CM16&amp;Y16,ROW($1:$162),1),""))</f>
        <v/>
      </c>
      <c r="CO17" s="24" t="str">
        <f t="array" ref="CO17">_xlfn.TEXTJOIN("",TRUE,IF(ISERROR(FIND(ROW($1:$168)-1,CM17&amp;CN17)),ROW($1:$168)-1,""))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7" s="30" t="str">
        <f t="shared" si="22"/>
        <v>邻孤孤</v>
      </c>
    </row>
    <row r="18" customFormat="1" spans="1:94">
      <c r="A18" s="15">
        <v>18</v>
      </c>
      <c r="B18" s="80">
        <v>2023338</v>
      </c>
      <c r="C18" s="8" t="s">
        <v>44</v>
      </c>
      <c r="D18" s="81">
        <f t="shared" si="0"/>
        <v>18</v>
      </c>
      <c r="E18" s="82">
        <f t="shared" si="1"/>
        <v>8</v>
      </c>
      <c r="F18" s="83">
        <f t="shared" si="9"/>
        <v>6</v>
      </c>
      <c r="G18" s="84" t="str">
        <f t="shared" si="10"/>
        <v>紧凑</v>
      </c>
      <c r="H18" s="85" t="s">
        <v>10</v>
      </c>
      <c r="I18" s="85" t="s">
        <v>11</v>
      </c>
      <c r="J18" s="85" t="s">
        <v>12</v>
      </c>
      <c r="K18" s="85" t="s">
        <v>13</v>
      </c>
      <c r="L18" s="86">
        <f>MAX(MID(C18,{1,2,3},1)*1)-MIN(MID(C18,{1,2,3},1)*1)</f>
        <v>3</v>
      </c>
      <c r="M18" s="87">
        <v>0</v>
      </c>
      <c r="N18" s="87">
        <v>1</v>
      </c>
      <c r="O18" s="87">
        <v>2</v>
      </c>
      <c r="P18" s="87">
        <v>3</v>
      </c>
      <c r="Q18" s="87">
        <v>4</v>
      </c>
      <c r="R18" s="87">
        <v>5</v>
      </c>
      <c r="S18" s="87">
        <v>6</v>
      </c>
      <c r="T18" s="87">
        <v>7</v>
      </c>
      <c r="U18" s="87">
        <v>8</v>
      </c>
      <c r="V18" s="87">
        <v>9</v>
      </c>
      <c r="W18" s="88">
        <f t="shared" si="2"/>
        <v>3</v>
      </c>
      <c r="X18" s="88">
        <f t="shared" si="3"/>
        <v>3</v>
      </c>
      <c r="Y18" s="88">
        <f t="shared" si="4"/>
        <v>0</v>
      </c>
      <c r="Z18" s="89">
        <f t="shared" si="5"/>
        <v>6</v>
      </c>
      <c r="AA18" s="17" t="str">
        <f>_xlfn.TEXTJOIN(", ",TRUE,ABS(MID(C18,{1,1,2},1)-MID(C18,{2,3,3},1)))</f>
        <v>3, 3, 0</v>
      </c>
      <c r="AB18" s="90">
        <v>0</v>
      </c>
      <c r="AC18" s="90">
        <v>1</v>
      </c>
      <c r="AD18" s="90">
        <v>2</v>
      </c>
      <c r="AE18" s="90">
        <v>3</v>
      </c>
      <c r="AF18" s="90">
        <v>4</v>
      </c>
      <c r="AG18" s="90">
        <v>5</v>
      </c>
      <c r="AH18" s="90">
        <v>6</v>
      </c>
      <c r="AI18" s="90">
        <v>7</v>
      </c>
      <c r="AJ18" s="90">
        <v>8</v>
      </c>
      <c r="AK18" s="90">
        <v>9</v>
      </c>
      <c r="AL18" s="91">
        <v>0</v>
      </c>
      <c r="AM18" s="91">
        <v>1</v>
      </c>
      <c r="AN18" s="91">
        <v>2</v>
      </c>
      <c r="AO18" s="91">
        <v>3</v>
      </c>
      <c r="AP18" s="91">
        <v>4</v>
      </c>
      <c r="AQ18" s="91">
        <v>5</v>
      </c>
      <c r="AR18" s="91">
        <v>6</v>
      </c>
      <c r="AS18" s="91">
        <v>7</v>
      </c>
      <c r="AT18" s="91">
        <v>8</v>
      </c>
      <c r="AU18" s="91">
        <v>9</v>
      </c>
      <c r="AV18" s="92">
        <v>0</v>
      </c>
      <c r="AW18" s="92">
        <v>1</v>
      </c>
      <c r="AX18" s="92">
        <v>2</v>
      </c>
      <c r="AY18" s="92">
        <v>3</v>
      </c>
      <c r="AZ18" s="92">
        <v>4</v>
      </c>
      <c r="BA18" s="92">
        <v>5</v>
      </c>
      <c r="BB18" s="92">
        <v>6</v>
      </c>
      <c r="BC18" s="92">
        <v>7</v>
      </c>
      <c r="BD18" s="92">
        <v>8</v>
      </c>
      <c r="BE18" s="92">
        <v>9</v>
      </c>
      <c r="BF18" s="93">
        <v>0</v>
      </c>
      <c r="BG18" s="93">
        <v>1</v>
      </c>
      <c r="BH18" s="93">
        <v>2</v>
      </c>
      <c r="BI18" s="93">
        <v>3</v>
      </c>
      <c r="BJ18" s="93">
        <v>4</v>
      </c>
      <c r="BK18" s="93">
        <v>5</v>
      </c>
      <c r="BL18" s="93">
        <v>6</v>
      </c>
      <c r="BM18" s="93">
        <v>7</v>
      </c>
      <c r="BN18" s="93">
        <v>8</v>
      </c>
      <c r="BO18" s="93">
        <v>9</v>
      </c>
      <c r="BP18" s="94" t="str">
        <f t="shared" si="6"/>
        <v>紧凑型</v>
      </c>
      <c r="BQ18" s="15">
        <f t="shared" si="7"/>
        <v>0</v>
      </c>
      <c r="BR18" s="15">
        <f t="shared" si="8"/>
        <v>3</v>
      </c>
      <c r="BS18" s="20" t="str">
        <f t="shared" si="11"/>
        <v/>
      </c>
      <c r="BT18" s="21" t="str">
        <f t="shared" si="23"/>
        <v/>
      </c>
      <c r="BU18" s="21" t="str">
        <f t="array" ref="BU18">_xlfn.TEXTJOIN("",TRUE,IF(ISERROR(FIND(ROW($1:$168)-1,BS18&amp;BT18)),ROW($1:$168)-1,""))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8" s="22" t="str">
        <f t="shared" si="12"/>
        <v>中中中</v>
      </c>
      <c r="BW18" s="23" t="str">
        <f t="shared" si="13"/>
        <v/>
      </c>
      <c r="BX18" s="23" t="str">
        <f t="shared" si="24"/>
        <v/>
      </c>
      <c r="BY18" s="23" t="str">
        <f t="array" ref="BY18">_xlfn.TEXTJOIN("",TRUE,IF(ISERROR(FIND(ROW($1:$168)-1,BW18&amp;BX18)),ROW($1:$168)-1,""))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8" s="22" t="str">
        <f t="shared" si="14"/>
        <v>中中中</v>
      </c>
      <c r="CA18" s="24" t="str">
        <f t="shared" si="15"/>
        <v/>
      </c>
      <c r="CB18" s="24">
        <f t="shared" si="25"/>
        <v>0</v>
      </c>
      <c r="CC18" s="24" t="str">
        <f t="array" ref="CC18">_xlfn.TEXTJOIN("",TRUE,IF(ISERROR(FIND(ROW($1:$168)-1,CA18&amp;CB18)),ROW($1:$168)-1,""))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8" s="22" t="str">
        <f t="shared" si="16"/>
        <v>中隔中</v>
      </c>
      <c r="CE18" s="25" t="str">
        <f t="shared" si="17"/>
        <v>24</v>
      </c>
      <c r="CF18" s="26" t="str">
        <f t="array" ref="CF18">_xlfn.TEXTJOIN("",TRUE,IF(ISNUMBER(FIND(MID(CE17&amp;W17,ROW($1:$162),1),CE18&amp;W18)),MID(CE17&amp;W17,ROW($1:$162),1),""))</f>
        <v>32</v>
      </c>
      <c r="CG18" s="27" t="str">
        <f t="array" ref="CG18">_xlfn.TEXTJOIN("",TRUE,IF(ISERROR(FIND(ROW($1:$168)-1,CE18&amp;CF18)),ROW($1:$168)-1,""))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8" s="28" t="str">
        <f t="shared" si="18"/>
        <v>邻传孤</v>
      </c>
      <c r="CI18" s="29" t="str">
        <f t="shared" si="19"/>
        <v>24</v>
      </c>
      <c r="CJ18" s="29" t="str">
        <f t="array" ref="CJ18">_xlfn.TEXTJOIN("",TRUE,IF(ISNUMBER(FIND(MID(CI17&amp;X17,ROW($1:$162),1),CI18&amp;X18)),MID(CI17&amp;X17,ROW($1:$162),1),""))</f>
        <v/>
      </c>
      <c r="CK18" s="29" t="str">
        <f t="array" ref="CK18">_xlfn.TEXTJOIN("",TRUE,IF(ISERROR(FIND(ROW($1:$168)-1,CI18&amp;CJ18)),ROW($1:$168)-1,""))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8" s="19" t="str">
        <f t="shared" si="20"/>
        <v>邻孤孤</v>
      </c>
      <c r="CM18" s="24" t="str">
        <f t="shared" si="21"/>
        <v>91</v>
      </c>
      <c r="CN18" s="24" t="str">
        <f t="array" ref="CN18">_xlfn.TEXTJOIN("",TRUE,IF(ISNUMBER(FIND(MID(CM17&amp;Y17,ROW($1:$162),1),CM18&amp;Y18)),MID(CM17&amp;Y17,ROW($1:$162),1),""))</f>
        <v/>
      </c>
      <c r="CO18" s="24" t="str">
        <f t="array" ref="CO18">_xlfn.TEXTJOIN("",TRUE,IF(ISERROR(FIND(ROW($1:$168)-1,CM18&amp;CN18)),ROW($1:$168)-1,""))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18" s="30" t="str">
        <f t="shared" si="22"/>
        <v>邻孤孤</v>
      </c>
    </row>
    <row r="19" customFormat="1" spans="1:94">
      <c r="A19" s="15">
        <v>19</v>
      </c>
      <c r="B19" s="80">
        <v>2023339</v>
      </c>
      <c r="C19" s="8" t="s">
        <v>45</v>
      </c>
      <c r="D19" s="81">
        <f t="shared" si="0"/>
        <v>19</v>
      </c>
      <c r="E19" s="82">
        <f t="shared" si="1"/>
        <v>9</v>
      </c>
      <c r="F19" s="83">
        <f t="shared" si="9"/>
        <v>4.75</v>
      </c>
      <c r="G19" s="84" t="str">
        <f t="shared" si="10"/>
        <v>紧凑</v>
      </c>
      <c r="H19" s="85" t="s">
        <v>10</v>
      </c>
      <c r="I19" s="85" t="s">
        <v>11</v>
      </c>
      <c r="J19" s="85" t="s">
        <v>12</v>
      </c>
      <c r="K19" s="85" t="s">
        <v>13</v>
      </c>
      <c r="L19" s="86">
        <f>MAX(MID(C19,{1,2,3},1)*1)-MIN(MID(C19,{1,2,3},1)*1)</f>
        <v>4</v>
      </c>
      <c r="M19" s="87">
        <v>0</v>
      </c>
      <c r="N19" s="87">
        <v>1</v>
      </c>
      <c r="O19" s="87">
        <v>2</v>
      </c>
      <c r="P19" s="87">
        <v>3</v>
      </c>
      <c r="Q19" s="87">
        <v>4</v>
      </c>
      <c r="R19" s="87">
        <v>5</v>
      </c>
      <c r="S19" s="87">
        <v>6</v>
      </c>
      <c r="T19" s="87">
        <v>7</v>
      </c>
      <c r="U19" s="87">
        <v>8</v>
      </c>
      <c r="V19" s="87">
        <v>9</v>
      </c>
      <c r="W19" s="88">
        <f t="shared" si="2"/>
        <v>4</v>
      </c>
      <c r="X19" s="88">
        <f t="shared" si="3"/>
        <v>1</v>
      </c>
      <c r="Y19" s="88">
        <f t="shared" si="4"/>
        <v>3</v>
      </c>
      <c r="Z19" s="89">
        <f t="shared" si="5"/>
        <v>8</v>
      </c>
      <c r="AA19" s="17" t="str">
        <f>_xlfn.TEXTJOIN(", ",TRUE,ABS(MID(C19,{1,1,2},1)-MID(C19,{2,3,3},1)))</f>
        <v>4, 1, 3</v>
      </c>
      <c r="AB19" s="90">
        <v>0</v>
      </c>
      <c r="AC19" s="90">
        <v>1</v>
      </c>
      <c r="AD19" s="90">
        <v>2</v>
      </c>
      <c r="AE19" s="90">
        <v>3</v>
      </c>
      <c r="AF19" s="90">
        <v>4</v>
      </c>
      <c r="AG19" s="90">
        <v>5</v>
      </c>
      <c r="AH19" s="90">
        <v>6</v>
      </c>
      <c r="AI19" s="90">
        <v>7</v>
      </c>
      <c r="AJ19" s="90">
        <v>8</v>
      </c>
      <c r="AK19" s="90">
        <v>9</v>
      </c>
      <c r="AL19" s="91">
        <v>0</v>
      </c>
      <c r="AM19" s="91">
        <v>1</v>
      </c>
      <c r="AN19" s="91">
        <v>2</v>
      </c>
      <c r="AO19" s="91">
        <v>3</v>
      </c>
      <c r="AP19" s="91">
        <v>4</v>
      </c>
      <c r="AQ19" s="91">
        <v>5</v>
      </c>
      <c r="AR19" s="91">
        <v>6</v>
      </c>
      <c r="AS19" s="91">
        <v>7</v>
      </c>
      <c r="AT19" s="91">
        <v>8</v>
      </c>
      <c r="AU19" s="91">
        <v>9</v>
      </c>
      <c r="AV19" s="92">
        <v>0</v>
      </c>
      <c r="AW19" s="92">
        <v>1</v>
      </c>
      <c r="AX19" s="92">
        <v>2</v>
      </c>
      <c r="AY19" s="92">
        <v>3</v>
      </c>
      <c r="AZ19" s="92">
        <v>4</v>
      </c>
      <c r="BA19" s="92">
        <v>5</v>
      </c>
      <c r="BB19" s="92">
        <v>6</v>
      </c>
      <c r="BC19" s="92">
        <v>7</v>
      </c>
      <c r="BD19" s="92">
        <v>8</v>
      </c>
      <c r="BE19" s="92">
        <v>9</v>
      </c>
      <c r="BF19" s="93">
        <v>0</v>
      </c>
      <c r="BG19" s="93">
        <v>1</v>
      </c>
      <c r="BH19" s="93">
        <v>2</v>
      </c>
      <c r="BI19" s="93">
        <v>3</v>
      </c>
      <c r="BJ19" s="93">
        <v>4</v>
      </c>
      <c r="BK19" s="93">
        <v>5</v>
      </c>
      <c r="BL19" s="93">
        <v>6</v>
      </c>
      <c r="BM19" s="93">
        <v>7</v>
      </c>
      <c r="BN19" s="93">
        <v>8</v>
      </c>
      <c r="BO19" s="93">
        <v>9</v>
      </c>
      <c r="BP19" s="94" t="str">
        <f t="shared" si="6"/>
        <v>紧凑型</v>
      </c>
      <c r="BQ19" s="15">
        <f t="shared" si="7"/>
        <v>1</v>
      </c>
      <c r="BR19" s="15">
        <f t="shared" si="8"/>
        <v>4</v>
      </c>
      <c r="BS19" s="20" t="str">
        <f t="shared" si="11"/>
        <v/>
      </c>
      <c r="BT19" s="21">
        <f t="shared" si="23"/>
        <v>4</v>
      </c>
      <c r="BU19" s="21" t="str">
        <f t="array" ref="BU19">_xlfn.TEXTJOIN("",TRUE,IF(ISERROR(FIND(ROW($1:$168)-1,BS19&amp;BT19)),ROW($1:$168)-1,""))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9" s="22" t="str">
        <f t="shared" si="12"/>
        <v>中隔中</v>
      </c>
      <c r="BW19" s="23" t="str">
        <f t="shared" si="13"/>
        <v/>
      </c>
      <c r="BX19" s="23" t="str">
        <f t="shared" si="24"/>
        <v/>
      </c>
      <c r="BY19" s="23" t="str">
        <f t="array" ref="BY19">_xlfn.TEXTJOIN("",TRUE,IF(ISERROR(FIND(ROW($1:$168)-1,BW19&amp;BX19)),ROW($1:$168)-1,""))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9" s="22" t="str">
        <f t="shared" si="14"/>
        <v>中中中</v>
      </c>
      <c r="CA19" s="24">
        <f t="shared" si="15"/>
        <v>3</v>
      </c>
      <c r="CB19" s="24" t="str">
        <f t="shared" si="25"/>
        <v/>
      </c>
      <c r="CC19" s="24" t="str">
        <f t="array" ref="CC19">_xlfn.TEXTJOIN("",TRUE,IF(ISERROR(FIND(ROW($1:$168)-1,CA19&amp;CB19)),ROW($1:$168)-1,""))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9" s="22" t="str">
        <f t="shared" si="16"/>
        <v>复中中</v>
      </c>
      <c r="CE19" s="25" t="str">
        <f t="shared" si="17"/>
        <v>35</v>
      </c>
      <c r="CF19" s="26" t="str">
        <f t="array" ref="CF19">_xlfn.TEXTJOIN("",TRUE,IF(ISNUMBER(FIND(MID(CE18&amp;W18,ROW($1:$162),1),CE19&amp;W19)),MID(CE18&amp;W18,ROW($1:$162),1),""))</f>
        <v>43</v>
      </c>
      <c r="CG19" s="27" t="str">
        <f t="array" ref="CG19">_xlfn.TEXTJOIN("",TRUE,IF(ISERROR(FIND(ROW($1:$168)-1,CE19&amp;CF19)),ROW($1:$168)-1,""))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9" s="28" t="str">
        <f t="shared" si="18"/>
        <v>邻传孤</v>
      </c>
      <c r="CI19" s="29" t="str">
        <f t="shared" si="19"/>
        <v>02</v>
      </c>
      <c r="CJ19" s="29" t="str">
        <f t="array" ref="CJ19">_xlfn.TEXTJOIN("",TRUE,IF(ISNUMBER(FIND(MID(CI18&amp;X18,ROW($1:$162),1),CI19&amp;X19)),MID(CI18&amp;X18,ROW($1:$162),1),""))</f>
        <v>2</v>
      </c>
      <c r="CK19" s="29" t="str">
        <f t="array" ref="CK19">_xlfn.TEXTJOIN("",TRUE,IF(ISERROR(FIND(ROW($1:$168)-1,CI19&amp;CJ19)),ROW($1:$168)-1,""))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9" s="19" t="str">
        <f t="shared" si="20"/>
        <v>邻传孤</v>
      </c>
      <c r="CM19" s="24" t="str">
        <f t="shared" si="21"/>
        <v>24</v>
      </c>
      <c r="CN19" s="24" t="str">
        <f t="array" ref="CN19">_xlfn.TEXTJOIN("",TRUE,IF(ISNUMBER(FIND(MID(CM18&amp;Y18,ROW($1:$162),1),CM19&amp;Y19)),MID(CM18&amp;Y18,ROW($1:$162),1),""))</f>
        <v/>
      </c>
      <c r="CO19" s="24" t="str">
        <f t="array" ref="CO19">_xlfn.TEXTJOIN("",TRUE,IF(ISERROR(FIND(ROW($1:$168)-1,CM19&amp;CN19)),ROW($1:$168)-1,""))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9" s="30" t="str">
        <f t="shared" si="22"/>
        <v>邻孤孤</v>
      </c>
    </row>
    <row r="20" customFormat="1" spans="1:94">
      <c r="A20" s="15">
        <v>20</v>
      </c>
      <c r="B20" s="80">
        <v>2023340</v>
      </c>
      <c r="C20" s="8" t="s">
        <v>46</v>
      </c>
      <c r="D20" s="81">
        <f t="shared" si="0"/>
        <v>12</v>
      </c>
      <c r="E20" s="82">
        <f t="shared" si="1"/>
        <v>2</v>
      </c>
      <c r="F20" s="83">
        <f t="shared" si="9"/>
        <v>1.71428571428571</v>
      </c>
      <c r="G20" s="84" t="str">
        <f t="shared" si="10"/>
        <v>松散</v>
      </c>
      <c r="H20" s="85" t="s">
        <v>10</v>
      </c>
      <c r="I20" s="85" t="s">
        <v>11</v>
      </c>
      <c r="J20" s="85" t="s">
        <v>12</v>
      </c>
      <c r="K20" s="85" t="s">
        <v>13</v>
      </c>
      <c r="L20" s="86">
        <f>MAX(MID(C20,{1,2,3},1)*1)-MIN(MID(C20,{1,2,3},1)*1)</f>
        <v>7</v>
      </c>
      <c r="M20" s="87">
        <v>0</v>
      </c>
      <c r="N20" s="87">
        <v>1</v>
      </c>
      <c r="O20" s="87">
        <v>2</v>
      </c>
      <c r="P20" s="87">
        <v>3</v>
      </c>
      <c r="Q20" s="87">
        <v>4</v>
      </c>
      <c r="R20" s="87">
        <v>5</v>
      </c>
      <c r="S20" s="87">
        <v>6</v>
      </c>
      <c r="T20" s="87">
        <v>7</v>
      </c>
      <c r="U20" s="87">
        <v>8</v>
      </c>
      <c r="V20" s="87">
        <v>9</v>
      </c>
      <c r="W20" s="88">
        <f t="shared" si="2"/>
        <v>2</v>
      </c>
      <c r="X20" s="88">
        <f t="shared" si="3"/>
        <v>7</v>
      </c>
      <c r="Y20" s="88">
        <f t="shared" si="4"/>
        <v>5</v>
      </c>
      <c r="Z20" s="89">
        <f t="shared" si="5"/>
        <v>14</v>
      </c>
      <c r="AA20" s="17" t="str">
        <f>_xlfn.TEXTJOIN(", ",TRUE,ABS(MID(C20,{1,1,2},1)-MID(C20,{2,3,3},1)))</f>
        <v>2, 7, 5</v>
      </c>
      <c r="AB20" s="90">
        <v>0</v>
      </c>
      <c r="AC20" s="90">
        <v>1</v>
      </c>
      <c r="AD20" s="90">
        <v>2</v>
      </c>
      <c r="AE20" s="90">
        <v>3</v>
      </c>
      <c r="AF20" s="90">
        <v>4</v>
      </c>
      <c r="AG20" s="90">
        <v>5</v>
      </c>
      <c r="AH20" s="90">
        <v>6</v>
      </c>
      <c r="AI20" s="90">
        <v>7</v>
      </c>
      <c r="AJ20" s="90">
        <v>8</v>
      </c>
      <c r="AK20" s="90">
        <v>9</v>
      </c>
      <c r="AL20" s="91">
        <v>0</v>
      </c>
      <c r="AM20" s="91">
        <v>1</v>
      </c>
      <c r="AN20" s="91">
        <v>2</v>
      </c>
      <c r="AO20" s="91">
        <v>3</v>
      </c>
      <c r="AP20" s="91">
        <v>4</v>
      </c>
      <c r="AQ20" s="91">
        <v>5</v>
      </c>
      <c r="AR20" s="91">
        <v>6</v>
      </c>
      <c r="AS20" s="91">
        <v>7</v>
      </c>
      <c r="AT20" s="91">
        <v>8</v>
      </c>
      <c r="AU20" s="91">
        <v>9</v>
      </c>
      <c r="AV20" s="92">
        <v>0</v>
      </c>
      <c r="AW20" s="92">
        <v>1</v>
      </c>
      <c r="AX20" s="92">
        <v>2</v>
      </c>
      <c r="AY20" s="92">
        <v>3</v>
      </c>
      <c r="AZ20" s="92">
        <v>4</v>
      </c>
      <c r="BA20" s="92">
        <v>5</v>
      </c>
      <c r="BB20" s="92">
        <v>6</v>
      </c>
      <c r="BC20" s="92">
        <v>7</v>
      </c>
      <c r="BD20" s="92">
        <v>8</v>
      </c>
      <c r="BE20" s="92">
        <v>9</v>
      </c>
      <c r="BF20" s="93">
        <v>0</v>
      </c>
      <c r="BG20" s="93">
        <v>1</v>
      </c>
      <c r="BH20" s="93">
        <v>2</v>
      </c>
      <c r="BI20" s="93">
        <v>3</v>
      </c>
      <c r="BJ20" s="93">
        <v>4</v>
      </c>
      <c r="BK20" s="93">
        <v>5</v>
      </c>
      <c r="BL20" s="93">
        <v>6</v>
      </c>
      <c r="BM20" s="93">
        <v>7</v>
      </c>
      <c r="BN20" s="93">
        <v>8</v>
      </c>
      <c r="BO20" s="93">
        <v>9</v>
      </c>
      <c r="BP20" s="94" t="str">
        <f t="shared" si="6"/>
        <v>松散型</v>
      </c>
      <c r="BQ20" s="15">
        <f t="shared" si="7"/>
        <v>2</v>
      </c>
      <c r="BR20" s="15">
        <f t="shared" si="8"/>
        <v>7</v>
      </c>
      <c r="BS20" s="20" t="str">
        <f t="shared" si="11"/>
        <v/>
      </c>
      <c r="BT20" s="21" t="str">
        <f t="shared" si="23"/>
        <v/>
      </c>
      <c r="BU20" s="21" t="str">
        <f t="array" ref="BU20">_xlfn.TEXTJOIN("",TRUE,IF(ISERROR(FIND(ROW($1:$168)-1,BS20&amp;BT20)),ROW($1:$168)-1,""))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0" s="22" t="str">
        <f t="shared" si="12"/>
        <v>中中中</v>
      </c>
      <c r="BW20" s="23" t="str">
        <f t="shared" si="13"/>
        <v/>
      </c>
      <c r="BX20" s="23" t="str">
        <f t="shared" si="24"/>
        <v/>
      </c>
      <c r="BY20" s="23" t="str">
        <f t="array" ref="BY20">_xlfn.TEXTJOIN("",TRUE,IF(ISERROR(FIND(ROW($1:$168)-1,BW20&amp;BX20)),ROW($1:$168)-1,""))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0" s="22" t="str">
        <f t="shared" si="14"/>
        <v>中中中</v>
      </c>
      <c r="CA20" s="24" t="str">
        <f t="shared" si="15"/>
        <v/>
      </c>
      <c r="CB20" s="24" t="str">
        <f t="shared" si="25"/>
        <v/>
      </c>
      <c r="CC20" s="24" t="str">
        <f t="array" ref="CC20">_xlfn.TEXTJOIN("",TRUE,IF(ISERROR(FIND(ROW($1:$168)-1,CA20&amp;CB20)),ROW($1:$168)-1,""))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0" s="22" t="str">
        <f t="shared" si="16"/>
        <v>中中中</v>
      </c>
      <c r="CE20" s="25" t="str">
        <f t="shared" si="17"/>
        <v>13</v>
      </c>
      <c r="CF20" s="26" t="str">
        <f t="array" ref="CF20">_xlfn.TEXTJOIN("",TRUE,IF(ISNUMBER(FIND(MID(CE19&amp;W19,ROW($1:$162),1),CE20&amp;W20)),MID(CE19&amp;W19,ROW($1:$162),1),""))</f>
        <v>3</v>
      </c>
      <c r="CG20" s="27" t="str">
        <f t="array" ref="CG20">_xlfn.TEXTJOIN("",TRUE,IF(ISERROR(FIND(ROW($1:$168)-1,CE20&amp;CF20)),ROW($1:$168)-1,""))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20" s="28" t="str">
        <f t="shared" si="18"/>
        <v>邻传孤</v>
      </c>
      <c r="CI20" s="29" t="str">
        <f t="shared" si="19"/>
        <v>68</v>
      </c>
      <c r="CJ20" s="29" t="str">
        <f t="array" ref="CJ20">_xlfn.TEXTJOIN("",TRUE,IF(ISNUMBER(FIND(MID(CI19&amp;X19,ROW($1:$162),1),CI20&amp;X20)),MID(CI19&amp;X19,ROW($1:$162),1),""))</f>
        <v/>
      </c>
      <c r="CK20" s="29" t="str">
        <f t="array" ref="CK20">_xlfn.TEXTJOIN("",TRUE,IF(ISERROR(FIND(ROW($1:$168)-1,CI20&amp;CJ20)),ROW($1:$168)-1,""))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0" s="19" t="str">
        <f t="shared" si="20"/>
        <v>邻孤孤</v>
      </c>
      <c r="CM20" s="24" t="str">
        <f t="shared" si="21"/>
        <v>46</v>
      </c>
      <c r="CN20" s="24" t="str">
        <f t="array" ref="CN20">_xlfn.TEXTJOIN("",TRUE,IF(ISNUMBER(FIND(MID(CM19&amp;Y19,ROW($1:$162),1),CM20&amp;Y20)),MID(CM19&amp;Y19,ROW($1:$162),1),""))</f>
        <v>4</v>
      </c>
      <c r="CO20" s="24" t="str">
        <f t="array" ref="CO20">_xlfn.TEXTJOIN("",TRUE,IF(ISERROR(FIND(ROW($1:$168)-1,CM20&amp;CN20)),ROW($1:$168)-1,""))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0" s="30" t="str">
        <f t="shared" si="22"/>
        <v>邻传孤</v>
      </c>
    </row>
    <row r="21" customFormat="1" spans="1:94">
      <c r="A21" s="15">
        <v>21</v>
      </c>
      <c r="B21" s="80">
        <v>2023341</v>
      </c>
      <c r="C21" s="8" t="s">
        <v>47</v>
      </c>
      <c r="D21" s="81">
        <f t="shared" si="0"/>
        <v>11</v>
      </c>
      <c r="E21" s="82">
        <f t="shared" si="1"/>
        <v>1</v>
      </c>
      <c r="F21" s="83">
        <f t="shared" si="9"/>
        <v>2.2</v>
      </c>
      <c r="G21" s="84" t="str">
        <f t="shared" si="10"/>
        <v>标准</v>
      </c>
      <c r="H21" s="85" t="s">
        <v>10</v>
      </c>
      <c r="I21" s="85" t="s">
        <v>11</v>
      </c>
      <c r="J21" s="85" t="s">
        <v>12</v>
      </c>
      <c r="K21" s="85" t="s">
        <v>13</v>
      </c>
      <c r="L21" s="86">
        <f>MAX(MID(C21,{1,2,3},1)*1)-MIN(MID(C21,{1,2,3},1)*1)</f>
        <v>5</v>
      </c>
      <c r="M21" s="87">
        <v>0</v>
      </c>
      <c r="N21" s="87">
        <v>1</v>
      </c>
      <c r="O21" s="87">
        <v>2</v>
      </c>
      <c r="P21" s="87">
        <v>3</v>
      </c>
      <c r="Q21" s="87">
        <v>4</v>
      </c>
      <c r="R21" s="87">
        <v>5</v>
      </c>
      <c r="S21" s="87">
        <v>6</v>
      </c>
      <c r="T21" s="87">
        <v>7</v>
      </c>
      <c r="U21" s="87">
        <v>8</v>
      </c>
      <c r="V21" s="87">
        <v>9</v>
      </c>
      <c r="W21" s="88">
        <f t="shared" si="2"/>
        <v>0</v>
      </c>
      <c r="X21" s="88">
        <f t="shared" si="3"/>
        <v>5</v>
      </c>
      <c r="Y21" s="88">
        <f t="shared" si="4"/>
        <v>5</v>
      </c>
      <c r="Z21" s="89">
        <f t="shared" si="5"/>
        <v>10</v>
      </c>
      <c r="AA21" s="17" t="str">
        <f>_xlfn.TEXTJOIN(", ",TRUE,ABS(MID(C21,{1,1,2},1)-MID(C21,{2,3,3},1)))</f>
        <v>0, 5, 5</v>
      </c>
      <c r="AB21" s="90">
        <v>0</v>
      </c>
      <c r="AC21" s="90">
        <v>1</v>
      </c>
      <c r="AD21" s="90">
        <v>2</v>
      </c>
      <c r="AE21" s="90">
        <v>3</v>
      </c>
      <c r="AF21" s="90">
        <v>4</v>
      </c>
      <c r="AG21" s="90">
        <v>5</v>
      </c>
      <c r="AH21" s="90">
        <v>6</v>
      </c>
      <c r="AI21" s="90">
        <v>7</v>
      </c>
      <c r="AJ21" s="90">
        <v>8</v>
      </c>
      <c r="AK21" s="90">
        <v>9</v>
      </c>
      <c r="AL21" s="91">
        <v>0</v>
      </c>
      <c r="AM21" s="91">
        <v>1</v>
      </c>
      <c r="AN21" s="91">
        <v>2</v>
      </c>
      <c r="AO21" s="91">
        <v>3</v>
      </c>
      <c r="AP21" s="91">
        <v>4</v>
      </c>
      <c r="AQ21" s="91">
        <v>5</v>
      </c>
      <c r="AR21" s="91">
        <v>6</v>
      </c>
      <c r="AS21" s="91">
        <v>7</v>
      </c>
      <c r="AT21" s="91">
        <v>8</v>
      </c>
      <c r="AU21" s="91">
        <v>9</v>
      </c>
      <c r="AV21" s="92">
        <v>0</v>
      </c>
      <c r="AW21" s="92">
        <v>1</v>
      </c>
      <c r="AX21" s="92">
        <v>2</v>
      </c>
      <c r="AY21" s="92">
        <v>3</v>
      </c>
      <c r="AZ21" s="92">
        <v>4</v>
      </c>
      <c r="BA21" s="92">
        <v>5</v>
      </c>
      <c r="BB21" s="92">
        <v>6</v>
      </c>
      <c r="BC21" s="92">
        <v>7</v>
      </c>
      <c r="BD21" s="92">
        <v>8</v>
      </c>
      <c r="BE21" s="92">
        <v>9</v>
      </c>
      <c r="BF21" s="93">
        <v>0</v>
      </c>
      <c r="BG21" s="93">
        <v>1</v>
      </c>
      <c r="BH21" s="93">
        <v>2</v>
      </c>
      <c r="BI21" s="93">
        <v>3</v>
      </c>
      <c r="BJ21" s="93">
        <v>4</v>
      </c>
      <c r="BK21" s="93">
        <v>5</v>
      </c>
      <c r="BL21" s="93">
        <v>6</v>
      </c>
      <c r="BM21" s="93">
        <v>7</v>
      </c>
      <c r="BN21" s="93">
        <v>8</v>
      </c>
      <c r="BO21" s="93">
        <v>9</v>
      </c>
      <c r="BP21" s="94" t="str">
        <f t="shared" si="6"/>
        <v>对子</v>
      </c>
      <c r="BQ21" s="15">
        <f t="shared" si="7"/>
        <v>0</v>
      </c>
      <c r="BR21" s="15">
        <f t="shared" si="8"/>
        <v>5</v>
      </c>
      <c r="BS21" s="20" t="str">
        <f t="shared" si="11"/>
        <v/>
      </c>
      <c r="BT21" s="21" t="str">
        <f t="shared" si="23"/>
        <v/>
      </c>
      <c r="BU21" s="21" t="str">
        <f t="array" ref="BU21">_xlfn.TEXTJOIN("",TRUE,IF(ISERROR(FIND(ROW($1:$168)-1,BS21&amp;BT21)),ROW($1:$168)-1,""))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1" s="22" t="str">
        <f t="shared" si="12"/>
        <v>中中中</v>
      </c>
      <c r="BW21" s="23">
        <f t="shared" si="13"/>
        <v>5</v>
      </c>
      <c r="BX21" s="23" t="str">
        <f t="shared" si="24"/>
        <v/>
      </c>
      <c r="BY21" s="23" t="str">
        <f t="array" ref="BY21">_xlfn.TEXTJOIN("",TRUE,IF(ISERROR(FIND(ROW($1:$168)-1,BW21&amp;BX21)),ROW($1:$168)-1,""))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1" s="22" t="str">
        <f t="shared" si="14"/>
        <v>复中中</v>
      </c>
      <c r="CA21" s="24">
        <f t="shared" si="15"/>
        <v>5</v>
      </c>
      <c r="CB21" s="24" t="str">
        <f t="shared" si="25"/>
        <v/>
      </c>
      <c r="CC21" s="24" t="str">
        <f t="array" ref="CC21">_xlfn.TEXTJOIN("",TRUE,IF(ISERROR(FIND(ROW($1:$168)-1,CA21&amp;CB21)),ROW($1:$168)-1,""))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1" s="22" t="str">
        <f t="shared" si="16"/>
        <v>复中中</v>
      </c>
      <c r="CE21" s="25" t="str">
        <f t="shared" si="17"/>
        <v>91</v>
      </c>
      <c r="CF21" s="26" t="str">
        <f t="array" ref="CF21">_xlfn.TEXTJOIN("",TRUE,IF(ISNUMBER(FIND(MID(CE20&amp;W20,ROW($1:$162),1),CE21&amp;W21)),MID(CE20&amp;W20,ROW($1:$162),1),""))</f>
        <v>1</v>
      </c>
      <c r="CG21" s="27" t="str">
        <f t="array" ref="CG21">_xlfn.TEXTJOIN("",TRUE,IF(ISERROR(FIND(ROW($1:$168)-1,CE21&amp;CF21)),ROW($1:$168)-1,""))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21" s="28" t="str">
        <f t="shared" si="18"/>
        <v>邻传孤</v>
      </c>
      <c r="CI21" s="29" t="str">
        <f t="shared" si="19"/>
        <v>46</v>
      </c>
      <c r="CJ21" s="29" t="str">
        <f t="array" ref="CJ21">_xlfn.TEXTJOIN("",TRUE,IF(ISNUMBER(FIND(MID(CI20&amp;X20,ROW($1:$162),1),CI21&amp;X21)),MID(CI20&amp;X20,ROW($1:$162),1),""))</f>
        <v>6</v>
      </c>
      <c r="CK21" s="29" t="str">
        <f t="array" ref="CK21">_xlfn.TEXTJOIN("",TRUE,IF(ISERROR(FIND(ROW($1:$168)-1,CI21&amp;CJ21)),ROW($1:$168)-1,""))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1" s="19" t="str">
        <f t="shared" si="20"/>
        <v>邻传孤</v>
      </c>
      <c r="CM21" s="24" t="str">
        <f t="shared" si="21"/>
        <v>46</v>
      </c>
      <c r="CN21" s="24" t="str">
        <f t="array" ref="CN21">_xlfn.TEXTJOIN("",TRUE,IF(ISNUMBER(FIND(MID(CM20&amp;Y20,ROW($1:$162),1),CM21&amp;Y21)),MID(CM20&amp;Y20,ROW($1:$162),1),""))</f>
        <v>465</v>
      </c>
      <c r="CO21" s="24" t="str">
        <f t="array" ref="CO21">_xlfn.TEXTJOIN("",TRUE,IF(ISERROR(FIND(ROW($1:$168)-1,CM21&amp;CN21)),ROW($1:$168)-1,""))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1" s="30" t="str">
        <f t="shared" si="22"/>
        <v>邻传孤</v>
      </c>
    </row>
    <row r="22" customFormat="1" spans="1:94">
      <c r="A22" s="15">
        <v>22</v>
      </c>
      <c r="B22" s="80">
        <v>2023342</v>
      </c>
      <c r="C22" s="8" t="s">
        <v>48</v>
      </c>
      <c r="D22" s="81">
        <f t="shared" si="0"/>
        <v>22</v>
      </c>
      <c r="E22" s="82">
        <f t="shared" si="1"/>
        <v>2</v>
      </c>
      <c r="F22" s="83">
        <f t="shared" si="9"/>
        <v>7.33333333333333</v>
      </c>
      <c r="G22" s="84" t="str">
        <f t="shared" si="10"/>
        <v>紧凑</v>
      </c>
      <c r="H22" s="85" t="s">
        <v>10</v>
      </c>
      <c r="I22" s="85" t="s">
        <v>11</v>
      </c>
      <c r="J22" s="85" t="s">
        <v>12</v>
      </c>
      <c r="K22" s="85" t="s">
        <v>13</v>
      </c>
      <c r="L22" s="86">
        <f>MAX(MID(C22,{1,2,3},1)*1)-MIN(MID(C22,{1,2,3},1)*1)</f>
        <v>3</v>
      </c>
      <c r="M22" s="87">
        <v>0</v>
      </c>
      <c r="N22" s="87">
        <v>1</v>
      </c>
      <c r="O22" s="87">
        <v>2</v>
      </c>
      <c r="P22" s="87">
        <v>3</v>
      </c>
      <c r="Q22" s="87">
        <v>4</v>
      </c>
      <c r="R22" s="87">
        <v>5</v>
      </c>
      <c r="S22" s="87">
        <v>6</v>
      </c>
      <c r="T22" s="87">
        <v>7</v>
      </c>
      <c r="U22" s="87">
        <v>8</v>
      </c>
      <c r="V22" s="87">
        <v>9</v>
      </c>
      <c r="W22" s="88">
        <f t="shared" si="2"/>
        <v>1</v>
      </c>
      <c r="X22" s="88">
        <f t="shared" si="3"/>
        <v>2</v>
      </c>
      <c r="Y22" s="88">
        <f t="shared" si="4"/>
        <v>3</v>
      </c>
      <c r="Z22" s="89">
        <f t="shared" si="5"/>
        <v>6</v>
      </c>
      <c r="AA22" s="17" t="str">
        <f>_xlfn.TEXTJOIN(", ",TRUE,ABS(MID(C22,{1,1,2},1)-MID(C22,{2,3,3},1)))</f>
        <v>1, 2, 3</v>
      </c>
      <c r="AB22" s="90">
        <v>0</v>
      </c>
      <c r="AC22" s="90">
        <v>1</v>
      </c>
      <c r="AD22" s="90">
        <v>2</v>
      </c>
      <c r="AE22" s="90">
        <v>3</v>
      </c>
      <c r="AF22" s="90">
        <v>4</v>
      </c>
      <c r="AG22" s="90">
        <v>5</v>
      </c>
      <c r="AH22" s="90">
        <v>6</v>
      </c>
      <c r="AI22" s="90">
        <v>7</v>
      </c>
      <c r="AJ22" s="90">
        <v>8</v>
      </c>
      <c r="AK22" s="90">
        <v>9</v>
      </c>
      <c r="AL22" s="91">
        <v>0</v>
      </c>
      <c r="AM22" s="91">
        <v>1</v>
      </c>
      <c r="AN22" s="91">
        <v>2</v>
      </c>
      <c r="AO22" s="91">
        <v>3</v>
      </c>
      <c r="AP22" s="91">
        <v>4</v>
      </c>
      <c r="AQ22" s="91">
        <v>5</v>
      </c>
      <c r="AR22" s="91">
        <v>6</v>
      </c>
      <c r="AS22" s="91">
        <v>7</v>
      </c>
      <c r="AT22" s="91">
        <v>8</v>
      </c>
      <c r="AU22" s="91">
        <v>9</v>
      </c>
      <c r="AV22" s="92">
        <v>0</v>
      </c>
      <c r="AW22" s="92">
        <v>1</v>
      </c>
      <c r="AX22" s="92">
        <v>2</v>
      </c>
      <c r="AY22" s="92">
        <v>3</v>
      </c>
      <c r="AZ22" s="92">
        <v>4</v>
      </c>
      <c r="BA22" s="92">
        <v>5</v>
      </c>
      <c r="BB22" s="92">
        <v>6</v>
      </c>
      <c r="BC22" s="92">
        <v>7</v>
      </c>
      <c r="BD22" s="92">
        <v>8</v>
      </c>
      <c r="BE22" s="92">
        <v>9</v>
      </c>
      <c r="BF22" s="93">
        <v>0</v>
      </c>
      <c r="BG22" s="93">
        <v>1</v>
      </c>
      <c r="BH22" s="93">
        <v>2</v>
      </c>
      <c r="BI22" s="93">
        <v>3</v>
      </c>
      <c r="BJ22" s="93">
        <v>4</v>
      </c>
      <c r="BK22" s="93">
        <v>5</v>
      </c>
      <c r="BL22" s="93">
        <v>6</v>
      </c>
      <c r="BM22" s="93">
        <v>7</v>
      </c>
      <c r="BN22" s="93">
        <v>8</v>
      </c>
      <c r="BO22" s="93">
        <v>9</v>
      </c>
      <c r="BP22" s="94" t="str">
        <f t="shared" si="6"/>
        <v>紧凑型</v>
      </c>
      <c r="BQ22" s="15">
        <f t="shared" si="7"/>
        <v>1</v>
      </c>
      <c r="BR22" s="15">
        <f t="shared" si="8"/>
        <v>3</v>
      </c>
      <c r="BS22" s="20" t="str">
        <f t="shared" si="11"/>
        <v/>
      </c>
      <c r="BT22" s="21" t="str">
        <f t="shared" si="23"/>
        <v/>
      </c>
      <c r="BU22" s="21" t="str">
        <f t="array" ref="BU22">_xlfn.TEXTJOIN("",TRUE,IF(ISERROR(FIND(ROW($1:$168)-1,BS22&amp;BT22)),ROW($1:$168)-1,""))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2" s="22" t="str">
        <f t="shared" si="12"/>
        <v>中中中</v>
      </c>
      <c r="BW22" s="23" t="str">
        <f t="shared" si="13"/>
        <v/>
      </c>
      <c r="BX22" s="23">
        <f t="shared" si="24"/>
        <v>2</v>
      </c>
      <c r="BY22" s="23" t="str">
        <f t="array" ref="BY22">_xlfn.TEXTJOIN("",TRUE,IF(ISERROR(FIND(ROW($1:$168)-1,BW22&amp;BX22)),ROW($1:$168)-1,""))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2" s="22" t="str">
        <f t="shared" si="14"/>
        <v>中隔中</v>
      </c>
      <c r="CA22" s="24" t="str">
        <f t="shared" si="15"/>
        <v/>
      </c>
      <c r="CB22" s="24" t="str">
        <f t="shared" si="25"/>
        <v/>
      </c>
      <c r="CC22" s="24" t="str">
        <f t="array" ref="CC22">_xlfn.TEXTJOIN("",TRUE,IF(ISERROR(FIND(ROW($1:$168)-1,CA22&amp;CB22)),ROW($1:$168)-1,""))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2" s="22" t="str">
        <f t="shared" si="16"/>
        <v>中中中</v>
      </c>
      <c r="CE22" s="25" t="str">
        <f t="shared" si="17"/>
        <v>02</v>
      </c>
      <c r="CF22" s="26" t="str">
        <f t="array" ref="CF22">_xlfn.TEXTJOIN("",TRUE,IF(ISNUMBER(FIND(MID(CE21&amp;W21,ROW($1:$162),1),CE22&amp;W22)),MID(CE21&amp;W21,ROW($1:$162),1),""))</f>
        <v>10</v>
      </c>
      <c r="CG22" s="27" t="str">
        <f t="array" ref="CG22">_xlfn.TEXTJOIN("",TRUE,IF(ISERROR(FIND(ROW($1:$168)-1,CE22&amp;CF22)),ROW($1:$168)-1,""))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2" s="28" t="str">
        <f t="shared" si="18"/>
        <v>邻传孤</v>
      </c>
      <c r="CI22" s="29" t="str">
        <f t="shared" si="19"/>
        <v>13</v>
      </c>
      <c r="CJ22" s="29" t="str">
        <f t="array" ref="CJ22">_xlfn.TEXTJOIN("",TRUE,IF(ISNUMBER(FIND(MID(CI21&amp;X21,ROW($1:$162),1),CI22&amp;X22)),MID(CI21&amp;X21,ROW($1:$162),1),""))</f>
        <v/>
      </c>
      <c r="CK22" s="29" t="str">
        <f t="array" ref="CK22">_xlfn.TEXTJOIN("",TRUE,IF(ISERROR(FIND(ROW($1:$168)-1,CI22&amp;CJ22)),ROW($1:$168)-1,""))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2" s="19" t="str">
        <f t="shared" si="20"/>
        <v>邻孤孤</v>
      </c>
      <c r="CM22" s="24" t="str">
        <f t="shared" si="21"/>
        <v>24</v>
      </c>
      <c r="CN22" s="24" t="str">
        <f t="array" ref="CN22">_xlfn.TEXTJOIN("",TRUE,IF(ISNUMBER(FIND(MID(CM21&amp;Y21,ROW($1:$162),1),CM22&amp;Y22)),MID(CM21&amp;Y21,ROW($1:$162),1),""))</f>
        <v>4</v>
      </c>
      <c r="CO22" s="24" t="str">
        <f t="array" ref="CO22">_xlfn.TEXTJOIN("",TRUE,IF(ISERROR(FIND(ROW($1:$168)-1,CM22&amp;CN22)),ROW($1:$168)-1,""))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2" s="30" t="str">
        <f t="shared" si="22"/>
        <v>邻传孤</v>
      </c>
    </row>
    <row r="23" customFormat="1" spans="1:94">
      <c r="A23" s="15">
        <v>23</v>
      </c>
      <c r="B23" s="80">
        <v>2023343</v>
      </c>
      <c r="C23" s="8" t="s">
        <v>49</v>
      </c>
      <c r="D23" s="81">
        <f t="shared" si="0"/>
        <v>20</v>
      </c>
      <c r="E23" s="82">
        <f t="shared" si="1"/>
        <v>0</v>
      </c>
      <c r="F23" s="83">
        <f t="shared" si="9"/>
        <v>5</v>
      </c>
      <c r="G23" s="84" t="str">
        <f t="shared" si="10"/>
        <v>紧凑</v>
      </c>
      <c r="H23" s="85" t="s">
        <v>10</v>
      </c>
      <c r="I23" s="85" t="s">
        <v>11</v>
      </c>
      <c r="J23" s="85" t="s">
        <v>12</v>
      </c>
      <c r="K23" s="85" t="s">
        <v>13</v>
      </c>
      <c r="L23" s="86">
        <f>MAX(MID(C23,{1,2,3},1)*1)-MIN(MID(C23,{1,2,3},1)*1)</f>
        <v>4</v>
      </c>
      <c r="M23" s="87">
        <v>0</v>
      </c>
      <c r="N23" s="87">
        <v>1</v>
      </c>
      <c r="O23" s="87">
        <v>2</v>
      </c>
      <c r="P23" s="87">
        <v>3</v>
      </c>
      <c r="Q23" s="87">
        <v>4</v>
      </c>
      <c r="R23" s="87">
        <v>5</v>
      </c>
      <c r="S23" s="87">
        <v>6</v>
      </c>
      <c r="T23" s="87">
        <v>7</v>
      </c>
      <c r="U23" s="87">
        <v>8</v>
      </c>
      <c r="V23" s="87">
        <v>9</v>
      </c>
      <c r="W23" s="88">
        <f t="shared" si="2"/>
        <v>4</v>
      </c>
      <c r="X23" s="88">
        <f t="shared" si="3"/>
        <v>0</v>
      </c>
      <c r="Y23" s="88">
        <f t="shared" si="4"/>
        <v>4</v>
      </c>
      <c r="Z23" s="89">
        <f t="shared" si="5"/>
        <v>8</v>
      </c>
      <c r="AA23" s="17" t="str">
        <f>_xlfn.TEXTJOIN(", ",TRUE,ABS(MID(C23,{1,1,2},1)-MID(C23,{2,3,3},1)))</f>
        <v>4, 0, 4</v>
      </c>
      <c r="AB23" s="90">
        <v>0</v>
      </c>
      <c r="AC23" s="90">
        <v>1</v>
      </c>
      <c r="AD23" s="90">
        <v>2</v>
      </c>
      <c r="AE23" s="90">
        <v>3</v>
      </c>
      <c r="AF23" s="90">
        <v>4</v>
      </c>
      <c r="AG23" s="90">
        <v>5</v>
      </c>
      <c r="AH23" s="90">
        <v>6</v>
      </c>
      <c r="AI23" s="90">
        <v>7</v>
      </c>
      <c r="AJ23" s="90">
        <v>8</v>
      </c>
      <c r="AK23" s="90">
        <v>9</v>
      </c>
      <c r="AL23" s="91">
        <v>0</v>
      </c>
      <c r="AM23" s="91">
        <v>1</v>
      </c>
      <c r="AN23" s="91">
        <v>2</v>
      </c>
      <c r="AO23" s="91">
        <v>3</v>
      </c>
      <c r="AP23" s="91">
        <v>4</v>
      </c>
      <c r="AQ23" s="91">
        <v>5</v>
      </c>
      <c r="AR23" s="91">
        <v>6</v>
      </c>
      <c r="AS23" s="91">
        <v>7</v>
      </c>
      <c r="AT23" s="91">
        <v>8</v>
      </c>
      <c r="AU23" s="91">
        <v>9</v>
      </c>
      <c r="AV23" s="92">
        <v>0</v>
      </c>
      <c r="AW23" s="92">
        <v>1</v>
      </c>
      <c r="AX23" s="92">
        <v>2</v>
      </c>
      <c r="AY23" s="92">
        <v>3</v>
      </c>
      <c r="AZ23" s="92">
        <v>4</v>
      </c>
      <c r="BA23" s="92">
        <v>5</v>
      </c>
      <c r="BB23" s="92">
        <v>6</v>
      </c>
      <c r="BC23" s="92">
        <v>7</v>
      </c>
      <c r="BD23" s="92">
        <v>8</v>
      </c>
      <c r="BE23" s="92">
        <v>9</v>
      </c>
      <c r="BF23" s="93">
        <v>0</v>
      </c>
      <c r="BG23" s="93">
        <v>1</v>
      </c>
      <c r="BH23" s="93">
        <v>2</v>
      </c>
      <c r="BI23" s="93">
        <v>3</v>
      </c>
      <c r="BJ23" s="93">
        <v>4</v>
      </c>
      <c r="BK23" s="93">
        <v>5</v>
      </c>
      <c r="BL23" s="93">
        <v>6</v>
      </c>
      <c r="BM23" s="93">
        <v>7</v>
      </c>
      <c r="BN23" s="93">
        <v>8</v>
      </c>
      <c r="BO23" s="93">
        <v>9</v>
      </c>
      <c r="BP23" s="94" t="str">
        <f t="shared" si="6"/>
        <v>紧凑型</v>
      </c>
      <c r="BQ23" s="15">
        <f t="shared" si="7"/>
        <v>0</v>
      </c>
      <c r="BR23" s="15">
        <f t="shared" si="8"/>
        <v>4</v>
      </c>
      <c r="BS23" s="20" t="str">
        <f t="shared" si="11"/>
        <v/>
      </c>
      <c r="BT23" s="21" t="str">
        <f t="shared" si="23"/>
        <v/>
      </c>
      <c r="BU23" s="21" t="str">
        <f t="array" ref="BU23">_xlfn.TEXTJOIN("",TRUE,IF(ISERROR(FIND(ROW($1:$168)-1,BS23&amp;BT23)),ROW($1:$168)-1,""))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3" s="22" t="str">
        <f t="shared" si="12"/>
        <v>中中中</v>
      </c>
      <c r="BW23" s="23" t="str">
        <f t="shared" si="13"/>
        <v/>
      </c>
      <c r="BX23" s="23">
        <f t="shared" si="24"/>
        <v>0</v>
      </c>
      <c r="BY23" s="23" t="str">
        <f t="array" ref="BY23">_xlfn.TEXTJOIN("",TRUE,IF(ISERROR(FIND(ROW($1:$168)-1,BW23&amp;BX23)),ROW($1:$168)-1,""))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3" s="22" t="str">
        <f t="shared" si="14"/>
        <v>中隔中</v>
      </c>
      <c r="CA23" s="24" t="str">
        <f t="shared" si="15"/>
        <v/>
      </c>
      <c r="CB23" s="24" t="str">
        <f t="shared" si="25"/>
        <v/>
      </c>
      <c r="CC23" s="24" t="str">
        <f t="array" ref="CC23">_xlfn.TEXTJOIN("",TRUE,IF(ISERROR(FIND(ROW($1:$168)-1,CA23&amp;CB23)),ROW($1:$168)-1,""))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3" s="22" t="str">
        <f t="shared" si="16"/>
        <v>中中中</v>
      </c>
      <c r="CE23" s="25" t="str">
        <f t="shared" si="17"/>
        <v>35</v>
      </c>
      <c r="CF23" s="26" t="str">
        <f t="array" ref="CF23">_xlfn.TEXTJOIN("",TRUE,IF(ISNUMBER(FIND(MID(CE22&amp;W22,ROW($1:$162),1),CE23&amp;W23)),MID(CE22&amp;W22,ROW($1:$162),1),""))</f>
        <v/>
      </c>
      <c r="CG23" s="27" t="str">
        <f t="array" ref="CG23">_xlfn.TEXTJOIN("",TRUE,IF(ISERROR(FIND(ROW($1:$168)-1,CE23&amp;CF23)),ROW($1:$168)-1,""))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3" s="28" t="str">
        <f t="shared" si="18"/>
        <v>邻孤孤</v>
      </c>
      <c r="CI23" s="29" t="str">
        <f t="shared" si="19"/>
        <v>91</v>
      </c>
      <c r="CJ23" s="29" t="str">
        <f t="array" ref="CJ23">_xlfn.TEXTJOIN("",TRUE,IF(ISNUMBER(FIND(MID(CI22&amp;X22,ROW($1:$162),1),CI23&amp;X23)),MID(CI22&amp;X22,ROW($1:$162),1),""))</f>
        <v>1</v>
      </c>
      <c r="CK23" s="29" t="str">
        <f t="array" ref="CK23">_xlfn.TEXTJOIN("",TRUE,IF(ISERROR(FIND(ROW($1:$168)-1,CI23&amp;CJ23)),ROW($1:$168)-1,""))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23" s="19" t="str">
        <f t="shared" si="20"/>
        <v>邻传孤</v>
      </c>
      <c r="CM23" s="24" t="str">
        <f t="shared" si="21"/>
        <v>35</v>
      </c>
      <c r="CN23" s="24" t="str">
        <f t="array" ref="CN23">_xlfn.TEXTJOIN("",TRUE,IF(ISNUMBER(FIND(MID(CM22&amp;Y22,ROW($1:$162),1),CM23&amp;Y23)),MID(CM22&amp;Y22,ROW($1:$162),1),""))</f>
        <v>43</v>
      </c>
      <c r="CO23" s="24" t="str">
        <f t="array" ref="CO23">_xlfn.TEXTJOIN("",TRUE,IF(ISERROR(FIND(ROW($1:$168)-1,CM23&amp;CN23)),ROW($1:$168)-1,""))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3" s="30" t="str">
        <f t="shared" si="22"/>
        <v>邻传孤</v>
      </c>
    </row>
    <row r="24" customFormat="1" spans="1:94">
      <c r="A24" s="15">
        <v>24</v>
      </c>
      <c r="B24" s="80">
        <v>2023344</v>
      </c>
      <c r="C24" s="8" t="s">
        <v>50</v>
      </c>
      <c r="D24" s="81">
        <f t="shared" si="0"/>
        <v>23</v>
      </c>
      <c r="E24" s="82">
        <f t="shared" si="1"/>
        <v>3</v>
      </c>
      <c r="F24" s="83">
        <f t="shared" si="9"/>
        <v>7.66666666666667</v>
      </c>
      <c r="G24" s="84" t="str">
        <f t="shared" si="10"/>
        <v>紧凑</v>
      </c>
      <c r="H24" s="85" t="s">
        <v>10</v>
      </c>
      <c r="I24" s="85" t="s">
        <v>11</v>
      </c>
      <c r="J24" s="85" t="s">
        <v>12</v>
      </c>
      <c r="K24" s="85" t="s">
        <v>13</v>
      </c>
      <c r="L24" s="86">
        <f>MAX(MID(C24,{1,2,3},1)*1)-MIN(MID(C24,{1,2,3},1)*1)</f>
        <v>3</v>
      </c>
      <c r="M24" s="87">
        <v>0</v>
      </c>
      <c r="N24" s="87">
        <v>1</v>
      </c>
      <c r="O24" s="87">
        <v>2</v>
      </c>
      <c r="P24" s="87">
        <v>3</v>
      </c>
      <c r="Q24" s="87">
        <v>4</v>
      </c>
      <c r="R24" s="87">
        <v>5</v>
      </c>
      <c r="S24" s="87">
        <v>6</v>
      </c>
      <c r="T24" s="87">
        <v>7</v>
      </c>
      <c r="U24" s="87">
        <v>8</v>
      </c>
      <c r="V24" s="87">
        <v>9</v>
      </c>
      <c r="W24" s="88">
        <f t="shared" si="2"/>
        <v>3</v>
      </c>
      <c r="X24" s="88">
        <f t="shared" si="3"/>
        <v>1</v>
      </c>
      <c r="Y24" s="88">
        <f t="shared" si="4"/>
        <v>2</v>
      </c>
      <c r="Z24" s="89">
        <f t="shared" si="5"/>
        <v>6</v>
      </c>
      <c r="AA24" s="17" t="str">
        <f>_xlfn.TEXTJOIN(", ",TRUE,ABS(MID(C24,{1,1,2},1)-MID(C24,{2,3,3},1)))</f>
        <v>3, 1, 2</v>
      </c>
      <c r="AB24" s="90">
        <v>0</v>
      </c>
      <c r="AC24" s="90">
        <v>1</v>
      </c>
      <c r="AD24" s="90">
        <v>2</v>
      </c>
      <c r="AE24" s="90">
        <v>3</v>
      </c>
      <c r="AF24" s="90">
        <v>4</v>
      </c>
      <c r="AG24" s="90">
        <v>5</v>
      </c>
      <c r="AH24" s="90">
        <v>6</v>
      </c>
      <c r="AI24" s="90">
        <v>7</v>
      </c>
      <c r="AJ24" s="90">
        <v>8</v>
      </c>
      <c r="AK24" s="90">
        <v>9</v>
      </c>
      <c r="AL24" s="91">
        <v>0</v>
      </c>
      <c r="AM24" s="91">
        <v>1</v>
      </c>
      <c r="AN24" s="91">
        <v>2</v>
      </c>
      <c r="AO24" s="91">
        <v>3</v>
      </c>
      <c r="AP24" s="91">
        <v>4</v>
      </c>
      <c r="AQ24" s="91">
        <v>5</v>
      </c>
      <c r="AR24" s="91">
        <v>6</v>
      </c>
      <c r="AS24" s="91">
        <v>7</v>
      </c>
      <c r="AT24" s="91">
        <v>8</v>
      </c>
      <c r="AU24" s="91">
        <v>9</v>
      </c>
      <c r="AV24" s="92">
        <v>0</v>
      </c>
      <c r="AW24" s="92">
        <v>1</v>
      </c>
      <c r="AX24" s="92">
        <v>2</v>
      </c>
      <c r="AY24" s="92">
        <v>3</v>
      </c>
      <c r="AZ24" s="92">
        <v>4</v>
      </c>
      <c r="BA24" s="92">
        <v>5</v>
      </c>
      <c r="BB24" s="92">
        <v>6</v>
      </c>
      <c r="BC24" s="92">
        <v>7</v>
      </c>
      <c r="BD24" s="92">
        <v>8</v>
      </c>
      <c r="BE24" s="92">
        <v>9</v>
      </c>
      <c r="BF24" s="93">
        <v>0</v>
      </c>
      <c r="BG24" s="93">
        <v>1</v>
      </c>
      <c r="BH24" s="93">
        <v>2</v>
      </c>
      <c r="BI24" s="93">
        <v>3</v>
      </c>
      <c r="BJ24" s="93">
        <v>4</v>
      </c>
      <c r="BK24" s="93">
        <v>5</v>
      </c>
      <c r="BL24" s="93">
        <v>6</v>
      </c>
      <c r="BM24" s="93">
        <v>7</v>
      </c>
      <c r="BN24" s="93">
        <v>8</v>
      </c>
      <c r="BO24" s="93">
        <v>9</v>
      </c>
      <c r="BP24" s="94" t="str">
        <f t="shared" si="6"/>
        <v>紧凑型</v>
      </c>
      <c r="BQ24" s="15">
        <f t="shared" si="7"/>
        <v>1</v>
      </c>
      <c r="BR24" s="15">
        <f t="shared" si="8"/>
        <v>3</v>
      </c>
      <c r="BS24" s="20"/>
      <c r="BT24" s="21"/>
      <c r="BU24" s="21"/>
      <c r="BV24" s="66"/>
      <c r="BW24" s="23"/>
      <c r="BX24" s="23"/>
      <c r="BY24" s="23"/>
      <c r="BZ24" s="68"/>
      <c r="CA24" s="24"/>
      <c r="CB24" s="24"/>
      <c r="CC24" s="24"/>
      <c r="CD24" s="70"/>
      <c r="CE24" s="25"/>
      <c r="CF24" s="26"/>
      <c r="CG24" s="27"/>
      <c r="CH24" s="74"/>
      <c r="CI24" s="29"/>
      <c r="CJ24" s="29"/>
      <c r="CK24" s="29"/>
      <c r="CL24" s="77"/>
      <c r="CM24" s="24"/>
      <c r="CN24" s="24"/>
      <c r="CO24" s="24"/>
      <c r="CP24" s="79"/>
    </row>
    <row r="25" customFormat="1" spans="1:94">
      <c r="A25" s="15">
        <v>25</v>
      </c>
      <c r="B25" s="80">
        <v>2023345</v>
      </c>
      <c r="C25" s="8" t="s">
        <v>51</v>
      </c>
      <c r="D25" s="81">
        <f t="shared" ref="D25:D48" si="26">LEFT(C25,1)+MID(C25,2,1)+RIGHT(C25,1)</f>
        <v>13</v>
      </c>
      <c r="E25" s="82">
        <f t="shared" ref="E25:E48" si="27">MOD(LEFT(C25,1)+MID(C25,2,1)+RIGHT(C25,1),10)</f>
        <v>3</v>
      </c>
      <c r="F25" s="83">
        <f t="shared" si="9"/>
        <v>4.33333333333333</v>
      </c>
      <c r="G25" s="84" t="str">
        <f t="shared" si="10"/>
        <v>紧凑</v>
      </c>
      <c r="H25" s="85" t="s">
        <v>10</v>
      </c>
      <c r="I25" s="85" t="s">
        <v>11</v>
      </c>
      <c r="J25" s="85" t="s">
        <v>12</v>
      </c>
      <c r="K25" s="85" t="s">
        <v>13</v>
      </c>
      <c r="L25" s="86">
        <f>MAX(MID(C25,{1,2,3},1)*1)-MIN(MID(C25,{1,2,3},1)*1)</f>
        <v>3</v>
      </c>
      <c r="M25" s="87">
        <v>0</v>
      </c>
      <c r="N25" s="87">
        <v>1</v>
      </c>
      <c r="O25" s="87">
        <v>2</v>
      </c>
      <c r="P25" s="87">
        <v>3</v>
      </c>
      <c r="Q25" s="87">
        <v>4</v>
      </c>
      <c r="R25" s="87">
        <v>5</v>
      </c>
      <c r="S25" s="87">
        <v>6</v>
      </c>
      <c r="T25" s="87">
        <v>7</v>
      </c>
      <c r="U25" s="87">
        <v>8</v>
      </c>
      <c r="V25" s="87">
        <v>9</v>
      </c>
      <c r="W25" s="88">
        <f t="shared" ref="W25:W48" si="28">ABS(LEFT(C25,1)-MID(C25,2,1))</f>
        <v>1</v>
      </c>
      <c r="X25" s="88">
        <f t="shared" ref="X25:X48" si="29">ABS(LEFT(C25,1)-RIGHT(C25,1))</f>
        <v>2</v>
      </c>
      <c r="Y25" s="88">
        <f t="shared" ref="Y25:Y48" si="30">ABS(MID(C25,2,1)-RIGHT(C25,1))</f>
        <v>3</v>
      </c>
      <c r="Z25" s="89">
        <f t="shared" ref="Z25:Z48" si="31">W25+X25+Y25</f>
        <v>6</v>
      </c>
      <c r="AA25" s="17" t="str">
        <f>_xlfn.TEXTJOIN(", ",TRUE,ABS(MID(C25,{1,1,2},1)-MID(C25,{2,3,3},1)))</f>
        <v>1, 2, 3</v>
      </c>
      <c r="AB25" s="90">
        <v>0</v>
      </c>
      <c r="AC25" s="90">
        <v>1</v>
      </c>
      <c r="AD25" s="90">
        <v>2</v>
      </c>
      <c r="AE25" s="90">
        <v>3</v>
      </c>
      <c r="AF25" s="90">
        <v>4</v>
      </c>
      <c r="AG25" s="90">
        <v>5</v>
      </c>
      <c r="AH25" s="90">
        <v>6</v>
      </c>
      <c r="AI25" s="90">
        <v>7</v>
      </c>
      <c r="AJ25" s="90">
        <v>8</v>
      </c>
      <c r="AK25" s="90">
        <v>9</v>
      </c>
      <c r="AL25" s="91">
        <v>0</v>
      </c>
      <c r="AM25" s="91">
        <v>1</v>
      </c>
      <c r="AN25" s="91">
        <v>2</v>
      </c>
      <c r="AO25" s="91">
        <v>3</v>
      </c>
      <c r="AP25" s="91">
        <v>4</v>
      </c>
      <c r="AQ25" s="91">
        <v>5</v>
      </c>
      <c r="AR25" s="91">
        <v>6</v>
      </c>
      <c r="AS25" s="91">
        <v>7</v>
      </c>
      <c r="AT25" s="91">
        <v>8</v>
      </c>
      <c r="AU25" s="91">
        <v>9</v>
      </c>
      <c r="AV25" s="92">
        <v>0</v>
      </c>
      <c r="AW25" s="92">
        <v>1</v>
      </c>
      <c r="AX25" s="92">
        <v>2</v>
      </c>
      <c r="AY25" s="92">
        <v>3</v>
      </c>
      <c r="AZ25" s="92">
        <v>4</v>
      </c>
      <c r="BA25" s="92">
        <v>5</v>
      </c>
      <c r="BB25" s="92">
        <v>6</v>
      </c>
      <c r="BC25" s="92">
        <v>7</v>
      </c>
      <c r="BD25" s="92">
        <v>8</v>
      </c>
      <c r="BE25" s="92">
        <v>9</v>
      </c>
      <c r="BF25" s="93">
        <v>0</v>
      </c>
      <c r="BG25" s="93">
        <v>1</v>
      </c>
      <c r="BH25" s="93">
        <v>2</v>
      </c>
      <c r="BI25" s="93">
        <v>3</v>
      </c>
      <c r="BJ25" s="93">
        <v>4</v>
      </c>
      <c r="BK25" s="93">
        <v>5</v>
      </c>
      <c r="BL25" s="93">
        <v>6</v>
      </c>
      <c r="BM25" s="93">
        <v>7</v>
      </c>
      <c r="BN25" s="93">
        <v>8</v>
      </c>
      <c r="BO25" s="93">
        <v>9</v>
      </c>
      <c r="BP25" s="94" t="str">
        <f t="shared" ref="BP25:BP48" si="32">IF(AND(BQ25&lt;=1,BR25&lt;=4),"紧凑型",IF(OR(BQ25&gt;=3,BR25&gt;=6),"松散型",IF(AND(BQ25&gt;=1,BR25&lt;=5),"标准型","对子")))</f>
        <v>紧凑型</v>
      </c>
      <c r="BQ25" s="15">
        <f t="shared" ref="BQ25:BQ48" si="33">MIN(ABS(INT(C25/100)-INT(MOD(C25,100)/10)),ABS(INT(C25/100)-MOD(C25,10)),ABS(INT(MOD(C25,100)/10)-MOD(C25,10)))</f>
        <v>1</v>
      </c>
      <c r="BR25" s="15">
        <f t="shared" ref="BR25:BR48" si="34">MAX(ABS(INT(C25/100)-INT(MOD(C25,100)/10)),ABS(INT(C25/100)-MOD(C25,10)),ABS(INT(MOD(C25,100)/10)-MOD(C25,10)))</f>
        <v>3</v>
      </c>
      <c r="BS25" s="20"/>
      <c r="BT25" s="21"/>
      <c r="BU25" s="21"/>
      <c r="BV25" s="66"/>
      <c r="BW25" s="23"/>
      <c r="BX25" s="23"/>
      <c r="BY25" s="23"/>
      <c r="BZ25" s="68"/>
      <c r="CA25" s="24"/>
      <c r="CB25" s="24"/>
      <c r="CC25" s="24"/>
      <c r="CD25" s="70"/>
      <c r="CE25" s="25"/>
      <c r="CF25" s="26"/>
      <c r="CG25" s="27"/>
      <c r="CH25" s="74"/>
      <c r="CI25" s="29"/>
      <c r="CJ25" s="29"/>
      <c r="CK25" s="29"/>
      <c r="CL25" s="77"/>
      <c r="CM25" s="24"/>
      <c r="CN25" s="24"/>
      <c r="CO25" s="24"/>
      <c r="CP25" s="79"/>
    </row>
    <row r="26" customFormat="1" spans="1:94">
      <c r="A26" s="15">
        <v>26</v>
      </c>
      <c r="B26" s="80">
        <v>2023346</v>
      </c>
      <c r="C26" s="8" t="s">
        <v>52</v>
      </c>
      <c r="D26" s="81">
        <f t="shared" si="26"/>
        <v>14</v>
      </c>
      <c r="E26" s="82">
        <f t="shared" si="27"/>
        <v>4</v>
      </c>
      <c r="F26" s="83">
        <f t="shared" si="9"/>
        <v>1.75</v>
      </c>
      <c r="G26" s="84" t="str">
        <f t="shared" si="10"/>
        <v>松散</v>
      </c>
      <c r="H26" s="85" t="s">
        <v>10</v>
      </c>
      <c r="I26" s="85" t="s">
        <v>11</v>
      </c>
      <c r="J26" s="85" t="s">
        <v>12</v>
      </c>
      <c r="K26" s="85" t="s">
        <v>13</v>
      </c>
      <c r="L26" s="86">
        <f>MAX(MID(C26,{1,2,3},1)*1)-MIN(MID(C26,{1,2,3},1)*1)</f>
        <v>8</v>
      </c>
      <c r="M26" s="87">
        <v>0</v>
      </c>
      <c r="N26" s="87">
        <v>1</v>
      </c>
      <c r="O26" s="87">
        <v>2</v>
      </c>
      <c r="P26" s="87">
        <v>3</v>
      </c>
      <c r="Q26" s="87">
        <v>4</v>
      </c>
      <c r="R26" s="87">
        <v>5</v>
      </c>
      <c r="S26" s="87">
        <v>6</v>
      </c>
      <c r="T26" s="87">
        <v>7</v>
      </c>
      <c r="U26" s="87">
        <v>8</v>
      </c>
      <c r="V26" s="87">
        <v>9</v>
      </c>
      <c r="W26" s="88">
        <f t="shared" si="28"/>
        <v>5</v>
      </c>
      <c r="X26" s="88">
        <f t="shared" si="29"/>
        <v>3</v>
      </c>
      <c r="Y26" s="88">
        <f t="shared" si="30"/>
        <v>8</v>
      </c>
      <c r="Z26" s="89">
        <f t="shared" si="31"/>
        <v>16</v>
      </c>
      <c r="AA26" s="17" t="str">
        <f>_xlfn.TEXTJOIN(", ",TRUE,ABS(MID(C26,{1,1,2},1)-MID(C26,{2,3,3},1)))</f>
        <v>5, 3, 8</v>
      </c>
      <c r="AB26" s="90">
        <v>0</v>
      </c>
      <c r="AC26" s="90">
        <v>1</v>
      </c>
      <c r="AD26" s="90">
        <v>2</v>
      </c>
      <c r="AE26" s="90">
        <v>3</v>
      </c>
      <c r="AF26" s="90">
        <v>4</v>
      </c>
      <c r="AG26" s="90">
        <v>5</v>
      </c>
      <c r="AH26" s="90">
        <v>6</v>
      </c>
      <c r="AI26" s="90">
        <v>7</v>
      </c>
      <c r="AJ26" s="90">
        <v>8</v>
      </c>
      <c r="AK26" s="90">
        <v>9</v>
      </c>
      <c r="AL26" s="91">
        <v>0</v>
      </c>
      <c r="AM26" s="91">
        <v>1</v>
      </c>
      <c r="AN26" s="91">
        <v>2</v>
      </c>
      <c r="AO26" s="91">
        <v>3</v>
      </c>
      <c r="AP26" s="91">
        <v>4</v>
      </c>
      <c r="AQ26" s="91">
        <v>5</v>
      </c>
      <c r="AR26" s="91">
        <v>6</v>
      </c>
      <c r="AS26" s="91">
        <v>7</v>
      </c>
      <c r="AT26" s="91">
        <v>8</v>
      </c>
      <c r="AU26" s="91">
        <v>9</v>
      </c>
      <c r="AV26" s="92">
        <v>0</v>
      </c>
      <c r="AW26" s="92">
        <v>1</v>
      </c>
      <c r="AX26" s="92">
        <v>2</v>
      </c>
      <c r="AY26" s="92">
        <v>3</v>
      </c>
      <c r="AZ26" s="92">
        <v>4</v>
      </c>
      <c r="BA26" s="92">
        <v>5</v>
      </c>
      <c r="BB26" s="92">
        <v>6</v>
      </c>
      <c r="BC26" s="92">
        <v>7</v>
      </c>
      <c r="BD26" s="92">
        <v>8</v>
      </c>
      <c r="BE26" s="92">
        <v>9</v>
      </c>
      <c r="BF26" s="93">
        <v>0</v>
      </c>
      <c r="BG26" s="93">
        <v>1</v>
      </c>
      <c r="BH26" s="93">
        <v>2</v>
      </c>
      <c r="BI26" s="93">
        <v>3</v>
      </c>
      <c r="BJ26" s="93">
        <v>4</v>
      </c>
      <c r="BK26" s="93">
        <v>5</v>
      </c>
      <c r="BL26" s="93">
        <v>6</v>
      </c>
      <c r="BM26" s="93">
        <v>7</v>
      </c>
      <c r="BN26" s="93">
        <v>8</v>
      </c>
      <c r="BO26" s="93">
        <v>9</v>
      </c>
      <c r="BP26" s="94" t="str">
        <f t="shared" si="32"/>
        <v>松散型</v>
      </c>
      <c r="BQ26" s="15">
        <f t="shared" si="33"/>
        <v>3</v>
      </c>
      <c r="BR26" s="15">
        <f t="shared" si="34"/>
        <v>8</v>
      </c>
      <c r="BS26" s="20" t="str">
        <f t="shared" ref="BS26:BS45" si="35">IF(COUNTIF($W25:$Y25,W26)&gt;0,W26,"")</f>
        <v/>
      </c>
      <c r="BT26" s="21"/>
      <c r="BU26" s="21" t="str">
        <f t="array" ref="BU26">_xlfn.TEXTJOIN("",TRUE,IF(ISERROR(FIND(ROW($1:$168)-1,BS26&amp;BT26)),ROW($1:$168)-1,""))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6" s="22" t="str">
        <f t="shared" ref="BV26:BV45" si="36">IF(BS26&lt;&gt;"","复","中")&amp;IF(BT26&lt;&gt;"","隔","中")&amp;"中"</f>
        <v>中中中</v>
      </c>
      <c r="BW26" s="23">
        <f t="shared" ref="BW26:BW45" si="37">IF(COUNTIF($W25:$Y25,X26)&gt;0,X26,"")</f>
        <v>3</v>
      </c>
      <c r="BX26" s="23"/>
      <c r="BY26" s="23" t="str">
        <f t="array" ref="BY26">_xlfn.TEXTJOIN("",TRUE,IF(ISERROR(FIND(ROW($1:$168)-1,BW26&amp;BX26)),ROW($1:$168)-1,""))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6" s="22" t="str">
        <f t="shared" ref="BZ26:BZ45" si="38">IF(BW26&lt;&gt;"","复","中")&amp;IF(BX26&lt;&gt;"","隔","中")&amp;"中"</f>
        <v>复中中</v>
      </c>
      <c r="CA26" s="24" t="str">
        <f t="shared" ref="CA26:CA45" si="39">IF(COUNTIF($W25:$Y25,Y26)&gt;0,Y26,"")</f>
        <v/>
      </c>
      <c r="CB26" s="24"/>
      <c r="CC26" s="24" t="str">
        <f t="array" ref="CC26">_xlfn.TEXTJOIN("",TRUE,IF(ISERROR(FIND(ROW($1:$168)-1,CA26&amp;CB26)),ROW($1:$168)-1,""))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6" s="22" t="str">
        <f t="shared" ref="CD26:CD45" si="40">IF(CA26&lt;&gt;"","复","中")&amp;IF(CB26&lt;&gt;"","隔","中")&amp;"中"</f>
        <v>中中中</v>
      </c>
      <c r="CE26" s="25" t="str">
        <f t="shared" ref="CE26:CE45" si="41">IF(W26=0,9,W26-1)&amp;""&amp;IF(W26=9,0,W26+1)</f>
        <v>46</v>
      </c>
      <c r="CF26" s="26"/>
      <c r="CG26" s="27" t="str">
        <f t="array" ref="CG26">_xlfn.TEXTJOIN("",TRUE,IF(ISERROR(FIND(ROW($1:$168)-1,CE26&amp;CF26)),ROW($1:$168)-1,""))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6" s="28" t="str">
        <f t="shared" ref="CH26:CH45" si="42">IF(CE26&lt;&gt;"","邻","孤")&amp;IF(CF26&lt;&gt;"","传","孤")&amp;"孤"</f>
        <v>邻孤孤</v>
      </c>
      <c r="CI26" s="29" t="str">
        <f t="shared" ref="CI26:CI45" si="43">IF(X26=0,9,X26-1)&amp;""&amp;IF(X26=9,0,X26+1)</f>
        <v>24</v>
      </c>
      <c r="CJ26" s="29"/>
      <c r="CK26" s="29" t="str">
        <f t="array" ref="CK26">_xlfn.TEXTJOIN("",TRUE,IF(ISERROR(FIND(ROW($1:$168)-1,CI26&amp;CJ26)),ROW($1:$168)-1,""))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6" s="19" t="str">
        <f t="shared" ref="CL26:CL45" si="44">IF(CI26&lt;&gt;"","邻","孤")&amp;IF(CJ26&lt;&gt;"","传","孤")&amp;"孤"</f>
        <v>邻孤孤</v>
      </c>
      <c r="CM26" s="24" t="str">
        <f t="shared" ref="CM26:CM45" si="45">IF(Y26=0,9,Y26-1)&amp;""&amp;IF(Y26=9,0,Y26+1)</f>
        <v>79</v>
      </c>
      <c r="CN26" s="24"/>
      <c r="CO26" s="24" t="str">
        <f t="array" ref="CO26">_xlfn.TEXTJOIN("",TRUE,IF(ISERROR(FIND(ROW($1:$168)-1,CM26&amp;CN26)),ROW($1:$168)-1,""))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26" s="30" t="str">
        <f t="shared" ref="CP26:CP45" si="46">IF(CM26&lt;&gt;"","邻","孤")&amp;IF(CN26&lt;&gt;"","传","孤")&amp;"孤"</f>
        <v>邻孤孤</v>
      </c>
    </row>
    <row r="27" customFormat="1" spans="1:94">
      <c r="A27" s="15">
        <v>27</v>
      </c>
      <c r="B27" s="80">
        <v>2023347</v>
      </c>
      <c r="C27" s="8" t="s">
        <v>53</v>
      </c>
      <c r="D27" s="81">
        <f t="shared" si="26"/>
        <v>11</v>
      </c>
      <c r="E27" s="82">
        <f t="shared" si="27"/>
        <v>1</v>
      </c>
      <c r="F27" s="83">
        <f t="shared" si="9"/>
        <v>1.83333333333333</v>
      </c>
      <c r="G27" s="84" t="str">
        <f t="shared" si="10"/>
        <v>松散</v>
      </c>
      <c r="H27" s="85" t="s">
        <v>10</v>
      </c>
      <c r="I27" s="85" t="s">
        <v>11</v>
      </c>
      <c r="J27" s="85" t="s">
        <v>12</v>
      </c>
      <c r="K27" s="85" t="s">
        <v>13</v>
      </c>
      <c r="L27" s="86">
        <f>MAX(MID(C27,{1,2,3},1)*1)-MIN(MID(C27,{1,2,3},1)*1)</f>
        <v>6</v>
      </c>
      <c r="M27" s="87">
        <v>0</v>
      </c>
      <c r="N27" s="87">
        <v>1</v>
      </c>
      <c r="O27" s="87">
        <v>2</v>
      </c>
      <c r="P27" s="87">
        <v>3</v>
      </c>
      <c r="Q27" s="87">
        <v>4</v>
      </c>
      <c r="R27" s="87">
        <v>5</v>
      </c>
      <c r="S27" s="87">
        <v>6</v>
      </c>
      <c r="T27" s="87">
        <v>7</v>
      </c>
      <c r="U27" s="87">
        <v>8</v>
      </c>
      <c r="V27" s="87">
        <v>9</v>
      </c>
      <c r="W27" s="88">
        <f t="shared" si="28"/>
        <v>1</v>
      </c>
      <c r="X27" s="88">
        <f t="shared" si="29"/>
        <v>5</v>
      </c>
      <c r="Y27" s="88">
        <f t="shared" si="30"/>
        <v>6</v>
      </c>
      <c r="Z27" s="89">
        <f t="shared" si="31"/>
        <v>12</v>
      </c>
      <c r="AA27" s="17" t="str">
        <f>_xlfn.TEXTJOIN(", ",TRUE,ABS(MID(C27,{1,1,2},1)-MID(C27,{2,3,3},1)))</f>
        <v>1, 5, 6</v>
      </c>
      <c r="AB27" s="90">
        <v>0</v>
      </c>
      <c r="AC27" s="90">
        <v>1</v>
      </c>
      <c r="AD27" s="90">
        <v>2</v>
      </c>
      <c r="AE27" s="90">
        <v>3</v>
      </c>
      <c r="AF27" s="90">
        <v>4</v>
      </c>
      <c r="AG27" s="90">
        <v>5</v>
      </c>
      <c r="AH27" s="90">
        <v>6</v>
      </c>
      <c r="AI27" s="90">
        <v>7</v>
      </c>
      <c r="AJ27" s="90">
        <v>8</v>
      </c>
      <c r="AK27" s="90">
        <v>9</v>
      </c>
      <c r="AL27" s="91">
        <v>0</v>
      </c>
      <c r="AM27" s="91">
        <v>1</v>
      </c>
      <c r="AN27" s="91">
        <v>2</v>
      </c>
      <c r="AO27" s="91">
        <v>3</v>
      </c>
      <c r="AP27" s="91">
        <v>4</v>
      </c>
      <c r="AQ27" s="91">
        <v>5</v>
      </c>
      <c r="AR27" s="91">
        <v>6</v>
      </c>
      <c r="AS27" s="91">
        <v>7</v>
      </c>
      <c r="AT27" s="91">
        <v>8</v>
      </c>
      <c r="AU27" s="91">
        <v>9</v>
      </c>
      <c r="AV27" s="92">
        <v>0</v>
      </c>
      <c r="AW27" s="92">
        <v>1</v>
      </c>
      <c r="AX27" s="92">
        <v>2</v>
      </c>
      <c r="AY27" s="92">
        <v>3</v>
      </c>
      <c r="AZ27" s="92">
        <v>4</v>
      </c>
      <c r="BA27" s="92">
        <v>5</v>
      </c>
      <c r="BB27" s="92">
        <v>6</v>
      </c>
      <c r="BC27" s="92">
        <v>7</v>
      </c>
      <c r="BD27" s="92">
        <v>8</v>
      </c>
      <c r="BE27" s="92">
        <v>9</v>
      </c>
      <c r="BF27" s="93">
        <v>0</v>
      </c>
      <c r="BG27" s="93">
        <v>1</v>
      </c>
      <c r="BH27" s="93">
        <v>2</v>
      </c>
      <c r="BI27" s="93">
        <v>3</v>
      </c>
      <c r="BJ27" s="93">
        <v>4</v>
      </c>
      <c r="BK27" s="93">
        <v>5</v>
      </c>
      <c r="BL27" s="93">
        <v>6</v>
      </c>
      <c r="BM27" s="93">
        <v>7</v>
      </c>
      <c r="BN27" s="93">
        <v>8</v>
      </c>
      <c r="BO27" s="93">
        <v>9</v>
      </c>
      <c r="BP27" s="94" t="str">
        <f t="shared" si="32"/>
        <v>松散型</v>
      </c>
      <c r="BQ27" s="15">
        <f t="shared" si="33"/>
        <v>1</v>
      </c>
      <c r="BR27" s="15">
        <f t="shared" si="34"/>
        <v>6</v>
      </c>
      <c r="BS27" s="20" t="str">
        <f t="shared" si="35"/>
        <v/>
      </c>
      <c r="BT27" s="21">
        <f t="shared" ref="BT27:BT45" si="47">IF(COUNTIF($W25:$Y25,W27)&gt;0,W27,"")</f>
        <v>1</v>
      </c>
      <c r="BU27" s="21" t="str">
        <f t="array" ref="BU27">_xlfn.TEXTJOIN("",TRUE,IF(ISERROR(FIND(ROW($1:$168)-1,BS27&amp;BT27)),ROW($1:$168)-1,""))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7" s="22" t="str">
        <f t="shared" si="36"/>
        <v>中隔中</v>
      </c>
      <c r="BW27" s="23">
        <f t="shared" si="37"/>
        <v>5</v>
      </c>
      <c r="BX27" s="23" t="str">
        <f t="shared" ref="BX27:BX45" si="48">IF(COUNTIF($W25:$Y25,X27)&gt;0,X27,"")</f>
        <v/>
      </c>
      <c r="BY27" s="23" t="str">
        <f t="array" ref="BY27">_xlfn.TEXTJOIN("",TRUE,IF(ISERROR(FIND(ROW($1:$168)-1,BW27&amp;BX27)),ROW($1:$168)-1,""))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7" s="22" t="str">
        <f t="shared" si="38"/>
        <v>复中中</v>
      </c>
      <c r="CA27" s="24" t="str">
        <f t="shared" si="39"/>
        <v/>
      </c>
      <c r="CB27" s="24" t="str">
        <f t="shared" ref="CB27:CB45" si="49">IF(COUNTIF($W25:$Y25,Y27)&gt;0,Y27,"")</f>
        <v/>
      </c>
      <c r="CC27" s="24" t="str">
        <f t="array" ref="CC27">_xlfn.TEXTJOIN("",TRUE,IF(ISERROR(FIND(ROW($1:$168)-1,CA27&amp;CB27)),ROW($1:$168)-1,""))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7" s="22" t="str">
        <f t="shared" si="40"/>
        <v>中中中</v>
      </c>
      <c r="CE27" s="25" t="str">
        <f t="shared" si="41"/>
        <v>02</v>
      </c>
      <c r="CF27" s="95" t="str">
        <f t="array" ref="CF27">_xlfn.TEXTJOIN("",TRUE,IF(ISNUMBER(FIND(MID(CE26&amp;W26,ROW($1:$162),1),CE27&amp;W27)),MID(CE26&amp;W26,ROW($1:$162),1),""))</f>
        <v/>
      </c>
      <c r="CG27" s="27" t="str">
        <f t="array" ref="CG27">_xlfn.TEXTJOIN("",TRUE,IF(ISERROR(FIND(ROW($1:$168)-1,CE27&amp;CF27)),ROW($1:$168)-1,""))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7" s="28" t="str">
        <f t="shared" si="42"/>
        <v>邻孤孤</v>
      </c>
      <c r="CI27" s="29" t="str">
        <f t="shared" si="43"/>
        <v>46</v>
      </c>
      <c r="CJ27" s="29" t="str">
        <f t="array" ref="CJ27">_xlfn.TEXTJOIN("",TRUE,IF(ISNUMBER(FIND(MID(CI26&amp;X26,ROW($1:$162),1),CI27&amp;X27)),MID(CI26&amp;X26,ROW($1:$162),1),""))</f>
        <v>4</v>
      </c>
      <c r="CK27" s="29" t="str">
        <f t="array" ref="CK27">_xlfn.TEXTJOIN("",TRUE,IF(ISERROR(FIND(ROW($1:$168)-1,CI27&amp;CJ27)),ROW($1:$168)-1,""))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7" s="19" t="str">
        <f t="shared" si="44"/>
        <v>邻传孤</v>
      </c>
      <c r="CM27" s="24" t="str">
        <f t="shared" si="45"/>
        <v>57</v>
      </c>
      <c r="CN27" s="24" t="str">
        <f t="array" ref="CN27">_xlfn.TEXTJOIN("",TRUE,IF(ISNUMBER(FIND(MID(CM26&amp;Y26,ROW($1:$162),1),CM27&amp;Y27)),MID(CM26&amp;Y26,ROW($1:$162),1),""))</f>
        <v>7</v>
      </c>
      <c r="CO27" s="24" t="str">
        <f t="array" ref="CO27">_xlfn.TEXTJOIN("",TRUE,IF(ISERROR(FIND(ROW($1:$168)-1,CM27&amp;CN27)),ROW($1:$168)-1,""))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P27" s="30" t="str">
        <f t="shared" si="46"/>
        <v>邻传孤</v>
      </c>
    </row>
    <row r="28" customFormat="1" spans="1:94">
      <c r="A28" s="15">
        <v>28</v>
      </c>
      <c r="B28" s="80">
        <v>2023348</v>
      </c>
      <c r="C28" s="8" t="s">
        <v>54</v>
      </c>
      <c r="D28" s="81">
        <f t="shared" si="26"/>
        <v>14</v>
      </c>
      <c r="E28" s="82">
        <f t="shared" si="27"/>
        <v>4</v>
      </c>
      <c r="F28" s="83">
        <f t="shared" si="9"/>
        <v>4.66666666666667</v>
      </c>
      <c r="G28" s="84" t="str">
        <f t="shared" si="10"/>
        <v>紧凑</v>
      </c>
      <c r="H28" s="85" t="s">
        <v>10</v>
      </c>
      <c r="I28" s="85" t="s">
        <v>11</v>
      </c>
      <c r="J28" s="85" t="s">
        <v>12</v>
      </c>
      <c r="K28" s="85" t="s">
        <v>13</v>
      </c>
      <c r="L28" s="86">
        <f>MAX(MID(C28,{1,2,3},1)*1)-MIN(MID(C28,{1,2,3},1)*1)</f>
        <v>3</v>
      </c>
      <c r="M28" s="87">
        <v>0</v>
      </c>
      <c r="N28" s="87">
        <v>1</v>
      </c>
      <c r="O28" s="87">
        <v>2</v>
      </c>
      <c r="P28" s="87">
        <v>3</v>
      </c>
      <c r="Q28" s="87">
        <v>4</v>
      </c>
      <c r="R28" s="87">
        <v>5</v>
      </c>
      <c r="S28" s="87">
        <v>6</v>
      </c>
      <c r="T28" s="87">
        <v>7</v>
      </c>
      <c r="U28" s="87">
        <v>8</v>
      </c>
      <c r="V28" s="87">
        <v>9</v>
      </c>
      <c r="W28" s="88">
        <f t="shared" si="28"/>
        <v>1</v>
      </c>
      <c r="X28" s="88">
        <f t="shared" si="29"/>
        <v>3</v>
      </c>
      <c r="Y28" s="88">
        <f t="shared" si="30"/>
        <v>2</v>
      </c>
      <c r="Z28" s="89">
        <f t="shared" si="31"/>
        <v>6</v>
      </c>
      <c r="AA28" s="17" t="str">
        <f>_xlfn.TEXTJOIN(", ",TRUE,ABS(MID(C28,{1,1,2},1)-MID(C28,{2,3,3},1)))</f>
        <v>1, 3, 2</v>
      </c>
      <c r="AB28" s="90">
        <v>0</v>
      </c>
      <c r="AC28" s="90">
        <v>1</v>
      </c>
      <c r="AD28" s="90">
        <v>2</v>
      </c>
      <c r="AE28" s="90">
        <v>3</v>
      </c>
      <c r="AF28" s="90">
        <v>4</v>
      </c>
      <c r="AG28" s="90">
        <v>5</v>
      </c>
      <c r="AH28" s="90">
        <v>6</v>
      </c>
      <c r="AI28" s="90">
        <v>7</v>
      </c>
      <c r="AJ28" s="90">
        <v>8</v>
      </c>
      <c r="AK28" s="90">
        <v>9</v>
      </c>
      <c r="AL28" s="91">
        <v>0</v>
      </c>
      <c r="AM28" s="91">
        <v>1</v>
      </c>
      <c r="AN28" s="91">
        <v>2</v>
      </c>
      <c r="AO28" s="91">
        <v>3</v>
      </c>
      <c r="AP28" s="91">
        <v>4</v>
      </c>
      <c r="AQ28" s="91">
        <v>5</v>
      </c>
      <c r="AR28" s="91">
        <v>6</v>
      </c>
      <c r="AS28" s="91">
        <v>7</v>
      </c>
      <c r="AT28" s="91">
        <v>8</v>
      </c>
      <c r="AU28" s="91">
        <v>9</v>
      </c>
      <c r="AV28" s="92">
        <v>0</v>
      </c>
      <c r="AW28" s="92">
        <v>1</v>
      </c>
      <c r="AX28" s="92">
        <v>2</v>
      </c>
      <c r="AY28" s="92">
        <v>3</v>
      </c>
      <c r="AZ28" s="92">
        <v>4</v>
      </c>
      <c r="BA28" s="92">
        <v>5</v>
      </c>
      <c r="BB28" s="92">
        <v>6</v>
      </c>
      <c r="BC28" s="92">
        <v>7</v>
      </c>
      <c r="BD28" s="92">
        <v>8</v>
      </c>
      <c r="BE28" s="92">
        <v>9</v>
      </c>
      <c r="BF28" s="93">
        <v>0</v>
      </c>
      <c r="BG28" s="93">
        <v>1</v>
      </c>
      <c r="BH28" s="93">
        <v>2</v>
      </c>
      <c r="BI28" s="93">
        <v>3</v>
      </c>
      <c r="BJ28" s="93">
        <v>4</v>
      </c>
      <c r="BK28" s="93">
        <v>5</v>
      </c>
      <c r="BL28" s="93">
        <v>6</v>
      </c>
      <c r="BM28" s="93">
        <v>7</v>
      </c>
      <c r="BN28" s="93">
        <v>8</v>
      </c>
      <c r="BO28" s="93">
        <v>9</v>
      </c>
      <c r="BP28" s="94" t="str">
        <f t="shared" si="32"/>
        <v>紧凑型</v>
      </c>
      <c r="BQ28" s="15">
        <f t="shared" si="33"/>
        <v>1</v>
      </c>
      <c r="BR28" s="15">
        <f t="shared" si="34"/>
        <v>3</v>
      </c>
      <c r="BS28" s="20">
        <f t="shared" si="35"/>
        <v>1</v>
      </c>
      <c r="BT28" s="21" t="str">
        <f t="shared" si="47"/>
        <v/>
      </c>
      <c r="BU28" s="21" t="str">
        <f t="array" ref="BU28">_xlfn.TEXTJOIN("",TRUE,IF(ISERROR(FIND(ROW($1:$168)-1,BS28&amp;BT28)),ROW($1:$168)-1,""))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8" s="22" t="str">
        <f t="shared" si="36"/>
        <v>复中中</v>
      </c>
      <c r="BW28" s="23"/>
      <c r="BX28" s="23">
        <f t="shared" si="48"/>
        <v>3</v>
      </c>
      <c r="BY28" s="23" t="str">
        <f t="array" ref="BY28">_xlfn.TEXTJOIN("",TRUE,IF(ISERROR(FIND(ROW($1:$168)-1,BW28&amp;BX28)),ROW($1:$168)-1,""))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8" s="22" t="str">
        <f t="shared" si="38"/>
        <v>中隔中</v>
      </c>
      <c r="CA28" s="24" t="str">
        <f t="shared" si="39"/>
        <v/>
      </c>
      <c r="CB28" s="24" t="str">
        <f t="shared" si="49"/>
        <v/>
      </c>
      <c r="CC28" s="24" t="str">
        <f t="array" ref="CC28">_xlfn.TEXTJOIN("",TRUE,IF(ISERROR(FIND(ROW($1:$168)-1,CA28&amp;CB28)),ROW($1:$168)-1,""))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8" s="22" t="str">
        <f t="shared" si="40"/>
        <v>中中中</v>
      </c>
      <c r="CE28" s="25" t="str">
        <f t="shared" si="41"/>
        <v>02</v>
      </c>
      <c r="CF28" s="26" t="str">
        <f t="array" ref="CF28">_xlfn.TEXTJOIN("",TRUE,IF(ISNUMBER(FIND(MID(CE27&amp;W27,ROW($1:$162),1),CE28&amp;W28)),MID(CE27&amp;W27,ROW($1:$162),1),""))</f>
        <v>021</v>
      </c>
      <c r="CG28" s="27" t="str">
        <f t="array" ref="CG28">_xlfn.TEXTJOIN("",TRUE,IF(ISERROR(FIND(ROW($1:$168)-1,CE28&amp;CF28)),ROW($1:$168)-1,""))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8" s="28" t="str">
        <f t="shared" si="42"/>
        <v>邻传孤</v>
      </c>
      <c r="CI28" s="29" t="str">
        <f t="shared" si="43"/>
        <v>24</v>
      </c>
      <c r="CJ28" s="29" t="str">
        <f t="array" ref="CJ28">_xlfn.TEXTJOIN("",TRUE,IF(ISNUMBER(FIND(MID(CI27&amp;X27,ROW($1:$162),1),CI28&amp;X28)),MID(CI27&amp;X27,ROW($1:$162),1),""))</f>
        <v>4</v>
      </c>
      <c r="CK28" s="29" t="str">
        <f t="array" ref="CK28">_xlfn.TEXTJOIN("",TRUE,IF(ISERROR(FIND(ROW($1:$168)-1,CI28&amp;CJ28)),ROW($1:$168)-1,""))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8" s="19" t="str">
        <f t="shared" si="44"/>
        <v>邻传孤</v>
      </c>
      <c r="CM28" s="24" t="str">
        <f t="shared" si="45"/>
        <v>13</v>
      </c>
      <c r="CN28" s="24" t="str">
        <f t="array" ref="CN28">_xlfn.TEXTJOIN("",TRUE,IF(ISNUMBER(FIND(MID(CM27&amp;Y27,ROW($1:$162),1),CM28&amp;Y28)),MID(CM27&amp;Y27,ROW($1:$162),1),""))</f>
        <v/>
      </c>
      <c r="CO28" s="24" t="str">
        <f t="array" ref="CO28">_xlfn.TEXTJOIN("",TRUE,IF(ISERROR(FIND(ROW($1:$168)-1,CM28&amp;CN28)),ROW($1:$168)-1,""))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8" s="30" t="str">
        <f t="shared" si="46"/>
        <v>邻孤孤</v>
      </c>
    </row>
    <row r="29" customFormat="1" spans="1:94">
      <c r="A29" s="15">
        <v>29</v>
      </c>
      <c r="B29" s="80">
        <v>2023349</v>
      </c>
      <c r="C29" s="8" t="s">
        <v>55</v>
      </c>
      <c r="D29" s="81">
        <f t="shared" si="26"/>
        <v>10</v>
      </c>
      <c r="E29" s="82">
        <f t="shared" si="27"/>
        <v>0</v>
      </c>
      <c r="F29" s="83">
        <f t="shared" si="9"/>
        <v>2.5</v>
      </c>
      <c r="G29" s="84" t="str">
        <f t="shared" si="10"/>
        <v>标准</v>
      </c>
      <c r="H29" s="85" t="s">
        <v>10</v>
      </c>
      <c r="I29" s="85" t="s">
        <v>11</v>
      </c>
      <c r="J29" s="85" t="s">
        <v>12</v>
      </c>
      <c r="K29" s="85" t="s">
        <v>13</v>
      </c>
      <c r="L29" s="86">
        <f>MAX(MID(C29,{1,2,3},1)*1)-MIN(MID(C29,{1,2,3},1)*1)</f>
        <v>4</v>
      </c>
      <c r="M29" s="87">
        <v>0</v>
      </c>
      <c r="N29" s="87">
        <v>1</v>
      </c>
      <c r="O29" s="87">
        <v>2</v>
      </c>
      <c r="P29" s="87">
        <v>3</v>
      </c>
      <c r="Q29" s="87">
        <v>4</v>
      </c>
      <c r="R29" s="87">
        <v>5</v>
      </c>
      <c r="S29" s="87">
        <v>6</v>
      </c>
      <c r="T29" s="87">
        <v>7</v>
      </c>
      <c r="U29" s="87">
        <v>8</v>
      </c>
      <c r="V29" s="87">
        <v>9</v>
      </c>
      <c r="W29" s="88">
        <f t="shared" si="28"/>
        <v>4</v>
      </c>
      <c r="X29" s="88">
        <f t="shared" si="29"/>
        <v>1</v>
      </c>
      <c r="Y29" s="88">
        <f t="shared" si="30"/>
        <v>3</v>
      </c>
      <c r="Z29" s="89">
        <f t="shared" si="31"/>
        <v>8</v>
      </c>
      <c r="AA29" s="17" t="str">
        <f>_xlfn.TEXTJOIN(", ",TRUE,ABS(MID(C29,{1,1,2},1)-MID(C29,{2,3,3},1)))</f>
        <v>4, 1, 3</v>
      </c>
      <c r="AB29" s="90">
        <v>0</v>
      </c>
      <c r="AC29" s="90">
        <v>1</v>
      </c>
      <c r="AD29" s="90">
        <v>2</v>
      </c>
      <c r="AE29" s="90">
        <v>3</v>
      </c>
      <c r="AF29" s="90">
        <v>4</v>
      </c>
      <c r="AG29" s="90">
        <v>5</v>
      </c>
      <c r="AH29" s="90">
        <v>6</v>
      </c>
      <c r="AI29" s="90">
        <v>7</v>
      </c>
      <c r="AJ29" s="90">
        <v>8</v>
      </c>
      <c r="AK29" s="90">
        <v>9</v>
      </c>
      <c r="AL29" s="91">
        <v>0</v>
      </c>
      <c r="AM29" s="91">
        <v>1</v>
      </c>
      <c r="AN29" s="91"/>
      <c r="AO29" s="91">
        <v>3</v>
      </c>
      <c r="AP29" s="91">
        <v>4</v>
      </c>
      <c r="AQ29" s="91">
        <v>5</v>
      </c>
      <c r="AR29" s="91">
        <v>6</v>
      </c>
      <c r="AS29" s="91">
        <v>7</v>
      </c>
      <c r="AT29" s="91">
        <v>8</v>
      </c>
      <c r="AU29" s="91">
        <v>9</v>
      </c>
      <c r="AV29" s="92">
        <v>0</v>
      </c>
      <c r="AW29" s="92">
        <v>1</v>
      </c>
      <c r="AX29" s="92">
        <v>2</v>
      </c>
      <c r="AY29" s="92">
        <v>3</v>
      </c>
      <c r="AZ29" s="92">
        <v>4</v>
      </c>
      <c r="BA29" s="92">
        <v>5</v>
      </c>
      <c r="BB29" s="92">
        <v>6</v>
      </c>
      <c r="BC29" s="92">
        <v>7</v>
      </c>
      <c r="BD29" s="92">
        <v>8</v>
      </c>
      <c r="BE29" s="92">
        <v>9</v>
      </c>
      <c r="BF29" s="93">
        <v>0</v>
      </c>
      <c r="BG29" s="93">
        <v>1</v>
      </c>
      <c r="BH29" s="93">
        <v>2</v>
      </c>
      <c r="BI29" s="93">
        <v>3</v>
      </c>
      <c r="BJ29" s="93">
        <v>4</v>
      </c>
      <c r="BK29" s="93">
        <v>5</v>
      </c>
      <c r="BL29" s="93">
        <v>6</v>
      </c>
      <c r="BM29" s="93">
        <v>7</v>
      </c>
      <c r="BN29" s="93">
        <v>8</v>
      </c>
      <c r="BO29" s="93">
        <v>9</v>
      </c>
      <c r="BP29" s="94" t="str">
        <f t="shared" si="32"/>
        <v>紧凑型</v>
      </c>
      <c r="BQ29" s="15">
        <f t="shared" si="33"/>
        <v>1</v>
      </c>
      <c r="BR29" s="15">
        <f t="shared" si="34"/>
        <v>4</v>
      </c>
      <c r="BS29" s="20" t="str">
        <f t="shared" si="35"/>
        <v/>
      </c>
      <c r="BT29" s="21" t="str">
        <f t="shared" si="47"/>
        <v/>
      </c>
      <c r="BU29" s="21" t="str">
        <f t="array" ref="BU29">_xlfn.TEXTJOIN("",TRUE,IF(ISERROR(FIND(ROW($1:$168)-1,BS29&amp;BT29)),ROW($1:$168)-1,""))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9" s="22" t="str">
        <f t="shared" si="36"/>
        <v>中中中</v>
      </c>
      <c r="BW29" s="23">
        <f t="shared" si="37"/>
        <v>1</v>
      </c>
      <c r="BX29" s="23">
        <f t="shared" si="48"/>
        <v>1</v>
      </c>
      <c r="BY29" s="23" t="str">
        <f t="array" ref="BY29">_xlfn.TEXTJOIN("",TRUE,IF(ISERROR(FIND(ROW($1:$168)-1,BW29&amp;BX29)),ROW($1:$168)-1,""))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9" s="22" t="str">
        <f t="shared" si="38"/>
        <v>复隔中</v>
      </c>
      <c r="CA29" s="24">
        <f t="shared" si="39"/>
        <v>3</v>
      </c>
      <c r="CB29" s="24" t="str">
        <f t="shared" si="49"/>
        <v/>
      </c>
      <c r="CC29" s="24" t="str">
        <f t="array" ref="CC29">_xlfn.TEXTJOIN("",TRUE,IF(ISERROR(FIND(ROW($1:$168)-1,CA29&amp;CB29)),ROW($1:$168)-1,""))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9" s="22" t="str">
        <f t="shared" si="40"/>
        <v>复中中</v>
      </c>
      <c r="CE29" s="25" t="str">
        <f t="shared" si="41"/>
        <v>35</v>
      </c>
      <c r="CF29" s="26" t="str">
        <f t="array" ref="CF29">_xlfn.TEXTJOIN("",TRUE,IF(ISNUMBER(FIND(MID(CE28&amp;W28,ROW($1:$162),1),CE29&amp;W29)),MID(CE28&amp;W28,ROW($1:$162),1),""))</f>
        <v/>
      </c>
      <c r="CG29" s="27" t="str">
        <f t="array" ref="CG29">_xlfn.TEXTJOIN("",TRUE,IF(ISERROR(FIND(ROW($1:$168)-1,CE29&amp;CF29)),ROW($1:$168)-1,""))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9" s="28" t="str">
        <f t="shared" si="42"/>
        <v>邻孤孤</v>
      </c>
      <c r="CI29" s="29" t="str">
        <f t="shared" si="43"/>
        <v>02</v>
      </c>
      <c r="CJ29" s="29" t="str">
        <f t="array" ref="CJ29">_xlfn.TEXTJOIN("",TRUE,IF(ISNUMBER(FIND(MID(CI28&amp;X28,ROW($1:$162),1),CI29&amp;X29)),MID(CI28&amp;X28,ROW($1:$162),1),""))</f>
        <v>2</v>
      </c>
      <c r="CK29" s="29" t="str">
        <f t="array" ref="CK29">_xlfn.TEXTJOIN("",TRUE,IF(ISERROR(FIND(ROW($1:$168)-1,CI29&amp;CJ29)),ROW($1:$168)-1,""))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9" s="19" t="str">
        <f t="shared" si="44"/>
        <v>邻传孤</v>
      </c>
      <c r="CM29" s="24" t="str">
        <f t="shared" si="45"/>
        <v>24</v>
      </c>
      <c r="CN29" s="24" t="str">
        <f t="array" ref="CN29">_xlfn.TEXTJOIN("",TRUE,IF(ISNUMBER(FIND(MID(CM28&amp;Y28,ROW($1:$162),1),CM29&amp;Y29)),MID(CM28&amp;Y28,ROW($1:$162),1),""))</f>
        <v>32</v>
      </c>
      <c r="CO29" s="24" t="str">
        <f t="array" ref="CO29">_xlfn.TEXTJOIN("",TRUE,IF(ISERROR(FIND(ROW($1:$168)-1,CM29&amp;CN29)),ROW($1:$168)-1,""))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9" s="30" t="str">
        <f t="shared" si="46"/>
        <v>邻传孤</v>
      </c>
    </row>
    <row r="30" customFormat="1" spans="1:94">
      <c r="A30" s="15">
        <v>30</v>
      </c>
      <c r="B30" s="80">
        <v>2023350</v>
      </c>
      <c r="C30" s="8" t="s">
        <v>56</v>
      </c>
      <c r="D30" s="81">
        <f t="shared" si="26"/>
        <v>15</v>
      </c>
      <c r="E30" s="82">
        <f t="shared" si="27"/>
        <v>5</v>
      </c>
      <c r="F30" s="83">
        <f t="shared" si="9"/>
        <v>2.5</v>
      </c>
      <c r="G30" s="84" t="str">
        <f t="shared" si="10"/>
        <v>标准</v>
      </c>
      <c r="H30" s="85" t="s">
        <v>10</v>
      </c>
      <c r="I30" s="85" t="s">
        <v>11</v>
      </c>
      <c r="J30" s="85" t="s">
        <v>12</v>
      </c>
      <c r="K30" s="85" t="s">
        <v>13</v>
      </c>
      <c r="L30" s="86">
        <f>MAX(MID(C30,{1,2,3},1)*1)-MIN(MID(C30,{1,2,3},1)*1)</f>
        <v>6</v>
      </c>
      <c r="M30" s="87">
        <v>0</v>
      </c>
      <c r="N30" s="87">
        <v>1</v>
      </c>
      <c r="O30" s="87">
        <v>2</v>
      </c>
      <c r="P30" s="87">
        <v>3</v>
      </c>
      <c r="Q30" s="87">
        <v>4</v>
      </c>
      <c r="R30" s="87">
        <v>5</v>
      </c>
      <c r="S30" s="87">
        <v>6</v>
      </c>
      <c r="T30" s="87">
        <v>7</v>
      </c>
      <c r="U30" s="87">
        <v>8</v>
      </c>
      <c r="V30" s="87">
        <v>9</v>
      </c>
      <c r="W30" s="88">
        <f t="shared" si="28"/>
        <v>0</v>
      </c>
      <c r="X30" s="88">
        <f t="shared" si="29"/>
        <v>6</v>
      </c>
      <c r="Y30" s="88">
        <f t="shared" si="30"/>
        <v>6</v>
      </c>
      <c r="Z30" s="89">
        <f t="shared" si="31"/>
        <v>12</v>
      </c>
      <c r="AA30" s="17" t="str">
        <f>_xlfn.TEXTJOIN(", ",TRUE,ABS(MID(C30,{1,1,2},1)-MID(C30,{2,3,3},1)))</f>
        <v>0, 6, 6</v>
      </c>
      <c r="AB30" s="90">
        <v>0</v>
      </c>
      <c r="AC30" s="90">
        <v>1</v>
      </c>
      <c r="AD30" s="90">
        <v>2</v>
      </c>
      <c r="AE30" s="90">
        <v>3</v>
      </c>
      <c r="AF30" s="90">
        <v>4</v>
      </c>
      <c r="AG30" s="90">
        <v>5</v>
      </c>
      <c r="AH30" s="90">
        <v>6</v>
      </c>
      <c r="AI30" s="90">
        <v>7</v>
      </c>
      <c r="AJ30" s="90">
        <v>8</v>
      </c>
      <c r="AK30" s="90">
        <v>9</v>
      </c>
      <c r="AL30" s="91">
        <v>0</v>
      </c>
      <c r="AM30" s="91">
        <v>1</v>
      </c>
      <c r="AN30" s="91">
        <v>2</v>
      </c>
      <c r="AO30" s="91">
        <v>3</v>
      </c>
      <c r="AP30" s="91">
        <v>4</v>
      </c>
      <c r="AQ30" s="91">
        <v>5</v>
      </c>
      <c r="AR30" s="91">
        <v>6</v>
      </c>
      <c r="AS30" s="91">
        <v>7</v>
      </c>
      <c r="AT30" s="91">
        <v>8</v>
      </c>
      <c r="AU30" s="91">
        <v>9</v>
      </c>
      <c r="AV30" s="92">
        <v>0</v>
      </c>
      <c r="AW30" s="92">
        <v>1</v>
      </c>
      <c r="AX30" s="92">
        <v>2</v>
      </c>
      <c r="AY30" s="92">
        <v>3</v>
      </c>
      <c r="AZ30" s="92">
        <v>4</v>
      </c>
      <c r="BA30" s="92">
        <v>5</v>
      </c>
      <c r="BB30" s="92">
        <v>6</v>
      </c>
      <c r="BC30" s="92">
        <v>7</v>
      </c>
      <c r="BD30" s="92">
        <v>8</v>
      </c>
      <c r="BE30" s="92">
        <v>9</v>
      </c>
      <c r="BF30" s="93">
        <v>0</v>
      </c>
      <c r="BG30" s="93">
        <v>1</v>
      </c>
      <c r="BH30" s="93">
        <v>2</v>
      </c>
      <c r="BI30" s="93">
        <v>3</v>
      </c>
      <c r="BJ30" s="93">
        <v>4</v>
      </c>
      <c r="BK30" s="93">
        <v>5</v>
      </c>
      <c r="BL30" s="93">
        <v>6</v>
      </c>
      <c r="BM30" s="93">
        <v>7</v>
      </c>
      <c r="BN30" s="93">
        <v>8</v>
      </c>
      <c r="BO30" s="93">
        <v>9</v>
      </c>
      <c r="BP30" s="94" t="str">
        <f t="shared" si="32"/>
        <v>松散型</v>
      </c>
      <c r="BQ30" s="15">
        <f t="shared" si="33"/>
        <v>0</v>
      </c>
      <c r="BR30" s="15">
        <f t="shared" si="34"/>
        <v>6</v>
      </c>
      <c r="BS30" s="20" t="str">
        <f t="shared" si="35"/>
        <v/>
      </c>
      <c r="BT30" s="21" t="str">
        <f t="shared" si="47"/>
        <v/>
      </c>
      <c r="BU30" s="21" t="str">
        <f t="array" ref="BU30">_xlfn.TEXTJOIN("",TRUE,IF(ISERROR(FIND(ROW($1:$168)-1,BS30&amp;BT30)),ROW($1:$168)-1,""))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0" s="22" t="str">
        <f t="shared" si="36"/>
        <v>中中中</v>
      </c>
      <c r="BW30" s="23" t="str">
        <f t="shared" si="37"/>
        <v/>
      </c>
      <c r="BX30" s="23" t="str">
        <f t="shared" si="48"/>
        <v/>
      </c>
      <c r="BY30" s="23" t="str">
        <f t="array" ref="BY30">_xlfn.TEXTJOIN("",TRUE,IF(ISERROR(FIND(ROW($1:$168)-1,BW30&amp;BX30)),ROW($1:$168)-1,""))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0" s="22" t="str">
        <f t="shared" si="38"/>
        <v>中中中</v>
      </c>
      <c r="CA30" s="24" t="str">
        <f t="shared" si="39"/>
        <v/>
      </c>
      <c r="CB30" s="24" t="str">
        <f t="shared" si="49"/>
        <v/>
      </c>
      <c r="CC30" s="24" t="str">
        <f t="array" ref="CC30">_xlfn.TEXTJOIN("",TRUE,IF(ISERROR(FIND(ROW($1:$168)-1,CA30&amp;CB30)),ROW($1:$168)-1,""))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0" s="22" t="str">
        <f t="shared" si="40"/>
        <v>中中中</v>
      </c>
      <c r="CE30" s="25" t="str">
        <f t="shared" si="41"/>
        <v>91</v>
      </c>
      <c r="CF30" s="26" t="str">
        <f t="array" ref="CF30">_xlfn.TEXTJOIN("",TRUE,IF(ISNUMBER(FIND(MID(CE29&amp;W29,ROW($1:$162),1),CE30&amp;W30)),MID(CE29&amp;W29,ROW($1:$162),1),""))</f>
        <v/>
      </c>
      <c r="CG30" s="27" t="str">
        <f t="array" ref="CG30">_xlfn.TEXTJOIN("",TRUE,IF(ISERROR(FIND(ROW($1:$168)-1,CE30&amp;CF30)),ROW($1:$168)-1,""))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30" s="28" t="str">
        <f t="shared" si="42"/>
        <v>邻孤孤</v>
      </c>
      <c r="CI30" s="29" t="str">
        <f t="shared" si="43"/>
        <v>57</v>
      </c>
      <c r="CJ30" s="29" t="str">
        <f t="array" ref="CJ30">_xlfn.TEXTJOIN("",TRUE,IF(ISNUMBER(FIND(MID(CI29&amp;X29,ROW($1:$162),1),CI30&amp;X30)),MID(CI29&amp;X29,ROW($1:$162),1),""))</f>
        <v/>
      </c>
      <c r="CK30" s="29" t="str">
        <f t="array" ref="CK30">_xlfn.TEXTJOIN("",TRUE,IF(ISERROR(FIND(ROW($1:$168)-1,CI30&amp;CJ30)),ROW($1:$168)-1,""))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0" s="19" t="str">
        <f t="shared" si="44"/>
        <v>邻孤孤</v>
      </c>
      <c r="CM30" s="24" t="str">
        <f t="shared" si="45"/>
        <v>57</v>
      </c>
      <c r="CN30" s="24" t="str">
        <f t="array" ref="CN30">_xlfn.TEXTJOIN("",TRUE,IF(ISNUMBER(FIND(MID(CM29&amp;Y29,ROW($1:$162),1),CM30&amp;Y30)),MID(CM29&amp;Y29,ROW($1:$162),1),""))</f>
        <v/>
      </c>
      <c r="CO30" s="24" t="str">
        <f t="array" ref="CO30">_xlfn.TEXTJOIN("",TRUE,IF(ISERROR(FIND(ROW($1:$168)-1,CM30&amp;CN30)),ROW($1:$168)-1,""))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0" s="30" t="str">
        <f t="shared" si="46"/>
        <v>邻孤孤</v>
      </c>
    </row>
    <row r="31" customFormat="1" spans="1:94">
      <c r="A31" s="15">
        <v>31</v>
      </c>
      <c r="B31" s="80">
        <v>2023351</v>
      </c>
      <c r="C31" s="8" t="s">
        <v>32</v>
      </c>
      <c r="D31" s="81">
        <f t="shared" si="26"/>
        <v>13</v>
      </c>
      <c r="E31" s="82">
        <f t="shared" si="27"/>
        <v>3</v>
      </c>
      <c r="F31" s="83">
        <f t="shared" si="9"/>
        <v>1.44444444444444</v>
      </c>
      <c r="G31" s="84" t="str">
        <f t="shared" si="10"/>
        <v>松散</v>
      </c>
      <c r="H31" s="85" t="s">
        <v>10</v>
      </c>
      <c r="I31" s="85" t="s">
        <v>11</v>
      </c>
      <c r="J31" s="85" t="s">
        <v>12</v>
      </c>
      <c r="K31" s="85" t="s">
        <v>13</v>
      </c>
      <c r="L31" s="86">
        <f>MAX(MID(C31,{1,2,3},1)*1)-MIN(MID(C31,{1,2,3},1)*1)</f>
        <v>9</v>
      </c>
      <c r="M31" s="87">
        <v>0</v>
      </c>
      <c r="N31" s="87">
        <v>1</v>
      </c>
      <c r="O31" s="87">
        <v>2</v>
      </c>
      <c r="P31" s="87">
        <v>3</v>
      </c>
      <c r="Q31" s="87">
        <v>4</v>
      </c>
      <c r="R31" s="87">
        <v>5</v>
      </c>
      <c r="S31" s="87">
        <v>6</v>
      </c>
      <c r="T31" s="87">
        <v>7</v>
      </c>
      <c r="U31" s="87">
        <v>8</v>
      </c>
      <c r="V31" s="87">
        <v>9</v>
      </c>
      <c r="W31" s="88">
        <f t="shared" si="28"/>
        <v>5</v>
      </c>
      <c r="X31" s="88">
        <f t="shared" si="29"/>
        <v>4</v>
      </c>
      <c r="Y31" s="88">
        <f t="shared" si="30"/>
        <v>9</v>
      </c>
      <c r="Z31" s="89">
        <f t="shared" si="31"/>
        <v>18</v>
      </c>
      <c r="AA31" s="17" t="str">
        <f>_xlfn.TEXTJOIN(", ",TRUE,ABS(MID(C31,{1,1,2},1)-MID(C31,{2,3,3},1)))</f>
        <v>5, 4, 9</v>
      </c>
      <c r="AB31" s="90">
        <v>0</v>
      </c>
      <c r="AC31" s="90">
        <v>1</v>
      </c>
      <c r="AD31" s="90">
        <v>2</v>
      </c>
      <c r="AE31" s="90">
        <v>3</v>
      </c>
      <c r="AF31" s="90">
        <v>4</v>
      </c>
      <c r="AG31" s="90">
        <v>5</v>
      </c>
      <c r="AH31" s="90">
        <v>6</v>
      </c>
      <c r="AI31" s="90">
        <v>7</v>
      </c>
      <c r="AJ31" s="90">
        <v>8</v>
      </c>
      <c r="AK31" s="90">
        <v>9</v>
      </c>
      <c r="AL31" s="91">
        <v>0</v>
      </c>
      <c r="AM31" s="91">
        <v>1</v>
      </c>
      <c r="AN31" s="91">
        <v>2</v>
      </c>
      <c r="AO31" s="91">
        <v>3</v>
      </c>
      <c r="AP31" s="91">
        <v>4</v>
      </c>
      <c r="AQ31" s="91">
        <v>5</v>
      </c>
      <c r="AR31" s="91">
        <v>6</v>
      </c>
      <c r="AS31" s="91">
        <v>7</v>
      </c>
      <c r="AT31" s="91">
        <v>8</v>
      </c>
      <c r="AU31" s="91">
        <v>9</v>
      </c>
      <c r="AV31" s="92">
        <v>0</v>
      </c>
      <c r="AW31" s="92">
        <v>1</v>
      </c>
      <c r="AX31" s="92">
        <v>2</v>
      </c>
      <c r="AY31" s="92">
        <v>3</v>
      </c>
      <c r="AZ31" s="92">
        <v>4</v>
      </c>
      <c r="BA31" s="92">
        <v>5</v>
      </c>
      <c r="BB31" s="92">
        <v>6</v>
      </c>
      <c r="BC31" s="92">
        <v>7</v>
      </c>
      <c r="BD31" s="92">
        <v>8</v>
      </c>
      <c r="BE31" s="92">
        <v>9</v>
      </c>
      <c r="BF31" s="93">
        <v>0</v>
      </c>
      <c r="BG31" s="93">
        <v>1</v>
      </c>
      <c r="BH31" s="93">
        <v>2</v>
      </c>
      <c r="BI31" s="93">
        <v>3</v>
      </c>
      <c r="BJ31" s="93">
        <v>4</v>
      </c>
      <c r="BK31" s="93">
        <v>5</v>
      </c>
      <c r="BL31" s="93">
        <v>6</v>
      </c>
      <c r="BM31" s="93">
        <v>7</v>
      </c>
      <c r="BN31" s="93">
        <v>8</v>
      </c>
      <c r="BO31" s="93">
        <v>9</v>
      </c>
      <c r="BP31" s="94" t="str">
        <f t="shared" si="32"/>
        <v>松散型</v>
      </c>
      <c r="BQ31" s="15">
        <f t="shared" si="33"/>
        <v>4</v>
      </c>
      <c r="BR31" s="15">
        <f t="shared" si="34"/>
        <v>9</v>
      </c>
      <c r="BS31" s="20" t="str">
        <f t="shared" si="35"/>
        <v/>
      </c>
      <c r="BT31" s="21" t="str">
        <f t="shared" si="47"/>
        <v/>
      </c>
      <c r="BU31" s="21" t="str">
        <f t="array" ref="BU31">_xlfn.TEXTJOIN("",TRUE,IF(ISERROR(FIND(ROW($1:$168)-1,BS31&amp;BT31)),ROW($1:$168)-1,""))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1" s="22" t="str">
        <f t="shared" si="36"/>
        <v>中中中</v>
      </c>
      <c r="BW31" s="23" t="str">
        <f t="shared" si="37"/>
        <v/>
      </c>
      <c r="BX31" s="23">
        <f t="shared" si="48"/>
        <v>4</v>
      </c>
      <c r="BY31" s="23" t="str">
        <f t="array" ref="BY31">_xlfn.TEXTJOIN("",TRUE,IF(ISERROR(FIND(ROW($1:$168)-1,BW31&amp;BX31)),ROW($1:$168)-1,""))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1" s="22" t="str">
        <f t="shared" si="38"/>
        <v>中隔中</v>
      </c>
      <c r="CA31" s="24" t="str">
        <f t="shared" si="39"/>
        <v/>
      </c>
      <c r="CB31" s="24" t="str">
        <f t="shared" si="49"/>
        <v/>
      </c>
      <c r="CC31" s="24" t="str">
        <f t="array" ref="CC31">_xlfn.TEXTJOIN("",TRUE,IF(ISERROR(FIND(ROW($1:$168)-1,CA31&amp;CB31)),ROW($1:$168)-1,""))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1" s="22" t="str">
        <f t="shared" si="40"/>
        <v>中中中</v>
      </c>
      <c r="CE31" s="25" t="str">
        <f t="shared" si="41"/>
        <v>46</v>
      </c>
      <c r="CF31" s="26" t="str">
        <f t="array" ref="CF31">_xlfn.TEXTJOIN("",TRUE,IF(ISNUMBER(FIND(MID(CE30&amp;W30,ROW($1:$162),1),CE31&amp;W31)),MID(CE30&amp;W30,ROW($1:$162),1),""))</f>
        <v/>
      </c>
      <c r="CG31" s="27" t="str">
        <f t="array" ref="CG31">_xlfn.TEXTJOIN("",TRUE,IF(ISERROR(FIND(ROW($1:$168)-1,CE31&amp;CF31)),ROW($1:$168)-1,""))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1" s="28" t="str">
        <f t="shared" si="42"/>
        <v>邻孤孤</v>
      </c>
      <c r="CI31" s="29" t="str">
        <f t="shared" si="43"/>
        <v>35</v>
      </c>
      <c r="CJ31" s="29" t="str">
        <f t="array" ref="CJ31">_xlfn.TEXTJOIN("",TRUE,IF(ISNUMBER(FIND(MID(CI30&amp;X30,ROW($1:$162),1),CI31&amp;X31)),MID(CI30&amp;X30,ROW($1:$162),1),""))</f>
        <v>5</v>
      </c>
      <c r="CK31" s="29" t="str">
        <f t="array" ref="CK31">_xlfn.TEXTJOIN("",TRUE,IF(ISERROR(FIND(ROW($1:$168)-1,CI31&amp;CJ31)),ROW($1:$168)-1,""))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1" s="19" t="str">
        <f t="shared" si="44"/>
        <v>邻传孤</v>
      </c>
      <c r="CM31" s="24" t="str">
        <f t="shared" si="45"/>
        <v>80</v>
      </c>
      <c r="CN31" s="24" t="str">
        <f t="array" ref="CN31">_xlfn.TEXTJOIN("",TRUE,IF(ISNUMBER(FIND(MID(CM30&amp;Y30,ROW($1:$162),1),CM31&amp;Y31)),MID(CM30&amp;Y30,ROW($1:$162),1),""))</f>
        <v/>
      </c>
      <c r="CO31" s="24" t="str">
        <f t="array" ref="CO31">_xlfn.TEXTJOIN("",TRUE,IF(ISERROR(FIND(ROW($1:$168)-1,CM31&amp;CN31)),ROW($1:$168)-1,""))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31" s="30" t="str">
        <f t="shared" si="46"/>
        <v>邻孤孤</v>
      </c>
    </row>
    <row r="32" customFormat="1" spans="1:94">
      <c r="A32" s="15">
        <v>32</v>
      </c>
      <c r="B32" s="80">
        <v>2024001</v>
      </c>
      <c r="C32" s="8" t="s">
        <v>57</v>
      </c>
      <c r="D32" s="81">
        <f t="shared" si="26"/>
        <v>11</v>
      </c>
      <c r="E32" s="82">
        <f t="shared" si="27"/>
        <v>1</v>
      </c>
      <c r="F32" s="83">
        <f t="shared" si="9"/>
        <v>1.57142857142857</v>
      </c>
      <c r="G32" s="84" t="str">
        <f t="shared" si="10"/>
        <v>松散</v>
      </c>
      <c r="H32" s="85" t="s">
        <v>10</v>
      </c>
      <c r="I32" s="85" t="s">
        <v>11</v>
      </c>
      <c r="J32" s="85" t="s">
        <v>12</v>
      </c>
      <c r="K32" s="85" t="s">
        <v>13</v>
      </c>
      <c r="L32" s="86">
        <f>MAX(MID(C32,{1,2,3},1)*1)-MIN(MID(C32,{1,2,3},1)*1)</f>
        <v>7</v>
      </c>
      <c r="M32" s="87">
        <v>0</v>
      </c>
      <c r="N32" s="87">
        <v>1</v>
      </c>
      <c r="O32" s="87">
        <v>2</v>
      </c>
      <c r="P32" s="87">
        <v>3</v>
      </c>
      <c r="Q32" s="87">
        <v>4</v>
      </c>
      <c r="R32" s="87">
        <v>5</v>
      </c>
      <c r="S32" s="87">
        <v>6</v>
      </c>
      <c r="T32" s="87">
        <v>7</v>
      </c>
      <c r="U32" s="87">
        <v>8</v>
      </c>
      <c r="V32" s="87">
        <v>9</v>
      </c>
      <c r="W32" s="88">
        <f t="shared" si="28"/>
        <v>1</v>
      </c>
      <c r="X32" s="88">
        <f t="shared" si="29"/>
        <v>6</v>
      </c>
      <c r="Y32" s="88">
        <f t="shared" si="30"/>
        <v>7</v>
      </c>
      <c r="Z32" s="89">
        <f t="shared" si="31"/>
        <v>14</v>
      </c>
      <c r="AA32" s="17" t="str">
        <f>_xlfn.TEXTJOIN(", ",TRUE,ABS(MID(C32,{1,1,2},1)-MID(C32,{2,3,3},1)))</f>
        <v>1, 6, 7</v>
      </c>
      <c r="AB32" s="90">
        <v>0</v>
      </c>
      <c r="AC32" s="90">
        <v>1</v>
      </c>
      <c r="AD32" s="90">
        <v>2</v>
      </c>
      <c r="AE32" s="90">
        <v>3</v>
      </c>
      <c r="AF32" s="90">
        <v>4</v>
      </c>
      <c r="AG32" s="90">
        <v>5</v>
      </c>
      <c r="AH32" s="90">
        <v>6</v>
      </c>
      <c r="AI32" s="90">
        <v>7</v>
      </c>
      <c r="AJ32" s="90">
        <v>8</v>
      </c>
      <c r="AK32" s="90">
        <v>9</v>
      </c>
      <c r="AL32" s="91">
        <v>0</v>
      </c>
      <c r="AM32" s="91">
        <v>1</v>
      </c>
      <c r="AN32" s="91">
        <v>2</v>
      </c>
      <c r="AO32" s="91">
        <v>3</v>
      </c>
      <c r="AP32" s="91">
        <v>4</v>
      </c>
      <c r="AQ32" s="91">
        <v>5</v>
      </c>
      <c r="AR32" s="91">
        <v>6</v>
      </c>
      <c r="AS32" s="91">
        <v>7</v>
      </c>
      <c r="AT32" s="91">
        <v>8</v>
      </c>
      <c r="AU32" s="91">
        <v>9</v>
      </c>
      <c r="AV32" s="92">
        <v>0</v>
      </c>
      <c r="AW32" s="92">
        <v>1</v>
      </c>
      <c r="AX32" s="92">
        <v>2</v>
      </c>
      <c r="AY32" s="92">
        <v>3</v>
      </c>
      <c r="AZ32" s="92">
        <v>4</v>
      </c>
      <c r="BA32" s="92">
        <v>5</v>
      </c>
      <c r="BB32" s="92">
        <v>6</v>
      </c>
      <c r="BC32" s="92">
        <v>7</v>
      </c>
      <c r="BD32" s="92">
        <v>8</v>
      </c>
      <c r="BE32" s="92">
        <v>9</v>
      </c>
      <c r="BF32" s="93">
        <v>0</v>
      </c>
      <c r="BG32" s="93">
        <v>1</v>
      </c>
      <c r="BH32" s="93">
        <v>2</v>
      </c>
      <c r="BI32" s="93">
        <v>3</v>
      </c>
      <c r="BJ32" s="93">
        <v>4</v>
      </c>
      <c r="BK32" s="93">
        <v>5</v>
      </c>
      <c r="BL32" s="93">
        <v>6</v>
      </c>
      <c r="BM32" s="93">
        <v>7</v>
      </c>
      <c r="BN32" s="93">
        <v>8</v>
      </c>
      <c r="BO32" s="93">
        <v>9</v>
      </c>
      <c r="BP32" s="94" t="str">
        <f t="shared" si="32"/>
        <v>松散型</v>
      </c>
      <c r="BQ32" s="15">
        <f t="shared" si="33"/>
        <v>1</v>
      </c>
      <c r="BR32" s="15">
        <f t="shared" si="34"/>
        <v>7</v>
      </c>
      <c r="BS32" s="20" t="str">
        <f t="shared" si="35"/>
        <v/>
      </c>
      <c r="BT32" s="21" t="str">
        <f t="shared" si="47"/>
        <v/>
      </c>
      <c r="BU32" s="21" t="str">
        <f t="array" ref="BU32">_xlfn.TEXTJOIN("",TRUE,IF(ISERROR(FIND(ROW($1:$168)-1,BS32&amp;BT32)),ROW($1:$168)-1,""))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2" s="22" t="str">
        <f t="shared" si="36"/>
        <v>中中中</v>
      </c>
      <c r="BW32" s="23" t="str">
        <f t="shared" si="37"/>
        <v/>
      </c>
      <c r="BX32" s="23">
        <f t="shared" si="48"/>
        <v>6</v>
      </c>
      <c r="BY32" s="23" t="str">
        <f t="array" ref="BY32">_xlfn.TEXTJOIN("",TRUE,IF(ISERROR(FIND(ROW($1:$168)-1,BW32&amp;BX32)),ROW($1:$168)-1,""))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2" s="22" t="str">
        <f t="shared" si="38"/>
        <v>中隔中</v>
      </c>
      <c r="CA32" s="24" t="str">
        <f t="shared" si="39"/>
        <v/>
      </c>
      <c r="CB32" s="24" t="str">
        <f t="shared" si="49"/>
        <v/>
      </c>
      <c r="CC32" s="24" t="str">
        <f t="array" ref="CC32">_xlfn.TEXTJOIN("",TRUE,IF(ISERROR(FIND(ROW($1:$168)-1,CA32&amp;CB32)),ROW($1:$168)-1,""))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2" s="22" t="str">
        <f t="shared" si="40"/>
        <v>中中中</v>
      </c>
      <c r="CE32" s="25" t="str">
        <f t="shared" si="41"/>
        <v>02</v>
      </c>
      <c r="CF32" s="26" t="str">
        <f t="array" ref="CF32">_xlfn.TEXTJOIN("",TRUE,IF(ISNUMBER(FIND(MID(CE31&amp;W31,ROW($1:$162),1),CE32&amp;W32)),MID(CE31&amp;W31,ROW($1:$162),1),""))</f>
        <v/>
      </c>
      <c r="CG32" s="27" t="str">
        <f t="array" ref="CG32">_xlfn.TEXTJOIN("",TRUE,IF(ISERROR(FIND(ROW($1:$168)-1,CE32&amp;CF32)),ROW($1:$168)-1,""))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2" s="28" t="str">
        <f t="shared" si="42"/>
        <v>邻孤孤</v>
      </c>
      <c r="CI32" s="29" t="str">
        <f t="shared" si="43"/>
        <v>57</v>
      </c>
      <c r="CJ32" s="29" t="str">
        <f t="array" ref="CJ32">_xlfn.TEXTJOIN("",TRUE,IF(ISNUMBER(FIND(MID(CI31&amp;X31,ROW($1:$162),1),CI32&amp;X32)),MID(CI31&amp;X31,ROW($1:$162),1),""))</f>
        <v>5</v>
      </c>
      <c r="CK32" s="29" t="str">
        <f t="array" ref="CK32">_xlfn.TEXTJOIN("",TRUE,IF(ISERROR(FIND(ROW($1:$168)-1,CI32&amp;CJ32)),ROW($1:$168)-1,""))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2" s="19" t="str">
        <f t="shared" si="44"/>
        <v>邻传孤</v>
      </c>
      <c r="CM32" s="24" t="str">
        <f t="shared" si="45"/>
        <v>68</v>
      </c>
      <c r="CN32" s="24" t="str">
        <f t="array" ref="CN32">_xlfn.TEXTJOIN("",TRUE,IF(ISNUMBER(FIND(MID(CM31&amp;Y31,ROW($1:$162),1),CM32&amp;Y32)),MID(CM31&amp;Y31,ROW($1:$162),1),""))</f>
        <v>8</v>
      </c>
      <c r="CO32" s="24" t="str">
        <f t="array" ref="CO32">_xlfn.TEXTJOIN("",TRUE,IF(ISERROR(FIND(ROW($1:$168)-1,CM32&amp;CN32)),ROW($1:$168)-1,""))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167</v>
      </c>
      <c r="CP32" s="30" t="str">
        <f t="shared" si="46"/>
        <v>邻传孤</v>
      </c>
    </row>
    <row r="33" customFormat="1" spans="1:94">
      <c r="A33" s="15">
        <v>33</v>
      </c>
      <c r="B33" s="80">
        <v>2024002</v>
      </c>
      <c r="C33" s="8" t="s">
        <v>58</v>
      </c>
      <c r="D33" s="81">
        <f t="shared" si="26"/>
        <v>21</v>
      </c>
      <c r="E33" s="82">
        <f t="shared" si="27"/>
        <v>1</v>
      </c>
      <c r="F33" s="83">
        <f t="shared" si="9"/>
        <v>7</v>
      </c>
      <c r="G33" s="84" t="str">
        <f t="shared" si="10"/>
        <v>紧凑</v>
      </c>
      <c r="H33" s="85" t="s">
        <v>10</v>
      </c>
      <c r="I33" s="85" t="s">
        <v>11</v>
      </c>
      <c r="J33" s="85" t="s">
        <v>12</v>
      </c>
      <c r="K33" s="85" t="s">
        <v>13</v>
      </c>
      <c r="L33" s="86">
        <f>MAX(MID(C33,{1,2,3},1)*1)-MIN(MID(C33,{1,2,3},1)*1)</f>
        <v>3</v>
      </c>
      <c r="M33" s="87">
        <v>0</v>
      </c>
      <c r="N33" s="87">
        <v>1</v>
      </c>
      <c r="O33" s="87">
        <v>2</v>
      </c>
      <c r="P33" s="87">
        <v>3</v>
      </c>
      <c r="Q33" s="87">
        <v>4</v>
      </c>
      <c r="R33" s="87">
        <v>5</v>
      </c>
      <c r="S33" s="87">
        <v>6</v>
      </c>
      <c r="T33" s="87">
        <v>7</v>
      </c>
      <c r="U33" s="87">
        <v>8</v>
      </c>
      <c r="V33" s="87">
        <v>9</v>
      </c>
      <c r="W33" s="88">
        <f t="shared" si="28"/>
        <v>0</v>
      </c>
      <c r="X33" s="88">
        <f t="shared" si="29"/>
        <v>3</v>
      </c>
      <c r="Y33" s="88">
        <f t="shared" si="30"/>
        <v>3</v>
      </c>
      <c r="Z33" s="89">
        <f t="shared" si="31"/>
        <v>6</v>
      </c>
      <c r="AA33" s="17" t="str">
        <f>_xlfn.TEXTJOIN(", ",TRUE,ABS(MID(C33,{1,1,2},1)-MID(C33,{2,3,3},1)))</f>
        <v>0, 3, 3</v>
      </c>
      <c r="AB33" s="90">
        <v>0</v>
      </c>
      <c r="AC33" s="90">
        <v>1</v>
      </c>
      <c r="AD33" s="90">
        <v>2</v>
      </c>
      <c r="AE33" s="90">
        <v>3</v>
      </c>
      <c r="AF33" s="90">
        <v>4</v>
      </c>
      <c r="AG33" s="90">
        <v>5</v>
      </c>
      <c r="AH33" s="90">
        <v>6</v>
      </c>
      <c r="AI33" s="90">
        <v>7</v>
      </c>
      <c r="AJ33" s="90">
        <v>8</v>
      </c>
      <c r="AK33" s="90">
        <v>9</v>
      </c>
      <c r="AL33" s="91">
        <v>0</v>
      </c>
      <c r="AM33" s="91">
        <v>1</v>
      </c>
      <c r="AN33" s="91">
        <v>2</v>
      </c>
      <c r="AO33" s="91">
        <v>3</v>
      </c>
      <c r="AP33" s="91">
        <v>4</v>
      </c>
      <c r="AQ33" s="91">
        <v>5</v>
      </c>
      <c r="AR33" s="91">
        <v>6</v>
      </c>
      <c r="AS33" s="91">
        <v>7</v>
      </c>
      <c r="AT33" s="91">
        <v>8</v>
      </c>
      <c r="AU33" s="91">
        <v>9</v>
      </c>
      <c r="AV33" s="92">
        <v>0</v>
      </c>
      <c r="AW33" s="92">
        <v>1</v>
      </c>
      <c r="AX33" s="92">
        <v>2</v>
      </c>
      <c r="AY33" s="92">
        <v>3</v>
      </c>
      <c r="AZ33" s="92">
        <v>4</v>
      </c>
      <c r="BA33" s="92">
        <v>5</v>
      </c>
      <c r="BB33" s="92">
        <v>6</v>
      </c>
      <c r="BC33" s="92">
        <v>7</v>
      </c>
      <c r="BD33" s="92">
        <v>8</v>
      </c>
      <c r="BE33" s="92">
        <v>9</v>
      </c>
      <c r="BF33" s="93">
        <v>0</v>
      </c>
      <c r="BG33" s="93">
        <v>1</v>
      </c>
      <c r="BH33" s="93">
        <v>2</v>
      </c>
      <c r="BI33" s="93">
        <v>3</v>
      </c>
      <c r="BJ33" s="93">
        <v>4</v>
      </c>
      <c r="BK33" s="93">
        <v>5</v>
      </c>
      <c r="BL33" s="93">
        <v>6</v>
      </c>
      <c r="BM33" s="93">
        <v>7</v>
      </c>
      <c r="BN33" s="93">
        <v>8</v>
      </c>
      <c r="BO33" s="93">
        <v>9</v>
      </c>
      <c r="BP33" s="94" t="str">
        <f t="shared" si="32"/>
        <v>紧凑型</v>
      </c>
      <c r="BQ33" s="15">
        <f t="shared" si="33"/>
        <v>0</v>
      </c>
      <c r="BR33" s="15">
        <f t="shared" si="34"/>
        <v>3</v>
      </c>
      <c r="BS33" s="20" t="str">
        <f t="shared" si="35"/>
        <v/>
      </c>
      <c r="BT33" s="21" t="str">
        <f t="shared" si="47"/>
        <v/>
      </c>
      <c r="BU33" s="21" t="str">
        <f t="array" ref="BU33">_xlfn.TEXTJOIN("",TRUE,IF(ISERROR(FIND(ROW($1:$168)-1,BS33&amp;BT33)),ROW($1:$168)-1,""))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3" s="22" t="str">
        <f t="shared" si="36"/>
        <v>中中中</v>
      </c>
      <c r="BW33" s="23" t="str">
        <f t="shared" si="37"/>
        <v/>
      </c>
      <c r="BX33" s="23" t="str">
        <f t="shared" si="48"/>
        <v/>
      </c>
      <c r="BY33" s="23" t="str">
        <f t="array" ref="BY33">_xlfn.TEXTJOIN("",TRUE,IF(ISERROR(FIND(ROW($1:$168)-1,BW33&amp;BX33)),ROW($1:$168)-1,""))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3" s="22" t="str">
        <f t="shared" si="38"/>
        <v>中中中</v>
      </c>
      <c r="CA33" s="24" t="str">
        <f t="shared" si="39"/>
        <v/>
      </c>
      <c r="CB33" s="24" t="str">
        <f t="shared" si="49"/>
        <v/>
      </c>
      <c r="CC33" s="24" t="str">
        <f t="array" ref="CC33">_xlfn.TEXTJOIN("",TRUE,IF(ISERROR(FIND(ROW($1:$168)-1,CA33&amp;CB33)),ROW($1:$168)-1,""))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3" s="22" t="str">
        <f t="shared" si="40"/>
        <v>中中中</v>
      </c>
      <c r="CE33" s="25" t="str">
        <f t="shared" si="41"/>
        <v>91</v>
      </c>
      <c r="CF33" s="26" t="str">
        <f t="array" ref="CF33">_xlfn.TEXTJOIN("",TRUE,IF(ISNUMBER(FIND(MID(CE32&amp;W32,ROW($1:$162),1),CE33&amp;W33)),MID(CE32&amp;W32,ROW($1:$162),1),""))</f>
        <v>01</v>
      </c>
      <c r="CG33" s="27" t="str">
        <f t="array" ref="CG33">_xlfn.TEXTJOIN("",TRUE,IF(ISERROR(FIND(ROW($1:$168)-1,CE33&amp;CF33)),ROW($1:$168)-1,""))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H33" s="28" t="str">
        <f t="shared" si="42"/>
        <v>邻传孤</v>
      </c>
      <c r="CI33" s="29" t="str">
        <f t="shared" si="43"/>
        <v>24</v>
      </c>
      <c r="CJ33" s="29" t="str">
        <f t="array" ref="CJ33">_xlfn.TEXTJOIN("",TRUE,IF(ISNUMBER(FIND(MID(CI32&amp;X32,ROW($1:$162),1),CI33&amp;X33)),MID(CI32&amp;X32,ROW($1:$162),1),""))</f>
        <v/>
      </c>
      <c r="CK33" s="29" t="str">
        <f t="array" ref="CK33">_xlfn.TEXTJOIN("",TRUE,IF(ISERROR(FIND(ROW($1:$168)-1,CI33&amp;CJ33)),ROW($1:$168)-1,""))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3" s="19" t="str">
        <f t="shared" si="44"/>
        <v>邻孤孤</v>
      </c>
      <c r="CM33" s="24" t="str">
        <f t="shared" si="45"/>
        <v>24</v>
      </c>
      <c r="CN33" s="24" t="str">
        <f t="array" ref="CN33">_xlfn.TEXTJOIN("",TRUE,IF(ISNUMBER(FIND(MID(CM32&amp;Y32,ROW($1:$162),1),CM33&amp;Y33)),MID(CM32&amp;Y32,ROW($1:$162),1),""))</f>
        <v/>
      </c>
      <c r="CO33" s="24" t="str">
        <f t="array" ref="CO33">_xlfn.TEXTJOIN("",TRUE,IF(ISERROR(FIND(ROW($1:$168)-1,CM33&amp;CN33)),ROW($1:$168)-1,""))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3" s="30" t="str">
        <f t="shared" si="46"/>
        <v>邻孤孤</v>
      </c>
    </row>
    <row r="34" customFormat="1" spans="1:94">
      <c r="A34" s="15">
        <v>34</v>
      </c>
      <c r="B34" s="80">
        <v>2024003</v>
      </c>
      <c r="C34" s="8" t="s">
        <v>59</v>
      </c>
      <c r="D34" s="81">
        <f t="shared" si="26"/>
        <v>18</v>
      </c>
      <c r="E34" s="82">
        <f t="shared" si="27"/>
        <v>8</v>
      </c>
      <c r="F34" s="83">
        <f t="shared" si="9"/>
        <v>2.57142857142857</v>
      </c>
      <c r="G34" s="84" t="str">
        <f t="shared" si="10"/>
        <v>标准</v>
      </c>
      <c r="H34" s="85" t="s">
        <v>10</v>
      </c>
      <c r="I34" s="85" t="s">
        <v>11</v>
      </c>
      <c r="J34" s="85" t="s">
        <v>12</v>
      </c>
      <c r="K34" s="85" t="s">
        <v>13</v>
      </c>
      <c r="L34" s="86">
        <f>MAX(MID(C34,{1,2,3},1)*1)-MIN(MID(C34,{1,2,3},1)*1)</f>
        <v>7</v>
      </c>
      <c r="M34" s="87">
        <v>0</v>
      </c>
      <c r="N34" s="87">
        <v>1</v>
      </c>
      <c r="O34" s="87">
        <v>2</v>
      </c>
      <c r="P34" s="87">
        <v>3</v>
      </c>
      <c r="Q34" s="87">
        <v>4</v>
      </c>
      <c r="R34" s="87">
        <v>5</v>
      </c>
      <c r="S34" s="87">
        <v>6</v>
      </c>
      <c r="T34" s="87">
        <v>7</v>
      </c>
      <c r="U34" s="87">
        <v>8</v>
      </c>
      <c r="V34" s="87">
        <v>9</v>
      </c>
      <c r="W34" s="88">
        <f t="shared" si="28"/>
        <v>5</v>
      </c>
      <c r="X34" s="88">
        <f t="shared" si="29"/>
        <v>2</v>
      </c>
      <c r="Y34" s="88">
        <f t="shared" si="30"/>
        <v>7</v>
      </c>
      <c r="Z34" s="89">
        <f t="shared" si="31"/>
        <v>14</v>
      </c>
      <c r="AA34" s="17" t="str">
        <f>_xlfn.TEXTJOIN(", ",TRUE,ABS(MID(C34,{1,1,2},1)-MID(C34,{2,3,3},1)))</f>
        <v>5, 2, 7</v>
      </c>
      <c r="AB34" s="90">
        <v>0</v>
      </c>
      <c r="AC34" s="90">
        <v>1</v>
      </c>
      <c r="AD34" s="90">
        <v>2</v>
      </c>
      <c r="AE34" s="90">
        <v>3</v>
      </c>
      <c r="AF34" s="90">
        <v>4</v>
      </c>
      <c r="AG34" s="90">
        <v>5</v>
      </c>
      <c r="AH34" s="90">
        <v>6</v>
      </c>
      <c r="AI34" s="90">
        <v>7</v>
      </c>
      <c r="AJ34" s="90">
        <v>8</v>
      </c>
      <c r="AK34" s="90">
        <v>9</v>
      </c>
      <c r="AL34" s="91">
        <v>0</v>
      </c>
      <c r="AM34" s="91">
        <v>1</v>
      </c>
      <c r="AN34" s="91">
        <v>2</v>
      </c>
      <c r="AO34" s="91">
        <v>3</v>
      </c>
      <c r="AP34" s="91">
        <v>4</v>
      </c>
      <c r="AQ34" s="91">
        <v>5</v>
      </c>
      <c r="AR34" s="91">
        <v>6</v>
      </c>
      <c r="AS34" s="91">
        <v>7</v>
      </c>
      <c r="AT34" s="91">
        <v>8</v>
      </c>
      <c r="AU34" s="91">
        <v>9</v>
      </c>
      <c r="AV34" s="92">
        <v>0</v>
      </c>
      <c r="AW34" s="92">
        <v>1</v>
      </c>
      <c r="AX34" s="92">
        <v>2</v>
      </c>
      <c r="AY34" s="92">
        <v>3</v>
      </c>
      <c r="AZ34" s="92">
        <v>4</v>
      </c>
      <c r="BA34" s="92">
        <v>5</v>
      </c>
      <c r="BB34" s="92">
        <v>6</v>
      </c>
      <c r="BC34" s="92">
        <v>7</v>
      </c>
      <c r="BD34" s="92">
        <v>8</v>
      </c>
      <c r="BE34" s="92">
        <v>9</v>
      </c>
      <c r="BF34" s="93">
        <v>0</v>
      </c>
      <c r="BG34" s="93">
        <v>1</v>
      </c>
      <c r="BH34" s="93">
        <v>2</v>
      </c>
      <c r="BI34" s="93">
        <v>3</v>
      </c>
      <c r="BJ34" s="93">
        <v>4</v>
      </c>
      <c r="BK34" s="93">
        <v>5</v>
      </c>
      <c r="BL34" s="93">
        <v>6</v>
      </c>
      <c r="BM34" s="93">
        <v>7</v>
      </c>
      <c r="BN34" s="93">
        <v>8</v>
      </c>
      <c r="BO34" s="93">
        <v>9</v>
      </c>
      <c r="BP34" s="94" t="str">
        <f t="shared" si="32"/>
        <v>松散型</v>
      </c>
      <c r="BQ34" s="15">
        <f t="shared" si="33"/>
        <v>2</v>
      </c>
      <c r="BR34" s="15">
        <f t="shared" si="34"/>
        <v>7</v>
      </c>
      <c r="BS34" s="20" t="str">
        <f t="shared" si="35"/>
        <v/>
      </c>
      <c r="BT34" s="21" t="str">
        <f t="shared" si="47"/>
        <v/>
      </c>
      <c r="BU34" s="21" t="str">
        <f t="array" ref="BU34">_xlfn.TEXTJOIN("",TRUE,IF(ISERROR(FIND(ROW($1:$168)-1,BS34&amp;BT34)),ROW($1:$168)-1,""))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4" s="22" t="str">
        <f t="shared" si="36"/>
        <v>中中中</v>
      </c>
      <c r="BW34" s="23" t="str">
        <f t="shared" si="37"/>
        <v/>
      </c>
      <c r="BX34" s="23" t="str">
        <f t="shared" si="48"/>
        <v/>
      </c>
      <c r="BY34" s="23" t="str">
        <f t="array" ref="BY34">_xlfn.TEXTJOIN("",TRUE,IF(ISERROR(FIND(ROW($1:$168)-1,BW34&amp;BX34)),ROW($1:$168)-1,""))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4" s="22" t="str">
        <f t="shared" si="38"/>
        <v>中中中</v>
      </c>
      <c r="CA34" s="24" t="str">
        <f t="shared" si="39"/>
        <v/>
      </c>
      <c r="CB34" s="24">
        <f t="shared" si="49"/>
        <v>7</v>
      </c>
      <c r="CC34" s="24" t="str">
        <f t="array" ref="CC34">_xlfn.TEXTJOIN("",TRUE,IF(ISERROR(FIND(ROW($1:$168)-1,CA34&amp;CB34)),ROW($1:$168)-1,""))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4" s="22" t="str">
        <f t="shared" si="40"/>
        <v>中隔中</v>
      </c>
      <c r="CE34" s="25" t="str">
        <f t="shared" si="41"/>
        <v>46</v>
      </c>
      <c r="CF34" s="26" t="str">
        <f t="array" ref="CF34">_xlfn.TEXTJOIN("",TRUE,IF(ISNUMBER(FIND(MID(CE33&amp;W33,ROW($1:$162),1),CE34&amp;W34)),MID(CE33&amp;W33,ROW($1:$162),1),""))</f>
        <v/>
      </c>
      <c r="CG34" s="27" t="str">
        <f t="array" ref="CG34">_xlfn.TEXTJOIN("",TRUE,IF(ISERROR(FIND(ROW($1:$168)-1,CE34&amp;CF34)),ROW($1:$168)-1,""))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4" s="28" t="str">
        <f t="shared" si="42"/>
        <v>邻孤孤</v>
      </c>
      <c r="CI34" s="29" t="str">
        <f t="shared" si="43"/>
        <v>13</v>
      </c>
      <c r="CJ34" s="29" t="str">
        <f t="array" ref="CJ34">_xlfn.TEXTJOIN("",TRUE,IF(ISNUMBER(FIND(MID(CI33&amp;X33,ROW($1:$162),1),CI34&amp;X34)),MID(CI33&amp;X33,ROW($1:$162),1),""))</f>
        <v>23</v>
      </c>
      <c r="CK34" s="29" t="str">
        <f t="array" ref="CK34">_xlfn.TEXTJOIN("",TRUE,IF(ISERROR(FIND(ROW($1:$168)-1,CI34&amp;CJ34)),ROW($1:$168)-1,""))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34" s="19" t="str">
        <f t="shared" si="44"/>
        <v>邻传孤</v>
      </c>
      <c r="CM34" s="24" t="str">
        <f t="shared" si="45"/>
        <v>68</v>
      </c>
      <c r="CN34" s="24" t="str">
        <f t="array" ref="CN34">_xlfn.TEXTJOIN("",TRUE,IF(ISNUMBER(FIND(MID(CM33&amp;Y33,ROW($1:$162),1),CM34&amp;Y34)),MID(CM33&amp;Y33,ROW($1:$162),1),""))</f>
        <v/>
      </c>
      <c r="CO34" s="24" t="str">
        <f t="array" ref="CO34">_xlfn.TEXTJOIN("",TRUE,IF(ISERROR(FIND(ROW($1:$168)-1,CM34&amp;CN34)),ROW($1:$168)-1,""))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4" s="30" t="str">
        <f t="shared" si="46"/>
        <v>邻孤孤</v>
      </c>
    </row>
    <row r="35" customFormat="1" spans="1:94">
      <c r="A35" s="15">
        <v>35</v>
      </c>
      <c r="B35" s="80">
        <v>2024004</v>
      </c>
      <c r="C35" s="8" t="s">
        <v>60</v>
      </c>
      <c r="D35" s="81">
        <f t="shared" si="26"/>
        <v>12</v>
      </c>
      <c r="E35" s="82">
        <f t="shared" si="27"/>
        <v>2</v>
      </c>
      <c r="F35" s="83">
        <f t="shared" si="9"/>
        <v>1.71428571428571</v>
      </c>
      <c r="G35" s="84" t="str">
        <f t="shared" si="10"/>
        <v>松散</v>
      </c>
      <c r="H35" s="85" t="s">
        <v>10</v>
      </c>
      <c r="I35" s="85" t="s">
        <v>11</v>
      </c>
      <c r="J35" s="85" t="s">
        <v>12</v>
      </c>
      <c r="K35" s="85" t="s">
        <v>13</v>
      </c>
      <c r="L35" s="86">
        <f>MAX(MID(C35,{1,2,3},1)*1)-MIN(MID(C35,{1,2,3},1)*1)</f>
        <v>7</v>
      </c>
      <c r="M35" s="87">
        <v>0</v>
      </c>
      <c r="N35" s="87">
        <v>1</v>
      </c>
      <c r="O35" s="87">
        <v>2</v>
      </c>
      <c r="P35" s="87">
        <v>3</v>
      </c>
      <c r="Q35" s="87">
        <v>4</v>
      </c>
      <c r="R35" s="87">
        <v>5</v>
      </c>
      <c r="S35" s="87">
        <v>6</v>
      </c>
      <c r="T35" s="87">
        <v>7</v>
      </c>
      <c r="U35" s="87">
        <v>8</v>
      </c>
      <c r="V35" s="87">
        <v>9</v>
      </c>
      <c r="W35" s="88">
        <f t="shared" si="28"/>
        <v>7</v>
      </c>
      <c r="X35" s="88">
        <f t="shared" si="29"/>
        <v>2</v>
      </c>
      <c r="Y35" s="88">
        <f t="shared" si="30"/>
        <v>5</v>
      </c>
      <c r="Z35" s="89">
        <f t="shared" si="31"/>
        <v>14</v>
      </c>
      <c r="AA35" s="17" t="str">
        <f>_xlfn.TEXTJOIN(", ",TRUE,ABS(MID(C35,{1,1,2},1)-MID(C35,{2,3,3},1)))</f>
        <v>7, 2, 5</v>
      </c>
      <c r="AB35" s="90">
        <v>0</v>
      </c>
      <c r="AC35" s="90">
        <v>1</v>
      </c>
      <c r="AD35" s="90">
        <v>2</v>
      </c>
      <c r="AE35" s="90">
        <v>3</v>
      </c>
      <c r="AF35" s="90">
        <v>4</v>
      </c>
      <c r="AG35" s="90">
        <v>5</v>
      </c>
      <c r="AH35" s="90">
        <v>6</v>
      </c>
      <c r="AI35" s="90">
        <v>7</v>
      </c>
      <c r="AJ35" s="90">
        <v>8</v>
      </c>
      <c r="AK35" s="90">
        <v>9</v>
      </c>
      <c r="AL35" s="91">
        <v>0</v>
      </c>
      <c r="AM35" s="91">
        <v>1</v>
      </c>
      <c r="AN35" s="91">
        <v>2</v>
      </c>
      <c r="AO35" s="91">
        <v>3</v>
      </c>
      <c r="AP35" s="91">
        <v>4</v>
      </c>
      <c r="AQ35" s="91">
        <v>5</v>
      </c>
      <c r="AR35" s="91">
        <v>6</v>
      </c>
      <c r="AS35" s="91">
        <v>7</v>
      </c>
      <c r="AT35" s="91">
        <v>8</v>
      </c>
      <c r="AU35" s="91">
        <v>9</v>
      </c>
      <c r="AV35" s="92">
        <v>0</v>
      </c>
      <c r="AW35" s="92">
        <v>1</v>
      </c>
      <c r="AX35" s="92">
        <v>2</v>
      </c>
      <c r="AY35" s="92">
        <v>3</v>
      </c>
      <c r="AZ35" s="92">
        <v>4</v>
      </c>
      <c r="BA35" s="92">
        <v>5</v>
      </c>
      <c r="BB35" s="92">
        <v>6</v>
      </c>
      <c r="BC35" s="92">
        <v>7</v>
      </c>
      <c r="BD35" s="92">
        <v>8</v>
      </c>
      <c r="BE35" s="92">
        <v>9</v>
      </c>
      <c r="BF35" s="93">
        <v>0</v>
      </c>
      <c r="BG35" s="93">
        <v>1</v>
      </c>
      <c r="BH35" s="93">
        <v>2</v>
      </c>
      <c r="BI35" s="93">
        <v>3</v>
      </c>
      <c r="BJ35" s="93">
        <v>4</v>
      </c>
      <c r="BK35" s="93">
        <v>5</v>
      </c>
      <c r="BL35" s="93">
        <v>6</v>
      </c>
      <c r="BM35" s="93">
        <v>7</v>
      </c>
      <c r="BN35" s="93">
        <v>8</v>
      </c>
      <c r="BO35" s="93">
        <v>9</v>
      </c>
      <c r="BP35" s="94" t="str">
        <f t="shared" si="32"/>
        <v>松散型</v>
      </c>
      <c r="BQ35" s="15">
        <f t="shared" si="33"/>
        <v>2</v>
      </c>
      <c r="BR35" s="15">
        <f t="shared" si="34"/>
        <v>7</v>
      </c>
      <c r="BS35" s="20">
        <f t="shared" si="35"/>
        <v>7</v>
      </c>
      <c r="BT35" s="21" t="str">
        <f t="shared" si="47"/>
        <v/>
      </c>
      <c r="BU35" s="21" t="str">
        <f t="array" ref="BU35">_xlfn.TEXTJOIN("",TRUE,IF(ISERROR(FIND(ROW($1:$168)-1,BS35&amp;BT35)),ROW($1:$168)-1,""))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5" s="22" t="str">
        <f t="shared" si="36"/>
        <v>复中中</v>
      </c>
      <c r="BW35" s="23">
        <f t="shared" si="37"/>
        <v>2</v>
      </c>
      <c r="BX35" s="23" t="str">
        <f t="shared" si="48"/>
        <v/>
      </c>
      <c r="BY35" s="23" t="str">
        <f t="array" ref="BY35">_xlfn.TEXTJOIN("",TRUE,IF(ISERROR(FIND(ROW($1:$168)-1,BW35&amp;BX35)),ROW($1:$168)-1,""))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5" s="22" t="str">
        <f t="shared" si="38"/>
        <v>复中中</v>
      </c>
      <c r="CA35" s="24">
        <f t="shared" si="39"/>
        <v>5</v>
      </c>
      <c r="CB35" s="24" t="str">
        <f t="shared" si="49"/>
        <v/>
      </c>
      <c r="CC35" s="24" t="str">
        <f t="array" ref="CC35">_xlfn.TEXTJOIN("",TRUE,IF(ISERROR(FIND(ROW($1:$168)-1,CA35&amp;CB35)),ROW($1:$168)-1,""))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5" s="22" t="str">
        <f t="shared" si="40"/>
        <v>复中中</v>
      </c>
      <c r="CE35" s="25" t="str">
        <f t="shared" si="41"/>
        <v>68</v>
      </c>
      <c r="CF35" s="26" t="str">
        <f t="array" ref="CF35">_xlfn.TEXTJOIN("",TRUE,IF(ISNUMBER(FIND(MID(CE34&amp;W34,ROW($1:$162),1),CE35&amp;W35)),MID(CE34&amp;W34,ROW($1:$162),1),""))</f>
        <v>6</v>
      </c>
      <c r="CG35" s="27" t="str">
        <f t="array" ref="CG35">_xlfn.TEXTJOIN("",TRUE,IF(ISERROR(FIND(ROW($1:$168)-1,CE35&amp;CF35)),ROW($1:$168)-1,""))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H35" s="28" t="str">
        <f t="shared" si="42"/>
        <v>邻传孤</v>
      </c>
      <c r="CI35" s="29" t="str">
        <f t="shared" si="43"/>
        <v>13</v>
      </c>
      <c r="CJ35" s="29" t="str">
        <f t="array" ref="CJ35">_xlfn.TEXTJOIN("",TRUE,IF(ISNUMBER(FIND(MID(CI34&amp;X34,ROW($1:$162),1),CI35&amp;X35)),MID(CI34&amp;X34,ROW($1:$162),1),""))</f>
        <v>132</v>
      </c>
      <c r="CK35" s="29" t="str">
        <f t="array" ref="CK35">_xlfn.TEXTJOIN("",TRUE,IF(ISERROR(FIND(ROW($1:$168)-1,CI35&amp;CJ35)),ROW($1:$168)-1,""))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35" s="19" t="str">
        <f t="shared" si="44"/>
        <v>邻传孤</v>
      </c>
      <c r="CM35" s="24" t="str">
        <f t="shared" si="45"/>
        <v>46</v>
      </c>
      <c r="CN35" s="24" t="str">
        <f t="array" ref="CN35">_xlfn.TEXTJOIN("",TRUE,IF(ISNUMBER(FIND(MID(CM34&amp;Y34,ROW($1:$162),1),CM35&amp;Y35)),MID(CM34&amp;Y34,ROW($1:$162),1),""))</f>
        <v>6</v>
      </c>
      <c r="CO35" s="24" t="str">
        <f t="array" ref="CO35">_xlfn.TEXTJOIN("",TRUE,IF(ISERROR(FIND(ROW($1:$168)-1,CM35&amp;CN35)),ROW($1:$168)-1,""))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5" s="30" t="str">
        <f t="shared" si="46"/>
        <v>邻传孤</v>
      </c>
    </row>
    <row r="36" customFormat="1" spans="1:94">
      <c r="A36" s="15">
        <v>36</v>
      </c>
      <c r="B36" s="80">
        <v>2024005</v>
      </c>
      <c r="C36" s="8" t="s">
        <v>61</v>
      </c>
      <c r="D36" s="81">
        <f t="shared" si="26"/>
        <v>14</v>
      </c>
      <c r="E36" s="82">
        <f t="shared" si="27"/>
        <v>4</v>
      </c>
      <c r="F36" s="83">
        <f t="shared" si="9"/>
        <v>1.75</v>
      </c>
      <c r="G36" s="84" t="str">
        <f t="shared" si="10"/>
        <v>松散</v>
      </c>
      <c r="H36" s="85" t="s">
        <v>10</v>
      </c>
      <c r="I36" s="85" t="s">
        <v>11</v>
      </c>
      <c r="J36" s="85" t="s">
        <v>12</v>
      </c>
      <c r="K36" s="85" t="s">
        <v>13</v>
      </c>
      <c r="L36" s="86">
        <f>MAX(MID(C36,{1,2,3},1)*1)-MIN(MID(C36,{1,2,3},1)*1)</f>
        <v>8</v>
      </c>
      <c r="M36" s="87">
        <v>0</v>
      </c>
      <c r="N36" s="87">
        <v>1</v>
      </c>
      <c r="O36" s="87">
        <v>2</v>
      </c>
      <c r="P36" s="87">
        <v>3</v>
      </c>
      <c r="Q36" s="87">
        <v>4</v>
      </c>
      <c r="R36" s="87">
        <v>5</v>
      </c>
      <c r="S36" s="87">
        <v>6</v>
      </c>
      <c r="T36" s="87">
        <v>7</v>
      </c>
      <c r="U36" s="87">
        <v>8</v>
      </c>
      <c r="V36" s="87">
        <v>9</v>
      </c>
      <c r="W36" s="88">
        <f t="shared" si="28"/>
        <v>8</v>
      </c>
      <c r="X36" s="88">
        <f t="shared" si="29"/>
        <v>2</v>
      </c>
      <c r="Y36" s="88">
        <f t="shared" si="30"/>
        <v>6</v>
      </c>
      <c r="Z36" s="89">
        <f t="shared" si="31"/>
        <v>16</v>
      </c>
      <c r="AA36" s="17" t="str">
        <f>_xlfn.TEXTJOIN(", ",TRUE,ABS(MID(C36,{1,1,2},1)-MID(C36,{2,3,3},1)))</f>
        <v>8, 2, 6</v>
      </c>
      <c r="AB36" s="90">
        <v>0</v>
      </c>
      <c r="AC36" s="90">
        <v>1</v>
      </c>
      <c r="AD36" s="90">
        <v>2</v>
      </c>
      <c r="AE36" s="90">
        <v>3</v>
      </c>
      <c r="AF36" s="90">
        <v>4</v>
      </c>
      <c r="AG36" s="90">
        <v>5</v>
      </c>
      <c r="AH36" s="90">
        <v>6</v>
      </c>
      <c r="AI36" s="90">
        <v>7</v>
      </c>
      <c r="AJ36" s="90">
        <v>8</v>
      </c>
      <c r="AK36" s="90">
        <v>9</v>
      </c>
      <c r="AL36" s="91">
        <v>0</v>
      </c>
      <c r="AM36" s="91">
        <v>1</v>
      </c>
      <c r="AN36" s="91">
        <v>2</v>
      </c>
      <c r="AO36" s="91">
        <v>3</v>
      </c>
      <c r="AP36" s="91">
        <v>4</v>
      </c>
      <c r="AQ36" s="91">
        <v>5</v>
      </c>
      <c r="AR36" s="91">
        <v>6</v>
      </c>
      <c r="AS36" s="91">
        <v>7</v>
      </c>
      <c r="AT36" s="91">
        <v>8</v>
      </c>
      <c r="AU36" s="91">
        <v>9</v>
      </c>
      <c r="AV36" s="92">
        <v>0</v>
      </c>
      <c r="AW36" s="92">
        <v>1</v>
      </c>
      <c r="AX36" s="92">
        <v>2</v>
      </c>
      <c r="AY36" s="92">
        <v>3</v>
      </c>
      <c r="AZ36" s="92">
        <v>4</v>
      </c>
      <c r="BA36" s="92">
        <v>5</v>
      </c>
      <c r="BB36" s="92">
        <v>6</v>
      </c>
      <c r="BC36" s="92">
        <v>7</v>
      </c>
      <c r="BD36" s="92">
        <v>8</v>
      </c>
      <c r="BE36" s="92">
        <v>9</v>
      </c>
      <c r="BF36" s="93">
        <v>0</v>
      </c>
      <c r="BG36" s="93">
        <v>1</v>
      </c>
      <c r="BH36" s="93">
        <v>2</v>
      </c>
      <c r="BI36" s="93">
        <v>3</v>
      </c>
      <c r="BJ36" s="93">
        <v>4</v>
      </c>
      <c r="BK36" s="93">
        <v>5</v>
      </c>
      <c r="BL36" s="93">
        <v>6</v>
      </c>
      <c r="BM36" s="93">
        <v>7</v>
      </c>
      <c r="BN36" s="93">
        <v>8</v>
      </c>
      <c r="BO36" s="93">
        <v>9</v>
      </c>
      <c r="BP36" s="94" t="str">
        <f t="shared" si="32"/>
        <v>松散型</v>
      </c>
      <c r="BQ36" s="15">
        <f t="shared" si="33"/>
        <v>2</v>
      </c>
      <c r="BR36" s="15">
        <f t="shared" si="34"/>
        <v>8</v>
      </c>
      <c r="BS36" s="20" t="str">
        <f t="shared" si="35"/>
        <v/>
      </c>
      <c r="BT36" s="21" t="str">
        <f t="shared" si="47"/>
        <v/>
      </c>
      <c r="BU36" s="21" t="str">
        <f t="array" ref="BU36">_xlfn.TEXTJOIN("",TRUE,IF(ISERROR(FIND(ROW($1:$168)-1,BS36&amp;BT36)),ROW($1:$168)-1,""))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6" s="22" t="str">
        <f t="shared" si="36"/>
        <v>中中中</v>
      </c>
      <c r="BW36" s="23">
        <f t="shared" si="37"/>
        <v>2</v>
      </c>
      <c r="BX36" s="23">
        <f t="shared" si="48"/>
        <v>2</v>
      </c>
      <c r="BY36" s="23" t="str">
        <f t="array" ref="BY36">_xlfn.TEXTJOIN("",TRUE,IF(ISERROR(FIND(ROW($1:$168)-1,BW36&amp;BX36)),ROW($1:$168)-1,""))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6" s="22" t="str">
        <f t="shared" si="38"/>
        <v>复隔中</v>
      </c>
      <c r="CA36" s="24" t="str">
        <f t="shared" si="39"/>
        <v/>
      </c>
      <c r="CB36" s="24" t="str">
        <f t="shared" si="49"/>
        <v/>
      </c>
      <c r="CC36" s="24" t="str">
        <f t="array" ref="CC36">_xlfn.TEXTJOIN("",TRUE,IF(ISERROR(FIND(ROW($1:$168)-1,CA36&amp;CB36)),ROW($1:$168)-1,""))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6" s="22" t="str">
        <f t="shared" si="40"/>
        <v>中中中</v>
      </c>
      <c r="CE36" s="25" t="str">
        <f t="shared" si="41"/>
        <v>79</v>
      </c>
      <c r="CF36" s="26" t="str">
        <f t="array" ref="CF36">_xlfn.TEXTJOIN("",TRUE,IF(ISNUMBER(FIND(MID(CE35&amp;W35,ROW($1:$162),1),CE36&amp;W36)),MID(CE35&amp;W35,ROW($1:$162),1),""))</f>
        <v>87</v>
      </c>
      <c r="CG36" s="27" t="str">
        <f t="array" ref="CG36">_xlfn.TEXTJOIN("",TRUE,IF(ISERROR(FIND(ROW($1:$168)-1,CE36&amp;CF36)),ROW($1:$168)-1,""))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H36" s="28" t="str">
        <f t="shared" si="42"/>
        <v>邻传孤</v>
      </c>
      <c r="CI36" s="29" t="str">
        <f t="shared" si="43"/>
        <v>13</v>
      </c>
      <c r="CJ36" s="29" t="str">
        <f t="array" ref="CJ36">_xlfn.TEXTJOIN("",TRUE,IF(ISNUMBER(FIND(MID(CI35&amp;X35,ROW($1:$162),1),CI36&amp;X36)),MID(CI35&amp;X35,ROW($1:$162),1),""))</f>
        <v>132</v>
      </c>
      <c r="CK36" s="29" t="str">
        <f t="array" ref="CK36">_xlfn.TEXTJOIN("",TRUE,IF(ISERROR(FIND(ROW($1:$168)-1,CI36&amp;CJ36)),ROW($1:$168)-1,""))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36" s="19" t="str">
        <f t="shared" si="44"/>
        <v>邻传孤</v>
      </c>
      <c r="CM36" s="24" t="str">
        <f t="shared" si="45"/>
        <v>57</v>
      </c>
      <c r="CN36" s="24" t="str">
        <f t="array" ref="CN36">_xlfn.TEXTJOIN("",TRUE,IF(ISNUMBER(FIND(MID(CM35&amp;Y35,ROW($1:$162),1),CM36&amp;Y36)),MID(CM35&amp;Y35,ROW($1:$162),1),""))</f>
        <v>65</v>
      </c>
      <c r="CO36" s="24" t="str">
        <f t="array" ref="CO36">_xlfn.TEXTJOIN("",TRUE,IF(ISERROR(FIND(ROW($1:$168)-1,CM36&amp;CN36)),ROW($1:$168)-1,""))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6" s="30" t="str">
        <f t="shared" si="46"/>
        <v>邻传孤</v>
      </c>
    </row>
    <row r="37" customFormat="1" spans="1:94">
      <c r="A37" s="15">
        <v>37</v>
      </c>
      <c r="B37" s="80">
        <v>2024006</v>
      </c>
      <c r="C37" s="8" t="s">
        <v>62</v>
      </c>
      <c r="D37" s="81">
        <f t="shared" si="26"/>
        <v>5</v>
      </c>
      <c r="E37" s="82">
        <f t="shared" si="27"/>
        <v>5</v>
      </c>
      <c r="F37" s="83">
        <f t="shared" si="9"/>
        <v>5</v>
      </c>
      <c r="G37" s="84" t="str">
        <f t="shared" si="10"/>
        <v>紧凑</v>
      </c>
      <c r="H37" s="85" t="s">
        <v>10</v>
      </c>
      <c r="I37" s="85" t="s">
        <v>11</v>
      </c>
      <c r="J37" s="85" t="s">
        <v>12</v>
      </c>
      <c r="K37" s="85" t="s">
        <v>13</v>
      </c>
      <c r="L37" s="86">
        <f>MAX(MID(C37,{1,2,3},1)*1)-MIN(MID(C37,{1,2,3},1)*1)</f>
        <v>1</v>
      </c>
      <c r="M37" s="87">
        <v>0</v>
      </c>
      <c r="N37" s="87">
        <v>1</v>
      </c>
      <c r="O37" s="87">
        <v>2</v>
      </c>
      <c r="P37" s="87">
        <v>3</v>
      </c>
      <c r="Q37" s="87">
        <v>4</v>
      </c>
      <c r="R37" s="87">
        <v>5</v>
      </c>
      <c r="S37" s="87">
        <v>6</v>
      </c>
      <c r="T37" s="87">
        <v>7</v>
      </c>
      <c r="U37" s="87">
        <v>8</v>
      </c>
      <c r="V37" s="87">
        <v>9</v>
      </c>
      <c r="W37" s="88">
        <f t="shared" si="28"/>
        <v>1</v>
      </c>
      <c r="X37" s="88">
        <f t="shared" si="29"/>
        <v>0</v>
      </c>
      <c r="Y37" s="88">
        <f t="shared" si="30"/>
        <v>1</v>
      </c>
      <c r="Z37" s="89">
        <f t="shared" si="31"/>
        <v>2</v>
      </c>
      <c r="AA37" s="17" t="str">
        <f>_xlfn.TEXTJOIN(", ",TRUE,ABS(MID(C37,{1,1,2},1)-MID(C37,{2,3,3},1)))</f>
        <v>1, 0, 1</v>
      </c>
      <c r="AB37" s="90">
        <v>0</v>
      </c>
      <c r="AC37" s="90">
        <v>1</v>
      </c>
      <c r="AD37" s="90">
        <v>2</v>
      </c>
      <c r="AE37" s="90">
        <v>3</v>
      </c>
      <c r="AF37" s="90">
        <v>4</v>
      </c>
      <c r="AG37" s="90">
        <v>5</v>
      </c>
      <c r="AH37" s="90">
        <v>6</v>
      </c>
      <c r="AI37" s="90">
        <v>7</v>
      </c>
      <c r="AJ37" s="90">
        <v>8</v>
      </c>
      <c r="AK37" s="90">
        <v>9</v>
      </c>
      <c r="AL37" s="91">
        <v>0</v>
      </c>
      <c r="AM37" s="91">
        <v>1</v>
      </c>
      <c r="AN37" s="91">
        <v>2</v>
      </c>
      <c r="AO37" s="91">
        <v>3</v>
      </c>
      <c r="AP37" s="91">
        <v>4</v>
      </c>
      <c r="AQ37" s="91">
        <v>5</v>
      </c>
      <c r="AR37" s="91">
        <v>6</v>
      </c>
      <c r="AS37" s="91">
        <v>7</v>
      </c>
      <c r="AT37" s="91">
        <v>8</v>
      </c>
      <c r="AU37" s="91">
        <v>9</v>
      </c>
      <c r="AV37" s="92">
        <v>0</v>
      </c>
      <c r="AW37" s="92">
        <v>1</v>
      </c>
      <c r="AX37" s="92">
        <v>2</v>
      </c>
      <c r="AY37" s="92">
        <v>3</v>
      </c>
      <c r="AZ37" s="92">
        <v>4</v>
      </c>
      <c r="BA37" s="92">
        <v>5</v>
      </c>
      <c r="BB37" s="92">
        <v>6</v>
      </c>
      <c r="BC37" s="92">
        <v>7</v>
      </c>
      <c r="BD37" s="92">
        <v>8</v>
      </c>
      <c r="BE37" s="92">
        <v>9</v>
      </c>
      <c r="BF37" s="93">
        <v>0</v>
      </c>
      <c r="BG37" s="93">
        <v>1</v>
      </c>
      <c r="BH37" s="93">
        <v>2</v>
      </c>
      <c r="BI37" s="93">
        <v>3</v>
      </c>
      <c r="BJ37" s="93">
        <v>4</v>
      </c>
      <c r="BK37" s="93">
        <v>5</v>
      </c>
      <c r="BL37" s="93">
        <v>6</v>
      </c>
      <c r="BM37" s="93">
        <v>7</v>
      </c>
      <c r="BN37" s="93">
        <v>8</v>
      </c>
      <c r="BO37" s="93">
        <v>9</v>
      </c>
      <c r="BP37" s="94" t="str">
        <f t="shared" si="32"/>
        <v>紧凑型</v>
      </c>
      <c r="BQ37" s="15">
        <f t="shared" si="33"/>
        <v>0</v>
      </c>
      <c r="BR37" s="15">
        <f t="shared" si="34"/>
        <v>1</v>
      </c>
      <c r="BS37" s="20" t="str">
        <f t="shared" si="35"/>
        <v/>
      </c>
      <c r="BT37" s="21" t="str">
        <f t="shared" si="47"/>
        <v/>
      </c>
      <c r="BU37" s="21" t="str">
        <f t="array" ref="BU37">_xlfn.TEXTJOIN("",TRUE,IF(ISERROR(FIND(ROW($1:$168)-1,BS37&amp;BT37)),ROW($1:$168)-1,""))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7" s="22" t="str">
        <f t="shared" si="36"/>
        <v>中中中</v>
      </c>
      <c r="BW37" s="23" t="str">
        <f t="shared" si="37"/>
        <v/>
      </c>
      <c r="BX37" s="23" t="str">
        <f t="shared" si="48"/>
        <v/>
      </c>
      <c r="BY37" s="23" t="str">
        <f t="array" ref="BY37">_xlfn.TEXTJOIN("",TRUE,IF(ISERROR(FIND(ROW($1:$168)-1,BW37&amp;BX37)),ROW($1:$168)-1,""))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7" s="22" t="str">
        <f t="shared" si="38"/>
        <v>中中中</v>
      </c>
      <c r="CA37" s="24" t="str">
        <f t="shared" si="39"/>
        <v/>
      </c>
      <c r="CB37" s="24" t="str">
        <f t="shared" si="49"/>
        <v/>
      </c>
      <c r="CC37" s="24" t="str">
        <f t="array" ref="CC37">_xlfn.TEXTJOIN("",TRUE,IF(ISERROR(FIND(ROW($1:$168)-1,CA37&amp;CB37)),ROW($1:$168)-1,""))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7" s="22" t="str">
        <f t="shared" si="40"/>
        <v>中中中</v>
      </c>
      <c r="CE37" s="25" t="str">
        <f t="shared" si="41"/>
        <v>02</v>
      </c>
      <c r="CF37" s="26" t="str">
        <f t="array" ref="CF37">_xlfn.TEXTJOIN("",TRUE,IF(ISNUMBER(FIND(MID(CE36&amp;W36,ROW($1:$162),1),CE37&amp;W37)),MID(CE36&amp;W36,ROW($1:$162),1),""))</f>
        <v/>
      </c>
      <c r="CG37" s="27" t="str">
        <f t="array" ref="CG37">_xlfn.TEXTJOIN("",TRUE,IF(ISERROR(FIND(ROW($1:$168)-1,CE37&amp;CF37)),ROW($1:$168)-1,""))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7" s="28" t="str">
        <f t="shared" si="42"/>
        <v>邻孤孤</v>
      </c>
      <c r="CI37" s="29" t="str">
        <f t="shared" si="43"/>
        <v>91</v>
      </c>
      <c r="CJ37" s="29" t="str">
        <f t="array" ref="CJ37">_xlfn.TEXTJOIN("",TRUE,IF(ISNUMBER(FIND(MID(CI36&amp;X36,ROW($1:$162),1),CI37&amp;X37)),MID(CI36&amp;X36,ROW($1:$162),1),""))</f>
        <v>1</v>
      </c>
      <c r="CK37" s="29" t="str">
        <f t="array" ref="CK37">_xlfn.TEXTJOIN("",TRUE,IF(ISERROR(FIND(ROW($1:$168)-1,CI37&amp;CJ37)),ROW($1:$168)-1,""))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37" s="19" t="str">
        <f t="shared" si="44"/>
        <v>邻传孤</v>
      </c>
      <c r="CM37" s="24" t="str">
        <f t="shared" si="45"/>
        <v>02</v>
      </c>
      <c r="CN37" s="24" t="str">
        <f t="array" ref="CN37">_xlfn.TEXTJOIN("",TRUE,IF(ISNUMBER(FIND(MID(CM36&amp;Y36,ROW($1:$162),1),CM37&amp;Y37)),MID(CM36&amp;Y36,ROW($1:$162),1),""))</f>
        <v/>
      </c>
      <c r="CO37" s="24" t="str">
        <f t="array" ref="CO37">_xlfn.TEXTJOIN("",TRUE,IF(ISERROR(FIND(ROW($1:$168)-1,CM37&amp;CN37)),ROW($1:$168)-1,""))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7" s="30" t="str">
        <f t="shared" si="46"/>
        <v>邻孤孤</v>
      </c>
    </row>
    <row r="38" customFormat="1" spans="1:94">
      <c r="A38" s="15">
        <v>38</v>
      </c>
      <c r="B38" s="80">
        <v>2024007</v>
      </c>
      <c r="C38" s="8" t="s">
        <v>63</v>
      </c>
      <c r="D38" s="81">
        <f t="shared" si="26"/>
        <v>12</v>
      </c>
      <c r="E38" s="82">
        <f t="shared" si="27"/>
        <v>2</v>
      </c>
      <c r="F38" s="83">
        <f t="shared" si="9"/>
        <v>4</v>
      </c>
      <c r="G38" s="84" t="str">
        <f t="shared" si="10"/>
        <v>紧凑</v>
      </c>
      <c r="H38" s="85" t="s">
        <v>10</v>
      </c>
      <c r="I38" s="85" t="s">
        <v>11</v>
      </c>
      <c r="J38" s="85" t="s">
        <v>12</v>
      </c>
      <c r="K38" s="85" t="s">
        <v>13</v>
      </c>
      <c r="L38" s="86">
        <f>MAX(MID(C38,{1,2,3},1)*1)-MIN(MID(C38,{1,2,3},1)*1)</f>
        <v>3</v>
      </c>
      <c r="M38" s="87">
        <v>0</v>
      </c>
      <c r="N38" s="87">
        <v>1</v>
      </c>
      <c r="O38" s="87">
        <v>2</v>
      </c>
      <c r="P38" s="87">
        <v>3</v>
      </c>
      <c r="Q38" s="87">
        <v>4</v>
      </c>
      <c r="R38" s="87">
        <v>5</v>
      </c>
      <c r="S38" s="87">
        <v>6</v>
      </c>
      <c r="T38" s="87">
        <v>7</v>
      </c>
      <c r="U38" s="87">
        <v>8</v>
      </c>
      <c r="V38" s="87">
        <v>9</v>
      </c>
      <c r="W38" s="88">
        <f t="shared" si="28"/>
        <v>3</v>
      </c>
      <c r="X38" s="88">
        <f t="shared" si="29"/>
        <v>3</v>
      </c>
      <c r="Y38" s="88">
        <f t="shared" si="30"/>
        <v>0</v>
      </c>
      <c r="Z38" s="89">
        <f t="shared" si="31"/>
        <v>6</v>
      </c>
      <c r="AA38" s="17" t="str">
        <f>_xlfn.TEXTJOIN(", ",TRUE,ABS(MID(C38,{1,1,2},1)-MID(C38,{2,3,3},1)))</f>
        <v>3, 3, 0</v>
      </c>
      <c r="AB38" s="90">
        <v>0</v>
      </c>
      <c r="AC38" s="90">
        <v>1</v>
      </c>
      <c r="AD38" s="90">
        <v>2</v>
      </c>
      <c r="AE38" s="90">
        <v>3</v>
      </c>
      <c r="AF38" s="90">
        <v>4</v>
      </c>
      <c r="AG38" s="90">
        <v>5</v>
      </c>
      <c r="AH38" s="90">
        <v>6</v>
      </c>
      <c r="AI38" s="90">
        <v>7</v>
      </c>
      <c r="AJ38" s="90">
        <v>8</v>
      </c>
      <c r="AK38" s="90">
        <v>9</v>
      </c>
      <c r="AL38" s="91">
        <v>0</v>
      </c>
      <c r="AM38" s="91">
        <v>1</v>
      </c>
      <c r="AN38" s="91">
        <v>2</v>
      </c>
      <c r="AO38" s="91">
        <v>3</v>
      </c>
      <c r="AP38" s="91">
        <v>4</v>
      </c>
      <c r="AQ38" s="91">
        <v>5</v>
      </c>
      <c r="AR38" s="91">
        <v>6</v>
      </c>
      <c r="AS38" s="91">
        <v>7</v>
      </c>
      <c r="AT38" s="91">
        <v>8</v>
      </c>
      <c r="AU38" s="91">
        <v>9</v>
      </c>
      <c r="AV38" s="92">
        <v>0</v>
      </c>
      <c r="AW38" s="92">
        <v>1</v>
      </c>
      <c r="AX38" s="92">
        <v>2</v>
      </c>
      <c r="AY38" s="92">
        <v>3</v>
      </c>
      <c r="AZ38" s="92">
        <v>4</v>
      </c>
      <c r="BA38" s="92">
        <v>5</v>
      </c>
      <c r="BB38" s="92">
        <v>6</v>
      </c>
      <c r="BC38" s="92">
        <v>7</v>
      </c>
      <c r="BD38" s="92">
        <v>8</v>
      </c>
      <c r="BE38" s="92">
        <v>9</v>
      </c>
      <c r="BF38" s="93">
        <v>0</v>
      </c>
      <c r="BG38" s="93">
        <v>1</v>
      </c>
      <c r="BH38" s="93">
        <v>2</v>
      </c>
      <c r="BI38" s="93">
        <v>3</v>
      </c>
      <c r="BJ38" s="93">
        <v>4</v>
      </c>
      <c r="BK38" s="93">
        <v>5</v>
      </c>
      <c r="BL38" s="93">
        <v>6</v>
      </c>
      <c r="BM38" s="93">
        <v>7</v>
      </c>
      <c r="BN38" s="93">
        <v>8</v>
      </c>
      <c r="BO38" s="93">
        <v>9</v>
      </c>
      <c r="BP38" s="94" t="str">
        <f t="shared" si="32"/>
        <v>紧凑型</v>
      </c>
      <c r="BQ38" s="15">
        <f t="shared" si="33"/>
        <v>0</v>
      </c>
      <c r="BR38" s="15">
        <f t="shared" si="34"/>
        <v>3</v>
      </c>
      <c r="BS38" s="20" t="str">
        <f t="shared" si="35"/>
        <v/>
      </c>
      <c r="BT38" s="21" t="str">
        <f t="shared" si="47"/>
        <v/>
      </c>
      <c r="BU38" s="21" t="str">
        <f t="array" ref="BU38">_xlfn.TEXTJOIN("",TRUE,IF(ISERROR(FIND(ROW($1:$168)-1,BS38&amp;BT38)),ROW($1:$168)-1,""))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8" s="22" t="str">
        <f t="shared" si="36"/>
        <v>中中中</v>
      </c>
      <c r="BW38" s="23" t="str">
        <f t="shared" si="37"/>
        <v/>
      </c>
      <c r="BX38" s="23" t="str">
        <f t="shared" si="48"/>
        <v/>
      </c>
      <c r="BY38" s="23" t="str">
        <f t="array" ref="BY38">_xlfn.TEXTJOIN("",TRUE,IF(ISERROR(FIND(ROW($1:$168)-1,BW38&amp;BX38)),ROW($1:$168)-1,""))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8" s="22" t="str">
        <f t="shared" si="38"/>
        <v>中中中</v>
      </c>
      <c r="CA38" s="24">
        <f t="shared" si="39"/>
        <v>0</v>
      </c>
      <c r="CB38" s="24" t="str">
        <f t="shared" si="49"/>
        <v/>
      </c>
      <c r="CC38" s="24" t="str">
        <f t="array" ref="CC38">_xlfn.TEXTJOIN("",TRUE,IF(ISERROR(FIND(ROW($1:$168)-1,CA38&amp;CB38)),ROW($1:$168)-1,""))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8" s="22" t="str">
        <f t="shared" si="40"/>
        <v>复中中</v>
      </c>
      <c r="CE38" s="25" t="str">
        <f t="shared" si="41"/>
        <v>24</v>
      </c>
      <c r="CF38" s="26" t="str">
        <f t="array" ref="CF38">_xlfn.TEXTJOIN("",TRUE,IF(ISNUMBER(FIND(MID(CE37&amp;W37,ROW($1:$162),1),CE38&amp;W38)),MID(CE37&amp;W37,ROW($1:$162),1),""))</f>
        <v>2</v>
      </c>
      <c r="CG38" s="27" t="str">
        <f t="array" ref="CG38">_xlfn.TEXTJOIN("",TRUE,IF(ISERROR(FIND(ROW($1:$168)-1,CE38&amp;CF38)),ROW($1:$168)-1,""))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8" s="28" t="str">
        <f t="shared" si="42"/>
        <v>邻传孤</v>
      </c>
      <c r="CI38" s="29" t="str">
        <f t="shared" si="43"/>
        <v>24</v>
      </c>
      <c r="CJ38" s="29" t="str">
        <f t="array" ref="CJ38">_xlfn.TEXTJOIN("",TRUE,IF(ISNUMBER(FIND(MID(CI37&amp;X37,ROW($1:$162),1),CI38&amp;X38)),MID(CI37&amp;X37,ROW($1:$162),1),""))</f>
        <v/>
      </c>
      <c r="CK38" s="29" t="str">
        <f t="array" ref="CK38">_xlfn.TEXTJOIN("",TRUE,IF(ISERROR(FIND(ROW($1:$168)-1,CI38&amp;CJ38)),ROW($1:$168)-1,""))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8" s="19" t="str">
        <f t="shared" si="44"/>
        <v>邻孤孤</v>
      </c>
      <c r="CM38" s="24" t="str">
        <f t="shared" si="45"/>
        <v>91</v>
      </c>
      <c r="CN38" s="24" t="str">
        <f t="array" ref="CN38">_xlfn.TEXTJOIN("",TRUE,IF(ISNUMBER(FIND(MID(CM37&amp;Y37,ROW($1:$162),1),CM38&amp;Y38)),MID(CM37&amp;Y37,ROW($1:$162),1),""))</f>
        <v>01</v>
      </c>
      <c r="CO38" s="24" t="str">
        <f t="array" ref="CO38">_xlfn.TEXTJOIN("",TRUE,IF(ISERROR(FIND(ROW($1:$168)-1,CM38&amp;CN38)),ROW($1:$168)-1,""))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38" s="30" t="str">
        <f t="shared" si="46"/>
        <v>邻传孤</v>
      </c>
    </row>
    <row r="39" customFormat="1" spans="1:94">
      <c r="A39" s="15">
        <v>39</v>
      </c>
      <c r="B39" s="80">
        <v>2024008</v>
      </c>
      <c r="C39" s="8" t="s">
        <v>64</v>
      </c>
      <c r="D39" s="81">
        <f t="shared" si="26"/>
        <v>9</v>
      </c>
      <c r="E39" s="82">
        <f t="shared" si="27"/>
        <v>9</v>
      </c>
      <c r="F39" s="83">
        <f t="shared" si="9"/>
        <v>4.5</v>
      </c>
      <c r="G39" s="84" t="str">
        <f t="shared" si="10"/>
        <v>紧凑</v>
      </c>
      <c r="H39" s="85" t="s">
        <v>10</v>
      </c>
      <c r="I39" s="85" t="s">
        <v>11</v>
      </c>
      <c r="J39" s="85" t="s">
        <v>12</v>
      </c>
      <c r="K39" s="85" t="s">
        <v>13</v>
      </c>
      <c r="L39" s="86">
        <f>MAX(MID(C39,{1,2,3},1)*1)-MIN(MID(C39,{1,2,3},1)*1)</f>
        <v>2</v>
      </c>
      <c r="M39" s="87">
        <v>0</v>
      </c>
      <c r="N39" s="87">
        <v>1</v>
      </c>
      <c r="O39" s="87">
        <v>2</v>
      </c>
      <c r="P39" s="87">
        <v>3</v>
      </c>
      <c r="Q39" s="87">
        <v>4</v>
      </c>
      <c r="R39" s="87">
        <v>5</v>
      </c>
      <c r="S39" s="87">
        <v>6</v>
      </c>
      <c r="T39" s="87">
        <v>7</v>
      </c>
      <c r="U39" s="87">
        <v>8</v>
      </c>
      <c r="V39" s="87">
        <v>9</v>
      </c>
      <c r="W39" s="88">
        <f t="shared" si="28"/>
        <v>2</v>
      </c>
      <c r="X39" s="88">
        <f t="shared" si="29"/>
        <v>1</v>
      </c>
      <c r="Y39" s="88">
        <f t="shared" si="30"/>
        <v>1</v>
      </c>
      <c r="Z39" s="89">
        <f t="shared" si="31"/>
        <v>4</v>
      </c>
      <c r="AA39" s="17" t="str">
        <f>_xlfn.TEXTJOIN(", ",TRUE,ABS(MID(C39,{1,1,2},1)-MID(C39,{2,3,3},1)))</f>
        <v>2, 1, 1</v>
      </c>
      <c r="AB39" s="90">
        <v>0</v>
      </c>
      <c r="AC39" s="90">
        <v>1</v>
      </c>
      <c r="AD39" s="90">
        <v>2</v>
      </c>
      <c r="AE39" s="90">
        <v>3</v>
      </c>
      <c r="AF39" s="90">
        <v>4</v>
      </c>
      <c r="AG39" s="90">
        <v>5</v>
      </c>
      <c r="AH39" s="90">
        <v>6</v>
      </c>
      <c r="AI39" s="90">
        <v>7</v>
      </c>
      <c r="AJ39" s="90">
        <v>8</v>
      </c>
      <c r="AK39" s="90">
        <v>9</v>
      </c>
      <c r="AL39" s="91">
        <v>0</v>
      </c>
      <c r="AM39" s="91">
        <v>1</v>
      </c>
      <c r="AN39" s="91">
        <v>2</v>
      </c>
      <c r="AO39" s="91">
        <v>3</v>
      </c>
      <c r="AP39" s="91">
        <v>4</v>
      </c>
      <c r="AQ39" s="91">
        <v>5</v>
      </c>
      <c r="AR39" s="91">
        <v>6</v>
      </c>
      <c r="AS39" s="91">
        <v>7</v>
      </c>
      <c r="AT39" s="91">
        <v>8</v>
      </c>
      <c r="AU39" s="91">
        <v>9</v>
      </c>
      <c r="AV39" s="92">
        <v>0</v>
      </c>
      <c r="AW39" s="92">
        <v>1</v>
      </c>
      <c r="AX39" s="92">
        <v>2</v>
      </c>
      <c r="AY39" s="92">
        <v>3</v>
      </c>
      <c r="AZ39" s="92">
        <v>4</v>
      </c>
      <c r="BA39" s="92">
        <v>5</v>
      </c>
      <c r="BB39" s="92">
        <v>6</v>
      </c>
      <c r="BC39" s="92">
        <v>7</v>
      </c>
      <c r="BD39" s="92">
        <v>8</v>
      </c>
      <c r="BE39" s="92">
        <v>9</v>
      </c>
      <c r="BF39" s="93">
        <v>0</v>
      </c>
      <c r="BG39" s="93">
        <v>1</v>
      </c>
      <c r="BH39" s="93">
        <v>2</v>
      </c>
      <c r="BI39" s="93">
        <v>3</v>
      </c>
      <c r="BJ39" s="93">
        <v>4</v>
      </c>
      <c r="BK39" s="93">
        <v>5</v>
      </c>
      <c r="BL39" s="93">
        <v>6</v>
      </c>
      <c r="BM39" s="93">
        <v>7</v>
      </c>
      <c r="BN39" s="93">
        <v>8</v>
      </c>
      <c r="BO39" s="93">
        <v>9</v>
      </c>
      <c r="BP39" s="94" t="str">
        <f t="shared" si="32"/>
        <v>紧凑型</v>
      </c>
      <c r="BQ39" s="15">
        <f t="shared" si="33"/>
        <v>1</v>
      </c>
      <c r="BR39" s="15">
        <f t="shared" si="34"/>
        <v>2</v>
      </c>
      <c r="BS39" s="20" t="str">
        <f t="shared" si="35"/>
        <v/>
      </c>
      <c r="BT39" s="21" t="str">
        <f t="shared" si="47"/>
        <v/>
      </c>
      <c r="BU39" s="21" t="str">
        <f t="array" ref="BU39">_xlfn.TEXTJOIN("",TRUE,IF(ISERROR(FIND(ROW($1:$168)-1,BS39&amp;BT39)),ROW($1:$168)-1,""))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9" s="22" t="str">
        <f t="shared" si="36"/>
        <v>中中中</v>
      </c>
      <c r="BW39" s="23" t="str">
        <f t="shared" si="37"/>
        <v/>
      </c>
      <c r="BX39" s="23">
        <f t="shared" si="48"/>
        <v>1</v>
      </c>
      <c r="BY39" s="23" t="str">
        <f t="array" ref="BY39">_xlfn.TEXTJOIN("",TRUE,IF(ISERROR(FIND(ROW($1:$168)-1,BW39&amp;BX39)),ROW($1:$168)-1,""))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9" s="22" t="str">
        <f t="shared" si="38"/>
        <v>中隔中</v>
      </c>
      <c r="CA39" s="24" t="str">
        <f t="shared" si="39"/>
        <v/>
      </c>
      <c r="CB39" s="24">
        <f t="shared" si="49"/>
        <v>1</v>
      </c>
      <c r="CC39" s="24" t="str">
        <f t="array" ref="CC39">_xlfn.TEXTJOIN("",TRUE,IF(ISERROR(FIND(ROW($1:$168)-1,CA39&amp;CB39)),ROW($1:$168)-1,""))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9" s="22" t="str">
        <f t="shared" si="40"/>
        <v>中隔中</v>
      </c>
      <c r="CE39" s="25" t="str">
        <f t="shared" si="41"/>
        <v>13</v>
      </c>
      <c r="CF39" s="26" t="str">
        <f t="array" ref="CF39">_xlfn.TEXTJOIN("",TRUE,IF(ISNUMBER(FIND(MID(CE38&amp;W38,ROW($1:$162),1),CE39&amp;W39)),MID(CE38&amp;W38,ROW($1:$162),1),""))</f>
        <v>23</v>
      </c>
      <c r="CG39" s="27" t="str">
        <f t="array" ref="CG39">_xlfn.TEXTJOIN("",TRUE,IF(ISERROR(FIND(ROW($1:$168)-1,CE39&amp;CF39)),ROW($1:$168)-1,""))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39" s="28" t="str">
        <f t="shared" si="42"/>
        <v>邻传孤</v>
      </c>
      <c r="CI39" s="29" t="str">
        <f t="shared" si="43"/>
        <v>02</v>
      </c>
      <c r="CJ39" s="29" t="str">
        <f t="array" ref="CJ39">_xlfn.TEXTJOIN("",TRUE,IF(ISNUMBER(FIND(MID(CI38&amp;X38,ROW($1:$162),1),CI39&amp;X39)),MID(CI38&amp;X38,ROW($1:$162),1),""))</f>
        <v>2</v>
      </c>
      <c r="CK39" s="29" t="str">
        <f t="array" ref="CK39">_xlfn.TEXTJOIN("",TRUE,IF(ISERROR(FIND(ROW($1:$168)-1,CI39&amp;CJ39)),ROW($1:$168)-1,""))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9" s="19" t="str">
        <f t="shared" si="44"/>
        <v>邻传孤</v>
      </c>
      <c r="CM39" s="24" t="str">
        <f t="shared" si="45"/>
        <v>02</v>
      </c>
      <c r="CN39" s="24" t="str">
        <f t="array" ref="CN39">_xlfn.TEXTJOIN("",TRUE,IF(ISNUMBER(FIND(MID(CM38&amp;Y38,ROW($1:$162),1),CM39&amp;Y39)),MID(CM38&amp;Y38,ROW($1:$162),1),""))</f>
        <v>10</v>
      </c>
      <c r="CO39" s="24" t="str">
        <f t="array" ref="CO39">_xlfn.TEXTJOIN("",TRUE,IF(ISERROR(FIND(ROW($1:$168)-1,CM39&amp;CN39)),ROW($1:$168)-1,""))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9" s="30" t="str">
        <f t="shared" si="46"/>
        <v>邻传孤</v>
      </c>
    </row>
    <row r="40" customFormat="1" spans="1:94">
      <c r="A40" s="15">
        <v>40</v>
      </c>
      <c r="B40" s="80">
        <v>2024009</v>
      </c>
      <c r="C40" s="8" t="s">
        <v>65</v>
      </c>
      <c r="D40" s="81">
        <f t="shared" si="26"/>
        <v>13</v>
      </c>
      <c r="E40" s="82">
        <f t="shared" si="27"/>
        <v>3</v>
      </c>
      <c r="F40" s="83">
        <f t="shared" si="9"/>
        <v>3.25</v>
      </c>
      <c r="G40" s="84" t="str">
        <f t="shared" si="10"/>
        <v>标准</v>
      </c>
      <c r="H40" s="85" t="s">
        <v>10</v>
      </c>
      <c r="I40" s="85" t="s">
        <v>11</v>
      </c>
      <c r="J40" s="85" t="s">
        <v>12</v>
      </c>
      <c r="K40" s="85" t="s">
        <v>13</v>
      </c>
      <c r="L40" s="86">
        <f>MAX(MID(C40,{1,2,3},1)*1)-MIN(MID(C40,{1,2,3},1)*1)</f>
        <v>4</v>
      </c>
      <c r="M40" s="87">
        <v>0</v>
      </c>
      <c r="N40" s="87">
        <v>1</v>
      </c>
      <c r="O40" s="87">
        <v>2</v>
      </c>
      <c r="P40" s="87">
        <v>3</v>
      </c>
      <c r="Q40" s="87">
        <v>4</v>
      </c>
      <c r="R40" s="87">
        <v>5</v>
      </c>
      <c r="S40" s="87">
        <v>6</v>
      </c>
      <c r="T40" s="87">
        <v>7</v>
      </c>
      <c r="U40" s="87">
        <v>8</v>
      </c>
      <c r="V40" s="87">
        <v>9</v>
      </c>
      <c r="W40" s="88">
        <f t="shared" si="28"/>
        <v>4</v>
      </c>
      <c r="X40" s="88">
        <f t="shared" si="29"/>
        <v>3</v>
      </c>
      <c r="Y40" s="88">
        <f t="shared" si="30"/>
        <v>1</v>
      </c>
      <c r="Z40" s="89">
        <f t="shared" si="31"/>
        <v>8</v>
      </c>
      <c r="AA40" s="17" t="str">
        <f>_xlfn.TEXTJOIN(", ",TRUE,ABS(MID(C40,{1,1,2},1)-MID(C40,{2,3,3},1)))</f>
        <v>4, 3, 1</v>
      </c>
      <c r="AB40" s="90">
        <v>0</v>
      </c>
      <c r="AC40" s="90">
        <v>1</v>
      </c>
      <c r="AD40" s="90">
        <v>2</v>
      </c>
      <c r="AE40" s="90">
        <v>3</v>
      </c>
      <c r="AF40" s="90">
        <v>4</v>
      </c>
      <c r="AG40" s="90">
        <v>5</v>
      </c>
      <c r="AH40" s="90">
        <v>6</v>
      </c>
      <c r="AI40" s="90">
        <v>7</v>
      </c>
      <c r="AJ40" s="90">
        <v>8</v>
      </c>
      <c r="AK40" s="90">
        <v>9</v>
      </c>
      <c r="AL40" s="91">
        <v>0</v>
      </c>
      <c r="AM40" s="91">
        <v>1</v>
      </c>
      <c r="AN40" s="91">
        <v>2</v>
      </c>
      <c r="AO40" s="91">
        <v>3</v>
      </c>
      <c r="AP40" s="91">
        <v>4</v>
      </c>
      <c r="AQ40" s="91">
        <v>5</v>
      </c>
      <c r="AR40" s="91">
        <v>6</v>
      </c>
      <c r="AS40" s="91">
        <v>7</v>
      </c>
      <c r="AT40" s="91">
        <v>8</v>
      </c>
      <c r="AU40" s="91">
        <v>9</v>
      </c>
      <c r="AV40" s="92">
        <v>0</v>
      </c>
      <c r="AW40" s="92">
        <v>1</v>
      </c>
      <c r="AX40" s="92">
        <v>2</v>
      </c>
      <c r="AY40" s="92">
        <v>3</v>
      </c>
      <c r="AZ40" s="92">
        <v>4</v>
      </c>
      <c r="BA40" s="92">
        <v>5</v>
      </c>
      <c r="BB40" s="92">
        <v>6</v>
      </c>
      <c r="BC40" s="92">
        <v>7</v>
      </c>
      <c r="BD40" s="92">
        <v>8</v>
      </c>
      <c r="BE40" s="92">
        <v>9</v>
      </c>
      <c r="BF40" s="93">
        <v>0</v>
      </c>
      <c r="BG40" s="93">
        <v>1</v>
      </c>
      <c r="BH40" s="93">
        <v>2</v>
      </c>
      <c r="BI40" s="93">
        <v>3</v>
      </c>
      <c r="BJ40" s="93">
        <v>4</v>
      </c>
      <c r="BK40" s="93">
        <v>5</v>
      </c>
      <c r="BL40" s="93">
        <v>6</v>
      </c>
      <c r="BM40" s="93">
        <v>7</v>
      </c>
      <c r="BN40" s="93">
        <v>8</v>
      </c>
      <c r="BO40" s="93">
        <v>9</v>
      </c>
      <c r="BP40" s="94" t="str">
        <f t="shared" si="32"/>
        <v>紧凑型</v>
      </c>
      <c r="BQ40" s="15">
        <f t="shared" si="33"/>
        <v>1</v>
      </c>
      <c r="BR40" s="15">
        <f t="shared" si="34"/>
        <v>4</v>
      </c>
      <c r="BS40" s="20" t="str">
        <f t="shared" si="35"/>
        <v/>
      </c>
      <c r="BT40" s="21" t="str">
        <f t="shared" si="47"/>
        <v/>
      </c>
      <c r="BU40" s="21" t="str">
        <f t="array" ref="BU40">_xlfn.TEXTJOIN("",TRUE,IF(ISERROR(FIND(ROW($1:$168)-1,BS40&amp;BT40)),ROW($1:$168)-1,""))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0" s="22" t="str">
        <f t="shared" si="36"/>
        <v>中中中</v>
      </c>
      <c r="BW40" s="23" t="str">
        <f t="shared" si="37"/>
        <v/>
      </c>
      <c r="BX40" s="23">
        <f t="shared" si="48"/>
        <v>3</v>
      </c>
      <c r="BY40" s="23" t="str">
        <f t="array" ref="BY40">_xlfn.TEXTJOIN("",TRUE,IF(ISERROR(FIND(ROW($1:$168)-1,BW40&amp;BX40)),ROW($1:$168)-1,""))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0" s="22" t="str">
        <f t="shared" si="38"/>
        <v>中隔中</v>
      </c>
      <c r="CA40" s="24">
        <f t="shared" si="39"/>
        <v>1</v>
      </c>
      <c r="CB40" s="24" t="str">
        <f t="shared" si="49"/>
        <v/>
      </c>
      <c r="CC40" s="24" t="str">
        <f t="array" ref="CC40">_xlfn.TEXTJOIN("",TRUE,IF(ISERROR(FIND(ROW($1:$168)-1,CA40&amp;CB40)),ROW($1:$168)-1,""))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0" s="22" t="str">
        <f t="shared" si="40"/>
        <v>复中中</v>
      </c>
      <c r="CE40" s="25" t="str">
        <f t="shared" si="41"/>
        <v>35</v>
      </c>
      <c r="CF40" s="26" t="str">
        <f t="array" ref="CF40">_xlfn.TEXTJOIN("",TRUE,IF(ISNUMBER(FIND(MID(CE39&amp;W39,ROW($1:$162),1),CE40&amp;W40)),MID(CE39&amp;W39,ROW($1:$162),1),""))</f>
        <v>3</v>
      </c>
      <c r="CG40" s="27" t="str">
        <f t="array" ref="CG40">_xlfn.TEXTJOIN("",TRUE,IF(ISERROR(FIND(ROW($1:$168)-1,CE40&amp;CF40)),ROW($1:$168)-1,""))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0" s="28" t="str">
        <f t="shared" si="42"/>
        <v>邻传孤</v>
      </c>
      <c r="CI40" s="29" t="str">
        <f t="shared" si="43"/>
        <v>24</v>
      </c>
      <c r="CJ40" s="29" t="str">
        <f t="array" ref="CJ40">_xlfn.TEXTJOIN("",TRUE,IF(ISNUMBER(FIND(MID(CI39&amp;X39,ROW($1:$162),1),CI40&amp;X40)),MID(CI39&amp;X39,ROW($1:$162),1),""))</f>
        <v>2</v>
      </c>
      <c r="CK40" s="29" t="str">
        <f t="array" ref="CK40">_xlfn.TEXTJOIN("",TRUE,IF(ISERROR(FIND(ROW($1:$168)-1,CI40&amp;CJ40)),ROW($1:$168)-1,""))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0" s="19" t="str">
        <f t="shared" si="44"/>
        <v>邻传孤</v>
      </c>
      <c r="CM40" s="24" t="str">
        <f t="shared" si="45"/>
        <v>02</v>
      </c>
      <c r="CN40" s="24" t="str">
        <f t="array" ref="CN40">_xlfn.TEXTJOIN("",TRUE,IF(ISNUMBER(FIND(MID(CM39&amp;Y39,ROW($1:$162),1),CM40&amp;Y40)),MID(CM39&amp;Y39,ROW($1:$162),1),""))</f>
        <v>021</v>
      </c>
      <c r="CO40" s="24" t="str">
        <f t="array" ref="CO40">_xlfn.TEXTJOIN("",TRUE,IF(ISERROR(FIND(ROW($1:$168)-1,CM40&amp;CN40)),ROW($1:$168)-1,""))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0" s="30" t="str">
        <f t="shared" si="46"/>
        <v>邻传孤</v>
      </c>
    </row>
    <row r="41" customFormat="1" spans="1:94">
      <c r="A41" s="15">
        <v>41</v>
      </c>
      <c r="B41" s="80">
        <v>2024010</v>
      </c>
      <c r="C41" s="8" t="s">
        <v>66</v>
      </c>
      <c r="D41" s="81">
        <f t="shared" si="26"/>
        <v>14</v>
      </c>
      <c r="E41" s="82">
        <f t="shared" si="27"/>
        <v>4</v>
      </c>
      <c r="F41" s="83">
        <f t="shared" si="9"/>
        <v>3.5</v>
      </c>
      <c r="G41" s="84" t="str">
        <f t="shared" si="10"/>
        <v>标准</v>
      </c>
      <c r="H41" s="85" t="s">
        <v>10</v>
      </c>
      <c r="I41" s="85" t="s">
        <v>11</v>
      </c>
      <c r="J41" s="85" t="s">
        <v>12</v>
      </c>
      <c r="K41" s="85" t="s">
        <v>13</v>
      </c>
      <c r="L41" s="86">
        <f>MAX(MID(C41,{1,2,3},1)*1)-MIN(MID(C41,{1,2,3},1)*1)</f>
        <v>4</v>
      </c>
      <c r="M41" s="87">
        <v>0</v>
      </c>
      <c r="N41" s="87">
        <v>1</v>
      </c>
      <c r="O41" s="87">
        <v>2</v>
      </c>
      <c r="P41" s="87">
        <v>3</v>
      </c>
      <c r="Q41" s="87">
        <v>4</v>
      </c>
      <c r="R41" s="87">
        <v>5</v>
      </c>
      <c r="S41" s="87">
        <v>6</v>
      </c>
      <c r="T41" s="87">
        <v>7</v>
      </c>
      <c r="U41" s="87">
        <v>8</v>
      </c>
      <c r="V41" s="87">
        <v>9</v>
      </c>
      <c r="W41" s="88">
        <f t="shared" si="28"/>
        <v>1</v>
      </c>
      <c r="X41" s="88">
        <f t="shared" si="29"/>
        <v>3</v>
      </c>
      <c r="Y41" s="88">
        <f t="shared" si="30"/>
        <v>4</v>
      </c>
      <c r="Z41" s="89">
        <f t="shared" si="31"/>
        <v>8</v>
      </c>
      <c r="AA41" s="17" t="str">
        <f>_xlfn.TEXTJOIN(", ",TRUE,ABS(MID(C41,{1,1,2},1)-MID(C41,{2,3,3},1)))</f>
        <v>1, 3, 4</v>
      </c>
      <c r="AB41" s="90">
        <v>0</v>
      </c>
      <c r="AC41" s="90">
        <v>1</v>
      </c>
      <c r="AD41" s="90">
        <v>2</v>
      </c>
      <c r="AE41" s="90">
        <v>3</v>
      </c>
      <c r="AF41" s="90">
        <v>4</v>
      </c>
      <c r="AG41" s="90">
        <v>5</v>
      </c>
      <c r="AH41" s="90">
        <v>6</v>
      </c>
      <c r="AI41" s="90">
        <v>7</v>
      </c>
      <c r="AJ41" s="90">
        <v>8</v>
      </c>
      <c r="AK41" s="90">
        <v>9</v>
      </c>
      <c r="AL41" s="91">
        <v>0</v>
      </c>
      <c r="AM41" s="91">
        <v>1</v>
      </c>
      <c r="AN41" s="91">
        <v>2</v>
      </c>
      <c r="AO41" s="91">
        <v>3</v>
      </c>
      <c r="AP41" s="91">
        <v>4</v>
      </c>
      <c r="AQ41" s="91">
        <v>5</v>
      </c>
      <c r="AR41" s="91">
        <v>6</v>
      </c>
      <c r="AS41" s="91">
        <v>7</v>
      </c>
      <c r="AT41" s="91">
        <v>8</v>
      </c>
      <c r="AU41" s="91">
        <v>9</v>
      </c>
      <c r="AV41" s="92">
        <v>0</v>
      </c>
      <c r="AW41" s="92">
        <v>1</v>
      </c>
      <c r="AX41" s="92">
        <v>2</v>
      </c>
      <c r="AY41" s="92">
        <v>3</v>
      </c>
      <c r="AZ41" s="92">
        <v>4</v>
      </c>
      <c r="BA41" s="92">
        <v>5</v>
      </c>
      <c r="BB41" s="92">
        <v>6</v>
      </c>
      <c r="BC41" s="92">
        <v>7</v>
      </c>
      <c r="BD41" s="92">
        <v>8</v>
      </c>
      <c r="BE41" s="92">
        <v>9</v>
      </c>
      <c r="BF41" s="93">
        <v>0</v>
      </c>
      <c r="BG41" s="93">
        <v>1</v>
      </c>
      <c r="BH41" s="93">
        <v>2</v>
      </c>
      <c r="BI41" s="93">
        <v>3</v>
      </c>
      <c r="BJ41" s="93">
        <v>4</v>
      </c>
      <c r="BK41" s="93">
        <v>5</v>
      </c>
      <c r="BL41" s="93">
        <v>6</v>
      </c>
      <c r="BM41" s="93">
        <v>7</v>
      </c>
      <c r="BN41" s="93">
        <v>8</v>
      </c>
      <c r="BO41" s="93">
        <v>9</v>
      </c>
      <c r="BP41" s="94" t="str">
        <f t="shared" si="32"/>
        <v>紧凑型</v>
      </c>
      <c r="BQ41" s="15">
        <f t="shared" si="33"/>
        <v>1</v>
      </c>
      <c r="BR41" s="15">
        <f t="shared" si="34"/>
        <v>4</v>
      </c>
      <c r="BS41" s="20">
        <f t="shared" si="35"/>
        <v>1</v>
      </c>
      <c r="BT41" s="21">
        <f t="shared" si="47"/>
        <v>1</v>
      </c>
      <c r="BU41" s="21" t="str">
        <f t="array" ref="BU41">_xlfn.TEXTJOIN("",TRUE,IF(ISERROR(FIND(ROW($1:$168)-1,BS41&amp;BT41)),ROW($1:$168)-1,""))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1" s="22" t="str">
        <f t="shared" si="36"/>
        <v>复隔中</v>
      </c>
      <c r="BW41" s="23">
        <f t="shared" si="37"/>
        <v>3</v>
      </c>
      <c r="BX41" s="23" t="str">
        <f t="shared" si="48"/>
        <v/>
      </c>
      <c r="BY41" s="23" t="str">
        <f t="array" ref="BY41">_xlfn.TEXTJOIN("",TRUE,IF(ISERROR(FIND(ROW($1:$168)-1,BW41&amp;BX41)),ROW($1:$168)-1,""))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1" s="22" t="str">
        <f t="shared" si="38"/>
        <v>复中中</v>
      </c>
      <c r="CA41" s="24">
        <f t="shared" si="39"/>
        <v>4</v>
      </c>
      <c r="CB41" s="24" t="str">
        <f t="shared" si="49"/>
        <v/>
      </c>
      <c r="CC41" s="24" t="str">
        <f t="array" ref="CC41">_xlfn.TEXTJOIN("",TRUE,IF(ISERROR(FIND(ROW($1:$168)-1,CA41&amp;CB41)),ROW($1:$168)-1,""))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1" s="22" t="str">
        <f t="shared" si="40"/>
        <v>复中中</v>
      </c>
      <c r="CE41" s="25" t="str">
        <f t="shared" si="41"/>
        <v>02</v>
      </c>
      <c r="CF41" s="26" t="str">
        <f t="array" ref="CF41">_xlfn.TEXTJOIN("",TRUE,IF(ISNUMBER(FIND(MID(CE40&amp;W40,ROW($1:$162),1),CE41&amp;W41)),MID(CE40&amp;W40,ROW($1:$162),1),""))</f>
        <v/>
      </c>
      <c r="CG41" s="27" t="str">
        <f t="array" ref="CG41">_xlfn.TEXTJOIN("",TRUE,IF(ISERROR(FIND(ROW($1:$168)-1,CE41&amp;CF41)),ROW($1:$168)-1,""))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1" s="28" t="str">
        <f t="shared" si="42"/>
        <v>邻孤孤</v>
      </c>
      <c r="CI41" s="29" t="str">
        <f t="shared" si="43"/>
        <v>24</v>
      </c>
      <c r="CJ41" s="29" t="str">
        <f t="array" ref="CJ41">_xlfn.TEXTJOIN("",TRUE,IF(ISNUMBER(FIND(MID(CI40&amp;X40,ROW($1:$162),1),CI41&amp;X41)),MID(CI40&amp;X40,ROW($1:$162),1),""))</f>
        <v>243</v>
      </c>
      <c r="CK41" s="29" t="str">
        <f t="array" ref="CK41">_xlfn.TEXTJOIN("",TRUE,IF(ISERROR(FIND(ROW($1:$168)-1,CI41&amp;CJ41)),ROW($1:$168)-1,""))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1" s="19" t="str">
        <f t="shared" si="44"/>
        <v>邻传孤</v>
      </c>
      <c r="CM41" s="24" t="str">
        <f t="shared" si="45"/>
        <v>35</v>
      </c>
      <c r="CN41" s="24" t="str">
        <f t="array" ref="CN41">_xlfn.TEXTJOIN("",TRUE,IF(ISNUMBER(FIND(MID(CM40&amp;Y40,ROW($1:$162),1),CM41&amp;Y41)),MID(CM40&amp;Y40,ROW($1:$162),1),""))</f>
        <v/>
      </c>
      <c r="CO41" s="24" t="str">
        <f t="array" ref="CO41">_xlfn.TEXTJOIN("",TRUE,IF(ISERROR(FIND(ROW($1:$168)-1,CM41&amp;CN41)),ROW($1:$168)-1,""))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1" s="30" t="str">
        <f t="shared" si="46"/>
        <v>邻孤孤</v>
      </c>
    </row>
    <row r="42" customFormat="1" spans="1:94">
      <c r="A42" s="15">
        <v>42</v>
      </c>
      <c r="B42" s="80">
        <v>2024011</v>
      </c>
      <c r="C42" s="8" t="s">
        <v>67</v>
      </c>
      <c r="D42" s="81">
        <f t="shared" si="26"/>
        <v>18</v>
      </c>
      <c r="E42" s="82">
        <f t="shared" si="27"/>
        <v>8</v>
      </c>
      <c r="F42" s="83">
        <f t="shared" si="9"/>
        <v>2.57142857142857</v>
      </c>
      <c r="G42" s="84" t="str">
        <f t="shared" si="10"/>
        <v>标准</v>
      </c>
      <c r="H42" s="85" t="s">
        <v>10</v>
      </c>
      <c r="I42" s="85" t="s">
        <v>11</v>
      </c>
      <c r="J42" s="85" t="s">
        <v>12</v>
      </c>
      <c r="K42" s="85" t="s">
        <v>13</v>
      </c>
      <c r="L42" s="86">
        <f>MAX(MID(C42,{1,2,3},1)*1)-MIN(MID(C42,{1,2,3},1)*1)</f>
        <v>7</v>
      </c>
      <c r="M42" s="87">
        <v>0</v>
      </c>
      <c r="N42" s="87">
        <v>1</v>
      </c>
      <c r="O42" s="87">
        <v>2</v>
      </c>
      <c r="P42" s="87">
        <v>3</v>
      </c>
      <c r="Q42" s="87">
        <v>4</v>
      </c>
      <c r="R42" s="87">
        <v>5</v>
      </c>
      <c r="S42" s="87">
        <v>6</v>
      </c>
      <c r="T42" s="87">
        <v>7</v>
      </c>
      <c r="U42" s="87">
        <v>8</v>
      </c>
      <c r="V42" s="87">
        <v>9</v>
      </c>
      <c r="W42" s="88">
        <f t="shared" si="28"/>
        <v>7</v>
      </c>
      <c r="X42" s="88">
        <f t="shared" si="29"/>
        <v>2</v>
      </c>
      <c r="Y42" s="88">
        <f t="shared" si="30"/>
        <v>5</v>
      </c>
      <c r="Z42" s="89">
        <f t="shared" si="31"/>
        <v>14</v>
      </c>
      <c r="AA42" s="17" t="str">
        <f>_xlfn.TEXTJOIN(", ",TRUE,ABS(MID(C42,{1,1,2},1)-MID(C42,{2,3,3},1)))</f>
        <v>7, 2, 5</v>
      </c>
      <c r="AB42" s="90">
        <v>0</v>
      </c>
      <c r="AC42" s="90">
        <v>1</v>
      </c>
      <c r="AD42" s="90">
        <v>2</v>
      </c>
      <c r="AE42" s="90">
        <v>3</v>
      </c>
      <c r="AF42" s="90">
        <v>4</v>
      </c>
      <c r="AG42" s="90">
        <v>5</v>
      </c>
      <c r="AH42" s="90">
        <v>6</v>
      </c>
      <c r="AI42" s="90">
        <v>7</v>
      </c>
      <c r="AJ42" s="90">
        <v>8</v>
      </c>
      <c r="AK42" s="90">
        <v>9</v>
      </c>
      <c r="AL42" s="91">
        <v>0</v>
      </c>
      <c r="AM42" s="91">
        <v>1</v>
      </c>
      <c r="AN42" s="91">
        <v>2</v>
      </c>
      <c r="AO42" s="91">
        <v>3</v>
      </c>
      <c r="AP42" s="91">
        <v>4</v>
      </c>
      <c r="AQ42" s="91">
        <v>5</v>
      </c>
      <c r="AR42" s="91">
        <v>6</v>
      </c>
      <c r="AS42" s="91">
        <v>7</v>
      </c>
      <c r="AT42" s="91">
        <v>8</v>
      </c>
      <c r="AU42" s="91">
        <v>9</v>
      </c>
      <c r="AV42" s="92">
        <v>0</v>
      </c>
      <c r="AW42" s="92">
        <v>1</v>
      </c>
      <c r="AX42" s="92">
        <v>2</v>
      </c>
      <c r="AY42" s="92">
        <v>3</v>
      </c>
      <c r="AZ42" s="92">
        <v>4</v>
      </c>
      <c r="BA42" s="92">
        <v>5</v>
      </c>
      <c r="BB42" s="92">
        <v>6</v>
      </c>
      <c r="BC42" s="92">
        <v>7</v>
      </c>
      <c r="BD42" s="92">
        <v>8</v>
      </c>
      <c r="BE42" s="92">
        <v>9</v>
      </c>
      <c r="BF42" s="93">
        <v>0</v>
      </c>
      <c r="BG42" s="93">
        <v>1</v>
      </c>
      <c r="BH42" s="93">
        <v>2</v>
      </c>
      <c r="BI42" s="93">
        <v>3</v>
      </c>
      <c r="BJ42" s="93">
        <v>4</v>
      </c>
      <c r="BK42" s="93">
        <v>5</v>
      </c>
      <c r="BL42" s="93">
        <v>6</v>
      </c>
      <c r="BM42" s="93">
        <v>7</v>
      </c>
      <c r="BN42" s="93">
        <v>8</v>
      </c>
      <c r="BO42" s="93">
        <v>9</v>
      </c>
      <c r="BP42" s="94" t="str">
        <f t="shared" si="32"/>
        <v>松散型</v>
      </c>
      <c r="BQ42" s="15">
        <f t="shared" si="33"/>
        <v>2</v>
      </c>
      <c r="BR42" s="15">
        <f t="shared" si="34"/>
        <v>7</v>
      </c>
      <c r="BS42" s="20" t="str">
        <f t="shared" si="35"/>
        <v/>
      </c>
      <c r="BT42" s="21" t="str">
        <f t="shared" si="47"/>
        <v/>
      </c>
      <c r="BU42" s="21" t="str">
        <f t="array" ref="BU42">_xlfn.TEXTJOIN("",TRUE,IF(ISERROR(FIND(ROW($1:$168)-1,BS42&amp;BT42)),ROW($1:$168)-1,""))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2" s="22" t="str">
        <f t="shared" si="36"/>
        <v>中中中</v>
      </c>
      <c r="BW42" s="23" t="str">
        <f t="shared" si="37"/>
        <v/>
      </c>
      <c r="BX42" s="23" t="str">
        <f t="shared" si="48"/>
        <v/>
      </c>
      <c r="BY42" s="23" t="str">
        <f t="array" ref="BY42">_xlfn.TEXTJOIN("",TRUE,IF(ISERROR(FIND(ROW($1:$168)-1,BW42&amp;BX42)),ROW($1:$168)-1,""))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2" s="22" t="str">
        <f t="shared" si="38"/>
        <v>中中中</v>
      </c>
      <c r="CA42" s="24" t="str">
        <f t="shared" si="39"/>
        <v/>
      </c>
      <c r="CB42" s="24" t="str">
        <f t="shared" si="49"/>
        <v/>
      </c>
      <c r="CC42" s="24" t="str">
        <f t="array" ref="CC42">_xlfn.TEXTJOIN("",TRUE,IF(ISERROR(FIND(ROW($1:$168)-1,CA42&amp;CB42)),ROW($1:$168)-1,""))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2" s="22" t="str">
        <f t="shared" si="40"/>
        <v>中中中</v>
      </c>
      <c r="CE42" s="25" t="str">
        <f t="shared" si="41"/>
        <v>68</v>
      </c>
      <c r="CF42" s="26" t="str">
        <f t="array" ref="CF42">_xlfn.TEXTJOIN("",TRUE,IF(ISNUMBER(FIND(MID(CE41&amp;W41,ROW($1:$162),1),CE42&amp;W42)),MID(CE41&amp;W41,ROW($1:$162),1),""))</f>
        <v/>
      </c>
      <c r="CG42" s="27" t="str">
        <f t="array" ref="CG42">_xlfn.TEXTJOIN("",TRUE,IF(ISERROR(FIND(ROW($1:$168)-1,CE42&amp;CF42)),ROW($1:$168)-1,""))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2" s="28" t="str">
        <f t="shared" si="42"/>
        <v>邻孤孤</v>
      </c>
      <c r="CI42" s="29" t="str">
        <f t="shared" si="43"/>
        <v>13</v>
      </c>
      <c r="CJ42" s="29" t="str">
        <f t="array" ref="CJ42">_xlfn.TEXTJOIN("",TRUE,IF(ISNUMBER(FIND(MID(CI41&amp;X41,ROW($1:$162),1),CI42&amp;X42)),MID(CI41&amp;X41,ROW($1:$162),1),""))</f>
        <v>23</v>
      </c>
      <c r="CK42" s="29" t="str">
        <f t="array" ref="CK42">_xlfn.TEXTJOIN("",TRUE,IF(ISERROR(FIND(ROW($1:$168)-1,CI42&amp;CJ42)),ROW($1:$168)-1,""))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42" s="19" t="str">
        <f t="shared" si="44"/>
        <v>邻传孤</v>
      </c>
      <c r="CM42" s="24" t="str">
        <f t="shared" si="45"/>
        <v>46</v>
      </c>
      <c r="CN42" s="24" t="str">
        <f t="array" ref="CN42">_xlfn.TEXTJOIN("",TRUE,IF(ISNUMBER(FIND(MID(CM41&amp;Y41,ROW($1:$162),1),CM42&amp;Y42)),MID(CM41&amp;Y41,ROW($1:$162),1),""))</f>
        <v>54</v>
      </c>
      <c r="CO42" s="24" t="str">
        <f t="array" ref="CO42">_xlfn.TEXTJOIN("",TRUE,IF(ISERROR(FIND(ROW($1:$168)-1,CM42&amp;CN42)),ROW($1:$168)-1,""))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2" s="30" t="str">
        <f t="shared" si="46"/>
        <v>邻传孤</v>
      </c>
    </row>
    <row r="43" customFormat="1" spans="1:94">
      <c r="A43" s="15">
        <v>43</v>
      </c>
      <c r="B43" s="80">
        <v>2024012</v>
      </c>
      <c r="C43" s="8" t="s">
        <v>68</v>
      </c>
      <c r="D43" s="81">
        <f t="shared" si="26"/>
        <v>14</v>
      </c>
      <c r="E43" s="82">
        <f t="shared" si="27"/>
        <v>4</v>
      </c>
      <c r="F43" s="83">
        <f t="shared" si="9"/>
        <v>1.55555555555556</v>
      </c>
      <c r="G43" s="84" t="str">
        <f t="shared" si="10"/>
        <v>松散</v>
      </c>
      <c r="H43" s="85" t="s">
        <v>10</v>
      </c>
      <c r="I43" s="85" t="s">
        <v>11</v>
      </c>
      <c r="J43" s="85" t="s">
        <v>12</v>
      </c>
      <c r="K43" s="85" t="s">
        <v>13</v>
      </c>
      <c r="L43" s="86">
        <f>MAX(MID(C43,{1,2,3},1)*1)-MIN(MID(C43,{1,2,3},1)*1)</f>
        <v>9</v>
      </c>
      <c r="M43" s="87">
        <v>0</v>
      </c>
      <c r="N43" s="87">
        <v>1</v>
      </c>
      <c r="O43" s="87">
        <v>2</v>
      </c>
      <c r="P43" s="87">
        <v>3</v>
      </c>
      <c r="Q43" s="87">
        <v>4</v>
      </c>
      <c r="R43" s="87">
        <v>5</v>
      </c>
      <c r="S43" s="87">
        <v>6</v>
      </c>
      <c r="T43" s="87">
        <v>7</v>
      </c>
      <c r="U43" s="87">
        <v>8</v>
      </c>
      <c r="V43" s="87">
        <v>9</v>
      </c>
      <c r="W43" s="88">
        <f t="shared" si="28"/>
        <v>4</v>
      </c>
      <c r="X43" s="88">
        <f t="shared" si="29"/>
        <v>5</v>
      </c>
      <c r="Y43" s="88">
        <f t="shared" si="30"/>
        <v>9</v>
      </c>
      <c r="Z43" s="89">
        <f t="shared" si="31"/>
        <v>18</v>
      </c>
      <c r="AA43" s="17" t="str">
        <f>_xlfn.TEXTJOIN(", ",TRUE,ABS(MID(C43,{1,1,2},1)-MID(C43,{2,3,3},1)))</f>
        <v>4, 5, 9</v>
      </c>
      <c r="AB43" s="90">
        <v>0</v>
      </c>
      <c r="AC43" s="90">
        <v>1</v>
      </c>
      <c r="AD43" s="90">
        <v>2</v>
      </c>
      <c r="AE43" s="90">
        <v>3</v>
      </c>
      <c r="AF43" s="90">
        <v>4</v>
      </c>
      <c r="AG43" s="90">
        <v>5</v>
      </c>
      <c r="AH43" s="90">
        <v>6</v>
      </c>
      <c r="AI43" s="90">
        <v>7</v>
      </c>
      <c r="AJ43" s="90">
        <v>8</v>
      </c>
      <c r="AK43" s="90">
        <v>9</v>
      </c>
      <c r="AL43" s="91">
        <v>0</v>
      </c>
      <c r="AM43" s="91">
        <v>1</v>
      </c>
      <c r="AN43" s="91">
        <v>2</v>
      </c>
      <c r="AO43" s="91">
        <v>3</v>
      </c>
      <c r="AP43" s="91">
        <v>4</v>
      </c>
      <c r="AQ43" s="91">
        <v>5</v>
      </c>
      <c r="AR43" s="91">
        <v>6</v>
      </c>
      <c r="AS43" s="91">
        <v>7</v>
      </c>
      <c r="AT43" s="91">
        <v>8</v>
      </c>
      <c r="AU43" s="91">
        <v>9</v>
      </c>
      <c r="AV43" s="92">
        <v>0</v>
      </c>
      <c r="AW43" s="92">
        <v>1</v>
      </c>
      <c r="AX43" s="92">
        <v>2</v>
      </c>
      <c r="AY43" s="92">
        <v>3</v>
      </c>
      <c r="AZ43" s="92">
        <v>4</v>
      </c>
      <c r="BA43" s="92">
        <v>5</v>
      </c>
      <c r="BB43" s="92">
        <v>6</v>
      </c>
      <c r="BC43" s="92">
        <v>7</v>
      </c>
      <c r="BD43" s="92">
        <v>8</v>
      </c>
      <c r="BE43" s="92">
        <v>9</v>
      </c>
      <c r="BF43" s="93">
        <v>0</v>
      </c>
      <c r="BG43" s="93">
        <v>1</v>
      </c>
      <c r="BH43" s="93">
        <v>2</v>
      </c>
      <c r="BI43" s="93">
        <v>3</v>
      </c>
      <c r="BJ43" s="93">
        <v>4</v>
      </c>
      <c r="BK43" s="93">
        <v>5</v>
      </c>
      <c r="BL43" s="93">
        <v>6</v>
      </c>
      <c r="BM43" s="93">
        <v>7</v>
      </c>
      <c r="BN43" s="93">
        <v>8</v>
      </c>
      <c r="BO43" s="93">
        <v>9</v>
      </c>
      <c r="BP43" s="94" t="str">
        <f t="shared" si="32"/>
        <v>松散型</v>
      </c>
      <c r="BQ43" s="15">
        <f t="shared" si="33"/>
        <v>4</v>
      </c>
      <c r="BR43" s="15">
        <f t="shared" si="34"/>
        <v>9</v>
      </c>
      <c r="BS43" s="20" t="str">
        <f t="shared" si="35"/>
        <v/>
      </c>
      <c r="BT43" s="21">
        <f t="shared" si="47"/>
        <v>4</v>
      </c>
      <c r="BU43" s="21" t="str">
        <f t="array" ref="BU43">_xlfn.TEXTJOIN("",TRUE,IF(ISERROR(FIND(ROW($1:$168)-1,BS43&amp;BT43)),ROW($1:$168)-1,""))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3" s="22" t="str">
        <f t="shared" si="36"/>
        <v>中隔中</v>
      </c>
      <c r="BW43" s="23">
        <f t="shared" si="37"/>
        <v>5</v>
      </c>
      <c r="BX43" s="23" t="str">
        <f t="shared" si="48"/>
        <v/>
      </c>
      <c r="BY43" s="23" t="str">
        <f t="array" ref="BY43">_xlfn.TEXTJOIN("",TRUE,IF(ISERROR(FIND(ROW($1:$168)-1,BW43&amp;BX43)),ROW($1:$168)-1,""))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3" s="22" t="str">
        <f t="shared" si="38"/>
        <v>复中中</v>
      </c>
      <c r="CA43" s="24" t="str">
        <f t="shared" si="39"/>
        <v/>
      </c>
      <c r="CB43" s="24" t="str">
        <f t="shared" si="49"/>
        <v/>
      </c>
      <c r="CC43" s="24" t="str">
        <f t="array" ref="CC43">_xlfn.TEXTJOIN("",TRUE,IF(ISERROR(FIND(ROW($1:$168)-1,CA43&amp;CB43)),ROW($1:$168)-1,""))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3" s="22" t="str">
        <f t="shared" si="40"/>
        <v>中中中</v>
      </c>
      <c r="CE43" s="25" t="str">
        <f t="shared" si="41"/>
        <v>35</v>
      </c>
      <c r="CF43" s="26" t="str">
        <f t="array" ref="CF43">_xlfn.TEXTJOIN("",TRUE,IF(ISNUMBER(FIND(MID(CE42&amp;W42,ROW($1:$162),1),CE43&amp;W43)),MID(CE42&amp;W42,ROW($1:$162),1),""))</f>
        <v/>
      </c>
      <c r="CG43" s="27" t="str">
        <f t="array" ref="CG43">_xlfn.TEXTJOIN("",TRUE,IF(ISERROR(FIND(ROW($1:$168)-1,CE43&amp;CF43)),ROW($1:$168)-1,""))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3" s="28" t="str">
        <f t="shared" si="42"/>
        <v>邻孤孤</v>
      </c>
      <c r="CI43" s="29" t="str">
        <f t="shared" si="43"/>
        <v>46</v>
      </c>
      <c r="CJ43" s="29" t="str">
        <f t="array" ref="CJ43">_xlfn.TEXTJOIN("",TRUE,IF(ISNUMBER(FIND(MID(CI42&amp;X42,ROW($1:$162),1),CI43&amp;X43)),MID(CI42&amp;X42,ROW($1:$162),1),""))</f>
        <v/>
      </c>
      <c r="CK43" s="29" t="str">
        <f t="array" ref="CK43">_xlfn.TEXTJOIN("",TRUE,IF(ISERROR(FIND(ROW($1:$168)-1,CI43&amp;CJ43)),ROW($1:$168)-1,""))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3" s="19" t="str">
        <f t="shared" si="44"/>
        <v>邻孤孤</v>
      </c>
      <c r="CM43" s="24" t="str">
        <f t="shared" si="45"/>
        <v>80</v>
      </c>
      <c r="CN43" s="24" t="str">
        <f t="array" ref="CN43">_xlfn.TEXTJOIN("",TRUE,IF(ISNUMBER(FIND(MID(CM42&amp;Y42,ROW($1:$162),1),CM43&amp;Y43)),MID(CM42&amp;Y42,ROW($1:$162),1),""))</f>
        <v/>
      </c>
      <c r="CO43" s="24" t="str">
        <f t="array" ref="CO43">_xlfn.TEXTJOIN("",TRUE,IF(ISERROR(FIND(ROW($1:$168)-1,CM43&amp;CN43)),ROW($1:$168)-1,""))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43" s="30" t="str">
        <f t="shared" si="46"/>
        <v>邻孤孤</v>
      </c>
    </row>
    <row r="44" customFormat="1" spans="1:94">
      <c r="A44" s="15">
        <v>44</v>
      </c>
      <c r="B44" s="80">
        <v>2024013</v>
      </c>
      <c r="C44" s="8" t="s">
        <v>69</v>
      </c>
      <c r="D44" s="81">
        <f t="shared" si="26"/>
        <v>18</v>
      </c>
      <c r="E44" s="82">
        <f t="shared" si="27"/>
        <v>8</v>
      </c>
      <c r="F44" s="83">
        <f t="shared" si="9"/>
        <v>4.5</v>
      </c>
      <c r="G44" s="84" t="str">
        <f t="shared" si="10"/>
        <v>紧凑</v>
      </c>
      <c r="H44" s="85" t="s">
        <v>10</v>
      </c>
      <c r="I44" s="85" t="s">
        <v>11</v>
      </c>
      <c r="J44" s="85" t="s">
        <v>12</v>
      </c>
      <c r="K44" s="85" t="s">
        <v>13</v>
      </c>
      <c r="L44" s="86">
        <f>MAX(MID(C44,{1,2,3},1)*1)-MIN(MID(C44,{1,2,3},1)*1)</f>
        <v>4</v>
      </c>
      <c r="M44" s="87">
        <v>0</v>
      </c>
      <c r="N44" s="87">
        <v>1</v>
      </c>
      <c r="O44" s="87">
        <v>2</v>
      </c>
      <c r="P44" s="87">
        <v>3</v>
      </c>
      <c r="Q44" s="87">
        <v>4</v>
      </c>
      <c r="R44" s="87">
        <v>5</v>
      </c>
      <c r="S44" s="87">
        <v>6</v>
      </c>
      <c r="T44" s="87">
        <v>7</v>
      </c>
      <c r="U44" s="87">
        <v>8</v>
      </c>
      <c r="V44" s="87">
        <v>9</v>
      </c>
      <c r="W44" s="88">
        <f t="shared" si="28"/>
        <v>2</v>
      </c>
      <c r="X44" s="88">
        <f t="shared" si="29"/>
        <v>4</v>
      </c>
      <c r="Y44" s="88">
        <f t="shared" si="30"/>
        <v>2</v>
      </c>
      <c r="Z44" s="89">
        <f t="shared" si="31"/>
        <v>8</v>
      </c>
      <c r="AA44" s="17" t="str">
        <f>_xlfn.TEXTJOIN(", ",TRUE,ABS(MID(C44,{1,1,2},1)-MID(C44,{2,3,3},1)))</f>
        <v>2, 4, 2</v>
      </c>
      <c r="AB44" s="90">
        <v>0</v>
      </c>
      <c r="AC44" s="90">
        <v>1</v>
      </c>
      <c r="AD44" s="90">
        <v>2</v>
      </c>
      <c r="AE44" s="90">
        <v>3</v>
      </c>
      <c r="AF44" s="90">
        <v>4</v>
      </c>
      <c r="AG44" s="90">
        <v>5</v>
      </c>
      <c r="AH44" s="90">
        <v>6</v>
      </c>
      <c r="AI44" s="90">
        <v>7</v>
      </c>
      <c r="AJ44" s="90">
        <v>8</v>
      </c>
      <c r="AK44" s="90">
        <v>9</v>
      </c>
      <c r="AL44" s="91">
        <v>0</v>
      </c>
      <c r="AM44" s="91">
        <v>1</v>
      </c>
      <c r="AN44" s="91">
        <v>2</v>
      </c>
      <c r="AO44" s="91">
        <v>3</v>
      </c>
      <c r="AP44" s="91">
        <v>4</v>
      </c>
      <c r="AQ44" s="91">
        <v>5</v>
      </c>
      <c r="AR44" s="91">
        <v>6</v>
      </c>
      <c r="AS44" s="91">
        <v>7</v>
      </c>
      <c r="AT44" s="91">
        <v>8</v>
      </c>
      <c r="AU44" s="91">
        <v>9</v>
      </c>
      <c r="AV44" s="92">
        <v>0</v>
      </c>
      <c r="AW44" s="92">
        <v>1</v>
      </c>
      <c r="AX44" s="92">
        <v>2</v>
      </c>
      <c r="AY44" s="92">
        <v>3</v>
      </c>
      <c r="AZ44" s="92">
        <v>4</v>
      </c>
      <c r="BA44" s="92">
        <v>5</v>
      </c>
      <c r="BB44" s="92">
        <v>6</v>
      </c>
      <c r="BC44" s="92">
        <v>7</v>
      </c>
      <c r="BD44" s="92">
        <v>8</v>
      </c>
      <c r="BE44" s="92">
        <v>9</v>
      </c>
      <c r="BF44" s="93">
        <v>0</v>
      </c>
      <c r="BG44" s="93">
        <v>1</v>
      </c>
      <c r="BH44" s="93">
        <v>2</v>
      </c>
      <c r="BI44" s="93">
        <v>3</v>
      </c>
      <c r="BJ44" s="93">
        <v>4</v>
      </c>
      <c r="BK44" s="93">
        <v>5</v>
      </c>
      <c r="BL44" s="93">
        <v>6</v>
      </c>
      <c r="BM44" s="93">
        <v>7</v>
      </c>
      <c r="BN44" s="93">
        <v>8</v>
      </c>
      <c r="BO44" s="93">
        <v>9</v>
      </c>
      <c r="BP44" s="94" t="str">
        <f t="shared" si="32"/>
        <v>标准型</v>
      </c>
      <c r="BQ44" s="15">
        <f t="shared" si="33"/>
        <v>2</v>
      </c>
      <c r="BR44" s="15">
        <f t="shared" si="34"/>
        <v>4</v>
      </c>
      <c r="BS44" s="20" t="str">
        <f t="shared" si="35"/>
        <v/>
      </c>
      <c r="BT44" s="21">
        <f t="shared" si="47"/>
        <v>2</v>
      </c>
      <c r="BU44" s="21" t="str">
        <f t="array" ref="BU44">_xlfn.TEXTJOIN("",TRUE,IF(ISERROR(FIND(ROW($1:$168)-1,BS44&amp;BT44)),ROW($1:$168)-1,""))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4" s="22" t="str">
        <f t="shared" si="36"/>
        <v>中隔中</v>
      </c>
      <c r="BW44" s="23">
        <f t="shared" si="37"/>
        <v>4</v>
      </c>
      <c r="BX44" s="23" t="str">
        <f t="shared" si="48"/>
        <v/>
      </c>
      <c r="BY44" s="23" t="str">
        <f t="array" ref="BY44">_xlfn.TEXTJOIN("",TRUE,IF(ISERROR(FIND(ROW($1:$168)-1,BW44&amp;BX44)),ROW($1:$168)-1,""))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4" s="22" t="str">
        <f t="shared" si="38"/>
        <v>复中中</v>
      </c>
      <c r="CA44" s="24" t="str">
        <f t="shared" si="39"/>
        <v/>
      </c>
      <c r="CB44" s="24">
        <f t="shared" si="49"/>
        <v>2</v>
      </c>
      <c r="CC44" s="24" t="str">
        <f t="array" ref="CC44">_xlfn.TEXTJOIN("",TRUE,IF(ISERROR(FIND(ROW($1:$168)-1,CA44&amp;CB44)),ROW($1:$168)-1,""))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4" s="22" t="str">
        <f t="shared" si="40"/>
        <v>中隔中</v>
      </c>
      <c r="CE44" s="25" t="str">
        <f t="shared" si="41"/>
        <v>13</v>
      </c>
      <c r="CF44" s="26" t="str">
        <f t="array" ref="CF44">_xlfn.TEXTJOIN("",TRUE,IF(ISNUMBER(FIND(MID(CE43&amp;W43,ROW($1:$162),1),CE44&amp;W44)),MID(CE43&amp;W43,ROW($1:$162),1),""))</f>
        <v>3</v>
      </c>
      <c r="CG44" s="27" t="str">
        <f t="array" ref="CG44">_xlfn.TEXTJOIN("",TRUE,IF(ISERROR(FIND(ROW($1:$168)-1,CE44&amp;CF44)),ROW($1:$168)-1,""))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44" s="28" t="str">
        <f t="shared" si="42"/>
        <v>邻传孤</v>
      </c>
      <c r="CI44" s="29" t="str">
        <f t="shared" si="43"/>
        <v>35</v>
      </c>
      <c r="CJ44" s="29" t="str">
        <f t="array" ref="CJ44">_xlfn.TEXTJOIN("",TRUE,IF(ISNUMBER(FIND(MID(CI43&amp;X43,ROW($1:$162),1),CI44&amp;X44)),MID(CI43&amp;X43,ROW($1:$162),1),""))</f>
        <v>45</v>
      </c>
      <c r="CK44" s="29" t="str">
        <f t="array" ref="CK44">_xlfn.TEXTJOIN("",TRUE,IF(ISERROR(FIND(ROW($1:$168)-1,CI44&amp;CJ44)),ROW($1:$168)-1,""))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4" s="19" t="str">
        <f t="shared" si="44"/>
        <v>邻传孤</v>
      </c>
      <c r="CM44" s="24" t="str">
        <f t="shared" si="45"/>
        <v>13</v>
      </c>
      <c r="CN44" s="24" t="str">
        <f t="array" ref="CN44">_xlfn.TEXTJOIN("",TRUE,IF(ISNUMBER(FIND(MID(CM43&amp;Y43,ROW($1:$162),1),CM44&amp;Y44)),MID(CM43&amp;Y43,ROW($1:$162),1),""))</f>
        <v/>
      </c>
      <c r="CO44" s="24" t="str">
        <f t="array" ref="CO44">_xlfn.TEXTJOIN("",TRUE,IF(ISERROR(FIND(ROW($1:$168)-1,CM44&amp;CN44)),ROW($1:$168)-1,""))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4" s="30" t="str">
        <f t="shared" si="46"/>
        <v>邻孤孤</v>
      </c>
    </row>
    <row r="45" customFormat="1" spans="1:94">
      <c r="A45" s="15">
        <v>45</v>
      </c>
      <c r="B45" s="80">
        <v>2024014</v>
      </c>
      <c r="C45" s="8" t="s">
        <v>70</v>
      </c>
      <c r="D45" s="81">
        <f t="shared" si="26"/>
        <v>8</v>
      </c>
      <c r="E45" s="82">
        <f t="shared" si="27"/>
        <v>8</v>
      </c>
      <c r="F45" s="83">
        <f t="shared" si="9"/>
        <v>2</v>
      </c>
      <c r="G45" s="84" t="str">
        <f t="shared" si="10"/>
        <v>标准</v>
      </c>
      <c r="H45" s="85" t="s">
        <v>10</v>
      </c>
      <c r="I45" s="85" t="s">
        <v>11</v>
      </c>
      <c r="J45" s="85" t="s">
        <v>12</v>
      </c>
      <c r="K45" s="85" t="s">
        <v>13</v>
      </c>
      <c r="L45" s="86">
        <f>MAX(MID(C45,{1,2,3},1)*1)-MIN(MID(C45,{1,2,3},1)*1)</f>
        <v>4</v>
      </c>
      <c r="M45" s="87">
        <v>0</v>
      </c>
      <c r="N45" s="87">
        <v>1</v>
      </c>
      <c r="O45" s="87">
        <v>2</v>
      </c>
      <c r="P45" s="87">
        <v>3</v>
      </c>
      <c r="Q45" s="87">
        <v>4</v>
      </c>
      <c r="R45" s="87">
        <v>5</v>
      </c>
      <c r="S45" s="87">
        <v>6</v>
      </c>
      <c r="T45" s="87">
        <v>7</v>
      </c>
      <c r="U45" s="87">
        <v>8</v>
      </c>
      <c r="V45" s="87">
        <v>9</v>
      </c>
      <c r="W45" s="88">
        <f t="shared" si="28"/>
        <v>3</v>
      </c>
      <c r="X45" s="88">
        <f t="shared" si="29"/>
        <v>1</v>
      </c>
      <c r="Y45" s="88">
        <f t="shared" si="30"/>
        <v>4</v>
      </c>
      <c r="Z45" s="89">
        <f t="shared" si="31"/>
        <v>8</v>
      </c>
      <c r="AA45" s="17" t="str">
        <f>_xlfn.TEXTJOIN(", ",TRUE,ABS(MID(C45,{1,1,2},1)-MID(C45,{2,3,3},1)))</f>
        <v>3, 1, 4</v>
      </c>
      <c r="AB45" s="90">
        <v>0</v>
      </c>
      <c r="AC45" s="90">
        <v>1</v>
      </c>
      <c r="AD45" s="90">
        <v>2</v>
      </c>
      <c r="AE45" s="90">
        <v>3</v>
      </c>
      <c r="AF45" s="90">
        <v>4</v>
      </c>
      <c r="AG45" s="90">
        <v>5</v>
      </c>
      <c r="AH45" s="90">
        <v>6</v>
      </c>
      <c r="AI45" s="90">
        <v>7</v>
      </c>
      <c r="AJ45" s="90">
        <v>8</v>
      </c>
      <c r="AK45" s="90">
        <v>9</v>
      </c>
      <c r="AL45" s="91">
        <v>0</v>
      </c>
      <c r="AM45" s="91">
        <v>1</v>
      </c>
      <c r="AN45" s="91">
        <v>2</v>
      </c>
      <c r="AO45" s="91">
        <v>3</v>
      </c>
      <c r="AP45" s="91">
        <v>4</v>
      </c>
      <c r="AQ45" s="91">
        <v>5</v>
      </c>
      <c r="AR45" s="91">
        <v>6</v>
      </c>
      <c r="AS45" s="91">
        <v>7</v>
      </c>
      <c r="AT45" s="91">
        <v>8</v>
      </c>
      <c r="AU45" s="91">
        <v>9</v>
      </c>
      <c r="AV45" s="92">
        <v>0</v>
      </c>
      <c r="AW45" s="92">
        <v>1</v>
      </c>
      <c r="AX45" s="92">
        <v>2</v>
      </c>
      <c r="AY45" s="92">
        <v>3</v>
      </c>
      <c r="AZ45" s="92">
        <v>4</v>
      </c>
      <c r="BA45" s="92">
        <v>5</v>
      </c>
      <c r="BB45" s="92">
        <v>6</v>
      </c>
      <c r="BC45" s="92">
        <v>7</v>
      </c>
      <c r="BD45" s="92">
        <v>8</v>
      </c>
      <c r="BE45" s="92">
        <v>9</v>
      </c>
      <c r="BF45" s="93">
        <v>0</v>
      </c>
      <c r="BG45" s="93">
        <v>1</v>
      </c>
      <c r="BH45" s="93">
        <v>2</v>
      </c>
      <c r="BI45" s="93">
        <v>3</v>
      </c>
      <c r="BJ45" s="93">
        <v>4</v>
      </c>
      <c r="BK45" s="93">
        <v>5</v>
      </c>
      <c r="BL45" s="93">
        <v>6</v>
      </c>
      <c r="BM45" s="93">
        <v>7</v>
      </c>
      <c r="BN45" s="93">
        <v>8</v>
      </c>
      <c r="BO45" s="93">
        <v>9</v>
      </c>
      <c r="BP45" s="94" t="str">
        <f t="shared" si="32"/>
        <v>紧凑型</v>
      </c>
      <c r="BQ45" s="15">
        <f t="shared" si="33"/>
        <v>1</v>
      </c>
      <c r="BR45" s="15">
        <f t="shared" si="34"/>
        <v>4</v>
      </c>
      <c r="BS45" s="20" t="str">
        <f t="shared" si="35"/>
        <v/>
      </c>
      <c r="BT45" s="21" t="str">
        <f t="shared" si="47"/>
        <v/>
      </c>
      <c r="BU45" s="21" t="str">
        <f t="array" ref="BU45">_xlfn.TEXTJOIN("",TRUE,IF(ISERROR(FIND(ROW($1:$168)-1,BS45&amp;BT45)),ROW($1:$168)-1,""))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5" s="22" t="str">
        <f t="shared" si="36"/>
        <v>中中中</v>
      </c>
      <c r="BW45" s="23" t="str">
        <f t="shared" si="37"/>
        <v/>
      </c>
      <c r="BX45" s="23" t="str">
        <f t="shared" si="48"/>
        <v/>
      </c>
      <c r="BY45" s="23" t="str">
        <f t="array" ref="BY45">_xlfn.TEXTJOIN("",TRUE,IF(ISERROR(FIND(ROW($1:$168)-1,BW45&amp;BX45)),ROW($1:$168)-1,""))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5" s="22" t="str">
        <f t="shared" si="38"/>
        <v>中中中</v>
      </c>
      <c r="CA45" s="24">
        <f t="shared" si="39"/>
        <v>4</v>
      </c>
      <c r="CB45" s="24">
        <f t="shared" si="49"/>
        <v>4</v>
      </c>
      <c r="CC45" s="24" t="str">
        <f t="array" ref="CC45">_xlfn.TEXTJOIN("",TRUE,IF(ISERROR(FIND(ROW($1:$168)-1,CA45&amp;CB45)),ROW($1:$168)-1,""))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5" s="22" t="str">
        <f t="shared" si="40"/>
        <v>复隔中</v>
      </c>
      <c r="CE45" s="25" t="str">
        <f t="shared" si="41"/>
        <v>24</v>
      </c>
      <c r="CF45" s="26" t="str">
        <f t="array" ref="CF45">_xlfn.TEXTJOIN("",TRUE,IF(ISNUMBER(FIND(MID(CE44&amp;W44,ROW($1:$162),1),CE45&amp;W45)),MID(CE44&amp;W44,ROW($1:$162),1),""))</f>
        <v>32</v>
      </c>
      <c r="CG45" s="27" t="str">
        <f t="array" ref="CG45">_xlfn.TEXTJOIN("",TRUE,IF(ISERROR(FIND(ROW($1:$168)-1,CE45&amp;CF45)),ROW($1:$168)-1,""))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5" s="28" t="str">
        <f t="shared" si="42"/>
        <v>邻传孤</v>
      </c>
      <c r="CI45" s="29" t="str">
        <f t="shared" si="43"/>
        <v>02</v>
      </c>
      <c r="CJ45" s="29" t="str">
        <f t="array" ref="CJ45">_xlfn.TEXTJOIN("",TRUE,IF(ISNUMBER(FIND(MID(CI44&amp;X44,ROW($1:$162),1),CI45&amp;X45)),MID(CI44&amp;X44,ROW($1:$162),1),""))</f>
        <v/>
      </c>
      <c r="CK45" s="29" t="str">
        <f t="array" ref="CK45">_xlfn.TEXTJOIN("",TRUE,IF(ISERROR(FIND(ROW($1:$168)-1,CI45&amp;CJ45)),ROW($1:$168)-1,""))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5" s="19" t="str">
        <f t="shared" si="44"/>
        <v>邻孤孤</v>
      </c>
      <c r="CM45" s="24" t="str">
        <f t="shared" si="45"/>
        <v>35</v>
      </c>
      <c r="CN45" s="24" t="str">
        <f t="array" ref="CN45">_xlfn.TEXTJOIN("",TRUE,IF(ISNUMBER(FIND(MID(CM44&amp;Y44,ROW($1:$162),1),CM45&amp;Y45)),MID(CM44&amp;Y44,ROW($1:$162),1),""))</f>
        <v>3</v>
      </c>
      <c r="CO45" s="24" t="str">
        <f t="array" ref="CO45">_xlfn.TEXTJOIN("",TRUE,IF(ISERROR(FIND(ROW($1:$168)-1,CM45&amp;CN45)),ROW($1:$168)-1,""))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5" s="30" t="str">
        <f t="shared" si="46"/>
        <v>邻传孤</v>
      </c>
    </row>
    <row r="46" customFormat="1" spans="1:94">
      <c r="A46" s="15">
        <v>46</v>
      </c>
      <c r="B46" s="80">
        <v>2024015</v>
      </c>
      <c r="C46" s="8" t="s">
        <v>71</v>
      </c>
      <c r="D46" s="81">
        <f t="shared" si="26"/>
        <v>15</v>
      </c>
      <c r="E46" s="82">
        <f t="shared" si="27"/>
        <v>5</v>
      </c>
      <c r="F46" s="83">
        <f t="shared" si="9"/>
        <v>3</v>
      </c>
      <c r="G46" s="84" t="str">
        <f t="shared" si="10"/>
        <v>标准</v>
      </c>
      <c r="H46" s="85" t="s">
        <v>10</v>
      </c>
      <c r="I46" s="85" t="s">
        <v>11</v>
      </c>
      <c r="J46" s="85" t="s">
        <v>12</v>
      </c>
      <c r="K46" s="85" t="s">
        <v>13</v>
      </c>
      <c r="L46" s="86">
        <f>MAX(MID(C46,{1,2,3},1)*1)-MIN(MID(C46,{1,2,3},1)*1)</f>
        <v>5</v>
      </c>
      <c r="M46" s="87">
        <v>0</v>
      </c>
      <c r="N46" s="87">
        <v>1</v>
      </c>
      <c r="O46" s="87">
        <v>2</v>
      </c>
      <c r="P46" s="87">
        <v>3</v>
      </c>
      <c r="Q46" s="87">
        <v>4</v>
      </c>
      <c r="R46" s="87">
        <v>5</v>
      </c>
      <c r="S46" s="87">
        <v>6</v>
      </c>
      <c r="T46" s="87">
        <v>7</v>
      </c>
      <c r="U46" s="87">
        <v>8</v>
      </c>
      <c r="V46" s="87">
        <v>9</v>
      </c>
      <c r="W46" s="88">
        <f t="shared" si="28"/>
        <v>1</v>
      </c>
      <c r="X46" s="88">
        <f t="shared" si="29"/>
        <v>4</v>
      </c>
      <c r="Y46" s="88">
        <f t="shared" si="30"/>
        <v>5</v>
      </c>
      <c r="Z46" s="89">
        <f t="shared" si="31"/>
        <v>10</v>
      </c>
      <c r="AA46" s="17" t="str">
        <f>_xlfn.TEXTJOIN(", ",TRUE,ABS(MID(C46,{1,1,2},1)-MID(C46,{2,3,3},1)))</f>
        <v>1, 4, 5</v>
      </c>
      <c r="AB46" s="90">
        <v>0</v>
      </c>
      <c r="AC46" s="90">
        <v>1</v>
      </c>
      <c r="AD46" s="90">
        <v>2</v>
      </c>
      <c r="AE46" s="90">
        <v>3</v>
      </c>
      <c r="AF46" s="90">
        <v>4</v>
      </c>
      <c r="AG46" s="90">
        <v>5</v>
      </c>
      <c r="AH46" s="90">
        <v>6</v>
      </c>
      <c r="AI46" s="90">
        <v>7</v>
      </c>
      <c r="AJ46" s="90">
        <v>8</v>
      </c>
      <c r="AK46" s="90">
        <v>9</v>
      </c>
      <c r="AL46" s="91">
        <v>0</v>
      </c>
      <c r="AM46" s="91">
        <v>1</v>
      </c>
      <c r="AN46" s="91">
        <v>2</v>
      </c>
      <c r="AO46" s="91">
        <v>3</v>
      </c>
      <c r="AP46" s="91">
        <v>4</v>
      </c>
      <c r="AQ46" s="91">
        <v>5</v>
      </c>
      <c r="AR46" s="91">
        <v>6</v>
      </c>
      <c r="AS46" s="91">
        <v>7</v>
      </c>
      <c r="AT46" s="91">
        <v>8</v>
      </c>
      <c r="AU46" s="91">
        <v>9</v>
      </c>
      <c r="AV46" s="92">
        <v>0</v>
      </c>
      <c r="AW46" s="92">
        <v>1</v>
      </c>
      <c r="AX46" s="92">
        <v>2</v>
      </c>
      <c r="AY46" s="92">
        <v>3</v>
      </c>
      <c r="AZ46" s="92">
        <v>4</v>
      </c>
      <c r="BA46" s="92">
        <v>5</v>
      </c>
      <c r="BB46" s="92">
        <v>6</v>
      </c>
      <c r="BC46" s="92">
        <v>7</v>
      </c>
      <c r="BD46" s="92">
        <v>8</v>
      </c>
      <c r="BE46" s="92">
        <v>9</v>
      </c>
      <c r="BF46" s="93">
        <v>0</v>
      </c>
      <c r="BG46" s="93">
        <v>1</v>
      </c>
      <c r="BH46" s="93">
        <v>2</v>
      </c>
      <c r="BI46" s="93">
        <v>3</v>
      </c>
      <c r="BJ46" s="93">
        <v>4</v>
      </c>
      <c r="BK46" s="93">
        <v>5</v>
      </c>
      <c r="BL46" s="93">
        <v>6</v>
      </c>
      <c r="BM46" s="93">
        <v>7</v>
      </c>
      <c r="BN46" s="93">
        <v>8</v>
      </c>
      <c r="BO46" s="93">
        <v>9</v>
      </c>
      <c r="BP46" s="94" t="str">
        <f t="shared" si="32"/>
        <v>标准型</v>
      </c>
      <c r="BQ46" s="15">
        <f t="shared" si="33"/>
        <v>1</v>
      </c>
      <c r="BR46" s="15">
        <f t="shared" si="34"/>
        <v>5</v>
      </c>
      <c r="BS46" s="20"/>
      <c r="BT46" s="21"/>
      <c r="BU46" s="21"/>
      <c r="BV46" s="66"/>
      <c r="BW46" s="23"/>
      <c r="BX46" s="23"/>
      <c r="BY46" s="23"/>
      <c r="BZ46" s="68"/>
      <c r="CA46" s="24"/>
      <c r="CB46" s="24"/>
      <c r="CC46" s="24"/>
      <c r="CD46" s="70"/>
      <c r="CE46" s="25"/>
      <c r="CF46" s="26"/>
      <c r="CG46" s="27"/>
      <c r="CH46" s="74"/>
      <c r="CI46" s="29"/>
      <c r="CJ46" s="29"/>
      <c r="CK46" s="29"/>
      <c r="CL46" s="77"/>
      <c r="CM46" s="24"/>
      <c r="CN46" s="24"/>
      <c r="CO46" s="24"/>
      <c r="CP46" s="79"/>
    </row>
    <row r="47" customFormat="1" spans="1:94">
      <c r="A47" s="15">
        <v>47</v>
      </c>
      <c r="B47" s="80">
        <v>2024016</v>
      </c>
      <c r="C47" s="8" t="s">
        <v>72</v>
      </c>
      <c r="D47" s="81">
        <f t="shared" si="26"/>
        <v>8</v>
      </c>
      <c r="E47" s="82">
        <f t="shared" si="27"/>
        <v>8</v>
      </c>
      <c r="F47" s="83">
        <f t="shared" si="9"/>
        <v>1.33333333333333</v>
      </c>
      <c r="G47" s="84" t="str">
        <f t="shared" si="10"/>
        <v>松散</v>
      </c>
      <c r="H47" s="85" t="s">
        <v>10</v>
      </c>
      <c r="I47" s="85" t="s">
        <v>11</v>
      </c>
      <c r="J47" s="85" t="s">
        <v>12</v>
      </c>
      <c r="K47" s="85" t="s">
        <v>13</v>
      </c>
      <c r="L47" s="86">
        <f>MAX(MID(C47,{1,2,3},1)*1)-MIN(MID(C47,{1,2,3},1)*1)</f>
        <v>6</v>
      </c>
      <c r="M47" s="87">
        <v>0</v>
      </c>
      <c r="N47" s="87">
        <v>1</v>
      </c>
      <c r="O47" s="87">
        <v>2</v>
      </c>
      <c r="P47" s="87">
        <v>3</v>
      </c>
      <c r="Q47" s="87">
        <v>4</v>
      </c>
      <c r="R47" s="87">
        <v>5</v>
      </c>
      <c r="S47" s="87">
        <v>6</v>
      </c>
      <c r="T47" s="87">
        <v>7</v>
      </c>
      <c r="U47" s="87">
        <v>8</v>
      </c>
      <c r="V47" s="87">
        <v>9</v>
      </c>
      <c r="W47" s="88">
        <f t="shared" si="28"/>
        <v>4</v>
      </c>
      <c r="X47" s="88">
        <f t="shared" si="29"/>
        <v>6</v>
      </c>
      <c r="Y47" s="88">
        <f t="shared" si="30"/>
        <v>2</v>
      </c>
      <c r="Z47" s="89">
        <f t="shared" si="31"/>
        <v>12</v>
      </c>
      <c r="AA47" s="17" t="str">
        <f>_xlfn.TEXTJOIN(", ",TRUE,ABS(MID(C47,{1,1,2},1)-MID(C47,{2,3,3},1)))</f>
        <v>4, 6, 2</v>
      </c>
      <c r="AB47" s="90">
        <v>0</v>
      </c>
      <c r="AC47" s="90">
        <v>1</v>
      </c>
      <c r="AD47" s="90">
        <v>2</v>
      </c>
      <c r="AE47" s="90">
        <v>3</v>
      </c>
      <c r="AF47" s="90">
        <v>4</v>
      </c>
      <c r="AG47" s="90">
        <v>5</v>
      </c>
      <c r="AH47" s="90">
        <v>6</v>
      </c>
      <c r="AI47" s="90">
        <v>7</v>
      </c>
      <c r="AJ47" s="90">
        <v>8</v>
      </c>
      <c r="AK47" s="90">
        <v>9</v>
      </c>
      <c r="AL47" s="91">
        <v>0</v>
      </c>
      <c r="AM47" s="91">
        <v>1</v>
      </c>
      <c r="AN47" s="91">
        <v>2</v>
      </c>
      <c r="AO47" s="91">
        <v>3</v>
      </c>
      <c r="AP47" s="91">
        <v>4</v>
      </c>
      <c r="AQ47" s="91">
        <v>5</v>
      </c>
      <c r="AR47" s="91">
        <v>6</v>
      </c>
      <c r="AS47" s="91">
        <v>7</v>
      </c>
      <c r="AT47" s="91">
        <v>8</v>
      </c>
      <c r="AU47" s="91">
        <v>9</v>
      </c>
      <c r="AV47" s="92">
        <v>0</v>
      </c>
      <c r="AW47" s="92">
        <v>1</v>
      </c>
      <c r="AX47" s="92">
        <v>2</v>
      </c>
      <c r="AY47" s="92">
        <v>3</v>
      </c>
      <c r="AZ47" s="92">
        <v>4</v>
      </c>
      <c r="BA47" s="92">
        <v>5</v>
      </c>
      <c r="BB47" s="92">
        <v>6</v>
      </c>
      <c r="BC47" s="92">
        <v>7</v>
      </c>
      <c r="BD47" s="92">
        <v>8</v>
      </c>
      <c r="BE47" s="92">
        <v>9</v>
      </c>
      <c r="BF47" s="93">
        <v>0</v>
      </c>
      <c r="BG47" s="93">
        <v>1</v>
      </c>
      <c r="BH47" s="93">
        <v>2</v>
      </c>
      <c r="BI47" s="93">
        <v>3</v>
      </c>
      <c r="BJ47" s="93">
        <v>4</v>
      </c>
      <c r="BK47" s="93">
        <v>5</v>
      </c>
      <c r="BL47" s="93">
        <v>6</v>
      </c>
      <c r="BM47" s="93">
        <v>7</v>
      </c>
      <c r="BN47" s="93">
        <v>8</v>
      </c>
      <c r="BO47" s="93">
        <v>9</v>
      </c>
      <c r="BP47" s="94" t="str">
        <f t="shared" si="32"/>
        <v>松散型</v>
      </c>
      <c r="BQ47" s="15">
        <f t="shared" si="33"/>
        <v>2</v>
      </c>
      <c r="BR47" s="15">
        <f t="shared" si="34"/>
        <v>6</v>
      </c>
      <c r="BS47" s="20"/>
      <c r="BT47" s="21"/>
      <c r="BU47" s="21"/>
      <c r="BV47" s="66"/>
      <c r="BW47" s="23"/>
      <c r="BX47" s="23"/>
      <c r="BY47" s="23"/>
      <c r="BZ47" s="68"/>
      <c r="CA47" s="24"/>
      <c r="CB47" s="24"/>
      <c r="CC47" s="24"/>
      <c r="CD47" s="70"/>
      <c r="CE47" s="25"/>
      <c r="CF47" s="26"/>
      <c r="CG47" s="27"/>
      <c r="CH47" s="74"/>
      <c r="CI47" s="29"/>
      <c r="CJ47" s="29"/>
      <c r="CK47" s="29"/>
      <c r="CL47" s="77"/>
      <c r="CM47" s="24"/>
      <c r="CN47" s="24"/>
      <c r="CO47" s="24"/>
      <c r="CP47" s="79"/>
    </row>
    <row r="48" customFormat="1" spans="1:94">
      <c r="A48" s="15">
        <v>48</v>
      </c>
      <c r="B48" s="80">
        <v>2024017</v>
      </c>
      <c r="C48" s="8" t="s">
        <v>73</v>
      </c>
      <c r="D48" s="81">
        <f t="shared" si="26"/>
        <v>20</v>
      </c>
      <c r="E48" s="82">
        <f t="shared" si="27"/>
        <v>0</v>
      </c>
      <c r="F48" s="83">
        <f t="shared" si="9"/>
        <v>5</v>
      </c>
      <c r="G48" s="84" t="str">
        <f t="shared" si="10"/>
        <v>紧凑</v>
      </c>
      <c r="H48" s="85" t="s">
        <v>10</v>
      </c>
      <c r="I48" s="85" t="s">
        <v>11</v>
      </c>
      <c r="J48" s="85" t="s">
        <v>12</v>
      </c>
      <c r="K48" s="85" t="s">
        <v>13</v>
      </c>
      <c r="L48" s="86">
        <f>MAX(MID(C48,{1,2,3},1)*1)-MIN(MID(C48,{1,2,3},1)*1)</f>
        <v>4</v>
      </c>
      <c r="M48" s="87">
        <v>0</v>
      </c>
      <c r="N48" s="87">
        <v>1</v>
      </c>
      <c r="O48" s="87">
        <v>2</v>
      </c>
      <c r="P48" s="87">
        <v>3</v>
      </c>
      <c r="Q48" s="87">
        <v>4</v>
      </c>
      <c r="R48" s="87">
        <v>5</v>
      </c>
      <c r="S48" s="87">
        <v>6</v>
      </c>
      <c r="T48" s="87">
        <v>7</v>
      </c>
      <c r="U48" s="87">
        <v>8</v>
      </c>
      <c r="V48" s="87">
        <v>9</v>
      </c>
      <c r="W48" s="88">
        <f t="shared" si="28"/>
        <v>1</v>
      </c>
      <c r="X48" s="88">
        <f t="shared" si="29"/>
        <v>3</v>
      </c>
      <c r="Y48" s="88">
        <f t="shared" si="30"/>
        <v>4</v>
      </c>
      <c r="Z48" s="89">
        <f t="shared" si="31"/>
        <v>8</v>
      </c>
      <c r="AA48" s="17" t="str">
        <f>_xlfn.TEXTJOIN(", ",TRUE,ABS(MID(C48,{1,1,2},1)-MID(C48,{2,3,3},1)))</f>
        <v>1, 3, 4</v>
      </c>
      <c r="AB48" s="90">
        <v>0</v>
      </c>
      <c r="AC48" s="90">
        <v>1</v>
      </c>
      <c r="AD48" s="90">
        <v>2</v>
      </c>
      <c r="AE48" s="90">
        <v>3</v>
      </c>
      <c r="AF48" s="90">
        <v>4</v>
      </c>
      <c r="AG48" s="90">
        <v>5</v>
      </c>
      <c r="AH48" s="90">
        <v>6</v>
      </c>
      <c r="AI48" s="90">
        <v>7</v>
      </c>
      <c r="AJ48" s="90">
        <v>8</v>
      </c>
      <c r="AK48" s="90">
        <v>9</v>
      </c>
      <c r="AL48" s="91">
        <v>0</v>
      </c>
      <c r="AM48" s="91">
        <v>1</v>
      </c>
      <c r="AN48" s="91">
        <v>2</v>
      </c>
      <c r="AO48" s="91">
        <v>3</v>
      </c>
      <c r="AP48" s="91">
        <v>4</v>
      </c>
      <c r="AQ48" s="91">
        <v>5</v>
      </c>
      <c r="AR48" s="91">
        <v>6</v>
      </c>
      <c r="AS48" s="91">
        <v>7</v>
      </c>
      <c r="AT48" s="91">
        <v>8</v>
      </c>
      <c r="AU48" s="91">
        <v>9</v>
      </c>
      <c r="AV48" s="92">
        <v>0</v>
      </c>
      <c r="AW48" s="92">
        <v>1</v>
      </c>
      <c r="AX48" s="92">
        <v>2</v>
      </c>
      <c r="AY48" s="92">
        <v>3</v>
      </c>
      <c r="AZ48" s="92">
        <v>4</v>
      </c>
      <c r="BA48" s="92">
        <v>5</v>
      </c>
      <c r="BB48" s="92">
        <v>6</v>
      </c>
      <c r="BC48" s="92">
        <v>7</v>
      </c>
      <c r="BD48" s="92">
        <v>8</v>
      </c>
      <c r="BE48" s="92">
        <v>9</v>
      </c>
      <c r="BF48" s="93">
        <v>0</v>
      </c>
      <c r="BG48" s="93">
        <v>1</v>
      </c>
      <c r="BH48" s="93">
        <v>2</v>
      </c>
      <c r="BI48" s="93">
        <v>3</v>
      </c>
      <c r="BJ48" s="93">
        <v>4</v>
      </c>
      <c r="BK48" s="93">
        <v>5</v>
      </c>
      <c r="BL48" s="93">
        <v>6</v>
      </c>
      <c r="BM48" s="93">
        <v>7</v>
      </c>
      <c r="BN48" s="93">
        <v>8</v>
      </c>
      <c r="BO48" s="93">
        <v>9</v>
      </c>
      <c r="BP48" s="94" t="str">
        <f t="shared" si="32"/>
        <v>紧凑型</v>
      </c>
      <c r="BQ48" s="15">
        <f t="shared" si="33"/>
        <v>1</v>
      </c>
      <c r="BR48" s="15">
        <f t="shared" si="34"/>
        <v>4</v>
      </c>
      <c r="BS48" s="20" t="str">
        <f>IF(COUNTIF($W47:$Y47,W48)&gt;0,W48,"")</f>
        <v/>
      </c>
      <c r="BT48" s="21"/>
      <c r="BU48" s="21" t="str">
        <f t="array" ref="BU48">_xlfn.TEXTJOIN("",TRUE,IF(ISERROR(FIND(ROW($1:$168)-1,BS48&amp;BT48)),ROW($1:$168)-1,""))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8" s="22" t="str">
        <f>IF(BS48&lt;&gt;"","复","中")&amp;IF(BT48&lt;&gt;"","隔","中")&amp;"中"</f>
        <v>中中中</v>
      </c>
      <c r="BW48" s="23" t="str">
        <f>IF(COUNTIF($W47:$Y47,X48)&gt;0,X48,"")</f>
        <v/>
      </c>
      <c r="BX48" s="23"/>
      <c r="BY48" s="23" t="str">
        <f t="array" ref="BY48">_xlfn.TEXTJOIN("",TRUE,IF(ISERROR(FIND(ROW($1:$168)-1,BW48&amp;BX48)),ROW($1:$168)-1,""))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8" s="22" t="str">
        <f>IF(BW48&lt;&gt;"","复","中")&amp;IF(BX48&lt;&gt;"","隔","中")&amp;"中"</f>
        <v>中中中</v>
      </c>
      <c r="CA48" s="24">
        <f>IF(COUNTIF($W47:$Y47,Y48)&gt;0,Y48,"")</f>
        <v>4</v>
      </c>
      <c r="CB48" s="24"/>
      <c r="CC48" s="24" t="str">
        <f t="array" ref="CC48">_xlfn.TEXTJOIN("",TRUE,IF(ISERROR(FIND(ROW($1:$168)-1,CA48&amp;CB48)),ROW($1:$168)-1,""))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8" s="22" t="str">
        <f>IF(CA48&lt;&gt;"","复","中")&amp;IF(CB48&lt;&gt;"","隔","中")&amp;"中"</f>
        <v>复中中</v>
      </c>
      <c r="CE48" s="25" t="str">
        <f>IF(W48=0,9,W48-1)&amp;""&amp;IF(W48=9,0,W48+1)</f>
        <v>02</v>
      </c>
      <c r="CF48" s="26"/>
      <c r="CG48" s="27" t="str">
        <f t="array" ref="CG48">_xlfn.TEXTJOIN("",TRUE,IF(ISERROR(FIND(ROW($1:$168)-1,CE48&amp;CF48)),ROW($1:$168)-1,""))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8" s="28" t="str">
        <f>IF(CE48&lt;&gt;"","邻","孤")&amp;IF(CF48&lt;&gt;"","传","孤")&amp;"孤"</f>
        <v>邻孤孤</v>
      </c>
      <c r="CI48" s="29" t="str">
        <f>IF(X48=0,9,X48-1)&amp;""&amp;IF(X48=9,0,X48+1)</f>
        <v>24</v>
      </c>
      <c r="CJ48" s="29"/>
      <c r="CK48" s="29" t="str">
        <f t="array" ref="CK48">_xlfn.TEXTJOIN("",TRUE,IF(ISERROR(FIND(ROW($1:$168)-1,CI48&amp;CJ48)),ROW($1:$168)-1,""))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8" s="19" t="str">
        <f>IF(CI48&lt;&gt;"","邻","孤")&amp;IF(CJ48&lt;&gt;"","传","孤")&amp;"孤"</f>
        <v>邻孤孤</v>
      </c>
      <c r="CM48" s="24" t="str">
        <f>IF(Y48=0,9,Y48-1)&amp;""&amp;IF(Y48=9,0,Y48+1)</f>
        <v>35</v>
      </c>
      <c r="CN48" s="24"/>
      <c r="CO48" s="24" t="str">
        <f t="array" ref="CO48">_xlfn.TEXTJOIN("",TRUE,IF(ISERROR(FIND(ROW($1:$168)-1,CM48&amp;CN48)),ROW($1:$168)-1,""))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8" s="30" t="str">
        <f>IF(CM48&lt;&gt;"","邻","孤")&amp;IF(CN48&lt;&gt;"","传","孤")&amp;"孤"</f>
        <v>邻孤孤</v>
      </c>
    </row>
    <row r="49" customFormat="1" spans="1:94">
      <c r="A49" s="15">
        <v>49</v>
      </c>
      <c r="B49" s="80">
        <v>2024018</v>
      </c>
      <c r="C49" s="8" t="s">
        <v>74</v>
      </c>
      <c r="D49" s="81">
        <f t="shared" ref="D49:D70" si="50">LEFT(C49,1)+MID(C49,2,1)+RIGHT(C49,1)</f>
        <v>7</v>
      </c>
      <c r="E49" s="82">
        <f t="shared" ref="E49:E70" si="51">MOD(LEFT(C49,1)+MID(C49,2,1)+RIGHT(C49,1),10)</f>
        <v>7</v>
      </c>
      <c r="F49" s="83">
        <f t="shared" si="9"/>
        <v>1.75</v>
      </c>
      <c r="G49" s="84" t="str">
        <f t="shared" si="10"/>
        <v>松散</v>
      </c>
      <c r="H49" s="85" t="s">
        <v>10</v>
      </c>
      <c r="I49" s="85" t="s">
        <v>11</v>
      </c>
      <c r="J49" s="85" t="s">
        <v>12</v>
      </c>
      <c r="K49" s="85" t="s">
        <v>13</v>
      </c>
      <c r="L49" s="86">
        <f>MAX(MID(C49,{1,2,3},1)*1)-MIN(MID(C49,{1,2,3},1)*1)</f>
        <v>4</v>
      </c>
      <c r="M49" s="87">
        <v>0</v>
      </c>
      <c r="N49" s="87">
        <v>1</v>
      </c>
      <c r="O49" s="87">
        <v>2</v>
      </c>
      <c r="P49" s="87">
        <v>3</v>
      </c>
      <c r="Q49" s="87">
        <v>4</v>
      </c>
      <c r="R49" s="87">
        <v>5</v>
      </c>
      <c r="S49" s="87">
        <v>6</v>
      </c>
      <c r="T49" s="87">
        <v>7</v>
      </c>
      <c r="U49" s="87">
        <v>8</v>
      </c>
      <c r="V49" s="87">
        <v>9</v>
      </c>
      <c r="W49" s="88">
        <f t="shared" ref="W49:W70" si="52">ABS(LEFT(C49,1)-MID(C49,2,1))</f>
        <v>1</v>
      </c>
      <c r="X49" s="88">
        <f t="shared" ref="X49:X70" si="53">ABS(LEFT(C49,1)-RIGHT(C49,1))</f>
        <v>4</v>
      </c>
      <c r="Y49" s="88">
        <f t="shared" ref="Y49:Y70" si="54">ABS(MID(C49,2,1)-RIGHT(C49,1))</f>
        <v>3</v>
      </c>
      <c r="Z49" s="89">
        <f t="shared" ref="Z49:Z70" si="55">W49+X49+Y49</f>
        <v>8</v>
      </c>
      <c r="AA49" s="17" t="str">
        <f>_xlfn.TEXTJOIN(", ",TRUE,ABS(MID(C49,{1,1,2},1)-MID(C49,{2,3,3},1)))</f>
        <v>1, 4, 3</v>
      </c>
      <c r="AB49" s="90">
        <v>0</v>
      </c>
      <c r="AC49" s="90">
        <v>1</v>
      </c>
      <c r="AD49" s="90">
        <v>2</v>
      </c>
      <c r="AE49" s="90">
        <v>3</v>
      </c>
      <c r="AF49" s="90">
        <v>4</v>
      </c>
      <c r="AG49" s="90">
        <v>5</v>
      </c>
      <c r="AH49" s="90">
        <v>6</v>
      </c>
      <c r="AI49" s="90">
        <v>7</v>
      </c>
      <c r="AJ49" s="90">
        <v>8</v>
      </c>
      <c r="AK49" s="90">
        <v>9</v>
      </c>
      <c r="AL49" s="91">
        <v>0</v>
      </c>
      <c r="AM49" s="91">
        <v>1</v>
      </c>
      <c r="AN49" s="91">
        <v>2</v>
      </c>
      <c r="AO49" s="91">
        <v>3</v>
      </c>
      <c r="AP49" s="91">
        <v>4</v>
      </c>
      <c r="AQ49" s="91">
        <v>5</v>
      </c>
      <c r="AR49" s="91">
        <v>6</v>
      </c>
      <c r="AS49" s="91">
        <v>7</v>
      </c>
      <c r="AT49" s="91">
        <v>8</v>
      </c>
      <c r="AU49" s="91">
        <v>9</v>
      </c>
      <c r="AV49" s="92">
        <v>0</v>
      </c>
      <c r="AW49" s="92">
        <v>1</v>
      </c>
      <c r="AX49" s="92">
        <v>2</v>
      </c>
      <c r="AY49" s="92">
        <v>3</v>
      </c>
      <c r="AZ49" s="92">
        <v>4</v>
      </c>
      <c r="BA49" s="92">
        <v>5</v>
      </c>
      <c r="BB49" s="92">
        <v>6</v>
      </c>
      <c r="BC49" s="92">
        <v>7</v>
      </c>
      <c r="BD49" s="92">
        <v>8</v>
      </c>
      <c r="BE49" s="92">
        <v>9</v>
      </c>
      <c r="BF49" s="93">
        <v>0</v>
      </c>
      <c r="BG49" s="93">
        <v>1</v>
      </c>
      <c r="BH49" s="93">
        <v>2</v>
      </c>
      <c r="BI49" s="93">
        <v>3</v>
      </c>
      <c r="BJ49" s="93">
        <v>4</v>
      </c>
      <c r="BK49" s="93">
        <v>5</v>
      </c>
      <c r="BL49" s="93">
        <v>6</v>
      </c>
      <c r="BM49" s="93">
        <v>7</v>
      </c>
      <c r="BN49" s="93">
        <v>8</v>
      </c>
      <c r="BO49" s="93">
        <v>9</v>
      </c>
      <c r="BP49" s="94" t="str">
        <f t="shared" ref="BP49:BP70" si="56">IF(AND(BQ49&lt;=1,BR49&lt;=4),"紧凑型",IF(OR(BQ49&gt;=3,BR49&gt;=6),"松散型",IF(AND(BQ49&gt;=1,BR49&lt;=5),"标准型","对子")))</f>
        <v>紧凑型</v>
      </c>
      <c r="BQ49" s="15">
        <f t="shared" ref="BQ49:BQ70" si="57">MIN(ABS(INT(C49/100)-INT(MOD(C49,100)/10)),ABS(INT(C49/100)-MOD(C49,10)),ABS(INT(MOD(C49,100)/10)-MOD(C49,10)))</f>
        <v>1</v>
      </c>
      <c r="BR49" s="15">
        <f t="shared" ref="BR49:BR70" si="58">MAX(ABS(INT(C49/100)-INT(MOD(C49,100)/10)),ABS(INT(C49/100)-MOD(C49,10)),ABS(INT(MOD(C49,100)/10)-MOD(C49,10)))</f>
        <v>4</v>
      </c>
      <c r="BS49" s="20"/>
      <c r="BT49" s="21"/>
      <c r="BU49" s="21"/>
      <c r="BV49" s="66"/>
      <c r="BW49" s="23"/>
      <c r="BX49" s="23"/>
      <c r="BY49" s="23"/>
      <c r="BZ49" s="68"/>
      <c r="CA49" s="24"/>
      <c r="CB49" s="24"/>
      <c r="CC49" s="24"/>
      <c r="CD49" s="70"/>
      <c r="CE49" s="25"/>
      <c r="CF49" s="26"/>
      <c r="CG49" s="27"/>
      <c r="CH49" s="74"/>
      <c r="CI49" s="29"/>
      <c r="CJ49" s="29"/>
      <c r="CK49" s="29"/>
      <c r="CL49" s="77"/>
      <c r="CM49" s="24"/>
      <c r="CN49" s="24"/>
      <c r="CO49" s="24"/>
      <c r="CP49" s="79"/>
    </row>
    <row r="50" customFormat="1" spans="1:94">
      <c r="A50" s="15">
        <v>50</v>
      </c>
      <c r="B50" s="80">
        <v>2024019</v>
      </c>
      <c r="C50" s="8" t="s">
        <v>75</v>
      </c>
      <c r="D50" s="81">
        <f t="shared" si="50"/>
        <v>17</v>
      </c>
      <c r="E50" s="82">
        <f t="shared" si="51"/>
        <v>7</v>
      </c>
      <c r="F50" s="83">
        <f t="shared" si="9"/>
        <v>2.83333333333333</v>
      </c>
      <c r="G50" s="84" t="str">
        <f t="shared" si="10"/>
        <v>标准</v>
      </c>
      <c r="H50" s="85" t="s">
        <v>10</v>
      </c>
      <c r="I50" s="85" t="s">
        <v>11</v>
      </c>
      <c r="J50" s="85" t="s">
        <v>12</v>
      </c>
      <c r="K50" s="85" t="s">
        <v>13</v>
      </c>
      <c r="L50" s="86">
        <f>MAX(MID(C50,{1,2,3},1)*1)-MIN(MID(C50,{1,2,3},1)*1)</f>
        <v>6</v>
      </c>
      <c r="M50" s="87">
        <v>0</v>
      </c>
      <c r="N50" s="87">
        <v>1</v>
      </c>
      <c r="O50" s="87">
        <v>2</v>
      </c>
      <c r="P50" s="87">
        <v>3</v>
      </c>
      <c r="Q50" s="87">
        <v>4</v>
      </c>
      <c r="R50" s="87">
        <v>5</v>
      </c>
      <c r="S50" s="87">
        <v>6</v>
      </c>
      <c r="T50" s="87">
        <v>7</v>
      </c>
      <c r="U50" s="87">
        <v>8</v>
      </c>
      <c r="V50" s="87">
        <v>9</v>
      </c>
      <c r="W50" s="88">
        <f t="shared" si="52"/>
        <v>4</v>
      </c>
      <c r="X50" s="88">
        <f t="shared" si="53"/>
        <v>6</v>
      </c>
      <c r="Y50" s="88">
        <f t="shared" si="54"/>
        <v>2</v>
      </c>
      <c r="Z50" s="89">
        <f t="shared" si="55"/>
        <v>12</v>
      </c>
      <c r="AA50" s="17" t="str">
        <f>_xlfn.TEXTJOIN(", ",TRUE,ABS(MID(C50,{1,1,2},1)-MID(C50,{2,3,3},1)))</f>
        <v>4, 6, 2</v>
      </c>
      <c r="AB50" s="90">
        <v>0</v>
      </c>
      <c r="AC50" s="90">
        <v>1</v>
      </c>
      <c r="AD50" s="90">
        <v>2</v>
      </c>
      <c r="AE50" s="90">
        <v>3</v>
      </c>
      <c r="AF50" s="90">
        <v>4</v>
      </c>
      <c r="AG50" s="90">
        <v>5</v>
      </c>
      <c r="AH50" s="90">
        <v>6</v>
      </c>
      <c r="AI50" s="90">
        <v>7</v>
      </c>
      <c r="AJ50" s="90">
        <v>8</v>
      </c>
      <c r="AK50" s="90">
        <v>9</v>
      </c>
      <c r="AL50" s="91">
        <v>0</v>
      </c>
      <c r="AM50" s="91">
        <v>1</v>
      </c>
      <c r="AN50" s="91">
        <v>2</v>
      </c>
      <c r="AO50" s="91">
        <v>3</v>
      </c>
      <c r="AP50" s="91">
        <v>4</v>
      </c>
      <c r="AQ50" s="91">
        <v>5</v>
      </c>
      <c r="AR50" s="91">
        <v>6</v>
      </c>
      <c r="AS50" s="91">
        <v>7</v>
      </c>
      <c r="AT50" s="91">
        <v>8</v>
      </c>
      <c r="AU50" s="91">
        <v>9</v>
      </c>
      <c r="AV50" s="92">
        <v>0</v>
      </c>
      <c r="AW50" s="92">
        <v>1</v>
      </c>
      <c r="AX50" s="92">
        <v>2</v>
      </c>
      <c r="AY50" s="92">
        <v>3</v>
      </c>
      <c r="AZ50" s="92">
        <v>4</v>
      </c>
      <c r="BA50" s="92">
        <v>5</v>
      </c>
      <c r="BB50" s="92">
        <v>6</v>
      </c>
      <c r="BC50" s="92">
        <v>7</v>
      </c>
      <c r="BD50" s="92">
        <v>8</v>
      </c>
      <c r="BE50" s="92">
        <v>9</v>
      </c>
      <c r="BF50" s="93">
        <v>0</v>
      </c>
      <c r="BG50" s="93">
        <v>1</v>
      </c>
      <c r="BH50" s="93">
        <v>2</v>
      </c>
      <c r="BI50" s="93">
        <v>3</v>
      </c>
      <c r="BJ50" s="93">
        <v>4</v>
      </c>
      <c r="BK50" s="93">
        <v>5</v>
      </c>
      <c r="BL50" s="93">
        <v>6</v>
      </c>
      <c r="BM50" s="93">
        <v>7</v>
      </c>
      <c r="BN50" s="93">
        <v>8</v>
      </c>
      <c r="BO50" s="93">
        <v>9</v>
      </c>
      <c r="BP50" s="94" t="str">
        <f t="shared" si="56"/>
        <v>松散型</v>
      </c>
      <c r="BQ50" s="15">
        <f t="shared" si="57"/>
        <v>2</v>
      </c>
      <c r="BR50" s="15">
        <f t="shared" si="58"/>
        <v>6</v>
      </c>
      <c r="BS50" s="20">
        <f t="shared" ref="BS50:BS69" si="59">IF(COUNTIF($W49:$Y49,W50)&gt;0,W50,"")</f>
        <v>4</v>
      </c>
      <c r="BT50" s="21"/>
      <c r="BU50" s="21" t="str">
        <f t="array" ref="BU50">_xlfn.TEXTJOIN("",TRUE,IF(ISERROR(FIND(ROW($1:$168)-1,BS50&amp;BT50)),ROW($1:$168)-1,""))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0" s="22" t="str">
        <f t="shared" ref="BV50:BV69" si="60">IF(BS50&lt;&gt;"","复","中")&amp;IF(BT50&lt;&gt;"","隔","中")&amp;"中"</f>
        <v>复中中</v>
      </c>
      <c r="BW50" s="23" t="str">
        <f t="shared" ref="BW50:BW69" si="61">IF(COUNTIF($W49:$Y49,X50)&gt;0,X50,"")</f>
        <v/>
      </c>
      <c r="BX50" s="23"/>
      <c r="BY50" s="23" t="str">
        <f t="array" ref="BY50">_xlfn.TEXTJOIN("",TRUE,IF(ISERROR(FIND(ROW($1:$168)-1,BW50&amp;BX50)),ROW($1:$168)-1,""))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0" s="22" t="str">
        <f t="shared" ref="BZ50:BZ69" si="62">IF(BW50&lt;&gt;"","复","中")&amp;IF(BX50&lt;&gt;"","隔","中")&amp;"中"</f>
        <v>中中中</v>
      </c>
      <c r="CA50" s="24" t="str">
        <f t="shared" ref="CA50:CA69" si="63">IF(COUNTIF($W49:$Y49,Y50)&gt;0,Y50,"")</f>
        <v/>
      </c>
      <c r="CB50" s="24"/>
      <c r="CC50" s="24" t="str">
        <f t="array" ref="CC50">_xlfn.TEXTJOIN("",TRUE,IF(ISERROR(FIND(ROW($1:$168)-1,CA50&amp;CB50)),ROW($1:$168)-1,""))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0" s="22" t="str">
        <f t="shared" ref="CD50:CD69" si="64">IF(CA50&lt;&gt;"","复","中")&amp;IF(CB50&lt;&gt;"","隔","中")&amp;"中"</f>
        <v>中中中</v>
      </c>
      <c r="CE50" s="25" t="str">
        <f t="shared" ref="CE50:CE69" si="65">IF(W50=0,9,W50-1)&amp;""&amp;IF(W50=9,0,W50+1)</f>
        <v>35</v>
      </c>
      <c r="CF50" s="26"/>
      <c r="CG50" s="27" t="str">
        <f t="array" ref="CG50">_xlfn.TEXTJOIN("",TRUE,IF(ISERROR(FIND(ROW($1:$168)-1,CE50&amp;CF50)),ROW($1:$168)-1,""))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0" s="28" t="str">
        <f t="shared" ref="CH50:CH69" si="66">IF(CE50&lt;&gt;"","邻","孤")&amp;IF(CF50&lt;&gt;"","传","孤")&amp;"孤"</f>
        <v>邻孤孤</v>
      </c>
      <c r="CI50" s="29" t="str">
        <f t="shared" ref="CI50:CI69" si="67">IF(X50=0,9,X50-1)&amp;""&amp;IF(X50=9,0,X50+1)</f>
        <v>57</v>
      </c>
      <c r="CJ50" s="29"/>
      <c r="CK50" s="29" t="str">
        <f t="array" ref="CK50">_xlfn.TEXTJOIN("",TRUE,IF(ISERROR(FIND(ROW($1:$168)-1,CI50&amp;CJ50)),ROW($1:$168)-1,""))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0" s="19" t="str">
        <f t="shared" ref="CL50:CL69" si="68">IF(CI50&lt;&gt;"","邻","孤")&amp;IF(CJ50&lt;&gt;"","传","孤")&amp;"孤"</f>
        <v>邻孤孤</v>
      </c>
      <c r="CM50" s="24" t="str">
        <f t="shared" ref="CM50:CM69" si="69">IF(Y50=0,9,Y50-1)&amp;""&amp;IF(Y50=9,0,Y50+1)</f>
        <v>13</v>
      </c>
      <c r="CN50" s="24"/>
      <c r="CO50" s="24" t="str">
        <f t="array" ref="CO50">_xlfn.TEXTJOIN("",TRUE,IF(ISERROR(FIND(ROW($1:$168)-1,CM50&amp;CN50)),ROW($1:$168)-1,""))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0" s="30" t="str">
        <f t="shared" ref="CP50:CP69" si="70">IF(CM50&lt;&gt;"","邻","孤")&amp;IF(CN50&lt;&gt;"","传","孤")&amp;"孤"</f>
        <v>邻孤孤</v>
      </c>
    </row>
    <row r="51" customFormat="1" spans="1:94">
      <c r="A51" s="15">
        <v>51</v>
      </c>
      <c r="B51" s="80">
        <v>2024020</v>
      </c>
      <c r="C51" s="8" t="s">
        <v>76</v>
      </c>
      <c r="D51" s="81">
        <f t="shared" si="50"/>
        <v>22</v>
      </c>
      <c r="E51" s="82">
        <f t="shared" si="51"/>
        <v>2</v>
      </c>
      <c r="F51" s="83">
        <f t="shared" si="9"/>
        <v>11</v>
      </c>
      <c r="G51" s="84" t="str">
        <f t="shared" si="10"/>
        <v>紧凑</v>
      </c>
      <c r="H51" s="85" t="s">
        <v>10</v>
      </c>
      <c r="I51" s="85" t="s">
        <v>11</v>
      </c>
      <c r="J51" s="85" t="s">
        <v>12</v>
      </c>
      <c r="K51" s="85" t="s">
        <v>13</v>
      </c>
      <c r="L51" s="86">
        <f>MAX(MID(C51,{1,2,3},1)*1)-MIN(MID(C51,{1,2,3},1)*1)</f>
        <v>2</v>
      </c>
      <c r="M51" s="87">
        <v>0</v>
      </c>
      <c r="N51" s="87">
        <v>1</v>
      </c>
      <c r="O51" s="87">
        <v>2</v>
      </c>
      <c r="P51" s="87">
        <v>3</v>
      </c>
      <c r="Q51" s="87">
        <v>4</v>
      </c>
      <c r="R51" s="87">
        <v>5</v>
      </c>
      <c r="S51" s="87">
        <v>6</v>
      </c>
      <c r="T51" s="87">
        <v>7</v>
      </c>
      <c r="U51" s="87">
        <v>8</v>
      </c>
      <c r="V51" s="87">
        <v>9</v>
      </c>
      <c r="W51" s="88">
        <f t="shared" si="52"/>
        <v>2</v>
      </c>
      <c r="X51" s="88">
        <f t="shared" si="53"/>
        <v>0</v>
      </c>
      <c r="Y51" s="88">
        <f t="shared" si="54"/>
        <v>2</v>
      </c>
      <c r="Z51" s="89">
        <f t="shared" si="55"/>
        <v>4</v>
      </c>
      <c r="AA51" s="17" t="str">
        <f>_xlfn.TEXTJOIN(", ",TRUE,ABS(MID(C51,{1,1,2},1)-MID(C51,{2,3,3},1)))</f>
        <v>2, 0, 2</v>
      </c>
      <c r="AB51" s="90">
        <v>0</v>
      </c>
      <c r="AC51" s="90">
        <v>1</v>
      </c>
      <c r="AD51" s="90">
        <v>2</v>
      </c>
      <c r="AE51" s="90">
        <v>3</v>
      </c>
      <c r="AF51" s="90">
        <v>4</v>
      </c>
      <c r="AG51" s="90">
        <v>5</v>
      </c>
      <c r="AH51" s="90">
        <v>6</v>
      </c>
      <c r="AI51" s="90">
        <v>7</v>
      </c>
      <c r="AJ51" s="90">
        <v>8</v>
      </c>
      <c r="AK51" s="90">
        <v>9</v>
      </c>
      <c r="AL51" s="91">
        <v>0</v>
      </c>
      <c r="AM51" s="91">
        <v>1</v>
      </c>
      <c r="AN51" s="91">
        <v>2</v>
      </c>
      <c r="AO51" s="91">
        <v>3</v>
      </c>
      <c r="AP51" s="91">
        <v>4</v>
      </c>
      <c r="AQ51" s="91">
        <v>5</v>
      </c>
      <c r="AR51" s="91">
        <v>6</v>
      </c>
      <c r="AS51" s="91">
        <v>7</v>
      </c>
      <c r="AT51" s="91">
        <v>8</v>
      </c>
      <c r="AU51" s="91">
        <v>9</v>
      </c>
      <c r="AV51" s="92">
        <v>0</v>
      </c>
      <c r="AW51" s="92">
        <v>1</v>
      </c>
      <c r="AX51" s="92">
        <v>2</v>
      </c>
      <c r="AY51" s="92">
        <v>3</v>
      </c>
      <c r="AZ51" s="92">
        <v>4</v>
      </c>
      <c r="BA51" s="92">
        <v>5</v>
      </c>
      <c r="BB51" s="92">
        <v>6</v>
      </c>
      <c r="BC51" s="92">
        <v>7</v>
      </c>
      <c r="BD51" s="92">
        <v>8</v>
      </c>
      <c r="BE51" s="92">
        <v>9</v>
      </c>
      <c r="BF51" s="93">
        <v>0</v>
      </c>
      <c r="BG51" s="93">
        <v>1</v>
      </c>
      <c r="BH51" s="93">
        <v>2</v>
      </c>
      <c r="BI51" s="93">
        <v>3</v>
      </c>
      <c r="BJ51" s="93">
        <v>4</v>
      </c>
      <c r="BK51" s="93">
        <v>5</v>
      </c>
      <c r="BL51" s="93">
        <v>6</v>
      </c>
      <c r="BM51" s="93">
        <v>7</v>
      </c>
      <c r="BN51" s="93">
        <v>8</v>
      </c>
      <c r="BO51" s="93">
        <v>9</v>
      </c>
      <c r="BP51" s="94" t="str">
        <f t="shared" si="56"/>
        <v>紧凑型</v>
      </c>
      <c r="BQ51" s="15">
        <f t="shared" si="57"/>
        <v>0</v>
      </c>
      <c r="BR51" s="15">
        <f t="shared" si="58"/>
        <v>2</v>
      </c>
      <c r="BS51" s="20">
        <f t="shared" si="59"/>
        <v>2</v>
      </c>
      <c r="BT51" s="21" t="str">
        <f t="shared" ref="BT51:BT69" si="71">IF(COUNTIF($W49:$Y49,W51)&gt;0,W51,"")</f>
        <v/>
      </c>
      <c r="BU51" s="21" t="str">
        <f t="array" ref="BU51">_xlfn.TEXTJOIN("",TRUE,IF(ISERROR(FIND(ROW($1:$168)-1,BS51&amp;BT51)),ROW($1:$168)-1,""))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1" s="22" t="str">
        <f t="shared" si="60"/>
        <v>复中中</v>
      </c>
      <c r="BW51" s="23" t="str">
        <f t="shared" si="61"/>
        <v/>
      </c>
      <c r="BX51" s="23" t="str">
        <f t="shared" ref="BX51:BX69" si="72">IF(COUNTIF($W49:$Y49,X51)&gt;0,X51,"")</f>
        <v/>
      </c>
      <c r="BY51" s="23" t="str">
        <f t="array" ref="BY51">_xlfn.TEXTJOIN("",TRUE,IF(ISERROR(FIND(ROW($1:$168)-1,BW51&amp;BX51)),ROW($1:$168)-1,""))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1" s="22" t="str">
        <f t="shared" si="62"/>
        <v>中中中</v>
      </c>
      <c r="CA51" s="24">
        <f t="shared" si="63"/>
        <v>2</v>
      </c>
      <c r="CB51" s="24" t="str">
        <f t="shared" ref="CB51:CB69" si="73">IF(COUNTIF($W49:$Y49,Y51)&gt;0,Y51,"")</f>
        <v/>
      </c>
      <c r="CC51" s="24" t="str">
        <f t="array" ref="CC51">_xlfn.TEXTJOIN("",TRUE,IF(ISERROR(FIND(ROW($1:$168)-1,CA51&amp;CB51)),ROW($1:$168)-1,""))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1" s="22" t="str">
        <f t="shared" si="64"/>
        <v>复中中</v>
      </c>
      <c r="CE51" s="25" t="str">
        <f t="shared" si="65"/>
        <v>13</v>
      </c>
      <c r="CF51" s="95" t="str">
        <f t="array" ref="CF51">_xlfn.TEXTJOIN("",TRUE,IF(ISNUMBER(FIND(MID(CE50&amp;W50,ROW($1:$162),1),CE51&amp;W51)),MID(CE50&amp;W50,ROW($1:$162),1),""))</f>
        <v>3</v>
      </c>
      <c r="CG51" s="27" t="str">
        <f t="array" ref="CG51">_xlfn.TEXTJOIN("",TRUE,IF(ISERROR(FIND(ROW($1:$168)-1,CE51&amp;CF51)),ROW($1:$168)-1,""))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51" s="28" t="str">
        <f t="shared" si="66"/>
        <v>邻传孤</v>
      </c>
      <c r="CI51" s="29" t="str">
        <f t="shared" si="67"/>
        <v>91</v>
      </c>
      <c r="CJ51" s="29" t="str">
        <f t="array" ref="CJ51">_xlfn.TEXTJOIN("",TRUE,IF(ISNUMBER(FIND(MID(CI50&amp;X50,ROW($1:$162),1),CI51&amp;X51)),MID(CI50&amp;X50,ROW($1:$162),1),""))</f>
        <v/>
      </c>
      <c r="CK51" s="29" t="str">
        <f t="array" ref="CK51">_xlfn.TEXTJOIN("",TRUE,IF(ISERROR(FIND(ROW($1:$168)-1,CI51&amp;CJ51)),ROW($1:$168)-1,""))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51" s="19" t="str">
        <f t="shared" si="68"/>
        <v>邻孤孤</v>
      </c>
      <c r="CM51" s="24" t="str">
        <f t="shared" si="69"/>
        <v>13</v>
      </c>
      <c r="CN51" s="24" t="str">
        <f t="array" ref="CN51">_xlfn.TEXTJOIN("",TRUE,IF(ISNUMBER(FIND(MID(CM50&amp;Y50,ROW($1:$162),1),CM51&amp;Y51)),MID(CM50&amp;Y50,ROW($1:$162),1),""))</f>
        <v>132</v>
      </c>
      <c r="CO51" s="24" t="str">
        <f t="array" ref="CO51">_xlfn.TEXTJOIN("",TRUE,IF(ISERROR(FIND(ROW($1:$168)-1,CM51&amp;CN51)),ROW($1:$168)-1,""))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51" s="30" t="str">
        <f t="shared" si="70"/>
        <v>邻传孤</v>
      </c>
    </row>
    <row r="52" customFormat="1" spans="1:94">
      <c r="A52" s="15">
        <v>52</v>
      </c>
      <c r="B52" s="80">
        <v>2024021</v>
      </c>
      <c r="C52" s="8" t="s">
        <v>77</v>
      </c>
      <c r="D52" s="81">
        <f t="shared" si="50"/>
        <v>14</v>
      </c>
      <c r="E52" s="82">
        <f t="shared" si="51"/>
        <v>4</v>
      </c>
      <c r="F52" s="83">
        <f t="shared" si="9"/>
        <v>7</v>
      </c>
      <c r="G52" s="84" t="str">
        <f t="shared" si="10"/>
        <v>紧凑</v>
      </c>
      <c r="H52" s="85" t="s">
        <v>10</v>
      </c>
      <c r="I52" s="85" t="s">
        <v>11</v>
      </c>
      <c r="J52" s="85" t="s">
        <v>12</v>
      </c>
      <c r="K52" s="85" t="s">
        <v>13</v>
      </c>
      <c r="L52" s="86">
        <f>MAX(MID(C52,{1,2,3},1)*1)-MIN(MID(C52,{1,2,3},1)*1)</f>
        <v>2</v>
      </c>
      <c r="M52" s="87">
        <v>0</v>
      </c>
      <c r="N52" s="87">
        <v>1</v>
      </c>
      <c r="O52" s="87">
        <v>2</v>
      </c>
      <c r="P52" s="87">
        <v>3</v>
      </c>
      <c r="Q52" s="87">
        <v>4</v>
      </c>
      <c r="R52" s="87">
        <v>5</v>
      </c>
      <c r="S52" s="87">
        <v>6</v>
      </c>
      <c r="T52" s="87">
        <v>7</v>
      </c>
      <c r="U52" s="87">
        <v>8</v>
      </c>
      <c r="V52" s="87">
        <v>9</v>
      </c>
      <c r="W52" s="88">
        <f t="shared" si="52"/>
        <v>0</v>
      </c>
      <c r="X52" s="88">
        <f t="shared" si="53"/>
        <v>2</v>
      </c>
      <c r="Y52" s="88">
        <f t="shared" si="54"/>
        <v>2</v>
      </c>
      <c r="Z52" s="89">
        <f t="shared" si="55"/>
        <v>4</v>
      </c>
      <c r="AA52" s="17" t="str">
        <f>_xlfn.TEXTJOIN(", ",TRUE,ABS(MID(C52,{1,1,2},1)-MID(C52,{2,3,3},1)))</f>
        <v>0, 2, 2</v>
      </c>
      <c r="AB52" s="90">
        <v>0</v>
      </c>
      <c r="AC52" s="90">
        <v>1</v>
      </c>
      <c r="AD52" s="90">
        <v>2</v>
      </c>
      <c r="AE52" s="90">
        <v>3</v>
      </c>
      <c r="AF52" s="90">
        <v>4</v>
      </c>
      <c r="AG52" s="90">
        <v>5</v>
      </c>
      <c r="AH52" s="90">
        <v>6</v>
      </c>
      <c r="AI52" s="90">
        <v>7</v>
      </c>
      <c r="AJ52" s="90">
        <v>8</v>
      </c>
      <c r="AK52" s="90">
        <v>9</v>
      </c>
      <c r="AL52" s="91">
        <v>0</v>
      </c>
      <c r="AM52" s="91">
        <v>1</v>
      </c>
      <c r="AN52" s="91">
        <v>2</v>
      </c>
      <c r="AO52" s="91">
        <v>3</v>
      </c>
      <c r="AP52" s="91">
        <v>4</v>
      </c>
      <c r="AQ52" s="91">
        <v>5</v>
      </c>
      <c r="AR52" s="91">
        <v>6</v>
      </c>
      <c r="AS52" s="91">
        <v>7</v>
      </c>
      <c r="AT52" s="91">
        <v>8</v>
      </c>
      <c r="AU52" s="91">
        <v>9</v>
      </c>
      <c r="AV52" s="92">
        <v>0</v>
      </c>
      <c r="AW52" s="92">
        <v>1</v>
      </c>
      <c r="AX52" s="92">
        <v>2</v>
      </c>
      <c r="AY52" s="92">
        <v>3</v>
      </c>
      <c r="AZ52" s="92">
        <v>4</v>
      </c>
      <c r="BA52" s="92">
        <v>5</v>
      </c>
      <c r="BB52" s="92">
        <v>6</v>
      </c>
      <c r="BC52" s="92">
        <v>7</v>
      </c>
      <c r="BD52" s="92">
        <v>8</v>
      </c>
      <c r="BE52" s="92">
        <v>9</v>
      </c>
      <c r="BF52" s="93">
        <v>0</v>
      </c>
      <c r="BG52" s="93">
        <v>1</v>
      </c>
      <c r="BH52" s="93">
        <v>2</v>
      </c>
      <c r="BI52" s="93">
        <v>3</v>
      </c>
      <c r="BJ52" s="93">
        <v>4</v>
      </c>
      <c r="BK52" s="93">
        <v>5</v>
      </c>
      <c r="BL52" s="93">
        <v>6</v>
      </c>
      <c r="BM52" s="93">
        <v>7</v>
      </c>
      <c r="BN52" s="93">
        <v>8</v>
      </c>
      <c r="BO52" s="93">
        <v>9</v>
      </c>
      <c r="BP52" s="94" t="str">
        <f t="shared" si="56"/>
        <v>紧凑型</v>
      </c>
      <c r="BQ52" s="15">
        <f t="shared" si="57"/>
        <v>0</v>
      </c>
      <c r="BR52" s="15">
        <f t="shared" si="58"/>
        <v>2</v>
      </c>
      <c r="BS52" s="20">
        <f t="shared" si="59"/>
        <v>0</v>
      </c>
      <c r="BT52" s="21" t="str">
        <f t="shared" si="71"/>
        <v/>
      </c>
      <c r="BU52" s="21" t="str">
        <f t="array" ref="BU52">_xlfn.TEXTJOIN("",TRUE,IF(ISERROR(FIND(ROW($1:$168)-1,BS52&amp;BT52)),ROW($1:$168)-1,""))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2" s="22" t="str">
        <f t="shared" si="60"/>
        <v>复中中</v>
      </c>
      <c r="BW52" s="23"/>
      <c r="BX52" s="23">
        <f t="shared" si="72"/>
        <v>2</v>
      </c>
      <c r="BY52" s="23" t="str">
        <f t="array" ref="BY52">_xlfn.TEXTJOIN("",TRUE,IF(ISERROR(FIND(ROW($1:$168)-1,BW52&amp;BX52)),ROW($1:$168)-1,""))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2" s="22" t="str">
        <f t="shared" si="62"/>
        <v>中隔中</v>
      </c>
      <c r="CA52" s="24">
        <f t="shared" si="63"/>
        <v>2</v>
      </c>
      <c r="CB52" s="24">
        <f t="shared" si="73"/>
        <v>2</v>
      </c>
      <c r="CC52" s="24" t="str">
        <f t="array" ref="CC52">_xlfn.TEXTJOIN("",TRUE,IF(ISERROR(FIND(ROW($1:$168)-1,CA52&amp;CB52)),ROW($1:$168)-1,""))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2" s="22" t="str">
        <f t="shared" si="64"/>
        <v>复隔中</v>
      </c>
      <c r="CE52" s="25" t="str">
        <f t="shared" si="65"/>
        <v>91</v>
      </c>
      <c r="CF52" s="26" t="str">
        <f t="array" ref="CF52">_xlfn.TEXTJOIN("",TRUE,IF(ISNUMBER(FIND(MID(CE51&amp;W51,ROW($1:$162),1),CE52&amp;W52)),MID(CE51&amp;W51,ROW($1:$162),1),""))</f>
        <v>1</v>
      </c>
      <c r="CG52" s="27" t="str">
        <f t="array" ref="CG52">_xlfn.TEXTJOIN("",TRUE,IF(ISERROR(FIND(ROW($1:$168)-1,CE52&amp;CF52)),ROW($1:$168)-1,""))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52" s="28" t="str">
        <f t="shared" si="66"/>
        <v>邻传孤</v>
      </c>
      <c r="CI52" s="29" t="str">
        <f t="shared" si="67"/>
        <v>13</v>
      </c>
      <c r="CJ52" s="29" t="str">
        <f t="array" ref="CJ52">_xlfn.TEXTJOIN("",TRUE,IF(ISNUMBER(FIND(MID(CI51&amp;X51,ROW($1:$162),1),CI52&amp;X52)),MID(CI51&amp;X51,ROW($1:$162),1),""))</f>
        <v>1</v>
      </c>
      <c r="CK52" s="29" t="str">
        <f t="array" ref="CK52">_xlfn.TEXTJOIN("",TRUE,IF(ISERROR(FIND(ROW($1:$168)-1,CI52&amp;CJ52)),ROW($1:$168)-1,""))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L52" s="19" t="str">
        <f t="shared" si="68"/>
        <v>邻传孤</v>
      </c>
      <c r="CM52" s="24" t="str">
        <f t="shared" si="69"/>
        <v>13</v>
      </c>
      <c r="CN52" s="24" t="str">
        <f t="array" ref="CN52">_xlfn.TEXTJOIN("",TRUE,IF(ISNUMBER(FIND(MID(CM51&amp;Y51,ROW($1:$162),1),CM52&amp;Y52)),MID(CM51&amp;Y51,ROW($1:$162),1),""))</f>
        <v>132</v>
      </c>
      <c r="CO52" s="24" t="str">
        <f t="array" ref="CO52">_xlfn.TEXTJOIN("",TRUE,IF(ISERROR(FIND(ROW($1:$168)-1,CM52&amp;CN52)),ROW($1:$168)-1,""))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52" s="30" t="str">
        <f t="shared" si="70"/>
        <v>邻传孤</v>
      </c>
    </row>
    <row r="53" customFormat="1" spans="1:94">
      <c r="A53" s="15">
        <v>53</v>
      </c>
      <c r="B53" s="80">
        <v>2024022</v>
      </c>
      <c r="C53" s="8" t="s">
        <v>78</v>
      </c>
      <c r="D53" s="81">
        <f t="shared" si="50"/>
        <v>15</v>
      </c>
      <c r="E53" s="82">
        <f t="shared" si="51"/>
        <v>5</v>
      </c>
      <c r="F53" s="83">
        <f t="shared" si="9"/>
        <v>2.5</v>
      </c>
      <c r="G53" s="84" t="str">
        <f t="shared" si="10"/>
        <v>标准</v>
      </c>
      <c r="H53" s="85" t="s">
        <v>10</v>
      </c>
      <c r="I53" s="85" t="s">
        <v>11</v>
      </c>
      <c r="J53" s="85" t="s">
        <v>12</v>
      </c>
      <c r="K53" s="85" t="s">
        <v>13</v>
      </c>
      <c r="L53" s="86">
        <f>MAX(MID(C53,{1,2,3},1)*1)-MIN(MID(C53,{1,2,3},1)*1)</f>
        <v>6</v>
      </c>
      <c r="M53" s="87">
        <v>0</v>
      </c>
      <c r="N53" s="87">
        <v>1</v>
      </c>
      <c r="O53" s="87">
        <v>2</v>
      </c>
      <c r="P53" s="87">
        <v>3</v>
      </c>
      <c r="Q53" s="87">
        <v>4</v>
      </c>
      <c r="R53" s="87">
        <v>5</v>
      </c>
      <c r="S53" s="87">
        <v>6</v>
      </c>
      <c r="T53" s="87">
        <v>7</v>
      </c>
      <c r="U53" s="87">
        <v>8</v>
      </c>
      <c r="V53" s="87">
        <v>9</v>
      </c>
      <c r="W53" s="88">
        <f t="shared" si="52"/>
        <v>6</v>
      </c>
      <c r="X53" s="88">
        <f t="shared" si="53"/>
        <v>3</v>
      </c>
      <c r="Y53" s="88">
        <f t="shared" si="54"/>
        <v>3</v>
      </c>
      <c r="Z53" s="89">
        <f t="shared" si="55"/>
        <v>12</v>
      </c>
      <c r="AA53" s="17" t="str">
        <f>_xlfn.TEXTJOIN(", ",TRUE,ABS(MID(C53,{1,1,2},1)-MID(C53,{2,3,3},1)))</f>
        <v>6, 3, 3</v>
      </c>
      <c r="AB53" s="90">
        <v>0</v>
      </c>
      <c r="AC53" s="90">
        <v>1</v>
      </c>
      <c r="AD53" s="90">
        <v>2</v>
      </c>
      <c r="AE53" s="90">
        <v>3</v>
      </c>
      <c r="AF53" s="90">
        <v>4</v>
      </c>
      <c r="AG53" s="90">
        <v>5</v>
      </c>
      <c r="AH53" s="90">
        <v>6</v>
      </c>
      <c r="AI53" s="90">
        <v>7</v>
      </c>
      <c r="AJ53" s="90">
        <v>8</v>
      </c>
      <c r="AK53" s="90">
        <v>9</v>
      </c>
      <c r="AL53" s="91">
        <v>0</v>
      </c>
      <c r="AM53" s="91">
        <v>1</v>
      </c>
      <c r="AN53" s="91"/>
      <c r="AO53" s="91">
        <v>3</v>
      </c>
      <c r="AP53" s="91">
        <v>4</v>
      </c>
      <c r="AQ53" s="91">
        <v>5</v>
      </c>
      <c r="AR53" s="91">
        <v>6</v>
      </c>
      <c r="AS53" s="91">
        <v>7</v>
      </c>
      <c r="AT53" s="91">
        <v>8</v>
      </c>
      <c r="AU53" s="91">
        <v>9</v>
      </c>
      <c r="AV53" s="92">
        <v>0</v>
      </c>
      <c r="AW53" s="92">
        <v>1</v>
      </c>
      <c r="AX53" s="92">
        <v>2</v>
      </c>
      <c r="AY53" s="92">
        <v>3</v>
      </c>
      <c r="AZ53" s="92">
        <v>4</v>
      </c>
      <c r="BA53" s="92">
        <v>5</v>
      </c>
      <c r="BB53" s="92">
        <v>6</v>
      </c>
      <c r="BC53" s="92">
        <v>7</v>
      </c>
      <c r="BD53" s="92">
        <v>8</v>
      </c>
      <c r="BE53" s="92">
        <v>9</v>
      </c>
      <c r="BF53" s="93">
        <v>0</v>
      </c>
      <c r="BG53" s="93">
        <v>1</v>
      </c>
      <c r="BH53" s="93">
        <v>2</v>
      </c>
      <c r="BI53" s="93">
        <v>3</v>
      </c>
      <c r="BJ53" s="93">
        <v>4</v>
      </c>
      <c r="BK53" s="93">
        <v>5</v>
      </c>
      <c r="BL53" s="93">
        <v>6</v>
      </c>
      <c r="BM53" s="93">
        <v>7</v>
      </c>
      <c r="BN53" s="93">
        <v>8</v>
      </c>
      <c r="BO53" s="93">
        <v>9</v>
      </c>
      <c r="BP53" s="94" t="str">
        <f t="shared" si="56"/>
        <v>松散型</v>
      </c>
      <c r="BQ53" s="15">
        <f t="shared" si="57"/>
        <v>3</v>
      </c>
      <c r="BR53" s="15">
        <f t="shared" si="58"/>
        <v>6</v>
      </c>
      <c r="BS53" s="20" t="str">
        <f t="shared" si="59"/>
        <v/>
      </c>
      <c r="BT53" s="21" t="str">
        <f t="shared" si="71"/>
        <v/>
      </c>
      <c r="BU53" s="21" t="str">
        <f t="array" ref="BU53">_xlfn.TEXTJOIN("",TRUE,IF(ISERROR(FIND(ROW($1:$168)-1,BS53&amp;BT53)),ROW($1:$168)-1,""))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3" s="22" t="str">
        <f t="shared" si="60"/>
        <v>中中中</v>
      </c>
      <c r="BW53" s="23" t="str">
        <f t="shared" si="61"/>
        <v/>
      </c>
      <c r="BX53" s="23" t="str">
        <f t="shared" si="72"/>
        <v/>
      </c>
      <c r="BY53" s="23" t="str">
        <f t="array" ref="BY53">_xlfn.TEXTJOIN("",TRUE,IF(ISERROR(FIND(ROW($1:$168)-1,BW53&amp;BX53)),ROW($1:$168)-1,""))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3" s="22" t="str">
        <f t="shared" si="62"/>
        <v>中中中</v>
      </c>
      <c r="CA53" s="24" t="str">
        <f t="shared" si="63"/>
        <v/>
      </c>
      <c r="CB53" s="24" t="str">
        <f t="shared" si="73"/>
        <v/>
      </c>
      <c r="CC53" s="24" t="str">
        <f t="array" ref="CC53">_xlfn.TEXTJOIN("",TRUE,IF(ISERROR(FIND(ROW($1:$168)-1,CA53&amp;CB53)),ROW($1:$168)-1,""))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3" s="22" t="str">
        <f t="shared" si="64"/>
        <v>中中中</v>
      </c>
      <c r="CE53" s="25" t="str">
        <f t="shared" si="65"/>
        <v>57</v>
      </c>
      <c r="CF53" s="26" t="str">
        <f t="array" ref="CF53">_xlfn.TEXTJOIN("",TRUE,IF(ISNUMBER(FIND(MID(CE52&amp;W52,ROW($1:$162),1),CE53&amp;W53)),MID(CE52&amp;W52,ROW($1:$162),1),""))</f>
        <v/>
      </c>
      <c r="CG53" s="27" t="str">
        <f t="array" ref="CG53">_xlfn.TEXTJOIN("",TRUE,IF(ISERROR(FIND(ROW($1:$168)-1,CE53&amp;CF53)),ROW($1:$168)-1,""))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3" s="28" t="str">
        <f t="shared" si="66"/>
        <v>邻孤孤</v>
      </c>
      <c r="CI53" s="29" t="str">
        <f t="shared" si="67"/>
        <v>24</v>
      </c>
      <c r="CJ53" s="29" t="str">
        <f t="array" ref="CJ53">_xlfn.TEXTJOIN("",TRUE,IF(ISNUMBER(FIND(MID(CI52&amp;X52,ROW($1:$162),1),CI53&amp;X53)),MID(CI52&amp;X52,ROW($1:$162),1),""))</f>
        <v>32</v>
      </c>
      <c r="CK53" s="29" t="str">
        <f t="array" ref="CK53">_xlfn.TEXTJOIN("",TRUE,IF(ISERROR(FIND(ROW($1:$168)-1,CI53&amp;CJ53)),ROW($1:$168)-1,""))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3" s="19" t="str">
        <f t="shared" si="68"/>
        <v>邻传孤</v>
      </c>
      <c r="CM53" s="24" t="str">
        <f t="shared" si="69"/>
        <v>24</v>
      </c>
      <c r="CN53" s="24" t="str">
        <f t="array" ref="CN53">_xlfn.TEXTJOIN("",TRUE,IF(ISNUMBER(FIND(MID(CM52&amp;Y52,ROW($1:$162),1),CM53&amp;Y53)),MID(CM52&amp;Y52,ROW($1:$162),1),""))</f>
        <v>32</v>
      </c>
      <c r="CO53" s="24" t="str">
        <f t="array" ref="CO53">_xlfn.TEXTJOIN("",TRUE,IF(ISERROR(FIND(ROW($1:$168)-1,CM53&amp;CN53)),ROW($1:$168)-1,""))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3" s="30" t="str">
        <f t="shared" si="70"/>
        <v>邻传孤</v>
      </c>
    </row>
    <row r="54" customFormat="1" spans="1:94">
      <c r="A54" s="15">
        <v>54</v>
      </c>
      <c r="B54" s="80">
        <v>2024023</v>
      </c>
      <c r="C54" s="8" t="s">
        <v>79</v>
      </c>
      <c r="D54" s="81">
        <f t="shared" si="50"/>
        <v>13</v>
      </c>
      <c r="E54" s="82">
        <f t="shared" si="51"/>
        <v>3</v>
      </c>
      <c r="F54" s="83">
        <f t="shared" si="9"/>
        <v>2.6</v>
      </c>
      <c r="G54" s="84" t="str">
        <f t="shared" si="10"/>
        <v>标准</v>
      </c>
      <c r="H54" s="85" t="s">
        <v>10</v>
      </c>
      <c r="I54" s="85" t="s">
        <v>11</v>
      </c>
      <c r="J54" s="85" t="s">
        <v>12</v>
      </c>
      <c r="K54" s="85" t="s">
        <v>13</v>
      </c>
      <c r="L54" s="86">
        <f>MAX(MID(C54,{1,2,3},1)*1)-MIN(MID(C54,{1,2,3},1)*1)</f>
        <v>5</v>
      </c>
      <c r="M54" s="87">
        <v>0</v>
      </c>
      <c r="N54" s="87">
        <v>1</v>
      </c>
      <c r="O54" s="87">
        <v>2</v>
      </c>
      <c r="P54" s="87">
        <v>3</v>
      </c>
      <c r="Q54" s="87">
        <v>4</v>
      </c>
      <c r="R54" s="87">
        <v>5</v>
      </c>
      <c r="S54" s="87">
        <v>6</v>
      </c>
      <c r="T54" s="87">
        <v>7</v>
      </c>
      <c r="U54" s="87">
        <v>8</v>
      </c>
      <c r="V54" s="87">
        <v>9</v>
      </c>
      <c r="W54" s="88">
        <f t="shared" si="52"/>
        <v>2</v>
      </c>
      <c r="X54" s="88">
        <f t="shared" si="53"/>
        <v>5</v>
      </c>
      <c r="Y54" s="88">
        <f t="shared" si="54"/>
        <v>3</v>
      </c>
      <c r="Z54" s="89">
        <f t="shared" si="55"/>
        <v>10</v>
      </c>
      <c r="AA54" s="17" t="str">
        <f>_xlfn.TEXTJOIN(", ",TRUE,ABS(MID(C54,{1,1,2},1)-MID(C54,{2,3,3},1)))</f>
        <v>2, 5, 3</v>
      </c>
      <c r="AB54" s="90">
        <v>0</v>
      </c>
      <c r="AC54" s="90">
        <v>1</v>
      </c>
      <c r="AD54" s="90">
        <v>2</v>
      </c>
      <c r="AE54" s="90">
        <v>3</v>
      </c>
      <c r="AF54" s="90">
        <v>4</v>
      </c>
      <c r="AG54" s="90">
        <v>5</v>
      </c>
      <c r="AH54" s="90">
        <v>6</v>
      </c>
      <c r="AI54" s="90">
        <v>7</v>
      </c>
      <c r="AJ54" s="90">
        <v>8</v>
      </c>
      <c r="AK54" s="90">
        <v>9</v>
      </c>
      <c r="AL54" s="91">
        <v>0</v>
      </c>
      <c r="AM54" s="91">
        <v>1</v>
      </c>
      <c r="AN54" s="91">
        <v>2</v>
      </c>
      <c r="AO54" s="91">
        <v>3</v>
      </c>
      <c r="AP54" s="91">
        <v>4</v>
      </c>
      <c r="AQ54" s="91">
        <v>5</v>
      </c>
      <c r="AR54" s="91">
        <v>6</v>
      </c>
      <c r="AS54" s="91">
        <v>7</v>
      </c>
      <c r="AT54" s="91">
        <v>8</v>
      </c>
      <c r="AU54" s="91">
        <v>9</v>
      </c>
      <c r="AV54" s="92">
        <v>0</v>
      </c>
      <c r="AW54" s="92">
        <v>1</v>
      </c>
      <c r="AX54" s="92">
        <v>2</v>
      </c>
      <c r="AY54" s="92">
        <v>3</v>
      </c>
      <c r="AZ54" s="92">
        <v>4</v>
      </c>
      <c r="BA54" s="92">
        <v>5</v>
      </c>
      <c r="BB54" s="92">
        <v>6</v>
      </c>
      <c r="BC54" s="92">
        <v>7</v>
      </c>
      <c r="BD54" s="92">
        <v>8</v>
      </c>
      <c r="BE54" s="92">
        <v>9</v>
      </c>
      <c r="BF54" s="93">
        <v>0</v>
      </c>
      <c r="BG54" s="93">
        <v>1</v>
      </c>
      <c r="BH54" s="93">
        <v>2</v>
      </c>
      <c r="BI54" s="93">
        <v>3</v>
      </c>
      <c r="BJ54" s="93">
        <v>4</v>
      </c>
      <c r="BK54" s="93">
        <v>5</v>
      </c>
      <c r="BL54" s="93">
        <v>6</v>
      </c>
      <c r="BM54" s="93">
        <v>7</v>
      </c>
      <c r="BN54" s="93">
        <v>8</v>
      </c>
      <c r="BO54" s="93">
        <v>9</v>
      </c>
      <c r="BP54" s="94" t="str">
        <f t="shared" si="56"/>
        <v>标准型</v>
      </c>
      <c r="BQ54" s="15">
        <f t="shared" si="57"/>
        <v>2</v>
      </c>
      <c r="BR54" s="15">
        <f t="shared" si="58"/>
        <v>5</v>
      </c>
      <c r="BS54" s="20" t="str">
        <f t="shared" si="59"/>
        <v/>
      </c>
      <c r="BT54" s="21">
        <f t="shared" si="71"/>
        <v>2</v>
      </c>
      <c r="BU54" s="21" t="str">
        <f t="array" ref="BU54">_xlfn.TEXTJOIN("",TRUE,IF(ISERROR(FIND(ROW($1:$168)-1,BS54&amp;BT54)),ROW($1:$168)-1,""))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4" s="22" t="str">
        <f t="shared" si="60"/>
        <v>中隔中</v>
      </c>
      <c r="BW54" s="23" t="str">
        <f t="shared" si="61"/>
        <v/>
      </c>
      <c r="BX54" s="23" t="str">
        <f t="shared" si="72"/>
        <v/>
      </c>
      <c r="BY54" s="23" t="str">
        <f t="array" ref="BY54">_xlfn.TEXTJOIN("",TRUE,IF(ISERROR(FIND(ROW($1:$168)-1,BW54&amp;BX54)),ROW($1:$168)-1,""))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4" s="22" t="str">
        <f t="shared" si="62"/>
        <v>中中中</v>
      </c>
      <c r="CA54" s="24">
        <f t="shared" si="63"/>
        <v>3</v>
      </c>
      <c r="CB54" s="24" t="str">
        <f t="shared" si="73"/>
        <v/>
      </c>
      <c r="CC54" s="24" t="str">
        <f t="array" ref="CC54">_xlfn.TEXTJOIN("",TRUE,IF(ISERROR(FIND(ROW($1:$168)-1,CA54&amp;CB54)),ROW($1:$168)-1,""))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4" s="22" t="str">
        <f t="shared" si="64"/>
        <v>复中中</v>
      </c>
      <c r="CE54" s="25" t="str">
        <f t="shared" si="65"/>
        <v>13</v>
      </c>
      <c r="CF54" s="26" t="str">
        <f t="array" ref="CF54">_xlfn.TEXTJOIN("",TRUE,IF(ISNUMBER(FIND(MID(CE53&amp;W53,ROW($1:$162),1),CE54&amp;W54)),MID(CE53&amp;W53,ROW($1:$162),1),""))</f>
        <v/>
      </c>
      <c r="CG54" s="27" t="str">
        <f t="array" ref="CG54">_xlfn.TEXTJOIN("",TRUE,IF(ISERROR(FIND(ROW($1:$168)-1,CE54&amp;CF54)),ROW($1:$168)-1,""))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4" s="28" t="str">
        <f t="shared" si="66"/>
        <v>邻孤孤</v>
      </c>
      <c r="CI54" s="29" t="str">
        <f t="shared" si="67"/>
        <v>46</v>
      </c>
      <c r="CJ54" s="29" t="str">
        <f t="array" ref="CJ54">_xlfn.TEXTJOIN("",TRUE,IF(ISNUMBER(FIND(MID(CI53&amp;X53,ROW($1:$162),1),CI54&amp;X54)),MID(CI53&amp;X53,ROW($1:$162),1),""))</f>
        <v>4</v>
      </c>
      <c r="CK54" s="29" t="str">
        <f t="array" ref="CK54">_xlfn.TEXTJOIN("",TRUE,IF(ISERROR(FIND(ROW($1:$168)-1,CI54&amp;CJ54)),ROW($1:$168)-1,""))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4" s="19" t="str">
        <f t="shared" si="68"/>
        <v>邻传孤</v>
      </c>
      <c r="CM54" s="24" t="str">
        <f t="shared" si="69"/>
        <v>24</v>
      </c>
      <c r="CN54" s="24" t="str">
        <f t="array" ref="CN54">_xlfn.TEXTJOIN("",TRUE,IF(ISNUMBER(FIND(MID(CM53&amp;Y53,ROW($1:$162),1),CM54&amp;Y54)),MID(CM53&amp;Y53,ROW($1:$162),1),""))</f>
        <v>243</v>
      </c>
      <c r="CO54" s="24" t="str">
        <f t="array" ref="CO54">_xlfn.TEXTJOIN("",TRUE,IF(ISERROR(FIND(ROW($1:$168)-1,CM54&amp;CN54)),ROW($1:$168)-1,""))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4" s="30" t="str">
        <f t="shared" si="70"/>
        <v>邻传孤</v>
      </c>
    </row>
    <row r="55" customFormat="1" spans="1:94">
      <c r="A55" s="15">
        <v>55</v>
      </c>
      <c r="B55" s="80">
        <v>2024024</v>
      </c>
      <c r="C55" s="8" t="s">
        <v>80</v>
      </c>
      <c r="D55" s="81">
        <f t="shared" si="50"/>
        <v>14</v>
      </c>
      <c r="E55" s="82">
        <f t="shared" si="51"/>
        <v>4</v>
      </c>
      <c r="F55" s="83">
        <f t="shared" si="9"/>
        <v>3.5</v>
      </c>
      <c r="G55" s="84" t="str">
        <f t="shared" si="10"/>
        <v>标准</v>
      </c>
      <c r="H55" s="85" t="s">
        <v>10</v>
      </c>
      <c r="I55" s="85" t="s">
        <v>11</v>
      </c>
      <c r="J55" s="85" t="s">
        <v>12</v>
      </c>
      <c r="K55" s="85" t="s">
        <v>13</v>
      </c>
      <c r="L55" s="86">
        <f>MAX(MID(C55,{1,2,3},1)*1)-MIN(MID(C55,{1,2,3},1)*1)</f>
        <v>4</v>
      </c>
      <c r="M55" s="87">
        <v>0</v>
      </c>
      <c r="N55" s="87">
        <v>1</v>
      </c>
      <c r="O55" s="87">
        <v>2</v>
      </c>
      <c r="P55" s="87">
        <v>3</v>
      </c>
      <c r="Q55" s="87">
        <v>4</v>
      </c>
      <c r="R55" s="87">
        <v>5</v>
      </c>
      <c r="S55" s="87">
        <v>6</v>
      </c>
      <c r="T55" s="87">
        <v>7</v>
      </c>
      <c r="U55" s="87">
        <v>8</v>
      </c>
      <c r="V55" s="87">
        <v>9</v>
      </c>
      <c r="W55" s="88">
        <f t="shared" si="52"/>
        <v>3</v>
      </c>
      <c r="X55" s="88">
        <f t="shared" si="53"/>
        <v>1</v>
      </c>
      <c r="Y55" s="88">
        <f t="shared" si="54"/>
        <v>4</v>
      </c>
      <c r="Z55" s="89">
        <f t="shared" si="55"/>
        <v>8</v>
      </c>
      <c r="AA55" s="17" t="str">
        <f>_xlfn.TEXTJOIN(", ",TRUE,ABS(MID(C55,{1,1,2},1)-MID(C55,{2,3,3},1)))</f>
        <v>3, 1, 4</v>
      </c>
      <c r="AB55" s="90">
        <v>0</v>
      </c>
      <c r="AC55" s="90">
        <v>1</v>
      </c>
      <c r="AD55" s="90">
        <v>2</v>
      </c>
      <c r="AE55" s="90">
        <v>3</v>
      </c>
      <c r="AF55" s="90">
        <v>4</v>
      </c>
      <c r="AG55" s="90">
        <v>5</v>
      </c>
      <c r="AH55" s="90">
        <v>6</v>
      </c>
      <c r="AI55" s="90">
        <v>7</v>
      </c>
      <c r="AJ55" s="90">
        <v>8</v>
      </c>
      <c r="AK55" s="90">
        <v>9</v>
      </c>
      <c r="AL55" s="91">
        <v>0</v>
      </c>
      <c r="AM55" s="91">
        <v>1</v>
      </c>
      <c r="AN55" s="91">
        <v>2</v>
      </c>
      <c r="AO55" s="91">
        <v>3</v>
      </c>
      <c r="AP55" s="91">
        <v>4</v>
      </c>
      <c r="AQ55" s="91">
        <v>5</v>
      </c>
      <c r="AR55" s="91">
        <v>6</v>
      </c>
      <c r="AS55" s="91">
        <v>7</v>
      </c>
      <c r="AT55" s="91">
        <v>8</v>
      </c>
      <c r="AU55" s="91">
        <v>9</v>
      </c>
      <c r="AV55" s="92">
        <v>0</v>
      </c>
      <c r="AW55" s="92">
        <v>1</v>
      </c>
      <c r="AX55" s="92">
        <v>2</v>
      </c>
      <c r="AY55" s="92">
        <v>3</v>
      </c>
      <c r="AZ55" s="92">
        <v>4</v>
      </c>
      <c r="BA55" s="92">
        <v>5</v>
      </c>
      <c r="BB55" s="92">
        <v>6</v>
      </c>
      <c r="BC55" s="92">
        <v>7</v>
      </c>
      <c r="BD55" s="92">
        <v>8</v>
      </c>
      <c r="BE55" s="92">
        <v>9</v>
      </c>
      <c r="BF55" s="93">
        <v>0</v>
      </c>
      <c r="BG55" s="93">
        <v>1</v>
      </c>
      <c r="BH55" s="93">
        <v>2</v>
      </c>
      <c r="BI55" s="93">
        <v>3</v>
      </c>
      <c r="BJ55" s="93">
        <v>4</v>
      </c>
      <c r="BK55" s="93">
        <v>5</v>
      </c>
      <c r="BL55" s="93">
        <v>6</v>
      </c>
      <c r="BM55" s="93">
        <v>7</v>
      </c>
      <c r="BN55" s="93">
        <v>8</v>
      </c>
      <c r="BO55" s="93">
        <v>9</v>
      </c>
      <c r="BP55" s="94" t="str">
        <f t="shared" si="56"/>
        <v>紧凑型</v>
      </c>
      <c r="BQ55" s="15">
        <f t="shared" si="57"/>
        <v>1</v>
      </c>
      <c r="BR55" s="15">
        <f t="shared" si="58"/>
        <v>4</v>
      </c>
      <c r="BS55" s="20">
        <f t="shared" si="59"/>
        <v>3</v>
      </c>
      <c r="BT55" s="21">
        <f t="shared" si="71"/>
        <v>3</v>
      </c>
      <c r="BU55" s="21" t="str">
        <f t="array" ref="BU55">_xlfn.TEXTJOIN("",TRUE,IF(ISERROR(FIND(ROW($1:$168)-1,BS55&amp;BT55)),ROW($1:$168)-1,""))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5" s="22" t="str">
        <f t="shared" si="60"/>
        <v>复隔中</v>
      </c>
      <c r="BW55" s="23" t="str">
        <f t="shared" si="61"/>
        <v/>
      </c>
      <c r="BX55" s="23" t="str">
        <f t="shared" si="72"/>
        <v/>
      </c>
      <c r="BY55" s="23" t="str">
        <f t="array" ref="BY55">_xlfn.TEXTJOIN("",TRUE,IF(ISERROR(FIND(ROW($1:$168)-1,BW55&amp;BX55)),ROW($1:$168)-1,""))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5" s="22" t="str">
        <f t="shared" si="62"/>
        <v>中中中</v>
      </c>
      <c r="CA55" s="24" t="str">
        <f t="shared" si="63"/>
        <v/>
      </c>
      <c r="CB55" s="24" t="str">
        <f t="shared" si="73"/>
        <v/>
      </c>
      <c r="CC55" s="24" t="str">
        <f t="array" ref="CC55">_xlfn.TEXTJOIN("",TRUE,IF(ISERROR(FIND(ROW($1:$168)-1,CA55&amp;CB55)),ROW($1:$168)-1,""))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5" s="22" t="str">
        <f t="shared" si="64"/>
        <v>中中中</v>
      </c>
      <c r="CE55" s="25" t="str">
        <f t="shared" si="65"/>
        <v>24</v>
      </c>
      <c r="CF55" s="26" t="str">
        <f t="array" ref="CF55">_xlfn.TEXTJOIN("",TRUE,IF(ISNUMBER(FIND(MID(CE54&amp;W54,ROW($1:$162),1),CE55&amp;W55)),MID(CE54&amp;W54,ROW($1:$162),1),""))</f>
        <v>32</v>
      </c>
      <c r="CG55" s="27" t="str">
        <f t="array" ref="CG55">_xlfn.TEXTJOIN("",TRUE,IF(ISERROR(FIND(ROW($1:$168)-1,CE55&amp;CF55)),ROW($1:$168)-1,""))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5" s="28" t="str">
        <f t="shared" si="66"/>
        <v>邻传孤</v>
      </c>
      <c r="CI55" s="29" t="str">
        <f t="shared" si="67"/>
        <v>02</v>
      </c>
      <c r="CJ55" s="29" t="str">
        <f t="array" ref="CJ55">_xlfn.TEXTJOIN("",TRUE,IF(ISNUMBER(FIND(MID(CI54&amp;X54,ROW($1:$162),1),CI55&amp;X55)),MID(CI54&amp;X54,ROW($1:$162),1),""))</f>
        <v/>
      </c>
      <c r="CK55" s="29" t="str">
        <f t="array" ref="CK55">_xlfn.TEXTJOIN("",TRUE,IF(ISERROR(FIND(ROW($1:$168)-1,CI55&amp;CJ55)),ROW($1:$168)-1,""))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5" s="19" t="str">
        <f t="shared" si="68"/>
        <v>邻孤孤</v>
      </c>
      <c r="CM55" s="24" t="str">
        <f t="shared" si="69"/>
        <v>35</v>
      </c>
      <c r="CN55" s="24" t="str">
        <f t="array" ref="CN55">_xlfn.TEXTJOIN("",TRUE,IF(ISNUMBER(FIND(MID(CM54&amp;Y54,ROW($1:$162),1),CM55&amp;Y55)),MID(CM54&amp;Y54,ROW($1:$162),1),""))</f>
        <v>43</v>
      </c>
      <c r="CO55" s="24" t="str">
        <f t="array" ref="CO55">_xlfn.TEXTJOIN("",TRUE,IF(ISERROR(FIND(ROW($1:$168)-1,CM55&amp;CN55)),ROW($1:$168)-1,""))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5" s="30" t="str">
        <f t="shared" si="70"/>
        <v>邻传孤</v>
      </c>
    </row>
    <row r="56" customFormat="1" spans="1:94">
      <c r="A56" s="15">
        <v>56</v>
      </c>
      <c r="B56" s="80">
        <v>2024025</v>
      </c>
      <c r="C56" s="8" t="s">
        <v>81</v>
      </c>
      <c r="D56" s="81">
        <f t="shared" si="50"/>
        <v>20</v>
      </c>
      <c r="E56" s="82">
        <f t="shared" si="51"/>
        <v>0</v>
      </c>
      <c r="F56" s="83">
        <f t="shared" si="9"/>
        <v>4</v>
      </c>
      <c r="G56" s="84" t="str">
        <f t="shared" si="10"/>
        <v>紧凑</v>
      </c>
      <c r="H56" s="85" t="s">
        <v>10</v>
      </c>
      <c r="I56" s="85" t="s">
        <v>11</v>
      </c>
      <c r="J56" s="85" t="s">
        <v>12</v>
      </c>
      <c r="K56" s="85" t="s">
        <v>13</v>
      </c>
      <c r="L56" s="86">
        <f>MAX(MID(C56,{1,2,3},1)*1)-MIN(MID(C56,{1,2,3},1)*1)</f>
        <v>5</v>
      </c>
      <c r="M56" s="87">
        <v>0</v>
      </c>
      <c r="N56" s="87">
        <v>1</v>
      </c>
      <c r="O56" s="87">
        <v>2</v>
      </c>
      <c r="P56" s="87">
        <v>3</v>
      </c>
      <c r="Q56" s="87">
        <v>4</v>
      </c>
      <c r="R56" s="87">
        <v>5</v>
      </c>
      <c r="S56" s="87">
        <v>6</v>
      </c>
      <c r="T56" s="87">
        <v>7</v>
      </c>
      <c r="U56" s="87">
        <v>8</v>
      </c>
      <c r="V56" s="87">
        <v>9</v>
      </c>
      <c r="W56" s="88">
        <f t="shared" si="52"/>
        <v>3</v>
      </c>
      <c r="X56" s="88">
        <f t="shared" si="53"/>
        <v>2</v>
      </c>
      <c r="Y56" s="88">
        <f t="shared" si="54"/>
        <v>5</v>
      </c>
      <c r="Z56" s="89">
        <f t="shared" si="55"/>
        <v>10</v>
      </c>
      <c r="AA56" s="17" t="str">
        <f>_xlfn.TEXTJOIN(", ",TRUE,ABS(MID(C56,{1,1,2},1)-MID(C56,{2,3,3},1)))</f>
        <v>3, 2, 5</v>
      </c>
      <c r="AB56" s="90">
        <v>0</v>
      </c>
      <c r="AC56" s="90">
        <v>1</v>
      </c>
      <c r="AD56" s="90">
        <v>2</v>
      </c>
      <c r="AE56" s="90">
        <v>3</v>
      </c>
      <c r="AF56" s="90">
        <v>4</v>
      </c>
      <c r="AG56" s="90">
        <v>5</v>
      </c>
      <c r="AH56" s="90">
        <v>6</v>
      </c>
      <c r="AI56" s="90">
        <v>7</v>
      </c>
      <c r="AJ56" s="90">
        <v>8</v>
      </c>
      <c r="AK56" s="90">
        <v>9</v>
      </c>
      <c r="AL56" s="91">
        <v>0</v>
      </c>
      <c r="AM56" s="91">
        <v>1</v>
      </c>
      <c r="AN56" s="91">
        <v>2</v>
      </c>
      <c r="AO56" s="91">
        <v>3</v>
      </c>
      <c r="AP56" s="91">
        <v>4</v>
      </c>
      <c r="AQ56" s="91">
        <v>5</v>
      </c>
      <c r="AR56" s="91">
        <v>6</v>
      </c>
      <c r="AS56" s="91">
        <v>7</v>
      </c>
      <c r="AT56" s="91">
        <v>8</v>
      </c>
      <c r="AU56" s="91">
        <v>9</v>
      </c>
      <c r="AV56" s="92">
        <v>0</v>
      </c>
      <c r="AW56" s="92">
        <v>1</v>
      </c>
      <c r="AX56" s="92">
        <v>2</v>
      </c>
      <c r="AY56" s="92">
        <v>3</v>
      </c>
      <c r="AZ56" s="92">
        <v>4</v>
      </c>
      <c r="BA56" s="92">
        <v>5</v>
      </c>
      <c r="BB56" s="92">
        <v>6</v>
      </c>
      <c r="BC56" s="92">
        <v>7</v>
      </c>
      <c r="BD56" s="92">
        <v>8</v>
      </c>
      <c r="BE56" s="92">
        <v>9</v>
      </c>
      <c r="BF56" s="93">
        <v>0</v>
      </c>
      <c r="BG56" s="93">
        <v>1</v>
      </c>
      <c r="BH56" s="93">
        <v>2</v>
      </c>
      <c r="BI56" s="93">
        <v>3</v>
      </c>
      <c r="BJ56" s="93">
        <v>4</v>
      </c>
      <c r="BK56" s="93">
        <v>5</v>
      </c>
      <c r="BL56" s="93">
        <v>6</v>
      </c>
      <c r="BM56" s="93">
        <v>7</v>
      </c>
      <c r="BN56" s="93">
        <v>8</v>
      </c>
      <c r="BO56" s="93">
        <v>9</v>
      </c>
      <c r="BP56" s="94" t="str">
        <f t="shared" si="56"/>
        <v>标准型</v>
      </c>
      <c r="BQ56" s="15">
        <f t="shared" si="57"/>
        <v>2</v>
      </c>
      <c r="BR56" s="15">
        <f t="shared" si="58"/>
        <v>5</v>
      </c>
      <c r="BS56" s="20">
        <f t="shared" si="59"/>
        <v>3</v>
      </c>
      <c r="BT56" s="21">
        <f t="shared" si="71"/>
        <v>3</v>
      </c>
      <c r="BU56" s="21" t="str">
        <f t="array" ref="BU56">_xlfn.TEXTJOIN("",TRUE,IF(ISERROR(FIND(ROW($1:$168)-1,BS56&amp;BT56)),ROW($1:$168)-1,""))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6" s="22" t="str">
        <f t="shared" si="60"/>
        <v>复隔中</v>
      </c>
      <c r="BW56" s="23" t="str">
        <f t="shared" si="61"/>
        <v/>
      </c>
      <c r="BX56" s="23">
        <f t="shared" si="72"/>
        <v>2</v>
      </c>
      <c r="BY56" s="23" t="str">
        <f t="array" ref="BY56">_xlfn.TEXTJOIN("",TRUE,IF(ISERROR(FIND(ROW($1:$168)-1,BW56&amp;BX56)),ROW($1:$168)-1,""))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6" s="22" t="str">
        <f t="shared" si="62"/>
        <v>中隔中</v>
      </c>
      <c r="CA56" s="24" t="str">
        <f t="shared" si="63"/>
        <v/>
      </c>
      <c r="CB56" s="24">
        <f t="shared" si="73"/>
        <v>5</v>
      </c>
      <c r="CC56" s="24" t="str">
        <f t="array" ref="CC56">_xlfn.TEXTJOIN("",TRUE,IF(ISERROR(FIND(ROW($1:$168)-1,CA56&amp;CB56)),ROW($1:$168)-1,""))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6" s="22" t="str">
        <f t="shared" si="64"/>
        <v>中隔中</v>
      </c>
      <c r="CE56" s="25" t="str">
        <f t="shared" si="65"/>
        <v>24</v>
      </c>
      <c r="CF56" s="26" t="str">
        <f t="array" ref="CF56">_xlfn.TEXTJOIN("",TRUE,IF(ISNUMBER(FIND(MID(CE55&amp;W55,ROW($1:$162),1),CE56&amp;W56)),MID(CE55&amp;W55,ROW($1:$162),1),""))</f>
        <v>243</v>
      </c>
      <c r="CG56" s="27" t="str">
        <f t="array" ref="CG56">_xlfn.TEXTJOIN("",TRUE,IF(ISERROR(FIND(ROW($1:$168)-1,CE56&amp;CF56)),ROW($1:$168)-1,""))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6" s="28" t="str">
        <f t="shared" si="66"/>
        <v>邻传孤</v>
      </c>
      <c r="CI56" s="29" t="str">
        <f t="shared" si="67"/>
        <v>13</v>
      </c>
      <c r="CJ56" s="29" t="str">
        <f t="array" ref="CJ56">_xlfn.TEXTJOIN("",TRUE,IF(ISNUMBER(FIND(MID(CI55&amp;X55,ROW($1:$162),1),CI56&amp;X56)),MID(CI55&amp;X55,ROW($1:$162),1),""))</f>
        <v>21</v>
      </c>
      <c r="CK56" s="29" t="str">
        <f t="array" ref="CK56">_xlfn.TEXTJOIN("",TRUE,IF(ISERROR(FIND(ROW($1:$168)-1,CI56&amp;CJ56)),ROW($1:$168)-1,""))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56" s="19" t="str">
        <f t="shared" si="68"/>
        <v>邻传孤</v>
      </c>
      <c r="CM56" s="24" t="str">
        <f t="shared" si="69"/>
        <v>46</v>
      </c>
      <c r="CN56" s="24" t="str">
        <f t="array" ref="CN56">_xlfn.TEXTJOIN("",TRUE,IF(ISNUMBER(FIND(MID(CM55&amp;Y55,ROW($1:$162),1),CM56&amp;Y56)),MID(CM55&amp;Y55,ROW($1:$162),1),""))</f>
        <v>54</v>
      </c>
      <c r="CO56" s="24" t="str">
        <f t="array" ref="CO56">_xlfn.TEXTJOIN("",TRUE,IF(ISERROR(FIND(ROW($1:$168)-1,CM56&amp;CN56)),ROW($1:$168)-1,""))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6" s="30" t="str">
        <f t="shared" si="70"/>
        <v>邻传孤</v>
      </c>
    </row>
    <row r="57" customFormat="1" spans="1:94">
      <c r="A57" s="15">
        <v>57</v>
      </c>
      <c r="B57" s="80">
        <v>2024026</v>
      </c>
      <c r="C57" s="8" t="s">
        <v>82</v>
      </c>
      <c r="D57" s="81">
        <f t="shared" si="50"/>
        <v>14</v>
      </c>
      <c r="E57" s="82">
        <f t="shared" si="51"/>
        <v>4</v>
      </c>
      <c r="F57" s="83">
        <f t="shared" si="9"/>
        <v>1.75</v>
      </c>
      <c r="G57" s="84" t="str">
        <f t="shared" si="10"/>
        <v>松散</v>
      </c>
      <c r="H57" s="85" t="s">
        <v>10</v>
      </c>
      <c r="I57" s="85" t="s">
        <v>11</v>
      </c>
      <c r="J57" s="85" t="s">
        <v>12</v>
      </c>
      <c r="K57" s="85" t="s">
        <v>13</v>
      </c>
      <c r="L57" s="86">
        <f>MAX(MID(C57,{1,2,3},1)*1)-MIN(MID(C57,{1,2,3},1)*1)</f>
        <v>8</v>
      </c>
      <c r="M57" s="87">
        <v>0</v>
      </c>
      <c r="N57" s="87">
        <v>1</v>
      </c>
      <c r="O57" s="87">
        <v>2</v>
      </c>
      <c r="P57" s="87">
        <v>3</v>
      </c>
      <c r="Q57" s="87">
        <v>4</v>
      </c>
      <c r="R57" s="87">
        <v>5</v>
      </c>
      <c r="S57" s="87">
        <v>6</v>
      </c>
      <c r="T57" s="87">
        <v>7</v>
      </c>
      <c r="U57" s="87">
        <v>8</v>
      </c>
      <c r="V57" s="87">
        <v>9</v>
      </c>
      <c r="W57" s="88">
        <f t="shared" si="52"/>
        <v>3</v>
      </c>
      <c r="X57" s="88">
        <f t="shared" si="53"/>
        <v>8</v>
      </c>
      <c r="Y57" s="88">
        <f t="shared" si="54"/>
        <v>5</v>
      </c>
      <c r="Z57" s="89">
        <f t="shared" si="55"/>
        <v>16</v>
      </c>
      <c r="AA57" s="17" t="str">
        <f>_xlfn.TEXTJOIN(", ",TRUE,ABS(MID(C57,{1,1,2},1)-MID(C57,{2,3,3},1)))</f>
        <v>3, 8, 5</v>
      </c>
      <c r="AB57" s="90">
        <v>0</v>
      </c>
      <c r="AC57" s="90">
        <v>1</v>
      </c>
      <c r="AD57" s="90">
        <v>2</v>
      </c>
      <c r="AE57" s="90">
        <v>3</v>
      </c>
      <c r="AF57" s="90">
        <v>4</v>
      </c>
      <c r="AG57" s="90">
        <v>5</v>
      </c>
      <c r="AH57" s="90">
        <v>6</v>
      </c>
      <c r="AI57" s="90">
        <v>7</v>
      </c>
      <c r="AJ57" s="90">
        <v>8</v>
      </c>
      <c r="AK57" s="90">
        <v>9</v>
      </c>
      <c r="AL57" s="91">
        <v>0</v>
      </c>
      <c r="AM57" s="91">
        <v>1</v>
      </c>
      <c r="AN57" s="91">
        <v>2</v>
      </c>
      <c r="AO57" s="91">
        <v>3</v>
      </c>
      <c r="AP57" s="91">
        <v>4</v>
      </c>
      <c r="AQ57" s="91">
        <v>5</v>
      </c>
      <c r="AR57" s="91">
        <v>6</v>
      </c>
      <c r="AS57" s="91">
        <v>7</v>
      </c>
      <c r="AT57" s="91">
        <v>8</v>
      </c>
      <c r="AU57" s="91">
        <v>9</v>
      </c>
      <c r="AV57" s="92">
        <v>0</v>
      </c>
      <c r="AW57" s="92">
        <v>1</v>
      </c>
      <c r="AX57" s="92">
        <v>2</v>
      </c>
      <c r="AY57" s="92">
        <v>3</v>
      </c>
      <c r="AZ57" s="92">
        <v>4</v>
      </c>
      <c r="BA57" s="92">
        <v>5</v>
      </c>
      <c r="BB57" s="92">
        <v>6</v>
      </c>
      <c r="BC57" s="92">
        <v>7</v>
      </c>
      <c r="BD57" s="92">
        <v>8</v>
      </c>
      <c r="BE57" s="92">
        <v>9</v>
      </c>
      <c r="BF57" s="93">
        <v>0</v>
      </c>
      <c r="BG57" s="93">
        <v>1</v>
      </c>
      <c r="BH57" s="93">
        <v>2</v>
      </c>
      <c r="BI57" s="93">
        <v>3</v>
      </c>
      <c r="BJ57" s="93">
        <v>4</v>
      </c>
      <c r="BK57" s="93">
        <v>5</v>
      </c>
      <c r="BL57" s="93">
        <v>6</v>
      </c>
      <c r="BM57" s="93">
        <v>7</v>
      </c>
      <c r="BN57" s="93">
        <v>8</v>
      </c>
      <c r="BO57" s="93">
        <v>9</v>
      </c>
      <c r="BP57" s="94" t="str">
        <f t="shared" si="56"/>
        <v>松散型</v>
      </c>
      <c r="BQ57" s="15">
        <f t="shared" si="57"/>
        <v>3</v>
      </c>
      <c r="BR57" s="15">
        <f t="shared" si="58"/>
        <v>8</v>
      </c>
      <c r="BS57" s="20">
        <f t="shared" si="59"/>
        <v>3</v>
      </c>
      <c r="BT57" s="21">
        <f t="shared" si="71"/>
        <v>3</v>
      </c>
      <c r="BU57" s="21" t="str">
        <f t="array" ref="BU57">_xlfn.TEXTJOIN("",TRUE,IF(ISERROR(FIND(ROW($1:$168)-1,BS57&amp;BT57)),ROW($1:$168)-1,""))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7" s="22" t="str">
        <f t="shared" si="60"/>
        <v>复隔中</v>
      </c>
      <c r="BW57" s="23" t="str">
        <f t="shared" si="61"/>
        <v/>
      </c>
      <c r="BX57" s="23" t="str">
        <f t="shared" si="72"/>
        <v/>
      </c>
      <c r="BY57" s="23" t="str">
        <f t="array" ref="BY57">_xlfn.TEXTJOIN("",TRUE,IF(ISERROR(FIND(ROW($1:$168)-1,BW57&amp;BX57)),ROW($1:$168)-1,""))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7" s="22" t="str">
        <f t="shared" si="62"/>
        <v>中中中</v>
      </c>
      <c r="CA57" s="24">
        <f t="shared" si="63"/>
        <v>5</v>
      </c>
      <c r="CB57" s="24" t="str">
        <f t="shared" si="73"/>
        <v/>
      </c>
      <c r="CC57" s="24" t="str">
        <f t="array" ref="CC57">_xlfn.TEXTJOIN("",TRUE,IF(ISERROR(FIND(ROW($1:$168)-1,CA57&amp;CB57)),ROW($1:$168)-1,""))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7" s="22" t="str">
        <f t="shared" si="64"/>
        <v>复中中</v>
      </c>
      <c r="CE57" s="25" t="str">
        <f t="shared" si="65"/>
        <v>24</v>
      </c>
      <c r="CF57" s="26" t="str">
        <f t="array" ref="CF57">_xlfn.TEXTJOIN("",TRUE,IF(ISNUMBER(FIND(MID(CE56&amp;W56,ROW($1:$162),1),CE57&amp;W57)),MID(CE56&amp;W56,ROW($1:$162),1),""))</f>
        <v>243</v>
      </c>
      <c r="CG57" s="27" t="str">
        <f t="array" ref="CG57">_xlfn.TEXTJOIN("",TRUE,IF(ISERROR(FIND(ROW($1:$168)-1,CE57&amp;CF57)),ROW($1:$168)-1,""))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7" s="28" t="str">
        <f t="shared" si="66"/>
        <v>邻传孤</v>
      </c>
      <c r="CI57" s="29" t="str">
        <f t="shared" si="67"/>
        <v>79</v>
      </c>
      <c r="CJ57" s="29" t="str">
        <f t="array" ref="CJ57">_xlfn.TEXTJOIN("",TRUE,IF(ISNUMBER(FIND(MID(CI56&amp;X56,ROW($1:$162),1),CI57&amp;X57)),MID(CI56&amp;X56,ROW($1:$162),1),""))</f>
        <v/>
      </c>
      <c r="CK57" s="29" t="str">
        <f t="array" ref="CK57">_xlfn.TEXTJOIN("",TRUE,IF(ISERROR(FIND(ROW($1:$168)-1,CI57&amp;CJ57)),ROW($1:$168)-1,""))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57" s="19" t="str">
        <f t="shared" si="68"/>
        <v>邻孤孤</v>
      </c>
      <c r="CM57" s="24" t="str">
        <f t="shared" si="69"/>
        <v>46</v>
      </c>
      <c r="CN57" s="24" t="str">
        <f t="array" ref="CN57">_xlfn.TEXTJOIN("",TRUE,IF(ISNUMBER(FIND(MID(CM56&amp;Y56,ROW($1:$162),1),CM57&amp;Y57)),MID(CM56&amp;Y56,ROW($1:$162),1),""))</f>
        <v>465</v>
      </c>
      <c r="CO57" s="24" t="str">
        <f t="array" ref="CO57">_xlfn.TEXTJOIN("",TRUE,IF(ISERROR(FIND(ROW($1:$168)-1,CM57&amp;CN57)),ROW($1:$168)-1,""))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7" s="30" t="str">
        <f t="shared" si="70"/>
        <v>邻传孤</v>
      </c>
    </row>
    <row r="58" customFormat="1" spans="1:94">
      <c r="A58" s="15">
        <v>58</v>
      </c>
      <c r="B58" s="80">
        <v>2024027</v>
      </c>
      <c r="C58" s="8" t="s">
        <v>83</v>
      </c>
      <c r="D58" s="81">
        <f t="shared" si="50"/>
        <v>21</v>
      </c>
      <c r="E58" s="82">
        <f t="shared" si="51"/>
        <v>1</v>
      </c>
      <c r="F58" s="83">
        <f t="shared" si="9"/>
        <v>4.2</v>
      </c>
      <c r="G58" s="84" t="str">
        <f t="shared" si="10"/>
        <v>紧凑</v>
      </c>
      <c r="H58" s="85" t="s">
        <v>10</v>
      </c>
      <c r="I58" s="85" t="s">
        <v>11</v>
      </c>
      <c r="J58" s="85" t="s">
        <v>12</v>
      </c>
      <c r="K58" s="85" t="s">
        <v>13</v>
      </c>
      <c r="L58" s="86">
        <f>MAX(MID(C58,{1,2,3},1)*1)-MIN(MID(C58,{1,2,3},1)*1)</f>
        <v>5</v>
      </c>
      <c r="M58" s="87">
        <v>0</v>
      </c>
      <c r="N58" s="87">
        <v>1</v>
      </c>
      <c r="O58" s="87">
        <v>2</v>
      </c>
      <c r="P58" s="87">
        <v>3</v>
      </c>
      <c r="Q58" s="87">
        <v>4</v>
      </c>
      <c r="R58" s="87">
        <v>5</v>
      </c>
      <c r="S58" s="87">
        <v>6</v>
      </c>
      <c r="T58" s="87">
        <v>7</v>
      </c>
      <c r="U58" s="87">
        <v>8</v>
      </c>
      <c r="V58" s="87">
        <v>9</v>
      </c>
      <c r="W58" s="88">
        <f t="shared" si="52"/>
        <v>4</v>
      </c>
      <c r="X58" s="88">
        <f t="shared" si="53"/>
        <v>1</v>
      </c>
      <c r="Y58" s="88">
        <f t="shared" si="54"/>
        <v>5</v>
      </c>
      <c r="Z58" s="89">
        <f t="shared" si="55"/>
        <v>10</v>
      </c>
      <c r="AA58" s="17" t="str">
        <f>_xlfn.TEXTJOIN(", ",TRUE,ABS(MID(C58,{1,1,2},1)-MID(C58,{2,3,3},1)))</f>
        <v>4, 1, 5</v>
      </c>
      <c r="AB58" s="90">
        <v>0</v>
      </c>
      <c r="AC58" s="90">
        <v>1</v>
      </c>
      <c r="AD58" s="90">
        <v>2</v>
      </c>
      <c r="AE58" s="90">
        <v>3</v>
      </c>
      <c r="AF58" s="90">
        <v>4</v>
      </c>
      <c r="AG58" s="90">
        <v>5</v>
      </c>
      <c r="AH58" s="90">
        <v>6</v>
      </c>
      <c r="AI58" s="90">
        <v>7</v>
      </c>
      <c r="AJ58" s="90">
        <v>8</v>
      </c>
      <c r="AK58" s="90">
        <v>9</v>
      </c>
      <c r="AL58" s="91">
        <v>0</v>
      </c>
      <c r="AM58" s="91">
        <v>1</v>
      </c>
      <c r="AN58" s="91">
        <v>2</v>
      </c>
      <c r="AO58" s="91">
        <v>3</v>
      </c>
      <c r="AP58" s="91">
        <v>4</v>
      </c>
      <c r="AQ58" s="91">
        <v>5</v>
      </c>
      <c r="AR58" s="91">
        <v>6</v>
      </c>
      <c r="AS58" s="91">
        <v>7</v>
      </c>
      <c r="AT58" s="91">
        <v>8</v>
      </c>
      <c r="AU58" s="91">
        <v>9</v>
      </c>
      <c r="AV58" s="92">
        <v>0</v>
      </c>
      <c r="AW58" s="92">
        <v>1</v>
      </c>
      <c r="AX58" s="92">
        <v>2</v>
      </c>
      <c r="AY58" s="92">
        <v>3</v>
      </c>
      <c r="AZ58" s="92">
        <v>4</v>
      </c>
      <c r="BA58" s="92">
        <v>5</v>
      </c>
      <c r="BB58" s="92">
        <v>6</v>
      </c>
      <c r="BC58" s="92">
        <v>7</v>
      </c>
      <c r="BD58" s="92">
        <v>8</v>
      </c>
      <c r="BE58" s="92">
        <v>9</v>
      </c>
      <c r="BF58" s="93">
        <v>0</v>
      </c>
      <c r="BG58" s="93">
        <v>1</v>
      </c>
      <c r="BH58" s="93">
        <v>2</v>
      </c>
      <c r="BI58" s="93">
        <v>3</v>
      </c>
      <c r="BJ58" s="93">
        <v>4</v>
      </c>
      <c r="BK58" s="93">
        <v>5</v>
      </c>
      <c r="BL58" s="93">
        <v>6</v>
      </c>
      <c r="BM58" s="93">
        <v>7</v>
      </c>
      <c r="BN58" s="93">
        <v>8</v>
      </c>
      <c r="BO58" s="93">
        <v>9</v>
      </c>
      <c r="BP58" s="94" t="str">
        <f t="shared" si="56"/>
        <v>标准型</v>
      </c>
      <c r="BQ58" s="15">
        <f t="shared" si="57"/>
        <v>1</v>
      </c>
      <c r="BR58" s="15">
        <f t="shared" si="58"/>
        <v>5</v>
      </c>
      <c r="BS58" s="20" t="str">
        <f t="shared" si="59"/>
        <v/>
      </c>
      <c r="BT58" s="21" t="str">
        <f t="shared" si="71"/>
        <v/>
      </c>
      <c r="BU58" s="21" t="str">
        <f t="array" ref="BU58">_xlfn.TEXTJOIN("",TRUE,IF(ISERROR(FIND(ROW($1:$168)-1,BS58&amp;BT58)),ROW($1:$168)-1,""))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8" s="22" t="str">
        <f t="shared" si="60"/>
        <v>中中中</v>
      </c>
      <c r="BW58" s="23" t="str">
        <f t="shared" si="61"/>
        <v/>
      </c>
      <c r="BX58" s="23" t="str">
        <f t="shared" si="72"/>
        <v/>
      </c>
      <c r="BY58" s="23" t="str">
        <f t="array" ref="BY58">_xlfn.TEXTJOIN("",TRUE,IF(ISERROR(FIND(ROW($1:$168)-1,BW58&amp;BX58)),ROW($1:$168)-1,""))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8" s="22" t="str">
        <f t="shared" si="62"/>
        <v>中中中</v>
      </c>
      <c r="CA58" s="24">
        <f t="shared" si="63"/>
        <v>5</v>
      </c>
      <c r="CB58" s="24">
        <f t="shared" si="73"/>
        <v>5</v>
      </c>
      <c r="CC58" s="24" t="str">
        <f t="array" ref="CC58">_xlfn.TEXTJOIN("",TRUE,IF(ISERROR(FIND(ROW($1:$168)-1,CA58&amp;CB58)),ROW($1:$168)-1,""))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8" s="22" t="str">
        <f t="shared" si="64"/>
        <v>复隔中</v>
      </c>
      <c r="CE58" s="25" t="str">
        <f t="shared" si="65"/>
        <v>35</v>
      </c>
      <c r="CF58" s="26" t="str">
        <f t="array" ref="CF58">_xlfn.TEXTJOIN("",TRUE,IF(ISNUMBER(FIND(MID(CE57&amp;W57,ROW($1:$162),1),CE58&amp;W58)),MID(CE57&amp;W57,ROW($1:$162),1),""))</f>
        <v>43</v>
      </c>
      <c r="CG58" s="27" t="str">
        <f t="array" ref="CG58">_xlfn.TEXTJOIN("",TRUE,IF(ISERROR(FIND(ROW($1:$168)-1,CE58&amp;CF58)),ROW($1:$168)-1,""))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8" s="28" t="str">
        <f t="shared" si="66"/>
        <v>邻传孤</v>
      </c>
      <c r="CI58" s="29" t="str">
        <f t="shared" si="67"/>
        <v>02</v>
      </c>
      <c r="CJ58" s="29" t="str">
        <f t="array" ref="CJ58">_xlfn.TEXTJOIN("",TRUE,IF(ISNUMBER(FIND(MID(CI57&amp;X57,ROW($1:$162),1),CI58&amp;X58)),MID(CI57&amp;X57,ROW($1:$162),1),""))</f>
        <v/>
      </c>
      <c r="CK58" s="29" t="str">
        <f t="array" ref="CK58">_xlfn.TEXTJOIN("",TRUE,IF(ISERROR(FIND(ROW($1:$168)-1,CI58&amp;CJ58)),ROW($1:$168)-1,""))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8" s="19" t="str">
        <f t="shared" si="68"/>
        <v>邻孤孤</v>
      </c>
      <c r="CM58" s="24" t="str">
        <f t="shared" si="69"/>
        <v>46</v>
      </c>
      <c r="CN58" s="24" t="str">
        <f t="array" ref="CN58">_xlfn.TEXTJOIN("",TRUE,IF(ISNUMBER(FIND(MID(CM57&amp;Y57,ROW($1:$162),1),CM58&amp;Y58)),MID(CM57&amp;Y57,ROW($1:$162),1),""))</f>
        <v>465</v>
      </c>
      <c r="CO58" s="24" t="str">
        <f t="array" ref="CO58">_xlfn.TEXTJOIN("",TRUE,IF(ISERROR(FIND(ROW($1:$168)-1,CM58&amp;CN58)),ROW($1:$168)-1,""))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8" s="30" t="str">
        <f t="shared" si="70"/>
        <v>邻传孤</v>
      </c>
    </row>
    <row r="59" customFormat="1" spans="1:94">
      <c r="A59" s="15">
        <v>59</v>
      </c>
      <c r="B59" s="80">
        <v>2024028</v>
      </c>
      <c r="C59" s="8" t="s">
        <v>84</v>
      </c>
      <c r="D59" s="81">
        <f t="shared" si="50"/>
        <v>14</v>
      </c>
      <c r="E59" s="82">
        <f t="shared" si="51"/>
        <v>4</v>
      </c>
      <c r="F59" s="83">
        <f t="shared" si="9"/>
        <v>3.5</v>
      </c>
      <c r="G59" s="84" t="str">
        <f t="shared" si="10"/>
        <v>标准</v>
      </c>
      <c r="H59" s="85" t="s">
        <v>10</v>
      </c>
      <c r="I59" s="85" t="s">
        <v>11</v>
      </c>
      <c r="J59" s="85" t="s">
        <v>12</v>
      </c>
      <c r="K59" s="85" t="s">
        <v>13</v>
      </c>
      <c r="L59" s="86">
        <f>MAX(MID(C59,{1,2,3},1)*1)-MIN(MID(C59,{1,2,3},1)*1)</f>
        <v>4</v>
      </c>
      <c r="M59" s="87">
        <v>0</v>
      </c>
      <c r="N59" s="87">
        <v>1</v>
      </c>
      <c r="O59" s="87">
        <v>2</v>
      </c>
      <c r="P59" s="87">
        <v>3</v>
      </c>
      <c r="Q59" s="87">
        <v>4</v>
      </c>
      <c r="R59" s="87">
        <v>5</v>
      </c>
      <c r="S59" s="87">
        <v>6</v>
      </c>
      <c r="T59" s="87">
        <v>7</v>
      </c>
      <c r="U59" s="87">
        <v>8</v>
      </c>
      <c r="V59" s="87">
        <v>9</v>
      </c>
      <c r="W59" s="88">
        <f t="shared" si="52"/>
        <v>0</v>
      </c>
      <c r="X59" s="88">
        <f t="shared" si="53"/>
        <v>4</v>
      </c>
      <c r="Y59" s="88">
        <f t="shared" si="54"/>
        <v>4</v>
      </c>
      <c r="Z59" s="89">
        <f t="shared" si="55"/>
        <v>8</v>
      </c>
      <c r="AA59" s="17" t="str">
        <f>_xlfn.TEXTJOIN(", ",TRUE,ABS(MID(C59,{1,1,2},1)-MID(C59,{2,3,3},1)))</f>
        <v>0, 4, 4</v>
      </c>
      <c r="AB59" s="90">
        <v>0</v>
      </c>
      <c r="AC59" s="90">
        <v>1</v>
      </c>
      <c r="AD59" s="90">
        <v>2</v>
      </c>
      <c r="AE59" s="90">
        <v>3</v>
      </c>
      <c r="AF59" s="90">
        <v>4</v>
      </c>
      <c r="AG59" s="90">
        <v>5</v>
      </c>
      <c r="AH59" s="90">
        <v>6</v>
      </c>
      <c r="AI59" s="90">
        <v>7</v>
      </c>
      <c r="AJ59" s="90">
        <v>8</v>
      </c>
      <c r="AK59" s="90">
        <v>9</v>
      </c>
      <c r="AL59" s="91">
        <v>0</v>
      </c>
      <c r="AM59" s="91">
        <v>1</v>
      </c>
      <c r="AN59" s="91">
        <v>2</v>
      </c>
      <c r="AO59" s="91">
        <v>3</v>
      </c>
      <c r="AP59" s="91">
        <v>4</v>
      </c>
      <c r="AQ59" s="91">
        <v>5</v>
      </c>
      <c r="AR59" s="91">
        <v>6</v>
      </c>
      <c r="AS59" s="91">
        <v>7</v>
      </c>
      <c r="AT59" s="91">
        <v>8</v>
      </c>
      <c r="AU59" s="91">
        <v>9</v>
      </c>
      <c r="AV59" s="92">
        <v>0</v>
      </c>
      <c r="AW59" s="92">
        <v>1</v>
      </c>
      <c r="AX59" s="92">
        <v>2</v>
      </c>
      <c r="AY59" s="92">
        <v>3</v>
      </c>
      <c r="AZ59" s="92">
        <v>4</v>
      </c>
      <c r="BA59" s="92">
        <v>5</v>
      </c>
      <c r="BB59" s="92">
        <v>6</v>
      </c>
      <c r="BC59" s="92">
        <v>7</v>
      </c>
      <c r="BD59" s="92">
        <v>8</v>
      </c>
      <c r="BE59" s="92">
        <v>9</v>
      </c>
      <c r="BF59" s="93">
        <v>0</v>
      </c>
      <c r="BG59" s="93">
        <v>1</v>
      </c>
      <c r="BH59" s="93">
        <v>2</v>
      </c>
      <c r="BI59" s="93">
        <v>3</v>
      </c>
      <c r="BJ59" s="93">
        <v>4</v>
      </c>
      <c r="BK59" s="93">
        <v>5</v>
      </c>
      <c r="BL59" s="93">
        <v>6</v>
      </c>
      <c r="BM59" s="93">
        <v>7</v>
      </c>
      <c r="BN59" s="93">
        <v>8</v>
      </c>
      <c r="BO59" s="93">
        <v>9</v>
      </c>
      <c r="BP59" s="94" t="str">
        <f t="shared" si="56"/>
        <v>紧凑型</v>
      </c>
      <c r="BQ59" s="15">
        <f t="shared" si="57"/>
        <v>0</v>
      </c>
      <c r="BR59" s="15">
        <f t="shared" si="58"/>
        <v>4</v>
      </c>
      <c r="BS59" s="20" t="str">
        <f t="shared" si="59"/>
        <v/>
      </c>
      <c r="BT59" s="21" t="str">
        <f t="shared" si="71"/>
        <v/>
      </c>
      <c r="BU59" s="21" t="str">
        <f t="array" ref="BU59">_xlfn.TEXTJOIN("",TRUE,IF(ISERROR(FIND(ROW($1:$168)-1,BS59&amp;BT59)),ROW($1:$168)-1,""))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9" s="22" t="str">
        <f t="shared" si="60"/>
        <v>中中中</v>
      </c>
      <c r="BW59" s="23">
        <f t="shared" si="61"/>
        <v>4</v>
      </c>
      <c r="BX59" s="23" t="str">
        <f t="shared" si="72"/>
        <v/>
      </c>
      <c r="BY59" s="23" t="str">
        <f t="array" ref="BY59">_xlfn.TEXTJOIN("",TRUE,IF(ISERROR(FIND(ROW($1:$168)-1,BW59&amp;BX59)),ROW($1:$168)-1,""))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9" s="22" t="str">
        <f t="shared" si="62"/>
        <v>复中中</v>
      </c>
      <c r="CA59" s="24">
        <f t="shared" si="63"/>
        <v>4</v>
      </c>
      <c r="CB59" s="24" t="str">
        <f t="shared" si="73"/>
        <v/>
      </c>
      <c r="CC59" s="24" t="str">
        <f t="array" ref="CC59">_xlfn.TEXTJOIN("",TRUE,IF(ISERROR(FIND(ROW($1:$168)-1,CA59&amp;CB59)),ROW($1:$168)-1,""))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9" s="22" t="str">
        <f t="shared" si="64"/>
        <v>复中中</v>
      </c>
      <c r="CE59" s="25" t="str">
        <f t="shared" si="65"/>
        <v>91</v>
      </c>
      <c r="CF59" s="26" t="str">
        <f t="array" ref="CF59">_xlfn.TEXTJOIN("",TRUE,IF(ISNUMBER(FIND(MID(CE58&amp;W58,ROW($1:$162),1),CE59&amp;W59)),MID(CE58&amp;W58,ROW($1:$162),1),""))</f>
        <v/>
      </c>
      <c r="CG59" s="27" t="str">
        <f t="array" ref="CG59">_xlfn.TEXTJOIN("",TRUE,IF(ISERROR(FIND(ROW($1:$168)-1,CE59&amp;CF59)),ROW($1:$168)-1,""))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59" s="28" t="str">
        <f t="shared" si="66"/>
        <v>邻孤孤</v>
      </c>
      <c r="CI59" s="29" t="str">
        <f t="shared" si="67"/>
        <v>35</v>
      </c>
      <c r="CJ59" s="29" t="str">
        <f t="array" ref="CJ59">_xlfn.TEXTJOIN("",TRUE,IF(ISNUMBER(FIND(MID(CI58&amp;X58,ROW($1:$162),1),CI59&amp;X59)),MID(CI58&amp;X58,ROW($1:$162),1),""))</f>
        <v/>
      </c>
      <c r="CK59" s="29" t="str">
        <f t="array" ref="CK59">_xlfn.TEXTJOIN("",TRUE,IF(ISERROR(FIND(ROW($1:$168)-1,CI59&amp;CJ59)),ROW($1:$168)-1,""))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9" s="19" t="str">
        <f t="shared" si="68"/>
        <v>邻孤孤</v>
      </c>
      <c r="CM59" s="24" t="str">
        <f t="shared" si="69"/>
        <v>35</v>
      </c>
      <c r="CN59" s="24" t="str">
        <f t="array" ref="CN59">_xlfn.TEXTJOIN("",TRUE,IF(ISNUMBER(FIND(MID(CM58&amp;Y58,ROW($1:$162),1),CM59&amp;Y59)),MID(CM58&amp;Y58,ROW($1:$162),1),""))</f>
        <v>45</v>
      </c>
      <c r="CO59" s="24" t="str">
        <f t="array" ref="CO59">_xlfn.TEXTJOIN("",TRUE,IF(ISERROR(FIND(ROW($1:$168)-1,CM59&amp;CN59)),ROW($1:$168)-1,""))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9" s="30" t="str">
        <f t="shared" si="70"/>
        <v>邻传孤</v>
      </c>
    </row>
    <row r="60" customFormat="1" spans="1:94">
      <c r="A60" s="15">
        <v>60</v>
      </c>
      <c r="B60" s="80">
        <v>2024029</v>
      </c>
      <c r="C60" s="8" t="s">
        <v>85</v>
      </c>
      <c r="D60" s="81">
        <f t="shared" si="50"/>
        <v>13</v>
      </c>
      <c r="E60" s="82">
        <f t="shared" si="51"/>
        <v>3</v>
      </c>
      <c r="F60" s="83">
        <f t="shared" si="9"/>
        <v>1.44444444444444</v>
      </c>
      <c r="G60" s="84" t="str">
        <f t="shared" si="10"/>
        <v>松散</v>
      </c>
      <c r="H60" s="85" t="s">
        <v>10</v>
      </c>
      <c r="I60" s="85" t="s">
        <v>11</v>
      </c>
      <c r="J60" s="85" t="s">
        <v>12</v>
      </c>
      <c r="K60" s="85" t="s">
        <v>13</v>
      </c>
      <c r="L60" s="86">
        <f>MAX(MID(C60,{1,2,3},1)*1)-MIN(MID(C60,{1,2,3},1)*1)</f>
        <v>9</v>
      </c>
      <c r="M60" s="87">
        <v>0</v>
      </c>
      <c r="N60" s="87">
        <v>1</v>
      </c>
      <c r="O60" s="87">
        <v>2</v>
      </c>
      <c r="P60" s="87">
        <v>3</v>
      </c>
      <c r="Q60" s="87">
        <v>4</v>
      </c>
      <c r="R60" s="87">
        <v>5</v>
      </c>
      <c r="S60" s="87">
        <v>6</v>
      </c>
      <c r="T60" s="87">
        <v>7</v>
      </c>
      <c r="U60" s="87">
        <v>8</v>
      </c>
      <c r="V60" s="87">
        <v>9</v>
      </c>
      <c r="W60" s="88">
        <f t="shared" si="52"/>
        <v>9</v>
      </c>
      <c r="X60" s="88">
        <f t="shared" si="53"/>
        <v>4</v>
      </c>
      <c r="Y60" s="88">
        <f t="shared" si="54"/>
        <v>5</v>
      </c>
      <c r="Z60" s="89">
        <f t="shared" si="55"/>
        <v>18</v>
      </c>
      <c r="AA60" s="17" t="str">
        <f>_xlfn.TEXTJOIN(", ",TRUE,ABS(MID(C60,{1,1,2},1)-MID(C60,{2,3,3},1)))</f>
        <v>9, 4, 5</v>
      </c>
      <c r="AB60" s="90">
        <v>0</v>
      </c>
      <c r="AC60" s="90">
        <v>1</v>
      </c>
      <c r="AD60" s="90">
        <v>2</v>
      </c>
      <c r="AE60" s="90">
        <v>3</v>
      </c>
      <c r="AF60" s="90">
        <v>4</v>
      </c>
      <c r="AG60" s="90">
        <v>5</v>
      </c>
      <c r="AH60" s="90">
        <v>6</v>
      </c>
      <c r="AI60" s="90">
        <v>7</v>
      </c>
      <c r="AJ60" s="90">
        <v>8</v>
      </c>
      <c r="AK60" s="90">
        <v>9</v>
      </c>
      <c r="AL60" s="91">
        <v>0</v>
      </c>
      <c r="AM60" s="91">
        <v>1</v>
      </c>
      <c r="AN60" s="91">
        <v>2</v>
      </c>
      <c r="AO60" s="91">
        <v>3</v>
      </c>
      <c r="AP60" s="91">
        <v>4</v>
      </c>
      <c r="AQ60" s="91">
        <v>5</v>
      </c>
      <c r="AR60" s="91">
        <v>6</v>
      </c>
      <c r="AS60" s="91">
        <v>7</v>
      </c>
      <c r="AT60" s="91">
        <v>8</v>
      </c>
      <c r="AU60" s="91">
        <v>9</v>
      </c>
      <c r="AV60" s="92">
        <v>0</v>
      </c>
      <c r="AW60" s="92">
        <v>1</v>
      </c>
      <c r="AX60" s="92">
        <v>2</v>
      </c>
      <c r="AY60" s="92">
        <v>3</v>
      </c>
      <c r="AZ60" s="92">
        <v>4</v>
      </c>
      <c r="BA60" s="92">
        <v>5</v>
      </c>
      <c r="BB60" s="92">
        <v>6</v>
      </c>
      <c r="BC60" s="92">
        <v>7</v>
      </c>
      <c r="BD60" s="92">
        <v>8</v>
      </c>
      <c r="BE60" s="92">
        <v>9</v>
      </c>
      <c r="BF60" s="93">
        <v>0</v>
      </c>
      <c r="BG60" s="93">
        <v>1</v>
      </c>
      <c r="BH60" s="93">
        <v>2</v>
      </c>
      <c r="BI60" s="93">
        <v>3</v>
      </c>
      <c r="BJ60" s="93">
        <v>4</v>
      </c>
      <c r="BK60" s="93">
        <v>5</v>
      </c>
      <c r="BL60" s="93">
        <v>6</v>
      </c>
      <c r="BM60" s="93">
        <v>7</v>
      </c>
      <c r="BN60" s="93">
        <v>8</v>
      </c>
      <c r="BO60" s="93">
        <v>9</v>
      </c>
      <c r="BP60" s="94" t="str">
        <f t="shared" si="56"/>
        <v>松散型</v>
      </c>
      <c r="BQ60" s="15">
        <f t="shared" si="57"/>
        <v>4</v>
      </c>
      <c r="BR60" s="15">
        <f t="shared" si="58"/>
        <v>9</v>
      </c>
      <c r="BS60" s="20" t="str">
        <f t="shared" si="59"/>
        <v/>
      </c>
      <c r="BT60" s="21" t="str">
        <f t="shared" si="71"/>
        <v/>
      </c>
      <c r="BU60" s="21" t="str">
        <f t="array" ref="BU60">_xlfn.TEXTJOIN("",TRUE,IF(ISERROR(FIND(ROW($1:$168)-1,BS60&amp;BT60)),ROW($1:$168)-1,""))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0" s="22" t="str">
        <f t="shared" si="60"/>
        <v>中中中</v>
      </c>
      <c r="BW60" s="23">
        <f t="shared" si="61"/>
        <v>4</v>
      </c>
      <c r="BX60" s="23">
        <f t="shared" si="72"/>
        <v>4</v>
      </c>
      <c r="BY60" s="23" t="str">
        <f t="array" ref="BY60">_xlfn.TEXTJOIN("",TRUE,IF(ISERROR(FIND(ROW($1:$168)-1,BW60&amp;BX60)),ROW($1:$168)-1,""))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0" s="22" t="str">
        <f t="shared" si="62"/>
        <v>复隔中</v>
      </c>
      <c r="CA60" s="24" t="str">
        <f t="shared" si="63"/>
        <v/>
      </c>
      <c r="CB60" s="24">
        <f t="shared" si="73"/>
        <v>5</v>
      </c>
      <c r="CC60" s="24" t="str">
        <f t="array" ref="CC60">_xlfn.TEXTJOIN("",TRUE,IF(ISERROR(FIND(ROW($1:$168)-1,CA60&amp;CB60)),ROW($1:$168)-1,""))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0" s="22" t="str">
        <f t="shared" si="64"/>
        <v>中隔中</v>
      </c>
      <c r="CE60" s="25" t="str">
        <f t="shared" si="65"/>
        <v>80</v>
      </c>
      <c r="CF60" s="26" t="str">
        <f t="array" ref="CF60">_xlfn.TEXTJOIN("",TRUE,IF(ISNUMBER(FIND(MID(CE59&amp;W59,ROW($1:$162),1),CE60&amp;W60)),MID(CE59&amp;W59,ROW($1:$162),1),""))</f>
        <v>90</v>
      </c>
      <c r="CG60" s="27" t="str">
        <f t="array" ref="CG60">_xlfn.TEXTJOIN("",TRUE,IF(ISERROR(FIND(ROW($1:$168)-1,CE60&amp;CF60)),ROW($1:$168)-1,""))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H60" s="28" t="str">
        <f t="shared" si="66"/>
        <v>邻传孤</v>
      </c>
      <c r="CI60" s="29" t="str">
        <f t="shared" si="67"/>
        <v>35</v>
      </c>
      <c r="CJ60" s="29" t="str">
        <f t="array" ref="CJ60">_xlfn.TEXTJOIN("",TRUE,IF(ISNUMBER(FIND(MID(CI59&amp;X59,ROW($1:$162),1),CI60&amp;X60)),MID(CI59&amp;X59,ROW($1:$162),1),""))</f>
        <v>354</v>
      </c>
      <c r="CK60" s="29" t="str">
        <f t="array" ref="CK60">_xlfn.TEXTJOIN("",TRUE,IF(ISERROR(FIND(ROW($1:$168)-1,CI60&amp;CJ60)),ROW($1:$168)-1,""))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0" s="19" t="str">
        <f t="shared" si="68"/>
        <v>邻传孤</v>
      </c>
      <c r="CM60" s="24" t="str">
        <f t="shared" si="69"/>
        <v>46</v>
      </c>
      <c r="CN60" s="24" t="str">
        <f t="array" ref="CN60">_xlfn.TEXTJOIN("",TRUE,IF(ISNUMBER(FIND(MID(CM59&amp;Y59,ROW($1:$162),1),CM60&amp;Y60)),MID(CM59&amp;Y59,ROW($1:$162),1),""))</f>
        <v>54</v>
      </c>
      <c r="CO60" s="24" t="str">
        <f t="array" ref="CO60">_xlfn.TEXTJOIN("",TRUE,IF(ISERROR(FIND(ROW($1:$168)-1,CM60&amp;CN60)),ROW($1:$168)-1,""))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0" s="30" t="str">
        <f t="shared" si="70"/>
        <v>邻传孤</v>
      </c>
    </row>
    <row r="61" customFormat="1" spans="1:94">
      <c r="A61" s="15">
        <v>61</v>
      </c>
      <c r="B61" s="80">
        <v>2024030</v>
      </c>
      <c r="C61" s="8" t="s">
        <v>86</v>
      </c>
      <c r="D61" s="81">
        <f t="shared" si="50"/>
        <v>17</v>
      </c>
      <c r="E61" s="82">
        <f t="shared" si="51"/>
        <v>7</v>
      </c>
      <c r="F61" s="83">
        <f t="shared" si="9"/>
        <v>2.83333333333333</v>
      </c>
      <c r="G61" s="84" t="str">
        <f t="shared" si="10"/>
        <v>标准</v>
      </c>
      <c r="H61" s="85" t="s">
        <v>10</v>
      </c>
      <c r="I61" s="85" t="s">
        <v>11</v>
      </c>
      <c r="J61" s="85" t="s">
        <v>12</v>
      </c>
      <c r="K61" s="85" t="s">
        <v>13</v>
      </c>
      <c r="L61" s="86">
        <f>MAX(MID(C61,{1,2,3},1)*1)-MIN(MID(C61,{1,2,3},1)*1)</f>
        <v>6</v>
      </c>
      <c r="M61" s="87">
        <v>0</v>
      </c>
      <c r="N61" s="87">
        <v>1</v>
      </c>
      <c r="O61" s="87">
        <v>2</v>
      </c>
      <c r="P61" s="87">
        <v>3</v>
      </c>
      <c r="Q61" s="87">
        <v>4</v>
      </c>
      <c r="R61" s="87">
        <v>5</v>
      </c>
      <c r="S61" s="87">
        <v>6</v>
      </c>
      <c r="T61" s="87">
        <v>7</v>
      </c>
      <c r="U61" s="87">
        <v>8</v>
      </c>
      <c r="V61" s="87">
        <v>9</v>
      </c>
      <c r="W61" s="88">
        <f t="shared" si="52"/>
        <v>6</v>
      </c>
      <c r="X61" s="88">
        <f t="shared" si="53"/>
        <v>4</v>
      </c>
      <c r="Y61" s="88">
        <f t="shared" si="54"/>
        <v>2</v>
      </c>
      <c r="Z61" s="89">
        <f t="shared" si="55"/>
        <v>12</v>
      </c>
      <c r="AA61" s="17" t="str">
        <f>_xlfn.TEXTJOIN(", ",TRUE,ABS(MID(C61,{1,1,2},1)-MID(C61,{2,3,3},1)))</f>
        <v>6, 4, 2</v>
      </c>
      <c r="AB61" s="90">
        <v>0</v>
      </c>
      <c r="AC61" s="90">
        <v>1</v>
      </c>
      <c r="AD61" s="90">
        <v>2</v>
      </c>
      <c r="AE61" s="90">
        <v>3</v>
      </c>
      <c r="AF61" s="90">
        <v>4</v>
      </c>
      <c r="AG61" s="90">
        <v>5</v>
      </c>
      <c r="AH61" s="90">
        <v>6</v>
      </c>
      <c r="AI61" s="90">
        <v>7</v>
      </c>
      <c r="AJ61" s="90">
        <v>8</v>
      </c>
      <c r="AK61" s="90">
        <v>9</v>
      </c>
      <c r="AL61" s="91">
        <v>0</v>
      </c>
      <c r="AM61" s="91">
        <v>1</v>
      </c>
      <c r="AN61" s="91">
        <v>2</v>
      </c>
      <c r="AO61" s="91">
        <v>3</v>
      </c>
      <c r="AP61" s="91">
        <v>4</v>
      </c>
      <c r="AQ61" s="91">
        <v>5</v>
      </c>
      <c r="AR61" s="91">
        <v>6</v>
      </c>
      <c r="AS61" s="91">
        <v>7</v>
      </c>
      <c r="AT61" s="91">
        <v>8</v>
      </c>
      <c r="AU61" s="91">
        <v>9</v>
      </c>
      <c r="AV61" s="92">
        <v>0</v>
      </c>
      <c r="AW61" s="92">
        <v>1</v>
      </c>
      <c r="AX61" s="92">
        <v>2</v>
      </c>
      <c r="AY61" s="92">
        <v>3</v>
      </c>
      <c r="AZ61" s="92">
        <v>4</v>
      </c>
      <c r="BA61" s="92">
        <v>5</v>
      </c>
      <c r="BB61" s="92">
        <v>6</v>
      </c>
      <c r="BC61" s="92">
        <v>7</v>
      </c>
      <c r="BD61" s="92">
        <v>8</v>
      </c>
      <c r="BE61" s="92">
        <v>9</v>
      </c>
      <c r="BF61" s="93">
        <v>0</v>
      </c>
      <c r="BG61" s="93">
        <v>1</v>
      </c>
      <c r="BH61" s="93">
        <v>2</v>
      </c>
      <c r="BI61" s="93">
        <v>3</v>
      </c>
      <c r="BJ61" s="93">
        <v>4</v>
      </c>
      <c r="BK61" s="93">
        <v>5</v>
      </c>
      <c r="BL61" s="93">
        <v>6</v>
      </c>
      <c r="BM61" s="93">
        <v>7</v>
      </c>
      <c r="BN61" s="93">
        <v>8</v>
      </c>
      <c r="BO61" s="93">
        <v>9</v>
      </c>
      <c r="BP61" s="94" t="str">
        <f t="shared" si="56"/>
        <v>松散型</v>
      </c>
      <c r="BQ61" s="15">
        <f t="shared" si="57"/>
        <v>2</v>
      </c>
      <c r="BR61" s="15">
        <f t="shared" si="58"/>
        <v>6</v>
      </c>
      <c r="BS61" s="20" t="str">
        <f t="shared" si="59"/>
        <v/>
      </c>
      <c r="BT61" s="21" t="str">
        <f t="shared" si="71"/>
        <v/>
      </c>
      <c r="BU61" s="21" t="str">
        <f t="array" ref="BU61">_xlfn.TEXTJOIN("",TRUE,IF(ISERROR(FIND(ROW($1:$168)-1,BS61&amp;BT61)),ROW($1:$168)-1,""))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1" s="22" t="str">
        <f t="shared" si="60"/>
        <v>中中中</v>
      </c>
      <c r="BW61" s="23">
        <f t="shared" si="61"/>
        <v>4</v>
      </c>
      <c r="BX61" s="23">
        <f t="shared" si="72"/>
        <v>4</v>
      </c>
      <c r="BY61" s="23" t="str">
        <f t="array" ref="BY61">_xlfn.TEXTJOIN("",TRUE,IF(ISERROR(FIND(ROW($1:$168)-1,BW61&amp;BX61)),ROW($1:$168)-1,""))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1" s="22" t="str">
        <f t="shared" si="62"/>
        <v>复隔中</v>
      </c>
      <c r="CA61" s="24" t="str">
        <f t="shared" si="63"/>
        <v/>
      </c>
      <c r="CB61" s="24" t="str">
        <f t="shared" si="73"/>
        <v/>
      </c>
      <c r="CC61" s="24" t="str">
        <f t="array" ref="CC61">_xlfn.TEXTJOIN("",TRUE,IF(ISERROR(FIND(ROW($1:$168)-1,CA61&amp;CB61)),ROW($1:$168)-1,""))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1" s="22" t="str">
        <f t="shared" si="64"/>
        <v>中中中</v>
      </c>
      <c r="CE61" s="25" t="str">
        <f t="shared" si="65"/>
        <v>57</v>
      </c>
      <c r="CF61" s="26" t="str">
        <f t="array" ref="CF61">_xlfn.TEXTJOIN("",TRUE,IF(ISNUMBER(FIND(MID(CE60&amp;W60,ROW($1:$162),1),CE61&amp;W61)),MID(CE60&amp;W60,ROW($1:$162),1),""))</f>
        <v/>
      </c>
      <c r="CG61" s="27" t="str">
        <f t="array" ref="CG61">_xlfn.TEXTJOIN("",TRUE,IF(ISERROR(FIND(ROW($1:$168)-1,CE61&amp;CF61)),ROW($1:$168)-1,""))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1" s="28" t="str">
        <f t="shared" si="66"/>
        <v>邻孤孤</v>
      </c>
      <c r="CI61" s="29" t="str">
        <f t="shared" si="67"/>
        <v>35</v>
      </c>
      <c r="CJ61" s="29" t="str">
        <f t="array" ref="CJ61">_xlfn.TEXTJOIN("",TRUE,IF(ISNUMBER(FIND(MID(CI60&amp;X60,ROW($1:$162),1),CI61&amp;X61)),MID(CI60&amp;X60,ROW($1:$162),1),""))</f>
        <v>354</v>
      </c>
      <c r="CK61" s="29" t="str">
        <f t="array" ref="CK61">_xlfn.TEXTJOIN("",TRUE,IF(ISERROR(FIND(ROW($1:$168)-1,CI61&amp;CJ61)),ROW($1:$168)-1,""))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1" s="19" t="str">
        <f t="shared" si="68"/>
        <v>邻传孤</v>
      </c>
      <c r="CM61" s="24" t="str">
        <f t="shared" si="69"/>
        <v>13</v>
      </c>
      <c r="CN61" s="24" t="str">
        <f t="array" ref="CN61">_xlfn.TEXTJOIN("",TRUE,IF(ISNUMBER(FIND(MID(CM60&amp;Y60,ROW($1:$162),1),CM61&amp;Y61)),MID(CM60&amp;Y60,ROW($1:$162),1),""))</f>
        <v/>
      </c>
      <c r="CO61" s="24" t="str">
        <f t="array" ref="CO61">_xlfn.TEXTJOIN("",TRUE,IF(ISERROR(FIND(ROW($1:$168)-1,CM61&amp;CN61)),ROW($1:$168)-1,""))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1" s="30" t="str">
        <f t="shared" si="70"/>
        <v>邻孤孤</v>
      </c>
    </row>
    <row r="62" customFormat="1" spans="1:94">
      <c r="A62" s="15">
        <v>62</v>
      </c>
      <c r="B62" s="80">
        <v>2024031</v>
      </c>
      <c r="C62" s="8" t="s">
        <v>87</v>
      </c>
      <c r="D62" s="81">
        <f t="shared" si="50"/>
        <v>6</v>
      </c>
      <c r="E62" s="82">
        <f t="shared" si="51"/>
        <v>6</v>
      </c>
      <c r="F62" s="83">
        <f t="shared" si="9"/>
        <v>1</v>
      </c>
      <c r="G62" s="84" t="str">
        <f t="shared" si="10"/>
        <v>松散</v>
      </c>
      <c r="H62" s="85" t="s">
        <v>10</v>
      </c>
      <c r="I62" s="85" t="s">
        <v>11</v>
      </c>
      <c r="J62" s="85" t="s">
        <v>12</v>
      </c>
      <c r="K62" s="85" t="s">
        <v>13</v>
      </c>
      <c r="L62" s="86">
        <f>MAX(MID(C62,{1,2,3},1)*1)-MIN(MID(C62,{1,2,3},1)*1)</f>
        <v>6</v>
      </c>
      <c r="M62" s="87">
        <v>0</v>
      </c>
      <c r="N62" s="87">
        <v>1</v>
      </c>
      <c r="O62" s="87">
        <v>2</v>
      </c>
      <c r="P62" s="87">
        <v>3</v>
      </c>
      <c r="Q62" s="87">
        <v>4</v>
      </c>
      <c r="R62" s="87">
        <v>5</v>
      </c>
      <c r="S62" s="87">
        <v>6</v>
      </c>
      <c r="T62" s="87">
        <v>7</v>
      </c>
      <c r="U62" s="87">
        <v>8</v>
      </c>
      <c r="V62" s="87">
        <v>9</v>
      </c>
      <c r="W62" s="88">
        <f t="shared" si="52"/>
        <v>6</v>
      </c>
      <c r="X62" s="88">
        <f t="shared" si="53"/>
        <v>0</v>
      </c>
      <c r="Y62" s="88">
        <f t="shared" si="54"/>
        <v>6</v>
      </c>
      <c r="Z62" s="89">
        <f t="shared" si="55"/>
        <v>12</v>
      </c>
      <c r="AA62" s="17" t="str">
        <f>_xlfn.TEXTJOIN(", ",TRUE,ABS(MID(C62,{1,1,2},1)-MID(C62,{2,3,3},1)))</f>
        <v>6, 0, 6</v>
      </c>
      <c r="AB62" s="90">
        <v>0</v>
      </c>
      <c r="AC62" s="90">
        <v>1</v>
      </c>
      <c r="AD62" s="90">
        <v>2</v>
      </c>
      <c r="AE62" s="90">
        <v>3</v>
      </c>
      <c r="AF62" s="90">
        <v>4</v>
      </c>
      <c r="AG62" s="90">
        <v>5</v>
      </c>
      <c r="AH62" s="90">
        <v>6</v>
      </c>
      <c r="AI62" s="90">
        <v>7</v>
      </c>
      <c r="AJ62" s="90">
        <v>8</v>
      </c>
      <c r="AK62" s="90">
        <v>9</v>
      </c>
      <c r="AL62" s="91">
        <v>0</v>
      </c>
      <c r="AM62" s="91">
        <v>1</v>
      </c>
      <c r="AN62" s="91">
        <v>2</v>
      </c>
      <c r="AO62" s="91">
        <v>3</v>
      </c>
      <c r="AP62" s="91">
        <v>4</v>
      </c>
      <c r="AQ62" s="91">
        <v>5</v>
      </c>
      <c r="AR62" s="91">
        <v>6</v>
      </c>
      <c r="AS62" s="91">
        <v>7</v>
      </c>
      <c r="AT62" s="91">
        <v>8</v>
      </c>
      <c r="AU62" s="91">
        <v>9</v>
      </c>
      <c r="AV62" s="92">
        <v>0</v>
      </c>
      <c r="AW62" s="92">
        <v>1</v>
      </c>
      <c r="AX62" s="92">
        <v>2</v>
      </c>
      <c r="AY62" s="92">
        <v>3</v>
      </c>
      <c r="AZ62" s="92">
        <v>4</v>
      </c>
      <c r="BA62" s="92">
        <v>5</v>
      </c>
      <c r="BB62" s="92">
        <v>6</v>
      </c>
      <c r="BC62" s="92">
        <v>7</v>
      </c>
      <c r="BD62" s="92">
        <v>8</v>
      </c>
      <c r="BE62" s="92">
        <v>9</v>
      </c>
      <c r="BF62" s="93">
        <v>0</v>
      </c>
      <c r="BG62" s="93">
        <v>1</v>
      </c>
      <c r="BH62" s="93">
        <v>2</v>
      </c>
      <c r="BI62" s="93">
        <v>3</v>
      </c>
      <c r="BJ62" s="93">
        <v>4</v>
      </c>
      <c r="BK62" s="93">
        <v>5</v>
      </c>
      <c r="BL62" s="93">
        <v>6</v>
      </c>
      <c r="BM62" s="93">
        <v>7</v>
      </c>
      <c r="BN62" s="93">
        <v>8</v>
      </c>
      <c r="BO62" s="93">
        <v>9</v>
      </c>
      <c r="BP62" s="94" t="str">
        <f t="shared" si="56"/>
        <v>松散型</v>
      </c>
      <c r="BQ62" s="15">
        <f t="shared" si="57"/>
        <v>0</v>
      </c>
      <c r="BR62" s="15">
        <f t="shared" si="58"/>
        <v>6</v>
      </c>
      <c r="BS62" s="20">
        <f t="shared" si="59"/>
        <v>6</v>
      </c>
      <c r="BT62" s="21" t="str">
        <f t="shared" si="71"/>
        <v/>
      </c>
      <c r="BU62" s="21" t="str">
        <f t="array" ref="BU62">_xlfn.TEXTJOIN("",TRUE,IF(ISERROR(FIND(ROW($1:$168)-1,BS62&amp;BT62)),ROW($1:$168)-1,""))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2" s="22" t="str">
        <f t="shared" si="60"/>
        <v>复中中</v>
      </c>
      <c r="BW62" s="23" t="str">
        <f t="shared" si="61"/>
        <v/>
      </c>
      <c r="BX62" s="23" t="str">
        <f t="shared" si="72"/>
        <v/>
      </c>
      <c r="BY62" s="23" t="str">
        <f t="array" ref="BY62">_xlfn.TEXTJOIN("",TRUE,IF(ISERROR(FIND(ROW($1:$168)-1,BW62&amp;BX62)),ROW($1:$168)-1,""))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2" s="22" t="str">
        <f t="shared" si="62"/>
        <v>中中中</v>
      </c>
      <c r="CA62" s="24">
        <f t="shared" si="63"/>
        <v>6</v>
      </c>
      <c r="CB62" s="24" t="str">
        <f t="shared" si="73"/>
        <v/>
      </c>
      <c r="CC62" s="24" t="str">
        <f t="array" ref="CC62">_xlfn.TEXTJOIN("",TRUE,IF(ISERROR(FIND(ROW($1:$168)-1,CA62&amp;CB62)),ROW($1:$168)-1,""))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2" s="22" t="str">
        <f t="shared" si="64"/>
        <v>复中中</v>
      </c>
      <c r="CE62" s="25" t="str">
        <f t="shared" si="65"/>
        <v>57</v>
      </c>
      <c r="CF62" s="26" t="str">
        <f t="array" ref="CF62">_xlfn.TEXTJOIN("",TRUE,IF(ISNUMBER(FIND(MID(CE61&amp;W61,ROW($1:$162),1),CE62&amp;W62)),MID(CE61&amp;W61,ROW($1:$162),1),""))</f>
        <v>576</v>
      </c>
      <c r="CG62" s="27" t="str">
        <f t="array" ref="CG62">_xlfn.TEXTJOIN("",TRUE,IF(ISERROR(FIND(ROW($1:$168)-1,CE62&amp;CF62)),ROW($1:$168)-1,""))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2" s="28" t="str">
        <f t="shared" si="66"/>
        <v>邻传孤</v>
      </c>
      <c r="CI62" s="29" t="str">
        <f t="shared" si="67"/>
        <v>91</v>
      </c>
      <c r="CJ62" s="29" t="str">
        <f t="array" ref="CJ62">_xlfn.TEXTJOIN("",TRUE,IF(ISNUMBER(FIND(MID(CI61&amp;X61,ROW($1:$162),1),CI62&amp;X62)),MID(CI61&amp;X61,ROW($1:$162),1),""))</f>
        <v/>
      </c>
      <c r="CK62" s="29" t="str">
        <f t="array" ref="CK62">_xlfn.TEXTJOIN("",TRUE,IF(ISERROR(FIND(ROW($1:$168)-1,CI62&amp;CJ62)),ROW($1:$168)-1,""))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62" s="19" t="str">
        <f t="shared" si="68"/>
        <v>邻孤孤</v>
      </c>
      <c r="CM62" s="24" t="str">
        <f t="shared" si="69"/>
        <v>57</v>
      </c>
      <c r="CN62" s="24" t="str">
        <f t="array" ref="CN62">_xlfn.TEXTJOIN("",TRUE,IF(ISNUMBER(FIND(MID(CM61&amp;Y61,ROW($1:$162),1),CM62&amp;Y62)),MID(CM61&amp;Y61,ROW($1:$162),1),""))</f>
        <v/>
      </c>
      <c r="CO62" s="24" t="str">
        <f t="array" ref="CO62">_xlfn.TEXTJOIN("",TRUE,IF(ISERROR(FIND(ROW($1:$168)-1,CM62&amp;CN62)),ROW($1:$168)-1,""))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2" s="30" t="str">
        <f t="shared" si="70"/>
        <v>邻孤孤</v>
      </c>
    </row>
    <row r="63" customFormat="1" spans="1:94">
      <c r="A63" s="15">
        <v>63</v>
      </c>
      <c r="B63" s="80">
        <v>2024032</v>
      </c>
      <c r="C63" s="8" t="s">
        <v>88</v>
      </c>
      <c r="D63" s="81">
        <f t="shared" si="50"/>
        <v>23</v>
      </c>
      <c r="E63" s="82">
        <f t="shared" si="51"/>
        <v>3</v>
      </c>
      <c r="F63" s="83">
        <f t="shared" si="9"/>
        <v>5.75</v>
      </c>
      <c r="G63" s="84" t="str">
        <f t="shared" si="10"/>
        <v>紧凑</v>
      </c>
      <c r="H63" s="85" t="s">
        <v>10</v>
      </c>
      <c r="I63" s="85" t="s">
        <v>11</v>
      </c>
      <c r="J63" s="85" t="s">
        <v>12</v>
      </c>
      <c r="K63" s="85" t="s">
        <v>13</v>
      </c>
      <c r="L63" s="86">
        <f>MAX(MID(C63,{1,2,3},1)*1)-MIN(MID(C63,{1,2,3},1)*1)</f>
        <v>4</v>
      </c>
      <c r="M63" s="87">
        <v>0</v>
      </c>
      <c r="N63" s="87">
        <v>1</v>
      </c>
      <c r="O63" s="87">
        <v>2</v>
      </c>
      <c r="P63" s="87">
        <v>3</v>
      </c>
      <c r="Q63" s="87">
        <v>4</v>
      </c>
      <c r="R63" s="87">
        <v>5</v>
      </c>
      <c r="S63" s="87">
        <v>6</v>
      </c>
      <c r="T63" s="87">
        <v>7</v>
      </c>
      <c r="U63" s="87">
        <v>8</v>
      </c>
      <c r="V63" s="87">
        <v>9</v>
      </c>
      <c r="W63" s="88">
        <f t="shared" si="52"/>
        <v>0</v>
      </c>
      <c r="X63" s="88">
        <f t="shared" si="53"/>
        <v>4</v>
      </c>
      <c r="Y63" s="88">
        <f t="shared" si="54"/>
        <v>4</v>
      </c>
      <c r="Z63" s="89">
        <f t="shared" si="55"/>
        <v>8</v>
      </c>
      <c r="AA63" s="17" t="str">
        <f>_xlfn.TEXTJOIN(", ",TRUE,ABS(MID(C63,{1,1,2},1)-MID(C63,{2,3,3},1)))</f>
        <v>0, 4, 4</v>
      </c>
      <c r="AB63" s="90">
        <v>0</v>
      </c>
      <c r="AC63" s="90">
        <v>1</v>
      </c>
      <c r="AD63" s="90">
        <v>2</v>
      </c>
      <c r="AE63" s="90">
        <v>3</v>
      </c>
      <c r="AF63" s="90">
        <v>4</v>
      </c>
      <c r="AG63" s="90">
        <v>5</v>
      </c>
      <c r="AH63" s="90">
        <v>6</v>
      </c>
      <c r="AI63" s="90">
        <v>7</v>
      </c>
      <c r="AJ63" s="90">
        <v>8</v>
      </c>
      <c r="AK63" s="90">
        <v>9</v>
      </c>
      <c r="AL63" s="91">
        <v>0</v>
      </c>
      <c r="AM63" s="91">
        <v>1</v>
      </c>
      <c r="AN63" s="91">
        <v>2</v>
      </c>
      <c r="AO63" s="91">
        <v>3</v>
      </c>
      <c r="AP63" s="91">
        <v>4</v>
      </c>
      <c r="AQ63" s="91">
        <v>5</v>
      </c>
      <c r="AR63" s="91">
        <v>6</v>
      </c>
      <c r="AS63" s="91">
        <v>7</v>
      </c>
      <c r="AT63" s="91">
        <v>8</v>
      </c>
      <c r="AU63" s="91">
        <v>9</v>
      </c>
      <c r="AV63" s="92">
        <v>0</v>
      </c>
      <c r="AW63" s="92">
        <v>1</v>
      </c>
      <c r="AX63" s="92">
        <v>2</v>
      </c>
      <c r="AY63" s="92">
        <v>3</v>
      </c>
      <c r="AZ63" s="92">
        <v>4</v>
      </c>
      <c r="BA63" s="92">
        <v>5</v>
      </c>
      <c r="BB63" s="92">
        <v>6</v>
      </c>
      <c r="BC63" s="92">
        <v>7</v>
      </c>
      <c r="BD63" s="92">
        <v>8</v>
      </c>
      <c r="BE63" s="92">
        <v>9</v>
      </c>
      <c r="BF63" s="93">
        <v>0</v>
      </c>
      <c r="BG63" s="93">
        <v>1</v>
      </c>
      <c r="BH63" s="93">
        <v>2</v>
      </c>
      <c r="BI63" s="93">
        <v>3</v>
      </c>
      <c r="BJ63" s="93">
        <v>4</v>
      </c>
      <c r="BK63" s="93">
        <v>5</v>
      </c>
      <c r="BL63" s="93">
        <v>6</v>
      </c>
      <c r="BM63" s="93">
        <v>7</v>
      </c>
      <c r="BN63" s="93">
        <v>8</v>
      </c>
      <c r="BO63" s="93">
        <v>9</v>
      </c>
      <c r="BP63" s="94" t="str">
        <f t="shared" si="56"/>
        <v>紧凑型</v>
      </c>
      <c r="BQ63" s="15">
        <f t="shared" si="57"/>
        <v>0</v>
      </c>
      <c r="BR63" s="15">
        <f t="shared" si="58"/>
        <v>4</v>
      </c>
      <c r="BS63" s="20">
        <f t="shared" si="59"/>
        <v>0</v>
      </c>
      <c r="BT63" s="21" t="str">
        <f t="shared" si="71"/>
        <v/>
      </c>
      <c r="BU63" s="21" t="str">
        <f t="array" ref="BU63">_xlfn.TEXTJOIN("",TRUE,IF(ISERROR(FIND(ROW($1:$168)-1,BS63&amp;BT63)),ROW($1:$168)-1,""))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3" s="22" t="str">
        <f t="shared" si="60"/>
        <v>复中中</v>
      </c>
      <c r="BW63" s="23" t="str">
        <f t="shared" si="61"/>
        <v/>
      </c>
      <c r="BX63" s="23">
        <f t="shared" si="72"/>
        <v>4</v>
      </c>
      <c r="BY63" s="23" t="str">
        <f t="array" ref="BY63">_xlfn.TEXTJOIN("",TRUE,IF(ISERROR(FIND(ROW($1:$168)-1,BW63&amp;BX63)),ROW($1:$168)-1,""))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3" s="22" t="str">
        <f t="shared" si="62"/>
        <v>中隔中</v>
      </c>
      <c r="CA63" s="24" t="str">
        <f t="shared" si="63"/>
        <v/>
      </c>
      <c r="CB63" s="24">
        <f t="shared" si="73"/>
        <v>4</v>
      </c>
      <c r="CC63" s="24" t="str">
        <f t="array" ref="CC63">_xlfn.TEXTJOIN("",TRUE,IF(ISERROR(FIND(ROW($1:$168)-1,CA63&amp;CB63)),ROW($1:$168)-1,""))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3" s="22" t="str">
        <f t="shared" si="64"/>
        <v>中隔中</v>
      </c>
      <c r="CE63" s="25" t="str">
        <f t="shared" si="65"/>
        <v>91</v>
      </c>
      <c r="CF63" s="26" t="str">
        <f t="array" ref="CF63">_xlfn.TEXTJOIN("",TRUE,IF(ISNUMBER(FIND(MID(CE62&amp;W62,ROW($1:$162),1),CE63&amp;W63)),MID(CE62&amp;W62,ROW($1:$162),1),""))</f>
        <v/>
      </c>
      <c r="CG63" s="27" t="str">
        <f t="array" ref="CG63">_xlfn.TEXTJOIN("",TRUE,IF(ISERROR(FIND(ROW($1:$168)-1,CE63&amp;CF63)),ROW($1:$168)-1,""))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63" s="28" t="str">
        <f t="shared" si="66"/>
        <v>邻孤孤</v>
      </c>
      <c r="CI63" s="29" t="str">
        <f t="shared" si="67"/>
        <v>35</v>
      </c>
      <c r="CJ63" s="29" t="str">
        <f t="array" ref="CJ63">_xlfn.TEXTJOIN("",TRUE,IF(ISNUMBER(FIND(MID(CI62&amp;X62,ROW($1:$162),1),CI63&amp;X63)),MID(CI62&amp;X62,ROW($1:$162),1),""))</f>
        <v/>
      </c>
      <c r="CK63" s="29" t="str">
        <f t="array" ref="CK63">_xlfn.TEXTJOIN("",TRUE,IF(ISERROR(FIND(ROW($1:$168)-1,CI63&amp;CJ63)),ROW($1:$168)-1,""))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3" s="19" t="str">
        <f t="shared" si="68"/>
        <v>邻孤孤</v>
      </c>
      <c r="CM63" s="24" t="str">
        <f t="shared" si="69"/>
        <v>35</v>
      </c>
      <c r="CN63" s="24" t="str">
        <f t="array" ref="CN63">_xlfn.TEXTJOIN("",TRUE,IF(ISNUMBER(FIND(MID(CM62&amp;Y62,ROW($1:$162),1),CM63&amp;Y63)),MID(CM62&amp;Y62,ROW($1:$162),1),""))</f>
        <v>5</v>
      </c>
      <c r="CO63" s="24" t="str">
        <f t="array" ref="CO63">_xlfn.TEXTJOIN("",TRUE,IF(ISERROR(FIND(ROW($1:$168)-1,CM63&amp;CN63)),ROW($1:$168)-1,""))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3" s="30" t="str">
        <f t="shared" si="70"/>
        <v>邻传孤</v>
      </c>
    </row>
    <row r="64" customFormat="1" spans="1:94">
      <c r="A64" s="15">
        <v>64</v>
      </c>
      <c r="B64" s="80">
        <v>2024033</v>
      </c>
      <c r="C64" s="8" t="s">
        <v>89</v>
      </c>
      <c r="D64" s="81">
        <f t="shared" si="50"/>
        <v>18</v>
      </c>
      <c r="E64" s="82">
        <f t="shared" si="51"/>
        <v>8</v>
      </c>
      <c r="F64" s="83">
        <f t="shared" si="9"/>
        <v>3.6</v>
      </c>
      <c r="G64" s="84" t="str">
        <f t="shared" si="10"/>
        <v>紧凑</v>
      </c>
      <c r="H64" s="85" t="s">
        <v>10</v>
      </c>
      <c r="I64" s="85" t="s">
        <v>11</v>
      </c>
      <c r="J64" s="85" t="s">
        <v>12</v>
      </c>
      <c r="K64" s="85" t="s">
        <v>13</v>
      </c>
      <c r="L64" s="86">
        <f>MAX(MID(C64,{1,2,3},1)*1)-MIN(MID(C64,{1,2,3},1)*1)</f>
        <v>5</v>
      </c>
      <c r="M64" s="87">
        <v>0</v>
      </c>
      <c r="N64" s="87">
        <v>1</v>
      </c>
      <c r="O64" s="87">
        <v>2</v>
      </c>
      <c r="P64" s="87">
        <v>3</v>
      </c>
      <c r="Q64" s="87">
        <v>4</v>
      </c>
      <c r="R64" s="87">
        <v>5</v>
      </c>
      <c r="S64" s="87">
        <v>6</v>
      </c>
      <c r="T64" s="87">
        <v>7</v>
      </c>
      <c r="U64" s="87">
        <v>8</v>
      </c>
      <c r="V64" s="87">
        <v>9</v>
      </c>
      <c r="W64" s="88">
        <f t="shared" si="52"/>
        <v>5</v>
      </c>
      <c r="X64" s="88">
        <f t="shared" si="53"/>
        <v>4</v>
      </c>
      <c r="Y64" s="88">
        <f t="shared" si="54"/>
        <v>1</v>
      </c>
      <c r="Z64" s="89">
        <f t="shared" si="55"/>
        <v>10</v>
      </c>
      <c r="AA64" s="17" t="str">
        <f>_xlfn.TEXTJOIN(", ",TRUE,ABS(MID(C64,{1,1,2},1)-MID(C64,{2,3,3},1)))</f>
        <v>5, 4, 1</v>
      </c>
      <c r="AB64" s="90">
        <v>0</v>
      </c>
      <c r="AC64" s="90">
        <v>1</v>
      </c>
      <c r="AD64" s="90">
        <v>2</v>
      </c>
      <c r="AE64" s="90">
        <v>3</v>
      </c>
      <c r="AF64" s="90">
        <v>4</v>
      </c>
      <c r="AG64" s="90">
        <v>5</v>
      </c>
      <c r="AH64" s="90">
        <v>6</v>
      </c>
      <c r="AI64" s="90">
        <v>7</v>
      </c>
      <c r="AJ64" s="90">
        <v>8</v>
      </c>
      <c r="AK64" s="90">
        <v>9</v>
      </c>
      <c r="AL64" s="91">
        <v>0</v>
      </c>
      <c r="AM64" s="91">
        <v>1</v>
      </c>
      <c r="AN64" s="91">
        <v>2</v>
      </c>
      <c r="AO64" s="91">
        <v>3</v>
      </c>
      <c r="AP64" s="91">
        <v>4</v>
      </c>
      <c r="AQ64" s="91">
        <v>5</v>
      </c>
      <c r="AR64" s="91">
        <v>6</v>
      </c>
      <c r="AS64" s="91">
        <v>7</v>
      </c>
      <c r="AT64" s="91">
        <v>8</v>
      </c>
      <c r="AU64" s="91">
        <v>9</v>
      </c>
      <c r="AV64" s="92">
        <v>0</v>
      </c>
      <c r="AW64" s="92">
        <v>1</v>
      </c>
      <c r="AX64" s="92">
        <v>2</v>
      </c>
      <c r="AY64" s="92">
        <v>3</v>
      </c>
      <c r="AZ64" s="92">
        <v>4</v>
      </c>
      <c r="BA64" s="92">
        <v>5</v>
      </c>
      <c r="BB64" s="92">
        <v>6</v>
      </c>
      <c r="BC64" s="92">
        <v>7</v>
      </c>
      <c r="BD64" s="92">
        <v>8</v>
      </c>
      <c r="BE64" s="92">
        <v>9</v>
      </c>
      <c r="BF64" s="93">
        <v>0</v>
      </c>
      <c r="BG64" s="93">
        <v>1</v>
      </c>
      <c r="BH64" s="93">
        <v>2</v>
      </c>
      <c r="BI64" s="93">
        <v>3</v>
      </c>
      <c r="BJ64" s="93">
        <v>4</v>
      </c>
      <c r="BK64" s="93">
        <v>5</v>
      </c>
      <c r="BL64" s="93">
        <v>6</v>
      </c>
      <c r="BM64" s="93">
        <v>7</v>
      </c>
      <c r="BN64" s="93">
        <v>8</v>
      </c>
      <c r="BO64" s="93">
        <v>9</v>
      </c>
      <c r="BP64" s="94" t="str">
        <f t="shared" si="56"/>
        <v>标准型</v>
      </c>
      <c r="BQ64" s="15">
        <f t="shared" si="57"/>
        <v>1</v>
      </c>
      <c r="BR64" s="15">
        <f t="shared" si="58"/>
        <v>5</v>
      </c>
      <c r="BS64" s="20" t="str">
        <f t="shared" si="59"/>
        <v/>
      </c>
      <c r="BT64" s="21" t="str">
        <f t="shared" si="71"/>
        <v/>
      </c>
      <c r="BU64" s="21" t="str">
        <f t="array" ref="BU64">_xlfn.TEXTJOIN("",TRUE,IF(ISERROR(FIND(ROW($1:$168)-1,BS64&amp;BT64)),ROW($1:$168)-1,""))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4" s="22" t="str">
        <f t="shared" si="60"/>
        <v>中中中</v>
      </c>
      <c r="BW64" s="23">
        <f t="shared" si="61"/>
        <v>4</v>
      </c>
      <c r="BX64" s="23" t="str">
        <f t="shared" si="72"/>
        <v/>
      </c>
      <c r="BY64" s="23" t="str">
        <f t="array" ref="BY64">_xlfn.TEXTJOIN("",TRUE,IF(ISERROR(FIND(ROW($1:$168)-1,BW64&amp;BX64)),ROW($1:$168)-1,""))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4" s="22" t="str">
        <f t="shared" si="62"/>
        <v>复中中</v>
      </c>
      <c r="CA64" s="24" t="str">
        <f t="shared" si="63"/>
        <v/>
      </c>
      <c r="CB64" s="24" t="str">
        <f t="shared" si="73"/>
        <v/>
      </c>
      <c r="CC64" s="24" t="str">
        <f t="array" ref="CC64">_xlfn.TEXTJOIN("",TRUE,IF(ISERROR(FIND(ROW($1:$168)-1,CA64&amp;CB64)),ROW($1:$168)-1,""))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4" s="22" t="str">
        <f t="shared" si="64"/>
        <v>中中中</v>
      </c>
      <c r="CE64" s="25" t="str">
        <f t="shared" si="65"/>
        <v>46</v>
      </c>
      <c r="CF64" s="26" t="str">
        <f t="array" ref="CF64">_xlfn.TEXTJOIN("",TRUE,IF(ISNUMBER(FIND(MID(CE63&amp;W63,ROW($1:$162),1),CE64&amp;W64)),MID(CE63&amp;W63,ROW($1:$162),1),""))</f>
        <v/>
      </c>
      <c r="CG64" s="27" t="str">
        <f t="array" ref="CG64">_xlfn.TEXTJOIN("",TRUE,IF(ISERROR(FIND(ROW($1:$168)-1,CE64&amp;CF64)),ROW($1:$168)-1,""))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4" s="28" t="str">
        <f t="shared" si="66"/>
        <v>邻孤孤</v>
      </c>
      <c r="CI64" s="29" t="str">
        <f t="shared" si="67"/>
        <v>35</v>
      </c>
      <c r="CJ64" s="29" t="str">
        <f t="array" ref="CJ64">_xlfn.TEXTJOIN("",TRUE,IF(ISNUMBER(FIND(MID(CI63&amp;X63,ROW($1:$162),1),CI64&amp;X64)),MID(CI63&amp;X63,ROW($1:$162),1),""))</f>
        <v>354</v>
      </c>
      <c r="CK64" s="29" t="str">
        <f t="array" ref="CK64">_xlfn.TEXTJOIN("",TRUE,IF(ISERROR(FIND(ROW($1:$168)-1,CI64&amp;CJ64)),ROW($1:$168)-1,""))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4" s="19" t="str">
        <f t="shared" si="68"/>
        <v>邻传孤</v>
      </c>
      <c r="CM64" s="24" t="str">
        <f t="shared" si="69"/>
        <v>02</v>
      </c>
      <c r="CN64" s="24" t="str">
        <f t="array" ref="CN64">_xlfn.TEXTJOIN("",TRUE,IF(ISNUMBER(FIND(MID(CM63&amp;Y63,ROW($1:$162),1),CM64&amp;Y64)),MID(CM63&amp;Y63,ROW($1:$162),1),""))</f>
        <v/>
      </c>
      <c r="CO64" s="24" t="str">
        <f t="array" ref="CO64">_xlfn.TEXTJOIN("",TRUE,IF(ISERROR(FIND(ROW($1:$168)-1,CM64&amp;CN64)),ROW($1:$168)-1,""))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4" s="30" t="str">
        <f t="shared" si="70"/>
        <v>邻孤孤</v>
      </c>
    </row>
    <row r="65" customFormat="1" spans="1:94">
      <c r="A65" s="15">
        <v>65</v>
      </c>
      <c r="B65" s="80">
        <v>2024034</v>
      </c>
      <c r="C65" s="8" t="s">
        <v>90</v>
      </c>
      <c r="D65" s="81">
        <f t="shared" si="50"/>
        <v>19</v>
      </c>
      <c r="E65" s="82">
        <f t="shared" si="51"/>
        <v>9</v>
      </c>
      <c r="F65" s="83">
        <f t="shared" si="9"/>
        <v>6.33333333333333</v>
      </c>
      <c r="G65" s="84" t="str">
        <f t="shared" si="10"/>
        <v>紧凑</v>
      </c>
      <c r="H65" s="85" t="s">
        <v>10</v>
      </c>
      <c r="I65" s="85" t="s">
        <v>11</v>
      </c>
      <c r="J65" s="85" t="s">
        <v>12</v>
      </c>
      <c r="K65" s="85" t="s">
        <v>13</v>
      </c>
      <c r="L65" s="86">
        <f>MAX(MID(C65,{1,2,3},1)*1)-MIN(MID(C65,{1,2,3},1)*1)</f>
        <v>3</v>
      </c>
      <c r="M65" s="87">
        <v>0</v>
      </c>
      <c r="N65" s="87">
        <v>1</v>
      </c>
      <c r="O65" s="87">
        <v>2</v>
      </c>
      <c r="P65" s="87">
        <v>3</v>
      </c>
      <c r="Q65" s="87">
        <v>4</v>
      </c>
      <c r="R65" s="87">
        <v>5</v>
      </c>
      <c r="S65" s="87">
        <v>6</v>
      </c>
      <c r="T65" s="87">
        <v>7</v>
      </c>
      <c r="U65" s="87">
        <v>8</v>
      </c>
      <c r="V65" s="87">
        <v>9</v>
      </c>
      <c r="W65" s="88">
        <f t="shared" si="52"/>
        <v>3</v>
      </c>
      <c r="X65" s="88">
        <f t="shared" si="53"/>
        <v>2</v>
      </c>
      <c r="Y65" s="88">
        <f t="shared" si="54"/>
        <v>1</v>
      </c>
      <c r="Z65" s="89">
        <f t="shared" si="55"/>
        <v>6</v>
      </c>
      <c r="AA65" s="17" t="str">
        <f>_xlfn.TEXTJOIN(", ",TRUE,ABS(MID(C65,{1,1,2},1)-MID(C65,{2,3,3},1)))</f>
        <v>3, 2, 1</v>
      </c>
      <c r="AB65" s="90">
        <v>0</v>
      </c>
      <c r="AC65" s="90">
        <v>1</v>
      </c>
      <c r="AD65" s="90">
        <v>2</v>
      </c>
      <c r="AE65" s="90">
        <v>3</v>
      </c>
      <c r="AF65" s="90">
        <v>4</v>
      </c>
      <c r="AG65" s="90">
        <v>5</v>
      </c>
      <c r="AH65" s="90">
        <v>6</v>
      </c>
      <c r="AI65" s="90">
        <v>7</v>
      </c>
      <c r="AJ65" s="90">
        <v>8</v>
      </c>
      <c r="AK65" s="90">
        <v>9</v>
      </c>
      <c r="AL65" s="91">
        <v>0</v>
      </c>
      <c r="AM65" s="91">
        <v>1</v>
      </c>
      <c r="AN65" s="91">
        <v>2</v>
      </c>
      <c r="AO65" s="91">
        <v>3</v>
      </c>
      <c r="AP65" s="91">
        <v>4</v>
      </c>
      <c r="AQ65" s="91">
        <v>5</v>
      </c>
      <c r="AR65" s="91">
        <v>6</v>
      </c>
      <c r="AS65" s="91">
        <v>7</v>
      </c>
      <c r="AT65" s="91">
        <v>8</v>
      </c>
      <c r="AU65" s="91">
        <v>9</v>
      </c>
      <c r="AV65" s="92">
        <v>0</v>
      </c>
      <c r="AW65" s="92">
        <v>1</v>
      </c>
      <c r="AX65" s="92">
        <v>2</v>
      </c>
      <c r="AY65" s="92">
        <v>3</v>
      </c>
      <c r="AZ65" s="92">
        <v>4</v>
      </c>
      <c r="BA65" s="92">
        <v>5</v>
      </c>
      <c r="BB65" s="92">
        <v>6</v>
      </c>
      <c r="BC65" s="92">
        <v>7</v>
      </c>
      <c r="BD65" s="92">
        <v>8</v>
      </c>
      <c r="BE65" s="92">
        <v>9</v>
      </c>
      <c r="BF65" s="93">
        <v>0</v>
      </c>
      <c r="BG65" s="93">
        <v>1</v>
      </c>
      <c r="BH65" s="93">
        <v>2</v>
      </c>
      <c r="BI65" s="93">
        <v>3</v>
      </c>
      <c r="BJ65" s="93">
        <v>4</v>
      </c>
      <c r="BK65" s="93">
        <v>5</v>
      </c>
      <c r="BL65" s="93">
        <v>6</v>
      </c>
      <c r="BM65" s="93">
        <v>7</v>
      </c>
      <c r="BN65" s="93">
        <v>8</v>
      </c>
      <c r="BO65" s="93">
        <v>9</v>
      </c>
      <c r="BP65" s="94" t="str">
        <f t="shared" si="56"/>
        <v>紧凑型</v>
      </c>
      <c r="BQ65" s="15">
        <f t="shared" si="57"/>
        <v>1</v>
      </c>
      <c r="BR65" s="15">
        <f t="shared" si="58"/>
        <v>3</v>
      </c>
      <c r="BS65" s="20" t="str">
        <f t="shared" si="59"/>
        <v/>
      </c>
      <c r="BT65" s="21" t="str">
        <f t="shared" si="71"/>
        <v/>
      </c>
      <c r="BU65" s="21" t="str">
        <f t="array" ref="BU65">_xlfn.TEXTJOIN("",TRUE,IF(ISERROR(FIND(ROW($1:$168)-1,BS65&amp;BT65)),ROW($1:$168)-1,""))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5" s="22" t="str">
        <f t="shared" si="60"/>
        <v>中中中</v>
      </c>
      <c r="BW65" s="23" t="str">
        <f t="shared" si="61"/>
        <v/>
      </c>
      <c r="BX65" s="23" t="str">
        <f t="shared" si="72"/>
        <v/>
      </c>
      <c r="BY65" s="23" t="str">
        <f t="array" ref="BY65">_xlfn.TEXTJOIN("",TRUE,IF(ISERROR(FIND(ROW($1:$168)-1,BW65&amp;BX65)),ROW($1:$168)-1,""))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5" s="22" t="str">
        <f t="shared" si="62"/>
        <v>中中中</v>
      </c>
      <c r="CA65" s="24">
        <f t="shared" si="63"/>
        <v>1</v>
      </c>
      <c r="CB65" s="24" t="str">
        <f t="shared" si="73"/>
        <v/>
      </c>
      <c r="CC65" s="24" t="str">
        <f t="array" ref="CC65">_xlfn.TEXTJOIN("",TRUE,IF(ISERROR(FIND(ROW($1:$168)-1,CA65&amp;CB65)),ROW($1:$168)-1,""))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5" s="22" t="str">
        <f t="shared" si="64"/>
        <v>复中中</v>
      </c>
      <c r="CE65" s="25" t="str">
        <f t="shared" si="65"/>
        <v>24</v>
      </c>
      <c r="CF65" s="26" t="str">
        <f t="array" ref="CF65">_xlfn.TEXTJOIN("",TRUE,IF(ISNUMBER(FIND(MID(CE64&amp;W64,ROW($1:$162),1),CE65&amp;W65)),MID(CE64&amp;W64,ROW($1:$162),1),""))</f>
        <v>4</v>
      </c>
      <c r="CG65" s="27" t="str">
        <f t="array" ref="CG65">_xlfn.TEXTJOIN("",TRUE,IF(ISERROR(FIND(ROW($1:$168)-1,CE65&amp;CF65)),ROW($1:$168)-1,""))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5" s="28" t="str">
        <f t="shared" si="66"/>
        <v>邻传孤</v>
      </c>
      <c r="CI65" s="29" t="str">
        <f t="shared" si="67"/>
        <v>13</v>
      </c>
      <c r="CJ65" s="29" t="str">
        <f t="array" ref="CJ65">_xlfn.TEXTJOIN("",TRUE,IF(ISNUMBER(FIND(MID(CI64&amp;X64,ROW($1:$162),1),CI65&amp;X65)),MID(CI64&amp;X64,ROW($1:$162),1),""))</f>
        <v>3</v>
      </c>
      <c r="CK65" s="29" t="str">
        <f t="array" ref="CK65">_xlfn.TEXTJOIN("",TRUE,IF(ISERROR(FIND(ROW($1:$168)-1,CI65&amp;CJ65)),ROW($1:$168)-1,""))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65" s="19" t="str">
        <f t="shared" si="68"/>
        <v>邻传孤</v>
      </c>
      <c r="CM65" s="24" t="str">
        <f t="shared" si="69"/>
        <v>02</v>
      </c>
      <c r="CN65" s="24" t="str">
        <f t="array" ref="CN65">_xlfn.TEXTJOIN("",TRUE,IF(ISNUMBER(FIND(MID(CM64&amp;Y64,ROW($1:$162),1),CM65&amp;Y65)),MID(CM64&amp;Y64,ROW($1:$162),1),""))</f>
        <v>021</v>
      </c>
      <c r="CO65" s="24" t="str">
        <f t="array" ref="CO65">_xlfn.TEXTJOIN("",TRUE,IF(ISERROR(FIND(ROW($1:$168)-1,CM65&amp;CN65)),ROW($1:$168)-1,""))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5" s="30" t="str">
        <f t="shared" si="70"/>
        <v>邻传孤</v>
      </c>
    </row>
    <row r="66" customFormat="1" spans="1:94">
      <c r="A66" s="15">
        <v>66</v>
      </c>
      <c r="B66" s="80">
        <v>2024035</v>
      </c>
      <c r="C66" s="8" t="s">
        <v>91</v>
      </c>
      <c r="D66" s="81">
        <f t="shared" si="50"/>
        <v>9</v>
      </c>
      <c r="E66" s="82">
        <f t="shared" si="51"/>
        <v>9</v>
      </c>
      <c r="F66" s="83">
        <f t="shared" si="9"/>
        <v>1.8</v>
      </c>
      <c r="G66" s="84" t="str">
        <f t="shared" si="10"/>
        <v>松散</v>
      </c>
      <c r="H66" s="85" t="s">
        <v>10</v>
      </c>
      <c r="I66" s="85" t="s">
        <v>11</v>
      </c>
      <c r="J66" s="85" t="s">
        <v>12</v>
      </c>
      <c r="K66" s="85" t="s">
        <v>13</v>
      </c>
      <c r="L66" s="86">
        <f>MAX(MID(C66,{1,2,3},1)*1)-MIN(MID(C66,{1,2,3},1)*1)</f>
        <v>5</v>
      </c>
      <c r="M66" s="87">
        <v>0</v>
      </c>
      <c r="N66" s="87">
        <v>1</v>
      </c>
      <c r="O66" s="87">
        <v>2</v>
      </c>
      <c r="P66" s="87">
        <v>3</v>
      </c>
      <c r="Q66" s="87">
        <v>4</v>
      </c>
      <c r="R66" s="87">
        <v>5</v>
      </c>
      <c r="S66" s="87">
        <v>6</v>
      </c>
      <c r="T66" s="87">
        <v>7</v>
      </c>
      <c r="U66" s="87">
        <v>8</v>
      </c>
      <c r="V66" s="87">
        <v>9</v>
      </c>
      <c r="W66" s="88">
        <f t="shared" si="52"/>
        <v>4</v>
      </c>
      <c r="X66" s="88">
        <f t="shared" si="53"/>
        <v>5</v>
      </c>
      <c r="Y66" s="88">
        <f t="shared" si="54"/>
        <v>1</v>
      </c>
      <c r="Z66" s="89">
        <f t="shared" si="55"/>
        <v>10</v>
      </c>
      <c r="AA66" s="17" t="str">
        <f>_xlfn.TEXTJOIN(", ",TRUE,ABS(MID(C66,{1,1,2},1)-MID(C66,{2,3,3},1)))</f>
        <v>4, 5, 1</v>
      </c>
      <c r="AB66" s="90">
        <v>0</v>
      </c>
      <c r="AC66" s="90">
        <v>1</v>
      </c>
      <c r="AD66" s="90">
        <v>2</v>
      </c>
      <c r="AE66" s="90">
        <v>3</v>
      </c>
      <c r="AF66" s="90">
        <v>4</v>
      </c>
      <c r="AG66" s="90">
        <v>5</v>
      </c>
      <c r="AH66" s="90">
        <v>6</v>
      </c>
      <c r="AI66" s="90">
        <v>7</v>
      </c>
      <c r="AJ66" s="90">
        <v>8</v>
      </c>
      <c r="AK66" s="90">
        <v>9</v>
      </c>
      <c r="AL66" s="91">
        <v>0</v>
      </c>
      <c r="AM66" s="91">
        <v>1</v>
      </c>
      <c r="AN66" s="91">
        <v>2</v>
      </c>
      <c r="AO66" s="91">
        <v>3</v>
      </c>
      <c r="AP66" s="91">
        <v>4</v>
      </c>
      <c r="AQ66" s="91">
        <v>5</v>
      </c>
      <c r="AR66" s="91">
        <v>6</v>
      </c>
      <c r="AS66" s="91">
        <v>7</v>
      </c>
      <c r="AT66" s="91">
        <v>8</v>
      </c>
      <c r="AU66" s="91">
        <v>9</v>
      </c>
      <c r="AV66" s="92">
        <v>0</v>
      </c>
      <c r="AW66" s="92">
        <v>1</v>
      </c>
      <c r="AX66" s="92">
        <v>2</v>
      </c>
      <c r="AY66" s="92">
        <v>3</v>
      </c>
      <c r="AZ66" s="92">
        <v>4</v>
      </c>
      <c r="BA66" s="92">
        <v>5</v>
      </c>
      <c r="BB66" s="92">
        <v>6</v>
      </c>
      <c r="BC66" s="92">
        <v>7</v>
      </c>
      <c r="BD66" s="92">
        <v>8</v>
      </c>
      <c r="BE66" s="92">
        <v>9</v>
      </c>
      <c r="BF66" s="93">
        <v>0</v>
      </c>
      <c r="BG66" s="93">
        <v>1</v>
      </c>
      <c r="BH66" s="93">
        <v>2</v>
      </c>
      <c r="BI66" s="93">
        <v>3</v>
      </c>
      <c r="BJ66" s="93">
        <v>4</v>
      </c>
      <c r="BK66" s="93">
        <v>5</v>
      </c>
      <c r="BL66" s="93">
        <v>6</v>
      </c>
      <c r="BM66" s="93">
        <v>7</v>
      </c>
      <c r="BN66" s="93">
        <v>8</v>
      </c>
      <c r="BO66" s="93">
        <v>9</v>
      </c>
      <c r="BP66" s="94" t="str">
        <f t="shared" si="56"/>
        <v>标准型</v>
      </c>
      <c r="BQ66" s="15">
        <f t="shared" si="57"/>
        <v>1</v>
      </c>
      <c r="BR66" s="15">
        <f t="shared" si="58"/>
        <v>5</v>
      </c>
      <c r="BS66" s="20" t="str">
        <f t="shared" si="59"/>
        <v/>
      </c>
      <c r="BT66" s="21">
        <f t="shared" si="71"/>
        <v>4</v>
      </c>
      <c r="BU66" s="21" t="str">
        <f t="array" ref="BU66">_xlfn.TEXTJOIN("",TRUE,IF(ISERROR(FIND(ROW($1:$168)-1,BS66&amp;BT66)),ROW($1:$168)-1,""))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6" s="22" t="str">
        <f t="shared" si="60"/>
        <v>中隔中</v>
      </c>
      <c r="BW66" s="23" t="str">
        <f t="shared" si="61"/>
        <v/>
      </c>
      <c r="BX66" s="23">
        <f t="shared" si="72"/>
        <v>5</v>
      </c>
      <c r="BY66" s="23" t="str">
        <f t="array" ref="BY66">_xlfn.TEXTJOIN("",TRUE,IF(ISERROR(FIND(ROW($1:$168)-1,BW66&amp;BX66)),ROW($1:$168)-1,""))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6" s="22" t="str">
        <f t="shared" si="62"/>
        <v>中隔中</v>
      </c>
      <c r="CA66" s="24">
        <f t="shared" si="63"/>
        <v>1</v>
      </c>
      <c r="CB66" s="24">
        <f t="shared" si="73"/>
        <v>1</v>
      </c>
      <c r="CC66" s="24" t="str">
        <f t="array" ref="CC66">_xlfn.TEXTJOIN("",TRUE,IF(ISERROR(FIND(ROW($1:$168)-1,CA66&amp;CB66)),ROW($1:$168)-1,""))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6" s="22" t="str">
        <f t="shared" si="64"/>
        <v>复隔中</v>
      </c>
      <c r="CE66" s="25" t="str">
        <f t="shared" si="65"/>
        <v>35</v>
      </c>
      <c r="CF66" s="26" t="str">
        <f t="array" ref="CF66">_xlfn.TEXTJOIN("",TRUE,IF(ISNUMBER(FIND(MID(CE65&amp;W65,ROW($1:$162),1),CE66&amp;W66)),MID(CE65&amp;W65,ROW($1:$162),1),""))</f>
        <v>43</v>
      </c>
      <c r="CG66" s="27" t="str">
        <f t="array" ref="CG66">_xlfn.TEXTJOIN("",TRUE,IF(ISERROR(FIND(ROW($1:$168)-1,CE66&amp;CF66)),ROW($1:$168)-1,""))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6" s="28" t="str">
        <f t="shared" si="66"/>
        <v>邻传孤</v>
      </c>
      <c r="CI66" s="29" t="str">
        <f t="shared" si="67"/>
        <v>46</v>
      </c>
      <c r="CJ66" s="29" t="str">
        <f t="array" ref="CJ66">_xlfn.TEXTJOIN("",TRUE,IF(ISNUMBER(FIND(MID(CI65&amp;X65,ROW($1:$162),1),CI66&amp;X66)),MID(CI65&amp;X65,ROW($1:$162),1),""))</f>
        <v/>
      </c>
      <c r="CK66" s="29" t="str">
        <f t="array" ref="CK66">_xlfn.TEXTJOIN("",TRUE,IF(ISERROR(FIND(ROW($1:$168)-1,CI66&amp;CJ66)),ROW($1:$168)-1,""))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6" s="19" t="str">
        <f t="shared" si="68"/>
        <v>邻孤孤</v>
      </c>
      <c r="CM66" s="24" t="str">
        <f t="shared" si="69"/>
        <v>02</v>
      </c>
      <c r="CN66" s="24" t="str">
        <f t="array" ref="CN66">_xlfn.TEXTJOIN("",TRUE,IF(ISNUMBER(FIND(MID(CM65&amp;Y65,ROW($1:$162),1),CM66&amp;Y66)),MID(CM65&amp;Y65,ROW($1:$162),1),""))</f>
        <v>021</v>
      </c>
      <c r="CO66" s="24" t="str">
        <f t="array" ref="CO66">_xlfn.TEXTJOIN("",TRUE,IF(ISERROR(FIND(ROW($1:$168)-1,CM66&amp;CN66)),ROW($1:$168)-1,""))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6" s="30" t="str">
        <f t="shared" si="70"/>
        <v>邻传孤</v>
      </c>
    </row>
    <row r="67" customFormat="1" spans="1:94">
      <c r="A67" s="15">
        <v>67</v>
      </c>
      <c r="B67" s="80">
        <v>2024036</v>
      </c>
      <c r="C67" s="8" t="s">
        <v>65</v>
      </c>
      <c r="D67" s="81">
        <f t="shared" si="50"/>
        <v>13</v>
      </c>
      <c r="E67" s="82">
        <f t="shared" si="51"/>
        <v>3</v>
      </c>
      <c r="F67" s="83">
        <f t="shared" si="9"/>
        <v>3.25</v>
      </c>
      <c r="G67" s="84" t="str">
        <f t="shared" si="10"/>
        <v>标准</v>
      </c>
      <c r="H67" s="85" t="s">
        <v>10</v>
      </c>
      <c r="I67" s="85" t="s">
        <v>11</v>
      </c>
      <c r="J67" s="85" t="s">
        <v>12</v>
      </c>
      <c r="K67" s="85" t="s">
        <v>13</v>
      </c>
      <c r="L67" s="86">
        <f>MAX(MID(C67,{1,2,3},1)*1)-MIN(MID(C67,{1,2,3},1)*1)</f>
        <v>4</v>
      </c>
      <c r="M67" s="87">
        <v>0</v>
      </c>
      <c r="N67" s="87">
        <v>1</v>
      </c>
      <c r="O67" s="87">
        <v>2</v>
      </c>
      <c r="P67" s="87">
        <v>3</v>
      </c>
      <c r="Q67" s="87">
        <v>4</v>
      </c>
      <c r="R67" s="87">
        <v>5</v>
      </c>
      <c r="S67" s="87">
        <v>6</v>
      </c>
      <c r="T67" s="87">
        <v>7</v>
      </c>
      <c r="U67" s="87">
        <v>8</v>
      </c>
      <c r="V67" s="87">
        <v>9</v>
      </c>
      <c r="W67" s="88">
        <f t="shared" si="52"/>
        <v>4</v>
      </c>
      <c r="X67" s="88">
        <f t="shared" si="53"/>
        <v>3</v>
      </c>
      <c r="Y67" s="88">
        <f t="shared" si="54"/>
        <v>1</v>
      </c>
      <c r="Z67" s="89">
        <f t="shared" si="55"/>
        <v>8</v>
      </c>
      <c r="AA67" s="17" t="str">
        <f>_xlfn.TEXTJOIN(", ",TRUE,ABS(MID(C67,{1,1,2},1)-MID(C67,{2,3,3},1)))</f>
        <v>4, 3, 1</v>
      </c>
      <c r="AB67" s="90">
        <v>0</v>
      </c>
      <c r="AC67" s="90">
        <v>1</v>
      </c>
      <c r="AD67" s="90">
        <v>2</v>
      </c>
      <c r="AE67" s="90">
        <v>3</v>
      </c>
      <c r="AF67" s="90">
        <v>4</v>
      </c>
      <c r="AG67" s="90">
        <v>5</v>
      </c>
      <c r="AH67" s="90">
        <v>6</v>
      </c>
      <c r="AI67" s="90">
        <v>7</v>
      </c>
      <c r="AJ67" s="90">
        <v>8</v>
      </c>
      <c r="AK67" s="90">
        <v>9</v>
      </c>
      <c r="AL67" s="91">
        <v>0</v>
      </c>
      <c r="AM67" s="91">
        <v>1</v>
      </c>
      <c r="AN67" s="91">
        <v>2</v>
      </c>
      <c r="AO67" s="91">
        <v>3</v>
      </c>
      <c r="AP67" s="91">
        <v>4</v>
      </c>
      <c r="AQ67" s="91">
        <v>5</v>
      </c>
      <c r="AR67" s="91">
        <v>6</v>
      </c>
      <c r="AS67" s="91">
        <v>7</v>
      </c>
      <c r="AT67" s="91">
        <v>8</v>
      </c>
      <c r="AU67" s="91">
        <v>9</v>
      </c>
      <c r="AV67" s="92">
        <v>0</v>
      </c>
      <c r="AW67" s="92">
        <v>1</v>
      </c>
      <c r="AX67" s="92">
        <v>2</v>
      </c>
      <c r="AY67" s="92">
        <v>3</v>
      </c>
      <c r="AZ67" s="92">
        <v>4</v>
      </c>
      <c r="BA67" s="92">
        <v>5</v>
      </c>
      <c r="BB67" s="92">
        <v>6</v>
      </c>
      <c r="BC67" s="92">
        <v>7</v>
      </c>
      <c r="BD67" s="92">
        <v>8</v>
      </c>
      <c r="BE67" s="92">
        <v>9</v>
      </c>
      <c r="BF67" s="93">
        <v>0</v>
      </c>
      <c r="BG67" s="93">
        <v>1</v>
      </c>
      <c r="BH67" s="93">
        <v>2</v>
      </c>
      <c r="BI67" s="93">
        <v>3</v>
      </c>
      <c r="BJ67" s="93">
        <v>4</v>
      </c>
      <c r="BK67" s="93">
        <v>5</v>
      </c>
      <c r="BL67" s="93">
        <v>6</v>
      </c>
      <c r="BM67" s="93">
        <v>7</v>
      </c>
      <c r="BN67" s="93">
        <v>8</v>
      </c>
      <c r="BO67" s="93">
        <v>9</v>
      </c>
      <c r="BP67" s="94" t="str">
        <f t="shared" si="56"/>
        <v>紧凑型</v>
      </c>
      <c r="BQ67" s="15">
        <f t="shared" si="57"/>
        <v>1</v>
      </c>
      <c r="BR67" s="15">
        <f t="shared" si="58"/>
        <v>4</v>
      </c>
      <c r="BS67" s="20">
        <f t="shared" si="59"/>
        <v>4</v>
      </c>
      <c r="BT67" s="21" t="str">
        <f t="shared" si="71"/>
        <v/>
      </c>
      <c r="BU67" s="21" t="str">
        <f t="array" ref="BU67">_xlfn.TEXTJOIN("",TRUE,IF(ISERROR(FIND(ROW($1:$168)-1,BS67&amp;BT67)),ROW($1:$168)-1,""))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7" s="22" t="str">
        <f t="shared" si="60"/>
        <v>复中中</v>
      </c>
      <c r="BW67" s="23" t="str">
        <f t="shared" si="61"/>
        <v/>
      </c>
      <c r="BX67" s="23">
        <f t="shared" si="72"/>
        <v>3</v>
      </c>
      <c r="BY67" s="23" t="str">
        <f t="array" ref="BY67">_xlfn.TEXTJOIN("",TRUE,IF(ISERROR(FIND(ROW($1:$168)-1,BW67&amp;BX67)),ROW($1:$168)-1,""))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7" s="22" t="str">
        <f t="shared" si="62"/>
        <v>中隔中</v>
      </c>
      <c r="CA67" s="24">
        <f t="shared" si="63"/>
        <v>1</v>
      </c>
      <c r="CB67" s="24">
        <f t="shared" si="73"/>
        <v>1</v>
      </c>
      <c r="CC67" s="24" t="str">
        <f t="array" ref="CC67">_xlfn.TEXTJOIN("",TRUE,IF(ISERROR(FIND(ROW($1:$168)-1,CA67&amp;CB67)),ROW($1:$168)-1,""))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7" s="22" t="str">
        <f t="shared" si="64"/>
        <v>复隔中</v>
      </c>
      <c r="CE67" s="25" t="str">
        <f t="shared" si="65"/>
        <v>35</v>
      </c>
      <c r="CF67" s="26" t="str">
        <f t="array" ref="CF67">_xlfn.TEXTJOIN("",TRUE,IF(ISNUMBER(FIND(MID(CE66&amp;W66,ROW($1:$162),1),CE67&amp;W67)),MID(CE66&amp;W66,ROW($1:$162),1),""))</f>
        <v>354</v>
      </c>
      <c r="CG67" s="27" t="str">
        <f t="array" ref="CG67">_xlfn.TEXTJOIN("",TRUE,IF(ISERROR(FIND(ROW($1:$168)-1,CE67&amp;CF67)),ROW($1:$168)-1,""))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7" s="28" t="str">
        <f t="shared" si="66"/>
        <v>邻传孤</v>
      </c>
      <c r="CI67" s="29" t="str">
        <f t="shared" si="67"/>
        <v>24</v>
      </c>
      <c r="CJ67" s="29" t="str">
        <f t="array" ref="CJ67">_xlfn.TEXTJOIN("",TRUE,IF(ISNUMBER(FIND(MID(CI66&amp;X66,ROW($1:$162),1),CI67&amp;X67)),MID(CI66&amp;X66,ROW($1:$162),1),""))</f>
        <v>4</v>
      </c>
      <c r="CK67" s="29" t="str">
        <f t="array" ref="CK67">_xlfn.TEXTJOIN("",TRUE,IF(ISERROR(FIND(ROW($1:$168)-1,CI67&amp;CJ67)),ROW($1:$168)-1,""))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7" s="19" t="str">
        <f t="shared" si="68"/>
        <v>邻传孤</v>
      </c>
      <c r="CM67" s="24" t="str">
        <f t="shared" si="69"/>
        <v>02</v>
      </c>
      <c r="CN67" s="24" t="str">
        <f t="array" ref="CN67">_xlfn.TEXTJOIN("",TRUE,IF(ISNUMBER(FIND(MID(CM66&amp;Y66,ROW($1:$162),1),CM67&amp;Y67)),MID(CM66&amp;Y66,ROW($1:$162),1),""))</f>
        <v>021</v>
      </c>
      <c r="CO67" s="24" t="str">
        <f t="array" ref="CO67">_xlfn.TEXTJOIN("",TRUE,IF(ISERROR(FIND(ROW($1:$168)-1,CM67&amp;CN67)),ROW($1:$168)-1,""))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7" s="30" t="str">
        <f t="shared" si="70"/>
        <v>邻传孤</v>
      </c>
    </row>
    <row r="68" customFormat="1" spans="1:94">
      <c r="A68" s="15">
        <v>68</v>
      </c>
      <c r="B68" s="80">
        <v>2024037</v>
      </c>
      <c r="C68" s="8" t="s">
        <v>92</v>
      </c>
      <c r="D68" s="81">
        <f t="shared" si="50"/>
        <v>10</v>
      </c>
      <c r="E68" s="82">
        <f t="shared" si="51"/>
        <v>0</v>
      </c>
      <c r="F68" s="83">
        <f t="shared" ref="F68:F131" si="74">IF(L68=0,0.1,D68/L68)</f>
        <v>1.66666666666667</v>
      </c>
      <c r="G68" s="84" t="str">
        <f t="shared" ref="G68:G131" si="75">IF(F68=0.1,"极紧凑",IF(F68&gt;3.5,"紧凑",IF(AND(F68&gt;=2,F68&lt;=3.5),"标准",IF(AND(F68&gt;=1,F68&lt;2),"松散",""))))</f>
        <v>松散</v>
      </c>
      <c r="H68" s="85" t="s">
        <v>10</v>
      </c>
      <c r="I68" s="85" t="s">
        <v>11</v>
      </c>
      <c r="J68" s="85" t="s">
        <v>12</v>
      </c>
      <c r="K68" s="85" t="s">
        <v>13</v>
      </c>
      <c r="L68" s="86">
        <f>MAX(MID(C68,{1,2,3},1)*1)-MIN(MID(C68,{1,2,3},1)*1)</f>
        <v>6</v>
      </c>
      <c r="M68" s="87">
        <v>0</v>
      </c>
      <c r="N68" s="87">
        <v>1</v>
      </c>
      <c r="O68" s="87">
        <v>2</v>
      </c>
      <c r="P68" s="87">
        <v>3</v>
      </c>
      <c r="Q68" s="87">
        <v>4</v>
      </c>
      <c r="R68" s="87">
        <v>5</v>
      </c>
      <c r="S68" s="87">
        <v>6</v>
      </c>
      <c r="T68" s="87">
        <v>7</v>
      </c>
      <c r="U68" s="87">
        <v>8</v>
      </c>
      <c r="V68" s="87">
        <v>9</v>
      </c>
      <c r="W68" s="88">
        <f t="shared" si="52"/>
        <v>2</v>
      </c>
      <c r="X68" s="88">
        <f t="shared" si="53"/>
        <v>4</v>
      </c>
      <c r="Y68" s="88">
        <f t="shared" si="54"/>
        <v>6</v>
      </c>
      <c r="Z68" s="89">
        <f t="shared" si="55"/>
        <v>12</v>
      </c>
      <c r="AA68" s="17" t="str">
        <f>_xlfn.TEXTJOIN(", ",TRUE,ABS(MID(C68,{1,1,2},1)-MID(C68,{2,3,3},1)))</f>
        <v>2, 4, 6</v>
      </c>
      <c r="AB68" s="90">
        <v>0</v>
      </c>
      <c r="AC68" s="90">
        <v>1</v>
      </c>
      <c r="AD68" s="90">
        <v>2</v>
      </c>
      <c r="AE68" s="90">
        <v>3</v>
      </c>
      <c r="AF68" s="90">
        <v>4</v>
      </c>
      <c r="AG68" s="90">
        <v>5</v>
      </c>
      <c r="AH68" s="90">
        <v>6</v>
      </c>
      <c r="AI68" s="90">
        <v>7</v>
      </c>
      <c r="AJ68" s="90">
        <v>8</v>
      </c>
      <c r="AK68" s="90">
        <v>9</v>
      </c>
      <c r="AL68" s="91">
        <v>0</v>
      </c>
      <c r="AM68" s="91">
        <v>1</v>
      </c>
      <c r="AN68" s="91">
        <v>2</v>
      </c>
      <c r="AO68" s="91">
        <v>3</v>
      </c>
      <c r="AP68" s="91">
        <v>4</v>
      </c>
      <c r="AQ68" s="91">
        <v>5</v>
      </c>
      <c r="AR68" s="91">
        <v>6</v>
      </c>
      <c r="AS68" s="91">
        <v>7</v>
      </c>
      <c r="AT68" s="91">
        <v>8</v>
      </c>
      <c r="AU68" s="91">
        <v>9</v>
      </c>
      <c r="AV68" s="92">
        <v>0</v>
      </c>
      <c r="AW68" s="92">
        <v>1</v>
      </c>
      <c r="AX68" s="92">
        <v>2</v>
      </c>
      <c r="AY68" s="92">
        <v>3</v>
      </c>
      <c r="AZ68" s="92">
        <v>4</v>
      </c>
      <c r="BA68" s="92">
        <v>5</v>
      </c>
      <c r="BB68" s="92">
        <v>6</v>
      </c>
      <c r="BC68" s="92">
        <v>7</v>
      </c>
      <c r="BD68" s="92">
        <v>8</v>
      </c>
      <c r="BE68" s="92">
        <v>9</v>
      </c>
      <c r="BF68" s="93">
        <v>0</v>
      </c>
      <c r="BG68" s="93">
        <v>1</v>
      </c>
      <c r="BH68" s="93">
        <v>2</v>
      </c>
      <c r="BI68" s="93">
        <v>3</v>
      </c>
      <c r="BJ68" s="93">
        <v>4</v>
      </c>
      <c r="BK68" s="93">
        <v>5</v>
      </c>
      <c r="BL68" s="93">
        <v>6</v>
      </c>
      <c r="BM68" s="93">
        <v>7</v>
      </c>
      <c r="BN68" s="93">
        <v>8</v>
      </c>
      <c r="BO68" s="93">
        <v>9</v>
      </c>
      <c r="BP68" s="94" t="str">
        <f t="shared" si="56"/>
        <v>松散型</v>
      </c>
      <c r="BQ68" s="15">
        <f t="shared" si="57"/>
        <v>2</v>
      </c>
      <c r="BR68" s="15">
        <f t="shared" si="58"/>
        <v>6</v>
      </c>
      <c r="BS68" s="20" t="str">
        <f t="shared" si="59"/>
        <v/>
      </c>
      <c r="BT68" s="21" t="str">
        <f t="shared" si="71"/>
        <v/>
      </c>
      <c r="BU68" s="21" t="str">
        <f t="array" ref="BU68">_xlfn.TEXTJOIN("",TRUE,IF(ISERROR(FIND(ROW($1:$168)-1,BS68&amp;BT68)),ROW($1:$168)-1,""))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8" s="22" t="str">
        <f t="shared" si="60"/>
        <v>中中中</v>
      </c>
      <c r="BW68" s="23">
        <f t="shared" si="61"/>
        <v>4</v>
      </c>
      <c r="BX68" s="23">
        <f t="shared" si="72"/>
        <v>4</v>
      </c>
      <c r="BY68" s="23" t="str">
        <f t="array" ref="BY68">_xlfn.TEXTJOIN("",TRUE,IF(ISERROR(FIND(ROW($1:$168)-1,BW68&amp;BX68)),ROW($1:$168)-1,""))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8" s="22" t="str">
        <f t="shared" si="62"/>
        <v>复隔中</v>
      </c>
      <c r="CA68" s="24" t="str">
        <f t="shared" si="63"/>
        <v/>
      </c>
      <c r="CB68" s="24" t="str">
        <f t="shared" si="73"/>
        <v/>
      </c>
      <c r="CC68" s="24" t="str">
        <f t="array" ref="CC68">_xlfn.TEXTJOIN("",TRUE,IF(ISERROR(FIND(ROW($1:$168)-1,CA68&amp;CB68)),ROW($1:$168)-1,""))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8" s="22" t="str">
        <f t="shared" si="64"/>
        <v>中中中</v>
      </c>
      <c r="CE68" s="25" t="str">
        <f t="shared" si="65"/>
        <v>13</v>
      </c>
      <c r="CF68" s="26" t="str">
        <f t="array" ref="CF68">_xlfn.TEXTJOIN("",TRUE,IF(ISNUMBER(FIND(MID(CE67&amp;W67,ROW($1:$162),1),CE68&amp;W68)),MID(CE67&amp;W67,ROW($1:$162),1),""))</f>
        <v>3</v>
      </c>
      <c r="CG68" s="27" t="str">
        <f t="array" ref="CG68">_xlfn.TEXTJOIN("",TRUE,IF(ISERROR(FIND(ROW($1:$168)-1,CE68&amp;CF68)),ROW($1:$168)-1,""))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68" s="28" t="str">
        <f t="shared" si="66"/>
        <v>邻传孤</v>
      </c>
      <c r="CI68" s="29" t="str">
        <f t="shared" si="67"/>
        <v>35</v>
      </c>
      <c r="CJ68" s="29" t="str">
        <f t="array" ref="CJ68">_xlfn.TEXTJOIN("",TRUE,IF(ISNUMBER(FIND(MID(CI67&amp;X67,ROW($1:$162),1),CI68&amp;X68)),MID(CI67&amp;X67,ROW($1:$162),1),""))</f>
        <v>43</v>
      </c>
      <c r="CK68" s="29" t="str">
        <f t="array" ref="CK68">_xlfn.TEXTJOIN("",TRUE,IF(ISERROR(FIND(ROW($1:$168)-1,CI68&amp;CJ68)),ROW($1:$168)-1,""))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8" s="19" t="str">
        <f t="shared" si="68"/>
        <v>邻传孤</v>
      </c>
      <c r="CM68" s="24" t="str">
        <f t="shared" si="69"/>
        <v>57</v>
      </c>
      <c r="CN68" s="24" t="str">
        <f t="array" ref="CN68">_xlfn.TEXTJOIN("",TRUE,IF(ISNUMBER(FIND(MID(CM67&amp;Y67,ROW($1:$162),1),CM68&amp;Y68)),MID(CM67&amp;Y67,ROW($1:$162),1),""))</f>
        <v/>
      </c>
      <c r="CO68" s="24" t="str">
        <f t="array" ref="CO68">_xlfn.TEXTJOIN("",TRUE,IF(ISERROR(FIND(ROW($1:$168)-1,CM68&amp;CN68)),ROW($1:$168)-1,""))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8" s="30" t="str">
        <f t="shared" si="70"/>
        <v>邻孤孤</v>
      </c>
    </row>
    <row r="69" customFormat="1" spans="1:94">
      <c r="A69" s="15">
        <v>69</v>
      </c>
      <c r="B69" s="80">
        <v>2024038</v>
      </c>
      <c r="C69" s="8" t="s">
        <v>93</v>
      </c>
      <c r="D69" s="81">
        <f t="shared" si="50"/>
        <v>19</v>
      </c>
      <c r="E69" s="82">
        <f t="shared" si="51"/>
        <v>9</v>
      </c>
      <c r="F69" s="83">
        <f t="shared" si="74"/>
        <v>19</v>
      </c>
      <c r="G69" s="84" t="str">
        <f t="shared" si="75"/>
        <v>紧凑</v>
      </c>
      <c r="H69" s="85" t="s">
        <v>10</v>
      </c>
      <c r="I69" s="85" t="s">
        <v>11</v>
      </c>
      <c r="J69" s="85" t="s">
        <v>12</v>
      </c>
      <c r="K69" s="85" t="s">
        <v>13</v>
      </c>
      <c r="L69" s="86">
        <f>MAX(MID(C69,{1,2,3},1)*1)-MIN(MID(C69,{1,2,3},1)*1)</f>
        <v>1</v>
      </c>
      <c r="M69" s="87">
        <v>0</v>
      </c>
      <c r="N69" s="87">
        <v>1</v>
      </c>
      <c r="O69" s="87">
        <v>2</v>
      </c>
      <c r="P69" s="87">
        <v>3</v>
      </c>
      <c r="Q69" s="87">
        <v>4</v>
      </c>
      <c r="R69" s="87">
        <v>5</v>
      </c>
      <c r="S69" s="87">
        <v>6</v>
      </c>
      <c r="T69" s="87">
        <v>7</v>
      </c>
      <c r="U69" s="87">
        <v>8</v>
      </c>
      <c r="V69" s="87">
        <v>9</v>
      </c>
      <c r="W69" s="88">
        <f t="shared" si="52"/>
        <v>1</v>
      </c>
      <c r="X69" s="88">
        <f t="shared" si="53"/>
        <v>0</v>
      </c>
      <c r="Y69" s="88">
        <f t="shared" si="54"/>
        <v>1</v>
      </c>
      <c r="Z69" s="89">
        <f t="shared" si="55"/>
        <v>2</v>
      </c>
      <c r="AA69" s="17" t="str">
        <f>_xlfn.TEXTJOIN(", ",TRUE,ABS(MID(C69,{1,1,2},1)-MID(C69,{2,3,3},1)))</f>
        <v>1, 0, 1</v>
      </c>
      <c r="AB69" s="90">
        <v>0</v>
      </c>
      <c r="AC69" s="90">
        <v>1</v>
      </c>
      <c r="AD69" s="90">
        <v>2</v>
      </c>
      <c r="AE69" s="90">
        <v>3</v>
      </c>
      <c r="AF69" s="90">
        <v>4</v>
      </c>
      <c r="AG69" s="90">
        <v>5</v>
      </c>
      <c r="AH69" s="90">
        <v>6</v>
      </c>
      <c r="AI69" s="90">
        <v>7</v>
      </c>
      <c r="AJ69" s="90">
        <v>8</v>
      </c>
      <c r="AK69" s="90">
        <v>9</v>
      </c>
      <c r="AL69" s="91">
        <v>0</v>
      </c>
      <c r="AM69" s="91">
        <v>1</v>
      </c>
      <c r="AN69" s="91">
        <v>2</v>
      </c>
      <c r="AO69" s="91">
        <v>3</v>
      </c>
      <c r="AP69" s="91">
        <v>4</v>
      </c>
      <c r="AQ69" s="91">
        <v>5</v>
      </c>
      <c r="AR69" s="91">
        <v>6</v>
      </c>
      <c r="AS69" s="91">
        <v>7</v>
      </c>
      <c r="AT69" s="91">
        <v>8</v>
      </c>
      <c r="AU69" s="91">
        <v>9</v>
      </c>
      <c r="AV69" s="92">
        <v>0</v>
      </c>
      <c r="AW69" s="92">
        <v>1</v>
      </c>
      <c r="AX69" s="92">
        <v>2</v>
      </c>
      <c r="AY69" s="92">
        <v>3</v>
      </c>
      <c r="AZ69" s="92">
        <v>4</v>
      </c>
      <c r="BA69" s="92">
        <v>5</v>
      </c>
      <c r="BB69" s="92">
        <v>6</v>
      </c>
      <c r="BC69" s="92">
        <v>7</v>
      </c>
      <c r="BD69" s="92">
        <v>8</v>
      </c>
      <c r="BE69" s="92">
        <v>9</v>
      </c>
      <c r="BF69" s="93">
        <v>0</v>
      </c>
      <c r="BG69" s="93">
        <v>1</v>
      </c>
      <c r="BH69" s="93">
        <v>2</v>
      </c>
      <c r="BI69" s="93">
        <v>3</v>
      </c>
      <c r="BJ69" s="93">
        <v>4</v>
      </c>
      <c r="BK69" s="93">
        <v>5</v>
      </c>
      <c r="BL69" s="93">
        <v>6</v>
      </c>
      <c r="BM69" s="93">
        <v>7</v>
      </c>
      <c r="BN69" s="93">
        <v>8</v>
      </c>
      <c r="BO69" s="93">
        <v>9</v>
      </c>
      <c r="BP69" s="94" t="str">
        <f t="shared" si="56"/>
        <v>紧凑型</v>
      </c>
      <c r="BQ69" s="15">
        <f t="shared" si="57"/>
        <v>0</v>
      </c>
      <c r="BR69" s="15">
        <f t="shared" si="58"/>
        <v>1</v>
      </c>
      <c r="BS69" s="20" t="str">
        <f t="shared" si="59"/>
        <v/>
      </c>
      <c r="BT69" s="21">
        <f t="shared" si="71"/>
        <v>1</v>
      </c>
      <c r="BU69" s="21" t="str">
        <f t="array" ref="BU69">_xlfn.TEXTJOIN("",TRUE,IF(ISERROR(FIND(ROW($1:$168)-1,BS69&amp;BT69)),ROW($1:$168)-1,""))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9" s="22" t="str">
        <f t="shared" si="60"/>
        <v>中隔中</v>
      </c>
      <c r="BW69" s="23" t="str">
        <f t="shared" si="61"/>
        <v/>
      </c>
      <c r="BX69" s="23" t="str">
        <f t="shared" si="72"/>
        <v/>
      </c>
      <c r="BY69" s="23" t="str">
        <f t="array" ref="BY69">_xlfn.TEXTJOIN("",TRUE,IF(ISERROR(FIND(ROW($1:$168)-1,BW69&amp;BX69)),ROW($1:$168)-1,""))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9" s="22" t="str">
        <f t="shared" si="62"/>
        <v>中中中</v>
      </c>
      <c r="CA69" s="24" t="str">
        <f t="shared" si="63"/>
        <v/>
      </c>
      <c r="CB69" s="24">
        <f t="shared" si="73"/>
        <v>1</v>
      </c>
      <c r="CC69" s="24" t="str">
        <f t="array" ref="CC69">_xlfn.TEXTJOIN("",TRUE,IF(ISERROR(FIND(ROW($1:$168)-1,CA69&amp;CB69)),ROW($1:$168)-1,""))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9" s="22" t="str">
        <f t="shared" si="64"/>
        <v>中隔中</v>
      </c>
      <c r="CE69" s="25" t="str">
        <f t="shared" si="65"/>
        <v>02</v>
      </c>
      <c r="CF69" s="26" t="str">
        <f t="array" ref="CF69">_xlfn.TEXTJOIN("",TRUE,IF(ISNUMBER(FIND(MID(CE68&amp;W68,ROW($1:$162),1),CE69&amp;W69)),MID(CE68&amp;W68,ROW($1:$162),1),""))</f>
        <v>12</v>
      </c>
      <c r="CG69" s="27" t="str">
        <f t="array" ref="CG69">_xlfn.TEXTJOIN("",TRUE,IF(ISERROR(FIND(ROW($1:$168)-1,CE69&amp;CF69)),ROW($1:$168)-1,""))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9" s="28" t="str">
        <f t="shared" si="66"/>
        <v>邻传孤</v>
      </c>
      <c r="CI69" s="29" t="str">
        <f t="shared" si="67"/>
        <v>91</v>
      </c>
      <c r="CJ69" s="29" t="str">
        <f t="array" ref="CJ69">_xlfn.TEXTJOIN("",TRUE,IF(ISNUMBER(FIND(MID(CI68&amp;X68,ROW($1:$162),1),CI69&amp;X69)),MID(CI68&amp;X68,ROW($1:$162),1),""))</f>
        <v/>
      </c>
      <c r="CK69" s="29" t="str">
        <f t="array" ref="CK69">_xlfn.TEXTJOIN("",TRUE,IF(ISERROR(FIND(ROW($1:$168)-1,CI69&amp;CJ69)),ROW($1:$168)-1,""))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69" s="19" t="str">
        <f t="shared" si="68"/>
        <v>邻孤孤</v>
      </c>
      <c r="CM69" s="24" t="str">
        <f t="shared" si="69"/>
        <v>02</v>
      </c>
      <c r="CN69" s="24" t="str">
        <f t="array" ref="CN69">_xlfn.TEXTJOIN("",TRUE,IF(ISNUMBER(FIND(MID(CM68&amp;Y68,ROW($1:$162),1),CM69&amp;Y69)),MID(CM68&amp;Y68,ROW($1:$162),1),""))</f>
        <v/>
      </c>
      <c r="CO69" s="24" t="str">
        <f t="array" ref="CO69">_xlfn.TEXTJOIN("",TRUE,IF(ISERROR(FIND(ROW($1:$168)-1,CM69&amp;CN69)),ROW($1:$168)-1,""))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9" s="30" t="str">
        <f t="shared" si="70"/>
        <v>邻孤孤</v>
      </c>
    </row>
    <row r="70" customFormat="1" spans="1:94">
      <c r="A70" s="15">
        <v>70</v>
      </c>
      <c r="B70" s="80">
        <v>2024039</v>
      </c>
      <c r="C70" s="8" t="s">
        <v>94</v>
      </c>
      <c r="D70" s="81">
        <f t="shared" si="50"/>
        <v>12</v>
      </c>
      <c r="E70" s="82">
        <f t="shared" si="51"/>
        <v>2</v>
      </c>
      <c r="F70" s="83">
        <f t="shared" si="74"/>
        <v>2</v>
      </c>
      <c r="G70" s="84" t="str">
        <f t="shared" si="75"/>
        <v>标准</v>
      </c>
      <c r="H70" s="85" t="s">
        <v>10</v>
      </c>
      <c r="I70" s="85" t="s">
        <v>11</v>
      </c>
      <c r="J70" s="85" t="s">
        <v>12</v>
      </c>
      <c r="K70" s="85" t="s">
        <v>13</v>
      </c>
      <c r="L70" s="86">
        <f>MAX(MID(C70,{1,2,3},1)*1)-MIN(MID(C70,{1,2,3},1)*1)</f>
        <v>6</v>
      </c>
      <c r="M70" s="87">
        <v>0</v>
      </c>
      <c r="N70" s="87">
        <v>1</v>
      </c>
      <c r="O70" s="87">
        <v>2</v>
      </c>
      <c r="P70" s="87">
        <v>3</v>
      </c>
      <c r="Q70" s="87">
        <v>4</v>
      </c>
      <c r="R70" s="87">
        <v>5</v>
      </c>
      <c r="S70" s="87">
        <v>6</v>
      </c>
      <c r="T70" s="87">
        <v>7</v>
      </c>
      <c r="U70" s="87">
        <v>8</v>
      </c>
      <c r="V70" s="87">
        <v>9</v>
      </c>
      <c r="W70" s="88">
        <f t="shared" si="52"/>
        <v>0</v>
      </c>
      <c r="X70" s="88">
        <f t="shared" si="53"/>
        <v>6</v>
      </c>
      <c r="Y70" s="88">
        <f t="shared" si="54"/>
        <v>6</v>
      </c>
      <c r="Z70" s="89">
        <f t="shared" si="55"/>
        <v>12</v>
      </c>
      <c r="AA70" s="17" t="str">
        <f>_xlfn.TEXTJOIN(", ",TRUE,ABS(MID(C70,{1,1,2},1)-MID(C70,{2,3,3},1)))</f>
        <v>0, 6, 6</v>
      </c>
      <c r="AB70" s="90">
        <v>0</v>
      </c>
      <c r="AC70" s="90">
        <v>1</v>
      </c>
      <c r="AD70" s="90">
        <v>2</v>
      </c>
      <c r="AE70" s="90">
        <v>3</v>
      </c>
      <c r="AF70" s="90">
        <v>4</v>
      </c>
      <c r="AG70" s="90">
        <v>5</v>
      </c>
      <c r="AH70" s="90">
        <v>6</v>
      </c>
      <c r="AI70" s="90">
        <v>7</v>
      </c>
      <c r="AJ70" s="90">
        <v>8</v>
      </c>
      <c r="AK70" s="90">
        <v>9</v>
      </c>
      <c r="AL70" s="91">
        <v>0</v>
      </c>
      <c r="AM70" s="91">
        <v>1</v>
      </c>
      <c r="AN70" s="91">
        <v>2</v>
      </c>
      <c r="AO70" s="91">
        <v>3</v>
      </c>
      <c r="AP70" s="91">
        <v>4</v>
      </c>
      <c r="AQ70" s="91">
        <v>5</v>
      </c>
      <c r="AR70" s="91">
        <v>6</v>
      </c>
      <c r="AS70" s="91">
        <v>7</v>
      </c>
      <c r="AT70" s="91">
        <v>8</v>
      </c>
      <c r="AU70" s="91">
        <v>9</v>
      </c>
      <c r="AV70" s="92">
        <v>0</v>
      </c>
      <c r="AW70" s="92">
        <v>1</v>
      </c>
      <c r="AX70" s="92">
        <v>2</v>
      </c>
      <c r="AY70" s="92">
        <v>3</v>
      </c>
      <c r="AZ70" s="92">
        <v>4</v>
      </c>
      <c r="BA70" s="92">
        <v>5</v>
      </c>
      <c r="BB70" s="92">
        <v>6</v>
      </c>
      <c r="BC70" s="92">
        <v>7</v>
      </c>
      <c r="BD70" s="92">
        <v>8</v>
      </c>
      <c r="BE70" s="92">
        <v>9</v>
      </c>
      <c r="BF70" s="93">
        <v>0</v>
      </c>
      <c r="BG70" s="93">
        <v>1</v>
      </c>
      <c r="BH70" s="93">
        <v>2</v>
      </c>
      <c r="BI70" s="93">
        <v>3</v>
      </c>
      <c r="BJ70" s="93">
        <v>4</v>
      </c>
      <c r="BK70" s="93">
        <v>5</v>
      </c>
      <c r="BL70" s="93">
        <v>6</v>
      </c>
      <c r="BM70" s="93">
        <v>7</v>
      </c>
      <c r="BN70" s="93">
        <v>8</v>
      </c>
      <c r="BO70" s="93">
        <v>9</v>
      </c>
      <c r="BP70" s="94" t="str">
        <f t="shared" si="56"/>
        <v>松散型</v>
      </c>
      <c r="BQ70" s="15">
        <f t="shared" si="57"/>
        <v>0</v>
      </c>
      <c r="BR70" s="15">
        <f t="shared" si="58"/>
        <v>6</v>
      </c>
      <c r="BS70" s="20"/>
      <c r="BT70" s="21"/>
      <c r="BU70" s="21"/>
      <c r="BV70" s="66"/>
      <c r="BW70" s="23"/>
      <c r="BX70" s="23"/>
      <c r="BY70" s="23"/>
      <c r="BZ70" s="68"/>
      <c r="CA70" s="24"/>
      <c r="CB70" s="24"/>
      <c r="CC70" s="24"/>
      <c r="CD70" s="70"/>
      <c r="CE70" s="25"/>
      <c r="CF70" s="26"/>
      <c r="CG70" s="27"/>
      <c r="CH70" s="74"/>
      <c r="CI70" s="29"/>
      <c r="CJ70" s="29"/>
      <c r="CK70" s="29"/>
      <c r="CL70" s="77"/>
      <c r="CM70" s="24"/>
      <c r="CN70" s="24"/>
      <c r="CO70" s="24"/>
      <c r="CP70" s="79"/>
    </row>
    <row r="71" customFormat="1" spans="1:94">
      <c r="A71" s="15">
        <v>71</v>
      </c>
      <c r="B71" s="80">
        <v>2024040</v>
      </c>
      <c r="C71" s="8" t="s">
        <v>95</v>
      </c>
      <c r="D71" s="81">
        <f t="shared" ref="D71:D91" si="76">LEFT(C71,1)+MID(C71,2,1)+RIGHT(C71,1)</f>
        <v>16</v>
      </c>
      <c r="E71" s="82">
        <f t="shared" ref="E71:E91" si="77">MOD(LEFT(C71,1)+MID(C71,2,1)+RIGHT(C71,1),10)</f>
        <v>6</v>
      </c>
      <c r="F71" s="83">
        <f t="shared" si="74"/>
        <v>4</v>
      </c>
      <c r="G71" s="84" t="str">
        <f t="shared" si="75"/>
        <v>紧凑</v>
      </c>
      <c r="H71" s="85" t="s">
        <v>10</v>
      </c>
      <c r="I71" s="85" t="s">
        <v>11</v>
      </c>
      <c r="J71" s="85" t="s">
        <v>12</v>
      </c>
      <c r="K71" s="85" t="s">
        <v>13</v>
      </c>
      <c r="L71" s="86">
        <f>MAX(MID(C71,{1,2,3},1)*1)-MIN(MID(C71,{1,2,3},1)*1)</f>
        <v>4</v>
      </c>
      <c r="M71" s="87">
        <v>0</v>
      </c>
      <c r="N71" s="87">
        <v>1</v>
      </c>
      <c r="O71" s="87">
        <v>2</v>
      </c>
      <c r="P71" s="87">
        <v>3</v>
      </c>
      <c r="Q71" s="87">
        <v>4</v>
      </c>
      <c r="R71" s="87">
        <v>5</v>
      </c>
      <c r="S71" s="87">
        <v>6</v>
      </c>
      <c r="T71" s="87">
        <v>7</v>
      </c>
      <c r="U71" s="87">
        <v>8</v>
      </c>
      <c r="V71" s="87">
        <v>9</v>
      </c>
      <c r="W71" s="88">
        <f t="shared" ref="W71:W91" si="78">ABS(LEFT(C71,1)-MID(C71,2,1))</f>
        <v>4</v>
      </c>
      <c r="X71" s="88">
        <f t="shared" ref="X71:X91" si="79">ABS(LEFT(C71,1)-RIGHT(C71,1))</f>
        <v>1</v>
      </c>
      <c r="Y71" s="88">
        <f t="shared" ref="Y71:Y91" si="80">ABS(MID(C71,2,1)-RIGHT(C71,1))</f>
        <v>3</v>
      </c>
      <c r="Z71" s="89">
        <f t="shared" ref="Z71:Z91" si="81">W71+X71+Y71</f>
        <v>8</v>
      </c>
      <c r="AA71" s="17" t="str">
        <f>_xlfn.TEXTJOIN(", ",TRUE,ABS(MID(C71,{1,1,2},1)-MID(C71,{2,3,3},1)))</f>
        <v>4, 1, 3</v>
      </c>
      <c r="AB71" s="90">
        <v>0</v>
      </c>
      <c r="AC71" s="90">
        <v>1</v>
      </c>
      <c r="AD71" s="90">
        <v>2</v>
      </c>
      <c r="AE71" s="90">
        <v>3</v>
      </c>
      <c r="AF71" s="90">
        <v>4</v>
      </c>
      <c r="AG71" s="90">
        <v>5</v>
      </c>
      <c r="AH71" s="90">
        <v>6</v>
      </c>
      <c r="AI71" s="90">
        <v>7</v>
      </c>
      <c r="AJ71" s="90">
        <v>8</v>
      </c>
      <c r="AK71" s="90">
        <v>9</v>
      </c>
      <c r="AL71" s="91">
        <v>0</v>
      </c>
      <c r="AM71" s="91">
        <v>1</v>
      </c>
      <c r="AN71" s="91">
        <v>2</v>
      </c>
      <c r="AO71" s="91">
        <v>3</v>
      </c>
      <c r="AP71" s="91">
        <v>4</v>
      </c>
      <c r="AQ71" s="91">
        <v>5</v>
      </c>
      <c r="AR71" s="91">
        <v>6</v>
      </c>
      <c r="AS71" s="91">
        <v>7</v>
      </c>
      <c r="AT71" s="91">
        <v>8</v>
      </c>
      <c r="AU71" s="91">
        <v>9</v>
      </c>
      <c r="AV71" s="92">
        <v>0</v>
      </c>
      <c r="AW71" s="92">
        <v>1</v>
      </c>
      <c r="AX71" s="92">
        <v>2</v>
      </c>
      <c r="AY71" s="92">
        <v>3</v>
      </c>
      <c r="AZ71" s="92">
        <v>4</v>
      </c>
      <c r="BA71" s="92">
        <v>5</v>
      </c>
      <c r="BB71" s="92">
        <v>6</v>
      </c>
      <c r="BC71" s="92">
        <v>7</v>
      </c>
      <c r="BD71" s="92">
        <v>8</v>
      </c>
      <c r="BE71" s="92">
        <v>9</v>
      </c>
      <c r="BF71" s="93">
        <v>0</v>
      </c>
      <c r="BG71" s="93">
        <v>1</v>
      </c>
      <c r="BH71" s="93">
        <v>2</v>
      </c>
      <c r="BI71" s="93">
        <v>3</v>
      </c>
      <c r="BJ71" s="93">
        <v>4</v>
      </c>
      <c r="BK71" s="93">
        <v>5</v>
      </c>
      <c r="BL71" s="93">
        <v>6</v>
      </c>
      <c r="BM71" s="93">
        <v>7</v>
      </c>
      <c r="BN71" s="93">
        <v>8</v>
      </c>
      <c r="BO71" s="93">
        <v>9</v>
      </c>
      <c r="BP71" s="94" t="str">
        <f t="shared" ref="BP71:BP91" si="82">IF(AND(BQ71&lt;=1,BR71&lt;=4),"紧凑型",IF(OR(BQ71&gt;=3,BR71&gt;=6),"松散型",IF(AND(BQ71&gt;=1,BR71&lt;=5),"标准型","对子")))</f>
        <v>紧凑型</v>
      </c>
      <c r="BQ71" s="15">
        <f t="shared" ref="BQ71:BQ91" si="83">MIN(ABS(INT(C71/100)-INT(MOD(C71,100)/10)),ABS(INT(C71/100)-MOD(C71,10)),ABS(INT(MOD(C71,100)/10)-MOD(C71,10)))</f>
        <v>1</v>
      </c>
      <c r="BR71" s="15">
        <f t="shared" ref="BR71:BR91" si="84">MAX(ABS(INT(C71/100)-INT(MOD(C71,100)/10)),ABS(INT(C71/100)-MOD(C71,10)),ABS(INT(MOD(C71,100)/10)-MOD(C71,10)))</f>
        <v>4</v>
      </c>
      <c r="BS71" s="20"/>
      <c r="BT71" s="21"/>
      <c r="BU71" s="21"/>
      <c r="BV71" s="66"/>
      <c r="BW71" s="23"/>
      <c r="BX71" s="23"/>
      <c r="BY71" s="23"/>
      <c r="BZ71" s="68"/>
      <c r="CA71" s="24"/>
      <c r="CB71" s="24"/>
      <c r="CC71" s="24"/>
      <c r="CD71" s="70"/>
      <c r="CE71" s="25"/>
      <c r="CF71" s="26"/>
      <c r="CG71" s="27"/>
      <c r="CH71" s="74"/>
      <c r="CI71" s="29"/>
      <c r="CJ71" s="29"/>
      <c r="CK71" s="29"/>
      <c r="CL71" s="77"/>
      <c r="CM71" s="24"/>
      <c r="CN71" s="24"/>
      <c r="CO71" s="24"/>
      <c r="CP71" s="79"/>
    </row>
    <row r="72" customFormat="1" spans="1:94">
      <c r="A72" s="15">
        <v>72</v>
      </c>
      <c r="B72" s="80">
        <v>2024041</v>
      </c>
      <c r="C72" s="8" t="s">
        <v>96</v>
      </c>
      <c r="D72" s="81">
        <f t="shared" si="76"/>
        <v>9</v>
      </c>
      <c r="E72" s="82">
        <f t="shared" si="77"/>
        <v>9</v>
      </c>
      <c r="F72" s="83">
        <f t="shared" si="74"/>
        <v>2.25</v>
      </c>
      <c r="G72" s="84" t="str">
        <f t="shared" si="75"/>
        <v>标准</v>
      </c>
      <c r="H72" s="85" t="s">
        <v>10</v>
      </c>
      <c r="I72" s="85" t="s">
        <v>11</v>
      </c>
      <c r="J72" s="85" t="s">
        <v>12</v>
      </c>
      <c r="K72" s="85" t="s">
        <v>13</v>
      </c>
      <c r="L72" s="86">
        <f>MAX(MID(C72,{1,2,3},1)*1)-MIN(MID(C72,{1,2,3},1)*1)</f>
        <v>4</v>
      </c>
      <c r="M72" s="87">
        <v>0</v>
      </c>
      <c r="N72" s="87">
        <v>1</v>
      </c>
      <c r="O72" s="87">
        <v>2</v>
      </c>
      <c r="P72" s="87">
        <v>3</v>
      </c>
      <c r="Q72" s="87">
        <v>4</v>
      </c>
      <c r="R72" s="87">
        <v>5</v>
      </c>
      <c r="S72" s="87">
        <v>6</v>
      </c>
      <c r="T72" s="87">
        <v>7</v>
      </c>
      <c r="U72" s="87">
        <v>8</v>
      </c>
      <c r="V72" s="87">
        <v>9</v>
      </c>
      <c r="W72" s="88">
        <f t="shared" si="78"/>
        <v>2</v>
      </c>
      <c r="X72" s="88">
        <f t="shared" si="79"/>
        <v>2</v>
      </c>
      <c r="Y72" s="88">
        <f t="shared" si="80"/>
        <v>4</v>
      </c>
      <c r="Z72" s="89">
        <f t="shared" si="81"/>
        <v>8</v>
      </c>
      <c r="AA72" s="17" t="str">
        <f>_xlfn.TEXTJOIN(", ",TRUE,ABS(MID(C72,{1,1,2},1)-MID(C72,{2,3,3},1)))</f>
        <v>2, 2, 4</v>
      </c>
      <c r="AB72" s="90">
        <v>0</v>
      </c>
      <c r="AC72" s="90">
        <v>1</v>
      </c>
      <c r="AD72" s="90">
        <v>2</v>
      </c>
      <c r="AE72" s="90">
        <v>3</v>
      </c>
      <c r="AF72" s="90">
        <v>4</v>
      </c>
      <c r="AG72" s="90">
        <v>5</v>
      </c>
      <c r="AH72" s="90">
        <v>6</v>
      </c>
      <c r="AI72" s="90">
        <v>7</v>
      </c>
      <c r="AJ72" s="90">
        <v>8</v>
      </c>
      <c r="AK72" s="90">
        <v>9</v>
      </c>
      <c r="AL72" s="91">
        <v>0</v>
      </c>
      <c r="AM72" s="91">
        <v>1</v>
      </c>
      <c r="AN72" s="91">
        <v>2</v>
      </c>
      <c r="AO72" s="91">
        <v>3</v>
      </c>
      <c r="AP72" s="91">
        <v>4</v>
      </c>
      <c r="AQ72" s="91">
        <v>5</v>
      </c>
      <c r="AR72" s="91">
        <v>6</v>
      </c>
      <c r="AS72" s="91">
        <v>7</v>
      </c>
      <c r="AT72" s="91">
        <v>8</v>
      </c>
      <c r="AU72" s="91">
        <v>9</v>
      </c>
      <c r="AV72" s="92">
        <v>0</v>
      </c>
      <c r="AW72" s="92">
        <v>1</v>
      </c>
      <c r="AX72" s="92">
        <v>2</v>
      </c>
      <c r="AY72" s="92">
        <v>3</v>
      </c>
      <c r="AZ72" s="92">
        <v>4</v>
      </c>
      <c r="BA72" s="92">
        <v>5</v>
      </c>
      <c r="BB72" s="92">
        <v>6</v>
      </c>
      <c r="BC72" s="92">
        <v>7</v>
      </c>
      <c r="BD72" s="92">
        <v>8</v>
      </c>
      <c r="BE72" s="92">
        <v>9</v>
      </c>
      <c r="BF72" s="93">
        <v>0</v>
      </c>
      <c r="BG72" s="93">
        <v>1</v>
      </c>
      <c r="BH72" s="93">
        <v>2</v>
      </c>
      <c r="BI72" s="93">
        <v>3</v>
      </c>
      <c r="BJ72" s="93">
        <v>4</v>
      </c>
      <c r="BK72" s="93">
        <v>5</v>
      </c>
      <c r="BL72" s="93">
        <v>6</v>
      </c>
      <c r="BM72" s="93">
        <v>7</v>
      </c>
      <c r="BN72" s="93">
        <v>8</v>
      </c>
      <c r="BO72" s="93">
        <v>9</v>
      </c>
      <c r="BP72" s="94" t="str">
        <f t="shared" si="82"/>
        <v>标准型</v>
      </c>
      <c r="BQ72" s="15">
        <f t="shared" si="83"/>
        <v>2</v>
      </c>
      <c r="BR72" s="15">
        <f t="shared" si="84"/>
        <v>4</v>
      </c>
      <c r="BS72" s="20" t="str">
        <f t="shared" ref="BS72:BS91" si="85">IF(COUNTIF($W71:$Y71,W72)&gt;0,W72,"")</f>
        <v/>
      </c>
      <c r="BT72" s="21"/>
      <c r="BU72" s="21" t="str">
        <f t="array" ref="BU72">_xlfn.TEXTJOIN("",TRUE,IF(ISERROR(FIND(ROW($1:$168)-1,BS72&amp;BT72)),ROW($1:$168)-1,""))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2" s="22" t="str">
        <f t="shared" ref="BV72:BV91" si="86">IF(BS72&lt;&gt;"","复","中")&amp;IF(BT72&lt;&gt;"","隔","中")&amp;"中"</f>
        <v>中中中</v>
      </c>
      <c r="BW72" s="23" t="str">
        <f t="shared" ref="BW72:BW91" si="87">IF(COUNTIF($W71:$Y71,X72)&gt;0,X72,"")</f>
        <v/>
      </c>
      <c r="BX72" s="23"/>
      <c r="BY72" s="23" t="str">
        <f t="array" ref="BY72">_xlfn.TEXTJOIN("",TRUE,IF(ISERROR(FIND(ROW($1:$168)-1,BW72&amp;BX72)),ROW($1:$168)-1,""))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2" s="22" t="str">
        <f t="shared" ref="BZ72:BZ91" si="88">IF(BW72&lt;&gt;"","复","中")&amp;IF(BX72&lt;&gt;"","隔","中")&amp;"中"</f>
        <v>中中中</v>
      </c>
      <c r="CA72" s="24">
        <f t="shared" ref="CA72:CA91" si="89">IF(COUNTIF($W71:$Y71,Y72)&gt;0,Y72,"")</f>
        <v>4</v>
      </c>
      <c r="CB72" s="24"/>
      <c r="CC72" s="24" t="str">
        <f t="array" ref="CC72">_xlfn.TEXTJOIN("",TRUE,IF(ISERROR(FIND(ROW($1:$168)-1,CA72&amp;CB72)),ROW($1:$168)-1,""))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2" s="22" t="str">
        <f t="shared" ref="CD72:CD91" si="90">IF(CA72&lt;&gt;"","复","中")&amp;IF(CB72&lt;&gt;"","隔","中")&amp;"中"</f>
        <v>复中中</v>
      </c>
      <c r="CE72" s="25" t="str">
        <f t="shared" ref="CE72:CE91" si="91">IF(W72=0,9,W72-1)&amp;""&amp;IF(W72=9,0,W72+1)</f>
        <v>13</v>
      </c>
      <c r="CF72" s="26"/>
      <c r="CG72" s="27" t="str">
        <f t="array" ref="CG72">_xlfn.TEXTJOIN("",TRUE,IF(ISERROR(FIND(ROW($1:$168)-1,CE72&amp;CF72)),ROW($1:$168)-1,""))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2" s="28" t="str">
        <f t="shared" ref="CH72:CH91" si="92">IF(CE72&lt;&gt;"","邻","孤")&amp;IF(CF72&lt;&gt;"","传","孤")&amp;"孤"</f>
        <v>邻孤孤</v>
      </c>
      <c r="CI72" s="29" t="str">
        <f t="shared" ref="CI72:CI91" si="93">IF(X72=0,9,X72-1)&amp;""&amp;IF(X72=9,0,X72+1)</f>
        <v>13</v>
      </c>
      <c r="CJ72" s="29"/>
      <c r="CK72" s="29" t="str">
        <f t="array" ref="CK72">_xlfn.TEXTJOIN("",TRUE,IF(ISERROR(FIND(ROW($1:$168)-1,CI72&amp;CJ72)),ROW($1:$168)-1,""))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2" s="19" t="str">
        <f t="shared" ref="CL72:CL91" si="94">IF(CI72&lt;&gt;"","邻","孤")&amp;IF(CJ72&lt;&gt;"","传","孤")&amp;"孤"</f>
        <v>邻孤孤</v>
      </c>
      <c r="CM72" s="24" t="str">
        <f t="shared" ref="CM72:CM91" si="95">IF(Y72=0,9,Y72-1)&amp;""&amp;IF(Y72=9,0,Y72+1)</f>
        <v>35</v>
      </c>
      <c r="CN72" s="24"/>
      <c r="CO72" s="24" t="str">
        <f t="array" ref="CO72">_xlfn.TEXTJOIN("",TRUE,IF(ISERROR(FIND(ROW($1:$168)-1,CM72&amp;CN72)),ROW($1:$168)-1,""))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2" s="30" t="str">
        <f t="shared" ref="CP72:CP91" si="96">IF(CM72&lt;&gt;"","邻","孤")&amp;IF(CN72&lt;&gt;"","传","孤")&amp;"孤"</f>
        <v>邻孤孤</v>
      </c>
    </row>
    <row r="73" customFormat="1" spans="1:94">
      <c r="A73" s="15">
        <v>73</v>
      </c>
      <c r="B73" s="80">
        <v>2024042</v>
      </c>
      <c r="C73" s="8" t="s">
        <v>97</v>
      </c>
      <c r="D73" s="81">
        <f t="shared" si="76"/>
        <v>14</v>
      </c>
      <c r="E73" s="82">
        <f t="shared" si="77"/>
        <v>4</v>
      </c>
      <c r="F73" s="83">
        <f t="shared" si="74"/>
        <v>1.75</v>
      </c>
      <c r="G73" s="84" t="str">
        <f t="shared" si="75"/>
        <v>松散</v>
      </c>
      <c r="H73" s="85" t="s">
        <v>10</v>
      </c>
      <c r="I73" s="85" t="s">
        <v>11</v>
      </c>
      <c r="J73" s="85" t="s">
        <v>12</v>
      </c>
      <c r="K73" s="85" t="s">
        <v>13</v>
      </c>
      <c r="L73" s="86">
        <f>MAX(MID(C73,{1,2,3},1)*1)-MIN(MID(C73,{1,2,3},1)*1)</f>
        <v>8</v>
      </c>
      <c r="M73" s="87">
        <v>0</v>
      </c>
      <c r="N73" s="87">
        <v>1</v>
      </c>
      <c r="O73" s="87">
        <v>2</v>
      </c>
      <c r="P73" s="87">
        <v>3</v>
      </c>
      <c r="Q73" s="87">
        <v>4</v>
      </c>
      <c r="R73" s="87">
        <v>5</v>
      </c>
      <c r="S73" s="87">
        <v>6</v>
      </c>
      <c r="T73" s="87">
        <v>7</v>
      </c>
      <c r="U73" s="87">
        <v>8</v>
      </c>
      <c r="V73" s="87">
        <v>9</v>
      </c>
      <c r="W73" s="88">
        <f t="shared" si="78"/>
        <v>8</v>
      </c>
      <c r="X73" s="88">
        <f t="shared" si="79"/>
        <v>6</v>
      </c>
      <c r="Y73" s="88">
        <f t="shared" si="80"/>
        <v>2</v>
      </c>
      <c r="Z73" s="89">
        <f t="shared" si="81"/>
        <v>16</v>
      </c>
      <c r="AA73" s="17" t="str">
        <f>_xlfn.TEXTJOIN(", ",TRUE,ABS(MID(C73,{1,1,2},1)-MID(C73,{2,3,3},1)))</f>
        <v>8, 6, 2</v>
      </c>
      <c r="AB73" s="90">
        <v>0</v>
      </c>
      <c r="AC73" s="90">
        <v>1</v>
      </c>
      <c r="AD73" s="90">
        <v>2</v>
      </c>
      <c r="AE73" s="90">
        <v>3</v>
      </c>
      <c r="AF73" s="90">
        <v>4</v>
      </c>
      <c r="AG73" s="90">
        <v>5</v>
      </c>
      <c r="AH73" s="90">
        <v>6</v>
      </c>
      <c r="AI73" s="90">
        <v>7</v>
      </c>
      <c r="AJ73" s="90">
        <v>8</v>
      </c>
      <c r="AK73" s="90">
        <v>9</v>
      </c>
      <c r="AL73" s="91">
        <v>0</v>
      </c>
      <c r="AM73" s="91">
        <v>1</v>
      </c>
      <c r="AN73" s="91">
        <v>2</v>
      </c>
      <c r="AO73" s="91">
        <v>3</v>
      </c>
      <c r="AP73" s="91">
        <v>4</v>
      </c>
      <c r="AQ73" s="91">
        <v>5</v>
      </c>
      <c r="AR73" s="91">
        <v>6</v>
      </c>
      <c r="AS73" s="91">
        <v>7</v>
      </c>
      <c r="AT73" s="91">
        <v>8</v>
      </c>
      <c r="AU73" s="91">
        <v>9</v>
      </c>
      <c r="AV73" s="92">
        <v>0</v>
      </c>
      <c r="AW73" s="92">
        <v>1</v>
      </c>
      <c r="AX73" s="92">
        <v>2</v>
      </c>
      <c r="AY73" s="92">
        <v>3</v>
      </c>
      <c r="AZ73" s="92">
        <v>4</v>
      </c>
      <c r="BA73" s="92">
        <v>5</v>
      </c>
      <c r="BB73" s="92">
        <v>6</v>
      </c>
      <c r="BC73" s="92">
        <v>7</v>
      </c>
      <c r="BD73" s="92">
        <v>8</v>
      </c>
      <c r="BE73" s="92">
        <v>9</v>
      </c>
      <c r="BF73" s="93">
        <v>0</v>
      </c>
      <c r="BG73" s="93">
        <v>1</v>
      </c>
      <c r="BH73" s="93">
        <v>2</v>
      </c>
      <c r="BI73" s="93">
        <v>3</v>
      </c>
      <c r="BJ73" s="93">
        <v>4</v>
      </c>
      <c r="BK73" s="93">
        <v>5</v>
      </c>
      <c r="BL73" s="93">
        <v>6</v>
      </c>
      <c r="BM73" s="93">
        <v>7</v>
      </c>
      <c r="BN73" s="93">
        <v>8</v>
      </c>
      <c r="BO73" s="93">
        <v>9</v>
      </c>
      <c r="BP73" s="94" t="str">
        <f t="shared" si="82"/>
        <v>松散型</v>
      </c>
      <c r="BQ73" s="15">
        <f t="shared" si="83"/>
        <v>2</v>
      </c>
      <c r="BR73" s="15">
        <f t="shared" si="84"/>
        <v>8</v>
      </c>
      <c r="BS73" s="20" t="str">
        <f t="shared" si="85"/>
        <v/>
      </c>
      <c r="BT73" s="21" t="str">
        <f t="shared" ref="BT73:BT91" si="97">IF(COUNTIF($W71:$Y71,W73)&gt;0,W73,"")</f>
        <v/>
      </c>
      <c r="BU73" s="21" t="str">
        <f t="array" ref="BU73">_xlfn.TEXTJOIN("",TRUE,IF(ISERROR(FIND(ROW($1:$168)-1,BS73&amp;BT73)),ROW($1:$168)-1,""))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3" s="22" t="str">
        <f t="shared" si="86"/>
        <v>中中中</v>
      </c>
      <c r="BW73" s="23" t="str">
        <f t="shared" si="87"/>
        <v/>
      </c>
      <c r="BX73" s="23" t="str">
        <f t="shared" ref="BX73:BX91" si="98">IF(COUNTIF($W71:$Y71,X73)&gt;0,X73,"")</f>
        <v/>
      </c>
      <c r="BY73" s="23" t="str">
        <f t="array" ref="BY73">_xlfn.TEXTJOIN("",TRUE,IF(ISERROR(FIND(ROW($1:$168)-1,BW73&amp;BX73)),ROW($1:$168)-1,""))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3" s="22" t="str">
        <f t="shared" si="88"/>
        <v>中中中</v>
      </c>
      <c r="CA73" s="24">
        <f t="shared" si="89"/>
        <v>2</v>
      </c>
      <c r="CB73" s="24" t="str">
        <f t="shared" ref="CB73:CB91" si="99">IF(COUNTIF($W71:$Y71,Y73)&gt;0,Y73,"")</f>
        <v/>
      </c>
      <c r="CC73" s="24" t="str">
        <f t="array" ref="CC73">_xlfn.TEXTJOIN("",TRUE,IF(ISERROR(FIND(ROW($1:$168)-1,CA73&amp;CB73)),ROW($1:$168)-1,""))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3" s="22" t="str">
        <f t="shared" si="90"/>
        <v>复中中</v>
      </c>
      <c r="CE73" s="25" t="str">
        <f t="shared" si="91"/>
        <v>79</v>
      </c>
      <c r="CF73" s="95" t="str">
        <f t="array" ref="CF73">_xlfn.TEXTJOIN("",TRUE,IF(ISNUMBER(FIND(MID(CE72&amp;W72,ROW($1:$162),1),CE73&amp;W73)),MID(CE72&amp;W72,ROW($1:$162),1),""))</f>
        <v/>
      </c>
      <c r="CG73" s="27" t="str">
        <f t="array" ref="CG73">_xlfn.TEXTJOIN("",TRUE,IF(ISERROR(FIND(ROW($1:$168)-1,CE73&amp;CF73)),ROW($1:$168)-1,""))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73" s="28" t="str">
        <f t="shared" si="92"/>
        <v>邻孤孤</v>
      </c>
      <c r="CI73" s="29" t="str">
        <f t="shared" si="93"/>
        <v>57</v>
      </c>
      <c r="CJ73" s="29" t="str">
        <f t="array" ref="CJ73">_xlfn.TEXTJOIN("",TRUE,IF(ISNUMBER(FIND(MID(CI72&amp;X72,ROW($1:$162),1),CI73&amp;X73)),MID(CI72&amp;X72,ROW($1:$162),1),""))</f>
        <v/>
      </c>
      <c r="CK73" s="29" t="str">
        <f t="array" ref="CK73">_xlfn.TEXTJOIN("",TRUE,IF(ISERROR(FIND(ROW($1:$168)-1,CI73&amp;CJ73)),ROW($1:$168)-1,""))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3" s="19" t="str">
        <f t="shared" si="94"/>
        <v>邻孤孤</v>
      </c>
      <c r="CM73" s="24" t="str">
        <f t="shared" si="95"/>
        <v>13</v>
      </c>
      <c r="CN73" s="24" t="str">
        <f t="array" ref="CN73">_xlfn.TEXTJOIN("",TRUE,IF(ISNUMBER(FIND(MID(CM72&amp;Y72,ROW($1:$162),1),CM73&amp;Y73)),MID(CM72&amp;Y72,ROW($1:$162),1),""))</f>
        <v>3</v>
      </c>
      <c r="CO73" s="24" t="str">
        <f t="array" ref="CO73">_xlfn.TEXTJOIN("",TRUE,IF(ISERROR(FIND(ROW($1:$168)-1,CM73&amp;CN73)),ROW($1:$168)-1,""))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73" s="30" t="str">
        <f t="shared" si="96"/>
        <v>邻传孤</v>
      </c>
    </row>
    <row r="74" customFormat="1" spans="1:94">
      <c r="A74" s="15">
        <v>74</v>
      </c>
      <c r="B74" s="80">
        <v>2024043</v>
      </c>
      <c r="C74" s="8" t="s">
        <v>98</v>
      </c>
      <c r="D74" s="81">
        <f t="shared" si="76"/>
        <v>14</v>
      </c>
      <c r="E74" s="82">
        <f t="shared" si="77"/>
        <v>4</v>
      </c>
      <c r="F74" s="83">
        <f t="shared" si="74"/>
        <v>2.8</v>
      </c>
      <c r="G74" s="84" t="str">
        <f t="shared" si="75"/>
        <v>标准</v>
      </c>
      <c r="H74" s="85" t="s">
        <v>10</v>
      </c>
      <c r="I74" s="85" t="s">
        <v>11</v>
      </c>
      <c r="J74" s="85" t="s">
        <v>12</v>
      </c>
      <c r="K74" s="85" t="s">
        <v>13</v>
      </c>
      <c r="L74" s="86">
        <f>MAX(MID(C74,{1,2,3},1)*1)-MIN(MID(C74,{1,2,3},1)*1)</f>
        <v>5</v>
      </c>
      <c r="M74" s="87">
        <v>0</v>
      </c>
      <c r="N74" s="87">
        <v>1</v>
      </c>
      <c r="O74" s="87">
        <v>2</v>
      </c>
      <c r="P74" s="87">
        <v>3</v>
      </c>
      <c r="Q74" s="87">
        <v>4</v>
      </c>
      <c r="R74" s="87">
        <v>5</v>
      </c>
      <c r="S74" s="87">
        <v>6</v>
      </c>
      <c r="T74" s="87">
        <v>7</v>
      </c>
      <c r="U74" s="87">
        <v>8</v>
      </c>
      <c r="V74" s="87">
        <v>9</v>
      </c>
      <c r="W74" s="88">
        <f t="shared" si="78"/>
        <v>3</v>
      </c>
      <c r="X74" s="88">
        <f t="shared" si="79"/>
        <v>5</v>
      </c>
      <c r="Y74" s="88">
        <f t="shared" si="80"/>
        <v>2</v>
      </c>
      <c r="Z74" s="89">
        <f t="shared" si="81"/>
        <v>10</v>
      </c>
      <c r="AA74" s="17" t="str">
        <f>_xlfn.TEXTJOIN(", ",TRUE,ABS(MID(C74,{1,1,2},1)-MID(C74,{2,3,3},1)))</f>
        <v>3, 5, 2</v>
      </c>
      <c r="AB74" s="90">
        <v>0</v>
      </c>
      <c r="AC74" s="90">
        <v>1</v>
      </c>
      <c r="AD74" s="90">
        <v>2</v>
      </c>
      <c r="AE74" s="90">
        <v>3</v>
      </c>
      <c r="AF74" s="90">
        <v>4</v>
      </c>
      <c r="AG74" s="90">
        <v>5</v>
      </c>
      <c r="AH74" s="90">
        <v>6</v>
      </c>
      <c r="AI74" s="90">
        <v>7</v>
      </c>
      <c r="AJ74" s="90">
        <v>8</v>
      </c>
      <c r="AK74" s="90">
        <v>9</v>
      </c>
      <c r="AL74" s="91">
        <v>0</v>
      </c>
      <c r="AM74" s="91">
        <v>1</v>
      </c>
      <c r="AN74" s="91">
        <v>2</v>
      </c>
      <c r="AO74" s="91">
        <v>3</v>
      </c>
      <c r="AP74" s="91">
        <v>4</v>
      </c>
      <c r="AQ74" s="91">
        <v>5</v>
      </c>
      <c r="AR74" s="91">
        <v>6</v>
      </c>
      <c r="AS74" s="91">
        <v>7</v>
      </c>
      <c r="AT74" s="91">
        <v>8</v>
      </c>
      <c r="AU74" s="91">
        <v>9</v>
      </c>
      <c r="AV74" s="92">
        <v>0</v>
      </c>
      <c r="AW74" s="92">
        <v>1</v>
      </c>
      <c r="AX74" s="92">
        <v>2</v>
      </c>
      <c r="AY74" s="92">
        <v>3</v>
      </c>
      <c r="AZ74" s="92">
        <v>4</v>
      </c>
      <c r="BA74" s="92">
        <v>5</v>
      </c>
      <c r="BB74" s="92">
        <v>6</v>
      </c>
      <c r="BC74" s="92">
        <v>7</v>
      </c>
      <c r="BD74" s="92">
        <v>8</v>
      </c>
      <c r="BE74" s="92">
        <v>9</v>
      </c>
      <c r="BF74" s="93">
        <v>0</v>
      </c>
      <c r="BG74" s="93">
        <v>1</v>
      </c>
      <c r="BH74" s="93">
        <v>2</v>
      </c>
      <c r="BI74" s="93">
        <v>3</v>
      </c>
      <c r="BJ74" s="93">
        <v>4</v>
      </c>
      <c r="BK74" s="93">
        <v>5</v>
      </c>
      <c r="BL74" s="93">
        <v>6</v>
      </c>
      <c r="BM74" s="93">
        <v>7</v>
      </c>
      <c r="BN74" s="93">
        <v>8</v>
      </c>
      <c r="BO74" s="93">
        <v>9</v>
      </c>
      <c r="BP74" s="94" t="str">
        <f t="shared" si="82"/>
        <v>标准型</v>
      </c>
      <c r="BQ74" s="15">
        <f t="shared" si="83"/>
        <v>2</v>
      </c>
      <c r="BR74" s="15">
        <f t="shared" si="84"/>
        <v>5</v>
      </c>
      <c r="BS74" s="20" t="str">
        <f t="shared" si="85"/>
        <v/>
      </c>
      <c r="BT74" s="21" t="str">
        <f t="shared" si="97"/>
        <v/>
      </c>
      <c r="BU74" s="21" t="str">
        <f t="array" ref="BU74">_xlfn.TEXTJOIN("",TRUE,IF(ISERROR(FIND(ROW($1:$168)-1,BS74&amp;BT74)),ROW($1:$168)-1,""))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4" s="22" t="str">
        <f t="shared" si="86"/>
        <v>中中中</v>
      </c>
      <c r="BW74" s="23"/>
      <c r="BX74" s="23" t="str">
        <f t="shared" si="98"/>
        <v/>
      </c>
      <c r="BY74" s="23" t="str">
        <f t="array" ref="BY74">_xlfn.TEXTJOIN("",TRUE,IF(ISERROR(FIND(ROW($1:$168)-1,BW74&amp;BX74)),ROW($1:$168)-1,""))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4" s="22" t="str">
        <f t="shared" si="88"/>
        <v>中中中</v>
      </c>
      <c r="CA74" s="24">
        <f t="shared" si="89"/>
        <v>2</v>
      </c>
      <c r="CB74" s="24">
        <f t="shared" si="99"/>
        <v>2</v>
      </c>
      <c r="CC74" s="24" t="str">
        <f t="array" ref="CC74">_xlfn.TEXTJOIN("",TRUE,IF(ISERROR(FIND(ROW($1:$168)-1,CA74&amp;CB74)),ROW($1:$168)-1,""))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4" s="22" t="str">
        <f t="shared" si="90"/>
        <v>复隔中</v>
      </c>
      <c r="CE74" s="25" t="str">
        <f t="shared" si="91"/>
        <v>24</v>
      </c>
      <c r="CF74" s="26" t="str">
        <f t="array" ref="CF74">_xlfn.TEXTJOIN("",TRUE,IF(ISNUMBER(FIND(MID(CE73&amp;W73,ROW($1:$162),1),CE74&amp;W74)),MID(CE73&amp;W73,ROW($1:$162),1),""))</f>
        <v/>
      </c>
      <c r="CG74" s="27" t="str">
        <f t="array" ref="CG74">_xlfn.TEXTJOIN("",TRUE,IF(ISERROR(FIND(ROW($1:$168)-1,CE74&amp;CF74)),ROW($1:$168)-1,""))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4" s="28" t="str">
        <f t="shared" si="92"/>
        <v>邻孤孤</v>
      </c>
      <c r="CI74" s="29" t="str">
        <f t="shared" si="93"/>
        <v>46</v>
      </c>
      <c r="CJ74" s="29" t="str">
        <f t="array" ref="CJ74">_xlfn.TEXTJOIN("",TRUE,IF(ISNUMBER(FIND(MID(CI73&amp;X73,ROW($1:$162),1),CI74&amp;X74)),MID(CI73&amp;X73,ROW($1:$162),1),""))</f>
        <v>56</v>
      </c>
      <c r="CK74" s="29" t="str">
        <f t="array" ref="CK74">_xlfn.TEXTJOIN("",TRUE,IF(ISERROR(FIND(ROW($1:$168)-1,CI74&amp;CJ74)),ROW($1:$168)-1,""))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4" s="19" t="str">
        <f t="shared" si="94"/>
        <v>邻传孤</v>
      </c>
      <c r="CM74" s="24" t="str">
        <f t="shared" si="95"/>
        <v>13</v>
      </c>
      <c r="CN74" s="24" t="str">
        <f t="array" ref="CN74">_xlfn.TEXTJOIN("",TRUE,IF(ISNUMBER(FIND(MID(CM73&amp;Y73,ROW($1:$162),1),CM74&amp;Y74)),MID(CM73&amp;Y73,ROW($1:$162),1),""))</f>
        <v>132</v>
      </c>
      <c r="CO74" s="24" t="str">
        <f t="array" ref="CO74">_xlfn.TEXTJOIN("",TRUE,IF(ISERROR(FIND(ROW($1:$168)-1,CM74&amp;CN74)),ROW($1:$168)-1,""))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74" s="30" t="str">
        <f t="shared" si="96"/>
        <v>邻传孤</v>
      </c>
    </row>
    <row r="75" customFormat="1" spans="1:94">
      <c r="A75" s="15">
        <v>75</v>
      </c>
      <c r="B75" s="80">
        <v>2024044</v>
      </c>
      <c r="C75" s="8" t="s">
        <v>99</v>
      </c>
      <c r="D75" s="81">
        <f t="shared" si="76"/>
        <v>12</v>
      </c>
      <c r="E75" s="82">
        <f t="shared" si="77"/>
        <v>2</v>
      </c>
      <c r="F75" s="83">
        <f t="shared" si="74"/>
        <v>4</v>
      </c>
      <c r="G75" s="84" t="str">
        <f t="shared" si="75"/>
        <v>紧凑</v>
      </c>
      <c r="H75" s="85" t="s">
        <v>10</v>
      </c>
      <c r="I75" s="85" t="s">
        <v>11</v>
      </c>
      <c r="J75" s="85" t="s">
        <v>12</v>
      </c>
      <c r="K75" s="85" t="s">
        <v>13</v>
      </c>
      <c r="L75" s="86">
        <f>MAX(MID(C75,{1,2,3},1)*1)-MIN(MID(C75,{1,2,3},1)*1)</f>
        <v>3</v>
      </c>
      <c r="M75" s="87">
        <v>0</v>
      </c>
      <c r="N75" s="87">
        <v>1</v>
      </c>
      <c r="O75" s="87">
        <v>2</v>
      </c>
      <c r="P75" s="87">
        <v>3</v>
      </c>
      <c r="Q75" s="87">
        <v>4</v>
      </c>
      <c r="R75" s="87">
        <v>5</v>
      </c>
      <c r="S75" s="87">
        <v>6</v>
      </c>
      <c r="T75" s="87">
        <v>7</v>
      </c>
      <c r="U75" s="87">
        <v>8</v>
      </c>
      <c r="V75" s="87">
        <v>9</v>
      </c>
      <c r="W75" s="88">
        <f t="shared" si="78"/>
        <v>3</v>
      </c>
      <c r="X75" s="88">
        <f t="shared" si="79"/>
        <v>0</v>
      </c>
      <c r="Y75" s="88">
        <f t="shared" si="80"/>
        <v>3</v>
      </c>
      <c r="Z75" s="89">
        <f t="shared" si="81"/>
        <v>6</v>
      </c>
      <c r="AA75" s="17" t="str">
        <f>_xlfn.TEXTJOIN(", ",TRUE,ABS(MID(C75,{1,1,2},1)-MID(C75,{2,3,3},1)))</f>
        <v>3, 0, 3</v>
      </c>
      <c r="AB75" s="90">
        <v>0</v>
      </c>
      <c r="AC75" s="90">
        <v>1</v>
      </c>
      <c r="AD75" s="90">
        <v>2</v>
      </c>
      <c r="AE75" s="90">
        <v>3</v>
      </c>
      <c r="AF75" s="90">
        <v>4</v>
      </c>
      <c r="AG75" s="90">
        <v>5</v>
      </c>
      <c r="AH75" s="90">
        <v>6</v>
      </c>
      <c r="AI75" s="90">
        <v>7</v>
      </c>
      <c r="AJ75" s="90">
        <v>8</v>
      </c>
      <c r="AK75" s="90">
        <v>9</v>
      </c>
      <c r="AL75" s="91">
        <v>0</v>
      </c>
      <c r="AM75" s="91">
        <v>1</v>
      </c>
      <c r="AN75" s="91"/>
      <c r="AO75" s="91">
        <v>3</v>
      </c>
      <c r="AP75" s="91">
        <v>4</v>
      </c>
      <c r="AQ75" s="91">
        <v>5</v>
      </c>
      <c r="AR75" s="91">
        <v>6</v>
      </c>
      <c r="AS75" s="91">
        <v>7</v>
      </c>
      <c r="AT75" s="91">
        <v>8</v>
      </c>
      <c r="AU75" s="91">
        <v>9</v>
      </c>
      <c r="AV75" s="92">
        <v>0</v>
      </c>
      <c r="AW75" s="92">
        <v>1</v>
      </c>
      <c r="AX75" s="92">
        <v>2</v>
      </c>
      <c r="AY75" s="92">
        <v>3</v>
      </c>
      <c r="AZ75" s="92">
        <v>4</v>
      </c>
      <c r="BA75" s="92">
        <v>5</v>
      </c>
      <c r="BB75" s="92">
        <v>6</v>
      </c>
      <c r="BC75" s="92">
        <v>7</v>
      </c>
      <c r="BD75" s="92">
        <v>8</v>
      </c>
      <c r="BE75" s="92">
        <v>9</v>
      </c>
      <c r="BF75" s="93">
        <v>0</v>
      </c>
      <c r="BG75" s="93">
        <v>1</v>
      </c>
      <c r="BH75" s="93">
        <v>2</v>
      </c>
      <c r="BI75" s="93">
        <v>3</v>
      </c>
      <c r="BJ75" s="93">
        <v>4</v>
      </c>
      <c r="BK75" s="93">
        <v>5</v>
      </c>
      <c r="BL75" s="93">
        <v>6</v>
      </c>
      <c r="BM75" s="93">
        <v>7</v>
      </c>
      <c r="BN75" s="93">
        <v>8</v>
      </c>
      <c r="BO75" s="93">
        <v>9</v>
      </c>
      <c r="BP75" s="94" t="str">
        <f t="shared" si="82"/>
        <v>紧凑型</v>
      </c>
      <c r="BQ75" s="15">
        <f t="shared" si="83"/>
        <v>0</v>
      </c>
      <c r="BR75" s="15">
        <f t="shared" si="84"/>
        <v>3</v>
      </c>
      <c r="BS75" s="20">
        <f t="shared" si="85"/>
        <v>3</v>
      </c>
      <c r="BT75" s="21" t="str">
        <f t="shared" si="97"/>
        <v/>
      </c>
      <c r="BU75" s="21" t="str">
        <f t="array" ref="BU75">_xlfn.TEXTJOIN("",TRUE,IF(ISERROR(FIND(ROW($1:$168)-1,BS75&amp;BT75)),ROW($1:$168)-1,""))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5" s="22" t="str">
        <f t="shared" si="86"/>
        <v>复中中</v>
      </c>
      <c r="BW75" s="23" t="str">
        <f t="shared" si="87"/>
        <v/>
      </c>
      <c r="BX75" s="23" t="str">
        <f t="shared" si="98"/>
        <v/>
      </c>
      <c r="BY75" s="23" t="str">
        <f t="array" ref="BY75">_xlfn.TEXTJOIN("",TRUE,IF(ISERROR(FIND(ROW($1:$168)-1,BW75&amp;BX75)),ROW($1:$168)-1,""))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5" s="22" t="str">
        <f t="shared" si="88"/>
        <v>中中中</v>
      </c>
      <c r="CA75" s="24">
        <f t="shared" si="89"/>
        <v>3</v>
      </c>
      <c r="CB75" s="24" t="str">
        <f t="shared" si="99"/>
        <v/>
      </c>
      <c r="CC75" s="24" t="str">
        <f t="array" ref="CC75">_xlfn.TEXTJOIN("",TRUE,IF(ISERROR(FIND(ROW($1:$168)-1,CA75&amp;CB75)),ROW($1:$168)-1,""))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5" s="22" t="str">
        <f t="shared" si="90"/>
        <v>复中中</v>
      </c>
      <c r="CE75" s="25" t="str">
        <f t="shared" si="91"/>
        <v>24</v>
      </c>
      <c r="CF75" s="26" t="str">
        <f t="array" ref="CF75">_xlfn.TEXTJOIN("",TRUE,IF(ISNUMBER(FIND(MID(CE74&amp;W74,ROW($1:$162),1),CE75&amp;W75)),MID(CE74&amp;W74,ROW($1:$162),1),""))</f>
        <v>243</v>
      </c>
      <c r="CG75" s="27" t="str">
        <f t="array" ref="CG75">_xlfn.TEXTJOIN("",TRUE,IF(ISERROR(FIND(ROW($1:$168)-1,CE75&amp;CF75)),ROW($1:$168)-1,""))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5" s="28" t="str">
        <f t="shared" si="92"/>
        <v>邻传孤</v>
      </c>
      <c r="CI75" s="29" t="str">
        <f t="shared" si="93"/>
        <v>91</v>
      </c>
      <c r="CJ75" s="29" t="str">
        <f t="array" ref="CJ75">_xlfn.TEXTJOIN("",TRUE,IF(ISNUMBER(FIND(MID(CI74&amp;X74,ROW($1:$162),1),CI75&amp;X75)),MID(CI74&amp;X74,ROW($1:$162),1),""))</f>
        <v/>
      </c>
      <c r="CK75" s="29" t="str">
        <f t="array" ref="CK75">_xlfn.TEXTJOIN("",TRUE,IF(ISERROR(FIND(ROW($1:$168)-1,CI75&amp;CJ75)),ROW($1:$168)-1,""))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75" s="19" t="str">
        <f t="shared" si="94"/>
        <v>邻孤孤</v>
      </c>
      <c r="CM75" s="24" t="str">
        <f t="shared" si="95"/>
        <v>24</v>
      </c>
      <c r="CN75" s="24" t="str">
        <f t="array" ref="CN75">_xlfn.TEXTJOIN("",TRUE,IF(ISNUMBER(FIND(MID(CM74&amp;Y74,ROW($1:$162),1),CM75&amp;Y75)),MID(CM74&amp;Y74,ROW($1:$162),1),""))</f>
        <v>32</v>
      </c>
      <c r="CO75" s="24" t="str">
        <f t="array" ref="CO75">_xlfn.TEXTJOIN("",TRUE,IF(ISERROR(FIND(ROW($1:$168)-1,CM75&amp;CN75)),ROW($1:$168)-1,""))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5" s="30" t="str">
        <f t="shared" si="96"/>
        <v>邻传孤</v>
      </c>
    </row>
    <row r="76" customFormat="1" spans="1:94">
      <c r="A76" s="15">
        <v>76</v>
      </c>
      <c r="B76" s="80">
        <v>2024045</v>
      </c>
      <c r="C76" s="8" t="s">
        <v>100</v>
      </c>
      <c r="D76" s="81">
        <f t="shared" si="76"/>
        <v>10</v>
      </c>
      <c r="E76" s="82">
        <f t="shared" si="77"/>
        <v>0</v>
      </c>
      <c r="F76" s="83">
        <f t="shared" si="74"/>
        <v>1.66666666666667</v>
      </c>
      <c r="G76" s="84" t="str">
        <f t="shared" si="75"/>
        <v>松散</v>
      </c>
      <c r="H76" s="85" t="s">
        <v>10</v>
      </c>
      <c r="I76" s="85" t="s">
        <v>11</v>
      </c>
      <c r="J76" s="85" t="s">
        <v>12</v>
      </c>
      <c r="K76" s="85" t="s">
        <v>13</v>
      </c>
      <c r="L76" s="86">
        <f>MAX(MID(C76,{1,2,3},1)*1)-MIN(MID(C76,{1,2,3},1)*1)</f>
        <v>6</v>
      </c>
      <c r="M76" s="87">
        <v>0</v>
      </c>
      <c r="N76" s="87">
        <v>1</v>
      </c>
      <c r="O76" s="87">
        <v>2</v>
      </c>
      <c r="P76" s="87">
        <v>3</v>
      </c>
      <c r="Q76" s="87">
        <v>4</v>
      </c>
      <c r="R76" s="87">
        <v>5</v>
      </c>
      <c r="S76" s="87">
        <v>6</v>
      </c>
      <c r="T76" s="87">
        <v>7</v>
      </c>
      <c r="U76" s="87">
        <v>8</v>
      </c>
      <c r="V76" s="87">
        <v>9</v>
      </c>
      <c r="W76" s="88">
        <f t="shared" si="78"/>
        <v>4</v>
      </c>
      <c r="X76" s="88">
        <f t="shared" si="79"/>
        <v>2</v>
      </c>
      <c r="Y76" s="88">
        <f t="shared" si="80"/>
        <v>6</v>
      </c>
      <c r="Z76" s="89">
        <f t="shared" si="81"/>
        <v>12</v>
      </c>
      <c r="AA76" s="17" t="str">
        <f>_xlfn.TEXTJOIN(", ",TRUE,ABS(MID(C76,{1,1,2},1)-MID(C76,{2,3,3},1)))</f>
        <v>4, 2, 6</v>
      </c>
      <c r="AB76" s="90">
        <v>0</v>
      </c>
      <c r="AC76" s="90">
        <v>1</v>
      </c>
      <c r="AD76" s="90">
        <v>2</v>
      </c>
      <c r="AE76" s="90">
        <v>3</v>
      </c>
      <c r="AF76" s="90">
        <v>4</v>
      </c>
      <c r="AG76" s="90">
        <v>5</v>
      </c>
      <c r="AH76" s="90">
        <v>6</v>
      </c>
      <c r="AI76" s="90">
        <v>7</v>
      </c>
      <c r="AJ76" s="90">
        <v>8</v>
      </c>
      <c r="AK76" s="90">
        <v>9</v>
      </c>
      <c r="AL76" s="91">
        <v>0</v>
      </c>
      <c r="AM76" s="91">
        <v>1</v>
      </c>
      <c r="AN76" s="91">
        <v>2</v>
      </c>
      <c r="AO76" s="91">
        <v>3</v>
      </c>
      <c r="AP76" s="91">
        <v>4</v>
      </c>
      <c r="AQ76" s="91">
        <v>5</v>
      </c>
      <c r="AR76" s="91">
        <v>6</v>
      </c>
      <c r="AS76" s="91">
        <v>7</v>
      </c>
      <c r="AT76" s="91">
        <v>8</v>
      </c>
      <c r="AU76" s="91">
        <v>9</v>
      </c>
      <c r="AV76" s="92">
        <v>0</v>
      </c>
      <c r="AW76" s="92">
        <v>1</v>
      </c>
      <c r="AX76" s="92">
        <v>2</v>
      </c>
      <c r="AY76" s="92">
        <v>3</v>
      </c>
      <c r="AZ76" s="92">
        <v>4</v>
      </c>
      <c r="BA76" s="92">
        <v>5</v>
      </c>
      <c r="BB76" s="92">
        <v>6</v>
      </c>
      <c r="BC76" s="92">
        <v>7</v>
      </c>
      <c r="BD76" s="92">
        <v>8</v>
      </c>
      <c r="BE76" s="92">
        <v>9</v>
      </c>
      <c r="BF76" s="93">
        <v>0</v>
      </c>
      <c r="BG76" s="93">
        <v>1</v>
      </c>
      <c r="BH76" s="93">
        <v>2</v>
      </c>
      <c r="BI76" s="93">
        <v>3</v>
      </c>
      <c r="BJ76" s="93">
        <v>4</v>
      </c>
      <c r="BK76" s="93">
        <v>5</v>
      </c>
      <c r="BL76" s="93">
        <v>6</v>
      </c>
      <c r="BM76" s="93">
        <v>7</v>
      </c>
      <c r="BN76" s="93">
        <v>8</v>
      </c>
      <c r="BO76" s="93">
        <v>9</v>
      </c>
      <c r="BP76" s="94" t="str">
        <f t="shared" si="82"/>
        <v>松散型</v>
      </c>
      <c r="BQ76" s="15">
        <f t="shared" si="83"/>
        <v>2</v>
      </c>
      <c r="BR76" s="15">
        <f t="shared" si="84"/>
        <v>6</v>
      </c>
      <c r="BS76" s="20" t="str">
        <f t="shared" si="85"/>
        <v/>
      </c>
      <c r="BT76" s="21" t="str">
        <f t="shared" si="97"/>
        <v/>
      </c>
      <c r="BU76" s="21" t="str">
        <f t="array" ref="BU76">_xlfn.TEXTJOIN("",TRUE,IF(ISERROR(FIND(ROW($1:$168)-1,BS76&amp;BT76)),ROW($1:$168)-1,""))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6" s="22" t="str">
        <f t="shared" si="86"/>
        <v>中中中</v>
      </c>
      <c r="BW76" s="23" t="str">
        <f t="shared" si="87"/>
        <v/>
      </c>
      <c r="BX76" s="23">
        <f t="shared" si="98"/>
        <v>2</v>
      </c>
      <c r="BY76" s="23" t="str">
        <f t="array" ref="BY76">_xlfn.TEXTJOIN("",TRUE,IF(ISERROR(FIND(ROW($1:$168)-1,BW76&amp;BX76)),ROW($1:$168)-1,""))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6" s="22" t="str">
        <f t="shared" si="88"/>
        <v>中隔中</v>
      </c>
      <c r="CA76" s="24" t="str">
        <f t="shared" si="89"/>
        <v/>
      </c>
      <c r="CB76" s="24" t="str">
        <f t="shared" si="99"/>
        <v/>
      </c>
      <c r="CC76" s="24" t="str">
        <f t="array" ref="CC76">_xlfn.TEXTJOIN("",TRUE,IF(ISERROR(FIND(ROW($1:$168)-1,CA76&amp;CB76)),ROW($1:$168)-1,""))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6" s="22" t="str">
        <f t="shared" si="90"/>
        <v>中中中</v>
      </c>
      <c r="CE76" s="25" t="str">
        <f t="shared" si="91"/>
        <v>35</v>
      </c>
      <c r="CF76" s="26" t="str">
        <f t="array" ref="CF76">_xlfn.TEXTJOIN("",TRUE,IF(ISNUMBER(FIND(MID(CE75&amp;W75,ROW($1:$162),1),CE76&amp;W76)),MID(CE75&amp;W75,ROW($1:$162),1),""))</f>
        <v>43</v>
      </c>
      <c r="CG76" s="27" t="str">
        <f t="array" ref="CG76">_xlfn.TEXTJOIN("",TRUE,IF(ISERROR(FIND(ROW($1:$168)-1,CE76&amp;CF76)),ROW($1:$168)-1,""))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6" s="28" t="str">
        <f t="shared" si="92"/>
        <v>邻传孤</v>
      </c>
      <c r="CI76" s="29" t="str">
        <f t="shared" si="93"/>
        <v>13</v>
      </c>
      <c r="CJ76" s="29" t="str">
        <f t="array" ref="CJ76">_xlfn.TEXTJOIN("",TRUE,IF(ISNUMBER(FIND(MID(CI75&amp;X75,ROW($1:$162),1),CI76&amp;X76)),MID(CI75&amp;X75,ROW($1:$162),1),""))</f>
        <v>1</v>
      </c>
      <c r="CK76" s="29" t="str">
        <f t="array" ref="CK76">_xlfn.TEXTJOIN("",TRUE,IF(ISERROR(FIND(ROW($1:$168)-1,CI76&amp;CJ76)),ROW($1:$168)-1,""))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L76" s="19" t="str">
        <f t="shared" si="94"/>
        <v>邻传孤</v>
      </c>
      <c r="CM76" s="24" t="str">
        <f t="shared" si="95"/>
        <v>57</v>
      </c>
      <c r="CN76" s="24" t="str">
        <f t="array" ref="CN76">_xlfn.TEXTJOIN("",TRUE,IF(ISNUMBER(FIND(MID(CM75&amp;Y75,ROW($1:$162),1),CM76&amp;Y76)),MID(CM75&amp;Y75,ROW($1:$162),1),""))</f>
        <v/>
      </c>
      <c r="CO76" s="24" t="str">
        <f t="array" ref="CO76">_xlfn.TEXTJOIN("",TRUE,IF(ISERROR(FIND(ROW($1:$168)-1,CM76&amp;CN76)),ROW($1:$168)-1,""))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6" s="30" t="str">
        <f t="shared" si="96"/>
        <v>邻孤孤</v>
      </c>
    </row>
    <row r="77" customFormat="1" spans="1:94">
      <c r="A77" s="15">
        <v>77</v>
      </c>
      <c r="B77" s="80">
        <v>2024046</v>
      </c>
      <c r="C77" s="8" t="s">
        <v>101</v>
      </c>
      <c r="D77" s="81">
        <f t="shared" si="76"/>
        <v>10</v>
      </c>
      <c r="E77" s="82">
        <f t="shared" si="77"/>
        <v>0</v>
      </c>
      <c r="F77" s="83">
        <f t="shared" si="74"/>
        <v>1.42857142857143</v>
      </c>
      <c r="G77" s="84" t="str">
        <f t="shared" si="75"/>
        <v>松散</v>
      </c>
      <c r="H77" s="85" t="s">
        <v>10</v>
      </c>
      <c r="I77" s="85" t="s">
        <v>11</v>
      </c>
      <c r="J77" s="85" t="s">
        <v>12</v>
      </c>
      <c r="K77" s="85" t="s">
        <v>13</v>
      </c>
      <c r="L77" s="86">
        <f>MAX(MID(C77,{1,2,3},1)*1)-MIN(MID(C77,{1,2,3},1)*1)</f>
        <v>7</v>
      </c>
      <c r="M77" s="87">
        <v>0</v>
      </c>
      <c r="N77" s="87">
        <v>1</v>
      </c>
      <c r="O77" s="87">
        <v>2</v>
      </c>
      <c r="P77" s="87">
        <v>3</v>
      </c>
      <c r="Q77" s="87">
        <v>4</v>
      </c>
      <c r="R77" s="87">
        <v>5</v>
      </c>
      <c r="S77" s="87">
        <v>6</v>
      </c>
      <c r="T77" s="87">
        <v>7</v>
      </c>
      <c r="U77" s="87">
        <v>8</v>
      </c>
      <c r="V77" s="87">
        <v>9</v>
      </c>
      <c r="W77" s="88">
        <f t="shared" si="78"/>
        <v>4</v>
      </c>
      <c r="X77" s="88">
        <f t="shared" si="79"/>
        <v>7</v>
      </c>
      <c r="Y77" s="88">
        <f t="shared" si="80"/>
        <v>3</v>
      </c>
      <c r="Z77" s="89">
        <f t="shared" si="81"/>
        <v>14</v>
      </c>
      <c r="AA77" s="17" t="str">
        <f>_xlfn.TEXTJOIN(", ",TRUE,ABS(MID(C77,{1,1,2},1)-MID(C77,{2,3,3},1)))</f>
        <v>4, 7, 3</v>
      </c>
      <c r="AB77" s="90">
        <v>0</v>
      </c>
      <c r="AC77" s="90">
        <v>1</v>
      </c>
      <c r="AD77" s="90">
        <v>2</v>
      </c>
      <c r="AE77" s="90">
        <v>3</v>
      </c>
      <c r="AF77" s="90">
        <v>4</v>
      </c>
      <c r="AG77" s="90">
        <v>5</v>
      </c>
      <c r="AH77" s="90">
        <v>6</v>
      </c>
      <c r="AI77" s="90">
        <v>7</v>
      </c>
      <c r="AJ77" s="90">
        <v>8</v>
      </c>
      <c r="AK77" s="90">
        <v>9</v>
      </c>
      <c r="AL77" s="91">
        <v>0</v>
      </c>
      <c r="AM77" s="91">
        <v>1</v>
      </c>
      <c r="AN77" s="91">
        <v>2</v>
      </c>
      <c r="AO77" s="91">
        <v>3</v>
      </c>
      <c r="AP77" s="91">
        <v>4</v>
      </c>
      <c r="AQ77" s="91">
        <v>5</v>
      </c>
      <c r="AR77" s="91">
        <v>6</v>
      </c>
      <c r="AS77" s="91">
        <v>7</v>
      </c>
      <c r="AT77" s="91">
        <v>8</v>
      </c>
      <c r="AU77" s="91">
        <v>9</v>
      </c>
      <c r="AV77" s="92">
        <v>0</v>
      </c>
      <c r="AW77" s="92">
        <v>1</v>
      </c>
      <c r="AX77" s="92">
        <v>2</v>
      </c>
      <c r="AY77" s="92">
        <v>3</v>
      </c>
      <c r="AZ77" s="92">
        <v>4</v>
      </c>
      <c r="BA77" s="92">
        <v>5</v>
      </c>
      <c r="BB77" s="92">
        <v>6</v>
      </c>
      <c r="BC77" s="92">
        <v>7</v>
      </c>
      <c r="BD77" s="92">
        <v>8</v>
      </c>
      <c r="BE77" s="92">
        <v>9</v>
      </c>
      <c r="BF77" s="93">
        <v>0</v>
      </c>
      <c r="BG77" s="93">
        <v>1</v>
      </c>
      <c r="BH77" s="93">
        <v>2</v>
      </c>
      <c r="BI77" s="93">
        <v>3</v>
      </c>
      <c r="BJ77" s="93">
        <v>4</v>
      </c>
      <c r="BK77" s="93">
        <v>5</v>
      </c>
      <c r="BL77" s="93">
        <v>6</v>
      </c>
      <c r="BM77" s="93">
        <v>7</v>
      </c>
      <c r="BN77" s="93">
        <v>8</v>
      </c>
      <c r="BO77" s="93">
        <v>9</v>
      </c>
      <c r="BP77" s="94" t="str">
        <f t="shared" si="82"/>
        <v>松散型</v>
      </c>
      <c r="BQ77" s="15">
        <f t="shared" si="83"/>
        <v>3</v>
      </c>
      <c r="BR77" s="15">
        <f t="shared" si="84"/>
        <v>7</v>
      </c>
      <c r="BS77" s="20">
        <f t="shared" si="85"/>
        <v>4</v>
      </c>
      <c r="BT77" s="21" t="str">
        <f t="shared" si="97"/>
        <v/>
      </c>
      <c r="BU77" s="21" t="str">
        <f t="array" ref="BU77">_xlfn.TEXTJOIN("",TRUE,IF(ISERROR(FIND(ROW($1:$168)-1,BS77&amp;BT77)),ROW($1:$168)-1,""))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7" s="22" t="str">
        <f t="shared" si="86"/>
        <v>复中中</v>
      </c>
      <c r="BW77" s="23" t="str">
        <f t="shared" si="87"/>
        <v/>
      </c>
      <c r="BX77" s="23" t="str">
        <f t="shared" si="98"/>
        <v/>
      </c>
      <c r="BY77" s="23" t="str">
        <f t="array" ref="BY77">_xlfn.TEXTJOIN("",TRUE,IF(ISERROR(FIND(ROW($1:$168)-1,BW77&amp;BX77)),ROW($1:$168)-1,""))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7" s="22" t="str">
        <f t="shared" si="88"/>
        <v>中中中</v>
      </c>
      <c r="CA77" s="24" t="str">
        <f t="shared" si="89"/>
        <v/>
      </c>
      <c r="CB77" s="24">
        <f t="shared" si="99"/>
        <v>3</v>
      </c>
      <c r="CC77" s="24" t="str">
        <f t="array" ref="CC77">_xlfn.TEXTJOIN("",TRUE,IF(ISERROR(FIND(ROW($1:$168)-1,CA77&amp;CB77)),ROW($1:$168)-1,""))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7" s="22" t="str">
        <f t="shared" si="90"/>
        <v>中隔中</v>
      </c>
      <c r="CE77" s="25" t="str">
        <f t="shared" si="91"/>
        <v>35</v>
      </c>
      <c r="CF77" s="26" t="str">
        <f t="array" ref="CF77">_xlfn.TEXTJOIN("",TRUE,IF(ISNUMBER(FIND(MID(CE76&amp;W76,ROW($1:$162),1),CE77&amp;W77)),MID(CE76&amp;W76,ROW($1:$162),1),""))</f>
        <v>354</v>
      </c>
      <c r="CG77" s="27" t="str">
        <f t="array" ref="CG77">_xlfn.TEXTJOIN("",TRUE,IF(ISERROR(FIND(ROW($1:$168)-1,CE77&amp;CF77)),ROW($1:$168)-1,""))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7" s="28" t="str">
        <f t="shared" si="92"/>
        <v>邻传孤</v>
      </c>
      <c r="CI77" s="29" t="str">
        <f t="shared" si="93"/>
        <v>68</v>
      </c>
      <c r="CJ77" s="29" t="str">
        <f t="array" ref="CJ77">_xlfn.TEXTJOIN("",TRUE,IF(ISNUMBER(FIND(MID(CI76&amp;X76,ROW($1:$162),1),CI77&amp;X77)),MID(CI76&amp;X76,ROW($1:$162),1),""))</f>
        <v/>
      </c>
      <c r="CK77" s="29" t="str">
        <f t="array" ref="CK77">_xlfn.TEXTJOIN("",TRUE,IF(ISERROR(FIND(ROW($1:$168)-1,CI77&amp;CJ77)),ROW($1:$168)-1,""))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7" s="19" t="str">
        <f t="shared" si="94"/>
        <v>邻孤孤</v>
      </c>
      <c r="CM77" s="24" t="str">
        <f t="shared" si="95"/>
        <v>24</v>
      </c>
      <c r="CN77" s="24" t="str">
        <f t="array" ref="CN77">_xlfn.TEXTJOIN("",TRUE,IF(ISNUMBER(FIND(MID(CM76&amp;Y76,ROW($1:$162),1),CM77&amp;Y77)),MID(CM76&amp;Y76,ROW($1:$162),1),""))</f>
        <v/>
      </c>
      <c r="CO77" s="24" t="str">
        <f t="array" ref="CO77">_xlfn.TEXTJOIN("",TRUE,IF(ISERROR(FIND(ROW($1:$168)-1,CM77&amp;CN77)),ROW($1:$168)-1,""))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7" s="30" t="str">
        <f t="shared" si="96"/>
        <v>邻孤孤</v>
      </c>
    </row>
    <row r="78" customFormat="1" spans="1:94">
      <c r="A78" s="15">
        <v>78</v>
      </c>
      <c r="B78" s="80">
        <v>2024047</v>
      </c>
      <c r="C78" s="8" t="s">
        <v>102</v>
      </c>
      <c r="D78" s="81">
        <f t="shared" si="76"/>
        <v>6</v>
      </c>
      <c r="E78" s="82">
        <f t="shared" si="77"/>
        <v>6</v>
      </c>
      <c r="F78" s="83">
        <f t="shared" si="74"/>
        <v>1.5</v>
      </c>
      <c r="G78" s="84" t="str">
        <f t="shared" si="75"/>
        <v>松散</v>
      </c>
      <c r="H78" s="85" t="s">
        <v>10</v>
      </c>
      <c r="I78" s="85" t="s">
        <v>11</v>
      </c>
      <c r="J78" s="85" t="s">
        <v>12</v>
      </c>
      <c r="K78" s="85" t="s">
        <v>13</v>
      </c>
      <c r="L78" s="86">
        <f>MAX(MID(C78,{1,2,3},1)*1)-MIN(MID(C78,{1,2,3},1)*1)</f>
        <v>4</v>
      </c>
      <c r="M78" s="87">
        <v>0</v>
      </c>
      <c r="N78" s="87">
        <v>1</v>
      </c>
      <c r="O78" s="87">
        <v>2</v>
      </c>
      <c r="P78" s="87">
        <v>3</v>
      </c>
      <c r="Q78" s="87">
        <v>4</v>
      </c>
      <c r="R78" s="87">
        <v>5</v>
      </c>
      <c r="S78" s="87">
        <v>6</v>
      </c>
      <c r="T78" s="87">
        <v>7</v>
      </c>
      <c r="U78" s="87">
        <v>8</v>
      </c>
      <c r="V78" s="87">
        <v>9</v>
      </c>
      <c r="W78" s="88">
        <f t="shared" si="78"/>
        <v>2</v>
      </c>
      <c r="X78" s="88">
        <f t="shared" si="79"/>
        <v>4</v>
      </c>
      <c r="Y78" s="88">
        <f t="shared" si="80"/>
        <v>2</v>
      </c>
      <c r="Z78" s="89">
        <f t="shared" si="81"/>
        <v>8</v>
      </c>
      <c r="AA78" s="17" t="str">
        <f>_xlfn.TEXTJOIN(", ",TRUE,ABS(MID(C78,{1,1,2},1)-MID(C78,{2,3,3},1)))</f>
        <v>2, 4, 2</v>
      </c>
      <c r="AB78" s="90">
        <v>0</v>
      </c>
      <c r="AC78" s="90">
        <v>1</v>
      </c>
      <c r="AD78" s="90">
        <v>2</v>
      </c>
      <c r="AE78" s="90">
        <v>3</v>
      </c>
      <c r="AF78" s="90">
        <v>4</v>
      </c>
      <c r="AG78" s="90">
        <v>5</v>
      </c>
      <c r="AH78" s="90">
        <v>6</v>
      </c>
      <c r="AI78" s="90">
        <v>7</v>
      </c>
      <c r="AJ78" s="90">
        <v>8</v>
      </c>
      <c r="AK78" s="90">
        <v>9</v>
      </c>
      <c r="AL78" s="91">
        <v>0</v>
      </c>
      <c r="AM78" s="91">
        <v>1</v>
      </c>
      <c r="AN78" s="91">
        <v>2</v>
      </c>
      <c r="AO78" s="91">
        <v>3</v>
      </c>
      <c r="AP78" s="91">
        <v>4</v>
      </c>
      <c r="AQ78" s="91">
        <v>5</v>
      </c>
      <c r="AR78" s="91">
        <v>6</v>
      </c>
      <c r="AS78" s="91">
        <v>7</v>
      </c>
      <c r="AT78" s="91">
        <v>8</v>
      </c>
      <c r="AU78" s="91">
        <v>9</v>
      </c>
      <c r="AV78" s="92">
        <v>0</v>
      </c>
      <c r="AW78" s="92">
        <v>1</v>
      </c>
      <c r="AX78" s="92">
        <v>2</v>
      </c>
      <c r="AY78" s="92">
        <v>3</v>
      </c>
      <c r="AZ78" s="92">
        <v>4</v>
      </c>
      <c r="BA78" s="92">
        <v>5</v>
      </c>
      <c r="BB78" s="92">
        <v>6</v>
      </c>
      <c r="BC78" s="92">
        <v>7</v>
      </c>
      <c r="BD78" s="92">
        <v>8</v>
      </c>
      <c r="BE78" s="92">
        <v>9</v>
      </c>
      <c r="BF78" s="93">
        <v>0</v>
      </c>
      <c r="BG78" s="93">
        <v>1</v>
      </c>
      <c r="BH78" s="93">
        <v>2</v>
      </c>
      <c r="BI78" s="93">
        <v>3</v>
      </c>
      <c r="BJ78" s="93">
        <v>4</v>
      </c>
      <c r="BK78" s="93">
        <v>5</v>
      </c>
      <c r="BL78" s="93">
        <v>6</v>
      </c>
      <c r="BM78" s="93">
        <v>7</v>
      </c>
      <c r="BN78" s="93">
        <v>8</v>
      </c>
      <c r="BO78" s="93">
        <v>9</v>
      </c>
      <c r="BP78" s="94" t="str">
        <f t="shared" si="82"/>
        <v>标准型</v>
      </c>
      <c r="BQ78" s="15">
        <f t="shared" si="83"/>
        <v>2</v>
      </c>
      <c r="BR78" s="15">
        <f t="shared" si="84"/>
        <v>4</v>
      </c>
      <c r="BS78" s="20" t="str">
        <f t="shared" si="85"/>
        <v/>
      </c>
      <c r="BT78" s="21">
        <f t="shared" si="97"/>
        <v>2</v>
      </c>
      <c r="BU78" s="21" t="str">
        <f t="array" ref="BU78">_xlfn.TEXTJOIN("",TRUE,IF(ISERROR(FIND(ROW($1:$168)-1,BS78&amp;BT78)),ROW($1:$168)-1,""))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8" s="22" t="str">
        <f t="shared" si="86"/>
        <v>中隔中</v>
      </c>
      <c r="BW78" s="23">
        <f t="shared" si="87"/>
        <v>4</v>
      </c>
      <c r="BX78" s="23">
        <f t="shared" si="98"/>
        <v>4</v>
      </c>
      <c r="BY78" s="23" t="str">
        <f t="array" ref="BY78">_xlfn.TEXTJOIN("",TRUE,IF(ISERROR(FIND(ROW($1:$168)-1,BW78&amp;BX78)),ROW($1:$168)-1,""))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8" s="22" t="str">
        <f t="shared" si="88"/>
        <v>复隔中</v>
      </c>
      <c r="CA78" s="24" t="str">
        <f t="shared" si="89"/>
        <v/>
      </c>
      <c r="CB78" s="24">
        <f t="shared" si="99"/>
        <v>2</v>
      </c>
      <c r="CC78" s="24" t="str">
        <f t="array" ref="CC78">_xlfn.TEXTJOIN("",TRUE,IF(ISERROR(FIND(ROW($1:$168)-1,CA78&amp;CB78)),ROW($1:$168)-1,""))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8" s="22" t="str">
        <f t="shared" si="90"/>
        <v>中隔中</v>
      </c>
      <c r="CE78" s="25" t="str">
        <f t="shared" si="91"/>
        <v>13</v>
      </c>
      <c r="CF78" s="26" t="str">
        <f t="array" ref="CF78">_xlfn.TEXTJOIN("",TRUE,IF(ISNUMBER(FIND(MID(CE77&amp;W77,ROW($1:$162),1),CE78&amp;W78)),MID(CE77&amp;W77,ROW($1:$162),1),""))</f>
        <v>3</v>
      </c>
      <c r="CG78" s="27" t="str">
        <f t="array" ref="CG78">_xlfn.TEXTJOIN("",TRUE,IF(ISERROR(FIND(ROW($1:$168)-1,CE78&amp;CF78)),ROW($1:$168)-1,""))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78" s="28" t="str">
        <f t="shared" si="92"/>
        <v>邻传孤</v>
      </c>
      <c r="CI78" s="29" t="str">
        <f t="shared" si="93"/>
        <v>35</v>
      </c>
      <c r="CJ78" s="29" t="str">
        <f t="array" ref="CJ78">_xlfn.TEXTJOIN("",TRUE,IF(ISNUMBER(FIND(MID(CI77&amp;X77,ROW($1:$162),1),CI78&amp;X78)),MID(CI77&amp;X77,ROW($1:$162),1),""))</f>
        <v/>
      </c>
      <c r="CK78" s="29" t="str">
        <f t="array" ref="CK78">_xlfn.TEXTJOIN("",TRUE,IF(ISERROR(FIND(ROW($1:$168)-1,CI78&amp;CJ78)),ROW($1:$168)-1,""))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8" s="19" t="str">
        <f t="shared" si="94"/>
        <v>邻孤孤</v>
      </c>
      <c r="CM78" s="24" t="str">
        <f t="shared" si="95"/>
        <v>13</v>
      </c>
      <c r="CN78" s="24" t="str">
        <f t="array" ref="CN78">_xlfn.TEXTJOIN("",TRUE,IF(ISNUMBER(FIND(MID(CM77&amp;Y77,ROW($1:$162),1),CM78&amp;Y78)),MID(CM77&amp;Y77,ROW($1:$162),1),""))</f>
        <v>23</v>
      </c>
      <c r="CO78" s="24" t="str">
        <f t="array" ref="CO78">_xlfn.TEXTJOIN("",TRUE,IF(ISERROR(FIND(ROW($1:$168)-1,CM78&amp;CN78)),ROW($1:$168)-1,""))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78" s="30" t="str">
        <f t="shared" si="96"/>
        <v>邻传孤</v>
      </c>
    </row>
    <row r="79" customFormat="1" spans="1:94">
      <c r="A79" s="15">
        <v>79</v>
      </c>
      <c r="B79" s="80">
        <v>2024048</v>
      </c>
      <c r="C79" s="8" t="s">
        <v>103</v>
      </c>
      <c r="D79" s="81">
        <f t="shared" si="76"/>
        <v>11</v>
      </c>
      <c r="E79" s="82">
        <f t="shared" si="77"/>
        <v>1</v>
      </c>
      <c r="F79" s="83">
        <f t="shared" si="74"/>
        <v>1.57142857142857</v>
      </c>
      <c r="G79" s="84" t="str">
        <f t="shared" si="75"/>
        <v>松散</v>
      </c>
      <c r="H79" s="85" t="s">
        <v>10</v>
      </c>
      <c r="I79" s="85" t="s">
        <v>11</v>
      </c>
      <c r="J79" s="85" t="s">
        <v>12</v>
      </c>
      <c r="K79" s="85" t="s">
        <v>13</v>
      </c>
      <c r="L79" s="86">
        <f>MAX(MID(C79,{1,2,3},1)*1)-MIN(MID(C79,{1,2,3},1)*1)</f>
        <v>7</v>
      </c>
      <c r="M79" s="87">
        <v>0</v>
      </c>
      <c r="N79" s="87">
        <v>1</v>
      </c>
      <c r="O79" s="87">
        <v>2</v>
      </c>
      <c r="P79" s="87">
        <v>3</v>
      </c>
      <c r="Q79" s="87">
        <v>4</v>
      </c>
      <c r="R79" s="87">
        <v>5</v>
      </c>
      <c r="S79" s="87">
        <v>6</v>
      </c>
      <c r="T79" s="87">
        <v>7</v>
      </c>
      <c r="U79" s="87">
        <v>8</v>
      </c>
      <c r="V79" s="87">
        <v>9</v>
      </c>
      <c r="W79" s="88">
        <f t="shared" si="78"/>
        <v>1</v>
      </c>
      <c r="X79" s="88">
        <f t="shared" si="79"/>
        <v>7</v>
      </c>
      <c r="Y79" s="88">
        <f t="shared" si="80"/>
        <v>6</v>
      </c>
      <c r="Z79" s="89">
        <f t="shared" si="81"/>
        <v>14</v>
      </c>
      <c r="AA79" s="17" t="str">
        <f>_xlfn.TEXTJOIN(", ",TRUE,ABS(MID(C79,{1,1,2},1)-MID(C79,{2,3,3},1)))</f>
        <v>1, 7, 6</v>
      </c>
      <c r="AB79" s="90">
        <v>0</v>
      </c>
      <c r="AC79" s="90">
        <v>1</v>
      </c>
      <c r="AD79" s="90">
        <v>2</v>
      </c>
      <c r="AE79" s="90">
        <v>3</v>
      </c>
      <c r="AF79" s="90">
        <v>4</v>
      </c>
      <c r="AG79" s="90">
        <v>5</v>
      </c>
      <c r="AH79" s="90">
        <v>6</v>
      </c>
      <c r="AI79" s="90">
        <v>7</v>
      </c>
      <c r="AJ79" s="90">
        <v>8</v>
      </c>
      <c r="AK79" s="90">
        <v>9</v>
      </c>
      <c r="AL79" s="91">
        <v>0</v>
      </c>
      <c r="AM79" s="91">
        <v>1</v>
      </c>
      <c r="AN79" s="91">
        <v>2</v>
      </c>
      <c r="AO79" s="91">
        <v>3</v>
      </c>
      <c r="AP79" s="91">
        <v>4</v>
      </c>
      <c r="AQ79" s="91">
        <v>5</v>
      </c>
      <c r="AR79" s="91">
        <v>6</v>
      </c>
      <c r="AS79" s="91">
        <v>7</v>
      </c>
      <c r="AT79" s="91">
        <v>8</v>
      </c>
      <c r="AU79" s="91">
        <v>9</v>
      </c>
      <c r="AV79" s="92">
        <v>0</v>
      </c>
      <c r="AW79" s="92">
        <v>1</v>
      </c>
      <c r="AX79" s="92">
        <v>2</v>
      </c>
      <c r="AY79" s="92">
        <v>3</v>
      </c>
      <c r="AZ79" s="92">
        <v>4</v>
      </c>
      <c r="BA79" s="92">
        <v>5</v>
      </c>
      <c r="BB79" s="92">
        <v>6</v>
      </c>
      <c r="BC79" s="92">
        <v>7</v>
      </c>
      <c r="BD79" s="92">
        <v>8</v>
      </c>
      <c r="BE79" s="92">
        <v>9</v>
      </c>
      <c r="BF79" s="93">
        <v>0</v>
      </c>
      <c r="BG79" s="93">
        <v>1</v>
      </c>
      <c r="BH79" s="93">
        <v>2</v>
      </c>
      <c r="BI79" s="93">
        <v>3</v>
      </c>
      <c r="BJ79" s="93">
        <v>4</v>
      </c>
      <c r="BK79" s="93">
        <v>5</v>
      </c>
      <c r="BL79" s="93">
        <v>6</v>
      </c>
      <c r="BM79" s="93">
        <v>7</v>
      </c>
      <c r="BN79" s="93">
        <v>8</v>
      </c>
      <c r="BO79" s="93">
        <v>9</v>
      </c>
      <c r="BP79" s="94" t="str">
        <f t="shared" si="82"/>
        <v>松散型</v>
      </c>
      <c r="BQ79" s="15">
        <f t="shared" si="83"/>
        <v>1</v>
      </c>
      <c r="BR79" s="15">
        <f t="shared" si="84"/>
        <v>7</v>
      </c>
      <c r="BS79" s="20" t="str">
        <f t="shared" si="85"/>
        <v/>
      </c>
      <c r="BT79" s="21" t="str">
        <f t="shared" si="97"/>
        <v/>
      </c>
      <c r="BU79" s="21" t="str">
        <f t="array" ref="BU79">_xlfn.TEXTJOIN("",TRUE,IF(ISERROR(FIND(ROW($1:$168)-1,BS79&amp;BT79)),ROW($1:$168)-1,""))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9" s="22" t="str">
        <f t="shared" si="86"/>
        <v>中中中</v>
      </c>
      <c r="BW79" s="23" t="str">
        <f t="shared" si="87"/>
        <v/>
      </c>
      <c r="BX79" s="23">
        <f t="shared" si="98"/>
        <v>7</v>
      </c>
      <c r="BY79" s="23" t="str">
        <f t="array" ref="BY79">_xlfn.TEXTJOIN("",TRUE,IF(ISERROR(FIND(ROW($1:$168)-1,BW79&amp;BX79)),ROW($1:$168)-1,""))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9" s="22" t="str">
        <f t="shared" si="88"/>
        <v>中隔中</v>
      </c>
      <c r="CA79" s="24" t="str">
        <f t="shared" si="89"/>
        <v/>
      </c>
      <c r="CB79" s="24" t="str">
        <f t="shared" si="99"/>
        <v/>
      </c>
      <c r="CC79" s="24" t="str">
        <f t="array" ref="CC79">_xlfn.TEXTJOIN("",TRUE,IF(ISERROR(FIND(ROW($1:$168)-1,CA79&amp;CB79)),ROW($1:$168)-1,""))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9" s="22" t="str">
        <f t="shared" si="90"/>
        <v>中中中</v>
      </c>
      <c r="CE79" s="25" t="str">
        <f t="shared" si="91"/>
        <v>02</v>
      </c>
      <c r="CF79" s="26" t="str">
        <f t="array" ref="CF79">_xlfn.TEXTJOIN("",TRUE,IF(ISNUMBER(FIND(MID(CE78&amp;W78,ROW($1:$162),1),CE79&amp;W79)),MID(CE78&amp;W78,ROW($1:$162),1),""))</f>
        <v>12</v>
      </c>
      <c r="CG79" s="27" t="str">
        <f t="array" ref="CG79">_xlfn.TEXTJOIN("",TRUE,IF(ISERROR(FIND(ROW($1:$168)-1,CE79&amp;CF79)),ROW($1:$168)-1,""))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9" s="28" t="str">
        <f t="shared" si="92"/>
        <v>邻传孤</v>
      </c>
      <c r="CI79" s="29" t="str">
        <f t="shared" si="93"/>
        <v>68</v>
      </c>
      <c r="CJ79" s="29" t="str">
        <f t="array" ref="CJ79">_xlfn.TEXTJOIN("",TRUE,IF(ISNUMBER(FIND(MID(CI78&amp;X78,ROW($1:$162),1),CI79&amp;X79)),MID(CI78&amp;X78,ROW($1:$162),1),""))</f>
        <v/>
      </c>
      <c r="CK79" s="29" t="str">
        <f t="array" ref="CK79">_xlfn.TEXTJOIN("",TRUE,IF(ISERROR(FIND(ROW($1:$168)-1,CI79&amp;CJ79)),ROW($1:$168)-1,""))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9" s="19" t="str">
        <f t="shared" si="94"/>
        <v>邻孤孤</v>
      </c>
      <c r="CM79" s="24" t="str">
        <f t="shared" si="95"/>
        <v>57</v>
      </c>
      <c r="CN79" s="24" t="str">
        <f t="array" ref="CN79">_xlfn.TEXTJOIN("",TRUE,IF(ISNUMBER(FIND(MID(CM78&amp;Y78,ROW($1:$162),1),CM79&amp;Y79)),MID(CM78&amp;Y78,ROW($1:$162),1),""))</f>
        <v/>
      </c>
      <c r="CO79" s="24" t="str">
        <f t="array" ref="CO79">_xlfn.TEXTJOIN("",TRUE,IF(ISERROR(FIND(ROW($1:$168)-1,CM79&amp;CN79)),ROW($1:$168)-1,""))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9" s="30" t="str">
        <f t="shared" si="96"/>
        <v>邻孤孤</v>
      </c>
    </row>
    <row r="80" customFormat="1" spans="1:94">
      <c r="A80" s="15">
        <v>80</v>
      </c>
      <c r="B80" s="80">
        <v>2024049</v>
      </c>
      <c r="C80" s="8" t="s">
        <v>104</v>
      </c>
      <c r="D80" s="81">
        <f t="shared" si="76"/>
        <v>10</v>
      </c>
      <c r="E80" s="82">
        <f t="shared" si="77"/>
        <v>0</v>
      </c>
      <c r="F80" s="83">
        <f t="shared" si="74"/>
        <v>1.42857142857143</v>
      </c>
      <c r="G80" s="84" t="str">
        <f t="shared" si="75"/>
        <v>松散</v>
      </c>
      <c r="H80" s="85" t="s">
        <v>10</v>
      </c>
      <c r="I80" s="85" t="s">
        <v>11</v>
      </c>
      <c r="J80" s="85" t="s">
        <v>12</v>
      </c>
      <c r="K80" s="85" t="s">
        <v>13</v>
      </c>
      <c r="L80" s="86">
        <f>MAX(MID(C80,{1,2,3},1)*1)-MIN(MID(C80,{1,2,3},1)*1)</f>
        <v>7</v>
      </c>
      <c r="M80" s="87">
        <v>0</v>
      </c>
      <c r="N80" s="87">
        <v>1</v>
      </c>
      <c r="O80" s="87">
        <v>2</v>
      </c>
      <c r="P80" s="87">
        <v>3</v>
      </c>
      <c r="Q80" s="87">
        <v>4</v>
      </c>
      <c r="R80" s="87">
        <v>5</v>
      </c>
      <c r="S80" s="87">
        <v>6</v>
      </c>
      <c r="T80" s="87">
        <v>7</v>
      </c>
      <c r="U80" s="87">
        <v>8</v>
      </c>
      <c r="V80" s="87">
        <v>9</v>
      </c>
      <c r="W80" s="88">
        <f t="shared" si="78"/>
        <v>7</v>
      </c>
      <c r="X80" s="88">
        <f t="shared" si="79"/>
        <v>7</v>
      </c>
      <c r="Y80" s="88">
        <f t="shared" si="80"/>
        <v>0</v>
      </c>
      <c r="Z80" s="89">
        <f t="shared" si="81"/>
        <v>14</v>
      </c>
      <c r="AA80" s="17" t="str">
        <f>_xlfn.TEXTJOIN(", ",TRUE,ABS(MID(C80,{1,1,2},1)-MID(C80,{2,3,3},1)))</f>
        <v>7, 7, 0</v>
      </c>
      <c r="AB80" s="90">
        <v>0</v>
      </c>
      <c r="AC80" s="90">
        <v>1</v>
      </c>
      <c r="AD80" s="90">
        <v>2</v>
      </c>
      <c r="AE80" s="90">
        <v>3</v>
      </c>
      <c r="AF80" s="90">
        <v>4</v>
      </c>
      <c r="AG80" s="90">
        <v>5</v>
      </c>
      <c r="AH80" s="90">
        <v>6</v>
      </c>
      <c r="AI80" s="90">
        <v>7</v>
      </c>
      <c r="AJ80" s="90">
        <v>8</v>
      </c>
      <c r="AK80" s="90">
        <v>9</v>
      </c>
      <c r="AL80" s="91">
        <v>0</v>
      </c>
      <c r="AM80" s="91">
        <v>1</v>
      </c>
      <c r="AN80" s="91">
        <v>2</v>
      </c>
      <c r="AO80" s="91">
        <v>3</v>
      </c>
      <c r="AP80" s="91">
        <v>4</v>
      </c>
      <c r="AQ80" s="91">
        <v>5</v>
      </c>
      <c r="AR80" s="91">
        <v>6</v>
      </c>
      <c r="AS80" s="91">
        <v>7</v>
      </c>
      <c r="AT80" s="91">
        <v>8</v>
      </c>
      <c r="AU80" s="91">
        <v>9</v>
      </c>
      <c r="AV80" s="92">
        <v>0</v>
      </c>
      <c r="AW80" s="92">
        <v>1</v>
      </c>
      <c r="AX80" s="92">
        <v>2</v>
      </c>
      <c r="AY80" s="92">
        <v>3</v>
      </c>
      <c r="AZ80" s="92">
        <v>4</v>
      </c>
      <c r="BA80" s="92">
        <v>5</v>
      </c>
      <c r="BB80" s="92">
        <v>6</v>
      </c>
      <c r="BC80" s="92">
        <v>7</v>
      </c>
      <c r="BD80" s="92">
        <v>8</v>
      </c>
      <c r="BE80" s="92">
        <v>9</v>
      </c>
      <c r="BF80" s="93">
        <v>0</v>
      </c>
      <c r="BG80" s="93">
        <v>1</v>
      </c>
      <c r="BH80" s="93">
        <v>2</v>
      </c>
      <c r="BI80" s="93">
        <v>3</v>
      </c>
      <c r="BJ80" s="93">
        <v>4</v>
      </c>
      <c r="BK80" s="93">
        <v>5</v>
      </c>
      <c r="BL80" s="93">
        <v>6</v>
      </c>
      <c r="BM80" s="93">
        <v>7</v>
      </c>
      <c r="BN80" s="93">
        <v>8</v>
      </c>
      <c r="BO80" s="93">
        <v>9</v>
      </c>
      <c r="BP80" s="94" t="str">
        <f t="shared" si="82"/>
        <v>松散型</v>
      </c>
      <c r="BQ80" s="15">
        <f t="shared" si="83"/>
        <v>0</v>
      </c>
      <c r="BR80" s="15">
        <f t="shared" si="84"/>
        <v>7</v>
      </c>
      <c r="BS80" s="20">
        <f t="shared" si="85"/>
        <v>7</v>
      </c>
      <c r="BT80" s="21" t="str">
        <f t="shared" si="97"/>
        <v/>
      </c>
      <c r="BU80" s="21" t="str">
        <f t="array" ref="BU80">_xlfn.TEXTJOIN("",TRUE,IF(ISERROR(FIND(ROW($1:$168)-1,BS80&amp;BT80)),ROW($1:$168)-1,""))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80" s="22" t="str">
        <f t="shared" si="86"/>
        <v>复中中</v>
      </c>
      <c r="BW80" s="23">
        <f t="shared" si="87"/>
        <v>7</v>
      </c>
      <c r="BX80" s="23" t="str">
        <f t="shared" si="98"/>
        <v/>
      </c>
      <c r="BY80" s="23" t="str">
        <f t="array" ref="BY80">_xlfn.TEXTJOIN("",TRUE,IF(ISERROR(FIND(ROW($1:$168)-1,BW80&amp;BX80)),ROW($1:$168)-1,""))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80" s="22" t="str">
        <f t="shared" si="88"/>
        <v>复中中</v>
      </c>
      <c r="CA80" s="24" t="str">
        <f t="shared" si="89"/>
        <v/>
      </c>
      <c r="CB80" s="24" t="str">
        <f t="shared" si="99"/>
        <v/>
      </c>
      <c r="CC80" s="24" t="str">
        <f t="array" ref="CC80">_xlfn.TEXTJOIN("",TRUE,IF(ISERROR(FIND(ROW($1:$168)-1,CA80&amp;CB80)),ROW($1:$168)-1,""))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80" s="22" t="str">
        <f t="shared" si="90"/>
        <v>中中中</v>
      </c>
      <c r="CE80" s="25" t="str">
        <f t="shared" si="91"/>
        <v>68</v>
      </c>
      <c r="CF80" s="26" t="str">
        <f t="array" ref="CF80">_xlfn.TEXTJOIN("",TRUE,IF(ISNUMBER(FIND(MID(CE79&amp;W79,ROW($1:$162),1),CE80&amp;W80)),MID(CE79&amp;W79,ROW($1:$162),1),""))</f>
        <v/>
      </c>
      <c r="CG80" s="27" t="str">
        <f t="array" ref="CG80">_xlfn.TEXTJOIN("",TRUE,IF(ISERROR(FIND(ROW($1:$168)-1,CE80&amp;CF80)),ROW($1:$168)-1,""))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80" s="28" t="str">
        <f t="shared" si="92"/>
        <v>邻孤孤</v>
      </c>
      <c r="CI80" s="29" t="str">
        <f t="shared" si="93"/>
        <v>68</v>
      </c>
      <c r="CJ80" s="29" t="str">
        <f t="array" ref="CJ80">_xlfn.TEXTJOIN("",TRUE,IF(ISNUMBER(FIND(MID(CI79&amp;X79,ROW($1:$162),1),CI80&amp;X80)),MID(CI79&amp;X79,ROW($1:$162),1),""))</f>
        <v>687</v>
      </c>
      <c r="CK80" s="29" t="str">
        <f t="array" ref="CK80">_xlfn.TEXTJOIN("",TRUE,IF(ISERROR(FIND(ROW($1:$168)-1,CI80&amp;CJ80)),ROW($1:$168)-1,""))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L80" s="19" t="str">
        <f t="shared" si="94"/>
        <v>邻传孤</v>
      </c>
      <c r="CM80" s="24" t="str">
        <f t="shared" si="95"/>
        <v>91</v>
      </c>
      <c r="CN80" s="24" t="str">
        <f t="array" ref="CN80">_xlfn.TEXTJOIN("",TRUE,IF(ISNUMBER(FIND(MID(CM79&amp;Y79,ROW($1:$162),1),CM80&amp;Y80)),MID(CM79&amp;Y79,ROW($1:$162),1),""))</f>
        <v/>
      </c>
      <c r="CO80" s="24" t="str">
        <f t="array" ref="CO80">_xlfn.TEXTJOIN("",TRUE,IF(ISERROR(FIND(ROW($1:$168)-1,CM80&amp;CN80)),ROW($1:$168)-1,""))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80" s="30" t="str">
        <f t="shared" si="96"/>
        <v>邻孤孤</v>
      </c>
    </row>
    <row r="81" customFormat="1" spans="1:94">
      <c r="A81" s="15">
        <v>81</v>
      </c>
      <c r="B81" s="80">
        <v>2024050</v>
      </c>
      <c r="C81" s="8" t="s">
        <v>105</v>
      </c>
      <c r="D81" s="81">
        <f t="shared" si="76"/>
        <v>13</v>
      </c>
      <c r="E81" s="82">
        <f t="shared" si="77"/>
        <v>3</v>
      </c>
      <c r="F81" s="83">
        <f t="shared" si="74"/>
        <v>4.33333333333333</v>
      </c>
      <c r="G81" s="84" t="str">
        <f t="shared" si="75"/>
        <v>紧凑</v>
      </c>
      <c r="H81" s="85" t="s">
        <v>10</v>
      </c>
      <c r="I81" s="85" t="s">
        <v>11</v>
      </c>
      <c r="J81" s="85" t="s">
        <v>12</v>
      </c>
      <c r="K81" s="85" t="s">
        <v>13</v>
      </c>
      <c r="L81" s="86">
        <f>MAX(MID(C81,{1,2,3},1)*1)-MIN(MID(C81,{1,2,3},1)*1)</f>
        <v>3</v>
      </c>
      <c r="M81" s="87">
        <v>0</v>
      </c>
      <c r="N81" s="87">
        <v>1</v>
      </c>
      <c r="O81" s="87">
        <v>2</v>
      </c>
      <c r="P81" s="87">
        <v>3</v>
      </c>
      <c r="Q81" s="87">
        <v>4</v>
      </c>
      <c r="R81" s="87">
        <v>5</v>
      </c>
      <c r="S81" s="87">
        <v>6</v>
      </c>
      <c r="T81" s="87">
        <v>7</v>
      </c>
      <c r="U81" s="87">
        <v>8</v>
      </c>
      <c r="V81" s="87">
        <v>9</v>
      </c>
      <c r="W81" s="88">
        <f t="shared" si="78"/>
        <v>3</v>
      </c>
      <c r="X81" s="88">
        <f t="shared" si="79"/>
        <v>2</v>
      </c>
      <c r="Y81" s="88">
        <f t="shared" si="80"/>
        <v>1</v>
      </c>
      <c r="Z81" s="89">
        <f t="shared" si="81"/>
        <v>6</v>
      </c>
      <c r="AA81" s="17" t="str">
        <f>_xlfn.TEXTJOIN(", ",TRUE,ABS(MID(C81,{1,1,2},1)-MID(C81,{2,3,3},1)))</f>
        <v>3, 2, 1</v>
      </c>
      <c r="AB81" s="90">
        <v>0</v>
      </c>
      <c r="AC81" s="90">
        <v>1</v>
      </c>
      <c r="AD81" s="90">
        <v>2</v>
      </c>
      <c r="AE81" s="90">
        <v>3</v>
      </c>
      <c r="AF81" s="90">
        <v>4</v>
      </c>
      <c r="AG81" s="90">
        <v>5</v>
      </c>
      <c r="AH81" s="90">
        <v>6</v>
      </c>
      <c r="AI81" s="90">
        <v>7</v>
      </c>
      <c r="AJ81" s="90">
        <v>8</v>
      </c>
      <c r="AK81" s="90">
        <v>9</v>
      </c>
      <c r="AL81" s="91">
        <v>0</v>
      </c>
      <c r="AM81" s="91">
        <v>1</v>
      </c>
      <c r="AN81" s="91">
        <v>2</v>
      </c>
      <c r="AO81" s="91">
        <v>3</v>
      </c>
      <c r="AP81" s="91">
        <v>4</v>
      </c>
      <c r="AQ81" s="91">
        <v>5</v>
      </c>
      <c r="AR81" s="91">
        <v>6</v>
      </c>
      <c r="AS81" s="91">
        <v>7</v>
      </c>
      <c r="AT81" s="91">
        <v>8</v>
      </c>
      <c r="AU81" s="91">
        <v>9</v>
      </c>
      <c r="AV81" s="92">
        <v>0</v>
      </c>
      <c r="AW81" s="92">
        <v>1</v>
      </c>
      <c r="AX81" s="92">
        <v>2</v>
      </c>
      <c r="AY81" s="92">
        <v>3</v>
      </c>
      <c r="AZ81" s="92">
        <v>4</v>
      </c>
      <c r="BA81" s="92">
        <v>5</v>
      </c>
      <c r="BB81" s="92">
        <v>6</v>
      </c>
      <c r="BC81" s="92">
        <v>7</v>
      </c>
      <c r="BD81" s="92">
        <v>8</v>
      </c>
      <c r="BE81" s="92">
        <v>9</v>
      </c>
      <c r="BF81" s="93">
        <v>0</v>
      </c>
      <c r="BG81" s="93">
        <v>1</v>
      </c>
      <c r="BH81" s="93">
        <v>2</v>
      </c>
      <c r="BI81" s="93">
        <v>3</v>
      </c>
      <c r="BJ81" s="93">
        <v>4</v>
      </c>
      <c r="BK81" s="93">
        <v>5</v>
      </c>
      <c r="BL81" s="93">
        <v>6</v>
      </c>
      <c r="BM81" s="93">
        <v>7</v>
      </c>
      <c r="BN81" s="93">
        <v>8</v>
      </c>
      <c r="BO81" s="93">
        <v>9</v>
      </c>
      <c r="BP81" s="94" t="str">
        <f t="shared" si="82"/>
        <v>紧凑型</v>
      </c>
      <c r="BQ81" s="15">
        <f t="shared" si="83"/>
        <v>1</v>
      </c>
      <c r="BR81" s="15">
        <f t="shared" si="84"/>
        <v>3</v>
      </c>
      <c r="BS81" s="20" t="str">
        <f t="shared" si="85"/>
        <v/>
      </c>
      <c r="BT81" s="21" t="str">
        <f t="shared" si="97"/>
        <v/>
      </c>
      <c r="BU81" s="21" t="str">
        <f t="array" ref="BU81">_xlfn.TEXTJOIN("",TRUE,IF(ISERROR(FIND(ROW($1:$168)-1,BS81&amp;BT81)),ROW($1:$168)-1,""))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81" s="22" t="str">
        <f t="shared" si="86"/>
        <v>中中中</v>
      </c>
      <c r="BW81" s="23" t="str">
        <f t="shared" si="87"/>
        <v/>
      </c>
      <c r="BX81" s="23" t="str">
        <f t="shared" si="98"/>
        <v/>
      </c>
      <c r="BY81" s="23" t="str">
        <f t="array" ref="BY81">_xlfn.TEXTJOIN("",TRUE,IF(ISERROR(FIND(ROW($1:$168)-1,BW81&amp;BX81)),ROW($1:$168)-1,""))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81" s="22" t="str">
        <f t="shared" si="88"/>
        <v>中中中</v>
      </c>
      <c r="CA81" s="24" t="str">
        <f t="shared" si="89"/>
        <v/>
      </c>
      <c r="CB81" s="24">
        <f t="shared" si="99"/>
        <v>1</v>
      </c>
      <c r="CC81" s="24" t="str">
        <f t="array" ref="CC81">_xlfn.TEXTJOIN("",TRUE,IF(ISERROR(FIND(ROW($1:$168)-1,CA81&amp;CB81)),ROW($1:$168)-1,""))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81" s="22" t="str">
        <f t="shared" si="90"/>
        <v>中隔中</v>
      </c>
      <c r="CE81" s="25" t="str">
        <f t="shared" si="91"/>
        <v>24</v>
      </c>
      <c r="CF81" s="26" t="str">
        <f t="array" ref="CF81">_xlfn.TEXTJOIN("",TRUE,IF(ISNUMBER(FIND(MID(CE80&amp;W80,ROW($1:$162),1),CE81&amp;W81)),MID(CE80&amp;W80,ROW($1:$162),1),""))</f>
        <v/>
      </c>
      <c r="CG81" s="27" t="str">
        <f t="array" ref="CG81">_xlfn.TEXTJOIN("",TRUE,IF(ISERROR(FIND(ROW($1:$168)-1,CE81&amp;CF81)),ROW($1:$168)-1,""))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81" s="28" t="str">
        <f t="shared" si="92"/>
        <v>邻孤孤</v>
      </c>
      <c r="CI81" s="29" t="str">
        <f t="shared" si="93"/>
        <v>13</v>
      </c>
      <c r="CJ81" s="29" t="str">
        <f t="array" ref="CJ81">_xlfn.TEXTJOIN("",TRUE,IF(ISNUMBER(FIND(MID(CI80&amp;X80,ROW($1:$162),1),CI81&amp;X81)),MID(CI80&amp;X80,ROW($1:$162),1),""))</f>
        <v/>
      </c>
      <c r="CK81" s="29" t="str">
        <f t="array" ref="CK81">_xlfn.TEXTJOIN("",TRUE,IF(ISERROR(FIND(ROW($1:$168)-1,CI81&amp;CJ81)),ROW($1:$168)-1,""))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81" s="19" t="str">
        <f t="shared" si="94"/>
        <v>邻孤孤</v>
      </c>
      <c r="CM81" s="24" t="str">
        <f t="shared" si="95"/>
        <v>02</v>
      </c>
      <c r="CN81" s="24" t="str">
        <f t="array" ref="CN81">_xlfn.TEXTJOIN("",TRUE,IF(ISNUMBER(FIND(MID(CM80&amp;Y80,ROW($1:$162),1),CM81&amp;Y81)),MID(CM80&amp;Y80,ROW($1:$162),1),""))</f>
        <v>10</v>
      </c>
      <c r="CO81" s="24" t="str">
        <f t="array" ref="CO81">_xlfn.TEXTJOIN("",TRUE,IF(ISERROR(FIND(ROW($1:$168)-1,CM81&amp;CN81)),ROW($1:$168)-1,""))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81" s="30" t="str">
        <f t="shared" si="96"/>
        <v>邻传孤</v>
      </c>
    </row>
    <row r="82" customFormat="1" spans="1:94">
      <c r="A82" s="15">
        <v>82</v>
      </c>
      <c r="B82" s="80">
        <v>2024051</v>
      </c>
      <c r="C82" s="8" t="s">
        <v>106</v>
      </c>
      <c r="D82" s="81">
        <f t="shared" si="76"/>
        <v>7</v>
      </c>
      <c r="E82" s="82">
        <f t="shared" si="77"/>
        <v>7</v>
      </c>
      <c r="F82" s="83">
        <f t="shared" si="74"/>
        <v>1.75</v>
      </c>
      <c r="G82" s="84" t="str">
        <f t="shared" si="75"/>
        <v>松散</v>
      </c>
      <c r="H82" s="85" t="s">
        <v>10</v>
      </c>
      <c r="I82" s="85" t="s">
        <v>11</v>
      </c>
      <c r="J82" s="85" t="s">
        <v>12</v>
      </c>
      <c r="K82" s="85" t="s">
        <v>13</v>
      </c>
      <c r="L82" s="86">
        <f>MAX(MID(C82,{1,2,3},1)*1)-MIN(MID(C82,{1,2,3},1)*1)</f>
        <v>4</v>
      </c>
      <c r="M82" s="87">
        <v>0</v>
      </c>
      <c r="N82" s="87">
        <v>1</v>
      </c>
      <c r="O82" s="87">
        <v>2</v>
      </c>
      <c r="P82" s="87">
        <v>3</v>
      </c>
      <c r="Q82" s="87">
        <v>4</v>
      </c>
      <c r="R82" s="87">
        <v>5</v>
      </c>
      <c r="S82" s="87">
        <v>6</v>
      </c>
      <c r="T82" s="87">
        <v>7</v>
      </c>
      <c r="U82" s="87">
        <v>8</v>
      </c>
      <c r="V82" s="87">
        <v>9</v>
      </c>
      <c r="W82" s="88">
        <f t="shared" si="78"/>
        <v>1</v>
      </c>
      <c r="X82" s="88">
        <f t="shared" si="79"/>
        <v>3</v>
      </c>
      <c r="Y82" s="88">
        <f t="shared" si="80"/>
        <v>4</v>
      </c>
      <c r="Z82" s="89">
        <f t="shared" si="81"/>
        <v>8</v>
      </c>
      <c r="AA82" s="17" t="str">
        <f>_xlfn.TEXTJOIN(", ",TRUE,ABS(MID(C82,{1,1,2},1)-MID(C82,{2,3,3},1)))</f>
        <v>1, 3, 4</v>
      </c>
      <c r="AB82" s="90">
        <v>0</v>
      </c>
      <c r="AC82" s="90">
        <v>1</v>
      </c>
      <c r="AD82" s="90">
        <v>2</v>
      </c>
      <c r="AE82" s="90">
        <v>3</v>
      </c>
      <c r="AF82" s="90">
        <v>4</v>
      </c>
      <c r="AG82" s="90">
        <v>5</v>
      </c>
      <c r="AH82" s="90">
        <v>6</v>
      </c>
      <c r="AI82" s="90">
        <v>7</v>
      </c>
      <c r="AJ82" s="90">
        <v>8</v>
      </c>
      <c r="AK82" s="90">
        <v>9</v>
      </c>
      <c r="AL82" s="91">
        <v>0</v>
      </c>
      <c r="AM82" s="91">
        <v>1</v>
      </c>
      <c r="AN82" s="91">
        <v>2</v>
      </c>
      <c r="AO82" s="91">
        <v>3</v>
      </c>
      <c r="AP82" s="91">
        <v>4</v>
      </c>
      <c r="AQ82" s="91">
        <v>5</v>
      </c>
      <c r="AR82" s="91">
        <v>6</v>
      </c>
      <c r="AS82" s="91">
        <v>7</v>
      </c>
      <c r="AT82" s="91">
        <v>8</v>
      </c>
      <c r="AU82" s="91">
        <v>9</v>
      </c>
      <c r="AV82" s="92">
        <v>0</v>
      </c>
      <c r="AW82" s="92">
        <v>1</v>
      </c>
      <c r="AX82" s="92">
        <v>2</v>
      </c>
      <c r="AY82" s="92">
        <v>3</v>
      </c>
      <c r="AZ82" s="92">
        <v>4</v>
      </c>
      <c r="BA82" s="92">
        <v>5</v>
      </c>
      <c r="BB82" s="92">
        <v>6</v>
      </c>
      <c r="BC82" s="92">
        <v>7</v>
      </c>
      <c r="BD82" s="92">
        <v>8</v>
      </c>
      <c r="BE82" s="92">
        <v>9</v>
      </c>
      <c r="BF82" s="93">
        <v>0</v>
      </c>
      <c r="BG82" s="93">
        <v>1</v>
      </c>
      <c r="BH82" s="93">
        <v>2</v>
      </c>
      <c r="BI82" s="93">
        <v>3</v>
      </c>
      <c r="BJ82" s="93">
        <v>4</v>
      </c>
      <c r="BK82" s="93">
        <v>5</v>
      </c>
      <c r="BL82" s="93">
        <v>6</v>
      </c>
      <c r="BM82" s="93">
        <v>7</v>
      </c>
      <c r="BN82" s="93">
        <v>8</v>
      </c>
      <c r="BO82" s="93">
        <v>9</v>
      </c>
      <c r="BP82" s="94" t="str">
        <f t="shared" si="82"/>
        <v>紧凑型</v>
      </c>
      <c r="BQ82" s="15">
        <f t="shared" si="83"/>
        <v>1</v>
      </c>
      <c r="BR82" s="15">
        <f t="shared" si="84"/>
        <v>4</v>
      </c>
      <c r="BS82" s="20">
        <f t="shared" si="85"/>
        <v>1</v>
      </c>
      <c r="BT82" s="21" t="str">
        <f t="shared" si="97"/>
        <v/>
      </c>
      <c r="BU82" s="21" t="str">
        <f t="array" ref="BU82">_xlfn.TEXTJOIN("",TRUE,IF(ISERROR(FIND(ROW($1:$168)-1,BS82&amp;BT82)),ROW($1:$168)-1,""))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82" s="22" t="str">
        <f t="shared" si="86"/>
        <v>复中中</v>
      </c>
      <c r="BW82" s="23">
        <f t="shared" si="87"/>
        <v>3</v>
      </c>
      <c r="BX82" s="23" t="str">
        <f t="shared" si="98"/>
        <v/>
      </c>
      <c r="BY82" s="23" t="str">
        <f t="array" ref="BY82">_xlfn.TEXTJOIN("",TRUE,IF(ISERROR(FIND(ROW($1:$168)-1,BW82&amp;BX82)),ROW($1:$168)-1,""))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82" s="22" t="str">
        <f t="shared" si="88"/>
        <v>复中中</v>
      </c>
      <c r="CA82" s="24" t="str">
        <f t="shared" si="89"/>
        <v/>
      </c>
      <c r="CB82" s="24" t="str">
        <f t="shared" si="99"/>
        <v/>
      </c>
      <c r="CC82" s="24" t="str">
        <f t="array" ref="CC82">_xlfn.TEXTJOIN("",TRUE,IF(ISERROR(FIND(ROW($1:$168)-1,CA82&amp;CB82)),ROW($1:$168)-1,""))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82" s="22" t="str">
        <f t="shared" si="90"/>
        <v>中中中</v>
      </c>
      <c r="CE82" s="25" t="str">
        <f t="shared" si="91"/>
        <v>02</v>
      </c>
      <c r="CF82" s="26" t="str">
        <f t="array" ref="CF82">_xlfn.TEXTJOIN("",TRUE,IF(ISNUMBER(FIND(MID(CE81&amp;W81,ROW($1:$162),1),CE82&amp;W82)),MID(CE81&amp;W81,ROW($1:$162),1),""))</f>
        <v>2</v>
      </c>
      <c r="CG82" s="27" t="str">
        <f t="array" ref="CG82">_xlfn.TEXTJOIN("",TRUE,IF(ISERROR(FIND(ROW($1:$168)-1,CE82&amp;CF82)),ROW($1:$168)-1,""))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82" s="28" t="str">
        <f t="shared" si="92"/>
        <v>邻传孤</v>
      </c>
      <c r="CI82" s="29" t="str">
        <f t="shared" si="93"/>
        <v>24</v>
      </c>
      <c r="CJ82" s="29" t="str">
        <f t="array" ref="CJ82">_xlfn.TEXTJOIN("",TRUE,IF(ISNUMBER(FIND(MID(CI81&amp;X81,ROW($1:$162),1),CI82&amp;X82)),MID(CI81&amp;X81,ROW($1:$162),1),""))</f>
        <v>32</v>
      </c>
      <c r="CK82" s="29" t="str">
        <f t="array" ref="CK82">_xlfn.TEXTJOIN("",TRUE,IF(ISERROR(FIND(ROW($1:$168)-1,CI82&amp;CJ82)),ROW($1:$168)-1,""))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82" s="19" t="str">
        <f t="shared" si="94"/>
        <v>邻传孤</v>
      </c>
      <c r="CM82" s="24" t="str">
        <f t="shared" si="95"/>
        <v>35</v>
      </c>
      <c r="CN82" s="24" t="str">
        <f t="array" ref="CN82">_xlfn.TEXTJOIN("",TRUE,IF(ISNUMBER(FIND(MID(CM81&amp;Y81,ROW($1:$162),1),CM82&amp;Y82)),MID(CM81&amp;Y81,ROW($1:$162),1),""))</f>
        <v/>
      </c>
      <c r="CO82" s="24" t="str">
        <f t="array" ref="CO82">_xlfn.TEXTJOIN("",TRUE,IF(ISERROR(FIND(ROW($1:$168)-1,CM82&amp;CN82)),ROW($1:$168)-1,""))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82" s="30" t="str">
        <f t="shared" si="96"/>
        <v>邻孤孤</v>
      </c>
    </row>
    <row r="83" customFormat="1" spans="1:94">
      <c r="A83" s="15">
        <v>83</v>
      </c>
      <c r="B83" s="80">
        <v>2024052</v>
      </c>
      <c r="C83" s="8" t="s">
        <v>107</v>
      </c>
      <c r="D83" s="81">
        <f t="shared" si="76"/>
        <v>4</v>
      </c>
      <c r="E83" s="82">
        <f t="shared" si="77"/>
        <v>4</v>
      </c>
      <c r="F83" s="83">
        <f t="shared" si="74"/>
        <v>1.33333333333333</v>
      </c>
      <c r="G83" s="84" t="str">
        <f t="shared" si="75"/>
        <v>松散</v>
      </c>
      <c r="H83" s="85" t="s">
        <v>10</v>
      </c>
      <c r="I83" s="85" t="s">
        <v>11</v>
      </c>
      <c r="J83" s="85" t="s">
        <v>12</v>
      </c>
      <c r="K83" s="85" t="s">
        <v>13</v>
      </c>
      <c r="L83" s="86">
        <f>MAX(MID(C83,{1,2,3},1)*1)-MIN(MID(C83,{1,2,3},1)*1)</f>
        <v>3</v>
      </c>
      <c r="M83" s="87">
        <v>0</v>
      </c>
      <c r="N83" s="87">
        <v>1</v>
      </c>
      <c r="O83" s="87">
        <v>2</v>
      </c>
      <c r="P83" s="87">
        <v>3</v>
      </c>
      <c r="Q83" s="87">
        <v>4</v>
      </c>
      <c r="R83" s="87">
        <v>5</v>
      </c>
      <c r="S83" s="87">
        <v>6</v>
      </c>
      <c r="T83" s="87">
        <v>7</v>
      </c>
      <c r="U83" s="87">
        <v>8</v>
      </c>
      <c r="V83" s="87">
        <v>9</v>
      </c>
      <c r="W83" s="88">
        <f t="shared" si="78"/>
        <v>2</v>
      </c>
      <c r="X83" s="88">
        <f t="shared" si="79"/>
        <v>3</v>
      </c>
      <c r="Y83" s="88">
        <f t="shared" si="80"/>
        <v>1</v>
      </c>
      <c r="Z83" s="89">
        <f t="shared" si="81"/>
        <v>6</v>
      </c>
      <c r="AA83" s="17" t="str">
        <f>_xlfn.TEXTJOIN(", ",TRUE,ABS(MID(C83,{1,1,2},1)-MID(C83,{2,3,3},1)))</f>
        <v>2, 3, 1</v>
      </c>
      <c r="AB83" s="90">
        <v>0</v>
      </c>
      <c r="AC83" s="90">
        <v>1</v>
      </c>
      <c r="AD83" s="90">
        <v>2</v>
      </c>
      <c r="AE83" s="90">
        <v>3</v>
      </c>
      <c r="AF83" s="90">
        <v>4</v>
      </c>
      <c r="AG83" s="90">
        <v>5</v>
      </c>
      <c r="AH83" s="90">
        <v>6</v>
      </c>
      <c r="AI83" s="90">
        <v>7</v>
      </c>
      <c r="AJ83" s="90">
        <v>8</v>
      </c>
      <c r="AK83" s="90">
        <v>9</v>
      </c>
      <c r="AL83" s="91">
        <v>0</v>
      </c>
      <c r="AM83" s="91">
        <v>1</v>
      </c>
      <c r="AN83" s="91">
        <v>2</v>
      </c>
      <c r="AO83" s="91">
        <v>3</v>
      </c>
      <c r="AP83" s="91">
        <v>4</v>
      </c>
      <c r="AQ83" s="91">
        <v>5</v>
      </c>
      <c r="AR83" s="91">
        <v>6</v>
      </c>
      <c r="AS83" s="91">
        <v>7</v>
      </c>
      <c r="AT83" s="91">
        <v>8</v>
      </c>
      <c r="AU83" s="91">
        <v>9</v>
      </c>
      <c r="AV83" s="92">
        <v>0</v>
      </c>
      <c r="AW83" s="92">
        <v>1</v>
      </c>
      <c r="AX83" s="92">
        <v>2</v>
      </c>
      <c r="AY83" s="92">
        <v>3</v>
      </c>
      <c r="AZ83" s="92">
        <v>4</v>
      </c>
      <c r="BA83" s="92">
        <v>5</v>
      </c>
      <c r="BB83" s="92">
        <v>6</v>
      </c>
      <c r="BC83" s="92">
        <v>7</v>
      </c>
      <c r="BD83" s="92">
        <v>8</v>
      </c>
      <c r="BE83" s="92">
        <v>9</v>
      </c>
      <c r="BF83" s="93">
        <v>0</v>
      </c>
      <c r="BG83" s="93">
        <v>1</v>
      </c>
      <c r="BH83" s="93">
        <v>2</v>
      </c>
      <c r="BI83" s="93">
        <v>3</v>
      </c>
      <c r="BJ83" s="93">
        <v>4</v>
      </c>
      <c r="BK83" s="93">
        <v>5</v>
      </c>
      <c r="BL83" s="93">
        <v>6</v>
      </c>
      <c r="BM83" s="93">
        <v>7</v>
      </c>
      <c r="BN83" s="93">
        <v>8</v>
      </c>
      <c r="BO83" s="93">
        <v>9</v>
      </c>
      <c r="BP83" s="94" t="str">
        <f t="shared" si="82"/>
        <v>紧凑型</v>
      </c>
      <c r="BQ83" s="15">
        <f t="shared" si="83"/>
        <v>1</v>
      </c>
      <c r="BR83" s="15">
        <f t="shared" si="84"/>
        <v>3</v>
      </c>
      <c r="BS83" s="20" t="str">
        <f t="shared" si="85"/>
        <v/>
      </c>
      <c r="BT83" s="21">
        <f t="shared" si="97"/>
        <v>2</v>
      </c>
      <c r="BU83" s="21" t="str">
        <f t="array" ref="BU83">_xlfn.TEXTJOIN("",TRUE,IF(ISERROR(FIND(ROW($1:$168)-1,BS83&amp;BT83)),ROW($1:$168)-1,""))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83" s="22" t="str">
        <f t="shared" si="86"/>
        <v>中隔中</v>
      </c>
      <c r="BW83" s="23">
        <f t="shared" si="87"/>
        <v>3</v>
      </c>
      <c r="BX83" s="23">
        <f t="shared" si="98"/>
        <v>3</v>
      </c>
      <c r="BY83" s="23" t="str">
        <f t="array" ref="BY83">_xlfn.TEXTJOIN("",TRUE,IF(ISERROR(FIND(ROW($1:$168)-1,BW83&amp;BX83)),ROW($1:$168)-1,""))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83" s="22" t="str">
        <f t="shared" si="88"/>
        <v>复隔中</v>
      </c>
      <c r="CA83" s="24">
        <f t="shared" si="89"/>
        <v>1</v>
      </c>
      <c r="CB83" s="24">
        <f t="shared" si="99"/>
        <v>1</v>
      </c>
      <c r="CC83" s="24" t="str">
        <f t="array" ref="CC83">_xlfn.TEXTJOIN("",TRUE,IF(ISERROR(FIND(ROW($1:$168)-1,CA83&amp;CB83)),ROW($1:$168)-1,""))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83" s="22" t="str">
        <f t="shared" si="90"/>
        <v>复隔中</v>
      </c>
      <c r="CE83" s="25" t="str">
        <f t="shared" si="91"/>
        <v>13</v>
      </c>
      <c r="CF83" s="26" t="str">
        <f t="array" ref="CF83">_xlfn.TEXTJOIN("",TRUE,IF(ISNUMBER(FIND(MID(CE82&amp;W82,ROW($1:$162),1),CE83&amp;W83)),MID(CE82&amp;W82,ROW($1:$162),1),""))</f>
        <v>21</v>
      </c>
      <c r="CG83" s="27" t="str">
        <f t="array" ref="CG83">_xlfn.TEXTJOIN("",TRUE,IF(ISERROR(FIND(ROW($1:$168)-1,CE83&amp;CF83)),ROW($1:$168)-1,""))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83" s="28" t="str">
        <f t="shared" si="92"/>
        <v>邻传孤</v>
      </c>
      <c r="CI83" s="29" t="str">
        <f t="shared" si="93"/>
        <v>24</v>
      </c>
      <c r="CJ83" s="29" t="str">
        <f t="array" ref="CJ83">_xlfn.TEXTJOIN("",TRUE,IF(ISNUMBER(FIND(MID(CI82&amp;X82,ROW($1:$162),1),CI83&amp;X83)),MID(CI82&amp;X82,ROW($1:$162),1),""))</f>
        <v>243</v>
      </c>
      <c r="CK83" s="29" t="str">
        <f t="array" ref="CK83">_xlfn.TEXTJOIN("",TRUE,IF(ISERROR(FIND(ROW($1:$168)-1,CI83&amp;CJ83)),ROW($1:$168)-1,""))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83" s="19" t="str">
        <f t="shared" si="94"/>
        <v>邻传孤</v>
      </c>
      <c r="CM83" s="24" t="str">
        <f t="shared" si="95"/>
        <v>02</v>
      </c>
      <c r="CN83" s="24" t="str">
        <f t="array" ref="CN83">_xlfn.TEXTJOIN("",TRUE,IF(ISNUMBER(FIND(MID(CM82&amp;Y82,ROW($1:$162),1),CM83&amp;Y83)),MID(CM82&amp;Y82,ROW($1:$162),1),""))</f>
        <v/>
      </c>
      <c r="CO83" s="24" t="str">
        <f t="array" ref="CO83">_xlfn.TEXTJOIN("",TRUE,IF(ISERROR(FIND(ROW($1:$168)-1,CM83&amp;CN83)),ROW($1:$168)-1,""))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83" s="30" t="str">
        <f t="shared" si="96"/>
        <v>邻孤孤</v>
      </c>
    </row>
    <row r="84" customFormat="1" spans="1:94">
      <c r="A84" s="15">
        <v>84</v>
      </c>
      <c r="B84" s="80">
        <v>2024053</v>
      </c>
      <c r="C84" s="8" t="s">
        <v>108</v>
      </c>
      <c r="D84" s="81">
        <f t="shared" si="76"/>
        <v>19</v>
      </c>
      <c r="E84" s="82">
        <f t="shared" si="77"/>
        <v>9</v>
      </c>
      <c r="F84" s="83">
        <f t="shared" si="74"/>
        <v>4.75</v>
      </c>
      <c r="G84" s="84" t="str">
        <f t="shared" si="75"/>
        <v>紧凑</v>
      </c>
      <c r="H84" s="85" t="s">
        <v>10</v>
      </c>
      <c r="I84" s="85" t="s">
        <v>11</v>
      </c>
      <c r="J84" s="85" t="s">
        <v>12</v>
      </c>
      <c r="K84" s="85" t="s">
        <v>13</v>
      </c>
      <c r="L84" s="86">
        <f>MAX(MID(C84,{1,2,3},1)*1)-MIN(MID(C84,{1,2,3},1)*1)</f>
        <v>4</v>
      </c>
      <c r="M84" s="87">
        <v>0</v>
      </c>
      <c r="N84" s="87">
        <v>1</v>
      </c>
      <c r="O84" s="87">
        <v>2</v>
      </c>
      <c r="P84" s="87">
        <v>3</v>
      </c>
      <c r="Q84" s="87">
        <v>4</v>
      </c>
      <c r="R84" s="87">
        <v>5</v>
      </c>
      <c r="S84" s="87">
        <v>6</v>
      </c>
      <c r="T84" s="87">
        <v>7</v>
      </c>
      <c r="U84" s="87">
        <v>8</v>
      </c>
      <c r="V84" s="87">
        <v>9</v>
      </c>
      <c r="W84" s="88">
        <f t="shared" si="78"/>
        <v>3</v>
      </c>
      <c r="X84" s="88">
        <f t="shared" si="79"/>
        <v>4</v>
      </c>
      <c r="Y84" s="88">
        <f t="shared" si="80"/>
        <v>1</v>
      </c>
      <c r="Z84" s="89">
        <f t="shared" si="81"/>
        <v>8</v>
      </c>
      <c r="AA84" s="17" t="str">
        <f>_xlfn.TEXTJOIN(", ",TRUE,ABS(MID(C84,{1,1,2},1)-MID(C84,{2,3,3},1)))</f>
        <v>3, 4, 1</v>
      </c>
      <c r="AB84" s="90">
        <v>0</v>
      </c>
      <c r="AC84" s="90">
        <v>1</v>
      </c>
      <c r="AD84" s="90">
        <v>2</v>
      </c>
      <c r="AE84" s="90">
        <v>3</v>
      </c>
      <c r="AF84" s="90">
        <v>4</v>
      </c>
      <c r="AG84" s="90">
        <v>5</v>
      </c>
      <c r="AH84" s="90">
        <v>6</v>
      </c>
      <c r="AI84" s="90">
        <v>7</v>
      </c>
      <c r="AJ84" s="90">
        <v>8</v>
      </c>
      <c r="AK84" s="90">
        <v>9</v>
      </c>
      <c r="AL84" s="91">
        <v>0</v>
      </c>
      <c r="AM84" s="91">
        <v>1</v>
      </c>
      <c r="AN84" s="91">
        <v>2</v>
      </c>
      <c r="AO84" s="91">
        <v>3</v>
      </c>
      <c r="AP84" s="91">
        <v>4</v>
      </c>
      <c r="AQ84" s="91">
        <v>5</v>
      </c>
      <c r="AR84" s="91">
        <v>6</v>
      </c>
      <c r="AS84" s="91">
        <v>7</v>
      </c>
      <c r="AT84" s="91">
        <v>8</v>
      </c>
      <c r="AU84" s="91">
        <v>9</v>
      </c>
      <c r="AV84" s="92">
        <v>0</v>
      </c>
      <c r="AW84" s="92">
        <v>1</v>
      </c>
      <c r="AX84" s="92">
        <v>2</v>
      </c>
      <c r="AY84" s="92">
        <v>3</v>
      </c>
      <c r="AZ84" s="92">
        <v>4</v>
      </c>
      <c r="BA84" s="92">
        <v>5</v>
      </c>
      <c r="BB84" s="92">
        <v>6</v>
      </c>
      <c r="BC84" s="92">
        <v>7</v>
      </c>
      <c r="BD84" s="92">
        <v>8</v>
      </c>
      <c r="BE84" s="92">
        <v>9</v>
      </c>
      <c r="BF84" s="93">
        <v>0</v>
      </c>
      <c r="BG84" s="93">
        <v>1</v>
      </c>
      <c r="BH84" s="93">
        <v>2</v>
      </c>
      <c r="BI84" s="93">
        <v>3</v>
      </c>
      <c r="BJ84" s="93">
        <v>4</v>
      </c>
      <c r="BK84" s="93">
        <v>5</v>
      </c>
      <c r="BL84" s="93">
        <v>6</v>
      </c>
      <c r="BM84" s="93">
        <v>7</v>
      </c>
      <c r="BN84" s="93">
        <v>8</v>
      </c>
      <c r="BO84" s="93">
        <v>9</v>
      </c>
      <c r="BP84" s="94" t="str">
        <f t="shared" si="82"/>
        <v>紧凑型</v>
      </c>
      <c r="BQ84" s="15">
        <f t="shared" si="83"/>
        <v>1</v>
      </c>
      <c r="BR84" s="15">
        <f t="shared" si="84"/>
        <v>4</v>
      </c>
      <c r="BS84" s="20">
        <f t="shared" si="85"/>
        <v>3</v>
      </c>
      <c r="BT84" s="21">
        <f t="shared" si="97"/>
        <v>3</v>
      </c>
      <c r="BU84" s="21" t="str">
        <f t="array" ref="BU84">_xlfn.TEXTJOIN("",TRUE,IF(ISERROR(FIND(ROW($1:$168)-1,BS84&amp;BT84)),ROW($1:$168)-1,""))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84" s="22" t="str">
        <f t="shared" si="86"/>
        <v>复隔中</v>
      </c>
      <c r="BW84" s="23" t="str">
        <f t="shared" si="87"/>
        <v/>
      </c>
      <c r="BX84" s="23">
        <f t="shared" si="98"/>
        <v>4</v>
      </c>
      <c r="BY84" s="23" t="str">
        <f t="array" ref="BY84">_xlfn.TEXTJOIN("",TRUE,IF(ISERROR(FIND(ROW($1:$168)-1,BW84&amp;BX84)),ROW($1:$168)-1,""))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84" s="22" t="str">
        <f t="shared" si="88"/>
        <v>中隔中</v>
      </c>
      <c r="CA84" s="24">
        <f t="shared" si="89"/>
        <v>1</v>
      </c>
      <c r="CB84" s="24">
        <f t="shared" si="99"/>
        <v>1</v>
      </c>
      <c r="CC84" s="24" t="str">
        <f t="array" ref="CC84">_xlfn.TEXTJOIN("",TRUE,IF(ISERROR(FIND(ROW($1:$168)-1,CA84&amp;CB84)),ROW($1:$168)-1,""))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84" s="22" t="str">
        <f t="shared" si="90"/>
        <v>复隔中</v>
      </c>
      <c r="CE84" s="25" t="str">
        <f t="shared" si="91"/>
        <v>24</v>
      </c>
      <c r="CF84" s="26" t="str">
        <f t="array" ref="CF84">_xlfn.TEXTJOIN("",TRUE,IF(ISNUMBER(FIND(MID(CE83&amp;W83,ROW($1:$162),1),CE84&amp;W84)),MID(CE83&amp;W83,ROW($1:$162),1),""))</f>
        <v>32</v>
      </c>
      <c r="CG84" s="27" t="str">
        <f t="array" ref="CG84">_xlfn.TEXTJOIN("",TRUE,IF(ISERROR(FIND(ROW($1:$168)-1,CE84&amp;CF84)),ROW($1:$168)-1,""))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84" s="28" t="str">
        <f t="shared" si="92"/>
        <v>邻传孤</v>
      </c>
      <c r="CI84" s="29" t="str">
        <f t="shared" si="93"/>
        <v>35</v>
      </c>
      <c r="CJ84" s="29" t="str">
        <f t="array" ref="CJ84">_xlfn.TEXTJOIN("",TRUE,IF(ISNUMBER(FIND(MID(CI83&amp;X83,ROW($1:$162),1),CI84&amp;X84)),MID(CI83&amp;X83,ROW($1:$162),1),""))</f>
        <v>43</v>
      </c>
      <c r="CK84" s="29" t="str">
        <f t="array" ref="CK84">_xlfn.TEXTJOIN("",TRUE,IF(ISERROR(FIND(ROW($1:$168)-1,CI84&amp;CJ84)),ROW($1:$168)-1,""))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84" s="19" t="str">
        <f t="shared" si="94"/>
        <v>邻传孤</v>
      </c>
      <c r="CM84" s="24" t="str">
        <f t="shared" si="95"/>
        <v>02</v>
      </c>
      <c r="CN84" s="24" t="str">
        <f t="array" ref="CN84">_xlfn.TEXTJOIN("",TRUE,IF(ISNUMBER(FIND(MID(CM83&amp;Y83,ROW($1:$162),1),CM84&amp;Y84)),MID(CM83&amp;Y83,ROW($1:$162),1),""))</f>
        <v>021</v>
      </c>
      <c r="CO84" s="24" t="str">
        <f t="array" ref="CO84">_xlfn.TEXTJOIN("",TRUE,IF(ISERROR(FIND(ROW($1:$168)-1,CM84&amp;CN84)),ROW($1:$168)-1,""))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84" s="30" t="str">
        <f t="shared" si="96"/>
        <v>邻传孤</v>
      </c>
    </row>
    <row r="85" customFormat="1" spans="1:94">
      <c r="A85" s="15">
        <v>85</v>
      </c>
      <c r="B85" s="80">
        <v>2024054</v>
      </c>
      <c r="C85" s="8" t="s">
        <v>109</v>
      </c>
      <c r="D85" s="81">
        <f t="shared" si="76"/>
        <v>12</v>
      </c>
      <c r="E85" s="82">
        <f t="shared" si="77"/>
        <v>2</v>
      </c>
      <c r="F85" s="83">
        <f t="shared" si="74"/>
        <v>1.5</v>
      </c>
      <c r="G85" s="84" t="str">
        <f t="shared" si="75"/>
        <v>松散</v>
      </c>
      <c r="H85" s="85" t="s">
        <v>10</v>
      </c>
      <c r="I85" s="85" t="s">
        <v>11</v>
      </c>
      <c r="J85" s="85" t="s">
        <v>12</v>
      </c>
      <c r="K85" s="85" t="s">
        <v>13</v>
      </c>
      <c r="L85" s="86">
        <f>MAX(MID(C85,{1,2,3},1)*1)-MIN(MID(C85,{1,2,3},1)*1)</f>
        <v>8</v>
      </c>
      <c r="M85" s="87">
        <v>0</v>
      </c>
      <c r="N85" s="87">
        <v>1</v>
      </c>
      <c r="O85" s="87">
        <v>2</v>
      </c>
      <c r="P85" s="87">
        <v>3</v>
      </c>
      <c r="Q85" s="87">
        <v>4</v>
      </c>
      <c r="R85" s="87">
        <v>5</v>
      </c>
      <c r="S85" s="87">
        <v>6</v>
      </c>
      <c r="T85" s="87">
        <v>7</v>
      </c>
      <c r="U85" s="87">
        <v>8</v>
      </c>
      <c r="V85" s="87">
        <v>9</v>
      </c>
      <c r="W85" s="88">
        <f t="shared" si="78"/>
        <v>8</v>
      </c>
      <c r="X85" s="88">
        <f t="shared" si="79"/>
        <v>1</v>
      </c>
      <c r="Y85" s="88">
        <f t="shared" si="80"/>
        <v>7</v>
      </c>
      <c r="Z85" s="89">
        <f t="shared" si="81"/>
        <v>16</v>
      </c>
      <c r="AA85" s="17" t="str">
        <f>_xlfn.TEXTJOIN(", ",TRUE,ABS(MID(C85,{1,1,2},1)-MID(C85,{2,3,3},1)))</f>
        <v>8, 1, 7</v>
      </c>
      <c r="AB85" s="90">
        <v>0</v>
      </c>
      <c r="AC85" s="90">
        <v>1</v>
      </c>
      <c r="AD85" s="90">
        <v>2</v>
      </c>
      <c r="AE85" s="90">
        <v>3</v>
      </c>
      <c r="AF85" s="90">
        <v>4</v>
      </c>
      <c r="AG85" s="90">
        <v>5</v>
      </c>
      <c r="AH85" s="90">
        <v>6</v>
      </c>
      <c r="AI85" s="90">
        <v>7</v>
      </c>
      <c r="AJ85" s="90">
        <v>8</v>
      </c>
      <c r="AK85" s="90">
        <v>9</v>
      </c>
      <c r="AL85" s="91">
        <v>0</v>
      </c>
      <c r="AM85" s="91">
        <v>1</v>
      </c>
      <c r="AN85" s="91">
        <v>2</v>
      </c>
      <c r="AO85" s="91">
        <v>3</v>
      </c>
      <c r="AP85" s="91">
        <v>4</v>
      </c>
      <c r="AQ85" s="91">
        <v>5</v>
      </c>
      <c r="AR85" s="91">
        <v>6</v>
      </c>
      <c r="AS85" s="91">
        <v>7</v>
      </c>
      <c r="AT85" s="91">
        <v>8</v>
      </c>
      <c r="AU85" s="91">
        <v>9</v>
      </c>
      <c r="AV85" s="92">
        <v>0</v>
      </c>
      <c r="AW85" s="92">
        <v>1</v>
      </c>
      <c r="AX85" s="92">
        <v>2</v>
      </c>
      <c r="AY85" s="92">
        <v>3</v>
      </c>
      <c r="AZ85" s="92">
        <v>4</v>
      </c>
      <c r="BA85" s="92">
        <v>5</v>
      </c>
      <c r="BB85" s="92">
        <v>6</v>
      </c>
      <c r="BC85" s="92">
        <v>7</v>
      </c>
      <c r="BD85" s="92">
        <v>8</v>
      </c>
      <c r="BE85" s="92">
        <v>9</v>
      </c>
      <c r="BF85" s="93">
        <v>0</v>
      </c>
      <c r="BG85" s="93">
        <v>1</v>
      </c>
      <c r="BH85" s="93">
        <v>2</v>
      </c>
      <c r="BI85" s="93">
        <v>3</v>
      </c>
      <c r="BJ85" s="93">
        <v>4</v>
      </c>
      <c r="BK85" s="93">
        <v>5</v>
      </c>
      <c r="BL85" s="93">
        <v>6</v>
      </c>
      <c r="BM85" s="93">
        <v>7</v>
      </c>
      <c r="BN85" s="93">
        <v>8</v>
      </c>
      <c r="BO85" s="93">
        <v>9</v>
      </c>
      <c r="BP85" s="94" t="str">
        <f t="shared" si="82"/>
        <v>松散型</v>
      </c>
      <c r="BQ85" s="15">
        <f t="shared" si="83"/>
        <v>1</v>
      </c>
      <c r="BR85" s="15">
        <f t="shared" si="84"/>
        <v>8</v>
      </c>
      <c r="BS85" s="20" t="str">
        <f t="shared" si="85"/>
        <v/>
      </c>
      <c r="BT85" s="21" t="str">
        <f t="shared" si="97"/>
        <v/>
      </c>
      <c r="BU85" s="21" t="str">
        <f t="array" ref="BU85">_xlfn.TEXTJOIN("",TRUE,IF(ISERROR(FIND(ROW($1:$168)-1,BS85&amp;BT85)),ROW($1:$168)-1,""))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85" s="22" t="str">
        <f t="shared" si="86"/>
        <v>中中中</v>
      </c>
      <c r="BW85" s="23">
        <f t="shared" si="87"/>
        <v>1</v>
      </c>
      <c r="BX85" s="23">
        <f t="shared" si="98"/>
        <v>1</v>
      </c>
      <c r="BY85" s="23" t="str">
        <f t="array" ref="BY85">_xlfn.TEXTJOIN("",TRUE,IF(ISERROR(FIND(ROW($1:$168)-1,BW85&amp;BX85)),ROW($1:$168)-1,""))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85" s="22" t="str">
        <f t="shared" si="88"/>
        <v>复隔中</v>
      </c>
      <c r="CA85" s="24" t="str">
        <f t="shared" si="89"/>
        <v/>
      </c>
      <c r="CB85" s="24" t="str">
        <f t="shared" si="99"/>
        <v/>
      </c>
      <c r="CC85" s="24" t="str">
        <f t="array" ref="CC85">_xlfn.TEXTJOIN("",TRUE,IF(ISERROR(FIND(ROW($1:$168)-1,CA85&amp;CB85)),ROW($1:$168)-1,""))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85" s="22" t="str">
        <f t="shared" si="90"/>
        <v>中中中</v>
      </c>
      <c r="CE85" s="25" t="str">
        <f t="shared" si="91"/>
        <v>79</v>
      </c>
      <c r="CF85" s="26" t="str">
        <f t="array" ref="CF85">_xlfn.TEXTJOIN("",TRUE,IF(ISNUMBER(FIND(MID(CE84&amp;W84,ROW($1:$162),1),CE85&amp;W85)),MID(CE84&amp;W84,ROW($1:$162),1),""))</f>
        <v/>
      </c>
      <c r="CG85" s="27" t="str">
        <f t="array" ref="CG85">_xlfn.TEXTJOIN("",TRUE,IF(ISERROR(FIND(ROW($1:$168)-1,CE85&amp;CF85)),ROW($1:$168)-1,""))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85" s="28" t="str">
        <f t="shared" si="92"/>
        <v>邻孤孤</v>
      </c>
      <c r="CI85" s="29" t="str">
        <f t="shared" si="93"/>
        <v>02</v>
      </c>
      <c r="CJ85" s="29" t="str">
        <f t="array" ref="CJ85">_xlfn.TEXTJOIN("",TRUE,IF(ISNUMBER(FIND(MID(CI84&amp;X84,ROW($1:$162),1),CI85&amp;X85)),MID(CI84&amp;X84,ROW($1:$162),1),""))</f>
        <v/>
      </c>
      <c r="CK85" s="29" t="str">
        <f t="array" ref="CK85">_xlfn.TEXTJOIN("",TRUE,IF(ISERROR(FIND(ROW($1:$168)-1,CI85&amp;CJ85)),ROW($1:$168)-1,""))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85" s="19" t="str">
        <f t="shared" si="94"/>
        <v>邻孤孤</v>
      </c>
      <c r="CM85" s="24" t="str">
        <f t="shared" si="95"/>
        <v>68</v>
      </c>
      <c r="CN85" s="24" t="str">
        <f t="array" ref="CN85">_xlfn.TEXTJOIN("",TRUE,IF(ISNUMBER(FIND(MID(CM84&amp;Y84,ROW($1:$162),1),CM85&amp;Y85)),MID(CM84&amp;Y84,ROW($1:$162),1),""))</f>
        <v/>
      </c>
      <c r="CO85" s="24" t="str">
        <f t="array" ref="CO85">_xlfn.TEXTJOIN("",TRUE,IF(ISERROR(FIND(ROW($1:$168)-1,CM85&amp;CN85)),ROW($1:$168)-1,""))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85" s="30" t="str">
        <f t="shared" si="96"/>
        <v>邻孤孤</v>
      </c>
    </row>
    <row r="86" customFormat="1" spans="1:94">
      <c r="A86" s="15">
        <v>86</v>
      </c>
      <c r="B86" s="80">
        <v>2024055</v>
      </c>
      <c r="C86" s="8" t="s">
        <v>110</v>
      </c>
      <c r="D86" s="81">
        <f t="shared" si="76"/>
        <v>22</v>
      </c>
      <c r="E86" s="82">
        <f t="shared" si="77"/>
        <v>2</v>
      </c>
      <c r="F86" s="83">
        <f t="shared" si="74"/>
        <v>5.5</v>
      </c>
      <c r="G86" s="84" t="str">
        <f t="shared" si="75"/>
        <v>紧凑</v>
      </c>
      <c r="H86" s="85" t="s">
        <v>10</v>
      </c>
      <c r="I86" s="85" t="s">
        <v>11</v>
      </c>
      <c r="J86" s="85" t="s">
        <v>12</v>
      </c>
      <c r="K86" s="85" t="s">
        <v>13</v>
      </c>
      <c r="L86" s="86">
        <f>MAX(MID(C86,{1,2,3},1)*1)-MIN(MID(C86,{1,2,3},1)*1)</f>
        <v>4</v>
      </c>
      <c r="M86" s="87">
        <v>0</v>
      </c>
      <c r="N86" s="87">
        <v>1</v>
      </c>
      <c r="O86" s="87">
        <v>2</v>
      </c>
      <c r="P86" s="87">
        <v>3</v>
      </c>
      <c r="Q86" s="87">
        <v>4</v>
      </c>
      <c r="R86" s="87">
        <v>5</v>
      </c>
      <c r="S86" s="87">
        <v>6</v>
      </c>
      <c r="T86" s="87">
        <v>7</v>
      </c>
      <c r="U86" s="87">
        <v>8</v>
      </c>
      <c r="V86" s="87">
        <v>9</v>
      </c>
      <c r="W86" s="88">
        <f t="shared" si="78"/>
        <v>3</v>
      </c>
      <c r="X86" s="88">
        <f t="shared" si="79"/>
        <v>4</v>
      </c>
      <c r="Y86" s="88">
        <f t="shared" si="80"/>
        <v>1</v>
      </c>
      <c r="Z86" s="89">
        <f t="shared" si="81"/>
        <v>8</v>
      </c>
      <c r="AA86" s="17" t="str">
        <f>_xlfn.TEXTJOIN(", ",TRUE,ABS(MID(C86,{1,1,2},1)-MID(C86,{2,3,3},1)))</f>
        <v>3, 4, 1</v>
      </c>
      <c r="AB86" s="90">
        <v>0</v>
      </c>
      <c r="AC86" s="90">
        <v>1</v>
      </c>
      <c r="AD86" s="90">
        <v>2</v>
      </c>
      <c r="AE86" s="90">
        <v>3</v>
      </c>
      <c r="AF86" s="90">
        <v>4</v>
      </c>
      <c r="AG86" s="90">
        <v>5</v>
      </c>
      <c r="AH86" s="90">
        <v>6</v>
      </c>
      <c r="AI86" s="90">
        <v>7</v>
      </c>
      <c r="AJ86" s="90">
        <v>8</v>
      </c>
      <c r="AK86" s="90">
        <v>9</v>
      </c>
      <c r="AL86" s="91">
        <v>0</v>
      </c>
      <c r="AM86" s="91">
        <v>1</v>
      </c>
      <c r="AN86" s="91">
        <v>2</v>
      </c>
      <c r="AO86" s="91">
        <v>3</v>
      </c>
      <c r="AP86" s="91">
        <v>4</v>
      </c>
      <c r="AQ86" s="91">
        <v>5</v>
      </c>
      <c r="AR86" s="91">
        <v>6</v>
      </c>
      <c r="AS86" s="91">
        <v>7</v>
      </c>
      <c r="AT86" s="91">
        <v>8</v>
      </c>
      <c r="AU86" s="91">
        <v>9</v>
      </c>
      <c r="AV86" s="92">
        <v>0</v>
      </c>
      <c r="AW86" s="92">
        <v>1</v>
      </c>
      <c r="AX86" s="92">
        <v>2</v>
      </c>
      <c r="AY86" s="92">
        <v>3</v>
      </c>
      <c r="AZ86" s="92">
        <v>4</v>
      </c>
      <c r="BA86" s="92">
        <v>5</v>
      </c>
      <c r="BB86" s="92">
        <v>6</v>
      </c>
      <c r="BC86" s="92">
        <v>7</v>
      </c>
      <c r="BD86" s="92">
        <v>8</v>
      </c>
      <c r="BE86" s="92">
        <v>9</v>
      </c>
      <c r="BF86" s="93">
        <v>0</v>
      </c>
      <c r="BG86" s="93">
        <v>1</v>
      </c>
      <c r="BH86" s="93">
        <v>2</v>
      </c>
      <c r="BI86" s="93">
        <v>3</v>
      </c>
      <c r="BJ86" s="93">
        <v>4</v>
      </c>
      <c r="BK86" s="93">
        <v>5</v>
      </c>
      <c r="BL86" s="93">
        <v>6</v>
      </c>
      <c r="BM86" s="93">
        <v>7</v>
      </c>
      <c r="BN86" s="93">
        <v>8</v>
      </c>
      <c r="BO86" s="93">
        <v>9</v>
      </c>
      <c r="BP86" s="94" t="str">
        <f t="shared" si="82"/>
        <v>紧凑型</v>
      </c>
      <c r="BQ86" s="15">
        <f t="shared" si="83"/>
        <v>1</v>
      </c>
      <c r="BR86" s="15">
        <f t="shared" si="84"/>
        <v>4</v>
      </c>
      <c r="BS86" s="20" t="str">
        <f t="shared" si="85"/>
        <v/>
      </c>
      <c r="BT86" s="21">
        <f t="shared" si="97"/>
        <v>3</v>
      </c>
      <c r="BU86" s="21" t="str">
        <f t="array" ref="BU86">_xlfn.TEXTJOIN("",TRUE,IF(ISERROR(FIND(ROW($1:$168)-1,BS86&amp;BT86)),ROW($1:$168)-1,""))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86" s="22" t="str">
        <f t="shared" si="86"/>
        <v>中隔中</v>
      </c>
      <c r="BW86" s="23" t="str">
        <f t="shared" si="87"/>
        <v/>
      </c>
      <c r="BX86" s="23">
        <f t="shared" si="98"/>
        <v>4</v>
      </c>
      <c r="BY86" s="23" t="str">
        <f t="array" ref="BY86">_xlfn.TEXTJOIN("",TRUE,IF(ISERROR(FIND(ROW($1:$168)-1,BW86&amp;BX86)),ROW($1:$168)-1,""))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86" s="22" t="str">
        <f t="shared" si="88"/>
        <v>中隔中</v>
      </c>
      <c r="CA86" s="24">
        <f t="shared" si="89"/>
        <v>1</v>
      </c>
      <c r="CB86" s="24">
        <f t="shared" si="99"/>
        <v>1</v>
      </c>
      <c r="CC86" s="24" t="str">
        <f t="array" ref="CC86">_xlfn.TEXTJOIN("",TRUE,IF(ISERROR(FIND(ROW($1:$168)-1,CA86&amp;CB86)),ROW($1:$168)-1,""))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86" s="22" t="str">
        <f t="shared" si="90"/>
        <v>复隔中</v>
      </c>
      <c r="CE86" s="25" t="str">
        <f t="shared" si="91"/>
        <v>24</v>
      </c>
      <c r="CF86" s="26" t="str">
        <f t="array" ref="CF86">_xlfn.TEXTJOIN("",TRUE,IF(ISNUMBER(FIND(MID(CE85&amp;W85,ROW($1:$162),1),CE86&amp;W86)),MID(CE85&amp;W85,ROW($1:$162),1),""))</f>
        <v/>
      </c>
      <c r="CG86" s="27" t="str">
        <f t="array" ref="CG86">_xlfn.TEXTJOIN("",TRUE,IF(ISERROR(FIND(ROW($1:$168)-1,CE86&amp;CF86)),ROW($1:$168)-1,""))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86" s="28" t="str">
        <f t="shared" si="92"/>
        <v>邻孤孤</v>
      </c>
      <c r="CI86" s="29" t="str">
        <f t="shared" si="93"/>
        <v>35</v>
      </c>
      <c r="CJ86" s="29" t="str">
        <f t="array" ref="CJ86">_xlfn.TEXTJOIN("",TRUE,IF(ISNUMBER(FIND(MID(CI85&amp;X85,ROW($1:$162),1),CI86&amp;X86)),MID(CI85&amp;X85,ROW($1:$162),1),""))</f>
        <v/>
      </c>
      <c r="CK86" s="29" t="str">
        <f t="array" ref="CK86">_xlfn.TEXTJOIN("",TRUE,IF(ISERROR(FIND(ROW($1:$168)-1,CI86&amp;CJ86)),ROW($1:$168)-1,""))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86" s="19" t="str">
        <f t="shared" si="94"/>
        <v>邻孤孤</v>
      </c>
      <c r="CM86" s="24" t="str">
        <f t="shared" si="95"/>
        <v>02</v>
      </c>
      <c r="CN86" s="24" t="str">
        <f t="array" ref="CN86">_xlfn.TEXTJOIN("",TRUE,IF(ISNUMBER(FIND(MID(CM85&amp;Y85,ROW($1:$162),1),CM86&amp;Y86)),MID(CM85&amp;Y85,ROW($1:$162),1),""))</f>
        <v/>
      </c>
      <c r="CO86" s="24" t="str">
        <f t="array" ref="CO86">_xlfn.TEXTJOIN("",TRUE,IF(ISERROR(FIND(ROW($1:$168)-1,CM86&amp;CN86)),ROW($1:$168)-1,""))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86" s="30" t="str">
        <f t="shared" si="96"/>
        <v>邻孤孤</v>
      </c>
    </row>
    <row r="87" customFormat="1" spans="1:94">
      <c r="A87" s="15">
        <v>87</v>
      </c>
      <c r="B87" s="80">
        <v>2024056</v>
      </c>
      <c r="C87" s="8" t="s">
        <v>111</v>
      </c>
      <c r="D87" s="81">
        <f t="shared" si="76"/>
        <v>11</v>
      </c>
      <c r="E87" s="82">
        <f t="shared" si="77"/>
        <v>1</v>
      </c>
      <c r="F87" s="83">
        <f t="shared" si="74"/>
        <v>3.66666666666667</v>
      </c>
      <c r="G87" s="84" t="str">
        <f t="shared" si="75"/>
        <v>紧凑</v>
      </c>
      <c r="H87" s="85" t="s">
        <v>10</v>
      </c>
      <c r="I87" s="85" t="s">
        <v>11</v>
      </c>
      <c r="J87" s="85" t="s">
        <v>12</v>
      </c>
      <c r="K87" s="85" t="s">
        <v>13</v>
      </c>
      <c r="L87" s="86">
        <f>MAX(MID(C87,{1,2,3},1)*1)-MIN(MID(C87,{1,2,3},1)*1)</f>
        <v>3</v>
      </c>
      <c r="M87" s="87">
        <v>0</v>
      </c>
      <c r="N87" s="87">
        <v>1</v>
      </c>
      <c r="O87" s="87">
        <v>2</v>
      </c>
      <c r="P87" s="87">
        <v>3</v>
      </c>
      <c r="Q87" s="87">
        <v>4</v>
      </c>
      <c r="R87" s="87">
        <v>5</v>
      </c>
      <c r="S87" s="87">
        <v>6</v>
      </c>
      <c r="T87" s="87">
        <v>7</v>
      </c>
      <c r="U87" s="87">
        <v>8</v>
      </c>
      <c r="V87" s="87">
        <v>9</v>
      </c>
      <c r="W87" s="88">
        <f t="shared" si="78"/>
        <v>1</v>
      </c>
      <c r="X87" s="88">
        <f t="shared" si="79"/>
        <v>3</v>
      </c>
      <c r="Y87" s="88">
        <f t="shared" si="80"/>
        <v>2</v>
      </c>
      <c r="Z87" s="89">
        <f t="shared" si="81"/>
        <v>6</v>
      </c>
      <c r="AA87" s="17" t="str">
        <f>_xlfn.TEXTJOIN(", ",TRUE,ABS(MID(C87,{1,1,2},1)-MID(C87,{2,3,3},1)))</f>
        <v>1, 3, 2</v>
      </c>
      <c r="AB87" s="90">
        <v>0</v>
      </c>
      <c r="AC87" s="90">
        <v>1</v>
      </c>
      <c r="AD87" s="90">
        <v>2</v>
      </c>
      <c r="AE87" s="90">
        <v>3</v>
      </c>
      <c r="AF87" s="90">
        <v>4</v>
      </c>
      <c r="AG87" s="90">
        <v>5</v>
      </c>
      <c r="AH87" s="90">
        <v>6</v>
      </c>
      <c r="AI87" s="90">
        <v>7</v>
      </c>
      <c r="AJ87" s="90">
        <v>8</v>
      </c>
      <c r="AK87" s="90">
        <v>9</v>
      </c>
      <c r="AL87" s="91">
        <v>0</v>
      </c>
      <c r="AM87" s="91">
        <v>1</v>
      </c>
      <c r="AN87" s="91">
        <v>2</v>
      </c>
      <c r="AO87" s="91">
        <v>3</v>
      </c>
      <c r="AP87" s="91">
        <v>4</v>
      </c>
      <c r="AQ87" s="91">
        <v>5</v>
      </c>
      <c r="AR87" s="91">
        <v>6</v>
      </c>
      <c r="AS87" s="91">
        <v>7</v>
      </c>
      <c r="AT87" s="91">
        <v>8</v>
      </c>
      <c r="AU87" s="91">
        <v>9</v>
      </c>
      <c r="AV87" s="92">
        <v>0</v>
      </c>
      <c r="AW87" s="92">
        <v>1</v>
      </c>
      <c r="AX87" s="92">
        <v>2</v>
      </c>
      <c r="AY87" s="92">
        <v>3</v>
      </c>
      <c r="AZ87" s="92">
        <v>4</v>
      </c>
      <c r="BA87" s="92">
        <v>5</v>
      </c>
      <c r="BB87" s="92">
        <v>6</v>
      </c>
      <c r="BC87" s="92">
        <v>7</v>
      </c>
      <c r="BD87" s="92">
        <v>8</v>
      </c>
      <c r="BE87" s="92">
        <v>9</v>
      </c>
      <c r="BF87" s="93">
        <v>0</v>
      </c>
      <c r="BG87" s="93">
        <v>1</v>
      </c>
      <c r="BH87" s="93">
        <v>2</v>
      </c>
      <c r="BI87" s="93">
        <v>3</v>
      </c>
      <c r="BJ87" s="93">
        <v>4</v>
      </c>
      <c r="BK87" s="93">
        <v>5</v>
      </c>
      <c r="BL87" s="93">
        <v>6</v>
      </c>
      <c r="BM87" s="93">
        <v>7</v>
      </c>
      <c r="BN87" s="93">
        <v>8</v>
      </c>
      <c r="BO87" s="93">
        <v>9</v>
      </c>
      <c r="BP87" s="94" t="str">
        <f t="shared" si="82"/>
        <v>紧凑型</v>
      </c>
      <c r="BQ87" s="15">
        <f t="shared" si="83"/>
        <v>1</v>
      </c>
      <c r="BR87" s="15">
        <f t="shared" si="84"/>
        <v>3</v>
      </c>
      <c r="BS87" s="20">
        <f t="shared" si="85"/>
        <v>1</v>
      </c>
      <c r="BT87" s="21">
        <f t="shared" si="97"/>
        <v>1</v>
      </c>
      <c r="BU87" s="21" t="str">
        <f t="array" ref="BU87">_xlfn.TEXTJOIN("",TRUE,IF(ISERROR(FIND(ROW($1:$168)-1,BS87&amp;BT87)),ROW($1:$168)-1,""))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87" s="22" t="str">
        <f t="shared" si="86"/>
        <v>复隔中</v>
      </c>
      <c r="BW87" s="23">
        <f t="shared" si="87"/>
        <v>3</v>
      </c>
      <c r="BX87" s="23" t="str">
        <f t="shared" si="98"/>
        <v/>
      </c>
      <c r="BY87" s="23" t="str">
        <f t="array" ref="BY87">_xlfn.TEXTJOIN("",TRUE,IF(ISERROR(FIND(ROW($1:$168)-1,BW87&amp;BX87)),ROW($1:$168)-1,""))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87" s="22" t="str">
        <f t="shared" si="88"/>
        <v>复中中</v>
      </c>
      <c r="CA87" s="24" t="str">
        <f t="shared" si="89"/>
        <v/>
      </c>
      <c r="CB87" s="24" t="str">
        <f t="shared" si="99"/>
        <v/>
      </c>
      <c r="CC87" s="24" t="str">
        <f t="array" ref="CC87">_xlfn.TEXTJOIN("",TRUE,IF(ISERROR(FIND(ROW($1:$168)-1,CA87&amp;CB87)),ROW($1:$168)-1,""))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87" s="22" t="str">
        <f t="shared" si="90"/>
        <v>中中中</v>
      </c>
      <c r="CE87" s="25" t="str">
        <f t="shared" si="91"/>
        <v>02</v>
      </c>
      <c r="CF87" s="26" t="str">
        <f t="array" ref="CF87">_xlfn.TEXTJOIN("",TRUE,IF(ISNUMBER(FIND(MID(CE86&amp;W86,ROW($1:$162),1),CE87&amp;W87)),MID(CE86&amp;W86,ROW($1:$162),1),""))</f>
        <v>2</v>
      </c>
      <c r="CG87" s="27" t="str">
        <f t="array" ref="CG87">_xlfn.TEXTJOIN("",TRUE,IF(ISERROR(FIND(ROW($1:$168)-1,CE87&amp;CF87)),ROW($1:$168)-1,""))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87" s="28" t="str">
        <f t="shared" si="92"/>
        <v>邻传孤</v>
      </c>
      <c r="CI87" s="29" t="str">
        <f t="shared" si="93"/>
        <v>24</v>
      </c>
      <c r="CJ87" s="29" t="str">
        <f t="array" ref="CJ87">_xlfn.TEXTJOIN("",TRUE,IF(ISNUMBER(FIND(MID(CI86&amp;X86,ROW($1:$162),1),CI87&amp;X87)),MID(CI86&amp;X86,ROW($1:$162),1),""))</f>
        <v>34</v>
      </c>
      <c r="CK87" s="29" t="str">
        <f t="array" ref="CK87">_xlfn.TEXTJOIN("",TRUE,IF(ISERROR(FIND(ROW($1:$168)-1,CI87&amp;CJ87)),ROW($1:$168)-1,""))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87" s="19" t="str">
        <f t="shared" si="94"/>
        <v>邻传孤</v>
      </c>
      <c r="CM87" s="24" t="str">
        <f t="shared" si="95"/>
        <v>13</v>
      </c>
      <c r="CN87" s="24" t="str">
        <f t="array" ref="CN87">_xlfn.TEXTJOIN("",TRUE,IF(ISNUMBER(FIND(MID(CM86&amp;Y86,ROW($1:$162),1),CM87&amp;Y87)),MID(CM86&amp;Y86,ROW($1:$162),1),""))</f>
        <v>21</v>
      </c>
      <c r="CO87" s="24" t="str">
        <f t="array" ref="CO87">_xlfn.TEXTJOIN("",TRUE,IF(ISERROR(FIND(ROW($1:$168)-1,CM87&amp;CN87)),ROW($1:$168)-1,""))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87" s="30" t="str">
        <f t="shared" si="96"/>
        <v>邻传孤</v>
      </c>
    </row>
    <row r="88" customFormat="1" spans="1:94">
      <c r="A88" s="15">
        <v>88</v>
      </c>
      <c r="B88" s="80">
        <v>2024057</v>
      </c>
      <c r="C88" s="8" t="s">
        <v>112</v>
      </c>
      <c r="D88" s="81">
        <f t="shared" si="76"/>
        <v>13</v>
      </c>
      <c r="E88" s="82">
        <f t="shared" si="77"/>
        <v>3</v>
      </c>
      <c r="F88" s="83">
        <f t="shared" si="74"/>
        <v>1.625</v>
      </c>
      <c r="G88" s="84" t="str">
        <f t="shared" si="75"/>
        <v>松散</v>
      </c>
      <c r="H88" s="85" t="s">
        <v>10</v>
      </c>
      <c r="I88" s="85" t="s">
        <v>11</v>
      </c>
      <c r="J88" s="85" t="s">
        <v>12</v>
      </c>
      <c r="K88" s="85" t="s">
        <v>13</v>
      </c>
      <c r="L88" s="86">
        <f>MAX(MID(C88,{1,2,3},1)*1)-MIN(MID(C88,{1,2,3},1)*1)</f>
        <v>8</v>
      </c>
      <c r="M88" s="87">
        <v>0</v>
      </c>
      <c r="N88" s="87">
        <v>1</v>
      </c>
      <c r="O88" s="87">
        <v>2</v>
      </c>
      <c r="P88" s="87">
        <v>3</v>
      </c>
      <c r="Q88" s="87">
        <v>4</v>
      </c>
      <c r="R88" s="87">
        <v>5</v>
      </c>
      <c r="S88" s="87">
        <v>6</v>
      </c>
      <c r="T88" s="87">
        <v>7</v>
      </c>
      <c r="U88" s="87">
        <v>8</v>
      </c>
      <c r="V88" s="87">
        <v>9</v>
      </c>
      <c r="W88" s="88">
        <f t="shared" si="78"/>
        <v>8</v>
      </c>
      <c r="X88" s="88">
        <f t="shared" si="79"/>
        <v>3</v>
      </c>
      <c r="Y88" s="88">
        <f t="shared" si="80"/>
        <v>5</v>
      </c>
      <c r="Z88" s="89">
        <f t="shared" si="81"/>
        <v>16</v>
      </c>
      <c r="AA88" s="17" t="str">
        <f>_xlfn.TEXTJOIN(", ",TRUE,ABS(MID(C88,{1,1,2},1)-MID(C88,{2,3,3},1)))</f>
        <v>8, 3, 5</v>
      </c>
      <c r="AB88" s="90">
        <v>0</v>
      </c>
      <c r="AC88" s="90">
        <v>1</v>
      </c>
      <c r="AD88" s="90">
        <v>2</v>
      </c>
      <c r="AE88" s="90">
        <v>3</v>
      </c>
      <c r="AF88" s="90">
        <v>4</v>
      </c>
      <c r="AG88" s="90">
        <v>5</v>
      </c>
      <c r="AH88" s="90">
        <v>6</v>
      </c>
      <c r="AI88" s="90">
        <v>7</v>
      </c>
      <c r="AJ88" s="90">
        <v>8</v>
      </c>
      <c r="AK88" s="90">
        <v>9</v>
      </c>
      <c r="AL88" s="91">
        <v>0</v>
      </c>
      <c r="AM88" s="91">
        <v>1</v>
      </c>
      <c r="AN88" s="91">
        <v>2</v>
      </c>
      <c r="AO88" s="91">
        <v>3</v>
      </c>
      <c r="AP88" s="91">
        <v>4</v>
      </c>
      <c r="AQ88" s="91">
        <v>5</v>
      </c>
      <c r="AR88" s="91">
        <v>6</v>
      </c>
      <c r="AS88" s="91">
        <v>7</v>
      </c>
      <c r="AT88" s="91">
        <v>8</v>
      </c>
      <c r="AU88" s="91">
        <v>9</v>
      </c>
      <c r="AV88" s="92">
        <v>0</v>
      </c>
      <c r="AW88" s="92">
        <v>1</v>
      </c>
      <c r="AX88" s="92">
        <v>2</v>
      </c>
      <c r="AY88" s="92">
        <v>3</v>
      </c>
      <c r="AZ88" s="92">
        <v>4</v>
      </c>
      <c r="BA88" s="92">
        <v>5</v>
      </c>
      <c r="BB88" s="92">
        <v>6</v>
      </c>
      <c r="BC88" s="92">
        <v>7</v>
      </c>
      <c r="BD88" s="92">
        <v>8</v>
      </c>
      <c r="BE88" s="92">
        <v>9</v>
      </c>
      <c r="BF88" s="93">
        <v>0</v>
      </c>
      <c r="BG88" s="93">
        <v>1</v>
      </c>
      <c r="BH88" s="93">
        <v>2</v>
      </c>
      <c r="BI88" s="93">
        <v>3</v>
      </c>
      <c r="BJ88" s="93">
        <v>4</v>
      </c>
      <c r="BK88" s="93">
        <v>5</v>
      </c>
      <c r="BL88" s="93">
        <v>6</v>
      </c>
      <c r="BM88" s="93">
        <v>7</v>
      </c>
      <c r="BN88" s="93">
        <v>8</v>
      </c>
      <c r="BO88" s="93">
        <v>9</v>
      </c>
      <c r="BP88" s="94" t="str">
        <f t="shared" si="82"/>
        <v>松散型</v>
      </c>
      <c r="BQ88" s="15">
        <f t="shared" si="83"/>
        <v>3</v>
      </c>
      <c r="BR88" s="15">
        <f t="shared" si="84"/>
        <v>8</v>
      </c>
      <c r="BS88" s="20" t="str">
        <f t="shared" si="85"/>
        <v/>
      </c>
      <c r="BT88" s="21" t="str">
        <f t="shared" si="97"/>
        <v/>
      </c>
      <c r="BU88" s="21" t="str">
        <f t="array" ref="BU88">_xlfn.TEXTJOIN("",TRUE,IF(ISERROR(FIND(ROW($1:$168)-1,BS88&amp;BT88)),ROW($1:$168)-1,""))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88" s="22" t="str">
        <f t="shared" si="86"/>
        <v>中中中</v>
      </c>
      <c r="BW88" s="23">
        <f t="shared" si="87"/>
        <v>3</v>
      </c>
      <c r="BX88" s="23">
        <f t="shared" si="98"/>
        <v>3</v>
      </c>
      <c r="BY88" s="23" t="str">
        <f t="array" ref="BY88">_xlfn.TEXTJOIN("",TRUE,IF(ISERROR(FIND(ROW($1:$168)-1,BW88&amp;BX88)),ROW($1:$168)-1,""))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88" s="22" t="str">
        <f t="shared" si="88"/>
        <v>复隔中</v>
      </c>
      <c r="CA88" s="24" t="str">
        <f t="shared" si="89"/>
        <v/>
      </c>
      <c r="CB88" s="24" t="str">
        <f t="shared" si="99"/>
        <v/>
      </c>
      <c r="CC88" s="24" t="str">
        <f t="array" ref="CC88">_xlfn.TEXTJOIN("",TRUE,IF(ISERROR(FIND(ROW($1:$168)-1,CA88&amp;CB88)),ROW($1:$168)-1,""))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88" s="22" t="str">
        <f t="shared" si="90"/>
        <v>中中中</v>
      </c>
      <c r="CE88" s="25" t="str">
        <f t="shared" si="91"/>
        <v>79</v>
      </c>
      <c r="CF88" s="26" t="str">
        <f t="array" ref="CF88">_xlfn.TEXTJOIN("",TRUE,IF(ISNUMBER(FIND(MID(CE87&amp;W87,ROW($1:$162),1),CE88&amp;W88)),MID(CE87&amp;W87,ROW($1:$162),1),""))</f>
        <v/>
      </c>
      <c r="CG88" s="27" t="str">
        <f t="array" ref="CG88">_xlfn.TEXTJOIN("",TRUE,IF(ISERROR(FIND(ROW($1:$168)-1,CE88&amp;CF88)),ROW($1:$168)-1,""))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88" s="28" t="str">
        <f t="shared" si="92"/>
        <v>邻孤孤</v>
      </c>
      <c r="CI88" s="29" t="str">
        <f t="shared" si="93"/>
        <v>24</v>
      </c>
      <c r="CJ88" s="29" t="str">
        <f t="array" ref="CJ88">_xlfn.TEXTJOIN("",TRUE,IF(ISNUMBER(FIND(MID(CI87&amp;X87,ROW($1:$162),1),CI88&amp;X88)),MID(CI87&amp;X87,ROW($1:$162),1),""))</f>
        <v>243</v>
      </c>
      <c r="CK88" s="29" t="str">
        <f t="array" ref="CK88">_xlfn.TEXTJOIN("",TRUE,IF(ISERROR(FIND(ROW($1:$168)-1,CI88&amp;CJ88)),ROW($1:$168)-1,""))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88" s="19" t="str">
        <f t="shared" si="94"/>
        <v>邻传孤</v>
      </c>
      <c r="CM88" s="24" t="str">
        <f t="shared" si="95"/>
        <v>46</v>
      </c>
      <c r="CN88" s="24" t="str">
        <f t="array" ref="CN88">_xlfn.TEXTJOIN("",TRUE,IF(ISNUMBER(FIND(MID(CM87&amp;Y87,ROW($1:$162),1),CM88&amp;Y88)),MID(CM87&amp;Y87,ROW($1:$162),1),""))</f>
        <v/>
      </c>
      <c r="CO88" s="24" t="str">
        <f t="array" ref="CO88">_xlfn.TEXTJOIN("",TRUE,IF(ISERROR(FIND(ROW($1:$168)-1,CM88&amp;CN88)),ROW($1:$168)-1,""))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88" s="30" t="str">
        <f t="shared" si="96"/>
        <v>邻孤孤</v>
      </c>
    </row>
    <row r="89" customFormat="1" spans="1:94">
      <c r="A89" s="15">
        <v>89</v>
      </c>
      <c r="B89" s="80">
        <v>2024058</v>
      </c>
      <c r="C89" s="8" t="s">
        <v>113</v>
      </c>
      <c r="D89" s="81">
        <f t="shared" si="76"/>
        <v>19</v>
      </c>
      <c r="E89" s="82">
        <f t="shared" si="77"/>
        <v>9</v>
      </c>
      <c r="F89" s="83">
        <f t="shared" si="74"/>
        <v>3.8</v>
      </c>
      <c r="G89" s="84" t="str">
        <f t="shared" si="75"/>
        <v>紧凑</v>
      </c>
      <c r="H89" s="85" t="s">
        <v>10</v>
      </c>
      <c r="I89" s="85" t="s">
        <v>11</v>
      </c>
      <c r="J89" s="85" t="s">
        <v>12</v>
      </c>
      <c r="K89" s="85" t="s">
        <v>13</v>
      </c>
      <c r="L89" s="86">
        <f>MAX(MID(C89,{1,2,3},1)*1)-MIN(MID(C89,{1,2,3},1)*1)</f>
        <v>5</v>
      </c>
      <c r="M89" s="87">
        <v>0</v>
      </c>
      <c r="N89" s="87">
        <v>1</v>
      </c>
      <c r="O89" s="87">
        <v>2</v>
      </c>
      <c r="P89" s="87">
        <v>3</v>
      </c>
      <c r="Q89" s="87">
        <v>4</v>
      </c>
      <c r="R89" s="87">
        <v>5</v>
      </c>
      <c r="S89" s="87">
        <v>6</v>
      </c>
      <c r="T89" s="87">
        <v>7</v>
      </c>
      <c r="U89" s="87">
        <v>8</v>
      </c>
      <c r="V89" s="87">
        <v>9</v>
      </c>
      <c r="W89" s="88">
        <f t="shared" si="78"/>
        <v>2</v>
      </c>
      <c r="X89" s="88">
        <f t="shared" si="79"/>
        <v>5</v>
      </c>
      <c r="Y89" s="88">
        <f t="shared" si="80"/>
        <v>3</v>
      </c>
      <c r="Z89" s="89">
        <f t="shared" si="81"/>
        <v>10</v>
      </c>
      <c r="AA89" s="17" t="str">
        <f>_xlfn.TEXTJOIN(", ",TRUE,ABS(MID(C89,{1,1,2},1)-MID(C89,{2,3,3},1)))</f>
        <v>2, 5, 3</v>
      </c>
      <c r="AB89" s="90">
        <v>0</v>
      </c>
      <c r="AC89" s="90">
        <v>1</v>
      </c>
      <c r="AD89" s="90">
        <v>2</v>
      </c>
      <c r="AE89" s="90">
        <v>3</v>
      </c>
      <c r="AF89" s="90">
        <v>4</v>
      </c>
      <c r="AG89" s="90">
        <v>5</v>
      </c>
      <c r="AH89" s="90">
        <v>6</v>
      </c>
      <c r="AI89" s="90">
        <v>7</v>
      </c>
      <c r="AJ89" s="90">
        <v>8</v>
      </c>
      <c r="AK89" s="90">
        <v>9</v>
      </c>
      <c r="AL89" s="91">
        <v>0</v>
      </c>
      <c r="AM89" s="91">
        <v>1</v>
      </c>
      <c r="AN89" s="91">
        <v>2</v>
      </c>
      <c r="AO89" s="91">
        <v>3</v>
      </c>
      <c r="AP89" s="91">
        <v>4</v>
      </c>
      <c r="AQ89" s="91">
        <v>5</v>
      </c>
      <c r="AR89" s="91">
        <v>6</v>
      </c>
      <c r="AS89" s="91">
        <v>7</v>
      </c>
      <c r="AT89" s="91">
        <v>8</v>
      </c>
      <c r="AU89" s="91">
        <v>9</v>
      </c>
      <c r="AV89" s="92">
        <v>0</v>
      </c>
      <c r="AW89" s="92">
        <v>1</v>
      </c>
      <c r="AX89" s="92">
        <v>2</v>
      </c>
      <c r="AY89" s="92">
        <v>3</v>
      </c>
      <c r="AZ89" s="92">
        <v>4</v>
      </c>
      <c r="BA89" s="92">
        <v>5</v>
      </c>
      <c r="BB89" s="92">
        <v>6</v>
      </c>
      <c r="BC89" s="92">
        <v>7</v>
      </c>
      <c r="BD89" s="92">
        <v>8</v>
      </c>
      <c r="BE89" s="92">
        <v>9</v>
      </c>
      <c r="BF89" s="93">
        <v>0</v>
      </c>
      <c r="BG89" s="93">
        <v>1</v>
      </c>
      <c r="BH89" s="93">
        <v>2</v>
      </c>
      <c r="BI89" s="93">
        <v>3</v>
      </c>
      <c r="BJ89" s="93">
        <v>4</v>
      </c>
      <c r="BK89" s="93">
        <v>5</v>
      </c>
      <c r="BL89" s="93">
        <v>6</v>
      </c>
      <c r="BM89" s="93">
        <v>7</v>
      </c>
      <c r="BN89" s="93">
        <v>8</v>
      </c>
      <c r="BO89" s="93">
        <v>9</v>
      </c>
      <c r="BP89" s="94" t="str">
        <f t="shared" si="82"/>
        <v>标准型</v>
      </c>
      <c r="BQ89" s="15">
        <f t="shared" si="83"/>
        <v>2</v>
      </c>
      <c r="BR89" s="15">
        <f t="shared" si="84"/>
        <v>5</v>
      </c>
      <c r="BS89" s="20" t="str">
        <f t="shared" si="85"/>
        <v/>
      </c>
      <c r="BT89" s="21">
        <f t="shared" si="97"/>
        <v>2</v>
      </c>
      <c r="BU89" s="21" t="str">
        <f t="array" ref="BU89">_xlfn.TEXTJOIN("",TRUE,IF(ISERROR(FIND(ROW($1:$168)-1,BS89&amp;BT89)),ROW($1:$168)-1,""))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89" s="22" t="str">
        <f t="shared" si="86"/>
        <v>中隔中</v>
      </c>
      <c r="BW89" s="23">
        <f t="shared" si="87"/>
        <v>5</v>
      </c>
      <c r="BX89" s="23" t="str">
        <f t="shared" si="98"/>
        <v/>
      </c>
      <c r="BY89" s="23" t="str">
        <f t="array" ref="BY89">_xlfn.TEXTJOIN("",TRUE,IF(ISERROR(FIND(ROW($1:$168)-1,BW89&amp;BX89)),ROW($1:$168)-1,""))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89" s="22" t="str">
        <f t="shared" si="88"/>
        <v>复中中</v>
      </c>
      <c r="CA89" s="24">
        <f t="shared" si="89"/>
        <v>3</v>
      </c>
      <c r="CB89" s="24">
        <f t="shared" si="99"/>
        <v>3</v>
      </c>
      <c r="CC89" s="24" t="str">
        <f t="array" ref="CC89">_xlfn.TEXTJOIN("",TRUE,IF(ISERROR(FIND(ROW($1:$168)-1,CA89&amp;CB89)),ROW($1:$168)-1,""))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89" s="22" t="str">
        <f t="shared" si="90"/>
        <v>复隔中</v>
      </c>
      <c r="CE89" s="25" t="str">
        <f t="shared" si="91"/>
        <v>13</v>
      </c>
      <c r="CF89" s="26" t="str">
        <f t="array" ref="CF89">_xlfn.TEXTJOIN("",TRUE,IF(ISNUMBER(FIND(MID(CE88&amp;W88,ROW($1:$162),1),CE89&amp;W89)),MID(CE88&amp;W88,ROW($1:$162),1),""))</f>
        <v/>
      </c>
      <c r="CG89" s="27" t="str">
        <f t="array" ref="CG89">_xlfn.TEXTJOIN("",TRUE,IF(ISERROR(FIND(ROW($1:$168)-1,CE89&amp;CF89)),ROW($1:$168)-1,""))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89" s="28" t="str">
        <f t="shared" si="92"/>
        <v>邻孤孤</v>
      </c>
      <c r="CI89" s="29" t="str">
        <f t="shared" si="93"/>
        <v>46</v>
      </c>
      <c r="CJ89" s="29" t="str">
        <f t="array" ref="CJ89">_xlfn.TEXTJOIN("",TRUE,IF(ISNUMBER(FIND(MID(CI88&amp;X88,ROW($1:$162),1),CI89&amp;X89)),MID(CI88&amp;X88,ROW($1:$162),1),""))</f>
        <v>4</v>
      </c>
      <c r="CK89" s="29" t="str">
        <f t="array" ref="CK89">_xlfn.TEXTJOIN("",TRUE,IF(ISERROR(FIND(ROW($1:$168)-1,CI89&amp;CJ89)),ROW($1:$168)-1,""))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89" s="19" t="str">
        <f t="shared" si="94"/>
        <v>邻传孤</v>
      </c>
      <c r="CM89" s="24" t="str">
        <f t="shared" si="95"/>
        <v>24</v>
      </c>
      <c r="CN89" s="24" t="str">
        <f t="array" ref="CN89">_xlfn.TEXTJOIN("",TRUE,IF(ISNUMBER(FIND(MID(CM88&amp;Y88,ROW($1:$162),1),CM89&amp;Y89)),MID(CM88&amp;Y88,ROW($1:$162),1),""))</f>
        <v>4</v>
      </c>
      <c r="CO89" s="24" t="str">
        <f t="array" ref="CO89">_xlfn.TEXTJOIN("",TRUE,IF(ISERROR(FIND(ROW($1:$168)-1,CM89&amp;CN89)),ROW($1:$168)-1,""))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89" s="30" t="str">
        <f t="shared" si="96"/>
        <v>邻传孤</v>
      </c>
    </row>
    <row r="90" customFormat="1" spans="1:94">
      <c r="A90" s="15">
        <v>90</v>
      </c>
      <c r="B90" s="80">
        <v>2024059</v>
      </c>
      <c r="C90" s="8" t="s">
        <v>114</v>
      </c>
      <c r="D90" s="81">
        <f t="shared" si="76"/>
        <v>20</v>
      </c>
      <c r="E90" s="82">
        <f t="shared" si="77"/>
        <v>0</v>
      </c>
      <c r="F90" s="83">
        <f t="shared" si="74"/>
        <v>6.66666666666667</v>
      </c>
      <c r="G90" s="84" t="str">
        <f t="shared" si="75"/>
        <v>紧凑</v>
      </c>
      <c r="H90" s="85" t="s">
        <v>10</v>
      </c>
      <c r="I90" s="85" t="s">
        <v>11</v>
      </c>
      <c r="J90" s="85" t="s">
        <v>12</v>
      </c>
      <c r="K90" s="85" t="s">
        <v>13</v>
      </c>
      <c r="L90" s="86">
        <f>MAX(MID(C90,{1,2,3},1)*1)-MIN(MID(C90,{1,2,3},1)*1)</f>
        <v>3</v>
      </c>
      <c r="M90" s="87">
        <v>0</v>
      </c>
      <c r="N90" s="87">
        <v>1</v>
      </c>
      <c r="O90" s="87">
        <v>2</v>
      </c>
      <c r="P90" s="87">
        <v>3</v>
      </c>
      <c r="Q90" s="87">
        <v>4</v>
      </c>
      <c r="R90" s="87">
        <v>5</v>
      </c>
      <c r="S90" s="87">
        <v>6</v>
      </c>
      <c r="T90" s="87">
        <v>7</v>
      </c>
      <c r="U90" s="87">
        <v>8</v>
      </c>
      <c r="V90" s="87">
        <v>9</v>
      </c>
      <c r="W90" s="88">
        <f t="shared" si="78"/>
        <v>2</v>
      </c>
      <c r="X90" s="88">
        <f t="shared" si="79"/>
        <v>1</v>
      </c>
      <c r="Y90" s="88">
        <f t="shared" si="80"/>
        <v>3</v>
      </c>
      <c r="Z90" s="89">
        <f t="shared" si="81"/>
        <v>6</v>
      </c>
      <c r="AA90" s="17" t="str">
        <f>_xlfn.TEXTJOIN(", ",TRUE,ABS(MID(C90,{1,1,2},1)-MID(C90,{2,3,3},1)))</f>
        <v>2, 1, 3</v>
      </c>
      <c r="AB90" s="90">
        <v>0</v>
      </c>
      <c r="AC90" s="90">
        <v>1</v>
      </c>
      <c r="AD90" s="90">
        <v>2</v>
      </c>
      <c r="AE90" s="90">
        <v>3</v>
      </c>
      <c r="AF90" s="90">
        <v>4</v>
      </c>
      <c r="AG90" s="90">
        <v>5</v>
      </c>
      <c r="AH90" s="90">
        <v>6</v>
      </c>
      <c r="AI90" s="90">
        <v>7</v>
      </c>
      <c r="AJ90" s="90">
        <v>8</v>
      </c>
      <c r="AK90" s="90">
        <v>9</v>
      </c>
      <c r="AL90" s="91">
        <v>0</v>
      </c>
      <c r="AM90" s="91">
        <v>1</v>
      </c>
      <c r="AN90" s="91">
        <v>2</v>
      </c>
      <c r="AO90" s="91">
        <v>3</v>
      </c>
      <c r="AP90" s="91">
        <v>4</v>
      </c>
      <c r="AQ90" s="91">
        <v>5</v>
      </c>
      <c r="AR90" s="91">
        <v>6</v>
      </c>
      <c r="AS90" s="91">
        <v>7</v>
      </c>
      <c r="AT90" s="91">
        <v>8</v>
      </c>
      <c r="AU90" s="91">
        <v>9</v>
      </c>
      <c r="AV90" s="92">
        <v>0</v>
      </c>
      <c r="AW90" s="92">
        <v>1</v>
      </c>
      <c r="AX90" s="92">
        <v>2</v>
      </c>
      <c r="AY90" s="92">
        <v>3</v>
      </c>
      <c r="AZ90" s="92">
        <v>4</v>
      </c>
      <c r="BA90" s="92">
        <v>5</v>
      </c>
      <c r="BB90" s="92">
        <v>6</v>
      </c>
      <c r="BC90" s="92">
        <v>7</v>
      </c>
      <c r="BD90" s="92">
        <v>8</v>
      </c>
      <c r="BE90" s="92">
        <v>9</v>
      </c>
      <c r="BF90" s="93">
        <v>0</v>
      </c>
      <c r="BG90" s="93">
        <v>1</v>
      </c>
      <c r="BH90" s="93">
        <v>2</v>
      </c>
      <c r="BI90" s="93">
        <v>3</v>
      </c>
      <c r="BJ90" s="93">
        <v>4</v>
      </c>
      <c r="BK90" s="93">
        <v>5</v>
      </c>
      <c r="BL90" s="93">
        <v>6</v>
      </c>
      <c r="BM90" s="93">
        <v>7</v>
      </c>
      <c r="BN90" s="93">
        <v>8</v>
      </c>
      <c r="BO90" s="93">
        <v>9</v>
      </c>
      <c r="BP90" s="94" t="str">
        <f t="shared" si="82"/>
        <v>紧凑型</v>
      </c>
      <c r="BQ90" s="15">
        <f t="shared" si="83"/>
        <v>1</v>
      </c>
      <c r="BR90" s="15">
        <f t="shared" si="84"/>
        <v>3</v>
      </c>
      <c r="BS90" s="20">
        <f t="shared" si="85"/>
        <v>2</v>
      </c>
      <c r="BT90" s="21" t="str">
        <f t="shared" si="97"/>
        <v/>
      </c>
      <c r="BU90" s="21" t="str">
        <f t="array" ref="BU90">_xlfn.TEXTJOIN("",TRUE,IF(ISERROR(FIND(ROW($1:$168)-1,BS90&amp;BT90)),ROW($1:$168)-1,""))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90" s="22" t="str">
        <f t="shared" si="86"/>
        <v>复中中</v>
      </c>
      <c r="BW90" s="23" t="str">
        <f t="shared" si="87"/>
        <v/>
      </c>
      <c r="BX90" s="23" t="str">
        <f t="shared" si="98"/>
        <v/>
      </c>
      <c r="BY90" s="23" t="str">
        <f t="array" ref="BY90">_xlfn.TEXTJOIN("",TRUE,IF(ISERROR(FIND(ROW($1:$168)-1,BW90&amp;BX90)),ROW($1:$168)-1,""))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90" s="22" t="str">
        <f t="shared" si="88"/>
        <v>中中中</v>
      </c>
      <c r="CA90" s="24">
        <f t="shared" si="89"/>
        <v>3</v>
      </c>
      <c r="CB90" s="24">
        <f t="shared" si="99"/>
        <v>3</v>
      </c>
      <c r="CC90" s="24" t="str">
        <f t="array" ref="CC90">_xlfn.TEXTJOIN("",TRUE,IF(ISERROR(FIND(ROW($1:$168)-1,CA90&amp;CB90)),ROW($1:$168)-1,""))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90" s="22" t="str">
        <f t="shared" si="90"/>
        <v>复隔中</v>
      </c>
      <c r="CE90" s="25" t="str">
        <f t="shared" si="91"/>
        <v>13</v>
      </c>
      <c r="CF90" s="26" t="str">
        <f t="array" ref="CF90">_xlfn.TEXTJOIN("",TRUE,IF(ISNUMBER(FIND(MID(CE89&amp;W89,ROW($1:$162),1),CE90&amp;W90)),MID(CE89&amp;W89,ROW($1:$162),1),""))</f>
        <v>132</v>
      </c>
      <c r="CG90" s="27" t="str">
        <f t="array" ref="CG90">_xlfn.TEXTJOIN("",TRUE,IF(ISERROR(FIND(ROW($1:$168)-1,CE90&amp;CF90)),ROW($1:$168)-1,""))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90" s="28" t="str">
        <f t="shared" si="92"/>
        <v>邻传孤</v>
      </c>
      <c r="CI90" s="29" t="str">
        <f t="shared" si="93"/>
        <v>02</v>
      </c>
      <c r="CJ90" s="29" t="str">
        <f t="array" ref="CJ90">_xlfn.TEXTJOIN("",TRUE,IF(ISNUMBER(FIND(MID(CI89&amp;X89,ROW($1:$162),1),CI90&amp;X90)),MID(CI89&amp;X89,ROW($1:$162),1),""))</f>
        <v/>
      </c>
      <c r="CK90" s="29" t="str">
        <f t="array" ref="CK90">_xlfn.TEXTJOIN("",TRUE,IF(ISERROR(FIND(ROW($1:$168)-1,CI90&amp;CJ90)),ROW($1:$168)-1,""))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90" s="19" t="str">
        <f t="shared" si="94"/>
        <v>邻孤孤</v>
      </c>
      <c r="CM90" s="24" t="str">
        <f t="shared" si="95"/>
        <v>24</v>
      </c>
      <c r="CN90" s="24" t="str">
        <f t="array" ref="CN90">_xlfn.TEXTJOIN("",TRUE,IF(ISNUMBER(FIND(MID(CM89&amp;Y89,ROW($1:$162),1),CM90&amp;Y90)),MID(CM89&amp;Y89,ROW($1:$162),1),""))</f>
        <v>243</v>
      </c>
      <c r="CO90" s="24" t="str">
        <f t="array" ref="CO90">_xlfn.TEXTJOIN("",TRUE,IF(ISERROR(FIND(ROW($1:$168)-1,CM90&amp;CN90)),ROW($1:$168)-1,""))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90" s="30" t="str">
        <f t="shared" si="96"/>
        <v>邻传孤</v>
      </c>
    </row>
    <row r="91" customFormat="1" spans="1:94">
      <c r="A91" s="15">
        <v>91</v>
      </c>
      <c r="B91" s="80">
        <v>2024060</v>
      </c>
      <c r="C91" s="8" t="s">
        <v>115</v>
      </c>
      <c r="D91" s="81">
        <f t="shared" si="76"/>
        <v>24</v>
      </c>
      <c r="E91" s="82">
        <f t="shared" si="77"/>
        <v>4</v>
      </c>
      <c r="F91" s="83">
        <f t="shared" si="74"/>
        <v>12</v>
      </c>
      <c r="G91" s="84" t="str">
        <f t="shared" si="75"/>
        <v>紧凑</v>
      </c>
      <c r="H91" s="85" t="s">
        <v>10</v>
      </c>
      <c r="I91" s="85" t="s">
        <v>11</v>
      </c>
      <c r="J91" s="85" t="s">
        <v>12</v>
      </c>
      <c r="K91" s="85" t="s">
        <v>13</v>
      </c>
      <c r="L91" s="86">
        <f>MAX(MID(C91,{1,2,3},1)*1)-MIN(MID(C91,{1,2,3},1)*1)</f>
        <v>2</v>
      </c>
      <c r="M91" s="87">
        <v>0</v>
      </c>
      <c r="N91" s="87">
        <v>1</v>
      </c>
      <c r="O91" s="87">
        <v>2</v>
      </c>
      <c r="P91" s="87">
        <v>3</v>
      </c>
      <c r="Q91" s="87">
        <v>4</v>
      </c>
      <c r="R91" s="87">
        <v>5</v>
      </c>
      <c r="S91" s="87">
        <v>6</v>
      </c>
      <c r="T91" s="87">
        <v>7</v>
      </c>
      <c r="U91" s="87">
        <v>8</v>
      </c>
      <c r="V91" s="87">
        <v>9</v>
      </c>
      <c r="W91" s="88">
        <f t="shared" si="78"/>
        <v>1</v>
      </c>
      <c r="X91" s="88">
        <f t="shared" si="79"/>
        <v>1</v>
      </c>
      <c r="Y91" s="88">
        <f t="shared" si="80"/>
        <v>2</v>
      </c>
      <c r="Z91" s="89">
        <f t="shared" si="81"/>
        <v>4</v>
      </c>
      <c r="AA91" s="17" t="str">
        <f>_xlfn.TEXTJOIN(", ",TRUE,ABS(MID(C91,{1,1,2},1)-MID(C91,{2,3,3},1)))</f>
        <v>1, 1, 2</v>
      </c>
      <c r="AB91" s="90">
        <v>0</v>
      </c>
      <c r="AC91" s="90">
        <v>1</v>
      </c>
      <c r="AD91" s="90">
        <v>2</v>
      </c>
      <c r="AE91" s="90">
        <v>3</v>
      </c>
      <c r="AF91" s="90">
        <v>4</v>
      </c>
      <c r="AG91" s="90">
        <v>5</v>
      </c>
      <c r="AH91" s="90">
        <v>6</v>
      </c>
      <c r="AI91" s="90">
        <v>7</v>
      </c>
      <c r="AJ91" s="90">
        <v>8</v>
      </c>
      <c r="AK91" s="90">
        <v>9</v>
      </c>
      <c r="AL91" s="91">
        <v>0</v>
      </c>
      <c r="AM91" s="91">
        <v>1</v>
      </c>
      <c r="AN91" s="91">
        <v>2</v>
      </c>
      <c r="AO91" s="91">
        <v>3</v>
      </c>
      <c r="AP91" s="91">
        <v>4</v>
      </c>
      <c r="AQ91" s="91">
        <v>5</v>
      </c>
      <c r="AR91" s="91">
        <v>6</v>
      </c>
      <c r="AS91" s="91">
        <v>7</v>
      </c>
      <c r="AT91" s="91">
        <v>8</v>
      </c>
      <c r="AU91" s="91">
        <v>9</v>
      </c>
      <c r="AV91" s="92">
        <v>0</v>
      </c>
      <c r="AW91" s="92">
        <v>1</v>
      </c>
      <c r="AX91" s="92">
        <v>2</v>
      </c>
      <c r="AY91" s="92">
        <v>3</v>
      </c>
      <c r="AZ91" s="92">
        <v>4</v>
      </c>
      <c r="BA91" s="92">
        <v>5</v>
      </c>
      <c r="BB91" s="92">
        <v>6</v>
      </c>
      <c r="BC91" s="92">
        <v>7</v>
      </c>
      <c r="BD91" s="92">
        <v>8</v>
      </c>
      <c r="BE91" s="92">
        <v>9</v>
      </c>
      <c r="BF91" s="93">
        <v>0</v>
      </c>
      <c r="BG91" s="93">
        <v>1</v>
      </c>
      <c r="BH91" s="93">
        <v>2</v>
      </c>
      <c r="BI91" s="93">
        <v>3</v>
      </c>
      <c r="BJ91" s="93">
        <v>4</v>
      </c>
      <c r="BK91" s="93">
        <v>5</v>
      </c>
      <c r="BL91" s="93">
        <v>6</v>
      </c>
      <c r="BM91" s="93">
        <v>7</v>
      </c>
      <c r="BN91" s="93">
        <v>8</v>
      </c>
      <c r="BO91" s="93">
        <v>9</v>
      </c>
      <c r="BP91" s="94" t="str">
        <f t="shared" si="82"/>
        <v>紧凑型</v>
      </c>
      <c r="BQ91" s="15">
        <f t="shared" si="83"/>
        <v>1</v>
      </c>
      <c r="BR91" s="15">
        <f t="shared" si="84"/>
        <v>2</v>
      </c>
      <c r="BS91" s="20">
        <f t="shared" si="85"/>
        <v>1</v>
      </c>
      <c r="BT91" s="21" t="str">
        <f t="shared" si="97"/>
        <v/>
      </c>
      <c r="BU91" s="21" t="str">
        <f t="array" ref="BU91">_xlfn.TEXTJOIN("",TRUE,IF(ISERROR(FIND(ROW($1:$168)-1,BS91&amp;BT91)),ROW($1:$168)-1,""))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91" s="22" t="str">
        <f t="shared" si="86"/>
        <v>复中中</v>
      </c>
      <c r="BW91" s="23">
        <f t="shared" si="87"/>
        <v>1</v>
      </c>
      <c r="BX91" s="23" t="str">
        <f t="shared" si="98"/>
        <v/>
      </c>
      <c r="BY91" s="23" t="str">
        <f t="array" ref="BY91">_xlfn.TEXTJOIN("",TRUE,IF(ISERROR(FIND(ROW($1:$168)-1,BW91&amp;BX91)),ROW($1:$168)-1,""))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91" s="22" t="str">
        <f t="shared" si="88"/>
        <v>复中中</v>
      </c>
      <c r="CA91" s="24">
        <f t="shared" si="89"/>
        <v>2</v>
      </c>
      <c r="CB91" s="24">
        <f t="shared" si="99"/>
        <v>2</v>
      </c>
      <c r="CC91" s="24" t="str">
        <f t="array" ref="CC91">_xlfn.TEXTJOIN("",TRUE,IF(ISERROR(FIND(ROW($1:$168)-1,CA91&amp;CB91)),ROW($1:$168)-1,""))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91" s="22" t="str">
        <f t="shared" si="90"/>
        <v>复隔中</v>
      </c>
      <c r="CE91" s="25" t="str">
        <f t="shared" si="91"/>
        <v>02</v>
      </c>
      <c r="CF91" s="26" t="str">
        <f t="array" ref="CF91">_xlfn.TEXTJOIN("",TRUE,IF(ISNUMBER(FIND(MID(CE90&amp;W90,ROW($1:$162),1),CE91&amp;W91)),MID(CE90&amp;W90,ROW($1:$162),1),""))</f>
        <v>12</v>
      </c>
      <c r="CG91" s="27" t="str">
        <f t="array" ref="CG91">_xlfn.TEXTJOIN("",TRUE,IF(ISERROR(FIND(ROW($1:$168)-1,CE91&amp;CF91)),ROW($1:$168)-1,""))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91" s="28" t="str">
        <f t="shared" si="92"/>
        <v>邻传孤</v>
      </c>
      <c r="CI91" s="29" t="str">
        <f t="shared" si="93"/>
        <v>02</v>
      </c>
      <c r="CJ91" s="29" t="str">
        <f t="array" ref="CJ91">_xlfn.TEXTJOIN("",TRUE,IF(ISNUMBER(FIND(MID(CI90&amp;X90,ROW($1:$162),1),CI91&amp;X91)),MID(CI90&amp;X90,ROW($1:$162),1),""))</f>
        <v>021</v>
      </c>
      <c r="CK91" s="29" t="str">
        <f t="array" ref="CK91">_xlfn.TEXTJOIN("",TRUE,IF(ISERROR(FIND(ROW($1:$168)-1,CI91&amp;CJ91)),ROW($1:$168)-1,""))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91" s="19" t="str">
        <f t="shared" si="94"/>
        <v>邻传孤</v>
      </c>
      <c r="CM91" s="24" t="str">
        <f t="shared" si="95"/>
        <v>13</v>
      </c>
      <c r="CN91" s="24" t="str">
        <f t="array" ref="CN91">_xlfn.TEXTJOIN("",TRUE,IF(ISNUMBER(FIND(MID(CM90&amp;Y90,ROW($1:$162),1),CM91&amp;Y91)),MID(CM90&amp;Y90,ROW($1:$162),1),""))</f>
        <v>23</v>
      </c>
      <c r="CO91" s="24" t="str">
        <f t="array" ref="CO91">_xlfn.TEXTJOIN("",TRUE,IF(ISERROR(FIND(ROW($1:$168)-1,CM91&amp;CN91)),ROW($1:$168)-1,""))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91" s="30" t="str">
        <f t="shared" si="96"/>
        <v>邻传孤</v>
      </c>
    </row>
    <row r="92" customFormat="1" spans="1:94">
      <c r="A92" s="15">
        <v>92</v>
      </c>
      <c r="B92" s="80">
        <v>2024061</v>
      </c>
      <c r="C92" s="8" t="s">
        <v>100</v>
      </c>
      <c r="D92" s="81">
        <f t="shared" ref="D92:D115" si="100">LEFT(C92,1)+MID(C92,2,1)+RIGHT(C92,1)</f>
        <v>10</v>
      </c>
      <c r="E92" s="82">
        <f t="shared" ref="E92:E115" si="101">MOD(LEFT(C92,1)+MID(C92,2,1)+RIGHT(C92,1),10)</f>
        <v>0</v>
      </c>
      <c r="F92" s="83">
        <f t="shared" si="74"/>
        <v>1.66666666666667</v>
      </c>
      <c r="G92" s="84" t="str">
        <f t="shared" si="75"/>
        <v>松散</v>
      </c>
      <c r="H92" s="85" t="s">
        <v>10</v>
      </c>
      <c r="I92" s="85" t="s">
        <v>11</v>
      </c>
      <c r="J92" s="85" t="s">
        <v>12</v>
      </c>
      <c r="K92" s="85" t="s">
        <v>13</v>
      </c>
      <c r="L92" s="86">
        <f>MAX(MID(C92,{1,2,3},1)*1)-MIN(MID(C92,{1,2,3},1)*1)</f>
        <v>6</v>
      </c>
      <c r="M92" s="87">
        <v>0</v>
      </c>
      <c r="N92" s="87">
        <v>1</v>
      </c>
      <c r="O92" s="87">
        <v>2</v>
      </c>
      <c r="P92" s="87">
        <v>3</v>
      </c>
      <c r="Q92" s="87">
        <v>4</v>
      </c>
      <c r="R92" s="87">
        <v>5</v>
      </c>
      <c r="S92" s="87">
        <v>6</v>
      </c>
      <c r="T92" s="87">
        <v>7</v>
      </c>
      <c r="U92" s="87">
        <v>8</v>
      </c>
      <c r="V92" s="87">
        <v>9</v>
      </c>
      <c r="W92" s="88">
        <f t="shared" ref="W92:W115" si="102">ABS(LEFT(C92,1)-MID(C92,2,1))</f>
        <v>4</v>
      </c>
      <c r="X92" s="88">
        <f t="shared" ref="X92:X115" si="103">ABS(LEFT(C92,1)-RIGHT(C92,1))</f>
        <v>2</v>
      </c>
      <c r="Y92" s="88">
        <f t="shared" ref="Y92:Y115" si="104">ABS(MID(C92,2,1)-RIGHT(C92,1))</f>
        <v>6</v>
      </c>
      <c r="Z92" s="89">
        <f t="shared" ref="Z92:Z115" si="105">W92+X92+Y92</f>
        <v>12</v>
      </c>
      <c r="AA92" s="17" t="str">
        <f>_xlfn.TEXTJOIN(", ",TRUE,ABS(MID(C92,{1,1,2},1)-MID(C92,{2,3,3},1)))</f>
        <v>4, 2, 6</v>
      </c>
      <c r="AB92" s="90">
        <v>0</v>
      </c>
      <c r="AC92" s="90">
        <v>1</v>
      </c>
      <c r="AD92" s="90">
        <v>2</v>
      </c>
      <c r="AE92" s="90">
        <v>3</v>
      </c>
      <c r="AF92" s="90">
        <v>4</v>
      </c>
      <c r="AG92" s="90">
        <v>5</v>
      </c>
      <c r="AH92" s="90">
        <v>6</v>
      </c>
      <c r="AI92" s="90">
        <v>7</v>
      </c>
      <c r="AJ92" s="90">
        <v>8</v>
      </c>
      <c r="AK92" s="90">
        <v>9</v>
      </c>
      <c r="AL92" s="91">
        <v>0</v>
      </c>
      <c r="AM92" s="91">
        <v>1</v>
      </c>
      <c r="AN92" s="91">
        <v>2</v>
      </c>
      <c r="AO92" s="91">
        <v>3</v>
      </c>
      <c r="AP92" s="91">
        <v>4</v>
      </c>
      <c r="AQ92" s="91">
        <v>5</v>
      </c>
      <c r="AR92" s="91">
        <v>6</v>
      </c>
      <c r="AS92" s="91">
        <v>7</v>
      </c>
      <c r="AT92" s="91">
        <v>8</v>
      </c>
      <c r="AU92" s="91">
        <v>9</v>
      </c>
      <c r="AV92" s="92">
        <v>0</v>
      </c>
      <c r="AW92" s="92">
        <v>1</v>
      </c>
      <c r="AX92" s="92">
        <v>2</v>
      </c>
      <c r="AY92" s="92">
        <v>3</v>
      </c>
      <c r="AZ92" s="92">
        <v>4</v>
      </c>
      <c r="BA92" s="92">
        <v>5</v>
      </c>
      <c r="BB92" s="92">
        <v>6</v>
      </c>
      <c r="BC92" s="92">
        <v>7</v>
      </c>
      <c r="BD92" s="92">
        <v>8</v>
      </c>
      <c r="BE92" s="92">
        <v>9</v>
      </c>
      <c r="BF92" s="93">
        <v>0</v>
      </c>
      <c r="BG92" s="93">
        <v>1</v>
      </c>
      <c r="BH92" s="93">
        <v>2</v>
      </c>
      <c r="BI92" s="93">
        <v>3</v>
      </c>
      <c r="BJ92" s="93">
        <v>4</v>
      </c>
      <c r="BK92" s="93">
        <v>5</v>
      </c>
      <c r="BL92" s="93">
        <v>6</v>
      </c>
      <c r="BM92" s="93">
        <v>7</v>
      </c>
      <c r="BN92" s="93">
        <v>8</v>
      </c>
      <c r="BO92" s="93">
        <v>9</v>
      </c>
      <c r="BP92" s="94" t="str">
        <f t="shared" ref="BP92:BP115" si="106">IF(AND(BQ92&lt;=1,BR92&lt;=4),"紧凑型",IF(OR(BQ92&gt;=3,BR92&gt;=6),"松散型",IF(AND(BQ92&gt;=1,BR92&lt;=5),"标准型","对子")))</f>
        <v>松散型</v>
      </c>
      <c r="BQ92" s="15">
        <f t="shared" ref="BQ92:BQ115" si="107">MIN(ABS(INT(C92/100)-INT(MOD(C92,100)/10)),ABS(INT(C92/100)-MOD(C92,10)),ABS(INT(MOD(C92,100)/10)-MOD(C92,10)))</f>
        <v>2</v>
      </c>
      <c r="BR92" s="15">
        <f t="shared" ref="BR92:BR115" si="108">MAX(ABS(INT(C92/100)-INT(MOD(C92,100)/10)),ABS(INT(C92/100)-MOD(C92,10)),ABS(INT(MOD(C92,100)/10)-MOD(C92,10)))</f>
        <v>6</v>
      </c>
      <c r="BS92" s="20"/>
      <c r="BT92" s="21"/>
      <c r="BU92" s="21"/>
      <c r="BV92" s="66"/>
      <c r="BW92" s="23"/>
      <c r="BX92" s="23"/>
      <c r="BY92" s="23"/>
      <c r="BZ92" s="68"/>
      <c r="CA92" s="24"/>
      <c r="CB92" s="24"/>
      <c r="CC92" s="24"/>
      <c r="CD92" s="70"/>
      <c r="CE92" s="25"/>
      <c r="CF92" s="26"/>
      <c r="CG92" s="27"/>
      <c r="CH92" s="74"/>
      <c r="CI92" s="29"/>
      <c r="CJ92" s="29"/>
      <c r="CK92" s="29"/>
      <c r="CL92" s="77"/>
      <c r="CM92" s="24"/>
      <c r="CN92" s="24"/>
      <c r="CO92" s="24"/>
      <c r="CP92" s="79"/>
    </row>
    <row r="93" customFormat="1" spans="1:94">
      <c r="A93" s="15">
        <v>93</v>
      </c>
      <c r="B93" s="80">
        <v>2024062</v>
      </c>
      <c r="C93" s="8" t="s">
        <v>116</v>
      </c>
      <c r="D93" s="81">
        <f t="shared" si="100"/>
        <v>17</v>
      </c>
      <c r="E93" s="82">
        <f t="shared" si="101"/>
        <v>7</v>
      </c>
      <c r="F93" s="83">
        <f t="shared" si="74"/>
        <v>4.25</v>
      </c>
      <c r="G93" s="84" t="str">
        <f t="shared" si="75"/>
        <v>紧凑</v>
      </c>
      <c r="H93" s="85" t="s">
        <v>10</v>
      </c>
      <c r="I93" s="85" t="s">
        <v>11</v>
      </c>
      <c r="J93" s="85" t="s">
        <v>12</v>
      </c>
      <c r="K93" s="85" t="s">
        <v>13</v>
      </c>
      <c r="L93" s="86">
        <f>MAX(MID(C93,{1,2,3},1)*1)-MIN(MID(C93,{1,2,3},1)*1)</f>
        <v>4</v>
      </c>
      <c r="M93" s="87">
        <v>0</v>
      </c>
      <c r="N93" s="87">
        <v>1</v>
      </c>
      <c r="O93" s="87">
        <v>2</v>
      </c>
      <c r="P93" s="87">
        <v>3</v>
      </c>
      <c r="Q93" s="87">
        <v>4</v>
      </c>
      <c r="R93" s="87">
        <v>5</v>
      </c>
      <c r="S93" s="87">
        <v>6</v>
      </c>
      <c r="T93" s="87">
        <v>7</v>
      </c>
      <c r="U93" s="87">
        <v>8</v>
      </c>
      <c r="V93" s="87">
        <v>9</v>
      </c>
      <c r="W93" s="88">
        <f t="shared" si="102"/>
        <v>4</v>
      </c>
      <c r="X93" s="88">
        <f t="shared" si="103"/>
        <v>4</v>
      </c>
      <c r="Y93" s="88">
        <f t="shared" si="104"/>
        <v>0</v>
      </c>
      <c r="Z93" s="89">
        <f t="shared" si="105"/>
        <v>8</v>
      </c>
      <c r="AA93" s="17" t="str">
        <f>_xlfn.TEXTJOIN(", ",TRUE,ABS(MID(C93,{1,1,2},1)-MID(C93,{2,3,3},1)))</f>
        <v>4, 4, 0</v>
      </c>
      <c r="AB93" s="90">
        <v>0</v>
      </c>
      <c r="AC93" s="90">
        <v>1</v>
      </c>
      <c r="AD93" s="90">
        <v>2</v>
      </c>
      <c r="AE93" s="90">
        <v>3</v>
      </c>
      <c r="AF93" s="90">
        <v>4</v>
      </c>
      <c r="AG93" s="90">
        <v>5</v>
      </c>
      <c r="AH93" s="90">
        <v>6</v>
      </c>
      <c r="AI93" s="90">
        <v>7</v>
      </c>
      <c r="AJ93" s="90">
        <v>8</v>
      </c>
      <c r="AK93" s="90">
        <v>9</v>
      </c>
      <c r="AL93" s="91">
        <v>0</v>
      </c>
      <c r="AM93" s="91">
        <v>1</v>
      </c>
      <c r="AN93" s="91">
        <v>2</v>
      </c>
      <c r="AO93" s="91">
        <v>3</v>
      </c>
      <c r="AP93" s="91">
        <v>4</v>
      </c>
      <c r="AQ93" s="91">
        <v>5</v>
      </c>
      <c r="AR93" s="91">
        <v>6</v>
      </c>
      <c r="AS93" s="91">
        <v>7</v>
      </c>
      <c r="AT93" s="91">
        <v>8</v>
      </c>
      <c r="AU93" s="91">
        <v>9</v>
      </c>
      <c r="AV93" s="92">
        <v>0</v>
      </c>
      <c r="AW93" s="92">
        <v>1</v>
      </c>
      <c r="AX93" s="92">
        <v>2</v>
      </c>
      <c r="AY93" s="92">
        <v>3</v>
      </c>
      <c r="AZ93" s="92">
        <v>4</v>
      </c>
      <c r="BA93" s="92">
        <v>5</v>
      </c>
      <c r="BB93" s="92">
        <v>6</v>
      </c>
      <c r="BC93" s="92">
        <v>7</v>
      </c>
      <c r="BD93" s="92">
        <v>8</v>
      </c>
      <c r="BE93" s="92">
        <v>9</v>
      </c>
      <c r="BF93" s="93">
        <v>0</v>
      </c>
      <c r="BG93" s="93">
        <v>1</v>
      </c>
      <c r="BH93" s="93">
        <v>2</v>
      </c>
      <c r="BI93" s="93">
        <v>3</v>
      </c>
      <c r="BJ93" s="93">
        <v>4</v>
      </c>
      <c r="BK93" s="93">
        <v>5</v>
      </c>
      <c r="BL93" s="93">
        <v>6</v>
      </c>
      <c r="BM93" s="93">
        <v>7</v>
      </c>
      <c r="BN93" s="93">
        <v>8</v>
      </c>
      <c r="BO93" s="93">
        <v>9</v>
      </c>
      <c r="BP93" s="94" t="str">
        <f t="shared" si="106"/>
        <v>紧凑型</v>
      </c>
      <c r="BQ93" s="15">
        <f t="shared" si="107"/>
        <v>0</v>
      </c>
      <c r="BR93" s="15">
        <f t="shared" si="108"/>
        <v>4</v>
      </c>
      <c r="BS93" s="20">
        <f t="shared" ref="BS93:BS113" si="109">IF(COUNTIF($W92:$Y92,W93)&gt;0,W93,"")</f>
        <v>4</v>
      </c>
      <c r="BT93" s="21"/>
      <c r="BU93" s="21" t="str">
        <f t="array" ref="BU93">_xlfn.TEXTJOIN("",TRUE,IF(ISERROR(FIND(ROW($1:$168)-1,BS93&amp;BT93)),ROW($1:$168)-1,""))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93" s="22" t="str">
        <f t="shared" ref="BV93:BV113" si="110">IF(BS93&lt;&gt;"","复","中")&amp;IF(BT93&lt;&gt;"","隔","中")&amp;"中"</f>
        <v>复中中</v>
      </c>
      <c r="BW93" s="23">
        <f t="shared" ref="BW93:BW113" si="111">IF(COUNTIF($W92:$Y92,X93)&gt;0,X93,"")</f>
        <v>4</v>
      </c>
      <c r="BX93" s="23"/>
      <c r="BY93" s="23" t="str">
        <f t="array" ref="BY93">_xlfn.TEXTJOIN("",TRUE,IF(ISERROR(FIND(ROW($1:$168)-1,BW93&amp;BX93)),ROW($1:$168)-1,""))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93" s="22" t="str">
        <f t="shared" ref="BZ93:BZ113" si="112">IF(BW93&lt;&gt;"","复","中")&amp;IF(BX93&lt;&gt;"","隔","中")&amp;"中"</f>
        <v>复中中</v>
      </c>
      <c r="CA93" s="24" t="str">
        <f t="shared" ref="CA93:CA113" si="113">IF(COUNTIF($W92:$Y92,Y93)&gt;0,Y93,"")</f>
        <v/>
      </c>
      <c r="CB93" s="24"/>
      <c r="CC93" s="24" t="str">
        <f t="array" ref="CC93">_xlfn.TEXTJOIN("",TRUE,IF(ISERROR(FIND(ROW($1:$168)-1,CA93&amp;CB93)),ROW($1:$168)-1,""))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93" s="22" t="str">
        <f t="shared" ref="CD93:CD113" si="114">IF(CA93&lt;&gt;"","复","中")&amp;IF(CB93&lt;&gt;"","隔","中")&amp;"中"</f>
        <v>中中中</v>
      </c>
      <c r="CE93" s="25" t="str">
        <f t="shared" ref="CE93:CE113" si="115">IF(W93=0,9,W93-1)&amp;""&amp;IF(W93=9,0,W93+1)</f>
        <v>35</v>
      </c>
      <c r="CF93" s="26"/>
      <c r="CG93" s="27" t="str">
        <f t="array" ref="CG93">_xlfn.TEXTJOIN("",TRUE,IF(ISERROR(FIND(ROW($1:$168)-1,CE93&amp;CF93)),ROW($1:$168)-1,""))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93" s="28" t="str">
        <f t="shared" ref="CH93:CH113" si="116">IF(CE93&lt;&gt;"","邻","孤")&amp;IF(CF93&lt;&gt;"","传","孤")&amp;"孤"</f>
        <v>邻孤孤</v>
      </c>
      <c r="CI93" s="29" t="str">
        <f t="shared" ref="CI93:CI113" si="117">IF(X93=0,9,X93-1)&amp;""&amp;IF(X93=9,0,X93+1)</f>
        <v>35</v>
      </c>
      <c r="CJ93" s="29"/>
      <c r="CK93" s="29" t="str">
        <f t="array" ref="CK93">_xlfn.TEXTJOIN("",TRUE,IF(ISERROR(FIND(ROW($1:$168)-1,CI93&amp;CJ93)),ROW($1:$168)-1,""))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93" s="19" t="str">
        <f t="shared" ref="CL93:CL113" si="118">IF(CI93&lt;&gt;"","邻","孤")&amp;IF(CJ93&lt;&gt;"","传","孤")&amp;"孤"</f>
        <v>邻孤孤</v>
      </c>
      <c r="CM93" s="24" t="str">
        <f t="shared" ref="CM93:CM113" si="119">IF(Y93=0,9,Y93-1)&amp;""&amp;IF(Y93=9,0,Y93+1)</f>
        <v>91</v>
      </c>
      <c r="CN93" s="24"/>
      <c r="CO93" s="24" t="str">
        <f t="array" ref="CO93">_xlfn.TEXTJOIN("",TRUE,IF(ISERROR(FIND(ROW($1:$168)-1,CM93&amp;CN93)),ROW($1:$168)-1,""))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93" s="30" t="str">
        <f t="shared" ref="CP93:CP113" si="120">IF(CM93&lt;&gt;"","邻","孤")&amp;IF(CN93&lt;&gt;"","传","孤")&amp;"孤"</f>
        <v>邻孤孤</v>
      </c>
    </row>
    <row r="94" customFormat="1" spans="1:94">
      <c r="A94" s="15">
        <v>94</v>
      </c>
      <c r="B94" s="80">
        <v>2024063</v>
      </c>
      <c r="C94" s="8" t="s">
        <v>117</v>
      </c>
      <c r="D94" s="81">
        <f t="shared" si="100"/>
        <v>16</v>
      </c>
      <c r="E94" s="82">
        <f t="shared" si="101"/>
        <v>6</v>
      </c>
      <c r="F94" s="83">
        <f t="shared" si="74"/>
        <v>2.66666666666667</v>
      </c>
      <c r="G94" s="84" t="str">
        <f t="shared" si="75"/>
        <v>标准</v>
      </c>
      <c r="H94" s="85" t="s">
        <v>10</v>
      </c>
      <c r="I94" s="85" t="s">
        <v>11</v>
      </c>
      <c r="J94" s="85" t="s">
        <v>12</v>
      </c>
      <c r="K94" s="85" t="s">
        <v>13</v>
      </c>
      <c r="L94" s="86">
        <f>MAX(MID(C94,{1,2,3},1)*1)-MIN(MID(C94,{1,2,3},1)*1)</f>
        <v>6</v>
      </c>
      <c r="M94" s="87">
        <v>0</v>
      </c>
      <c r="N94" s="87">
        <v>1</v>
      </c>
      <c r="O94" s="87">
        <v>2</v>
      </c>
      <c r="P94" s="87">
        <v>3</v>
      </c>
      <c r="Q94" s="87">
        <v>4</v>
      </c>
      <c r="R94" s="87">
        <v>5</v>
      </c>
      <c r="S94" s="87">
        <v>6</v>
      </c>
      <c r="T94" s="87">
        <v>7</v>
      </c>
      <c r="U94" s="87">
        <v>8</v>
      </c>
      <c r="V94" s="87">
        <v>9</v>
      </c>
      <c r="W94" s="88">
        <f t="shared" si="102"/>
        <v>1</v>
      </c>
      <c r="X94" s="88">
        <f t="shared" si="103"/>
        <v>6</v>
      </c>
      <c r="Y94" s="88">
        <f t="shared" si="104"/>
        <v>5</v>
      </c>
      <c r="Z94" s="89">
        <f t="shared" si="105"/>
        <v>12</v>
      </c>
      <c r="AA94" s="17" t="str">
        <f>_xlfn.TEXTJOIN(", ",TRUE,ABS(MID(C94,{1,1,2},1)-MID(C94,{2,3,3},1)))</f>
        <v>1, 6, 5</v>
      </c>
      <c r="AB94" s="90">
        <v>0</v>
      </c>
      <c r="AC94" s="90">
        <v>1</v>
      </c>
      <c r="AD94" s="90">
        <v>2</v>
      </c>
      <c r="AE94" s="90">
        <v>3</v>
      </c>
      <c r="AF94" s="90">
        <v>4</v>
      </c>
      <c r="AG94" s="90">
        <v>5</v>
      </c>
      <c r="AH94" s="90">
        <v>6</v>
      </c>
      <c r="AI94" s="90">
        <v>7</v>
      </c>
      <c r="AJ94" s="90">
        <v>8</v>
      </c>
      <c r="AK94" s="90">
        <v>9</v>
      </c>
      <c r="AL94" s="91">
        <v>0</v>
      </c>
      <c r="AM94" s="91">
        <v>1</v>
      </c>
      <c r="AN94" s="91">
        <v>2</v>
      </c>
      <c r="AO94" s="91">
        <v>3</v>
      </c>
      <c r="AP94" s="91">
        <v>4</v>
      </c>
      <c r="AQ94" s="91">
        <v>5</v>
      </c>
      <c r="AR94" s="91">
        <v>6</v>
      </c>
      <c r="AS94" s="91">
        <v>7</v>
      </c>
      <c r="AT94" s="91">
        <v>8</v>
      </c>
      <c r="AU94" s="91">
        <v>9</v>
      </c>
      <c r="AV94" s="92">
        <v>0</v>
      </c>
      <c r="AW94" s="92">
        <v>1</v>
      </c>
      <c r="AX94" s="92">
        <v>2</v>
      </c>
      <c r="AY94" s="92">
        <v>3</v>
      </c>
      <c r="AZ94" s="92">
        <v>4</v>
      </c>
      <c r="BA94" s="92">
        <v>5</v>
      </c>
      <c r="BB94" s="92">
        <v>6</v>
      </c>
      <c r="BC94" s="92">
        <v>7</v>
      </c>
      <c r="BD94" s="92">
        <v>8</v>
      </c>
      <c r="BE94" s="92">
        <v>9</v>
      </c>
      <c r="BF94" s="93">
        <v>0</v>
      </c>
      <c r="BG94" s="93">
        <v>1</v>
      </c>
      <c r="BH94" s="93">
        <v>2</v>
      </c>
      <c r="BI94" s="93">
        <v>3</v>
      </c>
      <c r="BJ94" s="93">
        <v>4</v>
      </c>
      <c r="BK94" s="93">
        <v>5</v>
      </c>
      <c r="BL94" s="93">
        <v>6</v>
      </c>
      <c r="BM94" s="93">
        <v>7</v>
      </c>
      <c r="BN94" s="93">
        <v>8</v>
      </c>
      <c r="BO94" s="93">
        <v>9</v>
      </c>
      <c r="BP94" s="94" t="str">
        <f t="shared" si="106"/>
        <v>松散型</v>
      </c>
      <c r="BQ94" s="15">
        <f t="shared" si="107"/>
        <v>1</v>
      </c>
      <c r="BR94" s="15">
        <f t="shared" si="108"/>
        <v>6</v>
      </c>
      <c r="BS94" s="20" t="str">
        <f t="shared" si="109"/>
        <v/>
      </c>
      <c r="BT94" s="21" t="str">
        <f t="shared" ref="BT94:BT113" si="121">IF(COUNTIF($W92:$Y92,W94)&gt;0,W94,"")</f>
        <v/>
      </c>
      <c r="BU94" s="21" t="str">
        <f t="array" ref="BU94">_xlfn.TEXTJOIN("",TRUE,IF(ISERROR(FIND(ROW($1:$168)-1,BS94&amp;BT94)),ROW($1:$168)-1,""))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94" s="22" t="str">
        <f t="shared" si="110"/>
        <v>中中中</v>
      </c>
      <c r="BW94" s="23" t="str">
        <f t="shared" si="111"/>
        <v/>
      </c>
      <c r="BX94" s="23">
        <f t="shared" ref="BX94:BX113" si="122">IF(COUNTIF($W92:$Y92,X94)&gt;0,X94,"")</f>
        <v>6</v>
      </c>
      <c r="BY94" s="23" t="str">
        <f t="array" ref="BY94">_xlfn.TEXTJOIN("",TRUE,IF(ISERROR(FIND(ROW($1:$168)-1,BW94&amp;BX94)),ROW($1:$168)-1,""))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94" s="22" t="str">
        <f t="shared" si="112"/>
        <v>中隔中</v>
      </c>
      <c r="CA94" s="24" t="str">
        <f t="shared" si="113"/>
        <v/>
      </c>
      <c r="CB94" s="24" t="str">
        <f t="shared" ref="CB94:CB113" si="123">IF(COUNTIF($W92:$Y92,Y94)&gt;0,Y94,"")</f>
        <v/>
      </c>
      <c r="CC94" s="24" t="str">
        <f t="array" ref="CC94">_xlfn.TEXTJOIN("",TRUE,IF(ISERROR(FIND(ROW($1:$168)-1,CA94&amp;CB94)),ROW($1:$168)-1,""))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94" s="22" t="str">
        <f t="shared" si="114"/>
        <v>中中中</v>
      </c>
      <c r="CE94" s="25" t="str">
        <f t="shared" si="115"/>
        <v>02</v>
      </c>
      <c r="CF94" s="95" t="str">
        <f t="array" ref="CF94">_xlfn.TEXTJOIN("",TRUE,IF(ISNUMBER(FIND(MID(CE93&amp;W93,ROW($1:$162),1),CE94&amp;W94)),MID(CE93&amp;W93,ROW($1:$162),1),""))</f>
        <v/>
      </c>
      <c r="CG94" s="27" t="str">
        <f t="array" ref="CG94">_xlfn.TEXTJOIN("",TRUE,IF(ISERROR(FIND(ROW($1:$168)-1,CE94&amp;CF94)),ROW($1:$168)-1,""))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94" s="28" t="str">
        <f t="shared" si="116"/>
        <v>邻孤孤</v>
      </c>
      <c r="CI94" s="29" t="str">
        <f t="shared" si="117"/>
        <v>57</v>
      </c>
      <c r="CJ94" s="29" t="str">
        <f t="array" ref="CJ94">_xlfn.TEXTJOIN("",TRUE,IF(ISNUMBER(FIND(MID(CI93&amp;X93,ROW($1:$162),1),CI94&amp;X94)),MID(CI93&amp;X93,ROW($1:$162),1),""))</f>
        <v>5</v>
      </c>
      <c r="CK94" s="29" t="str">
        <f t="array" ref="CK94">_xlfn.TEXTJOIN("",TRUE,IF(ISERROR(FIND(ROW($1:$168)-1,CI94&amp;CJ94)),ROW($1:$168)-1,""))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94" s="19" t="str">
        <f t="shared" si="118"/>
        <v>邻传孤</v>
      </c>
      <c r="CM94" s="24" t="str">
        <f t="shared" si="119"/>
        <v>46</v>
      </c>
      <c r="CN94" s="24" t="str">
        <f t="array" ref="CN94">_xlfn.TEXTJOIN("",TRUE,IF(ISNUMBER(FIND(MID(CM93&amp;Y93,ROW($1:$162),1),CM94&amp;Y94)),MID(CM93&amp;Y93,ROW($1:$162),1),""))</f>
        <v/>
      </c>
      <c r="CO94" s="24" t="str">
        <f t="array" ref="CO94">_xlfn.TEXTJOIN("",TRUE,IF(ISERROR(FIND(ROW($1:$168)-1,CM94&amp;CN94)),ROW($1:$168)-1,""))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94" s="30" t="str">
        <f t="shared" si="120"/>
        <v>邻孤孤</v>
      </c>
    </row>
    <row r="95" customFormat="1" spans="1:94">
      <c r="A95" s="15">
        <v>95</v>
      </c>
      <c r="B95" s="80">
        <v>2024064</v>
      </c>
      <c r="C95" s="8" t="s">
        <v>118</v>
      </c>
      <c r="D95" s="81">
        <f t="shared" si="100"/>
        <v>9</v>
      </c>
      <c r="E95" s="82">
        <f t="shared" si="101"/>
        <v>9</v>
      </c>
      <c r="F95" s="83">
        <f t="shared" si="74"/>
        <v>1</v>
      </c>
      <c r="G95" s="84" t="str">
        <f t="shared" si="75"/>
        <v>松散</v>
      </c>
      <c r="H95" s="85" t="s">
        <v>10</v>
      </c>
      <c r="I95" s="85" t="s">
        <v>11</v>
      </c>
      <c r="J95" s="85" t="s">
        <v>12</v>
      </c>
      <c r="K95" s="85" t="s">
        <v>13</v>
      </c>
      <c r="L95" s="86">
        <f>MAX(MID(C95,{1,2,3},1)*1)-MIN(MID(C95,{1,2,3},1)*1)</f>
        <v>9</v>
      </c>
      <c r="M95" s="87">
        <v>0</v>
      </c>
      <c r="N95" s="87">
        <v>1</v>
      </c>
      <c r="O95" s="87">
        <v>2</v>
      </c>
      <c r="P95" s="87">
        <v>3</v>
      </c>
      <c r="Q95" s="87">
        <v>4</v>
      </c>
      <c r="R95" s="87">
        <v>5</v>
      </c>
      <c r="S95" s="87">
        <v>6</v>
      </c>
      <c r="T95" s="87">
        <v>7</v>
      </c>
      <c r="U95" s="87">
        <v>8</v>
      </c>
      <c r="V95" s="87">
        <v>9</v>
      </c>
      <c r="W95" s="88">
        <f t="shared" si="102"/>
        <v>0</v>
      </c>
      <c r="X95" s="88">
        <f t="shared" si="103"/>
        <v>9</v>
      </c>
      <c r="Y95" s="88">
        <f t="shared" si="104"/>
        <v>9</v>
      </c>
      <c r="Z95" s="89">
        <f t="shared" si="105"/>
        <v>18</v>
      </c>
      <c r="AA95" s="17" t="str">
        <f>_xlfn.TEXTJOIN(", ",TRUE,ABS(MID(C95,{1,1,2},1)-MID(C95,{2,3,3},1)))</f>
        <v>0, 9, 9</v>
      </c>
      <c r="AB95" s="90">
        <v>0</v>
      </c>
      <c r="AC95" s="90">
        <v>1</v>
      </c>
      <c r="AD95" s="90">
        <v>2</v>
      </c>
      <c r="AE95" s="90">
        <v>3</v>
      </c>
      <c r="AF95" s="90">
        <v>4</v>
      </c>
      <c r="AG95" s="90">
        <v>5</v>
      </c>
      <c r="AH95" s="90">
        <v>6</v>
      </c>
      <c r="AI95" s="90">
        <v>7</v>
      </c>
      <c r="AJ95" s="90">
        <v>8</v>
      </c>
      <c r="AK95" s="90">
        <v>9</v>
      </c>
      <c r="AL95" s="91">
        <v>0</v>
      </c>
      <c r="AM95" s="91">
        <v>1</v>
      </c>
      <c r="AN95" s="91">
        <v>2</v>
      </c>
      <c r="AO95" s="91">
        <v>3</v>
      </c>
      <c r="AP95" s="91">
        <v>4</v>
      </c>
      <c r="AQ95" s="91">
        <v>5</v>
      </c>
      <c r="AR95" s="91">
        <v>6</v>
      </c>
      <c r="AS95" s="91">
        <v>7</v>
      </c>
      <c r="AT95" s="91">
        <v>8</v>
      </c>
      <c r="AU95" s="91">
        <v>9</v>
      </c>
      <c r="AV95" s="92">
        <v>0</v>
      </c>
      <c r="AW95" s="92">
        <v>1</v>
      </c>
      <c r="AX95" s="92">
        <v>2</v>
      </c>
      <c r="AY95" s="92">
        <v>3</v>
      </c>
      <c r="AZ95" s="92">
        <v>4</v>
      </c>
      <c r="BA95" s="92">
        <v>5</v>
      </c>
      <c r="BB95" s="92">
        <v>6</v>
      </c>
      <c r="BC95" s="92">
        <v>7</v>
      </c>
      <c r="BD95" s="92">
        <v>8</v>
      </c>
      <c r="BE95" s="92">
        <v>9</v>
      </c>
      <c r="BF95" s="93">
        <v>0</v>
      </c>
      <c r="BG95" s="93">
        <v>1</v>
      </c>
      <c r="BH95" s="93">
        <v>2</v>
      </c>
      <c r="BI95" s="93">
        <v>3</v>
      </c>
      <c r="BJ95" s="93">
        <v>4</v>
      </c>
      <c r="BK95" s="93">
        <v>5</v>
      </c>
      <c r="BL95" s="93">
        <v>6</v>
      </c>
      <c r="BM95" s="93">
        <v>7</v>
      </c>
      <c r="BN95" s="93">
        <v>8</v>
      </c>
      <c r="BO95" s="93">
        <v>9</v>
      </c>
      <c r="BP95" s="94" t="str">
        <f t="shared" si="106"/>
        <v>松散型</v>
      </c>
      <c r="BQ95" s="15">
        <f t="shared" si="107"/>
        <v>0</v>
      </c>
      <c r="BR95" s="15">
        <f t="shared" si="108"/>
        <v>9</v>
      </c>
      <c r="BS95" s="20" t="str">
        <f t="shared" si="109"/>
        <v/>
      </c>
      <c r="BT95" s="21">
        <f t="shared" si="121"/>
        <v>0</v>
      </c>
      <c r="BU95" s="21" t="str">
        <f t="array" ref="BU95">_xlfn.TEXTJOIN("",TRUE,IF(ISERROR(FIND(ROW($1:$168)-1,BS95&amp;BT95)),ROW($1:$168)-1,""))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95" s="22" t="str">
        <f t="shared" si="110"/>
        <v>中隔中</v>
      </c>
      <c r="BW95" s="23"/>
      <c r="BX95" s="23" t="str">
        <f t="shared" si="122"/>
        <v/>
      </c>
      <c r="BY95" s="23" t="str">
        <f t="array" ref="BY95">_xlfn.TEXTJOIN("",TRUE,IF(ISERROR(FIND(ROW($1:$168)-1,BW95&amp;BX95)),ROW($1:$168)-1,""))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95" s="22" t="str">
        <f t="shared" si="112"/>
        <v>中中中</v>
      </c>
      <c r="CA95" s="24" t="str">
        <f t="shared" si="113"/>
        <v/>
      </c>
      <c r="CB95" s="24" t="str">
        <f t="shared" si="123"/>
        <v/>
      </c>
      <c r="CC95" s="24" t="str">
        <f t="array" ref="CC95">_xlfn.TEXTJOIN("",TRUE,IF(ISERROR(FIND(ROW($1:$168)-1,CA95&amp;CB95)),ROW($1:$168)-1,""))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95" s="22" t="str">
        <f t="shared" si="114"/>
        <v>中中中</v>
      </c>
      <c r="CE95" s="25" t="str">
        <f t="shared" si="115"/>
        <v>91</v>
      </c>
      <c r="CF95" s="26" t="str">
        <f t="array" ref="CF95">_xlfn.TEXTJOIN("",TRUE,IF(ISNUMBER(FIND(MID(CE94&amp;W94,ROW($1:$162),1),CE95&amp;W95)),MID(CE94&amp;W94,ROW($1:$162),1),""))</f>
        <v>01</v>
      </c>
      <c r="CG95" s="27" t="str">
        <f t="array" ref="CG95">_xlfn.TEXTJOIN("",TRUE,IF(ISERROR(FIND(ROW($1:$168)-1,CE95&amp;CF95)),ROW($1:$168)-1,""))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H95" s="28" t="str">
        <f t="shared" si="116"/>
        <v>邻传孤</v>
      </c>
      <c r="CI95" s="29" t="str">
        <f t="shared" si="117"/>
        <v>80</v>
      </c>
      <c r="CJ95" s="29" t="str">
        <f t="array" ref="CJ95">_xlfn.TEXTJOIN("",TRUE,IF(ISNUMBER(FIND(MID(CI94&amp;X94,ROW($1:$162),1),CI95&amp;X95)),MID(CI94&amp;X94,ROW($1:$162),1),""))</f>
        <v/>
      </c>
      <c r="CK95" s="29" t="str">
        <f t="array" ref="CK95">_xlfn.TEXTJOIN("",TRUE,IF(ISERROR(FIND(ROW($1:$168)-1,CI95&amp;CJ95)),ROW($1:$168)-1,""))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95" s="19" t="str">
        <f t="shared" si="118"/>
        <v>邻孤孤</v>
      </c>
      <c r="CM95" s="24" t="str">
        <f t="shared" si="119"/>
        <v>80</v>
      </c>
      <c r="CN95" s="24" t="str">
        <f t="array" ref="CN95">_xlfn.TEXTJOIN("",TRUE,IF(ISNUMBER(FIND(MID(CM94&amp;Y94,ROW($1:$162),1),CM95&amp;Y95)),MID(CM94&amp;Y94,ROW($1:$162),1),""))</f>
        <v/>
      </c>
      <c r="CO95" s="24" t="str">
        <f t="array" ref="CO95">_xlfn.TEXTJOIN("",TRUE,IF(ISERROR(FIND(ROW($1:$168)-1,CM95&amp;CN95)),ROW($1:$168)-1,""))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95" s="30" t="str">
        <f t="shared" si="120"/>
        <v>邻孤孤</v>
      </c>
    </row>
    <row r="96" customFormat="1" spans="1:94">
      <c r="A96" s="15">
        <v>96</v>
      </c>
      <c r="B96" s="80">
        <v>2024065</v>
      </c>
      <c r="C96" s="8" t="s">
        <v>113</v>
      </c>
      <c r="D96" s="81">
        <f t="shared" si="100"/>
        <v>19</v>
      </c>
      <c r="E96" s="82">
        <f t="shared" si="101"/>
        <v>9</v>
      </c>
      <c r="F96" s="83">
        <f t="shared" si="74"/>
        <v>3.8</v>
      </c>
      <c r="G96" s="84" t="str">
        <f t="shared" si="75"/>
        <v>紧凑</v>
      </c>
      <c r="H96" s="85" t="s">
        <v>10</v>
      </c>
      <c r="I96" s="85" t="s">
        <v>11</v>
      </c>
      <c r="J96" s="85" t="s">
        <v>12</v>
      </c>
      <c r="K96" s="85" t="s">
        <v>13</v>
      </c>
      <c r="L96" s="86">
        <f>MAX(MID(C96,{1,2,3},1)*1)-MIN(MID(C96,{1,2,3},1)*1)</f>
        <v>5</v>
      </c>
      <c r="M96" s="87">
        <v>0</v>
      </c>
      <c r="N96" s="87">
        <v>1</v>
      </c>
      <c r="O96" s="87">
        <v>2</v>
      </c>
      <c r="P96" s="87">
        <v>3</v>
      </c>
      <c r="Q96" s="87">
        <v>4</v>
      </c>
      <c r="R96" s="87">
        <v>5</v>
      </c>
      <c r="S96" s="87">
        <v>6</v>
      </c>
      <c r="T96" s="87">
        <v>7</v>
      </c>
      <c r="U96" s="87">
        <v>8</v>
      </c>
      <c r="V96" s="87">
        <v>9</v>
      </c>
      <c r="W96" s="88">
        <f t="shared" si="102"/>
        <v>2</v>
      </c>
      <c r="X96" s="88">
        <f t="shared" si="103"/>
        <v>5</v>
      </c>
      <c r="Y96" s="88">
        <f t="shared" si="104"/>
        <v>3</v>
      </c>
      <c r="Z96" s="89">
        <f t="shared" si="105"/>
        <v>10</v>
      </c>
      <c r="AA96" s="17" t="str">
        <f>_xlfn.TEXTJOIN(", ",TRUE,ABS(MID(C96,{1,1,2},1)-MID(C96,{2,3,3},1)))</f>
        <v>2, 5, 3</v>
      </c>
      <c r="AB96" s="90">
        <v>0</v>
      </c>
      <c r="AC96" s="90">
        <v>1</v>
      </c>
      <c r="AD96" s="90">
        <v>2</v>
      </c>
      <c r="AE96" s="90">
        <v>3</v>
      </c>
      <c r="AF96" s="90">
        <v>4</v>
      </c>
      <c r="AG96" s="90">
        <v>5</v>
      </c>
      <c r="AH96" s="90">
        <v>6</v>
      </c>
      <c r="AI96" s="90">
        <v>7</v>
      </c>
      <c r="AJ96" s="90">
        <v>8</v>
      </c>
      <c r="AK96" s="90">
        <v>9</v>
      </c>
      <c r="AL96" s="91">
        <v>0</v>
      </c>
      <c r="AM96" s="91">
        <v>1</v>
      </c>
      <c r="AN96" s="91"/>
      <c r="AO96" s="91">
        <v>3</v>
      </c>
      <c r="AP96" s="91">
        <v>4</v>
      </c>
      <c r="AQ96" s="91">
        <v>5</v>
      </c>
      <c r="AR96" s="91">
        <v>6</v>
      </c>
      <c r="AS96" s="91">
        <v>7</v>
      </c>
      <c r="AT96" s="91">
        <v>8</v>
      </c>
      <c r="AU96" s="91">
        <v>9</v>
      </c>
      <c r="AV96" s="92">
        <v>0</v>
      </c>
      <c r="AW96" s="92">
        <v>1</v>
      </c>
      <c r="AX96" s="92">
        <v>2</v>
      </c>
      <c r="AY96" s="92">
        <v>3</v>
      </c>
      <c r="AZ96" s="92">
        <v>4</v>
      </c>
      <c r="BA96" s="92">
        <v>5</v>
      </c>
      <c r="BB96" s="92">
        <v>6</v>
      </c>
      <c r="BC96" s="92">
        <v>7</v>
      </c>
      <c r="BD96" s="92">
        <v>8</v>
      </c>
      <c r="BE96" s="92">
        <v>9</v>
      </c>
      <c r="BF96" s="93">
        <v>0</v>
      </c>
      <c r="BG96" s="93">
        <v>1</v>
      </c>
      <c r="BH96" s="93">
        <v>2</v>
      </c>
      <c r="BI96" s="93">
        <v>3</v>
      </c>
      <c r="BJ96" s="93">
        <v>4</v>
      </c>
      <c r="BK96" s="93">
        <v>5</v>
      </c>
      <c r="BL96" s="93">
        <v>6</v>
      </c>
      <c r="BM96" s="93">
        <v>7</v>
      </c>
      <c r="BN96" s="93">
        <v>8</v>
      </c>
      <c r="BO96" s="93">
        <v>9</v>
      </c>
      <c r="BP96" s="94" t="str">
        <f t="shared" si="106"/>
        <v>标准型</v>
      </c>
      <c r="BQ96" s="15">
        <f t="shared" si="107"/>
        <v>2</v>
      </c>
      <c r="BR96" s="15">
        <f t="shared" si="108"/>
        <v>5</v>
      </c>
      <c r="BS96" s="20" t="str">
        <f t="shared" si="109"/>
        <v/>
      </c>
      <c r="BT96" s="21" t="str">
        <f t="shared" si="121"/>
        <v/>
      </c>
      <c r="BU96" s="21" t="str">
        <f t="array" ref="BU96">_xlfn.TEXTJOIN("",TRUE,IF(ISERROR(FIND(ROW($1:$168)-1,BS96&amp;BT96)),ROW($1:$168)-1,""))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96" s="22" t="str">
        <f t="shared" si="110"/>
        <v>中中中</v>
      </c>
      <c r="BW96" s="23" t="str">
        <f t="shared" si="111"/>
        <v/>
      </c>
      <c r="BX96" s="23">
        <f t="shared" si="122"/>
        <v>5</v>
      </c>
      <c r="BY96" s="23" t="str">
        <f t="array" ref="BY96">_xlfn.TEXTJOIN("",TRUE,IF(ISERROR(FIND(ROW($1:$168)-1,BW96&amp;BX96)),ROW($1:$168)-1,""))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96" s="22" t="str">
        <f t="shared" si="112"/>
        <v>中隔中</v>
      </c>
      <c r="CA96" s="24" t="str">
        <f t="shared" si="113"/>
        <v/>
      </c>
      <c r="CB96" s="24" t="str">
        <f t="shared" si="123"/>
        <v/>
      </c>
      <c r="CC96" s="24" t="str">
        <f t="array" ref="CC96">_xlfn.TEXTJOIN("",TRUE,IF(ISERROR(FIND(ROW($1:$168)-1,CA96&amp;CB96)),ROW($1:$168)-1,""))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96" s="22" t="str">
        <f t="shared" si="114"/>
        <v>中中中</v>
      </c>
      <c r="CE96" s="25" t="str">
        <f t="shared" si="115"/>
        <v>13</v>
      </c>
      <c r="CF96" s="26" t="str">
        <f t="array" ref="CF96">_xlfn.TEXTJOIN("",TRUE,IF(ISNUMBER(FIND(MID(CE95&amp;W95,ROW($1:$162),1),CE96&amp;W96)),MID(CE95&amp;W95,ROW($1:$162),1),""))</f>
        <v>1</v>
      </c>
      <c r="CG96" s="27" t="str">
        <f t="array" ref="CG96">_xlfn.TEXTJOIN("",TRUE,IF(ISERROR(FIND(ROW($1:$168)-1,CE96&amp;CF96)),ROW($1:$168)-1,""))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H96" s="28" t="str">
        <f t="shared" si="116"/>
        <v>邻传孤</v>
      </c>
      <c r="CI96" s="29" t="str">
        <f t="shared" si="117"/>
        <v>46</v>
      </c>
      <c r="CJ96" s="29" t="str">
        <f t="array" ref="CJ96">_xlfn.TEXTJOIN("",TRUE,IF(ISNUMBER(FIND(MID(CI95&amp;X95,ROW($1:$162),1),CI96&amp;X96)),MID(CI95&amp;X95,ROW($1:$162),1),""))</f>
        <v/>
      </c>
      <c r="CK96" s="29" t="str">
        <f t="array" ref="CK96">_xlfn.TEXTJOIN("",TRUE,IF(ISERROR(FIND(ROW($1:$168)-1,CI96&amp;CJ96)),ROW($1:$168)-1,""))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96" s="19" t="str">
        <f t="shared" si="118"/>
        <v>邻孤孤</v>
      </c>
      <c r="CM96" s="24" t="str">
        <f t="shared" si="119"/>
        <v>24</v>
      </c>
      <c r="CN96" s="24" t="str">
        <f t="array" ref="CN96">_xlfn.TEXTJOIN("",TRUE,IF(ISNUMBER(FIND(MID(CM95&amp;Y95,ROW($1:$162),1),CM96&amp;Y96)),MID(CM95&amp;Y95,ROW($1:$162),1),""))</f>
        <v/>
      </c>
      <c r="CO96" s="24" t="str">
        <f t="array" ref="CO96">_xlfn.TEXTJOIN("",TRUE,IF(ISERROR(FIND(ROW($1:$168)-1,CM96&amp;CN96)),ROW($1:$168)-1,""))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96" s="30" t="str">
        <f t="shared" si="120"/>
        <v>邻孤孤</v>
      </c>
    </row>
    <row r="97" customFormat="1" spans="1:94">
      <c r="A97" s="15">
        <v>97</v>
      </c>
      <c r="B97" s="80">
        <v>2024066</v>
      </c>
      <c r="C97" s="8" t="s">
        <v>119</v>
      </c>
      <c r="D97" s="81">
        <f t="shared" si="100"/>
        <v>18</v>
      </c>
      <c r="E97" s="82">
        <f t="shared" si="101"/>
        <v>8</v>
      </c>
      <c r="F97" s="83">
        <f t="shared" si="74"/>
        <v>2.25</v>
      </c>
      <c r="G97" s="84" t="str">
        <f t="shared" si="75"/>
        <v>标准</v>
      </c>
      <c r="H97" s="85" t="s">
        <v>10</v>
      </c>
      <c r="I97" s="85" t="s">
        <v>11</v>
      </c>
      <c r="J97" s="85" t="s">
        <v>12</v>
      </c>
      <c r="K97" s="85" t="s">
        <v>13</v>
      </c>
      <c r="L97" s="86">
        <f>MAX(MID(C97,{1,2,3},1)*1)-MIN(MID(C97,{1,2,3},1)*1)</f>
        <v>8</v>
      </c>
      <c r="M97" s="87">
        <v>0</v>
      </c>
      <c r="N97" s="87">
        <v>1</v>
      </c>
      <c r="O97" s="87">
        <v>2</v>
      </c>
      <c r="P97" s="87">
        <v>3</v>
      </c>
      <c r="Q97" s="87">
        <v>4</v>
      </c>
      <c r="R97" s="87">
        <v>5</v>
      </c>
      <c r="S97" s="87">
        <v>6</v>
      </c>
      <c r="T97" s="87">
        <v>7</v>
      </c>
      <c r="U97" s="87">
        <v>8</v>
      </c>
      <c r="V97" s="87">
        <v>9</v>
      </c>
      <c r="W97" s="88">
        <f t="shared" si="102"/>
        <v>8</v>
      </c>
      <c r="X97" s="88">
        <f t="shared" si="103"/>
        <v>7</v>
      </c>
      <c r="Y97" s="88">
        <f t="shared" si="104"/>
        <v>1</v>
      </c>
      <c r="Z97" s="89">
        <f t="shared" si="105"/>
        <v>16</v>
      </c>
      <c r="AA97" s="17" t="str">
        <f>_xlfn.TEXTJOIN(", ",TRUE,ABS(MID(C97,{1,1,2},1)-MID(C97,{2,3,3},1)))</f>
        <v>8, 7, 1</v>
      </c>
      <c r="AB97" s="90">
        <v>0</v>
      </c>
      <c r="AC97" s="90">
        <v>1</v>
      </c>
      <c r="AD97" s="90">
        <v>2</v>
      </c>
      <c r="AE97" s="90">
        <v>3</v>
      </c>
      <c r="AF97" s="90">
        <v>4</v>
      </c>
      <c r="AG97" s="90">
        <v>5</v>
      </c>
      <c r="AH97" s="90">
        <v>6</v>
      </c>
      <c r="AI97" s="90">
        <v>7</v>
      </c>
      <c r="AJ97" s="90">
        <v>8</v>
      </c>
      <c r="AK97" s="90">
        <v>9</v>
      </c>
      <c r="AL97" s="91">
        <v>0</v>
      </c>
      <c r="AM97" s="91">
        <v>1</v>
      </c>
      <c r="AN97" s="91">
        <v>2</v>
      </c>
      <c r="AO97" s="91">
        <v>3</v>
      </c>
      <c r="AP97" s="91">
        <v>4</v>
      </c>
      <c r="AQ97" s="91">
        <v>5</v>
      </c>
      <c r="AR97" s="91">
        <v>6</v>
      </c>
      <c r="AS97" s="91">
        <v>7</v>
      </c>
      <c r="AT97" s="91">
        <v>8</v>
      </c>
      <c r="AU97" s="91">
        <v>9</v>
      </c>
      <c r="AV97" s="92">
        <v>0</v>
      </c>
      <c r="AW97" s="92">
        <v>1</v>
      </c>
      <c r="AX97" s="92">
        <v>2</v>
      </c>
      <c r="AY97" s="92">
        <v>3</v>
      </c>
      <c r="AZ97" s="92">
        <v>4</v>
      </c>
      <c r="BA97" s="92">
        <v>5</v>
      </c>
      <c r="BB97" s="92">
        <v>6</v>
      </c>
      <c r="BC97" s="92">
        <v>7</v>
      </c>
      <c r="BD97" s="92">
        <v>8</v>
      </c>
      <c r="BE97" s="92">
        <v>9</v>
      </c>
      <c r="BF97" s="93">
        <v>0</v>
      </c>
      <c r="BG97" s="93">
        <v>1</v>
      </c>
      <c r="BH97" s="93">
        <v>2</v>
      </c>
      <c r="BI97" s="93">
        <v>3</v>
      </c>
      <c r="BJ97" s="93">
        <v>4</v>
      </c>
      <c r="BK97" s="93">
        <v>5</v>
      </c>
      <c r="BL97" s="93">
        <v>6</v>
      </c>
      <c r="BM97" s="93">
        <v>7</v>
      </c>
      <c r="BN97" s="93">
        <v>8</v>
      </c>
      <c r="BO97" s="93">
        <v>9</v>
      </c>
      <c r="BP97" s="94" t="str">
        <f t="shared" si="106"/>
        <v>松散型</v>
      </c>
      <c r="BQ97" s="15">
        <f t="shared" si="107"/>
        <v>1</v>
      </c>
      <c r="BR97" s="15">
        <f t="shared" si="108"/>
        <v>8</v>
      </c>
      <c r="BS97" s="20" t="str">
        <f t="shared" si="109"/>
        <v/>
      </c>
      <c r="BT97" s="21" t="str">
        <f t="shared" si="121"/>
        <v/>
      </c>
      <c r="BU97" s="21" t="str">
        <f t="array" ref="BU97">_xlfn.TEXTJOIN("",TRUE,IF(ISERROR(FIND(ROW($1:$168)-1,BS97&amp;BT97)),ROW($1:$168)-1,""))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97" s="22" t="str">
        <f t="shared" si="110"/>
        <v>中中中</v>
      </c>
      <c r="BW97" s="23" t="str">
        <f t="shared" si="111"/>
        <v/>
      </c>
      <c r="BX97" s="23" t="str">
        <f t="shared" si="122"/>
        <v/>
      </c>
      <c r="BY97" s="23" t="str">
        <f t="array" ref="BY97">_xlfn.TEXTJOIN("",TRUE,IF(ISERROR(FIND(ROW($1:$168)-1,BW97&amp;BX97)),ROW($1:$168)-1,""))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97" s="22" t="str">
        <f t="shared" si="112"/>
        <v>中中中</v>
      </c>
      <c r="CA97" s="24" t="str">
        <f t="shared" si="113"/>
        <v/>
      </c>
      <c r="CB97" s="24" t="str">
        <f t="shared" si="123"/>
        <v/>
      </c>
      <c r="CC97" s="24" t="str">
        <f t="array" ref="CC97">_xlfn.TEXTJOIN("",TRUE,IF(ISERROR(FIND(ROW($1:$168)-1,CA97&amp;CB97)),ROW($1:$168)-1,""))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97" s="22" t="str">
        <f t="shared" si="114"/>
        <v>中中中</v>
      </c>
      <c r="CE97" s="25" t="str">
        <f t="shared" si="115"/>
        <v>79</v>
      </c>
      <c r="CF97" s="26" t="str">
        <f t="array" ref="CF97">_xlfn.TEXTJOIN("",TRUE,IF(ISNUMBER(FIND(MID(CE96&amp;W96,ROW($1:$162),1),CE97&amp;W97)),MID(CE96&amp;W96,ROW($1:$162),1),""))</f>
        <v/>
      </c>
      <c r="CG97" s="27" t="str">
        <f t="array" ref="CG97">_xlfn.TEXTJOIN("",TRUE,IF(ISERROR(FIND(ROW($1:$168)-1,CE97&amp;CF97)),ROW($1:$168)-1,""))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97" s="28" t="str">
        <f t="shared" si="116"/>
        <v>邻孤孤</v>
      </c>
      <c r="CI97" s="29" t="str">
        <f t="shared" si="117"/>
        <v>68</v>
      </c>
      <c r="CJ97" s="29" t="str">
        <f t="array" ref="CJ97">_xlfn.TEXTJOIN("",TRUE,IF(ISNUMBER(FIND(MID(CI96&amp;X96,ROW($1:$162),1),CI97&amp;X97)),MID(CI96&amp;X96,ROW($1:$162),1),""))</f>
        <v>6</v>
      </c>
      <c r="CK97" s="29" t="str">
        <f t="array" ref="CK97">_xlfn.TEXTJOIN("",TRUE,IF(ISERROR(FIND(ROW($1:$168)-1,CI97&amp;CJ97)),ROW($1:$168)-1,""))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L97" s="19" t="str">
        <f t="shared" si="118"/>
        <v>邻传孤</v>
      </c>
      <c r="CM97" s="24" t="str">
        <f t="shared" si="119"/>
        <v>02</v>
      </c>
      <c r="CN97" s="24" t="str">
        <f t="array" ref="CN97">_xlfn.TEXTJOIN("",TRUE,IF(ISNUMBER(FIND(MID(CM96&amp;Y96,ROW($1:$162),1),CM97&amp;Y97)),MID(CM96&amp;Y96,ROW($1:$162),1),""))</f>
        <v>2</v>
      </c>
      <c r="CO97" s="24" t="str">
        <f t="array" ref="CO97">_xlfn.TEXTJOIN("",TRUE,IF(ISERROR(FIND(ROW($1:$168)-1,CM97&amp;CN97)),ROW($1:$168)-1,""))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97" s="30" t="str">
        <f t="shared" si="120"/>
        <v>邻传孤</v>
      </c>
    </row>
    <row r="98" customFormat="1" spans="1:94">
      <c r="A98" s="15">
        <v>98</v>
      </c>
      <c r="B98" s="80">
        <v>2024067</v>
      </c>
      <c r="C98" s="8" t="s">
        <v>120</v>
      </c>
      <c r="D98" s="81">
        <f t="shared" si="100"/>
        <v>16</v>
      </c>
      <c r="E98" s="82">
        <f t="shared" si="101"/>
        <v>6</v>
      </c>
      <c r="F98" s="83">
        <f t="shared" si="74"/>
        <v>1.77777777777778</v>
      </c>
      <c r="G98" s="84" t="str">
        <f t="shared" si="75"/>
        <v>松散</v>
      </c>
      <c r="H98" s="85" t="s">
        <v>10</v>
      </c>
      <c r="I98" s="85" t="s">
        <v>11</v>
      </c>
      <c r="J98" s="85" t="s">
        <v>12</v>
      </c>
      <c r="K98" s="85" t="s">
        <v>13</v>
      </c>
      <c r="L98" s="86">
        <f>MAX(MID(C98,{1,2,3},1)*1)-MIN(MID(C98,{1,2,3},1)*1)</f>
        <v>9</v>
      </c>
      <c r="M98" s="87">
        <v>0</v>
      </c>
      <c r="N98" s="87">
        <v>1</v>
      </c>
      <c r="O98" s="87">
        <v>2</v>
      </c>
      <c r="P98" s="87">
        <v>3</v>
      </c>
      <c r="Q98" s="87">
        <v>4</v>
      </c>
      <c r="R98" s="87">
        <v>5</v>
      </c>
      <c r="S98" s="87">
        <v>6</v>
      </c>
      <c r="T98" s="87">
        <v>7</v>
      </c>
      <c r="U98" s="87">
        <v>8</v>
      </c>
      <c r="V98" s="87">
        <v>9</v>
      </c>
      <c r="W98" s="88">
        <f t="shared" si="102"/>
        <v>7</v>
      </c>
      <c r="X98" s="88">
        <f t="shared" si="103"/>
        <v>2</v>
      </c>
      <c r="Y98" s="88">
        <f t="shared" si="104"/>
        <v>9</v>
      </c>
      <c r="Z98" s="89">
        <f t="shared" si="105"/>
        <v>18</v>
      </c>
      <c r="AA98" s="17" t="str">
        <f>_xlfn.TEXTJOIN(", ",TRUE,ABS(MID(C98,{1,1,2},1)-MID(C98,{2,3,3},1)))</f>
        <v>7, 2, 9</v>
      </c>
      <c r="AB98" s="90">
        <v>0</v>
      </c>
      <c r="AC98" s="90">
        <v>1</v>
      </c>
      <c r="AD98" s="90">
        <v>2</v>
      </c>
      <c r="AE98" s="90">
        <v>3</v>
      </c>
      <c r="AF98" s="90">
        <v>4</v>
      </c>
      <c r="AG98" s="90">
        <v>5</v>
      </c>
      <c r="AH98" s="90">
        <v>6</v>
      </c>
      <c r="AI98" s="90">
        <v>7</v>
      </c>
      <c r="AJ98" s="90">
        <v>8</v>
      </c>
      <c r="AK98" s="90">
        <v>9</v>
      </c>
      <c r="AL98" s="91">
        <v>0</v>
      </c>
      <c r="AM98" s="91">
        <v>1</v>
      </c>
      <c r="AN98" s="91">
        <v>2</v>
      </c>
      <c r="AO98" s="91">
        <v>3</v>
      </c>
      <c r="AP98" s="91">
        <v>4</v>
      </c>
      <c r="AQ98" s="91">
        <v>5</v>
      </c>
      <c r="AR98" s="91">
        <v>6</v>
      </c>
      <c r="AS98" s="91">
        <v>7</v>
      </c>
      <c r="AT98" s="91">
        <v>8</v>
      </c>
      <c r="AU98" s="91">
        <v>9</v>
      </c>
      <c r="AV98" s="92">
        <v>0</v>
      </c>
      <c r="AW98" s="92">
        <v>1</v>
      </c>
      <c r="AX98" s="92">
        <v>2</v>
      </c>
      <c r="AY98" s="92">
        <v>3</v>
      </c>
      <c r="AZ98" s="92">
        <v>4</v>
      </c>
      <c r="BA98" s="92">
        <v>5</v>
      </c>
      <c r="BB98" s="92">
        <v>6</v>
      </c>
      <c r="BC98" s="92">
        <v>7</v>
      </c>
      <c r="BD98" s="92">
        <v>8</v>
      </c>
      <c r="BE98" s="92">
        <v>9</v>
      </c>
      <c r="BF98" s="93">
        <v>0</v>
      </c>
      <c r="BG98" s="93">
        <v>1</v>
      </c>
      <c r="BH98" s="93">
        <v>2</v>
      </c>
      <c r="BI98" s="93">
        <v>3</v>
      </c>
      <c r="BJ98" s="93">
        <v>4</v>
      </c>
      <c r="BK98" s="93">
        <v>5</v>
      </c>
      <c r="BL98" s="93">
        <v>6</v>
      </c>
      <c r="BM98" s="93">
        <v>7</v>
      </c>
      <c r="BN98" s="93">
        <v>8</v>
      </c>
      <c r="BO98" s="93">
        <v>9</v>
      </c>
      <c r="BP98" s="94" t="str">
        <f t="shared" si="106"/>
        <v>松散型</v>
      </c>
      <c r="BQ98" s="15">
        <f t="shared" si="107"/>
        <v>2</v>
      </c>
      <c r="BR98" s="15">
        <f t="shared" si="108"/>
        <v>9</v>
      </c>
      <c r="BS98" s="20">
        <f t="shared" si="109"/>
        <v>7</v>
      </c>
      <c r="BT98" s="21" t="str">
        <f t="shared" si="121"/>
        <v/>
      </c>
      <c r="BU98" s="21" t="str">
        <f t="array" ref="BU98">_xlfn.TEXTJOIN("",TRUE,IF(ISERROR(FIND(ROW($1:$168)-1,BS98&amp;BT98)),ROW($1:$168)-1,""))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98" s="22" t="str">
        <f t="shared" si="110"/>
        <v>复中中</v>
      </c>
      <c r="BW98" s="23" t="str">
        <f t="shared" si="111"/>
        <v/>
      </c>
      <c r="BX98" s="23">
        <f t="shared" si="122"/>
        <v>2</v>
      </c>
      <c r="BY98" s="23" t="str">
        <f t="array" ref="BY98">_xlfn.TEXTJOIN("",TRUE,IF(ISERROR(FIND(ROW($1:$168)-1,BW98&amp;BX98)),ROW($1:$168)-1,""))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98" s="22" t="str">
        <f t="shared" si="112"/>
        <v>中隔中</v>
      </c>
      <c r="CA98" s="24" t="str">
        <f t="shared" si="113"/>
        <v/>
      </c>
      <c r="CB98" s="24" t="str">
        <f t="shared" si="123"/>
        <v/>
      </c>
      <c r="CC98" s="24" t="str">
        <f t="array" ref="CC98">_xlfn.TEXTJOIN("",TRUE,IF(ISERROR(FIND(ROW($1:$168)-1,CA98&amp;CB98)),ROW($1:$168)-1,""))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98" s="22" t="str">
        <f t="shared" si="114"/>
        <v>中中中</v>
      </c>
      <c r="CE98" s="25" t="str">
        <f t="shared" si="115"/>
        <v>68</v>
      </c>
      <c r="CF98" s="26" t="str">
        <f t="array" ref="CF98">_xlfn.TEXTJOIN("",TRUE,IF(ISNUMBER(FIND(MID(CE97&amp;W97,ROW($1:$162),1),CE98&amp;W98)),MID(CE97&amp;W97,ROW($1:$162),1),""))</f>
        <v>78</v>
      </c>
      <c r="CG98" s="27" t="str">
        <f t="array" ref="CG98">_xlfn.TEXTJOIN("",TRUE,IF(ISERROR(FIND(ROW($1:$168)-1,CE98&amp;CF98)),ROW($1:$168)-1,""))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H98" s="28" t="str">
        <f t="shared" si="116"/>
        <v>邻传孤</v>
      </c>
      <c r="CI98" s="29" t="str">
        <f t="shared" si="117"/>
        <v>13</v>
      </c>
      <c r="CJ98" s="29" t="str">
        <f t="array" ref="CJ98">_xlfn.TEXTJOIN("",TRUE,IF(ISNUMBER(FIND(MID(CI97&amp;X97,ROW($1:$162),1),CI98&amp;X98)),MID(CI97&amp;X97,ROW($1:$162),1),""))</f>
        <v/>
      </c>
      <c r="CK98" s="29" t="str">
        <f t="array" ref="CK98">_xlfn.TEXTJOIN("",TRUE,IF(ISERROR(FIND(ROW($1:$168)-1,CI98&amp;CJ98)),ROW($1:$168)-1,""))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98" s="19" t="str">
        <f t="shared" si="118"/>
        <v>邻孤孤</v>
      </c>
      <c r="CM98" s="24" t="str">
        <f t="shared" si="119"/>
        <v>80</v>
      </c>
      <c r="CN98" s="24" t="str">
        <f t="array" ref="CN98">_xlfn.TEXTJOIN("",TRUE,IF(ISNUMBER(FIND(MID(CM97&amp;Y97,ROW($1:$162),1),CM98&amp;Y98)),MID(CM97&amp;Y97,ROW($1:$162),1),""))</f>
        <v>0</v>
      </c>
      <c r="CO98" s="24" t="str">
        <f t="array" ref="CO98">_xlfn.TEXTJOIN("",TRUE,IF(ISERROR(FIND(ROW($1:$168)-1,CM98&amp;CN98)),ROW($1:$168)-1,""))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98" s="30" t="str">
        <f t="shared" si="120"/>
        <v>邻传孤</v>
      </c>
    </row>
    <row r="99" customFormat="1" spans="1:94">
      <c r="A99" s="15">
        <v>99</v>
      </c>
      <c r="B99" s="80">
        <v>2024068</v>
      </c>
      <c r="C99" s="8" t="s">
        <v>121</v>
      </c>
      <c r="D99" s="81">
        <f t="shared" si="100"/>
        <v>12</v>
      </c>
      <c r="E99" s="82">
        <f t="shared" si="101"/>
        <v>2</v>
      </c>
      <c r="F99" s="83">
        <f t="shared" si="74"/>
        <v>3</v>
      </c>
      <c r="G99" s="84" t="str">
        <f t="shared" si="75"/>
        <v>标准</v>
      </c>
      <c r="H99" s="85" t="s">
        <v>10</v>
      </c>
      <c r="I99" s="85" t="s">
        <v>11</v>
      </c>
      <c r="J99" s="85" t="s">
        <v>12</v>
      </c>
      <c r="K99" s="85" t="s">
        <v>13</v>
      </c>
      <c r="L99" s="86">
        <f>MAX(MID(C99,{1,2,3},1)*1)-MIN(MID(C99,{1,2,3},1)*1)</f>
        <v>4</v>
      </c>
      <c r="M99" s="87">
        <v>0</v>
      </c>
      <c r="N99" s="87">
        <v>1</v>
      </c>
      <c r="O99" s="87">
        <v>2</v>
      </c>
      <c r="P99" s="87">
        <v>3</v>
      </c>
      <c r="Q99" s="87">
        <v>4</v>
      </c>
      <c r="R99" s="87">
        <v>5</v>
      </c>
      <c r="S99" s="87">
        <v>6</v>
      </c>
      <c r="T99" s="87">
        <v>7</v>
      </c>
      <c r="U99" s="87">
        <v>8</v>
      </c>
      <c r="V99" s="87">
        <v>9</v>
      </c>
      <c r="W99" s="88">
        <f t="shared" si="102"/>
        <v>2</v>
      </c>
      <c r="X99" s="88">
        <f t="shared" si="103"/>
        <v>4</v>
      </c>
      <c r="Y99" s="88">
        <f t="shared" si="104"/>
        <v>2</v>
      </c>
      <c r="Z99" s="89">
        <f t="shared" si="105"/>
        <v>8</v>
      </c>
      <c r="AA99" s="17" t="str">
        <f>_xlfn.TEXTJOIN(", ",TRUE,ABS(MID(C99,{1,1,2},1)-MID(C99,{2,3,3},1)))</f>
        <v>2, 4, 2</v>
      </c>
      <c r="AB99" s="90">
        <v>0</v>
      </c>
      <c r="AC99" s="90">
        <v>1</v>
      </c>
      <c r="AD99" s="90">
        <v>2</v>
      </c>
      <c r="AE99" s="90">
        <v>3</v>
      </c>
      <c r="AF99" s="90">
        <v>4</v>
      </c>
      <c r="AG99" s="90">
        <v>5</v>
      </c>
      <c r="AH99" s="90">
        <v>6</v>
      </c>
      <c r="AI99" s="90">
        <v>7</v>
      </c>
      <c r="AJ99" s="90">
        <v>8</v>
      </c>
      <c r="AK99" s="90">
        <v>9</v>
      </c>
      <c r="AL99" s="91">
        <v>0</v>
      </c>
      <c r="AM99" s="91">
        <v>1</v>
      </c>
      <c r="AN99" s="91">
        <v>2</v>
      </c>
      <c r="AO99" s="91">
        <v>3</v>
      </c>
      <c r="AP99" s="91">
        <v>4</v>
      </c>
      <c r="AQ99" s="91">
        <v>5</v>
      </c>
      <c r="AR99" s="91">
        <v>6</v>
      </c>
      <c r="AS99" s="91">
        <v>7</v>
      </c>
      <c r="AT99" s="91">
        <v>8</v>
      </c>
      <c r="AU99" s="91">
        <v>9</v>
      </c>
      <c r="AV99" s="92">
        <v>0</v>
      </c>
      <c r="AW99" s="92">
        <v>1</v>
      </c>
      <c r="AX99" s="92">
        <v>2</v>
      </c>
      <c r="AY99" s="92">
        <v>3</v>
      </c>
      <c r="AZ99" s="92">
        <v>4</v>
      </c>
      <c r="BA99" s="92">
        <v>5</v>
      </c>
      <c r="BB99" s="92">
        <v>6</v>
      </c>
      <c r="BC99" s="92">
        <v>7</v>
      </c>
      <c r="BD99" s="92">
        <v>8</v>
      </c>
      <c r="BE99" s="92">
        <v>9</v>
      </c>
      <c r="BF99" s="93">
        <v>0</v>
      </c>
      <c r="BG99" s="93">
        <v>1</v>
      </c>
      <c r="BH99" s="93">
        <v>2</v>
      </c>
      <c r="BI99" s="93">
        <v>3</v>
      </c>
      <c r="BJ99" s="93">
        <v>4</v>
      </c>
      <c r="BK99" s="93">
        <v>5</v>
      </c>
      <c r="BL99" s="93">
        <v>6</v>
      </c>
      <c r="BM99" s="93">
        <v>7</v>
      </c>
      <c r="BN99" s="93">
        <v>8</v>
      </c>
      <c r="BO99" s="93">
        <v>9</v>
      </c>
      <c r="BP99" s="94" t="str">
        <f t="shared" si="106"/>
        <v>标准型</v>
      </c>
      <c r="BQ99" s="15">
        <f t="shared" si="107"/>
        <v>2</v>
      </c>
      <c r="BR99" s="15">
        <f t="shared" si="108"/>
        <v>4</v>
      </c>
      <c r="BS99" s="20">
        <f t="shared" si="109"/>
        <v>2</v>
      </c>
      <c r="BT99" s="21" t="str">
        <f t="shared" si="121"/>
        <v/>
      </c>
      <c r="BU99" s="21" t="str">
        <f t="array" ref="BU99">_xlfn.TEXTJOIN("",TRUE,IF(ISERROR(FIND(ROW($1:$168)-1,BS99&amp;BT99)),ROW($1:$168)-1,""))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99" s="22" t="str">
        <f t="shared" si="110"/>
        <v>复中中</v>
      </c>
      <c r="BW99" s="23" t="str">
        <f t="shared" si="111"/>
        <v/>
      </c>
      <c r="BX99" s="23" t="str">
        <f t="shared" si="122"/>
        <v/>
      </c>
      <c r="BY99" s="23" t="str">
        <f t="array" ref="BY99">_xlfn.TEXTJOIN("",TRUE,IF(ISERROR(FIND(ROW($1:$168)-1,BW99&amp;BX99)),ROW($1:$168)-1,""))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99" s="22" t="str">
        <f t="shared" si="112"/>
        <v>中中中</v>
      </c>
      <c r="CA99" s="24">
        <f t="shared" si="113"/>
        <v>2</v>
      </c>
      <c r="CB99" s="24" t="str">
        <f t="shared" si="123"/>
        <v/>
      </c>
      <c r="CC99" s="24" t="str">
        <f t="array" ref="CC99">_xlfn.TEXTJOIN("",TRUE,IF(ISERROR(FIND(ROW($1:$168)-1,CA99&amp;CB99)),ROW($1:$168)-1,""))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99" s="22" t="str">
        <f t="shared" si="114"/>
        <v>复中中</v>
      </c>
      <c r="CE99" s="25" t="str">
        <f t="shared" si="115"/>
        <v>13</v>
      </c>
      <c r="CF99" s="26" t="str">
        <f t="array" ref="CF99">_xlfn.TEXTJOIN("",TRUE,IF(ISNUMBER(FIND(MID(CE98&amp;W98,ROW($1:$162),1),CE99&amp;W99)),MID(CE98&amp;W98,ROW($1:$162),1),""))</f>
        <v/>
      </c>
      <c r="CG99" s="27" t="str">
        <f t="array" ref="CG99">_xlfn.TEXTJOIN("",TRUE,IF(ISERROR(FIND(ROW($1:$168)-1,CE99&amp;CF99)),ROW($1:$168)-1,""))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99" s="28" t="str">
        <f t="shared" si="116"/>
        <v>邻孤孤</v>
      </c>
      <c r="CI99" s="29" t="str">
        <f t="shared" si="117"/>
        <v>35</v>
      </c>
      <c r="CJ99" s="29" t="str">
        <f t="array" ref="CJ99">_xlfn.TEXTJOIN("",TRUE,IF(ISNUMBER(FIND(MID(CI98&amp;X98,ROW($1:$162),1),CI99&amp;X99)),MID(CI98&amp;X98,ROW($1:$162),1),""))</f>
        <v>3</v>
      </c>
      <c r="CK99" s="29" t="str">
        <f t="array" ref="CK99">_xlfn.TEXTJOIN("",TRUE,IF(ISERROR(FIND(ROW($1:$168)-1,CI99&amp;CJ99)),ROW($1:$168)-1,""))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99" s="19" t="str">
        <f t="shared" si="118"/>
        <v>邻传孤</v>
      </c>
      <c r="CM99" s="24" t="str">
        <f t="shared" si="119"/>
        <v>13</v>
      </c>
      <c r="CN99" s="24" t="str">
        <f t="array" ref="CN99">_xlfn.TEXTJOIN("",TRUE,IF(ISNUMBER(FIND(MID(CM98&amp;Y98,ROW($1:$162),1),CM99&amp;Y99)),MID(CM98&amp;Y98,ROW($1:$162),1),""))</f>
        <v/>
      </c>
      <c r="CO99" s="24" t="str">
        <f t="array" ref="CO99">_xlfn.TEXTJOIN("",TRUE,IF(ISERROR(FIND(ROW($1:$168)-1,CM99&amp;CN99)),ROW($1:$168)-1,""))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99" s="30" t="str">
        <f t="shared" si="120"/>
        <v>邻孤孤</v>
      </c>
    </row>
    <row r="100" customFormat="1" spans="1:94">
      <c r="A100" s="15">
        <v>100</v>
      </c>
      <c r="B100" s="80">
        <v>2024069</v>
      </c>
      <c r="C100" s="8" t="s">
        <v>122</v>
      </c>
      <c r="D100" s="81">
        <f t="shared" si="100"/>
        <v>10</v>
      </c>
      <c r="E100" s="82">
        <f t="shared" si="101"/>
        <v>0</v>
      </c>
      <c r="F100" s="83">
        <f t="shared" si="74"/>
        <v>2.5</v>
      </c>
      <c r="G100" s="84" t="str">
        <f t="shared" si="75"/>
        <v>标准</v>
      </c>
      <c r="H100" s="85" t="s">
        <v>10</v>
      </c>
      <c r="I100" s="85" t="s">
        <v>11</v>
      </c>
      <c r="J100" s="85" t="s">
        <v>12</v>
      </c>
      <c r="K100" s="85" t="s">
        <v>13</v>
      </c>
      <c r="L100" s="86">
        <f>MAX(MID(C100,{1,2,3},1)*1)-MIN(MID(C100,{1,2,3},1)*1)</f>
        <v>4</v>
      </c>
      <c r="M100" s="87">
        <v>0</v>
      </c>
      <c r="N100" s="87">
        <v>1</v>
      </c>
      <c r="O100" s="87">
        <v>2</v>
      </c>
      <c r="P100" s="87">
        <v>3</v>
      </c>
      <c r="Q100" s="87">
        <v>4</v>
      </c>
      <c r="R100" s="87">
        <v>5</v>
      </c>
      <c r="S100" s="87">
        <v>6</v>
      </c>
      <c r="T100" s="87">
        <v>7</v>
      </c>
      <c r="U100" s="87">
        <v>8</v>
      </c>
      <c r="V100" s="87">
        <v>9</v>
      </c>
      <c r="W100" s="88">
        <f t="shared" si="102"/>
        <v>1</v>
      </c>
      <c r="X100" s="88">
        <f t="shared" si="103"/>
        <v>3</v>
      </c>
      <c r="Y100" s="88">
        <f t="shared" si="104"/>
        <v>4</v>
      </c>
      <c r="Z100" s="89">
        <f t="shared" si="105"/>
        <v>8</v>
      </c>
      <c r="AA100" s="17" t="str">
        <f>_xlfn.TEXTJOIN(", ",TRUE,ABS(MID(C100,{1,1,2},1)-MID(C100,{2,3,3},1)))</f>
        <v>1, 3, 4</v>
      </c>
      <c r="AB100" s="90">
        <v>0</v>
      </c>
      <c r="AC100" s="90">
        <v>1</v>
      </c>
      <c r="AD100" s="90">
        <v>2</v>
      </c>
      <c r="AE100" s="90">
        <v>3</v>
      </c>
      <c r="AF100" s="90">
        <v>4</v>
      </c>
      <c r="AG100" s="90">
        <v>5</v>
      </c>
      <c r="AH100" s="90">
        <v>6</v>
      </c>
      <c r="AI100" s="90">
        <v>7</v>
      </c>
      <c r="AJ100" s="90">
        <v>8</v>
      </c>
      <c r="AK100" s="90">
        <v>9</v>
      </c>
      <c r="AL100" s="91">
        <v>0</v>
      </c>
      <c r="AM100" s="91">
        <v>1</v>
      </c>
      <c r="AN100" s="91">
        <v>2</v>
      </c>
      <c r="AO100" s="91">
        <v>3</v>
      </c>
      <c r="AP100" s="91">
        <v>4</v>
      </c>
      <c r="AQ100" s="91">
        <v>5</v>
      </c>
      <c r="AR100" s="91">
        <v>6</v>
      </c>
      <c r="AS100" s="91">
        <v>7</v>
      </c>
      <c r="AT100" s="91">
        <v>8</v>
      </c>
      <c r="AU100" s="91">
        <v>9</v>
      </c>
      <c r="AV100" s="92">
        <v>0</v>
      </c>
      <c r="AW100" s="92">
        <v>1</v>
      </c>
      <c r="AX100" s="92">
        <v>2</v>
      </c>
      <c r="AY100" s="92">
        <v>3</v>
      </c>
      <c r="AZ100" s="92">
        <v>4</v>
      </c>
      <c r="BA100" s="92">
        <v>5</v>
      </c>
      <c r="BB100" s="92">
        <v>6</v>
      </c>
      <c r="BC100" s="92">
        <v>7</v>
      </c>
      <c r="BD100" s="92">
        <v>8</v>
      </c>
      <c r="BE100" s="92">
        <v>9</v>
      </c>
      <c r="BF100" s="93">
        <v>0</v>
      </c>
      <c r="BG100" s="93">
        <v>1</v>
      </c>
      <c r="BH100" s="93">
        <v>2</v>
      </c>
      <c r="BI100" s="93">
        <v>3</v>
      </c>
      <c r="BJ100" s="93">
        <v>4</v>
      </c>
      <c r="BK100" s="93">
        <v>5</v>
      </c>
      <c r="BL100" s="93">
        <v>6</v>
      </c>
      <c r="BM100" s="93">
        <v>7</v>
      </c>
      <c r="BN100" s="93">
        <v>8</v>
      </c>
      <c r="BO100" s="93">
        <v>9</v>
      </c>
      <c r="BP100" s="94" t="str">
        <f t="shared" si="106"/>
        <v>紧凑型</v>
      </c>
      <c r="BQ100" s="15">
        <f t="shared" si="107"/>
        <v>1</v>
      </c>
      <c r="BR100" s="15">
        <f t="shared" si="108"/>
        <v>4</v>
      </c>
      <c r="BS100" s="20" t="str">
        <f t="shared" si="109"/>
        <v/>
      </c>
      <c r="BT100" s="21" t="str">
        <f t="shared" si="121"/>
        <v/>
      </c>
      <c r="BU100" s="21" t="str">
        <f t="array" ref="BU100">_xlfn.TEXTJOIN("",TRUE,IF(ISERROR(FIND(ROW($1:$168)-1,BS100&amp;BT100)),ROW($1:$168)-1,""))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00" s="22" t="str">
        <f t="shared" si="110"/>
        <v>中中中</v>
      </c>
      <c r="BW100" s="23" t="str">
        <f t="shared" si="111"/>
        <v/>
      </c>
      <c r="BX100" s="23" t="str">
        <f t="shared" si="122"/>
        <v/>
      </c>
      <c r="BY100" s="23" t="str">
        <f t="array" ref="BY100">_xlfn.TEXTJOIN("",TRUE,IF(ISERROR(FIND(ROW($1:$168)-1,BW100&amp;BX100)),ROW($1:$168)-1,""))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00" s="22" t="str">
        <f t="shared" si="112"/>
        <v>中中中</v>
      </c>
      <c r="CA100" s="24">
        <f t="shared" si="113"/>
        <v>4</v>
      </c>
      <c r="CB100" s="24" t="str">
        <f t="shared" si="123"/>
        <v/>
      </c>
      <c r="CC100" s="24" t="str">
        <f t="array" ref="CC100">_xlfn.TEXTJOIN("",TRUE,IF(ISERROR(FIND(ROW($1:$168)-1,CA100&amp;CB100)),ROW($1:$168)-1,""))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00" s="22" t="str">
        <f t="shared" si="114"/>
        <v>复中中</v>
      </c>
      <c r="CE100" s="25" t="str">
        <f t="shared" si="115"/>
        <v>02</v>
      </c>
      <c r="CF100" s="26" t="str">
        <f t="array" ref="CF100">_xlfn.TEXTJOIN("",TRUE,IF(ISNUMBER(FIND(MID(CE99&amp;W99,ROW($1:$162),1),CE100&amp;W100)),MID(CE99&amp;W99,ROW($1:$162),1),""))</f>
        <v>12</v>
      </c>
      <c r="CG100" s="27" t="str">
        <f t="array" ref="CG100">_xlfn.TEXTJOIN("",TRUE,IF(ISERROR(FIND(ROW($1:$168)-1,CE100&amp;CF100)),ROW($1:$168)-1,""))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00" s="28" t="str">
        <f t="shared" si="116"/>
        <v>邻传孤</v>
      </c>
      <c r="CI100" s="29" t="str">
        <f t="shared" si="117"/>
        <v>24</v>
      </c>
      <c r="CJ100" s="29" t="str">
        <f t="array" ref="CJ100">_xlfn.TEXTJOIN("",TRUE,IF(ISNUMBER(FIND(MID(CI99&amp;X99,ROW($1:$162),1),CI100&amp;X100)),MID(CI99&amp;X99,ROW($1:$162),1),""))</f>
        <v>34</v>
      </c>
      <c r="CK100" s="29" t="str">
        <f t="array" ref="CK100">_xlfn.TEXTJOIN("",TRUE,IF(ISERROR(FIND(ROW($1:$168)-1,CI100&amp;CJ100)),ROW($1:$168)-1,""))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00" s="19" t="str">
        <f t="shared" si="118"/>
        <v>邻传孤</v>
      </c>
      <c r="CM100" s="24" t="str">
        <f t="shared" si="119"/>
        <v>35</v>
      </c>
      <c r="CN100" s="24" t="str">
        <f t="array" ref="CN100">_xlfn.TEXTJOIN("",TRUE,IF(ISNUMBER(FIND(MID(CM99&amp;Y99,ROW($1:$162),1),CM100&amp;Y100)),MID(CM99&amp;Y99,ROW($1:$162),1),""))</f>
        <v>3</v>
      </c>
      <c r="CO100" s="24" t="str">
        <f t="array" ref="CO100">_xlfn.TEXTJOIN("",TRUE,IF(ISERROR(FIND(ROW($1:$168)-1,CM100&amp;CN100)),ROW($1:$168)-1,""))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00" s="30" t="str">
        <f t="shared" si="120"/>
        <v>邻传孤</v>
      </c>
    </row>
    <row r="101" customFormat="1" spans="1:94">
      <c r="A101" s="15">
        <v>101</v>
      </c>
      <c r="B101" s="80">
        <v>2024070</v>
      </c>
      <c r="C101" s="8" t="s">
        <v>123</v>
      </c>
      <c r="D101" s="81">
        <f t="shared" si="100"/>
        <v>14</v>
      </c>
      <c r="E101" s="82">
        <f t="shared" si="101"/>
        <v>4</v>
      </c>
      <c r="F101" s="83">
        <f t="shared" si="74"/>
        <v>2.33333333333333</v>
      </c>
      <c r="G101" s="84" t="str">
        <f t="shared" si="75"/>
        <v>标准</v>
      </c>
      <c r="H101" s="85" t="s">
        <v>10</v>
      </c>
      <c r="I101" s="85" t="s">
        <v>11</v>
      </c>
      <c r="J101" s="85" t="s">
        <v>12</v>
      </c>
      <c r="K101" s="85" t="s">
        <v>13</v>
      </c>
      <c r="L101" s="86">
        <f>MAX(MID(C101,{1,2,3},1)*1)-MIN(MID(C101,{1,2,3},1)*1)</f>
        <v>6</v>
      </c>
      <c r="M101" s="87">
        <v>0</v>
      </c>
      <c r="N101" s="87">
        <v>1</v>
      </c>
      <c r="O101" s="87">
        <v>2</v>
      </c>
      <c r="P101" s="87">
        <v>3</v>
      </c>
      <c r="Q101" s="87">
        <v>4</v>
      </c>
      <c r="R101" s="87">
        <v>5</v>
      </c>
      <c r="S101" s="87">
        <v>6</v>
      </c>
      <c r="T101" s="87">
        <v>7</v>
      </c>
      <c r="U101" s="87">
        <v>8</v>
      </c>
      <c r="V101" s="87">
        <v>9</v>
      </c>
      <c r="W101" s="88">
        <f t="shared" si="102"/>
        <v>5</v>
      </c>
      <c r="X101" s="88">
        <f t="shared" si="103"/>
        <v>1</v>
      </c>
      <c r="Y101" s="88">
        <f t="shared" si="104"/>
        <v>6</v>
      </c>
      <c r="Z101" s="89">
        <f t="shared" si="105"/>
        <v>12</v>
      </c>
      <c r="AA101" s="17" t="str">
        <f>_xlfn.TEXTJOIN(", ",TRUE,ABS(MID(C101,{1,1,2},1)-MID(C101,{2,3,3},1)))</f>
        <v>5, 1, 6</v>
      </c>
      <c r="AB101" s="90">
        <v>0</v>
      </c>
      <c r="AC101" s="90">
        <v>1</v>
      </c>
      <c r="AD101" s="90">
        <v>2</v>
      </c>
      <c r="AE101" s="90">
        <v>3</v>
      </c>
      <c r="AF101" s="90">
        <v>4</v>
      </c>
      <c r="AG101" s="90">
        <v>5</v>
      </c>
      <c r="AH101" s="90">
        <v>6</v>
      </c>
      <c r="AI101" s="90">
        <v>7</v>
      </c>
      <c r="AJ101" s="90">
        <v>8</v>
      </c>
      <c r="AK101" s="90">
        <v>9</v>
      </c>
      <c r="AL101" s="91">
        <v>0</v>
      </c>
      <c r="AM101" s="91">
        <v>1</v>
      </c>
      <c r="AN101" s="91">
        <v>2</v>
      </c>
      <c r="AO101" s="91">
        <v>3</v>
      </c>
      <c r="AP101" s="91">
        <v>4</v>
      </c>
      <c r="AQ101" s="91">
        <v>5</v>
      </c>
      <c r="AR101" s="91">
        <v>6</v>
      </c>
      <c r="AS101" s="91">
        <v>7</v>
      </c>
      <c r="AT101" s="91">
        <v>8</v>
      </c>
      <c r="AU101" s="91">
        <v>9</v>
      </c>
      <c r="AV101" s="92">
        <v>0</v>
      </c>
      <c r="AW101" s="92">
        <v>1</v>
      </c>
      <c r="AX101" s="92">
        <v>2</v>
      </c>
      <c r="AY101" s="92">
        <v>3</v>
      </c>
      <c r="AZ101" s="92">
        <v>4</v>
      </c>
      <c r="BA101" s="92">
        <v>5</v>
      </c>
      <c r="BB101" s="92">
        <v>6</v>
      </c>
      <c r="BC101" s="92">
        <v>7</v>
      </c>
      <c r="BD101" s="92">
        <v>8</v>
      </c>
      <c r="BE101" s="92">
        <v>9</v>
      </c>
      <c r="BF101" s="93">
        <v>0</v>
      </c>
      <c r="BG101" s="93">
        <v>1</v>
      </c>
      <c r="BH101" s="93">
        <v>2</v>
      </c>
      <c r="BI101" s="93">
        <v>3</v>
      </c>
      <c r="BJ101" s="93">
        <v>4</v>
      </c>
      <c r="BK101" s="93">
        <v>5</v>
      </c>
      <c r="BL101" s="93">
        <v>6</v>
      </c>
      <c r="BM101" s="93">
        <v>7</v>
      </c>
      <c r="BN101" s="93">
        <v>8</v>
      </c>
      <c r="BO101" s="93">
        <v>9</v>
      </c>
      <c r="BP101" s="94" t="str">
        <f t="shared" si="106"/>
        <v>松散型</v>
      </c>
      <c r="BQ101" s="15">
        <f t="shared" si="107"/>
        <v>1</v>
      </c>
      <c r="BR101" s="15">
        <f t="shared" si="108"/>
        <v>6</v>
      </c>
      <c r="BS101" s="20" t="str">
        <f t="shared" si="109"/>
        <v/>
      </c>
      <c r="BT101" s="21" t="str">
        <f t="shared" si="121"/>
        <v/>
      </c>
      <c r="BU101" s="21" t="str">
        <f t="array" ref="BU101">_xlfn.TEXTJOIN("",TRUE,IF(ISERROR(FIND(ROW($1:$168)-1,BS101&amp;BT101)),ROW($1:$168)-1,""))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01" s="22" t="str">
        <f t="shared" si="110"/>
        <v>中中中</v>
      </c>
      <c r="BW101" s="23">
        <f t="shared" si="111"/>
        <v>1</v>
      </c>
      <c r="BX101" s="23" t="str">
        <f t="shared" si="122"/>
        <v/>
      </c>
      <c r="BY101" s="23" t="str">
        <f t="array" ref="BY101">_xlfn.TEXTJOIN("",TRUE,IF(ISERROR(FIND(ROW($1:$168)-1,BW101&amp;BX101)),ROW($1:$168)-1,""))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01" s="22" t="str">
        <f t="shared" si="112"/>
        <v>复中中</v>
      </c>
      <c r="CA101" s="24" t="str">
        <f t="shared" si="113"/>
        <v/>
      </c>
      <c r="CB101" s="24" t="str">
        <f t="shared" si="123"/>
        <v/>
      </c>
      <c r="CC101" s="24" t="str">
        <f t="array" ref="CC101">_xlfn.TEXTJOIN("",TRUE,IF(ISERROR(FIND(ROW($1:$168)-1,CA101&amp;CB101)),ROW($1:$168)-1,""))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01" s="22" t="str">
        <f t="shared" si="114"/>
        <v>中中中</v>
      </c>
      <c r="CE101" s="25" t="str">
        <f t="shared" si="115"/>
        <v>46</v>
      </c>
      <c r="CF101" s="26" t="str">
        <f t="array" ref="CF101">_xlfn.TEXTJOIN("",TRUE,IF(ISNUMBER(FIND(MID(CE100&amp;W100,ROW($1:$162),1),CE101&amp;W101)),MID(CE100&amp;W100,ROW($1:$162),1),""))</f>
        <v/>
      </c>
      <c r="CG101" s="27" t="str">
        <f t="array" ref="CG101">_xlfn.TEXTJOIN("",TRUE,IF(ISERROR(FIND(ROW($1:$168)-1,CE101&amp;CF101)),ROW($1:$168)-1,""))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01" s="28" t="str">
        <f t="shared" si="116"/>
        <v>邻孤孤</v>
      </c>
      <c r="CI101" s="29" t="str">
        <f t="shared" si="117"/>
        <v>02</v>
      </c>
      <c r="CJ101" s="29" t="str">
        <f t="array" ref="CJ101">_xlfn.TEXTJOIN("",TRUE,IF(ISNUMBER(FIND(MID(CI100&amp;X100,ROW($1:$162),1),CI101&amp;X101)),MID(CI100&amp;X100,ROW($1:$162),1),""))</f>
        <v>2</v>
      </c>
      <c r="CK101" s="29" t="str">
        <f t="array" ref="CK101">_xlfn.TEXTJOIN("",TRUE,IF(ISERROR(FIND(ROW($1:$168)-1,CI101&amp;CJ101)),ROW($1:$168)-1,""))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01" s="19" t="str">
        <f t="shared" si="118"/>
        <v>邻传孤</v>
      </c>
      <c r="CM101" s="24" t="str">
        <f t="shared" si="119"/>
        <v>57</v>
      </c>
      <c r="CN101" s="24" t="str">
        <f t="array" ref="CN101">_xlfn.TEXTJOIN("",TRUE,IF(ISNUMBER(FIND(MID(CM100&amp;Y100,ROW($1:$162),1),CM101&amp;Y101)),MID(CM100&amp;Y100,ROW($1:$162),1),""))</f>
        <v>5</v>
      </c>
      <c r="CO101" s="24" t="str">
        <f t="array" ref="CO101">_xlfn.TEXTJOIN("",TRUE,IF(ISERROR(FIND(ROW($1:$168)-1,CM101&amp;CN101)),ROW($1:$168)-1,""))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01" s="30" t="str">
        <f t="shared" si="120"/>
        <v>邻传孤</v>
      </c>
    </row>
    <row r="102" customFormat="1" spans="1:94">
      <c r="A102" s="15">
        <v>102</v>
      </c>
      <c r="B102" s="80">
        <v>2024071</v>
      </c>
      <c r="C102" s="8" t="s">
        <v>124</v>
      </c>
      <c r="D102" s="81">
        <f t="shared" si="100"/>
        <v>6</v>
      </c>
      <c r="E102" s="82">
        <f t="shared" si="101"/>
        <v>6</v>
      </c>
      <c r="F102" s="83">
        <f t="shared" si="74"/>
        <v>3</v>
      </c>
      <c r="G102" s="84" t="str">
        <f t="shared" si="75"/>
        <v>标准</v>
      </c>
      <c r="H102" s="85" t="s">
        <v>10</v>
      </c>
      <c r="I102" s="85" t="s">
        <v>11</v>
      </c>
      <c r="J102" s="85" t="s">
        <v>12</v>
      </c>
      <c r="K102" s="85" t="s">
        <v>13</v>
      </c>
      <c r="L102" s="86">
        <f>MAX(MID(C102,{1,2,3},1)*1)-MIN(MID(C102,{1,2,3},1)*1)</f>
        <v>2</v>
      </c>
      <c r="M102" s="87">
        <v>0</v>
      </c>
      <c r="N102" s="87">
        <v>1</v>
      </c>
      <c r="O102" s="87">
        <v>2</v>
      </c>
      <c r="P102" s="87">
        <v>3</v>
      </c>
      <c r="Q102" s="87">
        <v>4</v>
      </c>
      <c r="R102" s="87">
        <v>5</v>
      </c>
      <c r="S102" s="87">
        <v>6</v>
      </c>
      <c r="T102" s="87">
        <v>7</v>
      </c>
      <c r="U102" s="87">
        <v>8</v>
      </c>
      <c r="V102" s="87">
        <v>9</v>
      </c>
      <c r="W102" s="88">
        <f t="shared" si="102"/>
        <v>1</v>
      </c>
      <c r="X102" s="88">
        <f t="shared" si="103"/>
        <v>1</v>
      </c>
      <c r="Y102" s="88">
        <f t="shared" si="104"/>
        <v>2</v>
      </c>
      <c r="Z102" s="89">
        <f t="shared" si="105"/>
        <v>4</v>
      </c>
      <c r="AA102" s="17" t="str">
        <f>_xlfn.TEXTJOIN(", ",TRUE,ABS(MID(C102,{1,1,2},1)-MID(C102,{2,3,3},1)))</f>
        <v>1, 1, 2</v>
      </c>
      <c r="AB102" s="90">
        <v>0</v>
      </c>
      <c r="AC102" s="90">
        <v>1</v>
      </c>
      <c r="AD102" s="90">
        <v>2</v>
      </c>
      <c r="AE102" s="90">
        <v>3</v>
      </c>
      <c r="AF102" s="90">
        <v>4</v>
      </c>
      <c r="AG102" s="90">
        <v>5</v>
      </c>
      <c r="AH102" s="90">
        <v>6</v>
      </c>
      <c r="AI102" s="90">
        <v>7</v>
      </c>
      <c r="AJ102" s="90">
        <v>8</v>
      </c>
      <c r="AK102" s="90">
        <v>9</v>
      </c>
      <c r="AL102" s="91">
        <v>0</v>
      </c>
      <c r="AM102" s="91">
        <v>1</v>
      </c>
      <c r="AN102" s="91">
        <v>2</v>
      </c>
      <c r="AO102" s="91">
        <v>3</v>
      </c>
      <c r="AP102" s="91">
        <v>4</v>
      </c>
      <c r="AQ102" s="91">
        <v>5</v>
      </c>
      <c r="AR102" s="91">
        <v>6</v>
      </c>
      <c r="AS102" s="91">
        <v>7</v>
      </c>
      <c r="AT102" s="91">
        <v>8</v>
      </c>
      <c r="AU102" s="91">
        <v>9</v>
      </c>
      <c r="AV102" s="92">
        <v>0</v>
      </c>
      <c r="AW102" s="92">
        <v>1</v>
      </c>
      <c r="AX102" s="92">
        <v>2</v>
      </c>
      <c r="AY102" s="92">
        <v>3</v>
      </c>
      <c r="AZ102" s="92">
        <v>4</v>
      </c>
      <c r="BA102" s="92">
        <v>5</v>
      </c>
      <c r="BB102" s="92">
        <v>6</v>
      </c>
      <c r="BC102" s="92">
        <v>7</v>
      </c>
      <c r="BD102" s="92">
        <v>8</v>
      </c>
      <c r="BE102" s="92">
        <v>9</v>
      </c>
      <c r="BF102" s="93">
        <v>0</v>
      </c>
      <c r="BG102" s="93">
        <v>1</v>
      </c>
      <c r="BH102" s="93">
        <v>2</v>
      </c>
      <c r="BI102" s="93">
        <v>3</v>
      </c>
      <c r="BJ102" s="93">
        <v>4</v>
      </c>
      <c r="BK102" s="93">
        <v>5</v>
      </c>
      <c r="BL102" s="93">
        <v>6</v>
      </c>
      <c r="BM102" s="93">
        <v>7</v>
      </c>
      <c r="BN102" s="93">
        <v>8</v>
      </c>
      <c r="BO102" s="93">
        <v>9</v>
      </c>
      <c r="BP102" s="94" t="str">
        <f t="shared" si="106"/>
        <v>紧凑型</v>
      </c>
      <c r="BQ102" s="15">
        <f t="shared" si="107"/>
        <v>1</v>
      </c>
      <c r="BR102" s="15">
        <f t="shared" si="108"/>
        <v>2</v>
      </c>
      <c r="BS102" s="20">
        <f t="shared" si="109"/>
        <v>1</v>
      </c>
      <c r="BT102" s="21">
        <f t="shared" si="121"/>
        <v>1</v>
      </c>
      <c r="BU102" s="21" t="str">
        <f t="array" ref="BU102">_xlfn.TEXTJOIN("",TRUE,IF(ISERROR(FIND(ROW($1:$168)-1,BS102&amp;BT102)),ROW($1:$168)-1,""))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02" s="22" t="str">
        <f t="shared" si="110"/>
        <v>复隔中</v>
      </c>
      <c r="BW102" s="23">
        <f t="shared" si="111"/>
        <v>1</v>
      </c>
      <c r="BX102" s="23">
        <f t="shared" si="122"/>
        <v>1</v>
      </c>
      <c r="BY102" s="23" t="str">
        <f t="array" ref="BY102">_xlfn.TEXTJOIN("",TRUE,IF(ISERROR(FIND(ROW($1:$168)-1,BW102&amp;BX102)),ROW($1:$168)-1,""))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02" s="22" t="str">
        <f t="shared" si="112"/>
        <v>复隔中</v>
      </c>
      <c r="CA102" s="24" t="str">
        <f t="shared" si="113"/>
        <v/>
      </c>
      <c r="CB102" s="24" t="str">
        <f t="shared" si="123"/>
        <v/>
      </c>
      <c r="CC102" s="24" t="str">
        <f t="array" ref="CC102">_xlfn.TEXTJOIN("",TRUE,IF(ISERROR(FIND(ROW($1:$168)-1,CA102&amp;CB102)),ROW($1:$168)-1,""))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02" s="22" t="str">
        <f t="shared" si="114"/>
        <v>中中中</v>
      </c>
      <c r="CE102" s="25" t="str">
        <f t="shared" si="115"/>
        <v>02</v>
      </c>
      <c r="CF102" s="26" t="str">
        <f t="array" ref="CF102">_xlfn.TEXTJOIN("",TRUE,IF(ISNUMBER(FIND(MID(CE101&amp;W101,ROW($1:$162),1),CE102&amp;W102)),MID(CE101&amp;W101,ROW($1:$162),1),""))</f>
        <v/>
      </c>
      <c r="CG102" s="27" t="str">
        <f t="array" ref="CG102">_xlfn.TEXTJOIN("",TRUE,IF(ISERROR(FIND(ROW($1:$168)-1,CE102&amp;CF102)),ROW($1:$168)-1,""))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02" s="28" t="str">
        <f t="shared" si="116"/>
        <v>邻孤孤</v>
      </c>
      <c r="CI102" s="29" t="str">
        <f t="shared" si="117"/>
        <v>02</v>
      </c>
      <c r="CJ102" s="29" t="str">
        <f t="array" ref="CJ102">_xlfn.TEXTJOIN("",TRUE,IF(ISNUMBER(FIND(MID(CI101&amp;X101,ROW($1:$162),1),CI102&amp;X102)),MID(CI101&amp;X101,ROW($1:$162),1),""))</f>
        <v>021</v>
      </c>
      <c r="CK102" s="29" t="str">
        <f t="array" ref="CK102">_xlfn.TEXTJOIN("",TRUE,IF(ISERROR(FIND(ROW($1:$168)-1,CI102&amp;CJ102)),ROW($1:$168)-1,""))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02" s="19" t="str">
        <f t="shared" si="118"/>
        <v>邻传孤</v>
      </c>
      <c r="CM102" s="24" t="str">
        <f t="shared" si="119"/>
        <v>13</v>
      </c>
      <c r="CN102" s="24" t="str">
        <f t="array" ref="CN102">_xlfn.TEXTJOIN("",TRUE,IF(ISNUMBER(FIND(MID(CM101&amp;Y101,ROW($1:$162),1),CM102&amp;Y102)),MID(CM101&amp;Y101,ROW($1:$162),1),""))</f>
        <v/>
      </c>
      <c r="CO102" s="24" t="str">
        <f t="array" ref="CO102">_xlfn.TEXTJOIN("",TRUE,IF(ISERROR(FIND(ROW($1:$168)-1,CM102&amp;CN102)),ROW($1:$168)-1,""))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02" s="30" t="str">
        <f t="shared" si="120"/>
        <v>邻孤孤</v>
      </c>
    </row>
    <row r="103" customFormat="1" spans="1:94">
      <c r="A103" s="15">
        <v>103</v>
      </c>
      <c r="B103" s="80">
        <v>2024072</v>
      </c>
      <c r="C103" s="8" t="s">
        <v>125</v>
      </c>
      <c r="D103" s="81">
        <f t="shared" si="100"/>
        <v>23</v>
      </c>
      <c r="E103" s="82">
        <f t="shared" si="101"/>
        <v>3</v>
      </c>
      <c r="F103" s="83">
        <f t="shared" si="74"/>
        <v>11.5</v>
      </c>
      <c r="G103" s="84" t="str">
        <f t="shared" si="75"/>
        <v>紧凑</v>
      </c>
      <c r="H103" s="85" t="s">
        <v>10</v>
      </c>
      <c r="I103" s="85" t="s">
        <v>11</v>
      </c>
      <c r="J103" s="85" t="s">
        <v>12</v>
      </c>
      <c r="K103" s="85" t="s">
        <v>13</v>
      </c>
      <c r="L103" s="86">
        <f>MAX(MID(C103,{1,2,3},1)*1)-MIN(MID(C103,{1,2,3},1)*1)</f>
        <v>2</v>
      </c>
      <c r="M103" s="87">
        <v>0</v>
      </c>
      <c r="N103" s="87">
        <v>1</v>
      </c>
      <c r="O103" s="87">
        <v>2</v>
      </c>
      <c r="P103" s="87">
        <v>3</v>
      </c>
      <c r="Q103" s="87">
        <v>4</v>
      </c>
      <c r="R103" s="87">
        <v>5</v>
      </c>
      <c r="S103" s="87">
        <v>6</v>
      </c>
      <c r="T103" s="87">
        <v>7</v>
      </c>
      <c r="U103" s="87">
        <v>8</v>
      </c>
      <c r="V103" s="87">
        <v>9</v>
      </c>
      <c r="W103" s="88">
        <f t="shared" si="102"/>
        <v>2</v>
      </c>
      <c r="X103" s="88">
        <f t="shared" si="103"/>
        <v>2</v>
      </c>
      <c r="Y103" s="88">
        <f t="shared" si="104"/>
        <v>0</v>
      </c>
      <c r="Z103" s="89">
        <f t="shared" si="105"/>
        <v>4</v>
      </c>
      <c r="AA103" s="17" t="str">
        <f>_xlfn.TEXTJOIN(", ",TRUE,ABS(MID(C103,{1,1,2},1)-MID(C103,{2,3,3},1)))</f>
        <v>2, 2, 0</v>
      </c>
      <c r="AB103" s="90">
        <v>0</v>
      </c>
      <c r="AC103" s="90">
        <v>1</v>
      </c>
      <c r="AD103" s="90">
        <v>2</v>
      </c>
      <c r="AE103" s="90">
        <v>3</v>
      </c>
      <c r="AF103" s="90">
        <v>4</v>
      </c>
      <c r="AG103" s="90">
        <v>5</v>
      </c>
      <c r="AH103" s="90">
        <v>6</v>
      </c>
      <c r="AI103" s="90">
        <v>7</v>
      </c>
      <c r="AJ103" s="90">
        <v>8</v>
      </c>
      <c r="AK103" s="90">
        <v>9</v>
      </c>
      <c r="AL103" s="91">
        <v>0</v>
      </c>
      <c r="AM103" s="91">
        <v>1</v>
      </c>
      <c r="AN103" s="91">
        <v>2</v>
      </c>
      <c r="AO103" s="91">
        <v>3</v>
      </c>
      <c r="AP103" s="91">
        <v>4</v>
      </c>
      <c r="AQ103" s="91">
        <v>5</v>
      </c>
      <c r="AR103" s="91">
        <v>6</v>
      </c>
      <c r="AS103" s="91">
        <v>7</v>
      </c>
      <c r="AT103" s="91">
        <v>8</v>
      </c>
      <c r="AU103" s="91">
        <v>9</v>
      </c>
      <c r="AV103" s="92">
        <v>0</v>
      </c>
      <c r="AW103" s="92">
        <v>1</v>
      </c>
      <c r="AX103" s="92">
        <v>2</v>
      </c>
      <c r="AY103" s="92">
        <v>3</v>
      </c>
      <c r="AZ103" s="92">
        <v>4</v>
      </c>
      <c r="BA103" s="92">
        <v>5</v>
      </c>
      <c r="BB103" s="92">
        <v>6</v>
      </c>
      <c r="BC103" s="92">
        <v>7</v>
      </c>
      <c r="BD103" s="92">
        <v>8</v>
      </c>
      <c r="BE103" s="92">
        <v>9</v>
      </c>
      <c r="BF103" s="93">
        <v>0</v>
      </c>
      <c r="BG103" s="93">
        <v>1</v>
      </c>
      <c r="BH103" s="93">
        <v>2</v>
      </c>
      <c r="BI103" s="93">
        <v>3</v>
      </c>
      <c r="BJ103" s="93">
        <v>4</v>
      </c>
      <c r="BK103" s="93">
        <v>5</v>
      </c>
      <c r="BL103" s="93">
        <v>6</v>
      </c>
      <c r="BM103" s="93">
        <v>7</v>
      </c>
      <c r="BN103" s="93">
        <v>8</v>
      </c>
      <c r="BO103" s="93">
        <v>9</v>
      </c>
      <c r="BP103" s="94" t="str">
        <f t="shared" si="106"/>
        <v>紧凑型</v>
      </c>
      <c r="BQ103" s="15">
        <f t="shared" si="107"/>
        <v>0</v>
      </c>
      <c r="BR103" s="15">
        <f t="shared" si="108"/>
        <v>2</v>
      </c>
      <c r="BS103" s="20">
        <f t="shared" si="109"/>
        <v>2</v>
      </c>
      <c r="BT103" s="21" t="str">
        <f t="shared" si="121"/>
        <v/>
      </c>
      <c r="BU103" s="21" t="str">
        <f t="array" ref="BU103">_xlfn.TEXTJOIN("",TRUE,IF(ISERROR(FIND(ROW($1:$168)-1,BS103&amp;BT103)),ROW($1:$168)-1,""))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03" s="22" t="str">
        <f t="shared" si="110"/>
        <v>复中中</v>
      </c>
      <c r="BW103" s="23">
        <f t="shared" si="111"/>
        <v>2</v>
      </c>
      <c r="BX103" s="23" t="str">
        <f t="shared" si="122"/>
        <v/>
      </c>
      <c r="BY103" s="23" t="str">
        <f t="array" ref="BY103">_xlfn.TEXTJOIN("",TRUE,IF(ISERROR(FIND(ROW($1:$168)-1,BW103&amp;BX103)),ROW($1:$168)-1,""))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03" s="22" t="str">
        <f t="shared" si="112"/>
        <v>复中中</v>
      </c>
      <c r="CA103" s="24" t="str">
        <f t="shared" si="113"/>
        <v/>
      </c>
      <c r="CB103" s="24" t="str">
        <f t="shared" si="123"/>
        <v/>
      </c>
      <c r="CC103" s="24" t="str">
        <f t="array" ref="CC103">_xlfn.TEXTJOIN("",TRUE,IF(ISERROR(FIND(ROW($1:$168)-1,CA103&amp;CB103)),ROW($1:$168)-1,""))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03" s="22" t="str">
        <f t="shared" si="114"/>
        <v>中中中</v>
      </c>
      <c r="CE103" s="25" t="str">
        <f t="shared" si="115"/>
        <v>13</v>
      </c>
      <c r="CF103" s="26" t="str">
        <f t="array" ref="CF103">_xlfn.TEXTJOIN("",TRUE,IF(ISNUMBER(FIND(MID(CE102&amp;W102,ROW($1:$162),1),CE103&amp;W103)),MID(CE102&amp;W102,ROW($1:$162),1),""))</f>
        <v>21</v>
      </c>
      <c r="CG103" s="27" t="str">
        <f t="array" ref="CG103">_xlfn.TEXTJOIN("",TRUE,IF(ISERROR(FIND(ROW($1:$168)-1,CE103&amp;CF103)),ROW($1:$168)-1,""))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103" s="28" t="str">
        <f t="shared" si="116"/>
        <v>邻传孤</v>
      </c>
      <c r="CI103" s="29" t="str">
        <f t="shared" si="117"/>
        <v>13</v>
      </c>
      <c r="CJ103" s="29" t="str">
        <f t="array" ref="CJ103">_xlfn.TEXTJOIN("",TRUE,IF(ISNUMBER(FIND(MID(CI102&amp;X102,ROW($1:$162),1),CI103&amp;X103)),MID(CI102&amp;X102,ROW($1:$162),1),""))</f>
        <v>21</v>
      </c>
      <c r="CK103" s="29" t="str">
        <f t="array" ref="CK103">_xlfn.TEXTJOIN("",TRUE,IF(ISERROR(FIND(ROW($1:$168)-1,CI103&amp;CJ103)),ROW($1:$168)-1,""))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103" s="19" t="str">
        <f t="shared" si="118"/>
        <v>邻传孤</v>
      </c>
      <c r="CM103" s="24" t="str">
        <f t="shared" si="119"/>
        <v>91</v>
      </c>
      <c r="CN103" s="24" t="str">
        <f t="array" ref="CN103">_xlfn.TEXTJOIN("",TRUE,IF(ISNUMBER(FIND(MID(CM102&amp;Y102,ROW($1:$162),1),CM103&amp;Y103)),MID(CM102&amp;Y102,ROW($1:$162),1),""))</f>
        <v>1</v>
      </c>
      <c r="CO103" s="24" t="str">
        <f t="array" ref="CO103">_xlfn.TEXTJOIN("",TRUE,IF(ISERROR(FIND(ROW($1:$168)-1,CM103&amp;CN103)),ROW($1:$168)-1,""))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103" s="30" t="str">
        <f t="shared" si="120"/>
        <v>邻传孤</v>
      </c>
    </row>
    <row r="104" customFormat="1" spans="1:94">
      <c r="A104" s="15">
        <v>104</v>
      </c>
      <c r="B104" s="80">
        <v>2024073</v>
      </c>
      <c r="C104" s="8" t="s">
        <v>126</v>
      </c>
      <c r="D104" s="81">
        <f t="shared" si="100"/>
        <v>15</v>
      </c>
      <c r="E104" s="82">
        <f t="shared" si="101"/>
        <v>5</v>
      </c>
      <c r="F104" s="83">
        <f t="shared" si="74"/>
        <v>2.5</v>
      </c>
      <c r="G104" s="84" t="str">
        <f t="shared" si="75"/>
        <v>标准</v>
      </c>
      <c r="H104" s="85" t="s">
        <v>10</v>
      </c>
      <c r="I104" s="85" t="s">
        <v>11</v>
      </c>
      <c r="J104" s="85" t="s">
        <v>12</v>
      </c>
      <c r="K104" s="85" t="s">
        <v>13</v>
      </c>
      <c r="L104" s="86">
        <f>MAX(MID(C104,{1,2,3},1)*1)-MIN(MID(C104,{1,2,3},1)*1)</f>
        <v>6</v>
      </c>
      <c r="M104" s="87">
        <v>0</v>
      </c>
      <c r="N104" s="87">
        <v>1</v>
      </c>
      <c r="O104" s="87">
        <v>2</v>
      </c>
      <c r="P104" s="87">
        <v>3</v>
      </c>
      <c r="Q104" s="87">
        <v>4</v>
      </c>
      <c r="R104" s="87">
        <v>5</v>
      </c>
      <c r="S104" s="87">
        <v>6</v>
      </c>
      <c r="T104" s="87">
        <v>7</v>
      </c>
      <c r="U104" s="87">
        <v>8</v>
      </c>
      <c r="V104" s="87">
        <v>9</v>
      </c>
      <c r="W104" s="88">
        <f t="shared" si="102"/>
        <v>3</v>
      </c>
      <c r="X104" s="88">
        <f t="shared" si="103"/>
        <v>6</v>
      </c>
      <c r="Y104" s="88">
        <f t="shared" si="104"/>
        <v>3</v>
      </c>
      <c r="Z104" s="89">
        <f t="shared" si="105"/>
        <v>12</v>
      </c>
      <c r="AA104" s="17" t="str">
        <f>_xlfn.TEXTJOIN(", ",TRUE,ABS(MID(C104,{1,1,2},1)-MID(C104,{2,3,3},1)))</f>
        <v>3, 6, 3</v>
      </c>
      <c r="AB104" s="90">
        <v>0</v>
      </c>
      <c r="AC104" s="90">
        <v>1</v>
      </c>
      <c r="AD104" s="90">
        <v>2</v>
      </c>
      <c r="AE104" s="90">
        <v>3</v>
      </c>
      <c r="AF104" s="90">
        <v>4</v>
      </c>
      <c r="AG104" s="90">
        <v>5</v>
      </c>
      <c r="AH104" s="90">
        <v>6</v>
      </c>
      <c r="AI104" s="90">
        <v>7</v>
      </c>
      <c r="AJ104" s="90">
        <v>8</v>
      </c>
      <c r="AK104" s="90">
        <v>9</v>
      </c>
      <c r="AL104" s="91">
        <v>0</v>
      </c>
      <c r="AM104" s="91">
        <v>1</v>
      </c>
      <c r="AN104" s="91">
        <v>2</v>
      </c>
      <c r="AO104" s="91">
        <v>3</v>
      </c>
      <c r="AP104" s="91">
        <v>4</v>
      </c>
      <c r="AQ104" s="91">
        <v>5</v>
      </c>
      <c r="AR104" s="91">
        <v>6</v>
      </c>
      <c r="AS104" s="91">
        <v>7</v>
      </c>
      <c r="AT104" s="91">
        <v>8</v>
      </c>
      <c r="AU104" s="91">
        <v>9</v>
      </c>
      <c r="AV104" s="92">
        <v>0</v>
      </c>
      <c r="AW104" s="92">
        <v>1</v>
      </c>
      <c r="AX104" s="92">
        <v>2</v>
      </c>
      <c r="AY104" s="92">
        <v>3</v>
      </c>
      <c r="AZ104" s="92">
        <v>4</v>
      </c>
      <c r="BA104" s="92">
        <v>5</v>
      </c>
      <c r="BB104" s="92">
        <v>6</v>
      </c>
      <c r="BC104" s="92">
        <v>7</v>
      </c>
      <c r="BD104" s="92">
        <v>8</v>
      </c>
      <c r="BE104" s="92">
        <v>9</v>
      </c>
      <c r="BF104" s="93">
        <v>0</v>
      </c>
      <c r="BG104" s="93">
        <v>1</v>
      </c>
      <c r="BH104" s="93">
        <v>2</v>
      </c>
      <c r="BI104" s="93">
        <v>3</v>
      </c>
      <c r="BJ104" s="93">
        <v>4</v>
      </c>
      <c r="BK104" s="93">
        <v>5</v>
      </c>
      <c r="BL104" s="93">
        <v>6</v>
      </c>
      <c r="BM104" s="93">
        <v>7</v>
      </c>
      <c r="BN104" s="93">
        <v>8</v>
      </c>
      <c r="BO104" s="93">
        <v>9</v>
      </c>
      <c r="BP104" s="94" t="str">
        <f t="shared" si="106"/>
        <v>松散型</v>
      </c>
      <c r="BQ104" s="15">
        <f t="shared" si="107"/>
        <v>3</v>
      </c>
      <c r="BR104" s="15">
        <f t="shared" si="108"/>
        <v>6</v>
      </c>
      <c r="BS104" s="20" t="str">
        <f t="shared" si="109"/>
        <v/>
      </c>
      <c r="BT104" s="21" t="str">
        <f t="shared" si="121"/>
        <v/>
      </c>
      <c r="BU104" s="21" t="str">
        <f t="array" ref="BU104">_xlfn.TEXTJOIN("",TRUE,IF(ISERROR(FIND(ROW($1:$168)-1,BS104&amp;BT104)),ROW($1:$168)-1,""))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04" s="22" t="str">
        <f t="shared" si="110"/>
        <v>中中中</v>
      </c>
      <c r="BW104" s="23" t="str">
        <f t="shared" si="111"/>
        <v/>
      </c>
      <c r="BX104" s="23" t="str">
        <f t="shared" si="122"/>
        <v/>
      </c>
      <c r="BY104" s="23" t="str">
        <f t="array" ref="BY104">_xlfn.TEXTJOIN("",TRUE,IF(ISERROR(FIND(ROW($1:$168)-1,BW104&amp;BX104)),ROW($1:$168)-1,""))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04" s="22" t="str">
        <f t="shared" si="112"/>
        <v>中中中</v>
      </c>
      <c r="CA104" s="24" t="str">
        <f t="shared" si="113"/>
        <v/>
      </c>
      <c r="CB104" s="24" t="str">
        <f t="shared" si="123"/>
        <v/>
      </c>
      <c r="CC104" s="24" t="str">
        <f t="array" ref="CC104">_xlfn.TEXTJOIN("",TRUE,IF(ISERROR(FIND(ROW($1:$168)-1,CA104&amp;CB104)),ROW($1:$168)-1,""))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04" s="22" t="str">
        <f t="shared" si="114"/>
        <v>中中中</v>
      </c>
      <c r="CE104" s="25" t="str">
        <f t="shared" si="115"/>
        <v>24</v>
      </c>
      <c r="CF104" s="26" t="str">
        <f t="array" ref="CF104">_xlfn.TEXTJOIN("",TRUE,IF(ISNUMBER(FIND(MID(CE103&amp;W103,ROW($1:$162),1),CE104&amp;W104)),MID(CE103&amp;W103,ROW($1:$162),1),""))</f>
        <v>32</v>
      </c>
      <c r="CG104" s="27" t="str">
        <f t="array" ref="CG104">_xlfn.TEXTJOIN("",TRUE,IF(ISERROR(FIND(ROW($1:$168)-1,CE104&amp;CF104)),ROW($1:$168)-1,""))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04" s="28" t="str">
        <f t="shared" si="116"/>
        <v>邻传孤</v>
      </c>
      <c r="CI104" s="29" t="str">
        <f t="shared" si="117"/>
        <v>57</v>
      </c>
      <c r="CJ104" s="29" t="str">
        <f t="array" ref="CJ104">_xlfn.TEXTJOIN("",TRUE,IF(ISNUMBER(FIND(MID(CI103&amp;X103,ROW($1:$162),1),CI104&amp;X104)),MID(CI103&amp;X103,ROW($1:$162),1),""))</f>
        <v/>
      </c>
      <c r="CK104" s="29" t="str">
        <f t="array" ref="CK104">_xlfn.TEXTJOIN("",TRUE,IF(ISERROR(FIND(ROW($1:$168)-1,CI104&amp;CJ104)),ROW($1:$168)-1,""))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04" s="19" t="str">
        <f t="shared" si="118"/>
        <v>邻孤孤</v>
      </c>
      <c r="CM104" s="24" t="str">
        <f t="shared" si="119"/>
        <v>24</v>
      </c>
      <c r="CN104" s="24" t="str">
        <f t="array" ref="CN104">_xlfn.TEXTJOIN("",TRUE,IF(ISNUMBER(FIND(MID(CM103&amp;Y103,ROW($1:$162),1),CM104&amp;Y104)),MID(CM103&amp;Y103,ROW($1:$162),1),""))</f>
        <v/>
      </c>
      <c r="CO104" s="24" t="str">
        <f t="array" ref="CO104">_xlfn.TEXTJOIN("",TRUE,IF(ISERROR(FIND(ROW($1:$168)-1,CM104&amp;CN104)),ROW($1:$168)-1,""))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04" s="30" t="str">
        <f t="shared" si="120"/>
        <v>邻孤孤</v>
      </c>
    </row>
    <row r="105" customFormat="1" spans="1:94">
      <c r="A105" s="15">
        <v>105</v>
      </c>
      <c r="B105" s="80">
        <v>2024074</v>
      </c>
      <c r="C105" s="8" t="s">
        <v>127</v>
      </c>
      <c r="D105" s="81">
        <f t="shared" si="100"/>
        <v>5</v>
      </c>
      <c r="E105" s="82">
        <f t="shared" si="101"/>
        <v>5</v>
      </c>
      <c r="F105" s="83">
        <f t="shared" si="74"/>
        <v>1.25</v>
      </c>
      <c r="G105" s="84" t="str">
        <f t="shared" si="75"/>
        <v>松散</v>
      </c>
      <c r="H105" s="85" t="s">
        <v>10</v>
      </c>
      <c r="I105" s="85" t="s">
        <v>11</v>
      </c>
      <c r="J105" s="85" t="s">
        <v>12</v>
      </c>
      <c r="K105" s="85" t="s">
        <v>13</v>
      </c>
      <c r="L105" s="86">
        <f>MAX(MID(C105,{1,2,3},1)*1)-MIN(MID(C105,{1,2,3},1)*1)</f>
        <v>4</v>
      </c>
      <c r="M105" s="87">
        <v>0</v>
      </c>
      <c r="N105" s="87">
        <v>1</v>
      </c>
      <c r="O105" s="87">
        <v>2</v>
      </c>
      <c r="P105" s="87">
        <v>3</v>
      </c>
      <c r="Q105" s="87">
        <v>4</v>
      </c>
      <c r="R105" s="87">
        <v>5</v>
      </c>
      <c r="S105" s="87">
        <v>6</v>
      </c>
      <c r="T105" s="87">
        <v>7</v>
      </c>
      <c r="U105" s="87">
        <v>8</v>
      </c>
      <c r="V105" s="87">
        <v>9</v>
      </c>
      <c r="W105" s="88">
        <f t="shared" si="102"/>
        <v>4</v>
      </c>
      <c r="X105" s="88">
        <f t="shared" si="103"/>
        <v>1</v>
      </c>
      <c r="Y105" s="88">
        <f t="shared" si="104"/>
        <v>3</v>
      </c>
      <c r="Z105" s="89">
        <f t="shared" si="105"/>
        <v>8</v>
      </c>
      <c r="AA105" s="17" t="str">
        <f>_xlfn.TEXTJOIN(", ",TRUE,ABS(MID(C105,{1,1,2},1)-MID(C105,{2,3,3},1)))</f>
        <v>4, 1, 3</v>
      </c>
      <c r="AB105" s="90">
        <v>0</v>
      </c>
      <c r="AC105" s="90">
        <v>1</v>
      </c>
      <c r="AD105" s="90">
        <v>2</v>
      </c>
      <c r="AE105" s="90">
        <v>3</v>
      </c>
      <c r="AF105" s="90">
        <v>4</v>
      </c>
      <c r="AG105" s="90">
        <v>5</v>
      </c>
      <c r="AH105" s="90">
        <v>6</v>
      </c>
      <c r="AI105" s="90">
        <v>7</v>
      </c>
      <c r="AJ105" s="90">
        <v>8</v>
      </c>
      <c r="AK105" s="90">
        <v>9</v>
      </c>
      <c r="AL105" s="91">
        <v>0</v>
      </c>
      <c r="AM105" s="91">
        <v>1</v>
      </c>
      <c r="AN105" s="91">
        <v>2</v>
      </c>
      <c r="AO105" s="91">
        <v>3</v>
      </c>
      <c r="AP105" s="91">
        <v>4</v>
      </c>
      <c r="AQ105" s="91">
        <v>5</v>
      </c>
      <c r="AR105" s="91">
        <v>6</v>
      </c>
      <c r="AS105" s="91">
        <v>7</v>
      </c>
      <c r="AT105" s="91">
        <v>8</v>
      </c>
      <c r="AU105" s="91">
        <v>9</v>
      </c>
      <c r="AV105" s="92">
        <v>0</v>
      </c>
      <c r="AW105" s="92">
        <v>1</v>
      </c>
      <c r="AX105" s="92">
        <v>2</v>
      </c>
      <c r="AY105" s="92">
        <v>3</v>
      </c>
      <c r="AZ105" s="92">
        <v>4</v>
      </c>
      <c r="BA105" s="92">
        <v>5</v>
      </c>
      <c r="BB105" s="92">
        <v>6</v>
      </c>
      <c r="BC105" s="92">
        <v>7</v>
      </c>
      <c r="BD105" s="92">
        <v>8</v>
      </c>
      <c r="BE105" s="92">
        <v>9</v>
      </c>
      <c r="BF105" s="93">
        <v>0</v>
      </c>
      <c r="BG105" s="93">
        <v>1</v>
      </c>
      <c r="BH105" s="93">
        <v>2</v>
      </c>
      <c r="BI105" s="93">
        <v>3</v>
      </c>
      <c r="BJ105" s="93">
        <v>4</v>
      </c>
      <c r="BK105" s="93">
        <v>5</v>
      </c>
      <c r="BL105" s="93">
        <v>6</v>
      </c>
      <c r="BM105" s="93">
        <v>7</v>
      </c>
      <c r="BN105" s="93">
        <v>8</v>
      </c>
      <c r="BO105" s="93">
        <v>9</v>
      </c>
      <c r="BP105" s="94" t="str">
        <f t="shared" si="106"/>
        <v>紧凑型</v>
      </c>
      <c r="BQ105" s="15">
        <f t="shared" si="107"/>
        <v>1</v>
      </c>
      <c r="BR105" s="15">
        <f t="shared" si="108"/>
        <v>4</v>
      </c>
      <c r="BS105" s="20" t="str">
        <f t="shared" si="109"/>
        <v/>
      </c>
      <c r="BT105" s="21" t="str">
        <f t="shared" si="121"/>
        <v/>
      </c>
      <c r="BU105" s="21" t="str">
        <f t="array" ref="BU105">_xlfn.TEXTJOIN("",TRUE,IF(ISERROR(FIND(ROW($1:$168)-1,BS105&amp;BT105)),ROW($1:$168)-1,""))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05" s="22" t="str">
        <f t="shared" si="110"/>
        <v>中中中</v>
      </c>
      <c r="BW105" s="23" t="str">
        <f t="shared" si="111"/>
        <v/>
      </c>
      <c r="BX105" s="23" t="str">
        <f t="shared" si="122"/>
        <v/>
      </c>
      <c r="BY105" s="23" t="str">
        <f t="array" ref="BY105">_xlfn.TEXTJOIN("",TRUE,IF(ISERROR(FIND(ROW($1:$168)-1,BW105&amp;BX105)),ROW($1:$168)-1,""))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05" s="22" t="str">
        <f t="shared" si="112"/>
        <v>中中中</v>
      </c>
      <c r="CA105" s="24">
        <f t="shared" si="113"/>
        <v>3</v>
      </c>
      <c r="CB105" s="24" t="str">
        <f t="shared" si="123"/>
        <v/>
      </c>
      <c r="CC105" s="24" t="str">
        <f t="array" ref="CC105">_xlfn.TEXTJOIN("",TRUE,IF(ISERROR(FIND(ROW($1:$168)-1,CA105&amp;CB105)),ROW($1:$168)-1,""))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05" s="22" t="str">
        <f t="shared" si="114"/>
        <v>复中中</v>
      </c>
      <c r="CE105" s="25" t="str">
        <f t="shared" si="115"/>
        <v>35</v>
      </c>
      <c r="CF105" s="26" t="str">
        <f t="array" ref="CF105">_xlfn.TEXTJOIN("",TRUE,IF(ISNUMBER(FIND(MID(CE104&amp;W104,ROW($1:$162),1),CE105&amp;W105)),MID(CE104&amp;W104,ROW($1:$162),1),""))</f>
        <v>43</v>
      </c>
      <c r="CG105" s="27" t="str">
        <f t="array" ref="CG105">_xlfn.TEXTJOIN("",TRUE,IF(ISERROR(FIND(ROW($1:$168)-1,CE105&amp;CF105)),ROW($1:$168)-1,""))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05" s="28" t="str">
        <f t="shared" si="116"/>
        <v>邻传孤</v>
      </c>
      <c r="CI105" s="29" t="str">
        <f t="shared" si="117"/>
        <v>02</v>
      </c>
      <c r="CJ105" s="29" t="str">
        <f t="array" ref="CJ105">_xlfn.TEXTJOIN("",TRUE,IF(ISNUMBER(FIND(MID(CI104&amp;X104,ROW($1:$162),1),CI105&amp;X105)),MID(CI104&amp;X104,ROW($1:$162),1),""))</f>
        <v/>
      </c>
      <c r="CK105" s="29" t="str">
        <f t="array" ref="CK105">_xlfn.TEXTJOIN("",TRUE,IF(ISERROR(FIND(ROW($1:$168)-1,CI105&amp;CJ105)),ROW($1:$168)-1,""))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05" s="19" t="str">
        <f t="shared" si="118"/>
        <v>邻孤孤</v>
      </c>
      <c r="CM105" s="24" t="str">
        <f t="shared" si="119"/>
        <v>24</v>
      </c>
      <c r="CN105" s="24" t="str">
        <f t="array" ref="CN105">_xlfn.TEXTJOIN("",TRUE,IF(ISNUMBER(FIND(MID(CM104&amp;Y104,ROW($1:$162),1),CM105&amp;Y105)),MID(CM104&amp;Y104,ROW($1:$162),1),""))</f>
        <v>243</v>
      </c>
      <c r="CO105" s="24" t="str">
        <f t="array" ref="CO105">_xlfn.TEXTJOIN("",TRUE,IF(ISERROR(FIND(ROW($1:$168)-1,CM105&amp;CN105)),ROW($1:$168)-1,""))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05" s="30" t="str">
        <f t="shared" si="120"/>
        <v>邻传孤</v>
      </c>
    </row>
    <row r="106" customFormat="1" spans="1:94">
      <c r="A106" s="15">
        <v>106</v>
      </c>
      <c r="B106" s="80">
        <v>2024075</v>
      </c>
      <c r="C106" s="8" t="s">
        <v>128</v>
      </c>
      <c r="D106" s="81">
        <f t="shared" si="100"/>
        <v>11</v>
      </c>
      <c r="E106" s="82">
        <f t="shared" si="101"/>
        <v>1</v>
      </c>
      <c r="F106" s="83">
        <f t="shared" si="74"/>
        <v>3.66666666666667</v>
      </c>
      <c r="G106" s="84" t="str">
        <f t="shared" si="75"/>
        <v>紧凑</v>
      </c>
      <c r="H106" s="85" t="s">
        <v>10</v>
      </c>
      <c r="I106" s="85" t="s">
        <v>11</v>
      </c>
      <c r="J106" s="85" t="s">
        <v>12</v>
      </c>
      <c r="K106" s="85" t="s">
        <v>13</v>
      </c>
      <c r="L106" s="86">
        <f>MAX(MID(C106,{1,2,3},1)*1)-MIN(MID(C106,{1,2,3},1)*1)</f>
        <v>3</v>
      </c>
      <c r="M106" s="87">
        <v>0</v>
      </c>
      <c r="N106" s="87">
        <v>1</v>
      </c>
      <c r="O106" s="87">
        <v>2</v>
      </c>
      <c r="P106" s="87">
        <v>3</v>
      </c>
      <c r="Q106" s="87">
        <v>4</v>
      </c>
      <c r="R106" s="87">
        <v>5</v>
      </c>
      <c r="S106" s="87">
        <v>6</v>
      </c>
      <c r="T106" s="87">
        <v>7</v>
      </c>
      <c r="U106" s="87">
        <v>8</v>
      </c>
      <c r="V106" s="87">
        <v>9</v>
      </c>
      <c r="W106" s="88">
        <f t="shared" si="102"/>
        <v>3</v>
      </c>
      <c r="X106" s="88">
        <f t="shared" si="103"/>
        <v>2</v>
      </c>
      <c r="Y106" s="88">
        <f t="shared" si="104"/>
        <v>1</v>
      </c>
      <c r="Z106" s="89">
        <f t="shared" si="105"/>
        <v>6</v>
      </c>
      <c r="AA106" s="17" t="str">
        <f>_xlfn.TEXTJOIN(", ",TRUE,ABS(MID(C106,{1,1,2},1)-MID(C106,{2,3,3},1)))</f>
        <v>3, 2, 1</v>
      </c>
      <c r="AB106" s="90">
        <v>0</v>
      </c>
      <c r="AC106" s="90">
        <v>1</v>
      </c>
      <c r="AD106" s="90">
        <v>2</v>
      </c>
      <c r="AE106" s="90">
        <v>3</v>
      </c>
      <c r="AF106" s="90">
        <v>4</v>
      </c>
      <c r="AG106" s="90">
        <v>5</v>
      </c>
      <c r="AH106" s="90">
        <v>6</v>
      </c>
      <c r="AI106" s="90">
        <v>7</v>
      </c>
      <c r="AJ106" s="90">
        <v>8</v>
      </c>
      <c r="AK106" s="90">
        <v>9</v>
      </c>
      <c r="AL106" s="91">
        <v>0</v>
      </c>
      <c r="AM106" s="91">
        <v>1</v>
      </c>
      <c r="AN106" s="91">
        <v>2</v>
      </c>
      <c r="AO106" s="91">
        <v>3</v>
      </c>
      <c r="AP106" s="91">
        <v>4</v>
      </c>
      <c r="AQ106" s="91">
        <v>5</v>
      </c>
      <c r="AR106" s="91">
        <v>6</v>
      </c>
      <c r="AS106" s="91">
        <v>7</v>
      </c>
      <c r="AT106" s="91">
        <v>8</v>
      </c>
      <c r="AU106" s="91">
        <v>9</v>
      </c>
      <c r="AV106" s="92">
        <v>0</v>
      </c>
      <c r="AW106" s="92">
        <v>1</v>
      </c>
      <c r="AX106" s="92">
        <v>2</v>
      </c>
      <c r="AY106" s="92">
        <v>3</v>
      </c>
      <c r="AZ106" s="92">
        <v>4</v>
      </c>
      <c r="BA106" s="92">
        <v>5</v>
      </c>
      <c r="BB106" s="92">
        <v>6</v>
      </c>
      <c r="BC106" s="92">
        <v>7</v>
      </c>
      <c r="BD106" s="92">
        <v>8</v>
      </c>
      <c r="BE106" s="92">
        <v>9</v>
      </c>
      <c r="BF106" s="93">
        <v>0</v>
      </c>
      <c r="BG106" s="93">
        <v>1</v>
      </c>
      <c r="BH106" s="93">
        <v>2</v>
      </c>
      <c r="BI106" s="93">
        <v>3</v>
      </c>
      <c r="BJ106" s="93">
        <v>4</v>
      </c>
      <c r="BK106" s="93">
        <v>5</v>
      </c>
      <c r="BL106" s="93">
        <v>6</v>
      </c>
      <c r="BM106" s="93">
        <v>7</v>
      </c>
      <c r="BN106" s="93">
        <v>8</v>
      </c>
      <c r="BO106" s="93">
        <v>9</v>
      </c>
      <c r="BP106" s="94" t="str">
        <f t="shared" si="106"/>
        <v>紧凑型</v>
      </c>
      <c r="BQ106" s="15">
        <f t="shared" si="107"/>
        <v>1</v>
      </c>
      <c r="BR106" s="15">
        <f t="shared" si="108"/>
        <v>3</v>
      </c>
      <c r="BS106" s="20">
        <f t="shared" si="109"/>
        <v>3</v>
      </c>
      <c r="BT106" s="21">
        <f t="shared" si="121"/>
        <v>3</v>
      </c>
      <c r="BU106" s="21" t="str">
        <f t="array" ref="BU106">_xlfn.TEXTJOIN("",TRUE,IF(ISERROR(FIND(ROW($1:$168)-1,BS106&amp;BT106)),ROW($1:$168)-1,""))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06" s="22" t="str">
        <f t="shared" si="110"/>
        <v>复隔中</v>
      </c>
      <c r="BW106" s="23" t="str">
        <f t="shared" si="111"/>
        <v/>
      </c>
      <c r="BX106" s="23" t="str">
        <f t="shared" si="122"/>
        <v/>
      </c>
      <c r="BY106" s="23" t="str">
        <f t="array" ref="BY106">_xlfn.TEXTJOIN("",TRUE,IF(ISERROR(FIND(ROW($1:$168)-1,BW106&amp;BX106)),ROW($1:$168)-1,""))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06" s="22" t="str">
        <f t="shared" si="112"/>
        <v>中中中</v>
      </c>
      <c r="CA106" s="24">
        <f t="shared" si="113"/>
        <v>1</v>
      </c>
      <c r="CB106" s="24" t="str">
        <f t="shared" si="123"/>
        <v/>
      </c>
      <c r="CC106" s="24" t="str">
        <f t="array" ref="CC106">_xlfn.TEXTJOIN("",TRUE,IF(ISERROR(FIND(ROW($1:$168)-1,CA106&amp;CB106)),ROW($1:$168)-1,""))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06" s="22" t="str">
        <f t="shared" si="114"/>
        <v>复中中</v>
      </c>
      <c r="CE106" s="25" t="str">
        <f t="shared" si="115"/>
        <v>24</v>
      </c>
      <c r="CF106" s="26" t="str">
        <f t="array" ref="CF106">_xlfn.TEXTJOIN("",TRUE,IF(ISNUMBER(FIND(MID(CE105&amp;W105,ROW($1:$162),1),CE106&amp;W106)),MID(CE105&amp;W105,ROW($1:$162),1),""))</f>
        <v>34</v>
      </c>
      <c r="CG106" s="27" t="str">
        <f t="array" ref="CG106">_xlfn.TEXTJOIN("",TRUE,IF(ISERROR(FIND(ROW($1:$168)-1,CE106&amp;CF106)),ROW($1:$168)-1,""))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06" s="28" t="str">
        <f t="shared" si="116"/>
        <v>邻传孤</v>
      </c>
      <c r="CI106" s="29" t="str">
        <f t="shared" si="117"/>
        <v>13</v>
      </c>
      <c r="CJ106" s="29" t="str">
        <f t="array" ref="CJ106">_xlfn.TEXTJOIN("",TRUE,IF(ISNUMBER(FIND(MID(CI105&amp;X105,ROW($1:$162),1),CI106&amp;X106)),MID(CI105&amp;X105,ROW($1:$162),1),""))</f>
        <v>21</v>
      </c>
      <c r="CK106" s="29" t="str">
        <f t="array" ref="CK106">_xlfn.TEXTJOIN("",TRUE,IF(ISERROR(FIND(ROW($1:$168)-1,CI106&amp;CJ106)),ROW($1:$168)-1,""))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106" s="19" t="str">
        <f t="shared" si="118"/>
        <v>邻传孤</v>
      </c>
      <c r="CM106" s="24" t="str">
        <f t="shared" si="119"/>
        <v>02</v>
      </c>
      <c r="CN106" s="24" t="str">
        <f t="array" ref="CN106">_xlfn.TEXTJOIN("",TRUE,IF(ISNUMBER(FIND(MID(CM105&amp;Y105,ROW($1:$162),1),CM106&amp;Y106)),MID(CM105&amp;Y105,ROW($1:$162),1),""))</f>
        <v>2</v>
      </c>
      <c r="CO106" s="24" t="str">
        <f t="array" ref="CO106">_xlfn.TEXTJOIN("",TRUE,IF(ISERROR(FIND(ROW($1:$168)-1,CM106&amp;CN106)),ROW($1:$168)-1,""))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06" s="30" t="str">
        <f t="shared" si="120"/>
        <v>邻传孤</v>
      </c>
    </row>
    <row r="107" customFormat="1" spans="1:94">
      <c r="A107" s="15">
        <v>107</v>
      </c>
      <c r="B107" s="80">
        <v>2024076</v>
      </c>
      <c r="C107" s="8" t="s">
        <v>129</v>
      </c>
      <c r="D107" s="81">
        <f t="shared" si="100"/>
        <v>16</v>
      </c>
      <c r="E107" s="82">
        <f t="shared" si="101"/>
        <v>6</v>
      </c>
      <c r="F107" s="83">
        <f t="shared" si="74"/>
        <v>16</v>
      </c>
      <c r="G107" s="84" t="str">
        <f t="shared" si="75"/>
        <v>紧凑</v>
      </c>
      <c r="H107" s="85" t="s">
        <v>10</v>
      </c>
      <c r="I107" s="85" t="s">
        <v>11</v>
      </c>
      <c r="J107" s="85" t="s">
        <v>12</v>
      </c>
      <c r="K107" s="85" t="s">
        <v>13</v>
      </c>
      <c r="L107" s="86">
        <f>MAX(MID(C107,{1,2,3},1)*1)-MIN(MID(C107,{1,2,3},1)*1)</f>
        <v>1</v>
      </c>
      <c r="M107" s="87">
        <v>0</v>
      </c>
      <c r="N107" s="87">
        <v>1</v>
      </c>
      <c r="O107" s="87">
        <v>2</v>
      </c>
      <c r="P107" s="87">
        <v>3</v>
      </c>
      <c r="Q107" s="87">
        <v>4</v>
      </c>
      <c r="R107" s="87">
        <v>5</v>
      </c>
      <c r="S107" s="87">
        <v>6</v>
      </c>
      <c r="T107" s="87">
        <v>7</v>
      </c>
      <c r="U107" s="87">
        <v>8</v>
      </c>
      <c r="V107" s="87">
        <v>9</v>
      </c>
      <c r="W107" s="88">
        <f t="shared" si="102"/>
        <v>1</v>
      </c>
      <c r="X107" s="88">
        <f t="shared" si="103"/>
        <v>1</v>
      </c>
      <c r="Y107" s="88">
        <f t="shared" si="104"/>
        <v>0</v>
      </c>
      <c r="Z107" s="89">
        <f t="shared" si="105"/>
        <v>2</v>
      </c>
      <c r="AA107" s="17" t="str">
        <f>_xlfn.TEXTJOIN(", ",TRUE,ABS(MID(C107,{1,1,2},1)-MID(C107,{2,3,3},1)))</f>
        <v>1, 1, 0</v>
      </c>
      <c r="AB107" s="90">
        <v>0</v>
      </c>
      <c r="AC107" s="90">
        <v>1</v>
      </c>
      <c r="AD107" s="90">
        <v>2</v>
      </c>
      <c r="AE107" s="90">
        <v>3</v>
      </c>
      <c r="AF107" s="90">
        <v>4</v>
      </c>
      <c r="AG107" s="90">
        <v>5</v>
      </c>
      <c r="AH107" s="90">
        <v>6</v>
      </c>
      <c r="AI107" s="90">
        <v>7</v>
      </c>
      <c r="AJ107" s="90">
        <v>8</v>
      </c>
      <c r="AK107" s="90">
        <v>9</v>
      </c>
      <c r="AL107" s="91">
        <v>0</v>
      </c>
      <c r="AM107" s="91">
        <v>1</v>
      </c>
      <c r="AN107" s="91">
        <v>2</v>
      </c>
      <c r="AO107" s="91">
        <v>3</v>
      </c>
      <c r="AP107" s="91">
        <v>4</v>
      </c>
      <c r="AQ107" s="91">
        <v>5</v>
      </c>
      <c r="AR107" s="91">
        <v>6</v>
      </c>
      <c r="AS107" s="91">
        <v>7</v>
      </c>
      <c r="AT107" s="91">
        <v>8</v>
      </c>
      <c r="AU107" s="91">
        <v>9</v>
      </c>
      <c r="AV107" s="92">
        <v>0</v>
      </c>
      <c r="AW107" s="92">
        <v>1</v>
      </c>
      <c r="AX107" s="92">
        <v>2</v>
      </c>
      <c r="AY107" s="92">
        <v>3</v>
      </c>
      <c r="AZ107" s="92">
        <v>4</v>
      </c>
      <c r="BA107" s="92">
        <v>5</v>
      </c>
      <c r="BB107" s="92">
        <v>6</v>
      </c>
      <c r="BC107" s="92">
        <v>7</v>
      </c>
      <c r="BD107" s="92">
        <v>8</v>
      </c>
      <c r="BE107" s="92">
        <v>9</v>
      </c>
      <c r="BF107" s="93">
        <v>0</v>
      </c>
      <c r="BG107" s="93">
        <v>1</v>
      </c>
      <c r="BH107" s="93">
        <v>2</v>
      </c>
      <c r="BI107" s="93">
        <v>3</v>
      </c>
      <c r="BJ107" s="93">
        <v>4</v>
      </c>
      <c r="BK107" s="93">
        <v>5</v>
      </c>
      <c r="BL107" s="93">
        <v>6</v>
      </c>
      <c r="BM107" s="93">
        <v>7</v>
      </c>
      <c r="BN107" s="93">
        <v>8</v>
      </c>
      <c r="BO107" s="93">
        <v>9</v>
      </c>
      <c r="BP107" s="94" t="str">
        <f t="shared" si="106"/>
        <v>紧凑型</v>
      </c>
      <c r="BQ107" s="15">
        <f t="shared" si="107"/>
        <v>0</v>
      </c>
      <c r="BR107" s="15">
        <f t="shared" si="108"/>
        <v>1</v>
      </c>
      <c r="BS107" s="20">
        <f t="shared" si="109"/>
        <v>1</v>
      </c>
      <c r="BT107" s="21">
        <f t="shared" si="121"/>
        <v>1</v>
      </c>
      <c r="BU107" s="21" t="str">
        <f t="array" ref="BU107">_xlfn.TEXTJOIN("",TRUE,IF(ISERROR(FIND(ROW($1:$168)-1,BS107&amp;BT107)),ROW($1:$168)-1,""))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07" s="22" t="str">
        <f t="shared" si="110"/>
        <v>复隔中</v>
      </c>
      <c r="BW107" s="23">
        <f t="shared" si="111"/>
        <v>1</v>
      </c>
      <c r="BX107" s="23">
        <f t="shared" si="122"/>
        <v>1</v>
      </c>
      <c r="BY107" s="23" t="str">
        <f t="array" ref="BY107">_xlfn.TEXTJOIN("",TRUE,IF(ISERROR(FIND(ROW($1:$168)-1,BW107&amp;BX107)),ROW($1:$168)-1,""))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07" s="22" t="str">
        <f t="shared" si="112"/>
        <v>复隔中</v>
      </c>
      <c r="CA107" s="24" t="str">
        <f t="shared" si="113"/>
        <v/>
      </c>
      <c r="CB107" s="24" t="str">
        <f t="shared" si="123"/>
        <v/>
      </c>
      <c r="CC107" s="24" t="str">
        <f t="array" ref="CC107">_xlfn.TEXTJOIN("",TRUE,IF(ISERROR(FIND(ROW($1:$168)-1,CA107&amp;CB107)),ROW($1:$168)-1,""))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07" s="22" t="str">
        <f t="shared" si="114"/>
        <v>中中中</v>
      </c>
      <c r="CE107" s="25" t="str">
        <f t="shared" si="115"/>
        <v>02</v>
      </c>
      <c r="CF107" s="26" t="str">
        <f t="array" ref="CF107">_xlfn.TEXTJOIN("",TRUE,IF(ISNUMBER(FIND(MID(CE106&amp;W106,ROW($1:$162),1),CE107&amp;W107)),MID(CE106&amp;W106,ROW($1:$162),1),""))</f>
        <v>2</v>
      </c>
      <c r="CG107" s="27" t="str">
        <f t="array" ref="CG107">_xlfn.TEXTJOIN("",TRUE,IF(ISERROR(FIND(ROW($1:$168)-1,CE107&amp;CF107)),ROW($1:$168)-1,""))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07" s="28" t="str">
        <f t="shared" si="116"/>
        <v>邻传孤</v>
      </c>
      <c r="CI107" s="29" t="str">
        <f t="shared" si="117"/>
        <v>02</v>
      </c>
      <c r="CJ107" s="29" t="str">
        <f t="array" ref="CJ107">_xlfn.TEXTJOIN("",TRUE,IF(ISNUMBER(FIND(MID(CI106&amp;X106,ROW($1:$162),1),CI107&amp;X107)),MID(CI106&amp;X106,ROW($1:$162),1),""))</f>
        <v>12</v>
      </c>
      <c r="CK107" s="29" t="str">
        <f t="array" ref="CK107">_xlfn.TEXTJOIN("",TRUE,IF(ISERROR(FIND(ROW($1:$168)-1,CI107&amp;CJ107)),ROW($1:$168)-1,""))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07" s="19" t="str">
        <f t="shared" si="118"/>
        <v>邻传孤</v>
      </c>
      <c r="CM107" s="24" t="str">
        <f t="shared" si="119"/>
        <v>91</v>
      </c>
      <c r="CN107" s="24" t="str">
        <f t="array" ref="CN107">_xlfn.TEXTJOIN("",TRUE,IF(ISNUMBER(FIND(MID(CM106&amp;Y106,ROW($1:$162),1),CM107&amp;Y107)),MID(CM106&amp;Y106,ROW($1:$162),1),""))</f>
        <v>01</v>
      </c>
      <c r="CO107" s="24" t="str">
        <f t="array" ref="CO107">_xlfn.TEXTJOIN("",TRUE,IF(ISERROR(FIND(ROW($1:$168)-1,CM107&amp;CN107)),ROW($1:$168)-1,""))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107" s="30" t="str">
        <f t="shared" si="120"/>
        <v>邻传孤</v>
      </c>
    </row>
    <row r="108" customFormat="1" spans="1:94">
      <c r="A108" s="15">
        <v>108</v>
      </c>
      <c r="B108" s="80">
        <v>2024077</v>
      </c>
      <c r="C108" s="8" t="s">
        <v>130</v>
      </c>
      <c r="D108" s="81">
        <f t="shared" si="100"/>
        <v>12</v>
      </c>
      <c r="E108" s="82">
        <f t="shared" si="101"/>
        <v>2</v>
      </c>
      <c r="F108" s="83">
        <f t="shared" si="74"/>
        <v>4</v>
      </c>
      <c r="G108" s="84" t="str">
        <f t="shared" si="75"/>
        <v>紧凑</v>
      </c>
      <c r="H108" s="85" t="s">
        <v>10</v>
      </c>
      <c r="I108" s="85" t="s">
        <v>11</v>
      </c>
      <c r="J108" s="85" t="s">
        <v>12</v>
      </c>
      <c r="K108" s="85" t="s">
        <v>13</v>
      </c>
      <c r="L108" s="86">
        <f>MAX(MID(C108,{1,2,3},1)*1)-MIN(MID(C108,{1,2,3},1)*1)</f>
        <v>3</v>
      </c>
      <c r="M108" s="87">
        <v>0</v>
      </c>
      <c r="N108" s="87">
        <v>1</v>
      </c>
      <c r="O108" s="87">
        <v>2</v>
      </c>
      <c r="P108" s="87">
        <v>3</v>
      </c>
      <c r="Q108" s="87">
        <v>4</v>
      </c>
      <c r="R108" s="87">
        <v>5</v>
      </c>
      <c r="S108" s="87">
        <v>6</v>
      </c>
      <c r="T108" s="87">
        <v>7</v>
      </c>
      <c r="U108" s="87">
        <v>8</v>
      </c>
      <c r="V108" s="87">
        <v>9</v>
      </c>
      <c r="W108" s="88">
        <f t="shared" si="102"/>
        <v>0</v>
      </c>
      <c r="X108" s="88">
        <f t="shared" si="103"/>
        <v>3</v>
      </c>
      <c r="Y108" s="88">
        <f t="shared" si="104"/>
        <v>3</v>
      </c>
      <c r="Z108" s="89">
        <f t="shared" si="105"/>
        <v>6</v>
      </c>
      <c r="AA108" s="17" t="str">
        <f>_xlfn.TEXTJOIN(", ",TRUE,ABS(MID(C108,{1,1,2},1)-MID(C108,{2,3,3},1)))</f>
        <v>0, 3, 3</v>
      </c>
      <c r="AB108" s="90">
        <v>0</v>
      </c>
      <c r="AC108" s="90">
        <v>1</v>
      </c>
      <c r="AD108" s="90">
        <v>2</v>
      </c>
      <c r="AE108" s="90">
        <v>3</v>
      </c>
      <c r="AF108" s="90">
        <v>4</v>
      </c>
      <c r="AG108" s="90">
        <v>5</v>
      </c>
      <c r="AH108" s="90">
        <v>6</v>
      </c>
      <c r="AI108" s="90">
        <v>7</v>
      </c>
      <c r="AJ108" s="90">
        <v>8</v>
      </c>
      <c r="AK108" s="90">
        <v>9</v>
      </c>
      <c r="AL108" s="91">
        <v>0</v>
      </c>
      <c r="AM108" s="91">
        <v>1</v>
      </c>
      <c r="AN108" s="91">
        <v>2</v>
      </c>
      <c r="AO108" s="91">
        <v>3</v>
      </c>
      <c r="AP108" s="91">
        <v>4</v>
      </c>
      <c r="AQ108" s="91">
        <v>5</v>
      </c>
      <c r="AR108" s="91">
        <v>6</v>
      </c>
      <c r="AS108" s="91">
        <v>7</v>
      </c>
      <c r="AT108" s="91">
        <v>8</v>
      </c>
      <c r="AU108" s="91">
        <v>9</v>
      </c>
      <c r="AV108" s="92">
        <v>0</v>
      </c>
      <c r="AW108" s="92">
        <v>1</v>
      </c>
      <c r="AX108" s="92">
        <v>2</v>
      </c>
      <c r="AY108" s="92">
        <v>3</v>
      </c>
      <c r="AZ108" s="92">
        <v>4</v>
      </c>
      <c r="BA108" s="92">
        <v>5</v>
      </c>
      <c r="BB108" s="92">
        <v>6</v>
      </c>
      <c r="BC108" s="92">
        <v>7</v>
      </c>
      <c r="BD108" s="92">
        <v>8</v>
      </c>
      <c r="BE108" s="92">
        <v>9</v>
      </c>
      <c r="BF108" s="93">
        <v>0</v>
      </c>
      <c r="BG108" s="93">
        <v>1</v>
      </c>
      <c r="BH108" s="93">
        <v>2</v>
      </c>
      <c r="BI108" s="93">
        <v>3</v>
      </c>
      <c r="BJ108" s="93">
        <v>4</v>
      </c>
      <c r="BK108" s="93">
        <v>5</v>
      </c>
      <c r="BL108" s="93">
        <v>6</v>
      </c>
      <c r="BM108" s="93">
        <v>7</v>
      </c>
      <c r="BN108" s="93">
        <v>8</v>
      </c>
      <c r="BO108" s="93">
        <v>9</v>
      </c>
      <c r="BP108" s="94" t="str">
        <f t="shared" si="106"/>
        <v>紧凑型</v>
      </c>
      <c r="BQ108" s="15">
        <f t="shared" si="107"/>
        <v>0</v>
      </c>
      <c r="BR108" s="15">
        <f t="shared" si="108"/>
        <v>3</v>
      </c>
      <c r="BS108" s="20">
        <f t="shared" si="109"/>
        <v>0</v>
      </c>
      <c r="BT108" s="21" t="str">
        <f t="shared" si="121"/>
        <v/>
      </c>
      <c r="BU108" s="21" t="str">
        <f t="array" ref="BU108">_xlfn.TEXTJOIN("",TRUE,IF(ISERROR(FIND(ROW($1:$168)-1,BS108&amp;BT108)),ROW($1:$168)-1,""))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08" s="22" t="str">
        <f t="shared" si="110"/>
        <v>复中中</v>
      </c>
      <c r="BW108" s="23" t="str">
        <f t="shared" si="111"/>
        <v/>
      </c>
      <c r="BX108" s="23">
        <f t="shared" si="122"/>
        <v>3</v>
      </c>
      <c r="BY108" s="23" t="str">
        <f t="array" ref="BY108">_xlfn.TEXTJOIN("",TRUE,IF(ISERROR(FIND(ROW($1:$168)-1,BW108&amp;BX108)),ROW($1:$168)-1,""))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08" s="22" t="str">
        <f t="shared" si="112"/>
        <v>中隔中</v>
      </c>
      <c r="CA108" s="24" t="str">
        <f t="shared" si="113"/>
        <v/>
      </c>
      <c r="CB108" s="24">
        <f t="shared" si="123"/>
        <v>3</v>
      </c>
      <c r="CC108" s="24" t="str">
        <f t="array" ref="CC108">_xlfn.TEXTJOIN("",TRUE,IF(ISERROR(FIND(ROW($1:$168)-1,CA108&amp;CB108)),ROW($1:$168)-1,""))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08" s="22" t="str">
        <f t="shared" si="114"/>
        <v>中隔中</v>
      </c>
      <c r="CE108" s="25" t="str">
        <f t="shared" si="115"/>
        <v>91</v>
      </c>
      <c r="CF108" s="26" t="str">
        <f t="array" ref="CF108">_xlfn.TEXTJOIN("",TRUE,IF(ISNUMBER(FIND(MID(CE107&amp;W107,ROW($1:$162),1),CE108&amp;W108)),MID(CE107&amp;W107,ROW($1:$162),1),""))</f>
        <v>01</v>
      </c>
      <c r="CG108" s="27" t="str">
        <f t="array" ref="CG108">_xlfn.TEXTJOIN("",TRUE,IF(ISERROR(FIND(ROW($1:$168)-1,CE108&amp;CF108)),ROW($1:$168)-1,""))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H108" s="28" t="str">
        <f t="shared" si="116"/>
        <v>邻传孤</v>
      </c>
      <c r="CI108" s="29" t="str">
        <f t="shared" si="117"/>
        <v>24</v>
      </c>
      <c r="CJ108" s="29" t="str">
        <f t="array" ref="CJ108">_xlfn.TEXTJOIN("",TRUE,IF(ISNUMBER(FIND(MID(CI107&amp;X107,ROW($1:$162),1),CI108&amp;X108)),MID(CI107&amp;X107,ROW($1:$162),1),""))</f>
        <v>2</v>
      </c>
      <c r="CK108" s="29" t="str">
        <f t="array" ref="CK108">_xlfn.TEXTJOIN("",TRUE,IF(ISERROR(FIND(ROW($1:$168)-1,CI108&amp;CJ108)),ROW($1:$168)-1,""))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08" s="19" t="str">
        <f t="shared" si="118"/>
        <v>邻传孤</v>
      </c>
      <c r="CM108" s="24" t="str">
        <f t="shared" si="119"/>
        <v>24</v>
      </c>
      <c r="CN108" s="24" t="str">
        <f t="array" ref="CN108">_xlfn.TEXTJOIN("",TRUE,IF(ISNUMBER(FIND(MID(CM107&amp;Y107,ROW($1:$162),1),CM108&amp;Y108)),MID(CM107&amp;Y107,ROW($1:$162),1),""))</f>
        <v/>
      </c>
      <c r="CO108" s="24" t="str">
        <f t="array" ref="CO108">_xlfn.TEXTJOIN("",TRUE,IF(ISERROR(FIND(ROW($1:$168)-1,CM108&amp;CN108)),ROW($1:$168)-1,""))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08" s="30" t="str">
        <f t="shared" si="120"/>
        <v>邻孤孤</v>
      </c>
    </row>
    <row r="109" customFormat="1" spans="1:94">
      <c r="A109" s="15">
        <v>109</v>
      </c>
      <c r="B109" s="80">
        <v>2024078</v>
      </c>
      <c r="C109" s="8" t="s">
        <v>131</v>
      </c>
      <c r="D109" s="81">
        <f t="shared" si="100"/>
        <v>19</v>
      </c>
      <c r="E109" s="82">
        <f t="shared" si="101"/>
        <v>9</v>
      </c>
      <c r="F109" s="83">
        <f t="shared" si="74"/>
        <v>3.16666666666667</v>
      </c>
      <c r="G109" s="84" t="str">
        <f t="shared" si="75"/>
        <v>标准</v>
      </c>
      <c r="H109" s="85" t="s">
        <v>10</v>
      </c>
      <c r="I109" s="85" t="s">
        <v>11</v>
      </c>
      <c r="J109" s="85" t="s">
        <v>12</v>
      </c>
      <c r="K109" s="85" t="s">
        <v>13</v>
      </c>
      <c r="L109" s="86">
        <f>MAX(MID(C109,{1,2,3},1)*1)-MIN(MID(C109,{1,2,3},1)*1)</f>
        <v>6</v>
      </c>
      <c r="M109" s="87">
        <v>0</v>
      </c>
      <c r="N109" s="87">
        <v>1</v>
      </c>
      <c r="O109" s="87">
        <v>2</v>
      </c>
      <c r="P109" s="87">
        <v>3</v>
      </c>
      <c r="Q109" s="87">
        <v>4</v>
      </c>
      <c r="R109" s="87">
        <v>5</v>
      </c>
      <c r="S109" s="87">
        <v>6</v>
      </c>
      <c r="T109" s="87">
        <v>7</v>
      </c>
      <c r="U109" s="87">
        <v>8</v>
      </c>
      <c r="V109" s="87">
        <v>9</v>
      </c>
      <c r="W109" s="88">
        <f t="shared" si="102"/>
        <v>6</v>
      </c>
      <c r="X109" s="88">
        <f t="shared" si="103"/>
        <v>4</v>
      </c>
      <c r="Y109" s="88">
        <f t="shared" si="104"/>
        <v>2</v>
      </c>
      <c r="Z109" s="89">
        <f t="shared" si="105"/>
        <v>12</v>
      </c>
      <c r="AA109" s="17" t="str">
        <f>_xlfn.TEXTJOIN(", ",TRUE,ABS(MID(C109,{1,1,2},1)-MID(C109,{2,3,3},1)))</f>
        <v>6, 4, 2</v>
      </c>
      <c r="AB109" s="90">
        <v>0</v>
      </c>
      <c r="AC109" s="90">
        <v>1</v>
      </c>
      <c r="AD109" s="90">
        <v>2</v>
      </c>
      <c r="AE109" s="90">
        <v>3</v>
      </c>
      <c r="AF109" s="90">
        <v>4</v>
      </c>
      <c r="AG109" s="90">
        <v>5</v>
      </c>
      <c r="AH109" s="90">
        <v>6</v>
      </c>
      <c r="AI109" s="90">
        <v>7</v>
      </c>
      <c r="AJ109" s="90">
        <v>8</v>
      </c>
      <c r="AK109" s="90">
        <v>9</v>
      </c>
      <c r="AL109" s="91">
        <v>0</v>
      </c>
      <c r="AM109" s="91">
        <v>1</v>
      </c>
      <c r="AN109" s="91">
        <v>2</v>
      </c>
      <c r="AO109" s="91">
        <v>3</v>
      </c>
      <c r="AP109" s="91">
        <v>4</v>
      </c>
      <c r="AQ109" s="91">
        <v>5</v>
      </c>
      <c r="AR109" s="91">
        <v>6</v>
      </c>
      <c r="AS109" s="91">
        <v>7</v>
      </c>
      <c r="AT109" s="91">
        <v>8</v>
      </c>
      <c r="AU109" s="91">
        <v>9</v>
      </c>
      <c r="AV109" s="92">
        <v>0</v>
      </c>
      <c r="AW109" s="92">
        <v>1</v>
      </c>
      <c r="AX109" s="92">
        <v>2</v>
      </c>
      <c r="AY109" s="92">
        <v>3</v>
      </c>
      <c r="AZ109" s="92">
        <v>4</v>
      </c>
      <c r="BA109" s="92">
        <v>5</v>
      </c>
      <c r="BB109" s="92">
        <v>6</v>
      </c>
      <c r="BC109" s="92">
        <v>7</v>
      </c>
      <c r="BD109" s="92">
        <v>8</v>
      </c>
      <c r="BE109" s="92">
        <v>9</v>
      </c>
      <c r="BF109" s="93">
        <v>0</v>
      </c>
      <c r="BG109" s="93">
        <v>1</v>
      </c>
      <c r="BH109" s="93">
        <v>2</v>
      </c>
      <c r="BI109" s="93">
        <v>3</v>
      </c>
      <c r="BJ109" s="93">
        <v>4</v>
      </c>
      <c r="BK109" s="93">
        <v>5</v>
      </c>
      <c r="BL109" s="93">
        <v>6</v>
      </c>
      <c r="BM109" s="93">
        <v>7</v>
      </c>
      <c r="BN109" s="93">
        <v>8</v>
      </c>
      <c r="BO109" s="93">
        <v>9</v>
      </c>
      <c r="BP109" s="94" t="str">
        <f t="shared" si="106"/>
        <v>松散型</v>
      </c>
      <c r="BQ109" s="15">
        <f t="shared" si="107"/>
        <v>2</v>
      </c>
      <c r="BR109" s="15">
        <f t="shared" si="108"/>
        <v>6</v>
      </c>
      <c r="BS109" s="20" t="str">
        <f t="shared" si="109"/>
        <v/>
      </c>
      <c r="BT109" s="21" t="str">
        <f t="shared" si="121"/>
        <v/>
      </c>
      <c r="BU109" s="21" t="str">
        <f t="array" ref="BU109">_xlfn.TEXTJOIN("",TRUE,IF(ISERROR(FIND(ROW($1:$168)-1,BS109&amp;BT109)),ROW($1:$168)-1,""))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09" s="22" t="str">
        <f t="shared" si="110"/>
        <v>中中中</v>
      </c>
      <c r="BW109" s="23" t="str">
        <f t="shared" si="111"/>
        <v/>
      </c>
      <c r="BX109" s="23" t="str">
        <f t="shared" si="122"/>
        <v/>
      </c>
      <c r="BY109" s="23" t="str">
        <f t="array" ref="BY109">_xlfn.TEXTJOIN("",TRUE,IF(ISERROR(FIND(ROW($1:$168)-1,BW109&amp;BX109)),ROW($1:$168)-1,""))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09" s="22" t="str">
        <f t="shared" si="112"/>
        <v>中中中</v>
      </c>
      <c r="CA109" s="24" t="str">
        <f t="shared" si="113"/>
        <v/>
      </c>
      <c r="CB109" s="24" t="str">
        <f t="shared" si="123"/>
        <v/>
      </c>
      <c r="CC109" s="24" t="str">
        <f t="array" ref="CC109">_xlfn.TEXTJOIN("",TRUE,IF(ISERROR(FIND(ROW($1:$168)-1,CA109&amp;CB109)),ROW($1:$168)-1,""))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09" s="22" t="str">
        <f t="shared" si="114"/>
        <v>中中中</v>
      </c>
      <c r="CE109" s="25" t="str">
        <f t="shared" si="115"/>
        <v>57</v>
      </c>
      <c r="CF109" s="26" t="str">
        <f t="array" ref="CF109">_xlfn.TEXTJOIN("",TRUE,IF(ISNUMBER(FIND(MID(CE108&amp;W108,ROW($1:$162),1),CE109&amp;W109)),MID(CE108&amp;W108,ROW($1:$162),1),""))</f>
        <v/>
      </c>
      <c r="CG109" s="27" t="str">
        <f t="array" ref="CG109">_xlfn.TEXTJOIN("",TRUE,IF(ISERROR(FIND(ROW($1:$168)-1,CE109&amp;CF109)),ROW($1:$168)-1,""))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09" s="28" t="str">
        <f t="shared" si="116"/>
        <v>邻孤孤</v>
      </c>
      <c r="CI109" s="29" t="str">
        <f t="shared" si="117"/>
        <v>35</v>
      </c>
      <c r="CJ109" s="29" t="str">
        <f t="array" ref="CJ109">_xlfn.TEXTJOIN("",TRUE,IF(ISNUMBER(FIND(MID(CI108&amp;X108,ROW($1:$162),1),CI109&amp;X109)),MID(CI108&amp;X108,ROW($1:$162),1),""))</f>
        <v>43</v>
      </c>
      <c r="CK109" s="29" t="str">
        <f t="array" ref="CK109">_xlfn.TEXTJOIN("",TRUE,IF(ISERROR(FIND(ROW($1:$168)-1,CI109&amp;CJ109)),ROW($1:$168)-1,""))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09" s="19" t="str">
        <f t="shared" si="118"/>
        <v>邻传孤</v>
      </c>
      <c r="CM109" s="24" t="str">
        <f t="shared" si="119"/>
        <v>13</v>
      </c>
      <c r="CN109" s="24" t="str">
        <f t="array" ref="CN109">_xlfn.TEXTJOIN("",TRUE,IF(ISNUMBER(FIND(MID(CM108&amp;Y108,ROW($1:$162),1),CM109&amp;Y109)),MID(CM108&amp;Y108,ROW($1:$162),1),""))</f>
        <v>23</v>
      </c>
      <c r="CO109" s="24" t="str">
        <f t="array" ref="CO109">_xlfn.TEXTJOIN("",TRUE,IF(ISERROR(FIND(ROW($1:$168)-1,CM109&amp;CN109)),ROW($1:$168)-1,""))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109" s="30" t="str">
        <f t="shared" si="120"/>
        <v>邻传孤</v>
      </c>
    </row>
    <row r="110" customFormat="1" spans="1:94">
      <c r="A110" s="15">
        <v>110</v>
      </c>
      <c r="B110" s="80">
        <v>2024079</v>
      </c>
      <c r="C110" s="8" t="s">
        <v>132</v>
      </c>
      <c r="D110" s="81">
        <f t="shared" si="100"/>
        <v>13</v>
      </c>
      <c r="E110" s="82">
        <f t="shared" si="101"/>
        <v>3</v>
      </c>
      <c r="F110" s="83">
        <f t="shared" si="74"/>
        <v>1.625</v>
      </c>
      <c r="G110" s="84" t="str">
        <f t="shared" si="75"/>
        <v>松散</v>
      </c>
      <c r="H110" s="85" t="s">
        <v>10</v>
      </c>
      <c r="I110" s="85" t="s">
        <v>11</v>
      </c>
      <c r="J110" s="85" t="s">
        <v>12</v>
      </c>
      <c r="K110" s="85" t="s">
        <v>13</v>
      </c>
      <c r="L110" s="86">
        <f>MAX(MID(C110,{1,2,3},1)*1)-MIN(MID(C110,{1,2,3},1)*1)</f>
        <v>8</v>
      </c>
      <c r="M110" s="87">
        <v>0</v>
      </c>
      <c r="N110" s="87">
        <v>1</v>
      </c>
      <c r="O110" s="87">
        <v>2</v>
      </c>
      <c r="P110" s="87">
        <v>3</v>
      </c>
      <c r="Q110" s="87">
        <v>4</v>
      </c>
      <c r="R110" s="87">
        <v>5</v>
      </c>
      <c r="S110" s="87">
        <v>6</v>
      </c>
      <c r="T110" s="87">
        <v>7</v>
      </c>
      <c r="U110" s="87">
        <v>8</v>
      </c>
      <c r="V110" s="87">
        <v>9</v>
      </c>
      <c r="W110" s="88">
        <f t="shared" si="102"/>
        <v>6</v>
      </c>
      <c r="X110" s="88">
        <f t="shared" si="103"/>
        <v>8</v>
      </c>
      <c r="Y110" s="88">
        <f t="shared" si="104"/>
        <v>2</v>
      </c>
      <c r="Z110" s="89">
        <f t="shared" si="105"/>
        <v>16</v>
      </c>
      <c r="AA110" s="17" t="str">
        <f>_xlfn.TEXTJOIN(", ",TRUE,ABS(MID(C110,{1,1,2},1)-MID(C110,{2,3,3},1)))</f>
        <v>6, 8, 2</v>
      </c>
      <c r="AB110" s="90">
        <v>0</v>
      </c>
      <c r="AC110" s="90">
        <v>1</v>
      </c>
      <c r="AD110" s="90">
        <v>2</v>
      </c>
      <c r="AE110" s="90">
        <v>3</v>
      </c>
      <c r="AF110" s="90">
        <v>4</v>
      </c>
      <c r="AG110" s="90">
        <v>5</v>
      </c>
      <c r="AH110" s="90">
        <v>6</v>
      </c>
      <c r="AI110" s="90">
        <v>7</v>
      </c>
      <c r="AJ110" s="90">
        <v>8</v>
      </c>
      <c r="AK110" s="90">
        <v>9</v>
      </c>
      <c r="AL110" s="91">
        <v>0</v>
      </c>
      <c r="AM110" s="91">
        <v>1</v>
      </c>
      <c r="AN110" s="91">
        <v>2</v>
      </c>
      <c r="AO110" s="91">
        <v>3</v>
      </c>
      <c r="AP110" s="91">
        <v>4</v>
      </c>
      <c r="AQ110" s="91">
        <v>5</v>
      </c>
      <c r="AR110" s="91">
        <v>6</v>
      </c>
      <c r="AS110" s="91">
        <v>7</v>
      </c>
      <c r="AT110" s="91">
        <v>8</v>
      </c>
      <c r="AU110" s="91">
        <v>9</v>
      </c>
      <c r="AV110" s="92">
        <v>0</v>
      </c>
      <c r="AW110" s="92">
        <v>1</v>
      </c>
      <c r="AX110" s="92">
        <v>2</v>
      </c>
      <c r="AY110" s="92">
        <v>3</v>
      </c>
      <c r="AZ110" s="92">
        <v>4</v>
      </c>
      <c r="BA110" s="92">
        <v>5</v>
      </c>
      <c r="BB110" s="92">
        <v>6</v>
      </c>
      <c r="BC110" s="92">
        <v>7</v>
      </c>
      <c r="BD110" s="92">
        <v>8</v>
      </c>
      <c r="BE110" s="92">
        <v>9</v>
      </c>
      <c r="BF110" s="93">
        <v>0</v>
      </c>
      <c r="BG110" s="93">
        <v>1</v>
      </c>
      <c r="BH110" s="93">
        <v>2</v>
      </c>
      <c r="BI110" s="93">
        <v>3</v>
      </c>
      <c r="BJ110" s="93">
        <v>4</v>
      </c>
      <c r="BK110" s="93">
        <v>5</v>
      </c>
      <c r="BL110" s="93">
        <v>6</v>
      </c>
      <c r="BM110" s="93">
        <v>7</v>
      </c>
      <c r="BN110" s="93">
        <v>8</v>
      </c>
      <c r="BO110" s="93">
        <v>9</v>
      </c>
      <c r="BP110" s="94" t="str">
        <f t="shared" si="106"/>
        <v>松散型</v>
      </c>
      <c r="BQ110" s="15">
        <f t="shared" si="107"/>
        <v>2</v>
      </c>
      <c r="BR110" s="15">
        <f t="shared" si="108"/>
        <v>8</v>
      </c>
      <c r="BS110" s="20">
        <f t="shared" si="109"/>
        <v>6</v>
      </c>
      <c r="BT110" s="21" t="str">
        <f t="shared" si="121"/>
        <v/>
      </c>
      <c r="BU110" s="21" t="str">
        <f t="array" ref="BU110">_xlfn.TEXTJOIN("",TRUE,IF(ISERROR(FIND(ROW($1:$168)-1,BS110&amp;BT110)),ROW($1:$168)-1,""))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10" s="22" t="str">
        <f t="shared" si="110"/>
        <v>复中中</v>
      </c>
      <c r="BW110" s="23" t="str">
        <f t="shared" si="111"/>
        <v/>
      </c>
      <c r="BX110" s="23" t="str">
        <f t="shared" si="122"/>
        <v/>
      </c>
      <c r="BY110" s="23" t="str">
        <f t="array" ref="BY110">_xlfn.TEXTJOIN("",TRUE,IF(ISERROR(FIND(ROW($1:$168)-1,BW110&amp;BX110)),ROW($1:$168)-1,""))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10" s="22" t="str">
        <f t="shared" si="112"/>
        <v>中中中</v>
      </c>
      <c r="CA110" s="24">
        <f t="shared" si="113"/>
        <v>2</v>
      </c>
      <c r="CB110" s="24" t="str">
        <f t="shared" si="123"/>
        <v/>
      </c>
      <c r="CC110" s="24" t="str">
        <f t="array" ref="CC110">_xlfn.TEXTJOIN("",TRUE,IF(ISERROR(FIND(ROW($1:$168)-1,CA110&amp;CB110)),ROW($1:$168)-1,""))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10" s="22" t="str">
        <f t="shared" si="114"/>
        <v>复中中</v>
      </c>
      <c r="CE110" s="25" t="str">
        <f t="shared" si="115"/>
        <v>57</v>
      </c>
      <c r="CF110" s="26" t="str">
        <f t="array" ref="CF110">_xlfn.TEXTJOIN("",TRUE,IF(ISNUMBER(FIND(MID(CE109&amp;W109,ROW($1:$162),1),CE110&amp;W110)),MID(CE109&amp;W109,ROW($1:$162),1),""))</f>
        <v>576</v>
      </c>
      <c r="CG110" s="27" t="str">
        <f t="array" ref="CG110">_xlfn.TEXTJOIN("",TRUE,IF(ISERROR(FIND(ROW($1:$168)-1,CE110&amp;CF110)),ROW($1:$168)-1,""))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10" s="28" t="str">
        <f t="shared" si="116"/>
        <v>邻传孤</v>
      </c>
      <c r="CI110" s="29" t="str">
        <f t="shared" si="117"/>
        <v>79</v>
      </c>
      <c r="CJ110" s="29" t="str">
        <f t="array" ref="CJ110">_xlfn.TEXTJOIN("",TRUE,IF(ISNUMBER(FIND(MID(CI109&amp;X109,ROW($1:$162),1),CI110&amp;X110)),MID(CI109&amp;X109,ROW($1:$162),1),""))</f>
        <v/>
      </c>
      <c r="CK110" s="29" t="str">
        <f t="array" ref="CK110">_xlfn.TEXTJOIN("",TRUE,IF(ISERROR(FIND(ROW($1:$168)-1,CI110&amp;CJ110)),ROW($1:$168)-1,""))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110" s="19" t="str">
        <f t="shared" si="118"/>
        <v>邻孤孤</v>
      </c>
      <c r="CM110" s="24" t="str">
        <f t="shared" si="119"/>
        <v>13</v>
      </c>
      <c r="CN110" s="24" t="str">
        <f t="array" ref="CN110">_xlfn.TEXTJOIN("",TRUE,IF(ISNUMBER(FIND(MID(CM109&amp;Y109,ROW($1:$162),1),CM110&amp;Y110)),MID(CM109&amp;Y109,ROW($1:$162),1),""))</f>
        <v>132</v>
      </c>
      <c r="CO110" s="24" t="str">
        <f t="array" ref="CO110">_xlfn.TEXTJOIN("",TRUE,IF(ISERROR(FIND(ROW($1:$168)-1,CM110&amp;CN110)),ROW($1:$168)-1,""))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110" s="30" t="str">
        <f t="shared" si="120"/>
        <v>邻传孤</v>
      </c>
    </row>
    <row r="111" customFormat="1" spans="1:94">
      <c r="A111" s="15">
        <v>111</v>
      </c>
      <c r="B111" s="80">
        <v>2024080</v>
      </c>
      <c r="C111" s="8" t="s">
        <v>133</v>
      </c>
      <c r="D111" s="81">
        <f t="shared" si="100"/>
        <v>22</v>
      </c>
      <c r="E111" s="82">
        <f t="shared" si="101"/>
        <v>2</v>
      </c>
      <c r="F111" s="83">
        <f t="shared" si="74"/>
        <v>22</v>
      </c>
      <c r="G111" s="84" t="str">
        <f t="shared" si="75"/>
        <v>紧凑</v>
      </c>
      <c r="H111" s="85" t="s">
        <v>10</v>
      </c>
      <c r="I111" s="85" t="s">
        <v>11</v>
      </c>
      <c r="J111" s="85" t="s">
        <v>12</v>
      </c>
      <c r="K111" s="85" t="s">
        <v>13</v>
      </c>
      <c r="L111" s="86">
        <f>MAX(MID(C111,{1,2,3},1)*1)-MIN(MID(C111,{1,2,3},1)*1)</f>
        <v>1</v>
      </c>
      <c r="M111" s="87">
        <v>0</v>
      </c>
      <c r="N111" s="87">
        <v>1</v>
      </c>
      <c r="O111" s="87">
        <v>2</v>
      </c>
      <c r="P111" s="87">
        <v>3</v>
      </c>
      <c r="Q111" s="87">
        <v>4</v>
      </c>
      <c r="R111" s="87">
        <v>5</v>
      </c>
      <c r="S111" s="87">
        <v>6</v>
      </c>
      <c r="T111" s="87">
        <v>7</v>
      </c>
      <c r="U111" s="87">
        <v>8</v>
      </c>
      <c r="V111" s="87">
        <v>9</v>
      </c>
      <c r="W111" s="88">
        <f t="shared" si="102"/>
        <v>0</v>
      </c>
      <c r="X111" s="88">
        <f t="shared" si="103"/>
        <v>1</v>
      </c>
      <c r="Y111" s="88">
        <f t="shared" si="104"/>
        <v>1</v>
      </c>
      <c r="Z111" s="89">
        <f t="shared" si="105"/>
        <v>2</v>
      </c>
      <c r="AA111" s="17" t="str">
        <f>_xlfn.TEXTJOIN(", ",TRUE,ABS(MID(C111,{1,1,2},1)-MID(C111,{2,3,3},1)))</f>
        <v>0, 1, 1</v>
      </c>
      <c r="AB111" s="90">
        <v>0</v>
      </c>
      <c r="AC111" s="90">
        <v>1</v>
      </c>
      <c r="AD111" s="90">
        <v>2</v>
      </c>
      <c r="AE111" s="90">
        <v>3</v>
      </c>
      <c r="AF111" s="90">
        <v>4</v>
      </c>
      <c r="AG111" s="90">
        <v>5</v>
      </c>
      <c r="AH111" s="90">
        <v>6</v>
      </c>
      <c r="AI111" s="90">
        <v>7</v>
      </c>
      <c r="AJ111" s="90">
        <v>8</v>
      </c>
      <c r="AK111" s="90">
        <v>9</v>
      </c>
      <c r="AL111" s="91">
        <v>0</v>
      </c>
      <c r="AM111" s="91">
        <v>1</v>
      </c>
      <c r="AN111" s="91">
        <v>2</v>
      </c>
      <c r="AO111" s="91">
        <v>3</v>
      </c>
      <c r="AP111" s="91">
        <v>4</v>
      </c>
      <c r="AQ111" s="91">
        <v>5</v>
      </c>
      <c r="AR111" s="91">
        <v>6</v>
      </c>
      <c r="AS111" s="91">
        <v>7</v>
      </c>
      <c r="AT111" s="91">
        <v>8</v>
      </c>
      <c r="AU111" s="91">
        <v>9</v>
      </c>
      <c r="AV111" s="92">
        <v>0</v>
      </c>
      <c r="AW111" s="92">
        <v>1</v>
      </c>
      <c r="AX111" s="92">
        <v>2</v>
      </c>
      <c r="AY111" s="92">
        <v>3</v>
      </c>
      <c r="AZ111" s="92">
        <v>4</v>
      </c>
      <c r="BA111" s="92">
        <v>5</v>
      </c>
      <c r="BB111" s="92">
        <v>6</v>
      </c>
      <c r="BC111" s="92">
        <v>7</v>
      </c>
      <c r="BD111" s="92">
        <v>8</v>
      </c>
      <c r="BE111" s="92">
        <v>9</v>
      </c>
      <c r="BF111" s="93">
        <v>0</v>
      </c>
      <c r="BG111" s="93">
        <v>1</v>
      </c>
      <c r="BH111" s="93">
        <v>2</v>
      </c>
      <c r="BI111" s="93">
        <v>3</v>
      </c>
      <c r="BJ111" s="93">
        <v>4</v>
      </c>
      <c r="BK111" s="93">
        <v>5</v>
      </c>
      <c r="BL111" s="93">
        <v>6</v>
      </c>
      <c r="BM111" s="93">
        <v>7</v>
      </c>
      <c r="BN111" s="93">
        <v>8</v>
      </c>
      <c r="BO111" s="93">
        <v>9</v>
      </c>
      <c r="BP111" s="94" t="str">
        <f t="shared" si="106"/>
        <v>紧凑型</v>
      </c>
      <c r="BQ111" s="15">
        <f t="shared" si="107"/>
        <v>0</v>
      </c>
      <c r="BR111" s="15">
        <f t="shared" si="108"/>
        <v>1</v>
      </c>
      <c r="BS111" s="20" t="str">
        <f t="shared" si="109"/>
        <v/>
      </c>
      <c r="BT111" s="21" t="str">
        <f t="shared" si="121"/>
        <v/>
      </c>
      <c r="BU111" s="21" t="str">
        <f t="array" ref="BU111">_xlfn.TEXTJOIN("",TRUE,IF(ISERROR(FIND(ROW($1:$168)-1,BS111&amp;BT111)),ROW($1:$168)-1,""))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11" s="22" t="str">
        <f t="shared" si="110"/>
        <v>中中中</v>
      </c>
      <c r="BW111" s="23" t="str">
        <f t="shared" si="111"/>
        <v/>
      </c>
      <c r="BX111" s="23" t="str">
        <f t="shared" si="122"/>
        <v/>
      </c>
      <c r="BY111" s="23" t="str">
        <f t="array" ref="BY111">_xlfn.TEXTJOIN("",TRUE,IF(ISERROR(FIND(ROW($1:$168)-1,BW111&amp;BX111)),ROW($1:$168)-1,""))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11" s="22" t="str">
        <f t="shared" si="112"/>
        <v>中中中</v>
      </c>
      <c r="CA111" s="24" t="str">
        <f t="shared" si="113"/>
        <v/>
      </c>
      <c r="CB111" s="24" t="str">
        <f t="shared" si="123"/>
        <v/>
      </c>
      <c r="CC111" s="24" t="str">
        <f t="array" ref="CC111">_xlfn.TEXTJOIN("",TRUE,IF(ISERROR(FIND(ROW($1:$168)-1,CA111&amp;CB111)),ROW($1:$168)-1,""))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11" s="22" t="str">
        <f t="shared" si="114"/>
        <v>中中中</v>
      </c>
      <c r="CE111" s="25" t="str">
        <f t="shared" si="115"/>
        <v>91</v>
      </c>
      <c r="CF111" s="26" t="str">
        <f t="array" ref="CF111">_xlfn.TEXTJOIN("",TRUE,IF(ISNUMBER(FIND(MID(CE110&amp;W110,ROW($1:$162),1),CE111&amp;W111)),MID(CE110&amp;W110,ROW($1:$162),1),""))</f>
        <v/>
      </c>
      <c r="CG111" s="27" t="str">
        <f t="array" ref="CG111">_xlfn.TEXTJOIN("",TRUE,IF(ISERROR(FIND(ROW($1:$168)-1,CE111&amp;CF111)),ROW($1:$168)-1,""))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111" s="28" t="str">
        <f t="shared" si="116"/>
        <v>邻孤孤</v>
      </c>
      <c r="CI111" s="29" t="str">
        <f t="shared" si="117"/>
        <v>02</v>
      </c>
      <c r="CJ111" s="29" t="str">
        <f t="array" ref="CJ111">_xlfn.TEXTJOIN("",TRUE,IF(ISNUMBER(FIND(MID(CI110&amp;X110,ROW($1:$162),1),CI111&amp;X111)),MID(CI110&amp;X110,ROW($1:$162),1),""))</f>
        <v/>
      </c>
      <c r="CK111" s="29" t="str">
        <f t="array" ref="CK111">_xlfn.TEXTJOIN("",TRUE,IF(ISERROR(FIND(ROW($1:$168)-1,CI111&amp;CJ111)),ROW($1:$168)-1,""))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11" s="19" t="str">
        <f t="shared" si="118"/>
        <v>邻孤孤</v>
      </c>
      <c r="CM111" s="24" t="str">
        <f t="shared" si="119"/>
        <v>02</v>
      </c>
      <c r="CN111" s="24" t="str">
        <f t="array" ref="CN111">_xlfn.TEXTJOIN("",TRUE,IF(ISNUMBER(FIND(MID(CM110&amp;Y110,ROW($1:$162),1),CM111&amp;Y111)),MID(CM110&amp;Y110,ROW($1:$162),1),""))</f>
        <v>12</v>
      </c>
      <c r="CO111" s="24" t="str">
        <f t="array" ref="CO111">_xlfn.TEXTJOIN("",TRUE,IF(ISERROR(FIND(ROW($1:$168)-1,CM111&amp;CN111)),ROW($1:$168)-1,""))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11" s="30" t="str">
        <f t="shared" si="120"/>
        <v>邻传孤</v>
      </c>
    </row>
    <row r="112" customFormat="1" spans="1:94">
      <c r="A112" s="15">
        <v>112</v>
      </c>
      <c r="B112" s="80">
        <v>2024081</v>
      </c>
      <c r="C112" s="8" t="s">
        <v>134</v>
      </c>
      <c r="D112" s="81">
        <f t="shared" si="100"/>
        <v>9</v>
      </c>
      <c r="E112" s="82">
        <f t="shared" si="101"/>
        <v>9</v>
      </c>
      <c r="F112" s="83">
        <f t="shared" si="74"/>
        <v>1.125</v>
      </c>
      <c r="G112" s="84" t="str">
        <f t="shared" si="75"/>
        <v>松散</v>
      </c>
      <c r="H112" s="85" t="s">
        <v>10</v>
      </c>
      <c r="I112" s="85" t="s">
        <v>11</v>
      </c>
      <c r="J112" s="85" t="s">
        <v>12</v>
      </c>
      <c r="K112" s="85" t="s">
        <v>13</v>
      </c>
      <c r="L112" s="86">
        <f>MAX(MID(C112,{1,2,3},1)*1)-MIN(MID(C112,{1,2,3},1)*1)</f>
        <v>8</v>
      </c>
      <c r="M112" s="87">
        <v>0</v>
      </c>
      <c r="N112" s="87">
        <v>1</v>
      </c>
      <c r="O112" s="87">
        <v>2</v>
      </c>
      <c r="P112" s="87">
        <v>3</v>
      </c>
      <c r="Q112" s="87">
        <v>4</v>
      </c>
      <c r="R112" s="87">
        <v>5</v>
      </c>
      <c r="S112" s="87">
        <v>6</v>
      </c>
      <c r="T112" s="87">
        <v>7</v>
      </c>
      <c r="U112" s="87">
        <v>8</v>
      </c>
      <c r="V112" s="87">
        <v>9</v>
      </c>
      <c r="W112" s="88">
        <f t="shared" si="102"/>
        <v>1</v>
      </c>
      <c r="X112" s="88">
        <f t="shared" si="103"/>
        <v>7</v>
      </c>
      <c r="Y112" s="88">
        <f t="shared" si="104"/>
        <v>8</v>
      </c>
      <c r="Z112" s="89">
        <f t="shared" si="105"/>
        <v>16</v>
      </c>
      <c r="AA112" s="17" t="str">
        <f>_xlfn.TEXTJOIN(", ",TRUE,ABS(MID(C112,{1,1,2},1)-MID(C112,{2,3,3},1)))</f>
        <v>1, 7, 8</v>
      </c>
      <c r="AB112" s="90">
        <v>0</v>
      </c>
      <c r="AC112" s="90">
        <v>1</v>
      </c>
      <c r="AD112" s="90">
        <v>2</v>
      </c>
      <c r="AE112" s="90">
        <v>3</v>
      </c>
      <c r="AF112" s="90">
        <v>4</v>
      </c>
      <c r="AG112" s="90">
        <v>5</v>
      </c>
      <c r="AH112" s="90">
        <v>6</v>
      </c>
      <c r="AI112" s="90">
        <v>7</v>
      </c>
      <c r="AJ112" s="90">
        <v>8</v>
      </c>
      <c r="AK112" s="90">
        <v>9</v>
      </c>
      <c r="AL112" s="91">
        <v>0</v>
      </c>
      <c r="AM112" s="91">
        <v>1</v>
      </c>
      <c r="AN112" s="91">
        <v>2</v>
      </c>
      <c r="AO112" s="91">
        <v>3</v>
      </c>
      <c r="AP112" s="91">
        <v>4</v>
      </c>
      <c r="AQ112" s="91">
        <v>5</v>
      </c>
      <c r="AR112" s="91">
        <v>6</v>
      </c>
      <c r="AS112" s="91">
        <v>7</v>
      </c>
      <c r="AT112" s="91">
        <v>8</v>
      </c>
      <c r="AU112" s="91">
        <v>9</v>
      </c>
      <c r="AV112" s="92">
        <v>0</v>
      </c>
      <c r="AW112" s="92">
        <v>1</v>
      </c>
      <c r="AX112" s="92">
        <v>2</v>
      </c>
      <c r="AY112" s="92">
        <v>3</v>
      </c>
      <c r="AZ112" s="92">
        <v>4</v>
      </c>
      <c r="BA112" s="92">
        <v>5</v>
      </c>
      <c r="BB112" s="92">
        <v>6</v>
      </c>
      <c r="BC112" s="92">
        <v>7</v>
      </c>
      <c r="BD112" s="92">
        <v>8</v>
      </c>
      <c r="BE112" s="92">
        <v>9</v>
      </c>
      <c r="BF112" s="93">
        <v>0</v>
      </c>
      <c r="BG112" s="93">
        <v>1</v>
      </c>
      <c r="BH112" s="93">
        <v>2</v>
      </c>
      <c r="BI112" s="93">
        <v>3</v>
      </c>
      <c r="BJ112" s="93">
        <v>4</v>
      </c>
      <c r="BK112" s="93">
        <v>5</v>
      </c>
      <c r="BL112" s="93">
        <v>6</v>
      </c>
      <c r="BM112" s="93">
        <v>7</v>
      </c>
      <c r="BN112" s="93">
        <v>8</v>
      </c>
      <c r="BO112" s="93">
        <v>9</v>
      </c>
      <c r="BP112" s="94" t="str">
        <f t="shared" si="106"/>
        <v>松散型</v>
      </c>
      <c r="BQ112" s="15">
        <f t="shared" si="107"/>
        <v>1</v>
      </c>
      <c r="BR112" s="15">
        <f t="shared" si="108"/>
        <v>8</v>
      </c>
      <c r="BS112" s="20">
        <f t="shared" si="109"/>
        <v>1</v>
      </c>
      <c r="BT112" s="21" t="str">
        <f t="shared" si="121"/>
        <v/>
      </c>
      <c r="BU112" s="21" t="str">
        <f t="array" ref="BU112">_xlfn.TEXTJOIN("",TRUE,IF(ISERROR(FIND(ROW($1:$168)-1,BS112&amp;BT112)),ROW($1:$168)-1,""))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12" s="22" t="str">
        <f t="shared" si="110"/>
        <v>复中中</v>
      </c>
      <c r="BW112" s="23" t="str">
        <f t="shared" si="111"/>
        <v/>
      </c>
      <c r="BX112" s="23" t="str">
        <f t="shared" si="122"/>
        <v/>
      </c>
      <c r="BY112" s="23" t="str">
        <f t="array" ref="BY112">_xlfn.TEXTJOIN("",TRUE,IF(ISERROR(FIND(ROW($1:$168)-1,BW112&amp;BX112)),ROW($1:$168)-1,""))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12" s="22" t="str">
        <f t="shared" si="112"/>
        <v>中中中</v>
      </c>
      <c r="CA112" s="24" t="str">
        <f t="shared" si="113"/>
        <v/>
      </c>
      <c r="CB112" s="24">
        <f t="shared" si="123"/>
        <v>8</v>
      </c>
      <c r="CC112" s="24" t="str">
        <f t="array" ref="CC112">_xlfn.TEXTJOIN("",TRUE,IF(ISERROR(FIND(ROW($1:$168)-1,CA112&amp;CB112)),ROW($1:$168)-1,""))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12" s="22" t="str">
        <f t="shared" si="114"/>
        <v>中隔中</v>
      </c>
      <c r="CE112" s="25" t="str">
        <f t="shared" si="115"/>
        <v>02</v>
      </c>
      <c r="CF112" s="26" t="str">
        <f t="array" ref="CF112">_xlfn.TEXTJOIN("",TRUE,IF(ISNUMBER(FIND(MID(CE111&amp;W111,ROW($1:$162),1),CE112&amp;W112)),MID(CE111&amp;W111,ROW($1:$162),1),""))</f>
        <v>10</v>
      </c>
      <c r="CG112" s="27" t="str">
        <f t="array" ref="CG112">_xlfn.TEXTJOIN("",TRUE,IF(ISERROR(FIND(ROW($1:$168)-1,CE112&amp;CF112)),ROW($1:$168)-1,""))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12" s="28" t="str">
        <f t="shared" si="116"/>
        <v>邻传孤</v>
      </c>
      <c r="CI112" s="29" t="str">
        <f t="shared" si="117"/>
        <v>68</v>
      </c>
      <c r="CJ112" s="29" t="str">
        <f t="array" ref="CJ112">_xlfn.TEXTJOIN("",TRUE,IF(ISNUMBER(FIND(MID(CI111&amp;X111,ROW($1:$162),1),CI112&amp;X112)),MID(CI111&amp;X111,ROW($1:$162),1),""))</f>
        <v/>
      </c>
      <c r="CK112" s="29" t="str">
        <f t="array" ref="CK112">_xlfn.TEXTJOIN("",TRUE,IF(ISERROR(FIND(ROW($1:$168)-1,CI112&amp;CJ112)),ROW($1:$168)-1,""))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12" s="19" t="str">
        <f t="shared" si="118"/>
        <v>邻孤孤</v>
      </c>
      <c r="CM112" s="24" t="str">
        <f t="shared" si="119"/>
        <v>79</v>
      </c>
      <c r="CN112" s="24" t="str">
        <f t="array" ref="CN112">_xlfn.TEXTJOIN("",TRUE,IF(ISNUMBER(FIND(MID(CM111&amp;Y111,ROW($1:$162),1),CM112&amp;Y112)),MID(CM111&amp;Y111,ROW($1:$162),1),""))</f>
        <v/>
      </c>
      <c r="CO112" s="24" t="str">
        <f t="array" ref="CO112">_xlfn.TEXTJOIN("",TRUE,IF(ISERROR(FIND(ROW($1:$168)-1,CM112&amp;CN112)),ROW($1:$168)-1,""))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112" s="30" t="str">
        <f t="shared" si="120"/>
        <v>邻孤孤</v>
      </c>
    </row>
    <row r="113" customFormat="1" spans="1:94">
      <c r="A113" s="15">
        <v>113</v>
      </c>
      <c r="B113" s="80">
        <v>2024082</v>
      </c>
      <c r="C113" s="8" t="s">
        <v>135</v>
      </c>
      <c r="D113" s="81">
        <f t="shared" si="100"/>
        <v>11</v>
      </c>
      <c r="E113" s="82">
        <f t="shared" si="101"/>
        <v>1</v>
      </c>
      <c r="F113" s="83">
        <f t="shared" si="74"/>
        <v>1.22222222222222</v>
      </c>
      <c r="G113" s="84" t="str">
        <f t="shared" si="75"/>
        <v>松散</v>
      </c>
      <c r="H113" s="85" t="s">
        <v>10</v>
      </c>
      <c r="I113" s="85" t="s">
        <v>11</v>
      </c>
      <c r="J113" s="85" t="s">
        <v>12</v>
      </c>
      <c r="K113" s="85" t="s">
        <v>13</v>
      </c>
      <c r="L113" s="86">
        <f>MAX(MID(C113,{1,2,3},1)*1)-MIN(MID(C113,{1,2,3},1)*1)</f>
        <v>9</v>
      </c>
      <c r="M113" s="87">
        <v>0</v>
      </c>
      <c r="N113" s="87">
        <v>1</v>
      </c>
      <c r="O113" s="87">
        <v>2</v>
      </c>
      <c r="P113" s="87">
        <v>3</v>
      </c>
      <c r="Q113" s="87">
        <v>4</v>
      </c>
      <c r="R113" s="87">
        <v>5</v>
      </c>
      <c r="S113" s="87">
        <v>6</v>
      </c>
      <c r="T113" s="87">
        <v>7</v>
      </c>
      <c r="U113" s="87">
        <v>8</v>
      </c>
      <c r="V113" s="87">
        <v>9</v>
      </c>
      <c r="W113" s="88">
        <f t="shared" si="102"/>
        <v>7</v>
      </c>
      <c r="X113" s="88">
        <f t="shared" si="103"/>
        <v>9</v>
      </c>
      <c r="Y113" s="88">
        <f t="shared" si="104"/>
        <v>2</v>
      </c>
      <c r="Z113" s="89">
        <f t="shared" si="105"/>
        <v>18</v>
      </c>
      <c r="AA113" s="17" t="str">
        <f>_xlfn.TEXTJOIN(", ",TRUE,ABS(MID(C113,{1,1,2},1)-MID(C113,{2,3,3},1)))</f>
        <v>7, 9, 2</v>
      </c>
      <c r="AB113" s="90">
        <v>0</v>
      </c>
      <c r="AC113" s="90">
        <v>1</v>
      </c>
      <c r="AD113" s="90">
        <v>2</v>
      </c>
      <c r="AE113" s="90">
        <v>3</v>
      </c>
      <c r="AF113" s="90">
        <v>4</v>
      </c>
      <c r="AG113" s="90">
        <v>5</v>
      </c>
      <c r="AH113" s="90">
        <v>6</v>
      </c>
      <c r="AI113" s="90">
        <v>7</v>
      </c>
      <c r="AJ113" s="90">
        <v>8</v>
      </c>
      <c r="AK113" s="90">
        <v>9</v>
      </c>
      <c r="AL113" s="91">
        <v>0</v>
      </c>
      <c r="AM113" s="91">
        <v>1</v>
      </c>
      <c r="AN113" s="91">
        <v>2</v>
      </c>
      <c r="AO113" s="91">
        <v>3</v>
      </c>
      <c r="AP113" s="91">
        <v>4</v>
      </c>
      <c r="AQ113" s="91">
        <v>5</v>
      </c>
      <c r="AR113" s="91">
        <v>6</v>
      </c>
      <c r="AS113" s="91">
        <v>7</v>
      </c>
      <c r="AT113" s="91">
        <v>8</v>
      </c>
      <c r="AU113" s="91">
        <v>9</v>
      </c>
      <c r="AV113" s="92">
        <v>0</v>
      </c>
      <c r="AW113" s="92">
        <v>1</v>
      </c>
      <c r="AX113" s="92">
        <v>2</v>
      </c>
      <c r="AY113" s="92">
        <v>3</v>
      </c>
      <c r="AZ113" s="92">
        <v>4</v>
      </c>
      <c r="BA113" s="92">
        <v>5</v>
      </c>
      <c r="BB113" s="92">
        <v>6</v>
      </c>
      <c r="BC113" s="92">
        <v>7</v>
      </c>
      <c r="BD113" s="92">
        <v>8</v>
      </c>
      <c r="BE113" s="92">
        <v>9</v>
      </c>
      <c r="BF113" s="93">
        <v>0</v>
      </c>
      <c r="BG113" s="93">
        <v>1</v>
      </c>
      <c r="BH113" s="93">
        <v>2</v>
      </c>
      <c r="BI113" s="93">
        <v>3</v>
      </c>
      <c r="BJ113" s="93">
        <v>4</v>
      </c>
      <c r="BK113" s="93">
        <v>5</v>
      </c>
      <c r="BL113" s="93">
        <v>6</v>
      </c>
      <c r="BM113" s="93">
        <v>7</v>
      </c>
      <c r="BN113" s="93">
        <v>8</v>
      </c>
      <c r="BO113" s="93">
        <v>9</v>
      </c>
      <c r="BP113" s="94" t="str">
        <f t="shared" si="106"/>
        <v>松散型</v>
      </c>
      <c r="BQ113" s="15">
        <f t="shared" si="107"/>
        <v>2</v>
      </c>
      <c r="BR113" s="15">
        <f t="shared" si="108"/>
        <v>9</v>
      </c>
      <c r="BS113" s="20">
        <f t="shared" si="109"/>
        <v>7</v>
      </c>
      <c r="BT113" s="21" t="str">
        <f t="shared" si="121"/>
        <v/>
      </c>
      <c r="BU113" s="21" t="str">
        <f t="array" ref="BU113">_xlfn.TEXTJOIN("",TRUE,IF(ISERROR(FIND(ROW($1:$168)-1,BS113&amp;BT113)),ROW($1:$168)-1,""))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13" s="22" t="str">
        <f t="shared" si="110"/>
        <v>复中中</v>
      </c>
      <c r="BW113" s="23" t="str">
        <f t="shared" si="111"/>
        <v/>
      </c>
      <c r="BX113" s="23" t="str">
        <f t="shared" si="122"/>
        <v/>
      </c>
      <c r="BY113" s="23" t="str">
        <f t="array" ref="BY113">_xlfn.TEXTJOIN("",TRUE,IF(ISERROR(FIND(ROW($1:$168)-1,BW113&amp;BX113)),ROW($1:$168)-1,""))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13" s="22" t="str">
        <f t="shared" si="112"/>
        <v>中中中</v>
      </c>
      <c r="CA113" s="24" t="str">
        <f t="shared" si="113"/>
        <v/>
      </c>
      <c r="CB113" s="24" t="str">
        <f t="shared" si="123"/>
        <v/>
      </c>
      <c r="CC113" s="24" t="str">
        <f t="array" ref="CC113">_xlfn.TEXTJOIN("",TRUE,IF(ISERROR(FIND(ROW($1:$168)-1,CA113&amp;CB113)),ROW($1:$168)-1,""))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13" s="22" t="str">
        <f t="shared" si="114"/>
        <v>中中中</v>
      </c>
      <c r="CE113" s="25" t="str">
        <f t="shared" si="115"/>
        <v>68</v>
      </c>
      <c r="CF113" s="26" t="str">
        <f t="array" ref="CF113">_xlfn.TEXTJOIN("",TRUE,IF(ISNUMBER(FIND(MID(CE112&amp;W112,ROW($1:$162),1),CE113&amp;W113)),MID(CE112&amp;W112,ROW($1:$162),1),""))</f>
        <v/>
      </c>
      <c r="CG113" s="27" t="str">
        <f t="array" ref="CG113">_xlfn.TEXTJOIN("",TRUE,IF(ISERROR(FIND(ROW($1:$168)-1,CE113&amp;CF113)),ROW($1:$168)-1,""))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13" s="28" t="str">
        <f t="shared" si="116"/>
        <v>邻孤孤</v>
      </c>
      <c r="CI113" s="29" t="str">
        <f t="shared" si="117"/>
        <v>80</v>
      </c>
      <c r="CJ113" s="29" t="str">
        <f t="array" ref="CJ113">_xlfn.TEXTJOIN("",TRUE,IF(ISNUMBER(FIND(MID(CI112&amp;X112,ROW($1:$162),1),CI113&amp;X113)),MID(CI112&amp;X112,ROW($1:$162),1),""))</f>
        <v>8</v>
      </c>
      <c r="CK113" s="29" t="str">
        <f t="array" ref="CK113">_xlfn.TEXTJOIN("",TRUE,IF(ISERROR(FIND(ROW($1:$168)-1,CI113&amp;CJ113)),ROW($1:$168)-1,""))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113" s="19" t="str">
        <f t="shared" si="118"/>
        <v>邻传孤</v>
      </c>
      <c r="CM113" s="24" t="str">
        <f t="shared" si="119"/>
        <v>13</v>
      </c>
      <c r="CN113" s="24" t="str">
        <f t="array" ref="CN113">_xlfn.TEXTJOIN("",TRUE,IF(ISNUMBER(FIND(MID(CM112&amp;Y112,ROW($1:$162),1),CM113&amp;Y113)),MID(CM112&amp;Y112,ROW($1:$162),1),""))</f>
        <v/>
      </c>
      <c r="CO113" s="24" t="str">
        <f t="array" ref="CO113">_xlfn.TEXTJOIN("",TRUE,IF(ISERROR(FIND(ROW($1:$168)-1,CM113&amp;CN113)),ROW($1:$168)-1,""))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13" s="30" t="str">
        <f t="shared" si="120"/>
        <v>邻孤孤</v>
      </c>
    </row>
    <row r="114" customFormat="1" spans="1:94">
      <c r="A114" s="15">
        <v>114</v>
      </c>
      <c r="B114" s="80">
        <v>2024083</v>
      </c>
      <c r="C114" s="8" t="s">
        <v>136</v>
      </c>
      <c r="D114" s="81">
        <f t="shared" si="100"/>
        <v>26</v>
      </c>
      <c r="E114" s="82">
        <f t="shared" si="101"/>
        <v>6</v>
      </c>
      <c r="F114" s="83">
        <f t="shared" si="74"/>
        <v>26</v>
      </c>
      <c r="G114" s="84" t="str">
        <f t="shared" si="75"/>
        <v>紧凑</v>
      </c>
      <c r="H114" s="85" t="s">
        <v>10</v>
      </c>
      <c r="I114" s="85" t="s">
        <v>11</v>
      </c>
      <c r="J114" s="85" t="s">
        <v>12</v>
      </c>
      <c r="K114" s="85" t="s">
        <v>13</v>
      </c>
      <c r="L114" s="86">
        <f>MAX(MID(C114,{1,2,3},1)*1)-MIN(MID(C114,{1,2,3},1)*1)</f>
        <v>1</v>
      </c>
      <c r="M114" s="87">
        <v>0</v>
      </c>
      <c r="N114" s="87">
        <v>1</v>
      </c>
      <c r="O114" s="87">
        <v>2</v>
      </c>
      <c r="P114" s="87">
        <v>3</v>
      </c>
      <c r="Q114" s="87">
        <v>4</v>
      </c>
      <c r="R114" s="87">
        <v>5</v>
      </c>
      <c r="S114" s="87">
        <v>6</v>
      </c>
      <c r="T114" s="87">
        <v>7</v>
      </c>
      <c r="U114" s="87">
        <v>8</v>
      </c>
      <c r="V114" s="87">
        <v>9</v>
      </c>
      <c r="W114" s="88">
        <f t="shared" si="102"/>
        <v>1</v>
      </c>
      <c r="X114" s="88">
        <f t="shared" si="103"/>
        <v>1</v>
      </c>
      <c r="Y114" s="88">
        <f t="shared" si="104"/>
        <v>0</v>
      </c>
      <c r="Z114" s="89">
        <f t="shared" si="105"/>
        <v>2</v>
      </c>
      <c r="AA114" s="17" t="str">
        <f>_xlfn.TEXTJOIN(", ",TRUE,ABS(MID(C114,{1,1,2},1)-MID(C114,{2,3,3},1)))</f>
        <v>1, 1, 0</v>
      </c>
      <c r="AB114" s="90">
        <v>0</v>
      </c>
      <c r="AC114" s="90">
        <v>1</v>
      </c>
      <c r="AD114" s="90">
        <v>2</v>
      </c>
      <c r="AE114" s="90">
        <v>3</v>
      </c>
      <c r="AF114" s="90">
        <v>4</v>
      </c>
      <c r="AG114" s="90">
        <v>5</v>
      </c>
      <c r="AH114" s="90">
        <v>6</v>
      </c>
      <c r="AI114" s="90">
        <v>7</v>
      </c>
      <c r="AJ114" s="90">
        <v>8</v>
      </c>
      <c r="AK114" s="90">
        <v>9</v>
      </c>
      <c r="AL114" s="91">
        <v>0</v>
      </c>
      <c r="AM114" s="91">
        <v>1</v>
      </c>
      <c r="AN114" s="91">
        <v>2</v>
      </c>
      <c r="AO114" s="91">
        <v>3</v>
      </c>
      <c r="AP114" s="91">
        <v>4</v>
      </c>
      <c r="AQ114" s="91">
        <v>5</v>
      </c>
      <c r="AR114" s="91">
        <v>6</v>
      </c>
      <c r="AS114" s="91">
        <v>7</v>
      </c>
      <c r="AT114" s="91">
        <v>8</v>
      </c>
      <c r="AU114" s="91">
        <v>9</v>
      </c>
      <c r="AV114" s="92">
        <v>0</v>
      </c>
      <c r="AW114" s="92">
        <v>1</v>
      </c>
      <c r="AX114" s="92">
        <v>2</v>
      </c>
      <c r="AY114" s="92">
        <v>3</v>
      </c>
      <c r="AZ114" s="92">
        <v>4</v>
      </c>
      <c r="BA114" s="92">
        <v>5</v>
      </c>
      <c r="BB114" s="92">
        <v>6</v>
      </c>
      <c r="BC114" s="92">
        <v>7</v>
      </c>
      <c r="BD114" s="92">
        <v>8</v>
      </c>
      <c r="BE114" s="92">
        <v>9</v>
      </c>
      <c r="BF114" s="93">
        <v>0</v>
      </c>
      <c r="BG114" s="93">
        <v>1</v>
      </c>
      <c r="BH114" s="93">
        <v>2</v>
      </c>
      <c r="BI114" s="93">
        <v>3</v>
      </c>
      <c r="BJ114" s="93">
        <v>4</v>
      </c>
      <c r="BK114" s="93">
        <v>5</v>
      </c>
      <c r="BL114" s="93">
        <v>6</v>
      </c>
      <c r="BM114" s="93">
        <v>7</v>
      </c>
      <c r="BN114" s="93">
        <v>8</v>
      </c>
      <c r="BO114" s="93">
        <v>9</v>
      </c>
      <c r="BP114" s="94" t="str">
        <f t="shared" si="106"/>
        <v>紧凑型</v>
      </c>
      <c r="BQ114" s="15">
        <f t="shared" si="107"/>
        <v>0</v>
      </c>
      <c r="BR114" s="15">
        <f t="shared" si="108"/>
        <v>1</v>
      </c>
      <c r="BS114" s="20"/>
      <c r="BT114" s="21"/>
      <c r="BU114" s="21"/>
      <c r="BV114" s="66"/>
      <c r="BW114" s="23"/>
      <c r="BX114" s="23"/>
      <c r="BY114" s="23"/>
      <c r="BZ114" s="68"/>
      <c r="CA114" s="24"/>
      <c r="CB114" s="24"/>
      <c r="CC114" s="24"/>
      <c r="CD114" s="70"/>
      <c r="CE114" s="25"/>
      <c r="CF114" s="26"/>
      <c r="CG114" s="27"/>
      <c r="CH114" s="74"/>
      <c r="CI114" s="29"/>
      <c r="CJ114" s="29"/>
      <c r="CK114" s="29"/>
      <c r="CL114" s="77"/>
      <c r="CM114" s="24"/>
      <c r="CN114" s="24"/>
      <c r="CO114" s="24"/>
      <c r="CP114" s="79"/>
    </row>
    <row r="115" customFormat="1" spans="1:94">
      <c r="A115" s="15">
        <v>115</v>
      </c>
      <c r="B115" s="80">
        <v>2024084</v>
      </c>
      <c r="C115" s="8" t="s">
        <v>137</v>
      </c>
      <c r="D115" s="81">
        <f t="shared" si="100"/>
        <v>12</v>
      </c>
      <c r="E115" s="82">
        <f t="shared" si="101"/>
        <v>2</v>
      </c>
      <c r="F115" s="83">
        <f t="shared" si="74"/>
        <v>1.5</v>
      </c>
      <c r="G115" s="84" t="str">
        <f t="shared" si="75"/>
        <v>松散</v>
      </c>
      <c r="H115" s="85" t="s">
        <v>10</v>
      </c>
      <c r="I115" s="85" t="s">
        <v>11</v>
      </c>
      <c r="J115" s="85" t="s">
        <v>12</v>
      </c>
      <c r="K115" s="85" t="s">
        <v>13</v>
      </c>
      <c r="L115" s="86">
        <f>MAX(MID(C115,{1,2,3},1)*1)-MIN(MID(C115,{1,2,3},1)*1)</f>
        <v>8</v>
      </c>
      <c r="M115" s="87">
        <v>0</v>
      </c>
      <c r="N115" s="87">
        <v>1</v>
      </c>
      <c r="O115" s="87">
        <v>2</v>
      </c>
      <c r="P115" s="87">
        <v>3</v>
      </c>
      <c r="Q115" s="87">
        <v>4</v>
      </c>
      <c r="R115" s="87">
        <v>5</v>
      </c>
      <c r="S115" s="87">
        <v>6</v>
      </c>
      <c r="T115" s="87">
        <v>7</v>
      </c>
      <c r="U115" s="87">
        <v>8</v>
      </c>
      <c r="V115" s="87">
        <v>9</v>
      </c>
      <c r="W115" s="88">
        <f t="shared" si="102"/>
        <v>1</v>
      </c>
      <c r="X115" s="88">
        <f t="shared" si="103"/>
        <v>7</v>
      </c>
      <c r="Y115" s="88">
        <f t="shared" si="104"/>
        <v>8</v>
      </c>
      <c r="Z115" s="89">
        <f t="shared" si="105"/>
        <v>16</v>
      </c>
      <c r="AA115" s="17" t="str">
        <f>_xlfn.TEXTJOIN(", ",TRUE,ABS(MID(C115,{1,1,2},1)-MID(C115,{2,3,3},1)))</f>
        <v>1, 7, 8</v>
      </c>
      <c r="AB115" s="90">
        <v>0</v>
      </c>
      <c r="AC115" s="90">
        <v>1</v>
      </c>
      <c r="AD115" s="90">
        <v>2</v>
      </c>
      <c r="AE115" s="90">
        <v>3</v>
      </c>
      <c r="AF115" s="90">
        <v>4</v>
      </c>
      <c r="AG115" s="90">
        <v>5</v>
      </c>
      <c r="AH115" s="90">
        <v>6</v>
      </c>
      <c r="AI115" s="90">
        <v>7</v>
      </c>
      <c r="AJ115" s="90">
        <v>8</v>
      </c>
      <c r="AK115" s="90">
        <v>9</v>
      </c>
      <c r="AL115" s="91">
        <v>0</v>
      </c>
      <c r="AM115" s="91">
        <v>1</v>
      </c>
      <c r="AN115" s="91">
        <v>2</v>
      </c>
      <c r="AO115" s="91">
        <v>3</v>
      </c>
      <c r="AP115" s="91">
        <v>4</v>
      </c>
      <c r="AQ115" s="91">
        <v>5</v>
      </c>
      <c r="AR115" s="91">
        <v>6</v>
      </c>
      <c r="AS115" s="91">
        <v>7</v>
      </c>
      <c r="AT115" s="91">
        <v>8</v>
      </c>
      <c r="AU115" s="91">
        <v>9</v>
      </c>
      <c r="AV115" s="92">
        <v>0</v>
      </c>
      <c r="AW115" s="92">
        <v>1</v>
      </c>
      <c r="AX115" s="92">
        <v>2</v>
      </c>
      <c r="AY115" s="92">
        <v>3</v>
      </c>
      <c r="AZ115" s="92">
        <v>4</v>
      </c>
      <c r="BA115" s="92">
        <v>5</v>
      </c>
      <c r="BB115" s="92">
        <v>6</v>
      </c>
      <c r="BC115" s="92">
        <v>7</v>
      </c>
      <c r="BD115" s="92">
        <v>8</v>
      </c>
      <c r="BE115" s="92">
        <v>9</v>
      </c>
      <c r="BF115" s="93">
        <v>0</v>
      </c>
      <c r="BG115" s="93">
        <v>1</v>
      </c>
      <c r="BH115" s="93">
        <v>2</v>
      </c>
      <c r="BI115" s="93">
        <v>3</v>
      </c>
      <c r="BJ115" s="93">
        <v>4</v>
      </c>
      <c r="BK115" s="93">
        <v>5</v>
      </c>
      <c r="BL115" s="93">
        <v>6</v>
      </c>
      <c r="BM115" s="93">
        <v>7</v>
      </c>
      <c r="BN115" s="93">
        <v>8</v>
      </c>
      <c r="BO115" s="93">
        <v>9</v>
      </c>
      <c r="BP115" s="94" t="str">
        <f t="shared" si="106"/>
        <v>松散型</v>
      </c>
      <c r="BQ115" s="15">
        <f t="shared" si="107"/>
        <v>1</v>
      </c>
      <c r="BR115" s="15">
        <f t="shared" si="108"/>
        <v>8</v>
      </c>
      <c r="BS115" s="20">
        <f>IF(COUNTIF($W114:$Y114,W115)&gt;0,W115,"")</f>
        <v>1</v>
      </c>
      <c r="BT115" s="21"/>
      <c r="BU115" s="21" t="str">
        <f t="array" ref="BU115">_xlfn.TEXTJOIN("",TRUE,IF(ISERROR(FIND(ROW($1:$168)-1,BS115&amp;BT115)),ROW($1:$168)-1,""))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15" s="22" t="str">
        <f>IF(BS115&lt;&gt;"","复","中")&amp;IF(BT115&lt;&gt;"","隔","中")&amp;"中"</f>
        <v>复中中</v>
      </c>
      <c r="BW115" s="23" t="str">
        <f>IF(COUNTIF($W114:$Y114,X115)&gt;0,X115,"")</f>
        <v/>
      </c>
      <c r="BX115" s="23"/>
      <c r="BY115" s="23" t="str">
        <f t="array" ref="BY115">_xlfn.TEXTJOIN("",TRUE,IF(ISERROR(FIND(ROW($1:$168)-1,BW115&amp;BX115)),ROW($1:$168)-1,""))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15" s="22" t="str">
        <f>IF(BW115&lt;&gt;"","复","中")&amp;IF(BX115&lt;&gt;"","隔","中")&amp;"中"</f>
        <v>中中中</v>
      </c>
      <c r="CA115" s="24" t="str">
        <f>IF(COUNTIF($W114:$Y114,Y115)&gt;0,Y115,"")</f>
        <v/>
      </c>
      <c r="CB115" s="24"/>
      <c r="CC115" s="24" t="str">
        <f t="array" ref="CC115">_xlfn.TEXTJOIN("",TRUE,IF(ISERROR(FIND(ROW($1:$168)-1,CA115&amp;CB115)),ROW($1:$168)-1,""))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15" s="22" t="str">
        <f>IF(CA115&lt;&gt;"","复","中")&amp;IF(CB115&lt;&gt;"","隔","中")&amp;"中"</f>
        <v>中中中</v>
      </c>
      <c r="CE115" s="25" t="str">
        <f>IF(W115=0,9,W115-1)&amp;""&amp;IF(W115=9,0,W115+1)</f>
        <v>02</v>
      </c>
      <c r="CF115" s="26"/>
      <c r="CG115" s="27" t="str">
        <f t="array" ref="CG115">_xlfn.TEXTJOIN("",TRUE,IF(ISERROR(FIND(ROW($1:$168)-1,CE115&amp;CF115)),ROW($1:$168)-1,""))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15" s="28" t="str">
        <f>IF(CE115&lt;&gt;"","邻","孤")&amp;IF(CF115&lt;&gt;"","传","孤")&amp;"孤"</f>
        <v>邻孤孤</v>
      </c>
      <c r="CI115" s="29" t="str">
        <f>IF(X115=0,9,X115-1)&amp;""&amp;IF(X115=9,0,X115+1)</f>
        <v>68</v>
      </c>
      <c r="CJ115" s="29"/>
      <c r="CK115" s="29" t="str">
        <f t="array" ref="CK115">_xlfn.TEXTJOIN("",TRUE,IF(ISERROR(FIND(ROW($1:$168)-1,CI115&amp;CJ115)),ROW($1:$168)-1,""))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15" s="19" t="str">
        <f>IF(CI115&lt;&gt;"","邻","孤")&amp;IF(CJ115&lt;&gt;"","传","孤")&amp;"孤"</f>
        <v>邻孤孤</v>
      </c>
      <c r="CM115" s="24" t="str">
        <f>IF(Y115=0,9,Y115-1)&amp;""&amp;IF(Y115=9,0,Y115+1)</f>
        <v>79</v>
      </c>
      <c r="CN115" s="24"/>
      <c r="CO115" s="24" t="str">
        <f t="array" ref="CO115">_xlfn.TEXTJOIN("",TRUE,IF(ISERROR(FIND(ROW($1:$168)-1,CM115&amp;CN115)),ROW($1:$168)-1,""))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115" s="30" t="str">
        <f>IF(CM115&lt;&gt;"","邻","孤")&amp;IF(CN115&lt;&gt;"","传","孤")&amp;"孤"</f>
        <v>邻孤孤</v>
      </c>
    </row>
    <row r="116" customFormat="1" spans="1:94">
      <c r="A116" s="15">
        <v>116</v>
      </c>
      <c r="B116" s="80">
        <v>2024085</v>
      </c>
      <c r="C116" s="8" t="s">
        <v>32</v>
      </c>
      <c r="D116" s="81">
        <f t="shared" ref="D116:D137" si="124">LEFT(C116,1)+MID(C116,2,1)+RIGHT(C116,1)</f>
        <v>13</v>
      </c>
      <c r="E116" s="82">
        <f t="shared" ref="E116:E137" si="125">MOD(LEFT(C116,1)+MID(C116,2,1)+RIGHT(C116,1),10)</f>
        <v>3</v>
      </c>
      <c r="F116" s="83">
        <f t="shared" si="74"/>
        <v>1.44444444444444</v>
      </c>
      <c r="G116" s="84" t="str">
        <f t="shared" si="75"/>
        <v>松散</v>
      </c>
      <c r="H116" s="85" t="s">
        <v>10</v>
      </c>
      <c r="I116" s="85" t="s">
        <v>11</v>
      </c>
      <c r="J116" s="85" t="s">
        <v>12</v>
      </c>
      <c r="K116" s="85" t="s">
        <v>13</v>
      </c>
      <c r="L116" s="86">
        <f>MAX(MID(C116,{1,2,3},1)*1)-MIN(MID(C116,{1,2,3},1)*1)</f>
        <v>9</v>
      </c>
      <c r="M116" s="87">
        <v>0</v>
      </c>
      <c r="N116" s="87">
        <v>1</v>
      </c>
      <c r="O116" s="87">
        <v>2</v>
      </c>
      <c r="P116" s="87">
        <v>3</v>
      </c>
      <c r="Q116" s="87">
        <v>4</v>
      </c>
      <c r="R116" s="87">
        <v>5</v>
      </c>
      <c r="S116" s="87">
        <v>6</v>
      </c>
      <c r="T116" s="87">
        <v>7</v>
      </c>
      <c r="U116" s="87">
        <v>8</v>
      </c>
      <c r="V116" s="87">
        <v>9</v>
      </c>
      <c r="W116" s="88">
        <f t="shared" ref="W116:W137" si="126">ABS(LEFT(C116,1)-MID(C116,2,1))</f>
        <v>5</v>
      </c>
      <c r="X116" s="88">
        <f t="shared" ref="X116:X137" si="127">ABS(LEFT(C116,1)-RIGHT(C116,1))</f>
        <v>4</v>
      </c>
      <c r="Y116" s="88">
        <f t="shared" ref="Y116:Y137" si="128">ABS(MID(C116,2,1)-RIGHT(C116,1))</f>
        <v>9</v>
      </c>
      <c r="Z116" s="89">
        <f t="shared" ref="Z116:Z137" si="129">W116+X116+Y116</f>
        <v>18</v>
      </c>
      <c r="AA116" s="17" t="str">
        <f>_xlfn.TEXTJOIN(", ",TRUE,ABS(MID(C116,{1,1,2},1)-MID(C116,{2,3,3},1)))</f>
        <v>5, 4, 9</v>
      </c>
      <c r="AB116" s="90">
        <v>0</v>
      </c>
      <c r="AC116" s="90">
        <v>1</v>
      </c>
      <c r="AD116" s="90">
        <v>2</v>
      </c>
      <c r="AE116" s="90">
        <v>3</v>
      </c>
      <c r="AF116" s="90">
        <v>4</v>
      </c>
      <c r="AG116" s="90">
        <v>5</v>
      </c>
      <c r="AH116" s="90">
        <v>6</v>
      </c>
      <c r="AI116" s="90">
        <v>7</v>
      </c>
      <c r="AJ116" s="90">
        <v>8</v>
      </c>
      <c r="AK116" s="90">
        <v>9</v>
      </c>
      <c r="AL116" s="91">
        <v>0</v>
      </c>
      <c r="AM116" s="91">
        <v>1</v>
      </c>
      <c r="AN116" s="91">
        <v>2</v>
      </c>
      <c r="AO116" s="91">
        <v>3</v>
      </c>
      <c r="AP116" s="91">
        <v>4</v>
      </c>
      <c r="AQ116" s="91">
        <v>5</v>
      </c>
      <c r="AR116" s="91">
        <v>6</v>
      </c>
      <c r="AS116" s="91">
        <v>7</v>
      </c>
      <c r="AT116" s="91">
        <v>8</v>
      </c>
      <c r="AU116" s="91">
        <v>9</v>
      </c>
      <c r="AV116" s="92">
        <v>0</v>
      </c>
      <c r="AW116" s="92">
        <v>1</v>
      </c>
      <c r="AX116" s="92">
        <v>2</v>
      </c>
      <c r="AY116" s="92">
        <v>3</v>
      </c>
      <c r="AZ116" s="92">
        <v>4</v>
      </c>
      <c r="BA116" s="92">
        <v>5</v>
      </c>
      <c r="BB116" s="92">
        <v>6</v>
      </c>
      <c r="BC116" s="92">
        <v>7</v>
      </c>
      <c r="BD116" s="92">
        <v>8</v>
      </c>
      <c r="BE116" s="92">
        <v>9</v>
      </c>
      <c r="BF116" s="93">
        <v>0</v>
      </c>
      <c r="BG116" s="93">
        <v>1</v>
      </c>
      <c r="BH116" s="93">
        <v>2</v>
      </c>
      <c r="BI116" s="93">
        <v>3</v>
      </c>
      <c r="BJ116" s="93">
        <v>4</v>
      </c>
      <c r="BK116" s="93">
        <v>5</v>
      </c>
      <c r="BL116" s="93">
        <v>6</v>
      </c>
      <c r="BM116" s="93">
        <v>7</v>
      </c>
      <c r="BN116" s="93">
        <v>8</v>
      </c>
      <c r="BO116" s="93">
        <v>9</v>
      </c>
      <c r="BP116" s="94" t="str">
        <f t="shared" ref="BP116:BP137" si="130">IF(AND(BQ116&lt;=1,BR116&lt;=4),"紧凑型",IF(OR(BQ116&gt;=3,BR116&gt;=6),"松散型",IF(AND(BQ116&gt;=1,BR116&lt;=5),"标准型","对子")))</f>
        <v>松散型</v>
      </c>
      <c r="BQ116" s="15">
        <f t="shared" ref="BQ116:BQ137" si="131">MIN(ABS(INT(C116/100)-INT(MOD(C116,100)/10)),ABS(INT(C116/100)-MOD(C116,10)),ABS(INT(MOD(C116,100)/10)-MOD(C116,10)))</f>
        <v>4</v>
      </c>
      <c r="BR116" s="15">
        <f t="shared" ref="BR116:BR137" si="132">MAX(ABS(INT(C116/100)-INT(MOD(C116,100)/10)),ABS(INT(C116/100)-MOD(C116,10)),ABS(INT(MOD(C116,100)/10)-MOD(C116,10)))</f>
        <v>9</v>
      </c>
      <c r="BS116" s="20"/>
      <c r="BT116" s="21"/>
      <c r="BU116" s="21"/>
      <c r="BV116" s="66"/>
      <c r="BW116" s="23"/>
      <c r="BX116" s="23"/>
      <c r="BY116" s="23"/>
      <c r="BZ116" s="68"/>
      <c r="CA116" s="24"/>
      <c r="CB116" s="24"/>
      <c r="CC116" s="24"/>
      <c r="CD116" s="70"/>
      <c r="CE116" s="25"/>
      <c r="CF116" s="26"/>
      <c r="CG116" s="27"/>
      <c r="CH116" s="74"/>
      <c r="CI116" s="29"/>
      <c r="CJ116" s="29"/>
      <c r="CK116" s="29"/>
      <c r="CL116" s="77"/>
      <c r="CM116" s="24"/>
      <c r="CN116" s="24"/>
      <c r="CO116" s="24"/>
      <c r="CP116" s="79"/>
    </row>
    <row r="117" customFormat="1" spans="1:94">
      <c r="A117" s="15">
        <v>117</v>
      </c>
      <c r="B117" s="80">
        <v>2024086</v>
      </c>
      <c r="C117" s="8" t="s">
        <v>138</v>
      </c>
      <c r="D117" s="81">
        <f t="shared" si="124"/>
        <v>10</v>
      </c>
      <c r="E117" s="82">
        <f t="shared" si="125"/>
        <v>0</v>
      </c>
      <c r="F117" s="83">
        <f t="shared" si="74"/>
        <v>3.33333333333333</v>
      </c>
      <c r="G117" s="84" t="str">
        <f t="shared" si="75"/>
        <v>标准</v>
      </c>
      <c r="H117" s="85" t="s">
        <v>10</v>
      </c>
      <c r="I117" s="85" t="s">
        <v>11</v>
      </c>
      <c r="J117" s="85" t="s">
        <v>12</v>
      </c>
      <c r="K117" s="85" t="s">
        <v>13</v>
      </c>
      <c r="L117" s="86">
        <f>MAX(MID(C117,{1,2,3},1)*1)-MIN(MID(C117,{1,2,3},1)*1)</f>
        <v>3</v>
      </c>
      <c r="M117" s="87">
        <v>0</v>
      </c>
      <c r="N117" s="87">
        <v>1</v>
      </c>
      <c r="O117" s="87">
        <v>2</v>
      </c>
      <c r="P117" s="87">
        <v>3</v>
      </c>
      <c r="Q117" s="87">
        <v>4</v>
      </c>
      <c r="R117" s="87">
        <v>5</v>
      </c>
      <c r="S117" s="87">
        <v>6</v>
      </c>
      <c r="T117" s="87">
        <v>7</v>
      </c>
      <c r="U117" s="87">
        <v>8</v>
      </c>
      <c r="V117" s="87">
        <v>9</v>
      </c>
      <c r="W117" s="88">
        <f t="shared" si="126"/>
        <v>2</v>
      </c>
      <c r="X117" s="88">
        <f t="shared" si="127"/>
        <v>3</v>
      </c>
      <c r="Y117" s="88">
        <f t="shared" si="128"/>
        <v>1</v>
      </c>
      <c r="Z117" s="89">
        <f t="shared" si="129"/>
        <v>6</v>
      </c>
      <c r="AA117" s="17" t="str">
        <f>_xlfn.TEXTJOIN(", ",TRUE,ABS(MID(C117,{1,1,2},1)-MID(C117,{2,3,3},1)))</f>
        <v>2, 3, 1</v>
      </c>
      <c r="AB117" s="90">
        <v>0</v>
      </c>
      <c r="AC117" s="90">
        <v>1</v>
      </c>
      <c r="AD117" s="90">
        <v>2</v>
      </c>
      <c r="AE117" s="90">
        <v>3</v>
      </c>
      <c r="AF117" s="90">
        <v>4</v>
      </c>
      <c r="AG117" s="90">
        <v>5</v>
      </c>
      <c r="AH117" s="90">
        <v>6</v>
      </c>
      <c r="AI117" s="90">
        <v>7</v>
      </c>
      <c r="AJ117" s="90">
        <v>8</v>
      </c>
      <c r="AK117" s="90">
        <v>9</v>
      </c>
      <c r="AL117" s="91">
        <v>0</v>
      </c>
      <c r="AM117" s="91">
        <v>1</v>
      </c>
      <c r="AN117" s="91">
        <v>2</v>
      </c>
      <c r="AO117" s="91">
        <v>3</v>
      </c>
      <c r="AP117" s="91">
        <v>4</v>
      </c>
      <c r="AQ117" s="91">
        <v>5</v>
      </c>
      <c r="AR117" s="91">
        <v>6</v>
      </c>
      <c r="AS117" s="91">
        <v>7</v>
      </c>
      <c r="AT117" s="91">
        <v>8</v>
      </c>
      <c r="AU117" s="91">
        <v>9</v>
      </c>
      <c r="AV117" s="92">
        <v>0</v>
      </c>
      <c r="AW117" s="92">
        <v>1</v>
      </c>
      <c r="AX117" s="92">
        <v>2</v>
      </c>
      <c r="AY117" s="92">
        <v>3</v>
      </c>
      <c r="AZ117" s="92">
        <v>4</v>
      </c>
      <c r="BA117" s="92">
        <v>5</v>
      </c>
      <c r="BB117" s="92">
        <v>6</v>
      </c>
      <c r="BC117" s="92">
        <v>7</v>
      </c>
      <c r="BD117" s="92">
        <v>8</v>
      </c>
      <c r="BE117" s="92">
        <v>9</v>
      </c>
      <c r="BF117" s="93">
        <v>0</v>
      </c>
      <c r="BG117" s="93">
        <v>1</v>
      </c>
      <c r="BH117" s="93">
        <v>2</v>
      </c>
      <c r="BI117" s="93">
        <v>3</v>
      </c>
      <c r="BJ117" s="93">
        <v>4</v>
      </c>
      <c r="BK117" s="93">
        <v>5</v>
      </c>
      <c r="BL117" s="93">
        <v>6</v>
      </c>
      <c r="BM117" s="93">
        <v>7</v>
      </c>
      <c r="BN117" s="93">
        <v>8</v>
      </c>
      <c r="BO117" s="93">
        <v>9</v>
      </c>
      <c r="BP117" s="94" t="str">
        <f t="shared" si="130"/>
        <v>紧凑型</v>
      </c>
      <c r="BQ117" s="15">
        <f t="shared" si="131"/>
        <v>1</v>
      </c>
      <c r="BR117" s="15">
        <f t="shared" si="132"/>
        <v>3</v>
      </c>
      <c r="BS117" s="20" t="str">
        <f t="shared" ref="BS117:BS137" si="133">IF(COUNTIF($W116:$Y116,W117)&gt;0,W117,"")</f>
        <v/>
      </c>
      <c r="BT117" s="21"/>
      <c r="BU117" s="21" t="str">
        <f t="array" ref="BU117">_xlfn.TEXTJOIN("",TRUE,IF(ISERROR(FIND(ROW($1:$168)-1,BS117&amp;BT117)),ROW($1:$168)-1,""))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17" s="22" t="str">
        <f t="shared" ref="BV117:BV137" si="134">IF(BS117&lt;&gt;"","复","中")&amp;IF(BT117&lt;&gt;"","隔","中")&amp;"中"</f>
        <v>中中中</v>
      </c>
      <c r="BW117" s="23" t="str">
        <f t="shared" ref="BW117:BW137" si="135">IF(COUNTIF($W116:$Y116,X117)&gt;0,X117,"")</f>
        <v/>
      </c>
      <c r="BX117" s="23"/>
      <c r="BY117" s="23" t="str">
        <f t="array" ref="BY117">_xlfn.TEXTJOIN("",TRUE,IF(ISERROR(FIND(ROW($1:$168)-1,BW117&amp;BX117)),ROW($1:$168)-1,""))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17" s="22" t="str">
        <f t="shared" ref="BZ117:BZ137" si="136">IF(BW117&lt;&gt;"","复","中")&amp;IF(BX117&lt;&gt;"","隔","中")&amp;"中"</f>
        <v>中中中</v>
      </c>
      <c r="CA117" s="24" t="str">
        <f t="shared" ref="CA117:CA137" si="137">IF(COUNTIF($W116:$Y116,Y117)&gt;0,Y117,"")</f>
        <v/>
      </c>
      <c r="CB117" s="24"/>
      <c r="CC117" s="24" t="str">
        <f t="array" ref="CC117">_xlfn.TEXTJOIN("",TRUE,IF(ISERROR(FIND(ROW($1:$168)-1,CA117&amp;CB117)),ROW($1:$168)-1,""))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17" s="22" t="str">
        <f t="shared" ref="CD117:CD137" si="138">IF(CA117&lt;&gt;"","复","中")&amp;IF(CB117&lt;&gt;"","隔","中")&amp;"中"</f>
        <v>中中中</v>
      </c>
      <c r="CE117" s="25" t="str">
        <f t="shared" ref="CE117:CE137" si="139">IF(W117=0,9,W117-1)&amp;""&amp;IF(W117=9,0,W117+1)</f>
        <v>13</v>
      </c>
      <c r="CF117" s="26"/>
      <c r="CG117" s="27" t="str">
        <f t="array" ref="CG117">_xlfn.TEXTJOIN("",TRUE,IF(ISERROR(FIND(ROW($1:$168)-1,CE117&amp;CF117)),ROW($1:$168)-1,""))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17" s="28" t="str">
        <f t="shared" ref="CH117:CH137" si="140">IF(CE117&lt;&gt;"","邻","孤")&amp;IF(CF117&lt;&gt;"","传","孤")&amp;"孤"</f>
        <v>邻孤孤</v>
      </c>
      <c r="CI117" s="29" t="str">
        <f t="shared" ref="CI117:CI137" si="141">IF(X117=0,9,X117-1)&amp;""&amp;IF(X117=9,0,X117+1)</f>
        <v>24</v>
      </c>
      <c r="CJ117" s="29"/>
      <c r="CK117" s="29" t="str">
        <f t="array" ref="CK117">_xlfn.TEXTJOIN("",TRUE,IF(ISERROR(FIND(ROW($1:$168)-1,CI117&amp;CJ117)),ROW($1:$168)-1,""))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17" s="19" t="str">
        <f t="shared" ref="CL117:CL137" si="142">IF(CI117&lt;&gt;"","邻","孤")&amp;IF(CJ117&lt;&gt;"","传","孤")&amp;"孤"</f>
        <v>邻孤孤</v>
      </c>
      <c r="CM117" s="24" t="str">
        <f t="shared" ref="CM117:CM137" si="143">IF(Y117=0,9,Y117-1)&amp;""&amp;IF(Y117=9,0,Y117+1)</f>
        <v>02</v>
      </c>
      <c r="CN117" s="24"/>
      <c r="CO117" s="24" t="str">
        <f t="array" ref="CO117">_xlfn.TEXTJOIN("",TRUE,IF(ISERROR(FIND(ROW($1:$168)-1,CM117&amp;CN117)),ROW($1:$168)-1,""))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17" s="30" t="str">
        <f t="shared" ref="CP117:CP137" si="144">IF(CM117&lt;&gt;"","邻","孤")&amp;IF(CN117&lt;&gt;"","传","孤")&amp;"孤"</f>
        <v>邻孤孤</v>
      </c>
    </row>
    <row r="118" customFormat="1" spans="1:94">
      <c r="A118" s="15">
        <v>118</v>
      </c>
      <c r="B118" s="80">
        <v>2024087</v>
      </c>
      <c r="C118" s="8" t="s">
        <v>139</v>
      </c>
      <c r="D118" s="81">
        <f t="shared" si="124"/>
        <v>23</v>
      </c>
      <c r="E118" s="82">
        <f t="shared" si="125"/>
        <v>3</v>
      </c>
      <c r="F118" s="83">
        <f t="shared" si="74"/>
        <v>11.5</v>
      </c>
      <c r="G118" s="84" t="str">
        <f t="shared" si="75"/>
        <v>紧凑</v>
      </c>
      <c r="H118" s="85" t="s">
        <v>10</v>
      </c>
      <c r="I118" s="85" t="s">
        <v>11</v>
      </c>
      <c r="J118" s="85" t="s">
        <v>12</v>
      </c>
      <c r="K118" s="85" t="s">
        <v>13</v>
      </c>
      <c r="L118" s="86">
        <f>MAX(MID(C118,{1,2,3},1)*1)-MIN(MID(C118,{1,2,3},1)*1)</f>
        <v>2</v>
      </c>
      <c r="M118" s="87">
        <v>0</v>
      </c>
      <c r="N118" s="87">
        <v>1</v>
      </c>
      <c r="O118" s="87">
        <v>2</v>
      </c>
      <c r="P118" s="87">
        <v>3</v>
      </c>
      <c r="Q118" s="87">
        <v>4</v>
      </c>
      <c r="R118" s="87">
        <v>5</v>
      </c>
      <c r="S118" s="87">
        <v>6</v>
      </c>
      <c r="T118" s="87">
        <v>7</v>
      </c>
      <c r="U118" s="87">
        <v>8</v>
      </c>
      <c r="V118" s="87">
        <v>9</v>
      </c>
      <c r="W118" s="88">
        <f t="shared" si="126"/>
        <v>2</v>
      </c>
      <c r="X118" s="88">
        <f t="shared" si="127"/>
        <v>0</v>
      </c>
      <c r="Y118" s="88">
        <f t="shared" si="128"/>
        <v>2</v>
      </c>
      <c r="Z118" s="89">
        <f t="shared" si="129"/>
        <v>4</v>
      </c>
      <c r="AA118" s="17" t="str">
        <f>_xlfn.TEXTJOIN(", ",TRUE,ABS(MID(C118,{1,1,2},1)-MID(C118,{2,3,3},1)))</f>
        <v>2, 0, 2</v>
      </c>
      <c r="AB118" s="90">
        <v>0</v>
      </c>
      <c r="AC118" s="90">
        <v>1</v>
      </c>
      <c r="AD118" s="90">
        <v>2</v>
      </c>
      <c r="AE118" s="90">
        <v>3</v>
      </c>
      <c r="AF118" s="90">
        <v>4</v>
      </c>
      <c r="AG118" s="90">
        <v>5</v>
      </c>
      <c r="AH118" s="90">
        <v>6</v>
      </c>
      <c r="AI118" s="90">
        <v>7</v>
      </c>
      <c r="AJ118" s="90">
        <v>8</v>
      </c>
      <c r="AK118" s="90">
        <v>9</v>
      </c>
      <c r="AL118" s="91">
        <v>0</v>
      </c>
      <c r="AM118" s="91">
        <v>1</v>
      </c>
      <c r="AN118" s="91">
        <v>2</v>
      </c>
      <c r="AO118" s="91">
        <v>3</v>
      </c>
      <c r="AP118" s="91">
        <v>4</v>
      </c>
      <c r="AQ118" s="91">
        <v>5</v>
      </c>
      <c r="AR118" s="91">
        <v>6</v>
      </c>
      <c r="AS118" s="91">
        <v>7</v>
      </c>
      <c r="AT118" s="91">
        <v>8</v>
      </c>
      <c r="AU118" s="91">
        <v>9</v>
      </c>
      <c r="AV118" s="92">
        <v>0</v>
      </c>
      <c r="AW118" s="92">
        <v>1</v>
      </c>
      <c r="AX118" s="92">
        <v>2</v>
      </c>
      <c r="AY118" s="92">
        <v>3</v>
      </c>
      <c r="AZ118" s="92">
        <v>4</v>
      </c>
      <c r="BA118" s="92">
        <v>5</v>
      </c>
      <c r="BB118" s="92">
        <v>6</v>
      </c>
      <c r="BC118" s="92">
        <v>7</v>
      </c>
      <c r="BD118" s="92">
        <v>8</v>
      </c>
      <c r="BE118" s="92">
        <v>9</v>
      </c>
      <c r="BF118" s="93">
        <v>0</v>
      </c>
      <c r="BG118" s="93">
        <v>1</v>
      </c>
      <c r="BH118" s="93">
        <v>2</v>
      </c>
      <c r="BI118" s="93">
        <v>3</v>
      </c>
      <c r="BJ118" s="93">
        <v>4</v>
      </c>
      <c r="BK118" s="93">
        <v>5</v>
      </c>
      <c r="BL118" s="93">
        <v>6</v>
      </c>
      <c r="BM118" s="93">
        <v>7</v>
      </c>
      <c r="BN118" s="93">
        <v>8</v>
      </c>
      <c r="BO118" s="93">
        <v>9</v>
      </c>
      <c r="BP118" s="94" t="str">
        <f t="shared" si="130"/>
        <v>紧凑型</v>
      </c>
      <c r="BQ118" s="15">
        <f t="shared" si="131"/>
        <v>0</v>
      </c>
      <c r="BR118" s="15">
        <f t="shared" si="132"/>
        <v>2</v>
      </c>
      <c r="BS118" s="20">
        <f t="shared" si="133"/>
        <v>2</v>
      </c>
      <c r="BT118" s="21" t="str">
        <f t="shared" ref="BT118:BT137" si="145">IF(COUNTIF($W116:$Y116,W118)&gt;0,W118,"")</f>
        <v/>
      </c>
      <c r="BU118" s="21" t="str">
        <f t="array" ref="BU118">_xlfn.TEXTJOIN("",TRUE,IF(ISERROR(FIND(ROW($1:$168)-1,BS118&amp;BT118)),ROW($1:$168)-1,""))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18" s="22" t="str">
        <f t="shared" si="134"/>
        <v>复中中</v>
      </c>
      <c r="BW118" s="23" t="str">
        <f t="shared" si="135"/>
        <v/>
      </c>
      <c r="BX118" s="23" t="str">
        <f t="shared" ref="BX118:BX137" si="146">IF(COUNTIF($W116:$Y116,X118)&gt;0,X118,"")</f>
        <v/>
      </c>
      <c r="BY118" s="23" t="str">
        <f t="array" ref="BY118">_xlfn.TEXTJOIN("",TRUE,IF(ISERROR(FIND(ROW($1:$168)-1,BW118&amp;BX118)),ROW($1:$168)-1,""))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18" s="22" t="str">
        <f t="shared" si="136"/>
        <v>中中中</v>
      </c>
      <c r="CA118" s="24">
        <f t="shared" si="137"/>
        <v>2</v>
      </c>
      <c r="CB118" s="24" t="str">
        <f t="shared" ref="CB118:CB137" si="147">IF(COUNTIF($W116:$Y116,Y118)&gt;0,Y118,"")</f>
        <v/>
      </c>
      <c r="CC118" s="24" t="str">
        <f t="array" ref="CC118">_xlfn.TEXTJOIN("",TRUE,IF(ISERROR(FIND(ROW($1:$168)-1,CA118&amp;CB118)),ROW($1:$168)-1,""))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18" s="22" t="str">
        <f t="shared" si="138"/>
        <v>复中中</v>
      </c>
      <c r="CE118" s="25" t="str">
        <f t="shared" si="139"/>
        <v>13</v>
      </c>
      <c r="CF118" s="95" t="str">
        <f t="array" ref="CF118">_xlfn.TEXTJOIN("",TRUE,IF(ISNUMBER(FIND(MID(CE117&amp;W117,ROW($1:$162),1),CE118&amp;W118)),MID(CE117&amp;W117,ROW($1:$162),1),""))</f>
        <v>132</v>
      </c>
      <c r="CG118" s="27" t="str">
        <f t="array" ref="CG118">_xlfn.TEXTJOIN("",TRUE,IF(ISERROR(FIND(ROW($1:$168)-1,CE118&amp;CF118)),ROW($1:$168)-1,""))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118" s="28" t="str">
        <f t="shared" si="140"/>
        <v>邻传孤</v>
      </c>
      <c r="CI118" s="29" t="str">
        <f t="shared" si="141"/>
        <v>91</v>
      </c>
      <c r="CJ118" s="29" t="str">
        <f t="array" ref="CJ118">_xlfn.TEXTJOIN("",TRUE,IF(ISNUMBER(FIND(MID(CI117&amp;X117,ROW($1:$162),1),CI118&amp;X118)),MID(CI117&amp;X117,ROW($1:$162),1),""))</f>
        <v/>
      </c>
      <c r="CK118" s="29" t="str">
        <f t="array" ref="CK118">_xlfn.TEXTJOIN("",TRUE,IF(ISERROR(FIND(ROW($1:$168)-1,CI118&amp;CJ118)),ROW($1:$168)-1,""))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118" s="19" t="str">
        <f t="shared" si="142"/>
        <v>邻孤孤</v>
      </c>
      <c r="CM118" s="24" t="str">
        <f t="shared" si="143"/>
        <v>13</v>
      </c>
      <c r="CN118" s="24" t="str">
        <f t="array" ref="CN118">_xlfn.TEXTJOIN("",TRUE,IF(ISNUMBER(FIND(MID(CM117&amp;Y117,ROW($1:$162),1),CM118&amp;Y118)),MID(CM117&amp;Y117,ROW($1:$162),1),""))</f>
        <v>21</v>
      </c>
      <c r="CO118" s="24" t="str">
        <f t="array" ref="CO118">_xlfn.TEXTJOIN("",TRUE,IF(ISERROR(FIND(ROW($1:$168)-1,CM118&amp;CN118)),ROW($1:$168)-1,""))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118" s="30" t="str">
        <f t="shared" si="144"/>
        <v>邻传孤</v>
      </c>
    </row>
    <row r="119" customFormat="1" spans="1:94">
      <c r="A119" s="15">
        <v>119</v>
      </c>
      <c r="B119" s="80">
        <v>2024088</v>
      </c>
      <c r="C119" s="8" t="s">
        <v>140</v>
      </c>
      <c r="D119" s="81">
        <f t="shared" si="124"/>
        <v>14</v>
      </c>
      <c r="E119" s="82">
        <f t="shared" si="125"/>
        <v>4</v>
      </c>
      <c r="F119" s="83">
        <f t="shared" si="74"/>
        <v>2.33333333333333</v>
      </c>
      <c r="G119" s="84" t="str">
        <f t="shared" si="75"/>
        <v>标准</v>
      </c>
      <c r="H119" s="85" t="s">
        <v>10</v>
      </c>
      <c r="I119" s="85" t="s">
        <v>11</v>
      </c>
      <c r="J119" s="85" t="s">
        <v>12</v>
      </c>
      <c r="K119" s="85" t="s">
        <v>13</v>
      </c>
      <c r="L119" s="86">
        <f>MAX(MID(C119,{1,2,3},1)*1)-MIN(MID(C119,{1,2,3},1)*1)</f>
        <v>6</v>
      </c>
      <c r="M119" s="87">
        <v>0</v>
      </c>
      <c r="N119" s="87">
        <v>1</v>
      </c>
      <c r="O119" s="87">
        <v>2</v>
      </c>
      <c r="P119" s="87">
        <v>3</v>
      </c>
      <c r="Q119" s="87">
        <v>4</v>
      </c>
      <c r="R119" s="87">
        <v>5</v>
      </c>
      <c r="S119" s="87">
        <v>6</v>
      </c>
      <c r="T119" s="87">
        <v>7</v>
      </c>
      <c r="U119" s="87">
        <v>8</v>
      </c>
      <c r="V119" s="87">
        <v>9</v>
      </c>
      <c r="W119" s="88">
        <f t="shared" si="126"/>
        <v>1</v>
      </c>
      <c r="X119" s="88">
        <f t="shared" si="127"/>
        <v>6</v>
      </c>
      <c r="Y119" s="88">
        <f t="shared" si="128"/>
        <v>5</v>
      </c>
      <c r="Z119" s="89">
        <f t="shared" si="129"/>
        <v>12</v>
      </c>
      <c r="AA119" s="17" t="str">
        <f>_xlfn.TEXTJOIN(", ",TRUE,ABS(MID(C119,{1,1,2},1)-MID(C119,{2,3,3},1)))</f>
        <v>1, 6, 5</v>
      </c>
      <c r="AB119" s="90">
        <v>0</v>
      </c>
      <c r="AC119" s="90">
        <v>1</v>
      </c>
      <c r="AD119" s="90">
        <v>2</v>
      </c>
      <c r="AE119" s="90">
        <v>3</v>
      </c>
      <c r="AF119" s="90">
        <v>4</v>
      </c>
      <c r="AG119" s="90">
        <v>5</v>
      </c>
      <c r="AH119" s="90">
        <v>6</v>
      </c>
      <c r="AI119" s="90">
        <v>7</v>
      </c>
      <c r="AJ119" s="90">
        <v>8</v>
      </c>
      <c r="AK119" s="90">
        <v>9</v>
      </c>
      <c r="AL119" s="91">
        <v>0</v>
      </c>
      <c r="AM119" s="91">
        <v>1</v>
      </c>
      <c r="AN119" s="91">
        <v>2</v>
      </c>
      <c r="AO119" s="91">
        <v>3</v>
      </c>
      <c r="AP119" s="91">
        <v>4</v>
      </c>
      <c r="AQ119" s="91">
        <v>5</v>
      </c>
      <c r="AR119" s="91">
        <v>6</v>
      </c>
      <c r="AS119" s="91">
        <v>7</v>
      </c>
      <c r="AT119" s="91">
        <v>8</v>
      </c>
      <c r="AU119" s="91">
        <v>9</v>
      </c>
      <c r="AV119" s="92">
        <v>0</v>
      </c>
      <c r="AW119" s="92">
        <v>1</v>
      </c>
      <c r="AX119" s="92">
        <v>2</v>
      </c>
      <c r="AY119" s="92">
        <v>3</v>
      </c>
      <c r="AZ119" s="92">
        <v>4</v>
      </c>
      <c r="BA119" s="92">
        <v>5</v>
      </c>
      <c r="BB119" s="92">
        <v>6</v>
      </c>
      <c r="BC119" s="92">
        <v>7</v>
      </c>
      <c r="BD119" s="92">
        <v>8</v>
      </c>
      <c r="BE119" s="92">
        <v>9</v>
      </c>
      <c r="BF119" s="93">
        <v>0</v>
      </c>
      <c r="BG119" s="93">
        <v>1</v>
      </c>
      <c r="BH119" s="93">
        <v>2</v>
      </c>
      <c r="BI119" s="93">
        <v>3</v>
      </c>
      <c r="BJ119" s="93">
        <v>4</v>
      </c>
      <c r="BK119" s="93">
        <v>5</v>
      </c>
      <c r="BL119" s="93">
        <v>6</v>
      </c>
      <c r="BM119" s="93">
        <v>7</v>
      </c>
      <c r="BN119" s="93">
        <v>8</v>
      </c>
      <c r="BO119" s="93">
        <v>9</v>
      </c>
      <c r="BP119" s="94" t="str">
        <f t="shared" si="130"/>
        <v>松散型</v>
      </c>
      <c r="BQ119" s="15">
        <f t="shared" si="131"/>
        <v>1</v>
      </c>
      <c r="BR119" s="15">
        <f t="shared" si="132"/>
        <v>6</v>
      </c>
      <c r="BS119" s="20" t="str">
        <f t="shared" si="133"/>
        <v/>
      </c>
      <c r="BT119" s="21">
        <f t="shared" si="145"/>
        <v>1</v>
      </c>
      <c r="BU119" s="21" t="str">
        <f t="array" ref="BU119">_xlfn.TEXTJOIN("",TRUE,IF(ISERROR(FIND(ROW($1:$168)-1,BS119&amp;BT119)),ROW($1:$168)-1,""))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19" s="22" t="str">
        <f t="shared" si="134"/>
        <v>中隔中</v>
      </c>
      <c r="BW119" s="23"/>
      <c r="BX119" s="23" t="str">
        <f t="shared" si="146"/>
        <v/>
      </c>
      <c r="BY119" s="23" t="str">
        <f t="array" ref="BY119">_xlfn.TEXTJOIN("",TRUE,IF(ISERROR(FIND(ROW($1:$168)-1,BW119&amp;BX119)),ROW($1:$168)-1,""))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19" s="22" t="str">
        <f t="shared" si="136"/>
        <v>中中中</v>
      </c>
      <c r="CA119" s="24" t="str">
        <f t="shared" si="137"/>
        <v/>
      </c>
      <c r="CB119" s="24" t="str">
        <f t="shared" si="147"/>
        <v/>
      </c>
      <c r="CC119" s="24" t="str">
        <f t="array" ref="CC119">_xlfn.TEXTJOIN("",TRUE,IF(ISERROR(FIND(ROW($1:$168)-1,CA119&amp;CB119)),ROW($1:$168)-1,""))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19" s="22" t="str">
        <f t="shared" si="138"/>
        <v>中中中</v>
      </c>
      <c r="CE119" s="25" t="str">
        <f t="shared" si="139"/>
        <v>02</v>
      </c>
      <c r="CF119" s="26" t="str">
        <f t="array" ref="CF119">_xlfn.TEXTJOIN("",TRUE,IF(ISNUMBER(FIND(MID(CE118&amp;W118,ROW($1:$162),1),CE119&amp;W119)),MID(CE118&amp;W118,ROW($1:$162),1),""))</f>
        <v>12</v>
      </c>
      <c r="CG119" s="27" t="str">
        <f t="array" ref="CG119">_xlfn.TEXTJOIN("",TRUE,IF(ISERROR(FIND(ROW($1:$168)-1,CE119&amp;CF119)),ROW($1:$168)-1,""))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19" s="28" t="str">
        <f t="shared" si="140"/>
        <v>邻传孤</v>
      </c>
      <c r="CI119" s="29" t="str">
        <f t="shared" si="141"/>
        <v>57</v>
      </c>
      <c r="CJ119" s="29" t="str">
        <f t="array" ref="CJ119">_xlfn.TEXTJOIN("",TRUE,IF(ISNUMBER(FIND(MID(CI118&amp;X118,ROW($1:$162),1),CI119&amp;X119)),MID(CI118&amp;X118,ROW($1:$162),1),""))</f>
        <v/>
      </c>
      <c r="CK119" s="29" t="str">
        <f t="array" ref="CK119">_xlfn.TEXTJOIN("",TRUE,IF(ISERROR(FIND(ROW($1:$168)-1,CI119&amp;CJ119)),ROW($1:$168)-1,""))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19" s="19" t="str">
        <f t="shared" si="142"/>
        <v>邻孤孤</v>
      </c>
      <c r="CM119" s="24" t="str">
        <f t="shared" si="143"/>
        <v>46</v>
      </c>
      <c r="CN119" s="24" t="str">
        <f t="array" ref="CN119">_xlfn.TEXTJOIN("",TRUE,IF(ISNUMBER(FIND(MID(CM118&amp;Y118,ROW($1:$162),1),CM119&amp;Y119)),MID(CM118&amp;Y118,ROW($1:$162),1),""))</f>
        <v/>
      </c>
      <c r="CO119" s="24" t="str">
        <f t="array" ref="CO119">_xlfn.TEXTJOIN("",TRUE,IF(ISERROR(FIND(ROW($1:$168)-1,CM119&amp;CN119)),ROW($1:$168)-1,""))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19" s="30" t="str">
        <f t="shared" si="144"/>
        <v>邻孤孤</v>
      </c>
    </row>
    <row r="120" customFormat="1" spans="1:94">
      <c r="A120" s="15">
        <v>120</v>
      </c>
      <c r="B120" s="80">
        <v>2024089</v>
      </c>
      <c r="C120" s="8" t="s">
        <v>141</v>
      </c>
      <c r="D120" s="81">
        <f t="shared" si="124"/>
        <v>16</v>
      </c>
      <c r="E120" s="82">
        <f t="shared" si="125"/>
        <v>6</v>
      </c>
      <c r="F120" s="83">
        <f t="shared" si="74"/>
        <v>5.33333333333333</v>
      </c>
      <c r="G120" s="84" t="str">
        <f t="shared" si="75"/>
        <v>紧凑</v>
      </c>
      <c r="H120" s="85" t="s">
        <v>10</v>
      </c>
      <c r="I120" s="85" t="s">
        <v>11</v>
      </c>
      <c r="J120" s="85" t="s">
        <v>12</v>
      </c>
      <c r="K120" s="85" t="s">
        <v>13</v>
      </c>
      <c r="L120" s="86">
        <f>MAX(MID(C120,{1,2,3},1)*1)-MIN(MID(C120,{1,2,3},1)*1)</f>
        <v>3</v>
      </c>
      <c r="M120" s="87">
        <v>0</v>
      </c>
      <c r="N120" s="87">
        <v>1</v>
      </c>
      <c r="O120" s="87">
        <v>2</v>
      </c>
      <c r="P120" s="87">
        <v>3</v>
      </c>
      <c r="Q120" s="87">
        <v>4</v>
      </c>
      <c r="R120" s="87">
        <v>5</v>
      </c>
      <c r="S120" s="87">
        <v>6</v>
      </c>
      <c r="T120" s="87">
        <v>7</v>
      </c>
      <c r="U120" s="87">
        <v>8</v>
      </c>
      <c r="V120" s="87">
        <v>9</v>
      </c>
      <c r="W120" s="88">
        <f t="shared" si="126"/>
        <v>1</v>
      </c>
      <c r="X120" s="88">
        <f t="shared" si="127"/>
        <v>3</v>
      </c>
      <c r="Y120" s="88">
        <f t="shared" si="128"/>
        <v>2</v>
      </c>
      <c r="Z120" s="89">
        <f t="shared" si="129"/>
        <v>6</v>
      </c>
      <c r="AA120" s="17" t="str">
        <f>_xlfn.TEXTJOIN(", ",TRUE,ABS(MID(C120,{1,1,2},1)-MID(C120,{2,3,3},1)))</f>
        <v>1, 3, 2</v>
      </c>
      <c r="AB120" s="90">
        <v>0</v>
      </c>
      <c r="AC120" s="90">
        <v>1</v>
      </c>
      <c r="AD120" s="90">
        <v>2</v>
      </c>
      <c r="AE120" s="90">
        <v>3</v>
      </c>
      <c r="AF120" s="90">
        <v>4</v>
      </c>
      <c r="AG120" s="90">
        <v>5</v>
      </c>
      <c r="AH120" s="90">
        <v>6</v>
      </c>
      <c r="AI120" s="90">
        <v>7</v>
      </c>
      <c r="AJ120" s="90">
        <v>8</v>
      </c>
      <c r="AK120" s="90">
        <v>9</v>
      </c>
      <c r="AL120" s="91">
        <v>0</v>
      </c>
      <c r="AM120" s="91">
        <v>1</v>
      </c>
      <c r="AN120" s="91"/>
      <c r="AO120" s="91">
        <v>3</v>
      </c>
      <c r="AP120" s="91">
        <v>4</v>
      </c>
      <c r="AQ120" s="91">
        <v>5</v>
      </c>
      <c r="AR120" s="91">
        <v>6</v>
      </c>
      <c r="AS120" s="91">
        <v>7</v>
      </c>
      <c r="AT120" s="91">
        <v>8</v>
      </c>
      <c r="AU120" s="91">
        <v>9</v>
      </c>
      <c r="AV120" s="92">
        <v>0</v>
      </c>
      <c r="AW120" s="92">
        <v>1</v>
      </c>
      <c r="AX120" s="92">
        <v>2</v>
      </c>
      <c r="AY120" s="92">
        <v>3</v>
      </c>
      <c r="AZ120" s="92">
        <v>4</v>
      </c>
      <c r="BA120" s="92">
        <v>5</v>
      </c>
      <c r="BB120" s="92">
        <v>6</v>
      </c>
      <c r="BC120" s="92">
        <v>7</v>
      </c>
      <c r="BD120" s="92">
        <v>8</v>
      </c>
      <c r="BE120" s="92">
        <v>9</v>
      </c>
      <c r="BF120" s="93">
        <v>0</v>
      </c>
      <c r="BG120" s="93">
        <v>1</v>
      </c>
      <c r="BH120" s="93">
        <v>2</v>
      </c>
      <c r="BI120" s="93">
        <v>3</v>
      </c>
      <c r="BJ120" s="93">
        <v>4</v>
      </c>
      <c r="BK120" s="93">
        <v>5</v>
      </c>
      <c r="BL120" s="93">
        <v>6</v>
      </c>
      <c r="BM120" s="93">
        <v>7</v>
      </c>
      <c r="BN120" s="93">
        <v>8</v>
      </c>
      <c r="BO120" s="93">
        <v>9</v>
      </c>
      <c r="BP120" s="94" t="str">
        <f t="shared" si="130"/>
        <v>紧凑型</v>
      </c>
      <c r="BQ120" s="15">
        <f t="shared" si="131"/>
        <v>1</v>
      </c>
      <c r="BR120" s="15">
        <f t="shared" si="132"/>
        <v>3</v>
      </c>
      <c r="BS120" s="20">
        <f t="shared" si="133"/>
        <v>1</v>
      </c>
      <c r="BT120" s="21" t="str">
        <f t="shared" si="145"/>
        <v/>
      </c>
      <c r="BU120" s="21" t="str">
        <f t="array" ref="BU120">_xlfn.TEXTJOIN("",TRUE,IF(ISERROR(FIND(ROW($1:$168)-1,BS120&amp;BT120)),ROW($1:$168)-1,""))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20" s="22" t="str">
        <f t="shared" si="134"/>
        <v>复中中</v>
      </c>
      <c r="BW120" s="23" t="str">
        <f t="shared" si="135"/>
        <v/>
      </c>
      <c r="BX120" s="23" t="str">
        <f t="shared" si="146"/>
        <v/>
      </c>
      <c r="BY120" s="23" t="str">
        <f t="array" ref="BY120">_xlfn.TEXTJOIN("",TRUE,IF(ISERROR(FIND(ROW($1:$168)-1,BW120&amp;BX120)),ROW($1:$168)-1,""))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20" s="22" t="str">
        <f t="shared" si="136"/>
        <v>中中中</v>
      </c>
      <c r="CA120" s="24" t="str">
        <f t="shared" si="137"/>
        <v/>
      </c>
      <c r="CB120" s="24">
        <f t="shared" si="147"/>
        <v>2</v>
      </c>
      <c r="CC120" s="24" t="str">
        <f t="array" ref="CC120">_xlfn.TEXTJOIN("",TRUE,IF(ISERROR(FIND(ROW($1:$168)-1,CA120&amp;CB120)),ROW($1:$168)-1,""))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20" s="22" t="str">
        <f t="shared" si="138"/>
        <v>中隔中</v>
      </c>
      <c r="CE120" s="25" t="str">
        <f t="shared" si="139"/>
        <v>02</v>
      </c>
      <c r="CF120" s="26" t="str">
        <f t="array" ref="CF120">_xlfn.TEXTJOIN("",TRUE,IF(ISNUMBER(FIND(MID(CE119&amp;W119,ROW($1:$162),1),CE120&amp;W120)),MID(CE119&amp;W119,ROW($1:$162),1),""))</f>
        <v>021</v>
      </c>
      <c r="CG120" s="27" t="str">
        <f t="array" ref="CG120">_xlfn.TEXTJOIN("",TRUE,IF(ISERROR(FIND(ROW($1:$168)-1,CE120&amp;CF120)),ROW($1:$168)-1,""))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20" s="28" t="str">
        <f t="shared" si="140"/>
        <v>邻传孤</v>
      </c>
      <c r="CI120" s="29" t="str">
        <f t="shared" si="141"/>
        <v>24</v>
      </c>
      <c r="CJ120" s="29" t="str">
        <f t="array" ref="CJ120">_xlfn.TEXTJOIN("",TRUE,IF(ISNUMBER(FIND(MID(CI119&amp;X119,ROW($1:$162),1),CI120&amp;X120)),MID(CI119&amp;X119,ROW($1:$162),1),""))</f>
        <v/>
      </c>
      <c r="CK120" s="29" t="str">
        <f t="array" ref="CK120">_xlfn.TEXTJOIN("",TRUE,IF(ISERROR(FIND(ROW($1:$168)-1,CI120&amp;CJ120)),ROW($1:$168)-1,""))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20" s="19" t="str">
        <f t="shared" si="142"/>
        <v>邻孤孤</v>
      </c>
      <c r="CM120" s="24" t="str">
        <f t="shared" si="143"/>
        <v>13</v>
      </c>
      <c r="CN120" s="24" t="str">
        <f t="array" ref="CN120">_xlfn.TEXTJOIN("",TRUE,IF(ISNUMBER(FIND(MID(CM119&amp;Y119,ROW($1:$162),1),CM120&amp;Y120)),MID(CM119&amp;Y119,ROW($1:$162),1),""))</f>
        <v/>
      </c>
      <c r="CO120" s="24" t="str">
        <f t="array" ref="CO120">_xlfn.TEXTJOIN("",TRUE,IF(ISERROR(FIND(ROW($1:$168)-1,CM120&amp;CN120)),ROW($1:$168)-1,""))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20" s="30" t="str">
        <f t="shared" si="144"/>
        <v>邻孤孤</v>
      </c>
    </row>
    <row r="121" customFormat="1" spans="1:94">
      <c r="A121" s="15">
        <v>121</v>
      </c>
      <c r="B121" s="80">
        <v>2024090</v>
      </c>
      <c r="C121" s="8" t="s">
        <v>142</v>
      </c>
      <c r="D121" s="81">
        <f t="shared" si="124"/>
        <v>17</v>
      </c>
      <c r="E121" s="82">
        <f t="shared" si="125"/>
        <v>7</v>
      </c>
      <c r="F121" s="83">
        <f t="shared" si="74"/>
        <v>1.88888888888889</v>
      </c>
      <c r="G121" s="84" t="str">
        <f t="shared" si="75"/>
        <v>松散</v>
      </c>
      <c r="H121" s="85" t="s">
        <v>10</v>
      </c>
      <c r="I121" s="85" t="s">
        <v>11</v>
      </c>
      <c r="J121" s="85" t="s">
        <v>12</v>
      </c>
      <c r="K121" s="85" t="s">
        <v>13</v>
      </c>
      <c r="L121" s="86">
        <f>MAX(MID(C121,{1,2,3},1)*1)-MIN(MID(C121,{1,2,3},1)*1)</f>
        <v>9</v>
      </c>
      <c r="M121" s="87">
        <v>0</v>
      </c>
      <c r="N121" s="87">
        <v>1</v>
      </c>
      <c r="O121" s="87">
        <v>2</v>
      </c>
      <c r="P121" s="87">
        <v>3</v>
      </c>
      <c r="Q121" s="87">
        <v>4</v>
      </c>
      <c r="R121" s="87">
        <v>5</v>
      </c>
      <c r="S121" s="87">
        <v>6</v>
      </c>
      <c r="T121" s="87">
        <v>7</v>
      </c>
      <c r="U121" s="87">
        <v>8</v>
      </c>
      <c r="V121" s="87">
        <v>9</v>
      </c>
      <c r="W121" s="88">
        <f t="shared" si="126"/>
        <v>1</v>
      </c>
      <c r="X121" s="88">
        <f t="shared" si="127"/>
        <v>8</v>
      </c>
      <c r="Y121" s="88">
        <f t="shared" si="128"/>
        <v>9</v>
      </c>
      <c r="Z121" s="89">
        <f t="shared" si="129"/>
        <v>18</v>
      </c>
      <c r="AA121" s="17" t="str">
        <f>_xlfn.TEXTJOIN(", ",TRUE,ABS(MID(C121,{1,1,2},1)-MID(C121,{2,3,3},1)))</f>
        <v>1, 8, 9</v>
      </c>
      <c r="AB121" s="90">
        <v>0</v>
      </c>
      <c r="AC121" s="90">
        <v>1</v>
      </c>
      <c r="AD121" s="90">
        <v>2</v>
      </c>
      <c r="AE121" s="90">
        <v>3</v>
      </c>
      <c r="AF121" s="90">
        <v>4</v>
      </c>
      <c r="AG121" s="90">
        <v>5</v>
      </c>
      <c r="AH121" s="90">
        <v>6</v>
      </c>
      <c r="AI121" s="90">
        <v>7</v>
      </c>
      <c r="AJ121" s="90">
        <v>8</v>
      </c>
      <c r="AK121" s="90">
        <v>9</v>
      </c>
      <c r="AL121" s="91">
        <v>0</v>
      </c>
      <c r="AM121" s="91">
        <v>1</v>
      </c>
      <c r="AN121" s="91">
        <v>2</v>
      </c>
      <c r="AO121" s="91">
        <v>3</v>
      </c>
      <c r="AP121" s="91">
        <v>4</v>
      </c>
      <c r="AQ121" s="91">
        <v>5</v>
      </c>
      <c r="AR121" s="91">
        <v>6</v>
      </c>
      <c r="AS121" s="91">
        <v>7</v>
      </c>
      <c r="AT121" s="91">
        <v>8</v>
      </c>
      <c r="AU121" s="91">
        <v>9</v>
      </c>
      <c r="AV121" s="92">
        <v>0</v>
      </c>
      <c r="AW121" s="92">
        <v>1</v>
      </c>
      <c r="AX121" s="92">
        <v>2</v>
      </c>
      <c r="AY121" s="92">
        <v>3</v>
      </c>
      <c r="AZ121" s="92">
        <v>4</v>
      </c>
      <c r="BA121" s="92">
        <v>5</v>
      </c>
      <c r="BB121" s="92">
        <v>6</v>
      </c>
      <c r="BC121" s="92">
        <v>7</v>
      </c>
      <c r="BD121" s="92">
        <v>8</v>
      </c>
      <c r="BE121" s="92">
        <v>9</v>
      </c>
      <c r="BF121" s="93">
        <v>0</v>
      </c>
      <c r="BG121" s="93">
        <v>1</v>
      </c>
      <c r="BH121" s="93">
        <v>2</v>
      </c>
      <c r="BI121" s="93">
        <v>3</v>
      </c>
      <c r="BJ121" s="93">
        <v>4</v>
      </c>
      <c r="BK121" s="93">
        <v>5</v>
      </c>
      <c r="BL121" s="93">
        <v>6</v>
      </c>
      <c r="BM121" s="93">
        <v>7</v>
      </c>
      <c r="BN121" s="93">
        <v>8</v>
      </c>
      <c r="BO121" s="93">
        <v>9</v>
      </c>
      <c r="BP121" s="94" t="str">
        <f t="shared" si="130"/>
        <v>松散型</v>
      </c>
      <c r="BQ121" s="15">
        <f t="shared" si="131"/>
        <v>1</v>
      </c>
      <c r="BR121" s="15">
        <f t="shared" si="132"/>
        <v>9</v>
      </c>
      <c r="BS121" s="20">
        <f t="shared" si="133"/>
        <v>1</v>
      </c>
      <c r="BT121" s="21">
        <f t="shared" si="145"/>
        <v>1</v>
      </c>
      <c r="BU121" s="21" t="str">
        <f t="array" ref="BU121">_xlfn.TEXTJOIN("",TRUE,IF(ISERROR(FIND(ROW($1:$168)-1,BS121&amp;BT121)),ROW($1:$168)-1,""))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21" s="22" t="str">
        <f t="shared" si="134"/>
        <v>复隔中</v>
      </c>
      <c r="BW121" s="23" t="str">
        <f t="shared" si="135"/>
        <v/>
      </c>
      <c r="BX121" s="23" t="str">
        <f t="shared" si="146"/>
        <v/>
      </c>
      <c r="BY121" s="23" t="str">
        <f t="array" ref="BY121">_xlfn.TEXTJOIN("",TRUE,IF(ISERROR(FIND(ROW($1:$168)-1,BW121&amp;BX121)),ROW($1:$168)-1,""))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21" s="22" t="str">
        <f t="shared" si="136"/>
        <v>中中中</v>
      </c>
      <c r="CA121" s="24" t="str">
        <f t="shared" si="137"/>
        <v/>
      </c>
      <c r="CB121" s="24" t="str">
        <f t="shared" si="147"/>
        <v/>
      </c>
      <c r="CC121" s="24" t="str">
        <f t="array" ref="CC121">_xlfn.TEXTJOIN("",TRUE,IF(ISERROR(FIND(ROW($1:$168)-1,CA121&amp;CB121)),ROW($1:$168)-1,""))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21" s="22" t="str">
        <f t="shared" si="138"/>
        <v>中中中</v>
      </c>
      <c r="CE121" s="25" t="str">
        <f t="shared" si="139"/>
        <v>02</v>
      </c>
      <c r="CF121" s="26" t="str">
        <f t="array" ref="CF121">_xlfn.TEXTJOIN("",TRUE,IF(ISNUMBER(FIND(MID(CE120&amp;W120,ROW($1:$162),1),CE121&amp;W121)),MID(CE120&amp;W120,ROW($1:$162),1),""))</f>
        <v>021</v>
      </c>
      <c r="CG121" s="27" t="str">
        <f t="array" ref="CG121">_xlfn.TEXTJOIN("",TRUE,IF(ISERROR(FIND(ROW($1:$168)-1,CE121&amp;CF121)),ROW($1:$168)-1,""))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21" s="28" t="str">
        <f t="shared" si="140"/>
        <v>邻传孤</v>
      </c>
      <c r="CI121" s="29" t="str">
        <f t="shared" si="141"/>
        <v>79</v>
      </c>
      <c r="CJ121" s="29" t="str">
        <f t="array" ref="CJ121">_xlfn.TEXTJOIN("",TRUE,IF(ISNUMBER(FIND(MID(CI120&amp;X120,ROW($1:$162),1),CI121&amp;X121)),MID(CI120&amp;X120,ROW($1:$162),1),""))</f>
        <v/>
      </c>
      <c r="CK121" s="29" t="str">
        <f t="array" ref="CK121">_xlfn.TEXTJOIN("",TRUE,IF(ISERROR(FIND(ROW($1:$168)-1,CI121&amp;CJ121)),ROW($1:$168)-1,""))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121" s="19" t="str">
        <f t="shared" si="142"/>
        <v>邻孤孤</v>
      </c>
      <c r="CM121" s="24" t="str">
        <f t="shared" si="143"/>
        <v>80</v>
      </c>
      <c r="CN121" s="24" t="str">
        <f t="array" ref="CN121">_xlfn.TEXTJOIN("",TRUE,IF(ISNUMBER(FIND(MID(CM120&amp;Y120,ROW($1:$162),1),CM121&amp;Y121)),MID(CM120&amp;Y120,ROW($1:$162),1),""))</f>
        <v/>
      </c>
      <c r="CO121" s="24" t="str">
        <f t="array" ref="CO121">_xlfn.TEXTJOIN("",TRUE,IF(ISERROR(FIND(ROW($1:$168)-1,CM121&amp;CN121)),ROW($1:$168)-1,""))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121" s="30" t="str">
        <f t="shared" si="144"/>
        <v>邻孤孤</v>
      </c>
    </row>
    <row r="122" customFormat="1" spans="1:94">
      <c r="A122" s="15">
        <v>122</v>
      </c>
      <c r="B122" s="80">
        <v>2024091</v>
      </c>
      <c r="C122" s="8" t="s">
        <v>143</v>
      </c>
      <c r="D122" s="81">
        <f t="shared" si="124"/>
        <v>15</v>
      </c>
      <c r="E122" s="82">
        <f t="shared" si="125"/>
        <v>5</v>
      </c>
      <c r="F122" s="83">
        <f t="shared" si="74"/>
        <v>7.5</v>
      </c>
      <c r="G122" s="84" t="str">
        <f t="shared" si="75"/>
        <v>紧凑</v>
      </c>
      <c r="H122" s="85" t="s">
        <v>10</v>
      </c>
      <c r="I122" s="85" t="s">
        <v>11</v>
      </c>
      <c r="J122" s="85" t="s">
        <v>12</v>
      </c>
      <c r="K122" s="85" t="s">
        <v>13</v>
      </c>
      <c r="L122" s="86">
        <f>MAX(MID(C122,{1,2,3},1)*1)-MIN(MID(C122,{1,2,3},1)*1)</f>
        <v>2</v>
      </c>
      <c r="M122" s="87">
        <v>0</v>
      </c>
      <c r="N122" s="87">
        <v>1</v>
      </c>
      <c r="O122" s="87">
        <v>2</v>
      </c>
      <c r="P122" s="87">
        <v>3</v>
      </c>
      <c r="Q122" s="87">
        <v>4</v>
      </c>
      <c r="R122" s="87">
        <v>5</v>
      </c>
      <c r="S122" s="87">
        <v>6</v>
      </c>
      <c r="T122" s="87">
        <v>7</v>
      </c>
      <c r="U122" s="87">
        <v>8</v>
      </c>
      <c r="V122" s="87">
        <v>9</v>
      </c>
      <c r="W122" s="88">
        <f t="shared" si="126"/>
        <v>1</v>
      </c>
      <c r="X122" s="88">
        <f t="shared" si="127"/>
        <v>1</v>
      </c>
      <c r="Y122" s="88">
        <f t="shared" si="128"/>
        <v>2</v>
      </c>
      <c r="Z122" s="89">
        <f t="shared" si="129"/>
        <v>4</v>
      </c>
      <c r="AA122" s="17" t="str">
        <f>_xlfn.TEXTJOIN(", ",TRUE,ABS(MID(C122,{1,1,2},1)-MID(C122,{2,3,3},1)))</f>
        <v>1, 1, 2</v>
      </c>
      <c r="AB122" s="90">
        <v>0</v>
      </c>
      <c r="AC122" s="90">
        <v>1</v>
      </c>
      <c r="AD122" s="90">
        <v>2</v>
      </c>
      <c r="AE122" s="90">
        <v>3</v>
      </c>
      <c r="AF122" s="90">
        <v>4</v>
      </c>
      <c r="AG122" s="90">
        <v>5</v>
      </c>
      <c r="AH122" s="90">
        <v>6</v>
      </c>
      <c r="AI122" s="90">
        <v>7</v>
      </c>
      <c r="AJ122" s="90">
        <v>8</v>
      </c>
      <c r="AK122" s="90">
        <v>9</v>
      </c>
      <c r="AL122" s="91">
        <v>0</v>
      </c>
      <c r="AM122" s="91">
        <v>1</v>
      </c>
      <c r="AN122" s="91">
        <v>2</v>
      </c>
      <c r="AO122" s="91">
        <v>3</v>
      </c>
      <c r="AP122" s="91">
        <v>4</v>
      </c>
      <c r="AQ122" s="91">
        <v>5</v>
      </c>
      <c r="AR122" s="91">
        <v>6</v>
      </c>
      <c r="AS122" s="91">
        <v>7</v>
      </c>
      <c r="AT122" s="91">
        <v>8</v>
      </c>
      <c r="AU122" s="91">
        <v>9</v>
      </c>
      <c r="AV122" s="92">
        <v>0</v>
      </c>
      <c r="AW122" s="92">
        <v>1</v>
      </c>
      <c r="AX122" s="92">
        <v>2</v>
      </c>
      <c r="AY122" s="92">
        <v>3</v>
      </c>
      <c r="AZ122" s="92">
        <v>4</v>
      </c>
      <c r="BA122" s="92">
        <v>5</v>
      </c>
      <c r="BB122" s="92">
        <v>6</v>
      </c>
      <c r="BC122" s="92">
        <v>7</v>
      </c>
      <c r="BD122" s="92">
        <v>8</v>
      </c>
      <c r="BE122" s="92">
        <v>9</v>
      </c>
      <c r="BF122" s="93">
        <v>0</v>
      </c>
      <c r="BG122" s="93">
        <v>1</v>
      </c>
      <c r="BH122" s="93">
        <v>2</v>
      </c>
      <c r="BI122" s="93">
        <v>3</v>
      </c>
      <c r="BJ122" s="93">
        <v>4</v>
      </c>
      <c r="BK122" s="93">
        <v>5</v>
      </c>
      <c r="BL122" s="93">
        <v>6</v>
      </c>
      <c r="BM122" s="93">
        <v>7</v>
      </c>
      <c r="BN122" s="93">
        <v>8</v>
      </c>
      <c r="BO122" s="93">
        <v>9</v>
      </c>
      <c r="BP122" s="94" t="str">
        <f t="shared" si="130"/>
        <v>紧凑型</v>
      </c>
      <c r="BQ122" s="15">
        <f t="shared" si="131"/>
        <v>1</v>
      </c>
      <c r="BR122" s="15">
        <f t="shared" si="132"/>
        <v>2</v>
      </c>
      <c r="BS122" s="20">
        <f t="shared" si="133"/>
        <v>1</v>
      </c>
      <c r="BT122" s="21">
        <f t="shared" si="145"/>
        <v>1</v>
      </c>
      <c r="BU122" s="21" t="str">
        <f t="array" ref="BU122">_xlfn.TEXTJOIN("",TRUE,IF(ISERROR(FIND(ROW($1:$168)-1,BS122&amp;BT122)),ROW($1:$168)-1,""))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22" s="22" t="str">
        <f t="shared" si="134"/>
        <v>复隔中</v>
      </c>
      <c r="BW122" s="23">
        <f t="shared" si="135"/>
        <v>1</v>
      </c>
      <c r="BX122" s="23">
        <f t="shared" si="146"/>
        <v>1</v>
      </c>
      <c r="BY122" s="23" t="str">
        <f t="array" ref="BY122">_xlfn.TEXTJOIN("",TRUE,IF(ISERROR(FIND(ROW($1:$168)-1,BW122&amp;BX122)),ROW($1:$168)-1,""))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22" s="22" t="str">
        <f t="shared" si="136"/>
        <v>复隔中</v>
      </c>
      <c r="CA122" s="24" t="str">
        <f t="shared" si="137"/>
        <v/>
      </c>
      <c r="CB122" s="24">
        <f t="shared" si="147"/>
        <v>2</v>
      </c>
      <c r="CC122" s="24" t="str">
        <f t="array" ref="CC122">_xlfn.TEXTJOIN("",TRUE,IF(ISERROR(FIND(ROW($1:$168)-1,CA122&amp;CB122)),ROW($1:$168)-1,""))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22" s="22" t="str">
        <f t="shared" si="138"/>
        <v>中隔中</v>
      </c>
      <c r="CE122" s="25" t="str">
        <f t="shared" si="139"/>
        <v>02</v>
      </c>
      <c r="CF122" s="26" t="str">
        <f t="array" ref="CF122">_xlfn.TEXTJOIN("",TRUE,IF(ISNUMBER(FIND(MID(CE121&amp;W121,ROW($1:$162),1),CE122&amp;W122)),MID(CE121&amp;W121,ROW($1:$162),1),""))</f>
        <v>021</v>
      </c>
      <c r="CG122" s="27" t="str">
        <f t="array" ref="CG122">_xlfn.TEXTJOIN("",TRUE,IF(ISERROR(FIND(ROW($1:$168)-1,CE122&amp;CF122)),ROW($1:$168)-1,""))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22" s="28" t="str">
        <f t="shared" si="140"/>
        <v>邻传孤</v>
      </c>
      <c r="CI122" s="29" t="str">
        <f t="shared" si="141"/>
        <v>02</v>
      </c>
      <c r="CJ122" s="29" t="str">
        <f t="array" ref="CJ122">_xlfn.TEXTJOIN("",TRUE,IF(ISNUMBER(FIND(MID(CI121&amp;X121,ROW($1:$162),1),CI122&amp;X122)),MID(CI121&amp;X121,ROW($1:$162),1),""))</f>
        <v/>
      </c>
      <c r="CK122" s="29" t="str">
        <f t="array" ref="CK122">_xlfn.TEXTJOIN("",TRUE,IF(ISERROR(FIND(ROW($1:$168)-1,CI122&amp;CJ122)),ROW($1:$168)-1,""))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22" s="19" t="str">
        <f t="shared" si="142"/>
        <v>邻孤孤</v>
      </c>
      <c r="CM122" s="24" t="str">
        <f t="shared" si="143"/>
        <v>13</v>
      </c>
      <c r="CN122" s="24" t="str">
        <f t="array" ref="CN122">_xlfn.TEXTJOIN("",TRUE,IF(ISNUMBER(FIND(MID(CM121&amp;Y121,ROW($1:$162),1),CM122&amp;Y122)),MID(CM121&amp;Y121,ROW($1:$162),1),""))</f>
        <v/>
      </c>
      <c r="CO122" s="24" t="str">
        <f t="array" ref="CO122">_xlfn.TEXTJOIN("",TRUE,IF(ISERROR(FIND(ROW($1:$168)-1,CM122&amp;CN122)),ROW($1:$168)-1,""))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22" s="30" t="str">
        <f t="shared" si="144"/>
        <v>邻孤孤</v>
      </c>
    </row>
    <row r="123" customFormat="1" spans="1:94">
      <c r="A123" s="15">
        <v>123</v>
      </c>
      <c r="B123" s="80">
        <v>2024092</v>
      </c>
      <c r="C123" s="8" t="s">
        <v>144</v>
      </c>
      <c r="D123" s="81">
        <f t="shared" si="124"/>
        <v>8</v>
      </c>
      <c r="E123" s="82">
        <f t="shared" si="125"/>
        <v>8</v>
      </c>
      <c r="F123" s="83">
        <f t="shared" si="74"/>
        <v>1.14285714285714</v>
      </c>
      <c r="G123" s="84" t="str">
        <f t="shared" si="75"/>
        <v>松散</v>
      </c>
      <c r="H123" s="85" t="s">
        <v>10</v>
      </c>
      <c r="I123" s="85" t="s">
        <v>11</v>
      </c>
      <c r="J123" s="85" t="s">
        <v>12</v>
      </c>
      <c r="K123" s="85" t="s">
        <v>13</v>
      </c>
      <c r="L123" s="86">
        <f>MAX(MID(C123,{1,2,3},1)*1)-MIN(MID(C123,{1,2,3},1)*1)</f>
        <v>7</v>
      </c>
      <c r="M123" s="87">
        <v>0</v>
      </c>
      <c r="N123" s="87">
        <v>1</v>
      </c>
      <c r="O123" s="87">
        <v>2</v>
      </c>
      <c r="P123" s="87">
        <v>3</v>
      </c>
      <c r="Q123" s="87">
        <v>4</v>
      </c>
      <c r="R123" s="87">
        <v>5</v>
      </c>
      <c r="S123" s="87">
        <v>6</v>
      </c>
      <c r="T123" s="87">
        <v>7</v>
      </c>
      <c r="U123" s="87">
        <v>8</v>
      </c>
      <c r="V123" s="87">
        <v>9</v>
      </c>
      <c r="W123" s="88">
        <f t="shared" si="126"/>
        <v>7</v>
      </c>
      <c r="X123" s="88">
        <f t="shared" si="127"/>
        <v>1</v>
      </c>
      <c r="Y123" s="88">
        <f t="shared" si="128"/>
        <v>6</v>
      </c>
      <c r="Z123" s="89">
        <f t="shared" si="129"/>
        <v>14</v>
      </c>
      <c r="AA123" s="17" t="str">
        <f>_xlfn.TEXTJOIN(", ",TRUE,ABS(MID(C123,{1,1,2},1)-MID(C123,{2,3,3},1)))</f>
        <v>7, 1, 6</v>
      </c>
      <c r="AB123" s="90">
        <v>0</v>
      </c>
      <c r="AC123" s="90">
        <v>1</v>
      </c>
      <c r="AD123" s="90">
        <v>2</v>
      </c>
      <c r="AE123" s="90">
        <v>3</v>
      </c>
      <c r="AF123" s="90">
        <v>4</v>
      </c>
      <c r="AG123" s="90">
        <v>5</v>
      </c>
      <c r="AH123" s="90">
        <v>6</v>
      </c>
      <c r="AI123" s="90">
        <v>7</v>
      </c>
      <c r="AJ123" s="90">
        <v>8</v>
      </c>
      <c r="AK123" s="90">
        <v>9</v>
      </c>
      <c r="AL123" s="91">
        <v>0</v>
      </c>
      <c r="AM123" s="91">
        <v>1</v>
      </c>
      <c r="AN123" s="91">
        <v>2</v>
      </c>
      <c r="AO123" s="91">
        <v>3</v>
      </c>
      <c r="AP123" s="91">
        <v>4</v>
      </c>
      <c r="AQ123" s="91">
        <v>5</v>
      </c>
      <c r="AR123" s="91">
        <v>6</v>
      </c>
      <c r="AS123" s="91">
        <v>7</v>
      </c>
      <c r="AT123" s="91">
        <v>8</v>
      </c>
      <c r="AU123" s="91">
        <v>9</v>
      </c>
      <c r="AV123" s="92">
        <v>0</v>
      </c>
      <c r="AW123" s="92">
        <v>1</v>
      </c>
      <c r="AX123" s="92">
        <v>2</v>
      </c>
      <c r="AY123" s="92">
        <v>3</v>
      </c>
      <c r="AZ123" s="92">
        <v>4</v>
      </c>
      <c r="BA123" s="92">
        <v>5</v>
      </c>
      <c r="BB123" s="92">
        <v>6</v>
      </c>
      <c r="BC123" s="92">
        <v>7</v>
      </c>
      <c r="BD123" s="92">
        <v>8</v>
      </c>
      <c r="BE123" s="92">
        <v>9</v>
      </c>
      <c r="BF123" s="93">
        <v>0</v>
      </c>
      <c r="BG123" s="93">
        <v>1</v>
      </c>
      <c r="BH123" s="93">
        <v>2</v>
      </c>
      <c r="BI123" s="93">
        <v>3</v>
      </c>
      <c r="BJ123" s="93">
        <v>4</v>
      </c>
      <c r="BK123" s="93">
        <v>5</v>
      </c>
      <c r="BL123" s="93">
        <v>6</v>
      </c>
      <c r="BM123" s="93">
        <v>7</v>
      </c>
      <c r="BN123" s="93">
        <v>8</v>
      </c>
      <c r="BO123" s="93">
        <v>9</v>
      </c>
      <c r="BP123" s="94" t="str">
        <f t="shared" si="130"/>
        <v>松散型</v>
      </c>
      <c r="BQ123" s="15">
        <f t="shared" si="131"/>
        <v>1</v>
      </c>
      <c r="BR123" s="15">
        <f t="shared" si="132"/>
        <v>7</v>
      </c>
      <c r="BS123" s="20" t="str">
        <f t="shared" si="133"/>
        <v/>
      </c>
      <c r="BT123" s="21" t="str">
        <f t="shared" si="145"/>
        <v/>
      </c>
      <c r="BU123" s="21" t="str">
        <f t="array" ref="BU123">_xlfn.TEXTJOIN("",TRUE,IF(ISERROR(FIND(ROW($1:$168)-1,BS123&amp;BT123)),ROW($1:$168)-1,""))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23" s="22" t="str">
        <f t="shared" si="134"/>
        <v>中中中</v>
      </c>
      <c r="BW123" s="23">
        <f t="shared" si="135"/>
        <v>1</v>
      </c>
      <c r="BX123" s="23">
        <f t="shared" si="146"/>
        <v>1</v>
      </c>
      <c r="BY123" s="23" t="str">
        <f t="array" ref="BY123">_xlfn.TEXTJOIN("",TRUE,IF(ISERROR(FIND(ROW($1:$168)-1,BW123&amp;BX123)),ROW($1:$168)-1,""))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23" s="22" t="str">
        <f t="shared" si="136"/>
        <v>复隔中</v>
      </c>
      <c r="CA123" s="24" t="str">
        <f t="shared" si="137"/>
        <v/>
      </c>
      <c r="CB123" s="24" t="str">
        <f t="shared" si="147"/>
        <v/>
      </c>
      <c r="CC123" s="24" t="str">
        <f t="array" ref="CC123">_xlfn.TEXTJOIN("",TRUE,IF(ISERROR(FIND(ROW($1:$168)-1,CA123&amp;CB123)),ROW($1:$168)-1,""))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23" s="22" t="str">
        <f t="shared" si="138"/>
        <v>中中中</v>
      </c>
      <c r="CE123" s="25" t="str">
        <f t="shared" si="139"/>
        <v>68</v>
      </c>
      <c r="CF123" s="26" t="str">
        <f t="array" ref="CF123">_xlfn.TEXTJOIN("",TRUE,IF(ISNUMBER(FIND(MID(CE122&amp;W122,ROW($1:$162),1),CE123&amp;W123)),MID(CE122&amp;W122,ROW($1:$162),1),""))</f>
        <v/>
      </c>
      <c r="CG123" s="27" t="str">
        <f t="array" ref="CG123">_xlfn.TEXTJOIN("",TRUE,IF(ISERROR(FIND(ROW($1:$168)-1,CE123&amp;CF123)),ROW($1:$168)-1,""))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23" s="28" t="str">
        <f t="shared" si="140"/>
        <v>邻孤孤</v>
      </c>
      <c r="CI123" s="29" t="str">
        <f t="shared" si="141"/>
        <v>02</v>
      </c>
      <c r="CJ123" s="29" t="str">
        <f t="array" ref="CJ123">_xlfn.TEXTJOIN("",TRUE,IF(ISNUMBER(FIND(MID(CI122&amp;X122,ROW($1:$162),1),CI123&amp;X123)),MID(CI122&amp;X122,ROW($1:$162),1),""))</f>
        <v>021</v>
      </c>
      <c r="CK123" s="29" t="str">
        <f t="array" ref="CK123">_xlfn.TEXTJOIN("",TRUE,IF(ISERROR(FIND(ROW($1:$168)-1,CI123&amp;CJ123)),ROW($1:$168)-1,""))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23" s="19" t="str">
        <f t="shared" si="142"/>
        <v>邻传孤</v>
      </c>
      <c r="CM123" s="24" t="str">
        <f t="shared" si="143"/>
        <v>57</v>
      </c>
      <c r="CN123" s="24" t="str">
        <f t="array" ref="CN123">_xlfn.TEXTJOIN("",TRUE,IF(ISNUMBER(FIND(MID(CM122&amp;Y122,ROW($1:$162),1),CM123&amp;Y123)),MID(CM122&amp;Y122,ROW($1:$162),1),""))</f>
        <v/>
      </c>
      <c r="CO123" s="24" t="str">
        <f t="array" ref="CO123">_xlfn.TEXTJOIN("",TRUE,IF(ISERROR(FIND(ROW($1:$168)-1,CM123&amp;CN123)),ROW($1:$168)-1,""))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23" s="30" t="str">
        <f t="shared" si="144"/>
        <v>邻孤孤</v>
      </c>
    </row>
    <row r="124" customFormat="1" spans="1:94">
      <c r="A124" s="15">
        <v>124</v>
      </c>
      <c r="B124" s="80">
        <v>2024093</v>
      </c>
      <c r="C124" s="8" t="s">
        <v>145</v>
      </c>
      <c r="D124" s="81">
        <f t="shared" si="124"/>
        <v>17</v>
      </c>
      <c r="E124" s="82">
        <f t="shared" si="125"/>
        <v>7</v>
      </c>
      <c r="F124" s="83">
        <f t="shared" si="74"/>
        <v>5.66666666666667</v>
      </c>
      <c r="G124" s="84" t="str">
        <f t="shared" si="75"/>
        <v>紧凑</v>
      </c>
      <c r="H124" s="85" t="s">
        <v>10</v>
      </c>
      <c r="I124" s="85" t="s">
        <v>11</v>
      </c>
      <c r="J124" s="85" t="s">
        <v>12</v>
      </c>
      <c r="K124" s="85" t="s">
        <v>13</v>
      </c>
      <c r="L124" s="86">
        <f>MAX(MID(C124,{1,2,3},1)*1)-MIN(MID(C124,{1,2,3},1)*1)</f>
        <v>3</v>
      </c>
      <c r="M124" s="87">
        <v>0</v>
      </c>
      <c r="N124" s="87">
        <v>1</v>
      </c>
      <c r="O124" s="87">
        <v>2</v>
      </c>
      <c r="P124" s="87">
        <v>3</v>
      </c>
      <c r="Q124" s="87">
        <v>4</v>
      </c>
      <c r="R124" s="87">
        <v>5</v>
      </c>
      <c r="S124" s="87">
        <v>6</v>
      </c>
      <c r="T124" s="87">
        <v>7</v>
      </c>
      <c r="U124" s="87">
        <v>8</v>
      </c>
      <c r="V124" s="87">
        <v>9</v>
      </c>
      <c r="W124" s="88">
        <f t="shared" si="126"/>
        <v>2</v>
      </c>
      <c r="X124" s="88">
        <f t="shared" si="127"/>
        <v>1</v>
      </c>
      <c r="Y124" s="88">
        <f t="shared" si="128"/>
        <v>3</v>
      </c>
      <c r="Z124" s="89">
        <f t="shared" si="129"/>
        <v>6</v>
      </c>
      <c r="AA124" s="17" t="str">
        <f>_xlfn.TEXTJOIN(", ",TRUE,ABS(MID(C124,{1,1,2},1)-MID(C124,{2,3,3},1)))</f>
        <v>2, 1, 3</v>
      </c>
      <c r="AB124" s="90">
        <v>0</v>
      </c>
      <c r="AC124" s="90">
        <v>1</v>
      </c>
      <c r="AD124" s="90">
        <v>2</v>
      </c>
      <c r="AE124" s="90">
        <v>3</v>
      </c>
      <c r="AF124" s="90">
        <v>4</v>
      </c>
      <c r="AG124" s="90">
        <v>5</v>
      </c>
      <c r="AH124" s="90">
        <v>6</v>
      </c>
      <c r="AI124" s="90">
        <v>7</v>
      </c>
      <c r="AJ124" s="90">
        <v>8</v>
      </c>
      <c r="AK124" s="90">
        <v>9</v>
      </c>
      <c r="AL124" s="91">
        <v>0</v>
      </c>
      <c r="AM124" s="91">
        <v>1</v>
      </c>
      <c r="AN124" s="91">
        <v>2</v>
      </c>
      <c r="AO124" s="91">
        <v>3</v>
      </c>
      <c r="AP124" s="91">
        <v>4</v>
      </c>
      <c r="AQ124" s="91">
        <v>5</v>
      </c>
      <c r="AR124" s="91">
        <v>6</v>
      </c>
      <c r="AS124" s="91">
        <v>7</v>
      </c>
      <c r="AT124" s="91">
        <v>8</v>
      </c>
      <c r="AU124" s="91">
        <v>9</v>
      </c>
      <c r="AV124" s="92">
        <v>0</v>
      </c>
      <c r="AW124" s="92">
        <v>1</v>
      </c>
      <c r="AX124" s="92">
        <v>2</v>
      </c>
      <c r="AY124" s="92">
        <v>3</v>
      </c>
      <c r="AZ124" s="92">
        <v>4</v>
      </c>
      <c r="BA124" s="92">
        <v>5</v>
      </c>
      <c r="BB124" s="92">
        <v>6</v>
      </c>
      <c r="BC124" s="92">
        <v>7</v>
      </c>
      <c r="BD124" s="92">
        <v>8</v>
      </c>
      <c r="BE124" s="92">
        <v>9</v>
      </c>
      <c r="BF124" s="93">
        <v>0</v>
      </c>
      <c r="BG124" s="93">
        <v>1</v>
      </c>
      <c r="BH124" s="93">
        <v>2</v>
      </c>
      <c r="BI124" s="93">
        <v>3</v>
      </c>
      <c r="BJ124" s="93">
        <v>4</v>
      </c>
      <c r="BK124" s="93">
        <v>5</v>
      </c>
      <c r="BL124" s="93">
        <v>6</v>
      </c>
      <c r="BM124" s="93">
        <v>7</v>
      </c>
      <c r="BN124" s="93">
        <v>8</v>
      </c>
      <c r="BO124" s="93">
        <v>9</v>
      </c>
      <c r="BP124" s="94" t="str">
        <f t="shared" si="130"/>
        <v>紧凑型</v>
      </c>
      <c r="BQ124" s="15">
        <f t="shared" si="131"/>
        <v>1</v>
      </c>
      <c r="BR124" s="15">
        <f t="shared" si="132"/>
        <v>3</v>
      </c>
      <c r="BS124" s="20" t="str">
        <f t="shared" si="133"/>
        <v/>
      </c>
      <c r="BT124" s="21">
        <f t="shared" si="145"/>
        <v>2</v>
      </c>
      <c r="BU124" s="21" t="str">
        <f t="array" ref="BU124">_xlfn.TEXTJOIN("",TRUE,IF(ISERROR(FIND(ROW($1:$168)-1,BS124&amp;BT124)),ROW($1:$168)-1,""))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24" s="22" t="str">
        <f t="shared" si="134"/>
        <v>中隔中</v>
      </c>
      <c r="BW124" s="23">
        <f t="shared" si="135"/>
        <v>1</v>
      </c>
      <c r="BX124" s="23">
        <f t="shared" si="146"/>
        <v>1</v>
      </c>
      <c r="BY124" s="23" t="str">
        <f t="array" ref="BY124">_xlfn.TEXTJOIN("",TRUE,IF(ISERROR(FIND(ROW($1:$168)-1,BW124&amp;BX124)),ROW($1:$168)-1,""))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24" s="22" t="str">
        <f t="shared" si="136"/>
        <v>复隔中</v>
      </c>
      <c r="CA124" s="24" t="str">
        <f t="shared" si="137"/>
        <v/>
      </c>
      <c r="CB124" s="24" t="str">
        <f t="shared" si="147"/>
        <v/>
      </c>
      <c r="CC124" s="24" t="str">
        <f t="array" ref="CC124">_xlfn.TEXTJOIN("",TRUE,IF(ISERROR(FIND(ROW($1:$168)-1,CA124&amp;CB124)),ROW($1:$168)-1,""))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24" s="22" t="str">
        <f t="shared" si="138"/>
        <v>中中中</v>
      </c>
      <c r="CE124" s="25" t="str">
        <f t="shared" si="139"/>
        <v>13</v>
      </c>
      <c r="CF124" s="26" t="str">
        <f t="array" ref="CF124">_xlfn.TEXTJOIN("",TRUE,IF(ISNUMBER(FIND(MID(CE123&amp;W123,ROW($1:$162),1),CE124&amp;W124)),MID(CE123&amp;W123,ROW($1:$162),1),""))</f>
        <v/>
      </c>
      <c r="CG124" s="27" t="str">
        <f t="array" ref="CG124">_xlfn.TEXTJOIN("",TRUE,IF(ISERROR(FIND(ROW($1:$168)-1,CE124&amp;CF124)),ROW($1:$168)-1,""))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24" s="28" t="str">
        <f t="shared" si="140"/>
        <v>邻孤孤</v>
      </c>
      <c r="CI124" s="29" t="str">
        <f t="shared" si="141"/>
        <v>02</v>
      </c>
      <c r="CJ124" s="29" t="str">
        <f t="array" ref="CJ124">_xlfn.TEXTJOIN("",TRUE,IF(ISNUMBER(FIND(MID(CI123&amp;X123,ROW($1:$162),1),CI124&amp;X124)),MID(CI123&amp;X123,ROW($1:$162),1),""))</f>
        <v>021</v>
      </c>
      <c r="CK124" s="29" t="str">
        <f t="array" ref="CK124">_xlfn.TEXTJOIN("",TRUE,IF(ISERROR(FIND(ROW($1:$168)-1,CI124&amp;CJ124)),ROW($1:$168)-1,""))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24" s="19" t="str">
        <f t="shared" si="142"/>
        <v>邻传孤</v>
      </c>
      <c r="CM124" s="24" t="str">
        <f t="shared" si="143"/>
        <v>24</v>
      </c>
      <c r="CN124" s="24" t="str">
        <f t="array" ref="CN124">_xlfn.TEXTJOIN("",TRUE,IF(ISNUMBER(FIND(MID(CM123&amp;Y123,ROW($1:$162),1),CM124&amp;Y124)),MID(CM123&amp;Y123,ROW($1:$162),1),""))</f>
        <v/>
      </c>
      <c r="CO124" s="24" t="str">
        <f t="array" ref="CO124">_xlfn.TEXTJOIN("",TRUE,IF(ISERROR(FIND(ROW($1:$168)-1,CM124&amp;CN124)),ROW($1:$168)-1,""))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24" s="30" t="str">
        <f t="shared" si="144"/>
        <v>邻孤孤</v>
      </c>
    </row>
    <row r="125" customFormat="1" spans="1:94">
      <c r="A125" s="15">
        <v>125</v>
      </c>
      <c r="B125" s="80">
        <v>2024094</v>
      </c>
      <c r="C125" s="8" t="s">
        <v>146</v>
      </c>
      <c r="D125" s="81">
        <f t="shared" si="124"/>
        <v>22</v>
      </c>
      <c r="E125" s="82">
        <f t="shared" si="125"/>
        <v>2</v>
      </c>
      <c r="F125" s="83">
        <f t="shared" si="74"/>
        <v>7.33333333333333</v>
      </c>
      <c r="G125" s="84" t="str">
        <f t="shared" si="75"/>
        <v>紧凑</v>
      </c>
      <c r="H125" s="85" t="s">
        <v>10</v>
      </c>
      <c r="I125" s="85" t="s">
        <v>11</v>
      </c>
      <c r="J125" s="85" t="s">
        <v>12</v>
      </c>
      <c r="K125" s="85" t="s">
        <v>13</v>
      </c>
      <c r="L125" s="86">
        <f>MAX(MID(C125,{1,2,3},1)*1)-MIN(MID(C125,{1,2,3},1)*1)</f>
        <v>3</v>
      </c>
      <c r="M125" s="87">
        <v>0</v>
      </c>
      <c r="N125" s="87">
        <v>1</v>
      </c>
      <c r="O125" s="87">
        <v>2</v>
      </c>
      <c r="P125" s="87">
        <v>3</v>
      </c>
      <c r="Q125" s="87">
        <v>4</v>
      </c>
      <c r="R125" s="87">
        <v>5</v>
      </c>
      <c r="S125" s="87">
        <v>6</v>
      </c>
      <c r="T125" s="87">
        <v>7</v>
      </c>
      <c r="U125" s="87">
        <v>8</v>
      </c>
      <c r="V125" s="87">
        <v>9</v>
      </c>
      <c r="W125" s="88">
        <f t="shared" si="126"/>
        <v>1</v>
      </c>
      <c r="X125" s="88">
        <f t="shared" si="127"/>
        <v>3</v>
      </c>
      <c r="Y125" s="88">
        <f t="shared" si="128"/>
        <v>2</v>
      </c>
      <c r="Z125" s="89">
        <f t="shared" si="129"/>
        <v>6</v>
      </c>
      <c r="AA125" s="17" t="str">
        <f>_xlfn.TEXTJOIN(", ",TRUE,ABS(MID(C125,{1,1,2},1)-MID(C125,{2,3,3},1)))</f>
        <v>1, 3, 2</v>
      </c>
      <c r="AB125" s="90">
        <v>0</v>
      </c>
      <c r="AC125" s="90">
        <v>1</v>
      </c>
      <c r="AD125" s="90">
        <v>2</v>
      </c>
      <c r="AE125" s="90">
        <v>3</v>
      </c>
      <c r="AF125" s="90">
        <v>4</v>
      </c>
      <c r="AG125" s="90">
        <v>5</v>
      </c>
      <c r="AH125" s="90">
        <v>6</v>
      </c>
      <c r="AI125" s="90">
        <v>7</v>
      </c>
      <c r="AJ125" s="90">
        <v>8</v>
      </c>
      <c r="AK125" s="90">
        <v>9</v>
      </c>
      <c r="AL125" s="91">
        <v>0</v>
      </c>
      <c r="AM125" s="91">
        <v>1</v>
      </c>
      <c r="AN125" s="91">
        <v>2</v>
      </c>
      <c r="AO125" s="91">
        <v>3</v>
      </c>
      <c r="AP125" s="91">
        <v>4</v>
      </c>
      <c r="AQ125" s="91">
        <v>5</v>
      </c>
      <c r="AR125" s="91">
        <v>6</v>
      </c>
      <c r="AS125" s="91">
        <v>7</v>
      </c>
      <c r="AT125" s="91">
        <v>8</v>
      </c>
      <c r="AU125" s="91">
        <v>9</v>
      </c>
      <c r="AV125" s="92">
        <v>0</v>
      </c>
      <c r="AW125" s="92">
        <v>1</v>
      </c>
      <c r="AX125" s="92">
        <v>2</v>
      </c>
      <c r="AY125" s="92">
        <v>3</v>
      </c>
      <c r="AZ125" s="92">
        <v>4</v>
      </c>
      <c r="BA125" s="92">
        <v>5</v>
      </c>
      <c r="BB125" s="92">
        <v>6</v>
      </c>
      <c r="BC125" s="92">
        <v>7</v>
      </c>
      <c r="BD125" s="92">
        <v>8</v>
      </c>
      <c r="BE125" s="92">
        <v>9</v>
      </c>
      <c r="BF125" s="93">
        <v>0</v>
      </c>
      <c r="BG125" s="93">
        <v>1</v>
      </c>
      <c r="BH125" s="93">
        <v>2</v>
      </c>
      <c r="BI125" s="93">
        <v>3</v>
      </c>
      <c r="BJ125" s="93">
        <v>4</v>
      </c>
      <c r="BK125" s="93">
        <v>5</v>
      </c>
      <c r="BL125" s="93">
        <v>6</v>
      </c>
      <c r="BM125" s="93">
        <v>7</v>
      </c>
      <c r="BN125" s="93">
        <v>8</v>
      </c>
      <c r="BO125" s="93">
        <v>9</v>
      </c>
      <c r="BP125" s="94" t="str">
        <f t="shared" si="130"/>
        <v>紧凑型</v>
      </c>
      <c r="BQ125" s="15">
        <f t="shared" si="131"/>
        <v>1</v>
      </c>
      <c r="BR125" s="15">
        <f t="shared" si="132"/>
        <v>3</v>
      </c>
      <c r="BS125" s="20">
        <f t="shared" si="133"/>
        <v>1</v>
      </c>
      <c r="BT125" s="21">
        <f t="shared" si="145"/>
        <v>1</v>
      </c>
      <c r="BU125" s="21" t="str">
        <f t="array" ref="BU125">_xlfn.TEXTJOIN("",TRUE,IF(ISERROR(FIND(ROW($1:$168)-1,BS125&amp;BT125)),ROW($1:$168)-1,""))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25" s="22" t="str">
        <f t="shared" si="134"/>
        <v>复隔中</v>
      </c>
      <c r="BW125" s="23">
        <f t="shared" si="135"/>
        <v>3</v>
      </c>
      <c r="BX125" s="23" t="str">
        <f t="shared" si="146"/>
        <v/>
      </c>
      <c r="BY125" s="23" t="str">
        <f t="array" ref="BY125">_xlfn.TEXTJOIN("",TRUE,IF(ISERROR(FIND(ROW($1:$168)-1,BW125&amp;BX125)),ROW($1:$168)-1,""))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25" s="22" t="str">
        <f t="shared" si="136"/>
        <v>复中中</v>
      </c>
      <c r="CA125" s="24">
        <f t="shared" si="137"/>
        <v>2</v>
      </c>
      <c r="CB125" s="24" t="str">
        <f t="shared" si="147"/>
        <v/>
      </c>
      <c r="CC125" s="24" t="str">
        <f t="array" ref="CC125">_xlfn.TEXTJOIN("",TRUE,IF(ISERROR(FIND(ROW($1:$168)-1,CA125&amp;CB125)),ROW($1:$168)-1,""))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25" s="22" t="str">
        <f t="shared" si="138"/>
        <v>复中中</v>
      </c>
      <c r="CE125" s="25" t="str">
        <f t="shared" si="139"/>
        <v>02</v>
      </c>
      <c r="CF125" s="26" t="str">
        <f t="array" ref="CF125">_xlfn.TEXTJOIN("",TRUE,IF(ISNUMBER(FIND(MID(CE124&amp;W124,ROW($1:$162),1),CE125&amp;W125)),MID(CE124&amp;W124,ROW($1:$162),1),""))</f>
        <v>12</v>
      </c>
      <c r="CG125" s="27" t="str">
        <f t="array" ref="CG125">_xlfn.TEXTJOIN("",TRUE,IF(ISERROR(FIND(ROW($1:$168)-1,CE125&amp;CF125)),ROW($1:$168)-1,""))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25" s="28" t="str">
        <f t="shared" si="140"/>
        <v>邻传孤</v>
      </c>
      <c r="CI125" s="29" t="str">
        <f t="shared" si="141"/>
        <v>24</v>
      </c>
      <c r="CJ125" s="29" t="str">
        <f t="array" ref="CJ125">_xlfn.TEXTJOIN("",TRUE,IF(ISNUMBER(FIND(MID(CI124&amp;X124,ROW($1:$162),1),CI125&amp;X125)),MID(CI124&amp;X124,ROW($1:$162),1),""))</f>
        <v>2</v>
      </c>
      <c r="CK125" s="29" t="str">
        <f t="array" ref="CK125">_xlfn.TEXTJOIN("",TRUE,IF(ISERROR(FIND(ROW($1:$168)-1,CI125&amp;CJ125)),ROW($1:$168)-1,""))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25" s="19" t="str">
        <f t="shared" si="142"/>
        <v>邻传孤</v>
      </c>
      <c r="CM125" s="24" t="str">
        <f t="shared" si="143"/>
        <v>13</v>
      </c>
      <c r="CN125" s="24" t="str">
        <f t="array" ref="CN125">_xlfn.TEXTJOIN("",TRUE,IF(ISNUMBER(FIND(MID(CM124&amp;Y124,ROW($1:$162),1),CM125&amp;Y125)),MID(CM124&amp;Y124,ROW($1:$162),1),""))</f>
        <v>23</v>
      </c>
      <c r="CO125" s="24" t="str">
        <f t="array" ref="CO125">_xlfn.TEXTJOIN("",TRUE,IF(ISERROR(FIND(ROW($1:$168)-1,CM125&amp;CN125)),ROW($1:$168)-1,""))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125" s="30" t="str">
        <f t="shared" si="144"/>
        <v>邻传孤</v>
      </c>
    </row>
    <row r="126" customFormat="1" spans="1:94">
      <c r="A126" s="15">
        <v>126</v>
      </c>
      <c r="B126" s="80">
        <v>2024095</v>
      </c>
      <c r="C126" s="8" t="s">
        <v>98</v>
      </c>
      <c r="D126" s="81">
        <f t="shared" si="124"/>
        <v>14</v>
      </c>
      <c r="E126" s="82">
        <f t="shared" si="125"/>
        <v>4</v>
      </c>
      <c r="F126" s="83">
        <f t="shared" si="74"/>
        <v>2.8</v>
      </c>
      <c r="G126" s="84" t="str">
        <f t="shared" si="75"/>
        <v>标准</v>
      </c>
      <c r="H126" s="85" t="s">
        <v>10</v>
      </c>
      <c r="I126" s="85" t="s">
        <v>11</v>
      </c>
      <c r="J126" s="85" t="s">
        <v>12</v>
      </c>
      <c r="K126" s="85" t="s">
        <v>13</v>
      </c>
      <c r="L126" s="86">
        <f>MAX(MID(C126,{1,2,3},1)*1)-MIN(MID(C126,{1,2,3},1)*1)</f>
        <v>5</v>
      </c>
      <c r="M126" s="87">
        <v>0</v>
      </c>
      <c r="N126" s="87">
        <v>1</v>
      </c>
      <c r="O126" s="87">
        <v>2</v>
      </c>
      <c r="P126" s="87">
        <v>3</v>
      </c>
      <c r="Q126" s="87">
        <v>4</v>
      </c>
      <c r="R126" s="87">
        <v>5</v>
      </c>
      <c r="S126" s="87">
        <v>6</v>
      </c>
      <c r="T126" s="87">
        <v>7</v>
      </c>
      <c r="U126" s="87">
        <v>8</v>
      </c>
      <c r="V126" s="87">
        <v>9</v>
      </c>
      <c r="W126" s="88">
        <f t="shared" si="126"/>
        <v>3</v>
      </c>
      <c r="X126" s="88">
        <f t="shared" si="127"/>
        <v>5</v>
      </c>
      <c r="Y126" s="88">
        <f t="shared" si="128"/>
        <v>2</v>
      </c>
      <c r="Z126" s="89">
        <f t="shared" si="129"/>
        <v>10</v>
      </c>
      <c r="AA126" s="17" t="str">
        <f>_xlfn.TEXTJOIN(", ",TRUE,ABS(MID(C126,{1,1,2},1)-MID(C126,{2,3,3},1)))</f>
        <v>3, 5, 2</v>
      </c>
      <c r="AB126" s="90">
        <v>0</v>
      </c>
      <c r="AC126" s="90">
        <v>1</v>
      </c>
      <c r="AD126" s="90">
        <v>2</v>
      </c>
      <c r="AE126" s="90">
        <v>3</v>
      </c>
      <c r="AF126" s="90">
        <v>4</v>
      </c>
      <c r="AG126" s="90">
        <v>5</v>
      </c>
      <c r="AH126" s="90">
        <v>6</v>
      </c>
      <c r="AI126" s="90">
        <v>7</v>
      </c>
      <c r="AJ126" s="90">
        <v>8</v>
      </c>
      <c r="AK126" s="90">
        <v>9</v>
      </c>
      <c r="AL126" s="91">
        <v>0</v>
      </c>
      <c r="AM126" s="91">
        <v>1</v>
      </c>
      <c r="AN126" s="91">
        <v>2</v>
      </c>
      <c r="AO126" s="91">
        <v>3</v>
      </c>
      <c r="AP126" s="91">
        <v>4</v>
      </c>
      <c r="AQ126" s="91">
        <v>5</v>
      </c>
      <c r="AR126" s="91">
        <v>6</v>
      </c>
      <c r="AS126" s="91">
        <v>7</v>
      </c>
      <c r="AT126" s="91">
        <v>8</v>
      </c>
      <c r="AU126" s="91">
        <v>9</v>
      </c>
      <c r="AV126" s="92">
        <v>0</v>
      </c>
      <c r="AW126" s="92">
        <v>1</v>
      </c>
      <c r="AX126" s="92">
        <v>2</v>
      </c>
      <c r="AY126" s="92">
        <v>3</v>
      </c>
      <c r="AZ126" s="92">
        <v>4</v>
      </c>
      <c r="BA126" s="92">
        <v>5</v>
      </c>
      <c r="BB126" s="92">
        <v>6</v>
      </c>
      <c r="BC126" s="92">
        <v>7</v>
      </c>
      <c r="BD126" s="92">
        <v>8</v>
      </c>
      <c r="BE126" s="92">
        <v>9</v>
      </c>
      <c r="BF126" s="93">
        <v>0</v>
      </c>
      <c r="BG126" s="93">
        <v>1</v>
      </c>
      <c r="BH126" s="93">
        <v>2</v>
      </c>
      <c r="BI126" s="93">
        <v>3</v>
      </c>
      <c r="BJ126" s="93">
        <v>4</v>
      </c>
      <c r="BK126" s="93">
        <v>5</v>
      </c>
      <c r="BL126" s="93">
        <v>6</v>
      </c>
      <c r="BM126" s="93">
        <v>7</v>
      </c>
      <c r="BN126" s="93">
        <v>8</v>
      </c>
      <c r="BO126" s="93">
        <v>9</v>
      </c>
      <c r="BP126" s="94" t="str">
        <f t="shared" si="130"/>
        <v>标准型</v>
      </c>
      <c r="BQ126" s="15">
        <f t="shared" si="131"/>
        <v>2</v>
      </c>
      <c r="BR126" s="15">
        <f t="shared" si="132"/>
        <v>5</v>
      </c>
      <c r="BS126" s="20">
        <f t="shared" si="133"/>
        <v>3</v>
      </c>
      <c r="BT126" s="21">
        <f t="shared" si="145"/>
        <v>3</v>
      </c>
      <c r="BU126" s="21" t="str">
        <f t="array" ref="BU126">_xlfn.TEXTJOIN("",TRUE,IF(ISERROR(FIND(ROW($1:$168)-1,BS126&amp;BT126)),ROW($1:$168)-1,""))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26" s="22" t="str">
        <f t="shared" si="134"/>
        <v>复隔中</v>
      </c>
      <c r="BW126" s="23" t="str">
        <f t="shared" si="135"/>
        <v/>
      </c>
      <c r="BX126" s="23" t="str">
        <f t="shared" si="146"/>
        <v/>
      </c>
      <c r="BY126" s="23" t="str">
        <f t="array" ref="BY126">_xlfn.TEXTJOIN("",TRUE,IF(ISERROR(FIND(ROW($1:$168)-1,BW126&amp;BX126)),ROW($1:$168)-1,""))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26" s="22" t="str">
        <f t="shared" si="136"/>
        <v>中中中</v>
      </c>
      <c r="CA126" s="24">
        <f t="shared" si="137"/>
        <v>2</v>
      </c>
      <c r="CB126" s="24">
        <f t="shared" si="147"/>
        <v>2</v>
      </c>
      <c r="CC126" s="24" t="str">
        <f t="array" ref="CC126">_xlfn.TEXTJOIN("",TRUE,IF(ISERROR(FIND(ROW($1:$168)-1,CA126&amp;CB126)),ROW($1:$168)-1,""))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26" s="22" t="str">
        <f t="shared" si="138"/>
        <v>复隔中</v>
      </c>
      <c r="CE126" s="25" t="str">
        <f t="shared" si="139"/>
        <v>24</v>
      </c>
      <c r="CF126" s="26" t="str">
        <f t="array" ref="CF126">_xlfn.TEXTJOIN("",TRUE,IF(ISNUMBER(FIND(MID(CE125&amp;W125,ROW($1:$162),1),CE126&amp;W126)),MID(CE125&amp;W125,ROW($1:$162),1),""))</f>
        <v>2</v>
      </c>
      <c r="CG126" s="27" t="str">
        <f t="array" ref="CG126">_xlfn.TEXTJOIN("",TRUE,IF(ISERROR(FIND(ROW($1:$168)-1,CE126&amp;CF126)),ROW($1:$168)-1,""))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26" s="28" t="str">
        <f t="shared" si="140"/>
        <v>邻传孤</v>
      </c>
      <c r="CI126" s="29" t="str">
        <f t="shared" si="141"/>
        <v>46</v>
      </c>
      <c r="CJ126" s="29" t="str">
        <f t="array" ref="CJ126">_xlfn.TEXTJOIN("",TRUE,IF(ISNUMBER(FIND(MID(CI125&amp;X125,ROW($1:$162),1),CI126&amp;X126)),MID(CI125&amp;X125,ROW($1:$162),1),""))</f>
        <v>4</v>
      </c>
      <c r="CK126" s="29" t="str">
        <f t="array" ref="CK126">_xlfn.TEXTJOIN("",TRUE,IF(ISERROR(FIND(ROW($1:$168)-1,CI126&amp;CJ126)),ROW($1:$168)-1,""))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26" s="19" t="str">
        <f t="shared" si="142"/>
        <v>邻传孤</v>
      </c>
      <c r="CM126" s="24" t="str">
        <f t="shared" si="143"/>
        <v>13</v>
      </c>
      <c r="CN126" s="24" t="str">
        <f t="array" ref="CN126">_xlfn.TEXTJOIN("",TRUE,IF(ISNUMBER(FIND(MID(CM125&amp;Y125,ROW($1:$162),1),CM126&amp;Y126)),MID(CM125&amp;Y125,ROW($1:$162),1),""))</f>
        <v>132</v>
      </c>
      <c r="CO126" s="24" t="str">
        <f t="array" ref="CO126">_xlfn.TEXTJOIN("",TRUE,IF(ISERROR(FIND(ROW($1:$168)-1,CM126&amp;CN126)),ROW($1:$168)-1,""))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126" s="30" t="str">
        <f t="shared" si="144"/>
        <v>邻传孤</v>
      </c>
    </row>
    <row r="127" customFormat="1" spans="1:94">
      <c r="A127" s="15">
        <v>127</v>
      </c>
      <c r="B127" s="80">
        <v>2024096</v>
      </c>
      <c r="C127" s="8" t="s">
        <v>147</v>
      </c>
      <c r="D127" s="81">
        <f t="shared" si="124"/>
        <v>6</v>
      </c>
      <c r="E127" s="82">
        <f t="shared" si="125"/>
        <v>6</v>
      </c>
      <c r="F127" s="83">
        <f t="shared" si="74"/>
        <v>3</v>
      </c>
      <c r="G127" s="84" t="str">
        <f t="shared" si="75"/>
        <v>标准</v>
      </c>
      <c r="H127" s="85" t="s">
        <v>10</v>
      </c>
      <c r="I127" s="85" t="s">
        <v>11</v>
      </c>
      <c r="J127" s="85" t="s">
        <v>12</v>
      </c>
      <c r="K127" s="85" t="s">
        <v>13</v>
      </c>
      <c r="L127" s="86">
        <f>MAX(MID(C127,{1,2,3},1)*1)-MIN(MID(C127,{1,2,3},1)*1)</f>
        <v>2</v>
      </c>
      <c r="M127" s="87">
        <v>0</v>
      </c>
      <c r="N127" s="87">
        <v>1</v>
      </c>
      <c r="O127" s="87">
        <v>2</v>
      </c>
      <c r="P127" s="87">
        <v>3</v>
      </c>
      <c r="Q127" s="87">
        <v>4</v>
      </c>
      <c r="R127" s="87">
        <v>5</v>
      </c>
      <c r="S127" s="87">
        <v>6</v>
      </c>
      <c r="T127" s="87">
        <v>7</v>
      </c>
      <c r="U127" s="87">
        <v>8</v>
      </c>
      <c r="V127" s="87">
        <v>9</v>
      </c>
      <c r="W127" s="88">
        <f t="shared" si="126"/>
        <v>1</v>
      </c>
      <c r="X127" s="88">
        <f t="shared" si="127"/>
        <v>2</v>
      </c>
      <c r="Y127" s="88">
        <f t="shared" si="128"/>
        <v>1</v>
      </c>
      <c r="Z127" s="89">
        <f t="shared" si="129"/>
        <v>4</v>
      </c>
      <c r="AA127" s="17" t="str">
        <f>_xlfn.TEXTJOIN(", ",TRUE,ABS(MID(C127,{1,1,2},1)-MID(C127,{2,3,3},1)))</f>
        <v>1, 2, 1</v>
      </c>
      <c r="AB127" s="90">
        <v>0</v>
      </c>
      <c r="AC127" s="90">
        <v>1</v>
      </c>
      <c r="AD127" s="90">
        <v>2</v>
      </c>
      <c r="AE127" s="90">
        <v>3</v>
      </c>
      <c r="AF127" s="90">
        <v>4</v>
      </c>
      <c r="AG127" s="90">
        <v>5</v>
      </c>
      <c r="AH127" s="90">
        <v>6</v>
      </c>
      <c r="AI127" s="90">
        <v>7</v>
      </c>
      <c r="AJ127" s="90">
        <v>8</v>
      </c>
      <c r="AK127" s="90">
        <v>9</v>
      </c>
      <c r="AL127" s="91">
        <v>0</v>
      </c>
      <c r="AM127" s="91">
        <v>1</v>
      </c>
      <c r="AN127" s="91">
        <v>2</v>
      </c>
      <c r="AO127" s="91">
        <v>3</v>
      </c>
      <c r="AP127" s="91">
        <v>4</v>
      </c>
      <c r="AQ127" s="91">
        <v>5</v>
      </c>
      <c r="AR127" s="91">
        <v>6</v>
      </c>
      <c r="AS127" s="91">
        <v>7</v>
      </c>
      <c r="AT127" s="91">
        <v>8</v>
      </c>
      <c r="AU127" s="91">
        <v>9</v>
      </c>
      <c r="AV127" s="92">
        <v>0</v>
      </c>
      <c r="AW127" s="92">
        <v>1</v>
      </c>
      <c r="AX127" s="92">
        <v>2</v>
      </c>
      <c r="AY127" s="92">
        <v>3</v>
      </c>
      <c r="AZ127" s="92">
        <v>4</v>
      </c>
      <c r="BA127" s="92">
        <v>5</v>
      </c>
      <c r="BB127" s="92">
        <v>6</v>
      </c>
      <c r="BC127" s="92">
        <v>7</v>
      </c>
      <c r="BD127" s="92">
        <v>8</v>
      </c>
      <c r="BE127" s="92">
        <v>9</v>
      </c>
      <c r="BF127" s="93">
        <v>0</v>
      </c>
      <c r="BG127" s="93">
        <v>1</v>
      </c>
      <c r="BH127" s="93">
        <v>2</v>
      </c>
      <c r="BI127" s="93">
        <v>3</v>
      </c>
      <c r="BJ127" s="93">
        <v>4</v>
      </c>
      <c r="BK127" s="93">
        <v>5</v>
      </c>
      <c r="BL127" s="93">
        <v>6</v>
      </c>
      <c r="BM127" s="93">
        <v>7</v>
      </c>
      <c r="BN127" s="93">
        <v>8</v>
      </c>
      <c r="BO127" s="93">
        <v>9</v>
      </c>
      <c r="BP127" s="94" t="str">
        <f t="shared" si="130"/>
        <v>紧凑型</v>
      </c>
      <c r="BQ127" s="15">
        <f t="shared" si="131"/>
        <v>1</v>
      </c>
      <c r="BR127" s="15">
        <f t="shared" si="132"/>
        <v>2</v>
      </c>
      <c r="BS127" s="20" t="str">
        <f t="shared" si="133"/>
        <v/>
      </c>
      <c r="BT127" s="21">
        <f t="shared" si="145"/>
        <v>1</v>
      </c>
      <c r="BU127" s="21" t="str">
        <f t="array" ref="BU127">_xlfn.TEXTJOIN("",TRUE,IF(ISERROR(FIND(ROW($1:$168)-1,BS127&amp;BT127)),ROW($1:$168)-1,""))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27" s="22" t="str">
        <f t="shared" si="134"/>
        <v>中隔中</v>
      </c>
      <c r="BW127" s="23">
        <f t="shared" si="135"/>
        <v>2</v>
      </c>
      <c r="BX127" s="23">
        <f t="shared" si="146"/>
        <v>2</v>
      </c>
      <c r="BY127" s="23" t="str">
        <f t="array" ref="BY127">_xlfn.TEXTJOIN("",TRUE,IF(ISERROR(FIND(ROW($1:$168)-1,BW127&amp;BX127)),ROW($1:$168)-1,""))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27" s="22" t="str">
        <f t="shared" si="136"/>
        <v>复隔中</v>
      </c>
      <c r="CA127" s="24" t="str">
        <f t="shared" si="137"/>
        <v/>
      </c>
      <c r="CB127" s="24">
        <f t="shared" si="147"/>
        <v>1</v>
      </c>
      <c r="CC127" s="24" t="str">
        <f t="array" ref="CC127">_xlfn.TEXTJOIN("",TRUE,IF(ISERROR(FIND(ROW($1:$168)-1,CA127&amp;CB127)),ROW($1:$168)-1,""))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27" s="22" t="str">
        <f t="shared" si="138"/>
        <v>中隔中</v>
      </c>
      <c r="CE127" s="25" t="str">
        <f t="shared" si="139"/>
        <v>02</v>
      </c>
      <c r="CF127" s="26" t="str">
        <f t="array" ref="CF127">_xlfn.TEXTJOIN("",TRUE,IF(ISNUMBER(FIND(MID(CE126&amp;W126,ROW($1:$162),1),CE127&amp;W127)),MID(CE126&amp;W126,ROW($1:$162),1),""))</f>
        <v>2</v>
      </c>
      <c r="CG127" s="27" t="str">
        <f t="array" ref="CG127">_xlfn.TEXTJOIN("",TRUE,IF(ISERROR(FIND(ROW($1:$168)-1,CE127&amp;CF127)),ROW($1:$168)-1,""))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27" s="28" t="str">
        <f t="shared" si="140"/>
        <v>邻传孤</v>
      </c>
      <c r="CI127" s="29" t="str">
        <f t="shared" si="141"/>
        <v>13</v>
      </c>
      <c r="CJ127" s="29" t="str">
        <f t="array" ref="CJ127">_xlfn.TEXTJOIN("",TRUE,IF(ISNUMBER(FIND(MID(CI126&amp;X126,ROW($1:$162),1),CI127&amp;X127)),MID(CI126&amp;X126,ROW($1:$162),1),""))</f>
        <v/>
      </c>
      <c r="CK127" s="29" t="str">
        <f t="array" ref="CK127">_xlfn.TEXTJOIN("",TRUE,IF(ISERROR(FIND(ROW($1:$168)-1,CI127&amp;CJ127)),ROW($1:$168)-1,""))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27" s="19" t="str">
        <f t="shared" si="142"/>
        <v>邻孤孤</v>
      </c>
      <c r="CM127" s="24" t="str">
        <f t="shared" si="143"/>
        <v>02</v>
      </c>
      <c r="CN127" s="24" t="str">
        <f t="array" ref="CN127">_xlfn.TEXTJOIN("",TRUE,IF(ISNUMBER(FIND(MID(CM126&amp;Y126,ROW($1:$162),1),CM127&amp;Y127)),MID(CM126&amp;Y126,ROW($1:$162),1),""))</f>
        <v>12</v>
      </c>
      <c r="CO127" s="24" t="str">
        <f t="array" ref="CO127">_xlfn.TEXTJOIN("",TRUE,IF(ISERROR(FIND(ROW($1:$168)-1,CM127&amp;CN127)),ROW($1:$168)-1,""))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27" s="30" t="str">
        <f t="shared" si="144"/>
        <v>邻传孤</v>
      </c>
    </row>
    <row r="128" customFormat="1" spans="1:94">
      <c r="A128" s="15">
        <v>128</v>
      </c>
      <c r="B128" s="80">
        <v>2024097</v>
      </c>
      <c r="C128" s="8" t="s">
        <v>148</v>
      </c>
      <c r="D128" s="81">
        <f t="shared" si="124"/>
        <v>20</v>
      </c>
      <c r="E128" s="82">
        <f t="shared" si="125"/>
        <v>0</v>
      </c>
      <c r="F128" s="83">
        <f t="shared" si="74"/>
        <v>3.33333333333333</v>
      </c>
      <c r="G128" s="84" t="str">
        <f t="shared" si="75"/>
        <v>标准</v>
      </c>
      <c r="H128" s="85" t="s">
        <v>10</v>
      </c>
      <c r="I128" s="85" t="s">
        <v>11</v>
      </c>
      <c r="J128" s="85" t="s">
        <v>12</v>
      </c>
      <c r="K128" s="85" t="s">
        <v>13</v>
      </c>
      <c r="L128" s="86">
        <f>MAX(MID(C128,{1,2,3},1)*1)-MIN(MID(C128,{1,2,3},1)*1)</f>
        <v>6</v>
      </c>
      <c r="M128" s="87">
        <v>0</v>
      </c>
      <c r="N128" s="87">
        <v>1</v>
      </c>
      <c r="O128" s="87">
        <v>2</v>
      </c>
      <c r="P128" s="87">
        <v>3</v>
      </c>
      <c r="Q128" s="87">
        <v>4</v>
      </c>
      <c r="R128" s="87">
        <v>5</v>
      </c>
      <c r="S128" s="87">
        <v>6</v>
      </c>
      <c r="T128" s="87">
        <v>7</v>
      </c>
      <c r="U128" s="87">
        <v>8</v>
      </c>
      <c r="V128" s="87">
        <v>9</v>
      </c>
      <c r="W128" s="88">
        <f t="shared" si="126"/>
        <v>5</v>
      </c>
      <c r="X128" s="88">
        <f t="shared" si="127"/>
        <v>6</v>
      </c>
      <c r="Y128" s="88">
        <f t="shared" si="128"/>
        <v>1</v>
      </c>
      <c r="Z128" s="89">
        <f t="shared" si="129"/>
        <v>12</v>
      </c>
      <c r="AA128" s="17" t="str">
        <f>_xlfn.TEXTJOIN(", ",TRUE,ABS(MID(C128,{1,1,2},1)-MID(C128,{2,3,3},1)))</f>
        <v>5, 6, 1</v>
      </c>
      <c r="AB128" s="90">
        <v>0</v>
      </c>
      <c r="AC128" s="90">
        <v>1</v>
      </c>
      <c r="AD128" s="90">
        <v>2</v>
      </c>
      <c r="AE128" s="90">
        <v>3</v>
      </c>
      <c r="AF128" s="90">
        <v>4</v>
      </c>
      <c r="AG128" s="90">
        <v>5</v>
      </c>
      <c r="AH128" s="90">
        <v>6</v>
      </c>
      <c r="AI128" s="90">
        <v>7</v>
      </c>
      <c r="AJ128" s="90">
        <v>8</v>
      </c>
      <c r="AK128" s="90">
        <v>9</v>
      </c>
      <c r="AL128" s="91">
        <v>0</v>
      </c>
      <c r="AM128" s="91">
        <v>1</v>
      </c>
      <c r="AN128" s="91">
        <v>2</v>
      </c>
      <c r="AO128" s="91">
        <v>3</v>
      </c>
      <c r="AP128" s="91">
        <v>4</v>
      </c>
      <c r="AQ128" s="91">
        <v>5</v>
      </c>
      <c r="AR128" s="91">
        <v>6</v>
      </c>
      <c r="AS128" s="91">
        <v>7</v>
      </c>
      <c r="AT128" s="91">
        <v>8</v>
      </c>
      <c r="AU128" s="91">
        <v>9</v>
      </c>
      <c r="AV128" s="92">
        <v>0</v>
      </c>
      <c r="AW128" s="92">
        <v>1</v>
      </c>
      <c r="AX128" s="92">
        <v>2</v>
      </c>
      <c r="AY128" s="92">
        <v>3</v>
      </c>
      <c r="AZ128" s="92">
        <v>4</v>
      </c>
      <c r="BA128" s="92">
        <v>5</v>
      </c>
      <c r="BB128" s="92">
        <v>6</v>
      </c>
      <c r="BC128" s="92">
        <v>7</v>
      </c>
      <c r="BD128" s="92">
        <v>8</v>
      </c>
      <c r="BE128" s="92">
        <v>9</v>
      </c>
      <c r="BF128" s="93">
        <v>0</v>
      </c>
      <c r="BG128" s="93">
        <v>1</v>
      </c>
      <c r="BH128" s="93">
        <v>2</v>
      </c>
      <c r="BI128" s="93">
        <v>3</v>
      </c>
      <c r="BJ128" s="93">
        <v>4</v>
      </c>
      <c r="BK128" s="93">
        <v>5</v>
      </c>
      <c r="BL128" s="93">
        <v>6</v>
      </c>
      <c r="BM128" s="93">
        <v>7</v>
      </c>
      <c r="BN128" s="93">
        <v>8</v>
      </c>
      <c r="BO128" s="93">
        <v>9</v>
      </c>
      <c r="BP128" s="94" t="str">
        <f t="shared" si="130"/>
        <v>松散型</v>
      </c>
      <c r="BQ128" s="15">
        <f t="shared" si="131"/>
        <v>1</v>
      </c>
      <c r="BR128" s="15">
        <f t="shared" si="132"/>
        <v>6</v>
      </c>
      <c r="BS128" s="20" t="str">
        <f t="shared" si="133"/>
        <v/>
      </c>
      <c r="BT128" s="21">
        <f t="shared" si="145"/>
        <v>5</v>
      </c>
      <c r="BU128" s="21" t="str">
        <f t="array" ref="BU128">_xlfn.TEXTJOIN("",TRUE,IF(ISERROR(FIND(ROW($1:$168)-1,BS128&amp;BT128)),ROW($1:$168)-1,""))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28" s="22" t="str">
        <f t="shared" si="134"/>
        <v>中隔中</v>
      </c>
      <c r="BW128" s="23" t="str">
        <f t="shared" si="135"/>
        <v/>
      </c>
      <c r="BX128" s="23" t="str">
        <f t="shared" si="146"/>
        <v/>
      </c>
      <c r="BY128" s="23" t="str">
        <f t="array" ref="BY128">_xlfn.TEXTJOIN("",TRUE,IF(ISERROR(FIND(ROW($1:$168)-1,BW128&amp;BX128)),ROW($1:$168)-1,""))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28" s="22" t="str">
        <f t="shared" si="136"/>
        <v>中中中</v>
      </c>
      <c r="CA128" s="24">
        <f t="shared" si="137"/>
        <v>1</v>
      </c>
      <c r="CB128" s="24" t="str">
        <f t="shared" si="147"/>
        <v/>
      </c>
      <c r="CC128" s="24" t="str">
        <f t="array" ref="CC128">_xlfn.TEXTJOIN("",TRUE,IF(ISERROR(FIND(ROW($1:$168)-1,CA128&amp;CB128)),ROW($1:$168)-1,""))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28" s="22" t="str">
        <f t="shared" si="138"/>
        <v>复中中</v>
      </c>
      <c r="CE128" s="25" t="str">
        <f t="shared" si="139"/>
        <v>46</v>
      </c>
      <c r="CF128" s="26" t="str">
        <f t="array" ref="CF128">_xlfn.TEXTJOIN("",TRUE,IF(ISNUMBER(FIND(MID(CE127&amp;W127,ROW($1:$162),1),CE128&amp;W128)),MID(CE127&amp;W127,ROW($1:$162),1),""))</f>
        <v/>
      </c>
      <c r="CG128" s="27" t="str">
        <f t="array" ref="CG128">_xlfn.TEXTJOIN("",TRUE,IF(ISERROR(FIND(ROW($1:$168)-1,CE128&amp;CF128)),ROW($1:$168)-1,""))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28" s="28" t="str">
        <f t="shared" si="140"/>
        <v>邻孤孤</v>
      </c>
      <c r="CI128" s="29" t="str">
        <f t="shared" si="141"/>
        <v>57</v>
      </c>
      <c r="CJ128" s="29" t="str">
        <f t="array" ref="CJ128">_xlfn.TEXTJOIN("",TRUE,IF(ISNUMBER(FIND(MID(CI127&amp;X127,ROW($1:$162),1),CI128&amp;X128)),MID(CI127&amp;X127,ROW($1:$162),1),""))</f>
        <v/>
      </c>
      <c r="CK128" s="29" t="str">
        <f t="array" ref="CK128">_xlfn.TEXTJOIN("",TRUE,IF(ISERROR(FIND(ROW($1:$168)-1,CI128&amp;CJ128)),ROW($1:$168)-1,""))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28" s="19" t="str">
        <f t="shared" si="142"/>
        <v>邻孤孤</v>
      </c>
      <c r="CM128" s="24" t="str">
        <f t="shared" si="143"/>
        <v>02</v>
      </c>
      <c r="CN128" s="24" t="str">
        <f t="array" ref="CN128">_xlfn.TEXTJOIN("",TRUE,IF(ISNUMBER(FIND(MID(CM127&amp;Y127,ROW($1:$162),1),CM128&amp;Y128)),MID(CM127&amp;Y127,ROW($1:$162),1),""))</f>
        <v>021</v>
      </c>
      <c r="CO128" s="24" t="str">
        <f t="array" ref="CO128">_xlfn.TEXTJOIN("",TRUE,IF(ISERROR(FIND(ROW($1:$168)-1,CM128&amp;CN128)),ROW($1:$168)-1,""))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28" s="30" t="str">
        <f t="shared" si="144"/>
        <v>邻传孤</v>
      </c>
    </row>
    <row r="129" customFormat="1" spans="1:94">
      <c r="A129" s="15">
        <v>129</v>
      </c>
      <c r="B129" s="80">
        <v>2024098</v>
      </c>
      <c r="C129" s="8" t="s">
        <v>72</v>
      </c>
      <c r="D129" s="81">
        <f t="shared" si="124"/>
        <v>8</v>
      </c>
      <c r="E129" s="82">
        <f t="shared" si="125"/>
        <v>8</v>
      </c>
      <c r="F129" s="83">
        <f t="shared" si="74"/>
        <v>1.33333333333333</v>
      </c>
      <c r="G129" s="84" t="str">
        <f t="shared" si="75"/>
        <v>松散</v>
      </c>
      <c r="H129" s="85" t="s">
        <v>10</v>
      </c>
      <c r="I129" s="85" t="s">
        <v>11</v>
      </c>
      <c r="J129" s="85" t="s">
        <v>12</v>
      </c>
      <c r="K129" s="85" t="s">
        <v>13</v>
      </c>
      <c r="L129" s="86">
        <f>MAX(MID(C129,{1,2,3},1)*1)-MIN(MID(C129,{1,2,3},1)*1)</f>
        <v>6</v>
      </c>
      <c r="M129" s="87">
        <v>0</v>
      </c>
      <c r="N129" s="87">
        <v>1</v>
      </c>
      <c r="O129" s="87">
        <v>2</v>
      </c>
      <c r="P129" s="87">
        <v>3</v>
      </c>
      <c r="Q129" s="87">
        <v>4</v>
      </c>
      <c r="R129" s="87">
        <v>5</v>
      </c>
      <c r="S129" s="87">
        <v>6</v>
      </c>
      <c r="T129" s="87">
        <v>7</v>
      </c>
      <c r="U129" s="87">
        <v>8</v>
      </c>
      <c r="V129" s="87">
        <v>9</v>
      </c>
      <c r="W129" s="88">
        <f t="shared" si="126"/>
        <v>4</v>
      </c>
      <c r="X129" s="88">
        <f t="shared" si="127"/>
        <v>6</v>
      </c>
      <c r="Y129" s="88">
        <f t="shared" si="128"/>
        <v>2</v>
      </c>
      <c r="Z129" s="89">
        <f t="shared" si="129"/>
        <v>12</v>
      </c>
      <c r="AA129" s="17" t="str">
        <f>_xlfn.TEXTJOIN(", ",TRUE,ABS(MID(C129,{1,1,2},1)-MID(C129,{2,3,3},1)))</f>
        <v>4, 6, 2</v>
      </c>
      <c r="AB129" s="90">
        <v>0</v>
      </c>
      <c r="AC129" s="90">
        <v>1</v>
      </c>
      <c r="AD129" s="90">
        <v>2</v>
      </c>
      <c r="AE129" s="90">
        <v>3</v>
      </c>
      <c r="AF129" s="90">
        <v>4</v>
      </c>
      <c r="AG129" s="90">
        <v>5</v>
      </c>
      <c r="AH129" s="90">
        <v>6</v>
      </c>
      <c r="AI129" s="90">
        <v>7</v>
      </c>
      <c r="AJ129" s="90">
        <v>8</v>
      </c>
      <c r="AK129" s="90">
        <v>9</v>
      </c>
      <c r="AL129" s="91">
        <v>0</v>
      </c>
      <c r="AM129" s="91">
        <v>1</v>
      </c>
      <c r="AN129" s="91">
        <v>2</v>
      </c>
      <c r="AO129" s="91">
        <v>3</v>
      </c>
      <c r="AP129" s="91">
        <v>4</v>
      </c>
      <c r="AQ129" s="91">
        <v>5</v>
      </c>
      <c r="AR129" s="91">
        <v>6</v>
      </c>
      <c r="AS129" s="91">
        <v>7</v>
      </c>
      <c r="AT129" s="91">
        <v>8</v>
      </c>
      <c r="AU129" s="91">
        <v>9</v>
      </c>
      <c r="AV129" s="92">
        <v>0</v>
      </c>
      <c r="AW129" s="92">
        <v>1</v>
      </c>
      <c r="AX129" s="92">
        <v>2</v>
      </c>
      <c r="AY129" s="92">
        <v>3</v>
      </c>
      <c r="AZ129" s="92">
        <v>4</v>
      </c>
      <c r="BA129" s="92">
        <v>5</v>
      </c>
      <c r="BB129" s="92">
        <v>6</v>
      </c>
      <c r="BC129" s="92">
        <v>7</v>
      </c>
      <c r="BD129" s="92">
        <v>8</v>
      </c>
      <c r="BE129" s="92">
        <v>9</v>
      </c>
      <c r="BF129" s="93">
        <v>0</v>
      </c>
      <c r="BG129" s="93">
        <v>1</v>
      </c>
      <c r="BH129" s="93">
        <v>2</v>
      </c>
      <c r="BI129" s="93">
        <v>3</v>
      </c>
      <c r="BJ129" s="93">
        <v>4</v>
      </c>
      <c r="BK129" s="93">
        <v>5</v>
      </c>
      <c r="BL129" s="93">
        <v>6</v>
      </c>
      <c r="BM129" s="93">
        <v>7</v>
      </c>
      <c r="BN129" s="93">
        <v>8</v>
      </c>
      <c r="BO129" s="93">
        <v>9</v>
      </c>
      <c r="BP129" s="94" t="str">
        <f t="shared" si="130"/>
        <v>松散型</v>
      </c>
      <c r="BQ129" s="15">
        <f t="shared" si="131"/>
        <v>2</v>
      </c>
      <c r="BR129" s="15">
        <f t="shared" si="132"/>
        <v>6</v>
      </c>
      <c r="BS129" s="20" t="str">
        <f t="shared" si="133"/>
        <v/>
      </c>
      <c r="BT129" s="21" t="str">
        <f t="shared" si="145"/>
        <v/>
      </c>
      <c r="BU129" s="21" t="str">
        <f t="array" ref="BU129">_xlfn.TEXTJOIN("",TRUE,IF(ISERROR(FIND(ROW($1:$168)-1,BS129&amp;BT129)),ROW($1:$168)-1,""))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29" s="22" t="str">
        <f t="shared" si="134"/>
        <v>中中中</v>
      </c>
      <c r="BW129" s="23">
        <f t="shared" si="135"/>
        <v>6</v>
      </c>
      <c r="BX129" s="23" t="str">
        <f t="shared" si="146"/>
        <v/>
      </c>
      <c r="BY129" s="23" t="str">
        <f t="array" ref="BY129">_xlfn.TEXTJOIN("",TRUE,IF(ISERROR(FIND(ROW($1:$168)-1,BW129&amp;BX129)),ROW($1:$168)-1,""))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29" s="22" t="str">
        <f t="shared" si="136"/>
        <v>复中中</v>
      </c>
      <c r="CA129" s="24" t="str">
        <f t="shared" si="137"/>
        <v/>
      </c>
      <c r="CB129" s="24">
        <f t="shared" si="147"/>
        <v>2</v>
      </c>
      <c r="CC129" s="24" t="str">
        <f t="array" ref="CC129">_xlfn.TEXTJOIN("",TRUE,IF(ISERROR(FIND(ROW($1:$168)-1,CA129&amp;CB129)),ROW($1:$168)-1,""))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29" s="22" t="str">
        <f t="shared" si="138"/>
        <v>中隔中</v>
      </c>
      <c r="CE129" s="25" t="str">
        <f t="shared" si="139"/>
        <v>35</v>
      </c>
      <c r="CF129" s="26" t="str">
        <f t="array" ref="CF129">_xlfn.TEXTJOIN("",TRUE,IF(ISNUMBER(FIND(MID(CE128&amp;W128,ROW($1:$162),1),CE129&amp;W129)),MID(CE128&amp;W128,ROW($1:$162),1),""))</f>
        <v>45</v>
      </c>
      <c r="CG129" s="27" t="str">
        <f t="array" ref="CG129">_xlfn.TEXTJOIN("",TRUE,IF(ISERROR(FIND(ROW($1:$168)-1,CE129&amp;CF129)),ROW($1:$168)-1,""))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29" s="28" t="str">
        <f t="shared" si="140"/>
        <v>邻传孤</v>
      </c>
      <c r="CI129" s="29" t="str">
        <f t="shared" si="141"/>
        <v>57</v>
      </c>
      <c r="CJ129" s="29" t="str">
        <f t="array" ref="CJ129">_xlfn.TEXTJOIN("",TRUE,IF(ISNUMBER(FIND(MID(CI128&amp;X128,ROW($1:$162),1),CI129&amp;X129)),MID(CI128&amp;X128,ROW($1:$162),1),""))</f>
        <v>576</v>
      </c>
      <c r="CK129" s="29" t="str">
        <f t="array" ref="CK129">_xlfn.TEXTJOIN("",TRUE,IF(ISERROR(FIND(ROW($1:$168)-1,CI129&amp;CJ129)),ROW($1:$168)-1,""))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29" s="19" t="str">
        <f t="shared" si="142"/>
        <v>邻传孤</v>
      </c>
      <c r="CM129" s="24" t="str">
        <f t="shared" si="143"/>
        <v>13</v>
      </c>
      <c r="CN129" s="24" t="str">
        <f t="array" ref="CN129">_xlfn.TEXTJOIN("",TRUE,IF(ISNUMBER(FIND(MID(CM128&amp;Y128,ROW($1:$162),1),CM129&amp;Y129)),MID(CM128&amp;Y128,ROW($1:$162),1),""))</f>
        <v>21</v>
      </c>
      <c r="CO129" s="24" t="str">
        <f t="array" ref="CO129">_xlfn.TEXTJOIN("",TRUE,IF(ISERROR(FIND(ROW($1:$168)-1,CM129&amp;CN129)),ROW($1:$168)-1,""))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129" s="30" t="str">
        <f t="shared" si="144"/>
        <v>邻传孤</v>
      </c>
    </row>
    <row r="130" customFormat="1" spans="1:94">
      <c r="A130" s="15">
        <v>130</v>
      </c>
      <c r="B130" s="80">
        <v>2024099</v>
      </c>
      <c r="C130" s="8" t="s">
        <v>149</v>
      </c>
      <c r="D130" s="81">
        <f t="shared" si="124"/>
        <v>10</v>
      </c>
      <c r="E130" s="82">
        <f t="shared" si="125"/>
        <v>0</v>
      </c>
      <c r="F130" s="83">
        <f t="shared" si="74"/>
        <v>1.11111111111111</v>
      </c>
      <c r="G130" s="84" t="str">
        <f t="shared" si="75"/>
        <v>松散</v>
      </c>
      <c r="H130" s="85" t="s">
        <v>10</v>
      </c>
      <c r="I130" s="85" t="s">
        <v>11</v>
      </c>
      <c r="J130" s="85" t="s">
        <v>12</v>
      </c>
      <c r="K130" s="85" t="s">
        <v>13</v>
      </c>
      <c r="L130" s="86">
        <f>MAX(MID(C130,{1,2,3},1)*1)-MIN(MID(C130,{1,2,3},1)*1)</f>
        <v>9</v>
      </c>
      <c r="M130" s="87">
        <v>0</v>
      </c>
      <c r="N130" s="87">
        <v>1</v>
      </c>
      <c r="O130" s="87">
        <v>2</v>
      </c>
      <c r="P130" s="87">
        <v>3</v>
      </c>
      <c r="Q130" s="87">
        <v>4</v>
      </c>
      <c r="R130" s="87">
        <v>5</v>
      </c>
      <c r="S130" s="87">
        <v>6</v>
      </c>
      <c r="T130" s="87">
        <v>7</v>
      </c>
      <c r="U130" s="87">
        <v>8</v>
      </c>
      <c r="V130" s="87">
        <v>9</v>
      </c>
      <c r="W130" s="88">
        <f t="shared" si="126"/>
        <v>8</v>
      </c>
      <c r="X130" s="88">
        <f t="shared" si="127"/>
        <v>1</v>
      </c>
      <c r="Y130" s="88">
        <f t="shared" si="128"/>
        <v>9</v>
      </c>
      <c r="Z130" s="89">
        <f t="shared" si="129"/>
        <v>18</v>
      </c>
      <c r="AA130" s="17" t="str">
        <f>_xlfn.TEXTJOIN(", ",TRUE,ABS(MID(C130,{1,1,2},1)-MID(C130,{2,3,3},1)))</f>
        <v>8, 1, 9</v>
      </c>
      <c r="AB130" s="90">
        <v>0</v>
      </c>
      <c r="AC130" s="90">
        <v>1</v>
      </c>
      <c r="AD130" s="90">
        <v>2</v>
      </c>
      <c r="AE130" s="90">
        <v>3</v>
      </c>
      <c r="AF130" s="90">
        <v>4</v>
      </c>
      <c r="AG130" s="90">
        <v>5</v>
      </c>
      <c r="AH130" s="90">
        <v>6</v>
      </c>
      <c r="AI130" s="90">
        <v>7</v>
      </c>
      <c r="AJ130" s="90">
        <v>8</v>
      </c>
      <c r="AK130" s="90">
        <v>9</v>
      </c>
      <c r="AL130" s="91">
        <v>0</v>
      </c>
      <c r="AM130" s="91">
        <v>1</v>
      </c>
      <c r="AN130" s="91">
        <v>2</v>
      </c>
      <c r="AO130" s="91">
        <v>3</v>
      </c>
      <c r="AP130" s="91">
        <v>4</v>
      </c>
      <c r="AQ130" s="91">
        <v>5</v>
      </c>
      <c r="AR130" s="91">
        <v>6</v>
      </c>
      <c r="AS130" s="91">
        <v>7</v>
      </c>
      <c r="AT130" s="91">
        <v>8</v>
      </c>
      <c r="AU130" s="91">
        <v>9</v>
      </c>
      <c r="AV130" s="92">
        <v>0</v>
      </c>
      <c r="AW130" s="92">
        <v>1</v>
      </c>
      <c r="AX130" s="92">
        <v>2</v>
      </c>
      <c r="AY130" s="92">
        <v>3</v>
      </c>
      <c r="AZ130" s="92">
        <v>4</v>
      </c>
      <c r="BA130" s="92">
        <v>5</v>
      </c>
      <c r="BB130" s="92">
        <v>6</v>
      </c>
      <c r="BC130" s="92">
        <v>7</v>
      </c>
      <c r="BD130" s="92">
        <v>8</v>
      </c>
      <c r="BE130" s="92">
        <v>9</v>
      </c>
      <c r="BF130" s="93">
        <v>0</v>
      </c>
      <c r="BG130" s="93">
        <v>1</v>
      </c>
      <c r="BH130" s="93">
        <v>2</v>
      </c>
      <c r="BI130" s="93">
        <v>3</v>
      </c>
      <c r="BJ130" s="93">
        <v>4</v>
      </c>
      <c r="BK130" s="93">
        <v>5</v>
      </c>
      <c r="BL130" s="93">
        <v>6</v>
      </c>
      <c r="BM130" s="93">
        <v>7</v>
      </c>
      <c r="BN130" s="93">
        <v>8</v>
      </c>
      <c r="BO130" s="93">
        <v>9</v>
      </c>
      <c r="BP130" s="94" t="str">
        <f t="shared" si="130"/>
        <v>松散型</v>
      </c>
      <c r="BQ130" s="15">
        <f t="shared" si="131"/>
        <v>1</v>
      </c>
      <c r="BR130" s="15">
        <f t="shared" si="132"/>
        <v>9</v>
      </c>
      <c r="BS130" s="20" t="str">
        <f t="shared" si="133"/>
        <v/>
      </c>
      <c r="BT130" s="21" t="str">
        <f t="shared" si="145"/>
        <v/>
      </c>
      <c r="BU130" s="21" t="str">
        <f t="array" ref="BU130">_xlfn.TEXTJOIN("",TRUE,IF(ISERROR(FIND(ROW($1:$168)-1,BS130&amp;BT130)),ROW($1:$168)-1,""))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30" s="22" t="str">
        <f t="shared" si="134"/>
        <v>中中中</v>
      </c>
      <c r="BW130" s="23" t="str">
        <f t="shared" si="135"/>
        <v/>
      </c>
      <c r="BX130" s="23">
        <f t="shared" si="146"/>
        <v>1</v>
      </c>
      <c r="BY130" s="23" t="str">
        <f t="array" ref="BY130">_xlfn.TEXTJOIN("",TRUE,IF(ISERROR(FIND(ROW($1:$168)-1,BW130&amp;BX130)),ROW($1:$168)-1,""))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30" s="22" t="str">
        <f t="shared" si="136"/>
        <v>中隔中</v>
      </c>
      <c r="CA130" s="24" t="str">
        <f t="shared" si="137"/>
        <v/>
      </c>
      <c r="CB130" s="24" t="str">
        <f t="shared" si="147"/>
        <v/>
      </c>
      <c r="CC130" s="24" t="str">
        <f t="array" ref="CC130">_xlfn.TEXTJOIN("",TRUE,IF(ISERROR(FIND(ROW($1:$168)-1,CA130&amp;CB130)),ROW($1:$168)-1,""))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30" s="22" t="str">
        <f t="shared" si="138"/>
        <v>中中中</v>
      </c>
      <c r="CE130" s="25" t="str">
        <f t="shared" si="139"/>
        <v>79</v>
      </c>
      <c r="CF130" s="26" t="str">
        <f t="array" ref="CF130">_xlfn.TEXTJOIN("",TRUE,IF(ISNUMBER(FIND(MID(CE129&amp;W129,ROW($1:$162),1),CE130&amp;W130)),MID(CE129&amp;W129,ROW($1:$162),1),""))</f>
        <v/>
      </c>
      <c r="CG130" s="27" t="str">
        <f t="array" ref="CG130">_xlfn.TEXTJOIN("",TRUE,IF(ISERROR(FIND(ROW($1:$168)-1,CE130&amp;CF130)),ROW($1:$168)-1,""))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130" s="28" t="str">
        <f t="shared" si="140"/>
        <v>邻孤孤</v>
      </c>
      <c r="CI130" s="29" t="str">
        <f t="shared" si="141"/>
        <v>02</v>
      </c>
      <c r="CJ130" s="29" t="str">
        <f t="array" ref="CJ130">_xlfn.TEXTJOIN("",TRUE,IF(ISNUMBER(FIND(MID(CI129&amp;X129,ROW($1:$162),1),CI130&amp;X130)),MID(CI129&amp;X129,ROW($1:$162),1),""))</f>
        <v/>
      </c>
      <c r="CK130" s="29" t="str">
        <f t="array" ref="CK130">_xlfn.TEXTJOIN("",TRUE,IF(ISERROR(FIND(ROW($1:$168)-1,CI130&amp;CJ130)),ROW($1:$168)-1,""))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30" s="19" t="str">
        <f t="shared" si="142"/>
        <v>邻孤孤</v>
      </c>
      <c r="CM130" s="24" t="str">
        <f t="shared" si="143"/>
        <v>80</v>
      </c>
      <c r="CN130" s="24" t="str">
        <f t="array" ref="CN130">_xlfn.TEXTJOIN("",TRUE,IF(ISNUMBER(FIND(MID(CM129&amp;Y129,ROW($1:$162),1),CM130&amp;Y130)),MID(CM129&amp;Y129,ROW($1:$162),1),""))</f>
        <v/>
      </c>
      <c r="CO130" s="24" t="str">
        <f t="array" ref="CO130">_xlfn.TEXTJOIN("",TRUE,IF(ISERROR(FIND(ROW($1:$168)-1,CM130&amp;CN130)),ROW($1:$168)-1,""))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130" s="30" t="str">
        <f t="shared" si="144"/>
        <v>邻孤孤</v>
      </c>
    </row>
    <row r="131" customFormat="1" spans="1:94">
      <c r="A131" s="15">
        <v>131</v>
      </c>
      <c r="B131" s="80">
        <v>2024100</v>
      </c>
      <c r="C131" s="8" t="s">
        <v>150</v>
      </c>
      <c r="D131" s="81">
        <f t="shared" si="124"/>
        <v>18</v>
      </c>
      <c r="E131" s="82">
        <f t="shared" si="125"/>
        <v>8</v>
      </c>
      <c r="F131" s="83">
        <f t="shared" si="74"/>
        <v>3</v>
      </c>
      <c r="G131" s="84" t="str">
        <f t="shared" si="75"/>
        <v>标准</v>
      </c>
      <c r="H131" s="85" t="s">
        <v>10</v>
      </c>
      <c r="I131" s="85" t="s">
        <v>11</v>
      </c>
      <c r="J131" s="85" t="s">
        <v>12</v>
      </c>
      <c r="K131" s="85" t="s">
        <v>13</v>
      </c>
      <c r="L131" s="86">
        <f>MAX(MID(C131,{1,2,3},1)*1)-MIN(MID(C131,{1,2,3},1)*1)</f>
        <v>6</v>
      </c>
      <c r="M131" s="87">
        <v>0</v>
      </c>
      <c r="N131" s="87">
        <v>1</v>
      </c>
      <c r="O131" s="87">
        <v>2</v>
      </c>
      <c r="P131" s="87">
        <v>3</v>
      </c>
      <c r="Q131" s="87">
        <v>4</v>
      </c>
      <c r="R131" s="87">
        <v>5</v>
      </c>
      <c r="S131" s="87">
        <v>6</v>
      </c>
      <c r="T131" s="87">
        <v>7</v>
      </c>
      <c r="U131" s="87">
        <v>8</v>
      </c>
      <c r="V131" s="87">
        <v>9</v>
      </c>
      <c r="W131" s="88">
        <f t="shared" si="126"/>
        <v>6</v>
      </c>
      <c r="X131" s="88">
        <f t="shared" si="127"/>
        <v>3</v>
      </c>
      <c r="Y131" s="88">
        <f t="shared" si="128"/>
        <v>3</v>
      </c>
      <c r="Z131" s="89">
        <f t="shared" si="129"/>
        <v>12</v>
      </c>
      <c r="AA131" s="17" t="str">
        <f>_xlfn.TEXTJOIN(", ",TRUE,ABS(MID(C131,{1,1,2},1)-MID(C131,{2,3,3},1)))</f>
        <v>6, 3, 3</v>
      </c>
      <c r="AB131" s="90">
        <v>0</v>
      </c>
      <c r="AC131" s="90">
        <v>1</v>
      </c>
      <c r="AD131" s="90">
        <v>2</v>
      </c>
      <c r="AE131" s="90">
        <v>3</v>
      </c>
      <c r="AF131" s="90">
        <v>4</v>
      </c>
      <c r="AG131" s="90">
        <v>5</v>
      </c>
      <c r="AH131" s="90">
        <v>6</v>
      </c>
      <c r="AI131" s="90">
        <v>7</v>
      </c>
      <c r="AJ131" s="90">
        <v>8</v>
      </c>
      <c r="AK131" s="90">
        <v>9</v>
      </c>
      <c r="AL131" s="91">
        <v>0</v>
      </c>
      <c r="AM131" s="91">
        <v>1</v>
      </c>
      <c r="AN131" s="91">
        <v>2</v>
      </c>
      <c r="AO131" s="91">
        <v>3</v>
      </c>
      <c r="AP131" s="91">
        <v>4</v>
      </c>
      <c r="AQ131" s="91">
        <v>5</v>
      </c>
      <c r="AR131" s="91">
        <v>6</v>
      </c>
      <c r="AS131" s="91">
        <v>7</v>
      </c>
      <c r="AT131" s="91">
        <v>8</v>
      </c>
      <c r="AU131" s="91">
        <v>9</v>
      </c>
      <c r="AV131" s="92">
        <v>0</v>
      </c>
      <c r="AW131" s="92">
        <v>1</v>
      </c>
      <c r="AX131" s="92">
        <v>2</v>
      </c>
      <c r="AY131" s="92">
        <v>3</v>
      </c>
      <c r="AZ131" s="92">
        <v>4</v>
      </c>
      <c r="BA131" s="92">
        <v>5</v>
      </c>
      <c r="BB131" s="92">
        <v>6</v>
      </c>
      <c r="BC131" s="92">
        <v>7</v>
      </c>
      <c r="BD131" s="92">
        <v>8</v>
      </c>
      <c r="BE131" s="92">
        <v>9</v>
      </c>
      <c r="BF131" s="93">
        <v>0</v>
      </c>
      <c r="BG131" s="93">
        <v>1</v>
      </c>
      <c r="BH131" s="93">
        <v>2</v>
      </c>
      <c r="BI131" s="93">
        <v>3</v>
      </c>
      <c r="BJ131" s="93">
        <v>4</v>
      </c>
      <c r="BK131" s="93">
        <v>5</v>
      </c>
      <c r="BL131" s="93">
        <v>6</v>
      </c>
      <c r="BM131" s="93">
        <v>7</v>
      </c>
      <c r="BN131" s="93">
        <v>8</v>
      </c>
      <c r="BO131" s="93">
        <v>9</v>
      </c>
      <c r="BP131" s="94" t="str">
        <f t="shared" si="130"/>
        <v>松散型</v>
      </c>
      <c r="BQ131" s="15">
        <f t="shared" si="131"/>
        <v>3</v>
      </c>
      <c r="BR131" s="15">
        <f t="shared" si="132"/>
        <v>6</v>
      </c>
      <c r="BS131" s="20" t="str">
        <f t="shared" si="133"/>
        <v/>
      </c>
      <c r="BT131" s="21">
        <f t="shared" si="145"/>
        <v>6</v>
      </c>
      <c r="BU131" s="21" t="str">
        <f t="array" ref="BU131">_xlfn.TEXTJOIN("",TRUE,IF(ISERROR(FIND(ROW($1:$168)-1,BS131&amp;BT131)),ROW($1:$168)-1,""))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31" s="22" t="str">
        <f t="shared" si="134"/>
        <v>中隔中</v>
      </c>
      <c r="BW131" s="23" t="str">
        <f t="shared" si="135"/>
        <v/>
      </c>
      <c r="BX131" s="23" t="str">
        <f t="shared" si="146"/>
        <v/>
      </c>
      <c r="BY131" s="23" t="str">
        <f t="array" ref="BY131">_xlfn.TEXTJOIN("",TRUE,IF(ISERROR(FIND(ROW($1:$168)-1,BW131&amp;BX131)),ROW($1:$168)-1,""))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31" s="22" t="str">
        <f t="shared" si="136"/>
        <v>中中中</v>
      </c>
      <c r="CA131" s="24" t="str">
        <f t="shared" si="137"/>
        <v/>
      </c>
      <c r="CB131" s="24" t="str">
        <f t="shared" si="147"/>
        <v/>
      </c>
      <c r="CC131" s="24" t="str">
        <f t="array" ref="CC131">_xlfn.TEXTJOIN("",TRUE,IF(ISERROR(FIND(ROW($1:$168)-1,CA131&amp;CB131)),ROW($1:$168)-1,""))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31" s="22" t="str">
        <f t="shared" si="138"/>
        <v>中中中</v>
      </c>
      <c r="CE131" s="25" t="str">
        <f t="shared" si="139"/>
        <v>57</v>
      </c>
      <c r="CF131" s="26" t="str">
        <f t="array" ref="CF131">_xlfn.TEXTJOIN("",TRUE,IF(ISNUMBER(FIND(MID(CE130&amp;W130,ROW($1:$162),1),CE131&amp;W131)),MID(CE130&amp;W130,ROW($1:$162),1),""))</f>
        <v>7</v>
      </c>
      <c r="CG131" s="27" t="str">
        <f t="array" ref="CG131">_xlfn.TEXTJOIN("",TRUE,IF(ISERROR(FIND(ROW($1:$168)-1,CE131&amp;CF131)),ROW($1:$168)-1,""))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H131" s="28" t="str">
        <f t="shared" si="140"/>
        <v>邻传孤</v>
      </c>
      <c r="CI131" s="29" t="str">
        <f t="shared" si="141"/>
        <v>24</v>
      </c>
      <c r="CJ131" s="29" t="str">
        <f t="array" ref="CJ131">_xlfn.TEXTJOIN("",TRUE,IF(ISNUMBER(FIND(MID(CI130&amp;X130,ROW($1:$162),1),CI131&amp;X131)),MID(CI130&amp;X130,ROW($1:$162),1),""))</f>
        <v>2</v>
      </c>
      <c r="CK131" s="29" t="str">
        <f t="array" ref="CK131">_xlfn.TEXTJOIN("",TRUE,IF(ISERROR(FIND(ROW($1:$168)-1,CI131&amp;CJ131)),ROW($1:$168)-1,""))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31" s="19" t="str">
        <f t="shared" si="142"/>
        <v>邻传孤</v>
      </c>
      <c r="CM131" s="24" t="str">
        <f t="shared" si="143"/>
        <v>24</v>
      </c>
      <c r="CN131" s="24" t="str">
        <f t="array" ref="CN131">_xlfn.TEXTJOIN("",TRUE,IF(ISNUMBER(FIND(MID(CM130&amp;Y130,ROW($1:$162),1),CM131&amp;Y131)),MID(CM130&amp;Y130,ROW($1:$162),1),""))</f>
        <v/>
      </c>
      <c r="CO131" s="24" t="str">
        <f t="array" ref="CO131">_xlfn.TEXTJOIN("",TRUE,IF(ISERROR(FIND(ROW($1:$168)-1,CM131&amp;CN131)),ROW($1:$168)-1,""))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31" s="30" t="str">
        <f t="shared" si="144"/>
        <v>邻孤孤</v>
      </c>
    </row>
    <row r="132" customFormat="1" spans="1:94">
      <c r="A132" s="15">
        <v>132</v>
      </c>
      <c r="B132" s="80">
        <v>2024101</v>
      </c>
      <c r="C132" s="8" t="s">
        <v>151</v>
      </c>
      <c r="D132" s="81">
        <f t="shared" si="124"/>
        <v>18</v>
      </c>
      <c r="E132" s="82">
        <f t="shared" si="125"/>
        <v>8</v>
      </c>
      <c r="F132" s="83">
        <f t="shared" ref="F132:F195" si="148">IF(L132=0,0.1,D132/L132)</f>
        <v>3.6</v>
      </c>
      <c r="G132" s="84" t="str">
        <f t="shared" ref="G132:G195" si="149">IF(F132=0.1,"极紧凑",IF(F132&gt;3.5,"紧凑",IF(AND(F132&gt;=2,F132&lt;=3.5),"标准",IF(AND(F132&gt;=1,F132&lt;2),"松散",""))))</f>
        <v>紧凑</v>
      </c>
      <c r="H132" s="85" t="s">
        <v>10</v>
      </c>
      <c r="I132" s="85" t="s">
        <v>11</v>
      </c>
      <c r="J132" s="85" t="s">
        <v>12</v>
      </c>
      <c r="K132" s="85" t="s">
        <v>13</v>
      </c>
      <c r="L132" s="86">
        <f>MAX(MID(C132,{1,2,3},1)*1)-MIN(MID(C132,{1,2,3},1)*1)</f>
        <v>5</v>
      </c>
      <c r="M132" s="87">
        <v>0</v>
      </c>
      <c r="N132" s="87">
        <v>1</v>
      </c>
      <c r="O132" s="87">
        <v>2</v>
      </c>
      <c r="P132" s="87">
        <v>3</v>
      </c>
      <c r="Q132" s="87">
        <v>4</v>
      </c>
      <c r="R132" s="87">
        <v>5</v>
      </c>
      <c r="S132" s="87">
        <v>6</v>
      </c>
      <c r="T132" s="87">
        <v>7</v>
      </c>
      <c r="U132" s="87">
        <v>8</v>
      </c>
      <c r="V132" s="87">
        <v>9</v>
      </c>
      <c r="W132" s="88">
        <f t="shared" si="126"/>
        <v>4</v>
      </c>
      <c r="X132" s="88">
        <f t="shared" si="127"/>
        <v>1</v>
      </c>
      <c r="Y132" s="88">
        <f t="shared" si="128"/>
        <v>5</v>
      </c>
      <c r="Z132" s="89">
        <f t="shared" si="129"/>
        <v>10</v>
      </c>
      <c r="AA132" s="17" t="str">
        <f>_xlfn.TEXTJOIN(", ",TRUE,ABS(MID(C132,{1,1,2},1)-MID(C132,{2,3,3},1)))</f>
        <v>4, 1, 5</v>
      </c>
      <c r="AB132" s="90">
        <v>0</v>
      </c>
      <c r="AC132" s="90">
        <v>1</v>
      </c>
      <c r="AD132" s="90">
        <v>2</v>
      </c>
      <c r="AE132" s="90">
        <v>3</v>
      </c>
      <c r="AF132" s="90">
        <v>4</v>
      </c>
      <c r="AG132" s="90">
        <v>5</v>
      </c>
      <c r="AH132" s="90">
        <v>6</v>
      </c>
      <c r="AI132" s="90">
        <v>7</v>
      </c>
      <c r="AJ132" s="90">
        <v>8</v>
      </c>
      <c r="AK132" s="90">
        <v>9</v>
      </c>
      <c r="AL132" s="91">
        <v>0</v>
      </c>
      <c r="AM132" s="91">
        <v>1</v>
      </c>
      <c r="AN132" s="91">
        <v>2</v>
      </c>
      <c r="AO132" s="91">
        <v>3</v>
      </c>
      <c r="AP132" s="91">
        <v>4</v>
      </c>
      <c r="AQ132" s="91">
        <v>5</v>
      </c>
      <c r="AR132" s="91">
        <v>6</v>
      </c>
      <c r="AS132" s="91">
        <v>7</v>
      </c>
      <c r="AT132" s="91">
        <v>8</v>
      </c>
      <c r="AU132" s="91">
        <v>9</v>
      </c>
      <c r="AV132" s="92">
        <v>0</v>
      </c>
      <c r="AW132" s="92">
        <v>1</v>
      </c>
      <c r="AX132" s="92">
        <v>2</v>
      </c>
      <c r="AY132" s="92">
        <v>3</v>
      </c>
      <c r="AZ132" s="92">
        <v>4</v>
      </c>
      <c r="BA132" s="92">
        <v>5</v>
      </c>
      <c r="BB132" s="92">
        <v>6</v>
      </c>
      <c r="BC132" s="92">
        <v>7</v>
      </c>
      <c r="BD132" s="92">
        <v>8</v>
      </c>
      <c r="BE132" s="92">
        <v>9</v>
      </c>
      <c r="BF132" s="93">
        <v>0</v>
      </c>
      <c r="BG132" s="93">
        <v>1</v>
      </c>
      <c r="BH132" s="93">
        <v>2</v>
      </c>
      <c r="BI132" s="93">
        <v>3</v>
      </c>
      <c r="BJ132" s="93">
        <v>4</v>
      </c>
      <c r="BK132" s="93">
        <v>5</v>
      </c>
      <c r="BL132" s="93">
        <v>6</v>
      </c>
      <c r="BM132" s="93">
        <v>7</v>
      </c>
      <c r="BN132" s="93">
        <v>8</v>
      </c>
      <c r="BO132" s="93">
        <v>9</v>
      </c>
      <c r="BP132" s="94" t="str">
        <f t="shared" si="130"/>
        <v>标准型</v>
      </c>
      <c r="BQ132" s="15">
        <f t="shared" si="131"/>
        <v>1</v>
      </c>
      <c r="BR132" s="15">
        <f t="shared" si="132"/>
        <v>5</v>
      </c>
      <c r="BS132" s="20" t="str">
        <f t="shared" si="133"/>
        <v/>
      </c>
      <c r="BT132" s="21" t="str">
        <f t="shared" si="145"/>
        <v/>
      </c>
      <c r="BU132" s="21" t="str">
        <f t="array" ref="BU132">_xlfn.TEXTJOIN("",TRUE,IF(ISERROR(FIND(ROW($1:$168)-1,BS132&amp;BT132)),ROW($1:$168)-1,""))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32" s="22" t="str">
        <f t="shared" si="134"/>
        <v>中中中</v>
      </c>
      <c r="BW132" s="23" t="str">
        <f t="shared" si="135"/>
        <v/>
      </c>
      <c r="BX132" s="23">
        <f t="shared" si="146"/>
        <v>1</v>
      </c>
      <c r="BY132" s="23" t="str">
        <f t="array" ref="BY132">_xlfn.TEXTJOIN("",TRUE,IF(ISERROR(FIND(ROW($1:$168)-1,BW132&amp;BX132)),ROW($1:$168)-1,""))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32" s="22" t="str">
        <f t="shared" si="136"/>
        <v>中隔中</v>
      </c>
      <c r="CA132" s="24" t="str">
        <f t="shared" si="137"/>
        <v/>
      </c>
      <c r="CB132" s="24" t="str">
        <f t="shared" si="147"/>
        <v/>
      </c>
      <c r="CC132" s="24" t="str">
        <f t="array" ref="CC132">_xlfn.TEXTJOIN("",TRUE,IF(ISERROR(FIND(ROW($1:$168)-1,CA132&amp;CB132)),ROW($1:$168)-1,""))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32" s="22" t="str">
        <f t="shared" si="138"/>
        <v>中中中</v>
      </c>
      <c r="CE132" s="25" t="str">
        <f t="shared" si="139"/>
        <v>35</v>
      </c>
      <c r="CF132" s="26" t="str">
        <f t="array" ref="CF132">_xlfn.TEXTJOIN("",TRUE,IF(ISNUMBER(FIND(MID(CE131&amp;W131,ROW($1:$162),1),CE132&amp;W132)),MID(CE131&amp;W131,ROW($1:$162),1),""))</f>
        <v>5</v>
      </c>
      <c r="CG132" s="27" t="str">
        <f t="array" ref="CG132">_xlfn.TEXTJOIN("",TRUE,IF(ISERROR(FIND(ROW($1:$168)-1,CE132&amp;CF132)),ROW($1:$168)-1,""))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32" s="28" t="str">
        <f t="shared" si="140"/>
        <v>邻传孤</v>
      </c>
      <c r="CI132" s="29" t="str">
        <f t="shared" si="141"/>
        <v>02</v>
      </c>
      <c r="CJ132" s="29" t="str">
        <f t="array" ref="CJ132">_xlfn.TEXTJOIN("",TRUE,IF(ISNUMBER(FIND(MID(CI131&amp;X131,ROW($1:$162),1),CI132&amp;X132)),MID(CI131&amp;X131,ROW($1:$162),1),""))</f>
        <v>2</v>
      </c>
      <c r="CK132" s="29" t="str">
        <f t="array" ref="CK132">_xlfn.TEXTJOIN("",TRUE,IF(ISERROR(FIND(ROW($1:$168)-1,CI132&amp;CJ132)),ROW($1:$168)-1,""))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32" s="19" t="str">
        <f t="shared" si="142"/>
        <v>邻传孤</v>
      </c>
      <c r="CM132" s="24" t="str">
        <f t="shared" si="143"/>
        <v>46</v>
      </c>
      <c r="CN132" s="24" t="str">
        <f t="array" ref="CN132">_xlfn.TEXTJOIN("",TRUE,IF(ISNUMBER(FIND(MID(CM131&amp;Y131,ROW($1:$162),1),CM132&amp;Y132)),MID(CM131&amp;Y131,ROW($1:$162),1),""))</f>
        <v>4</v>
      </c>
      <c r="CO132" s="24" t="str">
        <f t="array" ref="CO132">_xlfn.TEXTJOIN("",TRUE,IF(ISERROR(FIND(ROW($1:$168)-1,CM132&amp;CN132)),ROW($1:$168)-1,""))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32" s="30" t="str">
        <f t="shared" si="144"/>
        <v>邻传孤</v>
      </c>
    </row>
    <row r="133" customFormat="1" spans="1:94">
      <c r="A133" s="15">
        <v>133</v>
      </c>
      <c r="B133" s="80">
        <v>2024102</v>
      </c>
      <c r="C133" s="8" t="s">
        <v>152</v>
      </c>
      <c r="D133" s="81">
        <f t="shared" si="124"/>
        <v>15</v>
      </c>
      <c r="E133" s="82">
        <f t="shared" si="125"/>
        <v>5</v>
      </c>
      <c r="F133" s="83">
        <f t="shared" si="148"/>
        <v>2.5</v>
      </c>
      <c r="G133" s="84" t="str">
        <f t="shared" si="149"/>
        <v>标准</v>
      </c>
      <c r="H133" s="85" t="s">
        <v>10</v>
      </c>
      <c r="I133" s="85" t="s">
        <v>11</v>
      </c>
      <c r="J133" s="85" t="s">
        <v>12</v>
      </c>
      <c r="K133" s="85" t="s">
        <v>13</v>
      </c>
      <c r="L133" s="86">
        <f>MAX(MID(C133,{1,2,3},1)*1)-MIN(MID(C133,{1,2,3},1)*1)</f>
        <v>6</v>
      </c>
      <c r="M133" s="87">
        <v>0</v>
      </c>
      <c r="N133" s="87">
        <v>1</v>
      </c>
      <c r="O133" s="87">
        <v>2</v>
      </c>
      <c r="P133" s="87">
        <v>3</v>
      </c>
      <c r="Q133" s="87">
        <v>4</v>
      </c>
      <c r="R133" s="87">
        <v>5</v>
      </c>
      <c r="S133" s="87">
        <v>6</v>
      </c>
      <c r="T133" s="87">
        <v>7</v>
      </c>
      <c r="U133" s="87">
        <v>8</v>
      </c>
      <c r="V133" s="87">
        <v>9</v>
      </c>
      <c r="W133" s="88">
        <f t="shared" si="126"/>
        <v>0</v>
      </c>
      <c r="X133" s="88">
        <f t="shared" si="127"/>
        <v>6</v>
      </c>
      <c r="Y133" s="88">
        <f t="shared" si="128"/>
        <v>6</v>
      </c>
      <c r="Z133" s="89">
        <f t="shared" si="129"/>
        <v>12</v>
      </c>
      <c r="AA133" s="17" t="str">
        <f>_xlfn.TEXTJOIN(", ",TRUE,ABS(MID(C133,{1,1,2},1)-MID(C133,{2,3,3},1)))</f>
        <v>0, 6, 6</v>
      </c>
      <c r="AB133" s="90">
        <v>0</v>
      </c>
      <c r="AC133" s="90">
        <v>1</v>
      </c>
      <c r="AD133" s="90">
        <v>2</v>
      </c>
      <c r="AE133" s="90">
        <v>3</v>
      </c>
      <c r="AF133" s="90">
        <v>4</v>
      </c>
      <c r="AG133" s="90">
        <v>5</v>
      </c>
      <c r="AH133" s="90">
        <v>6</v>
      </c>
      <c r="AI133" s="90">
        <v>7</v>
      </c>
      <c r="AJ133" s="90">
        <v>8</v>
      </c>
      <c r="AK133" s="90">
        <v>9</v>
      </c>
      <c r="AL133" s="91">
        <v>0</v>
      </c>
      <c r="AM133" s="91">
        <v>1</v>
      </c>
      <c r="AN133" s="91">
        <v>2</v>
      </c>
      <c r="AO133" s="91">
        <v>3</v>
      </c>
      <c r="AP133" s="91">
        <v>4</v>
      </c>
      <c r="AQ133" s="91">
        <v>5</v>
      </c>
      <c r="AR133" s="91">
        <v>6</v>
      </c>
      <c r="AS133" s="91">
        <v>7</v>
      </c>
      <c r="AT133" s="91">
        <v>8</v>
      </c>
      <c r="AU133" s="91">
        <v>9</v>
      </c>
      <c r="AV133" s="92">
        <v>0</v>
      </c>
      <c r="AW133" s="92">
        <v>1</v>
      </c>
      <c r="AX133" s="92">
        <v>2</v>
      </c>
      <c r="AY133" s="92">
        <v>3</v>
      </c>
      <c r="AZ133" s="92">
        <v>4</v>
      </c>
      <c r="BA133" s="92">
        <v>5</v>
      </c>
      <c r="BB133" s="92">
        <v>6</v>
      </c>
      <c r="BC133" s="92">
        <v>7</v>
      </c>
      <c r="BD133" s="92">
        <v>8</v>
      </c>
      <c r="BE133" s="92">
        <v>9</v>
      </c>
      <c r="BF133" s="93">
        <v>0</v>
      </c>
      <c r="BG133" s="93">
        <v>1</v>
      </c>
      <c r="BH133" s="93">
        <v>2</v>
      </c>
      <c r="BI133" s="93">
        <v>3</v>
      </c>
      <c r="BJ133" s="93">
        <v>4</v>
      </c>
      <c r="BK133" s="93">
        <v>5</v>
      </c>
      <c r="BL133" s="93">
        <v>6</v>
      </c>
      <c r="BM133" s="93">
        <v>7</v>
      </c>
      <c r="BN133" s="93">
        <v>8</v>
      </c>
      <c r="BO133" s="93">
        <v>9</v>
      </c>
      <c r="BP133" s="94" t="str">
        <f t="shared" si="130"/>
        <v>松散型</v>
      </c>
      <c r="BQ133" s="15">
        <f t="shared" si="131"/>
        <v>0</v>
      </c>
      <c r="BR133" s="15">
        <f t="shared" si="132"/>
        <v>6</v>
      </c>
      <c r="BS133" s="20" t="str">
        <f t="shared" si="133"/>
        <v/>
      </c>
      <c r="BT133" s="21" t="str">
        <f t="shared" si="145"/>
        <v/>
      </c>
      <c r="BU133" s="21" t="str">
        <f t="array" ref="BU133">_xlfn.TEXTJOIN("",TRUE,IF(ISERROR(FIND(ROW($1:$168)-1,BS133&amp;BT133)),ROW($1:$168)-1,""))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33" s="22" t="str">
        <f t="shared" si="134"/>
        <v>中中中</v>
      </c>
      <c r="BW133" s="23" t="str">
        <f t="shared" si="135"/>
        <v/>
      </c>
      <c r="BX133" s="23">
        <f t="shared" si="146"/>
        <v>6</v>
      </c>
      <c r="BY133" s="23" t="str">
        <f t="array" ref="BY133">_xlfn.TEXTJOIN("",TRUE,IF(ISERROR(FIND(ROW($1:$168)-1,BW133&amp;BX133)),ROW($1:$168)-1,""))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33" s="22" t="str">
        <f t="shared" si="136"/>
        <v>中隔中</v>
      </c>
      <c r="CA133" s="24" t="str">
        <f t="shared" si="137"/>
        <v/>
      </c>
      <c r="CB133" s="24">
        <f t="shared" si="147"/>
        <v>6</v>
      </c>
      <c r="CC133" s="24" t="str">
        <f t="array" ref="CC133">_xlfn.TEXTJOIN("",TRUE,IF(ISERROR(FIND(ROW($1:$168)-1,CA133&amp;CB133)),ROW($1:$168)-1,""))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33" s="22" t="str">
        <f t="shared" si="138"/>
        <v>中隔中</v>
      </c>
      <c r="CE133" s="25" t="str">
        <f t="shared" si="139"/>
        <v>91</v>
      </c>
      <c r="CF133" s="26" t="str">
        <f t="array" ref="CF133">_xlfn.TEXTJOIN("",TRUE,IF(ISNUMBER(FIND(MID(CE132&amp;W132,ROW($1:$162),1),CE133&amp;W133)),MID(CE132&amp;W132,ROW($1:$162),1),""))</f>
        <v/>
      </c>
      <c r="CG133" s="27" t="str">
        <f t="array" ref="CG133">_xlfn.TEXTJOIN("",TRUE,IF(ISERROR(FIND(ROW($1:$168)-1,CE133&amp;CF133)),ROW($1:$168)-1,""))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133" s="28" t="str">
        <f t="shared" si="140"/>
        <v>邻孤孤</v>
      </c>
      <c r="CI133" s="29" t="str">
        <f t="shared" si="141"/>
        <v>57</v>
      </c>
      <c r="CJ133" s="29" t="str">
        <f t="array" ref="CJ133">_xlfn.TEXTJOIN("",TRUE,IF(ISNUMBER(FIND(MID(CI132&amp;X132,ROW($1:$162),1),CI133&amp;X133)),MID(CI132&amp;X132,ROW($1:$162),1),""))</f>
        <v/>
      </c>
      <c r="CK133" s="29" t="str">
        <f t="array" ref="CK133">_xlfn.TEXTJOIN("",TRUE,IF(ISERROR(FIND(ROW($1:$168)-1,CI133&amp;CJ133)),ROW($1:$168)-1,""))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33" s="19" t="str">
        <f t="shared" si="142"/>
        <v>邻孤孤</v>
      </c>
      <c r="CM133" s="24" t="str">
        <f t="shared" si="143"/>
        <v>57</v>
      </c>
      <c r="CN133" s="24" t="str">
        <f t="array" ref="CN133">_xlfn.TEXTJOIN("",TRUE,IF(ISNUMBER(FIND(MID(CM132&amp;Y132,ROW($1:$162),1),CM133&amp;Y133)),MID(CM132&amp;Y132,ROW($1:$162),1),""))</f>
        <v>65</v>
      </c>
      <c r="CO133" s="24" t="str">
        <f t="array" ref="CO133">_xlfn.TEXTJOIN("",TRUE,IF(ISERROR(FIND(ROW($1:$168)-1,CM133&amp;CN133)),ROW($1:$168)-1,""))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33" s="30" t="str">
        <f t="shared" si="144"/>
        <v>邻传孤</v>
      </c>
    </row>
    <row r="134" customFormat="1" spans="1:94">
      <c r="A134" s="15">
        <v>134</v>
      </c>
      <c r="B134" s="80">
        <v>2024103</v>
      </c>
      <c r="C134" s="8" t="s">
        <v>153</v>
      </c>
      <c r="D134" s="81">
        <f t="shared" si="124"/>
        <v>21</v>
      </c>
      <c r="E134" s="82">
        <f t="shared" si="125"/>
        <v>1</v>
      </c>
      <c r="F134" s="83">
        <f t="shared" si="148"/>
        <v>4.2</v>
      </c>
      <c r="G134" s="84" t="str">
        <f t="shared" si="149"/>
        <v>紧凑</v>
      </c>
      <c r="H134" s="85" t="s">
        <v>10</v>
      </c>
      <c r="I134" s="85" t="s">
        <v>11</v>
      </c>
      <c r="J134" s="85" t="s">
        <v>12</v>
      </c>
      <c r="K134" s="85" t="s">
        <v>13</v>
      </c>
      <c r="L134" s="86">
        <f>MAX(MID(C134,{1,2,3},1)*1)-MIN(MID(C134,{1,2,3},1)*1)</f>
        <v>5</v>
      </c>
      <c r="M134" s="87">
        <v>0</v>
      </c>
      <c r="N134" s="87">
        <v>1</v>
      </c>
      <c r="O134" s="87">
        <v>2</v>
      </c>
      <c r="P134" s="87">
        <v>3</v>
      </c>
      <c r="Q134" s="87">
        <v>4</v>
      </c>
      <c r="R134" s="87">
        <v>5</v>
      </c>
      <c r="S134" s="87">
        <v>6</v>
      </c>
      <c r="T134" s="87">
        <v>7</v>
      </c>
      <c r="U134" s="87">
        <v>8</v>
      </c>
      <c r="V134" s="87">
        <v>9</v>
      </c>
      <c r="W134" s="88">
        <f t="shared" si="126"/>
        <v>1</v>
      </c>
      <c r="X134" s="88">
        <f t="shared" si="127"/>
        <v>5</v>
      </c>
      <c r="Y134" s="88">
        <f t="shared" si="128"/>
        <v>4</v>
      </c>
      <c r="Z134" s="89">
        <f t="shared" si="129"/>
        <v>10</v>
      </c>
      <c r="AA134" s="17" t="str">
        <f>_xlfn.TEXTJOIN(", ",TRUE,ABS(MID(C134,{1,1,2},1)-MID(C134,{2,3,3},1)))</f>
        <v>1, 5, 4</v>
      </c>
      <c r="AB134" s="90">
        <v>0</v>
      </c>
      <c r="AC134" s="90">
        <v>1</v>
      </c>
      <c r="AD134" s="90">
        <v>2</v>
      </c>
      <c r="AE134" s="90">
        <v>3</v>
      </c>
      <c r="AF134" s="90">
        <v>4</v>
      </c>
      <c r="AG134" s="90">
        <v>5</v>
      </c>
      <c r="AH134" s="90">
        <v>6</v>
      </c>
      <c r="AI134" s="90">
        <v>7</v>
      </c>
      <c r="AJ134" s="90">
        <v>8</v>
      </c>
      <c r="AK134" s="90">
        <v>9</v>
      </c>
      <c r="AL134" s="91">
        <v>0</v>
      </c>
      <c r="AM134" s="91">
        <v>1</v>
      </c>
      <c r="AN134" s="91">
        <v>2</v>
      </c>
      <c r="AO134" s="91">
        <v>3</v>
      </c>
      <c r="AP134" s="91">
        <v>4</v>
      </c>
      <c r="AQ134" s="91">
        <v>5</v>
      </c>
      <c r="AR134" s="91">
        <v>6</v>
      </c>
      <c r="AS134" s="91">
        <v>7</v>
      </c>
      <c r="AT134" s="91">
        <v>8</v>
      </c>
      <c r="AU134" s="91">
        <v>9</v>
      </c>
      <c r="AV134" s="92">
        <v>0</v>
      </c>
      <c r="AW134" s="92">
        <v>1</v>
      </c>
      <c r="AX134" s="92">
        <v>2</v>
      </c>
      <c r="AY134" s="92">
        <v>3</v>
      </c>
      <c r="AZ134" s="92">
        <v>4</v>
      </c>
      <c r="BA134" s="92">
        <v>5</v>
      </c>
      <c r="BB134" s="92">
        <v>6</v>
      </c>
      <c r="BC134" s="92">
        <v>7</v>
      </c>
      <c r="BD134" s="92">
        <v>8</v>
      </c>
      <c r="BE134" s="92">
        <v>9</v>
      </c>
      <c r="BF134" s="93">
        <v>0</v>
      </c>
      <c r="BG134" s="93">
        <v>1</v>
      </c>
      <c r="BH134" s="93">
        <v>2</v>
      </c>
      <c r="BI134" s="93">
        <v>3</v>
      </c>
      <c r="BJ134" s="93">
        <v>4</v>
      </c>
      <c r="BK134" s="93">
        <v>5</v>
      </c>
      <c r="BL134" s="93">
        <v>6</v>
      </c>
      <c r="BM134" s="93">
        <v>7</v>
      </c>
      <c r="BN134" s="93">
        <v>8</v>
      </c>
      <c r="BO134" s="93">
        <v>9</v>
      </c>
      <c r="BP134" s="94" t="str">
        <f t="shared" si="130"/>
        <v>标准型</v>
      </c>
      <c r="BQ134" s="15">
        <f t="shared" si="131"/>
        <v>1</v>
      </c>
      <c r="BR134" s="15">
        <f t="shared" si="132"/>
        <v>5</v>
      </c>
      <c r="BS134" s="20" t="str">
        <f t="shared" si="133"/>
        <v/>
      </c>
      <c r="BT134" s="21">
        <f t="shared" si="145"/>
        <v>1</v>
      </c>
      <c r="BU134" s="21" t="str">
        <f t="array" ref="BU134">_xlfn.TEXTJOIN("",TRUE,IF(ISERROR(FIND(ROW($1:$168)-1,BS134&amp;BT134)),ROW($1:$168)-1,""))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34" s="22" t="str">
        <f t="shared" si="134"/>
        <v>中隔中</v>
      </c>
      <c r="BW134" s="23" t="str">
        <f t="shared" si="135"/>
        <v/>
      </c>
      <c r="BX134" s="23">
        <f t="shared" si="146"/>
        <v>5</v>
      </c>
      <c r="BY134" s="23" t="str">
        <f t="array" ref="BY134">_xlfn.TEXTJOIN("",TRUE,IF(ISERROR(FIND(ROW($1:$168)-1,BW134&amp;BX134)),ROW($1:$168)-1,""))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34" s="22" t="str">
        <f t="shared" si="136"/>
        <v>中隔中</v>
      </c>
      <c r="CA134" s="24" t="str">
        <f t="shared" si="137"/>
        <v/>
      </c>
      <c r="CB134" s="24">
        <f t="shared" si="147"/>
        <v>4</v>
      </c>
      <c r="CC134" s="24" t="str">
        <f t="array" ref="CC134">_xlfn.TEXTJOIN("",TRUE,IF(ISERROR(FIND(ROW($1:$168)-1,CA134&amp;CB134)),ROW($1:$168)-1,""))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34" s="22" t="str">
        <f t="shared" si="138"/>
        <v>中隔中</v>
      </c>
      <c r="CE134" s="25" t="str">
        <f t="shared" si="139"/>
        <v>02</v>
      </c>
      <c r="CF134" s="26" t="str">
        <f t="array" ref="CF134">_xlfn.TEXTJOIN("",TRUE,IF(ISNUMBER(FIND(MID(CE133&amp;W133,ROW($1:$162),1),CE134&amp;W134)),MID(CE133&amp;W133,ROW($1:$162),1),""))</f>
        <v>10</v>
      </c>
      <c r="CG134" s="27" t="str">
        <f t="array" ref="CG134">_xlfn.TEXTJOIN("",TRUE,IF(ISERROR(FIND(ROW($1:$168)-1,CE134&amp;CF134)),ROW($1:$168)-1,""))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34" s="28" t="str">
        <f t="shared" si="140"/>
        <v>邻传孤</v>
      </c>
      <c r="CI134" s="29" t="str">
        <f t="shared" si="141"/>
        <v>46</v>
      </c>
      <c r="CJ134" s="29" t="str">
        <f t="array" ref="CJ134">_xlfn.TEXTJOIN("",TRUE,IF(ISNUMBER(FIND(MID(CI133&amp;X133,ROW($1:$162),1),CI134&amp;X134)),MID(CI133&amp;X133,ROW($1:$162),1),""))</f>
        <v>56</v>
      </c>
      <c r="CK134" s="29" t="str">
        <f t="array" ref="CK134">_xlfn.TEXTJOIN("",TRUE,IF(ISERROR(FIND(ROW($1:$168)-1,CI134&amp;CJ134)),ROW($1:$168)-1,""))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34" s="19" t="str">
        <f t="shared" si="142"/>
        <v>邻传孤</v>
      </c>
      <c r="CM134" s="24" t="str">
        <f t="shared" si="143"/>
        <v>35</v>
      </c>
      <c r="CN134" s="24" t="str">
        <f t="array" ref="CN134">_xlfn.TEXTJOIN("",TRUE,IF(ISNUMBER(FIND(MID(CM133&amp;Y133,ROW($1:$162),1),CM134&amp;Y134)),MID(CM133&amp;Y133,ROW($1:$162),1),""))</f>
        <v>5</v>
      </c>
      <c r="CO134" s="24" t="str">
        <f t="array" ref="CO134">_xlfn.TEXTJOIN("",TRUE,IF(ISERROR(FIND(ROW($1:$168)-1,CM134&amp;CN134)),ROW($1:$168)-1,""))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34" s="30" t="str">
        <f t="shared" si="144"/>
        <v>邻传孤</v>
      </c>
    </row>
    <row r="135" customFormat="1" spans="1:94">
      <c r="A135" s="15">
        <v>135</v>
      </c>
      <c r="B135" s="80">
        <v>2024104</v>
      </c>
      <c r="C135" s="8" t="s">
        <v>154</v>
      </c>
      <c r="D135" s="81">
        <f t="shared" si="124"/>
        <v>21</v>
      </c>
      <c r="E135" s="82">
        <f t="shared" si="125"/>
        <v>1</v>
      </c>
      <c r="F135" s="83">
        <f t="shared" si="148"/>
        <v>5.25</v>
      </c>
      <c r="G135" s="84" t="str">
        <f t="shared" si="149"/>
        <v>紧凑</v>
      </c>
      <c r="H135" s="85" t="s">
        <v>10</v>
      </c>
      <c r="I135" s="85" t="s">
        <v>11</v>
      </c>
      <c r="J135" s="85" t="s">
        <v>12</v>
      </c>
      <c r="K135" s="85" t="s">
        <v>13</v>
      </c>
      <c r="L135" s="86">
        <f>MAX(MID(C135,{1,2,3},1)*1)-MIN(MID(C135,{1,2,3},1)*1)</f>
        <v>4</v>
      </c>
      <c r="M135" s="87">
        <v>0</v>
      </c>
      <c r="N135" s="87">
        <v>1</v>
      </c>
      <c r="O135" s="87">
        <v>2</v>
      </c>
      <c r="P135" s="87">
        <v>3</v>
      </c>
      <c r="Q135" s="87">
        <v>4</v>
      </c>
      <c r="R135" s="87">
        <v>5</v>
      </c>
      <c r="S135" s="87">
        <v>6</v>
      </c>
      <c r="T135" s="87">
        <v>7</v>
      </c>
      <c r="U135" s="87">
        <v>8</v>
      </c>
      <c r="V135" s="87">
        <v>9</v>
      </c>
      <c r="W135" s="88">
        <f t="shared" si="126"/>
        <v>2</v>
      </c>
      <c r="X135" s="88">
        <f t="shared" si="127"/>
        <v>4</v>
      </c>
      <c r="Y135" s="88">
        <f t="shared" si="128"/>
        <v>2</v>
      </c>
      <c r="Z135" s="89">
        <f t="shared" si="129"/>
        <v>8</v>
      </c>
      <c r="AA135" s="17" t="str">
        <f>_xlfn.TEXTJOIN(", ",TRUE,ABS(MID(C135,{1,1,2},1)-MID(C135,{2,3,3},1)))</f>
        <v>2, 4, 2</v>
      </c>
      <c r="AB135" s="90">
        <v>0</v>
      </c>
      <c r="AC135" s="90">
        <v>1</v>
      </c>
      <c r="AD135" s="90">
        <v>2</v>
      </c>
      <c r="AE135" s="90">
        <v>3</v>
      </c>
      <c r="AF135" s="90">
        <v>4</v>
      </c>
      <c r="AG135" s="90">
        <v>5</v>
      </c>
      <c r="AH135" s="90">
        <v>6</v>
      </c>
      <c r="AI135" s="90">
        <v>7</v>
      </c>
      <c r="AJ135" s="90">
        <v>8</v>
      </c>
      <c r="AK135" s="90">
        <v>9</v>
      </c>
      <c r="AL135" s="91">
        <v>0</v>
      </c>
      <c r="AM135" s="91">
        <v>1</v>
      </c>
      <c r="AN135" s="91">
        <v>2</v>
      </c>
      <c r="AO135" s="91">
        <v>3</v>
      </c>
      <c r="AP135" s="91">
        <v>4</v>
      </c>
      <c r="AQ135" s="91">
        <v>5</v>
      </c>
      <c r="AR135" s="91">
        <v>6</v>
      </c>
      <c r="AS135" s="91">
        <v>7</v>
      </c>
      <c r="AT135" s="91">
        <v>8</v>
      </c>
      <c r="AU135" s="91">
        <v>9</v>
      </c>
      <c r="AV135" s="92">
        <v>0</v>
      </c>
      <c r="AW135" s="92">
        <v>1</v>
      </c>
      <c r="AX135" s="92">
        <v>2</v>
      </c>
      <c r="AY135" s="92">
        <v>3</v>
      </c>
      <c r="AZ135" s="92">
        <v>4</v>
      </c>
      <c r="BA135" s="92">
        <v>5</v>
      </c>
      <c r="BB135" s="92">
        <v>6</v>
      </c>
      <c r="BC135" s="92">
        <v>7</v>
      </c>
      <c r="BD135" s="92">
        <v>8</v>
      </c>
      <c r="BE135" s="92">
        <v>9</v>
      </c>
      <c r="BF135" s="93">
        <v>0</v>
      </c>
      <c r="BG135" s="93">
        <v>1</v>
      </c>
      <c r="BH135" s="93">
        <v>2</v>
      </c>
      <c r="BI135" s="93">
        <v>3</v>
      </c>
      <c r="BJ135" s="93">
        <v>4</v>
      </c>
      <c r="BK135" s="93">
        <v>5</v>
      </c>
      <c r="BL135" s="93">
        <v>6</v>
      </c>
      <c r="BM135" s="93">
        <v>7</v>
      </c>
      <c r="BN135" s="93">
        <v>8</v>
      </c>
      <c r="BO135" s="93">
        <v>9</v>
      </c>
      <c r="BP135" s="94" t="str">
        <f t="shared" si="130"/>
        <v>标准型</v>
      </c>
      <c r="BQ135" s="15">
        <f t="shared" si="131"/>
        <v>2</v>
      </c>
      <c r="BR135" s="15">
        <f t="shared" si="132"/>
        <v>4</v>
      </c>
      <c r="BS135" s="20" t="str">
        <f t="shared" si="133"/>
        <v/>
      </c>
      <c r="BT135" s="21" t="str">
        <f t="shared" si="145"/>
        <v/>
      </c>
      <c r="BU135" s="21" t="str">
        <f t="array" ref="BU135">_xlfn.TEXTJOIN("",TRUE,IF(ISERROR(FIND(ROW($1:$168)-1,BS135&amp;BT135)),ROW($1:$168)-1,""))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35" s="22" t="str">
        <f t="shared" si="134"/>
        <v>中中中</v>
      </c>
      <c r="BW135" s="23">
        <f t="shared" si="135"/>
        <v>4</v>
      </c>
      <c r="BX135" s="23" t="str">
        <f t="shared" si="146"/>
        <v/>
      </c>
      <c r="BY135" s="23" t="str">
        <f t="array" ref="BY135">_xlfn.TEXTJOIN("",TRUE,IF(ISERROR(FIND(ROW($1:$168)-1,BW135&amp;BX135)),ROW($1:$168)-1,""))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35" s="22" t="str">
        <f t="shared" si="136"/>
        <v>复中中</v>
      </c>
      <c r="CA135" s="24" t="str">
        <f t="shared" si="137"/>
        <v/>
      </c>
      <c r="CB135" s="24" t="str">
        <f t="shared" si="147"/>
        <v/>
      </c>
      <c r="CC135" s="24" t="str">
        <f t="array" ref="CC135">_xlfn.TEXTJOIN("",TRUE,IF(ISERROR(FIND(ROW($1:$168)-1,CA135&amp;CB135)),ROW($1:$168)-1,""))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35" s="22" t="str">
        <f t="shared" si="138"/>
        <v>中中中</v>
      </c>
      <c r="CE135" s="25" t="str">
        <f t="shared" si="139"/>
        <v>13</v>
      </c>
      <c r="CF135" s="26" t="str">
        <f t="array" ref="CF135">_xlfn.TEXTJOIN("",TRUE,IF(ISNUMBER(FIND(MID(CE134&amp;W134,ROW($1:$162),1),CE135&amp;W135)),MID(CE134&amp;W134,ROW($1:$162),1),""))</f>
        <v>21</v>
      </c>
      <c r="CG135" s="27" t="str">
        <f t="array" ref="CG135">_xlfn.TEXTJOIN("",TRUE,IF(ISERROR(FIND(ROW($1:$168)-1,CE135&amp;CF135)),ROW($1:$168)-1,""))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135" s="28" t="str">
        <f t="shared" si="140"/>
        <v>邻传孤</v>
      </c>
      <c r="CI135" s="29" t="str">
        <f t="shared" si="141"/>
        <v>35</v>
      </c>
      <c r="CJ135" s="29" t="str">
        <f t="array" ref="CJ135">_xlfn.TEXTJOIN("",TRUE,IF(ISNUMBER(FIND(MID(CI134&amp;X134,ROW($1:$162),1),CI135&amp;X135)),MID(CI134&amp;X134,ROW($1:$162),1),""))</f>
        <v>45</v>
      </c>
      <c r="CK135" s="29" t="str">
        <f t="array" ref="CK135">_xlfn.TEXTJOIN("",TRUE,IF(ISERROR(FIND(ROW($1:$168)-1,CI135&amp;CJ135)),ROW($1:$168)-1,""))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35" s="19" t="str">
        <f t="shared" si="142"/>
        <v>邻传孤</v>
      </c>
      <c r="CM135" s="24" t="str">
        <f t="shared" si="143"/>
        <v>13</v>
      </c>
      <c r="CN135" s="24" t="str">
        <f t="array" ref="CN135">_xlfn.TEXTJOIN("",TRUE,IF(ISNUMBER(FIND(MID(CM134&amp;Y134,ROW($1:$162),1),CM135&amp;Y135)),MID(CM134&amp;Y134,ROW($1:$162),1),""))</f>
        <v>3</v>
      </c>
      <c r="CO135" s="24" t="str">
        <f t="array" ref="CO135">_xlfn.TEXTJOIN("",TRUE,IF(ISERROR(FIND(ROW($1:$168)-1,CM135&amp;CN135)),ROW($1:$168)-1,""))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135" s="30" t="str">
        <f t="shared" si="144"/>
        <v>邻传孤</v>
      </c>
    </row>
    <row r="136" customFormat="1" spans="1:94">
      <c r="A136" s="15">
        <v>136</v>
      </c>
      <c r="B136" s="80">
        <v>2024105</v>
      </c>
      <c r="C136" s="8" t="s">
        <v>155</v>
      </c>
      <c r="D136" s="81">
        <f t="shared" si="124"/>
        <v>22</v>
      </c>
      <c r="E136" s="82">
        <f t="shared" si="125"/>
        <v>2</v>
      </c>
      <c r="F136" s="83">
        <f t="shared" si="148"/>
        <v>7.33333333333333</v>
      </c>
      <c r="G136" s="84" t="str">
        <f t="shared" si="149"/>
        <v>紧凑</v>
      </c>
      <c r="H136" s="85" t="s">
        <v>10</v>
      </c>
      <c r="I136" s="85" t="s">
        <v>11</v>
      </c>
      <c r="J136" s="85" t="s">
        <v>12</v>
      </c>
      <c r="K136" s="85" t="s">
        <v>13</v>
      </c>
      <c r="L136" s="86">
        <f>MAX(MID(C136,{1,2,3},1)*1)-MIN(MID(C136,{1,2,3},1)*1)</f>
        <v>3</v>
      </c>
      <c r="M136" s="87">
        <v>0</v>
      </c>
      <c r="N136" s="87">
        <v>1</v>
      </c>
      <c r="O136" s="87">
        <v>2</v>
      </c>
      <c r="P136" s="87">
        <v>3</v>
      </c>
      <c r="Q136" s="87">
        <v>4</v>
      </c>
      <c r="R136" s="87">
        <v>5</v>
      </c>
      <c r="S136" s="87">
        <v>6</v>
      </c>
      <c r="T136" s="87">
        <v>7</v>
      </c>
      <c r="U136" s="87">
        <v>8</v>
      </c>
      <c r="V136" s="87">
        <v>9</v>
      </c>
      <c r="W136" s="88">
        <f t="shared" si="126"/>
        <v>2</v>
      </c>
      <c r="X136" s="88">
        <f t="shared" si="127"/>
        <v>3</v>
      </c>
      <c r="Y136" s="88">
        <f t="shared" si="128"/>
        <v>1</v>
      </c>
      <c r="Z136" s="89">
        <f t="shared" si="129"/>
        <v>6</v>
      </c>
      <c r="AA136" s="17" t="str">
        <f>_xlfn.TEXTJOIN(", ",TRUE,ABS(MID(C136,{1,1,2},1)-MID(C136,{2,3,3},1)))</f>
        <v>2, 3, 1</v>
      </c>
      <c r="AB136" s="90">
        <v>0</v>
      </c>
      <c r="AC136" s="90">
        <v>1</v>
      </c>
      <c r="AD136" s="90">
        <v>2</v>
      </c>
      <c r="AE136" s="90">
        <v>3</v>
      </c>
      <c r="AF136" s="90">
        <v>4</v>
      </c>
      <c r="AG136" s="90">
        <v>5</v>
      </c>
      <c r="AH136" s="90">
        <v>6</v>
      </c>
      <c r="AI136" s="90">
        <v>7</v>
      </c>
      <c r="AJ136" s="90">
        <v>8</v>
      </c>
      <c r="AK136" s="90">
        <v>9</v>
      </c>
      <c r="AL136" s="91">
        <v>0</v>
      </c>
      <c r="AM136" s="91">
        <v>1</v>
      </c>
      <c r="AN136" s="91">
        <v>2</v>
      </c>
      <c r="AO136" s="91">
        <v>3</v>
      </c>
      <c r="AP136" s="91">
        <v>4</v>
      </c>
      <c r="AQ136" s="91">
        <v>5</v>
      </c>
      <c r="AR136" s="91">
        <v>6</v>
      </c>
      <c r="AS136" s="91">
        <v>7</v>
      </c>
      <c r="AT136" s="91">
        <v>8</v>
      </c>
      <c r="AU136" s="91">
        <v>9</v>
      </c>
      <c r="AV136" s="92">
        <v>0</v>
      </c>
      <c r="AW136" s="92">
        <v>1</v>
      </c>
      <c r="AX136" s="92">
        <v>2</v>
      </c>
      <c r="AY136" s="92">
        <v>3</v>
      </c>
      <c r="AZ136" s="92">
        <v>4</v>
      </c>
      <c r="BA136" s="92">
        <v>5</v>
      </c>
      <c r="BB136" s="92">
        <v>6</v>
      </c>
      <c r="BC136" s="92">
        <v>7</v>
      </c>
      <c r="BD136" s="92">
        <v>8</v>
      </c>
      <c r="BE136" s="92">
        <v>9</v>
      </c>
      <c r="BF136" s="93">
        <v>0</v>
      </c>
      <c r="BG136" s="93">
        <v>1</v>
      </c>
      <c r="BH136" s="93">
        <v>2</v>
      </c>
      <c r="BI136" s="93">
        <v>3</v>
      </c>
      <c r="BJ136" s="93">
        <v>4</v>
      </c>
      <c r="BK136" s="93">
        <v>5</v>
      </c>
      <c r="BL136" s="93">
        <v>6</v>
      </c>
      <c r="BM136" s="93">
        <v>7</v>
      </c>
      <c r="BN136" s="93">
        <v>8</v>
      </c>
      <c r="BO136" s="93">
        <v>9</v>
      </c>
      <c r="BP136" s="94" t="str">
        <f t="shared" si="130"/>
        <v>紧凑型</v>
      </c>
      <c r="BQ136" s="15">
        <f t="shared" si="131"/>
        <v>1</v>
      </c>
      <c r="BR136" s="15">
        <f t="shared" si="132"/>
        <v>3</v>
      </c>
      <c r="BS136" s="20">
        <f t="shared" si="133"/>
        <v>2</v>
      </c>
      <c r="BT136" s="21" t="str">
        <f t="shared" si="145"/>
        <v/>
      </c>
      <c r="BU136" s="21" t="str">
        <f t="array" ref="BU136">_xlfn.TEXTJOIN("",TRUE,IF(ISERROR(FIND(ROW($1:$168)-1,BS136&amp;BT136)),ROW($1:$168)-1,""))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36" s="22" t="str">
        <f t="shared" si="134"/>
        <v>复中中</v>
      </c>
      <c r="BW136" s="23" t="str">
        <f t="shared" si="135"/>
        <v/>
      </c>
      <c r="BX136" s="23" t="str">
        <f t="shared" si="146"/>
        <v/>
      </c>
      <c r="BY136" s="23" t="str">
        <f t="array" ref="BY136">_xlfn.TEXTJOIN("",TRUE,IF(ISERROR(FIND(ROW($1:$168)-1,BW136&amp;BX136)),ROW($1:$168)-1,""))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36" s="22" t="str">
        <f t="shared" si="136"/>
        <v>中中中</v>
      </c>
      <c r="CA136" s="24" t="str">
        <f t="shared" si="137"/>
        <v/>
      </c>
      <c r="CB136" s="24">
        <f t="shared" si="147"/>
        <v>1</v>
      </c>
      <c r="CC136" s="24" t="str">
        <f t="array" ref="CC136">_xlfn.TEXTJOIN("",TRUE,IF(ISERROR(FIND(ROW($1:$168)-1,CA136&amp;CB136)),ROW($1:$168)-1,""))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36" s="22" t="str">
        <f t="shared" si="138"/>
        <v>中隔中</v>
      </c>
      <c r="CE136" s="25" t="str">
        <f t="shared" si="139"/>
        <v>13</v>
      </c>
      <c r="CF136" s="26" t="str">
        <f t="array" ref="CF136">_xlfn.TEXTJOIN("",TRUE,IF(ISNUMBER(FIND(MID(CE135&amp;W135,ROW($1:$162),1),CE136&amp;W136)),MID(CE135&amp;W135,ROW($1:$162),1),""))</f>
        <v>132</v>
      </c>
      <c r="CG136" s="27" t="str">
        <f t="array" ref="CG136">_xlfn.TEXTJOIN("",TRUE,IF(ISERROR(FIND(ROW($1:$168)-1,CE136&amp;CF136)),ROW($1:$168)-1,""))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136" s="28" t="str">
        <f t="shared" si="140"/>
        <v>邻传孤</v>
      </c>
      <c r="CI136" s="29" t="str">
        <f t="shared" si="141"/>
        <v>24</v>
      </c>
      <c r="CJ136" s="29" t="str">
        <f t="array" ref="CJ136">_xlfn.TEXTJOIN("",TRUE,IF(ISNUMBER(FIND(MID(CI135&amp;X135,ROW($1:$162),1),CI136&amp;X136)),MID(CI135&amp;X135,ROW($1:$162),1),""))</f>
        <v>34</v>
      </c>
      <c r="CK136" s="29" t="str">
        <f t="array" ref="CK136">_xlfn.TEXTJOIN("",TRUE,IF(ISERROR(FIND(ROW($1:$168)-1,CI136&amp;CJ136)),ROW($1:$168)-1,""))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36" s="19" t="str">
        <f t="shared" si="142"/>
        <v>邻传孤</v>
      </c>
      <c r="CM136" s="24" t="str">
        <f t="shared" si="143"/>
        <v>02</v>
      </c>
      <c r="CN136" s="24" t="str">
        <f t="array" ref="CN136">_xlfn.TEXTJOIN("",TRUE,IF(ISNUMBER(FIND(MID(CM135&amp;Y135,ROW($1:$162),1),CM136&amp;Y136)),MID(CM135&amp;Y135,ROW($1:$162),1),""))</f>
        <v>12</v>
      </c>
      <c r="CO136" s="24" t="str">
        <f t="array" ref="CO136">_xlfn.TEXTJOIN("",TRUE,IF(ISERROR(FIND(ROW($1:$168)-1,CM136&amp;CN136)),ROW($1:$168)-1,""))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36" s="30" t="str">
        <f t="shared" si="144"/>
        <v>邻传孤</v>
      </c>
    </row>
    <row r="137" customFormat="1" spans="1:94">
      <c r="A137" s="15">
        <v>137</v>
      </c>
      <c r="B137" s="80">
        <v>2024106</v>
      </c>
      <c r="C137" s="8" t="s">
        <v>156</v>
      </c>
      <c r="D137" s="81">
        <f t="shared" si="124"/>
        <v>10</v>
      </c>
      <c r="E137" s="82">
        <f t="shared" si="125"/>
        <v>0</v>
      </c>
      <c r="F137" s="83">
        <f t="shared" si="148"/>
        <v>1.66666666666667</v>
      </c>
      <c r="G137" s="84" t="str">
        <f t="shared" si="149"/>
        <v>松散</v>
      </c>
      <c r="H137" s="85" t="s">
        <v>10</v>
      </c>
      <c r="I137" s="85" t="s">
        <v>11</v>
      </c>
      <c r="J137" s="85" t="s">
        <v>12</v>
      </c>
      <c r="K137" s="85" t="s">
        <v>13</v>
      </c>
      <c r="L137" s="86">
        <f>MAX(MID(C137,{1,2,3},1)*1)-MIN(MID(C137,{1,2,3},1)*1)</f>
        <v>6</v>
      </c>
      <c r="M137" s="87">
        <v>0</v>
      </c>
      <c r="N137" s="87">
        <v>1</v>
      </c>
      <c r="O137" s="87">
        <v>2</v>
      </c>
      <c r="P137" s="87">
        <v>3</v>
      </c>
      <c r="Q137" s="87">
        <v>4</v>
      </c>
      <c r="R137" s="87">
        <v>5</v>
      </c>
      <c r="S137" s="87">
        <v>6</v>
      </c>
      <c r="T137" s="87">
        <v>7</v>
      </c>
      <c r="U137" s="87">
        <v>8</v>
      </c>
      <c r="V137" s="87">
        <v>9</v>
      </c>
      <c r="W137" s="88">
        <f t="shared" si="126"/>
        <v>1</v>
      </c>
      <c r="X137" s="88">
        <f t="shared" si="127"/>
        <v>6</v>
      </c>
      <c r="Y137" s="88">
        <f t="shared" si="128"/>
        <v>5</v>
      </c>
      <c r="Z137" s="89">
        <f t="shared" si="129"/>
        <v>12</v>
      </c>
      <c r="AA137" s="17" t="str">
        <f>_xlfn.TEXTJOIN(", ",TRUE,ABS(MID(C137,{1,1,2},1)-MID(C137,{2,3,3},1)))</f>
        <v>1, 6, 5</v>
      </c>
      <c r="AB137" s="90">
        <v>0</v>
      </c>
      <c r="AC137" s="90">
        <v>1</v>
      </c>
      <c r="AD137" s="90">
        <v>2</v>
      </c>
      <c r="AE137" s="90">
        <v>3</v>
      </c>
      <c r="AF137" s="90">
        <v>4</v>
      </c>
      <c r="AG137" s="90">
        <v>5</v>
      </c>
      <c r="AH137" s="90">
        <v>6</v>
      </c>
      <c r="AI137" s="90">
        <v>7</v>
      </c>
      <c r="AJ137" s="90">
        <v>8</v>
      </c>
      <c r="AK137" s="90">
        <v>9</v>
      </c>
      <c r="AL137" s="91">
        <v>0</v>
      </c>
      <c r="AM137" s="91">
        <v>1</v>
      </c>
      <c r="AN137" s="91">
        <v>2</v>
      </c>
      <c r="AO137" s="91">
        <v>3</v>
      </c>
      <c r="AP137" s="91">
        <v>4</v>
      </c>
      <c r="AQ137" s="91">
        <v>5</v>
      </c>
      <c r="AR137" s="91">
        <v>6</v>
      </c>
      <c r="AS137" s="91">
        <v>7</v>
      </c>
      <c r="AT137" s="91">
        <v>8</v>
      </c>
      <c r="AU137" s="91">
        <v>9</v>
      </c>
      <c r="AV137" s="92">
        <v>0</v>
      </c>
      <c r="AW137" s="92">
        <v>1</v>
      </c>
      <c r="AX137" s="92">
        <v>2</v>
      </c>
      <c r="AY137" s="92">
        <v>3</v>
      </c>
      <c r="AZ137" s="92">
        <v>4</v>
      </c>
      <c r="BA137" s="92">
        <v>5</v>
      </c>
      <c r="BB137" s="92">
        <v>6</v>
      </c>
      <c r="BC137" s="92">
        <v>7</v>
      </c>
      <c r="BD137" s="92">
        <v>8</v>
      </c>
      <c r="BE137" s="92">
        <v>9</v>
      </c>
      <c r="BF137" s="93">
        <v>0</v>
      </c>
      <c r="BG137" s="93">
        <v>1</v>
      </c>
      <c r="BH137" s="93">
        <v>2</v>
      </c>
      <c r="BI137" s="93">
        <v>3</v>
      </c>
      <c r="BJ137" s="93">
        <v>4</v>
      </c>
      <c r="BK137" s="93">
        <v>5</v>
      </c>
      <c r="BL137" s="93">
        <v>6</v>
      </c>
      <c r="BM137" s="93">
        <v>7</v>
      </c>
      <c r="BN137" s="93">
        <v>8</v>
      </c>
      <c r="BO137" s="93">
        <v>9</v>
      </c>
      <c r="BP137" s="94" t="str">
        <f t="shared" si="130"/>
        <v>松散型</v>
      </c>
      <c r="BQ137" s="15">
        <f t="shared" si="131"/>
        <v>1</v>
      </c>
      <c r="BR137" s="15">
        <f t="shared" si="132"/>
        <v>6</v>
      </c>
      <c r="BS137" s="20">
        <f t="shared" si="133"/>
        <v>1</v>
      </c>
      <c r="BT137" s="21" t="str">
        <f t="shared" si="145"/>
        <v/>
      </c>
      <c r="BU137" s="21" t="str">
        <f t="array" ref="BU137">_xlfn.TEXTJOIN("",TRUE,IF(ISERROR(FIND(ROW($1:$168)-1,BS137&amp;BT137)),ROW($1:$168)-1,""))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37" s="22" t="str">
        <f t="shared" si="134"/>
        <v>复中中</v>
      </c>
      <c r="BW137" s="23" t="str">
        <f t="shared" si="135"/>
        <v/>
      </c>
      <c r="BX137" s="23" t="str">
        <f t="shared" si="146"/>
        <v/>
      </c>
      <c r="BY137" s="23" t="str">
        <f t="array" ref="BY137">_xlfn.TEXTJOIN("",TRUE,IF(ISERROR(FIND(ROW($1:$168)-1,BW137&amp;BX137)),ROW($1:$168)-1,""))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37" s="22" t="str">
        <f t="shared" si="136"/>
        <v>中中中</v>
      </c>
      <c r="CA137" s="24" t="str">
        <f t="shared" si="137"/>
        <v/>
      </c>
      <c r="CB137" s="24" t="str">
        <f t="shared" si="147"/>
        <v/>
      </c>
      <c r="CC137" s="24" t="str">
        <f t="array" ref="CC137">_xlfn.TEXTJOIN("",TRUE,IF(ISERROR(FIND(ROW($1:$168)-1,CA137&amp;CB137)),ROW($1:$168)-1,""))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37" s="22" t="str">
        <f t="shared" si="138"/>
        <v>中中中</v>
      </c>
      <c r="CE137" s="25" t="str">
        <f t="shared" si="139"/>
        <v>02</v>
      </c>
      <c r="CF137" s="26" t="str">
        <f t="array" ref="CF137">_xlfn.TEXTJOIN("",TRUE,IF(ISNUMBER(FIND(MID(CE136&amp;W136,ROW($1:$162),1),CE137&amp;W137)),MID(CE136&amp;W136,ROW($1:$162),1),""))</f>
        <v>12</v>
      </c>
      <c r="CG137" s="27" t="str">
        <f t="array" ref="CG137">_xlfn.TEXTJOIN("",TRUE,IF(ISERROR(FIND(ROW($1:$168)-1,CE137&amp;CF137)),ROW($1:$168)-1,""))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37" s="28" t="str">
        <f t="shared" si="140"/>
        <v>邻传孤</v>
      </c>
      <c r="CI137" s="29" t="str">
        <f t="shared" si="141"/>
        <v>57</v>
      </c>
      <c r="CJ137" s="29" t="str">
        <f t="array" ref="CJ137">_xlfn.TEXTJOIN("",TRUE,IF(ISNUMBER(FIND(MID(CI136&amp;X136,ROW($1:$162),1),CI137&amp;X137)),MID(CI136&amp;X136,ROW($1:$162),1),""))</f>
        <v/>
      </c>
      <c r="CK137" s="29" t="str">
        <f t="array" ref="CK137">_xlfn.TEXTJOIN("",TRUE,IF(ISERROR(FIND(ROW($1:$168)-1,CI137&amp;CJ137)),ROW($1:$168)-1,""))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37" s="19" t="str">
        <f t="shared" si="142"/>
        <v>邻孤孤</v>
      </c>
      <c r="CM137" s="24" t="str">
        <f t="shared" si="143"/>
        <v>46</v>
      </c>
      <c r="CN137" s="24" t="str">
        <f t="array" ref="CN137">_xlfn.TEXTJOIN("",TRUE,IF(ISNUMBER(FIND(MID(CM136&amp;Y136,ROW($1:$162),1),CM137&amp;Y137)),MID(CM136&amp;Y136,ROW($1:$162),1),""))</f>
        <v/>
      </c>
      <c r="CO137" s="24" t="str">
        <f t="array" ref="CO137">_xlfn.TEXTJOIN("",TRUE,IF(ISERROR(FIND(ROW($1:$168)-1,CM137&amp;CN137)),ROW($1:$168)-1,""))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37" s="30" t="str">
        <f t="shared" si="144"/>
        <v>邻孤孤</v>
      </c>
    </row>
    <row r="138" customFormat="1" spans="1:94">
      <c r="A138" s="15">
        <v>138</v>
      </c>
      <c r="B138" s="80">
        <v>2024107</v>
      </c>
      <c r="C138" s="8" t="s">
        <v>157</v>
      </c>
      <c r="D138" s="81">
        <f t="shared" ref="D138:D160" si="150">LEFT(C138,1)+MID(C138,2,1)+RIGHT(C138,1)</f>
        <v>8</v>
      </c>
      <c r="E138" s="82">
        <f t="shared" ref="E138:E160" si="151">MOD(LEFT(C138,1)+MID(C138,2,1)+RIGHT(C138,1),10)</f>
        <v>8</v>
      </c>
      <c r="F138" s="83">
        <f t="shared" si="148"/>
        <v>1.33333333333333</v>
      </c>
      <c r="G138" s="84" t="str">
        <f t="shared" si="149"/>
        <v>松散</v>
      </c>
      <c r="H138" s="85" t="s">
        <v>10</v>
      </c>
      <c r="I138" s="85" t="s">
        <v>11</v>
      </c>
      <c r="J138" s="85" t="s">
        <v>12</v>
      </c>
      <c r="K138" s="85" t="s">
        <v>13</v>
      </c>
      <c r="L138" s="86">
        <f>MAX(MID(C138,{1,2,3},1)*1)-MIN(MID(C138,{1,2,3},1)*1)</f>
        <v>6</v>
      </c>
      <c r="M138" s="87">
        <v>0</v>
      </c>
      <c r="N138" s="87">
        <v>1</v>
      </c>
      <c r="O138" s="87">
        <v>2</v>
      </c>
      <c r="P138" s="87">
        <v>3</v>
      </c>
      <c r="Q138" s="87">
        <v>4</v>
      </c>
      <c r="R138" s="87">
        <v>5</v>
      </c>
      <c r="S138" s="87">
        <v>6</v>
      </c>
      <c r="T138" s="87">
        <v>7</v>
      </c>
      <c r="U138" s="87">
        <v>8</v>
      </c>
      <c r="V138" s="87">
        <v>9</v>
      </c>
      <c r="W138" s="88">
        <f t="shared" ref="W138:W160" si="152">ABS(LEFT(C138,1)-MID(C138,2,1))</f>
        <v>6</v>
      </c>
      <c r="X138" s="88">
        <f t="shared" ref="X138:X160" si="153">ABS(LEFT(C138,1)-RIGHT(C138,1))</f>
        <v>2</v>
      </c>
      <c r="Y138" s="88">
        <f t="shared" ref="Y138:Y160" si="154">ABS(MID(C138,2,1)-RIGHT(C138,1))</f>
        <v>4</v>
      </c>
      <c r="Z138" s="89">
        <f t="shared" ref="Z138:Z161" si="155">W138+X138+Y138</f>
        <v>12</v>
      </c>
      <c r="AA138" s="17" t="str">
        <f>_xlfn.TEXTJOIN(", ",TRUE,ABS(MID(C138,{1,1,2},1)-MID(C138,{2,3,3},1)))</f>
        <v>6, 2, 4</v>
      </c>
      <c r="AB138" s="90">
        <v>0</v>
      </c>
      <c r="AC138" s="90">
        <v>1</v>
      </c>
      <c r="AD138" s="90">
        <v>2</v>
      </c>
      <c r="AE138" s="90">
        <v>3</v>
      </c>
      <c r="AF138" s="90">
        <v>4</v>
      </c>
      <c r="AG138" s="90">
        <v>5</v>
      </c>
      <c r="AH138" s="90">
        <v>6</v>
      </c>
      <c r="AI138" s="90">
        <v>7</v>
      </c>
      <c r="AJ138" s="90">
        <v>8</v>
      </c>
      <c r="AK138" s="90">
        <v>9</v>
      </c>
      <c r="AL138" s="91">
        <v>0</v>
      </c>
      <c r="AM138" s="91">
        <v>1</v>
      </c>
      <c r="AN138" s="91">
        <v>2</v>
      </c>
      <c r="AO138" s="91">
        <v>3</v>
      </c>
      <c r="AP138" s="91">
        <v>4</v>
      </c>
      <c r="AQ138" s="91">
        <v>5</v>
      </c>
      <c r="AR138" s="91">
        <v>6</v>
      </c>
      <c r="AS138" s="91">
        <v>7</v>
      </c>
      <c r="AT138" s="91">
        <v>8</v>
      </c>
      <c r="AU138" s="91">
        <v>9</v>
      </c>
      <c r="AV138" s="92">
        <v>0</v>
      </c>
      <c r="AW138" s="92">
        <v>1</v>
      </c>
      <c r="AX138" s="92">
        <v>2</v>
      </c>
      <c r="AY138" s="92">
        <v>3</v>
      </c>
      <c r="AZ138" s="92">
        <v>4</v>
      </c>
      <c r="BA138" s="92">
        <v>5</v>
      </c>
      <c r="BB138" s="92">
        <v>6</v>
      </c>
      <c r="BC138" s="92">
        <v>7</v>
      </c>
      <c r="BD138" s="92">
        <v>8</v>
      </c>
      <c r="BE138" s="92">
        <v>9</v>
      </c>
      <c r="BF138" s="93">
        <v>0</v>
      </c>
      <c r="BG138" s="93">
        <v>1</v>
      </c>
      <c r="BH138" s="93">
        <v>2</v>
      </c>
      <c r="BI138" s="93">
        <v>3</v>
      </c>
      <c r="BJ138" s="93">
        <v>4</v>
      </c>
      <c r="BK138" s="93">
        <v>5</v>
      </c>
      <c r="BL138" s="93">
        <v>6</v>
      </c>
      <c r="BM138" s="93">
        <v>7</v>
      </c>
      <c r="BN138" s="93">
        <v>8</v>
      </c>
      <c r="BO138" s="93">
        <v>9</v>
      </c>
      <c r="BP138" s="94" t="str">
        <f t="shared" ref="BP138:BP161" si="156">IF(AND(BQ138&lt;=1,BR138&lt;=4),"紧凑型",IF(OR(BQ138&gt;=3,BR138&gt;=6),"松散型",IF(AND(BQ138&gt;=1,BR138&lt;=5),"标准型","对子")))</f>
        <v>松散型</v>
      </c>
      <c r="BQ138" s="15">
        <f t="shared" ref="BQ138:BQ160" si="157">MIN(ABS(INT(C138/100)-INT(MOD(C138,100)/10)),ABS(INT(C138/100)-MOD(C138,10)),ABS(INT(MOD(C138,100)/10)-MOD(C138,10)))</f>
        <v>2</v>
      </c>
      <c r="BR138" s="15">
        <f t="shared" ref="BR138:BR160" si="158">MAX(ABS(INT(C138/100)-INT(MOD(C138,100)/10)),ABS(INT(C138/100)-MOD(C138,10)),ABS(INT(MOD(C138,100)/10)-MOD(C138,10)))</f>
        <v>6</v>
      </c>
      <c r="BS138" s="20"/>
      <c r="BT138" s="21"/>
      <c r="BU138" s="21"/>
      <c r="BV138" s="66"/>
      <c r="BW138" s="23"/>
      <c r="BX138" s="23"/>
      <c r="BY138" s="23"/>
      <c r="BZ138" s="68"/>
      <c r="CA138" s="24"/>
      <c r="CB138" s="24"/>
      <c r="CC138" s="24"/>
      <c r="CD138" s="70"/>
      <c r="CE138" s="25"/>
      <c r="CF138" s="26"/>
      <c r="CG138" s="27"/>
      <c r="CH138" s="74"/>
      <c r="CI138" s="29"/>
      <c r="CJ138" s="29"/>
      <c r="CK138" s="29"/>
      <c r="CL138" s="77"/>
      <c r="CM138" s="24"/>
      <c r="CN138" s="24"/>
      <c r="CO138" s="24"/>
      <c r="CP138" s="79"/>
    </row>
    <row r="139" spans="1:94">
      <c r="A139" s="15">
        <v>139</v>
      </c>
      <c r="B139" s="80">
        <v>2024108</v>
      </c>
      <c r="C139" s="8" t="s">
        <v>158</v>
      </c>
      <c r="D139" s="81">
        <f t="shared" si="150"/>
        <v>9</v>
      </c>
      <c r="E139" s="82">
        <f t="shared" si="151"/>
        <v>9</v>
      </c>
      <c r="F139" s="83">
        <f t="shared" si="148"/>
        <v>4.5</v>
      </c>
      <c r="G139" s="84" t="str">
        <f t="shared" si="149"/>
        <v>紧凑</v>
      </c>
      <c r="H139" s="85" t="s">
        <v>10</v>
      </c>
      <c r="I139" s="85" t="s">
        <v>11</v>
      </c>
      <c r="J139" s="85" t="s">
        <v>12</v>
      </c>
      <c r="K139" s="85" t="s">
        <v>13</v>
      </c>
      <c r="L139" s="86">
        <f>MAX(MID(C139,{1,2,3},1)*1)-MIN(MID(C139,{1,2,3},1)*1)</f>
        <v>2</v>
      </c>
      <c r="M139" s="87">
        <v>0</v>
      </c>
      <c r="N139" s="87">
        <v>1</v>
      </c>
      <c r="O139" s="87">
        <v>2</v>
      </c>
      <c r="P139" s="87">
        <v>3</v>
      </c>
      <c r="Q139" s="87">
        <v>4</v>
      </c>
      <c r="R139" s="87">
        <v>5</v>
      </c>
      <c r="S139" s="87">
        <v>6</v>
      </c>
      <c r="T139" s="87">
        <v>7</v>
      </c>
      <c r="U139" s="87">
        <v>8</v>
      </c>
      <c r="V139" s="87">
        <v>9</v>
      </c>
      <c r="W139" s="88">
        <f t="shared" si="152"/>
        <v>1</v>
      </c>
      <c r="X139" s="88">
        <f t="shared" si="153"/>
        <v>2</v>
      </c>
      <c r="Y139" s="88">
        <f t="shared" si="154"/>
        <v>1</v>
      </c>
      <c r="Z139" s="89">
        <f t="shared" si="155"/>
        <v>4</v>
      </c>
      <c r="AA139" s="17" t="str">
        <f>_xlfn.TEXTJOIN(", ",TRUE,ABS(MID(C139,{1,1,2},1)-MID(C139,{2,3,3},1)))</f>
        <v>1, 2, 1</v>
      </c>
      <c r="AB139" s="90">
        <v>0</v>
      </c>
      <c r="AC139" s="90">
        <v>1</v>
      </c>
      <c r="AD139" s="90">
        <v>2</v>
      </c>
      <c r="AE139" s="90">
        <v>3</v>
      </c>
      <c r="AF139" s="90">
        <v>4</v>
      </c>
      <c r="AG139" s="90">
        <v>5</v>
      </c>
      <c r="AH139" s="90">
        <v>6</v>
      </c>
      <c r="AI139" s="90">
        <v>7</v>
      </c>
      <c r="AJ139" s="90">
        <v>8</v>
      </c>
      <c r="AK139" s="90">
        <v>9</v>
      </c>
      <c r="AL139" s="91">
        <v>0</v>
      </c>
      <c r="AM139" s="91">
        <v>1</v>
      </c>
      <c r="AN139" s="91">
        <v>2</v>
      </c>
      <c r="AO139" s="91">
        <v>3</v>
      </c>
      <c r="AP139" s="91">
        <v>4</v>
      </c>
      <c r="AQ139" s="91">
        <v>5</v>
      </c>
      <c r="AR139" s="91">
        <v>6</v>
      </c>
      <c r="AS139" s="91">
        <v>7</v>
      </c>
      <c r="AT139" s="91">
        <v>8</v>
      </c>
      <c r="AU139" s="91">
        <v>9</v>
      </c>
      <c r="AV139" s="92">
        <v>0</v>
      </c>
      <c r="AW139" s="92">
        <v>1</v>
      </c>
      <c r="AX139" s="92">
        <v>2</v>
      </c>
      <c r="AY139" s="92">
        <v>3</v>
      </c>
      <c r="AZ139" s="92">
        <v>4</v>
      </c>
      <c r="BA139" s="92">
        <v>5</v>
      </c>
      <c r="BB139" s="92">
        <v>6</v>
      </c>
      <c r="BC139" s="92">
        <v>7</v>
      </c>
      <c r="BD139" s="92">
        <v>8</v>
      </c>
      <c r="BE139" s="92">
        <v>9</v>
      </c>
      <c r="BF139" s="93">
        <v>0</v>
      </c>
      <c r="BG139" s="93">
        <v>1</v>
      </c>
      <c r="BH139" s="93">
        <v>2</v>
      </c>
      <c r="BI139" s="93">
        <v>3</v>
      </c>
      <c r="BJ139" s="93">
        <v>4</v>
      </c>
      <c r="BK139" s="93">
        <v>5</v>
      </c>
      <c r="BL139" s="93">
        <v>6</v>
      </c>
      <c r="BM139" s="93">
        <v>7</v>
      </c>
      <c r="BN139" s="93">
        <v>8</v>
      </c>
      <c r="BO139" s="93">
        <v>9</v>
      </c>
      <c r="BP139" s="94" t="str">
        <f t="shared" si="156"/>
        <v>紧凑型</v>
      </c>
      <c r="BQ139" s="15">
        <f t="shared" si="157"/>
        <v>1</v>
      </c>
      <c r="BR139" s="15">
        <f t="shared" si="158"/>
        <v>2</v>
      </c>
      <c r="BS139" s="20" t="str">
        <f t="shared" ref="BS139:BS160" si="159">IF(COUNTIF($W138:$Y138,W139)&gt;0,W139,"")</f>
        <v/>
      </c>
      <c r="BU139" s="21" t="str">
        <f t="array" ref="BU139">_xlfn.TEXTJOIN("",TRUE,IF(ISERROR(FIND(ROW($1:$168)-1,BS139&amp;BT139)),ROW($1:$168)-1,""))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39" s="22" t="str">
        <f t="shared" ref="BV139:BV160" si="160">IF(BS139&lt;&gt;"","复","中")&amp;IF(BT139&lt;&gt;"","隔","中")&amp;"中"</f>
        <v>中中中</v>
      </c>
      <c r="BW139" s="23">
        <f t="shared" ref="BW139:BW160" si="161">IF(COUNTIF($W138:$Y138,X139)&gt;0,X139,"")</f>
        <v>2</v>
      </c>
      <c r="BY139" s="23" t="str">
        <f t="array" ref="BY139">_xlfn.TEXTJOIN("",TRUE,IF(ISERROR(FIND(ROW($1:$168)-1,BW139&amp;BX139)),ROW($1:$168)-1,""))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39" s="22" t="str">
        <f t="shared" ref="BZ139:BZ160" si="162">IF(BW139&lt;&gt;"","复","中")&amp;IF(BX139&lt;&gt;"","隔","中")&amp;"中"</f>
        <v>复中中</v>
      </c>
      <c r="CA139" s="24" t="str">
        <f t="shared" ref="CA139:CA160" si="163">IF(COUNTIF($W138:$Y138,Y139)&gt;0,Y139,"")</f>
        <v/>
      </c>
      <c r="CC139" s="24" t="str">
        <f t="array" ref="CC139">_xlfn.TEXTJOIN("",TRUE,IF(ISERROR(FIND(ROW($1:$168)-1,CA139&amp;CB139)),ROW($1:$168)-1,""))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39" s="22" t="str">
        <f t="shared" ref="CD139:CD160" si="164">IF(CA139&lt;&gt;"","复","中")&amp;IF(CB139&lt;&gt;"","隔","中")&amp;"中"</f>
        <v>中中中</v>
      </c>
      <c r="CE139" s="25" t="str">
        <f t="shared" ref="CE139:CE160" si="165">IF(W139=0,9,W139-1)&amp;""&amp;IF(W139=9,0,W139+1)</f>
        <v>02</v>
      </c>
      <c r="CG139" s="27" t="str">
        <f t="array" ref="CG139">_xlfn.TEXTJOIN("",TRUE,IF(ISERROR(FIND(ROW($1:$168)-1,CE139&amp;CF139)),ROW($1:$168)-1,""))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39" s="28" t="str">
        <f t="shared" ref="CH139:CH160" si="166">IF(CE139&lt;&gt;"","邻","孤")&amp;IF(CF139&lt;&gt;"","传","孤")&amp;"孤"</f>
        <v>邻孤孤</v>
      </c>
      <c r="CI139" s="29" t="str">
        <f t="shared" ref="CI139:CI160" si="167">IF(X139=0,9,X139-1)&amp;""&amp;IF(X139=9,0,X139+1)</f>
        <v>13</v>
      </c>
      <c r="CK139" s="29" t="str">
        <f t="array" ref="CK139">_xlfn.TEXTJOIN("",TRUE,IF(ISERROR(FIND(ROW($1:$168)-1,CI139&amp;CJ139)),ROW($1:$168)-1,""))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39" s="19" t="str">
        <f t="shared" ref="CL139:CL160" si="168">IF(CI139&lt;&gt;"","邻","孤")&amp;IF(CJ139&lt;&gt;"","传","孤")&amp;"孤"</f>
        <v>邻孤孤</v>
      </c>
      <c r="CM139" s="24" t="str">
        <f t="shared" ref="CM139:CM160" si="169">IF(Y139=0,9,Y139-1)&amp;""&amp;IF(Y139=9,0,Y139+1)</f>
        <v>02</v>
      </c>
      <c r="CO139" s="24" t="str">
        <f t="array" ref="CO139">_xlfn.TEXTJOIN("",TRUE,IF(ISERROR(FIND(ROW($1:$168)-1,CM139&amp;CN139)),ROW($1:$168)-1,""))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39" s="30" t="str">
        <f t="shared" ref="CP139:CP160" si="170">IF(CM139&lt;&gt;"","邻","孤")&amp;IF(CN139&lt;&gt;"","传","孤")&amp;"孤"</f>
        <v>邻孤孤</v>
      </c>
    </row>
    <row r="140" spans="1:94">
      <c r="A140" s="15">
        <v>140</v>
      </c>
      <c r="B140" s="80">
        <v>2024109</v>
      </c>
      <c r="C140" s="8" t="s">
        <v>159</v>
      </c>
      <c r="D140" s="81">
        <f t="shared" si="150"/>
        <v>10</v>
      </c>
      <c r="E140" s="82">
        <f t="shared" si="151"/>
        <v>0</v>
      </c>
      <c r="F140" s="83">
        <f t="shared" si="148"/>
        <v>1.42857142857143</v>
      </c>
      <c r="G140" s="84" t="str">
        <f t="shared" si="149"/>
        <v>松散</v>
      </c>
      <c r="H140" s="85" t="s">
        <v>10</v>
      </c>
      <c r="I140" s="85" t="s">
        <v>11</v>
      </c>
      <c r="J140" s="85" t="s">
        <v>12</v>
      </c>
      <c r="K140" s="85" t="s">
        <v>13</v>
      </c>
      <c r="L140" s="86">
        <f>MAX(MID(C140,{1,2,3},1)*1)-MIN(MID(C140,{1,2,3},1)*1)</f>
        <v>7</v>
      </c>
      <c r="M140" s="87">
        <v>0</v>
      </c>
      <c r="N140" s="87">
        <v>1</v>
      </c>
      <c r="O140" s="87">
        <v>2</v>
      </c>
      <c r="P140" s="87">
        <v>3</v>
      </c>
      <c r="Q140" s="87">
        <v>4</v>
      </c>
      <c r="R140" s="87">
        <v>5</v>
      </c>
      <c r="S140" s="87">
        <v>6</v>
      </c>
      <c r="T140" s="87">
        <v>7</v>
      </c>
      <c r="U140" s="87">
        <v>8</v>
      </c>
      <c r="V140" s="87">
        <v>9</v>
      </c>
      <c r="W140" s="88">
        <f t="shared" si="152"/>
        <v>7</v>
      </c>
      <c r="X140" s="88">
        <f t="shared" si="153"/>
        <v>0</v>
      </c>
      <c r="Y140" s="88">
        <f t="shared" si="154"/>
        <v>7</v>
      </c>
      <c r="Z140" s="89">
        <f t="shared" si="155"/>
        <v>14</v>
      </c>
      <c r="AA140" s="17" t="str">
        <f>_xlfn.TEXTJOIN(", ",TRUE,ABS(MID(C140,{1,1,2},1)-MID(C140,{2,3,3},1)))</f>
        <v>7, 0, 7</v>
      </c>
      <c r="AB140" s="90">
        <v>0</v>
      </c>
      <c r="AC140" s="90">
        <v>1</v>
      </c>
      <c r="AD140" s="90">
        <v>2</v>
      </c>
      <c r="AE140" s="90">
        <v>3</v>
      </c>
      <c r="AF140" s="90">
        <v>4</v>
      </c>
      <c r="AG140" s="90">
        <v>5</v>
      </c>
      <c r="AH140" s="90">
        <v>6</v>
      </c>
      <c r="AI140" s="90">
        <v>7</v>
      </c>
      <c r="AJ140" s="90">
        <v>8</v>
      </c>
      <c r="AK140" s="90">
        <v>9</v>
      </c>
      <c r="AL140" s="91">
        <v>0</v>
      </c>
      <c r="AM140" s="91">
        <v>1</v>
      </c>
      <c r="AN140" s="91">
        <v>2</v>
      </c>
      <c r="AO140" s="91">
        <v>3</v>
      </c>
      <c r="AP140" s="91">
        <v>4</v>
      </c>
      <c r="AQ140" s="91">
        <v>5</v>
      </c>
      <c r="AR140" s="91">
        <v>6</v>
      </c>
      <c r="AS140" s="91">
        <v>7</v>
      </c>
      <c r="AT140" s="91">
        <v>8</v>
      </c>
      <c r="AU140" s="91">
        <v>9</v>
      </c>
      <c r="AV140" s="92">
        <v>0</v>
      </c>
      <c r="AW140" s="92">
        <v>1</v>
      </c>
      <c r="AX140" s="92">
        <v>2</v>
      </c>
      <c r="AY140" s="92">
        <v>3</v>
      </c>
      <c r="AZ140" s="92">
        <v>4</v>
      </c>
      <c r="BA140" s="92">
        <v>5</v>
      </c>
      <c r="BB140" s="92">
        <v>6</v>
      </c>
      <c r="BC140" s="92">
        <v>7</v>
      </c>
      <c r="BD140" s="92">
        <v>8</v>
      </c>
      <c r="BE140" s="92">
        <v>9</v>
      </c>
      <c r="BF140" s="93">
        <v>0</v>
      </c>
      <c r="BG140" s="93">
        <v>1</v>
      </c>
      <c r="BH140" s="93">
        <v>2</v>
      </c>
      <c r="BI140" s="93">
        <v>3</v>
      </c>
      <c r="BJ140" s="93">
        <v>4</v>
      </c>
      <c r="BK140" s="93">
        <v>5</v>
      </c>
      <c r="BL140" s="93">
        <v>6</v>
      </c>
      <c r="BM140" s="93">
        <v>7</v>
      </c>
      <c r="BN140" s="93">
        <v>8</v>
      </c>
      <c r="BO140" s="93">
        <v>9</v>
      </c>
      <c r="BP140" s="94" t="str">
        <f t="shared" si="156"/>
        <v>松散型</v>
      </c>
      <c r="BQ140" s="15">
        <f t="shared" si="157"/>
        <v>0</v>
      </c>
      <c r="BR140" s="15">
        <f t="shared" si="158"/>
        <v>7</v>
      </c>
      <c r="BS140" s="20" t="str">
        <f t="shared" si="159"/>
        <v/>
      </c>
      <c r="BT140" s="21" t="str">
        <f t="shared" ref="BT140:BT160" si="171">IF(COUNTIF($W138:$Y138,W140)&gt;0,W140,"")</f>
        <v/>
      </c>
      <c r="BU140" s="21" t="str">
        <f t="array" ref="BU140">_xlfn.TEXTJOIN("",TRUE,IF(ISERROR(FIND(ROW($1:$168)-1,BS140&amp;BT140)),ROW($1:$168)-1,""))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40" s="22" t="str">
        <f t="shared" si="160"/>
        <v>中中中</v>
      </c>
      <c r="BW140" s="23" t="str">
        <f t="shared" si="161"/>
        <v/>
      </c>
      <c r="BX140" s="23" t="str">
        <f t="shared" ref="BX140:BX160" si="172">IF(COUNTIF($W138:$Y138,X140)&gt;0,X140,"")</f>
        <v/>
      </c>
      <c r="BY140" s="23" t="str">
        <f t="array" ref="BY140">_xlfn.TEXTJOIN("",TRUE,IF(ISERROR(FIND(ROW($1:$168)-1,BW140&amp;BX140)),ROW($1:$168)-1,""))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40" s="22" t="str">
        <f t="shared" si="162"/>
        <v>中中中</v>
      </c>
      <c r="CA140" s="24" t="str">
        <f t="shared" si="163"/>
        <v/>
      </c>
      <c r="CB140" s="24" t="str">
        <f t="shared" ref="CB140:CB160" si="173">IF(COUNTIF($W138:$Y138,Y140)&gt;0,Y140,"")</f>
        <v/>
      </c>
      <c r="CC140" s="24" t="str">
        <f t="array" ref="CC140">_xlfn.TEXTJOIN("",TRUE,IF(ISERROR(FIND(ROW($1:$168)-1,CA140&amp;CB140)),ROW($1:$168)-1,""))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40" s="22" t="str">
        <f t="shared" si="164"/>
        <v>中中中</v>
      </c>
      <c r="CE140" s="25" t="str">
        <f t="shared" si="165"/>
        <v>68</v>
      </c>
      <c r="CF140" s="95" t="str">
        <f t="array" ref="CF140">_xlfn.TEXTJOIN("",TRUE,IF(ISNUMBER(FIND(MID(CE139&amp;W139,ROW($1:$162),1),CE140&amp;W140)),MID(CE139&amp;W139,ROW($1:$162),1),""))</f>
        <v/>
      </c>
      <c r="CG140" s="27" t="str">
        <f t="array" ref="CG140">_xlfn.TEXTJOIN("",TRUE,IF(ISERROR(FIND(ROW($1:$168)-1,CE140&amp;CF140)),ROW($1:$168)-1,""))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40" s="28" t="str">
        <f t="shared" si="166"/>
        <v>邻孤孤</v>
      </c>
      <c r="CI140" s="29" t="str">
        <f t="shared" si="167"/>
        <v>91</v>
      </c>
      <c r="CJ140" s="29" t="str">
        <f t="array" ref="CJ140">_xlfn.TEXTJOIN("",TRUE,IF(ISNUMBER(FIND(MID(CI139&amp;X139,ROW($1:$162),1),CI140&amp;X140)),MID(CI139&amp;X139,ROW($1:$162),1),""))</f>
        <v>1</v>
      </c>
      <c r="CK140" s="29" t="str">
        <f t="array" ref="CK140">_xlfn.TEXTJOIN("",TRUE,IF(ISERROR(FIND(ROW($1:$168)-1,CI140&amp;CJ140)),ROW($1:$168)-1,""))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140" s="19" t="str">
        <f t="shared" si="168"/>
        <v>邻传孤</v>
      </c>
      <c r="CM140" s="24" t="str">
        <f t="shared" si="169"/>
        <v>68</v>
      </c>
      <c r="CN140" s="24" t="str">
        <f t="array" ref="CN140">_xlfn.TEXTJOIN("",TRUE,IF(ISNUMBER(FIND(MID(CM139&amp;Y139,ROW($1:$162),1),CM140&amp;Y140)),MID(CM139&amp;Y139,ROW($1:$162),1),""))</f>
        <v/>
      </c>
      <c r="CO140" s="24" t="str">
        <f t="array" ref="CO140">_xlfn.TEXTJOIN("",TRUE,IF(ISERROR(FIND(ROW($1:$168)-1,CM140&amp;CN140)),ROW($1:$168)-1,""))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40" s="30" t="str">
        <f t="shared" si="170"/>
        <v>邻孤孤</v>
      </c>
    </row>
    <row r="141" spans="1:94">
      <c r="A141" s="15">
        <v>141</v>
      </c>
      <c r="B141" s="80">
        <v>2024110</v>
      </c>
      <c r="C141" s="8" t="s">
        <v>160</v>
      </c>
      <c r="D141" s="81">
        <f t="shared" si="150"/>
        <v>11</v>
      </c>
      <c r="E141" s="82">
        <f t="shared" si="151"/>
        <v>1</v>
      </c>
      <c r="F141" s="83">
        <f t="shared" si="148"/>
        <v>1.83333333333333</v>
      </c>
      <c r="G141" s="84" t="str">
        <f t="shared" si="149"/>
        <v>松散</v>
      </c>
      <c r="H141" s="85" t="s">
        <v>10</v>
      </c>
      <c r="I141" s="85" t="s">
        <v>11</v>
      </c>
      <c r="J141" s="85" t="s">
        <v>12</v>
      </c>
      <c r="K141" s="85" t="s">
        <v>13</v>
      </c>
      <c r="L141" s="86">
        <f>MAX(MID(C141,{1,2,3},1)*1)-MIN(MID(C141,{1,2,3},1)*1)</f>
        <v>6</v>
      </c>
      <c r="M141" s="87">
        <v>0</v>
      </c>
      <c r="N141" s="87">
        <v>1</v>
      </c>
      <c r="O141" s="87">
        <v>2</v>
      </c>
      <c r="P141" s="87">
        <v>3</v>
      </c>
      <c r="Q141" s="87">
        <v>4</v>
      </c>
      <c r="R141" s="87">
        <v>5</v>
      </c>
      <c r="S141" s="87">
        <v>6</v>
      </c>
      <c r="T141" s="87">
        <v>7</v>
      </c>
      <c r="U141" s="87">
        <v>8</v>
      </c>
      <c r="V141" s="87">
        <v>9</v>
      </c>
      <c r="W141" s="88">
        <f t="shared" si="152"/>
        <v>5</v>
      </c>
      <c r="X141" s="88">
        <f t="shared" si="153"/>
        <v>1</v>
      </c>
      <c r="Y141" s="88">
        <f t="shared" si="154"/>
        <v>6</v>
      </c>
      <c r="Z141" s="89">
        <f t="shared" si="155"/>
        <v>12</v>
      </c>
      <c r="AA141" s="17" t="str">
        <f>_xlfn.TEXTJOIN(", ",TRUE,ABS(MID(C141,{1,1,2},1)-MID(C141,{2,3,3},1)))</f>
        <v>5, 1, 6</v>
      </c>
      <c r="AB141" s="90">
        <v>0</v>
      </c>
      <c r="AC141" s="90">
        <v>1</v>
      </c>
      <c r="AD141" s="90">
        <v>2</v>
      </c>
      <c r="AE141" s="90">
        <v>3</v>
      </c>
      <c r="AF141" s="90">
        <v>4</v>
      </c>
      <c r="AG141" s="90">
        <v>5</v>
      </c>
      <c r="AH141" s="90">
        <v>6</v>
      </c>
      <c r="AI141" s="90">
        <v>7</v>
      </c>
      <c r="AJ141" s="90">
        <v>8</v>
      </c>
      <c r="AK141" s="90">
        <v>9</v>
      </c>
      <c r="AL141" s="91">
        <v>0</v>
      </c>
      <c r="AM141" s="91">
        <v>1</v>
      </c>
      <c r="AN141" s="91">
        <v>2</v>
      </c>
      <c r="AO141" s="91">
        <v>3</v>
      </c>
      <c r="AP141" s="91">
        <v>4</v>
      </c>
      <c r="AQ141" s="91">
        <v>5</v>
      </c>
      <c r="AR141" s="91">
        <v>6</v>
      </c>
      <c r="AS141" s="91">
        <v>7</v>
      </c>
      <c r="AT141" s="91">
        <v>8</v>
      </c>
      <c r="AU141" s="91">
        <v>9</v>
      </c>
      <c r="AV141" s="92">
        <v>0</v>
      </c>
      <c r="AW141" s="92">
        <v>1</v>
      </c>
      <c r="AX141" s="92">
        <v>2</v>
      </c>
      <c r="AY141" s="92">
        <v>3</v>
      </c>
      <c r="AZ141" s="92">
        <v>4</v>
      </c>
      <c r="BA141" s="92">
        <v>5</v>
      </c>
      <c r="BB141" s="92">
        <v>6</v>
      </c>
      <c r="BC141" s="92">
        <v>7</v>
      </c>
      <c r="BD141" s="92">
        <v>8</v>
      </c>
      <c r="BE141" s="92">
        <v>9</v>
      </c>
      <c r="BF141" s="93">
        <v>0</v>
      </c>
      <c r="BG141" s="93">
        <v>1</v>
      </c>
      <c r="BH141" s="93">
        <v>2</v>
      </c>
      <c r="BI141" s="93">
        <v>3</v>
      </c>
      <c r="BJ141" s="93">
        <v>4</v>
      </c>
      <c r="BK141" s="93">
        <v>5</v>
      </c>
      <c r="BL141" s="93">
        <v>6</v>
      </c>
      <c r="BM141" s="93">
        <v>7</v>
      </c>
      <c r="BN141" s="93">
        <v>8</v>
      </c>
      <c r="BO141" s="93">
        <v>9</v>
      </c>
      <c r="BP141" s="94" t="str">
        <f t="shared" si="156"/>
        <v>松散型</v>
      </c>
      <c r="BQ141" s="15">
        <f t="shared" si="157"/>
        <v>1</v>
      </c>
      <c r="BR141" s="15">
        <f t="shared" si="158"/>
        <v>6</v>
      </c>
      <c r="BS141" s="20" t="str">
        <f t="shared" si="159"/>
        <v/>
      </c>
      <c r="BT141" s="21" t="str">
        <f t="shared" si="171"/>
        <v/>
      </c>
      <c r="BU141" s="21" t="str">
        <f t="array" ref="BU141">_xlfn.TEXTJOIN("",TRUE,IF(ISERROR(FIND(ROW($1:$168)-1,BS141&amp;BT141)),ROW($1:$168)-1,""))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41" s="22" t="str">
        <f t="shared" si="160"/>
        <v>中中中</v>
      </c>
      <c r="BX141" s="23">
        <f t="shared" si="172"/>
        <v>1</v>
      </c>
      <c r="BY141" s="23" t="str">
        <f t="array" ref="BY141">_xlfn.TEXTJOIN("",TRUE,IF(ISERROR(FIND(ROW($1:$168)-1,BW141&amp;BX141)),ROW($1:$168)-1,""))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41" s="22" t="str">
        <f t="shared" si="162"/>
        <v>中隔中</v>
      </c>
      <c r="CA141" s="24" t="str">
        <f t="shared" si="163"/>
        <v/>
      </c>
      <c r="CB141" s="24" t="str">
        <f t="shared" si="173"/>
        <v/>
      </c>
      <c r="CC141" s="24" t="str">
        <f t="array" ref="CC141">_xlfn.TEXTJOIN("",TRUE,IF(ISERROR(FIND(ROW($1:$168)-1,CA141&amp;CB141)),ROW($1:$168)-1,""))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41" s="22" t="str">
        <f t="shared" si="164"/>
        <v>中中中</v>
      </c>
      <c r="CE141" s="25" t="str">
        <f t="shared" si="165"/>
        <v>46</v>
      </c>
      <c r="CF141" s="26" t="str">
        <f t="array" ref="CF141">_xlfn.TEXTJOIN("",TRUE,IF(ISNUMBER(FIND(MID(CE140&amp;W140,ROW($1:$162),1),CE141&amp;W141)),MID(CE140&amp;W140,ROW($1:$162),1),""))</f>
        <v>6</v>
      </c>
      <c r="CG141" s="27" t="str">
        <f t="array" ref="CG141">_xlfn.TEXTJOIN("",TRUE,IF(ISERROR(FIND(ROW($1:$168)-1,CE141&amp;CF141)),ROW($1:$168)-1,""))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41" s="28" t="str">
        <f t="shared" si="166"/>
        <v>邻传孤</v>
      </c>
      <c r="CI141" s="29" t="str">
        <f t="shared" si="167"/>
        <v>02</v>
      </c>
      <c r="CJ141" s="29" t="str">
        <f t="array" ref="CJ141">_xlfn.TEXTJOIN("",TRUE,IF(ISNUMBER(FIND(MID(CI140&amp;X140,ROW($1:$162),1),CI141&amp;X141)),MID(CI140&amp;X140,ROW($1:$162),1),""))</f>
        <v>10</v>
      </c>
      <c r="CK141" s="29" t="str">
        <f t="array" ref="CK141">_xlfn.TEXTJOIN("",TRUE,IF(ISERROR(FIND(ROW($1:$168)-1,CI141&amp;CJ141)),ROW($1:$168)-1,""))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41" s="19" t="str">
        <f t="shared" si="168"/>
        <v>邻传孤</v>
      </c>
      <c r="CM141" s="24" t="str">
        <f t="shared" si="169"/>
        <v>57</v>
      </c>
      <c r="CN141" s="24" t="str">
        <f t="array" ref="CN141">_xlfn.TEXTJOIN("",TRUE,IF(ISNUMBER(FIND(MID(CM140&amp;Y140,ROW($1:$162),1),CM141&amp;Y141)),MID(CM140&amp;Y140,ROW($1:$162),1),""))</f>
        <v>67</v>
      </c>
      <c r="CO141" s="24" t="str">
        <f t="array" ref="CO141">_xlfn.TEXTJOIN("",TRUE,IF(ISERROR(FIND(ROW($1:$168)-1,CM141&amp;CN141)),ROW($1:$168)-1,""))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41" s="30" t="str">
        <f t="shared" si="170"/>
        <v>邻传孤</v>
      </c>
    </row>
    <row r="142" spans="1:94">
      <c r="A142" s="15">
        <v>142</v>
      </c>
      <c r="B142" s="80">
        <v>2024111</v>
      </c>
      <c r="C142" s="8" t="s">
        <v>161</v>
      </c>
      <c r="D142" s="81">
        <f t="shared" si="150"/>
        <v>8</v>
      </c>
      <c r="E142" s="82">
        <f t="shared" si="151"/>
        <v>8</v>
      </c>
      <c r="F142" s="83">
        <f t="shared" si="148"/>
        <v>1.33333333333333</v>
      </c>
      <c r="G142" s="84" t="str">
        <f t="shared" si="149"/>
        <v>松散</v>
      </c>
      <c r="H142" s="85" t="s">
        <v>10</v>
      </c>
      <c r="I142" s="85" t="s">
        <v>11</v>
      </c>
      <c r="J142" s="85" t="s">
        <v>12</v>
      </c>
      <c r="K142" s="85" t="s">
        <v>13</v>
      </c>
      <c r="L142" s="86">
        <f>MAX(MID(C142,{1,2,3},1)*1)-MIN(MID(C142,{1,2,3},1)*1)</f>
        <v>6</v>
      </c>
      <c r="M142" s="87">
        <v>0</v>
      </c>
      <c r="N142" s="87">
        <v>1</v>
      </c>
      <c r="O142" s="87">
        <v>2</v>
      </c>
      <c r="P142" s="87">
        <v>3</v>
      </c>
      <c r="Q142" s="87">
        <v>4</v>
      </c>
      <c r="R142" s="87">
        <v>5</v>
      </c>
      <c r="S142" s="87">
        <v>6</v>
      </c>
      <c r="T142" s="87">
        <v>7</v>
      </c>
      <c r="U142" s="87">
        <v>8</v>
      </c>
      <c r="V142" s="87">
        <v>9</v>
      </c>
      <c r="W142" s="88">
        <f t="shared" si="152"/>
        <v>2</v>
      </c>
      <c r="X142" s="88">
        <f t="shared" si="153"/>
        <v>4</v>
      </c>
      <c r="Y142" s="88">
        <f t="shared" si="154"/>
        <v>6</v>
      </c>
      <c r="Z142" s="89">
        <f t="shared" si="155"/>
        <v>12</v>
      </c>
      <c r="AA142" s="17" t="str">
        <f>_xlfn.TEXTJOIN(", ",TRUE,ABS(MID(C142,{1,1,2},1)-MID(C142,{2,3,3},1)))</f>
        <v>2, 4, 6</v>
      </c>
      <c r="AB142" s="90">
        <v>0</v>
      </c>
      <c r="AC142" s="90">
        <v>1</v>
      </c>
      <c r="AD142" s="90">
        <v>2</v>
      </c>
      <c r="AE142" s="90">
        <v>3</v>
      </c>
      <c r="AF142" s="90">
        <v>4</v>
      </c>
      <c r="AG142" s="90">
        <v>5</v>
      </c>
      <c r="AH142" s="90">
        <v>6</v>
      </c>
      <c r="AI142" s="90">
        <v>7</v>
      </c>
      <c r="AJ142" s="90">
        <v>8</v>
      </c>
      <c r="AK142" s="90">
        <v>9</v>
      </c>
      <c r="AL142" s="91">
        <v>0</v>
      </c>
      <c r="AM142" s="91">
        <v>1</v>
      </c>
      <c r="AN142" s="91"/>
      <c r="AO142" s="91">
        <v>3</v>
      </c>
      <c r="AP142" s="91">
        <v>4</v>
      </c>
      <c r="AQ142" s="91">
        <v>5</v>
      </c>
      <c r="AR142" s="91">
        <v>6</v>
      </c>
      <c r="AS142" s="91">
        <v>7</v>
      </c>
      <c r="AT142" s="91">
        <v>8</v>
      </c>
      <c r="AU142" s="91">
        <v>9</v>
      </c>
      <c r="AV142" s="92">
        <v>0</v>
      </c>
      <c r="AW142" s="92">
        <v>1</v>
      </c>
      <c r="AX142" s="92">
        <v>2</v>
      </c>
      <c r="AY142" s="92">
        <v>3</v>
      </c>
      <c r="AZ142" s="92">
        <v>4</v>
      </c>
      <c r="BA142" s="92">
        <v>5</v>
      </c>
      <c r="BB142" s="92">
        <v>6</v>
      </c>
      <c r="BC142" s="92">
        <v>7</v>
      </c>
      <c r="BD142" s="92">
        <v>8</v>
      </c>
      <c r="BE142" s="92">
        <v>9</v>
      </c>
      <c r="BF142" s="93">
        <v>0</v>
      </c>
      <c r="BG142" s="93">
        <v>1</v>
      </c>
      <c r="BH142" s="93">
        <v>2</v>
      </c>
      <c r="BI142" s="93">
        <v>3</v>
      </c>
      <c r="BJ142" s="93">
        <v>4</v>
      </c>
      <c r="BK142" s="93">
        <v>5</v>
      </c>
      <c r="BL142" s="93">
        <v>6</v>
      </c>
      <c r="BM142" s="93">
        <v>7</v>
      </c>
      <c r="BN142" s="93">
        <v>8</v>
      </c>
      <c r="BO142" s="93">
        <v>9</v>
      </c>
      <c r="BP142" s="94" t="str">
        <f t="shared" si="156"/>
        <v>松散型</v>
      </c>
      <c r="BQ142" s="15">
        <f t="shared" si="157"/>
        <v>2</v>
      </c>
      <c r="BR142" s="15">
        <f t="shared" si="158"/>
        <v>6</v>
      </c>
      <c r="BS142" s="20" t="str">
        <f t="shared" si="159"/>
        <v/>
      </c>
      <c r="BT142" s="21" t="str">
        <f t="shared" si="171"/>
        <v/>
      </c>
      <c r="BU142" s="21" t="str">
        <f t="array" ref="BU142">_xlfn.TEXTJOIN("",TRUE,IF(ISERROR(FIND(ROW($1:$168)-1,BS142&amp;BT142)),ROW($1:$168)-1,""))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42" s="22" t="str">
        <f t="shared" si="160"/>
        <v>中中中</v>
      </c>
      <c r="BW142" s="23" t="str">
        <f t="shared" si="161"/>
        <v/>
      </c>
      <c r="BX142" s="23" t="str">
        <f t="shared" si="172"/>
        <v/>
      </c>
      <c r="BY142" s="23" t="str">
        <f t="array" ref="BY142">_xlfn.TEXTJOIN("",TRUE,IF(ISERROR(FIND(ROW($1:$168)-1,BW142&amp;BX142)),ROW($1:$168)-1,""))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42" s="22" t="str">
        <f t="shared" si="162"/>
        <v>中中中</v>
      </c>
      <c r="CA142" s="24">
        <f t="shared" si="163"/>
        <v>6</v>
      </c>
      <c r="CB142" s="24" t="str">
        <f t="shared" si="173"/>
        <v/>
      </c>
      <c r="CC142" s="24" t="str">
        <f t="array" ref="CC142">_xlfn.TEXTJOIN("",TRUE,IF(ISERROR(FIND(ROW($1:$168)-1,CA142&amp;CB142)),ROW($1:$168)-1,""))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42" s="22" t="str">
        <f t="shared" si="164"/>
        <v>复中中</v>
      </c>
      <c r="CE142" s="25" t="str">
        <f t="shared" si="165"/>
        <v>13</v>
      </c>
      <c r="CF142" s="26" t="str">
        <f t="array" ref="CF142">_xlfn.TEXTJOIN("",TRUE,IF(ISNUMBER(FIND(MID(CE141&amp;W141,ROW($1:$162),1),CE142&amp;W142)),MID(CE141&amp;W141,ROW($1:$162),1),""))</f>
        <v/>
      </c>
      <c r="CG142" s="27" t="str">
        <f t="array" ref="CG142">_xlfn.TEXTJOIN("",TRUE,IF(ISERROR(FIND(ROW($1:$168)-1,CE142&amp;CF142)),ROW($1:$168)-1,""))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42" s="28" t="str">
        <f t="shared" si="166"/>
        <v>邻孤孤</v>
      </c>
      <c r="CI142" s="29" t="str">
        <f t="shared" si="167"/>
        <v>35</v>
      </c>
      <c r="CJ142" s="29" t="str">
        <f t="array" ref="CJ142">_xlfn.TEXTJOIN("",TRUE,IF(ISNUMBER(FIND(MID(CI141&amp;X141,ROW($1:$162),1),CI142&amp;X142)),MID(CI141&amp;X141,ROW($1:$162),1),""))</f>
        <v/>
      </c>
      <c r="CK142" s="29" t="str">
        <f t="array" ref="CK142">_xlfn.TEXTJOIN("",TRUE,IF(ISERROR(FIND(ROW($1:$168)-1,CI142&amp;CJ142)),ROW($1:$168)-1,""))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42" s="19" t="str">
        <f t="shared" si="168"/>
        <v>邻孤孤</v>
      </c>
      <c r="CM142" s="24" t="str">
        <f t="shared" si="169"/>
        <v>57</v>
      </c>
      <c r="CN142" s="24" t="str">
        <f t="array" ref="CN142">_xlfn.TEXTJOIN("",TRUE,IF(ISNUMBER(FIND(MID(CM141&amp;Y141,ROW($1:$162),1),CM142&amp;Y142)),MID(CM141&amp;Y141,ROW($1:$162),1),""))</f>
        <v>576</v>
      </c>
      <c r="CO142" s="24" t="str">
        <f t="array" ref="CO142">_xlfn.TEXTJOIN("",TRUE,IF(ISERROR(FIND(ROW($1:$168)-1,CM142&amp;CN142)),ROW($1:$168)-1,""))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42" s="30" t="str">
        <f t="shared" si="170"/>
        <v>邻传孤</v>
      </c>
    </row>
    <row r="143" spans="1:94">
      <c r="A143" s="15">
        <v>143</v>
      </c>
      <c r="B143" s="80">
        <v>2024112</v>
      </c>
      <c r="C143" s="8" t="s">
        <v>162</v>
      </c>
      <c r="D143" s="81">
        <f t="shared" si="150"/>
        <v>9</v>
      </c>
      <c r="E143" s="82">
        <f t="shared" si="151"/>
        <v>9</v>
      </c>
      <c r="F143" s="83">
        <f t="shared" si="148"/>
        <v>1.5</v>
      </c>
      <c r="G143" s="84" t="str">
        <f t="shared" si="149"/>
        <v>松散</v>
      </c>
      <c r="H143" s="85" t="s">
        <v>10</v>
      </c>
      <c r="I143" s="85" t="s">
        <v>11</v>
      </c>
      <c r="J143" s="85" t="s">
        <v>12</v>
      </c>
      <c r="K143" s="85" t="s">
        <v>13</v>
      </c>
      <c r="L143" s="86">
        <f>MAX(MID(C143,{1,2,3},1)*1)-MIN(MID(C143,{1,2,3},1)*1)</f>
        <v>6</v>
      </c>
      <c r="M143" s="87">
        <v>0</v>
      </c>
      <c r="N143" s="87">
        <v>1</v>
      </c>
      <c r="O143" s="87">
        <v>2</v>
      </c>
      <c r="P143" s="87">
        <v>3</v>
      </c>
      <c r="Q143" s="87">
        <v>4</v>
      </c>
      <c r="R143" s="87">
        <v>5</v>
      </c>
      <c r="S143" s="87">
        <v>6</v>
      </c>
      <c r="T143" s="87">
        <v>7</v>
      </c>
      <c r="U143" s="87">
        <v>8</v>
      </c>
      <c r="V143" s="87">
        <v>9</v>
      </c>
      <c r="W143" s="88">
        <f t="shared" si="152"/>
        <v>3</v>
      </c>
      <c r="X143" s="88">
        <f t="shared" si="153"/>
        <v>6</v>
      </c>
      <c r="Y143" s="88">
        <f t="shared" si="154"/>
        <v>3</v>
      </c>
      <c r="Z143" s="89">
        <f t="shared" si="155"/>
        <v>12</v>
      </c>
      <c r="AA143" s="17" t="str">
        <f>_xlfn.TEXTJOIN(", ",TRUE,ABS(MID(C143,{1,1,2},1)-MID(C143,{2,3,3},1)))</f>
        <v>3, 6, 3</v>
      </c>
      <c r="AB143" s="90">
        <v>0</v>
      </c>
      <c r="AC143" s="90">
        <v>1</v>
      </c>
      <c r="AD143" s="90">
        <v>2</v>
      </c>
      <c r="AE143" s="90">
        <v>3</v>
      </c>
      <c r="AF143" s="90">
        <v>4</v>
      </c>
      <c r="AG143" s="90">
        <v>5</v>
      </c>
      <c r="AH143" s="90">
        <v>6</v>
      </c>
      <c r="AI143" s="90">
        <v>7</v>
      </c>
      <c r="AJ143" s="90">
        <v>8</v>
      </c>
      <c r="AK143" s="90">
        <v>9</v>
      </c>
      <c r="AL143" s="91">
        <v>0</v>
      </c>
      <c r="AM143" s="91">
        <v>1</v>
      </c>
      <c r="AN143" s="91">
        <v>2</v>
      </c>
      <c r="AO143" s="91">
        <v>3</v>
      </c>
      <c r="AP143" s="91">
        <v>4</v>
      </c>
      <c r="AQ143" s="91">
        <v>5</v>
      </c>
      <c r="AR143" s="91">
        <v>6</v>
      </c>
      <c r="AS143" s="91">
        <v>7</v>
      </c>
      <c r="AT143" s="91">
        <v>8</v>
      </c>
      <c r="AU143" s="91">
        <v>9</v>
      </c>
      <c r="AV143" s="92">
        <v>0</v>
      </c>
      <c r="AW143" s="92">
        <v>1</v>
      </c>
      <c r="AX143" s="92">
        <v>2</v>
      </c>
      <c r="AY143" s="92">
        <v>3</v>
      </c>
      <c r="AZ143" s="92">
        <v>4</v>
      </c>
      <c r="BA143" s="92">
        <v>5</v>
      </c>
      <c r="BB143" s="92">
        <v>6</v>
      </c>
      <c r="BC143" s="92">
        <v>7</v>
      </c>
      <c r="BD143" s="92">
        <v>8</v>
      </c>
      <c r="BE143" s="92">
        <v>9</v>
      </c>
      <c r="BF143" s="93">
        <v>0</v>
      </c>
      <c r="BG143" s="93">
        <v>1</v>
      </c>
      <c r="BH143" s="93">
        <v>2</v>
      </c>
      <c r="BI143" s="93">
        <v>3</v>
      </c>
      <c r="BJ143" s="93">
        <v>4</v>
      </c>
      <c r="BK143" s="93">
        <v>5</v>
      </c>
      <c r="BL143" s="93">
        <v>6</v>
      </c>
      <c r="BM143" s="93">
        <v>7</v>
      </c>
      <c r="BN143" s="93">
        <v>8</v>
      </c>
      <c r="BO143" s="93">
        <v>9</v>
      </c>
      <c r="BP143" s="94" t="str">
        <f t="shared" si="156"/>
        <v>松散型</v>
      </c>
      <c r="BQ143" s="15">
        <f t="shared" si="157"/>
        <v>3</v>
      </c>
      <c r="BR143" s="15">
        <f t="shared" si="158"/>
        <v>6</v>
      </c>
      <c r="BS143" s="20" t="str">
        <f t="shared" si="159"/>
        <v/>
      </c>
      <c r="BT143" s="21" t="str">
        <f t="shared" si="171"/>
        <v/>
      </c>
      <c r="BU143" s="21" t="str">
        <f t="array" ref="BU143">_xlfn.TEXTJOIN("",TRUE,IF(ISERROR(FIND(ROW($1:$168)-1,BS143&amp;BT143)),ROW($1:$168)-1,""))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43" s="22" t="str">
        <f t="shared" si="160"/>
        <v>中中中</v>
      </c>
      <c r="BW143" s="23">
        <f t="shared" si="161"/>
        <v>6</v>
      </c>
      <c r="BX143" s="23">
        <f t="shared" si="172"/>
        <v>6</v>
      </c>
      <c r="BY143" s="23" t="str">
        <f t="array" ref="BY143">_xlfn.TEXTJOIN("",TRUE,IF(ISERROR(FIND(ROW($1:$168)-1,BW143&amp;BX143)),ROW($1:$168)-1,""))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43" s="22" t="str">
        <f t="shared" si="162"/>
        <v>复隔中</v>
      </c>
      <c r="CA143" s="24" t="str">
        <f t="shared" si="163"/>
        <v/>
      </c>
      <c r="CB143" s="24" t="str">
        <f t="shared" si="173"/>
        <v/>
      </c>
      <c r="CC143" s="24" t="str">
        <f t="array" ref="CC143">_xlfn.TEXTJOIN("",TRUE,IF(ISERROR(FIND(ROW($1:$168)-1,CA143&amp;CB143)),ROW($1:$168)-1,""))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43" s="22" t="str">
        <f t="shared" si="164"/>
        <v>中中中</v>
      </c>
      <c r="CE143" s="25" t="str">
        <f t="shared" si="165"/>
        <v>24</v>
      </c>
      <c r="CF143" s="26" t="str">
        <f t="array" ref="CF143">_xlfn.TEXTJOIN("",TRUE,IF(ISNUMBER(FIND(MID(CE142&amp;W142,ROW($1:$162),1),CE143&amp;W143)),MID(CE142&amp;W142,ROW($1:$162),1),""))</f>
        <v>32</v>
      </c>
      <c r="CG143" s="27" t="str">
        <f t="array" ref="CG143">_xlfn.TEXTJOIN("",TRUE,IF(ISERROR(FIND(ROW($1:$168)-1,CE143&amp;CF143)),ROW($1:$168)-1,""))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43" s="28" t="str">
        <f t="shared" si="166"/>
        <v>邻传孤</v>
      </c>
      <c r="CI143" s="29" t="str">
        <f t="shared" si="167"/>
        <v>57</v>
      </c>
      <c r="CJ143" s="29" t="str">
        <f t="array" ref="CJ143">_xlfn.TEXTJOIN("",TRUE,IF(ISNUMBER(FIND(MID(CI142&amp;X142,ROW($1:$162),1),CI143&amp;X143)),MID(CI142&amp;X142,ROW($1:$162),1),""))</f>
        <v>5</v>
      </c>
      <c r="CK143" s="29" t="str">
        <f t="array" ref="CK143">_xlfn.TEXTJOIN("",TRUE,IF(ISERROR(FIND(ROW($1:$168)-1,CI143&amp;CJ143)),ROW($1:$168)-1,""))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43" s="19" t="str">
        <f t="shared" si="168"/>
        <v>邻传孤</v>
      </c>
      <c r="CM143" s="24" t="str">
        <f t="shared" si="169"/>
        <v>24</v>
      </c>
      <c r="CN143" s="24" t="str">
        <f t="array" ref="CN143">_xlfn.TEXTJOIN("",TRUE,IF(ISNUMBER(FIND(MID(CM142&amp;Y142,ROW($1:$162),1),CM143&amp;Y143)),MID(CM142&amp;Y142,ROW($1:$162),1),""))</f>
        <v/>
      </c>
      <c r="CO143" s="24" t="str">
        <f t="array" ref="CO143">_xlfn.TEXTJOIN("",TRUE,IF(ISERROR(FIND(ROW($1:$168)-1,CM143&amp;CN143)),ROW($1:$168)-1,""))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43" s="30" t="str">
        <f t="shared" si="170"/>
        <v>邻孤孤</v>
      </c>
    </row>
    <row r="144" spans="1:94">
      <c r="A144" s="15">
        <v>144</v>
      </c>
      <c r="B144" s="80">
        <v>2024113</v>
      </c>
      <c r="C144" s="8" t="s">
        <v>163</v>
      </c>
      <c r="D144" s="81">
        <f t="shared" si="150"/>
        <v>8</v>
      </c>
      <c r="E144" s="82">
        <f t="shared" si="151"/>
        <v>8</v>
      </c>
      <c r="F144" s="83">
        <f t="shared" si="148"/>
        <v>4</v>
      </c>
      <c r="G144" s="84" t="str">
        <f t="shared" si="149"/>
        <v>紧凑</v>
      </c>
      <c r="H144" s="85" t="s">
        <v>10</v>
      </c>
      <c r="I144" s="85" t="s">
        <v>11</v>
      </c>
      <c r="J144" s="85" t="s">
        <v>12</v>
      </c>
      <c r="K144" s="85" t="s">
        <v>13</v>
      </c>
      <c r="L144" s="86">
        <f>MAX(MID(C144,{1,2,3},1)*1)-MIN(MID(C144,{1,2,3},1)*1)</f>
        <v>2</v>
      </c>
      <c r="M144" s="87">
        <v>0</v>
      </c>
      <c r="N144" s="87">
        <v>1</v>
      </c>
      <c r="O144" s="87">
        <v>2</v>
      </c>
      <c r="P144" s="87">
        <v>3</v>
      </c>
      <c r="Q144" s="87">
        <v>4</v>
      </c>
      <c r="R144" s="87">
        <v>5</v>
      </c>
      <c r="S144" s="87">
        <v>6</v>
      </c>
      <c r="T144" s="87">
        <v>7</v>
      </c>
      <c r="U144" s="87">
        <v>8</v>
      </c>
      <c r="V144" s="87">
        <v>9</v>
      </c>
      <c r="W144" s="88">
        <f t="shared" si="152"/>
        <v>2</v>
      </c>
      <c r="X144" s="88">
        <f t="shared" si="153"/>
        <v>0</v>
      </c>
      <c r="Y144" s="88">
        <f t="shared" si="154"/>
        <v>2</v>
      </c>
      <c r="Z144" s="89">
        <f t="shared" si="155"/>
        <v>4</v>
      </c>
      <c r="AA144" s="17" t="str">
        <f>_xlfn.TEXTJOIN(", ",TRUE,ABS(MID(C144,{1,1,2},1)-MID(C144,{2,3,3},1)))</f>
        <v>2, 0, 2</v>
      </c>
      <c r="AB144" s="90">
        <v>0</v>
      </c>
      <c r="AC144" s="90">
        <v>1</v>
      </c>
      <c r="AD144" s="90">
        <v>2</v>
      </c>
      <c r="AE144" s="90">
        <v>3</v>
      </c>
      <c r="AF144" s="90">
        <v>4</v>
      </c>
      <c r="AG144" s="90">
        <v>5</v>
      </c>
      <c r="AH144" s="90">
        <v>6</v>
      </c>
      <c r="AI144" s="90">
        <v>7</v>
      </c>
      <c r="AJ144" s="90">
        <v>8</v>
      </c>
      <c r="AK144" s="90">
        <v>9</v>
      </c>
      <c r="AL144" s="91">
        <v>0</v>
      </c>
      <c r="AM144" s="91">
        <v>1</v>
      </c>
      <c r="AN144" s="91">
        <v>2</v>
      </c>
      <c r="AO144" s="91">
        <v>3</v>
      </c>
      <c r="AP144" s="91">
        <v>4</v>
      </c>
      <c r="AQ144" s="91">
        <v>5</v>
      </c>
      <c r="AR144" s="91">
        <v>6</v>
      </c>
      <c r="AS144" s="91">
        <v>7</v>
      </c>
      <c r="AT144" s="91">
        <v>8</v>
      </c>
      <c r="AU144" s="91">
        <v>9</v>
      </c>
      <c r="AV144" s="92">
        <v>0</v>
      </c>
      <c r="AW144" s="92">
        <v>1</v>
      </c>
      <c r="AX144" s="92">
        <v>2</v>
      </c>
      <c r="AY144" s="92">
        <v>3</v>
      </c>
      <c r="AZ144" s="92">
        <v>4</v>
      </c>
      <c r="BA144" s="92">
        <v>5</v>
      </c>
      <c r="BB144" s="92">
        <v>6</v>
      </c>
      <c r="BC144" s="92">
        <v>7</v>
      </c>
      <c r="BD144" s="92">
        <v>8</v>
      </c>
      <c r="BE144" s="92">
        <v>9</v>
      </c>
      <c r="BF144" s="93">
        <v>0</v>
      </c>
      <c r="BG144" s="93">
        <v>1</v>
      </c>
      <c r="BH144" s="93">
        <v>2</v>
      </c>
      <c r="BI144" s="93">
        <v>3</v>
      </c>
      <c r="BJ144" s="93">
        <v>4</v>
      </c>
      <c r="BK144" s="93">
        <v>5</v>
      </c>
      <c r="BL144" s="93">
        <v>6</v>
      </c>
      <c r="BM144" s="93">
        <v>7</v>
      </c>
      <c r="BN144" s="93">
        <v>8</v>
      </c>
      <c r="BO144" s="93">
        <v>9</v>
      </c>
      <c r="BP144" s="94" t="str">
        <f t="shared" si="156"/>
        <v>紧凑型</v>
      </c>
      <c r="BQ144" s="15">
        <f t="shared" si="157"/>
        <v>0</v>
      </c>
      <c r="BR144" s="15">
        <f t="shared" si="158"/>
        <v>2</v>
      </c>
      <c r="BS144" s="20" t="str">
        <f t="shared" si="159"/>
        <v/>
      </c>
      <c r="BT144" s="21">
        <f t="shared" si="171"/>
        <v>2</v>
      </c>
      <c r="BU144" s="21" t="str">
        <f t="array" ref="BU144">_xlfn.TEXTJOIN("",TRUE,IF(ISERROR(FIND(ROW($1:$168)-1,BS144&amp;BT144)),ROW($1:$168)-1,""))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44" s="22" t="str">
        <f t="shared" si="160"/>
        <v>中隔中</v>
      </c>
      <c r="BW144" s="23" t="str">
        <f t="shared" si="161"/>
        <v/>
      </c>
      <c r="BX144" s="23" t="str">
        <f t="shared" si="172"/>
        <v/>
      </c>
      <c r="BY144" s="23" t="str">
        <f t="array" ref="BY144">_xlfn.TEXTJOIN("",TRUE,IF(ISERROR(FIND(ROW($1:$168)-1,BW144&amp;BX144)),ROW($1:$168)-1,""))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44" s="22" t="str">
        <f t="shared" si="162"/>
        <v>中中中</v>
      </c>
      <c r="CA144" s="24" t="str">
        <f t="shared" si="163"/>
        <v/>
      </c>
      <c r="CB144" s="24">
        <f t="shared" si="173"/>
        <v>2</v>
      </c>
      <c r="CC144" s="24" t="str">
        <f t="array" ref="CC144">_xlfn.TEXTJOIN("",TRUE,IF(ISERROR(FIND(ROW($1:$168)-1,CA144&amp;CB144)),ROW($1:$168)-1,""))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44" s="22" t="str">
        <f t="shared" si="164"/>
        <v>中隔中</v>
      </c>
      <c r="CE144" s="25" t="str">
        <f t="shared" si="165"/>
        <v>13</v>
      </c>
      <c r="CF144" s="26" t="str">
        <f t="array" ref="CF144">_xlfn.TEXTJOIN("",TRUE,IF(ISNUMBER(FIND(MID(CE143&amp;W143,ROW($1:$162),1),CE144&amp;W144)),MID(CE143&amp;W143,ROW($1:$162),1),""))</f>
        <v>23</v>
      </c>
      <c r="CG144" s="27" t="str">
        <f t="array" ref="CG144">_xlfn.TEXTJOIN("",TRUE,IF(ISERROR(FIND(ROW($1:$168)-1,CE144&amp;CF144)),ROW($1:$168)-1,""))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144" s="28" t="str">
        <f t="shared" si="166"/>
        <v>邻传孤</v>
      </c>
      <c r="CI144" s="29" t="str">
        <f t="shared" si="167"/>
        <v>91</v>
      </c>
      <c r="CJ144" s="29" t="str">
        <f t="array" ref="CJ144">_xlfn.TEXTJOIN("",TRUE,IF(ISNUMBER(FIND(MID(CI143&amp;X143,ROW($1:$162),1),CI144&amp;X144)),MID(CI143&amp;X143,ROW($1:$162),1),""))</f>
        <v/>
      </c>
      <c r="CK144" s="29" t="str">
        <f t="array" ref="CK144">_xlfn.TEXTJOIN("",TRUE,IF(ISERROR(FIND(ROW($1:$168)-1,CI144&amp;CJ144)),ROW($1:$168)-1,""))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144" s="19" t="str">
        <f t="shared" si="168"/>
        <v>邻孤孤</v>
      </c>
      <c r="CM144" s="24" t="str">
        <f t="shared" si="169"/>
        <v>13</v>
      </c>
      <c r="CN144" s="24" t="str">
        <f t="array" ref="CN144">_xlfn.TEXTJOIN("",TRUE,IF(ISNUMBER(FIND(MID(CM143&amp;Y143,ROW($1:$162),1),CM144&amp;Y144)),MID(CM143&amp;Y143,ROW($1:$162),1),""))</f>
        <v>23</v>
      </c>
      <c r="CO144" s="24" t="str">
        <f t="array" ref="CO144">_xlfn.TEXTJOIN("",TRUE,IF(ISERROR(FIND(ROW($1:$168)-1,CM144&amp;CN144)),ROW($1:$168)-1,""))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144" s="30" t="str">
        <f t="shared" si="170"/>
        <v>邻传孤</v>
      </c>
    </row>
    <row r="145" spans="1:94">
      <c r="A145" s="15">
        <v>145</v>
      </c>
      <c r="B145" s="80">
        <v>2024114</v>
      </c>
      <c r="C145" s="8" t="s">
        <v>164</v>
      </c>
      <c r="D145" s="81">
        <f t="shared" si="150"/>
        <v>12</v>
      </c>
      <c r="E145" s="82">
        <f t="shared" si="151"/>
        <v>2</v>
      </c>
      <c r="F145" s="83">
        <f t="shared" si="148"/>
        <v>1.71428571428571</v>
      </c>
      <c r="G145" s="84" t="str">
        <f t="shared" si="149"/>
        <v>松散</v>
      </c>
      <c r="H145" s="85" t="s">
        <v>10</v>
      </c>
      <c r="I145" s="85" t="s">
        <v>11</v>
      </c>
      <c r="J145" s="85" t="s">
        <v>12</v>
      </c>
      <c r="K145" s="85" t="s">
        <v>13</v>
      </c>
      <c r="L145" s="86">
        <f>MAX(MID(C145,{1,2,3},1)*1)-MIN(MID(C145,{1,2,3},1)*1)</f>
        <v>7</v>
      </c>
      <c r="M145" s="87">
        <v>0</v>
      </c>
      <c r="N145" s="87">
        <v>1</v>
      </c>
      <c r="O145" s="87">
        <v>2</v>
      </c>
      <c r="P145" s="87">
        <v>3</v>
      </c>
      <c r="Q145" s="87">
        <v>4</v>
      </c>
      <c r="R145" s="87">
        <v>5</v>
      </c>
      <c r="S145" s="87">
        <v>6</v>
      </c>
      <c r="T145" s="87">
        <v>7</v>
      </c>
      <c r="U145" s="87">
        <v>8</v>
      </c>
      <c r="V145" s="87">
        <v>9</v>
      </c>
      <c r="W145" s="88">
        <f t="shared" si="152"/>
        <v>7</v>
      </c>
      <c r="X145" s="88">
        <f t="shared" si="153"/>
        <v>5</v>
      </c>
      <c r="Y145" s="88">
        <f t="shared" si="154"/>
        <v>2</v>
      </c>
      <c r="Z145" s="89">
        <f t="shared" si="155"/>
        <v>14</v>
      </c>
      <c r="AA145" s="17" t="str">
        <f>_xlfn.TEXTJOIN(", ",TRUE,ABS(MID(C145,{1,1,2},1)-MID(C145,{2,3,3},1)))</f>
        <v>7, 5, 2</v>
      </c>
      <c r="AB145" s="90">
        <v>0</v>
      </c>
      <c r="AC145" s="90">
        <v>1</v>
      </c>
      <c r="AD145" s="90">
        <v>2</v>
      </c>
      <c r="AE145" s="90">
        <v>3</v>
      </c>
      <c r="AF145" s="90">
        <v>4</v>
      </c>
      <c r="AG145" s="90">
        <v>5</v>
      </c>
      <c r="AH145" s="90">
        <v>6</v>
      </c>
      <c r="AI145" s="90">
        <v>7</v>
      </c>
      <c r="AJ145" s="90">
        <v>8</v>
      </c>
      <c r="AK145" s="90">
        <v>9</v>
      </c>
      <c r="AL145" s="91">
        <v>0</v>
      </c>
      <c r="AM145" s="91">
        <v>1</v>
      </c>
      <c r="AN145" s="91">
        <v>2</v>
      </c>
      <c r="AO145" s="91">
        <v>3</v>
      </c>
      <c r="AP145" s="91">
        <v>4</v>
      </c>
      <c r="AQ145" s="91">
        <v>5</v>
      </c>
      <c r="AR145" s="91">
        <v>6</v>
      </c>
      <c r="AS145" s="91">
        <v>7</v>
      </c>
      <c r="AT145" s="91">
        <v>8</v>
      </c>
      <c r="AU145" s="91">
        <v>9</v>
      </c>
      <c r="AV145" s="92">
        <v>0</v>
      </c>
      <c r="AW145" s="92">
        <v>1</v>
      </c>
      <c r="AX145" s="92">
        <v>2</v>
      </c>
      <c r="AY145" s="92">
        <v>3</v>
      </c>
      <c r="AZ145" s="92">
        <v>4</v>
      </c>
      <c r="BA145" s="92">
        <v>5</v>
      </c>
      <c r="BB145" s="92">
        <v>6</v>
      </c>
      <c r="BC145" s="92">
        <v>7</v>
      </c>
      <c r="BD145" s="92">
        <v>8</v>
      </c>
      <c r="BE145" s="92">
        <v>9</v>
      </c>
      <c r="BF145" s="93">
        <v>0</v>
      </c>
      <c r="BG145" s="93">
        <v>1</v>
      </c>
      <c r="BH145" s="93">
        <v>2</v>
      </c>
      <c r="BI145" s="93">
        <v>3</v>
      </c>
      <c r="BJ145" s="93">
        <v>4</v>
      </c>
      <c r="BK145" s="93">
        <v>5</v>
      </c>
      <c r="BL145" s="93">
        <v>6</v>
      </c>
      <c r="BM145" s="93">
        <v>7</v>
      </c>
      <c r="BN145" s="93">
        <v>8</v>
      </c>
      <c r="BO145" s="93">
        <v>9</v>
      </c>
      <c r="BP145" s="94" t="str">
        <f t="shared" si="156"/>
        <v>松散型</v>
      </c>
      <c r="BQ145" s="15">
        <f t="shared" si="157"/>
        <v>2</v>
      </c>
      <c r="BR145" s="15">
        <f t="shared" si="158"/>
        <v>7</v>
      </c>
      <c r="BS145" s="20" t="str">
        <f t="shared" si="159"/>
        <v/>
      </c>
      <c r="BT145" s="21" t="str">
        <f t="shared" si="171"/>
        <v/>
      </c>
      <c r="BU145" s="21" t="str">
        <f t="array" ref="BU145">_xlfn.TEXTJOIN("",TRUE,IF(ISERROR(FIND(ROW($1:$168)-1,BS145&amp;BT145)),ROW($1:$168)-1,""))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45" s="22" t="str">
        <f t="shared" si="160"/>
        <v>中中中</v>
      </c>
      <c r="BW145" s="23" t="str">
        <f t="shared" si="161"/>
        <v/>
      </c>
      <c r="BX145" s="23" t="str">
        <f t="shared" si="172"/>
        <v/>
      </c>
      <c r="BY145" s="23" t="str">
        <f t="array" ref="BY145">_xlfn.TEXTJOIN("",TRUE,IF(ISERROR(FIND(ROW($1:$168)-1,BW145&amp;BX145)),ROW($1:$168)-1,""))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45" s="22" t="str">
        <f t="shared" si="162"/>
        <v>中中中</v>
      </c>
      <c r="CA145" s="24">
        <f t="shared" si="163"/>
        <v>2</v>
      </c>
      <c r="CB145" s="24" t="str">
        <f t="shared" si="173"/>
        <v/>
      </c>
      <c r="CC145" s="24" t="str">
        <f t="array" ref="CC145">_xlfn.TEXTJOIN("",TRUE,IF(ISERROR(FIND(ROW($1:$168)-1,CA145&amp;CB145)),ROW($1:$168)-1,""))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45" s="22" t="str">
        <f t="shared" si="164"/>
        <v>复中中</v>
      </c>
      <c r="CE145" s="25" t="str">
        <f t="shared" si="165"/>
        <v>68</v>
      </c>
      <c r="CF145" s="26" t="str">
        <f t="array" ref="CF145">_xlfn.TEXTJOIN("",TRUE,IF(ISNUMBER(FIND(MID(CE144&amp;W144,ROW($1:$162),1),CE145&amp;W145)),MID(CE144&amp;W144,ROW($1:$162),1),""))</f>
        <v/>
      </c>
      <c r="CG145" s="27" t="str">
        <f t="array" ref="CG145">_xlfn.TEXTJOIN("",TRUE,IF(ISERROR(FIND(ROW($1:$168)-1,CE145&amp;CF145)),ROW($1:$168)-1,""))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45" s="28" t="str">
        <f t="shared" si="166"/>
        <v>邻孤孤</v>
      </c>
      <c r="CI145" s="29" t="str">
        <f t="shared" si="167"/>
        <v>46</v>
      </c>
      <c r="CJ145" s="29" t="str">
        <f t="array" ref="CJ145">_xlfn.TEXTJOIN("",TRUE,IF(ISNUMBER(FIND(MID(CI144&amp;X144,ROW($1:$162),1),CI145&amp;X145)),MID(CI144&amp;X144,ROW($1:$162),1),""))</f>
        <v/>
      </c>
      <c r="CK145" s="29" t="str">
        <f t="array" ref="CK145">_xlfn.TEXTJOIN("",TRUE,IF(ISERROR(FIND(ROW($1:$168)-1,CI145&amp;CJ145)),ROW($1:$168)-1,""))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45" s="19" t="str">
        <f t="shared" si="168"/>
        <v>邻孤孤</v>
      </c>
      <c r="CM145" s="24" t="str">
        <f t="shared" si="169"/>
        <v>13</v>
      </c>
      <c r="CN145" s="24" t="str">
        <f t="array" ref="CN145">_xlfn.TEXTJOIN("",TRUE,IF(ISNUMBER(FIND(MID(CM144&amp;Y144,ROW($1:$162),1),CM145&amp;Y145)),MID(CM144&amp;Y144,ROW($1:$162),1),""))</f>
        <v>132</v>
      </c>
      <c r="CO145" s="24" t="str">
        <f t="array" ref="CO145">_xlfn.TEXTJOIN("",TRUE,IF(ISERROR(FIND(ROW($1:$168)-1,CM145&amp;CN145)),ROW($1:$168)-1,""))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145" s="30" t="str">
        <f t="shared" si="170"/>
        <v>邻传孤</v>
      </c>
    </row>
    <row r="146" spans="1:94">
      <c r="A146" s="15">
        <v>146</v>
      </c>
      <c r="B146" s="80">
        <v>2024115</v>
      </c>
      <c r="C146" s="8" t="s">
        <v>165</v>
      </c>
      <c r="D146" s="81">
        <f t="shared" si="150"/>
        <v>18</v>
      </c>
      <c r="E146" s="82">
        <f t="shared" si="151"/>
        <v>8</v>
      </c>
      <c r="F146" s="83">
        <f t="shared" si="148"/>
        <v>2</v>
      </c>
      <c r="G146" s="84" t="str">
        <f t="shared" si="149"/>
        <v>标准</v>
      </c>
      <c r="H146" s="85" t="s">
        <v>10</v>
      </c>
      <c r="I146" s="85" t="s">
        <v>11</v>
      </c>
      <c r="J146" s="85" t="s">
        <v>12</v>
      </c>
      <c r="K146" s="85" t="s">
        <v>13</v>
      </c>
      <c r="L146" s="86">
        <f>MAX(MID(C146,{1,2,3},1)*1)-MIN(MID(C146,{1,2,3},1)*1)</f>
        <v>9</v>
      </c>
      <c r="M146" s="87">
        <v>0</v>
      </c>
      <c r="N146" s="87">
        <v>1</v>
      </c>
      <c r="O146" s="87">
        <v>2</v>
      </c>
      <c r="P146" s="87">
        <v>3</v>
      </c>
      <c r="Q146" s="87">
        <v>4</v>
      </c>
      <c r="R146" s="87">
        <v>5</v>
      </c>
      <c r="S146" s="87">
        <v>6</v>
      </c>
      <c r="T146" s="87">
        <v>7</v>
      </c>
      <c r="U146" s="87">
        <v>8</v>
      </c>
      <c r="V146" s="87">
        <v>9</v>
      </c>
      <c r="W146" s="88">
        <f t="shared" si="152"/>
        <v>9</v>
      </c>
      <c r="X146" s="88">
        <f t="shared" si="153"/>
        <v>9</v>
      </c>
      <c r="Y146" s="88">
        <f t="shared" si="154"/>
        <v>0</v>
      </c>
      <c r="Z146" s="89">
        <f t="shared" si="155"/>
        <v>18</v>
      </c>
      <c r="AA146" s="17" t="str">
        <f>_xlfn.TEXTJOIN(", ",TRUE,ABS(MID(C146,{1,1,2},1)-MID(C146,{2,3,3},1)))</f>
        <v>9, 9, 0</v>
      </c>
      <c r="AB146" s="90">
        <v>0</v>
      </c>
      <c r="AC146" s="90">
        <v>1</v>
      </c>
      <c r="AD146" s="90">
        <v>2</v>
      </c>
      <c r="AE146" s="90">
        <v>3</v>
      </c>
      <c r="AF146" s="90">
        <v>4</v>
      </c>
      <c r="AG146" s="90">
        <v>5</v>
      </c>
      <c r="AH146" s="90">
        <v>6</v>
      </c>
      <c r="AI146" s="90">
        <v>7</v>
      </c>
      <c r="AJ146" s="90">
        <v>8</v>
      </c>
      <c r="AK146" s="90">
        <v>9</v>
      </c>
      <c r="AL146" s="91">
        <v>0</v>
      </c>
      <c r="AM146" s="91">
        <v>1</v>
      </c>
      <c r="AN146" s="91">
        <v>2</v>
      </c>
      <c r="AO146" s="91">
        <v>3</v>
      </c>
      <c r="AP146" s="91">
        <v>4</v>
      </c>
      <c r="AQ146" s="91">
        <v>5</v>
      </c>
      <c r="AR146" s="91">
        <v>6</v>
      </c>
      <c r="AS146" s="91">
        <v>7</v>
      </c>
      <c r="AT146" s="91">
        <v>8</v>
      </c>
      <c r="AU146" s="91">
        <v>9</v>
      </c>
      <c r="AV146" s="92">
        <v>0</v>
      </c>
      <c r="AW146" s="92">
        <v>1</v>
      </c>
      <c r="AX146" s="92">
        <v>2</v>
      </c>
      <c r="AY146" s="92">
        <v>3</v>
      </c>
      <c r="AZ146" s="92">
        <v>4</v>
      </c>
      <c r="BA146" s="92">
        <v>5</v>
      </c>
      <c r="BB146" s="92">
        <v>6</v>
      </c>
      <c r="BC146" s="92">
        <v>7</v>
      </c>
      <c r="BD146" s="92">
        <v>8</v>
      </c>
      <c r="BE146" s="92">
        <v>9</v>
      </c>
      <c r="BF146" s="93">
        <v>0</v>
      </c>
      <c r="BG146" s="93">
        <v>1</v>
      </c>
      <c r="BH146" s="93">
        <v>2</v>
      </c>
      <c r="BI146" s="93">
        <v>3</v>
      </c>
      <c r="BJ146" s="93">
        <v>4</v>
      </c>
      <c r="BK146" s="93">
        <v>5</v>
      </c>
      <c r="BL146" s="93">
        <v>6</v>
      </c>
      <c r="BM146" s="93">
        <v>7</v>
      </c>
      <c r="BN146" s="93">
        <v>8</v>
      </c>
      <c r="BO146" s="93">
        <v>9</v>
      </c>
      <c r="BP146" s="94" t="str">
        <f t="shared" si="156"/>
        <v>松散型</v>
      </c>
      <c r="BQ146" s="15">
        <f t="shared" si="157"/>
        <v>0</v>
      </c>
      <c r="BR146" s="15">
        <f t="shared" si="158"/>
        <v>9</v>
      </c>
      <c r="BS146" s="20" t="str">
        <f t="shared" si="159"/>
        <v/>
      </c>
      <c r="BT146" s="21" t="str">
        <f t="shared" si="171"/>
        <v/>
      </c>
      <c r="BU146" s="21" t="str">
        <f t="array" ref="BU146">_xlfn.TEXTJOIN("",TRUE,IF(ISERROR(FIND(ROW($1:$168)-1,BS146&amp;BT146)),ROW($1:$168)-1,""))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46" s="22" t="str">
        <f t="shared" si="160"/>
        <v>中中中</v>
      </c>
      <c r="BW146" s="23" t="str">
        <f t="shared" si="161"/>
        <v/>
      </c>
      <c r="BX146" s="23" t="str">
        <f t="shared" si="172"/>
        <v/>
      </c>
      <c r="BY146" s="23" t="str">
        <f t="array" ref="BY146">_xlfn.TEXTJOIN("",TRUE,IF(ISERROR(FIND(ROW($1:$168)-1,BW146&amp;BX146)),ROW($1:$168)-1,""))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46" s="22" t="str">
        <f t="shared" si="162"/>
        <v>中中中</v>
      </c>
      <c r="CA146" s="24" t="str">
        <f t="shared" si="163"/>
        <v/>
      </c>
      <c r="CB146" s="24">
        <f t="shared" si="173"/>
        <v>0</v>
      </c>
      <c r="CC146" s="24" t="str">
        <f t="array" ref="CC146">_xlfn.TEXTJOIN("",TRUE,IF(ISERROR(FIND(ROW($1:$168)-1,CA146&amp;CB146)),ROW($1:$168)-1,""))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46" s="22" t="str">
        <f t="shared" si="164"/>
        <v>中隔中</v>
      </c>
      <c r="CE146" s="25" t="str">
        <f t="shared" si="165"/>
        <v>80</v>
      </c>
      <c r="CF146" s="26" t="str">
        <f t="array" ref="CF146">_xlfn.TEXTJOIN("",TRUE,IF(ISNUMBER(FIND(MID(CE145&amp;W145,ROW($1:$162),1),CE146&amp;W146)),MID(CE145&amp;W145,ROW($1:$162),1),""))</f>
        <v>8</v>
      </c>
      <c r="CG146" s="27" t="str">
        <f t="array" ref="CG146">_xlfn.TEXTJOIN("",TRUE,IF(ISERROR(FIND(ROW($1:$168)-1,CE146&amp;CF146)),ROW($1:$168)-1,""))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H146" s="28" t="str">
        <f t="shared" si="166"/>
        <v>邻传孤</v>
      </c>
      <c r="CI146" s="29" t="str">
        <f t="shared" si="167"/>
        <v>80</v>
      </c>
      <c r="CJ146" s="29" t="str">
        <f t="array" ref="CJ146">_xlfn.TEXTJOIN("",TRUE,IF(ISNUMBER(FIND(MID(CI145&amp;X145,ROW($1:$162),1),CI146&amp;X146)),MID(CI145&amp;X145,ROW($1:$162),1),""))</f>
        <v/>
      </c>
      <c r="CK146" s="29" t="str">
        <f t="array" ref="CK146">_xlfn.TEXTJOIN("",TRUE,IF(ISERROR(FIND(ROW($1:$168)-1,CI146&amp;CJ146)),ROW($1:$168)-1,""))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146" s="19" t="str">
        <f t="shared" si="168"/>
        <v>邻孤孤</v>
      </c>
      <c r="CM146" s="24" t="str">
        <f t="shared" si="169"/>
        <v>91</v>
      </c>
      <c r="CN146" s="24" t="str">
        <f t="array" ref="CN146">_xlfn.TEXTJOIN("",TRUE,IF(ISNUMBER(FIND(MID(CM145&amp;Y145,ROW($1:$162),1),CM146&amp;Y146)),MID(CM145&amp;Y145,ROW($1:$162),1),""))</f>
        <v>1</v>
      </c>
      <c r="CO146" s="24" t="str">
        <f t="array" ref="CO146">_xlfn.TEXTJOIN("",TRUE,IF(ISERROR(FIND(ROW($1:$168)-1,CM146&amp;CN146)),ROW($1:$168)-1,""))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146" s="30" t="str">
        <f t="shared" si="170"/>
        <v>邻传孤</v>
      </c>
    </row>
    <row r="147" spans="1:94">
      <c r="A147" s="15">
        <v>147</v>
      </c>
      <c r="B147" s="80">
        <v>2024116</v>
      </c>
      <c r="C147" s="8" t="s">
        <v>166</v>
      </c>
      <c r="D147" s="81">
        <f t="shared" si="150"/>
        <v>14</v>
      </c>
      <c r="E147" s="82">
        <f t="shared" si="151"/>
        <v>4</v>
      </c>
      <c r="F147" s="83">
        <f t="shared" si="148"/>
        <v>2</v>
      </c>
      <c r="G147" s="84" t="str">
        <f t="shared" si="149"/>
        <v>标准</v>
      </c>
      <c r="H147" s="85" t="s">
        <v>10</v>
      </c>
      <c r="I147" s="85" t="s">
        <v>11</v>
      </c>
      <c r="J147" s="85" t="s">
        <v>12</v>
      </c>
      <c r="K147" s="85" t="s">
        <v>13</v>
      </c>
      <c r="L147" s="86">
        <f>MAX(MID(C147,{1,2,3},1)*1)-MIN(MID(C147,{1,2,3},1)*1)</f>
        <v>7</v>
      </c>
      <c r="M147" s="87">
        <v>0</v>
      </c>
      <c r="N147" s="87">
        <v>1</v>
      </c>
      <c r="O147" s="87">
        <v>2</v>
      </c>
      <c r="P147" s="87">
        <v>3</v>
      </c>
      <c r="Q147" s="87">
        <v>4</v>
      </c>
      <c r="R147" s="87">
        <v>5</v>
      </c>
      <c r="S147" s="87">
        <v>6</v>
      </c>
      <c r="T147" s="87">
        <v>7</v>
      </c>
      <c r="U147" s="87">
        <v>8</v>
      </c>
      <c r="V147" s="87">
        <v>9</v>
      </c>
      <c r="W147" s="88">
        <f t="shared" si="152"/>
        <v>3</v>
      </c>
      <c r="X147" s="88">
        <f t="shared" si="153"/>
        <v>7</v>
      </c>
      <c r="Y147" s="88">
        <f t="shared" si="154"/>
        <v>4</v>
      </c>
      <c r="Z147" s="89">
        <f t="shared" si="155"/>
        <v>14</v>
      </c>
      <c r="AA147" s="17" t="str">
        <f>_xlfn.TEXTJOIN(", ",TRUE,ABS(MID(C147,{1,1,2},1)-MID(C147,{2,3,3},1)))</f>
        <v>3, 7, 4</v>
      </c>
      <c r="AB147" s="90">
        <v>0</v>
      </c>
      <c r="AC147" s="90">
        <v>1</v>
      </c>
      <c r="AD147" s="90">
        <v>2</v>
      </c>
      <c r="AE147" s="90">
        <v>3</v>
      </c>
      <c r="AF147" s="90">
        <v>4</v>
      </c>
      <c r="AG147" s="90">
        <v>5</v>
      </c>
      <c r="AH147" s="90">
        <v>6</v>
      </c>
      <c r="AI147" s="90">
        <v>7</v>
      </c>
      <c r="AJ147" s="90">
        <v>8</v>
      </c>
      <c r="AK147" s="90">
        <v>9</v>
      </c>
      <c r="AL147" s="91">
        <v>0</v>
      </c>
      <c r="AM147" s="91">
        <v>1</v>
      </c>
      <c r="AN147" s="91">
        <v>2</v>
      </c>
      <c r="AO147" s="91">
        <v>3</v>
      </c>
      <c r="AP147" s="91">
        <v>4</v>
      </c>
      <c r="AQ147" s="91">
        <v>5</v>
      </c>
      <c r="AR147" s="91">
        <v>6</v>
      </c>
      <c r="AS147" s="91">
        <v>7</v>
      </c>
      <c r="AT147" s="91">
        <v>8</v>
      </c>
      <c r="AU147" s="91">
        <v>9</v>
      </c>
      <c r="AV147" s="92">
        <v>0</v>
      </c>
      <c r="AW147" s="92">
        <v>1</v>
      </c>
      <c r="AX147" s="92">
        <v>2</v>
      </c>
      <c r="AY147" s="92">
        <v>3</v>
      </c>
      <c r="AZ147" s="92">
        <v>4</v>
      </c>
      <c r="BA147" s="92">
        <v>5</v>
      </c>
      <c r="BB147" s="92">
        <v>6</v>
      </c>
      <c r="BC147" s="92">
        <v>7</v>
      </c>
      <c r="BD147" s="92">
        <v>8</v>
      </c>
      <c r="BE147" s="92">
        <v>9</v>
      </c>
      <c r="BF147" s="93">
        <v>0</v>
      </c>
      <c r="BG147" s="93">
        <v>1</v>
      </c>
      <c r="BH147" s="93">
        <v>2</v>
      </c>
      <c r="BI147" s="93">
        <v>3</v>
      </c>
      <c r="BJ147" s="93">
        <v>4</v>
      </c>
      <c r="BK147" s="93">
        <v>5</v>
      </c>
      <c r="BL147" s="93">
        <v>6</v>
      </c>
      <c r="BM147" s="93">
        <v>7</v>
      </c>
      <c r="BN147" s="93">
        <v>8</v>
      </c>
      <c r="BO147" s="93">
        <v>9</v>
      </c>
      <c r="BP147" s="94" t="str">
        <f t="shared" si="156"/>
        <v>松散型</v>
      </c>
      <c r="BQ147" s="15">
        <f t="shared" si="157"/>
        <v>3</v>
      </c>
      <c r="BR147" s="15">
        <f t="shared" si="158"/>
        <v>7</v>
      </c>
      <c r="BS147" s="20" t="str">
        <f t="shared" si="159"/>
        <v/>
      </c>
      <c r="BT147" s="21" t="str">
        <f t="shared" si="171"/>
        <v/>
      </c>
      <c r="BU147" s="21" t="str">
        <f t="array" ref="BU147">_xlfn.TEXTJOIN("",TRUE,IF(ISERROR(FIND(ROW($1:$168)-1,BS147&amp;BT147)),ROW($1:$168)-1,""))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47" s="22" t="str">
        <f t="shared" si="160"/>
        <v>中中中</v>
      </c>
      <c r="BW147" s="23" t="str">
        <f t="shared" si="161"/>
        <v/>
      </c>
      <c r="BX147" s="23">
        <f t="shared" si="172"/>
        <v>7</v>
      </c>
      <c r="BY147" s="23" t="str">
        <f t="array" ref="BY147">_xlfn.TEXTJOIN("",TRUE,IF(ISERROR(FIND(ROW($1:$168)-1,BW147&amp;BX147)),ROW($1:$168)-1,""))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47" s="22" t="str">
        <f t="shared" si="162"/>
        <v>中隔中</v>
      </c>
      <c r="CA147" s="24" t="str">
        <f t="shared" si="163"/>
        <v/>
      </c>
      <c r="CB147" s="24" t="str">
        <f t="shared" si="173"/>
        <v/>
      </c>
      <c r="CC147" s="24" t="str">
        <f t="array" ref="CC147">_xlfn.TEXTJOIN("",TRUE,IF(ISERROR(FIND(ROW($1:$168)-1,CA147&amp;CB147)),ROW($1:$168)-1,""))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47" s="22" t="str">
        <f t="shared" si="164"/>
        <v>中中中</v>
      </c>
      <c r="CE147" s="25" t="str">
        <f t="shared" si="165"/>
        <v>24</v>
      </c>
      <c r="CF147" s="26" t="str">
        <f t="array" ref="CF147">_xlfn.TEXTJOIN("",TRUE,IF(ISNUMBER(FIND(MID(CE146&amp;W146,ROW($1:$162),1),CE147&amp;W147)),MID(CE146&amp;W146,ROW($1:$162),1),""))</f>
        <v/>
      </c>
      <c r="CG147" s="27" t="str">
        <f t="array" ref="CG147">_xlfn.TEXTJOIN("",TRUE,IF(ISERROR(FIND(ROW($1:$168)-1,CE147&amp;CF147)),ROW($1:$168)-1,""))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47" s="28" t="str">
        <f t="shared" si="166"/>
        <v>邻孤孤</v>
      </c>
      <c r="CI147" s="29" t="str">
        <f t="shared" si="167"/>
        <v>68</v>
      </c>
      <c r="CJ147" s="29" t="str">
        <f t="array" ref="CJ147">_xlfn.TEXTJOIN("",TRUE,IF(ISNUMBER(FIND(MID(CI146&amp;X146,ROW($1:$162),1),CI147&amp;X147)),MID(CI146&amp;X146,ROW($1:$162),1),""))</f>
        <v>8</v>
      </c>
      <c r="CK147" s="29" t="str">
        <f t="array" ref="CK147">_xlfn.TEXTJOIN("",TRUE,IF(ISERROR(FIND(ROW($1:$168)-1,CI147&amp;CJ147)),ROW($1:$168)-1,""))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167</v>
      </c>
      <c r="CL147" s="19" t="str">
        <f t="shared" si="168"/>
        <v>邻传孤</v>
      </c>
      <c r="CM147" s="24" t="str">
        <f t="shared" si="169"/>
        <v>35</v>
      </c>
      <c r="CN147" s="24" t="str">
        <f t="array" ref="CN147">_xlfn.TEXTJOIN("",TRUE,IF(ISNUMBER(FIND(MID(CM146&amp;Y146,ROW($1:$162),1),CM147&amp;Y147)),MID(CM146&amp;Y146,ROW($1:$162),1),""))</f>
        <v/>
      </c>
      <c r="CO147" s="24" t="str">
        <f t="array" ref="CO147">_xlfn.TEXTJOIN("",TRUE,IF(ISERROR(FIND(ROW($1:$168)-1,CM147&amp;CN147)),ROW($1:$168)-1,""))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47" s="30" t="str">
        <f t="shared" si="170"/>
        <v>邻孤孤</v>
      </c>
    </row>
    <row r="148" spans="1:94">
      <c r="A148" s="15">
        <v>148</v>
      </c>
      <c r="B148" s="80">
        <v>2024117</v>
      </c>
      <c r="C148" s="8" t="s">
        <v>167</v>
      </c>
      <c r="D148" s="81">
        <f t="shared" si="150"/>
        <v>26</v>
      </c>
      <c r="E148" s="82">
        <f t="shared" si="151"/>
        <v>6</v>
      </c>
      <c r="F148" s="83">
        <f t="shared" si="148"/>
        <v>26</v>
      </c>
      <c r="G148" s="84" t="str">
        <f t="shared" si="149"/>
        <v>紧凑</v>
      </c>
      <c r="H148" s="85" t="s">
        <v>10</v>
      </c>
      <c r="I148" s="85" t="s">
        <v>11</v>
      </c>
      <c r="J148" s="85" t="s">
        <v>12</v>
      </c>
      <c r="K148" s="85" t="s">
        <v>13</v>
      </c>
      <c r="L148" s="86">
        <f>MAX(MID(C148,{1,2,3},1)*1)-MIN(MID(C148,{1,2,3},1)*1)</f>
        <v>1</v>
      </c>
      <c r="M148" s="87">
        <v>0</v>
      </c>
      <c r="N148" s="87">
        <v>1</v>
      </c>
      <c r="O148" s="87">
        <v>2</v>
      </c>
      <c r="P148" s="87">
        <v>3</v>
      </c>
      <c r="Q148" s="87">
        <v>4</v>
      </c>
      <c r="R148" s="87">
        <v>5</v>
      </c>
      <c r="S148" s="87">
        <v>6</v>
      </c>
      <c r="T148" s="87">
        <v>7</v>
      </c>
      <c r="U148" s="87">
        <v>8</v>
      </c>
      <c r="V148" s="87">
        <v>9</v>
      </c>
      <c r="W148" s="88">
        <f t="shared" si="152"/>
        <v>1</v>
      </c>
      <c r="X148" s="88">
        <f t="shared" si="153"/>
        <v>0</v>
      </c>
      <c r="Y148" s="88">
        <f t="shared" si="154"/>
        <v>1</v>
      </c>
      <c r="Z148" s="89">
        <f t="shared" si="155"/>
        <v>2</v>
      </c>
      <c r="AA148" s="17" t="str">
        <f>_xlfn.TEXTJOIN(", ",TRUE,ABS(MID(C148,{1,1,2},1)-MID(C148,{2,3,3},1)))</f>
        <v>1, 0, 1</v>
      </c>
      <c r="AB148" s="90">
        <v>0</v>
      </c>
      <c r="AC148" s="90">
        <v>1</v>
      </c>
      <c r="AD148" s="90">
        <v>2</v>
      </c>
      <c r="AE148" s="90">
        <v>3</v>
      </c>
      <c r="AF148" s="90">
        <v>4</v>
      </c>
      <c r="AG148" s="90">
        <v>5</v>
      </c>
      <c r="AH148" s="90">
        <v>6</v>
      </c>
      <c r="AI148" s="90">
        <v>7</v>
      </c>
      <c r="AJ148" s="90">
        <v>8</v>
      </c>
      <c r="AK148" s="90">
        <v>9</v>
      </c>
      <c r="AL148" s="91">
        <v>0</v>
      </c>
      <c r="AM148" s="91">
        <v>1</v>
      </c>
      <c r="AN148" s="91">
        <v>2</v>
      </c>
      <c r="AO148" s="91">
        <v>3</v>
      </c>
      <c r="AP148" s="91">
        <v>4</v>
      </c>
      <c r="AQ148" s="91">
        <v>5</v>
      </c>
      <c r="AR148" s="91">
        <v>6</v>
      </c>
      <c r="AS148" s="91">
        <v>7</v>
      </c>
      <c r="AT148" s="91">
        <v>8</v>
      </c>
      <c r="AU148" s="91">
        <v>9</v>
      </c>
      <c r="AV148" s="92">
        <v>0</v>
      </c>
      <c r="AW148" s="92">
        <v>1</v>
      </c>
      <c r="AX148" s="92">
        <v>2</v>
      </c>
      <c r="AY148" s="92">
        <v>3</v>
      </c>
      <c r="AZ148" s="92">
        <v>4</v>
      </c>
      <c r="BA148" s="92">
        <v>5</v>
      </c>
      <c r="BB148" s="92">
        <v>6</v>
      </c>
      <c r="BC148" s="92">
        <v>7</v>
      </c>
      <c r="BD148" s="92">
        <v>8</v>
      </c>
      <c r="BE148" s="92">
        <v>9</v>
      </c>
      <c r="BF148" s="93">
        <v>0</v>
      </c>
      <c r="BG148" s="93">
        <v>1</v>
      </c>
      <c r="BH148" s="93">
        <v>2</v>
      </c>
      <c r="BI148" s="93">
        <v>3</v>
      </c>
      <c r="BJ148" s="93">
        <v>4</v>
      </c>
      <c r="BK148" s="93">
        <v>5</v>
      </c>
      <c r="BL148" s="93">
        <v>6</v>
      </c>
      <c r="BM148" s="93">
        <v>7</v>
      </c>
      <c r="BN148" s="93">
        <v>8</v>
      </c>
      <c r="BO148" s="93">
        <v>9</v>
      </c>
      <c r="BP148" s="94" t="str">
        <f t="shared" si="156"/>
        <v>紧凑型</v>
      </c>
      <c r="BQ148" s="15">
        <f t="shared" si="157"/>
        <v>0</v>
      </c>
      <c r="BR148" s="15">
        <f t="shared" si="158"/>
        <v>1</v>
      </c>
      <c r="BS148" s="20" t="str">
        <f t="shared" si="159"/>
        <v/>
      </c>
      <c r="BT148" s="21" t="str">
        <f t="shared" si="171"/>
        <v/>
      </c>
      <c r="BU148" s="21" t="str">
        <f t="array" ref="BU148">_xlfn.TEXTJOIN("",TRUE,IF(ISERROR(FIND(ROW($1:$168)-1,BS148&amp;BT148)),ROW($1:$168)-1,""))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48" s="22" t="str">
        <f t="shared" si="160"/>
        <v>中中中</v>
      </c>
      <c r="BW148" s="23" t="str">
        <f t="shared" si="161"/>
        <v/>
      </c>
      <c r="BX148" s="23">
        <f t="shared" si="172"/>
        <v>0</v>
      </c>
      <c r="BY148" s="23" t="str">
        <f t="array" ref="BY148">_xlfn.TEXTJOIN("",TRUE,IF(ISERROR(FIND(ROW($1:$168)-1,BW148&amp;BX148)),ROW($1:$168)-1,""))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48" s="22" t="str">
        <f t="shared" si="162"/>
        <v>中隔中</v>
      </c>
      <c r="CA148" s="24" t="str">
        <f t="shared" si="163"/>
        <v/>
      </c>
      <c r="CB148" s="24" t="str">
        <f t="shared" si="173"/>
        <v/>
      </c>
      <c r="CC148" s="24" t="str">
        <f t="array" ref="CC148">_xlfn.TEXTJOIN("",TRUE,IF(ISERROR(FIND(ROW($1:$168)-1,CA148&amp;CB148)),ROW($1:$168)-1,""))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48" s="22" t="str">
        <f t="shared" si="164"/>
        <v>中中中</v>
      </c>
      <c r="CE148" s="25" t="str">
        <f t="shared" si="165"/>
        <v>02</v>
      </c>
      <c r="CF148" s="26" t="str">
        <f t="array" ref="CF148">_xlfn.TEXTJOIN("",TRUE,IF(ISNUMBER(FIND(MID(CE147&amp;W147,ROW($1:$162),1),CE148&amp;W148)),MID(CE147&amp;W147,ROW($1:$162),1),""))</f>
        <v>2</v>
      </c>
      <c r="CG148" s="27" t="str">
        <f t="array" ref="CG148">_xlfn.TEXTJOIN("",TRUE,IF(ISERROR(FIND(ROW($1:$168)-1,CE148&amp;CF148)),ROW($1:$168)-1,""))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48" s="28" t="str">
        <f t="shared" si="166"/>
        <v>邻传孤</v>
      </c>
      <c r="CI148" s="29" t="str">
        <f t="shared" si="167"/>
        <v>91</v>
      </c>
      <c r="CJ148" s="29" t="str">
        <f t="array" ref="CJ148">_xlfn.TEXTJOIN("",TRUE,IF(ISNUMBER(FIND(MID(CI147&amp;X147,ROW($1:$162),1),CI148&amp;X148)),MID(CI147&amp;X147,ROW($1:$162),1),""))</f>
        <v/>
      </c>
      <c r="CK148" s="29" t="str">
        <f t="array" ref="CK148">_xlfn.TEXTJOIN("",TRUE,IF(ISERROR(FIND(ROW($1:$168)-1,CI148&amp;CJ148)),ROW($1:$168)-1,""))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148" s="19" t="str">
        <f t="shared" si="168"/>
        <v>邻孤孤</v>
      </c>
      <c r="CM148" s="24" t="str">
        <f t="shared" si="169"/>
        <v>02</v>
      </c>
      <c r="CN148" s="24" t="str">
        <f t="array" ref="CN148">_xlfn.TEXTJOIN("",TRUE,IF(ISNUMBER(FIND(MID(CM147&amp;Y147,ROW($1:$162),1),CM148&amp;Y148)),MID(CM147&amp;Y147,ROW($1:$162),1),""))</f>
        <v/>
      </c>
      <c r="CO148" s="24" t="str">
        <f t="array" ref="CO148">_xlfn.TEXTJOIN("",TRUE,IF(ISERROR(FIND(ROW($1:$168)-1,CM148&amp;CN148)),ROW($1:$168)-1,""))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48" s="30" t="str">
        <f t="shared" si="170"/>
        <v>邻孤孤</v>
      </c>
    </row>
    <row r="149" spans="1:94">
      <c r="A149" s="15">
        <v>149</v>
      </c>
      <c r="B149" s="80">
        <v>2024118</v>
      </c>
      <c r="C149" s="8" t="s">
        <v>168</v>
      </c>
      <c r="D149" s="81">
        <f t="shared" si="150"/>
        <v>10</v>
      </c>
      <c r="E149" s="82">
        <f t="shared" si="151"/>
        <v>0</v>
      </c>
      <c r="F149" s="83">
        <f t="shared" si="148"/>
        <v>10</v>
      </c>
      <c r="G149" s="84" t="str">
        <f t="shared" si="149"/>
        <v>紧凑</v>
      </c>
      <c r="H149" s="85" t="s">
        <v>10</v>
      </c>
      <c r="I149" s="85" t="s">
        <v>11</v>
      </c>
      <c r="J149" s="85" t="s">
        <v>12</v>
      </c>
      <c r="K149" s="85" t="s">
        <v>13</v>
      </c>
      <c r="L149" s="86">
        <f>MAX(MID(C149,{1,2,3},1)*1)-MIN(MID(C149,{1,2,3},1)*1)</f>
        <v>1</v>
      </c>
      <c r="M149" s="87">
        <v>0</v>
      </c>
      <c r="N149" s="87">
        <v>1</v>
      </c>
      <c r="O149" s="87">
        <v>2</v>
      </c>
      <c r="P149" s="87">
        <v>3</v>
      </c>
      <c r="Q149" s="87">
        <v>4</v>
      </c>
      <c r="R149" s="87">
        <v>5</v>
      </c>
      <c r="S149" s="87">
        <v>6</v>
      </c>
      <c r="T149" s="87">
        <v>7</v>
      </c>
      <c r="U149" s="87">
        <v>8</v>
      </c>
      <c r="V149" s="87">
        <v>9</v>
      </c>
      <c r="W149" s="88">
        <f t="shared" si="152"/>
        <v>1</v>
      </c>
      <c r="X149" s="88">
        <f t="shared" si="153"/>
        <v>0</v>
      </c>
      <c r="Y149" s="88">
        <f t="shared" si="154"/>
        <v>1</v>
      </c>
      <c r="Z149" s="89">
        <f t="shared" si="155"/>
        <v>2</v>
      </c>
      <c r="AA149" s="17" t="str">
        <f>_xlfn.TEXTJOIN(", ",TRUE,ABS(MID(C149,{1,1,2},1)-MID(C149,{2,3,3},1)))</f>
        <v>1, 0, 1</v>
      </c>
      <c r="AB149" s="90">
        <v>0</v>
      </c>
      <c r="AC149" s="90">
        <v>1</v>
      </c>
      <c r="AD149" s="90">
        <v>2</v>
      </c>
      <c r="AE149" s="90">
        <v>3</v>
      </c>
      <c r="AF149" s="90">
        <v>4</v>
      </c>
      <c r="AG149" s="90">
        <v>5</v>
      </c>
      <c r="AH149" s="90">
        <v>6</v>
      </c>
      <c r="AI149" s="90">
        <v>7</v>
      </c>
      <c r="AJ149" s="90">
        <v>8</v>
      </c>
      <c r="AK149" s="90">
        <v>9</v>
      </c>
      <c r="AL149" s="91">
        <v>0</v>
      </c>
      <c r="AM149" s="91">
        <v>1</v>
      </c>
      <c r="AN149" s="91">
        <v>2</v>
      </c>
      <c r="AO149" s="91">
        <v>3</v>
      </c>
      <c r="AP149" s="91">
        <v>4</v>
      </c>
      <c r="AQ149" s="91">
        <v>5</v>
      </c>
      <c r="AR149" s="91">
        <v>6</v>
      </c>
      <c r="AS149" s="91">
        <v>7</v>
      </c>
      <c r="AT149" s="91">
        <v>8</v>
      </c>
      <c r="AU149" s="91">
        <v>9</v>
      </c>
      <c r="AV149" s="92">
        <v>0</v>
      </c>
      <c r="AW149" s="92">
        <v>1</v>
      </c>
      <c r="AX149" s="92">
        <v>2</v>
      </c>
      <c r="AY149" s="92">
        <v>3</v>
      </c>
      <c r="AZ149" s="92">
        <v>4</v>
      </c>
      <c r="BA149" s="92">
        <v>5</v>
      </c>
      <c r="BB149" s="92">
        <v>6</v>
      </c>
      <c r="BC149" s="92">
        <v>7</v>
      </c>
      <c r="BD149" s="92">
        <v>8</v>
      </c>
      <c r="BE149" s="92">
        <v>9</v>
      </c>
      <c r="BF149" s="93">
        <v>0</v>
      </c>
      <c r="BG149" s="93">
        <v>1</v>
      </c>
      <c r="BH149" s="93">
        <v>2</v>
      </c>
      <c r="BI149" s="93">
        <v>3</v>
      </c>
      <c r="BJ149" s="93">
        <v>4</v>
      </c>
      <c r="BK149" s="93">
        <v>5</v>
      </c>
      <c r="BL149" s="93">
        <v>6</v>
      </c>
      <c r="BM149" s="93">
        <v>7</v>
      </c>
      <c r="BN149" s="93">
        <v>8</v>
      </c>
      <c r="BO149" s="93">
        <v>9</v>
      </c>
      <c r="BP149" s="94" t="str">
        <f t="shared" si="156"/>
        <v>紧凑型</v>
      </c>
      <c r="BQ149" s="15">
        <f t="shared" si="157"/>
        <v>0</v>
      </c>
      <c r="BR149" s="15">
        <f t="shared" si="158"/>
        <v>1</v>
      </c>
      <c r="BS149" s="20">
        <f t="shared" si="159"/>
        <v>1</v>
      </c>
      <c r="BT149" s="21" t="str">
        <f t="shared" si="171"/>
        <v/>
      </c>
      <c r="BU149" s="21" t="str">
        <f t="array" ref="BU149">_xlfn.TEXTJOIN("",TRUE,IF(ISERROR(FIND(ROW($1:$168)-1,BS149&amp;BT149)),ROW($1:$168)-1,""))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49" s="22" t="str">
        <f t="shared" si="160"/>
        <v>复中中</v>
      </c>
      <c r="BW149" s="23">
        <f t="shared" si="161"/>
        <v>0</v>
      </c>
      <c r="BX149" s="23" t="str">
        <f t="shared" si="172"/>
        <v/>
      </c>
      <c r="BY149" s="23" t="str">
        <f t="array" ref="BY149">_xlfn.TEXTJOIN("",TRUE,IF(ISERROR(FIND(ROW($1:$168)-1,BW149&amp;BX149)),ROW($1:$168)-1,""))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49" s="22" t="str">
        <f t="shared" si="162"/>
        <v>复中中</v>
      </c>
      <c r="CA149" s="24">
        <f t="shared" si="163"/>
        <v>1</v>
      </c>
      <c r="CB149" s="24" t="str">
        <f t="shared" si="173"/>
        <v/>
      </c>
      <c r="CC149" s="24" t="str">
        <f t="array" ref="CC149">_xlfn.TEXTJOIN("",TRUE,IF(ISERROR(FIND(ROW($1:$168)-1,CA149&amp;CB149)),ROW($1:$168)-1,""))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49" s="22" t="str">
        <f t="shared" si="164"/>
        <v>复中中</v>
      </c>
      <c r="CE149" s="25" t="str">
        <f t="shared" si="165"/>
        <v>02</v>
      </c>
      <c r="CF149" s="26" t="str">
        <f t="array" ref="CF149">_xlfn.TEXTJOIN("",TRUE,IF(ISNUMBER(FIND(MID(CE148&amp;W148,ROW($1:$162),1),CE149&amp;W149)),MID(CE148&amp;W148,ROW($1:$162),1),""))</f>
        <v>021</v>
      </c>
      <c r="CG149" s="27" t="str">
        <f t="array" ref="CG149">_xlfn.TEXTJOIN("",TRUE,IF(ISERROR(FIND(ROW($1:$168)-1,CE149&amp;CF149)),ROW($1:$168)-1,""))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49" s="28" t="str">
        <f t="shared" si="166"/>
        <v>邻传孤</v>
      </c>
      <c r="CI149" s="29" t="str">
        <f t="shared" si="167"/>
        <v>91</v>
      </c>
      <c r="CJ149" s="29" t="str">
        <f t="array" ref="CJ149">_xlfn.TEXTJOIN("",TRUE,IF(ISNUMBER(FIND(MID(CI148&amp;X148,ROW($1:$162),1),CI149&amp;X149)),MID(CI148&amp;X148,ROW($1:$162),1),""))</f>
        <v>910</v>
      </c>
      <c r="CK149" s="29" t="str">
        <f t="array" ref="CK149">_xlfn.TEXTJOIN("",TRUE,IF(ISERROR(FIND(ROW($1:$168)-1,CI149&amp;CJ149)),ROW($1:$168)-1,""))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149" s="19" t="str">
        <f t="shared" si="168"/>
        <v>邻传孤</v>
      </c>
      <c r="CM149" s="24" t="str">
        <f t="shared" si="169"/>
        <v>02</v>
      </c>
      <c r="CN149" s="24" t="str">
        <f t="array" ref="CN149">_xlfn.TEXTJOIN("",TRUE,IF(ISNUMBER(FIND(MID(CM148&amp;Y148,ROW($1:$162),1),CM149&amp;Y149)),MID(CM148&amp;Y148,ROW($1:$162),1),""))</f>
        <v>021</v>
      </c>
      <c r="CO149" s="24" t="str">
        <f t="array" ref="CO149">_xlfn.TEXTJOIN("",TRUE,IF(ISERROR(FIND(ROW($1:$168)-1,CM149&amp;CN149)),ROW($1:$168)-1,""))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49" s="30" t="str">
        <f t="shared" si="170"/>
        <v>邻传孤</v>
      </c>
    </row>
    <row r="150" spans="1:94">
      <c r="A150" s="15">
        <v>150</v>
      </c>
      <c r="B150" s="80">
        <v>2024119</v>
      </c>
      <c r="C150" s="8" t="s">
        <v>169</v>
      </c>
      <c r="D150" s="81">
        <f t="shared" si="150"/>
        <v>13</v>
      </c>
      <c r="E150" s="82">
        <f t="shared" si="151"/>
        <v>3</v>
      </c>
      <c r="F150" s="83">
        <f t="shared" si="148"/>
        <v>1.625</v>
      </c>
      <c r="G150" s="84" t="str">
        <f t="shared" si="149"/>
        <v>松散</v>
      </c>
      <c r="H150" s="85" t="s">
        <v>10</v>
      </c>
      <c r="I150" s="85" t="s">
        <v>11</v>
      </c>
      <c r="J150" s="85" t="s">
        <v>12</v>
      </c>
      <c r="K150" s="85" t="s">
        <v>13</v>
      </c>
      <c r="L150" s="86">
        <f>MAX(MID(C150,{1,2,3},1)*1)-MIN(MID(C150,{1,2,3},1)*1)</f>
        <v>8</v>
      </c>
      <c r="M150" s="87">
        <v>0</v>
      </c>
      <c r="N150" s="87">
        <v>1</v>
      </c>
      <c r="O150" s="87">
        <v>2</v>
      </c>
      <c r="P150" s="87">
        <v>3</v>
      </c>
      <c r="Q150" s="87">
        <v>4</v>
      </c>
      <c r="R150" s="87">
        <v>5</v>
      </c>
      <c r="S150" s="87">
        <v>6</v>
      </c>
      <c r="T150" s="87">
        <v>7</v>
      </c>
      <c r="U150" s="87">
        <v>8</v>
      </c>
      <c r="V150" s="87">
        <v>9</v>
      </c>
      <c r="W150" s="88">
        <f t="shared" si="152"/>
        <v>5</v>
      </c>
      <c r="X150" s="88">
        <f t="shared" si="153"/>
        <v>3</v>
      </c>
      <c r="Y150" s="88">
        <f t="shared" si="154"/>
        <v>8</v>
      </c>
      <c r="Z150" s="89">
        <f t="shared" si="155"/>
        <v>16</v>
      </c>
      <c r="AA150" s="17" t="str">
        <f>_xlfn.TEXTJOIN(", ",TRUE,ABS(MID(C150,{1,1,2},1)-MID(C150,{2,3,3},1)))</f>
        <v>5, 3, 8</v>
      </c>
      <c r="AB150" s="90">
        <v>0</v>
      </c>
      <c r="AC150" s="90">
        <v>1</v>
      </c>
      <c r="AD150" s="90">
        <v>2</v>
      </c>
      <c r="AE150" s="90">
        <v>3</v>
      </c>
      <c r="AF150" s="90">
        <v>4</v>
      </c>
      <c r="AG150" s="90">
        <v>5</v>
      </c>
      <c r="AH150" s="90">
        <v>6</v>
      </c>
      <c r="AI150" s="90">
        <v>7</v>
      </c>
      <c r="AJ150" s="90">
        <v>8</v>
      </c>
      <c r="AK150" s="90">
        <v>9</v>
      </c>
      <c r="AL150" s="91">
        <v>0</v>
      </c>
      <c r="AM150" s="91">
        <v>1</v>
      </c>
      <c r="AN150" s="91">
        <v>2</v>
      </c>
      <c r="AO150" s="91">
        <v>3</v>
      </c>
      <c r="AP150" s="91">
        <v>4</v>
      </c>
      <c r="AQ150" s="91">
        <v>5</v>
      </c>
      <c r="AR150" s="91">
        <v>6</v>
      </c>
      <c r="AS150" s="91">
        <v>7</v>
      </c>
      <c r="AT150" s="91">
        <v>8</v>
      </c>
      <c r="AU150" s="91">
        <v>9</v>
      </c>
      <c r="AV150" s="92">
        <v>0</v>
      </c>
      <c r="AW150" s="92">
        <v>1</v>
      </c>
      <c r="AX150" s="92">
        <v>2</v>
      </c>
      <c r="AY150" s="92">
        <v>3</v>
      </c>
      <c r="AZ150" s="92">
        <v>4</v>
      </c>
      <c r="BA150" s="92">
        <v>5</v>
      </c>
      <c r="BB150" s="92">
        <v>6</v>
      </c>
      <c r="BC150" s="92">
        <v>7</v>
      </c>
      <c r="BD150" s="92">
        <v>8</v>
      </c>
      <c r="BE150" s="92">
        <v>9</v>
      </c>
      <c r="BF150" s="93">
        <v>0</v>
      </c>
      <c r="BG150" s="93">
        <v>1</v>
      </c>
      <c r="BH150" s="93">
        <v>2</v>
      </c>
      <c r="BI150" s="93">
        <v>3</v>
      </c>
      <c r="BJ150" s="93">
        <v>4</v>
      </c>
      <c r="BK150" s="93">
        <v>5</v>
      </c>
      <c r="BL150" s="93">
        <v>6</v>
      </c>
      <c r="BM150" s="93">
        <v>7</v>
      </c>
      <c r="BN150" s="93">
        <v>8</v>
      </c>
      <c r="BO150" s="93">
        <v>9</v>
      </c>
      <c r="BP150" s="94" t="str">
        <f t="shared" si="156"/>
        <v>松散型</v>
      </c>
      <c r="BQ150" s="15">
        <f t="shared" si="157"/>
        <v>3</v>
      </c>
      <c r="BR150" s="15">
        <f t="shared" si="158"/>
        <v>8</v>
      </c>
      <c r="BS150" s="20" t="str">
        <f t="shared" si="159"/>
        <v/>
      </c>
      <c r="BT150" s="21" t="str">
        <f t="shared" si="171"/>
        <v/>
      </c>
      <c r="BU150" s="21" t="str">
        <f t="array" ref="BU150">_xlfn.TEXTJOIN("",TRUE,IF(ISERROR(FIND(ROW($1:$168)-1,BS150&amp;BT150)),ROW($1:$168)-1,""))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50" s="22" t="str">
        <f t="shared" si="160"/>
        <v>中中中</v>
      </c>
      <c r="BW150" s="23" t="str">
        <f t="shared" si="161"/>
        <v/>
      </c>
      <c r="BX150" s="23" t="str">
        <f t="shared" si="172"/>
        <v/>
      </c>
      <c r="BY150" s="23" t="str">
        <f t="array" ref="BY150">_xlfn.TEXTJOIN("",TRUE,IF(ISERROR(FIND(ROW($1:$168)-1,BW150&amp;BX150)),ROW($1:$168)-1,""))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50" s="22" t="str">
        <f t="shared" si="162"/>
        <v>中中中</v>
      </c>
      <c r="CA150" s="24" t="str">
        <f t="shared" si="163"/>
        <v/>
      </c>
      <c r="CB150" s="24" t="str">
        <f t="shared" si="173"/>
        <v/>
      </c>
      <c r="CC150" s="24" t="str">
        <f t="array" ref="CC150">_xlfn.TEXTJOIN("",TRUE,IF(ISERROR(FIND(ROW($1:$168)-1,CA150&amp;CB150)),ROW($1:$168)-1,""))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50" s="22" t="str">
        <f t="shared" si="164"/>
        <v>中中中</v>
      </c>
      <c r="CE150" s="25" t="str">
        <f t="shared" si="165"/>
        <v>46</v>
      </c>
      <c r="CF150" s="26" t="str">
        <f t="array" ref="CF150">_xlfn.TEXTJOIN("",TRUE,IF(ISNUMBER(FIND(MID(CE149&amp;W149,ROW($1:$162),1),CE150&amp;W150)),MID(CE149&amp;W149,ROW($1:$162),1),""))</f>
        <v/>
      </c>
      <c r="CG150" s="27" t="str">
        <f t="array" ref="CG150">_xlfn.TEXTJOIN("",TRUE,IF(ISERROR(FIND(ROW($1:$168)-1,CE150&amp;CF150)),ROW($1:$168)-1,""))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50" s="28" t="str">
        <f t="shared" si="166"/>
        <v>邻孤孤</v>
      </c>
      <c r="CI150" s="29" t="str">
        <f t="shared" si="167"/>
        <v>24</v>
      </c>
      <c r="CJ150" s="29" t="str">
        <f t="array" ref="CJ150">_xlfn.TEXTJOIN("",TRUE,IF(ISNUMBER(FIND(MID(CI149&amp;X149,ROW($1:$162),1),CI150&amp;X150)),MID(CI149&amp;X149,ROW($1:$162),1),""))</f>
        <v/>
      </c>
      <c r="CK150" s="29" t="str">
        <f t="array" ref="CK150">_xlfn.TEXTJOIN("",TRUE,IF(ISERROR(FIND(ROW($1:$168)-1,CI150&amp;CJ150)),ROW($1:$168)-1,""))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50" s="19" t="str">
        <f t="shared" si="168"/>
        <v>邻孤孤</v>
      </c>
      <c r="CM150" s="24" t="str">
        <f t="shared" si="169"/>
        <v>79</v>
      </c>
      <c r="CN150" s="24" t="str">
        <f t="array" ref="CN150">_xlfn.TEXTJOIN("",TRUE,IF(ISNUMBER(FIND(MID(CM149&amp;Y149,ROW($1:$162),1),CM150&amp;Y150)),MID(CM149&amp;Y149,ROW($1:$162),1),""))</f>
        <v/>
      </c>
      <c r="CO150" s="24" t="str">
        <f t="array" ref="CO150">_xlfn.TEXTJOIN("",TRUE,IF(ISERROR(FIND(ROW($1:$168)-1,CM150&amp;CN150)),ROW($1:$168)-1,""))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150" s="30" t="str">
        <f t="shared" si="170"/>
        <v>邻孤孤</v>
      </c>
    </row>
    <row r="151" spans="1:94">
      <c r="A151" s="15">
        <v>151</v>
      </c>
      <c r="B151" s="80">
        <v>2024120</v>
      </c>
      <c r="C151" s="8" t="s">
        <v>170</v>
      </c>
      <c r="D151" s="81">
        <f t="shared" si="150"/>
        <v>15</v>
      </c>
      <c r="E151" s="82">
        <f t="shared" si="151"/>
        <v>5</v>
      </c>
      <c r="F151" s="83">
        <f t="shared" si="148"/>
        <v>7.5</v>
      </c>
      <c r="G151" s="84" t="str">
        <f t="shared" si="149"/>
        <v>紧凑</v>
      </c>
      <c r="H151" s="85" t="s">
        <v>10</v>
      </c>
      <c r="I151" s="85" t="s">
        <v>11</v>
      </c>
      <c r="J151" s="85" t="s">
        <v>12</v>
      </c>
      <c r="K151" s="85" t="s">
        <v>13</v>
      </c>
      <c r="L151" s="86">
        <f>MAX(MID(C151,{1,2,3},1)*1)-MIN(MID(C151,{1,2,3},1)*1)</f>
        <v>2</v>
      </c>
      <c r="M151" s="87">
        <v>0</v>
      </c>
      <c r="N151" s="87">
        <v>1</v>
      </c>
      <c r="O151" s="87">
        <v>2</v>
      </c>
      <c r="P151" s="87">
        <v>3</v>
      </c>
      <c r="Q151" s="87">
        <v>4</v>
      </c>
      <c r="R151" s="87">
        <v>5</v>
      </c>
      <c r="S151" s="87">
        <v>6</v>
      </c>
      <c r="T151" s="87">
        <v>7</v>
      </c>
      <c r="U151" s="87">
        <v>8</v>
      </c>
      <c r="V151" s="87">
        <v>9</v>
      </c>
      <c r="W151" s="88">
        <f t="shared" si="152"/>
        <v>1</v>
      </c>
      <c r="X151" s="88">
        <f t="shared" si="153"/>
        <v>1</v>
      </c>
      <c r="Y151" s="88">
        <f t="shared" si="154"/>
        <v>2</v>
      </c>
      <c r="Z151" s="89">
        <f t="shared" si="155"/>
        <v>4</v>
      </c>
      <c r="AA151" s="17" t="str">
        <f>_xlfn.TEXTJOIN(", ",TRUE,ABS(MID(C151,{1,1,2},1)-MID(C151,{2,3,3},1)))</f>
        <v>1, 1, 2</v>
      </c>
      <c r="AB151" s="90">
        <v>0</v>
      </c>
      <c r="AC151" s="90">
        <v>1</v>
      </c>
      <c r="AD151" s="90">
        <v>2</v>
      </c>
      <c r="AE151" s="90">
        <v>3</v>
      </c>
      <c r="AF151" s="90">
        <v>4</v>
      </c>
      <c r="AG151" s="90">
        <v>5</v>
      </c>
      <c r="AH151" s="90">
        <v>6</v>
      </c>
      <c r="AI151" s="90">
        <v>7</v>
      </c>
      <c r="AJ151" s="90">
        <v>8</v>
      </c>
      <c r="AK151" s="90">
        <v>9</v>
      </c>
      <c r="AL151" s="91">
        <v>0</v>
      </c>
      <c r="AM151" s="91">
        <v>1</v>
      </c>
      <c r="AN151" s="91">
        <v>2</v>
      </c>
      <c r="AO151" s="91">
        <v>3</v>
      </c>
      <c r="AP151" s="91">
        <v>4</v>
      </c>
      <c r="AQ151" s="91">
        <v>5</v>
      </c>
      <c r="AR151" s="91">
        <v>6</v>
      </c>
      <c r="AS151" s="91">
        <v>7</v>
      </c>
      <c r="AT151" s="91">
        <v>8</v>
      </c>
      <c r="AU151" s="91">
        <v>9</v>
      </c>
      <c r="AV151" s="92">
        <v>0</v>
      </c>
      <c r="AW151" s="92">
        <v>1</v>
      </c>
      <c r="AX151" s="92">
        <v>2</v>
      </c>
      <c r="AY151" s="92">
        <v>3</v>
      </c>
      <c r="AZ151" s="92">
        <v>4</v>
      </c>
      <c r="BA151" s="92">
        <v>5</v>
      </c>
      <c r="BB151" s="92">
        <v>6</v>
      </c>
      <c r="BC151" s="92">
        <v>7</v>
      </c>
      <c r="BD151" s="92">
        <v>8</v>
      </c>
      <c r="BE151" s="92">
        <v>9</v>
      </c>
      <c r="BF151" s="93">
        <v>0</v>
      </c>
      <c r="BG151" s="93">
        <v>1</v>
      </c>
      <c r="BH151" s="93">
        <v>2</v>
      </c>
      <c r="BI151" s="93">
        <v>3</v>
      </c>
      <c r="BJ151" s="93">
        <v>4</v>
      </c>
      <c r="BK151" s="93">
        <v>5</v>
      </c>
      <c r="BL151" s="93">
        <v>6</v>
      </c>
      <c r="BM151" s="93">
        <v>7</v>
      </c>
      <c r="BN151" s="93">
        <v>8</v>
      </c>
      <c r="BO151" s="93">
        <v>9</v>
      </c>
      <c r="BP151" s="94" t="str">
        <f t="shared" si="156"/>
        <v>紧凑型</v>
      </c>
      <c r="BQ151" s="15">
        <f t="shared" si="157"/>
        <v>1</v>
      </c>
      <c r="BR151" s="15">
        <f t="shared" si="158"/>
        <v>2</v>
      </c>
      <c r="BS151" s="20" t="str">
        <f t="shared" si="159"/>
        <v/>
      </c>
      <c r="BT151" s="21">
        <f t="shared" si="171"/>
        <v>1</v>
      </c>
      <c r="BU151" s="21" t="str">
        <f t="array" ref="BU151">_xlfn.TEXTJOIN("",TRUE,IF(ISERROR(FIND(ROW($1:$168)-1,BS151&amp;BT151)),ROW($1:$168)-1,""))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51" s="22" t="str">
        <f t="shared" si="160"/>
        <v>中隔中</v>
      </c>
      <c r="BW151" s="23" t="str">
        <f t="shared" si="161"/>
        <v/>
      </c>
      <c r="BX151" s="23">
        <f t="shared" si="172"/>
        <v>1</v>
      </c>
      <c r="BY151" s="23" t="str">
        <f t="array" ref="BY151">_xlfn.TEXTJOIN("",TRUE,IF(ISERROR(FIND(ROW($1:$168)-1,BW151&amp;BX151)),ROW($1:$168)-1,""))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51" s="22" t="str">
        <f t="shared" si="162"/>
        <v>中隔中</v>
      </c>
      <c r="CA151" s="24" t="str">
        <f t="shared" si="163"/>
        <v/>
      </c>
      <c r="CB151" s="24" t="str">
        <f t="shared" si="173"/>
        <v/>
      </c>
      <c r="CC151" s="24" t="str">
        <f t="array" ref="CC151">_xlfn.TEXTJOIN("",TRUE,IF(ISERROR(FIND(ROW($1:$168)-1,CA151&amp;CB151)),ROW($1:$168)-1,""))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51" s="22" t="str">
        <f t="shared" si="164"/>
        <v>中中中</v>
      </c>
      <c r="CE151" s="25" t="str">
        <f t="shared" si="165"/>
        <v>02</v>
      </c>
      <c r="CF151" s="26" t="str">
        <f t="array" ref="CF151">_xlfn.TEXTJOIN("",TRUE,IF(ISNUMBER(FIND(MID(CE150&amp;W150,ROW($1:$162),1),CE151&amp;W151)),MID(CE150&amp;W150,ROW($1:$162),1),""))</f>
        <v/>
      </c>
      <c r="CG151" s="27" t="str">
        <f t="array" ref="CG151">_xlfn.TEXTJOIN("",TRUE,IF(ISERROR(FIND(ROW($1:$168)-1,CE151&amp;CF151)),ROW($1:$168)-1,""))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51" s="28" t="str">
        <f t="shared" si="166"/>
        <v>邻孤孤</v>
      </c>
      <c r="CI151" s="29" t="str">
        <f t="shared" si="167"/>
        <v>02</v>
      </c>
      <c r="CJ151" s="29" t="str">
        <f t="array" ref="CJ151">_xlfn.TEXTJOIN("",TRUE,IF(ISNUMBER(FIND(MID(CI150&amp;X150,ROW($1:$162),1),CI151&amp;X151)),MID(CI150&amp;X150,ROW($1:$162),1),""))</f>
        <v>2</v>
      </c>
      <c r="CK151" s="29" t="str">
        <f t="array" ref="CK151">_xlfn.TEXTJOIN("",TRUE,IF(ISERROR(FIND(ROW($1:$168)-1,CI151&amp;CJ151)),ROW($1:$168)-1,""))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51" s="19" t="str">
        <f t="shared" si="168"/>
        <v>邻传孤</v>
      </c>
      <c r="CM151" s="24" t="str">
        <f t="shared" si="169"/>
        <v>13</v>
      </c>
      <c r="CN151" s="24" t="str">
        <f t="array" ref="CN151">_xlfn.TEXTJOIN("",TRUE,IF(ISNUMBER(FIND(MID(CM150&amp;Y150,ROW($1:$162),1),CM151&amp;Y151)),MID(CM150&amp;Y150,ROW($1:$162),1),""))</f>
        <v/>
      </c>
      <c r="CO151" s="24" t="str">
        <f t="array" ref="CO151">_xlfn.TEXTJOIN("",TRUE,IF(ISERROR(FIND(ROW($1:$168)-1,CM151&amp;CN151)),ROW($1:$168)-1,""))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51" s="30" t="str">
        <f t="shared" si="170"/>
        <v>邻孤孤</v>
      </c>
    </row>
    <row r="152" spans="1:94">
      <c r="A152" s="15">
        <v>152</v>
      </c>
      <c r="B152" s="80">
        <v>2024121</v>
      </c>
      <c r="C152" s="8" t="s">
        <v>171</v>
      </c>
      <c r="D152" s="81">
        <f t="shared" si="150"/>
        <v>19</v>
      </c>
      <c r="E152" s="82">
        <f t="shared" si="151"/>
        <v>9</v>
      </c>
      <c r="F152" s="83">
        <f t="shared" si="148"/>
        <v>2.71428571428571</v>
      </c>
      <c r="G152" s="84" t="str">
        <f t="shared" si="149"/>
        <v>标准</v>
      </c>
      <c r="H152" s="85" t="s">
        <v>10</v>
      </c>
      <c r="I152" s="85" t="s">
        <v>11</v>
      </c>
      <c r="J152" s="85" t="s">
        <v>12</v>
      </c>
      <c r="K152" s="85" t="s">
        <v>13</v>
      </c>
      <c r="L152" s="86">
        <f>MAX(MID(C152,{1,2,3},1)*1)-MIN(MID(C152,{1,2,3},1)*1)</f>
        <v>7</v>
      </c>
      <c r="M152" s="87">
        <v>0</v>
      </c>
      <c r="N152" s="87">
        <v>1</v>
      </c>
      <c r="O152" s="87">
        <v>2</v>
      </c>
      <c r="P152" s="87">
        <v>3</v>
      </c>
      <c r="Q152" s="87">
        <v>4</v>
      </c>
      <c r="R152" s="87">
        <v>5</v>
      </c>
      <c r="S152" s="87">
        <v>6</v>
      </c>
      <c r="T152" s="87">
        <v>7</v>
      </c>
      <c r="U152" s="87">
        <v>8</v>
      </c>
      <c r="V152" s="87">
        <v>9</v>
      </c>
      <c r="W152" s="88">
        <f t="shared" si="152"/>
        <v>6</v>
      </c>
      <c r="X152" s="88">
        <f t="shared" si="153"/>
        <v>7</v>
      </c>
      <c r="Y152" s="88">
        <f t="shared" si="154"/>
        <v>1</v>
      </c>
      <c r="Z152" s="89">
        <f t="shared" si="155"/>
        <v>14</v>
      </c>
      <c r="AA152" s="17" t="str">
        <f>_xlfn.TEXTJOIN(", ",TRUE,ABS(MID(C152,{1,1,2},1)-MID(C152,{2,3,3},1)))</f>
        <v>6, 7, 1</v>
      </c>
      <c r="AB152" s="90">
        <v>0</v>
      </c>
      <c r="AC152" s="90">
        <v>1</v>
      </c>
      <c r="AD152" s="90">
        <v>2</v>
      </c>
      <c r="AE152" s="90">
        <v>3</v>
      </c>
      <c r="AF152" s="90">
        <v>4</v>
      </c>
      <c r="AG152" s="90">
        <v>5</v>
      </c>
      <c r="AH152" s="90">
        <v>6</v>
      </c>
      <c r="AI152" s="90">
        <v>7</v>
      </c>
      <c r="AJ152" s="90">
        <v>8</v>
      </c>
      <c r="AK152" s="90">
        <v>9</v>
      </c>
      <c r="AL152" s="91">
        <v>0</v>
      </c>
      <c r="AM152" s="91">
        <v>1</v>
      </c>
      <c r="AN152" s="91">
        <v>2</v>
      </c>
      <c r="AO152" s="91">
        <v>3</v>
      </c>
      <c r="AP152" s="91">
        <v>4</v>
      </c>
      <c r="AQ152" s="91">
        <v>5</v>
      </c>
      <c r="AR152" s="91">
        <v>6</v>
      </c>
      <c r="AS152" s="91">
        <v>7</v>
      </c>
      <c r="AT152" s="91">
        <v>8</v>
      </c>
      <c r="AU152" s="91">
        <v>9</v>
      </c>
      <c r="AV152" s="92">
        <v>0</v>
      </c>
      <c r="AW152" s="92">
        <v>1</v>
      </c>
      <c r="AX152" s="92">
        <v>2</v>
      </c>
      <c r="AY152" s="92">
        <v>3</v>
      </c>
      <c r="AZ152" s="92">
        <v>4</v>
      </c>
      <c r="BA152" s="92">
        <v>5</v>
      </c>
      <c r="BB152" s="92">
        <v>6</v>
      </c>
      <c r="BC152" s="92">
        <v>7</v>
      </c>
      <c r="BD152" s="92">
        <v>8</v>
      </c>
      <c r="BE152" s="92">
        <v>9</v>
      </c>
      <c r="BF152" s="93">
        <v>0</v>
      </c>
      <c r="BG152" s="93">
        <v>1</v>
      </c>
      <c r="BH152" s="93">
        <v>2</v>
      </c>
      <c r="BI152" s="93">
        <v>3</v>
      </c>
      <c r="BJ152" s="93">
        <v>4</v>
      </c>
      <c r="BK152" s="93">
        <v>5</v>
      </c>
      <c r="BL152" s="93">
        <v>6</v>
      </c>
      <c r="BM152" s="93">
        <v>7</v>
      </c>
      <c r="BN152" s="93">
        <v>8</v>
      </c>
      <c r="BO152" s="93">
        <v>9</v>
      </c>
      <c r="BP152" s="94" t="str">
        <f t="shared" si="156"/>
        <v>松散型</v>
      </c>
      <c r="BQ152" s="15">
        <f t="shared" si="157"/>
        <v>1</v>
      </c>
      <c r="BR152" s="15">
        <f t="shared" si="158"/>
        <v>7</v>
      </c>
      <c r="BS152" s="20" t="str">
        <f t="shared" si="159"/>
        <v/>
      </c>
      <c r="BT152" s="21" t="str">
        <f t="shared" si="171"/>
        <v/>
      </c>
      <c r="BU152" s="21" t="str">
        <f t="array" ref="BU152">_xlfn.TEXTJOIN("",TRUE,IF(ISERROR(FIND(ROW($1:$168)-1,BS152&amp;BT152)),ROW($1:$168)-1,""))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52" s="22" t="str">
        <f t="shared" si="160"/>
        <v>中中中</v>
      </c>
      <c r="BW152" s="23" t="str">
        <f t="shared" si="161"/>
        <v/>
      </c>
      <c r="BX152" s="23" t="str">
        <f t="shared" si="172"/>
        <v/>
      </c>
      <c r="BY152" s="23" t="str">
        <f t="array" ref="BY152">_xlfn.TEXTJOIN("",TRUE,IF(ISERROR(FIND(ROW($1:$168)-1,BW152&amp;BX152)),ROW($1:$168)-1,""))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52" s="22" t="str">
        <f t="shared" si="162"/>
        <v>中中中</v>
      </c>
      <c r="CA152" s="24">
        <f t="shared" si="163"/>
        <v>1</v>
      </c>
      <c r="CB152" s="24" t="str">
        <f t="shared" si="173"/>
        <v/>
      </c>
      <c r="CC152" s="24" t="str">
        <f t="array" ref="CC152">_xlfn.TEXTJOIN("",TRUE,IF(ISERROR(FIND(ROW($1:$168)-1,CA152&amp;CB152)),ROW($1:$168)-1,""))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52" s="22" t="str">
        <f t="shared" si="164"/>
        <v>复中中</v>
      </c>
      <c r="CE152" s="25" t="str">
        <f t="shared" si="165"/>
        <v>57</v>
      </c>
      <c r="CF152" s="26" t="str">
        <f t="array" ref="CF152">_xlfn.TEXTJOIN("",TRUE,IF(ISNUMBER(FIND(MID(CE151&amp;W151,ROW($1:$162),1),CE152&amp;W152)),MID(CE151&amp;W151,ROW($1:$162),1),""))</f>
        <v/>
      </c>
      <c r="CG152" s="27" t="str">
        <f t="array" ref="CG152">_xlfn.TEXTJOIN("",TRUE,IF(ISERROR(FIND(ROW($1:$168)-1,CE152&amp;CF152)),ROW($1:$168)-1,""))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52" s="28" t="str">
        <f t="shared" si="166"/>
        <v>邻孤孤</v>
      </c>
      <c r="CI152" s="29" t="str">
        <f t="shared" si="167"/>
        <v>68</v>
      </c>
      <c r="CJ152" s="29" t="str">
        <f t="array" ref="CJ152">_xlfn.TEXTJOIN("",TRUE,IF(ISNUMBER(FIND(MID(CI151&amp;X151,ROW($1:$162),1),CI152&amp;X152)),MID(CI151&amp;X151,ROW($1:$162),1),""))</f>
        <v/>
      </c>
      <c r="CK152" s="29" t="str">
        <f t="array" ref="CK152">_xlfn.TEXTJOIN("",TRUE,IF(ISERROR(FIND(ROW($1:$168)-1,CI152&amp;CJ152)),ROW($1:$168)-1,""))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52" s="19" t="str">
        <f t="shared" si="168"/>
        <v>邻孤孤</v>
      </c>
      <c r="CM152" s="24" t="str">
        <f t="shared" si="169"/>
        <v>02</v>
      </c>
      <c r="CN152" s="24" t="str">
        <f t="array" ref="CN152">_xlfn.TEXTJOIN("",TRUE,IF(ISNUMBER(FIND(MID(CM151&amp;Y151,ROW($1:$162),1),CM152&amp;Y152)),MID(CM151&amp;Y151,ROW($1:$162),1),""))</f>
        <v>12</v>
      </c>
      <c r="CO152" s="24" t="str">
        <f t="array" ref="CO152">_xlfn.TEXTJOIN("",TRUE,IF(ISERROR(FIND(ROW($1:$168)-1,CM152&amp;CN152)),ROW($1:$168)-1,""))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52" s="30" t="str">
        <f t="shared" si="170"/>
        <v>邻传孤</v>
      </c>
    </row>
    <row r="153" spans="1:94">
      <c r="A153" s="15">
        <v>153</v>
      </c>
      <c r="B153" s="80">
        <v>2024122</v>
      </c>
      <c r="C153" s="8" t="s">
        <v>172</v>
      </c>
      <c r="D153" s="81">
        <f t="shared" si="150"/>
        <v>15</v>
      </c>
      <c r="E153" s="82">
        <f t="shared" si="151"/>
        <v>5</v>
      </c>
      <c r="F153" s="83">
        <f t="shared" si="148"/>
        <v>1.875</v>
      </c>
      <c r="G153" s="84" t="str">
        <f t="shared" si="149"/>
        <v>松散</v>
      </c>
      <c r="H153" s="85" t="s">
        <v>10</v>
      </c>
      <c r="I153" s="85" t="s">
        <v>11</v>
      </c>
      <c r="J153" s="85" t="s">
        <v>12</v>
      </c>
      <c r="K153" s="85" t="s">
        <v>13</v>
      </c>
      <c r="L153" s="86">
        <f>MAX(MID(C153,{1,2,3},1)*1)-MIN(MID(C153,{1,2,3},1)*1)</f>
        <v>8</v>
      </c>
      <c r="M153" s="87">
        <v>0</v>
      </c>
      <c r="N153" s="87">
        <v>1</v>
      </c>
      <c r="O153" s="87">
        <v>2</v>
      </c>
      <c r="P153" s="87">
        <v>3</v>
      </c>
      <c r="Q153" s="87">
        <v>4</v>
      </c>
      <c r="R153" s="87">
        <v>5</v>
      </c>
      <c r="S153" s="87">
        <v>6</v>
      </c>
      <c r="T153" s="87">
        <v>7</v>
      </c>
      <c r="U153" s="87">
        <v>8</v>
      </c>
      <c r="V153" s="87">
        <v>9</v>
      </c>
      <c r="W153" s="88">
        <f t="shared" si="152"/>
        <v>7</v>
      </c>
      <c r="X153" s="88">
        <f t="shared" si="153"/>
        <v>1</v>
      </c>
      <c r="Y153" s="88">
        <f t="shared" si="154"/>
        <v>8</v>
      </c>
      <c r="Z153" s="89">
        <f t="shared" si="155"/>
        <v>16</v>
      </c>
      <c r="AA153" s="17" t="str">
        <f>_xlfn.TEXTJOIN(", ",TRUE,ABS(MID(C153,{1,1,2},1)-MID(C153,{2,3,3},1)))</f>
        <v>7, 1, 8</v>
      </c>
      <c r="AB153" s="90">
        <v>0</v>
      </c>
      <c r="AC153" s="90">
        <v>1</v>
      </c>
      <c r="AD153" s="90">
        <v>2</v>
      </c>
      <c r="AE153" s="90">
        <v>3</v>
      </c>
      <c r="AF153" s="90">
        <v>4</v>
      </c>
      <c r="AG153" s="90">
        <v>5</v>
      </c>
      <c r="AH153" s="90">
        <v>6</v>
      </c>
      <c r="AI153" s="90">
        <v>7</v>
      </c>
      <c r="AJ153" s="90">
        <v>8</v>
      </c>
      <c r="AK153" s="90">
        <v>9</v>
      </c>
      <c r="AL153" s="91">
        <v>0</v>
      </c>
      <c r="AM153" s="91">
        <v>1</v>
      </c>
      <c r="AN153" s="91">
        <v>2</v>
      </c>
      <c r="AO153" s="91">
        <v>3</v>
      </c>
      <c r="AP153" s="91">
        <v>4</v>
      </c>
      <c r="AQ153" s="91">
        <v>5</v>
      </c>
      <c r="AR153" s="91">
        <v>6</v>
      </c>
      <c r="AS153" s="91">
        <v>7</v>
      </c>
      <c r="AT153" s="91">
        <v>8</v>
      </c>
      <c r="AU153" s="91">
        <v>9</v>
      </c>
      <c r="AV153" s="92">
        <v>0</v>
      </c>
      <c r="AW153" s="92">
        <v>1</v>
      </c>
      <c r="AX153" s="92">
        <v>2</v>
      </c>
      <c r="AY153" s="92">
        <v>3</v>
      </c>
      <c r="AZ153" s="92">
        <v>4</v>
      </c>
      <c r="BA153" s="92">
        <v>5</v>
      </c>
      <c r="BB153" s="92">
        <v>6</v>
      </c>
      <c r="BC153" s="92">
        <v>7</v>
      </c>
      <c r="BD153" s="92">
        <v>8</v>
      </c>
      <c r="BE153" s="92">
        <v>9</v>
      </c>
      <c r="BF153" s="93">
        <v>0</v>
      </c>
      <c r="BG153" s="93">
        <v>1</v>
      </c>
      <c r="BH153" s="93">
        <v>2</v>
      </c>
      <c r="BI153" s="93">
        <v>3</v>
      </c>
      <c r="BJ153" s="93">
        <v>4</v>
      </c>
      <c r="BK153" s="93">
        <v>5</v>
      </c>
      <c r="BL153" s="93">
        <v>6</v>
      </c>
      <c r="BM153" s="93">
        <v>7</v>
      </c>
      <c r="BN153" s="93">
        <v>8</v>
      </c>
      <c r="BO153" s="93">
        <v>9</v>
      </c>
      <c r="BP153" s="94" t="str">
        <f t="shared" si="156"/>
        <v>松散型</v>
      </c>
      <c r="BQ153" s="15">
        <f t="shared" si="157"/>
        <v>1</v>
      </c>
      <c r="BR153" s="15">
        <f t="shared" si="158"/>
        <v>8</v>
      </c>
      <c r="BS153" s="20">
        <f t="shared" si="159"/>
        <v>7</v>
      </c>
      <c r="BT153" s="21" t="str">
        <f t="shared" si="171"/>
        <v/>
      </c>
      <c r="BU153" s="21" t="str">
        <f t="array" ref="BU153">_xlfn.TEXTJOIN("",TRUE,IF(ISERROR(FIND(ROW($1:$168)-1,BS153&amp;BT153)),ROW($1:$168)-1,""))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53" s="22" t="str">
        <f t="shared" si="160"/>
        <v>复中中</v>
      </c>
      <c r="BW153" s="23">
        <f t="shared" si="161"/>
        <v>1</v>
      </c>
      <c r="BX153" s="23">
        <f t="shared" si="172"/>
        <v>1</v>
      </c>
      <c r="BY153" s="23" t="str">
        <f t="array" ref="BY153">_xlfn.TEXTJOIN("",TRUE,IF(ISERROR(FIND(ROW($1:$168)-1,BW153&amp;BX153)),ROW($1:$168)-1,""))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53" s="22" t="str">
        <f t="shared" si="162"/>
        <v>复隔中</v>
      </c>
      <c r="CA153" s="24" t="str">
        <f t="shared" si="163"/>
        <v/>
      </c>
      <c r="CB153" s="24" t="str">
        <f t="shared" si="173"/>
        <v/>
      </c>
      <c r="CC153" s="24" t="str">
        <f t="array" ref="CC153">_xlfn.TEXTJOIN("",TRUE,IF(ISERROR(FIND(ROW($1:$168)-1,CA153&amp;CB153)),ROW($1:$168)-1,""))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53" s="22" t="str">
        <f t="shared" si="164"/>
        <v>中中中</v>
      </c>
      <c r="CE153" s="25" t="str">
        <f t="shared" si="165"/>
        <v>68</v>
      </c>
      <c r="CF153" s="26" t="str">
        <f t="array" ref="CF153">_xlfn.TEXTJOIN("",TRUE,IF(ISNUMBER(FIND(MID(CE152&amp;W152,ROW($1:$162),1),CE153&amp;W153)),MID(CE152&amp;W152,ROW($1:$162),1),""))</f>
        <v>76</v>
      </c>
      <c r="CG153" s="27" t="str">
        <f t="array" ref="CG153">_xlfn.TEXTJOIN("",TRUE,IF(ISERROR(FIND(ROW($1:$168)-1,CE153&amp;CF153)),ROW($1:$168)-1,""))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H153" s="28" t="str">
        <f t="shared" si="166"/>
        <v>邻传孤</v>
      </c>
      <c r="CI153" s="29" t="str">
        <f t="shared" si="167"/>
        <v>02</v>
      </c>
      <c r="CJ153" s="29" t="str">
        <f t="array" ref="CJ153">_xlfn.TEXTJOIN("",TRUE,IF(ISNUMBER(FIND(MID(CI152&amp;X152,ROW($1:$162),1),CI153&amp;X153)),MID(CI152&amp;X152,ROW($1:$162),1),""))</f>
        <v/>
      </c>
      <c r="CK153" s="29" t="str">
        <f t="array" ref="CK153">_xlfn.TEXTJOIN("",TRUE,IF(ISERROR(FIND(ROW($1:$168)-1,CI153&amp;CJ153)),ROW($1:$168)-1,""))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53" s="19" t="str">
        <f t="shared" si="168"/>
        <v>邻孤孤</v>
      </c>
      <c r="CM153" s="24" t="str">
        <f t="shared" si="169"/>
        <v>79</v>
      </c>
      <c r="CN153" s="24" t="str">
        <f t="array" ref="CN153">_xlfn.TEXTJOIN("",TRUE,IF(ISNUMBER(FIND(MID(CM152&amp;Y152,ROW($1:$162),1),CM153&amp;Y153)),MID(CM152&amp;Y152,ROW($1:$162),1),""))</f>
        <v/>
      </c>
      <c r="CO153" s="24" t="str">
        <f t="array" ref="CO153">_xlfn.TEXTJOIN("",TRUE,IF(ISERROR(FIND(ROW($1:$168)-1,CM153&amp;CN153)),ROW($1:$168)-1,""))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153" s="30" t="str">
        <f t="shared" si="170"/>
        <v>邻孤孤</v>
      </c>
    </row>
    <row r="154" spans="1:94">
      <c r="A154" s="15">
        <v>154</v>
      </c>
      <c r="B154" s="80">
        <v>2024123</v>
      </c>
      <c r="C154" s="8" t="s">
        <v>173</v>
      </c>
      <c r="D154" s="81">
        <f t="shared" si="150"/>
        <v>12</v>
      </c>
      <c r="E154" s="82">
        <f t="shared" si="151"/>
        <v>2</v>
      </c>
      <c r="F154" s="83">
        <f t="shared" si="148"/>
        <v>1.71428571428571</v>
      </c>
      <c r="G154" s="84" t="str">
        <f t="shared" si="149"/>
        <v>松散</v>
      </c>
      <c r="H154" s="85" t="s">
        <v>10</v>
      </c>
      <c r="I154" s="85" t="s">
        <v>11</v>
      </c>
      <c r="J154" s="85" t="s">
        <v>12</v>
      </c>
      <c r="K154" s="85" t="s">
        <v>13</v>
      </c>
      <c r="L154" s="86">
        <f>MAX(MID(C154,{1,2,3},1)*1)-MIN(MID(C154,{1,2,3},1)*1)</f>
        <v>7</v>
      </c>
      <c r="M154" s="87">
        <v>0</v>
      </c>
      <c r="N154" s="87">
        <v>1</v>
      </c>
      <c r="O154" s="87">
        <v>2</v>
      </c>
      <c r="P154" s="87">
        <v>3</v>
      </c>
      <c r="Q154" s="87">
        <v>4</v>
      </c>
      <c r="R154" s="87">
        <v>5</v>
      </c>
      <c r="S154" s="87">
        <v>6</v>
      </c>
      <c r="T154" s="87">
        <v>7</v>
      </c>
      <c r="U154" s="87">
        <v>8</v>
      </c>
      <c r="V154" s="87">
        <v>9</v>
      </c>
      <c r="W154" s="88">
        <f t="shared" si="152"/>
        <v>7</v>
      </c>
      <c r="X154" s="88">
        <f t="shared" si="153"/>
        <v>2</v>
      </c>
      <c r="Y154" s="88">
        <f t="shared" si="154"/>
        <v>5</v>
      </c>
      <c r="Z154" s="89">
        <f t="shared" si="155"/>
        <v>14</v>
      </c>
      <c r="AA154" s="17" t="str">
        <f>_xlfn.TEXTJOIN(", ",TRUE,ABS(MID(C154,{1,1,2},1)-MID(C154,{2,3,3},1)))</f>
        <v>7, 2, 5</v>
      </c>
      <c r="AB154" s="90">
        <v>0</v>
      </c>
      <c r="AC154" s="90">
        <v>1</v>
      </c>
      <c r="AD154" s="90">
        <v>2</v>
      </c>
      <c r="AE154" s="90">
        <v>3</v>
      </c>
      <c r="AF154" s="90">
        <v>4</v>
      </c>
      <c r="AG154" s="90">
        <v>5</v>
      </c>
      <c r="AH154" s="90">
        <v>6</v>
      </c>
      <c r="AI154" s="90">
        <v>7</v>
      </c>
      <c r="AJ154" s="90">
        <v>8</v>
      </c>
      <c r="AK154" s="90">
        <v>9</v>
      </c>
      <c r="AL154" s="91">
        <v>0</v>
      </c>
      <c r="AM154" s="91">
        <v>1</v>
      </c>
      <c r="AN154" s="91">
        <v>2</v>
      </c>
      <c r="AO154" s="91">
        <v>3</v>
      </c>
      <c r="AP154" s="91">
        <v>4</v>
      </c>
      <c r="AQ154" s="91">
        <v>5</v>
      </c>
      <c r="AR154" s="91">
        <v>6</v>
      </c>
      <c r="AS154" s="91">
        <v>7</v>
      </c>
      <c r="AT154" s="91">
        <v>8</v>
      </c>
      <c r="AU154" s="91">
        <v>9</v>
      </c>
      <c r="AV154" s="92">
        <v>0</v>
      </c>
      <c r="AW154" s="92">
        <v>1</v>
      </c>
      <c r="AX154" s="92">
        <v>2</v>
      </c>
      <c r="AY154" s="92">
        <v>3</v>
      </c>
      <c r="AZ154" s="92">
        <v>4</v>
      </c>
      <c r="BA154" s="92">
        <v>5</v>
      </c>
      <c r="BB154" s="92">
        <v>6</v>
      </c>
      <c r="BC154" s="92">
        <v>7</v>
      </c>
      <c r="BD154" s="92">
        <v>8</v>
      </c>
      <c r="BE154" s="92">
        <v>9</v>
      </c>
      <c r="BF154" s="93">
        <v>0</v>
      </c>
      <c r="BG154" s="93">
        <v>1</v>
      </c>
      <c r="BH154" s="93">
        <v>2</v>
      </c>
      <c r="BI154" s="93">
        <v>3</v>
      </c>
      <c r="BJ154" s="93">
        <v>4</v>
      </c>
      <c r="BK154" s="93">
        <v>5</v>
      </c>
      <c r="BL154" s="93">
        <v>6</v>
      </c>
      <c r="BM154" s="93">
        <v>7</v>
      </c>
      <c r="BN154" s="93">
        <v>8</v>
      </c>
      <c r="BO154" s="93">
        <v>9</v>
      </c>
      <c r="BP154" s="94" t="str">
        <f t="shared" si="156"/>
        <v>松散型</v>
      </c>
      <c r="BQ154" s="15">
        <f t="shared" si="157"/>
        <v>2</v>
      </c>
      <c r="BR154" s="15">
        <f t="shared" si="158"/>
        <v>7</v>
      </c>
      <c r="BS154" s="20">
        <f t="shared" si="159"/>
        <v>7</v>
      </c>
      <c r="BT154" s="21">
        <f t="shared" si="171"/>
        <v>7</v>
      </c>
      <c r="BU154" s="21" t="str">
        <f t="array" ref="BU154">_xlfn.TEXTJOIN("",TRUE,IF(ISERROR(FIND(ROW($1:$168)-1,BS154&amp;BT154)),ROW($1:$168)-1,""))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V154" s="22" t="str">
        <f t="shared" si="160"/>
        <v>复隔中</v>
      </c>
      <c r="BW154" s="23" t="str">
        <f t="shared" si="161"/>
        <v/>
      </c>
      <c r="BX154" s="23" t="str">
        <f t="shared" si="172"/>
        <v/>
      </c>
      <c r="BY154" s="23" t="str">
        <f t="array" ref="BY154">_xlfn.TEXTJOIN("",TRUE,IF(ISERROR(FIND(ROW($1:$168)-1,BW154&amp;BX154)),ROW($1:$168)-1,""))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54" s="22" t="str">
        <f t="shared" si="162"/>
        <v>中中中</v>
      </c>
      <c r="CA154" s="24" t="str">
        <f t="shared" si="163"/>
        <v/>
      </c>
      <c r="CB154" s="24" t="str">
        <f t="shared" si="173"/>
        <v/>
      </c>
      <c r="CC154" s="24" t="str">
        <f t="array" ref="CC154">_xlfn.TEXTJOIN("",TRUE,IF(ISERROR(FIND(ROW($1:$168)-1,CA154&amp;CB154)),ROW($1:$168)-1,""))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54" s="22" t="str">
        <f t="shared" si="164"/>
        <v>中中中</v>
      </c>
      <c r="CE154" s="25" t="str">
        <f t="shared" si="165"/>
        <v>68</v>
      </c>
      <c r="CF154" s="26" t="str">
        <f t="array" ref="CF154">_xlfn.TEXTJOIN("",TRUE,IF(ISNUMBER(FIND(MID(CE153&amp;W153,ROW($1:$162),1),CE154&amp;W154)),MID(CE153&amp;W153,ROW($1:$162),1),""))</f>
        <v>687</v>
      </c>
      <c r="CG154" s="27" t="str">
        <f t="array" ref="CG154">_xlfn.TEXTJOIN("",TRUE,IF(ISERROR(FIND(ROW($1:$168)-1,CE154&amp;CF154)),ROW($1:$168)-1,""))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H154" s="28" t="str">
        <f t="shared" si="166"/>
        <v>邻传孤</v>
      </c>
      <c r="CI154" s="29" t="str">
        <f t="shared" si="167"/>
        <v>13</v>
      </c>
      <c r="CJ154" s="29" t="str">
        <f t="array" ref="CJ154">_xlfn.TEXTJOIN("",TRUE,IF(ISNUMBER(FIND(MID(CI153&amp;X153,ROW($1:$162),1),CI154&amp;X154)),MID(CI153&amp;X153,ROW($1:$162),1),""))</f>
        <v>21</v>
      </c>
      <c r="CK154" s="29" t="str">
        <f t="array" ref="CK154">_xlfn.TEXTJOIN("",TRUE,IF(ISERROR(FIND(ROW($1:$168)-1,CI154&amp;CJ154)),ROW($1:$168)-1,""))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154" s="19" t="str">
        <f t="shared" si="168"/>
        <v>邻传孤</v>
      </c>
      <c r="CM154" s="24" t="str">
        <f t="shared" si="169"/>
        <v>46</v>
      </c>
      <c r="CN154" s="24" t="str">
        <f t="array" ref="CN154">_xlfn.TEXTJOIN("",TRUE,IF(ISNUMBER(FIND(MID(CM153&amp;Y153,ROW($1:$162),1),CM154&amp;Y154)),MID(CM153&amp;Y153,ROW($1:$162),1),""))</f>
        <v/>
      </c>
      <c r="CO154" s="24" t="str">
        <f t="array" ref="CO154">_xlfn.TEXTJOIN("",TRUE,IF(ISERROR(FIND(ROW($1:$168)-1,CM154&amp;CN154)),ROW($1:$168)-1,""))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54" s="30" t="str">
        <f t="shared" si="170"/>
        <v>邻孤孤</v>
      </c>
    </row>
    <row r="155" spans="1:94">
      <c r="A155" s="15">
        <v>155</v>
      </c>
      <c r="B155" s="80">
        <v>2024124</v>
      </c>
      <c r="C155" s="8" t="s">
        <v>174</v>
      </c>
      <c r="D155" s="81">
        <f t="shared" si="150"/>
        <v>22</v>
      </c>
      <c r="E155" s="82">
        <f t="shared" si="151"/>
        <v>2</v>
      </c>
      <c r="F155" s="83">
        <f t="shared" si="148"/>
        <v>22</v>
      </c>
      <c r="G155" s="84" t="str">
        <f t="shared" si="149"/>
        <v>紧凑</v>
      </c>
      <c r="H155" s="85" t="s">
        <v>10</v>
      </c>
      <c r="I155" s="85" t="s">
        <v>11</v>
      </c>
      <c r="J155" s="85" t="s">
        <v>12</v>
      </c>
      <c r="K155" s="85" t="s">
        <v>13</v>
      </c>
      <c r="L155" s="86">
        <f>MAX(MID(C155,{1,2,3},1)*1)-MIN(MID(C155,{1,2,3},1)*1)</f>
        <v>1</v>
      </c>
      <c r="M155" s="87">
        <v>0</v>
      </c>
      <c r="N155" s="87">
        <v>1</v>
      </c>
      <c r="O155" s="87">
        <v>2</v>
      </c>
      <c r="P155" s="87">
        <v>3</v>
      </c>
      <c r="Q155" s="87">
        <v>4</v>
      </c>
      <c r="R155" s="87">
        <v>5</v>
      </c>
      <c r="S155" s="87">
        <v>6</v>
      </c>
      <c r="T155" s="87">
        <v>7</v>
      </c>
      <c r="U155" s="87">
        <v>8</v>
      </c>
      <c r="V155" s="87">
        <v>9</v>
      </c>
      <c r="W155" s="88">
        <f t="shared" si="152"/>
        <v>1</v>
      </c>
      <c r="X155" s="88">
        <f t="shared" si="153"/>
        <v>0</v>
      </c>
      <c r="Y155" s="88">
        <f t="shared" si="154"/>
        <v>1</v>
      </c>
      <c r="Z155" s="89">
        <f t="shared" si="155"/>
        <v>2</v>
      </c>
      <c r="AA155" s="17" t="str">
        <f>_xlfn.TEXTJOIN(", ",TRUE,ABS(MID(C155,{1,1,2},1)-MID(C155,{2,3,3},1)))</f>
        <v>1, 0, 1</v>
      </c>
      <c r="AB155" s="90">
        <v>0</v>
      </c>
      <c r="AC155" s="90">
        <v>1</v>
      </c>
      <c r="AD155" s="90">
        <v>2</v>
      </c>
      <c r="AE155" s="90">
        <v>3</v>
      </c>
      <c r="AF155" s="90">
        <v>4</v>
      </c>
      <c r="AG155" s="90">
        <v>5</v>
      </c>
      <c r="AH155" s="90">
        <v>6</v>
      </c>
      <c r="AI155" s="90">
        <v>7</v>
      </c>
      <c r="AJ155" s="90">
        <v>8</v>
      </c>
      <c r="AK155" s="90">
        <v>9</v>
      </c>
      <c r="AL155" s="91">
        <v>0</v>
      </c>
      <c r="AM155" s="91">
        <v>1</v>
      </c>
      <c r="AN155" s="91">
        <v>2</v>
      </c>
      <c r="AO155" s="91">
        <v>3</v>
      </c>
      <c r="AP155" s="91">
        <v>4</v>
      </c>
      <c r="AQ155" s="91">
        <v>5</v>
      </c>
      <c r="AR155" s="91">
        <v>6</v>
      </c>
      <c r="AS155" s="91">
        <v>7</v>
      </c>
      <c r="AT155" s="91">
        <v>8</v>
      </c>
      <c r="AU155" s="91">
        <v>9</v>
      </c>
      <c r="AV155" s="92">
        <v>0</v>
      </c>
      <c r="AW155" s="92">
        <v>1</v>
      </c>
      <c r="AX155" s="92">
        <v>2</v>
      </c>
      <c r="AY155" s="92">
        <v>3</v>
      </c>
      <c r="AZ155" s="92">
        <v>4</v>
      </c>
      <c r="BA155" s="92">
        <v>5</v>
      </c>
      <c r="BB155" s="92">
        <v>6</v>
      </c>
      <c r="BC155" s="92">
        <v>7</v>
      </c>
      <c r="BD155" s="92">
        <v>8</v>
      </c>
      <c r="BE155" s="92">
        <v>9</v>
      </c>
      <c r="BF155" s="93">
        <v>0</v>
      </c>
      <c r="BG155" s="93">
        <v>1</v>
      </c>
      <c r="BH155" s="93">
        <v>2</v>
      </c>
      <c r="BI155" s="93">
        <v>3</v>
      </c>
      <c r="BJ155" s="93">
        <v>4</v>
      </c>
      <c r="BK155" s="93">
        <v>5</v>
      </c>
      <c r="BL155" s="93">
        <v>6</v>
      </c>
      <c r="BM155" s="93">
        <v>7</v>
      </c>
      <c r="BN155" s="93">
        <v>8</v>
      </c>
      <c r="BO155" s="93">
        <v>9</v>
      </c>
      <c r="BP155" s="94" t="str">
        <f t="shared" si="156"/>
        <v>紧凑型</v>
      </c>
      <c r="BQ155" s="15">
        <f t="shared" si="157"/>
        <v>0</v>
      </c>
      <c r="BR155" s="15">
        <f t="shared" si="158"/>
        <v>1</v>
      </c>
      <c r="BS155" s="20" t="str">
        <f t="shared" si="159"/>
        <v/>
      </c>
      <c r="BT155" s="21">
        <f t="shared" si="171"/>
        <v>1</v>
      </c>
      <c r="BU155" s="21" t="str">
        <f t="array" ref="BU155">_xlfn.TEXTJOIN("",TRUE,IF(ISERROR(FIND(ROW($1:$168)-1,BS155&amp;BT155)),ROW($1:$168)-1,""))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55" s="22" t="str">
        <f t="shared" si="160"/>
        <v>中隔中</v>
      </c>
      <c r="BW155" s="23" t="str">
        <f t="shared" si="161"/>
        <v/>
      </c>
      <c r="BX155" s="23" t="str">
        <f t="shared" si="172"/>
        <v/>
      </c>
      <c r="BY155" s="23" t="str">
        <f t="array" ref="BY155">_xlfn.TEXTJOIN("",TRUE,IF(ISERROR(FIND(ROW($1:$168)-1,BW155&amp;BX155)),ROW($1:$168)-1,""))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55" s="22" t="str">
        <f t="shared" si="162"/>
        <v>中中中</v>
      </c>
      <c r="CA155" s="24" t="str">
        <f t="shared" si="163"/>
        <v/>
      </c>
      <c r="CB155" s="24">
        <f t="shared" si="173"/>
        <v>1</v>
      </c>
      <c r="CC155" s="24" t="str">
        <f t="array" ref="CC155">_xlfn.TEXTJOIN("",TRUE,IF(ISERROR(FIND(ROW($1:$168)-1,CA155&amp;CB155)),ROW($1:$168)-1,""))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55" s="22" t="str">
        <f t="shared" si="164"/>
        <v>中隔中</v>
      </c>
      <c r="CE155" s="25" t="str">
        <f t="shared" si="165"/>
        <v>02</v>
      </c>
      <c r="CF155" s="26" t="str">
        <f t="array" ref="CF155">_xlfn.TEXTJOIN("",TRUE,IF(ISNUMBER(FIND(MID(CE154&amp;W154,ROW($1:$162),1),CE155&amp;W155)),MID(CE154&amp;W154,ROW($1:$162),1),""))</f>
        <v/>
      </c>
      <c r="CG155" s="27" t="str">
        <f t="array" ref="CG155">_xlfn.TEXTJOIN("",TRUE,IF(ISERROR(FIND(ROW($1:$168)-1,CE155&amp;CF155)),ROW($1:$168)-1,""))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55" s="28" t="str">
        <f t="shared" si="166"/>
        <v>邻孤孤</v>
      </c>
      <c r="CI155" s="29" t="str">
        <f t="shared" si="167"/>
        <v>91</v>
      </c>
      <c r="CJ155" s="29" t="str">
        <f t="array" ref="CJ155">_xlfn.TEXTJOIN("",TRUE,IF(ISNUMBER(FIND(MID(CI154&amp;X154,ROW($1:$162),1),CI155&amp;X155)),MID(CI154&amp;X154,ROW($1:$162),1),""))</f>
        <v>1</v>
      </c>
      <c r="CK155" s="29" t="str">
        <f t="array" ref="CK155">_xlfn.TEXTJOIN("",TRUE,IF(ISERROR(FIND(ROW($1:$168)-1,CI155&amp;CJ155)),ROW($1:$168)-1,""))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155" s="19" t="str">
        <f t="shared" si="168"/>
        <v>邻传孤</v>
      </c>
      <c r="CM155" s="24" t="str">
        <f t="shared" si="169"/>
        <v>02</v>
      </c>
      <c r="CN155" s="24" t="str">
        <f t="array" ref="CN155">_xlfn.TEXTJOIN("",TRUE,IF(ISNUMBER(FIND(MID(CM154&amp;Y154,ROW($1:$162),1),CM155&amp;Y155)),MID(CM154&amp;Y154,ROW($1:$162),1),""))</f>
        <v/>
      </c>
      <c r="CO155" s="24" t="str">
        <f t="array" ref="CO155">_xlfn.TEXTJOIN("",TRUE,IF(ISERROR(FIND(ROW($1:$168)-1,CM155&amp;CN155)),ROW($1:$168)-1,""))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55" s="30" t="str">
        <f t="shared" si="170"/>
        <v>邻孤孤</v>
      </c>
    </row>
    <row r="156" spans="1:94">
      <c r="A156" s="15">
        <v>156</v>
      </c>
      <c r="B156" s="80">
        <v>2024125</v>
      </c>
      <c r="C156" s="8" t="s">
        <v>175</v>
      </c>
      <c r="D156" s="81">
        <f t="shared" si="150"/>
        <v>19</v>
      </c>
      <c r="E156" s="82">
        <f t="shared" si="151"/>
        <v>9</v>
      </c>
      <c r="F156" s="83">
        <f t="shared" si="148"/>
        <v>3.8</v>
      </c>
      <c r="G156" s="84" t="str">
        <f t="shared" si="149"/>
        <v>紧凑</v>
      </c>
      <c r="H156" s="85" t="s">
        <v>10</v>
      </c>
      <c r="I156" s="85" t="s">
        <v>11</v>
      </c>
      <c r="J156" s="85" t="s">
        <v>12</v>
      </c>
      <c r="K156" s="85" t="s">
        <v>13</v>
      </c>
      <c r="L156" s="86">
        <f>MAX(MID(C156,{1,2,3},1)*1)-MIN(MID(C156,{1,2,3},1)*1)</f>
        <v>5</v>
      </c>
      <c r="M156" s="87">
        <v>0</v>
      </c>
      <c r="N156" s="87">
        <v>1</v>
      </c>
      <c r="O156" s="87">
        <v>2</v>
      </c>
      <c r="P156" s="87">
        <v>3</v>
      </c>
      <c r="Q156" s="87">
        <v>4</v>
      </c>
      <c r="R156" s="87">
        <v>5</v>
      </c>
      <c r="S156" s="87">
        <v>6</v>
      </c>
      <c r="T156" s="87">
        <v>7</v>
      </c>
      <c r="U156" s="87">
        <v>8</v>
      </c>
      <c r="V156" s="87">
        <v>9</v>
      </c>
      <c r="W156" s="88">
        <f t="shared" si="152"/>
        <v>2</v>
      </c>
      <c r="X156" s="88">
        <f t="shared" si="153"/>
        <v>3</v>
      </c>
      <c r="Y156" s="88">
        <f t="shared" si="154"/>
        <v>5</v>
      </c>
      <c r="Z156" s="89">
        <f t="shared" si="155"/>
        <v>10</v>
      </c>
      <c r="AA156" s="17" t="str">
        <f>_xlfn.TEXTJOIN(", ",TRUE,ABS(MID(C156,{1,1,2},1)-MID(C156,{2,3,3},1)))</f>
        <v>2, 3, 5</v>
      </c>
      <c r="AB156" s="90">
        <v>0</v>
      </c>
      <c r="AC156" s="90">
        <v>1</v>
      </c>
      <c r="AD156" s="90">
        <v>2</v>
      </c>
      <c r="AE156" s="90">
        <v>3</v>
      </c>
      <c r="AF156" s="90">
        <v>4</v>
      </c>
      <c r="AG156" s="90">
        <v>5</v>
      </c>
      <c r="AH156" s="90">
        <v>6</v>
      </c>
      <c r="AI156" s="90">
        <v>7</v>
      </c>
      <c r="AJ156" s="90">
        <v>8</v>
      </c>
      <c r="AK156" s="90">
        <v>9</v>
      </c>
      <c r="AL156" s="91">
        <v>0</v>
      </c>
      <c r="AM156" s="91">
        <v>1</v>
      </c>
      <c r="AN156" s="91">
        <v>2</v>
      </c>
      <c r="AO156" s="91">
        <v>3</v>
      </c>
      <c r="AP156" s="91">
        <v>4</v>
      </c>
      <c r="AQ156" s="91">
        <v>5</v>
      </c>
      <c r="AR156" s="91">
        <v>6</v>
      </c>
      <c r="AS156" s="91">
        <v>7</v>
      </c>
      <c r="AT156" s="91">
        <v>8</v>
      </c>
      <c r="AU156" s="91">
        <v>9</v>
      </c>
      <c r="AV156" s="92">
        <v>0</v>
      </c>
      <c r="AW156" s="92">
        <v>1</v>
      </c>
      <c r="AX156" s="92">
        <v>2</v>
      </c>
      <c r="AY156" s="92">
        <v>3</v>
      </c>
      <c r="AZ156" s="92">
        <v>4</v>
      </c>
      <c r="BA156" s="92">
        <v>5</v>
      </c>
      <c r="BB156" s="92">
        <v>6</v>
      </c>
      <c r="BC156" s="92">
        <v>7</v>
      </c>
      <c r="BD156" s="92">
        <v>8</v>
      </c>
      <c r="BE156" s="92">
        <v>9</v>
      </c>
      <c r="BF156" s="93">
        <v>0</v>
      </c>
      <c r="BG156" s="93">
        <v>1</v>
      </c>
      <c r="BH156" s="93">
        <v>2</v>
      </c>
      <c r="BI156" s="93">
        <v>3</v>
      </c>
      <c r="BJ156" s="93">
        <v>4</v>
      </c>
      <c r="BK156" s="93">
        <v>5</v>
      </c>
      <c r="BL156" s="93">
        <v>6</v>
      </c>
      <c r="BM156" s="93">
        <v>7</v>
      </c>
      <c r="BN156" s="93">
        <v>8</v>
      </c>
      <c r="BO156" s="93">
        <v>9</v>
      </c>
      <c r="BP156" s="94" t="str">
        <f t="shared" si="156"/>
        <v>标准型</v>
      </c>
      <c r="BQ156" s="15">
        <f t="shared" si="157"/>
        <v>2</v>
      </c>
      <c r="BR156" s="15">
        <f t="shared" si="158"/>
        <v>5</v>
      </c>
      <c r="BS156" s="20" t="str">
        <f t="shared" si="159"/>
        <v/>
      </c>
      <c r="BT156" s="21">
        <f t="shared" si="171"/>
        <v>2</v>
      </c>
      <c r="BU156" s="21" t="str">
        <f t="array" ref="BU156">_xlfn.TEXTJOIN("",TRUE,IF(ISERROR(FIND(ROW($1:$168)-1,BS156&amp;BT156)),ROW($1:$168)-1,""))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56" s="22" t="str">
        <f t="shared" si="160"/>
        <v>中隔中</v>
      </c>
      <c r="BW156" s="23" t="str">
        <f t="shared" si="161"/>
        <v/>
      </c>
      <c r="BX156" s="23" t="str">
        <f t="shared" si="172"/>
        <v/>
      </c>
      <c r="BY156" s="23" t="str">
        <f t="array" ref="BY156">_xlfn.TEXTJOIN("",TRUE,IF(ISERROR(FIND(ROW($1:$168)-1,BW156&amp;BX156)),ROW($1:$168)-1,""))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56" s="22" t="str">
        <f t="shared" si="162"/>
        <v>中中中</v>
      </c>
      <c r="CA156" s="24" t="str">
        <f t="shared" si="163"/>
        <v/>
      </c>
      <c r="CB156" s="24">
        <f t="shared" si="173"/>
        <v>5</v>
      </c>
      <c r="CC156" s="24" t="str">
        <f t="array" ref="CC156">_xlfn.TEXTJOIN("",TRUE,IF(ISERROR(FIND(ROW($1:$168)-1,CA156&amp;CB156)),ROW($1:$168)-1,""))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56" s="22" t="str">
        <f t="shared" si="164"/>
        <v>中隔中</v>
      </c>
      <c r="CE156" s="25" t="str">
        <f t="shared" si="165"/>
        <v>13</v>
      </c>
      <c r="CF156" s="26" t="str">
        <f t="array" ref="CF156">_xlfn.TEXTJOIN("",TRUE,IF(ISNUMBER(FIND(MID(CE155&amp;W155,ROW($1:$162),1),CE156&amp;W156)),MID(CE155&amp;W155,ROW($1:$162),1),""))</f>
        <v>21</v>
      </c>
      <c r="CG156" s="27" t="str">
        <f t="array" ref="CG156">_xlfn.TEXTJOIN("",TRUE,IF(ISERROR(FIND(ROW($1:$168)-1,CE156&amp;CF156)),ROW($1:$168)-1,""))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156" s="28" t="str">
        <f t="shared" si="166"/>
        <v>邻传孤</v>
      </c>
      <c r="CI156" s="29" t="str">
        <f t="shared" si="167"/>
        <v>24</v>
      </c>
      <c r="CJ156" s="29" t="str">
        <f t="array" ref="CJ156">_xlfn.TEXTJOIN("",TRUE,IF(ISNUMBER(FIND(MID(CI155&amp;X155,ROW($1:$162),1),CI156&amp;X156)),MID(CI155&amp;X155,ROW($1:$162),1),""))</f>
        <v/>
      </c>
      <c r="CK156" s="29" t="str">
        <f t="array" ref="CK156">_xlfn.TEXTJOIN("",TRUE,IF(ISERROR(FIND(ROW($1:$168)-1,CI156&amp;CJ156)),ROW($1:$168)-1,""))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56" s="19" t="str">
        <f t="shared" si="168"/>
        <v>邻孤孤</v>
      </c>
      <c r="CM156" s="24" t="str">
        <f t="shared" si="169"/>
        <v>46</v>
      </c>
      <c r="CN156" s="24" t="str">
        <f t="array" ref="CN156">_xlfn.TEXTJOIN("",TRUE,IF(ISNUMBER(FIND(MID(CM155&amp;Y155,ROW($1:$162),1),CM156&amp;Y156)),MID(CM155&amp;Y155,ROW($1:$162),1),""))</f>
        <v/>
      </c>
      <c r="CO156" s="24" t="str">
        <f t="array" ref="CO156">_xlfn.TEXTJOIN("",TRUE,IF(ISERROR(FIND(ROW($1:$168)-1,CM156&amp;CN156)),ROW($1:$168)-1,""))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56" s="30" t="str">
        <f t="shared" si="170"/>
        <v>邻孤孤</v>
      </c>
    </row>
    <row r="157" spans="1:94">
      <c r="A157" s="15">
        <v>157</v>
      </c>
      <c r="B157" s="80">
        <v>2024126</v>
      </c>
      <c r="C157" s="8" t="s">
        <v>176</v>
      </c>
      <c r="D157" s="81">
        <f t="shared" si="150"/>
        <v>8</v>
      </c>
      <c r="E157" s="82">
        <f t="shared" si="151"/>
        <v>8</v>
      </c>
      <c r="F157" s="83">
        <f t="shared" si="148"/>
        <v>8</v>
      </c>
      <c r="G157" s="84" t="str">
        <f t="shared" si="149"/>
        <v>紧凑</v>
      </c>
      <c r="H157" s="85" t="s">
        <v>10</v>
      </c>
      <c r="I157" s="85" t="s">
        <v>11</v>
      </c>
      <c r="J157" s="85" t="s">
        <v>12</v>
      </c>
      <c r="K157" s="85" t="s">
        <v>13</v>
      </c>
      <c r="L157" s="86">
        <f>MAX(MID(C157,{1,2,3},1)*1)-MIN(MID(C157,{1,2,3},1)*1)</f>
        <v>1</v>
      </c>
      <c r="M157" s="87">
        <v>0</v>
      </c>
      <c r="N157" s="87">
        <v>1</v>
      </c>
      <c r="O157" s="87">
        <v>2</v>
      </c>
      <c r="P157" s="87">
        <v>3</v>
      </c>
      <c r="Q157" s="87">
        <v>4</v>
      </c>
      <c r="R157" s="87">
        <v>5</v>
      </c>
      <c r="S157" s="87">
        <v>6</v>
      </c>
      <c r="T157" s="87">
        <v>7</v>
      </c>
      <c r="U157" s="87">
        <v>8</v>
      </c>
      <c r="V157" s="87">
        <v>9</v>
      </c>
      <c r="W157" s="88">
        <f t="shared" si="152"/>
        <v>1</v>
      </c>
      <c r="X157" s="88">
        <f t="shared" si="153"/>
        <v>0</v>
      </c>
      <c r="Y157" s="88">
        <f t="shared" si="154"/>
        <v>1</v>
      </c>
      <c r="Z157" s="89">
        <f t="shared" si="155"/>
        <v>2</v>
      </c>
      <c r="AA157" s="17" t="str">
        <f>_xlfn.TEXTJOIN(", ",TRUE,ABS(MID(C157,{1,1,2},1)-MID(C157,{2,3,3},1)))</f>
        <v>1, 0, 1</v>
      </c>
      <c r="AB157" s="90">
        <v>0</v>
      </c>
      <c r="AC157" s="90">
        <v>1</v>
      </c>
      <c r="AD157" s="90">
        <v>2</v>
      </c>
      <c r="AE157" s="90">
        <v>3</v>
      </c>
      <c r="AF157" s="90">
        <v>4</v>
      </c>
      <c r="AG157" s="90">
        <v>5</v>
      </c>
      <c r="AH157" s="90">
        <v>6</v>
      </c>
      <c r="AI157" s="90">
        <v>7</v>
      </c>
      <c r="AJ157" s="90">
        <v>8</v>
      </c>
      <c r="AK157" s="90">
        <v>9</v>
      </c>
      <c r="AL157" s="91">
        <v>0</v>
      </c>
      <c r="AM157" s="91">
        <v>1</v>
      </c>
      <c r="AN157" s="91">
        <v>2</v>
      </c>
      <c r="AO157" s="91">
        <v>3</v>
      </c>
      <c r="AP157" s="91">
        <v>4</v>
      </c>
      <c r="AQ157" s="91">
        <v>5</v>
      </c>
      <c r="AR157" s="91">
        <v>6</v>
      </c>
      <c r="AS157" s="91">
        <v>7</v>
      </c>
      <c r="AT157" s="91">
        <v>8</v>
      </c>
      <c r="AU157" s="91">
        <v>9</v>
      </c>
      <c r="AV157" s="92">
        <v>0</v>
      </c>
      <c r="AW157" s="92">
        <v>1</v>
      </c>
      <c r="AX157" s="92">
        <v>2</v>
      </c>
      <c r="AY157" s="92">
        <v>3</v>
      </c>
      <c r="AZ157" s="92">
        <v>4</v>
      </c>
      <c r="BA157" s="92">
        <v>5</v>
      </c>
      <c r="BB157" s="92">
        <v>6</v>
      </c>
      <c r="BC157" s="92">
        <v>7</v>
      </c>
      <c r="BD157" s="92">
        <v>8</v>
      </c>
      <c r="BE157" s="92">
        <v>9</v>
      </c>
      <c r="BF157" s="93">
        <v>0</v>
      </c>
      <c r="BG157" s="93">
        <v>1</v>
      </c>
      <c r="BH157" s="93">
        <v>2</v>
      </c>
      <c r="BI157" s="93">
        <v>3</v>
      </c>
      <c r="BJ157" s="93">
        <v>4</v>
      </c>
      <c r="BK157" s="93">
        <v>5</v>
      </c>
      <c r="BL157" s="93">
        <v>6</v>
      </c>
      <c r="BM157" s="93">
        <v>7</v>
      </c>
      <c r="BN157" s="93">
        <v>8</v>
      </c>
      <c r="BO157" s="93">
        <v>9</v>
      </c>
      <c r="BP157" s="94" t="str">
        <f t="shared" si="156"/>
        <v>紧凑型</v>
      </c>
      <c r="BQ157" s="15">
        <f t="shared" si="157"/>
        <v>0</v>
      </c>
      <c r="BR157" s="15">
        <f t="shared" si="158"/>
        <v>1</v>
      </c>
      <c r="BS157" s="20" t="str">
        <f t="shared" si="159"/>
        <v/>
      </c>
      <c r="BT157" s="21">
        <f t="shared" si="171"/>
        <v>1</v>
      </c>
      <c r="BU157" s="21" t="str">
        <f t="array" ref="BU157">_xlfn.TEXTJOIN("",TRUE,IF(ISERROR(FIND(ROW($1:$168)-1,BS157&amp;BT157)),ROW($1:$168)-1,""))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57" s="22" t="str">
        <f t="shared" si="160"/>
        <v>中隔中</v>
      </c>
      <c r="BW157" s="23" t="str">
        <f t="shared" si="161"/>
        <v/>
      </c>
      <c r="BX157" s="23">
        <f t="shared" si="172"/>
        <v>0</v>
      </c>
      <c r="BY157" s="23" t="str">
        <f t="array" ref="BY157">_xlfn.TEXTJOIN("",TRUE,IF(ISERROR(FIND(ROW($1:$168)-1,BW157&amp;BX157)),ROW($1:$168)-1,""))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57" s="22" t="str">
        <f t="shared" si="162"/>
        <v>中隔中</v>
      </c>
      <c r="CA157" s="24" t="str">
        <f t="shared" si="163"/>
        <v/>
      </c>
      <c r="CB157" s="24">
        <f t="shared" si="173"/>
        <v>1</v>
      </c>
      <c r="CC157" s="24" t="str">
        <f t="array" ref="CC157">_xlfn.TEXTJOIN("",TRUE,IF(ISERROR(FIND(ROW($1:$168)-1,CA157&amp;CB157)),ROW($1:$168)-1,""))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57" s="22" t="str">
        <f t="shared" si="164"/>
        <v>中隔中</v>
      </c>
      <c r="CE157" s="25" t="str">
        <f t="shared" si="165"/>
        <v>02</v>
      </c>
      <c r="CF157" s="26" t="str">
        <f t="array" ref="CF157">_xlfn.TEXTJOIN("",TRUE,IF(ISNUMBER(FIND(MID(CE156&amp;W156,ROW($1:$162),1),CE157&amp;W157)),MID(CE156&amp;W156,ROW($1:$162),1),""))</f>
        <v>12</v>
      </c>
      <c r="CG157" s="27" t="str">
        <f t="array" ref="CG157">_xlfn.TEXTJOIN("",TRUE,IF(ISERROR(FIND(ROW($1:$168)-1,CE157&amp;CF157)),ROW($1:$168)-1,""))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57" s="28" t="str">
        <f t="shared" si="166"/>
        <v>邻传孤</v>
      </c>
      <c r="CI157" s="29" t="str">
        <f t="shared" si="167"/>
        <v>91</v>
      </c>
      <c r="CJ157" s="29" t="str">
        <f t="array" ref="CJ157">_xlfn.TEXTJOIN("",TRUE,IF(ISNUMBER(FIND(MID(CI156&amp;X156,ROW($1:$162),1),CI157&amp;X157)),MID(CI156&amp;X156,ROW($1:$162),1),""))</f>
        <v/>
      </c>
      <c r="CK157" s="29" t="str">
        <f t="array" ref="CK157">_xlfn.TEXTJOIN("",TRUE,IF(ISERROR(FIND(ROW($1:$168)-1,CI157&amp;CJ157)),ROW($1:$168)-1,""))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157" s="19" t="str">
        <f t="shared" si="168"/>
        <v>邻孤孤</v>
      </c>
      <c r="CM157" s="24" t="str">
        <f t="shared" si="169"/>
        <v>02</v>
      </c>
      <c r="CN157" s="24" t="str">
        <f t="array" ref="CN157">_xlfn.TEXTJOIN("",TRUE,IF(ISNUMBER(FIND(MID(CM156&amp;Y156,ROW($1:$162),1),CM157&amp;Y157)),MID(CM156&amp;Y156,ROW($1:$162),1),""))</f>
        <v/>
      </c>
      <c r="CO157" s="24" t="str">
        <f t="array" ref="CO157">_xlfn.TEXTJOIN("",TRUE,IF(ISERROR(FIND(ROW($1:$168)-1,CM157&amp;CN157)),ROW($1:$168)-1,""))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57" s="30" t="str">
        <f t="shared" si="170"/>
        <v>邻孤孤</v>
      </c>
    </row>
    <row r="158" spans="1:94">
      <c r="A158" s="15">
        <v>158</v>
      </c>
      <c r="B158" s="80">
        <v>2024127</v>
      </c>
      <c r="C158" s="8" t="s">
        <v>177</v>
      </c>
      <c r="D158" s="81">
        <f t="shared" si="150"/>
        <v>7</v>
      </c>
      <c r="E158" s="82">
        <f t="shared" si="151"/>
        <v>7</v>
      </c>
      <c r="F158" s="83">
        <f t="shared" si="148"/>
        <v>2.33333333333333</v>
      </c>
      <c r="G158" s="84" t="str">
        <f t="shared" si="149"/>
        <v>标准</v>
      </c>
      <c r="H158" s="85" t="s">
        <v>10</v>
      </c>
      <c r="I158" s="85" t="s">
        <v>11</v>
      </c>
      <c r="J158" s="85" t="s">
        <v>12</v>
      </c>
      <c r="K158" s="85" t="s">
        <v>13</v>
      </c>
      <c r="L158" s="86">
        <f>MAX(MID(C158,{1,2,3},1)*1)-MIN(MID(C158,{1,2,3},1)*1)</f>
        <v>3</v>
      </c>
      <c r="M158" s="87">
        <v>0</v>
      </c>
      <c r="N158" s="87">
        <v>1</v>
      </c>
      <c r="O158" s="87">
        <v>2</v>
      </c>
      <c r="P158" s="87">
        <v>3</v>
      </c>
      <c r="Q158" s="87">
        <v>4</v>
      </c>
      <c r="R158" s="87">
        <v>5</v>
      </c>
      <c r="S158" s="87">
        <v>6</v>
      </c>
      <c r="T158" s="87">
        <v>7</v>
      </c>
      <c r="U158" s="87">
        <v>8</v>
      </c>
      <c r="V158" s="87">
        <v>9</v>
      </c>
      <c r="W158" s="88">
        <f t="shared" si="152"/>
        <v>1</v>
      </c>
      <c r="X158" s="88">
        <f t="shared" si="153"/>
        <v>2</v>
      </c>
      <c r="Y158" s="88">
        <f t="shared" si="154"/>
        <v>3</v>
      </c>
      <c r="Z158" s="89">
        <f t="shared" si="155"/>
        <v>6</v>
      </c>
      <c r="AA158" s="17" t="str">
        <f>_xlfn.TEXTJOIN(", ",TRUE,ABS(MID(C158,{1,1,2},1)-MID(C158,{2,3,3},1)))</f>
        <v>1, 2, 3</v>
      </c>
      <c r="AB158" s="90">
        <v>0</v>
      </c>
      <c r="AC158" s="90">
        <v>1</v>
      </c>
      <c r="AD158" s="90">
        <v>2</v>
      </c>
      <c r="AE158" s="90">
        <v>3</v>
      </c>
      <c r="AF158" s="90">
        <v>4</v>
      </c>
      <c r="AG158" s="90">
        <v>5</v>
      </c>
      <c r="AH158" s="90">
        <v>6</v>
      </c>
      <c r="AI158" s="90">
        <v>7</v>
      </c>
      <c r="AJ158" s="90">
        <v>8</v>
      </c>
      <c r="AK158" s="90">
        <v>9</v>
      </c>
      <c r="AL158" s="91">
        <v>0</v>
      </c>
      <c r="AM158" s="91">
        <v>1</v>
      </c>
      <c r="AN158" s="91">
        <v>2</v>
      </c>
      <c r="AO158" s="91">
        <v>3</v>
      </c>
      <c r="AP158" s="91">
        <v>4</v>
      </c>
      <c r="AQ158" s="91">
        <v>5</v>
      </c>
      <c r="AR158" s="91">
        <v>6</v>
      </c>
      <c r="AS158" s="91">
        <v>7</v>
      </c>
      <c r="AT158" s="91">
        <v>8</v>
      </c>
      <c r="AU158" s="91">
        <v>9</v>
      </c>
      <c r="AV158" s="92">
        <v>0</v>
      </c>
      <c r="AW158" s="92">
        <v>1</v>
      </c>
      <c r="AX158" s="92">
        <v>2</v>
      </c>
      <c r="AY158" s="92">
        <v>3</v>
      </c>
      <c r="AZ158" s="92">
        <v>4</v>
      </c>
      <c r="BA158" s="92">
        <v>5</v>
      </c>
      <c r="BB158" s="92">
        <v>6</v>
      </c>
      <c r="BC158" s="92">
        <v>7</v>
      </c>
      <c r="BD158" s="92">
        <v>8</v>
      </c>
      <c r="BE158" s="92">
        <v>9</v>
      </c>
      <c r="BF158" s="93">
        <v>0</v>
      </c>
      <c r="BG158" s="93">
        <v>1</v>
      </c>
      <c r="BH158" s="93">
        <v>2</v>
      </c>
      <c r="BI158" s="93">
        <v>3</v>
      </c>
      <c r="BJ158" s="93">
        <v>4</v>
      </c>
      <c r="BK158" s="93">
        <v>5</v>
      </c>
      <c r="BL158" s="93">
        <v>6</v>
      </c>
      <c r="BM158" s="93">
        <v>7</v>
      </c>
      <c r="BN158" s="93">
        <v>8</v>
      </c>
      <c r="BO158" s="93">
        <v>9</v>
      </c>
      <c r="BP158" s="94" t="str">
        <f t="shared" si="156"/>
        <v>紧凑型</v>
      </c>
      <c r="BQ158" s="15">
        <f t="shared" si="157"/>
        <v>1</v>
      </c>
      <c r="BR158" s="15">
        <f t="shared" si="158"/>
        <v>3</v>
      </c>
      <c r="BS158" s="20">
        <f t="shared" si="159"/>
        <v>1</v>
      </c>
      <c r="BT158" s="21" t="str">
        <f t="shared" si="171"/>
        <v/>
      </c>
      <c r="BU158" s="21" t="str">
        <f t="array" ref="BU158">_xlfn.TEXTJOIN("",TRUE,IF(ISERROR(FIND(ROW($1:$168)-1,BS158&amp;BT158)),ROW($1:$168)-1,""))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58" s="22" t="str">
        <f t="shared" si="160"/>
        <v>复中中</v>
      </c>
      <c r="BW158" s="23" t="str">
        <f t="shared" si="161"/>
        <v/>
      </c>
      <c r="BX158" s="23">
        <f t="shared" si="172"/>
        <v>2</v>
      </c>
      <c r="BY158" s="23" t="str">
        <f t="array" ref="BY158">_xlfn.TEXTJOIN("",TRUE,IF(ISERROR(FIND(ROW($1:$168)-1,BW158&amp;BX158)),ROW($1:$168)-1,""))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58" s="22" t="str">
        <f t="shared" si="162"/>
        <v>中隔中</v>
      </c>
      <c r="CA158" s="24" t="str">
        <f t="shared" si="163"/>
        <v/>
      </c>
      <c r="CB158" s="24">
        <f t="shared" si="173"/>
        <v>3</v>
      </c>
      <c r="CC158" s="24" t="str">
        <f t="array" ref="CC158">_xlfn.TEXTJOIN("",TRUE,IF(ISERROR(FIND(ROW($1:$168)-1,CA158&amp;CB158)),ROW($1:$168)-1,""))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58" s="22" t="str">
        <f t="shared" si="164"/>
        <v>中隔中</v>
      </c>
      <c r="CE158" s="25" t="str">
        <f t="shared" si="165"/>
        <v>02</v>
      </c>
      <c r="CF158" s="26" t="str">
        <f t="array" ref="CF158">_xlfn.TEXTJOIN("",TRUE,IF(ISNUMBER(FIND(MID(CE157&amp;W157,ROW($1:$162),1),CE158&amp;W158)),MID(CE157&amp;W157,ROW($1:$162),1),""))</f>
        <v>021</v>
      </c>
      <c r="CG158" s="27" t="str">
        <f t="array" ref="CG158">_xlfn.TEXTJOIN("",TRUE,IF(ISERROR(FIND(ROW($1:$168)-1,CE158&amp;CF158)),ROW($1:$168)-1,""))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58" s="28" t="str">
        <f t="shared" si="166"/>
        <v>邻传孤</v>
      </c>
      <c r="CI158" s="29" t="str">
        <f t="shared" si="167"/>
        <v>13</v>
      </c>
      <c r="CJ158" s="29" t="str">
        <f t="array" ref="CJ158">_xlfn.TEXTJOIN("",TRUE,IF(ISNUMBER(FIND(MID(CI157&amp;X157,ROW($1:$162),1),CI158&amp;X158)),MID(CI157&amp;X157,ROW($1:$162),1),""))</f>
        <v>1</v>
      </c>
      <c r="CK158" s="29" t="str">
        <f t="array" ref="CK158">_xlfn.TEXTJOIN("",TRUE,IF(ISERROR(FIND(ROW($1:$168)-1,CI158&amp;CJ158)),ROW($1:$168)-1,""))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L158" s="19" t="str">
        <f t="shared" si="168"/>
        <v>邻传孤</v>
      </c>
      <c r="CM158" s="24" t="str">
        <f t="shared" si="169"/>
        <v>24</v>
      </c>
      <c r="CN158" s="24" t="str">
        <f t="array" ref="CN158">_xlfn.TEXTJOIN("",TRUE,IF(ISNUMBER(FIND(MID(CM157&amp;Y157,ROW($1:$162),1),CM158&amp;Y158)),MID(CM157&amp;Y157,ROW($1:$162),1),""))</f>
        <v>2</v>
      </c>
      <c r="CO158" s="24" t="str">
        <f t="array" ref="CO158">_xlfn.TEXTJOIN("",TRUE,IF(ISERROR(FIND(ROW($1:$168)-1,CM158&amp;CN158)),ROW($1:$168)-1,""))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58" s="30" t="str">
        <f t="shared" si="170"/>
        <v>邻传孤</v>
      </c>
    </row>
    <row r="159" spans="1:94">
      <c r="A159" s="15">
        <v>159</v>
      </c>
      <c r="B159" s="80">
        <v>2024128</v>
      </c>
      <c r="C159" s="8" t="s">
        <v>36</v>
      </c>
      <c r="D159" s="81">
        <f t="shared" si="150"/>
        <v>15</v>
      </c>
      <c r="E159" s="82">
        <f t="shared" si="151"/>
        <v>5</v>
      </c>
      <c r="F159" s="83">
        <f t="shared" si="148"/>
        <v>3.75</v>
      </c>
      <c r="G159" s="84" t="str">
        <f t="shared" si="149"/>
        <v>紧凑</v>
      </c>
      <c r="H159" s="85" t="s">
        <v>10</v>
      </c>
      <c r="I159" s="85" t="s">
        <v>11</v>
      </c>
      <c r="J159" s="85" t="s">
        <v>12</v>
      </c>
      <c r="K159" s="85" t="s">
        <v>13</v>
      </c>
      <c r="L159" s="86">
        <f>MAX(MID(C159,{1,2,3},1)*1)-MIN(MID(C159,{1,2,3},1)*1)</f>
        <v>4</v>
      </c>
      <c r="M159" s="87">
        <v>0</v>
      </c>
      <c r="N159" s="87">
        <v>1</v>
      </c>
      <c r="O159" s="87">
        <v>2</v>
      </c>
      <c r="P159" s="87">
        <v>3</v>
      </c>
      <c r="Q159" s="87">
        <v>4</v>
      </c>
      <c r="R159" s="87">
        <v>5</v>
      </c>
      <c r="S159" s="87">
        <v>6</v>
      </c>
      <c r="T159" s="87">
        <v>7</v>
      </c>
      <c r="U159" s="87">
        <v>8</v>
      </c>
      <c r="V159" s="87">
        <v>9</v>
      </c>
      <c r="W159" s="88">
        <f t="shared" si="152"/>
        <v>2</v>
      </c>
      <c r="X159" s="88">
        <f t="shared" si="153"/>
        <v>2</v>
      </c>
      <c r="Y159" s="88">
        <f t="shared" si="154"/>
        <v>4</v>
      </c>
      <c r="Z159" s="89">
        <f t="shared" si="155"/>
        <v>8</v>
      </c>
      <c r="AA159" s="17" t="str">
        <f>_xlfn.TEXTJOIN(", ",TRUE,ABS(MID(C159,{1,1,2},1)-MID(C159,{2,3,3},1)))</f>
        <v>2, 2, 4</v>
      </c>
      <c r="AB159" s="90">
        <v>0</v>
      </c>
      <c r="AC159" s="90">
        <v>1</v>
      </c>
      <c r="AD159" s="90">
        <v>2</v>
      </c>
      <c r="AE159" s="90">
        <v>3</v>
      </c>
      <c r="AF159" s="90">
        <v>4</v>
      </c>
      <c r="AG159" s="90">
        <v>5</v>
      </c>
      <c r="AH159" s="90">
        <v>6</v>
      </c>
      <c r="AI159" s="90">
        <v>7</v>
      </c>
      <c r="AJ159" s="90">
        <v>8</v>
      </c>
      <c r="AK159" s="90">
        <v>9</v>
      </c>
      <c r="AL159" s="91">
        <v>0</v>
      </c>
      <c r="AM159" s="91">
        <v>1</v>
      </c>
      <c r="AN159" s="91">
        <v>2</v>
      </c>
      <c r="AO159" s="91">
        <v>3</v>
      </c>
      <c r="AP159" s="91">
        <v>4</v>
      </c>
      <c r="AQ159" s="91">
        <v>5</v>
      </c>
      <c r="AR159" s="91">
        <v>6</v>
      </c>
      <c r="AS159" s="91">
        <v>7</v>
      </c>
      <c r="AT159" s="91">
        <v>8</v>
      </c>
      <c r="AU159" s="91">
        <v>9</v>
      </c>
      <c r="AV159" s="92">
        <v>0</v>
      </c>
      <c r="AW159" s="92">
        <v>1</v>
      </c>
      <c r="AX159" s="92">
        <v>2</v>
      </c>
      <c r="AY159" s="92">
        <v>3</v>
      </c>
      <c r="AZ159" s="92">
        <v>4</v>
      </c>
      <c r="BA159" s="92">
        <v>5</v>
      </c>
      <c r="BB159" s="92">
        <v>6</v>
      </c>
      <c r="BC159" s="92">
        <v>7</v>
      </c>
      <c r="BD159" s="92">
        <v>8</v>
      </c>
      <c r="BE159" s="92">
        <v>9</v>
      </c>
      <c r="BF159" s="93">
        <v>0</v>
      </c>
      <c r="BG159" s="93">
        <v>1</v>
      </c>
      <c r="BH159" s="93">
        <v>2</v>
      </c>
      <c r="BI159" s="93">
        <v>3</v>
      </c>
      <c r="BJ159" s="93">
        <v>4</v>
      </c>
      <c r="BK159" s="93">
        <v>5</v>
      </c>
      <c r="BL159" s="93">
        <v>6</v>
      </c>
      <c r="BM159" s="93">
        <v>7</v>
      </c>
      <c r="BN159" s="93">
        <v>8</v>
      </c>
      <c r="BO159" s="93">
        <v>9</v>
      </c>
      <c r="BP159" s="94" t="str">
        <f t="shared" si="156"/>
        <v>标准型</v>
      </c>
      <c r="BQ159" s="15">
        <f t="shared" si="157"/>
        <v>2</v>
      </c>
      <c r="BR159" s="15">
        <f t="shared" si="158"/>
        <v>4</v>
      </c>
      <c r="BS159" s="20">
        <f t="shared" si="159"/>
        <v>2</v>
      </c>
      <c r="BT159" s="21" t="str">
        <f t="shared" si="171"/>
        <v/>
      </c>
      <c r="BU159" s="21" t="str">
        <f t="array" ref="BU159">_xlfn.TEXTJOIN("",TRUE,IF(ISERROR(FIND(ROW($1:$168)-1,BS159&amp;BT159)),ROW($1:$168)-1,""))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59" s="22" t="str">
        <f t="shared" si="160"/>
        <v>复中中</v>
      </c>
      <c r="BW159" s="23">
        <f t="shared" si="161"/>
        <v>2</v>
      </c>
      <c r="BX159" s="23" t="str">
        <f t="shared" si="172"/>
        <v/>
      </c>
      <c r="BY159" s="23" t="str">
        <f t="array" ref="BY159">_xlfn.TEXTJOIN("",TRUE,IF(ISERROR(FIND(ROW($1:$168)-1,BW159&amp;BX159)),ROW($1:$168)-1,""))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59" s="22" t="str">
        <f t="shared" si="162"/>
        <v>复中中</v>
      </c>
      <c r="CA159" s="24" t="str">
        <f t="shared" si="163"/>
        <v/>
      </c>
      <c r="CB159" s="24" t="str">
        <f t="shared" si="173"/>
        <v/>
      </c>
      <c r="CC159" s="24" t="str">
        <f t="array" ref="CC159">_xlfn.TEXTJOIN("",TRUE,IF(ISERROR(FIND(ROW($1:$168)-1,CA159&amp;CB159)),ROW($1:$168)-1,""))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59" s="22" t="str">
        <f t="shared" si="164"/>
        <v>中中中</v>
      </c>
      <c r="CE159" s="25" t="str">
        <f t="shared" si="165"/>
        <v>13</v>
      </c>
      <c r="CF159" s="26" t="str">
        <f t="array" ref="CF159">_xlfn.TEXTJOIN("",TRUE,IF(ISNUMBER(FIND(MID(CE158&amp;W158,ROW($1:$162),1),CE159&amp;W159)),MID(CE158&amp;W158,ROW($1:$162),1),""))</f>
        <v>21</v>
      </c>
      <c r="CG159" s="27" t="str">
        <f t="array" ref="CG159">_xlfn.TEXTJOIN("",TRUE,IF(ISERROR(FIND(ROW($1:$168)-1,CE159&amp;CF159)),ROW($1:$168)-1,""))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159" s="28" t="str">
        <f t="shared" si="166"/>
        <v>邻传孤</v>
      </c>
      <c r="CI159" s="29" t="str">
        <f t="shared" si="167"/>
        <v>13</v>
      </c>
      <c r="CJ159" s="29" t="str">
        <f t="array" ref="CJ159">_xlfn.TEXTJOIN("",TRUE,IF(ISNUMBER(FIND(MID(CI158&amp;X158,ROW($1:$162),1),CI159&amp;X159)),MID(CI158&amp;X158,ROW($1:$162),1),""))</f>
        <v>132</v>
      </c>
      <c r="CK159" s="29" t="str">
        <f t="array" ref="CK159">_xlfn.TEXTJOIN("",TRUE,IF(ISERROR(FIND(ROW($1:$168)-1,CI159&amp;CJ159)),ROW($1:$168)-1,""))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159" s="19" t="str">
        <f t="shared" si="168"/>
        <v>邻传孤</v>
      </c>
      <c r="CM159" s="24" t="str">
        <f t="shared" si="169"/>
        <v>35</v>
      </c>
      <c r="CN159" s="24" t="str">
        <f t="array" ref="CN159">_xlfn.TEXTJOIN("",TRUE,IF(ISNUMBER(FIND(MID(CM158&amp;Y158,ROW($1:$162),1),CM159&amp;Y159)),MID(CM158&amp;Y158,ROW($1:$162),1),""))</f>
        <v>43</v>
      </c>
      <c r="CO159" s="24" t="str">
        <f t="array" ref="CO159">_xlfn.TEXTJOIN("",TRUE,IF(ISERROR(FIND(ROW($1:$168)-1,CM159&amp;CN159)),ROW($1:$168)-1,""))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59" s="30" t="str">
        <f t="shared" si="170"/>
        <v>邻传孤</v>
      </c>
    </row>
    <row r="160" spans="1:94">
      <c r="A160" s="15">
        <v>160</v>
      </c>
      <c r="B160" s="80">
        <v>2024129</v>
      </c>
      <c r="C160" s="8" t="s">
        <v>178</v>
      </c>
      <c r="D160" s="81">
        <f t="shared" si="150"/>
        <v>13</v>
      </c>
      <c r="E160" s="82">
        <f t="shared" si="151"/>
        <v>3</v>
      </c>
      <c r="F160" s="83">
        <f t="shared" si="148"/>
        <v>1.85714285714286</v>
      </c>
      <c r="G160" s="84" t="str">
        <f t="shared" si="149"/>
        <v>松散</v>
      </c>
      <c r="H160" s="85" t="s">
        <v>10</v>
      </c>
      <c r="I160" s="85" t="s">
        <v>11</v>
      </c>
      <c r="J160" s="85" t="s">
        <v>12</v>
      </c>
      <c r="K160" s="85" t="s">
        <v>13</v>
      </c>
      <c r="L160" s="86">
        <f>MAX(MID(C160,{1,2,3},1)*1)-MIN(MID(C160,{1,2,3},1)*1)</f>
        <v>7</v>
      </c>
      <c r="M160" s="87">
        <v>0</v>
      </c>
      <c r="N160" s="87">
        <v>1</v>
      </c>
      <c r="O160" s="87">
        <v>2</v>
      </c>
      <c r="P160" s="87">
        <v>3</v>
      </c>
      <c r="Q160" s="87">
        <v>4</v>
      </c>
      <c r="R160" s="87">
        <v>5</v>
      </c>
      <c r="S160" s="87">
        <v>6</v>
      </c>
      <c r="T160" s="87">
        <v>7</v>
      </c>
      <c r="U160" s="87">
        <v>8</v>
      </c>
      <c r="V160" s="87">
        <v>9</v>
      </c>
      <c r="W160" s="88">
        <f t="shared" si="152"/>
        <v>6</v>
      </c>
      <c r="X160" s="88">
        <f t="shared" si="153"/>
        <v>7</v>
      </c>
      <c r="Y160" s="88">
        <f t="shared" si="154"/>
        <v>1</v>
      </c>
      <c r="Z160" s="89">
        <f t="shared" si="155"/>
        <v>14</v>
      </c>
      <c r="AA160" s="17" t="str">
        <f>_xlfn.TEXTJOIN(", ",TRUE,ABS(MID(C160,{1,1,2},1)-MID(C160,{2,3,3},1)))</f>
        <v>6, 7, 1</v>
      </c>
      <c r="AB160" s="90">
        <v>0</v>
      </c>
      <c r="AC160" s="90">
        <v>1</v>
      </c>
      <c r="AD160" s="90">
        <v>2</v>
      </c>
      <c r="AE160" s="90">
        <v>3</v>
      </c>
      <c r="AF160" s="90">
        <v>4</v>
      </c>
      <c r="AG160" s="90">
        <v>5</v>
      </c>
      <c r="AH160" s="90">
        <v>6</v>
      </c>
      <c r="AI160" s="90">
        <v>7</v>
      </c>
      <c r="AJ160" s="90">
        <v>8</v>
      </c>
      <c r="AK160" s="90">
        <v>9</v>
      </c>
      <c r="AL160" s="91">
        <v>0</v>
      </c>
      <c r="AM160" s="91">
        <v>1</v>
      </c>
      <c r="AN160" s="91">
        <v>2</v>
      </c>
      <c r="AO160" s="91">
        <v>3</v>
      </c>
      <c r="AP160" s="91">
        <v>4</v>
      </c>
      <c r="AQ160" s="91">
        <v>5</v>
      </c>
      <c r="AR160" s="91">
        <v>6</v>
      </c>
      <c r="AS160" s="91">
        <v>7</v>
      </c>
      <c r="AT160" s="91">
        <v>8</v>
      </c>
      <c r="AU160" s="91">
        <v>9</v>
      </c>
      <c r="AV160" s="92">
        <v>0</v>
      </c>
      <c r="AW160" s="92">
        <v>1</v>
      </c>
      <c r="AX160" s="92">
        <v>2</v>
      </c>
      <c r="AY160" s="92">
        <v>3</v>
      </c>
      <c r="AZ160" s="92">
        <v>4</v>
      </c>
      <c r="BA160" s="92">
        <v>5</v>
      </c>
      <c r="BB160" s="92">
        <v>6</v>
      </c>
      <c r="BC160" s="92">
        <v>7</v>
      </c>
      <c r="BD160" s="92">
        <v>8</v>
      </c>
      <c r="BE160" s="92">
        <v>9</v>
      </c>
      <c r="BF160" s="93">
        <v>0</v>
      </c>
      <c r="BG160" s="93">
        <v>1</v>
      </c>
      <c r="BH160" s="93">
        <v>2</v>
      </c>
      <c r="BI160" s="93">
        <v>3</v>
      </c>
      <c r="BJ160" s="93">
        <v>4</v>
      </c>
      <c r="BK160" s="93">
        <v>5</v>
      </c>
      <c r="BL160" s="93">
        <v>6</v>
      </c>
      <c r="BM160" s="93">
        <v>7</v>
      </c>
      <c r="BN160" s="93">
        <v>8</v>
      </c>
      <c r="BO160" s="93">
        <v>9</v>
      </c>
      <c r="BP160" s="94" t="str">
        <f t="shared" si="156"/>
        <v>松散型</v>
      </c>
      <c r="BQ160" s="15">
        <f t="shared" si="157"/>
        <v>1</v>
      </c>
      <c r="BR160" s="15">
        <f t="shared" si="158"/>
        <v>7</v>
      </c>
      <c r="BS160" s="20" t="str">
        <f t="shared" si="159"/>
        <v/>
      </c>
      <c r="BT160" s="21" t="str">
        <f t="shared" si="171"/>
        <v/>
      </c>
      <c r="BU160" s="21" t="str">
        <f t="array" ref="BU160">_xlfn.TEXTJOIN("",TRUE,IF(ISERROR(FIND(ROW($1:$168)-1,BS160&amp;BT160)),ROW($1:$168)-1,""))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60" s="22" t="str">
        <f t="shared" si="160"/>
        <v>中中中</v>
      </c>
      <c r="BW160" s="23" t="str">
        <f t="shared" si="161"/>
        <v/>
      </c>
      <c r="BX160" s="23" t="str">
        <f t="shared" si="172"/>
        <v/>
      </c>
      <c r="BY160" s="23" t="str">
        <f t="array" ref="BY160">_xlfn.TEXTJOIN("",TRUE,IF(ISERROR(FIND(ROW($1:$168)-1,BW160&amp;BX160)),ROW($1:$168)-1,""))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60" s="22" t="str">
        <f t="shared" si="162"/>
        <v>中中中</v>
      </c>
      <c r="CA160" s="24" t="str">
        <f t="shared" si="163"/>
        <v/>
      </c>
      <c r="CB160" s="24">
        <f t="shared" si="173"/>
        <v>1</v>
      </c>
      <c r="CC160" s="24" t="str">
        <f t="array" ref="CC160">_xlfn.TEXTJOIN("",TRUE,IF(ISERROR(FIND(ROW($1:$168)-1,CA160&amp;CB160)),ROW($1:$168)-1,""))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60" s="22" t="str">
        <f t="shared" si="164"/>
        <v>中隔中</v>
      </c>
      <c r="CE160" s="25" t="str">
        <f t="shared" si="165"/>
        <v>57</v>
      </c>
      <c r="CF160" s="26" t="str">
        <f t="array" ref="CF160">_xlfn.TEXTJOIN("",TRUE,IF(ISNUMBER(FIND(MID(CE159&amp;W159,ROW($1:$162),1),CE160&amp;W160)),MID(CE159&amp;W159,ROW($1:$162),1),""))</f>
        <v/>
      </c>
      <c r="CG160" s="27" t="str">
        <f t="array" ref="CG160">_xlfn.TEXTJOIN("",TRUE,IF(ISERROR(FIND(ROW($1:$168)-1,CE160&amp;CF160)),ROW($1:$168)-1,""))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60" s="28" t="str">
        <f t="shared" si="166"/>
        <v>邻孤孤</v>
      </c>
      <c r="CI160" s="29" t="str">
        <f t="shared" si="167"/>
        <v>68</v>
      </c>
      <c r="CJ160" s="29" t="str">
        <f t="array" ref="CJ160">_xlfn.TEXTJOIN("",TRUE,IF(ISNUMBER(FIND(MID(CI159&amp;X159,ROW($1:$162),1),CI160&amp;X160)),MID(CI159&amp;X159,ROW($1:$162),1),""))</f>
        <v/>
      </c>
      <c r="CK160" s="29" t="str">
        <f t="array" ref="CK160">_xlfn.TEXTJOIN("",TRUE,IF(ISERROR(FIND(ROW($1:$168)-1,CI160&amp;CJ160)),ROW($1:$168)-1,""))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60" s="19" t="str">
        <f t="shared" si="168"/>
        <v>邻孤孤</v>
      </c>
      <c r="CM160" s="24" t="str">
        <f t="shared" si="169"/>
        <v>02</v>
      </c>
      <c r="CN160" s="24" t="str">
        <f t="array" ref="CN160">_xlfn.TEXTJOIN("",TRUE,IF(ISNUMBER(FIND(MID(CM159&amp;Y159,ROW($1:$162),1),CM160&amp;Y160)),MID(CM159&amp;Y159,ROW($1:$162),1),""))</f>
        <v/>
      </c>
      <c r="CO160" s="24" t="str">
        <f t="array" ref="CO160">_xlfn.TEXTJOIN("",TRUE,IF(ISERROR(FIND(ROW($1:$168)-1,CM160&amp;CN160)),ROW($1:$168)-1,""))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60" s="30" t="str">
        <f t="shared" si="170"/>
        <v>邻孤孤</v>
      </c>
    </row>
    <row r="161" spans="1:94">
      <c r="A161" s="15">
        <v>161</v>
      </c>
      <c r="B161" s="80">
        <v>2024130</v>
      </c>
      <c r="C161" s="8" t="s">
        <v>179</v>
      </c>
      <c r="D161" s="81">
        <f t="shared" ref="D161:D185" si="174">LEFT(C161,1)+MID(C161,2,1)+RIGHT(C161,1)</f>
        <v>12</v>
      </c>
      <c r="E161" s="82">
        <f t="shared" ref="E161:E185" si="175">MOD(LEFT(C161,1)+MID(C161,2,1)+RIGHT(C161,1),10)</f>
        <v>2</v>
      </c>
      <c r="F161" s="83">
        <f t="shared" si="148"/>
        <v>2</v>
      </c>
      <c r="G161" s="84" t="str">
        <f t="shared" si="149"/>
        <v>标准</v>
      </c>
      <c r="H161" s="85" t="s">
        <v>10</v>
      </c>
      <c r="I161" s="85" t="s">
        <v>11</v>
      </c>
      <c r="J161" s="85" t="s">
        <v>12</v>
      </c>
      <c r="K161" s="85" t="s">
        <v>13</v>
      </c>
      <c r="L161" s="86">
        <f>MAX(MID(C161,{1,2,3},1)*1)-MIN(MID(C161,{1,2,3},1)*1)</f>
        <v>6</v>
      </c>
      <c r="M161" s="87">
        <v>0</v>
      </c>
      <c r="N161" s="87">
        <v>1</v>
      </c>
      <c r="O161" s="87">
        <v>2</v>
      </c>
      <c r="P161" s="87">
        <v>3</v>
      </c>
      <c r="Q161" s="87">
        <v>4</v>
      </c>
      <c r="R161" s="87">
        <v>5</v>
      </c>
      <c r="S161" s="87">
        <v>6</v>
      </c>
      <c r="T161" s="87">
        <v>7</v>
      </c>
      <c r="U161" s="87">
        <v>8</v>
      </c>
      <c r="V161" s="87">
        <v>9</v>
      </c>
      <c r="W161" s="88">
        <f t="shared" ref="W161:W185" si="176">ABS(LEFT(C161,1)-MID(C161,2,1))</f>
        <v>6</v>
      </c>
      <c r="X161" s="88">
        <f t="shared" ref="X161:X185" si="177">ABS(LEFT(C161,1)-RIGHT(C161,1))</f>
        <v>6</v>
      </c>
      <c r="Y161" s="88">
        <f t="shared" ref="Y161:Y185" si="178">ABS(MID(C161,2,1)-RIGHT(C161,1))</f>
        <v>0</v>
      </c>
      <c r="Z161" s="89">
        <f t="shared" si="155"/>
        <v>12</v>
      </c>
      <c r="AA161" s="17" t="str">
        <f>_xlfn.TEXTJOIN(", ",TRUE,ABS(MID(C161,{1,1,2},1)-MID(C161,{2,3,3},1)))</f>
        <v>6, 6, 0</v>
      </c>
      <c r="AB161" s="90">
        <v>0</v>
      </c>
      <c r="AC161" s="90">
        <v>1</v>
      </c>
      <c r="AD161" s="90">
        <v>2</v>
      </c>
      <c r="AE161" s="90">
        <v>3</v>
      </c>
      <c r="AF161" s="90">
        <v>4</v>
      </c>
      <c r="AG161" s="90">
        <v>5</v>
      </c>
      <c r="AH161" s="90">
        <v>6</v>
      </c>
      <c r="AI161" s="90">
        <v>7</v>
      </c>
      <c r="AJ161" s="90">
        <v>8</v>
      </c>
      <c r="AK161" s="90">
        <v>9</v>
      </c>
      <c r="AL161" s="91">
        <v>0</v>
      </c>
      <c r="AM161" s="91">
        <v>1</v>
      </c>
      <c r="AN161" s="91">
        <v>2</v>
      </c>
      <c r="AO161" s="91">
        <v>3</v>
      </c>
      <c r="AP161" s="91">
        <v>4</v>
      </c>
      <c r="AQ161" s="91">
        <v>5</v>
      </c>
      <c r="AR161" s="91">
        <v>6</v>
      </c>
      <c r="AS161" s="91">
        <v>7</v>
      </c>
      <c r="AT161" s="91">
        <v>8</v>
      </c>
      <c r="AU161" s="91">
        <v>9</v>
      </c>
      <c r="AV161" s="92">
        <v>0</v>
      </c>
      <c r="AW161" s="92">
        <v>1</v>
      </c>
      <c r="AX161" s="92">
        <v>2</v>
      </c>
      <c r="AY161" s="92">
        <v>3</v>
      </c>
      <c r="AZ161" s="92">
        <v>4</v>
      </c>
      <c r="BA161" s="92">
        <v>5</v>
      </c>
      <c r="BB161" s="92">
        <v>6</v>
      </c>
      <c r="BC161" s="92">
        <v>7</v>
      </c>
      <c r="BD161" s="92">
        <v>8</v>
      </c>
      <c r="BE161" s="92">
        <v>9</v>
      </c>
      <c r="BF161" s="93">
        <v>0</v>
      </c>
      <c r="BG161" s="93">
        <v>1</v>
      </c>
      <c r="BH161" s="93">
        <v>2</v>
      </c>
      <c r="BI161" s="93">
        <v>3</v>
      </c>
      <c r="BJ161" s="93">
        <v>4</v>
      </c>
      <c r="BK161" s="93">
        <v>5</v>
      </c>
      <c r="BL161" s="93">
        <v>6</v>
      </c>
      <c r="BM161" s="93">
        <v>7</v>
      </c>
      <c r="BN161" s="93">
        <v>8</v>
      </c>
      <c r="BO161" s="93">
        <v>9</v>
      </c>
      <c r="BP161" s="94" t="str">
        <f t="shared" si="156"/>
        <v>松散型</v>
      </c>
      <c r="BQ161" s="15">
        <f t="shared" ref="BQ161:BQ224" si="179">MIN(ABS(INT(C161/100)-INT(MOD(C161,100)/10)),ABS(INT(C161/100)-MOD(C161,10)),ABS(INT(MOD(C161,100)/10)-MOD(C161,10)))</f>
        <v>0</v>
      </c>
      <c r="BR161" s="15">
        <f t="shared" ref="BR161:BR224" si="180">MAX(ABS(INT(C161/100)-INT(MOD(C161,100)/10)),ABS(INT(C161/100)-MOD(C161,10)),ABS(INT(MOD(C161,100)/10)-MOD(C161,10)))</f>
        <v>6</v>
      </c>
      <c r="BV161" s="66"/>
      <c r="BZ161" s="68"/>
      <c r="CD161" s="70"/>
      <c r="CH161" s="74"/>
      <c r="CL161" s="77"/>
      <c r="CP161" s="79"/>
    </row>
    <row r="162" spans="1:94">
      <c r="A162" s="15">
        <v>162</v>
      </c>
      <c r="B162" s="80">
        <v>2024131</v>
      </c>
      <c r="C162" s="8" t="s">
        <v>180</v>
      </c>
      <c r="D162" s="81">
        <f t="shared" si="174"/>
        <v>15</v>
      </c>
      <c r="E162" s="82">
        <f t="shared" si="175"/>
        <v>5</v>
      </c>
      <c r="F162" s="83">
        <f t="shared" si="148"/>
        <v>1.66666666666667</v>
      </c>
      <c r="G162" s="84" t="str">
        <f t="shared" si="149"/>
        <v>松散</v>
      </c>
      <c r="H162" s="85" t="s">
        <v>10</v>
      </c>
      <c r="I162" s="85" t="s">
        <v>11</v>
      </c>
      <c r="J162" s="85" t="s">
        <v>12</v>
      </c>
      <c r="K162" s="85" t="s">
        <v>13</v>
      </c>
      <c r="L162" s="86">
        <f>MAX(MID(C162,{1,2,3},1)*1)-MIN(MID(C162,{1,2,3},1)*1)</f>
        <v>9</v>
      </c>
      <c r="M162" s="87">
        <v>0</v>
      </c>
      <c r="N162" s="87">
        <v>1</v>
      </c>
      <c r="O162" s="87">
        <v>2</v>
      </c>
      <c r="P162" s="87">
        <v>3</v>
      </c>
      <c r="Q162" s="87">
        <v>4</v>
      </c>
      <c r="R162" s="87">
        <v>5</v>
      </c>
      <c r="S162" s="87">
        <v>6</v>
      </c>
      <c r="T162" s="87">
        <v>7</v>
      </c>
      <c r="U162" s="87">
        <v>8</v>
      </c>
      <c r="V162" s="87">
        <v>9</v>
      </c>
      <c r="W162" s="88">
        <f t="shared" si="176"/>
        <v>6</v>
      </c>
      <c r="X162" s="88">
        <f t="shared" si="177"/>
        <v>9</v>
      </c>
      <c r="Y162" s="88">
        <f t="shared" si="178"/>
        <v>3</v>
      </c>
      <c r="Z162" s="89">
        <f t="shared" ref="Z162:Z225" si="181">W162+X162+Y162</f>
        <v>18</v>
      </c>
      <c r="AA162" s="17" t="str">
        <f>_xlfn.TEXTJOIN(", ",TRUE,ABS(MID(C162,{1,1,2},1)-MID(C162,{2,3,3},1)))</f>
        <v>6, 9, 3</v>
      </c>
      <c r="AB162" s="90">
        <v>0</v>
      </c>
      <c r="AC162" s="90">
        <v>1</v>
      </c>
      <c r="AD162" s="90">
        <v>2</v>
      </c>
      <c r="AE162" s="90">
        <v>3</v>
      </c>
      <c r="AF162" s="90">
        <v>4</v>
      </c>
      <c r="AG162" s="90">
        <v>5</v>
      </c>
      <c r="AH162" s="90">
        <v>6</v>
      </c>
      <c r="AI162" s="90">
        <v>7</v>
      </c>
      <c r="AJ162" s="90">
        <v>8</v>
      </c>
      <c r="AK162" s="90">
        <v>9</v>
      </c>
      <c r="AL162" s="91">
        <v>0</v>
      </c>
      <c r="AM162" s="91">
        <v>1</v>
      </c>
      <c r="AN162" s="91">
        <v>2</v>
      </c>
      <c r="AO162" s="91">
        <v>3</v>
      </c>
      <c r="AP162" s="91">
        <v>4</v>
      </c>
      <c r="AQ162" s="91">
        <v>5</v>
      </c>
      <c r="AR162" s="91">
        <v>6</v>
      </c>
      <c r="AS162" s="91">
        <v>7</v>
      </c>
      <c r="AT162" s="91">
        <v>8</v>
      </c>
      <c r="AU162" s="91">
        <v>9</v>
      </c>
      <c r="AV162" s="92">
        <v>0</v>
      </c>
      <c r="AW162" s="92">
        <v>1</v>
      </c>
      <c r="AX162" s="92">
        <v>2</v>
      </c>
      <c r="AY162" s="92">
        <v>3</v>
      </c>
      <c r="AZ162" s="92">
        <v>4</v>
      </c>
      <c r="BA162" s="92">
        <v>5</v>
      </c>
      <c r="BB162" s="92">
        <v>6</v>
      </c>
      <c r="BC162" s="92">
        <v>7</v>
      </c>
      <c r="BD162" s="92">
        <v>8</v>
      </c>
      <c r="BE162" s="92">
        <v>9</v>
      </c>
      <c r="BF162" s="93">
        <v>0</v>
      </c>
      <c r="BG162" s="93">
        <v>1</v>
      </c>
      <c r="BH162" s="93">
        <v>2</v>
      </c>
      <c r="BI162" s="93">
        <v>3</v>
      </c>
      <c r="BJ162" s="93">
        <v>4</v>
      </c>
      <c r="BK162" s="93">
        <v>5</v>
      </c>
      <c r="BL162" s="93">
        <v>6</v>
      </c>
      <c r="BM162" s="93">
        <v>7</v>
      </c>
      <c r="BN162" s="93">
        <v>8</v>
      </c>
      <c r="BO162" s="93">
        <v>9</v>
      </c>
      <c r="BP162" s="94" t="str">
        <f t="shared" ref="BP162:BP225" si="182">IF(AND(BQ162&lt;=1,BR162&lt;=4),"紧凑型",IF(OR(BQ162&gt;=3,BR162&gt;=6),"松散型",IF(AND(BQ162&gt;=1,BR162&lt;=5),"标准型","对子")))</f>
        <v>松散型</v>
      </c>
      <c r="BQ162" s="15">
        <f t="shared" si="179"/>
        <v>3</v>
      </c>
      <c r="BR162" s="15">
        <f t="shared" si="180"/>
        <v>9</v>
      </c>
      <c r="BS162" s="20">
        <f>IF(COUNTIF($W161:$Y161,W162)&gt;0,W162,"")</f>
        <v>6</v>
      </c>
      <c r="BU162" s="21" t="str">
        <f t="array" ref="BU162">_xlfn.TEXTJOIN("",TRUE,IF(ISERROR(FIND(ROW($1:$168)-1,BS162&amp;BT162)),ROW($1:$168)-1,""))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62" s="22" t="str">
        <f>IF(BS162&lt;&gt;"","复","中")&amp;IF(BT162&lt;&gt;"","隔","中")&amp;"中"</f>
        <v>复中中</v>
      </c>
      <c r="BW162" s="23" t="str">
        <f>IF(COUNTIF($W161:$Y161,X162)&gt;0,X162,"")</f>
        <v/>
      </c>
      <c r="BY162" s="23" t="str">
        <f t="array" ref="BY162">_xlfn.TEXTJOIN("",TRUE,IF(ISERROR(FIND(ROW($1:$168)-1,BW162&amp;BX162)),ROW($1:$168)-1,""))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62" s="22" t="str">
        <f>IF(BW162&lt;&gt;"","复","中")&amp;IF(BX162&lt;&gt;"","隔","中")&amp;"中"</f>
        <v>中中中</v>
      </c>
      <c r="CA162" s="24" t="str">
        <f>IF(COUNTIF($W161:$Y161,Y162)&gt;0,Y162,"")</f>
        <v/>
      </c>
      <c r="CC162" s="24" t="str">
        <f t="array" ref="CC162">_xlfn.TEXTJOIN("",TRUE,IF(ISERROR(FIND(ROW($1:$168)-1,CA162&amp;CB162)),ROW($1:$168)-1,""))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62" s="22" t="str">
        <f>IF(CA162&lt;&gt;"","复","中")&amp;IF(CB162&lt;&gt;"","隔","中")&amp;"中"</f>
        <v>中中中</v>
      </c>
      <c r="CE162" s="25" t="str">
        <f t="shared" ref="CE162:CE225" si="183">IF(W162=0,9,W162-1)&amp;""&amp;IF(W162=9,0,W162+1)</f>
        <v>57</v>
      </c>
      <c r="CG162" s="27" t="str">
        <f t="array" ref="CG162">_xlfn.TEXTJOIN("",TRUE,IF(ISERROR(FIND(ROW($1:$168)-1,CE162&amp;CF162)),ROW($1:$168)-1,""))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62" s="28" t="str">
        <f>IF(CE162&lt;&gt;"","邻","孤")&amp;IF(CF162&lt;&gt;"","传","孤")&amp;"孤"</f>
        <v>邻孤孤</v>
      </c>
      <c r="CI162" s="29" t="str">
        <f>IF(X162=0,9,X162-1)&amp;""&amp;IF(X162=9,0,X162+1)</f>
        <v>80</v>
      </c>
      <c r="CK162" s="29" t="str">
        <f t="array" ref="CK162">_xlfn.TEXTJOIN("",TRUE,IF(ISERROR(FIND(ROW($1:$168)-1,CI162&amp;CJ162)),ROW($1:$168)-1,""))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162" s="19" t="str">
        <f>IF(CI162&lt;&gt;"","邻","孤")&amp;IF(CJ162&lt;&gt;"","传","孤")&amp;"孤"</f>
        <v>邻孤孤</v>
      </c>
      <c r="CM162" s="24" t="str">
        <f>IF(Y162=0,9,Y162-1)&amp;""&amp;IF(Y162=9,0,Y162+1)</f>
        <v>24</v>
      </c>
      <c r="CO162" s="24" t="str">
        <f t="array" ref="CO162">_xlfn.TEXTJOIN("",TRUE,IF(ISERROR(FIND(ROW($1:$168)-1,CM162&amp;CN162)),ROW($1:$168)-1,""))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62" s="30" t="str">
        <f>IF(CM162&lt;&gt;"","邻","孤")&amp;IF(CN162&lt;&gt;"","传","孤")&amp;"孤"</f>
        <v>邻孤孤</v>
      </c>
    </row>
    <row r="163" spans="1:94">
      <c r="A163" s="15">
        <v>163</v>
      </c>
      <c r="B163" s="80">
        <v>2024132</v>
      </c>
      <c r="C163" s="8" t="s">
        <v>181</v>
      </c>
      <c r="D163" s="81">
        <f t="shared" si="174"/>
        <v>13</v>
      </c>
      <c r="E163" s="82">
        <f t="shared" si="175"/>
        <v>3</v>
      </c>
      <c r="F163" s="83">
        <f t="shared" si="148"/>
        <v>3.25</v>
      </c>
      <c r="G163" s="84" t="str">
        <f t="shared" si="149"/>
        <v>标准</v>
      </c>
      <c r="H163" s="85" t="s">
        <v>10</v>
      </c>
      <c r="I163" s="85" t="s">
        <v>11</v>
      </c>
      <c r="J163" s="85" t="s">
        <v>12</v>
      </c>
      <c r="K163" s="85" t="s">
        <v>13</v>
      </c>
      <c r="L163" s="86">
        <f>MAX(MID(C163,{1,2,3},1)*1)-MIN(MID(C163,{1,2,3},1)*1)</f>
        <v>4</v>
      </c>
      <c r="M163" s="87">
        <v>0</v>
      </c>
      <c r="N163" s="87">
        <v>1</v>
      </c>
      <c r="O163" s="87">
        <v>2</v>
      </c>
      <c r="P163" s="87">
        <v>3</v>
      </c>
      <c r="Q163" s="87">
        <v>4</v>
      </c>
      <c r="R163" s="87">
        <v>5</v>
      </c>
      <c r="S163" s="87">
        <v>6</v>
      </c>
      <c r="T163" s="87">
        <v>7</v>
      </c>
      <c r="U163" s="87">
        <v>8</v>
      </c>
      <c r="V163" s="87">
        <v>9</v>
      </c>
      <c r="W163" s="88">
        <f t="shared" si="176"/>
        <v>1</v>
      </c>
      <c r="X163" s="88">
        <f t="shared" si="177"/>
        <v>4</v>
      </c>
      <c r="Y163" s="88">
        <f t="shared" si="178"/>
        <v>3</v>
      </c>
      <c r="Z163" s="89">
        <f t="shared" si="181"/>
        <v>8</v>
      </c>
      <c r="AA163" s="17" t="str">
        <f>_xlfn.TEXTJOIN(", ",TRUE,ABS(MID(C163,{1,1,2},1)-MID(C163,{2,3,3},1)))</f>
        <v>1, 4, 3</v>
      </c>
      <c r="AB163" s="90">
        <v>0</v>
      </c>
      <c r="AC163" s="90">
        <v>1</v>
      </c>
      <c r="AD163" s="90">
        <v>2</v>
      </c>
      <c r="AE163" s="90">
        <v>3</v>
      </c>
      <c r="AF163" s="90">
        <v>4</v>
      </c>
      <c r="AG163" s="90">
        <v>5</v>
      </c>
      <c r="AH163" s="90">
        <v>6</v>
      </c>
      <c r="AI163" s="90">
        <v>7</v>
      </c>
      <c r="AJ163" s="90">
        <v>8</v>
      </c>
      <c r="AK163" s="90">
        <v>9</v>
      </c>
      <c r="AL163" s="91">
        <v>0</v>
      </c>
      <c r="AM163" s="91">
        <v>1</v>
      </c>
      <c r="AN163" s="91">
        <v>2</v>
      </c>
      <c r="AO163" s="91">
        <v>3</v>
      </c>
      <c r="AP163" s="91">
        <v>4</v>
      </c>
      <c r="AQ163" s="91">
        <v>5</v>
      </c>
      <c r="AR163" s="91">
        <v>6</v>
      </c>
      <c r="AS163" s="91">
        <v>7</v>
      </c>
      <c r="AT163" s="91">
        <v>8</v>
      </c>
      <c r="AU163" s="91">
        <v>9</v>
      </c>
      <c r="AV163" s="92">
        <v>0</v>
      </c>
      <c r="AW163" s="92">
        <v>1</v>
      </c>
      <c r="AX163" s="92">
        <v>2</v>
      </c>
      <c r="AY163" s="92">
        <v>3</v>
      </c>
      <c r="AZ163" s="92">
        <v>4</v>
      </c>
      <c r="BA163" s="92">
        <v>5</v>
      </c>
      <c r="BB163" s="92">
        <v>6</v>
      </c>
      <c r="BC163" s="92">
        <v>7</v>
      </c>
      <c r="BD163" s="92">
        <v>8</v>
      </c>
      <c r="BE163" s="92">
        <v>9</v>
      </c>
      <c r="BF163" s="93">
        <v>0</v>
      </c>
      <c r="BG163" s="93">
        <v>1</v>
      </c>
      <c r="BH163" s="93">
        <v>2</v>
      </c>
      <c r="BI163" s="93">
        <v>3</v>
      </c>
      <c r="BJ163" s="93">
        <v>4</v>
      </c>
      <c r="BK163" s="93">
        <v>5</v>
      </c>
      <c r="BL163" s="93">
        <v>6</v>
      </c>
      <c r="BM163" s="93">
        <v>7</v>
      </c>
      <c r="BN163" s="93">
        <v>8</v>
      </c>
      <c r="BO163" s="93">
        <v>9</v>
      </c>
      <c r="BP163" s="94" t="str">
        <f t="shared" si="182"/>
        <v>紧凑型</v>
      </c>
      <c r="BQ163" s="15">
        <f t="shared" si="179"/>
        <v>1</v>
      </c>
      <c r="BR163" s="15">
        <f t="shared" si="180"/>
        <v>4</v>
      </c>
      <c r="BS163" s="20" t="str">
        <f t="shared" ref="BS163:BS226" si="184">IF(COUNTIF($W162:$Y162,W163)&gt;0,W163,"")</f>
        <v/>
      </c>
      <c r="BT163" s="21" t="str">
        <f t="shared" ref="BT163:BT226" si="185">IF(COUNTIF($W161:$Y161,W163)&gt;0,W163,"")</f>
        <v/>
      </c>
      <c r="BU163" s="21" t="str">
        <f t="array" ref="BU163">_xlfn.TEXTJOIN("",TRUE,IF(ISERROR(FIND(ROW($1:$168)-1,BS163&amp;BT163)),ROW($1:$168)-1,""))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63" s="22" t="str">
        <f t="shared" ref="BV163:BV226" si="186">IF(BS163&lt;&gt;"","复","中")&amp;IF(BT163&lt;&gt;"","隔","中")&amp;"中"</f>
        <v>中中中</v>
      </c>
      <c r="BW163" s="23" t="str">
        <f>IF(COUNTIF($W162:$Y162,X163)&gt;0,X163,"")</f>
        <v/>
      </c>
      <c r="BX163" s="23" t="str">
        <f>IF(COUNTIF($W161:$Y161,X163)&gt;0,X163,"")</f>
        <v/>
      </c>
      <c r="BY163" s="23" t="str">
        <f t="array" ref="BY163">_xlfn.TEXTJOIN("",TRUE,IF(ISERROR(FIND(ROW($1:$168)-1,BW163&amp;BX163)),ROW($1:$168)-1,""))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63" s="22" t="str">
        <f t="shared" ref="BZ163:BZ226" si="187">IF(BW163&lt;&gt;"","复","中")&amp;IF(BX163&lt;&gt;"","隔","中")&amp;"中"</f>
        <v>中中中</v>
      </c>
      <c r="CA163" s="24">
        <f t="shared" ref="CA163:CA226" si="188">IF(COUNTIF($W162:$Y162,Y163)&gt;0,Y163,"")</f>
        <v>3</v>
      </c>
      <c r="CB163" s="24" t="str">
        <f>IF(COUNTIF($W161:$Y161,Y163)&gt;0,Y163,"")</f>
        <v/>
      </c>
      <c r="CC163" s="24" t="str">
        <f t="array" ref="CC163">_xlfn.TEXTJOIN("",TRUE,IF(ISERROR(FIND(ROW($1:$168)-1,CA163&amp;CB163)),ROW($1:$168)-1,""))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63" s="22" t="str">
        <f t="shared" ref="CD163:CD226" si="189">IF(CA163&lt;&gt;"","复","中")&amp;IF(CB163&lt;&gt;"","隔","中")&amp;"中"</f>
        <v>复中中</v>
      </c>
      <c r="CE163" s="25" t="str">
        <f t="shared" si="183"/>
        <v>02</v>
      </c>
      <c r="CF163" s="95" t="str">
        <f t="array" ref="CF163">_xlfn.TEXTJOIN("",TRUE,IF(ISNUMBER(FIND(MID(CE162&amp;W162,ROW($1:$162),1),CE163&amp;W163)),MID(CE162&amp;W162,ROW($1:$162),1),""))</f>
        <v/>
      </c>
      <c r="CG163" s="27" t="str">
        <f t="array" ref="CG163">_xlfn.TEXTJOIN("",TRUE,IF(ISERROR(FIND(ROW($1:$168)-1,CE163&amp;CF163)),ROW($1:$168)-1,""))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63" s="28" t="str">
        <f t="shared" ref="CH163:CH226" si="190">IF(CE163&lt;&gt;"","邻","孤")&amp;IF(CF163&lt;&gt;"","传","孤")&amp;"孤"</f>
        <v>邻孤孤</v>
      </c>
      <c r="CI163" s="29" t="str">
        <f t="shared" ref="CI163:CI226" si="191">IF(X163=0,9,X163-1)&amp;""&amp;IF(X163=9,0,X163+1)</f>
        <v>35</v>
      </c>
      <c r="CJ163" s="29" t="str">
        <f t="array" ref="CJ163">_xlfn.TEXTJOIN("",TRUE,IF(ISNUMBER(FIND(MID(CI162&amp;X162,ROW($1:$162),1),CI163&amp;X163)),MID(CI162&amp;X162,ROW($1:$162),1),""))</f>
        <v/>
      </c>
      <c r="CK163" s="29" t="str">
        <f t="array" ref="CK163">_xlfn.TEXTJOIN("",TRUE,IF(ISERROR(FIND(ROW($1:$168)-1,CI163&amp;CJ163)),ROW($1:$168)-1,""))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63" s="19" t="str">
        <f t="shared" ref="CL163:CL226" si="192">IF(CI163&lt;&gt;"","邻","孤")&amp;IF(CJ163&lt;&gt;"","传","孤")&amp;"孤"</f>
        <v>邻孤孤</v>
      </c>
      <c r="CM163" s="24" t="str">
        <f t="shared" ref="CM163:CM226" si="193">IF(Y163=0,9,Y163-1)&amp;""&amp;IF(Y163=9,0,Y163+1)</f>
        <v>24</v>
      </c>
      <c r="CN163" s="24" t="str">
        <f t="array" ref="CN163">_xlfn.TEXTJOIN("",TRUE,IF(ISNUMBER(FIND(MID(CM162&amp;Y162,ROW($1:$162),1),CM163&amp;Y163)),MID(CM162&amp;Y162,ROW($1:$162),1),""))</f>
        <v>243</v>
      </c>
      <c r="CO163" s="24" t="str">
        <f t="array" ref="CO163">_xlfn.TEXTJOIN("",TRUE,IF(ISERROR(FIND(ROW($1:$168)-1,CM163&amp;CN163)),ROW($1:$168)-1,""))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63" s="30" t="str">
        <f t="shared" ref="CP163:CP226" si="194">IF(CM163&lt;&gt;"","邻","孤")&amp;IF(CN163&lt;&gt;"","传","孤")&amp;"孤"</f>
        <v>邻传孤</v>
      </c>
    </row>
    <row r="164" spans="1:94">
      <c r="A164" s="15">
        <v>164</v>
      </c>
      <c r="B164" s="80">
        <v>2024133</v>
      </c>
      <c r="C164" s="8" t="s">
        <v>182</v>
      </c>
      <c r="D164" s="81">
        <f t="shared" si="174"/>
        <v>12</v>
      </c>
      <c r="E164" s="82">
        <f t="shared" si="175"/>
        <v>2</v>
      </c>
      <c r="F164" s="83">
        <f t="shared" si="148"/>
        <v>2</v>
      </c>
      <c r="G164" s="84" t="str">
        <f t="shared" si="149"/>
        <v>标准</v>
      </c>
      <c r="H164" s="85" t="s">
        <v>10</v>
      </c>
      <c r="I164" s="85" t="s">
        <v>11</v>
      </c>
      <c r="J164" s="85" t="s">
        <v>12</v>
      </c>
      <c r="K164" s="85" t="s">
        <v>13</v>
      </c>
      <c r="L164" s="86">
        <f>MAX(MID(C164,{1,2,3},1)*1)-MIN(MID(C164,{1,2,3},1)*1)</f>
        <v>6</v>
      </c>
      <c r="M164" s="87">
        <v>0</v>
      </c>
      <c r="N164" s="87">
        <v>1</v>
      </c>
      <c r="O164" s="87">
        <v>2</v>
      </c>
      <c r="P164" s="87">
        <v>3</v>
      </c>
      <c r="Q164" s="87">
        <v>4</v>
      </c>
      <c r="R164" s="87">
        <v>5</v>
      </c>
      <c r="S164" s="87">
        <v>6</v>
      </c>
      <c r="T164" s="87">
        <v>7</v>
      </c>
      <c r="U164" s="87">
        <v>8</v>
      </c>
      <c r="V164" s="87">
        <v>9</v>
      </c>
      <c r="W164" s="88">
        <f t="shared" si="176"/>
        <v>3</v>
      </c>
      <c r="X164" s="88">
        <f t="shared" si="177"/>
        <v>6</v>
      </c>
      <c r="Y164" s="88">
        <f t="shared" si="178"/>
        <v>3</v>
      </c>
      <c r="Z164" s="89">
        <f t="shared" si="181"/>
        <v>12</v>
      </c>
      <c r="AA164" s="17" t="str">
        <f>_xlfn.TEXTJOIN(", ",TRUE,ABS(MID(C164,{1,1,2},1)-MID(C164,{2,3,3},1)))</f>
        <v>3, 6, 3</v>
      </c>
      <c r="AB164" s="90">
        <v>0</v>
      </c>
      <c r="AC164" s="90">
        <v>1</v>
      </c>
      <c r="AD164" s="90">
        <v>2</v>
      </c>
      <c r="AE164" s="90">
        <v>3</v>
      </c>
      <c r="AF164" s="90">
        <v>4</v>
      </c>
      <c r="AG164" s="90">
        <v>5</v>
      </c>
      <c r="AH164" s="90">
        <v>6</v>
      </c>
      <c r="AI164" s="90">
        <v>7</v>
      </c>
      <c r="AJ164" s="90">
        <v>8</v>
      </c>
      <c r="AK164" s="90">
        <v>9</v>
      </c>
      <c r="AL164" s="91">
        <v>0</v>
      </c>
      <c r="AM164" s="91">
        <v>1</v>
      </c>
      <c r="AN164" s="91">
        <v>2</v>
      </c>
      <c r="AO164" s="91">
        <v>3</v>
      </c>
      <c r="AP164" s="91">
        <v>4</v>
      </c>
      <c r="AQ164" s="91">
        <v>5</v>
      </c>
      <c r="AR164" s="91">
        <v>6</v>
      </c>
      <c r="AS164" s="91">
        <v>7</v>
      </c>
      <c r="AT164" s="91">
        <v>8</v>
      </c>
      <c r="AU164" s="91">
        <v>9</v>
      </c>
      <c r="AV164" s="92">
        <v>0</v>
      </c>
      <c r="AW164" s="92">
        <v>1</v>
      </c>
      <c r="AX164" s="92">
        <v>2</v>
      </c>
      <c r="AY164" s="92">
        <v>3</v>
      </c>
      <c r="AZ164" s="92">
        <v>4</v>
      </c>
      <c r="BA164" s="92">
        <v>5</v>
      </c>
      <c r="BB164" s="92">
        <v>6</v>
      </c>
      <c r="BC164" s="92">
        <v>7</v>
      </c>
      <c r="BD164" s="92">
        <v>8</v>
      </c>
      <c r="BE164" s="92">
        <v>9</v>
      </c>
      <c r="BF164" s="93">
        <v>0</v>
      </c>
      <c r="BG164" s="93">
        <v>1</v>
      </c>
      <c r="BH164" s="93">
        <v>2</v>
      </c>
      <c r="BI164" s="93">
        <v>3</v>
      </c>
      <c r="BJ164" s="93">
        <v>4</v>
      </c>
      <c r="BK164" s="93">
        <v>5</v>
      </c>
      <c r="BL164" s="93">
        <v>6</v>
      </c>
      <c r="BM164" s="93">
        <v>7</v>
      </c>
      <c r="BN164" s="93">
        <v>8</v>
      </c>
      <c r="BO164" s="93">
        <v>9</v>
      </c>
      <c r="BP164" s="94" t="str">
        <f t="shared" si="182"/>
        <v>松散型</v>
      </c>
      <c r="BQ164" s="15">
        <f t="shared" si="179"/>
        <v>3</v>
      </c>
      <c r="BR164" s="15">
        <f t="shared" si="180"/>
        <v>6</v>
      </c>
      <c r="BS164" s="20">
        <f t="shared" si="184"/>
        <v>3</v>
      </c>
      <c r="BT164" s="21">
        <f t="shared" si="185"/>
        <v>3</v>
      </c>
      <c r="BU164" s="21" t="str">
        <f t="array" ref="BU164">_xlfn.TEXTJOIN("",TRUE,IF(ISERROR(FIND(ROW($1:$168)-1,BS164&amp;BT164)),ROW($1:$168)-1,""))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64" s="22" t="str">
        <f t="shared" si="186"/>
        <v>复隔中</v>
      </c>
      <c r="BX164" s="23">
        <f t="shared" ref="BX164:BX227" si="195">IF(COUNTIF($W162:$Y162,X164)&gt;0,X164,"")</f>
        <v>6</v>
      </c>
      <c r="BY164" s="23" t="str">
        <f t="array" ref="BY164">_xlfn.TEXTJOIN("",TRUE,IF(ISERROR(FIND(ROW($1:$168)-1,BW164&amp;BX164)),ROW($1:$168)-1,""))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64" s="22" t="str">
        <f t="shared" si="187"/>
        <v>中隔中</v>
      </c>
      <c r="CA164" s="24">
        <f t="shared" si="188"/>
        <v>3</v>
      </c>
      <c r="CB164" s="24">
        <f t="shared" ref="CB164:CB227" si="196">IF(COUNTIF($W162:$Y162,Y164)&gt;0,Y164,"")</f>
        <v>3</v>
      </c>
      <c r="CC164" s="24" t="str">
        <f t="array" ref="CC164">_xlfn.TEXTJOIN("",TRUE,IF(ISERROR(FIND(ROW($1:$168)-1,CA164&amp;CB164)),ROW($1:$168)-1,""))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64" s="22" t="str">
        <f t="shared" si="189"/>
        <v>复隔中</v>
      </c>
      <c r="CE164" s="25" t="str">
        <f t="shared" si="183"/>
        <v>24</v>
      </c>
      <c r="CF164" s="26" t="str">
        <f t="array" ref="CF164">_xlfn.TEXTJOIN("",TRUE,IF(ISNUMBER(FIND(MID(CE163&amp;W163,ROW($1:$162),1),CE164&amp;W164)),MID(CE163&amp;W163,ROW($1:$162),1),""))</f>
        <v>2</v>
      </c>
      <c r="CG164" s="27" t="str">
        <f t="array" ref="CG164">_xlfn.TEXTJOIN("",TRUE,IF(ISERROR(FIND(ROW($1:$168)-1,CE164&amp;CF164)),ROW($1:$168)-1,""))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64" s="28" t="str">
        <f t="shared" si="190"/>
        <v>邻传孤</v>
      </c>
      <c r="CI164" s="29" t="str">
        <f t="shared" si="191"/>
        <v>57</v>
      </c>
      <c r="CJ164" s="29" t="str">
        <f t="array" ref="CJ164">_xlfn.TEXTJOIN("",TRUE,IF(ISNUMBER(FIND(MID(CI163&amp;X163,ROW($1:$162),1),CI164&amp;X164)),MID(CI163&amp;X163,ROW($1:$162),1),""))</f>
        <v>5</v>
      </c>
      <c r="CK164" s="29" t="str">
        <f t="array" ref="CK164">_xlfn.TEXTJOIN("",TRUE,IF(ISERROR(FIND(ROW($1:$168)-1,CI164&amp;CJ164)),ROW($1:$168)-1,""))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64" s="19" t="str">
        <f t="shared" si="192"/>
        <v>邻传孤</v>
      </c>
      <c r="CM164" s="24" t="str">
        <f t="shared" si="193"/>
        <v>24</v>
      </c>
      <c r="CN164" s="24" t="str">
        <f t="array" ref="CN164">_xlfn.TEXTJOIN("",TRUE,IF(ISNUMBER(FIND(MID(CM163&amp;Y163,ROW($1:$162),1),CM164&amp;Y164)),MID(CM163&amp;Y163,ROW($1:$162),1),""))</f>
        <v>243</v>
      </c>
      <c r="CO164" s="24" t="str">
        <f t="array" ref="CO164">_xlfn.TEXTJOIN("",TRUE,IF(ISERROR(FIND(ROW($1:$168)-1,CM164&amp;CN164)),ROW($1:$168)-1,""))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64" s="30" t="str">
        <f t="shared" si="194"/>
        <v>邻传孤</v>
      </c>
    </row>
    <row r="165" spans="1:94">
      <c r="A165" s="15">
        <v>165</v>
      </c>
      <c r="B165" s="80">
        <v>2024134</v>
      </c>
      <c r="C165" s="8" t="s">
        <v>183</v>
      </c>
      <c r="D165" s="81">
        <f t="shared" si="174"/>
        <v>10</v>
      </c>
      <c r="E165" s="82">
        <f t="shared" si="175"/>
        <v>0</v>
      </c>
      <c r="F165" s="83">
        <f t="shared" si="148"/>
        <v>1.66666666666667</v>
      </c>
      <c r="G165" s="84" t="str">
        <f t="shared" si="149"/>
        <v>松散</v>
      </c>
      <c r="H165" s="85" t="s">
        <v>10</v>
      </c>
      <c r="I165" s="85" t="s">
        <v>11</v>
      </c>
      <c r="J165" s="85" t="s">
        <v>12</v>
      </c>
      <c r="K165" s="85" t="s">
        <v>13</v>
      </c>
      <c r="L165" s="86">
        <f>MAX(MID(C165,{1,2,3},1)*1)-MIN(MID(C165,{1,2,3},1)*1)</f>
        <v>6</v>
      </c>
      <c r="M165" s="87">
        <v>0</v>
      </c>
      <c r="N165" s="87">
        <v>1</v>
      </c>
      <c r="O165" s="87">
        <v>2</v>
      </c>
      <c r="P165" s="87">
        <v>3</v>
      </c>
      <c r="Q165" s="87">
        <v>4</v>
      </c>
      <c r="R165" s="87">
        <v>5</v>
      </c>
      <c r="S165" s="87">
        <v>6</v>
      </c>
      <c r="T165" s="87">
        <v>7</v>
      </c>
      <c r="U165" s="87">
        <v>8</v>
      </c>
      <c r="V165" s="87">
        <v>9</v>
      </c>
      <c r="W165" s="88">
        <f t="shared" si="176"/>
        <v>2</v>
      </c>
      <c r="X165" s="88">
        <f t="shared" si="177"/>
        <v>6</v>
      </c>
      <c r="Y165" s="88">
        <f t="shared" si="178"/>
        <v>4</v>
      </c>
      <c r="Z165" s="89">
        <f t="shared" si="181"/>
        <v>12</v>
      </c>
      <c r="AA165" s="17" t="str">
        <f>_xlfn.TEXTJOIN(", ",TRUE,ABS(MID(C165,{1,1,2},1)-MID(C165,{2,3,3},1)))</f>
        <v>2, 6, 4</v>
      </c>
      <c r="AB165" s="90">
        <v>0</v>
      </c>
      <c r="AC165" s="90">
        <v>1</v>
      </c>
      <c r="AD165" s="90">
        <v>2</v>
      </c>
      <c r="AE165" s="90">
        <v>3</v>
      </c>
      <c r="AF165" s="90">
        <v>4</v>
      </c>
      <c r="AG165" s="90">
        <v>5</v>
      </c>
      <c r="AH165" s="90">
        <v>6</v>
      </c>
      <c r="AI165" s="90">
        <v>7</v>
      </c>
      <c r="AJ165" s="90">
        <v>8</v>
      </c>
      <c r="AK165" s="90">
        <v>9</v>
      </c>
      <c r="AL165" s="91">
        <v>0</v>
      </c>
      <c r="AM165" s="91">
        <v>1</v>
      </c>
      <c r="AN165" s="91"/>
      <c r="AO165" s="91">
        <v>3</v>
      </c>
      <c r="AP165" s="91">
        <v>4</v>
      </c>
      <c r="AQ165" s="91">
        <v>5</v>
      </c>
      <c r="AR165" s="91">
        <v>6</v>
      </c>
      <c r="AS165" s="91">
        <v>7</v>
      </c>
      <c r="AT165" s="91">
        <v>8</v>
      </c>
      <c r="AU165" s="91">
        <v>9</v>
      </c>
      <c r="AV165" s="92">
        <v>0</v>
      </c>
      <c r="AW165" s="92">
        <v>1</v>
      </c>
      <c r="AX165" s="92">
        <v>2</v>
      </c>
      <c r="AY165" s="92">
        <v>3</v>
      </c>
      <c r="AZ165" s="92">
        <v>4</v>
      </c>
      <c r="BA165" s="92">
        <v>5</v>
      </c>
      <c r="BB165" s="92">
        <v>6</v>
      </c>
      <c r="BC165" s="92">
        <v>7</v>
      </c>
      <c r="BD165" s="92">
        <v>8</v>
      </c>
      <c r="BE165" s="92">
        <v>9</v>
      </c>
      <c r="BF165" s="93">
        <v>0</v>
      </c>
      <c r="BG165" s="93">
        <v>1</v>
      </c>
      <c r="BH165" s="93">
        <v>2</v>
      </c>
      <c r="BI165" s="93">
        <v>3</v>
      </c>
      <c r="BJ165" s="93">
        <v>4</v>
      </c>
      <c r="BK165" s="93">
        <v>5</v>
      </c>
      <c r="BL165" s="93">
        <v>6</v>
      </c>
      <c r="BM165" s="93">
        <v>7</v>
      </c>
      <c r="BN165" s="93">
        <v>8</v>
      </c>
      <c r="BO165" s="93">
        <v>9</v>
      </c>
      <c r="BP165" s="94" t="str">
        <f t="shared" si="182"/>
        <v>松散型</v>
      </c>
      <c r="BQ165" s="15">
        <f t="shared" si="179"/>
        <v>2</v>
      </c>
      <c r="BR165" s="15">
        <f t="shared" si="180"/>
        <v>6</v>
      </c>
      <c r="BS165" s="20" t="str">
        <f t="shared" si="184"/>
        <v/>
      </c>
      <c r="BT165" s="21" t="str">
        <f t="shared" si="185"/>
        <v/>
      </c>
      <c r="BU165" s="21" t="str">
        <f t="array" ref="BU165">_xlfn.TEXTJOIN("",TRUE,IF(ISERROR(FIND(ROW($1:$168)-1,BS165&amp;BT165)),ROW($1:$168)-1,""))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65" s="22" t="str">
        <f t="shared" si="186"/>
        <v>中中中</v>
      </c>
      <c r="BW165" s="23">
        <f>IF(COUNTIF($W164:$Y164,X165)&gt;0,X165,"")</f>
        <v>6</v>
      </c>
      <c r="BX165" s="23" t="str">
        <f t="shared" si="195"/>
        <v/>
      </c>
      <c r="BY165" s="23" t="str">
        <f t="array" ref="BY165">_xlfn.TEXTJOIN("",TRUE,IF(ISERROR(FIND(ROW($1:$168)-1,BW165&amp;BX165)),ROW($1:$168)-1,""))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65" s="22" t="str">
        <f t="shared" si="187"/>
        <v>复中中</v>
      </c>
      <c r="CA165" s="24" t="str">
        <f t="shared" si="188"/>
        <v/>
      </c>
      <c r="CB165" s="24">
        <f t="shared" si="196"/>
        <v>4</v>
      </c>
      <c r="CC165" s="24" t="str">
        <f t="array" ref="CC165">_xlfn.TEXTJOIN("",TRUE,IF(ISERROR(FIND(ROW($1:$168)-1,CA165&amp;CB165)),ROW($1:$168)-1,""))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65" s="22" t="str">
        <f t="shared" si="189"/>
        <v>中隔中</v>
      </c>
      <c r="CE165" s="25" t="str">
        <f t="shared" si="183"/>
        <v>13</v>
      </c>
      <c r="CF165" s="26" t="str">
        <f t="array" ref="CF165">_xlfn.TEXTJOIN("",TRUE,IF(ISNUMBER(FIND(MID(CE164&amp;W164,ROW($1:$162),1),CE165&amp;W165)),MID(CE164&amp;W164,ROW($1:$162),1),""))</f>
        <v>23</v>
      </c>
      <c r="CG165" s="27" t="str">
        <f t="array" ref="CG165">_xlfn.TEXTJOIN("",TRUE,IF(ISERROR(FIND(ROW($1:$168)-1,CE165&amp;CF165)),ROW($1:$168)-1,""))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165" s="28" t="str">
        <f t="shared" si="190"/>
        <v>邻传孤</v>
      </c>
      <c r="CI165" s="29" t="str">
        <f t="shared" si="191"/>
        <v>57</v>
      </c>
      <c r="CJ165" s="29" t="str">
        <f t="array" ref="CJ165">_xlfn.TEXTJOIN("",TRUE,IF(ISNUMBER(FIND(MID(CI164&amp;X164,ROW($1:$162),1),CI165&amp;X165)),MID(CI164&amp;X164,ROW($1:$162),1),""))</f>
        <v>576</v>
      </c>
      <c r="CK165" s="29" t="str">
        <f t="array" ref="CK165">_xlfn.TEXTJOIN("",TRUE,IF(ISERROR(FIND(ROW($1:$168)-1,CI165&amp;CJ165)),ROW($1:$168)-1,""))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65" s="19" t="str">
        <f t="shared" si="192"/>
        <v>邻传孤</v>
      </c>
      <c r="CM165" s="24" t="str">
        <f t="shared" si="193"/>
        <v>35</v>
      </c>
      <c r="CN165" s="24" t="str">
        <f t="array" ref="CN165">_xlfn.TEXTJOIN("",TRUE,IF(ISNUMBER(FIND(MID(CM164&amp;Y164,ROW($1:$162),1),CM165&amp;Y165)),MID(CM164&amp;Y164,ROW($1:$162),1),""))</f>
        <v>43</v>
      </c>
      <c r="CO165" s="24" t="str">
        <f t="array" ref="CO165">_xlfn.TEXTJOIN("",TRUE,IF(ISERROR(FIND(ROW($1:$168)-1,CM165&amp;CN165)),ROW($1:$168)-1,""))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65" s="30" t="str">
        <f t="shared" si="194"/>
        <v>邻传孤</v>
      </c>
    </row>
    <row r="166" spans="1:94">
      <c r="A166" s="15">
        <v>166</v>
      </c>
      <c r="B166" s="80">
        <v>2024135</v>
      </c>
      <c r="C166" s="8" t="s">
        <v>184</v>
      </c>
      <c r="D166" s="81">
        <f t="shared" si="174"/>
        <v>8</v>
      </c>
      <c r="E166" s="82">
        <f t="shared" si="175"/>
        <v>8</v>
      </c>
      <c r="F166" s="83">
        <f t="shared" si="148"/>
        <v>1.6</v>
      </c>
      <c r="G166" s="84" t="str">
        <f t="shared" si="149"/>
        <v>松散</v>
      </c>
      <c r="H166" s="85" t="s">
        <v>10</v>
      </c>
      <c r="I166" s="85" t="s">
        <v>11</v>
      </c>
      <c r="J166" s="85" t="s">
        <v>12</v>
      </c>
      <c r="K166" s="85" t="s">
        <v>13</v>
      </c>
      <c r="L166" s="86">
        <f>MAX(MID(C166,{1,2,3},1)*1)-MIN(MID(C166,{1,2,3},1)*1)</f>
        <v>5</v>
      </c>
      <c r="M166" s="87">
        <v>0</v>
      </c>
      <c r="N166" s="87">
        <v>1</v>
      </c>
      <c r="O166" s="87">
        <v>2</v>
      </c>
      <c r="P166" s="87">
        <v>3</v>
      </c>
      <c r="Q166" s="87">
        <v>4</v>
      </c>
      <c r="R166" s="87">
        <v>5</v>
      </c>
      <c r="S166" s="87">
        <v>6</v>
      </c>
      <c r="T166" s="87">
        <v>7</v>
      </c>
      <c r="U166" s="87">
        <v>8</v>
      </c>
      <c r="V166" s="87">
        <v>9</v>
      </c>
      <c r="W166" s="88">
        <f t="shared" si="176"/>
        <v>3</v>
      </c>
      <c r="X166" s="88">
        <f t="shared" si="177"/>
        <v>5</v>
      </c>
      <c r="Y166" s="88">
        <f t="shared" si="178"/>
        <v>2</v>
      </c>
      <c r="Z166" s="89">
        <f t="shared" si="181"/>
        <v>10</v>
      </c>
      <c r="AA166" s="17" t="str">
        <f>_xlfn.TEXTJOIN(", ",TRUE,ABS(MID(C166,{1,1,2},1)-MID(C166,{2,3,3},1)))</f>
        <v>3, 5, 2</v>
      </c>
      <c r="AB166" s="90">
        <v>0</v>
      </c>
      <c r="AC166" s="90">
        <v>1</v>
      </c>
      <c r="AD166" s="90">
        <v>2</v>
      </c>
      <c r="AE166" s="90">
        <v>3</v>
      </c>
      <c r="AF166" s="90">
        <v>4</v>
      </c>
      <c r="AG166" s="90">
        <v>5</v>
      </c>
      <c r="AH166" s="90">
        <v>6</v>
      </c>
      <c r="AI166" s="90">
        <v>7</v>
      </c>
      <c r="AJ166" s="90">
        <v>8</v>
      </c>
      <c r="AK166" s="90">
        <v>9</v>
      </c>
      <c r="AL166" s="91">
        <v>0</v>
      </c>
      <c r="AM166" s="91">
        <v>1</v>
      </c>
      <c r="AN166" s="91">
        <v>2</v>
      </c>
      <c r="AO166" s="91">
        <v>3</v>
      </c>
      <c r="AP166" s="91">
        <v>4</v>
      </c>
      <c r="AQ166" s="91">
        <v>5</v>
      </c>
      <c r="AR166" s="91">
        <v>6</v>
      </c>
      <c r="AS166" s="91">
        <v>7</v>
      </c>
      <c r="AT166" s="91">
        <v>8</v>
      </c>
      <c r="AU166" s="91">
        <v>9</v>
      </c>
      <c r="AV166" s="92">
        <v>0</v>
      </c>
      <c r="AW166" s="92">
        <v>1</v>
      </c>
      <c r="AX166" s="92">
        <v>2</v>
      </c>
      <c r="AY166" s="92">
        <v>3</v>
      </c>
      <c r="AZ166" s="92">
        <v>4</v>
      </c>
      <c r="BA166" s="92">
        <v>5</v>
      </c>
      <c r="BB166" s="92">
        <v>6</v>
      </c>
      <c r="BC166" s="92">
        <v>7</v>
      </c>
      <c r="BD166" s="92">
        <v>8</v>
      </c>
      <c r="BE166" s="92">
        <v>9</v>
      </c>
      <c r="BF166" s="93">
        <v>0</v>
      </c>
      <c r="BG166" s="93">
        <v>1</v>
      </c>
      <c r="BH166" s="93">
        <v>2</v>
      </c>
      <c r="BI166" s="93">
        <v>3</v>
      </c>
      <c r="BJ166" s="93">
        <v>4</v>
      </c>
      <c r="BK166" s="93">
        <v>5</v>
      </c>
      <c r="BL166" s="93">
        <v>6</v>
      </c>
      <c r="BM166" s="93">
        <v>7</v>
      </c>
      <c r="BN166" s="93">
        <v>8</v>
      </c>
      <c r="BO166" s="93">
        <v>9</v>
      </c>
      <c r="BP166" s="94" t="str">
        <f t="shared" si="182"/>
        <v>标准型</v>
      </c>
      <c r="BQ166" s="15">
        <f t="shared" si="179"/>
        <v>2</v>
      </c>
      <c r="BR166" s="15">
        <f t="shared" si="180"/>
        <v>5</v>
      </c>
      <c r="BS166" s="20" t="str">
        <f t="shared" si="184"/>
        <v/>
      </c>
      <c r="BT166" s="21">
        <f t="shared" si="185"/>
        <v>3</v>
      </c>
      <c r="BU166" s="21" t="str">
        <f t="array" ref="BU166">_xlfn.TEXTJOIN("",TRUE,IF(ISERROR(FIND(ROW($1:$168)-1,BS166&amp;BT166)),ROW($1:$168)-1,""))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66" s="22" t="str">
        <f t="shared" si="186"/>
        <v>中隔中</v>
      </c>
      <c r="BW166" s="23" t="str">
        <f t="shared" ref="BW166:BW229" si="197">IF(COUNTIF($W165:$Y165,X166)&gt;0,X166,"")</f>
        <v/>
      </c>
      <c r="BX166" s="23" t="str">
        <f t="shared" si="195"/>
        <v/>
      </c>
      <c r="BY166" s="23" t="str">
        <f t="array" ref="BY166">_xlfn.TEXTJOIN("",TRUE,IF(ISERROR(FIND(ROW($1:$168)-1,BW166&amp;BX166)),ROW($1:$168)-1,""))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66" s="22" t="str">
        <f t="shared" si="187"/>
        <v>中中中</v>
      </c>
      <c r="CA166" s="24">
        <f t="shared" si="188"/>
        <v>2</v>
      </c>
      <c r="CB166" s="24" t="str">
        <f t="shared" si="196"/>
        <v/>
      </c>
      <c r="CC166" s="24" t="str">
        <f t="array" ref="CC166">_xlfn.TEXTJOIN("",TRUE,IF(ISERROR(FIND(ROW($1:$168)-1,CA166&amp;CB166)),ROW($1:$168)-1,""))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66" s="22" t="str">
        <f t="shared" si="189"/>
        <v>复中中</v>
      </c>
      <c r="CE166" s="25" t="str">
        <f t="shared" si="183"/>
        <v>24</v>
      </c>
      <c r="CF166" s="26" t="str">
        <f t="array" ref="CF166">_xlfn.TEXTJOIN("",TRUE,IF(ISNUMBER(FIND(MID(CE165&amp;W165,ROW($1:$162),1),CE166&amp;W166)),MID(CE165&amp;W165,ROW($1:$162),1),""))</f>
        <v>32</v>
      </c>
      <c r="CG166" s="27" t="str">
        <f t="array" ref="CG166">_xlfn.TEXTJOIN("",TRUE,IF(ISERROR(FIND(ROW($1:$168)-1,CE166&amp;CF166)),ROW($1:$168)-1,""))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66" s="28" t="str">
        <f t="shared" si="190"/>
        <v>邻传孤</v>
      </c>
      <c r="CI166" s="29" t="str">
        <f t="shared" si="191"/>
        <v>46</v>
      </c>
      <c r="CJ166" s="29" t="str">
        <f t="array" ref="CJ166">_xlfn.TEXTJOIN("",TRUE,IF(ISNUMBER(FIND(MID(CI165&amp;X165,ROW($1:$162),1),CI166&amp;X166)),MID(CI165&amp;X165,ROW($1:$162),1),""))</f>
        <v>56</v>
      </c>
      <c r="CK166" s="29" t="str">
        <f t="array" ref="CK166">_xlfn.TEXTJOIN("",TRUE,IF(ISERROR(FIND(ROW($1:$168)-1,CI166&amp;CJ166)),ROW($1:$168)-1,""))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66" s="19" t="str">
        <f t="shared" si="192"/>
        <v>邻传孤</v>
      </c>
      <c r="CM166" s="24" t="str">
        <f t="shared" si="193"/>
        <v>13</v>
      </c>
      <c r="CN166" s="24" t="str">
        <f t="array" ref="CN166">_xlfn.TEXTJOIN("",TRUE,IF(ISNUMBER(FIND(MID(CM165&amp;Y165,ROW($1:$162),1),CM166&amp;Y166)),MID(CM165&amp;Y165,ROW($1:$162),1),""))</f>
        <v>3</v>
      </c>
      <c r="CO166" s="24" t="str">
        <f t="array" ref="CO166">_xlfn.TEXTJOIN("",TRUE,IF(ISERROR(FIND(ROW($1:$168)-1,CM166&amp;CN166)),ROW($1:$168)-1,""))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166" s="30" t="str">
        <f t="shared" si="194"/>
        <v>邻传孤</v>
      </c>
    </row>
    <row r="167" spans="1:94">
      <c r="A167" s="15">
        <v>167</v>
      </c>
      <c r="B167" s="80">
        <v>2024136</v>
      </c>
      <c r="C167" s="8" t="s">
        <v>47</v>
      </c>
      <c r="D167" s="81">
        <f t="shared" si="174"/>
        <v>11</v>
      </c>
      <c r="E167" s="82">
        <f t="shared" si="175"/>
        <v>1</v>
      </c>
      <c r="F167" s="83">
        <f t="shared" si="148"/>
        <v>2.2</v>
      </c>
      <c r="G167" s="84" t="str">
        <f t="shared" si="149"/>
        <v>标准</v>
      </c>
      <c r="H167" s="85" t="s">
        <v>10</v>
      </c>
      <c r="I167" s="85" t="s">
        <v>11</v>
      </c>
      <c r="J167" s="85" t="s">
        <v>12</v>
      </c>
      <c r="K167" s="85" t="s">
        <v>13</v>
      </c>
      <c r="L167" s="86">
        <f>MAX(MID(C167,{1,2,3},1)*1)-MIN(MID(C167,{1,2,3},1)*1)</f>
        <v>5</v>
      </c>
      <c r="M167" s="87">
        <v>0</v>
      </c>
      <c r="N167" s="87">
        <v>1</v>
      </c>
      <c r="O167" s="87">
        <v>2</v>
      </c>
      <c r="P167" s="87">
        <v>3</v>
      </c>
      <c r="Q167" s="87">
        <v>4</v>
      </c>
      <c r="R167" s="87">
        <v>5</v>
      </c>
      <c r="S167" s="87">
        <v>6</v>
      </c>
      <c r="T167" s="87">
        <v>7</v>
      </c>
      <c r="U167" s="87">
        <v>8</v>
      </c>
      <c r="V167" s="87">
        <v>9</v>
      </c>
      <c r="W167" s="88">
        <f t="shared" si="176"/>
        <v>0</v>
      </c>
      <c r="X167" s="88">
        <f t="shared" si="177"/>
        <v>5</v>
      </c>
      <c r="Y167" s="88">
        <f t="shared" si="178"/>
        <v>5</v>
      </c>
      <c r="Z167" s="89">
        <f t="shared" si="181"/>
        <v>10</v>
      </c>
      <c r="AA167" s="17" t="str">
        <f>_xlfn.TEXTJOIN(", ",TRUE,ABS(MID(C167,{1,1,2},1)-MID(C167,{2,3,3},1)))</f>
        <v>0, 5, 5</v>
      </c>
      <c r="AB167" s="90">
        <v>0</v>
      </c>
      <c r="AC167" s="90">
        <v>1</v>
      </c>
      <c r="AD167" s="90">
        <v>2</v>
      </c>
      <c r="AE167" s="90">
        <v>3</v>
      </c>
      <c r="AF167" s="90">
        <v>4</v>
      </c>
      <c r="AG167" s="90">
        <v>5</v>
      </c>
      <c r="AH167" s="90">
        <v>6</v>
      </c>
      <c r="AI167" s="90">
        <v>7</v>
      </c>
      <c r="AJ167" s="90">
        <v>8</v>
      </c>
      <c r="AK167" s="90">
        <v>9</v>
      </c>
      <c r="AL167" s="91">
        <v>0</v>
      </c>
      <c r="AM167" s="91">
        <v>1</v>
      </c>
      <c r="AN167" s="91">
        <v>2</v>
      </c>
      <c r="AO167" s="91">
        <v>3</v>
      </c>
      <c r="AP167" s="91">
        <v>4</v>
      </c>
      <c r="AQ167" s="91">
        <v>5</v>
      </c>
      <c r="AR167" s="91">
        <v>6</v>
      </c>
      <c r="AS167" s="91">
        <v>7</v>
      </c>
      <c r="AT167" s="91">
        <v>8</v>
      </c>
      <c r="AU167" s="91">
        <v>9</v>
      </c>
      <c r="AV167" s="92">
        <v>0</v>
      </c>
      <c r="AW167" s="92">
        <v>1</v>
      </c>
      <c r="AX167" s="92">
        <v>2</v>
      </c>
      <c r="AY167" s="92">
        <v>3</v>
      </c>
      <c r="AZ167" s="92">
        <v>4</v>
      </c>
      <c r="BA167" s="92">
        <v>5</v>
      </c>
      <c r="BB167" s="92">
        <v>6</v>
      </c>
      <c r="BC167" s="92">
        <v>7</v>
      </c>
      <c r="BD167" s="92">
        <v>8</v>
      </c>
      <c r="BE167" s="92">
        <v>9</v>
      </c>
      <c r="BF167" s="93">
        <v>0</v>
      </c>
      <c r="BG167" s="93">
        <v>1</v>
      </c>
      <c r="BH167" s="93">
        <v>2</v>
      </c>
      <c r="BI167" s="93">
        <v>3</v>
      </c>
      <c r="BJ167" s="93">
        <v>4</v>
      </c>
      <c r="BK167" s="93">
        <v>5</v>
      </c>
      <c r="BL167" s="93">
        <v>6</v>
      </c>
      <c r="BM167" s="93">
        <v>7</v>
      </c>
      <c r="BN167" s="93">
        <v>8</v>
      </c>
      <c r="BO167" s="93">
        <v>9</v>
      </c>
      <c r="BP167" s="94" t="str">
        <f t="shared" si="182"/>
        <v>对子</v>
      </c>
      <c r="BQ167" s="15">
        <f t="shared" si="179"/>
        <v>0</v>
      </c>
      <c r="BR167" s="15">
        <f t="shared" si="180"/>
        <v>5</v>
      </c>
      <c r="BS167" s="20" t="str">
        <f t="shared" si="184"/>
        <v/>
      </c>
      <c r="BT167" s="21" t="str">
        <f t="shared" si="185"/>
        <v/>
      </c>
      <c r="BU167" s="21" t="str">
        <f t="array" ref="BU167">_xlfn.TEXTJOIN("",TRUE,IF(ISERROR(FIND(ROW($1:$168)-1,BS167&amp;BT167)),ROW($1:$168)-1,""))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67" s="22" t="str">
        <f t="shared" si="186"/>
        <v>中中中</v>
      </c>
      <c r="BW167" s="23">
        <f t="shared" si="197"/>
        <v>5</v>
      </c>
      <c r="BX167" s="23" t="str">
        <f t="shared" si="195"/>
        <v/>
      </c>
      <c r="BY167" s="23" t="str">
        <f t="array" ref="BY167">_xlfn.TEXTJOIN("",TRUE,IF(ISERROR(FIND(ROW($1:$168)-1,BW167&amp;BX167)),ROW($1:$168)-1,""))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67" s="22" t="str">
        <f t="shared" si="187"/>
        <v>复中中</v>
      </c>
      <c r="CA167" s="24">
        <f t="shared" si="188"/>
        <v>5</v>
      </c>
      <c r="CB167" s="24" t="str">
        <f t="shared" si="196"/>
        <v/>
      </c>
      <c r="CC167" s="24" t="str">
        <f t="array" ref="CC167">_xlfn.TEXTJOIN("",TRUE,IF(ISERROR(FIND(ROW($1:$168)-1,CA167&amp;CB167)),ROW($1:$168)-1,""))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67" s="22" t="str">
        <f t="shared" si="189"/>
        <v>复中中</v>
      </c>
      <c r="CE167" s="25" t="str">
        <f t="shared" si="183"/>
        <v>91</v>
      </c>
      <c r="CF167" s="26" t="str">
        <f t="array" ref="CF167">_xlfn.TEXTJOIN("",TRUE,IF(ISNUMBER(FIND(MID(CE166&amp;W166,ROW($1:$162),1),CE167&amp;W167)),MID(CE166&amp;W166,ROW($1:$162),1),""))</f>
        <v/>
      </c>
      <c r="CG167" s="27" t="str">
        <f t="array" ref="CG167">_xlfn.TEXTJOIN("",TRUE,IF(ISERROR(FIND(ROW($1:$168)-1,CE167&amp;CF167)),ROW($1:$168)-1,""))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167" s="28" t="str">
        <f t="shared" si="190"/>
        <v>邻孤孤</v>
      </c>
      <c r="CI167" s="29" t="str">
        <f t="shared" si="191"/>
        <v>46</v>
      </c>
      <c r="CJ167" s="29" t="str">
        <f t="array" ref="CJ167">_xlfn.TEXTJOIN("",TRUE,IF(ISNUMBER(FIND(MID(CI166&amp;X166,ROW($1:$162),1),CI167&amp;X167)),MID(CI166&amp;X166,ROW($1:$162),1),""))</f>
        <v>465</v>
      </c>
      <c r="CK167" s="29" t="str">
        <f t="array" ref="CK167">_xlfn.TEXTJOIN("",TRUE,IF(ISERROR(FIND(ROW($1:$168)-1,CI167&amp;CJ167)),ROW($1:$168)-1,""))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67" s="19" t="str">
        <f t="shared" si="192"/>
        <v>邻传孤</v>
      </c>
      <c r="CM167" s="24" t="str">
        <f t="shared" si="193"/>
        <v>46</v>
      </c>
      <c r="CN167" s="24" t="str">
        <f t="array" ref="CN167">_xlfn.TEXTJOIN("",TRUE,IF(ISNUMBER(FIND(MID(CM166&amp;Y166,ROW($1:$162),1),CM167&amp;Y167)),MID(CM166&amp;Y166,ROW($1:$162),1),""))</f>
        <v/>
      </c>
      <c r="CO167" s="24" t="str">
        <f t="array" ref="CO167">_xlfn.TEXTJOIN("",TRUE,IF(ISERROR(FIND(ROW($1:$168)-1,CM167&amp;CN167)),ROW($1:$168)-1,""))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67" s="30" t="str">
        <f t="shared" si="194"/>
        <v>邻孤孤</v>
      </c>
    </row>
    <row r="168" spans="1:94">
      <c r="A168" s="15">
        <v>168</v>
      </c>
      <c r="B168" s="80">
        <v>2024137</v>
      </c>
      <c r="C168" s="8" t="s">
        <v>185</v>
      </c>
      <c r="D168" s="81">
        <f t="shared" si="174"/>
        <v>19</v>
      </c>
      <c r="E168" s="82">
        <f t="shared" si="175"/>
        <v>9</v>
      </c>
      <c r="F168" s="83">
        <f t="shared" si="148"/>
        <v>2.71428571428571</v>
      </c>
      <c r="G168" s="84" t="str">
        <f t="shared" si="149"/>
        <v>标准</v>
      </c>
      <c r="H168" s="85" t="s">
        <v>10</v>
      </c>
      <c r="I168" s="85" t="s">
        <v>11</v>
      </c>
      <c r="J168" s="85" t="s">
        <v>12</v>
      </c>
      <c r="K168" s="85" t="s">
        <v>13</v>
      </c>
      <c r="L168" s="86">
        <f>MAX(MID(C168,{1,2,3},1)*1)-MIN(MID(C168,{1,2,3},1)*1)</f>
        <v>7</v>
      </c>
      <c r="M168" s="87">
        <v>0</v>
      </c>
      <c r="N168" s="87">
        <v>1</v>
      </c>
      <c r="O168" s="87">
        <v>2</v>
      </c>
      <c r="P168" s="87">
        <v>3</v>
      </c>
      <c r="Q168" s="87">
        <v>4</v>
      </c>
      <c r="R168" s="87">
        <v>5</v>
      </c>
      <c r="S168" s="87">
        <v>6</v>
      </c>
      <c r="T168" s="87">
        <v>7</v>
      </c>
      <c r="U168" s="87">
        <v>8</v>
      </c>
      <c r="V168" s="87">
        <v>9</v>
      </c>
      <c r="W168" s="88">
        <f t="shared" si="176"/>
        <v>1</v>
      </c>
      <c r="X168" s="88">
        <f t="shared" si="177"/>
        <v>7</v>
      </c>
      <c r="Y168" s="88">
        <f t="shared" si="178"/>
        <v>6</v>
      </c>
      <c r="Z168" s="89">
        <f t="shared" si="181"/>
        <v>14</v>
      </c>
      <c r="AA168" s="17" t="str">
        <f>_xlfn.TEXTJOIN(", ",TRUE,ABS(MID(C168,{1,1,2},1)-MID(C168,{2,3,3},1)))</f>
        <v>1, 7, 6</v>
      </c>
      <c r="AB168" s="90">
        <v>0</v>
      </c>
      <c r="AC168" s="90">
        <v>1</v>
      </c>
      <c r="AD168" s="90">
        <v>2</v>
      </c>
      <c r="AE168" s="90">
        <v>3</v>
      </c>
      <c r="AF168" s="90">
        <v>4</v>
      </c>
      <c r="AG168" s="90">
        <v>5</v>
      </c>
      <c r="AH168" s="90">
        <v>6</v>
      </c>
      <c r="AI168" s="90">
        <v>7</v>
      </c>
      <c r="AJ168" s="90">
        <v>8</v>
      </c>
      <c r="AK168" s="90">
        <v>9</v>
      </c>
      <c r="AL168" s="91">
        <v>0</v>
      </c>
      <c r="AM168" s="91">
        <v>1</v>
      </c>
      <c r="AN168" s="91">
        <v>2</v>
      </c>
      <c r="AO168" s="91">
        <v>3</v>
      </c>
      <c r="AP168" s="91">
        <v>4</v>
      </c>
      <c r="AQ168" s="91">
        <v>5</v>
      </c>
      <c r="AR168" s="91">
        <v>6</v>
      </c>
      <c r="AS168" s="91">
        <v>7</v>
      </c>
      <c r="AT168" s="91">
        <v>8</v>
      </c>
      <c r="AU168" s="91">
        <v>9</v>
      </c>
      <c r="AV168" s="92">
        <v>0</v>
      </c>
      <c r="AW168" s="92">
        <v>1</v>
      </c>
      <c r="AX168" s="92">
        <v>2</v>
      </c>
      <c r="AY168" s="92">
        <v>3</v>
      </c>
      <c r="AZ168" s="92">
        <v>4</v>
      </c>
      <c r="BA168" s="92">
        <v>5</v>
      </c>
      <c r="BB168" s="92">
        <v>6</v>
      </c>
      <c r="BC168" s="92">
        <v>7</v>
      </c>
      <c r="BD168" s="92">
        <v>8</v>
      </c>
      <c r="BE168" s="92">
        <v>9</v>
      </c>
      <c r="BF168" s="93">
        <v>0</v>
      </c>
      <c r="BG168" s="93">
        <v>1</v>
      </c>
      <c r="BH168" s="93">
        <v>2</v>
      </c>
      <c r="BI168" s="93">
        <v>3</v>
      </c>
      <c r="BJ168" s="93">
        <v>4</v>
      </c>
      <c r="BK168" s="93">
        <v>5</v>
      </c>
      <c r="BL168" s="93">
        <v>6</v>
      </c>
      <c r="BM168" s="93">
        <v>7</v>
      </c>
      <c r="BN168" s="93">
        <v>8</v>
      </c>
      <c r="BO168" s="93">
        <v>9</v>
      </c>
      <c r="BP168" s="94" t="str">
        <f t="shared" si="182"/>
        <v>松散型</v>
      </c>
      <c r="BQ168" s="15">
        <f t="shared" si="179"/>
        <v>1</v>
      </c>
      <c r="BR168" s="15">
        <f t="shared" si="180"/>
        <v>7</v>
      </c>
      <c r="BS168" s="20" t="str">
        <f t="shared" si="184"/>
        <v/>
      </c>
      <c r="BT168" s="21" t="str">
        <f t="shared" si="185"/>
        <v/>
      </c>
      <c r="BU168" s="21" t="str">
        <f t="array" ref="BU168">_xlfn.TEXTJOIN("",TRUE,IF(ISERROR(FIND(ROW($1:$168)-1,BS168&amp;BT168)),ROW($1:$168)-1,""))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68" s="22" t="str">
        <f t="shared" si="186"/>
        <v>中中中</v>
      </c>
      <c r="BW168" s="23" t="str">
        <f t="shared" si="197"/>
        <v/>
      </c>
      <c r="BX168" s="23" t="str">
        <f t="shared" si="195"/>
        <v/>
      </c>
      <c r="BY168" s="23" t="str">
        <f t="array" ref="BY168">_xlfn.TEXTJOIN("",TRUE,IF(ISERROR(FIND(ROW($1:$168)-1,BW168&amp;BX168)),ROW($1:$168)-1,""))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68" s="22" t="str">
        <f t="shared" si="187"/>
        <v>中中中</v>
      </c>
      <c r="CA168" s="24" t="str">
        <f t="shared" si="188"/>
        <v/>
      </c>
      <c r="CB168" s="24" t="str">
        <f t="shared" si="196"/>
        <v/>
      </c>
      <c r="CC168" s="24" t="str">
        <f t="array" ref="CC168">_xlfn.TEXTJOIN("",TRUE,IF(ISERROR(FIND(ROW($1:$168)-1,CA168&amp;CB168)),ROW($1:$168)-1,""))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68" s="22" t="str">
        <f t="shared" si="189"/>
        <v>中中中</v>
      </c>
      <c r="CE168" s="25" t="str">
        <f t="shared" si="183"/>
        <v>02</v>
      </c>
      <c r="CF168" s="26" t="str">
        <f t="array" ref="CF168">_xlfn.TEXTJOIN("",TRUE,IF(ISNUMBER(FIND(MID(CE167&amp;W167,ROW($1:$162),1),CE168&amp;W168)),MID(CE167&amp;W167,ROW($1:$162),1),""))</f>
        <v>10</v>
      </c>
      <c r="CG168" s="27" t="str">
        <f t="array" ref="CG168">_xlfn.TEXTJOIN("",TRUE,IF(ISERROR(FIND(ROW($1:$168)-1,CE168&amp;CF168)),ROW($1:$168)-1,""))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68" s="28" t="str">
        <f t="shared" si="190"/>
        <v>邻传孤</v>
      </c>
      <c r="CI168" s="29" t="str">
        <f t="shared" si="191"/>
        <v>68</v>
      </c>
      <c r="CJ168" s="29" t="str">
        <f t="array" ref="CJ168">_xlfn.TEXTJOIN("",TRUE,IF(ISNUMBER(FIND(MID(CI167&amp;X167,ROW($1:$162),1),CI168&amp;X168)),MID(CI167&amp;X167,ROW($1:$162),1),""))</f>
        <v>6</v>
      </c>
      <c r="CK168" s="29" t="str">
        <f t="array" ref="CK168">_xlfn.TEXTJOIN("",TRUE,IF(ISERROR(FIND(ROW($1:$168)-1,CI168&amp;CJ168)),ROW($1:$168)-1,""))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L168" s="19" t="str">
        <f t="shared" si="192"/>
        <v>邻传孤</v>
      </c>
      <c r="CM168" s="24" t="str">
        <f t="shared" si="193"/>
        <v>57</v>
      </c>
      <c r="CN168" s="24" t="str">
        <f t="array" ref="CN168">_xlfn.TEXTJOIN("",TRUE,IF(ISNUMBER(FIND(MID(CM167&amp;Y167,ROW($1:$162),1),CM168&amp;Y168)),MID(CM167&amp;Y167,ROW($1:$162),1),""))</f>
        <v>65</v>
      </c>
      <c r="CO168" s="24" t="str">
        <f t="array" ref="CO168">_xlfn.TEXTJOIN("",TRUE,IF(ISERROR(FIND(ROW($1:$168)-1,CM168&amp;CN168)),ROW($1:$168)-1,""))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68" s="30" t="str">
        <f t="shared" si="194"/>
        <v>邻传孤</v>
      </c>
    </row>
    <row r="169" spans="1:94">
      <c r="A169" s="15">
        <v>169</v>
      </c>
      <c r="B169" s="80">
        <v>2024138</v>
      </c>
      <c r="C169" s="8" t="s">
        <v>186</v>
      </c>
      <c r="D169" s="81">
        <f t="shared" si="174"/>
        <v>19</v>
      </c>
      <c r="E169" s="82">
        <f t="shared" si="175"/>
        <v>9</v>
      </c>
      <c r="F169" s="83">
        <f t="shared" si="148"/>
        <v>4.75</v>
      </c>
      <c r="G169" s="84" t="str">
        <f t="shared" si="149"/>
        <v>紧凑</v>
      </c>
      <c r="H169" s="85" t="s">
        <v>10</v>
      </c>
      <c r="I169" s="85" t="s">
        <v>11</v>
      </c>
      <c r="J169" s="85" t="s">
        <v>12</v>
      </c>
      <c r="K169" s="85" t="s">
        <v>13</v>
      </c>
      <c r="L169" s="86">
        <f>MAX(MID(C169,{1,2,3},1)*1)-MIN(MID(C169,{1,2,3},1)*1)</f>
        <v>4</v>
      </c>
      <c r="M169" s="87">
        <v>0</v>
      </c>
      <c r="N169" s="87">
        <v>1</v>
      </c>
      <c r="O169" s="87">
        <v>2</v>
      </c>
      <c r="P169" s="87">
        <v>3</v>
      </c>
      <c r="Q169" s="87">
        <v>4</v>
      </c>
      <c r="R169" s="87">
        <v>5</v>
      </c>
      <c r="S169" s="87">
        <v>6</v>
      </c>
      <c r="T169" s="87">
        <v>7</v>
      </c>
      <c r="U169" s="87">
        <v>8</v>
      </c>
      <c r="V169" s="87">
        <v>9</v>
      </c>
      <c r="W169" s="88">
        <f t="shared" si="176"/>
        <v>4</v>
      </c>
      <c r="X169" s="88">
        <f t="shared" si="177"/>
        <v>4</v>
      </c>
      <c r="Y169" s="88">
        <f t="shared" si="178"/>
        <v>0</v>
      </c>
      <c r="Z169" s="89">
        <f t="shared" si="181"/>
        <v>8</v>
      </c>
      <c r="AA169" s="17" t="str">
        <f>_xlfn.TEXTJOIN(", ",TRUE,ABS(MID(C169,{1,1,2},1)-MID(C169,{2,3,3},1)))</f>
        <v>4, 4, 0</v>
      </c>
      <c r="AB169" s="90">
        <v>0</v>
      </c>
      <c r="AC169" s="90">
        <v>1</v>
      </c>
      <c r="AD169" s="90">
        <v>2</v>
      </c>
      <c r="AE169" s="90">
        <v>3</v>
      </c>
      <c r="AF169" s="90">
        <v>4</v>
      </c>
      <c r="AG169" s="90">
        <v>5</v>
      </c>
      <c r="AH169" s="90">
        <v>6</v>
      </c>
      <c r="AI169" s="90">
        <v>7</v>
      </c>
      <c r="AJ169" s="90">
        <v>8</v>
      </c>
      <c r="AK169" s="90">
        <v>9</v>
      </c>
      <c r="AL169" s="91">
        <v>0</v>
      </c>
      <c r="AM169" s="91">
        <v>1</v>
      </c>
      <c r="AN169" s="91">
        <v>2</v>
      </c>
      <c r="AO169" s="91">
        <v>3</v>
      </c>
      <c r="AP169" s="91">
        <v>4</v>
      </c>
      <c r="AQ169" s="91">
        <v>5</v>
      </c>
      <c r="AR169" s="91">
        <v>6</v>
      </c>
      <c r="AS169" s="91">
        <v>7</v>
      </c>
      <c r="AT169" s="91">
        <v>8</v>
      </c>
      <c r="AU169" s="91">
        <v>9</v>
      </c>
      <c r="AV169" s="92">
        <v>0</v>
      </c>
      <c r="AW169" s="92">
        <v>1</v>
      </c>
      <c r="AX169" s="92">
        <v>2</v>
      </c>
      <c r="AY169" s="92">
        <v>3</v>
      </c>
      <c r="AZ169" s="92">
        <v>4</v>
      </c>
      <c r="BA169" s="92">
        <v>5</v>
      </c>
      <c r="BB169" s="92">
        <v>6</v>
      </c>
      <c r="BC169" s="92">
        <v>7</v>
      </c>
      <c r="BD169" s="92">
        <v>8</v>
      </c>
      <c r="BE169" s="92">
        <v>9</v>
      </c>
      <c r="BF169" s="93">
        <v>0</v>
      </c>
      <c r="BG169" s="93">
        <v>1</v>
      </c>
      <c r="BH169" s="93">
        <v>2</v>
      </c>
      <c r="BI169" s="93">
        <v>3</v>
      </c>
      <c r="BJ169" s="93">
        <v>4</v>
      </c>
      <c r="BK169" s="93">
        <v>5</v>
      </c>
      <c r="BL169" s="93">
        <v>6</v>
      </c>
      <c r="BM169" s="93">
        <v>7</v>
      </c>
      <c r="BN169" s="93">
        <v>8</v>
      </c>
      <c r="BO169" s="93">
        <v>9</v>
      </c>
      <c r="BP169" s="94" t="str">
        <f t="shared" si="182"/>
        <v>紧凑型</v>
      </c>
      <c r="BQ169" s="15">
        <f t="shared" si="179"/>
        <v>0</v>
      </c>
      <c r="BR169" s="15">
        <f t="shared" si="180"/>
        <v>4</v>
      </c>
      <c r="BS169" s="20" t="str">
        <f t="shared" si="184"/>
        <v/>
      </c>
      <c r="BT169" s="21" t="str">
        <f t="shared" si="185"/>
        <v/>
      </c>
      <c r="BU169" s="21" t="str">
        <f t="array" ref="BU169">_xlfn.TEXTJOIN("",TRUE,IF(ISERROR(FIND(ROW($1:$168)-1,BS169&amp;BT169)),ROW($1:$168)-1,""))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69" s="22" t="str">
        <f t="shared" si="186"/>
        <v>中中中</v>
      </c>
      <c r="BW169" s="23" t="str">
        <f t="shared" si="197"/>
        <v/>
      </c>
      <c r="BX169" s="23" t="str">
        <f t="shared" si="195"/>
        <v/>
      </c>
      <c r="BY169" s="23" t="str">
        <f t="array" ref="BY169">_xlfn.TEXTJOIN("",TRUE,IF(ISERROR(FIND(ROW($1:$168)-1,BW169&amp;BX169)),ROW($1:$168)-1,""))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69" s="22" t="str">
        <f t="shared" si="187"/>
        <v>中中中</v>
      </c>
      <c r="CA169" s="24" t="str">
        <f t="shared" si="188"/>
        <v/>
      </c>
      <c r="CB169" s="24">
        <f t="shared" si="196"/>
        <v>0</v>
      </c>
      <c r="CC169" s="24" t="str">
        <f t="array" ref="CC169">_xlfn.TEXTJOIN("",TRUE,IF(ISERROR(FIND(ROW($1:$168)-1,CA169&amp;CB169)),ROW($1:$168)-1,""))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69" s="22" t="str">
        <f t="shared" si="189"/>
        <v>中隔中</v>
      </c>
      <c r="CE169" s="25" t="str">
        <f t="shared" si="183"/>
        <v>35</v>
      </c>
      <c r="CF169" s="26" t="str">
        <f t="array" ref="CF169">_xlfn.TEXTJOIN("",TRUE,IF(ISNUMBER(FIND(MID(CE168&amp;W168,ROW($1:$162),1),CE169&amp;W169)),MID(CE168&amp;W168,ROW($1:$162),1),""))</f>
        <v/>
      </c>
      <c r="CG169" s="27" t="str">
        <f t="array" ref="CG169">_xlfn.TEXTJOIN("",TRUE,IF(ISERROR(FIND(ROW($1:$168)-1,CE169&amp;CF169)),ROW($1:$168)-1,""))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69" s="28" t="str">
        <f t="shared" si="190"/>
        <v>邻孤孤</v>
      </c>
      <c r="CI169" s="29" t="str">
        <f t="shared" si="191"/>
        <v>35</v>
      </c>
      <c r="CJ169" s="29" t="str">
        <f t="array" ref="CJ169">_xlfn.TEXTJOIN("",TRUE,IF(ISNUMBER(FIND(MID(CI168&amp;X168,ROW($1:$162),1),CI169&amp;X169)),MID(CI168&amp;X168,ROW($1:$162),1),""))</f>
        <v/>
      </c>
      <c r="CK169" s="29" t="str">
        <f t="array" ref="CK169">_xlfn.TEXTJOIN("",TRUE,IF(ISERROR(FIND(ROW($1:$168)-1,CI169&amp;CJ169)),ROW($1:$168)-1,""))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69" s="19" t="str">
        <f t="shared" si="192"/>
        <v>邻孤孤</v>
      </c>
      <c r="CM169" s="24" t="str">
        <f t="shared" si="193"/>
        <v>91</v>
      </c>
      <c r="CN169" s="24" t="str">
        <f t="array" ref="CN169">_xlfn.TEXTJOIN("",TRUE,IF(ISNUMBER(FIND(MID(CM168&amp;Y168,ROW($1:$162),1),CM169&amp;Y169)),MID(CM168&amp;Y168,ROW($1:$162),1),""))</f>
        <v/>
      </c>
      <c r="CO169" s="24" t="str">
        <f t="array" ref="CO169">_xlfn.TEXTJOIN("",TRUE,IF(ISERROR(FIND(ROW($1:$168)-1,CM169&amp;CN169)),ROW($1:$168)-1,""))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169" s="30" t="str">
        <f t="shared" si="194"/>
        <v>邻孤孤</v>
      </c>
    </row>
    <row r="170" spans="1:94">
      <c r="A170" s="15">
        <v>170</v>
      </c>
      <c r="B170" s="80">
        <v>2024139</v>
      </c>
      <c r="C170" s="8" t="s">
        <v>187</v>
      </c>
      <c r="D170" s="81">
        <f t="shared" si="174"/>
        <v>19</v>
      </c>
      <c r="E170" s="82">
        <f t="shared" si="175"/>
        <v>9</v>
      </c>
      <c r="F170" s="83">
        <f t="shared" si="148"/>
        <v>4.75</v>
      </c>
      <c r="G170" s="84" t="str">
        <f t="shared" si="149"/>
        <v>紧凑</v>
      </c>
      <c r="H170" s="85" t="s">
        <v>10</v>
      </c>
      <c r="I170" s="85" t="s">
        <v>11</v>
      </c>
      <c r="J170" s="85" t="s">
        <v>12</v>
      </c>
      <c r="K170" s="85" t="s">
        <v>13</v>
      </c>
      <c r="L170" s="86">
        <f>MAX(MID(C170,{1,2,3},1)*1)-MIN(MID(C170,{1,2,3},1)*1)</f>
        <v>4</v>
      </c>
      <c r="M170" s="87">
        <v>0</v>
      </c>
      <c r="N170" s="87">
        <v>1</v>
      </c>
      <c r="O170" s="87">
        <v>2</v>
      </c>
      <c r="P170" s="87">
        <v>3</v>
      </c>
      <c r="Q170" s="87">
        <v>4</v>
      </c>
      <c r="R170" s="87">
        <v>5</v>
      </c>
      <c r="S170" s="87">
        <v>6</v>
      </c>
      <c r="T170" s="87">
        <v>7</v>
      </c>
      <c r="U170" s="87">
        <v>8</v>
      </c>
      <c r="V170" s="87">
        <v>9</v>
      </c>
      <c r="W170" s="88">
        <f t="shared" si="176"/>
        <v>3</v>
      </c>
      <c r="X170" s="88">
        <f t="shared" si="177"/>
        <v>1</v>
      </c>
      <c r="Y170" s="88">
        <f t="shared" si="178"/>
        <v>4</v>
      </c>
      <c r="Z170" s="89">
        <f t="shared" si="181"/>
        <v>8</v>
      </c>
      <c r="AA170" s="17" t="str">
        <f>_xlfn.TEXTJOIN(", ",TRUE,ABS(MID(C170,{1,1,2},1)-MID(C170,{2,3,3},1)))</f>
        <v>3, 1, 4</v>
      </c>
      <c r="AB170" s="90">
        <v>0</v>
      </c>
      <c r="AC170" s="90">
        <v>1</v>
      </c>
      <c r="AD170" s="90">
        <v>2</v>
      </c>
      <c r="AE170" s="90">
        <v>3</v>
      </c>
      <c r="AF170" s="90">
        <v>4</v>
      </c>
      <c r="AG170" s="90">
        <v>5</v>
      </c>
      <c r="AH170" s="90">
        <v>6</v>
      </c>
      <c r="AI170" s="90">
        <v>7</v>
      </c>
      <c r="AJ170" s="90">
        <v>8</v>
      </c>
      <c r="AK170" s="90">
        <v>9</v>
      </c>
      <c r="AL170" s="91">
        <v>0</v>
      </c>
      <c r="AM170" s="91">
        <v>1</v>
      </c>
      <c r="AN170" s="91">
        <v>2</v>
      </c>
      <c r="AO170" s="91">
        <v>3</v>
      </c>
      <c r="AP170" s="91">
        <v>4</v>
      </c>
      <c r="AQ170" s="91">
        <v>5</v>
      </c>
      <c r="AR170" s="91">
        <v>6</v>
      </c>
      <c r="AS170" s="91">
        <v>7</v>
      </c>
      <c r="AT170" s="91">
        <v>8</v>
      </c>
      <c r="AU170" s="91">
        <v>9</v>
      </c>
      <c r="AV170" s="92">
        <v>0</v>
      </c>
      <c r="AW170" s="92">
        <v>1</v>
      </c>
      <c r="AX170" s="92">
        <v>2</v>
      </c>
      <c r="AY170" s="92">
        <v>3</v>
      </c>
      <c r="AZ170" s="92">
        <v>4</v>
      </c>
      <c r="BA170" s="92">
        <v>5</v>
      </c>
      <c r="BB170" s="92">
        <v>6</v>
      </c>
      <c r="BC170" s="92">
        <v>7</v>
      </c>
      <c r="BD170" s="92">
        <v>8</v>
      </c>
      <c r="BE170" s="92">
        <v>9</v>
      </c>
      <c r="BF170" s="93">
        <v>0</v>
      </c>
      <c r="BG170" s="93">
        <v>1</v>
      </c>
      <c r="BH170" s="93">
        <v>2</v>
      </c>
      <c r="BI170" s="93">
        <v>3</v>
      </c>
      <c r="BJ170" s="93">
        <v>4</v>
      </c>
      <c r="BK170" s="93">
        <v>5</v>
      </c>
      <c r="BL170" s="93">
        <v>6</v>
      </c>
      <c r="BM170" s="93">
        <v>7</v>
      </c>
      <c r="BN170" s="93">
        <v>8</v>
      </c>
      <c r="BO170" s="93">
        <v>9</v>
      </c>
      <c r="BP170" s="94" t="str">
        <f t="shared" si="182"/>
        <v>紧凑型</v>
      </c>
      <c r="BQ170" s="15">
        <f t="shared" si="179"/>
        <v>1</v>
      </c>
      <c r="BR170" s="15">
        <f t="shared" si="180"/>
        <v>4</v>
      </c>
      <c r="BS170" s="20" t="str">
        <f t="shared" si="184"/>
        <v/>
      </c>
      <c r="BT170" s="21" t="str">
        <f t="shared" si="185"/>
        <v/>
      </c>
      <c r="BU170" s="21" t="str">
        <f t="array" ref="BU170">_xlfn.TEXTJOIN("",TRUE,IF(ISERROR(FIND(ROW($1:$168)-1,BS170&amp;BT170)),ROW($1:$168)-1,""))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70" s="22" t="str">
        <f t="shared" si="186"/>
        <v>中中中</v>
      </c>
      <c r="BW170" s="23" t="str">
        <f t="shared" si="197"/>
        <v/>
      </c>
      <c r="BX170" s="23">
        <f t="shared" si="195"/>
        <v>1</v>
      </c>
      <c r="BY170" s="23" t="str">
        <f t="array" ref="BY170">_xlfn.TEXTJOIN("",TRUE,IF(ISERROR(FIND(ROW($1:$168)-1,BW170&amp;BX170)),ROW($1:$168)-1,""))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70" s="22" t="str">
        <f t="shared" si="187"/>
        <v>中隔中</v>
      </c>
      <c r="CA170" s="24">
        <f t="shared" si="188"/>
        <v>4</v>
      </c>
      <c r="CB170" s="24" t="str">
        <f t="shared" si="196"/>
        <v/>
      </c>
      <c r="CC170" s="24" t="str">
        <f t="array" ref="CC170">_xlfn.TEXTJOIN("",TRUE,IF(ISERROR(FIND(ROW($1:$168)-1,CA170&amp;CB170)),ROW($1:$168)-1,""))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70" s="22" t="str">
        <f t="shared" si="189"/>
        <v>复中中</v>
      </c>
      <c r="CE170" s="25" t="str">
        <f t="shared" si="183"/>
        <v>24</v>
      </c>
      <c r="CF170" s="26" t="str">
        <f t="array" ref="CF170">_xlfn.TEXTJOIN("",TRUE,IF(ISNUMBER(FIND(MID(CE169&amp;W169,ROW($1:$162),1),CE170&amp;W170)),MID(CE169&amp;W169,ROW($1:$162),1),""))</f>
        <v>34</v>
      </c>
      <c r="CG170" s="27" t="str">
        <f t="array" ref="CG170">_xlfn.TEXTJOIN("",TRUE,IF(ISERROR(FIND(ROW($1:$168)-1,CE170&amp;CF170)),ROW($1:$168)-1,""))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70" s="28" t="str">
        <f t="shared" si="190"/>
        <v>邻传孤</v>
      </c>
      <c r="CI170" s="29" t="str">
        <f t="shared" si="191"/>
        <v>02</v>
      </c>
      <c r="CJ170" s="29" t="str">
        <f t="array" ref="CJ170">_xlfn.TEXTJOIN("",TRUE,IF(ISNUMBER(FIND(MID(CI169&amp;X169,ROW($1:$162),1),CI170&amp;X170)),MID(CI169&amp;X169,ROW($1:$162),1),""))</f>
        <v/>
      </c>
      <c r="CK170" s="29" t="str">
        <f t="array" ref="CK170">_xlfn.TEXTJOIN("",TRUE,IF(ISERROR(FIND(ROW($1:$168)-1,CI170&amp;CJ170)),ROW($1:$168)-1,""))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70" s="19" t="str">
        <f t="shared" si="192"/>
        <v>邻孤孤</v>
      </c>
      <c r="CM170" s="24" t="str">
        <f t="shared" si="193"/>
        <v>35</v>
      </c>
      <c r="CN170" s="24" t="str">
        <f t="array" ref="CN170">_xlfn.TEXTJOIN("",TRUE,IF(ISNUMBER(FIND(MID(CM169&amp;Y169,ROW($1:$162),1),CM170&amp;Y170)),MID(CM169&amp;Y169,ROW($1:$162),1),""))</f>
        <v/>
      </c>
      <c r="CO170" s="24" t="str">
        <f t="array" ref="CO170">_xlfn.TEXTJOIN("",TRUE,IF(ISERROR(FIND(ROW($1:$168)-1,CM170&amp;CN170)),ROW($1:$168)-1,""))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70" s="30" t="str">
        <f t="shared" si="194"/>
        <v>邻孤孤</v>
      </c>
    </row>
    <row r="171" spans="1:94">
      <c r="A171" s="15">
        <v>171</v>
      </c>
      <c r="B171" s="80">
        <v>2024140</v>
      </c>
      <c r="C171" s="8" t="s">
        <v>188</v>
      </c>
      <c r="D171" s="81">
        <f t="shared" si="174"/>
        <v>14</v>
      </c>
      <c r="E171" s="82">
        <f t="shared" si="175"/>
        <v>4</v>
      </c>
      <c r="F171" s="83">
        <f t="shared" si="148"/>
        <v>4.66666666666667</v>
      </c>
      <c r="G171" s="84" t="str">
        <f t="shared" si="149"/>
        <v>紧凑</v>
      </c>
      <c r="H171" s="85" t="s">
        <v>10</v>
      </c>
      <c r="I171" s="85" t="s">
        <v>11</v>
      </c>
      <c r="J171" s="85" t="s">
        <v>12</v>
      </c>
      <c r="K171" s="85" t="s">
        <v>13</v>
      </c>
      <c r="L171" s="86">
        <f>MAX(MID(C171,{1,2,3},1)*1)-MIN(MID(C171,{1,2,3},1)*1)</f>
        <v>3</v>
      </c>
      <c r="M171" s="87">
        <v>0</v>
      </c>
      <c r="N171" s="87">
        <v>1</v>
      </c>
      <c r="O171" s="87">
        <v>2</v>
      </c>
      <c r="P171" s="87">
        <v>3</v>
      </c>
      <c r="Q171" s="87">
        <v>4</v>
      </c>
      <c r="R171" s="87">
        <v>5</v>
      </c>
      <c r="S171" s="87">
        <v>6</v>
      </c>
      <c r="T171" s="87">
        <v>7</v>
      </c>
      <c r="U171" s="87">
        <v>8</v>
      </c>
      <c r="V171" s="87">
        <v>9</v>
      </c>
      <c r="W171" s="88">
        <f t="shared" si="176"/>
        <v>2</v>
      </c>
      <c r="X171" s="88">
        <f t="shared" si="177"/>
        <v>1</v>
      </c>
      <c r="Y171" s="88">
        <f t="shared" si="178"/>
        <v>3</v>
      </c>
      <c r="Z171" s="89">
        <f t="shared" si="181"/>
        <v>6</v>
      </c>
      <c r="AA171" s="17" t="str">
        <f>_xlfn.TEXTJOIN(", ",TRUE,ABS(MID(C171,{1,1,2},1)-MID(C171,{2,3,3},1)))</f>
        <v>2, 1, 3</v>
      </c>
      <c r="AB171" s="90">
        <v>0</v>
      </c>
      <c r="AC171" s="90">
        <v>1</v>
      </c>
      <c r="AD171" s="90">
        <v>2</v>
      </c>
      <c r="AE171" s="90">
        <v>3</v>
      </c>
      <c r="AF171" s="90">
        <v>4</v>
      </c>
      <c r="AG171" s="90">
        <v>5</v>
      </c>
      <c r="AH171" s="90">
        <v>6</v>
      </c>
      <c r="AI171" s="90">
        <v>7</v>
      </c>
      <c r="AJ171" s="90">
        <v>8</v>
      </c>
      <c r="AK171" s="90">
        <v>9</v>
      </c>
      <c r="AL171" s="91">
        <v>0</v>
      </c>
      <c r="AM171" s="91">
        <v>1</v>
      </c>
      <c r="AN171" s="91">
        <v>2</v>
      </c>
      <c r="AO171" s="91">
        <v>3</v>
      </c>
      <c r="AP171" s="91">
        <v>4</v>
      </c>
      <c r="AQ171" s="91">
        <v>5</v>
      </c>
      <c r="AR171" s="91">
        <v>6</v>
      </c>
      <c r="AS171" s="91">
        <v>7</v>
      </c>
      <c r="AT171" s="91">
        <v>8</v>
      </c>
      <c r="AU171" s="91">
        <v>9</v>
      </c>
      <c r="AV171" s="92">
        <v>0</v>
      </c>
      <c r="AW171" s="92">
        <v>1</v>
      </c>
      <c r="AX171" s="92">
        <v>2</v>
      </c>
      <c r="AY171" s="92">
        <v>3</v>
      </c>
      <c r="AZ171" s="92">
        <v>4</v>
      </c>
      <c r="BA171" s="92">
        <v>5</v>
      </c>
      <c r="BB171" s="92">
        <v>6</v>
      </c>
      <c r="BC171" s="92">
        <v>7</v>
      </c>
      <c r="BD171" s="92">
        <v>8</v>
      </c>
      <c r="BE171" s="92">
        <v>9</v>
      </c>
      <c r="BF171" s="93">
        <v>0</v>
      </c>
      <c r="BG171" s="93">
        <v>1</v>
      </c>
      <c r="BH171" s="93">
        <v>2</v>
      </c>
      <c r="BI171" s="93">
        <v>3</v>
      </c>
      <c r="BJ171" s="93">
        <v>4</v>
      </c>
      <c r="BK171" s="93">
        <v>5</v>
      </c>
      <c r="BL171" s="93">
        <v>6</v>
      </c>
      <c r="BM171" s="93">
        <v>7</v>
      </c>
      <c r="BN171" s="93">
        <v>8</v>
      </c>
      <c r="BO171" s="93">
        <v>9</v>
      </c>
      <c r="BP171" s="94" t="str">
        <f t="shared" si="182"/>
        <v>紧凑型</v>
      </c>
      <c r="BQ171" s="15">
        <f t="shared" si="179"/>
        <v>1</v>
      </c>
      <c r="BR171" s="15">
        <f t="shared" si="180"/>
        <v>3</v>
      </c>
      <c r="BS171" s="20" t="str">
        <f t="shared" si="184"/>
        <v/>
      </c>
      <c r="BT171" s="21" t="str">
        <f t="shared" si="185"/>
        <v/>
      </c>
      <c r="BU171" s="21" t="str">
        <f t="array" ref="BU171">_xlfn.TEXTJOIN("",TRUE,IF(ISERROR(FIND(ROW($1:$168)-1,BS171&amp;BT171)),ROW($1:$168)-1,""))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71" s="22" t="str">
        <f t="shared" si="186"/>
        <v>中中中</v>
      </c>
      <c r="BW171" s="23">
        <f t="shared" si="197"/>
        <v>1</v>
      </c>
      <c r="BX171" s="23" t="str">
        <f t="shared" si="195"/>
        <v/>
      </c>
      <c r="BY171" s="23" t="str">
        <f t="array" ref="BY171">_xlfn.TEXTJOIN("",TRUE,IF(ISERROR(FIND(ROW($1:$168)-1,BW171&amp;BX171)),ROW($1:$168)-1,""))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71" s="22" t="str">
        <f t="shared" si="187"/>
        <v>复中中</v>
      </c>
      <c r="CA171" s="24">
        <f t="shared" si="188"/>
        <v>3</v>
      </c>
      <c r="CB171" s="24" t="str">
        <f t="shared" si="196"/>
        <v/>
      </c>
      <c r="CC171" s="24" t="str">
        <f t="array" ref="CC171">_xlfn.TEXTJOIN("",TRUE,IF(ISERROR(FIND(ROW($1:$168)-1,CA171&amp;CB171)),ROW($1:$168)-1,""))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71" s="22" t="str">
        <f t="shared" si="189"/>
        <v>复中中</v>
      </c>
      <c r="CE171" s="25" t="str">
        <f t="shared" si="183"/>
        <v>13</v>
      </c>
      <c r="CF171" s="26" t="str">
        <f t="array" ref="CF171">_xlfn.TEXTJOIN("",TRUE,IF(ISNUMBER(FIND(MID(CE170&amp;W170,ROW($1:$162),1),CE171&amp;W171)),MID(CE170&amp;W170,ROW($1:$162),1),""))</f>
        <v>23</v>
      </c>
      <c r="CG171" s="27" t="str">
        <f t="array" ref="CG171">_xlfn.TEXTJOIN("",TRUE,IF(ISERROR(FIND(ROW($1:$168)-1,CE171&amp;CF171)),ROW($1:$168)-1,""))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171" s="28" t="str">
        <f t="shared" si="190"/>
        <v>邻传孤</v>
      </c>
      <c r="CI171" s="29" t="str">
        <f t="shared" si="191"/>
        <v>02</v>
      </c>
      <c r="CJ171" s="29" t="str">
        <f t="array" ref="CJ171">_xlfn.TEXTJOIN("",TRUE,IF(ISNUMBER(FIND(MID(CI170&amp;X170,ROW($1:$162),1),CI171&amp;X171)),MID(CI170&amp;X170,ROW($1:$162),1),""))</f>
        <v>021</v>
      </c>
      <c r="CK171" s="29" t="str">
        <f t="array" ref="CK171">_xlfn.TEXTJOIN("",TRUE,IF(ISERROR(FIND(ROW($1:$168)-1,CI171&amp;CJ171)),ROW($1:$168)-1,""))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71" s="19" t="str">
        <f t="shared" si="192"/>
        <v>邻传孤</v>
      </c>
      <c r="CM171" s="24" t="str">
        <f t="shared" si="193"/>
        <v>24</v>
      </c>
      <c r="CN171" s="24" t="str">
        <f t="array" ref="CN171">_xlfn.TEXTJOIN("",TRUE,IF(ISNUMBER(FIND(MID(CM170&amp;Y170,ROW($1:$162),1),CM171&amp;Y171)),MID(CM170&amp;Y170,ROW($1:$162),1),""))</f>
        <v>34</v>
      </c>
      <c r="CO171" s="24" t="str">
        <f t="array" ref="CO171">_xlfn.TEXTJOIN("",TRUE,IF(ISERROR(FIND(ROW($1:$168)-1,CM171&amp;CN171)),ROW($1:$168)-1,""))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71" s="30" t="str">
        <f t="shared" si="194"/>
        <v>邻传孤</v>
      </c>
    </row>
    <row r="172" spans="1:94">
      <c r="A172" s="15">
        <v>172</v>
      </c>
      <c r="B172" s="80">
        <v>2024141</v>
      </c>
      <c r="C172" s="8" t="s">
        <v>189</v>
      </c>
      <c r="D172" s="81">
        <f t="shared" si="174"/>
        <v>13</v>
      </c>
      <c r="E172" s="82">
        <f t="shared" si="175"/>
        <v>3</v>
      </c>
      <c r="F172" s="83">
        <f t="shared" si="148"/>
        <v>3.25</v>
      </c>
      <c r="G172" s="84" t="str">
        <f t="shared" si="149"/>
        <v>标准</v>
      </c>
      <c r="H172" s="85" t="s">
        <v>10</v>
      </c>
      <c r="I172" s="85" t="s">
        <v>11</v>
      </c>
      <c r="J172" s="85" t="s">
        <v>12</v>
      </c>
      <c r="K172" s="85" t="s">
        <v>13</v>
      </c>
      <c r="L172" s="86">
        <f>MAX(MID(C172,{1,2,3},1)*1)-MIN(MID(C172,{1,2,3},1)*1)</f>
        <v>4</v>
      </c>
      <c r="M172" s="87">
        <v>0</v>
      </c>
      <c r="N172" s="87">
        <v>1</v>
      </c>
      <c r="O172" s="87">
        <v>2</v>
      </c>
      <c r="P172" s="87">
        <v>3</v>
      </c>
      <c r="Q172" s="87">
        <v>4</v>
      </c>
      <c r="R172" s="87">
        <v>5</v>
      </c>
      <c r="S172" s="87">
        <v>6</v>
      </c>
      <c r="T172" s="87">
        <v>7</v>
      </c>
      <c r="U172" s="87">
        <v>8</v>
      </c>
      <c r="V172" s="87">
        <v>9</v>
      </c>
      <c r="W172" s="88">
        <f t="shared" si="176"/>
        <v>3</v>
      </c>
      <c r="X172" s="88">
        <f t="shared" si="177"/>
        <v>4</v>
      </c>
      <c r="Y172" s="88">
        <f t="shared" si="178"/>
        <v>1</v>
      </c>
      <c r="Z172" s="89">
        <f t="shared" si="181"/>
        <v>8</v>
      </c>
      <c r="AA172" s="17" t="str">
        <f>_xlfn.TEXTJOIN(", ",TRUE,ABS(MID(C172,{1,1,2},1)-MID(C172,{2,3,3},1)))</f>
        <v>3, 4, 1</v>
      </c>
      <c r="AB172" s="90">
        <v>0</v>
      </c>
      <c r="AC172" s="90">
        <v>1</v>
      </c>
      <c r="AD172" s="90">
        <v>2</v>
      </c>
      <c r="AE172" s="90">
        <v>3</v>
      </c>
      <c r="AF172" s="90">
        <v>4</v>
      </c>
      <c r="AG172" s="90">
        <v>5</v>
      </c>
      <c r="AH172" s="90">
        <v>6</v>
      </c>
      <c r="AI172" s="90">
        <v>7</v>
      </c>
      <c r="AJ172" s="90">
        <v>8</v>
      </c>
      <c r="AK172" s="90">
        <v>9</v>
      </c>
      <c r="AL172" s="91">
        <v>0</v>
      </c>
      <c r="AM172" s="91">
        <v>1</v>
      </c>
      <c r="AN172" s="91">
        <v>2</v>
      </c>
      <c r="AO172" s="91">
        <v>3</v>
      </c>
      <c r="AP172" s="91">
        <v>4</v>
      </c>
      <c r="AQ172" s="91">
        <v>5</v>
      </c>
      <c r="AR172" s="91">
        <v>6</v>
      </c>
      <c r="AS172" s="91">
        <v>7</v>
      </c>
      <c r="AT172" s="91">
        <v>8</v>
      </c>
      <c r="AU172" s="91">
        <v>9</v>
      </c>
      <c r="AV172" s="92">
        <v>0</v>
      </c>
      <c r="AW172" s="92">
        <v>1</v>
      </c>
      <c r="AX172" s="92">
        <v>2</v>
      </c>
      <c r="AY172" s="92">
        <v>3</v>
      </c>
      <c r="AZ172" s="92">
        <v>4</v>
      </c>
      <c r="BA172" s="92">
        <v>5</v>
      </c>
      <c r="BB172" s="92">
        <v>6</v>
      </c>
      <c r="BC172" s="92">
        <v>7</v>
      </c>
      <c r="BD172" s="92">
        <v>8</v>
      </c>
      <c r="BE172" s="92">
        <v>9</v>
      </c>
      <c r="BF172" s="93">
        <v>0</v>
      </c>
      <c r="BG172" s="93">
        <v>1</v>
      </c>
      <c r="BH172" s="93">
        <v>2</v>
      </c>
      <c r="BI172" s="93">
        <v>3</v>
      </c>
      <c r="BJ172" s="93">
        <v>4</v>
      </c>
      <c r="BK172" s="93">
        <v>5</v>
      </c>
      <c r="BL172" s="93">
        <v>6</v>
      </c>
      <c r="BM172" s="93">
        <v>7</v>
      </c>
      <c r="BN172" s="93">
        <v>8</v>
      </c>
      <c r="BO172" s="93">
        <v>9</v>
      </c>
      <c r="BP172" s="94" t="str">
        <f t="shared" si="182"/>
        <v>紧凑型</v>
      </c>
      <c r="BQ172" s="15">
        <f t="shared" si="179"/>
        <v>1</v>
      </c>
      <c r="BR172" s="15">
        <f t="shared" si="180"/>
        <v>4</v>
      </c>
      <c r="BS172" s="20">
        <f t="shared" si="184"/>
        <v>3</v>
      </c>
      <c r="BT172" s="21">
        <f t="shared" si="185"/>
        <v>3</v>
      </c>
      <c r="BU172" s="21" t="str">
        <f t="array" ref="BU172">_xlfn.TEXTJOIN("",TRUE,IF(ISERROR(FIND(ROW($1:$168)-1,BS172&amp;BT172)),ROW($1:$168)-1,""))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72" s="22" t="str">
        <f t="shared" si="186"/>
        <v>复隔中</v>
      </c>
      <c r="BW172" s="23" t="str">
        <f t="shared" si="197"/>
        <v/>
      </c>
      <c r="BX172" s="23">
        <f t="shared" si="195"/>
        <v>4</v>
      </c>
      <c r="BY172" s="23" t="str">
        <f t="array" ref="BY172">_xlfn.TEXTJOIN("",TRUE,IF(ISERROR(FIND(ROW($1:$168)-1,BW172&amp;BX172)),ROW($1:$168)-1,""))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72" s="22" t="str">
        <f t="shared" si="187"/>
        <v>中隔中</v>
      </c>
      <c r="CA172" s="24">
        <f t="shared" si="188"/>
        <v>1</v>
      </c>
      <c r="CB172" s="24">
        <f t="shared" si="196"/>
        <v>1</v>
      </c>
      <c r="CC172" s="24" t="str">
        <f t="array" ref="CC172">_xlfn.TEXTJOIN("",TRUE,IF(ISERROR(FIND(ROW($1:$168)-1,CA172&amp;CB172)),ROW($1:$168)-1,""))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72" s="22" t="str">
        <f t="shared" si="189"/>
        <v>复隔中</v>
      </c>
      <c r="CE172" s="25" t="str">
        <f t="shared" si="183"/>
        <v>24</v>
      </c>
      <c r="CF172" s="26" t="str">
        <f t="array" ref="CF172">_xlfn.TEXTJOIN("",TRUE,IF(ISNUMBER(FIND(MID(CE171&amp;W171,ROW($1:$162),1),CE172&amp;W172)),MID(CE171&amp;W171,ROW($1:$162),1),""))</f>
        <v>32</v>
      </c>
      <c r="CG172" s="27" t="str">
        <f t="array" ref="CG172">_xlfn.TEXTJOIN("",TRUE,IF(ISERROR(FIND(ROW($1:$168)-1,CE172&amp;CF172)),ROW($1:$168)-1,""))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72" s="28" t="str">
        <f t="shared" si="190"/>
        <v>邻传孤</v>
      </c>
      <c r="CI172" s="29" t="str">
        <f t="shared" si="191"/>
        <v>35</v>
      </c>
      <c r="CJ172" s="29" t="str">
        <f t="array" ref="CJ172">_xlfn.TEXTJOIN("",TRUE,IF(ISNUMBER(FIND(MID(CI171&amp;X171,ROW($1:$162),1),CI172&amp;X172)),MID(CI171&amp;X171,ROW($1:$162),1),""))</f>
        <v/>
      </c>
      <c r="CK172" s="29" t="str">
        <f t="array" ref="CK172">_xlfn.TEXTJOIN("",TRUE,IF(ISERROR(FIND(ROW($1:$168)-1,CI172&amp;CJ172)),ROW($1:$168)-1,""))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72" s="19" t="str">
        <f t="shared" si="192"/>
        <v>邻孤孤</v>
      </c>
      <c r="CM172" s="24" t="str">
        <f t="shared" si="193"/>
        <v>02</v>
      </c>
      <c r="CN172" s="24" t="str">
        <f t="array" ref="CN172">_xlfn.TEXTJOIN("",TRUE,IF(ISNUMBER(FIND(MID(CM171&amp;Y171,ROW($1:$162),1),CM172&amp;Y172)),MID(CM171&amp;Y171,ROW($1:$162),1),""))</f>
        <v>2</v>
      </c>
      <c r="CO172" s="24" t="str">
        <f t="array" ref="CO172">_xlfn.TEXTJOIN("",TRUE,IF(ISERROR(FIND(ROW($1:$168)-1,CM172&amp;CN172)),ROW($1:$168)-1,""))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72" s="30" t="str">
        <f t="shared" si="194"/>
        <v>邻传孤</v>
      </c>
    </row>
    <row r="173" spans="1:94">
      <c r="A173" s="15">
        <v>173</v>
      </c>
      <c r="B173" s="80">
        <v>2024142</v>
      </c>
      <c r="C173" s="8" t="s">
        <v>190</v>
      </c>
      <c r="D173" s="81">
        <f t="shared" si="174"/>
        <v>12</v>
      </c>
      <c r="E173" s="82">
        <f t="shared" si="175"/>
        <v>2</v>
      </c>
      <c r="F173" s="83">
        <f t="shared" si="148"/>
        <v>1.71428571428571</v>
      </c>
      <c r="G173" s="84" t="str">
        <f t="shared" si="149"/>
        <v>松散</v>
      </c>
      <c r="H173" s="85" t="s">
        <v>10</v>
      </c>
      <c r="I173" s="85" t="s">
        <v>11</v>
      </c>
      <c r="J173" s="85" t="s">
        <v>12</v>
      </c>
      <c r="K173" s="85" t="s">
        <v>13</v>
      </c>
      <c r="L173" s="86">
        <f>MAX(MID(C173,{1,2,3},1)*1)-MIN(MID(C173,{1,2,3},1)*1)</f>
        <v>7</v>
      </c>
      <c r="M173" s="87">
        <v>0</v>
      </c>
      <c r="N173" s="87">
        <v>1</v>
      </c>
      <c r="O173" s="87">
        <v>2</v>
      </c>
      <c r="P173" s="87">
        <v>3</v>
      </c>
      <c r="Q173" s="87">
        <v>4</v>
      </c>
      <c r="R173" s="87">
        <v>5</v>
      </c>
      <c r="S173" s="87">
        <v>6</v>
      </c>
      <c r="T173" s="87">
        <v>7</v>
      </c>
      <c r="U173" s="87">
        <v>8</v>
      </c>
      <c r="V173" s="87">
        <v>9</v>
      </c>
      <c r="W173" s="88">
        <f t="shared" si="176"/>
        <v>7</v>
      </c>
      <c r="X173" s="88">
        <f t="shared" si="177"/>
        <v>5</v>
      </c>
      <c r="Y173" s="88">
        <f t="shared" si="178"/>
        <v>2</v>
      </c>
      <c r="Z173" s="89">
        <f t="shared" si="181"/>
        <v>14</v>
      </c>
      <c r="AA173" s="17" t="str">
        <f>_xlfn.TEXTJOIN(", ",TRUE,ABS(MID(C173,{1,1,2},1)-MID(C173,{2,3,3},1)))</f>
        <v>7, 5, 2</v>
      </c>
      <c r="AB173" s="90">
        <v>0</v>
      </c>
      <c r="AC173" s="90">
        <v>1</v>
      </c>
      <c r="AD173" s="90">
        <v>2</v>
      </c>
      <c r="AE173" s="90">
        <v>3</v>
      </c>
      <c r="AF173" s="90">
        <v>4</v>
      </c>
      <c r="AG173" s="90">
        <v>5</v>
      </c>
      <c r="AH173" s="90">
        <v>6</v>
      </c>
      <c r="AI173" s="90">
        <v>7</v>
      </c>
      <c r="AJ173" s="90">
        <v>8</v>
      </c>
      <c r="AK173" s="90">
        <v>9</v>
      </c>
      <c r="AL173" s="91">
        <v>0</v>
      </c>
      <c r="AM173" s="91">
        <v>1</v>
      </c>
      <c r="AN173" s="91">
        <v>2</v>
      </c>
      <c r="AO173" s="91">
        <v>3</v>
      </c>
      <c r="AP173" s="91">
        <v>4</v>
      </c>
      <c r="AQ173" s="91">
        <v>5</v>
      </c>
      <c r="AR173" s="91">
        <v>6</v>
      </c>
      <c r="AS173" s="91">
        <v>7</v>
      </c>
      <c r="AT173" s="91">
        <v>8</v>
      </c>
      <c r="AU173" s="91">
        <v>9</v>
      </c>
      <c r="AV173" s="92">
        <v>0</v>
      </c>
      <c r="AW173" s="92">
        <v>1</v>
      </c>
      <c r="AX173" s="92">
        <v>2</v>
      </c>
      <c r="AY173" s="92">
        <v>3</v>
      </c>
      <c r="AZ173" s="92">
        <v>4</v>
      </c>
      <c r="BA173" s="92">
        <v>5</v>
      </c>
      <c r="BB173" s="92">
        <v>6</v>
      </c>
      <c r="BC173" s="92">
        <v>7</v>
      </c>
      <c r="BD173" s="92">
        <v>8</v>
      </c>
      <c r="BE173" s="92">
        <v>9</v>
      </c>
      <c r="BF173" s="93">
        <v>0</v>
      </c>
      <c r="BG173" s="93">
        <v>1</v>
      </c>
      <c r="BH173" s="93">
        <v>2</v>
      </c>
      <c r="BI173" s="93">
        <v>3</v>
      </c>
      <c r="BJ173" s="93">
        <v>4</v>
      </c>
      <c r="BK173" s="93">
        <v>5</v>
      </c>
      <c r="BL173" s="93">
        <v>6</v>
      </c>
      <c r="BM173" s="93">
        <v>7</v>
      </c>
      <c r="BN173" s="93">
        <v>8</v>
      </c>
      <c r="BO173" s="93">
        <v>9</v>
      </c>
      <c r="BP173" s="94" t="str">
        <f t="shared" si="182"/>
        <v>松散型</v>
      </c>
      <c r="BQ173" s="15">
        <f t="shared" si="179"/>
        <v>2</v>
      </c>
      <c r="BR173" s="15">
        <f t="shared" si="180"/>
        <v>7</v>
      </c>
      <c r="BS173" s="20" t="str">
        <f t="shared" si="184"/>
        <v/>
      </c>
      <c r="BT173" s="21" t="str">
        <f t="shared" si="185"/>
        <v/>
      </c>
      <c r="BU173" s="21" t="str">
        <f t="array" ref="BU173">_xlfn.TEXTJOIN("",TRUE,IF(ISERROR(FIND(ROW($1:$168)-1,BS173&amp;BT173)),ROW($1:$168)-1,""))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73" s="22" t="str">
        <f t="shared" si="186"/>
        <v>中中中</v>
      </c>
      <c r="BW173" s="23" t="str">
        <f t="shared" si="197"/>
        <v/>
      </c>
      <c r="BX173" s="23" t="str">
        <f t="shared" si="195"/>
        <v/>
      </c>
      <c r="BY173" s="23" t="str">
        <f t="array" ref="BY173">_xlfn.TEXTJOIN("",TRUE,IF(ISERROR(FIND(ROW($1:$168)-1,BW173&amp;BX173)),ROW($1:$168)-1,""))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73" s="22" t="str">
        <f t="shared" si="187"/>
        <v>中中中</v>
      </c>
      <c r="CA173" s="24" t="str">
        <f t="shared" si="188"/>
        <v/>
      </c>
      <c r="CB173" s="24">
        <f t="shared" si="196"/>
        <v>2</v>
      </c>
      <c r="CC173" s="24" t="str">
        <f t="array" ref="CC173">_xlfn.TEXTJOIN("",TRUE,IF(ISERROR(FIND(ROW($1:$168)-1,CA173&amp;CB173)),ROW($1:$168)-1,""))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73" s="22" t="str">
        <f t="shared" si="189"/>
        <v>中隔中</v>
      </c>
      <c r="CE173" s="25" t="str">
        <f t="shared" si="183"/>
        <v>68</v>
      </c>
      <c r="CF173" s="26" t="str">
        <f t="array" ref="CF173">_xlfn.TEXTJOIN("",TRUE,IF(ISNUMBER(FIND(MID(CE172&amp;W172,ROW($1:$162),1),CE173&amp;W173)),MID(CE172&amp;W172,ROW($1:$162),1),""))</f>
        <v/>
      </c>
      <c r="CG173" s="27" t="str">
        <f t="array" ref="CG173">_xlfn.TEXTJOIN("",TRUE,IF(ISERROR(FIND(ROW($1:$168)-1,CE173&amp;CF173)),ROW($1:$168)-1,""))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73" s="28" t="str">
        <f t="shared" si="190"/>
        <v>邻孤孤</v>
      </c>
      <c r="CI173" s="29" t="str">
        <f t="shared" si="191"/>
        <v>46</v>
      </c>
      <c r="CJ173" s="29" t="str">
        <f t="array" ref="CJ173">_xlfn.TEXTJOIN("",TRUE,IF(ISNUMBER(FIND(MID(CI172&amp;X172,ROW($1:$162),1),CI173&amp;X173)),MID(CI172&amp;X172,ROW($1:$162),1),""))</f>
        <v>54</v>
      </c>
      <c r="CK173" s="29" t="str">
        <f t="array" ref="CK173">_xlfn.TEXTJOIN("",TRUE,IF(ISERROR(FIND(ROW($1:$168)-1,CI173&amp;CJ173)),ROW($1:$168)-1,""))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73" s="19" t="str">
        <f t="shared" si="192"/>
        <v>邻传孤</v>
      </c>
      <c r="CM173" s="24" t="str">
        <f t="shared" si="193"/>
        <v>13</v>
      </c>
      <c r="CN173" s="24" t="str">
        <f t="array" ref="CN173">_xlfn.TEXTJOIN("",TRUE,IF(ISNUMBER(FIND(MID(CM172&amp;Y172,ROW($1:$162),1),CM173&amp;Y173)),MID(CM172&amp;Y172,ROW($1:$162),1),""))</f>
        <v>21</v>
      </c>
      <c r="CO173" s="24" t="str">
        <f t="array" ref="CO173">_xlfn.TEXTJOIN("",TRUE,IF(ISERROR(FIND(ROW($1:$168)-1,CM173&amp;CN173)),ROW($1:$168)-1,""))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173" s="30" t="str">
        <f t="shared" si="194"/>
        <v>邻传孤</v>
      </c>
    </row>
    <row r="174" spans="1:94">
      <c r="A174" s="15">
        <v>174</v>
      </c>
      <c r="B174" s="80">
        <v>2024143</v>
      </c>
      <c r="C174" s="8" t="s">
        <v>186</v>
      </c>
      <c r="D174" s="81">
        <f t="shared" si="174"/>
        <v>19</v>
      </c>
      <c r="E174" s="82">
        <f t="shared" si="175"/>
        <v>9</v>
      </c>
      <c r="F174" s="83">
        <f t="shared" si="148"/>
        <v>4.75</v>
      </c>
      <c r="G174" s="84" t="str">
        <f t="shared" si="149"/>
        <v>紧凑</v>
      </c>
      <c r="H174" s="85" t="s">
        <v>10</v>
      </c>
      <c r="I174" s="85" t="s">
        <v>11</v>
      </c>
      <c r="J174" s="85" t="s">
        <v>12</v>
      </c>
      <c r="K174" s="85" t="s">
        <v>13</v>
      </c>
      <c r="L174" s="86">
        <f>MAX(MID(C174,{1,2,3},1)*1)-MIN(MID(C174,{1,2,3},1)*1)</f>
        <v>4</v>
      </c>
      <c r="M174" s="87">
        <v>0</v>
      </c>
      <c r="N174" s="87">
        <v>1</v>
      </c>
      <c r="O174" s="87">
        <v>2</v>
      </c>
      <c r="P174" s="87">
        <v>3</v>
      </c>
      <c r="Q174" s="87">
        <v>4</v>
      </c>
      <c r="R174" s="87">
        <v>5</v>
      </c>
      <c r="S174" s="87">
        <v>6</v>
      </c>
      <c r="T174" s="87">
        <v>7</v>
      </c>
      <c r="U174" s="87">
        <v>8</v>
      </c>
      <c r="V174" s="87">
        <v>9</v>
      </c>
      <c r="W174" s="88">
        <f t="shared" si="176"/>
        <v>4</v>
      </c>
      <c r="X174" s="88">
        <f t="shared" si="177"/>
        <v>4</v>
      </c>
      <c r="Y174" s="88">
        <f t="shared" si="178"/>
        <v>0</v>
      </c>
      <c r="Z174" s="89">
        <f t="shared" si="181"/>
        <v>8</v>
      </c>
      <c r="AA174" s="17" t="str">
        <f>_xlfn.TEXTJOIN(", ",TRUE,ABS(MID(C174,{1,1,2},1)-MID(C174,{2,3,3},1)))</f>
        <v>4, 4, 0</v>
      </c>
      <c r="AB174" s="90">
        <v>0</v>
      </c>
      <c r="AC174" s="90">
        <v>1</v>
      </c>
      <c r="AD174" s="90">
        <v>2</v>
      </c>
      <c r="AE174" s="90">
        <v>3</v>
      </c>
      <c r="AF174" s="90">
        <v>4</v>
      </c>
      <c r="AG174" s="90">
        <v>5</v>
      </c>
      <c r="AH174" s="90">
        <v>6</v>
      </c>
      <c r="AI174" s="90">
        <v>7</v>
      </c>
      <c r="AJ174" s="90">
        <v>8</v>
      </c>
      <c r="AK174" s="90">
        <v>9</v>
      </c>
      <c r="AL174" s="91">
        <v>0</v>
      </c>
      <c r="AM174" s="91">
        <v>1</v>
      </c>
      <c r="AN174" s="91">
        <v>2</v>
      </c>
      <c r="AO174" s="91">
        <v>3</v>
      </c>
      <c r="AP174" s="91">
        <v>4</v>
      </c>
      <c r="AQ174" s="91">
        <v>5</v>
      </c>
      <c r="AR174" s="91">
        <v>6</v>
      </c>
      <c r="AS174" s="91">
        <v>7</v>
      </c>
      <c r="AT174" s="91">
        <v>8</v>
      </c>
      <c r="AU174" s="91">
        <v>9</v>
      </c>
      <c r="AV174" s="92">
        <v>0</v>
      </c>
      <c r="AW174" s="92">
        <v>1</v>
      </c>
      <c r="AX174" s="92">
        <v>2</v>
      </c>
      <c r="AY174" s="92">
        <v>3</v>
      </c>
      <c r="AZ174" s="92">
        <v>4</v>
      </c>
      <c r="BA174" s="92">
        <v>5</v>
      </c>
      <c r="BB174" s="92">
        <v>6</v>
      </c>
      <c r="BC174" s="92">
        <v>7</v>
      </c>
      <c r="BD174" s="92">
        <v>8</v>
      </c>
      <c r="BE174" s="92">
        <v>9</v>
      </c>
      <c r="BF174" s="93">
        <v>0</v>
      </c>
      <c r="BG174" s="93">
        <v>1</v>
      </c>
      <c r="BH174" s="93">
        <v>2</v>
      </c>
      <c r="BI174" s="93">
        <v>3</v>
      </c>
      <c r="BJ174" s="93">
        <v>4</v>
      </c>
      <c r="BK174" s="93">
        <v>5</v>
      </c>
      <c r="BL174" s="93">
        <v>6</v>
      </c>
      <c r="BM174" s="93">
        <v>7</v>
      </c>
      <c r="BN174" s="93">
        <v>8</v>
      </c>
      <c r="BO174" s="93">
        <v>9</v>
      </c>
      <c r="BP174" s="94" t="str">
        <f t="shared" si="182"/>
        <v>紧凑型</v>
      </c>
      <c r="BQ174" s="15">
        <f t="shared" si="179"/>
        <v>0</v>
      </c>
      <c r="BR174" s="15">
        <f t="shared" si="180"/>
        <v>4</v>
      </c>
      <c r="BS174" s="20" t="str">
        <f t="shared" si="184"/>
        <v/>
      </c>
      <c r="BT174" s="21">
        <f t="shared" si="185"/>
        <v>4</v>
      </c>
      <c r="BU174" s="21" t="str">
        <f t="array" ref="BU174">_xlfn.TEXTJOIN("",TRUE,IF(ISERROR(FIND(ROW($1:$168)-1,BS174&amp;BT174)),ROW($1:$168)-1,""))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74" s="22" t="str">
        <f t="shared" si="186"/>
        <v>中隔中</v>
      </c>
      <c r="BW174" s="23" t="str">
        <f t="shared" si="197"/>
        <v/>
      </c>
      <c r="BX174" s="23">
        <f t="shared" si="195"/>
        <v>4</v>
      </c>
      <c r="BY174" s="23" t="str">
        <f t="array" ref="BY174">_xlfn.TEXTJOIN("",TRUE,IF(ISERROR(FIND(ROW($1:$168)-1,BW174&amp;BX174)),ROW($1:$168)-1,""))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74" s="22" t="str">
        <f t="shared" si="187"/>
        <v>中隔中</v>
      </c>
      <c r="CA174" s="24" t="str">
        <f t="shared" si="188"/>
        <v/>
      </c>
      <c r="CB174" s="24" t="str">
        <f t="shared" si="196"/>
        <v/>
      </c>
      <c r="CC174" s="24" t="str">
        <f t="array" ref="CC174">_xlfn.TEXTJOIN("",TRUE,IF(ISERROR(FIND(ROW($1:$168)-1,CA174&amp;CB174)),ROW($1:$168)-1,""))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74" s="22" t="str">
        <f t="shared" si="189"/>
        <v>中中中</v>
      </c>
      <c r="CE174" s="25" t="str">
        <f t="shared" si="183"/>
        <v>35</v>
      </c>
      <c r="CF174" s="26" t="str">
        <f t="array" ref="CF174">_xlfn.TEXTJOIN("",TRUE,IF(ISNUMBER(FIND(MID(CE173&amp;W173,ROW($1:$162),1),CE174&amp;W174)),MID(CE173&amp;W173,ROW($1:$162),1),""))</f>
        <v/>
      </c>
      <c r="CG174" s="27" t="str">
        <f t="array" ref="CG174">_xlfn.TEXTJOIN("",TRUE,IF(ISERROR(FIND(ROW($1:$168)-1,CE174&amp;CF174)),ROW($1:$168)-1,""))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74" s="28" t="str">
        <f t="shared" si="190"/>
        <v>邻孤孤</v>
      </c>
      <c r="CI174" s="29" t="str">
        <f t="shared" si="191"/>
        <v>35</v>
      </c>
      <c r="CJ174" s="29" t="str">
        <f t="array" ref="CJ174">_xlfn.TEXTJOIN("",TRUE,IF(ISNUMBER(FIND(MID(CI173&amp;X173,ROW($1:$162),1),CI174&amp;X174)),MID(CI173&amp;X173,ROW($1:$162),1),""))</f>
        <v>45</v>
      </c>
      <c r="CK174" s="29" t="str">
        <f t="array" ref="CK174">_xlfn.TEXTJOIN("",TRUE,IF(ISERROR(FIND(ROW($1:$168)-1,CI174&amp;CJ174)),ROW($1:$168)-1,""))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74" s="19" t="str">
        <f t="shared" si="192"/>
        <v>邻传孤</v>
      </c>
      <c r="CM174" s="24" t="str">
        <f t="shared" si="193"/>
        <v>91</v>
      </c>
      <c r="CN174" s="24" t="str">
        <f t="array" ref="CN174">_xlfn.TEXTJOIN("",TRUE,IF(ISNUMBER(FIND(MID(CM173&amp;Y173,ROW($1:$162),1),CM174&amp;Y174)),MID(CM173&amp;Y173,ROW($1:$162),1),""))</f>
        <v>1</v>
      </c>
      <c r="CO174" s="24" t="str">
        <f t="array" ref="CO174">_xlfn.TEXTJOIN("",TRUE,IF(ISERROR(FIND(ROW($1:$168)-1,CM174&amp;CN174)),ROW($1:$168)-1,""))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174" s="30" t="str">
        <f t="shared" si="194"/>
        <v>邻传孤</v>
      </c>
    </row>
    <row r="175" spans="1:94">
      <c r="A175" s="15">
        <v>175</v>
      </c>
      <c r="B175" s="80">
        <v>2024144</v>
      </c>
      <c r="C175" s="8" t="s">
        <v>191</v>
      </c>
      <c r="D175" s="81">
        <f t="shared" si="174"/>
        <v>15</v>
      </c>
      <c r="E175" s="82">
        <f t="shared" si="175"/>
        <v>5</v>
      </c>
      <c r="F175" s="83">
        <f t="shared" si="148"/>
        <v>2.14285714285714</v>
      </c>
      <c r="G175" s="84" t="str">
        <f t="shared" si="149"/>
        <v>标准</v>
      </c>
      <c r="H175" s="85" t="s">
        <v>10</v>
      </c>
      <c r="I175" s="85" t="s">
        <v>11</v>
      </c>
      <c r="J175" s="85" t="s">
        <v>12</v>
      </c>
      <c r="K175" s="85" t="s">
        <v>13</v>
      </c>
      <c r="L175" s="86">
        <f>MAX(MID(C175,{1,2,3},1)*1)-MIN(MID(C175,{1,2,3},1)*1)</f>
        <v>7</v>
      </c>
      <c r="M175" s="87">
        <v>0</v>
      </c>
      <c r="N175" s="87">
        <v>1</v>
      </c>
      <c r="O175" s="87">
        <v>2</v>
      </c>
      <c r="P175" s="87">
        <v>3</v>
      </c>
      <c r="Q175" s="87">
        <v>4</v>
      </c>
      <c r="R175" s="87">
        <v>5</v>
      </c>
      <c r="S175" s="87">
        <v>6</v>
      </c>
      <c r="T175" s="87">
        <v>7</v>
      </c>
      <c r="U175" s="87">
        <v>8</v>
      </c>
      <c r="V175" s="87">
        <v>9</v>
      </c>
      <c r="W175" s="88">
        <f t="shared" si="176"/>
        <v>7</v>
      </c>
      <c r="X175" s="88">
        <f t="shared" si="177"/>
        <v>2</v>
      </c>
      <c r="Y175" s="88">
        <f t="shared" si="178"/>
        <v>5</v>
      </c>
      <c r="Z175" s="89">
        <f t="shared" si="181"/>
        <v>14</v>
      </c>
      <c r="AA175" s="17" t="str">
        <f>_xlfn.TEXTJOIN(", ",TRUE,ABS(MID(C175,{1,1,2},1)-MID(C175,{2,3,3},1)))</f>
        <v>7, 2, 5</v>
      </c>
      <c r="AB175" s="90">
        <v>0</v>
      </c>
      <c r="AC175" s="90">
        <v>1</v>
      </c>
      <c r="AD175" s="90">
        <v>2</v>
      </c>
      <c r="AE175" s="90">
        <v>3</v>
      </c>
      <c r="AF175" s="90">
        <v>4</v>
      </c>
      <c r="AG175" s="90">
        <v>5</v>
      </c>
      <c r="AH175" s="90">
        <v>6</v>
      </c>
      <c r="AI175" s="90">
        <v>7</v>
      </c>
      <c r="AJ175" s="90">
        <v>8</v>
      </c>
      <c r="AK175" s="90">
        <v>9</v>
      </c>
      <c r="AL175" s="91">
        <v>0</v>
      </c>
      <c r="AM175" s="91">
        <v>1</v>
      </c>
      <c r="AN175" s="91">
        <v>2</v>
      </c>
      <c r="AO175" s="91">
        <v>3</v>
      </c>
      <c r="AP175" s="91">
        <v>4</v>
      </c>
      <c r="AQ175" s="91">
        <v>5</v>
      </c>
      <c r="AR175" s="91">
        <v>6</v>
      </c>
      <c r="AS175" s="91">
        <v>7</v>
      </c>
      <c r="AT175" s="91">
        <v>8</v>
      </c>
      <c r="AU175" s="91">
        <v>9</v>
      </c>
      <c r="AV175" s="92">
        <v>0</v>
      </c>
      <c r="AW175" s="92">
        <v>1</v>
      </c>
      <c r="AX175" s="92">
        <v>2</v>
      </c>
      <c r="AY175" s="92">
        <v>3</v>
      </c>
      <c r="AZ175" s="92">
        <v>4</v>
      </c>
      <c r="BA175" s="92">
        <v>5</v>
      </c>
      <c r="BB175" s="92">
        <v>6</v>
      </c>
      <c r="BC175" s="92">
        <v>7</v>
      </c>
      <c r="BD175" s="92">
        <v>8</v>
      </c>
      <c r="BE175" s="92">
        <v>9</v>
      </c>
      <c r="BF175" s="93">
        <v>0</v>
      </c>
      <c r="BG175" s="93">
        <v>1</v>
      </c>
      <c r="BH175" s="93">
        <v>2</v>
      </c>
      <c r="BI175" s="93">
        <v>3</v>
      </c>
      <c r="BJ175" s="93">
        <v>4</v>
      </c>
      <c r="BK175" s="93">
        <v>5</v>
      </c>
      <c r="BL175" s="93">
        <v>6</v>
      </c>
      <c r="BM175" s="93">
        <v>7</v>
      </c>
      <c r="BN175" s="93">
        <v>8</v>
      </c>
      <c r="BO175" s="93">
        <v>9</v>
      </c>
      <c r="BP175" s="94" t="str">
        <f t="shared" si="182"/>
        <v>松散型</v>
      </c>
      <c r="BQ175" s="15">
        <f t="shared" si="179"/>
        <v>2</v>
      </c>
      <c r="BR175" s="15">
        <f t="shared" si="180"/>
        <v>7</v>
      </c>
      <c r="BS175" s="20" t="str">
        <f t="shared" si="184"/>
        <v/>
      </c>
      <c r="BT175" s="21">
        <f t="shared" si="185"/>
        <v>7</v>
      </c>
      <c r="BU175" s="21" t="str">
        <f t="array" ref="BU175">_xlfn.TEXTJOIN("",TRUE,IF(ISERROR(FIND(ROW($1:$168)-1,BS175&amp;BT175)),ROW($1:$168)-1,""))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75" s="22" t="str">
        <f t="shared" si="186"/>
        <v>中隔中</v>
      </c>
      <c r="BW175" s="23" t="str">
        <f t="shared" si="197"/>
        <v/>
      </c>
      <c r="BX175" s="23">
        <f t="shared" si="195"/>
        <v>2</v>
      </c>
      <c r="BY175" s="23" t="str">
        <f t="array" ref="BY175">_xlfn.TEXTJOIN("",TRUE,IF(ISERROR(FIND(ROW($1:$168)-1,BW175&amp;BX175)),ROW($1:$168)-1,""))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75" s="22" t="str">
        <f t="shared" si="187"/>
        <v>中隔中</v>
      </c>
      <c r="CA175" s="24" t="str">
        <f t="shared" si="188"/>
        <v/>
      </c>
      <c r="CB175" s="24">
        <f t="shared" si="196"/>
        <v>5</v>
      </c>
      <c r="CC175" s="24" t="str">
        <f t="array" ref="CC175">_xlfn.TEXTJOIN("",TRUE,IF(ISERROR(FIND(ROW($1:$168)-1,CA175&amp;CB175)),ROW($1:$168)-1,""))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75" s="22" t="str">
        <f t="shared" si="189"/>
        <v>中隔中</v>
      </c>
      <c r="CE175" s="25" t="str">
        <f t="shared" si="183"/>
        <v>68</v>
      </c>
      <c r="CF175" s="26" t="str">
        <f t="array" ref="CF175">_xlfn.TEXTJOIN("",TRUE,IF(ISNUMBER(FIND(MID(CE174&amp;W174,ROW($1:$162),1),CE175&amp;W175)),MID(CE174&amp;W174,ROW($1:$162),1),""))</f>
        <v/>
      </c>
      <c r="CG175" s="27" t="str">
        <f t="array" ref="CG175">_xlfn.TEXTJOIN("",TRUE,IF(ISERROR(FIND(ROW($1:$168)-1,CE175&amp;CF175)),ROW($1:$168)-1,""))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75" s="28" t="str">
        <f t="shared" si="190"/>
        <v>邻孤孤</v>
      </c>
      <c r="CI175" s="29" t="str">
        <f t="shared" si="191"/>
        <v>13</v>
      </c>
      <c r="CJ175" s="29" t="str">
        <f t="array" ref="CJ175">_xlfn.TEXTJOIN("",TRUE,IF(ISNUMBER(FIND(MID(CI174&amp;X174,ROW($1:$162),1),CI175&amp;X175)),MID(CI174&amp;X174,ROW($1:$162),1),""))</f>
        <v>3</v>
      </c>
      <c r="CK175" s="29" t="str">
        <f t="array" ref="CK175">_xlfn.TEXTJOIN("",TRUE,IF(ISERROR(FIND(ROW($1:$168)-1,CI175&amp;CJ175)),ROW($1:$168)-1,""))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175" s="19" t="str">
        <f t="shared" si="192"/>
        <v>邻传孤</v>
      </c>
      <c r="CM175" s="24" t="str">
        <f t="shared" si="193"/>
        <v>46</v>
      </c>
      <c r="CN175" s="24" t="str">
        <f t="array" ref="CN175">_xlfn.TEXTJOIN("",TRUE,IF(ISNUMBER(FIND(MID(CM174&amp;Y174,ROW($1:$162),1),CM175&amp;Y175)),MID(CM174&amp;Y174,ROW($1:$162),1),""))</f>
        <v/>
      </c>
      <c r="CO175" s="24" t="str">
        <f t="array" ref="CO175">_xlfn.TEXTJOIN("",TRUE,IF(ISERROR(FIND(ROW($1:$168)-1,CM175&amp;CN175)),ROW($1:$168)-1,""))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75" s="30" t="str">
        <f t="shared" si="194"/>
        <v>邻孤孤</v>
      </c>
    </row>
    <row r="176" spans="1:94">
      <c r="A176" s="15">
        <v>176</v>
      </c>
      <c r="B176" s="80">
        <v>2024145</v>
      </c>
      <c r="C176" s="8" t="s">
        <v>192</v>
      </c>
      <c r="D176" s="81">
        <f t="shared" si="174"/>
        <v>18</v>
      </c>
      <c r="E176" s="82">
        <f t="shared" si="175"/>
        <v>8</v>
      </c>
      <c r="F176" s="83">
        <f t="shared" si="148"/>
        <v>9</v>
      </c>
      <c r="G176" s="84" t="str">
        <f t="shared" si="149"/>
        <v>紧凑</v>
      </c>
      <c r="H176" s="85" t="s">
        <v>10</v>
      </c>
      <c r="I176" s="85" t="s">
        <v>11</v>
      </c>
      <c r="J176" s="85" t="s">
        <v>12</v>
      </c>
      <c r="K176" s="85" t="s">
        <v>13</v>
      </c>
      <c r="L176" s="86">
        <f>MAX(MID(C176,{1,2,3},1)*1)-MIN(MID(C176,{1,2,3},1)*1)</f>
        <v>2</v>
      </c>
      <c r="M176" s="87">
        <v>0</v>
      </c>
      <c r="N176" s="87">
        <v>1</v>
      </c>
      <c r="O176" s="87">
        <v>2</v>
      </c>
      <c r="P176" s="87">
        <v>3</v>
      </c>
      <c r="Q176" s="87">
        <v>4</v>
      </c>
      <c r="R176" s="87">
        <v>5</v>
      </c>
      <c r="S176" s="87">
        <v>6</v>
      </c>
      <c r="T176" s="87">
        <v>7</v>
      </c>
      <c r="U176" s="87">
        <v>8</v>
      </c>
      <c r="V176" s="87">
        <v>9</v>
      </c>
      <c r="W176" s="88">
        <f t="shared" si="176"/>
        <v>2</v>
      </c>
      <c r="X176" s="88">
        <f t="shared" si="177"/>
        <v>1</v>
      </c>
      <c r="Y176" s="88">
        <f t="shared" si="178"/>
        <v>1</v>
      </c>
      <c r="Z176" s="89">
        <f t="shared" si="181"/>
        <v>4</v>
      </c>
      <c r="AA176" s="17" t="str">
        <f>_xlfn.TEXTJOIN(", ",TRUE,ABS(MID(C176,{1,1,2},1)-MID(C176,{2,3,3},1)))</f>
        <v>2, 1, 1</v>
      </c>
      <c r="AB176" s="90">
        <v>0</v>
      </c>
      <c r="AC176" s="90">
        <v>1</v>
      </c>
      <c r="AD176" s="90">
        <v>2</v>
      </c>
      <c r="AE176" s="90">
        <v>3</v>
      </c>
      <c r="AF176" s="90">
        <v>4</v>
      </c>
      <c r="AG176" s="90">
        <v>5</v>
      </c>
      <c r="AH176" s="90">
        <v>6</v>
      </c>
      <c r="AI176" s="90">
        <v>7</v>
      </c>
      <c r="AJ176" s="90">
        <v>8</v>
      </c>
      <c r="AK176" s="90">
        <v>9</v>
      </c>
      <c r="AL176" s="91">
        <v>0</v>
      </c>
      <c r="AM176" s="91">
        <v>1</v>
      </c>
      <c r="AN176" s="91">
        <v>2</v>
      </c>
      <c r="AO176" s="91">
        <v>3</v>
      </c>
      <c r="AP176" s="91">
        <v>4</v>
      </c>
      <c r="AQ176" s="91">
        <v>5</v>
      </c>
      <c r="AR176" s="91">
        <v>6</v>
      </c>
      <c r="AS176" s="91">
        <v>7</v>
      </c>
      <c r="AT176" s="91">
        <v>8</v>
      </c>
      <c r="AU176" s="91">
        <v>9</v>
      </c>
      <c r="AV176" s="92">
        <v>0</v>
      </c>
      <c r="AW176" s="92">
        <v>1</v>
      </c>
      <c r="AX176" s="92">
        <v>2</v>
      </c>
      <c r="AY176" s="92">
        <v>3</v>
      </c>
      <c r="AZ176" s="92">
        <v>4</v>
      </c>
      <c r="BA176" s="92">
        <v>5</v>
      </c>
      <c r="BB176" s="92">
        <v>6</v>
      </c>
      <c r="BC176" s="92">
        <v>7</v>
      </c>
      <c r="BD176" s="92">
        <v>8</v>
      </c>
      <c r="BE176" s="92">
        <v>9</v>
      </c>
      <c r="BF176" s="93">
        <v>0</v>
      </c>
      <c r="BG176" s="93">
        <v>1</v>
      </c>
      <c r="BH176" s="93">
        <v>2</v>
      </c>
      <c r="BI176" s="93">
        <v>3</v>
      </c>
      <c r="BJ176" s="93">
        <v>4</v>
      </c>
      <c r="BK176" s="93">
        <v>5</v>
      </c>
      <c r="BL176" s="93">
        <v>6</v>
      </c>
      <c r="BM176" s="93">
        <v>7</v>
      </c>
      <c r="BN176" s="93">
        <v>8</v>
      </c>
      <c r="BO176" s="93">
        <v>9</v>
      </c>
      <c r="BP176" s="94" t="str">
        <f t="shared" si="182"/>
        <v>紧凑型</v>
      </c>
      <c r="BQ176" s="15">
        <f t="shared" si="179"/>
        <v>1</v>
      </c>
      <c r="BR176" s="15">
        <f t="shared" si="180"/>
        <v>2</v>
      </c>
      <c r="BS176" s="20">
        <f t="shared" si="184"/>
        <v>2</v>
      </c>
      <c r="BT176" s="21" t="str">
        <f t="shared" si="185"/>
        <v/>
      </c>
      <c r="BU176" s="21" t="str">
        <f t="array" ref="BU176">_xlfn.TEXTJOIN("",TRUE,IF(ISERROR(FIND(ROW($1:$168)-1,BS176&amp;BT176)),ROW($1:$168)-1,""))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76" s="22" t="str">
        <f t="shared" si="186"/>
        <v>复中中</v>
      </c>
      <c r="BW176" s="23" t="str">
        <f t="shared" si="197"/>
        <v/>
      </c>
      <c r="BX176" s="23" t="str">
        <f t="shared" si="195"/>
        <v/>
      </c>
      <c r="BY176" s="23" t="str">
        <f t="array" ref="BY176">_xlfn.TEXTJOIN("",TRUE,IF(ISERROR(FIND(ROW($1:$168)-1,BW176&amp;BX176)),ROW($1:$168)-1,""))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76" s="22" t="str">
        <f t="shared" si="187"/>
        <v>中中中</v>
      </c>
      <c r="CA176" s="24" t="str">
        <f t="shared" si="188"/>
        <v/>
      </c>
      <c r="CB176" s="24" t="str">
        <f t="shared" si="196"/>
        <v/>
      </c>
      <c r="CC176" s="24" t="str">
        <f t="array" ref="CC176">_xlfn.TEXTJOIN("",TRUE,IF(ISERROR(FIND(ROW($1:$168)-1,CA176&amp;CB176)),ROW($1:$168)-1,""))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76" s="22" t="str">
        <f t="shared" si="189"/>
        <v>中中中</v>
      </c>
      <c r="CE176" s="25" t="str">
        <f t="shared" si="183"/>
        <v>13</v>
      </c>
      <c r="CF176" s="26" t="str">
        <f t="array" ref="CF176">_xlfn.TEXTJOIN("",TRUE,IF(ISNUMBER(FIND(MID(CE175&amp;W175,ROW($1:$162),1),CE176&amp;W176)),MID(CE175&amp;W175,ROW($1:$162),1),""))</f>
        <v/>
      </c>
      <c r="CG176" s="27" t="str">
        <f t="array" ref="CG176">_xlfn.TEXTJOIN("",TRUE,IF(ISERROR(FIND(ROW($1:$168)-1,CE176&amp;CF176)),ROW($1:$168)-1,""))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76" s="28" t="str">
        <f t="shared" si="190"/>
        <v>邻孤孤</v>
      </c>
      <c r="CI176" s="29" t="str">
        <f t="shared" si="191"/>
        <v>02</v>
      </c>
      <c r="CJ176" s="29" t="str">
        <f t="array" ref="CJ176">_xlfn.TEXTJOIN("",TRUE,IF(ISNUMBER(FIND(MID(CI175&amp;X175,ROW($1:$162),1),CI176&amp;X176)),MID(CI175&amp;X175,ROW($1:$162),1),""))</f>
        <v>12</v>
      </c>
      <c r="CK176" s="29" t="str">
        <f t="array" ref="CK176">_xlfn.TEXTJOIN("",TRUE,IF(ISERROR(FIND(ROW($1:$168)-1,CI176&amp;CJ176)),ROW($1:$168)-1,""))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76" s="19" t="str">
        <f t="shared" si="192"/>
        <v>邻传孤</v>
      </c>
      <c r="CM176" s="24" t="str">
        <f t="shared" si="193"/>
        <v>02</v>
      </c>
      <c r="CN176" s="24" t="str">
        <f t="array" ref="CN176">_xlfn.TEXTJOIN("",TRUE,IF(ISNUMBER(FIND(MID(CM175&amp;Y175,ROW($1:$162),1),CM176&amp;Y176)),MID(CM175&amp;Y175,ROW($1:$162),1),""))</f>
        <v/>
      </c>
      <c r="CO176" s="24" t="str">
        <f t="array" ref="CO176">_xlfn.TEXTJOIN("",TRUE,IF(ISERROR(FIND(ROW($1:$168)-1,CM176&amp;CN176)),ROW($1:$168)-1,""))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76" s="30" t="str">
        <f t="shared" si="194"/>
        <v>邻孤孤</v>
      </c>
    </row>
    <row r="177" spans="1:94">
      <c r="A177" s="15">
        <v>177</v>
      </c>
      <c r="B177" s="80">
        <v>2024146</v>
      </c>
      <c r="C177" s="8" t="s">
        <v>193</v>
      </c>
      <c r="D177" s="81">
        <f t="shared" si="174"/>
        <v>9</v>
      </c>
      <c r="E177" s="82">
        <f t="shared" si="175"/>
        <v>9</v>
      </c>
      <c r="F177" s="83">
        <f t="shared" si="148"/>
        <v>1.125</v>
      </c>
      <c r="G177" s="84" t="str">
        <f t="shared" si="149"/>
        <v>松散</v>
      </c>
      <c r="H177" s="85" t="s">
        <v>10</v>
      </c>
      <c r="I177" s="85" t="s">
        <v>11</v>
      </c>
      <c r="J177" s="85" t="s">
        <v>12</v>
      </c>
      <c r="K177" s="85" t="s">
        <v>13</v>
      </c>
      <c r="L177" s="86">
        <f>MAX(MID(C177,{1,2,3},1)*1)-MIN(MID(C177,{1,2,3},1)*1)</f>
        <v>8</v>
      </c>
      <c r="M177" s="87">
        <v>0</v>
      </c>
      <c r="N177" s="87">
        <v>1</v>
      </c>
      <c r="O177" s="87">
        <v>2</v>
      </c>
      <c r="P177" s="87">
        <v>3</v>
      </c>
      <c r="Q177" s="87">
        <v>4</v>
      </c>
      <c r="R177" s="87">
        <v>5</v>
      </c>
      <c r="S177" s="87">
        <v>6</v>
      </c>
      <c r="T177" s="87">
        <v>7</v>
      </c>
      <c r="U177" s="87">
        <v>8</v>
      </c>
      <c r="V177" s="87">
        <v>9</v>
      </c>
      <c r="W177" s="88">
        <f t="shared" si="176"/>
        <v>7</v>
      </c>
      <c r="X177" s="88">
        <f t="shared" si="177"/>
        <v>1</v>
      </c>
      <c r="Y177" s="88">
        <f t="shared" si="178"/>
        <v>8</v>
      </c>
      <c r="Z177" s="89">
        <f t="shared" si="181"/>
        <v>16</v>
      </c>
      <c r="AA177" s="17" t="str">
        <f>_xlfn.TEXTJOIN(", ",TRUE,ABS(MID(C177,{1,1,2},1)-MID(C177,{2,3,3},1)))</f>
        <v>7, 1, 8</v>
      </c>
      <c r="AB177" s="90">
        <v>0</v>
      </c>
      <c r="AC177" s="90">
        <v>1</v>
      </c>
      <c r="AD177" s="90">
        <v>2</v>
      </c>
      <c r="AE177" s="90">
        <v>3</v>
      </c>
      <c r="AF177" s="90">
        <v>4</v>
      </c>
      <c r="AG177" s="90">
        <v>5</v>
      </c>
      <c r="AH177" s="90">
        <v>6</v>
      </c>
      <c r="AI177" s="90">
        <v>7</v>
      </c>
      <c r="AJ177" s="90">
        <v>8</v>
      </c>
      <c r="AK177" s="90">
        <v>9</v>
      </c>
      <c r="AL177" s="91">
        <v>0</v>
      </c>
      <c r="AM177" s="91">
        <v>1</v>
      </c>
      <c r="AN177" s="91">
        <v>2</v>
      </c>
      <c r="AO177" s="91">
        <v>3</v>
      </c>
      <c r="AP177" s="91">
        <v>4</v>
      </c>
      <c r="AQ177" s="91">
        <v>5</v>
      </c>
      <c r="AR177" s="91">
        <v>6</v>
      </c>
      <c r="AS177" s="91">
        <v>7</v>
      </c>
      <c r="AT177" s="91">
        <v>8</v>
      </c>
      <c r="AU177" s="91">
        <v>9</v>
      </c>
      <c r="AV177" s="92">
        <v>0</v>
      </c>
      <c r="AW177" s="92">
        <v>1</v>
      </c>
      <c r="AX177" s="92">
        <v>2</v>
      </c>
      <c r="AY177" s="92">
        <v>3</v>
      </c>
      <c r="AZ177" s="92">
        <v>4</v>
      </c>
      <c r="BA177" s="92">
        <v>5</v>
      </c>
      <c r="BB177" s="92">
        <v>6</v>
      </c>
      <c r="BC177" s="92">
        <v>7</v>
      </c>
      <c r="BD177" s="92">
        <v>8</v>
      </c>
      <c r="BE177" s="92">
        <v>9</v>
      </c>
      <c r="BF177" s="93">
        <v>0</v>
      </c>
      <c r="BG177" s="93">
        <v>1</v>
      </c>
      <c r="BH177" s="93">
        <v>2</v>
      </c>
      <c r="BI177" s="93">
        <v>3</v>
      </c>
      <c r="BJ177" s="93">
        <v>4</v>
      </c>
      <c r="BK177" s="93">
        <v>5</v>
      </c>
      <c r="BL177" s="93">
        <v>6</v>
      </c>
      <c r="BM177" s="93">
        <v>7</v>
      </c>
      <c r="BN177" s="93">
        <v>8</v>
      </c>
      <c r="BO177" s="93">
        <v>9</v>
      </c>
      <c r="BP177" s="94" t="str">
        <f t="shared" si="182"/>
        <v>松散型</v>
      </c>
      <c r="BQ177" s="15">
        <f t="shared" si="179"/>
        <v>1</v>
      </c>
      <c r="BR177" s="15">
        <f t="shared" si="180"/>
        <v>8</v>
      </c>
      <c r="BS177" s="20" t="str">
        <f t="shared" si="184"/>
        <v/>
      </c>
      <c r="BT177" s="21">
        <f t="shared" si="185"/>
        <v>7</v>
      </c>
      <c r="BU177" s="21" t="str">
        <f t="array" ref="BU177">_xlfn.TEXTJOIN("",TRUE,IF(ISERROR(FIND(ROW($1:$168)-1,BS177&amp;BT177)),ROW($1:$168)-1,""))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77" s="22" t="str">
        <f t="shared" si="186"/>
        <v>中隔中</v>
      </c>
      <c r="BW177" s="23">
        <f t="shared" si="197"/>
        <v>1</v>
      </c>
      <c r="BX177" s="23" t="str">
        <f t="shared" si="195"/>
        <v/>
      </c>
      <c r="BY177" s="23" t="str">
        <f t="array" ref="BY177">_xlfn.TEXTJOIN("",TRUE,IF(ISERROR(FIND(ROW($1:$168)-1,BW177&amp;BX177)),ROW($1:$168)-1,""))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77" s="22" t="str">
        <f t="shared" si="187"/>
        <v>复中中</v>
      </c>
      <c r="CA177" s="24" t="str">
        <f t="shared" si="188"/>
        <v/>
      </c>
      <c r="CB177" s="24" t="str">
        <f t="shared" si="196"/>
        <v/>
      </c>
      <c r="CC177" s="24" t="str">
        <f t="array" ref="CC177">_xlfn.TEXTJOIN("",TRUE,IF(ISERROR(FIND(ROW($1:$168)-1,CA177&amp;CB177)),ROW($1:$168)-1,""))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77" s="22" t="str">
        <f t="shared" si="189"/>
        <v>中中中</v>
      </c>
      <c r="CE177" s="25" t="str">
        <f t="shared" si="183"/>
        <v>68</v>
      </c>
      <c r="CF177" s="26" t="str">
        <f t="array" ref="CF177">_xlfn.TEXTJOIN("",TRUE,IF(ISNUMBER(FIND(MID(CE176&amp;W176,ROW($1:$162),1),CE177&amp;W177)),MID(CE176&amp;W176,ROW($1:$162),1),""))</f>
        <v/>
      </c>
      <c r="CG177" s="27" t="str">
        <f t="array" ref="CG177">_xlfn.TEXTJOIN("",TRUE,IF(ISERROR(FIND(ROW($1:$168)-1,CE177&amp;CF177)),ROW($1:$168)-1,""))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77" s="28" t="str">
        <f t="shared" si="190"/>
        <v>邻孤孤</v>
      </c>
      <c r="CI177" s="29" t="str">
        <f t="shared" si="191"/>
        <v>02</v>
      </c>
      <c r="CJ177" s="29" t="str">
        <f t="array" ref="CJ177">_xlfn.TEXTJOIN("",TRUE,IF(ISNUMBER(FIND(MID(CI176&amp;X176,ROW($1:$162),1),CI177&amp;X177)),MID(CI176&amp;X176,ROW($1:$162),1),""))</f>
        <v>021</v>
      </c>
      <c r="CK177" s="29" t="str">
        <f t="array" ref="CK177">_xlfn.TEXTJOIN("",TRUE,IF(ISERROR(FIND(ROW($1:$168)-1,CI177&amp;CJ177)),ROW($1:$168)-1,""))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77" s="19" t="str">
        <f t="shared" si="192"/>
        <v>邻传孤</v>
      </c>
      <c r="CM177" s="24" t="str">
        <f t="shared" si="193"/>
        <v>79</v>
      </c>
      <c r="CN177" s="24" t="str">
        <f t="array" ref="CN177">_xlfn.TEXTJOIN("",TRUE,IF(ISNUMBER(FIND(MID(CM176&amp;Y176,ROW($1:$162),1),CM177&amp;Y177)),MID(CM176&amp;Y176,ROW($1:$162),1),""))</f>
        <v/>
      </c>
      <c r="CO177" s="24" t="str">
        <f t="array" ref="CO177">_xlfn.TEXTJOIN("",TRUE,IF(ISERROR(FIND(ROW($1:$168)-1,CM177&amp;CN177)),ROW($1:$168)-1,""))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177" s="30" t="str">
        <f t="shared" si="194"/>
        <v>邻孤孤</v>
      </c>
    </row>
    <row r="178" spans="1:94">
      <c r="A178" s="15">
        <v>178</v>
      </c>
      <c r="B178" s="80">
        <v>2024147</v>
      </c>
      <c r="C178" s="8" t="s">
        <v>194</v>
      </c>
      <c r="D178" s="81">
        <f t="shared" si="174"/>
        <v>9</v>
      </c>
      <c r="E178" s="82">
        <f t="shared" si="175"/>
        <v>9</v>
      </c>
      <c r="F178" s="83">
        <f t="shared" si="148"/>
        <v>3</v>
      </c>
      <c r="G178" s="84" t="str">
        <f t="shared" si="149"/>
        <v>标准</v>
      </c>
      <c r="H178" s="85" t="s">
        <v>10</v>
      </c>
      <c r="I178" s="85" t="s">
        <v>11</v>
      </c>
      <c r="J178" s="85" t="s">
        <v>12</v>
      </c>
      <c r="K178" s="85" t="s">
        <v>13</v>
      </c>
      <c r="L178" s="86">
        <f>MAX(MID(C178,{1,2,3},1)*1)-MIN(MID(C178,{1,2,3},1)*1)</f>
        <v>3</v>
      </c>
      <c r="M178" s="87">
        <v>0</v>
      </c>
      <c r="N178" s="87">
        <v>1</v>
      </c>
      <c r="O178" s="87">
        <v>2</v>
      </c>
      <c r="P178" s="87">
        <v>3</v>
      </c>
      <c r="Q178" s="87">
        <v>4</v>
      </c>
      <c r="R178" s="87">
        <v>5</v>
      </c>
      <c r="S178" s="87">
        <v>6</v>
      </c>
      <c r="T178" s="87">
        <v>7</v>
      </c>
      <c r="U178" s="87">
        <v>8</v>
      </c>
      <c r="V178" s="87">
        <v>9</v>
      </c>
      <c r="W178" s="88">
        <f t="shared" si="176"/>
        <v>0</v>
      </c>
      <c r="X178" s="88">
        <f t="shared" si="177"/>
        <v>3</v>
      </c>
      <c r="Y178" s="88">
        <f t="shared" si="178"/>
        <v>3</v>
      </c>
      <c r="Z178" s="89">
        <f t="shared" si="181"/>
        <v>6</v>
      </c>
      <c r="AA178" s="17" t="str">
        <f>_xlfn.TEXTJOIN(", ",TRUE,ABS(MID(C178,{1,1,2},1)-MID(C178,{2,3,3},1)))</f>
        <v>0, 3, 3</v>
      </c>
      <c r="AB178" s="90">
        <v>0</v>
      </c>
      <c r="AC178" s="90">
        <v>1</v>
      </c>
      <c r="AD178" s="90">
        <v>2</v>
      </c>
      <c r="AE178" s="90">
        <v>3</v>
      </c>
      <c r="AF178" s="90">
        <v>4</v>
      </c>
      <c r="AG178" s="90">
        <v>5</v>
      </c>
      <c r="AH178" s="90">
        <v>6</v>
      </c>
      <c r="AI178" s="90">
        <v>7</v>
      </c>
      <c r="AJ178" s="90">
        <v>8</v>
      </c>
      <c r="AK178" s="90">
        <v>9</v>
      </c>
      <c r="AL178" s="91">
        <v>0</v>
      </c>
      <c r="AM178" s="91">
        <v>1</v>
      </c>
      <c r="AN178" s="91">
        <v>2</v>
      </c>
      <c r="AO178" s="91">
        <v>3</v>
      </c>
      <c r="AP178" s="91">
        <v>4</v>
      </c>
      <c r="AQ178" s="91">
        <v>5</v>
      </c>
      <c r="AR178" s="91">
        <v>6</v>
      </c>
      <c r="AS178" s="91">
        <v>7</v>
      </c>
      <c r="AT178" s="91">
        <v>8</v>
      </c>
      <c r="AU178" s="91">
        <v>9</v>
      </c>
      <c r="AV178" s="92">
        <v>0</v>
      </c>
      <c r="AW178" s="92">
        <v>1</v>
      </c>
      <c r="AX178" s="92">
        <v>2</v>
      </c>
      <c r="AY178" s="92">
        <v>3</v>
      </c>
      <c r="AZ178" s="92">
        <v>4</v>
      </c>
      <c r="BA178" s="92">
        <v>5</v>
      </c>
      <c r="BB178" s="92">
        <v>6</v>
      </c>
      <c r="BC178" s="92">
        <v>7</v>
      </c>
      <c r="BD178" s="92">
        <v>8</v>
      </c>
      <c r="BE178" s="92">
        <v>9</v>
      </c>
      <c r="BF178" s="93">
        <v>0</v>
      </c>
      <c r="BG178" s="93">
        <v>1</v>
      </c>
      <c r="BH178" s="93">
        <v>2</v>
      </c>
      <c r="BI178" s="93">
        <v>3</v>
      </c>
      <c r="BJ178" s="93">
        <v>4</v>
      </c>
      <c r="BK178" s="93">
        <v>5</v>
      </c>
      <c r="BL178" s="93">
        <v>6</v>
      </c>
      <c r="BM178" s="93">
        <v>7</v>
      </c>
      <c r="BN178" s="93">
        <v>8</v>
      </c>
      <c r="BO178" s="93">
        <v>9</v>
      </c>
      <c r="BP178" s="94" t="str">
        <f t="shared" si="182"/>
        <v>紧凑型</v>
      </c>
      <c r="BQ178" s="15">
        <f t="shared" si="179"/>
        <v>0</v>
      </c>
      <c r="BR178" s="15">
        <f t="shared" si="180"/>
        <v>3</v>
      </c>
      <c r="BS178" s="20" t="str">
        <f t="shared" si="184"/>
        <v/>
      </c>
      <c r="BT178" s="21" t="str">
        <f t="shared" si="185"/>
        <v/>
      </c>
      <c r="BU178" s="21" t="str">
        <f t="array" ref="BU178">_xlfn.TEXTJOIN("",TRUE,IF(ISERROR(FIND(ROW($1:$168)-1,BS178&amp;BT178)),ROW($1:$168)-1,""))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78" s="22" t="str">
        <f t="shared" si="186"/>
        <v>中中中</v>
      </c>
      <c r="BW178" s="23" t="str">
        <f t="shared" si="197"/>
        <v/>
      </c>
      <c r="BX178" s="23" t="str">
        <f t="shared" si="195"/>
        <v/>
      </c>
      <c r="BY178" s="23" t="str">
        <f t="array" ref="BY178">_xlfn.TEXTJOIN("",TRUE,IF(ISERROR(FIND(ROW($1:$168)-1,BW178&amp;BX178)),ROW($1:$168)-1,""))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78" s="22" t="str">
        <f t="shared" si="187"/>
        <v>中中中</v>
      </c>
      <c r="CA178" s="24" t="str">
        <f t="shared" si="188"/>
        <v/>
      </c>
      <c r="CB178" s="24" t="str">
        <f t="shared" si="196"/>
        <v/>
      </c>
      <c r="CC178" s="24" t="str">
        <f t="array" ref="CC178">_xlfn.TEXTJOIN("",TRUE,IF(ISERROR(FIND(ROW($1:$168)-1,CA178&amp;CB178)),ROW($1:$168)-1,""))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78" s="22" t="str">
        <f t="shared" si="189"/>
        <v>中中中</v>
      </c>
      <c r="CE178" s="25" t="str">
        <f t="shared" si="183"/>
        <v>91</v>
      </c>
      <c r="CF178" s="26" t="str">
        <f t="array" ref="CF178">_xlfn.TEXTJOIN("",TRUE,IF(ISNUMBER(FIND(MID(CE177&amp;W177,ROW($1:$162),1),CE178&amp;W178)),MID(CE177&amp;W177,ROW($1:$162),1),""))</f>
        <v/>
      </c>
      <c r="CG178" s="27" t="str">
        <f t="array" ref="CG178">_xlfn.TEXTJOIN("",TRUE,IF(ISERROR(FIND(ROW($1:$168)-1,CE178&amp;CF178)),ROW($1:$168)-1,""))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178" s="28" t="str">
        <f t="shared" si="190"/>
        <v>邻孤孤</v>
      </c>
      <c r="CI178" s="29" t="str">
        <f t="shared" si="191"/>
        <v>24</v>
      </c>
      <c r="CJ178" s="29" t="str">
        <f t="array" ref="CJ178">_xlfn.TEXTJOIN("",TRUE,IF(ISNUMBER(FIND(MID(CI177&amp;X177,ROW($1:$162),1),CI178&amp;X178)),MID(CI177&amp;X177,ROW($1:$162),1),""))</f>
        <v>2</v>
      </c>
      <c r="CK178" s="29" t="str">
        <f t="array" ref="CK178">_xlfn.TEXTJOIN("",TRUE,IF(ISERROR(FIND(ROW($1:$168)-1,CI178&amp;CJ178)),ROW($1:$168)-1,""))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78" s="19" t="str">
        <f t="shared" si="192"/>
        <v>邻传孤</v>
      </c>
      <c r="CM178" s="24" t="str">
        <f t="shared" si="193"/>
        <v>24</v>
      </c>
      <c r="CN178" s="24" t="str">
        <f t="array" ref="CN178">_xlfn.TEXTJOIN("",TRUE,IF(ISNUMBER(FIND(MID(CM177&amp;Y177,ROW($1:$162),1),CM178&amp;Y178)),MID(CM177&amp;Y177,ROW($1:$162),1),""))</f>
        <v/>
      </c>
      <c r="CO178" s="24" t="str">
        <f t="array" ref="CO178">_xlfn.TEXTJOIN("",TRUE,IF(ISERROR(FIND(ROW($1:$168)-1,CM178&amp;CN178)),ROW($1:$168)-1,""))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78" s="30" t="str">
        <f t="shared" si="194"/>
        <v>邻孤孤</v>
      </c>
    </row>
    <row r="179" spans="1:94">
      <c r="A179" s="15">
        <v>179</v>
      </c>
      <c r="B179" s="80">
        <v>2024148</v>
      </c>
      <c r="C179" s="8" t="s">
        <v>195</v>
      </c>
      <c r="D179" s="81">
        <f t="shared" si="174"/>
        <v>12</v>
      </c>
      <c r="E179" s="82">
        <f t="shared" si="175"/>
        <v>2</v>
      </c>
      <c r="F179" s="83">
        <f t="shared" si="148"/>
        <v>3</v>
      </c>
      <c r="G179" s="84" t="str">
        <f t="shared" si="149"/>
        <v>标准</v>
      </c>
      <c r="H179" s="85" t="s">
        <v>10</v>
      </c>
      <c r="I179" s="85" t="s">
        <v>11</v>
      </c>
      <c r="J179" s="85" t="s">
        <v>12</v>
      </c>
      <c r="K179" s="85" t="s">
        <v>13</v>
      </c>
      <c r="L179" s="86">
        <f>MAX(MID(C179,{1,2,3},1)*1)-MIN(MID(C179,{1,2,3},1)*1)</f>
        <v>4</v>
      </c>
      <c r="M179" s="87">
        <v>0</v>
      </c>
      <c r="N179" s="87">
        <v>1</v>
      </c>
      <c r="O179" s="87">
        <v>2</v>
      </c>
      <c r="P179" s="87">
        <v>3</v>
      </c>
      <c r="Q179" s="87">
        <v>4</v>
      </c>
      <c r="R179" s="87">
        <v>5</v>
      </c>
      <c r="S179" s="87">
        <v>6</v>
      </c>
      <c r="T179" s="87">
        <v>7</v>
      </c>
      <c r="U179" s="87">
        <v>8</v>
      </c>
      <c r="V179" s="87">
        <v>9</v>
      </c>
      <c r="W179" s="88">
        <f t="shared" si="176"/>
        <v>2</v>
      </c>
      <c r="X179" s="88">
        <f t="shared" si="177"/>
        <v>2</v>
      </c>
      <c r="Y179" s="88">
        <f t="shared" si="178"/>
        <v>4</v>
      </c>
      <c r="Z179" s="89">
        <f t="shared" si="181"/>
        <v>8</v>
      </c>
      <c r="AA179" s="17" t="str">
        <f>_xlfn.TEXTJOIN(", ",TRUE,ABS(MID(C179,{1,1,2},1)-MID(C179,{2,3,3},1)))</f>
        <v>2, 2, 4</v>
      </c>
      <c r="AB179" s="90">
        <v>0</v>
      </c>
      <c r="AC179" s="90">
        <v>1</v>
      </c>
      <c r="AD179" s="90">
        <v>2</v>
      </c>
      <c r="AE179" s="90">
        <v>3</v>
      </c>
      <c r="AF179" s="90">
        <v>4</v>
      </c>
      <c r="AG179" s="90">
        <v>5</v>
      </c>
      <c r="AH179" s="90">
        <v>6</v>
      </c>
      <c r="AI179" s="90">
        <v>7</v>
      </c>
      <c r="AJ179" s="90">
        <v>8</v>
      </c>
      <c r="AK179" s="90">
        <v>9</v>
      </c>
      <c r="AL179" s="91">
        <v>0</v>
      </c>
      <c r="AM179" s="91">
        <v>1</v>
      </c>
      <c r="AN179" s="91">
        <v>2</v>
      </c>
      <c r="AO179" s="91">
        <v>3</v>
      </c>
      <c r="AP179" s="91">
        <v>4</v>
      </c>
      <c r="AQ179" s="91">
        <v>5</v>
      </c>
      <c r="AR179" s="91">
        <v>6</v>
      </c>
      <c r="AS179" s="91">
        <v>7</v>
      </c>
      <c r="AT179" s="91">
        <v>8</v>
      </c>
      <c r="AU179" s="91">
        <v>9</v>
      </c>
      <c r="AV179" s="92">
        <v>0</v>
      </c>
      <c r="AW179" s="92">
        <v>1</v>
      </c>
      <c r="AX179" s="92">
        <v>2</v>
      </c>
      <c r="AY179" s="92">
        <v>3</v>
      </c>
      <c r="AZ179" s="92">
        <v>4</v>
      </c>
      <c r="BA179" s="92">
        <v>5</v>
      </c>
      <c r="BB179" s="92">
        <v>6</v>
      </c>
      <c r="BC179" s="92">
        <v>7</v>
      </c>
      <c r="BD179" s="92">
        <v>8</v>
      </c>
      <c r="BE179" s="92">
        <v>9</v>
      </c>
      <c r="BF179" s="93">
        <v>0</v>
      </c>
      <c r="BG179" s="93">
        <v>1</v>
      </c>
      <c r="BH179" s="93">
        <v>2</v>
      </c>
      <c r="BI179" s="93">
        <v>3</v>
      </c>
      <c r="BJ179" s="93">
        <v>4</v>
      </c>
      <c r="BK179" s="93">
        <v>5</v>
      </c>
      <c r="BL179" s="93">
        <v>6</v>
      </c>
      <c r="BM179" s="93">
        <v>7</v>
      </c>
      <c r="BN179" s="93">
        <v>8</v>
      </c>
      <c r="BO179" s="93">
        <v>9</v>
      </c>
      <c r="BP179" s="94" t="str">
        <f t="shared" si="182"/>
        <v>标准型</v>
      </c>
      <c r="BQ179" s="15">
        <f t="shared" si="179"/>
        <v>2</v>
      </c>
      <c r="BR179" s="15">
        <f t="shared" si="180"/>
        <v>4</v>
      </c>
      <c r="BS179" s="20" t="str">
        <f t="shared" si="184"/>
        <v/>
      </c>
      <c r="BT179" s="21" t="str">
        <f t="shared" si="185"/>
        <v/>
      </c>
      <c r="BU179" s="21" t="str">
        <f t="array" ref="BU179">_xlfn.TEXTJOIN("",TRUE,IF(ISERROR(FIND(ROW($1:$168)-1,BS179&amp;BT179)),ROW($1:$168)-1,""))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79" s="22" t="str">
        <f t="shared" si="186"/>
        <v>中中中</v>
      </c>
      <c r="BW179" s="23" t="str">
        <f t="shared" si="197"/>
        <v/>
      </c>
      <c r="BX179" s="23" t="str">
        <f t="shared" si="195"/>
        <v/>
      </c>
      <c r="BY179" s="23" t="str">
        <f t="array" ref="BY179">_xlfn.TEXTJOIN("",TRUE,IF(ISERROR(FIND(ROW($1:$168)-1,BW179&amp;BX179)),ROW($1:$168)-1,""))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79" s="22" t="str">
        <f t="shared" si="187"/>
        <v>中中中</v>
      </c>
      <c r="CA179" s="24" t="str">
        <f t="shared" si="188"/>
        <v/>
      </c>
      <c r="CB179" s="24" t="str">
        <f t="shared" si="196"/>
        <v/>
      </c>
      <c r="CC179" s="24" t="str">
        <f t="array" ref="CC179">_xlfn.TEXTJOIN("",TRUE,IF(ISERROR(FIND(ROW($1:$168)-1,CA179&amp;CB179)),ROW($1:$168)-1,""))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79" s="22" t="str">
        <f t="shared" si="189"/>
        <v>中中中</v>
      </c>
      <c r="CE179" s="25" t="str">
        <f t="shared" si="183"/>
        <v>13</v>
      </c>
      <c r="CF179" s="26" t="str">
        <f t="array" ref="CF179">_xlfn.TEXTJOIN("",TRUE,IF(ISNUMBER(FIND(MID(CE178&amp;W178,ROW($1:$162),1),CE179&amp;W179)),MID(CE178&amp;W178,ROW($1:$162),1),""))</f>
        <v>1</v>
      </c>
      <c r="CG179" s="27" t="str">
        <f t="array" ref="CG179">_xlfn.TEXTJOIN("",TRUE,IF(ISERROR(FIND(ROW($1:$168)-1,CE179&amp;CF179)),ROW($1:$168)-1,""))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H179" s="28" t="str">
        <f t="shared" si="190"/>
        <v>邻传孤</v>
      </c>
      <c r="CI179" s="29" t="str">
        <f t="shared" si="191"/>
        <v>13</v>
      </c>
      <c r="CJ179" s="29" t="str">
        <f t="array" ref="CJ179">_xlfn.TEXTJOIN("",TRUE,IF(ISNUMBER(FIND(MID(CI178&amp;X178,ROW($1:$162),1),CI179&amp;X179)),MID(CI178&amp;X178,ROW($1:$162),1),""))</f>
        <v>23</v>
      </c>
      <c r="CK179" s="29" t="str">
        <f t="array" ref="CK179">_xlfn.TEXTJOIN("",TRUE,IF(ISERROR(FIND(ROW($1:$168)-1,CI179&amp;CJ179)),ROW($1:$168)-1,""))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179" s="19" t="str">
        <f t="shared" si="192"/>
        <v>邻传孤</v>
      </c>
      <c r="CM179" s="24" t="str">
        <f t="shared" si="193"/>
        <v>35</v>
      </c>
      <c r="CN179" s="24" t="str">
        <f t="array" ref="CN179">_xlfn.TEXTJOIN("",TRUE,IF(ISNUMBER(FIND(MID(CM178&amp;Y178,ROW($1:$162),1),CM179&amp;Y179)),MID(CM178&amp;Y178,ROW($1:$162),1),""))</f>
        <v>43</v>
      </c>
      <c r="CO179" s="24" t="str">
        <f t="array" ref="CO179">_xlfn.TEXTJOIN("",TRUE,IF(ISERROR(FIND(ROW($1:$168)-1,CM179&amp;CN179)),ROW($1:$168)-1,""))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79" s="30" t="str">
        <f t="shared" si="194"/>
        <v>邻传孤</v>
      </c>
    </row>
    <row r="180" spans="1:94">
      <c r="A180" s="15">
        <v>180</v>
      </c>
      <c r="B180" s="80">
        <v>2024149</v>
      </c>
      <c r="C180" s="8" t="s">
        <v>196</v>
      </c>
      <c r="D180" s="81">
        <f t="shared" si="174"/>
        <v>9</v>
      </c>
      <c r="E180" s="82">
        <f t="shared" si="175"/>
        <v>9</v>
      </c>
      <c r="F180" s="83">
        <f t="shared" si="148"/>
        <v>2.25</v>
      </c>
      <c r="G180" s="84" t="str">
        <f t="shared" si="149"/>
        <v>标准</v>
      </c>
      <c r="H180" s="85" t="s">
        <v>10</v>
      </c>
      <c r="I180" s="85" t="s">
        <v>11</v>
      </c>
      <c r="J180" s="85" t="s">
        <v>12</v>
      </c>
      <c r="K180" s="85" t="s">
        <v>13</v>
      </c>
      <c r="L180" s="86">
        <f>MAX(MID(C180,{1,2,3},1)*1)-MIN(MID(C180,{1,2,3},1)*1)</f>
        <v>4</v>
      </c>
      <c r="M180" s="87">
        <v>0</v>
      </c>
      <c r="N180" s="87">
        <v>1</v>
      </c>
      <c r="O180" s="87">
        <v>2</v>
      </c>
      <c r="P180" s="87">
        <v>3</v>
      </c>
      <c r="Q180" s="87">
        <v>4</v>
      </c>
      <c r="R180" s="87">
        <v>5</v>
      </c>
      <c r="S180" s="87">
        <v>6</v>
      </c>
      <c r="T180" s="87">
        <v>7</v>
      </c>
      <c r="U180" s="87">
        <v>8</v>
      </c>
      <c r="V180" s="87">
        <v>9</v>
      </c>
      <c r="W180" s="88">
        <f t="shared" si="176"/>
        <v>4</v>
      </c>
      <c r="X180" s="88">
        <f t="shared" si="177"/>
        <v>2</v>
      </c>
      <c r="Y180" s="88">
        <f t="shared" si="178"/>
        <v>2</v>
      </c>
      <c r="Z180" s="89">
        <f t="shared" si="181"/>
        <v>8</v>
      </c>
      <c r="AA180" s="17" t="str">
        <f>_xlfn.TEXTJOIN(", ",TRUE,ABS(MID(C180,{1,1,2},1)-MID(C180,{2,3,3},1)))</f>
        <v>4, 2, 2</v>
      </c>
      <c r="AB180" s="90">
        <v>0</v>
      </c>
      <c r="AC180" s="90">
        <v>1</v>
      </c>
      <c r="AD180" s="90">
        <v>2</v>
      </c>
      <c r="AE180" s="90">
        <v>3</v>
      </c>
      <c r="AF180" s="90">
        <v>4</v>
      </c>
      <c r="AG180" s="90">
        <v>5</v>
      </c>
      <c r="AH180" s="90">
        <v>6</v>
      </c>
      <c r="AI180" s="90">
        <v>7</v>
      </c>
      <c r="AJ180" s="90">
        <v>8</v>
      </c>
      <c r="AK180" s="90">
        <v>9</v>
      </c>
      <c r="AL180" s="91">
        <v>0</v>
      </c>
      <c r="AM180" s="91">
        <v>1</v>
      </c>
      <c r="AN180" s="91">
        <v>2</v>
      </c>
      <c r="AO180" s="91">
        <v>3</v>
      </c>
      <c r="AP180" s="91">
        <v>4</v>
      </c>
      <c r="AQ180" s="91">
        <v>5</v>
      </c>
      <c r="AR180" s="91">
        <v>6</v>
      </c>
      <c r="AS180" s="91">
        <v>7</v>
      </c>
      <c r="AT180" s="91">
        <v>8</v>
      </c>
      <c r="AU180" s="91">
        <v>9</v>
      </c>
      <c r="AV180" s="92">
        <v>0</v>
      </c>
      <c r="AW180" s="92">
        <v>1</v>
      </c>
      <c r="AX180" s="92">
        <v>2</v>
      </c>
      <c r="AY180" s="92">
        <v>3</v>
      </c>
      <c r="AZ180" s="92">
        <v>4</v>
      </c>
      <c r="BA180" s="92">
        <v>5</v>
      </c>
      <c r="BB180" s="92">
        <v>6</v>
      </c>
      <c r="BC180" s="92">
        <v>7</v>
      </c>
      <c r="BD180" s="92">
        <v>8</v>
      </c>
      <c r="BE180" s="92">
        <v>9</v>
      </c>
      <c r="BF180" s="93">
        <v>0</v>
      </c>
      <c r="BG180" s="93">
        <v>1</v>
      </c>
      <c r="BH180" s="93">
        <v>2</v>
      </c>
      <c r="BI180" s="93">
        <v>3</v>
      </c>
      <c r="BJ180" s="93">
        <v>4</v>
      </c>
      <c r="BK180" s="93">
        <v>5</v>
      </c>
      <c r="BL180" s="93">
        <v>6</v>
      </c>
      <c r="BM180" s="93">
        <v>7</v>
      </c>
      <c r="BN180" s="93">
        <v>8</v>
      </c>
      <c r="BO180" s="93">
        <v>9</v>
      </c>
      <c r="BP180" s="94" t="str">
        <f t="shared" si="182"/>
        <v>标准型</v>
      </c>
      <c r="BQ180" s="15">
        <f t="shared" si="179"/>
        <v>2</v>
      </c>
      <c r="BR180" s="15">
        <f t="shared" si="180"/>
        <v>4</v>
      </c>
      <c r="BS180" s="20">
        <f t="shared" si="184"/>
        <v>4</v>
      </c>
      <c r="BT180" s="21" t="str">
        <f t="shared" si="185"/>
        <v/>
      </c>
      <c r="BU180" s="21" t="str">
        <f t="array" ref="BU180">_xlfn.TEXTJOIN("",TRUE,IF(ISERROR(FIND(ROW($1:$168)-1,BS180&amp;BT180)),ROW($1:$168)-1,""))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80" s="22" t="str">
        <f t="shared" si="186"/>
        <v>复中中</v>
      </c>
      <c r="BW180" s="23">
        <f t="shared" si="197"/>
        <v>2</v>
      </c>
      <c r="BX180" s="23" t="str">
        <f t="shared" si="195"/>
        <v/>
      </c>
      <c r="BY180" s="23" t="str">
        <f t="array" ref="BY180">_xlfn.TEXTJOIN("",TRUE,IF(ISERROR(FIND(ROW($1:$168)-1,BW180&amp;BX180)),ROW($1:$168)-1,""))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80" s="22" t="str">
        <f t="shared" si="187"/>
        <v>复中中</v>
      </c>
      <c r="CA180" s="24">
        <f t="shared" si="188"/>
        <v>2</v>
      </c>
      <c r="CB180" s="24" t="str">
        <f t="shared" si="196"/>
        <v/>
      </c>
      <c r="CC180" s="24" t="str">
        <f t="array" ref="CC180">_xlfn.TEXTJOIN("",TRUE,IF(ISERROR(FIND(ROW($1:$168)-1,CA180&amp;CB180)),ROW($1:$168)-1,""))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80" s="22" t="str">
        <f t="shared" si="189"/>
        <v>复中中</v>
      </c>
      <c r="CE180" s="25" t="str">
        <f t="shared" si="183"/>
        <v>35</v>
      </c>
      <c r="CF180" s="26" t="str">
        <f t="array" ref="CF180">_xlfn.TEXTJOIN("",TRUE,IF(ISNUMBER(FIND(MID(CE179&amp;W179,ROW($1:$162),1),CE180&amp;W180)),MID(CE179&amp;W179,ROW($1:$162),1),""))</f>
        <v>3</v>
      </c>
      <c r="CG180" s="27" t="str">
        <f t="array" ref="CG180">_xlfn.TEXTJOIN("",TRUE,IF(ISERROR(FIND(ROW($1:$168)-1,CE180&amp;CF180)),ROW($1:$168)-1,""))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80" s="28" t="str">
        <f t="shared" si="190"/>
        <v>邻传孤</v>
      </c>
      <c r="CI180" s="29" t="str">
        <f t="shared" si="191"/>
        <v>13</v>
      </c>
      <c r="CJ180" s="29" t="str">
        <f t="array" ref="CJ180">_xlfn.TEXTJOIN("",TRUE,IF(ISNUMBER(FIND(MID(CI179&amp;X179,ROW($1:$162),1),CI180&amp;X180)),MID(CI179&amp;X179,ROW($1:$162),1),""))</f>
        <v>132</v>
      </c>
      <c r="CK180" s="29" t="str">
        <f t="array" ref="CK180">_xlfn.TEXTJOIN("",TRUE,IF(ISERROR(FIND(ROW($1:$168)-1,CI180&amp;CJ180)),ROW($1:$168)-1,""))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180" s="19" t="str">
        <f t="shared" si="192"/>
        <v>邻传孤</v>
      </c>
      <c r="CM180" s="24" t="str">
        <f t="shared" si="193"/>
        <v>13</v>
      </c>
      <c r="CN180" s="24" t="str">
        <f t="array" ref="CN180">_xlfn.TEXTJOIN("",TRUE,IF(ISNUMBER(FIND(MID(CM179&amp;Y179,ROW($1:$162),1),CM180&amp;Y180)),MID(CM179&amp;Y179,ROW($1:$162),1),""))</f>
        <v>3</v>
      </c>
      <c r="CO180" s="24" t="str">
        <f t="array" ref="CO180">_xlfn.TEXTJOIN("",TRUE,IF(ISERROR(FIND(ROW($1:$168)-1,CM180&amp;CN180)),ROW($1:$168)-1,""))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180" s="30" t="str">
        <f t="shared" si="194"/>
        <v>邻传孤</v>
      </c>
    </row>
    <row r="181" spans="1:94">
      <c r="A181" s="15">
        <v>181</v>
      </c>
      <c r="B181" s="80">
        <v>2024150</v>
      </c>
      <c r="C181" s="8" t="s">
        <v>197</v>
      </c>
      <c r="D181" s="81">
        <f t="shared" si="174"/>
        <v>14</v>
      </c>
      <c r="E181" s="82">
        <f t="shared" si="175"/>
        <v>4</v>
      </c>
      <c r="F181" s="83">
        <f t="shared" si="148"/>
        <v>4.66666666666667</v>
      </c>
      <c r="G181" s="84" t="str">
        <f t="shared" si="149"/>
        <v>紧凑</v>
      </c>
      <c r="H181" s="85" t="s">
        <v>10</v>
      </c>
      <c r="I181" s="85" t="s">
        <v>11</v>
      </c>
      <c r="J181" s="85" t="s">
        <v>12</v>
      </c>
      <c r="K181" s="85" t="s">
        <v>13</v>
      </c>
      <c r="L181" s="86">
        <f>MAX(MID(C181,{1,2,3},1)*1)-MIN(MID(C181,{1,2,3},1)*1)</f>
        <v>3</v>
      </c>
      <c r="M181" s="87">
        <v>0</v>
      </c>
      <c r="N181" s="87">
        <v>1</v>
      </c>
      <c r="O181" s="87">
        <v>2</v>
      </c>
      <c r="P181" s="87">
        <v>3</v>
      </c>
      <c r="Q181" s="87">
        <v>4</v>
      </c>
      <c r="R181" s="87">
        <v>5</v>
      </c>
      <c r="S181" s="87">
        <v>6</v>
      </c>
      <c r="T181" s="87">
        <v>7</v>
      </c>
      <c r="U181" s="87">
        <v>8</v>
      </c>
      <c r="V181" s="87">
        <v>9</v>
      </c>
      <c r="W181" s="88">
        <f t="shared" si="176"/>
        <v>2</v>
      </c>
      <c r="X181" s="88">
        <f t="shared" si="177"/>
        <v>3</v>
      </c>
      <c r="Y181" s="88">
        <f t="shared" si="178"/>
        <v>1</v>
      </c>
      <c r="Z181" s="89">
        <f t="shared" si="181"/>
        <v>6</v>
      </c>
      <c r="AA181" s="17" t="str">
        <f>_xlfn.TEXTJOIN(", ",TRUE,ABS(MID(C181,{1,1,2},1)-MID(C181,{2,3,3},1)))</f>
        <v>2, 3, 1</v>
      </c>
      <c r="AB181" s="90">
        <v>0</v>
      </c>
      <c r="AC181" s="90">
        <v>1</v>
      </c>
      <c r="AD181" s="90">
        <v>2</v>
      </c>
      <c r="AE181" s="90">
        <v>3</v>
      </c>
      <c r="AF181" s="90">
        <v>4</v>
      </c>
      <c r="AG181" s="90">
        <v>5</v>
      </c>
      <c r="AH181" s="90">
        <v>6</v>
      </c>
      <c r="AI181" s="90">
        <v>7</v>
      </c>
      <c r="AJ181" s="90">
        <v>8</v>
      </c>
      <c r="AK181" s="90">
        <v>9</v>
      </c>
      <c r="AL181" s="91">
        <v>0</v>
      </c>
      <c r="AM181" s="91">
        <v>1</v>
      </c>
      <c r="AN181" s="91">
        <v>2</v>
      </c>
      <c r="AO181" s="91">
        <v>3</v>
      </c>
      <c r="AP181" s="91">
        <v>4</v>
      </c>
      <c r="AQ181" s="91">
        <v>5</v>
      </c>
      <c r="AR181" s="91">
        <v>6</v>
      </c>
      <c r="AS181" s="91">
        <v>7</v>
      </c>
      <c r="AT181" s="91">
        <v>8</v>
      </c>
      <c r="AU181" s="91">
        <v>9</v>
      </c>
      <c r="AV181" s="92">
        <v>0</v>
      </c>
      <c r="AW181" s="92">
        <v>1</v>
      </c>
      <c r="AX181" s="92">
        <v>2</v>
      </c>
      <c r="AY181" s="92">
        <v>3</v>
      </c>
      <c r="AZ181" s="92">
        <v>4</v>
      </c>
      <c r="BA181" s="92">
        <v>5</v>
      </c>
      <c r="BB181" s="92">
        <v>6</v>
      </c>
      <c r="BC181" s="92">
        <v>7</v>
      </c>
      <c r="BD181" s="92">
        <v>8</v>
      </c>
      <c r="BE181" s="92">
        <v>9</v>
      </c>
      <c r="BF181" s="93">
        <v>0</v>
      </c>
      <c r="BG181" s="93">
        <v>1</v>
      </c>
      <c r="BH181" s="93">
        <v>2</v>
      </c>
      <c r="BI181" s="93">
        <v>3</v>
      </c>
      <c r="BJ181" s="93">
        <v>4</v>
      </c>
      <c r="BK181" s="93">
        <v>5</v>
      </c>
      <c r="BL181" s="93">
        <v>6</v>
      </c>
      <c r="BM181" s="93">
        <v>7</v>
      </c>
      <c r="BN181" s="93">
        <v>8</v>
      </c>
      <c r="BO181" s="93">
        <v>9</v>
      </c>
      <c r="BP181" s="94" t="str">
        <f t="shared" si="182"/>
        <v>紧凑型</v>
      </c>
      <c r="BQ181" s="15">
        <f t="shared" si="179"/>
        <v>1</v>
      </c>
      <c r="BR181" s="15">
        <f t="shared" si="180"/>
        <v>3</v>
      </c>
      <c r="BS181" s="20">
        <f t="shared" si="184"/>
        <v>2</v>
      </c>
      <c r="BT181" s="21">
        <f t="shared" si="185"/>
        <v>2</v>
      </c>
      <c r="BU181" s="21" t="str">
        <f t="array" ref="BU181">_xlfn.TEXTJOIN("",TRUE,IF(ISERROR(FIND(ROW($1:$168)-1,BS181&amp;BT181)),ROW($1:$168)-1,""))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81" s="22" t="str">
        <f t="shared" si="186"/>
        <v>复隔中</v>
      </c>
      <c r="BW181" s="23" t="str">
        <f t="shared" si="197"/>
        <v/>
      </c>
      <c r="BX181" s="23" t="str">
        <f t="shared" si="195"/>
        <v/>
      </c>
      <c r="BY181" s="23" t="str">
        <f t="array" ref="BY181">_xlfn.TEXTJOIN("",TRUE,IF(ISERROR(FIND(ROW($1:$168)-1,BW181&amp;BX181)),ROW($1:$168)-1,""))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81" s="22" t="str">
        <f t="shared" si="187"/>
        <v>中中中</v>
      </c>
      <c r="CA181" s="24" t="str">
        <f t="shared" si="188"/>
        <v/>
      </c>
      <c r="CB181" s="24" t="str">
        <f t="shared" si="196"/>
        <v/>
      </c>
      <c r="CC181" s="24" t="str">
        <f t="array" ref="CC181">_xlfn.TEXTJOIN("",TRUE,IF(ISERROR(FIND(ROW($1:$168)-1,CA181&amp;CB181)),ROW($1:$168)-1,""))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81" s="22" t="str">
        <f t="shared" si="189"/>
        <v>中中中</v>
      </c>
      <c r="CE181" s="25" t="str">
        <f t="shared" si="183"/>
        <v>13</v>
      </c>
      <c r="CF181" s="26" t="str">
        <f t="array" ref="CF181">_xlfn.TEXTJOIN("",TRUE,IF(ISNUMBER(FIND(MID(CE180&amp;W180,ROW($1:$162),1),CE181&amp;W181)),MID(CE180&amp;W180,ROW($1:$162),1),""))</f>
        <v>3</v>
      </c>
      <c r="CG181" s="27" t="str">
        <f t="array" ref="CG181">_xlfn.TEXTJOIN("",TRUE,IF(ISERROR(FIND(ROW($1:$168)-1,CE181&amp;CF181)),ROW($1:$168)-1,""))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181" s="28" t="str">
        <f t="shared" si="190"/>
        <v>邻传孤</v>
      </c>
      <c r="CI181" s="29" t="str">
        <f t="shared" si="191"/>
        <v>24</v>
      </c>
      <c r="CJ181" s="29" t="str">
        <f t="array" ref="CJ181">_xlfn.TEXTJOIN("",TRUE,IF(ISNUMBER(FIND(MID(CI180&amp;X180,ROW($1:$162),1),CI181&amp;X181)),MID(CI180&amp;X180,ROW($1:$162),1),""))</f>
        <v>32</v>
      </c>
      <c r="CK181" s="29" t="str">
        <f t="array" ref="CK181">_xlfn.TEXTJOIN("",TRUE,IF(ISERROR(FIND(ROW($1:$168)-1,CI181&amp;CJ181)),ROW($1:$168)-1,""))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81" s="19" t="str">
        <f t="shared" si="192"/>
        <v>邻传孤</v>
      </c>
      <c r="CM181" s="24" t="str">
        <f t="shared" si="193"/>
        <v>02</v>
      </c>
      <c r="CN181" s="24" t="str">
        <f t="array" ref="CN181">_xlfn.TEXTJOIN("",TRUE,IF(ISNUMBER(FIND(MID(CM180&amp;Y180,ROW($1:$162),1),CM181&amp;Y181)),MID(CM180&amp;Y180,ROW($1:$162),1),""))</f>
        <v>12</v>
      </c>
      <c r="CO181" s="24" t="str">
        <f t="array" ref="CO181">_xlfn.TEXTJOIN("",TRUE,IF(ISERROR(FIND(ROW($1:$168)-1,CM181&amp;CN181)),ROW($1:$168)-1,""))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81" s="30" t="str">
        <f t="shared" si="194"/>
        <v>邻传孤</v>
      </c>
    </row>
    <row r="182" spans="1:94">
      <c r="A182" s="15">
        <v>182</v>
      </c>
      <c r="B182" s="80">
        <v>2024151</v>
      </c>
      <c r="C182" s="8" t="s">
        <v>198</v>
      </c>
      <c r="D182" s="81">
        <f t="shared" si="174"/>
        <v>18</v>
      </c>
      <c r="E182" s="82">
        <f t="shared" si="175"/>
        <v>8</v>
      </c>
      <c r="F182" s="83">
        <f t="shared" si="148"/>
        <v>9</v>
      </c>
      <c r="G182" s="84" t="str">
        <f t="shared" si="149"/>
        <v>紧凑</v>
      </c>
      <c r="H182" s="85" t="s">
        <v>10</v>
      </c>
      <c r="I182" s="85" t="s">
        <v>11</v>
      </c>
      <c r="J182" s="85" t="s">
        <v>12</v>
      </c>
      <c r="K182" s="85" t="s">
        <v>13</v>
      </c>
      <c r="L182" s="86">
        <f>MAX(MID(C182,{1,2,3},1)*1)-MIN(MID(C182,{1,2,3},1)*1)</f>
        <v>2</v>
      </c>
      <c r="M182" s="87">
        <v>0</v>
      </c>
      <c r="N182" s="87">
        <v>1</v>
      </c>
      <c r="O182" s="87">
        <v>2</v>
      </c>
      <c r="P182" s="87">
        <v>3</v>
      </c>
      <c r="Q182" s="87">
        <v>4</v>
      </c>
      <c r="R182" s="87">
        <v>5</v>
      </c>
      <c r="S182" s="87">
        <v>6</v>
      </c>
      <c r="T182" s="87">
        <v>7</v>
      </c>
      <c r="U182" s="87">
        <v>8</v>
      </c>
      <c r="V182" s="87">
        <v>9</v>
      </c>
      <c r="W182" s="88">
        <f t="shared" si="176"/>
        <v>1</v>
      </c>
      <c r="X182" s="88">
        <f t="shared" si="177"/>
        <v>2</v>
      </c>
      <c r="Y182" s="88">
        <f t="shared" si="178"/>
        <v>1</v>
      </c>
      <c r="Z182" s="89">
        <f t="shared" si="181"/>
        <v>4</v>
      </c>
      <c r="AA182" s="17" t="str">
        <f>_xlfn.TEXTJOIN(", ",TRUE,ABS(MID(C182,{1,1,2},1)-MID(C182,{2,3,3},1)))</f>
        <v>1, 2, 1</v>
      </c>
      <c r="AB182" s="90">
        <v>0</v>
      </c>
      <c r="AC182" s="90">
        <v>1</v>
      </c>
      <c r="AD182" s="90">
        <v>2</v>
      </c>
      <c r="AE182" s="90">
        <v>3</v>
      </c>
      <c r="AF182" s="90">
        <v>4</v>
      </c>
      <c r="AG182" s="90">
        <v>5</v>
      </c>
      <c r="AH182" s="90">
        <v>6</v>
      </c>
      <c r="AI182" s="90">
        <v>7</v>
      </c>
      <c r="AJ182" s="90">
        <v>8</v>
      </c>
      <c r="AK182" s="90">
        <v>9</v>
      </c>
      <c r="AL182" s="91">
        <v>0</v>
      </c>
      <c r="AM182" s="91">
        <v>1</v>
      </c>
      <c r="AN182" s="91">
        <v>2</v>
      </c>
      <c r="AO182" s="91">
        <v>3</v>
      </c>
      <c r="AP182" s="91">
        <v>4</v>
      </c>
      <c r="AQ182" s="91">
        <v>5</v>
      </c>
      <c r="AR182" s="91">
        <v>6</v>
      </c>
      <c r="AS182" s="91">
        <v>7</v>
      </c>
      <c r="AT182" s="91">
        <v>8</v>
      </c>
      <c r="AU182" s="91">
        <v>9</v>
      </c>
      <c r="AV182" s="92">
        <v>0</v>
      </c>
      <c r="AW182" s="92">
        <v>1</v>
      </c>
      <c r="AX182" s="92">
        <v>2</v>
      </c>
      <c r="AY182" s="92">
        <v>3</v>
      </c>
      <c r="AZ182" s="92">
        <v>4</v>
      </c>
      <c r="BA182" s="92">
        <v>5</v>
      </c>
      <c r="BB182" s="92">
        <v>6</v>
      </c>
      <c r="BC182" s="92">
        <v>7</v>
      </c>
      <c r="BD182" s="92">
        <v>8</v>
      </c>
      <c r="BE182" s="92">
        <v>9</v>
      </c>
      <c r="BF182" s="93">
        <v>0</v>
      </c>
      <c r="BG182" s="93">
        <v>1</v>
      </c>
      <c r="BH182" s="93">
        <v>2</v>
      </c>
      <c r="BI182" s="93">
        <v>3</v>
      </c>
      <c r="BJ182" s="93">
        <v>4</v>
      </c>
      <c r="BK182" s="93">
        <v>5</v>
      </c>
      <c r="BL182" s="93">
        <v>6</v>
      </c>
      <c r="BM182" s="93">
        <v>7</v>
      </c>
      <c r="BN182" s="93">
        <v>8</v>
      </c>
      <c r="BO182" s="93">
        <v>9</v>
      </c>
      <c r="BP182" s="94" t="str">
        <f t="shared" si="182"/>
        <v>紧凑型</v>
      </c>
      <c r="BQ182" s="15">
        <f t="shared" si="179"/>
        <v>1</v>
      </c>
      <c r="BR182" s="15">
        <f t="shared" si="180"/>
        <v>2</v>
      </c>
      <c r="BS182" s="20">
        <f t="shared" si="184"/>
        <v>1</v>
      </c>
      <c r="BT182" s="21" t="str">
        <f t="shared" si="185"/>
        <v/>
      </c>
      <c r="BU182" s="21" t="str">
        <f t="array" ref="BU182">_xlfn.TEXTJOIN("",TRUE,IF(ISERROR(FIND(ROW($1:$168)-1,BS182&amp;BT182)),ROW($1:$168)-1,""))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82" s="22" t="str">
        <f t="shared" si="186"/>
        <v>复中中</v>
      </c>
      <c r="BW182" s="23">
        <f t="shared" si="197"/>
        <v>2</v>
      </c>
      <c r="BX182" s="23">
        <f t="shared" si="195"/>
        <v>2</v>
      </c>
      <c r="BY182" s="23" t="str">
        <f t="array" ref="BY182">_xlfn.TEXTJOIN("",TRUE,IF(ISERROR(FIND(ROW($1:$168)-1,BW182&amp;BX182)),ROW($1:$168)-1,""))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82" s="22" t="str">
        <f t="shared" si="187"/>
        <v>复隔中</v>
      </c>
      <c r="CA182" s="24">
        <f t="shared" si="188"/>
        <v>1</v>
      </c>
      <c r="CB182" s="24" t="str">
        <f t="shared" si="196"/>
        <v/>
      </c>
      <c r="CC182" s="24" t="str">
        <f t="array" ref="CC182">_xlfn.TEXTJOIN("",TRUE,IF(ISERROR(FIND(ROW($1:$168)-1,CA182&amp;CB182)),ROW($1:$168)-1,""))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82" s="22" t="str">
        <f t="shared" si="189"/>
        <v>复中中</v>
      </c>
      <c r="CE182" s="25" t="str">
        <f t="shared" si="183"/>
        <v>02</v>
      </c>
      <c r="CF182" s="26" t="str">
        <f t="array" ref="CF182">_xlfn.TEXTJOIN("",TRUE,IF(ISNUMBER(FIND(MID(CE181&amp;W181,ROW($1:$162),1),CE182&amp;W182)),MID(CE181&amp;W181,ROW($1:$162),1),""))</f>
        <v>12</v>
      </c>
      <c r="CG182" s="27" t="str">
        <f t="array" ref="CG182">_xlfn.TEXTJOIN("",TRUE,IF(ISERROR(FIND(ROW($1:$168)-1,CE182&amp;CF182)),ROW($1:$168)-1,""))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82" s="28" t="str">
        <f t="shared" si="190"/>
        <v>邻传孤</v>
      </c>
      <c r="CI182" s="29" t="str">
        <f t="shared" si="191"/>
        <v>13</v>
      </c>
      <c r="CJ182" s="29" t="str">
        <f t="array" ref="CJ182">_xlfn.TEXTJOIN("",TRUE,IF(ISNUMBER(FIND(MID(CI181&amp;X181,ROW($1:$162),1),CI182&amp;X182)),MID(CI181&amp;X181,ROW($1:$162),1),""))</f>
        <v>23</v>
      </c>
      <c r="CK182" s="29" t="str">
        <f t="array" ref="CK182">_xlfn.TEXTJOIN("",TRUE,IF(ISERROR(FIND(ROW($1:$168)-1,CI182&amp;CJ182)),ROW($1:$168)-1,""))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182" s="19" t="str">
        <f t="shared" si="192"/>
        <v>邻传孤</v>
      </c>
      <c r="CM182" s="24" t="str">
        <f t="shared" si="193"/>
        <v>02</v>
      </c>
      <c r="CN182" s="24" t="str">
        <f t="array" ref="CN182">_xlfn.TEXTJOIN("",TRUE,IF(ISNUMBER(FIND(MID(CM181&amp;Y181,ROW($1:$162),1),CM182&amp;Y182)),MID(CM181&amp;Y181,ROW($1:$162),1),""))</f>
        <v>021</v>
      </c>
      <c r="CO182" s="24" t="str">
        <f t="array" ref="CO182">_xlfn.TEXTJOIN("",TRUE,IF(ISERROR(FIND(ROW($1:$168)-1,CM182&amp;CN182)),ROW($1:$168)-1,""))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82" s="30" t="str">
        <f t="shared" si="194"/>
        <v>邻传孤</v>
      </c>
    </row>
    <row r="183" spans="1:94">
      <c r="A183" s="15">
        <v>183</v>
      </c>
      <c r="B183" s="80">
        <v>2024152</v>
      </c>
      <c r="C183" s="8" t="s">
        <v>49</v>
      </c>
      <c r="D183" s="81">
        <f t="shared" si="174"/>
        <v>20</v>
      </c>
      <c r="E183" s="82">
        <f t="shared" si="175"/>
        <v>0</v>
      </c>
      <c r="F183" s="83">
        <f t="shared" si="148"/>
        <v>5</v>
      </c>
      <c r="G183" s="84" t="str">
        <f t="shared" si="149"/>
        <v>紧凑</v>
      </c>
      <c r="H183" s="85" t="s">
        <v>10</v>
      </c>
      <c r="I183" s="85" t="s">
        <v>11</v>
      </c>
      <c r="J183" s="85" t="s">
        <v>12</v>
      </c>
      <c r="K183" s="85" t="s">
        <v>13</v>
      </c>
      <c r="L183" s="86">
        <f>MAX(MID(C183,{1,2,3},1)*1)-MIN(MID(C183,{1,2,3},1)*1)</f>
        <v>4</v>
      </c>
      <c r="M183" s="87">
        <v>0</v>
      </c>
      <c r="N183" s="87">
        <v>1</v>
      </c>
      <c r="O183" s="87">
        <v>2</v>
      </c>
      <c r="P183" s="87">
        <v>3</v>
      </c>
      <c r="Q183" s="87">
        <v>4</v>
      </c>
      <c r="R183" s="87">
        <v>5</v>
      </c>
      <c r="S183" s="87">
        <v>6</v>
      </c>
      <c r="T183" s="87">
        <v>7</v>
      </c>
      <c r="U183" s="87">
        <v>8</v>
      </c>
      <c r="V183" s="87">
        <v>9</v>
      </c>
      <c r="W183" s="88">
        <f t="shared" si="176"/>
        <v>4</v>
      </c>
      <c r="X183" s="88">
        <f t="shared" si="177"/>
        <v>0</v>
      </c>
      <c r="Y183" s="88">
        <f t="shared" si="178"/>
        <v>4</v>
      </c>
      <c r="Z183" s="89">
        <f t="shared" si="181"/>
        <v>8</v>
      </c>
      <c r="AA183" s="17" t="str">
        <f>_xlfn.TEXTJOIN(", ",TRUE,ABS(MID(C183,{1,1,2},1)-MID(C183,{2,3,3},1)))</f>
        <v>4, 0, 4</v>
      </c>
      <c r="AB183" s="90">
        <v>0</v>
      </c>
      <c r="AC183" s="90">
        <v>1</v>
      </c>
      <c r="AD183" s="90">
        <v>2</v>
      </c>
      <c r="AE183" s="90">
        <v>3</v>
      </c>
      <c r="AF183" s="90">
        <v>4</v>
      </c>
      <c r="AG183" s="90">
        <v>5</v>
      </c>
      <c r="AH183" s="90">
        <v>6</v>
      </c>
      <c r="AI183" s="90">
        <v>7</v>
      </c>
      <c r="AJ183" s="90">
        <v>8</v>
      </c>
      <c r="AK183" s="90">
        <v>9</v>
      </c>
      <c r="AL183" s="91">
        <v>0</v>
      </c>
      <c r="AM183" s="91">
        <v>1</v>
      </c>
      <c r="AN183" s="91">
        <v>2</v>
      </c>
      <c r="AO183" s="91">
        <v>3</v>
      </c>
      <c r="AP183" s="91">
        <v>4</v>
      </c>
      <c r="AQ183" s="91">
        <v>5</v>
      </c>
      <c r="AR183" s="91">
        <v>6</v>
      </c>
      <c r="AS183" s="91">
        <v>7</v>
      </c>
      <c r="AT183" s="91">
        <v>8</v>
      </c>
      <c r="AU183" s="91">
        <v>9</v>
      </c>
      <c r="AV183" s="92">
        <v>0</v>
      </c>
      <c r="AW183" s="92">
        <v>1</v>
      </c>
      <c r="AX183" s="92">
        <v>2</v>
      </c>
      <c r="AY183" s="92">
        <v>3</v>
      </c>
      <c r="AZ183" s="92">
        <v>4</v>
      </c>
      <c r="BA183" s="92">
        <v>5</v>
      </c>
      <c r="BB183" s="92">
        <v>6</v>
      </c>
      <c r="BC183" s="92">
        <v>7</v>
      </c>
      <c r="BD183" s="92">
        <v>8</v>
      </c>
      <c r="BE183" s="92">
        <v>9</v>
      </c>
      <c r="BF183" s="93">
        <v>0</v>
      </c>
      <c r="BG183" s="93">
        <v>1</v>
      </c>
      <c r="BH183" s="93">
        <v>2</v>
      </c>
      <c r="BI183" s="93">
        <v>3</v>
      </c>
      <c r="BJ183" s="93">
        <v>4</v>
      </c>
      <c r="BK183" s="93">
        <v>5</v>
      </c>
      <c r="BL183" s="93">
        <v>6</v>
      </c>
      <c r="BM183" s="93">
        <v>7</v>
      </c>
      <c r="BN183" s="93">
        <v>8</v>
      </c>
      <c r="BO183" s="93">
        <v>9</v>
      </c>
      <c r="BP183" s="94" t="str">
        <f t="shared" si="182"/>
        <v>紧凑型</v>
      </c>
      <c r="BQ183" s="15">
        <f t="shared" si="179"/>
        <v>0</v>
      </c>
      <c r="BR183" s="15">
        <f t="shared" si="180"/>
        <v>4</v>
      </c>
      <c r="BS183" s="20" t="str">
        <f t="shared" si="184"/>
        <v/>
      </c>
      <c r="BT183" s="21" t="str">
        <f t="shared" si="185"/>
        <v/>
      </c>
      <c r="BU183" s="21" t="str">
        <f t="array" ref="BU183">_xlfn.TEXTJOIN("",TRUE,IF(ISERROR(FIND(ROW($1:$168)-1,BS183&amp;BT183)),ROW($1:$168)-1,""))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83" s="22" t="str">
        <f t="shared" si="186"/>
        <v>中中中</v>
      </c>
      <c r="BW183" s="23" t="str">
        <f t="shared" si="197"/>
        <v/>
      </c>
      <c r="BX183" s="23" t="str">
        <f t="shared" si="195"/>
        <v/>
      </c>
      <c r="BY183" s="23" t="str">
        <f t="array" ref="BY183">_xlfn.TEXTJOIN("",TRUE,IF(ISERROR(FIND(ROW($1:$168)-1,BW183&amp;BX183)),ROW($1:$168)-1,""))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83" s="22" t="str">
        <f t="shared" si="187"/>
        <v>中中中</v>
      </c>
      <c r="CA183" s="24" t="str">
        <f t="shared" si="188"/>
        <v/>
      </c>
      <c r="CB183" s="24" t="str">
        <f t="shared" si="196"/>
        <v/>
      </c>
      <c r="CC183" s="24" t="str">
        <f t="array" ref="CC183">_xlfn.TEXTJOIN("",TRUE,IF(ISERROR(FIND(ROW($1:$168)-1,CA183&amp;CB183)),ROW($1:$168)-1,""))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83" s="22" t="str">
        <f t="shared" si="189"/>
        <v>中中中</v>
      </c>
      <c r="CE183" s="25" t="str">
        <f t="shared" si="183"/>
        <v>35</v>
      </c>
      <c r="CF183" s="26" t="str">
        <f t="array" ref="CF183">_xlfn.TEXTJOIN("",TRUE,IF(ISNUMBER(FIND(MID(CE182&amp;W182,ROW($1:$162),1),CE183&amp;W183)),MID(CE182&amp;W182,ROW($1:$162),1),""))</f>
        <v/>
      </c>
      <c r="CG183" s="27" t="str">
        <f t="array" ref="CG183">_xlfn.TEXTJOIN("",TRUE,IF(ISERROR(FIND(ROW($1:$168)-1,CE183&amp;CF183)),ROW($1:$168)-1,""))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83" s="28" t="str">
        <f t="shared" si="190"/>
        <v>邻孤孤</v>
      </c>
      <c r="CI183" s="29" t="str">
        <f t="shared" si="191"/>
        <v>91</v>
      </c>
      <c r="CJ183" s="29" t="str">
        <f t="array" ref="CJ183">_xlfn.TEXTJOIN("",TRUE,IF(ISNUMBER(FIND(MID(CI182&amp;X182,ROW($1:$162),1),CI183&amp;X183)),MID(CI182&amp;X182,ROW($1:$162),1),""))</f>
        <v>1</v>
      </c>
      <c r="CK183" s="29" t="str">
        <f t="array" ref="CK183">_xlfn.TEXTJOIN("",TRUE,IF(ISERROR(FIND(ROW($1:$168)-1,CI183&amp;CJ183)),ROW($1:$168)-1,""))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183" s="19" t="str">
        <f t="shared" si="192"/>
        <v>邻传孤</v>
      </c>
      <c r="CM183" s="24" t="str">
        <f t="shared" si="193"/>
        <v>35</v>
      </c>
      <c r="CN183" s="24" t="str">
        <f t="array" ref="CN183">_xlfn.TEXTJOIN("",TRUE,IF(ISNUMBER(FIND(MID(CM182&amp;Y182,ROW($1:$162),1),CM183&amp;Y183)),MID(CM182&amp;Y182,ROW($1:$162),1),""))</f>
        <v/>
      </c>
      <c r="CO183" s="24" t="str">
        <f t="array" ref="CO183">_xlfn.TEXTJOIN("",TRUE,IF(ISERROR(FIND(ROW($1:$168)-1,CM183&amp;CN183)),ROW($1:$168)-1,""))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83" s="30" t="str">
        <f t="shared" si="194"/>
        <v>邻孤孤</v>
      </c>
    </row>
    <row r="184" spans="1:94">
      <c r="A184" s="15">
        <v>184</v>
      </c>
      <c r="B184" s="80">
        <v>2024153</v>
      </c>
      <c r="C184" s="8" t="s">
        <v>199</v>
      </c>
      <c r="D184" s="81">
        <f t="shared" si="174"/>
        <v>17</v>
      </c>
      <c r="E184" s="82">
        <f t="shared" si="175"/>
        <v>7</v>
      </c>
      <c r="F184" s="83">
        <f t="shared" si="148"/>
        <v>2.83333333333333</v>
      </c>
      <c r="G184" s="84" t="str">
        <f t="shared" si="149"/>
        <v>标准</v>
      </c>
      <c r="H184" s="85" t="s">
        <v>10</v>
      </c>
      <c r="I184" s="85" t="s">
        <v>11</v>
      </c>
      <c r="J184" s="85" t="s">
        <v>12</v>
      </c>
      <c r="K184" s="85" t="s">
        <v>13</v>
      </c>
      <c r="L184" s="86">
        <f>MAX(MID(C184,{1,2,3},1)*1)-MIN(MID(C184,{1,2,3},1)*1)</f>
        <v>6</v>
      </c>
      <c r="M184" s="87">
        <v>0</v>
      </c>
      <c r="N184" s="87">
        <v>1</v>
      </c>
      <c r="O184" s="87">
        <v>2</v>
      </c>
      <c r="P184" s="87">
        <v>3</v>
      </c>
      <c r="Q184" s="87">
        <v>4</v>
      </c>
      <c r="R184" s="87">
        <v>5</v>
      </c>
      <c r="S184" s="87">
        <v>6</v>
      </c>
      <c r="T184" s="87">
        <v>7</v>
      </c>
      <c r="U184" s="87">
        <v>8</v>
      </c>
      <c r="V184" s="87">
        <v>9</v>
      </c>
      <c r="W184" s="88">
        <f t="shared" si="176"/>
        <v>6</v>
      </c>
      <c r="X184" s="88">
        <f t="shared" si="177"/>
        <v>5</v>
      </c>
      <c r="Y184" s="88">
        <f t="shared" si="178"/>
        <v>1</v>
      </c>
      <c r="Z184" s="89">
        <f t="shared" si="181"/>
        <v>12</v>
      </c>
      <c r="AA184" s="17" t="str">
        <f>_xlfn.TEXTJOIN(", ",TRUE,ABS(MID(C184,{1,1,2},1)-MID(C184,{2,3,3},1)))</f>
        <v>6, 5, 1</v>
      </c>
      <c r="AB184" s="90">
        <v>0</v>
      </c>
      <c r="AC184" s="90">
        <v>1</v>
      </c>
      <c r="AD184" s="90">
        <v>2</v>
      </c>
      <c r="AE184" s="90">
        <v>3</v>
      </c>
      <c r="AF184" s="90">
        <v>4</v>
      </c>
      <c r="AG184" s="90">
        <v>5</v>
      </c>
      <c r="AH184" s="90">
        <v>6</v>
      </c>
      <c r="AI184" s="90">
        <v>7</v>
      </c>
      <c r="AJ184" s="90">
        <v>8</v>
      </c>
      <c r="AK184" s="90">
        <v>9</v>
      </c>
      <c r="AL184" s="91">
        <v>0</v>
      </c>
      <c r="AM184" s="91">
        <v>1</v>
      </c>
      <c r="AN184" s="91">
        <v>2</v>
      </c>
      <c r="AO184" s="91">
        <v>3</v>
      </c>
      <c r="AP184" s="91">
        <v>4</v>
      </c>
      <c r="AQ184" s="91">
        <v>5</v>
      </c>
      <c r="AR184" s="91">
        <v>6</v>
      </c>
      <c r="AS184" s="91">
        <v>7</v>
      </c>
      <c r="AT184" s="91">
        <v>8</v>
      </c>
      <c r="AU184" s="91">
        <v>9</v>
      </c>
      <c r="AV184" s="92">
        <v>0</v>
      </c>
      <c r="AW184" s="92">
        <v>1</v>
      </c>
      <c r="AX184" s="92">
        <v>2</v>
      </c>
      <c r="AY184" s="92">
        <v>3</v>
      </c>
      <c r="AZ184" s="92">
        <v>4</v>
      </c>
      <c r="BA184" s="92">
        <v>5</v>
      </c>
      <c r="BB184" s="92">
        <v>6</v>
      </c>
      <c r="BC184" s="92">
        <v>7</v>
      </c>
      <c r="BD184" s="92">
        <v>8</v>
      </c>
      <c r="BE184" s="92">
        <v>9</v>
      </c>
      <c r="BF184" s="93">
        <v>0</v>
      </c>
      <c r="BG184" s="93">
        <v>1</v>
      </c>
      <c r="BH184" s="93">
        <v>2</v>
      </c>
      <c r="BI184" s="93">
        <v>3</v>
      </c>
      <c r="BJ184" s="93">
        <v>4</v>
      </c>
      <c r="BK184" s="93">
        <v>5</v>
      </c>
      <c r="BL184" s="93">
        <v>6</v>
      </c>
      <c r="BM184" s="93">
        <v>7</v>
      </c>
      <c r="BN184" s="93">
        <v>8</v>
      </c>
      <c r="BO184" s="93">
        <v>9</v>
      </c>
      <c r="BP184" s="94" t="str">
        <f t="shared" si="182"/>
        <v>松散型</v>
      </c>
      <c r="BQ184" s="15">
        <f t="shared" si="179"/>
        <v>1</v>
      </c>
      <c r="BR184" s="15">
        <f t="shared" si="180"/>
        <v>6</v>
      </c>
      <c r="BS184" s="20" t="str">
        <f t="shared" si="184"/>
        <v/>
      </c>
      <c r="BT184" s="21" t="str">
        <f t="shared" si="185"/>
        <v/>
      </c>
      <c r="BU184" s="21" t="str">
        <f t="array" ref="BU184">_xlfn.TEXTJOIN("",TRUE,IF(ISERROR(FIND(ROW($1:$168)-1,BS184&amp;BT184)),ROW($1:$168)-1,""))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84" s="22" t="str">
        <f t="shared" si="186"/>
        <v>中中中</v>
      </c>
      <c r="BW184" s="23" t="str">
        <f t="shared" si="197"/>
        <v/>
      </c>
      <c r="BX184" s="23" t="str">
        <f t="shared" si="195"/>
        <v/>
      </c>
      <c r="BY184" s="23" t="str">
        <f t="array" ref="BY184">_xlfn.TEXTJOIN("",TRUE,IF(ISERROR(FIND(ROW($1:$168)-1,BW184&amp;BX184)),ROW($1:$168)-1,""))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84" s="22" t="str">
        <f t="shared" si="187"/>
        <v>中中中</v>
      </c>
      <c r="CA184" s="24" t="str">
        <f t="shared" si="188"/>
        <v/>
      </c>
      <c r="CB184" s="24">
        <f t="shared" si="196"/>
        <v>1</v>
      </c>
      <c r="CC184" s="24" t="str">
        <f t="array" ref="CC184">_xlfn.TEXTJOIN("",TRUE,IF(ISERROR(FIND(ROW($1:$168)-1,CA184&amp;CB184)),ROW($1:$168)-1,""))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84" s="22" t="str">
        <f t="shared" si="189"/>
        <v>中隔中</v>
      </c>
      <c r="CE184" s="25" t="str">
        <f t="shared" si="183"/>
        <v>57</v>
      </c>
      <c r="CF184" s="26" t="str">
        <f t="array" ref="CF184">_xlfn.TEXTJOIN("",TRUE,IF(ISNUMBER(FIND(MID(CE183&amp;W183,ROW($1:$162),1),CE184&amp;W184)),MID(CE183&amp;W183,ROW($1:$162),1),""))</f>
        <v>5</v>
      </c>
      <c r="CG184" s="27" t="str">
        <f t="array" ref="CG184">_xlfn.TEXTJOIN("",TRUE,IF(ISERROR(FIND(ROW($1:$168)-1,CE184&amp;CF184)),ROW($1:$168)-1,""))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84" s="28" t="str">
        <f t="shared" si="190"/>
        <v>邻传孤</v>
      </c>
      <c r="CI184" s="29" t="str">
        <f t="shared" si="191"/>
        <v>46</v>
      </c>
      <c r="CJ184" s="29" t="str">
        <f t="array" ref="CJ184">_xlfn.TEXTJOIN("",TRUE,IF(ISNUMBER(FIND(MID(CI183&amp;X183,ROW($1:$162),1),CI184&amp;X184)),MID(CI183&amp;X183,ROW($1:$162),1),""))</f>
        <v/>
      </c>
      <c r="CK184" s="29" t="str">
        <f t="array" ref="CK184">_xlfn.TEXTJOIN("",TRUE,IF(ISERROR(FIND(ROW($1:$168)-1,CI184&amp;CJ184)),ROW($1:$168)-1,""))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84" s="19" t="str">
        <f t="shared" si="192"/>
        <v>邻孤孤</v>
      </c>
      <c r="CM184" s="24" t="str">
        <f t="shared" si="193"/>
        <v>02</v>
      </c>
      <c r="CN184" s="24" t="str">
        <f t="array" ref="CN184">_xlfn.TEXTJOIN("",TRUE,IF(ISNUMBER(FIND(MID(CM183&amp;Y183,ROW($1:$162),1),CM184&amp;Y184)),MID(CM183&amp;Y183,ROW($1:$162),1),""))</f>
        <v/>
      </c>
      <c r="CO184" s="24" t="str">
        <f t="array" ref="CO184">_xlfn.TEXTJOIN("",TRUE,IF(ISERROR(FIND(ROW($1:$168)-1,CM184&amp;CN184)),ROW($1:$168)-1,""))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84" s="30" t="str">
        <f t="shared" si="194"/>
        <v>邻孤孤</v>
      </c>
    </row>
    <row r="185" spans="1:94">
      <c r="A185" s="15">
        <v>185</v>
      </c>
      <c r="B185" s="80">
        <v>2024154</v>
      </c>
      <c r="C185" s="8" t="s">
        <v>200</v>
      </c>
      <c r="D185" s="81">
        <f t="shared" si="174"/>
        <v>15</v>
      </c>
      <c r="E185" s="82">
        <f t="shared" si="175"/>
        <v>5</v>
      </c>
      <c r="F185" s="83">
        <f t="shared" si="148"/>
        <v>3</v>
      </c>
      <c r="G185" s="84" t="str">
        <f t="shared" si="149"/>
        <v>标准</v>
      </c>
      <c r="H185" s="85" t="s">
        <v>10</v>
      </c>
      <c r="I185" s="85" t="s">
        <v>11</v>
      </c>
      <c r="J185" s="85" t="s">
        <v>12</v>
      </c>
      <c r="K185" s="85" t="s">
        <v>13</v>
      </c>
      <c r="L185" s="86">
        <f>MAX(MID(C185,{1,2,3},1)*1)-MIN(MID(C185,{1,2,3},1)*1)</f>
        <v>5</v>
      </c>
      <c r="M185" s="87">
        <v>0</v>
      </c>
      <c r="N185" s="87">
        <v>1</v>
      </c>
      <c r="O185" s="87">
        <v>2</v>
      </c>
      <c r="P185" s="87">
        <v>3</v>
      </c>
      <c r="Q185" s="87">
        <v>4</v>
      </c>
      <c r="R185" s="87">
        <v>5</v>
      </c>
      <c r="S185" s="87">
        <v>6</v>
      </c>
      <c r="T185" s="87">
        <v>7</v>
      </c>
      <c r="U185" s="87">
        <v>8</v>
      </c>
      <c r="V185" s="87">
        <v>9</v>
      </c>
      <c r="W185" s="88">
        <f t="shared" si="176"/>
        <v>5</v>
      </c>
      <c r="X185" s="88">
        <f t="shared" si="177"/>
        <v>4</v>
      </c>
      <c r="Y185" s="88">
        <f t="shared" si="178"/>
        <v>1</v>
      </c>
      <c r="Z185" s="89">
        <f t="shared" si="181"/>
        <v>10</v>
      </c>
      <c r="AA185" s="17" t="str">
        <f>_xlfn.TEXTJOIN(", ",TRUE,ABS(MID(C185,{1,1,2},1)-MID(C185,{2,3,3},1)))</f>
        <v>5, 4, 1</v>
      </c>
      <c r="AB185" s="90">
        <v>0</v>
      </c>
      <c r="AC185" s="90">
        <v>1</v>
      </c>
      <c r="AD185" s="90">
        <v>2</v>
      </c>
      <c r="AE185" s="90">
        <v>3</v>
      </c>
      <c r="AF185" s="90">
        <v>4</v>
      </c>
      <c r="AG185" s="90">
        <v>5</v>
      </c>
      <c r="AH185" s="90">
        <v>6</v>
      </c>
      <c r="AI185" s="90">
        <v>7</v>
      </c>
      <c r="AJ185" s="90">
        <v>8</v>
      </c>
      <c r="AK185" s="90">
        <v>9</v>
      </c>
      <c r="AL185" s="91">
        <v>0</v>
      </c>
      <c r="AM185" s="91">
        <v>1</v>
      </c>
      <c r="AN185" s="91">
        <v>2</v>
      </c>
      <c r="AO185" s="91">
        <v>3</v>
      </c>
      <c r="AP185" s="91">
        <v>4</v>
      </c>
      <c r="AQ185" s="91">
        <v>5</v>
      </c>
      <c r="AR185" s="91">
        <v>6</v>
      </c>
      <c r="AS185" s="91">
        <v>7</v>
      </c>
      <c r="AT185" s="91">
        <v>8</v>
      </c>
      <c r="AU185" s="91">
        <v>9</v>
      </c>
      <c r="AV185" s="92">
        <v>0</v>
      </c>
      <c r="AW185" s="92">
        <v>1</v>
      </c>
      <c r="AX185" s="92">
        <v>2</v>
      </c>
      <c r="AY185" s="92">
        <v>3</v>
      </c>
      <c r="AZ185" s="92">
        <v>4</v>
      </c>
      <c r="BA185" s="92">
        <v>5</v>
      </c>
      <c r="BB185" s="92">
        <v>6</v>
      </c>
      <c r="BC185" s="92">
        <v>7</v>
      </c>
      <c r="BD185" s="92">
        <v>8</v>
      </c>
      <c r="BE185" s="92">
        <v>9</v>
      </c>
      <c r="BF185" s="93">
        <v>0</v>
      </c>
      <c r="BG185" s="93">
        <v>1</v>
      </c>
      <c r="BH185" s="93">
        <v>2</v>
      </c>
      <c r="BI185" s="93">
        <v>3</v>
      </c>
      <c r="BJ185" s="93">
        <v>4</v>
      </c>
      <c r="BK185" s="93">
        <v>5</v>
      </c>
      <c r="BL185" s="93">
        <v>6</v>
      </c>
      <c r="BM185" s="93">
        <v>7</v>
      </c>
      <c r="BN185" s="93">
        <v>8</v>
      </c>
      <c r="BO185" s="93">
        <v>9</v>
      </c>
      <c r="BP185" s="94" t="str">
        <f t="shared" si="182"/>
        <v>标准型</v>
      </c>
      <c r="BQ185" s="15">
        <f t="shared" si="179"/>
        <v>1</v>
      </c>
      <c r="BR185" s="15">
        <f t="shared" si="180"/>
        <v>5</v>
      </c>
      <c r="BS185" s="20">
        <f t="shared" si="184"/>
        <v>5</v>
      </c>
      <c r="BT185" s="21" t="str">
        <f t="shared" si="185"/>
        <v/>
      </c>
      <c r="BU185" s="21" t="str">
        <f t="array" ref="BU185">_xlfn.TEXTJOIN("",TRUE,IF(ISERROR(FIND(ROW($1:$168)-1,BS185&amp;BT185)),ROW($1:$168)-1,""))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85" s="22" t="str">
        <f t="shared" si="186"/>
        <v>复中中</v>
      </c>
      <c r="BW185" s="23" t="str">
        <f t="shared" si="197"/>
        <v/>
      </c>
      <c r="BX185" s="23">
        <f t="shared" si="195"/>
        <v>4</v>
      </c>
      <c r="BY185" s="23" t="str">
        <f t="array" ref="BY185">_xlfn.TEXTJOIN("",TRUE,IF(ISERROR(FIND(ROW($1:$168)-1,BW185&amp;BX185)),ROW($1:$168)-1,""))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85" s="22" t="str">
        <f t="shared" si="187"/>
        <v>中隔中</v>
      </c>
      <c r="CA185" s="24">
        <f t="shared" si="188"/>
        <v>1</v>
      </c>
      <c r="CB185" s="24" t="str">
        <f t="shared" si="196"/>
        <v/>
      </c>
      <c r="CC185" s="24" t="str">
        <f t="array" ref="CC185">_xlfn.TEXTJOIN("",TRUE,IF(ISERROR(FIND(ROW($1:$168)-1,CA185&amp;CB185)),ROW($1:$168)-1,""))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85" s="22" t="str">
        <f t="shared" si="189"/>
        <v>复中中</v>
      </c>
      <c r="CE185" s="25" t="str">
        <f t="shared" si="183"/>
        <v>46</v>
      </c>
      <c r="CF185" s="26" t="str">
        <f t="array" ref="CF185">_xlfn.TEXTJOIN("",TRUE,IF(ISNUMBER(FIND(MID(CE184&amp;W184,ROW($1:$162),1),CE185&amp;W185)),MID(CE184&amp;W184,ROW($1:$162),1),""))</f>
        <v>56</v>
      </c>
      <c r="CG185" s="27" t="str">
        <f t="array" ref="CG185">_xlfn.TEXTJOIN("",TRUE,IF(ISERROR(FIND(ROW($1:$168)-1,CE185&amp;CF185)),ROW($1:$168)-1,""))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85" s="28" t="str">
        <f t="shared" si="190"/>
        <v>邻传孤</v>
      </c>
      <c r="CI185" s="29" t="str">
        <f t="shared" si="191"/>
        <v>35</v>
      </c>
      <c r="CJ185" s="29" t="str">
        <f t="array" ref="CJ185">_xlfn.TEXTJOIN("",TRUE,IF(ISNUMBER(FIND(MID(CI184&amp;X184,ROW($1:$162),1),CI185&amp;X185)),MID(CI184&amp;X184,ROW($1:$162),1),""))</f>
        <v>45</v>
      </c>
      <c r="CK185" s="29" t="str">
        <f t="array" ref="CK185">_xlfn.TEXTJOIN("",TRUE,IF(ISERROR(FIND(ROW($1:$168)-1,CI185&amp;CJ185)),ROW($1:$168)-1,""))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85" s="19" t="str">
        <f t="shared" si="192"/>
        <v>邻传孤</v>
      </c>
      <c r="CM185" s="24" t="str">
        <f t="shared" si="193"/>
        <v>02</v>
      </c>
      <c r="CN185" s="24" t="str">
        <f t="array" ref="CN185">_xlfn.TEXTJOIN("",TRUE,IF(ISNUMBER(FIND(MID(CM184&amp;Y184,ROW($1:$162),1),CM185&amp;Y185)),MID(CM184&amp;Y184,ROW($1:$162),1),""))</f>
        <v>021</v>
      </c>
      <c r="CO185" s="24" t="str">
        <f t="array" ref="CO185">_xlfn.TEXTJOIN("",TRUE,IF(ISERROR(FIND(ROW($1:$168)-1,CM185&amp;CN185)),ROW($1:$168)-1,""))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85" s="30" t="str">
        <f t="shared" si="194"/>
        <v>邻传孤</v>
      </c>
    </row>
    <row r="186" spans="1:94">
      <c r="A186" s="15">
        <v>186</v>
      </c>
      <c r="B186" s="80">
        <v>2024155</v>
      </c>
      <c r="C186" s="8" t="s">
        <v>201</v>
      </c>
      <c r="D186" s="81">
        <f t="shared" ref="D186:D210" si="198">LEFT(C186,1)+MID(C186,2,1)+RIGHT(C186,1)</f>
        <v>6</v>
      </c>
      <c r="E186" s="82">
        <f t="shared" ref="E186:E210" si="199">MOD(LEFT(C186,1)+MID(C186,2,1)+RIGHT(C186,1),10)</f>
        <v>6</v>
      </c>
      <c r="F186" s="83">
        <f t="shared" si="148"/>
        <v>2</v>
      </c>
      <c r="G186" s="84" t="str">
        <f t="shared" si="149"/>
        <v>标准</v>
      </c>
      <c r="H186" s="85" t="s">
        <v>10</v>
      </c>
      <c r="I186" s="85" t="s">
        <v>11</v>
      </c>
      <c r="J186" s="85" t="s">
        <v>12</v>
      </c>
      <c r="K186" s="85" t="s">
        <v>13</v>
      </c>
      <c r="L186" s="86">
        <f>MAX(MID(C186,{1,2,3},1)*1)-MIN(MID(C186,{1,2,3},1)*1)</f>
        <v>3</v>
      </c>
      <c r="M186" s="87">
        <v>0</v>
      </c>
      <c r="N186" s="87">
        <v>1</v>
      </c>
      <c r="O186" s="87">
        <v>2</v>
      </c>
      <c r="P186" s="87">
        <v>3</v>
      </c>
      <c r="Q186" s="87">
        <v>4</v>
      </c>
      <c r="R186" s="87">
        <v>5</v>
      </c>
      <c r="S186" s="87">
        <v>6</v>
      </c>
      <c r="T186" s="87">
        <v>7</v>
      </c>
      <c r="U186" s="87">
        <v>8</v>
      </c>
      <c r="V186" s="87">
        <v>9</v>
      </c>
      <c r="W186" s="88">
        <f t="shared" ref="W186:W210" si="200">ABS(LEFT(C186,1)-MID(C186,2,1))</f>
        <v>3</v>
      </c>
      <c r="X186" s="88">
        <f t="shared" ref="X186:X210" si="201">ABS(LEFT(C186,1)-RIGHT(C186,1))</f>
        <v>3</v>
      </c>
      <c r="Y186" s="88">
        <f t="shared" ref="Y186:Y210" si="202">ABS(MID(C186,2,1)-RIGHT(C186,1))</f>
        <v>0</v>
      </c>
      <c r="Z186" s="89">
        <f t="shared" si="181"/>
        <v>6</v>
      </c>
      <c r="AA186" s="17" t="str">
        <f>_xlfn.TEXTJOIN(", ",TRUE,ABS(MID(C186,{1,1,2},1)-MID(C186,{2,3,3},1)))</f>
        <v>3, 3, 0</v>
      </c>
      <c r="AB186" s="90">
        <v>0</v>
      </c>
      <c r="AC186" s="90">
        <v>1</v>
      </c>
      <c r="AD186" s="90">
        <v>2</v>
      </c>
      <c r="AE186" s="90">
        <v>3</v>
      </c>
      <c r="AF186" s="90">
        <v>4</v>
      </c>
      <c r="AG186" s="90">
        <v>5</v>
      </c>
      <c r="AH186" s="90">
        <v>6</v>
      </c>
      <c r="AI186" s="90">
        <v>7</v>
      </c>
      <c r="AJ186" s="90">
        <v>8</v>
      </c>
      <c r="AK186" s="90">
        <v>9</v>
      </c>
      <c r="AL186" s="91">
        <v>0</v>
      </c>
      <c r="AM186" s="91">
        <v>1</v>
      </c>
      <c r="AN186" s="91">
        <v>2</v>
      </c>
      <c r="AO186" s="91">
        <v>3</v>
      </c>
      <c r="AP186" s="91">
        <v>4</v>
      </c>
      <c r="AQ186" s="91">
        <v>5</v>
      </c>
      <c r="AR186" s="91">
        <v>6</v>
      </c>
      <c r="AS186" s="91">
        <v>7</v>
      </c>
      <c r="AT186" s="91">
        <v>8</v>
      </c>
      <c r="AU186" s="91">
        <v>9</v>
      </c>
      <c r="AV186" s="92">
        <v>0</v>
      </c>
      <c r="AW186" s="92">
        <v>1</v>
      </c>
      <c r="AX186" s="92">
        <v>2</v>
      </c>
      <c r="AY186" s="92">
        <v>3</v>
      </c>
      <c r="AZ186" s="92">
        <v>4</v>
      </c>
      <c r="BA186" s="92">
        <v>5</v>
      </c>
      <c r="BB186" s="92">
        <v>6</v>
      </c>
      <c r="BC186" s="92">
        <v>7</v>
      </c>
      <c r="BD186" s="92">
        <v>8</v>
      </c>
      <c r="BE186" s="92">
        <v>9</v>
      </c>
      <c r="BF186" s="93">
        <v>0</v>
      </c>
      <c r="BG186" s="93">
        <v>1</v>
      </c>
      <c r="BH186" s="93">
        <v>2</v>
      </c>
      <c r="BI186" s="93">
        <v>3</v>
      </c>
      <c r="BJ186" s="93">
        <v>4</v>
      </c>
      <c r="BK186" s="93">
        <v>5</v>
      </c>
      <c r="BL186" s="93">
        <v>6</v>
      </c>
      <c r="BM186" s="93">
        <v>7</v>
      </c>
      <c r="BN186" s="93">
        <v>8</v>
      </c>
      <c r="BO186" s="93">
        <v>9</v>
      </c>
      <c r="BP186" s="94" t="str">
        <f t="shared" si="182"/>
        <v>紧凑型</v>
      </c>
      <c r="BQ186" s="15">
        <f t="shared" si="179"/>
        <v>0</v>
      </c>
      <c r="BR186" s="15">
        <f t="shared" si="180"/>
        <v>3</v>
      </c>
      <c r="BS186" s="20" t="str">
        <f t="shared" si="184"/>
        <v/>
      </c>
      <c r="BT186" s="21" t="str">
        <f t="shared" si="185"/>
        <v/>
      </c>
      <c r="BU186" s="21" t="str">
        <f t="array" ref="BU186">_xlfn.TEXTJOIN("",TRUE,IF(ISERROR(FIND(ROW($1:$168)-1,BS186&amp;BT186)),ROW($1:$168)-1,""))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86" s="22" t="str">
        <f t="shared" si="186"/>
        <v>中中中</v>
      </c>
      <c r="BW186" s="23" t="str">
        <f t="shared" si="197"/>
        <v/>
      </c>
      <c r="BX186" s="23" t="str">
        <f t="shared" si="195"/>
        <v/>
      </c>
      <c r="BY186" s="23" t="str">
        <f t="array" ref="BY186">_xlfn.TEXTJOIN("",TRUE,IF(ISERROR(FIND(ROW($1:$168)-1,BW186&amp;BX186)),ROW($1:$168)-1,""))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86" s="22" t="str">
        <f t="shared" si="187"/>
        <v>中中中</v>
      </c>
      <c r="CA186" s="24" t="str">
        <f t="shared" si="188"/>
        <v/>
      </c>
      <c r="CB186" s="24" t="str">
        <f t="shared" si="196"/>
        <v/>
      </c>
      <c r="CC186" s="24" t="str">
        <f t="array" ref="CC186">_xlfn.TEXTJOIN("",TRUE,IF(ISERROR(FIND(ROW($1:$168)-1,CA186&amp;CB186)),ROW($1:$168)-1,""))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86" s="22" t="str">
        <f t="shared" si="189"/>
        <v>中中中</v>
      </c>
      <c r="CE186" s="25" t="str">
        <f t="shared" si="183"/>
        <v>24</v>
      </c>
      <c r="CF186" s="26" t="str">
        <f t="array" ref="CF186">_xlfn.TEXTJOIN("",TRUE,IF(ISNUMBER(FIND(MID(CE185&amp;W185,ROW($1:$162),1),CE186&amp;W186)),MID(CE185&amp;W185,ROW($1:$162),1),""))</f>
        <v>4</v>
      </c>
      <c r="CG186" s="27" t="str">
        <f t="array" ref="CG186">_xlfn.TEXTJOIN("",TRUE,IF(ISERROR(FIND(ROW($1:$168)-1,CE186&amp;CF186)),ROW($1:$168)-1,""))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86" s="28" t="str">
        <f t="shared" si="190"/>
        <v>邻传孤</v>
      </c>
      <c r="CI186" s="29" t="str">
        <f t="shared" si="191"/>
        <v>24</v>
      </c>
      <c r="CJ186" s="29" t="str">
        <f t="array" ref="CJ186">_xlfn.TEXTJOIN("",TRUE,IF(ISNUMBER(FIND(MID(CI185&amp;X185,ROW($1:$162),1),CI186&amp;X186)),MID(CI185&amp;X185,ROW($1:$162),1),""))</f>
        <v>34</v>
      </c>
      <c r="CK186" s="29" t="str">
        <f t="array" ref="CK186">_xlfn.TEXTJOIN("",TRUE,IF(ISERROR(FIND(ROW($1:$168)-1,CI186&amp;CJ186)),ROW($1:$168)-1,""))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86" s="19" t="str">
        <f t="shared" si="192"/>
        <v>邻传孤</v>
      </c>
      <c r="CM186" s="24" t="str">
        <f t="shared" si="193"/>
        <v>91</v>
      </c>
      <c r="CN186" s="24" t="str">
        <f t="array" ref="CN186">_xlfn.TEXTJOIN("",TRUE,IF(ISNUMBER(FIND(MID(CM185&amp;Y185,ROW($1:$162),1),CM186&amp;Y186)),MID(CM185&amp;Y185,ROW($1:$162),1),""))</f>
        <v>01</v>
      </c>
      <c r="CO186" s="24" t="str">
        <f t="array" ref="CO186">_xlfn.TEXTJOIN("",TRUE,IF(ISERROR(FIND(ROW($1:$168)-1,CM186&amp;CN186)),ROW($1:$168)-1,""))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186" s="30" t="str">
        <f t="shared" si="194"/>
        <v>邻传孤</v>
      </c>
    </row>
    <row r="187" spans="1:94">
      <c r="A187" s="15">
        <v>187</v>
      </c>
      <c r="B187" s="80">
        <v>2024156</v>
      </c>
      <c r="C187" s="8" t="s">
        <v>193</v>
      </c>
      <c r="D187" s="81">
        <f t="shared" si="198"/>
        <v>9</v>
      </c>
      <c r="E187" s="82">
        <f t="shared" si="199"/>
        <v>9</v>
      </c>
      <c r="F187" s="83">
        <f t="shared" si="148"/>
        <v>1.125</v>
      </c>
      <c r="G187" s="84" t="str">
        <f t="shared" si="149"/>
        <v>松散</v>
      </c>
      <c r="H187" s="85" t="s">
        <v>10</v>
      </c>
      <c r="I187" s="85" t="s">
        <v>11</v>
      </c>
      <c r="J187" s="85" t="s">
        <v>12</v>
      </c>
      <c r="K187" s="85" t="s">
        <v>13</v>
      </c>
      <c r="L187" s="86">
        <f>MAX(MID(C187,{1,2,3},1)*1)-MIN(MID(C187,{1,2,3},1)*1)</f>
        <v>8</v>
      </c>
      <c r="M187" s="87">
        <v>0</v>
      </c>
      <c r="N187" s="87">
        <v>1</v>
      </c>
      <c r="O187" s="87">
        <v>2</v>
      </c>
      <c r="P187" s="87">
        <v>3</v>
      </c>
      <c r="Q187" s="87">
        <v>4</v>
      </c>
      <c r="R187" s="87">
        <v>5</v>
      </c>
      <c r="S187" s="87">
        <v>6</v>
      </c>
      <c r="T187" s="87">
        <v>7</v>
      </c>
      <c r="U187" s="87">
        <v>8</v>
      </c>
      <c r="V187" s="87">
        <v>9</v>
      </c>
      <c r="W187" s="88">
        <f t="shared" si="200"/>
        <v>7</v>
      </c>
      <c r="X187" s="88">
        <f t="shared" si="201"/>
        <v>1</v>
      </c>
      <c r="Y187" s="88">
        <f t="shared" si="202"/>
        <v>8</v>
      </c>
      <c r="Z187" s="89">
        <f t="shared" si="181"/>
        <v>16</v>
      </c>
      <c r="AA187" s="17" t="str">
        <f>_xlfn.TEXTJOIN(", ",TRUE,ABS(MID(C187,{1,1,2},1)-MID(C187,{2,3,3},1)))</f>
        <v>7, 1, 8</v>
      </c>
      <c r="AB187" s="90">
        <v>0</v>
      </c>
      <c r="AC187" s="90">
        <v>1</v>
      </c>
      <c r="AD187" s="90">
        <v>2</v>
      </c>
      <c r="AE187" s="90">
        <v>3</v>
      </c>
      <c r="AF187" s="90">
        <v>4</v>
      </c>
      <c r="AG187" s="90">
        <v>5</v>
      </c>
      <c r="AH187" s="90">
        <v>6</v>
      </c>
      <c r="AI187" s="90">
        <v>7</v>
      </c>
      <c r="AJ187" s="90">
        <v>8</v>
      </c>
      <c r="AK187" s="90">
        <v>9</v>
      </c>
      <c r="AL187" s="91">
        <v>0</v>
      </c>
      <c r="AM187" s="91">
        <v>1</v>
      </c>
      <c r="AN187" s="91">
        <v>2</v>
      </c>
      <c r="AO187" s="91">
        <v>3</v>
      </c>
      <c r="AP187" s="91">
        <v>4</v>
      </c>
      <c r="AQ187" s="91">
        <v>5</v>
      </c>
      <c r="AR187" s="91">
        <v>6</v>
      </c>
      <c r="AS187" s="91">
        <v>7</v>
      </c>
      <c r="AT187" s="91">
        <v>8</v>
      </c>
      <c r="AU187" s="91">
        <v>9</v>
      </c>
      <c r="AV187" s="92">
        <v>0</v>
      </c>
      <c r="AW187" s="92">
        <v>1</v>
      </c>
      <c r="AX187" s="92">
        <v>2</v>
      </c>
      <c r="AY187" s="92">
        <v>3</v>
      </c>
      <c r="AZ187" s="92">
        <v>4</v>
      </c>
      <c r="BA187" s="92">
        <v>5</v>
      </c>
      <c r="BB187" s="92">
        <v>6</v>
      </c>
      <c r="BC187" s="92">
        <v>7</v>
      </c>
      <c r="BD187" s="92">
        <v>8</v>
      </c>
      <c r="BE187" s="92">
        <v>9</v>
      </c>
      <c r="BF187" s="93">
        <v>0</v>
      </c>
      <c r="BG187" s="93">
        <v>1</v>
      </c>
      <c r="BH187" s="93">
        <v>2</v>
      </c>
      <c r="BI187" s="93">
        <v>3</v>
      </c>
      <c r="BJ187" s="93">
        <v>4</v>
      </c>
      <c r="BK187" s="93">
        <v>5</v>
      </c>
      <c r="BL187" s="93">
        <v>6</v>
      </c>
      <c r="BM187" s="93">
        <v>7</v>
      </c>
      <c r="BN187" s="93">
        <v>8</v>
      </c>
      <c r="BO187" s="93">
        <v>9</v>
      </c>
      <c r="BP187" s="94" t="str">
        <f t="shared" si="182"/>
        <v>松散型</v>
      </c>
      <c r="BQ187" s="15">
        <f t="shared" si="179"/>
        <v>1</v>
      </c>
      <c r="BR187" s="15">
        <f t="shared" si="180"/>
        <v>8</v>
      </c>
      <c r="BS187" s="20" t="str">
        <f t="shared" si="184"/>
        <v/>
      </c>
      <c r="BT187" s="21" t="str">
        <f t="shared" si="185"/>
        <v/>
      </c>
      <c r="BU187" s="21" t="str">
        <f t="array" ref="BU187">_xlfn.TEXTJOIN("",TRUE,IF(ISERROR(FIND(ROW($1:$168)-1,BS187&amp;BT187)),ROW($1:$168)-1,""))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87" s="22" t="str">
        <f t="shared" si="186"/>
        <v>中中中</v>
      </c>
      <c r="BW187" s="23" t="str">
        <f t="shared" si="197"/>
        <v/>
      </c>
      <c r="BX187" s="23">
        <f t="shared" si="195"/>
        <v>1</v>
      </c>
      <c r="BY187" s="23" t="str">
        <f t="array" ref="BY187">_xlfn.TEXTJOIN("",TRUE,IF(ISERROR(FIND(ROW($1:$168)-1,BW187&amp;BX187)),ROW($1:$168)-1,""))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87" s="22" t="str">
        <f t="shared" si="187"/>
        <v>中隔中</v>
      </c>
      <c r="CA187" s="24" t="str">
        <f t="shared" si="188"/>
        <v/>
      </c>
      <c r="CB187" s="24" t="str">
        <f t="shared" si="196"/>
        <v/>
      </c>
      <c r="CC187" s="24" t="str">
        <f t="array" ref="CC187">_xlfn.TEXTJOIN("",TRUE,IF(ISERROR(FIND(ROW($1:$168)-1,CA187&amp;CB187)),ROW($1:$168)-1,""))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87" s="22" t="str">
        <f t="shared" si="189"/>
        <v>中中中</v>
      </c>
      <c r="CE187" s="25" t="str">
        <f t="shared" si="183"/>
        <v>68</v>
      </c>
      <c r="CF187" s="26" t="str">
        <f t="array" ref="CF187">_xlfn.TEXTJOIN("",TRUE,IF(ISNUMBER(FIND(MID(CE186&amp;W186,ROW($1:$162),1),CE187&amp;W187)),MID(CE186&amp;W186,ROW($1:$162),1),""))</f>
        <v/>
      </c>
      <c r="CG187" s="27" t="str">
        <f t="array" ref="CG187">_xlfn.TEXTJOIN("",TRUE,IF(ISERROR(FIND(ROW($1:$168)-1,CE187&amp;CF187)),ROW($1:$168)-1,""))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87" s="28" t="str">
        <f t="shared" si="190"/>
        <v>邻孤孤</v>
      </c>
      <c r="CI187" s="29" t="str">
        <f t="shared" si="191"/>
        <v>02</v>
      </c>
      <c r="CJ187" s="29" t="str">
        <f t="array" ref="CJ187">_xlfn.TEXTJOIN("",TRUE,IF(ISNUMBER(FIND(MID(CI186&amp;X186,ROW($1:$162),1),CI187&amp;X187)),MID(CI186&amp;X186,ROW($1:$162),1),""))</f>
        <v>2</v>
      </c>
      <c r="CK187" s="29" t="str">
        <f t="array" ref="CK187">_xlfn.TEXTJOIN("",TRUE,IF(ISERROR(FIND(ROW($1:$168)-1,CI187&amp;CJ187)),ROW($1:$168)-1,""))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87" s="19" t="str">
        <f t="shared" si="192"/>
        <v>邻传孤</v>
      </c>
      <c r="CM187" s="24" t="str">
        <f t="shared" si="193"/>
        <v>79</v>
      </c>
      <c r="CN187" s="24" t="str">
        <f t="array" ref="CN187">_xlfn.TEXTJOIN("",TRUE,IF(ISNUMBER(FIND(MID(CM186&amp;Y186,ROW($1:$162),1),CM187&amp;Y187)),MID(CM186&amp;Y186,ROW($1:$162),1),""))</f>
        <v>9</v>
      </c>
      <c r="CO187" s="24" t="str">
        <f t="array" ref="CO187">_xlfn.TEXTJOIN("",TRUE,IF(ISERROR(FIND(ROW($1:$168)-1,CM187&amp;CN187)),ROW($1:$168)-1,""))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P187" s="30" t="str">
        <f t="shared" si="194"/>
        <v>邻传孤</v>
      </c>
    </row>
    <row r="188" spans="1:94">
      <c r="A188" s="15">
        <v>188</v>
      </c>
      <c r="B188" s="80">
        <v>2024157</v>
      </c>
      <c r="C188" s="8" t="s">
        <v>202</v>
      </c>
      <c r="D188" s="81">
        <f t="shared" si="198"/>
        <v>9</v>
      </c>
      <c r="E188" s="82">
        <f t="shared" si="199"/>
        <v>9</v>
      </c>
      <c r="F188" s="83">
        <f t="shared" si="148"/>
        <v>1.8</v>
      </c>
      <c r="G188" s="84" t="str">
        <f t="shared" si="149"/>
        <v>松散</v>
      </c>
      <c r="H188" s="85" t="s">
        <v>10</v>
      </c>
      <c r="I188" s="85" t="s">
        <v>11</v>
      </c>
      <c r="J188" s="85" t="s">
        <v>12</v>
      </c>
      <c r="K188" s="85" t="s">
        <v>13</v>
      </c>
      <c r="L188" s="86">
        <f>MAX(MID(C188,{1,2,3},1)*1)-MIN(MID(C188,{1,2,3},1)*1)</f>
        <v>5</v>
      </c>
      <c r="M188" s="87">
        <v>0</v>
      </c>
      <c r="N188" s="87">
        <v>1</v>
      </c>
      <c r="O188" s="87">
        <v>2</v>
      </c>
      <c r="P188" s="87">
        <v>3</v>
      </c>
      <c r="Q188" s="87">
        <v>4</v>
      </c>
      <c r="R188" s="87">
        <v>5</v>
      </c>
      <c r="S188" s="87">
        <v>6</v>
      </c>
      <c r="T188" s="87">
        <v>7</v>
      </c>
      <c r="U188" s="87">
        <v>8</v>
      </c>
      <c r="V188" s="87">
        <v>9</v>
      </c>
      <c r="W188" s="88">
        <f t="shared" si="200"/>
        <v>1</v>
      </c>
      <c r="X188" s="88">
        <f t="shared" si="201"/>
        <v>5</v>
      </c>
      <c r="Y188" s="88">
        <f t="shared" si="202"/>
        <v>4</v>
      </c>
      <c r="Z188" s="89">
        <f t="shared" si="181"/>
        <v>10</v>
      </c>
      <c r="AA188" s="17" t="str">
        <f>_xlfn.TEXTJOIN(", ",TRUE,ABS(MID(C188,{1,1,2},1)-MID(C188,{2,3,3},1)))</f>
        <v>1, 5, 4</v>
      </c>
      <c r="AB188" s="90">
        <v>0</v>
      </c>
      <c r="AC188" s="90">
        <v>1</v>
      </c>
      <c r="AD188" s="90">
        <v>2</v>
      </c>
      <c r="AE188" s="90">
        <v>3</v>
      </c>
      <c r="AF188" s="90">
        <v>4</v>
      </c>
      <c r="AG188" s="90">
        <v>5</v>
      </c>
      <c r="AH188" s="90">
        <v>6</v>
      </c>
      <c r="AI188" s="90">
        <v>7</v>
      </c>
      <c r="AJ188" s="90">
        <v>8</v>
      </c>
      <c r="AK188" s="90">
        <v>9</v>
      </c>
      <c r="AL188" s="91">
        <v>0</v>
      </c>
      <c r="AM188" s="91">
        <v>1</v>
      </c>
      <c r="AN188" s="91">
        <v>2</v>
      </c>
      <c r="AO188" s="91">
        <v>3</v>
      </c>
      <c r="AP188" s="91">
        <v>4</v>
      </c>
      <c r="AQ188" s="91">
        <v>5</v>
      </c>
      <c r="AR188" s="91">
        <v>6</v>
      </c>
      <c r="AS188" s="91">
        <v>7</v>
      </c>
      <c r="AT188" s="91">
        <v>8</v>
      </c>
      <c r="AU188" s="91">
        <v>9</v>
      </c>
      <c r="AV188" s="92">
        <v>0</v>
      </c>
      <c r="AW188" s="92">
        <v>1</v>
      </c>
      <c r="AX188" s="92">
        <v>2</v>
      </c>
      <c r="AY188" s="92">
        <v>3</v>
      </c>
      <c r="AZ188" s="92">
        <v>4</v>
      </c>
      <c r="BA188" s="92">
        <v>5</v>
      </c>
      <c r="BB188" s="92">
        <v>6</v>
      </c>
      <c r="BC188" s="92">
        <v>7</v>
      </c>
      <c r="BD188" s="92">
        <v>8</v>
      </c>
      <c r="BE188" s="92">
        <v>9</v>
      </c>
      <c r="BF188" s="93">
        <v>0</v>
      </c>
      <c r="BG188" s="93">
        <v>1</v>
      </c>
      <c r="BH188" s="93">
        <v>2</v>
      </c>
      <c r="BI188" s="93">
        <v>3</v>
      </c>
      <c r="BJ188" s="93">
        <v>4</v>
      </c>
      <c r="BK188" s="93">
        <v>5</v>
      </c>
      <c r="BL188" s="93">
        <v>6</v>
      </c>
      <c r="BM188" s="93">
        <v>7</v>
      </c>
      <c r="BN188" s="93">
        <v>8</v>
      </c>
      <c r="BO188" s="93">
        <v>9</v>
      </c>
      <c r="BP188" s="94" t="str">
        <f t="shared" si="182"/>
        <v>标准型</v>
      </c>
      <c r="BQ188" s="15">
        <f t="shared" si="179"/>
        <v>1</v>
      </c>
      <c r="BR188" s="15">
        <f t="shared" si="180"/>
        <v>5</v>
      </c>
      <c r="BS188" s="20">
        <f t="shared" si="184"/>
        <v>1</v>
      </c>
      <c r="BT188" s="21" t="str">
        <f t="shared" si="185"/>
        <v/>
      </c>
      <c r="BU188" s="21" t="str">
        <f t="array" ref="BU188">_xlfn.TEXTJOIN("",TRUE,IF(ISERROR(FIND(ROW($1:$168)-1,BS188&amp;BT188)),ROW($1:$168)-1,""))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88" s="22" t="str">
        <f t="shared" si="186"/>
        <v>复中中</v>
      </c>
      <c r="BW188" s="23" t="str">
        <f t="shared" si="197"/>
        <v/>
      </c>
      <c r="BX188" s="23" t="str">
        <f t="shared" si="195"/>
        <v/>
      </c>
      <c r="BY188" s="23" t="str">
        <f t="array" ref="BY188">_xlfn.TEXTJOIN("",TRUE,IF(ISERROR(FIND(ROW($1:$168)-1,BW188&amp;BX188)),ROW($1:$168)-1,""))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88" s="22" t="str">
        <f t="shared" si="187"/>
        <v>中中中</v>
      </c>
      <c r="CA188" s="24" t="str">
        <f t="shared" si="188"/>
        <v/>
      </c>
      <c r="CB188" s="24" t="str">
        <f t="shared" si="196"/>
        <v/>
      </c>
      <c r="CC188" s="24" t="str">
        <f t="array" ref="CC188">_xlfn.TEXTJOIN("",TRUE,IF(ISERROR(FIND(ROW($1:$168)-1,CA188&amp;CB188)),ROW($1:$168)-1,""))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88" s="22" t="str">
        <f t="shared" si="189"/>
        <v>中中中</v>
      </c>
      <c r="CE188" s="25" t="str">
        <f t="shared" si="183"/>
        <v>02</v>
      </c>
      <c r="CF188" s="26" t="str">
        <f t="array" ref="CF188">_xlfn.TEXTJOIN("",TRUE,IF(ISNUMBER(FIND(MID(CE187&amp;W187,ROW($1:$162),1),CE188&amp;W188)),MID(CE187&amp;W187,ROW($1:$162),1),""))</f>
        <v/>
      </c>
      <c r="CG188" s="27" t="str">
        <f t="array" ref="CG188">_xlfn.TEXTJOIN("",TRUE,IF(ISERROR(FIND(ROW($1:$168)-1,CE188&amp;CF188)),ROW($1:$168)-1,""))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88" s="28" t="str">
        <f t="shared" si="190"/>
        <v>邻孤孤</v>
      </c>
      <c r="CI188" s="29" t="str">
        <f t="shared" si="191"/>
        <v>46</v>
      </c>
      <c r="CJ188" s="29" t="str">
        <f t="array" ref="CJ188">_xlfn.TEXTJOIN("",TRUE,IF(ISNUMBER(FIND(MID(CI187&amp;X187,ROW($1:$162),1),CI188&amp;X188)),MID(CI187&amp;X187,ROW($1:$162),1),""))</f>
        <v/>
      </c>
      <c r="CK188" s="29" t="str">
        <f t="array" ref="CK188">_xlfn.TEXTJOIN("",TRUE,IF(ISERROR(FIND(ROW($1:$168)-1,CI188&amp;CJ188)),ROW($1:$168)-1,""))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88" s="19" t="str">
        <f t="shared" si="192"/>
        <v>邻孤孤</v>
      </c>
      <c r="CM188" s="24" t="str">
        <f t="shared" si="193"/>
        <v>35</v>
      </c>
      <c r="CN188" s="24" t="str">
        <f t="array" ref="CN188">_xlfn.TEXTJOIN("",TRUE,IF(ISNUMBER(FIND(MID(CM187&amp;Y187,ROW($1:$162),1),CM188&amp;Y188)),MID(CM187&amp;Y187,ROW($1:$162),1),""))</f>
        <v/>
      </c>
      <c r="CO188" s="24" t="str">
        <f t="array" ref="CO188">_xlfn.TEXTJOIN("",TRUE,IF(ISERROR(FIND(ROW($1:$168)-1,CM188&amp;CN188)),ROW($1:$168)-1,""))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88" s="30" t="str">
        <f t="shared" si="194"/>
        <v>邻孤孤</v>
      </c>
    </row>
    <row r="189" spans="1:94">
      <c r="A189" s="15">
        <v>189</v>
      </c>
      <c r="B189" s="80">
        <v>2024158</v>
      </c>
      <c r="C189" s="8" t="s">
        <v>203</v>
      </c>
      <c r="D189" s="81">
        <f t="shared" si="198"/>
        <v>11</v>
      </c>
      <c r="E189" s="82">
        <f t="shared" si="199"/>
        <v>1</v>
      </c>
      <c r="F189" s="83">
        <f t="shared" si="148"/>
        <v>1.57142857142857</v>
      </c>
      <c r="G189" s="84" t="str">
        <f t="shared" si="149"/>
        <v>松散</v>
      </c>
      <c r="H189" s="85" t="s">
        <v>10</v>
      </c>
      <c r="I189" s="85" t="s">
        <v>11</v>
      </c>
      <c r="J189" s="85" t="s">
        <v>12</v>
      </c>
      <c r="K189" s="85" t="s">
        <v>13</v>
      </c>
      <c r="L189" s="86">
        <f>MAX(MID(C189,{1,2,3},1)*1)-MIN(MID(C189,{1,2,3},1)*1)</f>
        <v>7</v>
      </c>
      <c r="M189" s="87">
        <v>0</v>
      </c>
      <c r="N189" s="87">
        <v>1</v>
      </c>
      <c r="O189" s="87">
        <v>2</v>
      </c>
      <c r="P189" s="87">
        <v>3</v>
      </c>
      <c r="Q189" s="87">
        <v>4</v>
      </c>
      <c r="R189" s="87">
        <v>5</v>
      </c>
      <c r="S189" s="87">
        <v>6</v>
      </c>
      <c r="T189" s="87">
        <v>7</v>
      </c>
      <c r="U189" s="87">
        <v>8</v>
      </c>
      <c r="V189" s="87">
        <v>9</v>
      </c>
      <c r="W189" s="88">
        <f t="shared" si="200"/>
        <v>6</v>
      </c>
      <c r="X189" s="88">
        <f t="shared" si="201"/>
        <v>7</v>
      </c>
      <c r="Y189" s="88">
        <f t="shared" si="202"/>
        <v>1</v>
      </c>
      <c r="Z189" s="89">
        <f t="shared" si="181"/>
        <v>14</v>
      </c>
      <c r="AA189" s="17" t="str">
        <f>_xlfn.TEXTJOIN(", ",TRUE,ABS(MID(C189,{1,1,2},1)-MID(C189,{2,3,3},1)))</f>
        <v>6, 7, 1</v>
      </c>
      <c r="AB189" s="90">
        <v>0</v>
      </c>
      <c r="AC189" s="90">
        <v>1</v>
      </c>
      <c r="AD189" s="90">
        <v>2</v>
      </c>
      <c r="AE189" s="90">
        <v>3</v>
      </c>
      <c r="AF189" s="90">
        <v>4</v>
      </c>
      <c r="AG189" s="90">
        <v>5</v>
      </c>
      <c r="AH189" s="90">
        <v>6</v>
      </c>
      <c r="AI189" s="90">
        <v>7</v>
      </c>
      <c r="AJ189" s="90">
        <v>8</v>
      </c>
      <c r="AK189" s="90">
        <v>9</v>
      </c>
      <c r="AL189" s="91">
        <v>0</v>
      </c>
      <c r="AM189" s="91">
        <v>1</v>
      </c>
      <c r="AN189" s="91">
        <v>2</v>
      </c>
      <c r="AO189" s="91">
        <v>3</v>
      </c>
      <c r="AP189" s="91">
        <v>4</v>
      </c>
      <c r="AQ189" s="91">
        <v>5</v>
      </c>
      <c r="AR189" s="91">
        <v>6</v>
      </c>
      <c r="AS189" s="91">
        <v>7</v>
      </c>
      <c r="AT189" s="91">
        <v>8</v>
      </c>
      <c r="AU189" s="91">
        <v>9</v>
      </c>
      <c r="AV189" s="92">
        <v>0</v>
      </c>
      <c r="AW189" s="92">
        <v>1</v>
      </c>
      <c r="AX189" s="92">
        <v>2</v>
      </c>
      <c r="AY189" s="92">
        <v>3</v>
      </c>
      <c r="AZ189" s="92">
        <v>4</v>
      </c>
      <c r="BA189" s="92">
        <v>5</v>
      </c>
      <c r="BB189" s="92">
        <v>6</v>
      </c>
      <c r="BC189" s="92">
        <v>7</v>
      </c>
      <c r="BD189" s="92">
        <v>8</v>
      </c>
      <c r="BE189" s="92">
        <v>9</v>
      </c>
      <c r="BF189" s="93">
        <v>0</v>
      </c>
      <c r="BG189" s="93">
        <v>1</v>
      </c>
      <c r="BH189" s="93">
        <v>2</v>
      </c>
      <c r="BI189" s="93">
        <v>3</v>
      </c>
      <c r="BJ189" s="93">
        <v>4</v>
      </c>
      <c r="BK189" s="93">
        <v>5</v>
      </c>
      <c r="BL189" s="93">
        <v>6</v>
      </c>
      <c r="BM189" s="93">
        <v>7</v>
      </c>
      <c r="BN189" s="93">
        <v>8</v>
      </c>
      <c r="BO189" s="93">
        <v>9</v>
      </c>
      <c r="BP189" s="94" t="str">
        <f t="shared" si="182"/>
        <v>松散型</v>
      </c>
      <c r="BQ189" s="15">
        <f t="shared" si="179"/>
        <v>1</v>
      </c>
      <c r="BR189" s="15">
        <f t="shared" si="180"/>
        <v>7</v>
      </c>
      <c r="BS189" s="20" t="str">
        <f t="shared" si="184"/>
        <v/>
      </c>
      <c r="BT189" s="21" t="str">
        <f t="shared" si="185"/>
        <v/>
      </c>
      <c r="BU189" s="21" t="str">
        <f t="array" ref="BU189">_xlfn.TEXTJOIN("",TRUE,IF(ISERROR(FIND(ROW($1:$168)-1,BS189&amp;BT189)),ROW($1:$168)-1,""))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89" s="22" t="str">
        <f t="shared" si="186"/>
        <v>中中中</v>
      </c>
      <c r="BW189" s="23" t="str">
        <f t="shared" si="197"/>
        <v/>
      </c>
      <c r="BX189" s="23">
        <f t="shared" si="195"/>
        <v>7</v>
      </c>
      <c r="BY189" s="23" t="str">
        <f t="array" ref="BY189">_xlfn.TEXTJOIN("",TRUE,IF(ISERROR(FIND(ROW($1:$168)-1,BW189&amp;BX189)),ROW($1:$168)-1,""))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89" s="22" t="str">
        <f t="shared" si="187"/>
        <v>中隔中</v>
      </c>
      <c r="CA189" s="24">
        <f t="shared" si="188"/>
        <v>1</v>
      </c>
      <c r="CB189" s="24">
        <f t="shared" si="196"/>
        <v>1</v>
      </c>
      <c r="CC189" s="24" t="str">
        <f t="array" ref="CC189">_xlfn.TEXTJOIN("",TRUE,IF(ISERROR(FIND(ROW($1:$168)-1,CA189&amp;CB189)),ROW($1:$168)-1,""))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89" s="22" t="str">
        <f t="shared" si="189"/>
        <v>复隔中</v>
      </c>
      <c r="CE189" s="25" t="str">
        <f t="shared" si="183"/>
        <v>57</v>
      </c>
      <c r="CF189" s="26" t="str">
        <f t="array" ref="CF189">_xlfn.TEXTJOIN("",TRUE,IF(ISNUMBER(FIND(MID(CE188&amp;W188,ROW($1:$162),1),CE189&amp;W189)),MID(CE188&amp;W188,ROW($1:$162),1),""))</f>
        <v/>
      </c>
      <c r="CG189" s="27" t="str">
        <f t="array" ref="CG189">_xlfn.TEXTJOIN("",TRUE,IF(ISERROR(FIND(ROW($1:$168)-1,CE189&amp;CF189)),ROW($1:$168)-1,""))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89" s="28" t="str">
        <f t="shared" si="190"/>
        <v>邻孤孤</v>
      </c>
      <c r="CI189" s="29" t="str">
        <f t="shared" si="191"/>
        <v>68</v>
      </c>
      <c r="CJ189" s="29" t="str">
        <f t="array" ref="CJ189">_xlfn.TEXTJOIN("",TRUE,IF(ISNUMBER(FIND(MID(CI188&amp;X188,ROW($1:$162),1),CI189&amp;X189)),MID(CI188&amp;X188,ROW($1:$162),1),""))</f>
        <v>6</v>
      </c>
      <c r="CK189" s="29" t="str">
        <f t="array" ref="CK189">_xlfn.TEXTJOIN("",TRUE,IF(ISERROR(FIND(ROW($1:$168)-1,CI189&amp;CJ189)),ROW($1:$168)-1,""))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L189" s="19" t="str">
        <f t="shared" si="192"/>
        <v>邻传孤</v>
      </c>
      <c r="CM189" s="24" t="str">
        <f t="shared" si="193"/>
        <v>02</v>
      </c>
      <c r="CN189" s="24" t="str">
        <f t="array" ref="CN189">_xlfn.TEXTJOIN("",TRUE,IF(ISNUMBER(FIND(MID(CM188&amp;Y188,ROW($1:$162),1),CM189&amp;Y189)),MID(CM188&amp;Y188,ROW($1:$162),1),""))</f>
        <v/>
      </c>
      <c r="CO189" s="24" t="str">
        <f t="array" ref="CO189">_xlfn.TEXTJOIN("",TRUE,IF(ISERROR(FIND(ROW($1:$168)-1,CM189&amp;CN189)),ROW($1:$168)-1,""))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89" s="30" t="str">
        <f t="shared" si="194"/>
        <v>邻孤孤</v>
      </c>
    </row>
    <row r="190" spans="1:94">
      <c r="A190" s="15">
        <v>190</v>
      </c>
      <c r="B190" s="80">
        <v>2024159</v>
      </c>
      <c r="C190" s="8" t="s">
        <v>62</v>
      </c>
      <c r="D190" s="81">
        <f t="shared" si="198"/>
        <v>5</v>
      </c>
      <c r="E190" s="82">
        <f t="shared" si="199"/>
        <v>5</v>
      </c>
      <c r="F190" s="83">
        <f t="shared" si="148"/>
        <v>5</v>
      </c>
      <c r="G190" s="84" t="str">
        <f t="shared" si="149"/>
        <v>紧凑</v>
      </c>
      <c r="H190" s="85" t="s">
        <v>10</v>
      </c>
      <c r="I190" s="85" t="s">
        <v>11</v>
      </c>
      <c r="J190" s="85" t="s">
        <v>12</v>
      </c>
      <c r="K190" s="85" t="s">
        <v>13</v>
      </c>
      <c r="L190" s="86">
        <f>MAX(MID(C190,{1,2,3},1)*1)-MIN(MID(C190,{1,2,3},1)*1)</f>
        <v>1</v>
      </c>
      <c r="M190" s="87">
        <v>0</v>
      </c>
      <c r="N190" s="87">
        <v>1</v>
      </c>
      <c r="O190" s="87">
        <v>2</v>
      </c>
      <c r="P190" s="87">
        <v>3</v>
      </c>
      <c r="Q190" s="87">
        <v>4</v>
      </c>
      <c r="R190" s="87">
        <v>5</v>
      </c>
      <c r="S190" s="87">
        <v>6</v>
      </c>
      <c r="T190" s="87">
        <v>7</v>
      </c>
      <c r="U190" s="87">
        <v>8</v>
      </c>
      <c r="V190" s="87">
        <v>9</v>
      </c>
      <c r="W190" s="88">
        <f t="shared" si="200"/>
        <v>1</v>
      </c>
      <c r="X190" s="88">
        <f t="shared" si="201"/>
        <v>0</v>
      </c>
      <c r="Y190" s="88">
        <f t="shared" si="202"/>
        <v>1</v>
      </c>
      <c r="Z190" s="89">
        <f t="shared" si="181"/>
        <v>2</v>
      </c>
      <c r="AA190" s="17" t="str">
        <f>_xlfn.TEXTJOIN(", ",TRUE,ABS(MID(C190,{1,1,2},1)-MID(C190,{2,3,3},1)))</f>
        <v>1, 0, 1</v>
      </c>
      <c r="AB190" s="90">
        <v>0</v>
      </c>
      <c r="AC190" s="90">
        <v>1</v>
      </c>
      <c r="AD190" s="90">
        <v>2</v>
      </c>
      <c r="AE190" s="90">
        <v>3</v>
      </c>
      <c r="AF190" s="90">
        <v>4</v>
      </c>
      <c r="AG190" s="90">
        <v>5</v>
      </c>
      <c r="AH190" s="90">
        <v>6</v>
      </c>
      <c r="AI190" s="90">
        <v>7</v>
      </c>
      <c r="AJ190" s="90">
        <v>8</v>
      </c>
      <c r="AK190" s="90">
        <v>9</v>
      </c>
      <c r="AL190" s="91">
        <v>0</v>
      </c>
      <c r="AM190" s="91">
        <v>1</v>
      </c>
      <c r="AN190" s="91">
        <v>2</v>
      </c>
      <c r="AO190" s="91">
        <v>3</v>
      </c>
      <c r="AP190" s="91">
        <v>4</v>
      </c>
      <c r="AQ190" s="91">
        <v>5</v>
      </c>
      <c r="AR190" s="91">
        <v>6</v>
      </c>
      <c r="AS190" s="91">
        <v>7</v>
      </c>
      <c r="AT190" s="91">
        <v>8</v>
      </c>
      <c r="AU190" s="91">
        <v>9</v>
      </c>
      <c r="AV190" s="92">
        <v>0</v>
      </c>
      <c r="AW190" s="92">
        <v>1</v>
      </c>
      <c r="AX190" s="92">
        <v>2</v>
      </c>
      <c r="AY190" s="92">
        <v>3</v>
      </c>
      <c r="AZ190" s="92">
        <v>4</v>
      </c>
      <c r="BA190" s="92">
        <v>5</v>
      </c>
      <c r="BB190" s="92">
        <v>6</v>
      </c>
      <c r="BC190" s="92">
        <v>7</v>
      </c>
      <c r="BD190" s="92">
        <v>8</v>
      </c>
      <c r="BE190" s="92">
        <v>9</v>
      </c>
      <c r="BF190" s="93">
        <v>0</v>
      </c>
      <c r="BG190" s="93">
        <v>1</v>
      </c>
      <c r="BH190" s="93">
        <v>2</v>
      </c>
      <c r="BI190" s="93">
        <v>3</v>
      </c>
      <c r="BJ190" s="93">
        <v>4</v>
      </c>
      <c r="BK190" s="93">
        <v>5</v>
      </c>
      <c r="BL190" s="93">
        <v>6</v>
      </c>
      <c r="BM190" s="93">
        <v>7</v>
      </c>
      <c r="BN190" s="93">
        <v>8</v>
      </c>
      <c r="BO190" s="93">
        <v>9</v>
      </c>
      <c r="BP190" s="94" t="str">
        <f t="shared" si="182"/>
        <v>紧凑型</v>
      </c>
      <c r="BQ190" s="15">
        <f t="shared" si="179"/>
        <v>0</v>
      </c>
      <c r="BR190" s="15">
        <f t="shared" si="180"/>
        <v>1</v>
      </c>
      <c r="BS190" s="20">
        <f t="shared" si="184"/>
        <v>1</v>
      </c>
      <c r="BT190" s="21">
        <f t="shared" si="185"/>
        <v>1</v>
      </c>
      <c r="BU190" s="21" t="str">
        <f t="array" ref="BU190">_xlfn.TEXTJOIN("",TRUE,IF(ISERROR(FIND(ROW($1:$168)-1,BS190&amp;BT190)),ROW($1:$168)-1,""))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90" s="22" t="str">
        <f t="shared" si="186"/>
        <v>复隔中</v>
      </c>
      <c r="BW190" s="23" t="str">
        <f t="shared" si="197"/>
        <v/>
      </c>
      <c r="BX190" s="23" t="str">
        <f t="shared" si="195"/>
        <v/>
      </c>
      <c r="BY190" s="23" t="str">
        <f t="array" ref="BY190">_xlfn.TEXTJOIN("",TRUE,IF(ISERROR(FIND(ROW($1:$168)-1,BW190&amp;BX190)),ROW($1:$168)-1,""))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90" s="22" t="str">
        <f t="shared" si="187"/>
        <v>中中中</v>
      </c>
      <c r="CA190" s="24">
        <f t="shared" si="188"/>
        <v>1</v>
      </c>
      <c r="CB190" s="24">
        <f t="shared" si="196"/>
        <v>1</v>
      </c>
      <c r="CC190" s="24" t="str">
        <f t="array" ref="CC190">_xlfn.TEXTJOIN("",TRUE,IF(ISERROR(FIND(ROW($1:$168)-1,CA190&amp;CB190)),ROW($1:$168)-1,""))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90" s="22" t="str">
        <f t="shared" si="189"/>
        <v>复隔中</v>
      </c>
      <c r="CE190" s="25" t="str">
        <f t="shared" si="183"/>
        <v>02</v>
      </c>
      <c r="CF190" s="26" t="str">
        <f t="array" ref="CF190">_xlfn.TEXTJOIN("",TRUE,IF(ISNUMBER(FIND(MID(CE189&amp;W189,ROW($1:$162),1),CE190&amp;W190)),MID(CE189&amp;W189,ROW($1:$162),1),""))</f>
        <v/>
      </c>
      <c r="CG190" s="27" t="str">
        <f t="array" ref="CG190">_xlfn.TEXTJOIN("",TRUE,IF(ISERROR(FIND(ROW($1:$168)-1,CE190&amp;CF190)),ROW($1:$168)-1,""))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90" s="28" t="str">
        <f t="shared" si="190"/>
        <v>邻孤孤</v>
      </c>
      <c r="CI190" s="29" t="str">
        <f t="shared" si="191"/>
        <v>91</v>
      </c>
      <c r="CJ190" s="29" t="str">
        <f t="array" ref="CJ190">_xlfn.TEXTJOIN("",TRUE,IF(ISNUMBER(FIND(MID(CI189&amp;X189,ROW($1:$162),1),CI190&amp;X190)),MID(CI189&amp;X189,ROW($1:$162),1),""))</f>
        <v/>
      </c>
      <c r="CK190" s="29" t="str">
        <f t="array" ref="CK190">_xlfn.TEXTJOIN("",TRUE,IF(ISERROR(FIND(ROW($1:$168)-1,CI190&amp;CJ190)),ROW($1:$168)-1,""))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190" s="19" t="str">
        <f t="shared" si="192"/>
        <v>邻孤孤</v>
      </c>
      <c r="CM190" s="24" t="str">
        <f t="shared" si="193"/>
        <v>02</v>
      </c>
      <c r="CN190" s="24" t="str">
        <f t="array" ref="CN190">_xlfn.TEXTJOIN("",TRUE,IF(ISNUMBER(FIND(MID(CM189&amp;Y189,ROW($1:$162),1),CM190&amp;Y190)),MID(CM189&amp;Y189,ROW($1:$162),1),""))</f>
        <v>021</v>
      </c>
      <c r="CO190" s="24" t="str">
        <f t="array" ref="CO190">_xlfn.TEXTJOIN("",TRUE,IF(ISERROR(FIND(ROW($1:$168)-1,CM190&amp;CN190)),ROW($1:$168)-1,""))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90" s="30" t="str">
        <f t="shared" si="194"/>
        <v>邻传孤</v>
      </c>
    </row>
    <row r="191" spans="1:94">
      <c r="A191" s="15">
        <v>191</v>
      </c>
      <c r="B191" s="80">
        <v>2024160</v>
      </c>
      <c r="C191" s="8" t="s">
        <v>204</v>
      </c>
      <c r="D191" s="81">
        <f t="shared" si="198"/>
        <v>15</v>
      </c>
      <c r="E191" s="82">
        <f t="shared" si="199"/>
        <v>5</v>
      </c>
      <c r="F191" s="83">
        <f t="shared" si="148"/>
        <v>1.66666666666667</v>
      </c>
      <c r="G191" s="84" t="str">
        <f t="shared" si="149"/>
        <v>松散</v>
      </c>
      <c r="H191" s="85" t="s">
        <v>10</v>
      </c>
      <c r="I191" s="85" t="s">
        <v>11</v>
      </c>
      <c r="J191" s="85" t="s">
        <v>12</v>
      </c>
      <c r="K191" s="85" t="s">
        <v>13</v>
      </c>
      <c r="L191" s="86">
        <f>MAX(MID(C191,{1,2,3},1)*1)-MIN(MID(C191,{1,2,3},1)*1)</f>
        <v>9</v>
      </c>
      <c r="M191" s="87">
        <v>0</v>
      </c>
      <c r="N191" s="87">
        <v>1</v>
      </c>
      <c r="O191" s="87">
        <v>2</v>
      </c>
      <c r="P191" s="87">
        <v>3</v>
      </c>
      <c r="Q191" s="87">
        <v>4</v>
      </c>
      <c r="R191" s="87">
        <v>5</v>
      </c>
      <c r="S191" s="87">
        <v>6</v>
      </c>
      <c r="T191" s="87">
        <v>7</v>
      </c>
      <c r="U191" s="87">
        <v>8</v>
      </c>
      <c r="V191" s="87">
        <v>9</v>
      </c>
      <c r="W191" s="88">
        <f t="shared" si="200"/>
        <v>3</v>
      </c>
      <c r="X191" s="88">
        <f t="shared" si="201"/>
        <v>6</v>
      </c>
      <c r="Y191" s="88">
        <f t="shared" si="202"/>
        <v>9</v>
      </c>
      <c r="Z191" s="89">
        <f t="shared" si="181"/>
        <v>18</v>
      </c>
      <c r="AA191" s="17" t="str">
        <f>_xlfn.TEXTJOIN(", ",TRUE,ABS(MID(C191,{1,1,2},1)-MID(C191,{2,3,3},1)))</f>
        <v>3, 6, 9</v>
      </c>
      <c r="AB191" s="90">
        <v>0</v>
      </c>
      <c r="AC191" s="90">
        <v>1</v>
      </c>
      <c r="AD191" s="90">
        <v>2</v>
      </c>
      <c r="AE191" s="90">
        <v>3</v>
      </c>
      <c r="AF191" s="90">
        <v>4</v>
      </c>
      <c r="AG191" s="90">
        <v>5</v>
      </c>
      <c r="AH191" s="90">
        <v>6</v>
      </c>
      <c r="AI191" s="90">
        <v>7</v>
      </c>
      <c r="AJ191" s="90">
        <v>8</v>
      </c>
      <c r="AK191" s="90">
        <v>9</v>
      </c>
      <c r="AL191" s="91">
        <v>0</v>
      </c>
      <c r="AM191" s="91">
        <v>1</v>
      </c>
      <c r="AN191" s="91">
        <v>2</v>
      </c>
      <c r="AO191" s="91">
        <v>3</v>
      </c>
      <c r="AP191" s="91">
        <v>4</v>
      </c>
      <c r="AQ191" s="91">
        <v>5</v>
      </c>
      <c r="AR191" s="91">
        <v>6</v>
      </c>
      <c r="AS191" s="91">
        <v>7</v>
      </c>
      <c r="AT191" s="91">
        <v>8</v>
      </c>
      <c r="AU191" s="91">
        <v>9</v>
      </c>
      <c r="AV191" s="92">
        <v>0</v>
      </c>
      <c r="AW191" s="92">
        <v>1</v>
      </c>
      <c r="AX191" s="92">
        <v>2</v>
      </c>
      <c r="AY191" s="92">
        <v>3</v>
      </c>
      <c r="AZ191" s="92">
        <v>4</v>
      </c>
      <c r="BA191" s="92">
        <v>5</v>
      </c>
      <c r="BB191" s="92">
        <v>6</v>
      </c>
      <c r="BC191" s="92">
        <v>7</v>
      </c>
      <c r="BD191" s="92">
        <v>8</v>
      </c>
      <c r="BE191" s="92">
        <v>9</v>
      </c>
      <c r="BF191" s="93">
        <v>0</v>
      </c>
      <c r="BG191" s="93">
        <v>1</v>
      </c>
      <c r="BH191" s="93">
        <v>2</v>
      </c>
      <c r="BI191" s="93">
        <v>3</v>
      </c>
      <c r="BJ191" s="93">
        <v>4</v>
      </c>
      <c r="BK191" s="93">
        <v>5</v>
      </c>
      <c r="BL191" s="93">
        <v>6</v>
      </c>
      <c r="BM191" s="93">
        <v>7</v>
      </c>
      <c r="BN191" s="93">
        <v>8</v>
      </c>
      <c r="BO191" s="93">
        <v>9</v>
      </c>
      <c r="BP191" s="94" t="str">
        <f t="shared" si="182"/>
        <v>松散型</v>
      </c>
      <c r="BQ191" s="15">
        <f t="shared" si="179"/>
        <v>3</v>
      </c>
      <c r="BR191" s="15">
        <f t="shared" si="180"/>
        <v>9</v>
      </c>
      <c r="BS191" s="20" t="str">
        <f t="shared" si="184"/>
        <v/>
      </c>
      <c r="BT191" s="21" t="str">
        <f t="shared" si="185"/>
        <v/>
      </c>
      <c r="BU191" s="21" t="str">
        <f t="array" ref="BU191">_xlfn.TEXTJOIN("",TRUE,IF(ISERROR(FIND(ROW($1:$168)-1,BS191&amp;BT191)),ROW($1:$168)-1,""))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91" s="22" t="str">
        <f t="shared" si="186"/>
        <v>中中中</v>
      </c>
      <c r="BW191" s="23" t="str">
        <f t="shared" si="197"/>
        <v/>
      </c>
      <c r="BX191" s="23">
        <f t="shared" si="195"/>
        <v>6</v>
      </c>
      <c r="BY191" s="23" t="str">
        <f t="array" ref="BY191">_xlfn.TEXTJOIN("",TRUE,IF(ISERROR(FIND(ROW($1:$168)-1,BW191&amp;BX191)),ROW($1:$168)-1,""))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91" s="22" t="str">
        <f t="shared" si="187"/>
        <v>中隔中</v>
      </c>
      <c r="CA191" s="24" t="str">
        <f t="shared" si="188"/>
        <v/>
      </c>
      <c r="CB191" s="24" t="str">
        <f t="shared" si="196"/>
        <v/>
      </c>
      <c r="CC191" s="24" t="str">
        <f t="array" ref="CC191">_xlfn.TEXTJOIN("",TRUE,IF(ISERROR(FIND(ROW($1:$168)-1,CA191&amp;CB191)),ROW($1:$168)-1,""))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91" s="22" t="str">
        <f t="shared" si="189"/>
        <v>中中中</v>
      </c>
      <c r="CE191" s="25" t="str">
        <f t="shared" si="183"/>
        <v>24</v>
      </c>
      <c r="CF191" s="26" t="str">
        <f t="array" ref="CF191">_xlfn.TEXTJOIN("",TRUE,IF(ISNUMBER(FIND(MID(CE190&amp;W190,ROW($1:$162),1),CE191&amp;W191)),MID(CE190&amp;W190,ROW($1:$162),1),""))</f>
        <v>2</v>
      </c>
      <c r="CG191" s="27" t="str">
        <f t="array" ref="CG191">_xlfn.TEXTJOIN("",TRUE,IF(ISERROR(FIND(ROW($1:$168)-1,CE191&amp;CF191)),ROW($1:$168)-1,""))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91" s="28" t="str">
        <f t="shared" si="190"/>
        <v>邻传孤</v>
      </c>
      <c r="CI191" s="29" t="str">
        <f t="shared" si="191"/>
        <v>57</v>
      </c>
      <c r="CJ191" s="29" t="str">
        <f t="array" ref="CJ191">_xlfn.TEXTJOIN("",TRUE,IF(ISNUMBER(FIND(MID(CI190&amp;X190,ROW($1:$162),1),CI191&amp;X191)),MID(CI190&amp;X190,ROW($1:$162),1),""))</f>
        <v/>
      </c>
      <c r="CK191" s="29" t="str">
        <f t="array" ref="CK191">_xlfn.TEXTJOIN("",TRUE,IF(ISERROR(FIND(ROW($1:$168)-1,CI191&amp;CJ191)),ROW($1:$168)-1,""))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91" s="19" t="str">
        <f t="shared" si="192"/>
        <v>邻孤孤</v>
      </c>
      <c r="CM191" s="24" t="str">
        <f t="shared" si="193"/>
        <v>80</v>
      </c>
      <c r="CN191" s="24" t="str">
        <f t="array" ref="CN191">_xlfn.TEXTJOIN("",TRUE,IF(ISNUMBER(FIND(MID(CM190&amp;Y190,ROW($1:$162),1),CM191&amp;Y191)),MID(CM190&amp;Y190,ROW($1:$162),1),""))</f>
        <v>0</v>
      </c>
      <c r="CO191" s="24" t="str">
        <f t="array" ref="CO191">_xlfn.TEXTJOIN("",TRUE,IF(ISERROR(FIND(ROW($1:$168)-1,CM191&amp;CN191)),ROW($1:$168)-1,""))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191" s="30" t="str">
        <f t="shared" si="194"/>
        <v>邻传孤</v>
      </c>
    </row>
    <row r="192" spans="1:94">
      <c r="A192" s="15">
        <v>192</v>
      </c>
      <c r="B192" s="80">
        <v>2024161</v>
      </c>
      <c r="C192" s="8" t="s">
        <v>69</v>
      </c>
      <c r="D192" s="81">
        <f t="shared" si="198"/>
        <v>18</v>
      </c>
      <c r="E192" s="82">
        <f t="shared" si="199"/>
        <v>8</v>
      </c>
      <c r="F192" s="83">
        <f t="shared" si="148"/>
        <v>4.5</v>
      </c>
      <c r="G192" s="84" t="str">
        <f t="shared" si="149"/>
        <v>紧凑</v>
      </c>
      <c r="H192" s="85" t="s">
        <v>10</v>
      </c>
      <c r="I192" s="85" t="s">
        <v>11</v>
      </c>
      <c r="J192" s="85" t="s">
        <v>12</v>
      </c>
      <c r="K192" s="85" t="s">
        <v>13</v>
      </c>
      <c r="L192" s="86">
        <f>MAX(MID(C192,{1,2,3},1)*1)-MIN(MID(C192,{1,2,3},1)*1)</f>
        <v>4</v>
      </c>
      <c r="M192" s="87">
        <v>0</v>
      </c>
      <c r="N192" s="87">
        <v>1</v>
      </c>
      <c r="O192" s="87">
        <v>2</v>
      </c>
      <c r="P192" s="87">
        <v>3</v>
      </c>
      <c r="Q192" s="87">
        <v>4</v>
      </c>
      <c r="R192" s="87">
        <v>5</v>
      </c>
      <c r="S192" s="87">
        <v>6</v>
      </c>
      <c r="T192" s="87">
        <v>7</v>
      </c>
      <c r="U192" s="87">
        <v>8</v>
      </c>
      <c r="V192" s="87">
        <v>9</v>
      </c>
      <c r="W192" s="88">
        <f t="shared" si="200"/>
        <v>2</v>
      </c>
      <c r="X192" s="88">
        <f t="shared" si="201"/>
        <v>4</v>
      </c>
      <c r="Y192" s="88">
        <f t="shared" si="202"/>
        <v>2</v>
      </c>
      <c r="Z192" s="89">
        <f t="shared" si="181"/>
        <v>8</v>
      </c>
      <c r="AA192" s="17" t="str">
        <f>_xlfn.TEXTJOIN(", ",TRUE,ABS(MID(C192,{1,1,2},1)-MID(C192,{2,3,3},1)))</f>
        <v>2, 4, 2</v>
      </c>
      <c r="AB192" s="90">
        <v>0</v>
      </c>
      <c r="AC192" s="90">
        <v>1</v>
      </c>
      <c r="AD192" s="90">
        <v>2</v>
      </c>
      <c r="AE192" s="90">
        <v>3</v>
      </c>
      <c r="AF192" s="90">
        <v>4</v>
      </c>
      <c r="AG192" s="90">
        <v>5</v>
      </c>
      <c r="AH192" s="90">
        <v>6</v>
      </c>
      <c r="AI192" s="90">
        <v>7</v>
      </c>
      <c r="AJ192" s="90">
        <v>8</v>
      </c>
      <c r="AK192" s="90">
        <v>9</v>
      </c>
      <c r="AL192" s="91">
        <v>0</v>
      </c>
      <c r="AM192" s="91">
        <v>1</v>
      </c>
      <c r="AN192" s="91">
        <v>2</v>
      </c>
      <c r="AO192" s="91">
        <v>3</v>
      </c>
      <c r="AP192" s="91">
        <v>4</v>
      </c>
      <c r="AQ192" s="91">
        <v>5</v>
      </c>
      <c r="AR192" s="91">
        <v>6</v>
      </c>
      <c r="AS192" s="91">
        <v>7</v>
      </c>
      <c r="AT192" s="91">
        <v>8</v>
      </c>
      <c r="AU192" s="91">
        <v>9</v>
      </c>
      <c r="AV192" s="92">
        <v>0</v>
      </c>
      <c r="AW192" s="92">
        <v>1</v>
      </c>
      <c r="AX192" s="92">
        <v>2</v>
      </c>
      <c r="AY192" s="92">
        <v>3</v>
      </c>
      <c r="AZ192" s="92">
        <v>4</v>
      </c>
      <c r="BA192" s="92">
        <v>5</v>
      </c>
      <c r="BB192" s="92">
        <v>6</v>
      </c>
      <c r="BC192" s="92">
        <v>7</v>
      </c>
      <c r="BD192" s="92">
        <v>8</v>
      </c>
      <c r="BE192" s="92">
        <v>9</v>
      </c>
      <c r="BF192" s="93">
        <v>0</v>
      </c>
      <c r="BG192" s="93">
        <v>1</v>
      </c>
      <c r="BH192" s="93">
        <v>2</v>
      </c>
      <c r="BI192" s="93">
        <v>3</v>
      </c>
      <c r="BJ192" s="93">
        <v>4</v>
      </c>
      <c r="BK192" s="93">
        <v>5</v>
      </c>
      <c r="BL192" s="93">
        <v>6</v>
      </c>
      <c r="BM192" s="93">
        <v>7</v>
      </c>
      <c r="BN192" s="93">
        <v>8</v>
      </c>
      <c r="BO192" s="93">
        <v>9</v>
      </c>
      <c r="BP192" s="94" t="str">
        <f t="shared" si="182"/>
        <v>标准型</v>
      </c>
      <c r="BQ192" s="15">
        <f t="shared" si="179"/>
        <v>2</v>
      </c>
      <c r="BR192" s="15">
        <f t="shared" si="180"/>
        <v>4</v>
      </c>
      <c r="BS192" s="20" t="str">
        <f t="shared" si="184"/>
        <v/>
      </c>
      <c r="BT192" s="21" t="str">
        <f t="shared" si="185"/>
        <v/>
      </c>
      <c r="BU192" s="21" t="str">
        <f t="array" ref="BU192">_xlfn.TEXTJOIN("",TRUE,IF(ISERROR(FIND(ROW($1:$168)-1,BS192&amp;BT192)),ROW($1:$168)-1,""))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92" s="22" t="str">
        <f t="shared" si="186"/>
        <v>中中中</v>
      </c>
      <c r="BW192" s="23" t="str">
        <f t="shared" si="197"/>
        <v/>
      </c>
      <c r="BX192" s="23" t="str">
        <f t="shared" si="195"/>
        <v/>
      </c>
      <c r="BY192" s="23" t="str">
        <f t="array" ref="BY192">_xlfn.TEXTJOIN("",TRUE,IF(ISERROR(FIND(ROW($1:$168)-1,BW192&amp;BX192)),ROW($1:$168)-1,""))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92" s="22" t="str">
        <f t="shared" si="187"/>
        <v>中中中</v>
      </c>
      <c r="CA192" s="24" t="str">
        <f t="shared" si="188"/>
        <v/>
      </c>
      <c r="CB192" s="24" t="str">
        <f t="shared" si="196"/>
        <v/>
      </c>
      <c r="CC192" s="24" t="str">
        <f t="array" ref="CC192">_xlfn.TEXTJOIN("",TRUE,IF(ISERROR(FIND(ROW($1:$168)-1,CA192&amp;CB192)),ROW($1:$168)-1,""))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92" s="22" t="str">
        <f t="shared" si="189"/>
        <v>中中中</v>
      </c>
      <c r="CE192" s="25" t="str">
        <f t="shared" si="183"/>
        <v>13</v>
      </c>
      <c r="CF192" s="26" t="str">
        <f t="array" ref="CF192">_xlfn.TEXTJOIN("",TRUE,IF(ISNUMBER(FIND(MID(CE191&amp;W191,ROW($1:$162),1),CE192&amp;W192)),MID(CE191&amp;W191,ROW($1:$162),1),""))</f>
        <v>23</v>
      </c>
      <c r="CG192" s="27" t="str">
        <f t="array" ref="CG192">_xlfn.TEXTJOIN("",TRUE,IF(ISERROR(FIND(ROW($1:$168)-1,CE192&amp;CF192)),ROW($1:$168)-1,""))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192" s="28" t="str">
        <f t="shared" si="190"/>
        <v>邻传孤</v>
      </c>
      <c r="CI192" s="29" t="str">
        <f t="shared" si="191"/>
        <v>35</v>
      </c>
      <c r="CJ192" s="29" t="str">
        <f t="array" ref="CJ192">_xlfn.TEXTJOIN("",TRUE,IF(ISNUMBER(FIND(MID(CI191&amp;X191,ROW($1:$162),1),CI192&amp;X192)),MID(CI191&amp;X191,ROW($1:$162),1),""))</f>
        <v>5</v>
      </c>
      <c r="CK192" s="29" t="str">
        <f t="array" ref="CK192">_xlfn.TEXTJOIN("",TRUE,IF(ISERROR(FIND(ROW($1:$168)-1,CI192&amp;CJ192)),ROW($1:$168)-1,""))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92" s="19" t="str">
        <f t="shared" si="192"/>
        <v>邻传孤</v>
      </c>
      <c r="CM192" s="24" t="str">
        <f t="shared" si="193"/>
        <v>13</v>
      </c>
      <c r="CN192" s="24" t="str">
        <f t="array" ref="CN192">_xlfn.TEXTJOIN("",TRUE,IF(ISNUMBER(FIND(MID(CM191&amp;Y191,ROW($1:$162),1),CM192&amp;Y192)),MID(CM191&amp;Y191,ROW($1:$162),1),""))</f>
        <v/>
      </c>
      <c r="CO192" s="24" t="str">
        <f t="array" ref="CO192">_xlfn.TEXTJOIN("",TRUE,IF(ISERROR(FIND(ROW($1:$168)-1,CM192&amp;CN192)),ROW($1:$168)-1,""))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92" s="30" t="str">
        <f t="shared" si="194"/>
        <v>邻孤孤</v>
      </c>
    </row>
    <row r="193" spans="1:94">
      <c r="A193" s="15">
        <v>193</v>
      </c>
      <c r="B193" s="80">
        <v>2024162</v>
      </c>
      <c r="C193" s="8" t="s">
        <v>205</v>
      </c>
      <c r="D193" s="81">
        <f t="shared" si="198"/>
        <v>11</v>
      </c>
      <c r="E193" s="82">
        <f t="shared" si="199"/>
        <v>1</v>
      </c>
      <c r="F193" s="83">
        <f t="shared" si="148"/>
        <v>2.2</v>
      </c>
      <c r="G193" s="84" t="str">
        <f t="shared" si="149"/>
        <v>标准</v>
      </c>
      <c r="H193" s="85" t="s">
        <v>10</v>
      </c>
      <c r="I193" s="85" t="s">
        <v>11</v>
      </c>
      <c r="J193" s="85" t="s">
        <v>12</v>
      </c>
      <c r="K193" s="85" t="s">
        <v>13</v>
      </c>
      <c r="L193" s="86">
        <f>MAX(MID(C193,{1,2,3},1)*1)-MIN(MID(C193,{1,2,3},1)*1)</f>
        <v>5</v>
      </c>
      <c r="M193" s="87">
        <v>0</v>
      </c>
      <c r="N193" s="87">
        <v>1</v>
      </c>
      <c r="O193" s="87">
        <v>2</v>
      </c>
      <c r="P193" s="87">
        <v>3</v>
      </c>
      <c r="Q193" s="87">
        <v>4</v>
      </c>
      <c r="R193" s="87">
        <v>5</v>
      </c>
      <c r="S193" s="87">
        <v>6</v>
      </c>
      <c r="T193" s="87">
        <v>7</v>
      </c>
      <c r="U193" s="87">
        <v>8</v>
      </c>
      <c r="V193" s="87">
        <v>9</v>
      </c>
      <c r="W193" s="88">
        <f t="shared" si="200"/>
        <v>5</v>
      </c>
      <c r="X193" s="88">
        <f t="shared" si="201"/>
        <v>3</v>
      </c>
      <c r="Y193" s="88">
        <f t="shared" si="202"/>
        <v>2</v>
      </c>
      <c r="Z193" s="89">
        <f t="shared" si="181"/>
        <v>10</v>
      </c>
      <c r="AA193" s="17" t="str">
        <f>_xlfn.TEXTJOIN(", ",TRUE,ABS(MID(C193,{1,1,2},1)-MID(C193,{2,3,3},1)))</f>
        <v>5, 3, 2</v>
      </c>
      <c r="AB193" s="90">
        <v>0</v>
      </c>
      <c r="AC193" s="90">
        <v>1</v>
      </c>
      <c r="AD193" s="90">
        <v>2</v>
      </c>
      <c r="AE193" s="90">
        <v>3</v>
      </c>
      <c r="AF193" s="90">
        <v>4</v>
      </c>
      <c r="AG193" s="90">
        <v>5</v>
      </c>
      <c r="AH193" s="90">
        <v>6</v>
      </c>
      <c r="AI193" s="90">
        <v>7</v>
      </c>
      <c r="AJ193" s="90">
        <v>8</v>
      </c>
      <c r="AK193" s="90">
        <v>9</v>
      </c>
      <c r="AL193" s="91">
        <v>0</v>
      </c>
      <c r="AM193" s="91">
        <v>1</v>
      </c>
      <c r="AN193" s="91">
        <v>2</v>
      </c>
      <c r="AO193" s="91">
        <v>3</v>
      </c>
      <c r="AP193" s="91">
        <v>4</v>
      </c>
      <c r="AQ193" s="91">
        <v>5</v>
      </c>
      <c r="AR193" s="91">
        <v>6</v>
      </c>
      <c r="AS193" s="91">
        <v>7</v>
      </c>
      <c r="AT193" s="91">
        <v>8</v>
      </c>
      <c r="AU193" s="91">
        <v>9</v>
      </c>
      <c r="AV193" s="92">
        <v>0</v>
      </c>
      <c r="AW193" s="92">
        <v>1</v>
      </c>
      <c r="AX193" s="92">
        <v>2</v>
      </c>
      <c r="AY193" s="92">
        <v>3</v>
      </c>
      <c r="AZ193" s="92">
        <v>4</v>
      </c>
      <c r="BA193" s="92">
        <v>5</v>
      </c>
      <c r="BB193" s="92">
        <v>6</v>
      </c>
      <c r="BC193" s="92">
        <v>7</v>
      </c>
      <c r="BD193" s="92">
        <v>8</v>
      </c>
      <c r="BE193" s="92">
        <v>9</v>
      </c>
      <c r="BF193" s="93">
        <v>0</v>
      </c>
      <c r="BG193" s="93">
        <v>1</v>
      </c>
      <c r="BH193" s="93">
        <v>2</v>
      </c>
      <c r="BI193" s="93">
        <v>3</v>
      </c>
      <c r="BJ193" s="93">
        <v>4</v>
      </c>
      <c r="BK193" s="93">
        <v>5</v>
      </c>
      <c r="BL193" s="93">
        <v>6</v>
      </c>
      <c r="BM193" s="93">
        <v>7</v>
      </c>
      <c r="BN193" s="93">
        <v>8</v>
      </c>
      <c r="BO193" s="93">
        <v>9</v>
      </c>
      <c r="BP193" s="94" t="str">
        <f t="shared" si="182"/>
        <v>标准型</v>
      </c>
      <c r="BQ193" s="15">
        <f t="shared" si="179"/>
        <v>2</v>
      </c>
      <c r="BR193" s="15">
        <f t="shared" si="180"/>
        <v>5</v>
      </c>
      <c r="BS193" s="20" t="str">
        <f t="shared" si="184"/>
        <v/>
      </c>
      <c r="BT193" s="21" t="str">
        <f t="shared" si="185"/>
        <v/>
      </c>
      <c r="BU193" s="21" t="str">
        <f t="array" ref="BU193">_xlfn.TEXTJOIN("",TRUE,IF(ISERROR(FIND(ROW($1:$168)-1,BS193&amp;BT193)),ROW($1:$168)-1,""))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93" s="22" t="str">
        <f t="shared" si="186"/>
        <v>中中中</v>
      </c>
      <c r="BW193" s="23" t="str">
        <f t="shared" si="197"/>
        <v/>
      </c>
      <c r="BX193" s="23">
        <f t="shared" si="195"/>
        <v>3</v>
      </c>
      <c r="BY193" s="23" t="str">
        <f t="array" ref="BY193">_xlfn.TEXTJOIN("",TRUE,IF(ISERROR(FIND(ROW($1:$168)-1,BW193&amp;BX193)),ROW($1:$168)-1,""))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93" s="22" t="str">
        <f t="shared" si="187"/>
        <v>中隔中</v>
      </c>
      <c r="CA193" s="24">
        <f t="shared" si="188"/>
        <v>2</v>
      </c>
      <c r="CB193" s="24" t="str">
        <f t="shared" si="196"/>
        <v/>
      </c>
      <c r="CC193" s="24" t="str">
        <f t="array" ref="CC193">_xlfn.TEXTJOIN("",TRUE,IF(ISERROR(FIND(ROW($1:$168)-1,CA193&amp;CB193)),ROW($1:$168)-1,""))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93" s="22" t="str">
        <f t="shared" si="189"/>
        <v>复中中</v>
      </c>
      <c r="CE193" s="25" t="str">
        <f t="shared" si="183"/>
        <v>46</v>
      </c>
      <c r="CF193" s="26" t="str">
        <f t="array" ref="CF193">_xlfn.TEXTJOIN("",TRUE,IF(ISNUMBER(FIND(MID(CE192&amp;W192,ROW($1:$162),1),CE193&amp;W193)),MID(CE192&amp;W192,ROW($1:$162),1),""))</f>
        <v/>
      </c>
      <c r="CG193" s="27" t="str">
        <f t="array" ref="CG193">_xlfn.TEXTJOIN("",TRUE,IF(ISERROR(FIND(ROW($1:$168)-1,CE193&amp;CF193)),ROW($1:$168)-1,""))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93" s="28" t="str">
        <f t="shared" si="190"/>
        <v>邻孤孤</v>
      </c>
      <c r="CI193" s="29" t="str">
        <f t="shared" si="191"/>
        <v>24</v>
      </c>
      <c r="CJ193" s="29" t="str">
        <f t="array" ref="CJ193">_xlfn.TEXTJOIN("",TRUE,IF(ISNUMBER(FIND(MID(CI192&amp;X192,ROW($1:$162),1),CI193&amp;X193)),MID(CI192&amp;X192,ROW($1:$162),1),""))</f>
        <v>34</v>
      </c>
      <c r="CK193" s="29" t="str">
        <f t="array" ref="CK193">_xlfn.TEXTJOIN("",TRUE,IF(ISERROR(FIND(ROW($1:$168)-1,CI193&amp;CJ193)),ROW($1:$168)-1,""))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93" s="19" t="str">
        <f t="shared" si="192"/>
        <v>邻传孤</v>
      </c>
      <c r="CM193" s="24" t="str">
        <f t="shared" si="193"/>
        <v>13</v>
      </c>
      <c r="CN193" s="24" t="str">
        <f t="array" ref="CN193">_xlfn.TEXTJOIN("",TRUE,IF(ISNUMBER(FIND(MID(CM192&amp;Y192,ROW($1:$162),1),CM193&amp;Y193)),MID(CM192&amp;Y192,ROW($1:$162),1),""))</f>
        <v>132</v>
      </c>
      <c r="CO193" s="24" t="str">
        <f t="array" ref="CO193">_xlfn.TEXTJOIN("",TRUE,IF(ISERROR(FIND(ROW($1:$168)-1,CM193&amp;CN193)),ROW($1:$168)-1,""))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193" s="30" t="str">
        <f t="shared" si="194"/>
        <v>邻传孤</v>
      </c>
    </row>
    <row r="194" spans="1:94">
      <c r="A194" s="15">
        <v>194</v>
      </c>
      <c r="B194" s="80">
        <v>2024163</v>
      </c>
      <c r="C194" s="8" t="s">
        <v>206</v>
      </c>
      <c r="D194" s="81">
        <f t="shared" si="198"/>
        <v>7</v>
      </c>
      <c r="E194" s="82">
        <f t="shared" si="199"/>
        <v>7</v>
      </c>
      <c r="F194" s="83">
        <f t="shared" si="148"/>
        <v>1.75</v>
      </c>
      <c r="G194" s="84" t="str">
        <f t="shared" si="149"/>
        <v>松散</v>
      </c>
      <c r="H194" s="85" t="s">
        <v>10</v>
      </c>
      <c r="I194" s="85" t="s">
        <v>11</v>
      </c>
      <c r="J194" s="85" t="s">
        <v>12</v>
      </c>
      <c r="K194" s="85" t="s">
        <v>13</v>
      </c>
      <c r="L194" s="86">
        <f>MAX(MID(C194,{1,2,3},1)*1)-MIN(MID(C194,{1,2,3},1)*1)</f>
        <v>4</v>
      </c>
      <c r="M194" s="87">
        <v>0</v>
      </c>
      <c r="N194" s="87">
        <v>1</v>
      </c>
      <c r="O194" s="87">
        <v>2</v>
      </c>
      <c r="P194" s="87">
        <v>3</v>
      </c>
      <c r="Q194" s="87">
        <v>4</v>
      </c>
      <c r="R194" s="87">
        <v>5</v>
      </c>
      <c r="S194" s="87">
        <v>6</v>
      </c>
      <c r="T194" s="87">
        <v>7</v>
      </c>
      <c r="U194" s="87">
        <v>8</v>
      </c>
      <c r="V194" s="87">
        <v>9</v>
      </c>
      <c r="W194" s="88">
        <f t="shared" si="200"/>
        <v>3</v>
      </c>
      <c r="X194" s="88">
        <f t="shared" si="201"/>
        <v>1</v>
      </c>
      <c r="Y194" s="88">
        <f t="shared" si="202"/>
        <v>4</v>
      </c>
      <c r="Z194" s="89">
        <f t="shared" si="181"/>
        <v>8</v>
      </c>
      <c r="AA194" s="17" t="str">
        <f>_xlfn.TEXTJOIN(", ",TRUE,ABS(MID(C194,{1,1,2},1)-MID(C194,{2,3,3},1)))</f>
        <v>3, 1, 4</v>
      </c>
      <c r="AB194" s="90">
        <v>0</v>
      </c>
      <c r="AC194" s="90">
        <v>1</v>
      </c>
      <c r="AD194" s="90">
        <v>2</v>
      </c>
      <c r="AE194" s="90">
        <v>3</v>
      </c>
      <c r="AF194" s="90">
        <v>4</v>
      </c>
      <c r="AG194" s="90">
        <v>5</v>
      </c>
      <c r="AH194" s="90">
        <v>6</v>
      </c>
      <c r="AI194" s="90">
        <v>7</v>
      </c>
      <c r="AJ194" s="90">
        <v>8</v>
      </c>
      <c r="AK194" s="90">
        <v>9</v>
      </c>
      <c r="AL194" s="91">
        <v>0</v>
      </c>
      <c r="AM194" s="91">
        <v>1</v>
      </c>
      <c r="AN194" s="91">
        <v>2</v>
      </c>
      <c r="AO194" s="91">
        <v>3</v>
      </c>
      <c r="AP194" s="91">
        <v>4</v>
      </c>
      <c r="AQ194" s="91">
        <v>5</v>
      </c>
      <c r="AR194" s="91">
        <v>6</v>
      </c>
      <c r="AS194" s="91">
        <v>7</v>
      </c>
      <c r="AT194" s="91">
        <v>8</v>
      </c>
      <c r="AU194" s="91">
        <v>9</v>
      </c>
      <c r="AV194" s="92">
        <v>0</v>
      </c>
      <c r="AW194" s="92">
        <v>1</v>
      </c>
      <c r="AX194" s="92">
        <v>2</v>
      </c>
      <c r="AY194" s="92">
        <v>3</v>
      </c>
      <c r="AZ194" s="92">
        <v>4</v>
      </c>
      <c r="BA194" s="92">
        <v>5</v>
      </c>
      <c r="BB194" s="92">
        <v>6</v>
      </c>
      <c r="BC194" s="92">
        <v>7</v>
      </c>
      <c r="BD194" s="92">
        <v>8</v>
      </c>
      <c r="BE194" s="92">
        <v>9</v>
      </c>
      <c r="BF194" s="93">
        <v>0</v>
      </c>
      <c r="BG194" s="93">
        <v>1</v>
      </c>
      <c r="BH194" s="93">
        <v>2</v>
      </c>
      <c r="BI194" s="93">
        <v>3</v>
      </c>
      <c r="BJ194" s="93">
        <v>4</v>
      </c>
      <c r="BK194" s="93">
        <v>5</v>
      </c>
      <c r="BL194" s="93">
        <v>6</v>
      </c>
      <c r="BM194" s="93">
        <v>7</v>
      </c>
      <c r="BN194" s="93">
        <v>8</v>
      </c>
      <c r="BO194" s="93">
        <v>9</v>
      </c>
      <c r="BP194" s="94" t="str">
        <f t="shared" si="182"/>
        <v>紧凑型</v>
      </c>
      <c r="BQ194" s="15">
        <f t="shared" si="179"/>
        <v>1</v>
      </c>
      <c r="BR194" s="15">
        <f t="shared" si="180"/>
        <v>4</v>
      </c>
      <c r="BS194" s="20">
        <f t="shared" si="184"/>
        <v>3</v>
      </c>
      <c r="BT194" s="21" t="str">
        <f t="shared" si="185"/>
        <v/>
      </c>
      <c r="BU194" s="21" t="str">
        <f t="array" ref="BU194">_xlfn.TEXTJOIN("",TRUE,IF(ISERROR(FIND(ROW($1:$168)-1,BS194&amp;BT194)),ROW($1:$168)-1,""))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94" s="22" t="str">
        <f t="shared" si="186"/>
        <v>复中中</v>
      </c>
      <c r="BW194" s="23" t="str">
        <f t="shared" si="197"/>
        <v/>
      </c>
      <c r="BX194" s="23" t="str">
        <f t="shared" si="195"/>
        <v/>
      </c>
      <c r="BY194" s="23" t="str">
        <f t="array" ref="BY194">_xlfn.TEXTJOIN("",TRUE,IF(ISERROR(FIND(ROW($1:$168)-1,BW194&amp;BX194)),ROW($1:$168)-1,""))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94" s="22" t="str">
        <f t="shared" si="187"/>
        <v>中中中</v>
      </c>
      <c r="CA194" s="24" t="str">
        <f t="shared" si="188"/>
        <v/>
      </c>
      <c r="CB194" s="24">
        <f t="shared" si="196"/>
        <v>4</v>
      </c>
      <c r="CC194" s="24" t="str">
        <f t="array" ref="CC194">_xlfn.TEXTJOIN("",TRUE,IF(ISERROR(FIND(ROW($1:$168)-1,CA194&amp;CB194)),ROW($1:$168)-1,""))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94" s="22" t="str">
        <f t="shared" si="189"/>
        <v>中隔中</v>
      </c>
      <c r="CE194" s="25" t="str">
        <f t="shared" si="183"/>
        <v>24</v>
      </c>
      <c r="CF194" s="26" t="str">
        <f t="array" ref="CF194">_xlfn.TEXTJOIN("",TRUE,IF(ISNUMBER(FIND(MID(CE193&amp;W193,ROW($1:$162),1),CE194&amp;W194)),MID(CE193&amp;W193,ROW($1:$162),1),""))</f>
        <v>4</v>
      </c>
      <c r="CG194" s="27" t="str">
        <f t="array" ref="CG194">_xlfn.TEXTJOIN("",TRUE,IF(ISERROR(FIND(ROW($1:$168)-1,CE194&amp;CF194)),ROW($1:$168)-1,""))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94" s="28" t="str">
        <f t="shared" si="190"/>
        <v>邻传孤</v>
      </c>
      <c r="CI194" s="29" t="str">
        <f t="shared" si="191"/>
        <v>02</v>
      </c>
      <c r="CJ194" s="29" t="str">
        <f t="array" ref="CJ194">_xlfn.TEXTJOIN("",TRUE,IF(ISNUMBER(FIND(MID(CI193&amp;X193,ROW($1:$162),1),CI194&amp;X194)),MID(CI193&amp;X193,ROW($1:$162),1),""))</f>
        <v>2</v>
      </c>
      <c r="CK194" s="29" t="str">
        <f t="array" ref="CK194">_xlfn.TEXTJOIN("",TRUE,IF(ISERROR(FIND(ROW($1:$168)-1,CI194&amp;CJ194)),ROW($1:$168)-1,""))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94" s="19" t="str">
        <f t="shared" si="192"/>
        <v>邻传孤</v>
      </c>
      <c r="CM194" s="24" t="str">
        <f t="shared" si="193"/>
        <v>35</v>
      </c>
      <c r="CN194" s="24" t="str">
        <f t="array" ref="CN194">_xlfn.TEXTJOIN("",TRUE,IF(ISNUMBER(FIND(MID(CM193&amp;Y193,ROW($1:$162),1),CM194&amp;Y194)),MID(CM193&amp;Y193,ROW($1:$162),1),""))</f>
        <v>3</v>
      </c>
      <c r="CO194" s="24" t="str">
        <f t="array" ref="CO194">_xlfn.TEXTJOIN("",TRUE,IF(ISERROR(FIND(ROW($1:$168)-1,CM194&amp;CN194)),ROW($1:$168)-1,""))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94" s="30" t="str">
        <f t="shared" si="194"/>
        <v>邻传孤</v>
      </c>
    </row>
    <row r="195" spans="1:94">
      <c r="A195" s="15">
        <v>195</v>
      </c>
      <c r="B195" s="80">
        <v>2024164</v>
      </c>
      <c r="C195" s="8" t="s">
        <v>207</v>
      </c>
      <c r="D195" s="81">
        <f t="shared" si="198"/>
        <v>12</v>
      </c>
      <c r="E195" s="82">
        <f t="shared" si="199"/>
        <v>2</v>
      </c>
      <c r="F195" s="83">
        <f t="shared" si="148"/>
        <v>6</v>
      </c>
      <c r="G195" s="84" t="str">
        <f t="shared" si="149"/>
        <v>紧凑</v>
      </c>
      <c r="H195" s="85" t="s">
        <v>10</v>
      </c>
      <c r="I195" s="85" t="s">
        <v>11</v>
      </c>
      <c r="J195" s="85" t="s">
        <v>12</v>
      </c>
      <c r="K195" s="85" t="s">
        <v>13</v>
      </c>
      <c r="L195" s="86">
        <f>MAX(MID(C195,{1,2,3},1)*1)-MIN(MID(C195,{1,2,3},1)*1)</f>
        <v>2</v>
      </c>
      <c r="M195" s="87">
        <v>0</v>
      </c>
      <c r="N195" s="87">
        <v>1</v>
      </c>
      <c r="O195" s="87">
        <v>2</v>
      </c>
      <c r="P195" s="87">
        <v>3</v>
      </c>
      <c r="Q195" s="87">
        <v>4</v>
      </c>
      <c r="R195" s="87">
        <v>5</v>
      </c>
      <c r="S195" s="87">
        <v>6</v>
      </c>
      <c r="T195" s="87">
        <v>7</v>
      </c>
      <c r="U195" s="87">
        <v>8</v>
      </c>
      <c r="V195" s="87">
        <v>9</v>
      </c>
      <c r="W195" s="88">
        <f t="shared" si="200"/>
        <v>2</v>
      </c>
      <c r="X195" s="88">
        <f t="shared" si="201"/>
        <v>1</v>
      </c>
      <c r="Y195" s="88">
        <f t="shared" si="202"/>
        <v>1</v>
      </c>
      <c r="Z195" s="89">
        <f t="shared" si="181"/>
        <v>4</v>
      </c>
      <c r="AA195" s="17" t="str">
        <f>_xlfn.TEXTJOIN(", ",TRUE,ABS(MID(C195,{1,1,2},1)-MID(C195,{2,3,3},1)))</f>
        <v>2, 1, 1</v>
      </c>
      <c r="AB195" s="90">
        <v>0</v>
      </c>
      <c r="AC195" s="90">
        <v>1</v>
      </c>
      <c r="AD195" s="90">
        <v>2</v>
      </c>
      <c r="AE195" s="90">
        <v>3</v>
      </c>
      <c r="AF195" s="90">
        <v>4</v>
      </c>
      <c r="AG195" s="90">
        <v>5</v>
      </c>
      <c r="AH195" s="90">
        <v>6</v>
      </c>
      <c r="AI195" s="90">
        <v>7</v>
      </c>
      <c r="AJ195" s="90">
        <v>8</v>
      </c>
      <c r="AK195" s="90">
        <v>9</v>
      </c>
      <c r="AL195" s="91">
        <v>0</v>
      </c>
      <c r="AM195" s="91">
        <v>1</v>
      </c>
      <c r="AN195" s="91">
        <v>2</v>
      </c>
      <c r="AO195" s="91">
        <v>3</v>
      </c>
      <c r="AP195" s="91">
        <v>4</v>
      </c>
      <c r="AQ195" s="91">
        <v>5</v>
      </c>
      <c r="AR195" s="91">
        <v>6</v>
      </c>
      <c r="AS195" s="91">
        <v>7</v>
      </c>
      <c r="AT195" s="91">
        <v>8</v>
      </c>
      <c r="AU195" s="91">
        <v>9</v>
      </c>
      <c r="AV195" s="92">
        <v>0</v>
      </c>
      <c r="AW195" s="92">
        <v>1</v>
      </c>
      <c r="AX195" s="92">
        <v>2</v>
      </c>
      <c r="AY195" s="92">
        <v>3</v>
      </c>
      <c r="AZ195" s="92">
        <v>4</v>
      </c>
      <c r="BA195" s="92">
        <v>5</v>
      </c>
      <c r="BB195" s="92">
        <v>6</v>
      </c>
      <c r="BC195" s="92">
        <v>7</v>
      </c>
      <c r="BD195" s="92">
        <v>8</v>
      </c>
      <c r="BE195" s="92">
        <v>9</v>
      </c>
      <c r="BF195" s="93">
        <v>0</v>
      </c>
      <c r="BG195" s="93">
        <v>1</v>
      </c>
      <c r="BH195" s="93">
        <v>2</v>
      </c>
      <c r="BI195" s="93">
        <v>3</v>
      </c>
      <c r="BJ195" s="93">
        <v>4</v>
      </c>
      <c r="BK195" s="93">
        <v>5</v>
      </c>
      <c r="BL195" s="93">
        <v>6</v>
      </c>
      <c r="BM195" s="93">
        <v>7</v>
      </c>
      <c r="BN195" s="93">
        <v>8</v>
      </c>
      <c r="BO195" s="93">
        <v>9</v>
      </c>
      <c r="BP195" s="94" t="str">
        <f t="shared" si="182"/>
        <v>紧凑型</v>
      </c>
      <c r="BQ195" s="15">
        <f t="shared" si="179"/>
        <v>1</v>
      </c>
      <c r="BR195" s="15">
        <f t="shared" si="180"/>
        <v>2</v>
      </c>
      <c r="BS195" s="20" t="str">
        <f t="shared" si="184"/>
        <v/>
      </c>
      <c r="BT195" s="21">
        <f t="shared" si="185"/>
        <v>2</v>
      </c>
      <c r="BU195" s="21" t="str">
        <f t="array" ref="BU195">_xlfn.TEXTJOIN("",TRUE,IF(ISERROR(FIND(ROW($1:$168)-1,BS195&amp;BT195)),ROW($1:$168)-1,""))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95" s="22" t="str">
        <f t="shared" si="186"/>
        <v>中隔中</v>
      </c>
      <c r="BW195" s="23">
        <f t="shared" si="197"/>
        <v>1</v>
      </c>
      <c r="BX195" s="23" t="str">
        <f t="shared" si="195"/>
        <v/>
      </c>
      <c r="BY195" s="23" t="str">
        <f t="array" ref="BY195">_xlfn.TEXTJOIN("",TRUE,IF(ISERROR(FIND(ROW($1:$168)-1,BW195&amp;BX195)),ROW($1:$168)-1,""))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95" s="22" t="str">
        <f t="shared" si="187"/>
        <v>复中中</v>
      </c>
      <c r="CA195" s="24">
        <f t="shared" si="188"/>
        <v>1</v>
      </c>
      <c r="CB195" s="24" t="str">
        <f t="shared" si="196"/>
        <v/>
      </c>
      <c r="CC195" s="24" t="str">
        <f t="array" ref="CC195">_xlfn.TEXTJOIN("",TRUE,IF(ISERROR(FIND(ROW($1:$168)-1,CA195&amp;CB195)),ROW($1:$168)-1,""))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95" s="22" t="str">
        <f t="shared" si="189"/>
        <v>复中中</v>
      </c>
      <c r="CE195" s="25" t="str">
        <f t="shared" si="183"/>
        <v>13</v>
      </c>
      <c r="CF195" s="26" t="str">
        <f t="array" ref="CF195">_xlfn.TEXTJOIN("",TRUE,IF(ISNUMBER(FIND(MID(CE194&amp;W194,ROW($1:$162),1),CE195&amp;W195)),MID(CE194&amp;W194,ROW($1:$162),1),""))</f>
        <v>23</v>
      </c>
      <c r="CG195" s="27" t="str">
        <f t="array" ref="CG195">_xlfn.TEXTJOIN("",TRUE,IF(ISERROR(FIND(ROW($1:$168)-1,CE195&amp;CF195)),ROW($1:$168)-1,""))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195" s="28" t="str">
        <f t="shared" si="190"/>
        <v>邻传孤</v>
      </c>
      <c r="CI195" s="29" t="str">
        <f t="shared" si="191"/>
        <v>02</v>
      </c>
      <c r="CJ195" s="29" t="str">
        <f t="array" ref="CJ195">_xlfn.TEXTJOIN("",TRUE,IF(ISNUMBER(FIND(MID(CI194&amp;X194,ROW($1:$162),1),CI195&amp;X195)),MID(CI194&amp;X194,ROW($1:$162),1),""))</f>
        <v>021</v>
      </c>
      <c r="CK195" s="29" t="str">
        <f t="array" ref="CK195">_xlfn.TEXTJOIN("",TRUE,IF(ISERROR(FIND(ROW($1:$168)-1,CI195&amp;CJ195)),ROW($1:$168)-1,""))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95" s="19" t="str">
        <f t="shared" si="192"/>
        <v>邻传孤</v>
      </c>
      <c r="CM195" s="24" t="str">
        <f t="shared" si="193"/>
        <v>02</v>
      </c>
      <c r="CN195" s="24" t="str">
        <f t="array" ref="CN195">_xlfn.TEXTJOIN("",TRUE,IF(ISNUMBER(FIND(MID(CM194&amp;Y194,ROW($1:$162),1),CM195&amp;Y195)),MID(CM194&amp;Y194,ROW($1:$162),1),""))</f>
        <v/>
      </c>
      <c r="CO195" s="24" t="str">
        <f t="array" ref="CO195">_xlfn.TEXTJOIN("",TRUE,IF(ISERROR(FIND(ROW($1:$168)-1,CM195&amp;CN195)),ROW($1:$168)-1,""))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95" s="30" t="str">
        <f t="shared" si="194"/>
        <v>邻孤孤</v>
      </c>
    </row>
    <row r="196" spans="1:94">
      <c r="A196" s="15">
        <v>196</v>
      </c>
      <c r="B196" s="80">
        <v>2024165</v>
      </c>
      <c r="C196" s="8" t="s">
        <v>208</v>
      </c>
      <c r="D196" s="81">
        <f t="shared" si="198"/>
        <v>10</v>
      </c>
      <c r="E196" s="82">
        <f t="shared" si="199"/>
        <v>0</v>
      </c>
      <c r="F196" s="83">
        <f t="shared" ref="F196:F259" si="203">IF(L196=0,0.1,D196/L196)</f>
        <v>2.5</v>
      </c>
      <c r="G196" s="84" t="str">
        <f t="shared" ref="G196:G259" si="204">IF(F196=0.1,"极紧凑",IF(F196&gt;3.5,"紧凑",IF(AND(F196&gt;=2,F196&lt;=3.5),"标准",IF(AND(F196&gt;=1,F196&lt;2),"松散",""))))</f>
        <v>标准</v>
      </c>
      <c r="H196" s="85" t="s">
        <v>10</v>
      </c>
      <c r="I196" s="85" t="s">
        <v>11</v>
      </c>
      <c r="J196" s="85" t="s">
        <v>12</v>
      </c>
      <c r="K196" s="85" t="s">
        <v>13</v>
      </c>
      <c r="L196" s="86">
        <f>MAX(MID(C196,{1,2,3},1)*1)-MIN(MID(C196,{1,2,3},1)*1)</f>
        <v>4</v>
      </c>
      <c r="M196" s="87">
        <v>0</v>
      </c>
      <c r="N196" s="87">
        <v>1</v>
      </c>
      <c r="O196" s="87">
        <v>2</v>
      </c>
      <c r="P196" s="87">
        <v>3</v>
      </c>
      <c r="Q196" s="87">
        <v>4</v>
      </c>
      <c r="R196" s="87">
        <v>5</v>
      </c>
      <c r="S196" s="87">
        <v>6</v>
      </c>
      <c r="T196" s="87">
        <v>7</v>
      </c>
      <c r="U196" s="87">
        <v>8</v>
      </c>
      <c r="V196" s="87">
        <v>9</v>
      </c>
      <c r="W196" s="88">
        <f t="shared" si="200"/>
        <v>3</v>
      </c>
      <c r="X196" s="88">
        <f t="shared" si="201"/>
        <v>4</v>
      </c>
      <c r="Y196" s="88">
        <f t="shared" si="202"/>
        <v>1</v>
      </c>
      <c r="Z196" s="89">
        <f t="shared" si="181"/>
        <v>8</v>
      </c>
      <c r="AA196" s="17" t="str">
        <f>_xlfn.TEXTJOIN(", ",TRUE,ABS(MID(C196,{1,1,2},1)-MID(C196,{2,3,3},1)))</f>
        <v>3, 4, 1</v>
      </c>
      <c r="AB196" s="90">
        <v>0</v>
      </c>
      <c r="AC196" s="90">
        <v>1</v>
      </c>
      <c r="AD196" s="90">
        <v>2</v>
      </c>
      <c r="AE196" s="90">
        <v>3</v>
      </c>
      <c r="AF196" s="90">
        <v>4</v>
      </c>
      <c r="AG196" s="90">
        <v>5</v>
      </c>
      <c r="AH196" s="90">
        <v>6</v>
      </c>
      <c r="AI196" s="90">
        <v>7</v>
      </c>
      <c r="AJ196" s="90">
        <v>8</v>
      </c>
      <c r="AK196" s="90">
        <v>9</v>
      </c>
      <c r="AL196" s="91">
        <v>0</v>
      </c>
      <c r="AM196" s="91">
        <v>1</v>
      </c>
      <c r="AN196" s="91">
        <v>2</v>
      </c>
      <c r="AO196" s="91">
        <v>3</v>
      </c>
      <c r="AP196" s="91">
        <v>4</v>
      </c>
      <c r="AQ196" s="91">
        <v>5</v>
      </c>
      <c r="AR196" s="91">
        <v>6</v>
      </c>
      <c r="AS196" s="91">
        <v>7</v>
      </c>
      <c r="AT196" s="91">
        <v>8</v>
      </c>
      <c r="AU196" s="91">
        <v>9</v>
      </c>
      <c r="AV196" s="92">
        <v>0</v>
      </c>
      <c r="AW196" s="92">
        <v>1</v>
      </c>
      <c r="AX196" s="92">
        <v>2</v>
      </c>
      <c r="AY196" s="92">
        <v>3</v>
      </c>
      <c r="AZ196" s="92">
        <v>4</v>
      </c>
      <c r="BA196" s="92">
        <v>5</v>
      </c>
      <c r="BB196" s="92">
        <v>6</v>
      </c>
      <c r="BC196" s="92">
        <v>7</v>
      </c>
      <c r="BD196" s="92">
        <v>8</v>
      </c>
      <c r="BE196" s="92">
        <v>9</v>
      </c>
      <c r="BF196" s="93">
        <v>0</v>
      </c>
      <c r="BG196" s="93">
        <v>1</v>
      </c>
      <c r="BH196" s="93">
        <v>2</v>
      </c>
      <c r="BI196" s="93">
        <v>3</v>
      </c>
      <c r="BJ196" s="93">
        <v>4</v>
      </c>
      <c r="BK196" s="93">
        <v>5</v>
      </c>
      <c r="BL196" s="93">
        <v>6</v>
      </c>
      <c r="BM196" s="93">
        <v>7</v>
      </c>
      <c r="BN196" s="93">
        <v>8</v>
      </c>
      <c r="BO196" s="93">
        <v>9</v>
      </c>
      <c r="BP196" s="94" t="str">
        <f t="shared" si="182"/>
        <v>紧凑型</v>
      </c>
      <c r="BQ196" s="15">
        <f t="shared" si="179"/>
        <v>1</v>
      </c>
      <c r="BR196" s="15">
        <f t="shared" si="180"/>
        <v>4</v>
      </c>
      <c r="BS196" s="20" t="str">
        <f t="shared" si="184"/>
        <v/>
      </c>
      <c r="BT196" s="21">
        <f t="shared" si="185"/>
        <v>3</v>
      </c>
      <c r="BU196" s="21" t="str">
        <f t="array" ref="BU196">_xlfn.TEXTJOIN("",TRUE,IF(ISERROR(FIND(ROW($1:$168)-1,BS196&amp;BT196)),ROW($1:$168)-1,""))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96" s="22" t="str">
        <f t="shared" si="186"/>
        <v>中隔中</v>
      </c>
      <c r="BW196" s="23" t="str">
        <f t="shared" si="197"/>
        <v/>
      </c>
      <c r="BX196" s="23">
        <f t="shared" si="195"/>
        <v>4</v>
      </c>
      <c r="BY196" s="23" t="str">
        <f t="array" ref="BY196">_xlfn.TEXTJOIN("",TRUE,IF(ISERROR(FIND(ROW($1:$168)-1,BW196&amp;BX196)),ROW($1:$168)-1,""))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96" s="22" t="str">
        <f t="shared" si="187"/>
        <v>中隔中</v>
      </c>
      <c r="CA196" s="24">
        <f t="shared" si="188"/>
        <v>1</v>
      </c>
      <c r="CB196" s="24">
        <f t="shared" si="196"/>
        <v>1</v>
      </c>
      <c r="CC196" s="24" t="str">
        <f t="array" ref="CC196">_xlfn.TEXTJOIN("",TRUE,IF(ISERROR(FIND(ROW($1:$168)-1,CA196&amp;CB196)),ROW($1:$168)-1,""))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96" s="22" t="str">
        <f t="shared" si="189"/>
        <v>复隔中</v>
      </c>
      <c r="CE196" s="25" t="str">
        <f t="shared" si="183"/>
        <v>24</v>
      </c>
      <c r="CF196" s="26" t="str">
        <f t="array" ref="CF196">_xlfn.TEXTJOIN("",TRUE,IF(ISNUMBER(FIND(MID(CE195&amp;W195,ROW($1:$162),1),CE196&amp;W196)),MID(CE195&amp;W195,ROW($1:$162),1),""))</f>
        <v>32</v>
      </c>
      <c r="CG196" s="27" t="str">
        <f t="array" ref="CG196">_xlfn.TEXTJOIN("",TRUE,IF(ISERROR(FIND(ROW($1:$168)-1,CE196&amp;CF196)),ROW($1:$168)-1,""))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96" s="28" t="str">
        <f t="shared" si="190"/>
        <v>邻传孤</v>
      </c>
      <c r="CI196" s="29" t="str">
        <f t="shared" si="191"/>
        <v>35</v>
      </c>
      <c r="CJ196" s="29" t="str">
        <f t="array" ref="CJ196">_xlfn.TEXTJOIN("",TRUE,IF(ISNUMBER(FIND(MID(CI195&amp;X195,ROW($1:$162),1),CI196&amp;X196)),MID(CI195&amp;X195,ROW($1:$162),1),""))</f>
        <v/>
      </c>
      <c r="CK196" s="29" t="str">
        <f t="array" ref="CK196">_xlfn.TEXTJOIN("",TRUE,IF(ISERROR(FIND(ROW($1:$168)-1,CI196&amp;CJ196)),ROW($1:$168)-1,""))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96" s="19" t="str">
        <f t="shared" si="192"/>
        <v>邻孤孤</v>
      </c>
      <c r="CM196" s="24" t="str">
        <f t="shared" si="193"/>
        <v>02</v>
      </c>
      <c r="CN196" s="24" t="str">
        <f t="array" ref="CN196">_xlfn.TEXTJOIN("",TRUE,IF(ISNUMBER(FIND(MID(CM195&amp;Y195,ROW($1:$162),1),CM196&amp;Y196)),MID(CM195&amp;Y195,ROW($1:$162),1),""))</f>
        <v>021</v>
      </c>
      <c r="CO196" s="24" t="str">
        <f t="array" ref="CO196">_xlfn.TEXTJOIN("",TRUE,IF(ISERROR(FIND(ROW($1:$168)-1,CM196&amp;CN196)),ROW($1:$168)-1,""))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96" s="30" t="str">
        <f t="shared" si="194"/>
        <v>邻传孤</v>
      </c>
    </row>
    <row r="197" spans="1:94">
      <c r="A197" s="15">
        <v>197</v>
      </c>
      <c r="B197" s="80">
        <v>2024166</v>
      </c>
      <c r="C197" s="8" t="s">
        <v>131</v>
      </c>
      <c r="D197" s="81">
        <f t="shared" si="198"/>
        <v>19</v>
      </c>
      <c r="E197" s="82">
        <f t="shared" si="199"/>
        <v>9</v>
      </c>
      <c r="F197" s="83">
        <f t="shared" si="203"/>
        <v>3.16666666666667</v>
      </c>
      <c r="G197" s="84" t="str">
        <f t="shared" si="204"/>
        <v>标准</v>
      </c>
      <c r="H197" s="85" t="s">
        <v>10</v>
      </c>
      <c r="I197" s="85" t="s">
        <v>11</v>
      </c>
      <c r="J197" s="85" t="s">
        <v>12</v>
      </c>
      <c r="K197" s="85" t="s">
        <v>13</v>
      </c>
      <c r="L197" s="86">
        <f>MAX(MID(C197,{1,2,3},1)*1)-MIN(MID(C197,{1,2,3},1)*1)</f>
        <v>6</v>
      </c>
      <c r="M197" s="87">
        <v>0</v>
      </c>
      <c r="N197" s="87">
        <v>1</v>
      </c>
      <c r="O197" s="87">
        <v>2</v>
      </c>
      <c r="P197" s="87">
        <v>3</v>
      </c>
      <c r="Q197" s="87">
        <v>4</v>
      </c>
      <c r="R197" s="87">
        <v>5</v>
      </c>
      <c r="S197" s="87">
        <v>6</v>
      </c>
      <c r="T197" s="87">
        <v>7</v>
      </c>
      <c r="U197" s="87">
        <v>8</v>
      </c>
      <c r="V197" s="87">
        <v>9</v>
      </c>
      <c r="W197" s="88">
        <f t="shared" si="200"/>
        <v>6</v>
      </c>
      <c r="X197" s="88">
        <f t="shared" si="201"/>
        <v>4</v>
      </c>
      <c r="Y197" s="88">
        <f t="shared" si="202"/>
        <v>2</v>
      </c>
      <c r="Z197" s="89">
        <f t="shared" si="181"/>
        <v>12</v>
      </c>
      <c r="AA197" s="17" t="str">
        <f>_xlfn.TEXTJOIN(", ",TRUE,ABS(MID(C197,{1,1,2},1)-MID(C197,{2,3,3},1)))</f>
        <v>6, 4, 2</v>
      </c>
      <c r="AB197" s="90">
        <v>0</v>
      </c>
      <c r="AC197" s="90">
        <v>1</v>
      </c>
      <c r="AD197" s="90">
        <v>2</v>
      </c>
      <c r="AE197" s="90">
        <v>3</v>
      </c>
      <c r="AF197" s="90">
        <v>4</v>
      </c>
      <c r="AG197" s="90">
        <v>5</v>
      </c>
      <c r="AH197" s="90">
        <v>6</v>
      </c>
      <c r="AI197" s="90">
        <v>7</v>
      </c>
      <c r="AJ197" s="90">
        <v>8</v>
      </c>
      <c r="AK197" s="90">
        <v>9</v>
      </c>
      <c r="AL197" s="91">
        <v>0</v>
      </c>
      <c r="AM197" s="91">
        <v>1</v>
      </c>
      <c r="AN197" s="91">
        <v>2</v>
      </c>
      <c r="AO197" s="91">
        <v>3</v>
      </c>
      <c r="AP197" s="91">
        <v>4</v>
      </c>
      <c r="AQ197" s="91">
        <v>5</v>
      </c>
      <c r="AR197" s="91">
        <v>6</v>
      </c>
      <c r="AS197" s="91">
        <v>7</v>
      </c>
      <c r="AT197" s="91">
        <v>8</v>
      </c>
      <c r="AU197" s="91">
        <v>9</v>
      </c>
      <c r="AV197" s="92">
        <v>0</v>
      </c>
      <c r="AW197" s="92">
        <v>1</v>
      </c>
      <c r="AX197" s="92">
        <v>2</v>
      </c>
      <c r="AY197" s="92">
        <v>3</v>
      </c>
      <c r="AZ197" s="92">
        <v>4</v>
      </c>
      <c r="BA197" s="92">
        <v>5</v>
      </c>
      <c r="BB197" s="92">
        <v>6</v>
      </c>
      <c r="BC197" s="92">
        <v>7</v>
      </c>
      <c r="BD197" s="92">
        <v>8</v>
      </c>
      <c r="BE197" s="92">
        <v>9</v>
      </c>
      <c r="BF197" s="93">
        <v>0</v>
      </c>
      <c r="BG197" s="93">
        <v>1</v>
      </c>
      <c r="BH197" s="93">
        <v>2</v>
      </c>
      <c r="BI197" s="93">
        <v>3</v>
      </c>
      <c r="BJ197" s="93">
        <v>4</v>
      </c>
      <c r="BK197" s="93">
        <v>5</v>
      </c>
      <c r="BL197" s="93">
        <v>6</v>
      </c>
      <c r="BM197" s="93">
        <v>7</v>
      </c>
      <c r="BN197" s="93">
        <v>8</v>
      </c>
      <c r="BO197" s="93">
        <v>9</v>
      </c>
      <c r="BP197" s="94" t="str">
        <f t="shared" si="182"/>
        <v>松散型</v>
      </c>
      <c r="BQ197" s="15">
        <f t="shared" si="179"/>
        <v>2</v>
      </c>
      <c r="BR197" s="15">
        <f t="shared" si="180"/>
        <v>6</v>
      </c>
      <c r="BS197" s="20" t="str">
        <f t="shared" si="184"/>
        <v/>
      </c>
      <c r="BT197" s="21" t="str">
        <f t="shared" si="185"/>
        <v/>
      </c>
      <c r="BU197" s="21" t="str">
        <f t="array" ref="BU197">_xlfn.TEXTJOIN("",TRUE,IF(ISERROR(FIND(ROW($1:$168)-1,BS197&amp;BT197)),ROW($1:$168)-1,""))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97" s="22" t="str">
        <f t="shared" si="186"/>
        <v>中中中</v>
      </c>
      <c r="BW197" s="23">
        <f t="shared" si="197"/>
        <v>4</v>
      </c>
      <c r="BX197" s="23" t="str">
        <f t="shared" si="195"/>
        <v/>
      </c>
      <c r="BY197" s="23" t="str">
        <f t="array" ref="BY197">_xlfn.TEXTJOIN("",TRUE,IF(ISERROR(FIND(ROW($1:$168)-1,BW197&amp;BX197)),ROW($1:$168)-1,""))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97" s="22" t="str">
        <f t="shared" si="187"/>
        <v>复中中</v>
      </c>
      <c r="CA197" s="24" t="str">
        <f t="shared" si="188"/>
        <v/>
      </c>
      <c r="CB197" s="24">
        <f t="shared" si="196"/>
        <v>2</v>
      </c>
      <c r="CC197" s="24" t="str">
        <f t="array" ref="CC197">_xlfn.TEXTJOIN("",TRUE,IF(ISERROR(FIND(ROW($1:$168)-1,CA197&amp;CB197)),ROW($1:$168)-1,""))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97" s="22" t="str">
        <f t="shared" si="189"/>
        <v>中隔中</v>
      </c>
      <c r="CE197" s="25" t="str">
        <f t="shared" si="183"/>
        <v>57</v>
      </c>
      <c r="CF197" s="26" t="str">
        <f t="array" ref="CF197">_xlfn.TEXTJOIN("",TRUE,IF(ISNUMBER(FIND(MID(CE196&amp;W196,ROW($1:$162),1),CE197&amp;W197)),MID(CE196&amp;W196,ROW($1:$162),1),""))</f>
        <v/>
      </c>
      <c r="CG197" s="27" t="str">
        <f t="array" ref="CG197">_xlfn.TEXTJOIN("",TRUE,IF(ISERROR(FIND(ROW($1:$168)-1,CE197&amp;CF197)),ROW($1:$168)-1,""))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197" s="28" t="str">
        <f t="shared" si="190"/>
        <v>邻孤孤</v>
      </c>
      <c r="CI197" s="29" t="str">
        <f t="shared" si="191"/>
        <v>35</v>
      </c>
      <c r="CJ197" s="29" t="str">
        <f t="array" ref="CJ197">_xlfn.TEXTJOIN("",TRUE,IF(ISNUMBER(FIND(MID(CI196&amp;X196,ROW($1:$162),1),CI197&amp;X197)),MID(CI196&amp;X196,ROW($1:$162),1),""))</f>
        <v>354</v>
      </c>
      <c r="CK197" s="29" t="str">
        <f t="array" ref="CK197">_xlfn.TEXTJOIN("",TRUE,IF(ISERROR(FIND(ROW($1:$168)-1,CI197&amp;CJ197)),ROW($1:$168)-1,""))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97" s="19" t="str">
        <f t="shared" si="192"/>
        <v>邻传孤</v>
      </c>
      <c r="CM197" s="24" t="str">
        <f t="shared" si="193"/>
        <v>13</v>
      </c>
      <c r="CN197" s="24" t="str">
        <f t="array" ref="CN197">_xlfn.TEXTJOIN("",TRUE,IF(ISNUMBER(FIND(MID(CM196&amp;Y196,ROW($1:$162),1),CM197&amp;Y197)),MID(CM196&amp;Y196,ROW($1:$162),1),""))</f>
        <v>21</v>
      </c>
      <c r="CO197" s="24" t="str">
        <f t="array" ref="CO197">_xlfn.TEXTJOIN("",TRUE,IF(ISERROR(FIND(ROW($1:$168)-1,CM197&amp;CN197)),ROW($1:$168)-1,""))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197" s="30" t="str">
        <f t="shared" si="194"/>
        <v>邻传孤</v>
      </c>
    </row>
    <row r="198" spans="1:94">
      <c r="A198" s="15">
        <v>198</v>
      </c>
      <c r="B198" s="80">
        <v>2024167</v>
      </c>
      <c r="C198" s="8" t="s">
        <v>209</v>
      </c>
      <c r="D198" s="81">
        <f t="shared" si="198"/>
        <v>4</v>
      </c>
      <c r="E198" s="82">
        <f t="shared" si="199"/>
        <v>4</v>
      </c>
      <c r="F198" s="83">
        <f t="shared" si="203"/>
        <v>2</v>
      </c>
      <c r="G198" s="84" t="str">
        <f t="shared" si="204"/>
        <v>标准</v>
      </c>
      <c r="H198" s="85" t="s">
        <v>10</v>
      </c>
      <c r="I198" s="85" t="s">
        <v>11</v>
      </c>
      <c r="J198" s="85" t="s">
        <v>12</v>
      </c>
      <c r="K198" s="85" t="s">
        <v>13</v>
      </c>
      <c r="L198" s="86">
        <f>MAX(MID(C198,{1,2,3},1)*1)-MIN(MID(C198,{1,2,3},1)*1)</f>
        <v>2</v>
      </c>
      <c r="M198" s="87">
        <v>0</v>
      </c>
      <c r="N198" s="87">
        <v>1</v>
      </c>
      <c r="O198" s="87">
        <v>2</v>
      </c>
      <c r="P198" s="87">
        <v>3</v>
      </c>
      <c r="Q198" s="87">
        <v>4</v>
      </c>
      <c r="R198" s="87">
        <v>5</v>
      </c>
      <c r="S198" s="87">
        <v>6</v>
      </c>
      <c r="T198" s="87">
        <v>7</v>
      </c>
      <c r="U198" s="87">
        <v>8</v>
      </c>
      <c r="V198" s="87">
        <v>9</v>
      </c>
      <c r="W198" s="88">
        <f t="shared" si="200"/>
        <v>0</v>
      </c>
      <c r="X198" s="88">
        <f t="shared" si="201"/>
        <v>2</v>
      </c>
      <c r="Y198" s="88">
        <f t="shared" si="202"/>
        <v>2</v>
      </c>
      <c r="Z198" s="89">
        <f t="shared" si="181"/>
        <v>4</v>
      </c>
      <c r="AA198" s="17" t="str">
        <f>_xlfn.TEXTJOIN(", ",TRUE,ABS(MID(C198,{1,1,2},1)-MID(C198,{2,3,3},1)))</f>
        <v>0, 2, 2</v>
      </c>
      <c r="AB198" s="90">
        <v>0</v>
      </c>
      <c r="AC198" s="90">
        <v>1</v>
      </c>
      <c r="AD198" s="90">
        <v>2</v>
      </c>
      <c r="AE198" s="90">
        <v>3</v>
      </c>
      <c r="AF198" s="90">
        <v>4</v>
      </c>
      <c r="AG198" s="90">
        <v>5</v>
      </c>
      <c r="AH198" s="90">
        <v>6</v>
      </c>
      <c r="AI198" s="90">
        <v>7</v>
      </c>
      <c r="AJ198" s="90">
        <v>8</v>
      </c>
      <c r="AK198" s="90">
        <v>9</v>
      </c>
      <c r="AL198" s="91">
        <v>0</v>
      </c>
      <c r="AM198" s="91">
        <v>1</v>
      </c>
      <c r="AN198" s="91">
        <v>2</v>
      </c>
      <c r="AO198" s="91">
        <v>3</v>
      </c>
      <c r="AP198" s="91">
        <v>4</v>
      </c>
      <c r="AQ198" s="91">
        <v>5</v>
      </c>
      <c r="AR198" s="91">
        <v>6</v>
      </c>
      <c r="AS198" s="91">
        <v>7</v>
      </c>
      <c r="AT198" s="91">
        <v>8</v>
      </c>
      <c r="AU198" s="91">
        <v>9</v>
      </c>
      <c r="AV198" s="92">
        <v>0</v>
      </c>
      <c r="AW198" s="92">
        <v>1</v>
      </c>
      <c r="AX198" s="92">
        <v>2</v>
      </c>
      <c r="AY198" s="92">
        <v>3</v>
      </c>
      <c r="AZ198" s="92">
        <v>4</v>
      </c>
      <c r="BA198" s="92">
        <v>5</v>
      </c>
      <c r="BB198" s="92">
        <v>6</v>
      </c>
      <c r="BC198" s="92">
        <v>7</v>
      </c>
      <c r="BD198" s="92">
        <v>8</v>
      </c>
      <c r="BE198" s="92">
        <v>9</v>
      </c>
      <c r="BF198" s="93">
        <v>0</v>
      </c>
      <c r="BG198" s="93">
        <v>1</v>
      </c>
      <c r="BH198" s="93">
        <v>2</v>
      </c>
      <c r="BI198" s="93">
        <v>3</v>
      </c>
      <c r="BJ198" s="93">
        <v>4</v>
      </c>
      <c r="BK198" s="93">
        <v>5</v>
      </c>
      <c r="BL198" s="93">
        <v>6</v>
      </c>
      <c r="BM198" s="93">
        <v>7</v>
      </c>
      <c r="BN198" s="93">
        <v>8</v>
      </c>
      <c r="BO198" s="93">
        <v>9</v>
      </c>
      <c r="BP198" s="94" t="str">
        <f t="shared" si="182"/>
        <v>紧凑型</v>
      </c>
      <c r="BQ198" s="15">
        <f t="shared" si="179"/>
        <v>0</v>
      </c>
      <c r="BR198" s="15">
        <f t="shared" si="180"/>
        <v>2</v>
      </c>
      <c r="BS198" s="20" t="str">
        <f t="shared" si="184"/>
        <v/>
      </c>
      <c r="BT198" s="21" t="str">
        <f t="shared" si="185"/>
        <v/>
      </c>
      <c r="BU198" s="21" t="str">
        <f t="array" ref="BU198">_xlfn.TEXTJOIN("",TRUE,IF(ISERROR(FIND(ROW($1:$168)-1,BS198&amp;BT198)),ROW($1:$168)-1,""))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98" s="22" t="str">
        <f t="shared" si="186"/>
        <v>中中中</v>
      </c>
      <c r="BW198" s="23">
        <f t="shared" si="197"/>
        <v>2</v>
      </c>
      <c r="BX198" s="23" t="str">
        <f t="shared" si="195"/>
        <v/>
      </c>
      <c r="BY198" s="23" t="str">
        <f t="array" ref="BY198">_xlfn.TEXTJOIN("",TRUE,IF(ISERROR(FIND(ROW($1:$168)-1,BW198&amp;BX198)),ROW($1:$168)-1,""))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98" s="22" t="str">
        <f t="shared" si="187"/>
        <v>复中中</v>
      </c>
      <c r="CA198" s="24">
        <f t="shared" si="188"/>
        <v>2</v>
      </c>
      <c r="CB198" s="24" t="str">
        <f t="shared" si="196"/>
        <v/>
      </c>
      <c r="CC198" s="24" t="str">
        <f t="array" ref="CC198">_xlfn.TEXTJOIN("",TRUE,IF(ISERROR(FIND(ROW($1:$168)-1,CA198&amp;CB198)),ROW($1:$168)-1,""))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98" s="22" t="str">
        <f t="shared" si="189"/>
        <v>复中中</v>
      </c>
      <c r="CE198" s="25" t="str">
        <f t="shared" si="183"/>
        <v>91</v>
      </c>
      <c r="CF198" s="26" t="str">
        <f t="array" ref="CF198">_xlfn.TEXTJOIN("",TRUE,IF(ISNUMBER(FIND(MID(CE197&amp;W197,ROW($1:$162),1),CE198&amp;W198)),MID(CE197&amp;W197,ROW($1:$162),1),""))</f>
        <v/>
      </c>
      <c r="CG198" s="27" t="str">
        <f t="array" ref="CG198">_xlfn.TEXTJOIN("",TRUE,IF(ISERROR(FIND(ROW($1:$168)-1,CE198&amp;CF198)),ROW($1:$168)-1,""))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198" s="28" t="str">
        <f t="shared" si="190"/>
        <v>邻孤孤</v>
      </c>
      <c r="CI198" s="29" t="str">
        <f t="shared" si="191"/>
        <v>13</v>
      </c>
      <c r="CJ198" s="29" t="str">
        <f t="array" ref="CJ198">_xlfn.TEXTJOIN("",TRUE,IF(ISNUMBER(FIND(MID(CI197&amp;X197,ROW($1:$162),1),CI198&amp;X198)),MID(CI197&amp;X197,ROW($1:$162),1),""))</f>
        <v>3</v>
      </c>
      <c r="CK198" s="29" t="str">
        <f t="array" ref="CK198">_xlfn.TEXTJOIN("",TRUE,IF(ISERROR(FIND(ROW($1:$168)-1,CI198&amp;CJ198)),ROW($1:$168)-1,""))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198" s="19" t="str">
        <f t="shared" si="192"/>
        <v>邻传孤</v>
      </c>
      <c r="CM198" s="24" t="str">
        <f t="shared" si="193"/>
        <v>13</v>
      </c>
      <c r="CN198" s="24" t="str">
        <f t="array" ref="CN198">_xlfn.TEXTJOIN("",TRUE,IF(ISNUMBER(FIND(MID(CM197&amp;Y197,ROW($1:$162),1),CM198&amp;Y198)),MID(CM197&amp;Y197,ROW($1:$162),1),""))</f>
        <v>132</v>
      </c>
      <c r="CO198" s="24" t="str">
        <f t="array" ref="CO198">_xlfn.TEXTJOIN("",TRUE,IF(ISERROR(FIND(ROW($1:$168)-1,CM198&amp;CN198)),ROW($1:$168)-1,""))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198" s="30" t="str">
        <f t="shared" si="194"/>
        <v>邻传孤</v>
      </c>
    </row>
    <row r="199" spans="1:94">
      <c r="A199" s="15">
        <v>199</v>
      </c>
      <c r="B199" s="80">
        <v>2024168</v>
      </c>
      <c r="C199" s="8" t="s">
        <v>210</v>
      </c>
      <c r="D199" s="81">
        <f t="shared" si="198"/>
        <v>14</v>
      </c>
      <c r="E199" s="82">
        <f t="shared" si="199"/>
        <v>4</v>
      </c>
      <c r="F199" s="83">
        <f t="shared" si="203"/>
        <v>2.8</v>
      </c>
      <c r="G199" s="84" t="str">
        <f t="shared" si="204"/>
        <v>标准</v>
      </c>
      <c r="H199" s="85" t="s">
        <v>10</v>
      </c>
      <c r="I199" s="85" t="s">
        <v>11</v>
      </c>
      <c r="J199" s="85" t="s">
        <v>12</v>
      </c>
      <c r="K199" s="85" t="s">
        <v>13</v>
      </c>
      <c r="L199" s="86">
        <f>MAX(MID(C199,{1,2,3},1)*1)-MIN(MID(C199,{1,2,3},1)*1)</f>
        <v>5</v>
      </c>
      <c r="M199" s="87">
        <v>0</v>
      </c>
      <c r="N199" s="87">
        <v>1</v>
      </c>
      <c r="O199" s="87">
        <v>2</v>
      </c>
      <c r="P199" s="87">
        <v>3</v>
      </c>
      <c r="Q199" s="87">
        <v>4</v>
      </c>
      <c r="R199" s="87">
        <v>5</v>
      </c>
      <c r="S199" s="87">
        <v>6</v>
      </c>
      <c r="T199" s="87">
        <v>7</v>
      </c>
      <c r="U199" s="87">
        <v>8</v>
      </c>
      <c r="V199" s="87">
        <v>9</v>
      </c>
      <c r="W199" s="88">
        <f t="shared" si="200"/>
        <v>2</v>
      </c>
      <c r="X199" s="88">
        <f t="shared" si="201"/>
        <v>5</v>
      </c>
      <c r="Y199" s="88">
        <f t="shared" si="202"/>
        <v>3</v>
      </c>
      <c r="Z199" s="89">
        <f t="shared" si="181"/>
        <v>10</v>
      </c>
      <c r="AA199" s="17" t="str">
        <f>_xlfn.TEXTJOIN(", ",TRUE,ABS(MID(C199,{1,1,2},1)-MID(C199,{2,3,3},1)))</f>
        <v>2, 5, 3</v>
      </c>
      <c r="AB199" s="90">
        <v>0</v>
      </c>
      <c r="AC199" s="90">
        <v>1</v>
      </c>
      <c r="AD199" s="90">
        <v>2</v>
      </c>
      <c r="AE199" s="90">
        <v>3</v>
      </c>
      <c r="AF199" s="90">
        <v>4</v>
      </c>
      <c r="AG199" s="90">
        <v>5</v>
      </c>
      <c r="AH199" s="90">
        <v>6</v>
      </c>
      <c r="AI199" s="90">
        <v>7</v>
      </c>
      <c r="AJ199" s="90">
        <v>8</v>
      </c>
      <c r="AK199" s="90">
        <v>9</v>
      </c>
      <c r="AL199" s="91">
        <v>0</v>
      </c>
      <c r="AM199" s="91">
        <v>1</v>
      </c>
      <c r="AN199" s="91">
        <v>2</v>
      </c>
      <c r="AO199" s="91">
        <v>3</v>
      </c>
      <c r="AP199" s="91">
        <v>4</v>
      </c>
      <c r="AQ199" s="91">
        <v>5</v>
      </c>
      <c r="AR199" s="91">
        <v>6</v>
      </c>
      <c r="AS199" s="91">
        <v>7</v>
      </c>
      <c r="AT199" s="91">
        <v>8</v>
      </c>
      <c r="AU199" s="91">
        <v>9</v>
      </c>
      <c r="AV199" s="92">
        <v>0</v>
      </c>
      <c r="AW199" s="92">
        <v>1</v>
      </c>
      <c r="AX199" s="92">
        <v>2</v>
      </c>
      <c r="AY199" s="92">
        <v>3</v>
      </c>
      <c r="AZ199" s="92">
        <v>4</v>
      </c>
      <c r="BA199" s="92">
        <v>5</v>
      </c>
      <c r="BB199" s="92">
        <v>6</v>
      </c>
      <c r="BC199" s="92">
        <v>7</v>
      </c>
      <c r="BD199" s="92">
        <v>8</v>
      </c>
      <c r="BE199" s="92">
        <v>9</v>
      </c>
      <c r="BF199" s="93">
        <v>0</v>
      </c>
      <c r="BG199" s="93">
        <v>1</v>
      </c>
      <c r="BH199" s="93">
        <v>2</v>
      </c>
      <c r="BI199" s="93">
        <v>3</v>
      </c>
      <c r="BJ199" s="93">
        <v>4</v>
      </c>
      <c r="BK199" s="93">
        <v>5</v>
      </c>
      <c r="BL199" s="93">
        <v>6</v>
      </c>
      <c r="BM199" s="93">
        <v>7</v>
      </c>
      <c r="BN199" s="93">
        <v>8</v>
      </c>
      <c r="BO199" s="93">
        <v>9</v>
      </c>
      <c r="BP199" s="94" t="str">
        <f t="shared" si="182"/>
        <v>标准型</v>
      </c>
      <c r="BQ199" s="15">
        <f t="shared" si="179"/>
        <v>2</v>
      </c>
      <c r="BR199" s="15">
        <f t="shared" si="180"/>
        <v>5</v>
      </c>
      <c r="BS199" s="20">
        <f t="shared" si="184"/>
        <v>2</v>
      </c>
      <c r="BT199" s="21">
        <f t="shared" si="185"/>
        <v>2</v>
      </c>
      <c r="BU199" s="21" t="str">
        <f t="array" ref="BU199">_xlfn.TEXTJOIN("",TRUE,IF(ISERROR(FIND(ROW($1:$168)-1,BS199&amp;BT199)),ROW($1:$168)-1,""))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199" s="22" t="str">
        <f t="shared" si="186"/>
        <v>复隔中</v>
      </c>
      <c r="BW199" s="23" t="str">
        <f t="shared" si="197"/>
        <v/>
      </c>
      <c r="BX199" s="23" t="str">
        <f t="shared" si="195"/>
        <v/>
      </c>
      <c r="BY199" s="23" t="str">
        <f t="array" ref="BY199">_xlfn.TEXTJOIN("",TRUE,IF(ISERROR(FIND(ROW($1:$168)-1,BW199&amp;BX199)),ROW($1:$168)-1,""))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199" s="22" t="str">
        <f t="shared" si="187"/>
        <v>中中中</v>
      </c>
      <c r="CA199" s="24" t="str">
        <f t="shared" si="188"/>
        <v/>
      </c>
      <c r="CB199" s="24" t="str">
        <f t="shared" si="196"/>
        <v/>
      </c>
      <c r="CC199" s="24" t="str">
        <f t="array" ref="CC199">_xlfn.TEXTJOIN("",TRUE,IF(ISERROR(FIND(ROW($1:$168)-1,CA199&amp;CB199)),ROW($1:$168)-1,""))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199" s="22" t="str">
        <f t="shared" si="189"/>
        <v>中中中</v>
      </c>
      <c r="CE199" s="25" t="str">
        <f t="shared" si="183"/>
        <v>13</v>
      </c>
      <c r="CF199" s="26" t="str">
        <f t="array" ref="CF199">_xlfn.TEXTJOIN("",TRUE,IF(ISNUMBER(FIND(MID(CE198&amp;W198,ROW($1:$162),1),CE199&amp;W199)),MID(CE198&amp;W198,ROW($1:$162),1),""))</f>
        <v>1</v>
      </c>
      <c r="CG199" s="27" t="str">
        <f t="array" ref="CG199">_xlfn.TEXTJOIN("",TRUE,IF(ISERROR(FIND(ROW($1:$168)-1,CE199&amp;CF199)),ROW($1:$168)-1,""))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H199" s="28" t="str">
        <f t="shared" si="190"/>
        <v>邻传孤</v>
      </c>
      <c r="CI199" s="29" t="str">
        <f t="shared" si="191"/>
        <v>46</v>
      </c>
      <c r="CJ199" s="29" t="str">
        <f t="array" ref="CJ199">_xlfn.TEXTJOIN("",TRUE,IF(ISNUMBER(FIND(MID(CI198&amp;X198,ROW($1:$162),1),CI199&amp;X199)),MID(CI198&amp;X198,ROW($1:$162),1),""))</f>
        <v/>
      </c>
      <c r="CK199" s="29" t="str">
        <f t="array" ref="CK199">_xlfn.TEXTJOIN("",TRUE,IF(ISERROR(FIND(ROW($1:$168)-1,CI199&amp;CJ199)),ROW($1:$168)-1,""))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199" s="19" t="str">
        <f t="shared" si="192"/>
        <v>邻孤孤</v>
      </c>
      <c r="CM199" s="24" t="str">
        <f t="shared" si="193"/>
        <v>24</v>
      </c>
      <c r="CN199" s="24" t="str">
        <f t="array" ref="CN199">_xlfn.TEXTJOIN("",TRUE,IF(ISNUMBER(FIND(MID(CM198&amp;Y198,ROW($1:$162),1),CM199&amp;Y199)),MID(CM198&amp;Y198,ROW($1:$162),1),""))</f>
        <v>32</v>
      </c>
      <c r="CO199" s="24" t="str">
        <f t="array" ref="CO199">_xlfn.TEXTJOIN("",TRUE,IF(ISERROR(FIND(ROW($1:$168)-1,CM199&amp;CN199)),ROW($1:$168)-1,""))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199" s="30" t="str">
        <f t="shared" si="194"/>
        <v>邻传孤</v>
      </c>
    </row>
    <row r="200" spans="1:94">
      <c r="A200" s="15">
        <v>200</v>
      </c>
      <c r="B200" s="80">
        <v>2024169</v>
      </c>
      <c r="C200" s="8" t="s">
        <v>211</v>
      </c>
      <c r="D200" s="81">
        <f t="shared" si="198"/>
        <v>6</v>
      </c>
      <c r="E200" s="82">
        <f t="shared" si="199"/>
        <v>6</v>
      </c>
      <c r="F200" s="83">
        <f t="shared" si="203"/>
        <v>1.5</v>
      </c>
      <c r="G200" s="84" t="str">
        <f t="shared" si="204"/>
        <v>松散</v>
      </c>
      <c r="H200" s="85" t="s">
        <v>10</v>
      </c>
      <c r="I200" s="85" t="s">
        <v>11</v>
      </c>
      <c r="J200" s="85" t="s">
        <v>12</v>
      </c>
      <c r="K200" s="85" t="s">
        <v>13</v>
      </c>
      <c r="L200" s="86">
        <f>MAX(MID(C200,{1,2,3},1)*1)-MIN(MID(C200,{1,2,3},1)*1)</f>
        <v>4</v>
      </c>
      <c r="M200" s="87">
        <v>0</v>
      </c>
      <c r="N200" s="87">
        <v>1</v>
      </c>
      <c r="O200" s="87">
        <v>2</v>
      </c>
      <c r="P200" s="87">
        <v>3</v>
      </c>
      <c r="Q200" s="87">
        <v>4</v>
      </c>
      <c r="R200" s="87">
        <v>5</v>
      </c>
      <c r="S200" s="87">
        <v>6</v>
      </c>
      <c r="T200" s="87">
        <v>7</v>
      </c>
      <c r="U200" s="87">
        <v>8</v>
      </c>
      <c r="V200" s="87">
        <v>9</v>
      </c>
      <c r="W200" s="88">
        <f t="shared" si="200"/>
        <v>4</v>
      </c>
      <c r="X200" s="88">
        <f t="shared" si="201"/>
        <v>2</v>
      </c>
      <c r="Y200" s="88">
        <f t="shared" si="202"/>
        <v>2</v>
      </c>
      <c r="Z200" s="89">
        <f t="shared" si="181"/>
        <v>8</v>
      </c>
      <c r="AA200" s="17" t="str">
        <f>_xlfn.TEXTJOIN(", ",TRUE,ABS(MID(C200,{1,1,2},1)-MID(C200,{2,3,3},1)))</f>
        <v>4, 2, 2</v>
      </c>
      <c r="AB200" s="90">
        <v>0</v>
      </c>
      <c r="AC200" s="90">
        <v>1</v>
      </c>
      <c r="AD200" s="90">
        <v>2</v>
      </c>
      <c r="AE200" s="90">
        <v>3</v>
      </c>
      <c r="AF200" s="90">
        <v>4</v>
      </c>
      <c r="AG200" s="90">
        <v>5</v>
      </c>
      <c r="AH200" s="90">
        <v>6</v>
      </c>
      <c r="AI200" s="90">
        <v>7</v>
      </c>
      <c r="AJ200" s="90">
        <v>8</v>
      </c>
      <c r="AK200" s="90">
        <v>9</v>
      </c>
      <c r="AL200" s="91">
        <v>0</v>
      </c>
      <c r="AM200" s="91">
        <v>1</v>
      </c>
      <c r="AN200" s="91">
        <v>2</v>
      </c>
      <c r="AO200" s="91">
        <v>3</v>
      </c>
      <c r="AP200" s="91">
        <v>4</v>
      </c>
      <c r="AQ200" s="91">
        <v>5</v>
      </c>
      <c r="AR200" s="91">
        <v>6</v>
      </c>
      <c r="AS200" s="91">
        <v>7</v>
      </c>
      <c r="AT200" s="91">
        <v>8</v>
      </c>
      <c r="AU200" s="91">
        <v>9</v>
      </c>
      <c r="AV200" s="92">
        <v>0</v>
      </c>
      <c r="AW200" s="92">
        <v>1</v>
      </c>
      <c r="AX200" s="92">
        <v>2</v>
      </c>
      <c r="AY200" s="92">
        <v>3</v>
      </c>
      <c r="AZ200" s="92">
        <v>4</v>
      </c>
      <c r="BA200" s="92">
        <v>5</v>
      </c>
      <c r="BB200" s="92">
        <v>6</v>
      </c>
      <c r="BC200" s="92">
        <v>7</v>
      </c>
      <c r="BD200" s="92">
        <v>8</v>
      </c>
      <c r="BE200" s="92">
        <v>9</v>
      </c>
      <c r="BF200" s="93">
        <v>0</v>
      </c>
      <c r="BG200" s="93">
        <v>1</v>
      </c>
      <c r="BH200" s="93">
        <v>2</v>
      </c>
      <c r="BI200" s="93">
        <v>3</v>
      </c>
      <c r="BJ200" s="93">
        <v>4</v>
      </c>
      <c r="BK200" s="93">
        <v>5</v>
      </c>
      <c r="BL200" s="93">
        <v>6</v>
      </c>
      <c r="BM200" s="93">
        <v>7</v>
      </c>
      <c r="BN200" s="93">
        <v>8</v>
      </c>
      <c r="BO200" s="93">
        <v>9</v>
      </c>
      <c r="BP200" s="94" t="str">
        <f t="shared" si="182"/>
        <v>标准型</v>
      </c>
      <c r="BQ200" s="15">
        <f t="shared" si="179"/>
        <v>2</v>
      </c>
      <c r="BR200" s="15">
        <f t="shared" si="180"/>
        <v>4</v>
      </c>
      <c r="BS200" s="20" t="str">
        <f t="shared" si="184"/>
        <v/>
      </c>
      <c r="BT200" s="21" t="str">
        <f t="shared" si="185"/>
        <v/>
      </c>
      <c r="BU200" s="21" t="str">
        <f t="array" ref="BU200">_xlfn.TEXTJOIN("",TRUE,IF(ISERROR(FIND(ROW($1:$168)-1,BS200&amp;BT200)),ROW($1:$168)-1,""))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00" s="22" t="str">
        <f t="shared" si="186"/>
        <v>中中中</v>
      </c>
      <c r="BW200" s="23">
        <f t="shared" si="197"/>
        <v>2</v>
      </c>
      <c r="BX200" s="23">
        <f t="shared" si="195"/>
        <v>2</v>
      </c>
      <c r="BY200" s="23" t="str">
        <f t="array" ref="BY200">_xlfn.TEXTJOIN("",TRUE,IF(ISERROR(FIND(ROW($1:$168)-1,BW200&amp;BX200)),ROW($1:$168)-1,""))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00" s="22" t="str">
        <f t="shared" si="187"/>
        <v>复隔中</v>
      </c>
      <c r="CA200" s="24">
        <f t="shared" si="188"/>
        <v>2</v>
      </c>
      <c r="CB200" s="24">
        <f t="shared" si="196"/>
        <v>2</v>
      </c>
      <c r="CC200" s="24" t="str">
        <f t="array" ref="CC200">_xlfn.TEXTJOIN("",TRUE,IF(ISERROR(FIND(ROW($1:$168)-1,CA200&amp;CB200)),ROW($1:$168)-1,""))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00" s="22" t="str">
        <f t="shared" si="189"/>
        <v>复隔中</v>
      </c>
      <c r="CE200" s="25" t="str">
        <f t="shared" si="183"/>
        <v>35</v>
      </c>
      <c r="CF200" s="26" t="str">
        <f t="array" ref="CF200">_xlfn.TEXTJOIN("",TRUE,IF(ISNUMBER(FIND(MID(CE199&amp;W199,ROW($1:$162),1),CE200&amp;W200)),MID(CE199&amp;W199,ROW($1:$162),1),""))</f>
        <v>3</v>
      </c>
      <c r="CG200" s="27" t="str">
        <f t="array" ref="CG200">_xlfn.TEXTJOIN("",TRUE,IF(ISERROR(FIND(ROW($1:$168)-1,CE200&amp;CF200)),ROW($1:$168)-1,""))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00" s="28" t="str">
        <f t="shared" si="190"/>
        <v>邻传孤</v>
      </c>
      <c r="CI200" s="29" t="str">
        <f t="shared" si="191"/>
        <v>13</v>
      </c>
      <c r="CJ200" s="29" t="str">
        <f t="array" ref="CJ200">_xlfn.TEXTJOIN("",TRUE,IF(ISNUMBER(FIND(MID(CI199&amp;X199,ROW($1:$162),1),CI200&amp;X200)),MID(CI199&amp;X199,ROW($1:$162),1),""))</f>
        <v/>
      </c>
      <c r="CK200" s="29" t="str">
        <f t="array" ref="CK200">_xlfn.TEXTJOIN("",TRUE,IF(ISERROR(FIND(ROW($1:$168)-1,CI200&amp;CJ200)),ROW($1:$168)-1,""))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00" s="19" t="str">
        <f t="shared" si="192"/>
        <v>邻孤孤</v>
      </c>
      <c r="CM200" s="24" t="str">
        <f t="shared" si="193"/>
        <v>13</v>
      </c>
      <c r="CN200" s="24" t="str">
        <f t="array" ref="CN200">_xlfn.TEXTJOIN("",TRUE,IF(ISNUMBER(FIND(MID(CM199&amp;Y199,ROW($1:$162),1),CM200&amp;Y200)),MID(CM199&amp;Y199,ROW($1:$162),1),""))</f>
        <v>23</v>
      </c>
      <c r="CO200" s="24" t="str">
        <f t="array" ref="CO200">_xlfn.TEXTJOIN("",TRUE,IF(ISERROR(FIND(ROW($1:$168)-1,CM200&amp;CN200)),ROW($1:$168)-1,""))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200" s="30" t="str">
        <f t="shared" si="194"/>
        <v>邻传孤</v>
      </c>
    </row>
    <row r="201" spans="1:94">
      <c r="A201" s="15">
        <v>201</v>
      </c>
      <c r="B201" s="80">
        <v>2024170</v>
      </c>
      <c r="C201" s="8" t="s">
        <v>194</v>
      </c>
      <c r="D201" s="81">
        <f t="shared" si="198"/>
        <v>9</v>
      </c>
      <c r="E201" s="82">
        <f t="shared" si="199"/>
        <v>9</v>
      </c>
      <c r="F201" s="83">
        <f t="shared" si="203"/>
        <v>3</v>
      </c>
      <c r="G201" s="84" t="str">
        <f t="shared" si="204"/>
        <v>标准</v>
      </c>
      <c r="H201" s="85" t="s">
        <v>10</v>
      </c>
      <c r="I201" s="85" t="s">
        <v>11</v>
      </c>
      <c r="J201" s="85" t="s">
        <v>12</v>
      </c>
      <c r="K201" s="85" t="s">
        <v>13</v>
      </c>
      <c r="L201" s="86">
        <f>MAX(MID(C201,{1,2,3},1)*1)-MIN(MID(C201,{1,2,3},1)*1)</f>
        <v>3</v>
      </c>
      <c r="M201" s="87">
        <v>0</v>
      </c>
      <c r="N201" s="87">
        <v>1</v>
      </c>
      <c r="O201" s="87">
        <v>2</v>
      </c>
      <c r="P201" s="87">
        <v>3</v>
      </c>
      <c r="Q201" s="87">
        <v>4</v>
      </c>
      <c r="R201" s="87">
        <v>5</v>
      </c>
      <c r="S201" s="87">
        <v>6</v>
      </c>
      <c r="T201" s="87">
        <v>7</v>
      </c>
      <c r="U201" s="87">
        <v>8</v>
      </c>
      <c r="V201" s="87">
        <v>9</v>
      </c>
      <c r="W201" s="88">
        <f t="shared" si="200"/>
        <v>0</v>
      </c>
      <c r="X201" s="88">
        <f t="shared" si="201"/>
        <v>3</v>
      </c>
      <c r="Y201" s="88">
        <f t="shared" si="202"/>
        <v>3</v>
      </c>
      <c r="Z201" s="89">
        <f t="shared" si="181"/>
        <v>6</v>
      </c>
      <c r="AA201" s="17" t="str">
        <f>_xlfn.TEXTJOIN(", ",TRUE,ABS(MID(C201,{1,1,2},1)-MID(C201,{2,3,3},1)))</f>
        <v>0, 3, 3</v>
      </c>
      <c r="AB201" s="90">
        <v>0</v>
      </c>
      <c r="AC201" s="90">
        <v>1</v>
      </c>
      <c r="AD201" s="90">
        <v>2</v>
      </c>
      <c r="AE201" s="90">
        <v>3</v>
      </c>
      <c r="AF201" s="90">
        <v>4</v>
      </c>
      <c r="AG201" s="90">
        <v>5</v>
      </c>
      <c r="AH201" s="90">
        <v>6</v>
      </c>
      <c r="AI201" s="90">
        <v>7</v>
      </c>
      <c r="AJ201" s="90">
        <v>8</v>
      </c>
      <c r="AK201" s="90">
        <v>9</v>
      </c>
      <c r="AL201" s="91">
        <v>0</v>
      </c>
      <c r="AM201" s="91">
        <v>1</v>
      </c>
      <c r="AN201" s="91">
        <v>2</v>
      </c>
      <c r="AO201" s="91">
        <v>3</v>
      </c>
      <c r="AP201" s="91">
        <v>4</v>
      </c>
      <c r="AQ201" s="91">
        <v>5</v>
      </c>
      <c r="AR201" s="91">
        <v>6</v>
      </c>
      <c r="AS201" s="91">
        <v>7</v>
      </c>
      <c r="AT201" s="91">
        <v>8</v>
      </c>
      <c r="AU201" s="91">
        <v>9</v>
      </c>
      <c r="AV201" s="92">
        <v>0</v>
      </c>
      <c r="AW201" s="92">
        <v>1</v>
      </c>
      <c r="AX201" s="92">
        <v>2</v>
      </c>
      <c r="AY201" s="92">
        <v>3</v>
      </c>
      <c r="AZ201" s="92">
        <v>4</v>
      </c>
      <c r="BA201" s="92">
        <v>5</v>
      </c>
      <c r="BB201" s="92">
        <v>6</v>
      </c>
      <c r="BC201" s="92">
        <v>7</v>
      </c>
      <c r="BD201" s="92">
        <v>8</v>
      </c>
      <c r="BE201" s="92">
        <v>9</v>
      </c>
      <c r="BF201" s="93">
        <v>0</v>
      </c>
      <c r="BG201" s="93">
        <v>1</v>
      </c>
      <c r="BH201" s="93">
        <v>2</v>
      </c>
      <c r="BI201" s="93">
        <v>3</v>
      </c>
      <c r="BJ201" s="93">
        <v>4</v>
      </c>
      <c r="BK201" s="93">
        <v>5</v>
      </c>
      <c r="BL201" s="93">
        <v>6</v>
      </c>
      <c r="BM201" s="93">
        <v>7</v>
      </c>
      <c r="BN201" s="93">
        <v>8</v>
      </c>
      <c r="BO201" s="93">
        <v>9</v>
      </c>
      <c r="BP201" s="94" t="str">
        <f t="shared" si="182"/>
        <v>紧凑型</v>
      </c>
      <c r="BQ201" s="15">
        <f t="shared" si="179"/>
        <v>0</v>
      </c>
      <c r="BR201" s="15">
        <f t="shared" si="180"/>
        <v>3</v>
      </c>
      <c r="BS201" s="20" t="str">
        <f t="shared" si="184"/>
        <v/>
      </c>
      <c r="BT201" s="21" t="str">
        <f t="shared" si="185"/>
        <v/>
      </c>
      <c r="BU201" s="21" t="str">
        <f t="array" ref="BU201">_xlfn.TEXTJOIN("",TRUE,IF(ISERROR(FIND(ROW($1:$168)-1,BS201&amp;BT201)),ROW($1:$168)-1,""))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01" s="22" t="str">
        <f t="shared" si="186"/>
        <v>中中中</v>
      </c>
      <c r="BW201" s="23" t="str">
        <f t="shared" si="197"/>
        <v/>
      </c>
      <c r="BX201" s="23">
        <f t="shared" si="195"/>
        <v>3</v>
      </c>
      <c r="BY201" s="23" t="str">
        <f t="array" ref="BY201">_xlfn.TEXTJOIN("",TRUE,IF(ISERROR(FIND(ROW($1:$168)-1,BW201&amp;BX201)),ROW($1:$168)-1,""))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01" s="22" t="str">
        <f t="shared" si="187"/>
        <v>中隔中</v>
      </c>
      <c r="CA201" s="24" t="str">
        <f t="shared" si="188"/>
        <v/>
      </c>
      <c r="CB201" s="24">
        <f t="shared" si="196"/>
        <v>3</v>
      </c>
      <c r="CC201" s="24" t="str">
        <f t="array" ref="CC201">_xlfn.TEXTJOIN("",TRUE,IF(ISERROR(FIND(ROW($1:$168)-1,CA201&amp;CB201)),ROW($1:$168)-1,""))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01" s="22" t="str">
        <f t="shared" si="189"/>
        <v>中隔中</v>
      </c>
      <c r="CE201" s="25" t="str">
        <f t="shared" si="183"/>
        <v>91</v>
      </c>
      <c r="CF201" s="26" t="str">
        <f t="array" ref="CF201">_xlfn.TEXTJOIN("",TRUE,IF(ISNUMBER(FIND(MID(CE200&amp;W200,ROW($1:$162),1),CE201&amp;W201)),MID(CE200&amp;W200,ROW($1:$162),1),""))</f>
        <v/>
      </c>
      <c r="CG201" s="27" t="str">
        <f t="array" ref="CG201">_xlfn.TEXTJOIN("",TRUE,IF(ISERROR(FIND(ROW($1:$168)-1,CE201&amp;CF201)),ROW($1:$168)-1,""))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201" s="28" t="str">
        <f t="shared" si="190"/>
        <v>邻孤孤</v>
      </c>
      <c r="CI201" s="29" t="str">
        <f t="shared" si="191"/>
        <v>24</v>
      </c>
      <c r="CJ201" s="29" t="str">
        <f t="array" ref="CJ201">_xlfn.TEXTJOIN("",TRUE,IF(ISNUMBER(FIND(MID(CI200&amp;X200,ROW($1:$162),1),CI201&amp;X201)),MID(CI200&amp;X200,ROW($1:$162),1),""))</f>
        <v>32</v>
      </c>
      <c r="CK201" s="29" t="str">
        <f t="array" ref="CK201">_xlfn.TEXTJOIN("",TRUE,IF(ISERROR(FIND(ROW($1:$168)-1,CI201&amp;CJ201)),ROW($1:$168)-1,""))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01" s="19" t="str">
        <f t="shared" si="192"/>
        <v>邻传孤</v>
      </c>
      <c r="CM201" s="24" t="str">
        <f t="shared" si="193"/>
        <v>24</v>
      </c>
      <c r="CN201" s="24" t="str">
        <f t="array" ref="CN201">_xlfn.TEXTJOIN("",TRUE,IF(ISNUMBER(FIND(MID(CM200&amp;Y200,ROW($1:$162),1),CM201&amp;Y201)),MID(CM200&amp;Y200,ROW($1:$162),1),""))</f>
        <v>32</v>
      </c>
      <c r="CO201" s="24" t="str">
        <f t="array" ref="CO201">_xlfn.TEXTJOIN("",TRUE,IF(ISERROR(FIND(ROW($1:$168)-1,CM201&amp;CN201)),ROW($1:$168)-1,""))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01" s="30" t="str">
        <f t="shared" si="194"/>
        <v>邻传孤</v>
      </c>
    </row>
    <row r="202" spans="1:94">
      <c r="A202" s="15">
        <v>202</v>
      </c>
      <c r="B202" s="80">
        <v>2024171</v>
      </c>
      <c r="C202" s="8" t="s">
        <v>212</v>
      </c>
      <c r="D202" s="81">
        <f t="shared" si="198"/>
        <v>12</v>
      </c>
      <c r="E202" s="82">
        <f t="shared" si="199"/>
        <v>2</v>
      </c>
      <c r="F202" s="83">
        <f t="shared" si="203"/>
        <v>1.5</v>
      </c>
      <c r="G202" s="84" t="str">
        <f t="shared" si="204"/>
        <v>松散</v>
      </c>
      <c r="H202" s="85" t="s">
        <v>10</v>
      </c>
      <c r="I202" s="85" t="s">
        <v>11</v>
      </c>
      <c r="J202" s="85" t="s">
        <v>12</v>
      </c>
      <c r="K202" s="85" t="s">
        <v>13</v>
      </c>
      <c r="L202" s="86">
        <f>MAX(MID(C202,{1,2,3},1)*1)-MIN(MID(C202,{1,2,3},1)*1)</f>
        <v>8</v>
      </c>
      <c r="M202" s="87">
        <v>0</v>
      </c>
      <c r="N202" s="87">
        <v>1</v>
      </c>
      <c r="O202" s="87">
        <v>2</v>
      </c>
      <c r="P202" s="87">
        <v>3</v>
      </c>
      <c r="Q202" s="87">
        <v>4</v>
      </c>
      <c r="R202" s="87">
        <v>5</v>
      </c>
      <c r="S202" s="87">
        <v>6</v>
      </c>
      <c r="T202" s="87">
        <v>7</v>
      </c>
      <c r="U202" s="87">
        <v>8</v>
      </c>
      <c r="V202" s="87">
        <v>9</v>
      </c>
      <c r="W202" s="88">
        <f t="shared" si="200"/>
        <v>4</v>
      </c>
      <c r="X202" s="88">
        <f t="shared" si="201"/>
        <v>4</v>
      </c>
      <c r="Y202" s="88">
        <f t="shared" si="202"/>
        <v>8</v>
      </c>
      <c r="Z202" s="89">
        <f t="shared" si="181"/>
        <v>16</v>
      </c>
      <c r="AA202" s="17" t="str">
        <f>_xlfn.TEXTJOIN(", ",TRUE,ABS(MID(C202,{1,1,2},1)-MID(C202,{2,3,3},1)))</f>
        <v>4, 4, 8</v>
      </c>
      <c r="AB202" s="90">
        <v>0</v>
      </c>
      <c r="AC202" s="90">
        <v>1</v>
      </c>
      <c r="AD202" s="90">
        <v>2</v>
      </c>
      <c r="AE202" s="90">
        <v>3</v>
      </c>
      <c r="AF202" s="90">
        <v>4</v>
      </c>
      <c r="AG202" s="90">
        <v>5</v>
      </c>
      <c r="AH202" s="90">
        <v>6</v>
      </c>
      <c r="AI202" s="90">
        <v>7</v>
      </c>
      <c r="AJ202" s="90">
        <v>8</v>
      </c>
      <c r="AK202" s="90">
        <v>9</v>
      </c>
      <c r="AL202" s="91">
        <v>0</v>
      </c>
      <c r="AM202" s="91">
        <v>1</v>
      </c>
      <c r="AN202" s="91">
        <v>2</v>
      </c>
      <c r="AO202" s="91">
        <v>3</v>
      </c>
      <c r="AP202" s="91">
        <v>4</v>
      </c>
      <c r="AQ202" s="91">
        <v>5</v>
      </c>
      <c r="AR202" s="91">
        <v>6</v>
      </c>
      <c r="AS202" s="91">
        <v>7</v>
      </c>
      <c r="AT202" s="91">
        <v>8</v>
      </c>
      <c r="AU202" s="91">
        <v>9</v>
      </c>
      <c r="AV202" s="92">
        <v>0</v>
      </c>
      <c r="AW202" s="92">
        <v>1</v>
      </c>
      <c r="AX202" s="92">
        <v>2</v>
      </c>
      <c r="AY202" s="92">
        <v>3</v>
      </c>
      <c r="AZ202" s="92">
        <v>4</v>
      </c>
      <c r="BA202" s="92">
        <v>5</v>
      </c>
      <c r="BB202" s="92">
        <v>6</v>
      </c>
      <c r="BC202" s="92">
        <v>7</v>
      </c>
      <c r="BD202" s="92">
        <v>8</v>
      </c>
      <c r="BE202" s="92">
        <v>9</v>
      </c>
      <c r="BF202" s="93">
        <v>0</v>
      </c>
      <c r="BG202" s="93">
        <v>1</v>
      </c>
      <c r="BH202" s="93">
        <v>2</v>
      </c>
      <c r="BI202" s="93">
        <v>3</v>
      </c>
      <c r="BJ202" s="93">
        <v>4</v>
      </c>
      <c r="BK202" s="93">
        <v>5</v>
      </c>
      <c r="BL202" s="93">
        <v>6</v>
      </c>
      <c r="BM202" s="93">
        <v>7</v>
      </c>
      <c r="BN202" s="93">
        <v>8</v>
      </c>
      <c r="BO202" s="93">
        <v>9</v>
      </c>
      <c r="BP202" s="94" t="str">
        <f t="shared" si="182"/>
        <v>松散型</v>
      </c>
      <c r="BQ202" s="15">
        <f t="shared" si="179"/>
        <v>4</v>
      </c>
      <c r="BR202" s="15">
        <f t="shared" si="180"/>
        <v>8</v>
      </c>
      <c r="BS202" s="20" t="str">
        <f t="shared" si="184"/>
        <v/>
      </c>
      <c r="BT202" s="21">
        <f t="shared" si="185"/>
        <v>4</v>
      </c>
      <c r="BU202" s="21" t="str">
        <f t="array" ref="BU202">_xlfn.TEXTJOIN("",TRUE,IF(ISERROR(FIND(ROW($1:$168)-1,BS202&amp;BT202)),ROW($1:$168)-1,""))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02" s="22" t="str">
        <f t="shared" si="186"/>
        <v>中隔中</v>
      </c>
      <c r="BW202" s="23" t="str">
        <f t="shared" si="197"/>
        <v/>
      </c>
      <c r="BX202" s="23">
        <f t="shared" si="195"/>
        <v>4</v>
      </c>
      <c r="BY202" s="23" t="str">
        <f t="array" ref="BY202">_xlfn.TEXTJOIN("",TRUE,IF(ISERROR(FIND(ROW($1:$168)-1,BW202&amp;BX202)),ROW($1:$168)-1,""))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02" s="22" t="str">
        <f t="shared" si="187"/>
        <v>中隔中</v>
      </c>
      <c r="CA202" s="24" t="str">
        <f t="shared" si="188"/>
        <v/>
      </c>
      <c r="CB202" s="24" t="str">
        <f t="shared" si="196"/>
        <v/>
      </c>
      <c r="CC202" s="24" t="str">
        <f t="array" ref="CC202">_xlfn.TEXTJOIN("",TRUE,IF(ISERROR(FIND(ROW($1:$168)-1,CA202&amp;CB202)),ROW($1:$168)-1,""))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02" s="22" t="str">
        <f t="shared" si="189"/>
        <v>中中中</v>
      </c>
      <c r="CE202" s="25" t="str">
        <f t="shared" si="183"/>
        <v>35</v>
      </c>
      <c r="CF202" s="26" t="str">
        <f t="array" ref="CF202">_xlfn.TEXTJOIN("",TRUE,IF(ISNUMBER(FIND(MID(CE201&amp;W201,ROW($1:$162),1),CE202&amp;W202)),MID(CE201&amp;W201,ROW($1:$162),1),""))</f>
        <v/>
      </c>
      <c r="CG202" s="27" t="str">
        <f t="array" ref="CG202">_xlfn.TEXTJOIN("",TRUE,IF(ISERROR(FIND(ROW($1:$168)-1,CE202&amp;CF202)),ROW($1:$168)-1,""))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02" s="28" t="str">
        <f t="shared" si="190"/>
        <v>邻孤孤</v>
      </c>
      <c r="CI202" s="29" t="str">
        <f t="shared" si="191"/>
        <v>35</v>
      </c>
      <c r="CJ202" s="29" t="str">
        <f t="array" ref="CJ202">_xlfn.TEXTJOIN("",TRUE,IF(ISNUMBER(FIND(MID(CI201&amp;X201,ROW($1:$162),1),CI202&amp;X202)),MID(CI201&amp;X201,ROW($1:$162),1),""))</f>
        <v>43</v>
      </c>
      <c r="CK202" s="29" t="str">
        <f t="array" ref="CK202">_xlfn.TEXTJOIN("",TRUE,IF(ISERROR(FIND(ROW($1:$168)-1,CI202&amp;CJ202)),ROW($1:$168)-1,""))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02" s="19" t="str">
        <f t="shared" si="192"/>
        <v>邻传孤</v>
      </c>
      <c r="CM202" s="24" t="str">
        <f t="shared" si="193"/>
        <v>79</v>
      </c>
      <c r="CN202" s="24" t="str">
        <f t="array" ref="CN202">_xlfn.TEXTJOIN("",TRUE,IF(ISNUMBER(FIND(MID(CM201&amp;Y201,ROW($1:$162),1),CM202&amp;Y202)),MID(CM201&amp;Y201,ROW($1:$162),1),""))</f>
        <v/>
      </c>
      <c r="CO202" s="24" t="str">
        <f t="array" ref="CO202">_xlfn.TEXTJOIN("",TRUE,IF(ISERROR(FIND(ROW($1:$168)-1,CM202&amp;CN202)),ROW($1:$168)-1,""))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202" s="30" t="str">
        <f t="shared" si="194"/>
        <v>邻孤孤</v>
      </c>
    </row>
    <row r="203" spans="1:94">
      <c r="A203" s="15">
        <v>203</v>
      </c>
      <c r="B203" s="80">
        <v>2024172</v>
      </c>
      <c r="C203" s="8" t="s">
        <v>213</v>
      </c>
      <c r="D203" s="81">
        <f t="shared" si="198"/>
        <v>17</v>
      </c>
      <c r="E203" s="82">
        <f t="shared" si="199"/>
        <v>7</v>
      </c>
      <c r="F203" s="83">
        <f t="shared" si="203"/>
        <v>1.88888888888889</v>
      </c>
      <c r="G203" s="84" t="str">
        <f t="shared" si="204"/>
        <v>松散</v>
      </c>
      <c r="H203" s="85" t="s">
        <v>10</v>
      </c>
      <c r="I203" s="85" t="s">
        <v>11</v>
      </c>
      <c r="J203" s="85" t="s">
        <v>12</v>
      </c>
      <c r="K203" s="85" t="s">
        <v>13</v>
      </c>
      <c r="L203" s="86">
        <f>MAX(MID(C203,{1,2,3},1)*1)-MIN(MID(C203,{1,2,3},1)*1)</f>
        <v>9</v>
      </c>
      <c r="M203" s="87">
        <v>0</v>
      </c>
      <c r="N203" s="87">
        <v>1</v>
      </c>
      <c r="O203" s="87">
        <v>2</v>
      </c>
      <c r="P203" s="87">
        <v>3</v>
      </c>
      <c r="Q203" s="87">
        <v>4</v>
      </c>
      <c r="R203" s="87">
        <v>5</v>
      </c>
      <c r="S203" s="87">
        <v>6</v>
      </c>
      <c r="T203" s="87">
        <v>7</v>
      </c>
      <c r="U203" s="87">
        <v>8</v>
      </c>
      <c r="V203" s="87">
        <v>9</v>
      </c>
      <c r="W203" s="88">
        <f t="shared" si="200"/>
        <v>9</v>
      </c>
      <c r="X203" s="88">
        <f t="shared" si="201"/>
        <v>1</v>
      </c>
      <c r="Y203" s="88">
        <f t="shared" si="202"/>
        <v>8</v>
      </c>
      <c r="Z203" s="89">
        <f t="shared" si="181"/>
        <v>18</v>
      </c>
      <c r="AA203" s="17" t="str">
        <f>_xlfn.TEXTJOIN(", ",TRUE,ABS(MID(C203,{1,1,2},1)-MID(C203,{2,3,3},1)))</f>
        <v>9, 1, 8</v>
      </c>
      <c r="AB203" s="90">
        <v>0</v>
      </c>
      <c r="AC203" s="90">
        <v>1</v>
      </c>
      <c r="AD203" s="90">
        <v>2</v>
      </c>
      <c r="AE203" s="90">
        <v>3</v>
      </c>
      <c r="AF203" s="90">
        <v>4</v>
      </c>
      <c r="AG203" s="90">
        <v>5</v>
      </c>
      <c r="AH203" s="90">
        <v>6</v>
      </c>
      <c r="AI203" s="90">
        <v>7</v>
      </c>
      <c r="AJ203" s="90">
        <v>8</v>
      </c>
      <c r="AK203" s="90">
        <v>9</v>
      </c>
      <c r="AL203" s="91">
        <v>0</v>
      </c>
      <c r="AM203" s="91">
        <v>1</v>
      </c>
      <c r="AN203" s="91">
        <v>2</v>
      </c>
      <c r="AO203" s="91">
        <v>3</v>
      </c>
      <c r="AP203" s="91">
        <v>4</v>
      </c>
      <c r="AQ203" s="91">
        <v>5</v>
      </c>
      <c r="AR203" s="91">
        <v>6</v>
      </c>
      <c r="AS203" s="91">
        <v>7</v>
      </c>
      <c r="AT203" s="91">
        <v>8</v>
      </c>
      <c r="AU203" s="91">
        <v>9</v>
      </c>
      <c r="AV203" s="92">
        <v>0</v>
      </c>
      <c r="AW203" s="92">
        <v>1</v>
      </c>
      <c r="AX203" s="92">
        <v>2</v>
      </c>
      <c r="AY203" s="92">
        <v>3</v>
      </c>
      <c r="AZ203" s="92">
        <v>4</v>
      </c>
      <c r="BA203" s="92">
        <v>5</v>
      </c>
      <c r="BB203" s="92">
        <v>6</v>
      </c>
      <c r="BC203" s="92">
        <v>7</v>
      </c>
      <c r="BD203" s="92">
        <v>8</v>
      </c>
      <c r="BE203" s="92">
        <v>9</v>
      </c>
      <c r="BF203" s="93">
        <v>0</v>
      </c>
      <c r="BG203" s="93">
        <v>1</v>
      </c>
      <c r="BH203" s="93">
        <v>2</v>
      </c>
      <c r="BI203" s="93">
        <v>3</v>
      </c>
      <c r="BJ203" s="93">
        <v>4</v>
      </c>
      <c r="BK203" s="93">
        <v>5</v>
      </c>
      <c r="BL203" s="93">
        <v>6</v>
      </c>
      <c r="BM203" s="93">
        <v>7</v>
      </c>
      <c r="BN203" s="93">
        <v>8</v>
      </c>
      <c r="BO203" s="93">
        <v>9</v>
      </c>
      <c r="BP203" s="94" t="str">
        <f t="shared" si="182"/>
        <v>松散型</v>
      </c>
      <c r="BQ203" s="15">
        <f t="shared" si="179"/>
        <v>1</v>
      </c>
      <c r="BR203" s="15">
        <f t="shared" si="180"/>
        <v>9</v>
      </c>
      <c r="BS203" s="20" t="str">
        <f t="shared" si="184"/>
        <v/>
      </c>
      <c r="BT203" s="21" t="str">
        <f t="shared" si="185"/>
        <v/>
      </c>
      <c r="BU203" s="21" t="str">
        <f t="array" ref="BU203">_xlfn.TEXTJOIN("",TRUE,IF(ISERROR(FIND(ROW($1:$168)-1,BS203&amp;BT203)),ROW($1:$168)-1,""))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03" s="22" t="str">
        <f t="shared" si="186"/>
        <v>中中中</v>
      </c>
      <c r="BW203" s="23" t="str">
        <f t="shared" si="197"/>
        <v/>
      </c>
      <c r="BX203" s="23" t="str">
        <f t="shared" si="195"/>
        <v/>
      </c>
      <c r="BY203" s="23" t="str">
        <f t="array" ref="BY203">_xlfn.TEXTJOIN("",TRUE,IF(ISERROR(FIND(ROW($1:$168)-1,BW203&amp;BX203)),ROW($1:$168)-1,""))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03" s="22" t="str">
        <f t="shared" si="187"/>
        <v>中中中</v>
      </c>
      <c r="CA203" s="24">
        <f t="shared" si="188"/>
        <v>8</v>
      </c>
      <c r="CB203" s="24" t="str">
        <f t="shared" si="196"/>
        <v/>
      </c>
      <c r="CC203" s="24" t="str">
        <f t="array" ref="CC203">_xlfn.TEXTJOIN("",TRUE,IF(ISERROR(FIND(ROW($1:$168)-1,CA203&amp;CB203)),ROW($1:$168)-1,""))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03" s="22" t="str">
        <f t="shared" si="189"/>
        <v>复中中</v>
      </c>
      <c r="CE203" s="25" t="str">
        <f t="shared" si="183"/>
        <v>80</v>
      </c>
      <c r="CF203" s="26" t="str">
        <f t="array" ref="CF203">_xlfn.TEXTJOIN("",TRUE,IF(ISNUMBER(FIND(MID(CE202&amp;W202,ROW($1:$162),1),CE203&amp;W203)),MID(CE202&amp;W202,ROW($1:$162),1),""))</f>
        <v/>
      </c>
      <c r="CG203" s="27" t="str">
        <f t="array" ref="CG203">_xlfn.TEXTJOIN("",TRUE,IF(ISERROR(FIND(ROW($1:$168)-1,CE203&amp;CF203)),ROW($1:$168)-1,""))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H203" s="28" t="str">
        <f t="shared" si="190"/>
        <v>邻孤孤</v>
      </c>
      <c r="CI203" s="29" t="str">
        <f t="shared" si="191"/>
        <v>02</v>
      </c>
      <c r="CJ203" s="29" t="str">
        <f t="array" ref="CJ203">_xlfn.TEXTJOIN("",TRUE,IF(ISNUMBER(FIND(MID(CI202&amp;X202,ROW($1:$162),1),CI203&amp;X203)),MID(CI202&amp;X202,ROW($1:$162),1),""))</f>
        <v/>
      </c>
      <c r="CK203" s="29" t="str">
        <f t="array" ref="CK203">_xlfn.TEXTJOIN("",TRUE,IF(ISERROR(FIND(ROW($1:$168)-1,CI203&amp;CJ203)),ROW($1:$168)-1,""))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03" s="19" t="str">
        <f t="shared" si="192"/>
        <v>邻孤孤</v>
      </c>
      <c r="CM203" s="24" t="str">
        <f t="shared" si="193"/>
        <v>79</v>
      </c>
      <c r="CN203" s="24" t="str">
        <f t="array" ref="CN203">_xlfn.TEXTJOIN("",TRUE,IF(ISNUMBER(FIND(MID(CM202&amp;Y202,ROW($1:$162),1),CM203&amp;Y203)),MID(CM202&amp;Y202,ROW($1:$162),1),""))</f>
        <v>798</v>
      </c>
      <c r="CO203" s="24" t="str">
        <f t="array" ref="CO203">_xlfn.TEXTJOIN("",TRUE,IF(ISERROR(FIND(ROW($1:$168)-1,CM203&amp;CN203)),ROW($1:$168)-1,""))</f>
        <v>0123456101112131415161718192021222324252627282930313233343536373839404142434445464748495051525354555657585960616263646566676869707172737475767778808182838485868788899091929394959699100101102103104105106107108109110111112113114115116117118119120121122123124125126127128129130131132133134135136137138139140141142143144145146147148149150151152153154155156157158159160161162163164165166167</v>
      </c>
      <c r="CP203" s="30" t="str">
        <f t="shared" si="194"/>
        <v>邻传孤</v>
      </c>
    </row>
    <row r="204" spans="1:94">
      <c r="A204" s="15">
        <v>204</v>
      </c>
      <c r="B204" s="80">
        <v>2024173</v>
      </c>
      <c r="C204" s="8" t="s">
        <v>214</v>
      </c>
      <c r="D204" s="81">
        <f t="shared" si="198"/>
        <v>17</v>
      </c>
      <c r="E204" s="82">
        <f t="shared" si="199"/>
        <v>7</v>
      </c>
      <c r="F204" s="83">
        <f t="shared" si="203"/>
        <v>3.4</v>
      </c>
      <c r="G204" s="84" t="str">
        <f t="shared" si="204"/>
        <v>标准</v>
      </c>
      <c r="H204" s="85" t="s">
        <v>10</v>
      </c>
      <c r="I204" s="85" t="s">
        <v>11</v>
      </c>
      <c r="J204" s="85" t="s">
        <v>12</v>
      </c>
      <c r="K204" s="85" t="s">
        <v>13</v>
      </c>
      <c r="L204" s="86">
        <f>MAX(MID(C204,{1,2,3},1)*1)-MIN(MID(C204,{1,2,3},1)*1)</f>
        <v>5</v>
      </c>
      <c r="M204" s="87">
        <v>0</v>
      </c>
      <c r="N204" s="87">
        <v>1</v>
      </c>
      <c r="O204" s="87">
        <v>2</v>
      </c>
      <c r="P204" s="87">
        <v>3</v>
      </c>
      <c r="Q204" s="87">
        <v>4</v>
      </c>
      <c r="R204" s="87">
        <v>5</v>
      </c>
      <c r="S204" s="87">
        <v>6</v>
      </c>
      <c r="T204" s="87">
        <v>7</v>
      </c>
      <c r="U204" s="87">
        <v>8</v>
      </c>
      <c r="V204" s="87">
        <v>9</v>
      </c>
      <c r="W204" s="88">
        <f t="shared" si="200"/>
        <v>0</v>
      </c>
      <c r="X204" s="88">
        <f t="shared" si="201"/>
        <v>5</v>
      </c>
      <c r="Y204" s="88">
        <f t="shared" si="202"/>
        <v>5</v>
      </c>
      <c r="Z204" s="89">
        <f t="shared" si="181"/>
        <v>10</v>
      </c>
      <c r="AA204" s="17" t="str">
        <f>_xlfn.TEXTJOIN(", ",TRUE,ABS(MID(C204,{1,1,2},1)-MID(C204,{2,3,3},1)))</f>
        <v>0, 5, 5</v>
      </c>
      <c r="AB204" s="90">
        <v>0</v>
      </c>
      <c r="AC204" s="90">
        <v>1</v>
      </c>
      <c r="AD204" s="90">
        <v>2</v>
      </c>
      <c r="AE204" s="90">
        <v>3</v>
      </c>
      <c r="AF204" s="90">
        <v>4</v>
      </c>
      <c r="AG204" s="90">
        <v>5</v>
      </c>
      <c r="AH204" s="90">
        <v>6</v>
      </c>
      <c r="AI204" s="90">
        <v>7</v>
      </c>
      <c r="AJ204" s="90">
        <v>8</v>
      </c>
      <c r="AK204" s="90">
        <v>9</v>
      </c>
      <c r="AL204" s="91">
        <v>0</v>
      </c>
      <c r="AM204" s="91">
        <v>1</v>
      </c>
      <c r="AN204" s="91">
        <v>2</v>
      </c>
      <c r="AO204" s="91">
        <v>3</v>
      </c>
      <c r="AP204" s="91">
        <v>4</v>
      </c>
      <c r="AQ204" s="91">
        <v>5</v>
      </c>
      <c r="AR204" s="91">
        <v>6</v>
      </c>
      <c r="AS204" s="91">
        <v>7</v>
      </c>
      <c r="AT204" s="91">
        <v>8</v>
      </c>
      <c r="AU204" s="91">
        <v>9</v>
      </c>
      <c r="AV204" s="92">
        <v>0</v>
      </c>
      <c r="AW204" s="92">
        <v>1</v>
      </c>
      <c r="AX204" s="92">
        <v>2</v>
      </c>
      <c r="AY204" s="92">
        <v>3</v>
      </c>
      <c r="AZ204" s="92">
        <v>4</v>
      </c>
      <c r="BA204" s="92">
        <v>5</v>
      </c>
      <c r="BB204" s="92">
        <v>6</v>
      </c>
      <c r="BC204" s="92">
        <v>7</v>
      </c>
      <c r="BD204" s="92">
        <v>8</v>
      </c>
      <c r="BE204" s="92">
        <v>9</v>
      </c>
      <c r="BF204" s="93">
        <v>0</v>
      </c>
      <c r="BG204" s="93">
        <v>1</v>
      </c>
      <c r="BH204" s="93">
        <v>2</v>
      </c>
      <c r="BI204" s="93">
        <v>3</v>
      </c>
      <c r="BJ204" s="93">
        <v>4</v>
      </c>
      <c r="BK204" s="93">
        <v>5</v>
      </c>
      <c r="BL204" s="93">
        <v>6</v>
      </c>
      <c r="BM204" s="93">
        <v>7</v>
      </c>
      <c r="BN204" s="93">
        <v>8</v>
      </c>
      <c r="BO204" s="93">
        <v>9</v>
      </c>
      <c r="BP204" s="94" t="str">
        <f t="shared" si="182"/>
        <v>对子</v>
      </c>
      <c r="BQ204" s="15">
        <f t="shared" si="179"/>
        <v>0</v>
      </c>
      <c r="BR204" s="15">
        <f t="shared" si="180"/>
        <v>5</v>
      </c>
      <c r="BS204" s="20" t="str">
        <f t="shared" si="184"/>
        <v/>
      </c>
      <c r="BT204" s="21" t="str">
        <f t="shared" si="185"/>
        <v/>
      </c>
      <c r="BU204" s="21" t="str">
        <f t="array" ref="BU204">_xlfn.TEXTJOIN("",TRUE,IF(ISERROR(FIND(ROW($1:$168)-1,BS204&amp;BT204)),ROW($1:$168)-1,""))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04" s="22" t="str">
        <f t="shared" si="186"/>
        <v>中中中</v>
      </c>
      <c r="BW204" s="23" t="str">
        <f t="shared" si="197"/>
        <v/>
      </c>
      <c r="BX204" s="23" t="str">
        <f t="shared" si="195"/>
        <v/>
      </c>
      <c r="BY204" s="23" t="str">
        <f t="array" ref="BY204">_xlfn.TEXTJOIN("",TRUE,IF(ISERROR(FIND(ROW($1:$168)-1,BW204&amp;BX204)),ROW($1:$168)-1,""))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04" s="22" t="str">
        <f t="shared" si="187"/>
        <v>中中中</v>
      </c>
      <c r="CA204" s="24" t="str">
        <f t="shared" si="188"/>
        <v/>
      </c>
      <c r="CB204" s="24" t="str">
        <f t="shared" si="196"/>
        <v/>
      </c>
      <c r="CC204" s="24" t="str">
        <f t="array" ref="CC204">_xlfn.TEXTJOIN("",TRUE,IF(ISERROR(FIND(ROW($1:$168)-1,CA204&amp;CB204)),ROW($1:$168)-1,""))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04" s="22" t="str">
        <f t="shared" si="189"/>
        <v>中中中</v>
      </c>
      <c r="CE204" s="25" t="str">
        <f t="shared" si="183"/>
        <v>91</v>
      </c>
      <c r="CF204" s="26" t="str">
        <f t="array" ref="CF204">_xlfn.TEXTJOIN("",TRUE,IF(ISNUMBER(FIND(MID(CE203&amp;W203,ROW($1:$162),1),CE204&amp;W204)),MID(CE203&amp;W203,ROW($1:$162),1),""))</f>
        <v>09</v>
      </c>
      <c r="CG204" s="27" t="str">
        <f t="array" ref="CG204">_xlfn.TEXTJOIN("",TRUE,IF(ISERROR(FIND(ROW($1:$168)-1,CE204&amp;CF204)),ROW($1:$168)-1,""))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H204" s="28" t="str">
        <f t="shared" si="190"/>
        <v>邻传孤</v>
      </c>
      <c r="CI204" s="29" t="str">
        <f t="shared" si="191"/>
        <v>46</v>
      </c>
      <c r="CJ204" s="29" t="str">
        <f t="array" ref="CJ204">_xlfn.TEXTJOIN("",TRUE,IF(ISNUMBER(FIND(MID(CI203&amp;X203,ROW($1:$162),1),CI204&amp;X204)),MID(CI203&amp;X203,ROW($1:$162),1),""))</f>
        <v/>
      </c>
      <c r="CK204" s="29" t="str">
        <f t="array" ref="CK204">_xlfn.TEXTJOIN("",TRUE,IF(ISERROR(FIND(ROW($1:$168)-1,CI204&amp;CJ204)),ROW($1:$168)-1,""))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04" s="19" t="str">
        <f t="shared" si="192"/>
        <v>邻孤孤</v>
      </c>
      <c r="CM204" s="24" t="str">
        <f t="shared" si="193"/>
        <v>46</v>
      </c>
      <c r="CN204" s="24" t="str">
        <f t="array" ref="CN204">_xlfn.TEXTJOIN("",TRUE,IF(ISNUMBER(FIND(MID(CM203&amp;Y203,ROW($1:$162),1),CM204&amp;Y204)),MID(CM203&amp;Y203,ROW($1:$162),1),""))</f>
        <v/>
      </c>
      <c r="CO204" s="24" t="str">
        <f t="array" ref="CO204">_xlfn.TEXTJOIN("",TRUE,IF(ISERROR(FIND(ROW($1:$168)-1,CM204&amp;CN204)),ROW($1:$168)-1,""))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04" s="30" t="str">
        <f t="shared" si="194"/>
        <v>邻孤孤</v>
      </c>
    </row>
    <row r="205" spans="1:94">
      <c r="A205" s="15">
        <v>205</v>
      </c>
      <c r="B205" s="80">
        <v>2024174</v>
      </c>
      <c r="C205" s="8" t="s">
        <v>215</v>
      </c>
      <c r="D205" s="81">
        <f t="shared" si="198"/>
        <v>11</v>
      </c>
      <c r="E205" s="82">
        <f t="shared" si="199"/>
        <v>1</v>
      </c>
      <c r="F205" s="83">
        <f t="shared" si="203"/>
        <v>2.75</v>
      </c>
      <c r="G205" s="84" t="str">
        <f t="shared" si="204"/>
        <v>标准</v>
      </c>
      <c r="H205" s="85" t="s">
        <v>10</v>
      </c>
      <c r="I205" s="85" t="s">
        <v>11</v>
      </c>
      <c r="J205" s="85" t="s">
        <v>12</v>
      </c>
      <c r="K205" s="85" t="s">
        <v>13</v>
      </c>
      <c r="L205" s="86">
        <f>MAX(MID(C205,{1,2,3},1)*1)-MIN(MID(C205,{1,2,3},1)*1)</f>
        <v>4</v>
      </c>
      <c r="M205" s="87">
        <v>0</v>
      </c>
      <c r="N205" s="87">
        <v>1</v>
      </c>
      <c r="O205" s="87">
        <v>2</v>
      </c>
      <c r="P205" s="87">
        <v>3</v>
      </c>
      <c r="Q205" s="87">
        <v>4</v>
      </c>
      <c r="R205" s="87">
        <v>5</v>
      </c>
      <c r="S205" s="87">
        <v>6</v>
      </c>
      <c r="T205" s="87">
        <v>7</v>
      </c>
      <c r="U205" s="87">
        <v>8</v>
      </c>
      <c r="V205" s="87">
        <v>9</v>
      </c>
      <c r="W205" s="88">
        <f t="shared" si="200"/>
        <v>1</v>
      </c>
      <c r="X205" s="88">
        <f t="shared" si="201"/>
        <v>4</v>
      </c>
      <c r="Y205" s="88">
        <f t="shared" si="202"/>
        <v>3</v>
      </c>
      <c r="Z205" s="89">
        <f t="shared" si="181"/>
        <v>8</v>
      </c>
      <c r="AA205" s="17" t="str">
        <f>_xlfn.TEXTJOIN(", ",TRUE,ABS(MID(C205,{1,1,2},1)-MID(C205,{2,3,3},1)))</f>
        <v>1, 4, 3</v>
      </c>
      <c r="AB205" s="90">
        <v>0</v>
      </c>
      <c r="AC205" s="90">
        <v>1</v>
      </c>
      <c r="AD205" s="90">
        <v>2</v>
      </c>
      <c r="AE205" s="90">
        <v>3</v>
      </c>
      <c r="AF205" s="90">
        <v>4</v>
      </c>
      <c r="AG205" s="90">
        <v>5</v>
      </c>
      <c r="AH205" s="90">
        <v>6</v>
      </c>
      <c r="AI205" s="90">
        <v>7</v>
      </c>
      <c r="AJ205" s="90">
        <v>8</v>
      </c>
      <c r="AK205" s="90">
        <v>9</v>
      </c>
      <c r="AL205" s="91">
        <v>0</v>
      </c>
      <c r="AM205" s="91">
        <v>1</v>
      </c>
      <c r="AN205" s="91">
        <v>2</v>
      </c>
      <c r="AO205" s="91">
        <v>3</v>
      </c>
      <c r="AP205" s="91">
        <v>4</v>
      </c>
      <c r="AQ205" s="91">
        <v>5</v>
      </c>
      <c r="AR205" s="91">
        <v>6</v>
      </c>
      <c r="AS205" s="91">
        <v>7</v>
      </c>
      <c r="AT205" s="91">
        <v>8</v>
      </c>
      <c r="AU205" s="91">
        <v>9</v>
      </c>
      <c r="AV205" s="92">
        <v>0</v>
      </c>
      <c r="AW205" s="92">
        <v>1</v>
      </c>
      <c r="AX205" s="92">
        <v>2</v>
      </c>
      <c r="AY205" s="92">
        <v>3</v>
      </c>
      <c r="AZ205" s="92">
        <v>4</v>
      </c>
      <c r="BA205" s="92">
        <v>5</v>
      </c>
      <c r="BB205" s="92">
        <v>6</v>
      </c>
      <c r="BC205" s="92">
        <v>7</v>
      </c>
      <c r="BD205" s="92">
        <v>8</v>
      </c>
      <c r="BE205" s="92">
        <v>9</v>
      </c>
      <c r="BF205" s="93">
        <v>0</v>
      </c>
      <c r="BG205" s="93">
        <v>1</v>
      </c>
      <c r="BH205" s="93">
        <v>2</v>
      </c>
      <c r="BI205" s="93">
        <v>3</v>
      </c>
      <c r="BJ205" s="93">
        <v>4</v>
      </c>
      <c r="BK205" s="93">
        <v>5</v>
      </c>
      <c r="BL205" s="93">
        <v>6</v>
      </c>
      <c r="BM205" s="93">
        <v>7</v>
      </c>
      <c r="BN205" s="93">
        <v>8</v>
      </c>
      <c r="BO205" s="93">
        <v>9</v>
      </c>
      <c r="BP205" s="94" t="str">
        <f t="shared" si="182"/>
        <v>紧凑型</v>
      </c>
      <c r="BQ205" s="15">
        <f t="shared" si="179"/>
        <v>1</v>
      </c>
      <c r="BR205" s="15">
        <f t="shared" si="180"/>
        <v>4</v>
      </c>
      <c r="BS205" s="20" t="str">
        <f t="shared" si="184"/>
        <v/>
      </c>
      <c r="BT205" s="21">
        <f t="shared" si="185"/>
        <v>1</v>
      </c>
      <c r="BU205" s="21" t="str">
        <f t="array" ref="BU205">_xlfn.TEXTJOIN("",TRUE,IF(ISERROR(FIND(ROW($1:$168)-1,BS205&amp;BT205)),ROW($1:$168)-1,""))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05" s="22" t="str">
        <f t="shared" si="186"/>
        <v>中隔中</v>
      </c>
      <c r="BW205" s="23" t="str">
        <f t="shared" si="197"/>
        <v/>
      </c>
      <c r="BX205" s="23" t="str">
        <f t="shared" si="195"/>
        <v/>
      </c>
      <c r="BY205" s="23" t="str">
        <f t="array" ref="BY205">_xlfn.TEXTJOIN("",TRUE,IF(ISERROR(FIND(ROW($1:$168)-1,BW205&amp;BX205)),ROW($1:$168)-1,""))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05" s="22" t="str">
        <f t="shared" si="187"/>
        <v>中中中</v>
      </c>
      <c r="CA205" s="24" t="str">
        <f t="shared" si="188"/>
        <v/>
      </c>
      <c r="CB205" s="24" t="str">
        <f t="shared" si="196"/>
        <v/>
      </c>
      <c r="CC205" s="24" t="str">
        <f t="array" ref="CC205">_xlfn.TEXTJOIN("",TRUE,IF(ISERROR(FIND(ROW($1:$168)-1,CA205&amp;CB205)),ROW($1:$168)-1,""))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05" s="22" t="str">
        <f t="shared" si="189"/>
        <v>中中中</v>
      </c>
      <c r="CE205" s="25" t="str">
        <f t="shared" si="183"/>
        <v>02</v>
      </c>
      <c r="CF205" s="26" t="str">
        <f t="array" ref="CF205">_xlfn.TEXTJOIN("",TRUE,IF(ISNUMBER(FIND(MID(CE204&amp;W204,ROW($1:$162),1),CE205&amp;W205)),MID(CE204&amp;W204,ROW($1:$162),1),""))</f>
        <v>10</v>
      </c>
      <c r="CG205" s="27" t="str">
        <f t="array" ref="CG205">_xlfn.TEXTJOIN("",TRUE,IF(ISERROR(FIND(ROW($1:$168)-1,CE205&amp;CF205)),ROW($1:$168)-1,""))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05" s="28" t="str">
        <f t="shared" si="190"/>
        <v>邻传孤</v>
      </c>
      <c r="CI205" s="29" t="str">
        <f t="shared" si="191"/>
        <v>35</v>
      </c>
      <c r="CJ205" s="29" t="str">
        <f t="array" ref="CJ205">_xlfn.TEXTJOIN("",TRUE,IF(ISNUMBER(FIND(MID(CI204&amp;X204,ROW($1:$162),1),CI205&amp;X205)),MID(CI204&amp;X204,ROW($1:$162),1),""))</f>
        <v>45</v>
      </c>
      <c r="CK205" s="29" t="str">
        <f t="array" ref="CK205">_xlfn.TEXTJOIN("",TRUE,IF(ISERROR(FIND(ROW($1:$168)-1,CI205&amp;CJ205)),ROW($1:$168)-1,""))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05" s="19" t="str">
        <f t="shared" si="192"/>
        <v>邻传孤</v>
      </c>
      <c r="CM205" s="24" t="str">
        <f t="shared" si="193"/>
        <v>24</v>
      </c>
      <c r="CN205" s="24" t="str">
        <f t="array" ref="CN205">_xlfn.TEXTJOIN("",TRUE,IF(ISNUMBER(FIND(MID(CM204&amp;Y204,ROW($1:$162),1),CM205&amp;Y205)),MID(CM204&amp;Y204,ROW($1:$162),1),""))</f>
        <v>4</v>
      </c>
      <c r="CO205" s="24" t="str">
        <f t="array" ref="CO205">_xlfn.TEXTJOIN("",TRUE,IF(ISERROR(FIND(ROW($1:$168)-1,CM205&amp;CN205)),ROW($1:$168)-1,""))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05" s="30" t="str">
        <f t="shared" si="194"/>
        <v>邻传孤</v>
      </c>
    </row>
    <row r="206" spans="1:94">
      <c r="A206" s="15">
        <v>206</v>
      </c>
      <c r="B206" s="80">
        <v>2024175</v>
      </c>
      <c r="C206" s="8" t="s">
        <v>216</v>
      </c>
      <c r="D206" s="81">
        <f t="shared" si="198"/>
        <v>20</v>
      </c>
      <c r="E206" s="82">
        <f t="shared" si="199"/>
        <v>0</v>
      </c>
      <c r="F206" s="83">
        <f t="shared" si="203"/>
        <v>5</v>
      </c>
      <c r="G206" s="84" t="str">
        <f t="shared" si="204"/>
        <v>紧凑</v>
      </c>
      <c r="H206" s="85" t="s">
        <v>10</v>
      </c>
      <c r="I206" s="85" t="s">
        <v>11</v>
      </c>
      <c r="J206" s="85" t="s">
        <v>12</v>
      </c>
      <c r="K206" s="85" t="s">
        <v>13</v>
      </c>
      <c r="L206" s="86">
        <f>MAX(MID(C206,{1,2,3},1)*1)-MIN(MID(C206,{1,2,3},1)*1)</f>
        <v>4</v>
      </c>
      <c r="M206" s="87">
        <v>0</v>
      </c>
      <c r="N206" s="87">
        <v>1</v>
      </c>
      <c r="O206" s="87">
        <v>2</v>
      </c>
      <c r="P206" s="87">
        <v>3</v>
      </c>
      <c r="Q206" s="87">
        <v>4</v>
      </c>
      <c r="R206" s="87">
        <v>5</v>
      </c>
      <c r="S206" s="87">
        <v>6</v>
      </c>
      <c r="T206" s="87">
        <v>7</v>
      </c>
      <c r="U206" s="87">
        <v>8</v>
      </c>
      <c r="V206" s="87">
        <v>9</v>
      </c>
      <c r="W206" s="88">
        <f t="shared" si="200"/>
        <v>4</v>
      </c>
      <c r="X206" s="88">
        <f t="shared" si="201"/>
        <v>4</v>
      </c>
      <c r="Y206" s="88">
        <f t="shared" si="202"/>
        <v>0</v>
      </c>
      <c r="Z206" s="89">
        <f t="shared" si="181"/>
        <v>8</v>
      </c>
      <c r="AA206" s="17" t="str">
        <f>_xlfn.TEXTJOIN(", ",TRUE,ABS(MID(C206,{1,1,2},1)-MID(C206,{2,3,3},1)))</f>
        <v>4, 4, 0</v>
      </c>
      <c r="AB206" s="90">
        <v>0</v>
      </c>
      <c r="AC206" s="90">
        <v>1</v>
      </c>
      <c r="AD206" s="90">
        <v>2</v>
      </c>
      <c r="AE206" s="90">
        <v>3</v>
      </c>
      <c r="AF206" s="90">
        <v>4</v>
      </c>
      <c r="AG206" s="90">
        <v>5</v>
      </c>
      <c r="AH206" s="90">
        <v>6</v>
      </c>
      <c r="AI206" s="90">
        <v>7</v>
      </c>
      <c r="AJ206" s="90">
        <v>8</v>
      </c>
      <c r="AK206" s="90">
        <v>9</v>
      </c>
      <c r="AL206" s="91">
        <v>0</v>
      </c>
      <c r="AM206" s="91">
        <v>1</v>
      </c>
      <c r="AN206" s="91">
        <v>2</v>
      </c>
      <c r="AO206" s="91">
        <v>3</v>
      </c>
      <c r="AP206" s="91">
        <v>4</v>
      </c>
      <c r="AQ206" s="91">
        <v>5</v>
      </c>
      <c r="AR206" s="91">
        <v>6</v>
      </c>
      <c r="AS206" s="91">
        <v>7</v>
      </c>
      <c r="AT206" s="91">
        <v>8</v>
      </c>
      <c r="AU206" s="91">
        <v>9</v>
      </c>
      <c r="AV206" s="92">
        <v>0</v>
      </c>
      <c r="AW206" s="92">
        <v>1</v>
      </c>
      <c r="AX206" s="92">
        <v>2</v>
      </c>
      <c r="AY206" s="92">
        <v>3</v>
      </c>
      <c r="AZ206" s="92">
        <v>4</v>
      </c>
      <c r="BA206" s="92">
        <v>5</v>
      </c>
      <c r="BB206" s="92">
        <v>6</v>
      </c>
      <c r="BC206" s="92">
        <v>7</v>
      </c>
      <c r="BD206" s="92">
        <v>8</v>
      </c>
      <c r="BE206" s="92">
        <v>9</v>
      </c>
      <c r="BF206" s="93">
        <v>0</v>
      </c>
      <c r="BG206" s="93">
        <v>1</v>
      </c>
      <c r="BH206" s="93">
        <v>2</v>
      </c>
      <c r="BI206" s="93">
        <v>3</v>
      </c>
      <c r="BJ206" s="93">
        <v>4</v>
      </c>
      <c r="BK206" s="93">
        <v>5</v>
      </c>
      <c r="BL206" s="93">
        <v>6</v>
      </c>
      <c r="BM206" s="93">
        <v>7</v>
      </c>
      <c r="BN206" s="93">
        <v>8</v>
      </c>
      <c r="BO206" s="93">
        <v>9</v>
      </c>
      <c r="BP206" s="94" t="str">
        <f t="shared" si="182"/>
        <v>紧凑型</v>
      </c>
      <c r="BQ206" s="15">
        <f t="shared" si="179"/>
        <v>0</v>
      </c>
      <c r="BR206" s="15">
        <f t="shared" si="180"/>
        <v>4</v>
      </c>
      <c r="BS206" s="20">
        <f t="shared" si="184"/>
        <v>4</v>
      </c>
      <c r="BT206" s="21" t="str">
        <f t="shared" si="185"/>
        <v/>
      </c>
      <c r="BU206" s="21" t="str">
        <f t="array" ref="BU206">_xlfn.TEXTJOIN("",TRUE,IF(ISERROR(FIND(ROW($1:$168)-1,BS206&amp;BT206)),ROW($1:$168)-1,""))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06" s="22" t="str">
        <f t="shared" si="186"/>
        <v>复中中</v>
      </c>
      <c r="BW206" s="23">
        <f t="shared" si="197"/>
        <v>4</v>
      </c>
      <c r="BX206" s="23" t="str">
        <f t="shared" si="195"/>
        <v/>
      </c>
      <c r="BY206" s="23" t="str">
        <f t="array" ref="BY206">_xlfn.TEXTJOIN("",TRUE,IF(ISERROR(FIND(ROW($1:$168)-1,BW206&amp;BX206)),ROW($1:$168)-1,""))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06" s="22" t="str">
        <f t="shared" si="187"/>
        <v>复中中</v>
      </c>
      <c r="CA206" s="24" t="str">
        <f t="shared" si="188"/>
        <v/>
      </c>
      <c r="CB206" s="24">
        <f t="shared" si="196"/>
        <v>0</v>
      </c>
      <c r="CC206" s="24" t="str">
        <f t="array" ref="CC206">_xlfn.TEXTJOIN("",TRUE,IF(ISERROR(FIND(ROW($1:$168)-1,CA206&amp;CB206)),ROW($1:$168)-1,""))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06" s="22" t="str">
        <f t="shared" si="189"/>
        <v>中隔中</v>
      </c>
      <c r="CE206" s="25" t="str">
        <f t="shared" si="183"/>
        <v>35</v>
      </c>
      <c r="CF206" s="26" t="str">
        <f t="array" ref="CF206">_xlfn.TEXTJOIN("",TRUE,IF(ISNUMBER(FIND(MID(CE205&amp;W205,ROW($1:$162),1),CE206&amp;W206)),MID(CE205&amp;W205,ROW($1:$162),1),""))</f>
        <v/>
      </c>
      <c r="CG206" s="27" t="str">
        <f t="array" ref="CG206">_xlfn.TEXTJOIN("",TRUE,IF(ISERROR(FIND(ROW($1:$168)-1,CE206&amp;CF206)),ROW($1:$168)-1,""))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06" s="28" t="str">
        <f t="shared" si="190"/>
        <v>邻孤孤</v>
      </c>
      <c r="CI206" s="29" t="str">
        <f t="shared" si="191"/>
        <v>35</v>
      </c>
      <c r="CJ206" s="29" t="str">
        <f t="array" ref="CJ206">_xlfn.TEXTJOIN("",TRUE,IF(ISNUMBER(FIND(MID(CI205&amp;X205,ROW($1:$162),1),CI206&amp;X206)),MID(CI205&amp;X205,ROW($1:$162),1),""))</f>
        <v>354</v>
      </c>
      <c r="CK206" s="29" t="str">
        <f t="array" ref="CK206">_xlfn.TEXTJOIN("",TRUE,IF(ISERROR(FIND(ROW($1:$168)-1,CI206&amp;CJ206)),ROW($1:$168)-1,""))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06" s="19" t="str">
        <f t="shared" si="192"/>
        <v>邻传孤</v>
      </c>
      <c r="CM206" s="24" t="str">
        <f t="shared" si="193"/>
        <v>91</v>
      </c>
      <c r="CN206" s="24" t="str">
        <f t="array" ref="CN206">_xlfn.TEXTJOIN("",TRUE,IF(ISNUMBER(FIND(MID(CM205&amp;Y205,ROW($1:$162),1),CM206&amp;Y206)),MID(CM205&amp;Y205,ROW($1:$162),1),""))</f>
        <v/>
      </c>
      <c r="CO206" s="24" t="str">
        <f t="array" ref="CO206">_xlfn.TEXTJOIN("",TRUE,IF(ISERROR(FIND(ROW($1:$168)-1,CM206&amp;CN206)),ROW($1:$168)-1,""))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206" s="30" t="str">
        <f t="shared" si="194"/>
        <v>邻孤孤</v>
      </c>
    </row>
    <row r="207" spans="1:94">
      <c r="A207" s="15">
        <v>207</v>
      </c>
      <c r="B207" s="80">
        <v>2024176</v>
      </c>
      <c r="C207" s="8" t="s">
        <v>134</v>
      </c>
      <c r="D207" s="81">
        <f t="shared" si="198"/>
        <v>9</v>
      </c>
      <c r="E207" s="82">
        <f t="shared" si="199"/>
        <v>9</v>
      </c>
      <c r="F207" s="83">
        <f t="shared" si="203"/>
        <v>1.125</v>
      </c>
      <c r="G207" s="84" t="str">
        <f t="shared" si="204"/>
        <v>松散</v>
      </c>
      <c r="H207" s="85" t="s">
        <v>10</v>
      </c>
      <c r="I207" s="85" t="s">
        <v>11</v>
      </c>
      <c r="J207" s="85" t="s">
        <v>12</v>
      </c>
      <c r="K207" s="85" t="s">
        <v>13</v>
      </c>
      <c r="L207" s="86">
        <f>MAX(MID(C207,{1,2,3},1)*1)-MIN(MID(C207,{1,2,3},1)*1)</f>
        <v>8</v>
      </c>
      <c r="M207" s="87">
        <v>0</v>
      </c>
      <c r="N207" s="87">
        <v>1</v>
      </c>
      <c r="O207" s="87">
        <v>2</v>
      </c>
      <c r="P207" s="87">
        <v>3</v>
      </c>
      <c r="Q207" s="87">
        <v>4</v>
      </c>
      <c r="R207" s="87">
        <v>5</v>
      </c>
      <c r="S207" s="87">
        <v>6</v>
      </c>
      <c r="T207" s="87">
        <v>7</v>
      </c>
      <c r="U207" s="87">
        <v>8</v>
      </c>
      <c r="V207" s="87">
        <v>9</v>
      </c>
      <c r="W207" s="88">
        <f t="shared" si="200"/>
        <v>1</v>
      </c>
      <c r="X207" s="88">
        <f t="shared" si="201"/>
        <v>7</v>
      </c>
      <c r="Y207" s="88">
        <f t="shared" si="202"/>
        <v>8</v>
      </c>
      <c r="Z207" s="89">
        <f t="shared" si="181"/>
        <v>16</v>
      </c>
      <c r="AA207" s="17" t="str">
        <f>_xlfn.TEXTJOIN(", ",TRUE,ABS(MID(C207,{1,1,2},1)-MID(C207,{2,3,3},1)))</f>
        <v>1, 7, 8</v>
      </c>
      <c r="AB207" s="90">
        <v>0</v>
      </c>
      <c r="AC207" s="90">
        <v>1</v>
      </c>
      <c r="AD207" s="90">
        <v>2</v>
      </c>
      <c r="AE207" s="90">
        <v>3</v>
      </c>
      <c r="AF207" s="90">
        <v>4</v>
      </c>
      <c r="AG207" s="90">
        <v>5</v>
      </c>
      <c r="AH207" s="90">
        <v>6</v>
      </c>
      <c r="AI207" s="90">
        <v>7</v>
      </c>
      <c r="AJ207" s="90">
        <v>8</v>
      </c>
      <c r="AK207" s="90">
        <v>9</v>
      </c>
      <c r="AL207" s="91">
        <v>0</v>
      </c>
      <c r="AM207" s="91">
        <v>1</v>
      </c>
      <c r="AN207" s="91">
        <v>2</v>
      </c>
      <c r="AO207" s="91">
        <v>3</v>
      </c>
      <c r="AP207" s="91">
        <v>4</v>
      </c>
      <c r="AQ207" s="91">
        <v>5</v>
      </c>
      <c r="AR207" s="91">
        <v>6</v>
      </c>
      <c r="AS207" s="91">
        <v>7</v>
      </c>
      <c r="AT207" s="91">
        <v>8</v>
      </c>
      <c r="AU207" s="91">
        <v>9</v>
      </c>
      <c r="AV207" s="92">
        <v>0</v>
      </c>
      <c r="AW207" s="92">
        <v>1</v>
      </c>
      <c r="AX207" s="92">
        <v>2</v>
      </c>
      <c r="AY207" s="92">
        <v>3</v>
      </c>
      <c r="AZ207" s="92">
        <v>4</v>
      </c>
      <c r="BA207" s="92">
        <v>5</v>
      </c>
      <c r="BB207" s="92">
        <v>6</v>
      </c>
      <c r="BC207" s="92">
        <v>7</v>
      </c>
      <c r="BD207" s="92">
        <v>8</v>
      </c>
      <c r="BE207" s="92">
        <v>9</v>
      </c>
      <c r="BF207" s="93">
        <v>0</v>
      </c>
      <c r="BG207" s="93">
        <v>1</v>
      </c>
      <c r="BH207" s="93">
        <v>2</v>
      </c>
      <c r="BI207" s="93">
        <v>3</v>
      </c>
      <c r="BJ207" s="93">
        <v>4</v>
      </c>
      <c r="BK207" s="93">
        <v>5</v>
      </c>
      <c r="BL207" s="93">
        <v>6</v>
      </c>
      <c r="BM207" s="93">
        <v>7</v>
      </c>
      <c r="BN207" s="93">
        <v>8</v>
      </c>
      <c r="BO207" s="93">
        <v>9</v>
      </c>
      <c r="BP207" s="94" t="str">
        <f t="shared" si="182"/>
        <v>松散型</v>
      </c>
      <c r="BQ207" s="15">
        <f t="shared" si="179"/>
        <v>1</v>
      </c>
      <c r="BR207" s="15">
        <f t="shared" si="180"/>
        <v>8</v>
      </c>
      <c r="BS207" s="20" t="str">
        <f t="shared" si="184"/>
        <v/>
      </c>
      <c r="BT207" s="21">
        <f t="shared" si="185"/>
        <v>1</v>
      </c>
      <c r="BU207" s="21" t="str">
        <f t="array" ref="BU207">_xlfn.TEXTJOIN("",TRUE,IF(ISERROR(FIND(ROW($1:$168)-1,BS207&amp;BT207)),ROW($1:$168)-1,""))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07" s="22" t="str">
        <f t="shared" si="186"/>
        <v>中隔中</v>
      </c>
      <c r="BW207" s="23" t="str">
        <f t="shared" si="197"/>
        <v/>
      </c>
      <c r="BX207" s="23" t="str">
        <f t="shared" si="195"/>
        <v/>
      </c>
      <c r="BY207" s="23" t="str">
        <f t="array" ref="BY207">_xlfn.TEXTJOIN("",TRUE,IF(ISERROR(FIND(ROW($1:$168)-1,BW207&amp;BX207)),ROW($1:$168)-1,""))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07" s="22" t="str">
        <f t="shared" si="187"/>
        <v>中中中</v>
      </c>
      <c r="CA207" s="24" t="str">
        <f t="shared" si="188"/>
        <v/>
      </c>
      <c r="CB207" s="24" t="str">
        <f t="shared" si="196"/>
        <v/>
      </c>
      <c r="CC207" s="24" t="str">
        <f t="array" ref="CC207">_xlfn.TEXTJOIN("",TRUE,IF(ISERROR(FIND(ROW($1:$168)-1,CA207&amp;CB207)),ROW($1:$168)-1,""))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07" s="22" t="str">
        <f t="shared" si="189"/>
        <v>中中中</v>
      </c>
      <c r="CE207" s="25" t="str">
        <f t="shared" si="183"/>
        <v>02</v>
      </c>
      <c r="CF207" s="26" t="str">
        <f t="array" ref="CF207">_xlfn.TEXTJOIN("",TRUE,IF(ISNUMBER(FIND(MID(CE206&amp;W206,ROW($1:$162),1),CE207&amp;W207)),MID(CE206&amp;W206,ROW($1:$162),1),""))</f>
        <v/>
      </c>
      <c r="CG207" s="27" t="str">
        <f t="array" ref="CG207">_xlfn.TEXTJOIN("",TRUE,IF(ISERROR(FIND(ROW($1:$168)-1,CE207&amp;CF207)),ROW($1:$168)-1,""))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07" s="28" t="str">
        <f t="shared" si="190"/>
        <v>邻孤孤</v>
      </c>
      <c r="CI207" s="29" t="str">
        <f t="shared" si="191"/>
        <v>68</v>
      </c>
      <c r="CJ207" s="29" t="str">
        <f t="array" ref="CJ207">_xlfn.TEXTJOIN("",TRUE,IF(ISNUMBER(FIND(MID(CI206&amp;X206,ROW($1:$162),1),CI207&amp;X207)),MID(CI206&amp;X206,ROW($1:$162),1),""))</f>
        <v/>
      </c>
      <c r="CK207" s="29" t="str">
        <f t="array" ref="CK207">_xlfn.TEXTJOIN("",TRUE,IF(ISERROR(FIND(ROW($1:$168)-1,CI207&amp;CJ207)),ROW($1:$168)-1,""))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07" s="19" t="str">
        <f t="shared" si="192"/>
        <v>邻孤孤</v>
      </c>
      <c r="CM207" s="24" t="str">
        <f t="shared" si="193"/>
        <v>79</v>
      </c>
      <c r="CN207" s="24" t="str">
        <f t="array" ref="CN207">_xlfn.TEXTJOIN("",TRUE,IF(ISNUMBER(FIND(MID(CM206&amp;Y206,ROW($1:$162),1),CM207&amp;Y207)),MID(CM206&amp;Y206,ROW($1:$162),1),""))</f>
        <v>9</v>
      </c>
      <c r="CO207" s="24" t="str">
        <f t="array" ref="CO207">_xlfn.TEXTJOIN("",TRUE,IF(ISERROR(FIND(ROW($1:$168)-1,CM207&amp;CN207)),ROW($1:$168)-1,""))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P207" s="30" t="str">
        <f t="shared" si="194"/>
        <v>邻传孤</v>
      </c>
    </row>
    <row r="208" spans="1:94">
      <c r="A208" s="15">
        <v>208</v>
      </c>
      <c r="B208" s="80">
        <v>2024177</v>
      </c>
      <c r="C208" s="8" t="s">
        <v>92</v>
      </c>
      <c r="D208" s="81">
        <f t="shared" si="198"/>
        <v>10</v>
      </c>
      <c r="E208" s="82">
        <f t="shared" si="199"/>
        <v>0</v>
      </c>
      <c r="F208" s="83">
        <f t="shared" si="203"/>
        <v>1.66666666666667</v>
      </c>
      <c r="G208" s="84" t="str">
        <f t="shared" si="204"/>
        <v>松散</v>
      </c>
      <c r="H208" s="85" t="s">
        <v>10</v>
      </c>
      <c r="I208" s="85" t="s">
        <v>11</v>
      </c>
      <c r="J208" s="85" t="s">
        <v>12</v>
      </c>
      <c r="K208" s="85" t="s">
        <v>13</v>
      </c>
      <c r="L208" s="86">
        <f>MAX(MID(C208,{1,2,3},1)*1)-MIN(MID(C208,{1,2,3},1)*1)</f>
        <v>6</v>
      </c>
      <c r="M208" s="87">
        <v>0</v>
      </c>
      <c r="N208" s="87">
        <v>1</v>
      </c>
      <c r="O208" s="87">
        <v>2</v>
      </c>
      <c r="P208" s="87">
        <v>3</v>
      </c>
      <c r="Q208" s="87">
        <v>4</v>
      </c>
      <c r="R208" s="87">
        <v>5</v>
      </c>
      <c r="S208" s="87">
        <v>6</v>
      </c>
      <c r="T208" s="87">
        <v>7</v>
      </c>
      <c r="U208" s="87">
        <v>8</v>
      </c>
      <c r="V208" s="87">
        <v>9</v>
      </c>
      <c r="W208" s="88">
        <f t="shared" si="200"/>
        <v>2</v>
      </c>
      <c r="X208" s="88">
        <f t="shared" si="201"/>
        <v>4</v>
      </c>
      <c r="Y208" s="88">
        <f t="shared" si="202"/>
        <v>6</v>
      </c>
      <c r="Z208" s="89">
        <f t="shared" si="181"/>
        <v>12</v>
      </c>
      <c r="AA208" s="17" t="str">
        <f>_xlfn.TEXTJOIN(", ",TRUE,ABS(MID(C208,{1,1,2},1)-MID(C208,{2,3,3},1)))</f>
        <v>2, 4, 6</v>
      </c>
      <c r="AB208" s="90">
        <v>0</v>
      </c>
      <c r="AC208" s="90">
        <v>1</v>
      </c>
      <c r="AD208" s="90">
        <v>2</v>
      </c>
      <c r="AE208" s="90">
        <v>3</v>
      </c>
      <c r="AF208" s="90">
        <v>4</v>
      </c>
      <c r="AG208" s="90">
        <v>5</v>
      </c>
      <c r="AH208" s="90">
        <v>6</v>
      </c>
      <c r="AI208" s="90">
        <v>7</v>
      </c>
      <c r="AJ208" s="90">
        <v>8</v>
      </c>
      <c r="AK208" s="90">
        <v>9</v>
      </c>
      <c r="AL208" s="91">
        <v>0</v>
      </c>
      <c r="AM208" s="91">
        <v>1</v>
      </c>
      <c r="AN208" s="91">
        <v>2</v>
      </c>
      <c r="AO208" s="91">
        <v>3</v>
      </c>
      <c r="AP208" s="91">
        <v>4</v>
      </c>
      <c r="AQ208" s="91">
        <v>5</v>
      </c>
      <c r="AR208" s="91">
        <v>6</v>
      </c>
      <c r="AS208" s="91">
        <v>7</v>
      </c>
      <c r="AT208" s="91">
        <v>8</v>
      </c>
      <c r="AU208" s="91">
        <v>9</v>
      </c>
      <c r="AV208" s="92">
        <v>0</v>
      </c>
      <c r="AW208" s="92">
        <v>1</v>
      </c>
      <c r="AX208" s="92">
        <v>2</v>
      </c>
      <c r="AY208" s="92">
        <v>3</v>
      </c>
      <c r="AZ208" s="92">
        <v>4</v>
      </c>
      <c r="BA208" s="92">
        <v>5</v>
      </c>
      <c r="BB208" s="92">
        <v>6</v>
      </c>
      <c r="BC208" s="92">
        <v>7</v>
      </c>
      <c r="BD208" s="92">
        <v>8</v>
      </c>
      <c r="BE208" s="92">
        <v>9</v>
      </c>
      <c r="BF208" s="93">
        <v>0</v>
      </c>
      <c r="BG208" s="93">
        <v>1</v>
      </c>
      <c r="BH208" s="93">
        <v>2</v>
      </c>
      <c r="BI208" s="93">
        <v>3</v>
      </c>
      <c r="BJ208" s="93">
        <v>4</v>
      </c>
      <c r="BK208" s="93">
        <v>5</v>
      </c>
      <c r="BL208" s="93">
        <v>6</v>
      </c>
      <c r="BM208" s="93">
        <v>7</v>
      </c>
      <c r="BN208" s="93">
        <v>8</v>
      </c>
      <c r="BO208" s="93">
        <v>9</v>
      </c>
      <c r="BP208" s="94" t="str">
        <f t="shared" si="182"/>
        <v>松散型</v>
      </c>
      <c r="BQ208" s="15">
        <f t="shared" si="179"/>
        <v>2</v>
      </c>
      <c r="BR208" s="15">
        <f t="shared" si="180"/>
        <v>6</v>
      </c>
      <c r="BS208" s="20" t="str">
        <f t="shared" si="184"/>
        <v/>
      </c>
      <c r="BT208" s="21" t="str">
        <f t="shared" si="185"/>
        <v/>
      </c>
      <c r="BU208" s="21" t="str">
        <f t="array" ref="BU208">_xlfn.TEXTJOIN("",TRUE,IF(ISERROR(FIND(ROW($1:$168)-1,BS208&amp;BT208)),ROW($1:$168)-1,""))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08" s="22" t="str">
        <f t="shared" si="186"/>
        <v>中中中</v>
      </c>
      <c r="BW208" s="23" t="str">
        <f t="shared" si="197"/>
        <v/>
      </c>
      <c r="BX208" s="23">
        <f t="shared" si="195"/>
        <v>4</v>
      </c>
      <c r="BY208" s="23" t="str">
        <f t="array" ref="BY208">_xlfn.TEXTJOIN("",TRUE,IF(ISERROR(FIND(ROW($1:$168)-1,BW208&amp;BX208)),ROW($1:$168)-1,""))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08" s="22" t="str">
        <f t="shared" si="187"/>
        <v>中隔中</v>
      </c>
      <c r="CA208" s="24" t="str">
        <f t="shared" si="188"/>
        <v/>
      </c>
      <c r="CB208" s="24" t="str">
        <f t="shared" si="196"/>
        <v/>
      </c>
      <c r="CC208" s="24" t="str">
        <f t="array" ref="CC208">_xlfn.TEXTJOIN("",TRUE,IF(ISERROR(FIND(ROW($1:$168)-1,CA208&amp;CB208)),ROW($1:$168)-1,""))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08" s="22" t="str">
        <f t="shared" si="189"/>
        <v>中中中</v>
      </c>
      <c r="CE208" s="25" t="str">
        <f t="shared" si="183"/>
        <v>13</v>
      </c>
      <c r="CF208" s="26" t="str">
        <f t="array" ref="CF208">_xlfn.TEXTJOIN("",TRUE,IF(ISNUMBER(FIND(MID(CE207&amp;W207,ROW($1:$162),1),CE208&amp;W208)),MID(CE207&amp;W207,ROW($1:$162),1),""))</f>
        <v>21</v>
      </c>
      <c r="CG208" s="27" t="str">
        <f t="array" ref="CG208">_xlfn.TEXTJOIN("",TRUE,IF(ISERROR(FIND(ROW($1:$168)-1,CE208&amp;CF208)),ROW($1:$168)-1,""))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208" s="28" t="str">
        <f t="shared" si="190"/>
        <v>邻传孤</v>
      </c>
      <c r="CI208" s="29" t="str">
        <f t="shared" si="191"/>
        <v>35</v>
      </c>
      <c r="CJ208" s="29" t="str">
        <f t="array" ref="CJ208">_xlfn.TEXTJOIN("",TRUE,IF(ISNUMBER(FIND(MID(CI207&amp;X207,ROW($1:$162),1),CI208&amp;X208)),MID(CI207&amp;X207,ROW($1:$162),1),""))</f>
        <v/>
      </c>
      <c r="CK208" s="29" t="str">
        <f t="array" ref="CK208">_xlfn.TEXTJOIN("",TRUE,IF(ISERROR(FIND(ROW($1:$168)-1,CI208&amp;CJ208)),ROW($1:$168)-1,""))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08" s="19" t="str">
        <f t="shared" si="192"/>
        <v>邻孤孤</v>
      </c>
      <c r="CM208" s="24" t="str">
        <f t="shared" si="193"/>
        <v>57</v>
      </c>
      <c r="CN208" s="24" t="str">
        <f t="array" ref="CN208">_xlfn.TEXTJOIN("",TRUE,IF(ISNUMBER(FIND(MID(CM207&amp;Y207,ROW($1:$162),1),CM208&amp;Y208)),MID(CM207&amp;Y207,ROW($1:$162),1),""))</f>
        <v>7</v>
      </c>
      <c r="CO208" s="24" t="str">
        <f t="array" ref="CO208">_xlfn.TEXTJOIN("",TRUE,IF(ISERROR(FIND(ROW($1:$168)-1,CM208&amp;CN208)),ROW($1:$168)-1,""))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P208" s="30" t="str">
        <f t="shared" si="194"/>
        <v>邻传孤</v>
      </c>
    </row>
    <row r="209" spans="1:94">
      <c r="A209" s="15">
        <v>209</v>
      </c>
      <c r="B209" s="80">
        <v>2024178</v>
      </c>
      <c r="C209" s="8" t="s">
        <v>217</v>
      </c>
      <c r="D209" s="81">
        <f t="shared" si="198"/>
        <v>14</v>
      </c>
      <c r="E209" s="82">
        <f t="shared" si="199"/>
        <v>4</v>
      </c>
      <c r="F209" s="83">
        <f t="shared" si="203"/>
        <v>2</v>
      </c>
      <c r="G209" s="84" t="str">
        <f t="shared" si="204"/>
        <v>标准</v>
      </c>
      <c r="H209" s="85" t="s">
        <v>10</v>
      </c>
      <c r="I209" s="85" t="s">
        <v>11</v>
      </c>
      <c r="J209" s="85" t="s">
        <v>12</v>
      </c>
      <c r="K209" s="85" t="s">
        <v>13</v>
      </c>
      <c r="L209" s="86">
        <f>MAX(MID(C209,{1,2,3},1)*1)-MIN(MID(C209,{1,2,3},1)*1)</f>
        <v>7</v>
      </c>
      <c r="M209" s="87">
        <v>0</v>
      </c>
      <c r="N209" s="87">
        <v>1</v>
      </c>
      <c r="O209" s="87">
        <v>2</v>
      </c>
      <c r="P209" s="87">
        <v>3</v>
      </c>
      <c r="Q209" s="87">
        <v>4</v>
      </c>
      <c r="R209" s="87">
        <v>5</v>
      </c>
      <c r="S209" s="87">
        <v>6</v>
      </c>
      <c r="T209" s="87">
        <v>7</v>
      </c>
      <c r="U209" s="87">
        <v>8</v>
      </c>
      <c r="V209" s="87">
        <v>9</v>
      </c>
      <c r="W209" s="88">
        <f t="shared" si="200"/>
        <v>3</v>
      </c>
      <c r="X209" s="88">
        <f t="shared" si="201"/>
        <v>4</v>
      </c>
      <c r="Y209" s="88">
        <f t="shared" si="202"/>
        <v>7</v>
      </c>
      <c r="Z209" s="89">
        <f t="shared" si="181"/>
        <v>14</v>
      </c>
      <c r="AA209" s="17" t="str">
        <f>_xlfn.TEXTJOIN(", ",TRUE,ABS(MID(C209,{1,1,2},1)-MID(C209,{2,3,3},1)))</f>
        <v>3, 4, 7</v>
      </c>
      <c r="AB209" s="90">
        <v>0</v>
      </c>
      <c r="AC209" s="90">
        <v>1</v>
      </c>
      <c r="AD209" s="90">
        <v>2</v>
      </c>
      <c r="AE209" s="90">
        <v>3</v>
      </c>
      <c r="AF209" s="90">
        <v>4</v>
      </c>
      <c r="AG209" s="90">
        <v>5</v>
      </c>
      <c r="AH209" s="90">
        <v>6</v>
      </c>
      <c r="AI209" s="90">
        <v>7</v>
      </c>
      <c r="AJ209" s="90">
        <v>8</v>
      </c>
      <c r="AK209" s="90">
        <v>9</v>
      </c>
      <c r="AL209" s="91">
        <v>0</v>
      </c>
      <c r="AM209" s="91">
        <v>1</v>
      </c>
      <c r="AN209" s="91">
        <v>2</v>
      </c>
      <c r="AO209" s="91">
        <v>3</v>
      </c>
      <c r="AP209" s="91">
        <v>4</v>
      </c>
      <c r="AQ209" s="91">
        <v>5</v>
      </c>
      <c r="AR209" s="91">
        <v>6</v>
      </c>
      <c r="AS209" s="91">
        <v>7</v>
      </c>
      <c r="AT209" s="91">
        <v>8</v>
      </c>
      <c r="AU209" s="91">
        <v>9</v>
      </c>
      <c r="AV209" s="92">
        <v>0</v>
      </c>
      <c r="AW209" s="92">
        <v>1</v>
      </c>
      <c r="AX209" s="92">
        <v>2</v>
      </c>
      <c r="AY209" s="92">
        <v>3</v>
      </c>
      <c r="AZ209" s="92">
        <v>4</v>
      </c>
      <c r="BA209" s="92">
        <v>5</v>
      </c>
      <c r="BB209" s="92">
        <v>6</v>
      </c>
      <c r="BC209" s="92">
        <v>7</v>
      </c>
      <c r="BD209" s="92">
        <v>8</v>
      </c>
      <c r="BE209" s="92">
        <v>9</v>
      </c>
      <c r="BF209" s="93">
        <v>0</v>
      </c>
      <c r="BG209" s="93">
        <v>1</v>
      </c>
      <c r="BH209" s="93">
        <v>2</v>
      </c>
      <c r="BI209" s="93">
        <v>3</v>
      </c>
      <c r="BJ209" s="93">
        <v>4</v>
      </c>
      <c r="BK209" s="93">
        <v>5</v>
      </c>
      <c r="BL209" s="93">
        <v>6</v>
      </c>
      <c r="BM209" s="93">
        <v>7</v>
      </c>
      <c r="BN209" s="93">
        <v>8</v>
      </c>
      <c r="BO209" s="93">
        <v>9</v>
      </c>
      <c r="BP209" s="94" t="str">
        <f t="shared" si="182"/>
        <v>松散型</v>
      </c>
      <c r="BQ209" s="15">
        <f t="shared" si="179"/>
        <v>3</v>
      </c>
      <c r="BR209" s="15">
        <f t="shared" si="180"/>
        <v>7</v>
      </c>
      <c r="BS209" s="20" t="str">
        <f t="shared" si="184"/>
        <v/>
      </c>
      <c r="BT209" s="21" t="str">
        <f t="shared" si="185"/>
        <v/>
      </c>
      <c r="BU209" s="21" t="str">
        <f t="array" ref="BU209">_xlfn.TEXTJOIN("",TRUE,IF(ISERROR(FIND(ROW($1:$168)-1,BS209&amp;BT209)),ROW($1:$168)-1,""))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09" s="22" t="str">
        <f t="shared" si="186"/>
        <v>中中中</v>
      </c>
      <c r="BW209" s="23">
        <f t="shared" si="197"/>
        <v>4</v>
      </c>
      <c r="BX209" s="23" t="str">
        <f t="shared" si="195"/>
        <v/>
      </c>
      <c r="BY209" s="23" t="str">
        <f t="array" ref="BY209">_xlfn.TEXTJOIN("",TRUE,IF(ISERROR(FIND(ROW($1:$168)-1,BW209&amp;BX209)),ROW($1:$168)-1,""))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09" s="22" t="str">
        <f t="shared" si="187"/>
        <v>复中中</v>
      </c>
      <c r="CA209" s="24" t="str">
        <f t="shared" si="188"/>
        <v/>
      </c>
      <c r="CB209" s="24">
        <f t="shared" si="196"/>
        <v>7</v>
      </c>
      <c r="CC209" s="24" t="str">
        <f t="array" ref="CC209">_xlfn.TEXTJOIN("",TRUE,IF(ISERROR(FIND(ROW($1:$168)-1,CA209&amp;CB209)),ROW($1:$168)-1,""))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09" s="22" t="str">
        <f t="shared" si="189"/>
        <v>中隔中</v>
      </c>
      <c r="CE209" s="25" t="str">
        <f t="shared" si="183"/>
        <v>24</v>
      </c>
      <c r="CF209" s="26" t="str">
        <f t="array" ref="CF209">_xlfn.TEXTJOIN("",TRUE,IF(ISNUMBER(FIND(MID(CE208&amp;W208,ROW($1:$162),1),CE209&amp;W209)),MID(CE208&amp;W208,ROW($1:$162),1),""))</f>
        <v>32</v>
      </c>
      <c r="CG209" s="27" t="str">
        <f t="array" ref="CG209">_xlfn.TEXTJOIN("",TRUE,IF(ISERROR(FIND(ROW($1:$168)-1,CE209&amp;CF209)),ROW($1:$168)-1,""))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09" s="28" t="str">
        <f t="shared" si="190"/>
        <v>邻传孤</v>
      </c>
      <c r="CI209" s="29" t="str">
        <f t="shared" si="191"/>
        <v>35</v>
      </c>
      <c r="CJ209" s="29" t="str">
        <f t="array" ref="CJ209">_xlfn.TEXTJOIN("",TRUE,IF(ISNUMBER(FIND(MID(CI208&amp;X208,ROW($1:$162),1),CI209&amp;X209)),MID(CI208&amp;X208,ROW($1:$162),1),""))</f>
        <v>354</v>
      </c>
      <c r="CK209" s="29" t="str">
        <f t="array" ref="CK209">_xlfn.TEXTJOIN("",TRUE,IF(ISERROR(FIND(ROW($1:$168)-1,CI209&amp;CJ209)),ROW($1:$168)-1,""))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09" s="19" t="str">
        <f t="shared" si="192"/>
        <v>邻传孤</v>
      </c>
      <c r="CM209" s="24" t="str">
        <f t="shared" si="193"/>
        <v>68</v>
      </c>
      <c r="CN209" s="24" t="str">
        <f t="array" ref="CN209">_xlfn.TEXTJOIN("",TRUE,IF(ISNUMBER(FIND(MID(CM208&amp;Y208,ROW($1:$162),1),CM209&amp;Y209)),MID(CM208&amp;Y208,ROW($1:$162),1),""))</f>
        <v>76</v>
      </c>
      <c r="CO209" s="24" t="str">
        <f t="array" ref="CO209">_xlfn.TEXTJOIN("",TRUE,IF(ISERROR(FIND(ROW($1:$168)-1,CM209&amp;CN209)),ROW($1:$168)-1,""))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P209" s="30" t="str">
        <f t="shared" si="194"/>
        <v>邻传孤</v>
      </c>
    </row>
    <row r="210" spans="1:94">
      <c r="A210" s="15">
        <v>210</v>
      </c>
      <c r="B210" s="80">
        <v>2024179</v>
      </c>
      <c r="C210" s="8" t="s">
        <v>218</v>
      </c>
      <c r="D210" s="81">
        <f t="shared" si="198"/>
        <v>5</v>
      </c>
      <c r="E210" s="82">
        <f t="shared" si="199"/>
        <v>5</v>
      </c>
      <c r="F210" s="83">
        <f t="shared" si="203"/>
        <v>1</v>
      </c>
      <c r="G210" s="84" t="str">
        <f t="shared" si="204"/>
        <v>松散</v>
      </c>
      <c r="H210" s="85" t="s">
        <v>10</v>
      </c>
      <c r="I210" s="85" t="s">
        <v>11</v>
      </c>
      <c r="J210" s="85" t="s">
        <v>12</v>
      </c>
      <c r="K210" s="85" t="s">
        <v>13</v>
      </c>
      <c r="L210" s="86">
        <f>MAX(MID(C210,{1,2,3},1)*1)-MIN(MID(C210,{1,2,3},1)*1)</f>
        <v>5</v>
      </c>
      <c r="M210" s="87">
        <v>0</v>
      </c>
      <c r="N210" s="87">
        <v>1</v>
      </c>
      <c r="O210" s="87">
        <v>2</v>
      </c>
      <c r="P210" s="87">
        <v>3</v>
      </c>
      <c r="Q210" s="87">
        <v>4</v>
      </c>
      <c r="R210" s="87">
        <v>5</v>
      </c>
      <c r="S210" s="87">
        <v>6</v>
      </c>
      <c r="T210" s="87">
        <v>7</v>
      </c>
      <c r="U210" s="87">
        <v>8</v>
      </c>
      <c r="V210" s="87">
        <v>9</v>
      </c>
      <c r="W210" s="88">
        <f t="shared" si="200"/>
        <v>0</v>
      </c>
      <c r="X210" s="88">
        <f t="shared" si="201"/>
        <v>5</v>
      </c>
      <c r="Y210" s="88">
        <f t="shared" si="202"/>
        <v>5</v>
      </c>
      <c r="Z210" s="89">
        <f t="shared" si="181"/>
        <v>10</v>
      </c>
      <c r="AA210" s="17" t="str">
        <f>_xlfn.TEXTJOIN(", ",TRUE,ABS(MID(C210,{1,1,2},1)-MID(C210,{2,3,3},1)))</f>
        <v>0, 5, 5</v>
      </c>
      <c r="AB210" s="90">
        <v>0</v>
      </c>
      <c r="AC210" s="90">
        <v>1</v>
      </c>
      <c r="AD210" s="90">
        <v>2</v>
      </c>
      <c r="AE210" s="90">
        <v>3</v>
      </c>
      <c r="AF210" s="90">
        <v>4</v>
      </c>
      <c r="AG210" s="90">
        <v>5</v>
      </c>
      <c r="AH210" s="90">
        <v>6</v>
      </c>
      <c r="AI210" s="90">
        <v>7</v>
      </c>
      <c r="AJ210" s="90">
        <v>8</v>
      </c>
      <c r="AK210" s="90">
        <v>9</v>
      </c>
      <c r="AL210" s="91">
        <v>0</v>
      </c>
      <c r="AM210" s="91">
        <v>1</v>
      </c>
      <c r="AN210" s="91">
        <v>2</v>
      </c>
      <c r="AO210" s="91">
        <v>3</v>
      </c>
      <c r="AP210" s="91">
        <v>4</v>
      </c>
      <c r="AQ210" s="91">
        <v>5</v>
      </c>
      <c r="AR210" s="91">
        <v>6</v>
      </c>
      <c r="AS210" s="91">
        <v>7</v>
      </c>
      <c r="AT210" s="91">
        <v>8</v>
      </c>
      <c r="AU210" s="91">
        <v>9</v>
      </c>
      <c r="AV210" s="92">
        <v>0</v>
      </c>
      <c r="AW210" s="92">
        <v>1</v>
      </c>
      <c r="AX210" s="92">
        <v>2</v>
      </c>
      <c r="AY210" s="92">
        <v>3</v>
      </c>
      <c r="AZ210" s="92">
        <v>4</v>
      </c>
      <c r="BA210" s="92">
        <v>5</v>
      </c>
      <c r="BB210" s="92">
        <v>6</v>
      </c>
      <c r="BC210" s="92">
        <v>7</v>
      </c>
      <c r="BD210" s="92">
        <v>8</v>
      </c>
      <c r="BE210" s="92">
        <v>9</v>
      </c>
      <c r="BF210" s="93">
        <v>0</v>
      </c>
      <c r="BG210" s="93">
        <v>1</v>
      </c>
      <c r="BH210" s="93">
        <v>2</v>
      </c>
      <c r="BI210" s="93">
        <v>3</v>
      </c>
      <c r="BJ210" s="93">
        <v>4</v>
      </c>
      <c r="BK210" s="93">
        <v>5</v>
      </c>
      <c r="BL210" s="93">
        <v>6</v>
      </c>
      <c r="BM210" s="93">
        <v>7</v>
      </c>
      <c r="BN210" s="93">
        <v>8</v>
      </c>
      <c r="BO210" s="93">
        <v>9</v>
      </c>
      <c r="BP210" s="94" t="str">
        <f t="shared" si="182"/>
        <v>对子</v>
      </c>
      <c r="BQ210" s="15">
        <f t="shared" si="179"/>
        <v>0</v>
      </c>
      <c r="BR210" s="15">
        <f t="shared" si="180"/>
        <v>5</v>
      </c>
      <c r="BS210" s="20" t="str">
        <f t="shared" si="184"/>
        <v/>
      </c>
      <c r="BT210" s="21" t="str">
        <f t="shared" si="185"/>
        <v/>
      </c>
      <c r="BU210" s="21" t="str">
        <f t="array" ref="BU210">_xlfn.TEXTJOIN("",TRUE,IF(ISERROR(FIND(ROW($1:$168)-1,BS210&amp;BT210)),ROW($1:$168)-1,""))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10" s="22" t="str">
        <f t="shared" si="186"/>
        <v>中中中</v>
      </c>
      <c r="BW210" s="23" t="str">
        <f t="shared" si="197"/>
        <v/>
      </c>
      <c r="BX210" s="23" t="str">
        <f t="shared" si="195"/>
        <v/>
      </c>
      <c r="BY210" s="23" t="str">
        <f t="array" ref="BY210">_xlfn.TEXTJOIN("",TRUE,IF(ISERROR(FIND(ROW($1:$168)-1,BW210&amp;BX210)),ROW($1:$168)-1,""))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10" s="22" t="str">
        <f t="shared" si="187"/>
        <v>中中中</v>
      </c>
      <c r="CA210" s="24" t="str">
        <f t="shared" si="188"/>
        <v/>
      </c>
      <c r="CB210" s="24" t="str">
        <f t="shared" si="196"/>
        <v/>
      </c>
      <c r="CC210" s="24" t="str">
        <f t="array" ref="CC210">_xlfn.TEXTJOIN("",TRUE,IF(ISERROR(FIND(ROW($1:$168)-1,CA210&amp;CB210)),ROW($1:$168)-1,""))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10" s="22" t="str">
        <f t="shared" si="189"/>
        <v>中中中</v>
      </c>
      <c r="CE210" s="25" t="str">
        <f t="shared" si="183"/>
        <v>91</v>
      </c>
      <c r="CF210" s="26" t="str">
        <f t="array" ref="CF210">_xlfn.TEXTJOIN("",TRUE,IF(ISNUMBER(FIND(MID(CE209&amp;W209,ROW($1:$162),1),CE210&amp;W210)),MID(CE209&amp;W209,ROW($1:$162),1),""))</f>
        <v/>
      </c>
      <c r="CG210" s="27" t="str">
        <f t="array" ref="CG210">_xlfn.TEXTJOIN("",TRUE,IF(ISERROR(FIND(ROW($1:$168)-1,CE210&amp;CF210)),ROW($1:$168)-1,""))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210" s="28" t="str">
        <f t="shared" si="190"/>
        <v>邻孤孤</v>
      </c>
      <c r="CI210" s="29" t="str">
        <f t="shared" si="191"/>
        <v>46</v>
      </c>
      <c r="CJ210" s="29" t="str">
        <f t="array" ref="CJ210">_xlfn.TEXTJOIN("",TRUE,IF(ISNUMBER(FIND(MID(CI209&amp;X209,ROW($1:$162),1),CI210&amp;X210)),MID(CI209&amp;X209,ROW($1:$162),1),""))</f>
        <v>54</v>
      </c>
      <c r="CK210" s="29" t="str">
        <f t="array" ref="CK210">_xlfn.TEXTJOIN("",TRUE,IF(ISERROR(FIND(ROW($1:$168)-1,CI210&amp;CJ210)),ROW($1:$168)-1,""))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10" s="19" t="str">
        <f t="shared" si="192"/>
        <v>邻传孤</v>
      </c>
      <c r="CM210" s="24" t="str">
        <f t="shared" si="193"/>
        <v>46</v>
      </c>
      <c r="CN210" s="24" t="str">
        <f t="array" ref="CN210">_xlfn.TEXTJOIN("",TRUE,IF(ISNUMBER(FIND(MID(CM209&amp;Y209,ROW($1:$162),1),CM210&amp;Y210)),MID(CM209&amp;Y209,ROW($1:$162),1),""))</f>
        <v>6</v>
      </c>
      <c r="CO210" s="24" t="str">
        <f t="array" ref="CO210">_xlfn.TEXTJOIN("",TRUE,IF(ISERROR(FIND(ROW($1:$168)-1,CM210&amp;CN210)),ROW($1:$168)-1,""))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10" s="30" t="str">
        <f t="shared" si="194"/>
        <v>邻传孤</v>
      </c>
    </row>
    <row r="211" spans="1:94">
      <c r="A211" s="15">
        <v>211</v>
      </c>
      <c r="B211" s="80">
        <v>2024180</v>
      </c>
      <c r="C211" s="8" t="s">
        <v>219</v>
      </c>
      <c r="D211" s="81">
        <f t="shared" ref="D211:D235" si="205">LEFT(C211,1)+MID(C211,2,1)+RIGHT(C211,1)</f>
        <v>18</v>
      </c>
      <c r="E211" s="82">
        <f t="shared" ref="E211:E235" si="206">MOD(LEFT(C211,1)+MID(C211,2,1)+RIGHT(C211,1),10)</f>
        <v>8</v>
      </c>
      <c r="F211" s="83">
        <f t="shared" si="203"/>
        <v>2.25</v>
      </c>
      <c r="G211" s="84" t="str">
        <f t="shared" si="204"/>
        <v>标准</v>
      </c>
      <c r="H211" s="85" t="s">
        <v>10</v>
      </c>
      <c r="I211" s="85" t="s">
        <v>11</v>
      </c>
      <c r="J211" s="85" t="s">
        <v>12</v>
      </c>
      <c r="K211" s="85" t="s">
        <v>13</v>
      </c>
      <c r="L211" s="86">
        <f>MAX(MID(C211,{1,2,3},1)*1)-MIN(MID(C211,{1,2,3},1)*1)</f>
        <v>8</v>
      </c>
      <c r="M211" s="87">
        <v>0</v>
      </c>
      <c r="N211" s="87">
        <v>1</v>
      </c>
      <c r="O211" s="87">
        <v>2</v>
      </c>
      <c r="P211" s="87">
        <v>3</v>
      </c>
      <c r="Q211" s="87">
        <v>4</v>
      </c>
      <c r="R211" s="87">
        <v>5</v>
      </c>
      <c r="S211" s="87">
        <v>6</v>
      </c>
      <c r="T211" s="87">
        <v>7</v>
      </c>
      <c r="U211" s="87">
        <v>8</v>
      </c>
      <c r="V211" s="87">
        <v>9</v>
      </c>
      <c r="W211" s="88">
        <f t="shared" ref="W211:W235" si="207">ABS(LEFT(C211,1)-MID(C211,2,1))</f>
        <v>8</v>
      </c>
      <c r="X211" s="88">
        <f t="shared" ref="X211:X235" si="208">ABS(LEFT(C211,1)-RIGHT(C211,1))</f>
        <v>1</v>
      </c>
      <c r="Y211" s="88">
        <f t="shared" ref="Y211:Y235" si="209">ABS(MID(C211,2,1)-RIGHT(C211,1))</f>
        <v>7</v>
      </c>
      <c r="Z211" s="89">
        <f t="shared" si="181"/>
        <v>16</v>
      </c>
      <c r="AA211" s="17" t="str">
        <f>_xlfn.TEXTJOIN(", ",TRUE,ABS(MID(C211,{1,1,2},1)-MID(C211,{2,3,3},1)))</f>
        <v>8, 1, 7</v>
      </c>
      <c r="AB211" s="90">
        <v>0</v>
      </c>
      <c r="AC211" s="90">
        <v>1</v>
      </c>
      <c r="AD211" s="90">
        <v>2</v>
      </c>
      <c r="AE211" s="90">
        <v>3</v>
      </c>
      <c r="AF211" s="90">
        <v>4</v>
      </c>
      <c r="AG211" s="90">
        <v>5</v>
      </c>
      <c r="AH211" s="90">
        <v>6</v>
      </c>
      <c r="AI211" s="90">
        <v>7</v>
      </c>
      <c r="AJ211" s="90">
        <v>8</v>
      </c>
      <c r="AK211" s="90">
        <v>9</v>
      </c>
      <c r="AL211" s="91">
        <v>0</v>
      </c>
      <c r="AM211" s="91">
        <v>1</v>
      </c>
      <c r="AN211" s="91">
        <v>2</v>
      </c>
      <c r="AO211" s="91">
        <v>3</v>
      </c>
      <c r="AP211" s="91">
        <v>4</v>
      </c>
      <c r="AQ211" s="91">
        <v>5</v>
      </c>
      <c r="AR211" s="91">
        <v>6</v>
      </c>
      <c r="AS211" s="91">
        <v>7</v>
      </c>
      <c r="AT211" s="91">
        <v>8</v>
      </c>
      <c r="AU211" s="91">
        <v>9</v>
      </c>
      <c r="AV211" s="92">
        <v>0</v>
      </c>
      <c r="AW211" s="92">
        <v>1</v>
      </c>
      <c r="AX211" s="92">
        <v>2</v>
      </c>
      <c r="AY211" s="92">
        <v>3</v>
      </c>
      <c r="AZ211" s="92">
        <v>4</v>
      </c>
      <c r="BA211" s="92">
        <v>5</v>
      </c>
      <c r="BB211" s="92">
        <v>6</v>
      </c>
      <c r="BC211" s="92">
        <v>7</v>
      </c>
      <c r="BD211" s="92">
        <v>8</v>
      </c>
      <c r="BE211" s="92">
        <v>9</v>
      </c>
      <c r="BF211" s="93">
        <v>0</v>
      </c>
      <c r="BG211" s="93">
        <v>1</v>
      </c>
      <c r="BH211" s="93">
        <v>2</v>
      </c>
      <c r="BI211" s="93">
        <v>3</v>
      </c>
      <c r="BJ211" s="93">
        <v>4</v>
      </c>
      <c r="BK211" s="93">
        <v>5</v>
      </c>
      <c r="BL211" s="93">
        <v>6</v>
      </c>
      <c r="BM211" s="93">
        <v>7</v>
      </c>
      <c r="BN211" s="93">
        <v>8</v>
      </c>
      <c r="BO211" s="93">
        <v>9</v>
      </c>
      <c r="BP211" s="94" t="str">
        <f t="shared" si="182"/>
        <v>松散型</v>
      </c>
      <c r="BQ211" s="15">
        <f t="shared" si="179"/>
        <v>1</v>
      </c>
      <c r="BR211" s="15">
        <f t="shared" si="180"/>
        <v>8</v>
      </c>
      <c r="BS211" s="20" t="str">
        <f t="shared" si="184"/>
        <v/>
      </c>
      <c r="BT211" s="21" t="str">
        <f t="shared" si="185"/>
        <v/>
      </c>
      <c r="BU211" s="21" t="str">
        <f t="array" ref="BU211">_xlfn.TEXTJOIN("",TRUE,IF(ISERROR(FIND(ROW($1:$168)-1,BS211&amp;BT211)),ROW($1:$168)-1,""))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11" s="22" t="str">
        <f t="shared" si="186"/>
        <v>中中中</v>
      </c>
      <c r="BW211" s="23" t="str">
        <f t="shared" si="197"/>
        <v/>
      </c>
      <c r="BX211" s="23" t="str">
        <f t="shared" si="195"/>
        <v/>
      </c>
      <c r="BY211" s="23" t="str">
        <f t="array" ref="BY211">_xlfn.TEXTJOIN("",TRUE,IF(ISERROR(FIND(ROW($1:$168)-1,BW211&amp;BX211)),ROW($1:$168)-1,""))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11" s="22" t="str">
        <f t="shared" si="187"/>
        <v>中中中</v>
      </c>
      <c r="CA211" s="24" t="str">
        <f t="shared" si="188"/>
        <v/>
      </c>
      <c r="CB211" s="24">
        <f t="shared" si="196"/>
        <v>7</v>
      </c>
      <c r="CC211" s="24" t="str">
        <f t="array" ref="CC211">_xlfn.TEXTJOIN("",TRUE,IF(ISERROR(FIND(ROW($1:$168)-1,CA211&amp;CB211)),ROW($1:$168)-1,""))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11" s="22" t="str">
        <f t="shared" si="189"/>
        <v>中隔中</v>
      </c>
      <c r="CE211" s="25" t="str">
        <f t="shared" si="183"/>
        <v>79</v>
      </c>
      <c r="CF211" s="26" t="str">
        <f t="array" ref="CF211">_xlfn.TEXTJOIN("",TRUE,IF(ISNUMBER(FIND(MID(CE210&amp;W210,ROW($1:$162),1),CE211&amp;W211)),MID(CE210&amp;W210,ROW($1:$162),1),""))</f>
        <v>9</v>
      </c>
      <c r="CG211" s="27" t="str">
        <f t="array" ref="CG211">_xlfn.TEXTJOIN("",TRUE,IF(ISERROR(FIND(ROW($1:$168)-1,CE211&amp;CF211)),ROW($1:$168)-1,""))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H211" s="28" t="str">
        <f t="shared" si="190"/>
        <v>邻传孤</v>
      </c>
      <c r="CI211" s="29" t="str">
        <f t="shared" si="191"/>
        <v>02</v>
      </c>
      <c r="CJ211" s="29" t="str">
        <f t="array" ref="CJ211">_xlfn.TEXTJOIN("",TRUE,IF(ISNUMBER(FIND(MID(CI210&amp;X210,ROW($1:$162),1),CI211&amp;X211)),MID(CI210&amp;X210,ROW($1:$162),1),""))</f>
        <v/>
      </c>
      <c r="CK211" s="29" t="str">
        <f t="array" ref="CK211">_xlfn.TEXTJOIN("",TRUE,IF(ISERROR(FIND(ROW($1:$168)-1,CI211&amp;CJ211)),ROW($1:$168)-1,""))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11" s="19" t="str">
        <f t="shared" si="192"/>
        <v>邻孤孤</v>
      </c>
      <c r="CM211" s="24" t="str">
        <f t="shared" si="193"/>
        <v>68</v>
      </c>
      <c r="CN211" s="24" t="str">
        <f t="array" ref="CN211">_xlfn.TEXTJOIN("",TRUE,IF(ISNUMBER(FIND(MID(CM210&amp;Y210,ROW($1:$162),1),CM211&amp;Y211)),MID(CM210&amp;Y210,ROW($1:$162),1),""))</f>
        <v>6</v>
      </c>
      <c r="CO211" s="24" t="str">
        <f t="array" ref="CO211">_xlfn.TEXTJOIN("",TRUE,IF(ISERROR(FIND(ROW($1:$168)-1,CM211&amp;CN211)),ROW($1:$168)-1,""))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P211" s="30" t="str">
        <f t="shared" si="194"/>
        <v>邻传孤</v>
      </c>
    </row>
    <row r="212" spans="1:94">
      <c r="A212" s="15">
        <v>212</v>
      </c>
      <c r="B212" s="80">
        <v>2024181</v>
      </c>
      <c r="C212" s="8" t="s">
        <v>220</v>
      </c>
      <c r="D212" s="81">
        <f t="shared" si="205"/>
        <v>5</v>
      </c>
      <c r="E212" s="82">
        <f t="shared" si="206"/>
        <v>5</v>
      </c>
      <c r="F212" s="83">
        <f t="shared" si="203"/>
        <v>1.66666666666667</v>
      </c>
      <c r="G212" s="84" t="str">
        <f t="shared" si="204"/>
        <v>松散</v>
      </c>
      <c r="H212" s="85" t="s">
        <v>10</v>
      </c>
      <c r="I212" s="85" t="s">
        <v>11</v>
      </c>
      <c r="J212" s="85" t="s">
        <v>12</v>
      </c>
      <c r="K212" s="85" t="s">
        <v>13</v>
      </c>
      <c r="L212" s="86">
        <f>MAX(MID(C212,{1,2,3},1)*1)-MIN(MID(C212,{1,2,3},1)*1)</f>
        <v>3</v>
      </c>
      <c r="M212" s="87">
        <v>0</v>
      </c>
      <c r="N212" s="87">
        <v>1</v>
      </c>
      <c r="O212" s="87">
        <v>2</v>
      </c>
      <c r="P212" s="87">
        <v>3</v>
      </c>
      <c r="Q212" s="87">
        <v>4</v>
      </c>
      <c r="R212" s="87">
        <v>5</v>
      </c>
      <c r="S212" s="87">
        <v>6</v>
      </c>
      <c r="T212" s="87">
        <v>7</v>
      </c>
      <c r="U212" s="87">
        <v>8</v>
      </c>
      <c r="V212" s="87">
        <v>9</v>
      </c>
      <c r="W212" s="88">
        <f t="shared" si="207"/>
        <v>1</v>
      </c>
      <c r="X212" s="88">
        <f t="shared" si="208"/>
        <v>2</v>
      </c>
      <c r="Y212" s="88">
        <f t="shared" si="209"/>
        <v>3</v>
      </c>
      <c r="Z212" s="89">
        <f t="shared" si="181"/>
        <v>6</v>
      </c>
      <c r="AA212" s="17" t="str">
        <f>_xlfn.TEXTJOIN(", ",TRUE,ABS(MID(C212,{1,1,2},1)-MID(C212,{2,3,3},1)))</f>
        <v>1, 2, 3</v>
      </c>
      <c r="AB212" s="90">
        <v>0</v>
      </c>
      <c r="AC212" s="90">
        <v>1</v>
      </c>
      <c r="AD212" s="90">
        <v>2</v>
      </c>
      <c r="AE212" s="90">
        <v>3</v>
      </c>
      <c r="AF212" s="90">
        <v>4</v>
      </c>
      <c r="AG212" s="90">
        <v>5</v>
      </c>
      <c r="AH212" s="90">
        <v>6</v>
      </c>
      <c r="AI212" s="90">
        <v>7</v>
      </c>
      <c r="AJ212" s="90">
        <v>8</v>
      </c>
      <c r="AK212" s="90">
        <v>9</v>
      </c>
      <c r="AL212" s="91">
        <v>0</v>
      </c>
      <c r="AM212" s="91">
        <v>1</v>
      </c>
      <c r="AN212" s="91">
        <v>2</v>
      </c>
      <c r="AO212" s="91">
        <v>3</v>
      </c>
      <c r="AP212" s="91">
        <v>4</v>
      </c>
      <c r="AQ212" s="91">
        <v>5</v>
      </c>
      <c r="AR212" s="91">
        <v>6</v>
      </c>
      <c r="AS212" s="91">
        <v>7</v>
      </c>
      <c r="AT212" s="91">
        <v>8</v>
      </c>
      <c r="AU212" s="91">
        <v>9</v>
      </c>
      <c r="AV212" s="92">
        <v>0</v>
      </c>
      <c r="AW212" s="92">
        <v>1</v>
      </c>
      <c r="AX212" s="92">
        <v>2</v>
      </c>
      <c r="AY212" s="92">
        <v>3</v>
      </c>
      <c r="AZ212" s="92">
        <v>4</v>
      </c>
      <c r="BA212" s="92">
        <v>5</v>
      </c>
      <c r="BB212" s="92">
        <v>6</v>
      </c>
      <c r="BC212" s="92">
        <v>7</v>
      </c>
      <c r="BD212" s="92">
        <v>8</v>
      </c>
      <c r="BE212" s="92">
        <v>9</v>
      </c>
      <c r="BF212" s="93">
        <v>0</v>
      </c>
      <c r="BG212" s="93">
        <v>1</v>
      </c>
      <c r="BH212" s="93">
        <v>2</v>
      </c>
      <c r="BI212" s="93">
        <v>3</v>
      </c>
      <c r="BJ212" s="93">
        <v>4</v>
      </c>
      <c r="BK212" s="93">
        <v>5</v>
      </c>
      <c r="BL212" s="93">
        <v>6</v>
      </c>
      <c r="BM212" s="93">
        <v>7</v>
      </c>
      <c r="BN212" s="93">
        <v>8</v>
      </c>
      <c r="BO212" s="93">
        <v>9</v>
      </c>
      <c r="BP212" s="94" t="str">
        <f t="shared" si="182"/>
        <v>紧凑型</v>
      </c>
      <c r="BQ212" s="15">
        <f t="shared" si="179"/>
        <v>1</v>
      </c>
      <c r="BR212" s="15">
        <f t="shared" si="180"/>
        <v>3</v>
      </c>
      <c r="BS212" s="20">
        <f t="shared" si="184"/>
        <v>1</v>
      </c>
      <c r="BT212" s="21" t="str">
        <f t="shared" si="185"/>
        <v/>
      </c>
      <c r="BU212" s="21" t="str">
        <f t="array" ref="BU212">_xlfn.TEXTJOIN("",TRUE,IF(ISERROR(FIND(ROW($1:$168)-1,BS212&amp;BT212)),ROW($1:$168)-1,""))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12" s="22" t="str">
        <f t="shared" si="186"/>
        <v>复中中</v>
      </c>
      <c r="BW212" s="23" t="str">
        <f t="shared" si="197"/>
        <v/>
      </c>
      <c r="BX212" s="23" t="str">
        <f t="shared" si="195"/>
        <v/>
      </c>
      <c r="BY212" s="23" t="str">
        <f t="array" ref="BY212">_xlfn.TEXTJOIN("",TRUE,IF(ISERROR(FIND(ROW($1:$168)-1,BW212&amp;BX212)),ROW($1:$168)-1,""))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12" s="22" t="str">
        <f t="shared" si="187"/>
        <v>中中中</v>
      </c>
      <c r="CA212" s="24" t="str">
        <f t="shared" si="188"/>
        <v/>
      </c>
      <c r="CB212" s="24" t="str">
        <f t="shared" si="196"/>
        <v/>
      </c>
      <c r="CC212" s="24" t="str">
        <f t="array" ref="CC212">_xlfn.TEXTJOIN("",TRUE,IF(ISERROR(FIND(ROW($1:$168)-1,CA212&amp;CB212)),ROW($1:$168)-1,""))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12" s="22" t="str">
        <f t="shared" si="189"/>
        <v>中中中</v>
      </c>
      <c r="CE212" s="25" t="str">
        <f t="shared" si="183"/>
        <v>02</v>
      </c>
      <c r="CF212" s="26" t="str">
        <f t="array" ref="CF212">_xlfn.TEXTJOIN("",TRUE,IF(ISNUMBER(FIND(MID(CE211&amp;W211,ROW($1:$162),1),CE212&amp;W212)),MID(CE211&amp;W211,ROW($1:$162),1),""))</f>
        <v/>
      </c>
      <c r="CG212" s="27" t="str">
        <f t="array" ref="CG212">_xlfn.TEXTJOIN("",TRUE,IF(ISERROR(FIND(ROW($1:$168)-1,CE212&amp;CF212)),ROW($1:$168)-1,""))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12" s="28" t="str">
        <f t="shared" si="190"/>
        <v>邻孤孤</v>
      </c>
      <c r="CI212" s="29" t="str">
        <f t="shared" si="191"/>
        <v>13</v>
      </c>
      <c r="CJ212" s="29" t="str">
        <f t="array" ref="CJ212">_xlfn.TEXTJOIN("",TRUE,IF(ISNUMBER(FIND(MID(CI211&amp;X211,ROW($1:$162),1),CI212&amp;X212)),MID(CI211&amp;X211,ROW($1:$162),1),""))</f>
        <v>21</v>
      </c>
      <c r="CK212" s="29" t="str">
        <f t="array" ref="CK212">_xlfn.TEXTJOIN("",TRUE,IF(ISERROR(FIND(ROW($1:$168)-1,CI212&amp;CJ212)),ROW($1:$168)-1,""))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212" s="19" t="str">
        <f t="shared" si="192"/>
        <v>邻传孤</v>
      </c>
      <c r="CM212" s="24" t="str">
        <f t="shared" si="193"/>
        <v>24</v>
      </c>
      <c r="CN212" s="24" t="str">
        <f t="array" ref="CN212">_xlfn.TEXTJOIN("",TRUE,IF(ISNUMBER(FIND(MID(CM211&amp;Y211,ROW($1:$162),1),CM212&amp;Y212)),MID(CM211&amp;Y211,ROW($1:$162),1),""))</f>
        <v/>
      </c>
      <c r="CO212" s="24" t="str">
        <f t="array" ref="CO212">_xlfn.TEXTJOIN("",TRUE,IF(ISERROR(FIND(ROW($1:$168)-1,CM212&amp;CN212)),ROW($1:$168)-1,""))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12" s="30" t="str">
        <f t="shared" si="194"/>
        <v>邻孤孤</v>
      </c>
    </row>
    <row r="213" spans="1:94">
      <c r="A213" s="15">
        <v>213</v>
      </c>
      <c r="B213" s="80">
        <v>2024182</v>
      </c>
      <c r="C213" s="8" t="s">
        <v>221</v>
      </c>
      <c r="D213" s="81">
        <f t="shared" si="205"/>
        <v>20</v>
      </c>
      <c r="E213" s="82">
        <f t="shared" si="206"/>
        <v>0</v>
      </c>
      <c r="F213" s="83">
        <f t="shared" si="203"/>
        <v>5</v>
      </c>
      <c r="G213" s="84" t="str">
        <f t="shared" si="204"/>
        <v>紧凑</v>
      </c>
      <c r="H213" s="85" t="s">
        <v>10</v>
      </c>
      <c r="I213" s="85" t="s">
        <v>11</v>
      </c>
      <c r="J213" s="85" t="s">
        <v>12</v>
      </c>
      <c r="K213" s="85" t="s">
        <v>13</v>
      </c>
      <c r="L213" s="86">
        <f>MAX(MID(C213,{1,2,3},1)*1)-MIN(MID(C213,{1,2,3},1)*1)</f>
        <v>4</v>
      </c>
      <c r="M213" s="87">
        <v>0</v>
      </c>
      <c r="N213" s="87">
        <v>1</v>
      </c>
      <c r="O213" s="87">
        <v>2</v>
      </c>
      <c r="P213" s="87">
        <v>3</v>
      </c>
      <c r="Q213" s="87">
        <v>4</v>
      </c>
      <c r="R213" s="87">
        <v>5</v>
      </c>
      <c r="S213" s="87">
        <v>6</v>
      </c>
      <c r="T213" s="87">
        <v>7</v>
      </c>
      <c r="U213" s="87">
        <v>8</v>
      </c>
      <c r="V213" s="87">
        <v>9</v>
      </c>
      <c r="W213" s="88">
        <f t="shared" si="207"/>
        <v>0</v>
      </c>
      <c r="X213" s="88">
        <f t="shared" si="208"/>
        <v>4</v>
      </c>
      <c r="Y213" s="88">
        <f t="shared" si="209"/>
        <v>4</v>
      </c>
      <c r="Z213" s="89">
        <f t="shared" si="181"/>
        <v>8</v>
      </c>
      <c r="AA213" s="17" t="str">
        <f>_xlfn.TEXTJOIN(", ",TRUE,ABS(MID(C213,{1,1,2},1)-MID(C213,{2,3,3},1)))</f>
        <v>0, 4, 4</v>
      </c>
      <c r="AB213" s="90">
        <v>0</v>
      </c>
      <c r="AC213" s="90">
        <v>1</v>
      </c>
      <c r="AD213" s="90">
        <v>2</v>
      </c>
      <c r="AE213" s="90">
        <v>3</v>
      </c>
      <c r="AF213" s="90">
        <v>4</v>
      </c>
      <c r="AG213" s="90">
        <v>5</v>
      </c>
      <c r="AH213" s="90">
        <v>6</v>
      </c>
      <c r="AI213" s="90">
        <v>7</v>
      </c>
      <c r="AJ213" s="90">
        <v>8</v>
      </c>
      <c r="AK213" s="90">
        <v>9</v>
      </c>
      <c r="AL213" s="91">
        <v>0</v>
      </c>
      <c r="AM213" s="91">
        <v>1</v>
      </c>
      <c r="AN213" s="91">
        <v>2</v>
      </c>
      <c r="AO213" s="91">
        <v>3</v>
      </c>
      <c r="AP213" s="91">
        <v>4</v>
      </c>
      <c r="AQ213" s="91">
        <v>5</v>
      </c>
      <c r="AR213" s="91">
        <v>6</v>
      </c>
      <c r="AS213" s="91">
        <v>7</v>
      </c>
      <c r="AT213" s="91">
        <v>8</v>
      </c>
      <c r="AU213" s="91">
        <v>9</v>
      </c>
      <c r="AV213" s="92">
        <v>0</v>
      </c>
      <c r="AW213" s="92">
        <v>1</v>
      </c>
      <c r="AX213" s="92">
        <v>2</v>
      </c>
      <c r="AY213" s="92">
        <v>3</v>
      </c>
      <c r="AZ213" s="92">
        <v>4</v>
      </c>
      <c r="BA213" s="92">
        <v>5</v>
      </c>
      <c r="BB213" s="92">
        <v>6</v>
      </c>
      <c r="BC213" s="92">
        <v>7</v>
      </c>
      <c r="BD213" s="92">
        <v>8</v>
      </c>
      <c r="BE213" s="92">
        <v>9</v>
      </c>
      <c r="BF213" s="93">
        <v>0</v>
      </c>
      <c r="BG213" s="93">
        <v>1</v>
      </c>
      <c r="BH213" s="93">
        <v>2</v>
      </c>
      <c r="BI213" s="93">
        <v>3</v>
      </c>
      <c r="BJ213" s="93">
        <v>4</v>
      </c>
      <c r="BK213" s="93">
        <v>5</v>
      </c>
      <c r="BL213" s="93">
        <v>6</v>
      </c>
      <c r="BM213" s="93">
        <v>7</v>
      </c>
      <c r="BN213" s="93">
        <v>8</v>
      </c>
      <c r="BO213" s="93">
        <v>9</v>
      </c>
      <c r="BP213" s="94" t="str">
        <f t="shared" si="182"/>
        <v>紧凑型</v>
      </c>
      <c r="BQ213" s="15">
        <f t="shared" si="179"/>
        <v>0</v>
      </c>
      <c r="BR213" s="15">
        <f t="shared" si="180"/>
        <v>4</v>
      </c>
      <c r="BS213" s="20" t="str">
        <f t="shared" si="184"/>
        <v/>
      </c>
      <c r="BT213" s="21" t="str">
        <f t="shared" si="185"/>
        <v/>
      </c>
      <c r="BU213" s="21" t="str">
        <f t="array" ref="BU213">_xlfn.TEXTJOIN("",TRUE,IF(ISERROR(FIND(ROW($1:$168)-1,BS213&amp;BT213)),ROW($1:$168)-1,""))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13" s="22" t="str">
        <f t="shared" si="186"/>
        <v>中中中</v>
      </c>
      <c r="BW213" s="23" t="str">
        <f t="shared" si="197"/>
        <v/>
      </c>
      <c r="BX213" s="23" t="str">
        <f t="shared" si="195"/>
        <v/>
      </c>
      <c r="BY213" s="23" t="str">
        <f t="array" ref="BY213">_xlfn.TEXTJOIN("",TRUE,IF(ISERROR(FIND(ROW($1:$168)-1,BW213&amp;BX213)),ROW($1:$168)-1,""))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13" s="22" t="str">
        <f t="shared" si="187"/>
        <v>中中中</v>
      </c>
      <c r="CA213" s="24" t="str">
        <f t="shared" si="188"/>
        <v/>
      </c>
      <c r="CB213" s="24" t="str">
        <f t="shared" si="196"/>
        <v/>
      </c>
      <c r="CC213" s="24" t="str">
        <f t="array" ref="CC213">_xlfn.TEXTJOIN("",TRUE,IF(ISERROR(FIND(ROW($1:$168)-1,CA213&amp;CB213)),ROW($1:$168)-1,""))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13" s="22" t="str">
        <f t="shared" si="189"/>
        <v>中中中</v>
      </c>
      <c r="CE213" s="25" t="str">
        <f t="shared" si="183"/>
        <v>91</v>
      </c>
      <c r="CF213" s="26" t="str">
        <f t="array" ref="CF213">_xlfn.TEXTJOIN("",TRUE,IF(ISNUMBER(FIND(MID(CE212&amp;W212,ROW($1:$162),1),CE213&amp;W213)),MID(CE212&amp;W212,ROW($1:$162),1),""))</f>
        <v>01</v>
      </c>
      <c r="CG213" s="27" t="str">
        <f t="array" ref="CG213">_xlfn.TEXTJOIN("",TRUE,IF(ISERROR(FIND(ROW($1:$168)-1,CE213&amp;CF213)),ROW($1:$168)-1,""))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H213" s="28" t="str">
        <f t="shared" si="190"/>
        <v>邻传孤</v>
      </c>
      <c r="CI213" s="29" t="str">
        <f t="shared" si="191"/>
        <v>35</v>
      </c>
      <c r="CJ213" s="29" t="str">
        <f t="array" ref="CJ213">_xlfn.TEXTJOIN("",TRUE,IF(ISNUMBER(FIND(MID(CI212&amp;X212,ROW($1:$162),1),CI213&amp;X213)),MID(CI212&amp;X212,ROW($1:$162),1),""))</f>
        <v>3</v>
      </c>
      <c r="CK213" s="29" t="str">
        <f t="array" ref="CK213">_xlfn.TEXTJOIN("",TRUE,IF(ISERROR(FIND(ROW($1:$168)-1,CI213&amp;CJ213)),ROW($1:$168)-1,""))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13" s="19" t="str">
        <f t="shared" si="192"/>
        <v>邻传孤</v>
      </c>
      <c r="CM213" s="24" t="str">
        <f t="shared" si="193"/>
        <v>35</v>
      </c>
      <c r="CN213" s="24" t="str">
        <f t="array" ref="CN213">_xlfn.TEXTJOIN("",TRUE,IF(ISNUMBER(FIND(MID(CM212&amp;Y212,ROW($1:$162),1),CM213&amp;Y213)),MID(CM212&amp;Y212,ROW($1:$162),1),""))</f>
        <v>43</v>
      </c>
      <c r="CO213" s="24" t="str">
        <f t="array" ref="CO213">_xlfn.TEXTJOIN("",TRUE,IF(ISERROR(FIND(ROW($1:$168)-1,CM213&amp;CN213)),ROW($1:$168)-1,""))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13" s="30" t="str">
        <f t="shared" si="194"/>
        <v>邻传孤</v>
      </c>
    </row>
    <row r="214" spans="1:94">
      <c r="A214" s="15">
        <v>214</v>
      </c>
      <c r="B214" s="80">
        <v>2024183</v>
      </c>
      <c r="C214" s="8" t="s">
        <v>222</v>
      </c>
      <c r="D214" s="81">
        <f t="shared" si="205"/>
        <v>11</v>
      </c>
      <c r="E214" s="82">
        <f t="shared" si="206"/>
        <v>1</v>
      </c>
      <c r="F214" s="83">
        <f t="shared" si="203"/>
        <v>11</v>
      </c>
      <c r="G214" s="84" t="str">
        <f t="shared" si="204"/>
        <v>紧凑</v>
      </c>
      <c r="H214" s="85" t="s">
        <v>10</v>
      </c>
      <c r="I214" s="85" t="s">
        <v>11</v>
      </c>
      <c r="J214" s="85" t="s">
        <v>12</v>
      </c>
      <c r="K214" s="85" t="s">
        <v>13</v>
      </c>
      <c r="L214" s="86">
        <f>MAX(MID(C214,{1,2,3},1)*1)-MIN(MID(C214,{1,2,3},1)*1)</f>
        <v>1</v>
      </c>
      <c r="M214" s="87">
        <v>0</v>
      </c>
      <c r="N214" s="87">
        <v>1</v>
      </c>
      <c r="O214" s="87">
        <v>2</v>
      </c>
      <c r="P214" s="87">
        <v>3</v>
      </c>
      <c r="Q214" s="87">
        <v>4</v>
      </c>
      <c r="R214" s="87">
        <v>5</v>
      </c>
      <c r="S214" s="87">
        <v>6</v>
      </c>
      <c r="T214" s="87">
        <v>7</v>
      </c>
      <c r="U214" s="87">
        <v>8</v>
      </c>
      <c r="V214" s="87">
        <v>9</v>
      </c>
      <c r="W214" s="88">
        <f t="shared" si="207"/>
        <v>0</v>
      </c>
      <c r="X214" s="88">
        <f t="shared" si="208"/>
        <v>1</v>
      </c>
      <c r="Y214" s="88">
        <f t="shared" si="209"/>
        <v>1</v>
      </c>
      <c r="Z214" s="89">
        <f t="shared" si="181"/>
        <v>2</v>
      </c>
      <c r="AA214" s="17" t="str">
        <f>_xlfn.TEXTJOIN(", ",TRUE,ABS(MID(C214,{1,1,2},1)-MID(C214,{2,3,3},1)))</f>
        <v>0, 1, 1</v>
      </c>
      <c r="AB214" s="90">
        <v>0</v>
      </c>
      <c r="AC214" s="90">
        <v>1</v>
      </c>
      <c r="AD214" s="90">
        <v>2</v>
      </c>
      <c r="AE214" s="90">
        <v>3</v>
      </c>
      <c r="AF214" s="90">
        <v>4</v>
      </c>
      <c r="AG214" s="90">
        <v>5</v>
      </c>
      <c r="AH214" s="90">
        <v>6</v>
      </c>
      <c r="AI214" s="90">
        <v>7</v>
      </c>
      <c r="AJ214" s="90">
        <v>8</v>
      </c>
      <c r="AK214" s="90">
        <v>9</v>
      </c>
      <c r="AL214" s="91">
        <v>0</v>
      </c>
      <c r="AM214" s="91">
        <v>1</v>
      </c>
      <c r="AN214" s="91">
        <v>2</v>
      </c>
      <c r="AO214" s="91">
        <v>3</v>
      </c>
      <c r="AP214" s="91">
        <v>4</v>
      </c>
      <c r="AQ214" s="91">
        <v>5</v>
      </c>
      <c r="AR214" s="91">
        <v>6</v>
      </c>
      <c r="AS214" s="91">
        <v>7</v>
      </c>
      <c r="AT214" s="91">
        <v>8</v>
      </c>
      <c r="AU214" s="91">
        <v>9</v>
      </c>
      <c r="AV214" s="92">
        <v>0</v>
      </c>
      <c r="AW214" s="92">
        <v>1</v>
      </c>
      <c r="AX214" s="92">
        <v>2</v>
      </c>
      <c r="AY214" s="92">
        <v>3</v>
      </c>
      <c r="AZ214" s="92">
        <v>4</v>
      </c>
      <c r="BA214" s="92">
        <v>5</v>
      </c>
      <c r="BB214" s="92">
        <v>6</v>
      </c>
      <c r="BC214" s="92">
        <v>7</v>
      </c>
      <c r="BD214" s="92">
        <v>8</v>
      </c>
      <c r="BE214" s="92">
        <v>9</v>
      </c>
      <c r="BF214" s="93">
        <v>0</v>
      </c>
      <c r="BG214" s="93">
        <v>1</v>
      </c>
      <c r="BH214" s="93">
        <v>2</v>
      </c>
      <c r="BI214" s="93">
        <v>3</v>
      </c>
      <c r="BJ214" s="93">
        <v>4</v>
      </c>
      <c r="BK214" s="93">
        <v>5</v>
      </c>
      <c r="BL214" s="93">
        <v>6</v>
      </c>
      <c r="BM214" s="93">
        <v>7</v>
      </c>
      <c r="BN214" s="93">
        <v>8</v>
      </c>
      <c r="BO214" s="93">
        <v>9</v>
      </c>
      <c r="BP214" s="94" t="str">
        <f t="shared" si="182"/>
        <v>紧凑型</v>
      </c>
      <c r="BQ214" s="15">
        <f t="shared" si="179"/>
        <v>0</v>
      </c>
      <c r="BR214" s="15">
        <f t="shared" si="180"/>
        <v>1</v>
      </c>
      <c r="BS214" s="20">
        <f t="shared" si="184"/>
        <v>0</v>
      </c>
      <c r="BT214" s="21" t="str">
        <f t="shared" si="185"/>
        <v/>
      </c>
      <c r="BU214" s="21" t="str">
        <f t="array" ref="BU214">_xlfn.TEXTJOIN("",TRUE,IF(ISERROR(FIND(ROW($1:$168)-1,BS214&amp;BT214)),ROW($1:$168)-1,""))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14" s="22" t="str">
        <f t="shared" si="186"/>
        <v>复中中</v>
      </c>
      <c r="BW214" s="23" t="str">
        <f t="shared" si="197"/>
        <v/>
      </c>
      <c r="BX214" s="23">
        <f t="shared" si="195"/>
        <v>1</v>
      </c>
      <c r="BY214" s="23" t="str">
        <f t="array" ref="BY214">_xlfn.TEXTJOIN("",TRUE,IF(ISERROR(FIND(ROW($1:$168)-1,BW214&amp;BX214)),ROW($1:$168)-1,""))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14" s="22" t="str">
        <f t="shared" si="187"/>
        <v>中隔中</v>
      </c>
      <c r="CA214" s="24" t="str">
        <f t="shared" si="188"/>
        <v/>
      </c>
      <c r="CB214" s="24">
        <f t="shared" si="196"/>
        <v>1</v>
      </c>
      <c r="CC214" s="24" t="str">
        <f t="array" ref="CC214">_xlfn.TEXTJOIN("",TRUE,IF(ISERROR(FIND(ROW($1:$168)-1,CA214&amp;CB214)),ROW($1:$168)-1,""))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14" s="22" t="str">
        <f t="shared" si="189"/>
        <v>中隔中</v>
      </c>
      <c r="CE214" s="25" t="str">
        <f t="shared" si="183"/>
        <v>91</v>
      </c>
      <c r="CF214" s="26" t="str">
        <f t="array" ref="CF214">_xlfn.TEXTJOIN("",TRUE,IF(ISNUMBER(FIND(MID(CE213&amp;W213,ROW($1:$162),1),CE214&amp;W214)),MID(CE213&amp;W213,ROW($1:$162),1),""))</f>
        <v>910</v>
      </c>
      <c r="CG214" s="27" t="str">
        <f t="array" ref="CG214">_xlfn.TEXTJOIN("",TRUE,IF(ISERROR(FIND(ROW($1:$168)-1,CE214&amp;CF214)),ROW($1:$168)-1,""))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214" s="28" t="str">
        <f t="shared" si="190"/>
        <v>邻传孤</v>
      </c>
      <c r="CI214" s="29" t="str">
        <f t="shared" si="191"/>
        <v>02</v>
      </c>
      <c r="CJ214" s="29" t="str">
        <f t="array" ref="CJ214">_xlfn.TEXTJOIN("",TRUE,IF(ISNUMBER(FIND(MID(CI213&amp;X213,ROW($1:$162),1),CI214&amp;X214)),MID(CI213&amp;X213,ROW($1:$162),1),""))</f>
        <v/>
      </c>
      <c r="CK214" s="29" t="str">
        <f t="array" ref="CK214">_xlfn.TEXTJOIN("",TRUE,IF(ISERROR(FIND(ROW($1:$168)-1,CI214&amp;CJ214)),ROW($1:$168)-1,""))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14" s="19" t="str">
        <f t="shared" si="192"/>
        <v>邻孤孤</v>
      </c>
      <c r="CM214" s="24" t="str">
        <f t="shared" si="193"/>
        <v>02</v>
      </c>
      <c r="CN214" s="24" t="str">
        <f t="array" ref="CN214">_xlfn.TEXTJOIN("",TRUE,IF(ISNUMBER(FIND(MID(CM213&amp;Y213,ROW($1:$162),1),CM214&amp;Y214)),MID(CM213&amp;Y213,ROW($1:$162),1),""))</f>
        <v/>
      </c>
      <c r="CO214" s="24" t="str">
        <f t="array" ref="CO214">_xlfn.TEXTJOIN("",TRUE,IF(ISERROR(FIND(ROW($1:$168)-1,CM214&amp;CN214)),ROW($1:$168)-1,""))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14" s="30" t="str">
        <f t="shared" si="194"/>
        <v>邻孤孤</v>
      </c>
    </row>
    <row r="215" spans="1:94">
      <c r="A215" s="15">
        <v>215</v>
      </c>
      <c r="B215" s="80">
        <v>2024184</v>
      </c>
      <c r="C215" s="8" t="s">
        <v>223</v>
      </c>
      <c r="D215" s="81">
        <f t="shared" si="205"/>
        <v>15</v>
      </c>
      <c r="E215" s="82">
        <f t="shared" si="206"/>
        <v>5</v>
      </c>
      <c r="F215" s="83">
        <f t="shared" si="203"/>
        <v>2.5</v>
      </c>
      <c r="G215" s="84" t="str">
        <f t="shared" si="204"/>
        <v>标准</v>
      </c>
      <c r="H215" s="85" t="s">
        <v>10</v>
      </c>
      <c r="I215" s="85" t="s">
        <v>11</v>
      </c>
      <c r="J215" s="85" t="s">
        <v>12</v>
      </c>
      <c r="K215" s="85" t="s">
        <v>13</v>
      </c>
      <c r="L215" s="86">
        <f>MAX(MID(C215,{1,2,3},1)*1)-MIN(MID(C215,{1,2,3},1)*1)</f>
        <v>6</v>
      </c>
      <c r="M215" s="87">
        <v>0</v>
      </c>
      <c r="N215" s="87">
        <v>1</v>
      </c>
      <c r="O215" s="87">
        <v>2</v>
      </c>
      <c r="P215" s="87">
        <v>3</v>
      </c>
      <c r="Q215" s="87">
        <v>4</v>
      </c>
      <c r="R215" s="87">
        <v>5</v>
      </c>
      <c r="S215" s="87">
        <v>6</v>
      </c>
      <c r="T215" s="87">
        <v>7</v>
      </c>
      <c r="U215" s="87">
        <v>8</v>
      </c>
      <c r="V215" s="87">
        <v>9</v>
      </c>
      <c r="W215" s="88">
        <f t="shared" si="207"/>
        <v>6</v>
      </c>
      <c r="X215" s="88">
        <f t="shared" si="208"/>
        <v>6</v>
      </c>
      <c r="Y215" s="88">
        <f t="shared" si="209"/>
        <v>0</v>
      </c>
      <c r="Z215" s="89">
        <f t="shared" si="181"/>
        <v>12</v>
      </c>
      <c r="AA215" s="17" t="str">
        <f>_xlfn.TEXTJOIN(", ",TRUE,ABS(MID(C215,{1,1,2},1)-MID(C215,{2,3,3},1)))</f>
        <v>6, 6, 0</v>
      </c>
      <c r="AB215" s="90">
        <v>0</v>
      </c>
      <c r="AC215" s="90">
        <v>1</v>
      </c>
      <c r="AD215" s="90">
        <v>2</v>
      </c>
      <c r="AE215" s="90">
        <v>3</v>
      </c>
      <c r="AF215" s="90">
        <v>4</v>
      </c>
      <c r="AG215" s="90">
        <v>5</v>
      </c>
      <c r="AH215" s="90">
        <v>6</v>
      </c>
      <c r="AI215" s="90">
        <v>7</v>
      </c>
      <c r="AJ215" s="90">
        <v>8</v>
      </c>
      <c r="AK215" s="90">
        <v>9</v>
      </c>
      <c r="AL215" s="91">
        <v>0</v>
      </c>
      <c r="AM215" s="91">
        <v>1</v>
      </c>
      <c r="AN215" s="91">
        <v>2</v>
      </c>
      <c r="AO215" s="91">
        <v>3</v>
      </c>
      <c r="AP215" s="91">
        <v>4</v>
      </c>
      <c r="AQ215" s="91">
        <v>5</v>
      </c>
      <c r="AR215" s="91">
        <v>6</v>
      </c>
      <c r="AS215" s="91">
        <v>7</v>
      </c>
      <c r="AT215" s="91">
        <v>8</v>
      </c>
      <c r="AU215" s="91">
        <v>9</v>
      </c>
      <c r="AV215" s="92">
        <v>0</v>
      </c>
      <c r="AW215" s="92">
        <v>1</v>
      </c>
      <c r="AX215" s="92">
        <v>2</v>
      </c>
      <c r="AY215" s="92">
        <v>3</v>
      </c>
      <c r="AZ215" s="92">
        <v>4</v>
      </c>
      <c r="BA215" s="92">
        <v>5</v>
      </c>
      <c r="BB215" s="92">
        <v>6</v>
      </c>
      <c r="BC215" s="92">
        <v>7</v>
      </c>
      <c r="BD215" s="92">
        <v>8</v>
      </c>
      <c r="BE215" s="92">
        <v>9</v>
      </c>
      <c r="BF215" s="93">
        <v>0</v>
      </c>
      <c r="BG215" s="93">
        <v>1</v>
      </c>
      <c r="BH215" s="93">
        <v>2</v>
      </c>
      <c r="BI215" s="93">
        <v>3</v>
      </c>
      <c r="BJ215" s="93">
        <v>4</v>
      </c>
      <c r="BK215" s="93">
        <v>5</v>
      </c>
      <c r="BL215" s="93">
        <v>6</v>
      </c>
      <c r="BM215" s="93">
        <v>7</v>
      </c>
      <c r="BN215" s="93">
        <v>8</v>
      </c>
      <c r="BO215" s="93">
        <v>9</v>
      </c>
      <c r="BP215" s="94" t="str">
        <f t="shared" si="182"/>
        <v>松散型</v>
      </c>
      <c r="BQ215" s="15">
        <f t="shared" si="179"/>
        <v>0</v>
      </c>
      <c r="BR215" s="15">
        <f t="shared" si="180"/>
        <v>6</v>
      </c>
      <c r="BS215" s="20" t="str">
        <f t="shared" si="184"/>
        <v/>
      </c>
      <c r="BT215" s="21" t="str">
        <f t="shared" si="185"/>
        <v/>
      </c>
      <c r="BU215" s="21" t="str">
        <f t="array" ref="BU215">_xlfn.TEXTJOIN("",TRUE,IF(ISERROR(FIND(ROW($1:$168)-1,BS215&amp;BT215)),ROW($1:$168)-1,""))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15" s="22" t="str">
        <f t="shared" si="186"/>
        <v>中中中</v>
      </c>
      <c r="BW215" s="23" t="str">
        <f t="shared" si="197"/>
        <v/>
      </c>
      <c r="BX215" s="23" t="str">
        <f t="shared" si="195"/>
        <v/>
      </c>
      <c r="BY215" s="23" t="str">
        <f t="array" ref="BY215">_xlfn.TEXTJOIN("",TRUE,IF(ISERROR(FIND(ROW($1:$168)-1,BW215&amp;BX215)),ROW($1:$168)-1,""))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15" s="22" t="str">
        <f t="shared" si="187"/>
        <v>中中中</v>
      </c>
      <c r="CA215" s="24">
        <f t="shared" si="188"/>
        <v>0</v>
      </c>
      <c r="CB215" s="24">
        <f t="shared" si="196"/>
        <v>0</v>
      </c>
      <c r="CC215" s="24" t="str">
        <f t="array" ref="CC215">_xlfn.TEXTJOIN("",TRUE,IF(ISERROR(FIND(ROW($1:$168)-1,CA215&amp;CB215)),ROW($1:$168)-1,""))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15" s="22" t="str">
        <f t="shared" si="189"/>
        <v>复隔中</v>
      </c>
      <c r="CE215" s="25" t="str">
        <f t="shared" si="183"/>
        <v>57</v>
      </c>
      <c r="CF215" s="26" t="str">
        <f t="array" ref="CF215">_xlfn.TEXTJOIN("",TRUE,IF(ISNUMBER(FIND(MID(CE214&amp;W214,ROW($1:$162),1),CE215&amp;W215)),MID(CE214&amp;W214,ROW($1:$162),1),""))</f>
        <v/>
      </c>
      <c r="CG215" s="27" t="str">
        <f t="array" ref="CG215">_xlfn.TEXTJOIN("",TRUE,IF(ISERROR(FIND(ROW($1:$168)-1,CE215&amp;CF215)),ROW($1:$168)-1,""))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15" s="28" t="str">
        <f t="shared" si="190"/>
        <v>邻孤孤</v>
      </c>
      <c r="CI215" s="29" t="str">
        <f t="shared" si="191"/>
        <v>57</v>
      </c>
      <c r="CJ215" s="29" t="str">
        <f t="array" ref="CJ215">_xlfn.TEXTJOIN("",TRUE,IF(ISNUMBER(FIND(MID(CI214&amp;X214,ROW($1:$162),1),CI215&amp;X215)),MID(CI214&amp;X214,ROW($1:$162),1),""))</f>
        <v/>
      </c>
      <c r="CK215" s="29" t="str">
        <f t="array" ref="CK215">_xlfn.TEXTJOIN("",TRUE,IF(ISERROR(FIND(ROW($1:$168)-1,CI215&amp;CJ215)),ROW($1:$168)-1,""))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15" s="19" t="str">
        <f t="shared" si="192"/>
        <v>邻孤孤</v>
      </c>
      <c r="CM215" s="24" t="str">
        <f t="shared" si="193"/>
        <v>91</v>
      </c>
      <c r="CN215" s="24" t="str">
        <f t="array" ref="CN215">_xlfn.TEXTJOIN("",TRUE,IF(ISNUMBER(FIND(MID(CM214&amp;Y214,ROW($1:$162),1),CM215&amp;Y215)),MID(CM214&amp;Y214,ROW($1:$162),1),""))</f>
        <v>01</v>
      </c>
      <c r="CO215" s="24" t="str">
        <f t="array" ref="CO215">_xlfn.TEXTJOIN("",TRUE,IF(ISERROR(FIND(ROW($1:$168)-1,CM215&amp;CN215)),ROW($1:$168)-1,""))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215" s="30" t="str">
        <f t="shared" si="194"/>
        <v>邻传孤</v>
      </c>
    </row>
    <row r="216" spans="1:94">
      <c r="A216" s="15">
        <v>216</v>
      </c>
      <c r="B216" s="80">
        <v>2024185</v>
      </c>
      <c r="C216" s="8" t="s">
        <v>224</v>
      </c>
      <c r="D216" s="81">
        <f t="shared" si="205"/>
        <v>9</v>
      </c>
      <c r="E216" s="82">
        <f t="shared" si="206"/>
        <v>9</v>
      </c>
      <c r="F216" s="83">
        <f t="shared" si="203"/>
        <v>1.5</v>
      </c>
      <c r="G216" s="84" t="str">
        <f t="shared" si="204"/>
        <v>松散</v>
      </c>
      <c r="H216" s="85" t="s">
        <v>10</v>
      </c>
      <c r="I216" s="85" t="s">
        <v>11</v>
      </c>
      <c r="J216" s="85" t="s">
        <v>12</v>
      </c>
      <c r="K216" s="85" t="s">
        <v>13</v>
      </c>
      <c r="L216" s="86">
        <f>MAX(MID(C216,{1,2,3},1)*1)-MIN(MID(C216,{1,2,3},1)*1)</f>
        <v>6</v>
      </c>
      <c r="M216" s="87">
        <v>0</v>
      </c>
      <c r="N216" s="87">
        <v>1</v>
      </c>
      <c r="O216" s="87">
        <v>2</v>
      </c>
      <c r="P216" s="87">
        <v>3</v>
      </c>
      <c r="Q216" s="87">
        <v>4</v>
      </c>
      <c r="R216" s="87">
        <v>5</v>
      </c>
      <c r="S216" s="87">
        <v>6</v>
      </c>
      <c r="T216" s="87">
        <v>7</v>
      </c>
      <c r="U216" s="87">
        <v>8</v>
      </c>
      <c r="V216" s="87">
        <v>9</v>
      </c>
      <c r="W216" s="88">
        <f t="shared" si="207"/>
        <v>3</v>
      </c>
      <c r="X216" s="88">
        <f t="shared" si="208"/>
        <v>3</v>
      </c>
      <c r="Y216" s="88">
        <f t="shared" si="209"/>
        <v>6</v>
      </c>
      <c r="Z216" s="89">
        <f t="shared" si="181"/>
        <v>12</v>
      </c>
      <c r="AA216" s="17" t="str">
        <f>_xlfn.TEXTJOIN(", ",TRUE,ABS(MID(C216,{1,1,2},1)-MID(C216,{2,3,3},1)))</f>
        <v>3, 3, 6</v>
      </c>
      <c r="AB216" s="90">
        <v>0</v>
      </c>
      <c r="AC216" s="90">
        <v>1</v>
      </c>
      <c r="AD216" s="90">
        <v>2</v>
      </c>
      <c r="AE216" s="90">
        <v>3</v>
      </c>
      <c r="AF216" s="90">
        <v>4</v>
      </c>
      <c r="AG216" s="90">
        <v>5</v>
      </c>
      <c r="AH216" s="90">
        <v>6</v>
      </c>
      <c r="AI216" s="90">
        <v>7</v>
      </c>
      <c r="AJ216" s="90">
        <v>8</v>
      </c>
      <c r="AK216" s="90">
        <v>9</v>
      </c>
      <c r="AL216" s="91">
        <v>0</v>
      </c>
      <c r="AM216" s="91">
        <v>1</v>
      </c>
      <c r="AN216" s="91">
        <v>2</v>
      </c>
      <c r="AO216" s="91">
        <v>3</v>
      </c>
      <c r="AP216" s="91">
        <v>4</v>
      </c>
      <c r="AQ216" s="91">
        <v>5</v>
      </c>
      <c r="AR216" s="91">
        <v>6</v>
      </c>
      <c r="AS216" s="91">
        <v>7</v>
      </c>
      <c r="AT216" s="91">
        <v>8</v>
      </c>
      <c r="AU216" s="91">
        <v>9</v>
      </c>
      <c r="AV216" s="92">
        <v>0</v>
      </c>
      <c r="AW216" s="92">
        <v>1</v>
      </c>
      <c r="AX216" s="92">
        <v>2</v>
      </c>
      <c r="AY216" s="92">
        <v>3</v>
      </c>
      <c r="AZ216" s="92">
        <v>4</v>
      </c>
      <c r="BA216" s="92">
        <v>5</v>
      </c>
      <c r="BB216" s="92">
        <v>6</v>
      </c>
      <c r="BC216" s="92">
        <v>7</v>
      </c>
      <c r="BD216" s="92">
        <v>8</v>
      </c>
      <c r="BE216" s="92">
        <v>9</v>
      </c>
      <c r="BF216" s="93">
        <v>0</v>
      </c>
      <c r="BG216" s="93">
        <v>1</v>
      </c>
      <c r="BH216" s="93">
        <v>2</v>
      </c>
      <c r="BI216" s="93">
        <v>3</v>
      </c>
      <c r="BJ216" s="93">
        <v>4</v>
      </c>
      <c r="BK216" s="93">
        <v>5</v>
      </c>
      <c r="BL216" s="93">
        <v>6</v>
      </c>
      <c r="BM216" s="93">
        <v>7</v>
      </c>
      <c r="BN216" s="93">
        <v>8</v>
      </c>
      <c r="BO216" s="93">
        <v>9</v>
      </c>
      <c r="BP216" s="94" t="str">
        <f t="shared" si="182"/>
        <v>松散型</v>
      </c>
      <c r="BQ216" s="15">
        <f t="shared" si="179"/>
        <v>3</v>
      </c>
      <c r="BR216" s="15">
        <f t="shared" si="180"/>
        <v>6</v>
      </c>
      <c r="BS216" s="20" t="str">
        <f t="shared" si="184"/>
        <v/>
      </c>
      <c r="BT216" s="21" t="str">
        <f t="shared" si="185"/>
        <v/>
      </c>
      <c r="BU216" s="21" t="str">
        <f t="array" ref="BU216">_xlfn.TEXTJOIN("",TRUE,IF(ISERROR(FIND(ROW($1:$168)-1,BS216&amp;BT216)),ROW($1:$168)-1,""))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16" s="22" t="str">
        <f t="shared" si="186"/>
        <v>中中中</v>
      </c>
      <c r="BW216" s="23" t="str">
        <f t="shared" si="197"/>
        <v/>
      </c>
      <c r="BX216" s="23" t="str">
        <f t="shared" si="195"/>
        <v/>
      </c>
      <c r="BY216" s="23" t="str">
        <f t="array" ref="BY216">_xlfn.TEXTJOIN("",TRUE,IF(ISERROR(FIND(ROW($1:$168)-1,BW216&amp;BX216)),ROW($1:$168)-1,""))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16" s="22" t="str">
        <f t="shared" si="187"/>
        <v>中中中</v>
      </c>
      <c r="CA216" s="24">
        <f t="shared" si="188"/>
        <v>6</v>
      </c>
      <c r="CB216" s="24" t="str">
        <f t="shared" si="196"/>
        <v/>
      </c>
      <c r="CC216" s="24" t="str">
        <f t="array" ref="CC216">_xlfn.TEXTJOIN("",TRUE,IF(ISERROR(FIND(ROW($1:$168)-1,CA216&amp;CB216)),ROW($1:$168)-1,""))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16" s="22" t="str">
        <f t="shared" si="189"/>
        <v>复中中</v>
      </c>
      <c r="CE216" s="25" t="str">
        <f t="shared" si="183"/>
        <v>24</v>
      </c>
      <c r="CF216" s="26" t="str">
        <f t="array" ref="CF216">_xlfn.TEXTJOIN("",TRUE,IF(ISNUMBER(FIND(MID(CE215&amp;W215,ROW($1:$162),1),CE216&amp;W216)),MID(CE215&amp;W215,ROW($1:$162),1),""))</f>
        <v/>
      </c>
      <c r="CG216" s="27" t="str">
        <f t="array" ref="CG216">_xlfn.TEXTJOIN("",TRUE,IF(ISERROR(FIND(ROW($1:$168)-1,CE216&amp;CF216)),ROW($1:$168)-1,""))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16" s="28" t="str">
        <f t="shared" si="190"/>
        <v>邻孤孤</v>
      </c>
      <c r="CI216" s="29" t="str">
        <f t="shared" si="191"/>
        <v>24</v>
      </c>
      <c r="CJ216" s="29" t="str">
        <f t="array" ref="CJ216">_xlfn.TEXTJOIN("",TRUE,IF(ISNUMBER(FIND(MID(CI215&amp;X215,ROW($1:$162),1),CI216&amp;X216)),MID(CI215&amp;X215,ROW($1:$162),1),""))</f>
        <v/>
      </c>
      <c r="CK216" s="29" t="str">
        <f t="array" ref="CK216">_xlfn.TEXTJOIN("",TRUE,IF(ISERROR(FIND(ROW($1:$168)-1,CI216&amp;CJ216)),ROW($1:$168)-1,""))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16" s="19" t="str">
        <f t="shared" si="192"/>
        <v>邻孤孤</v>
      </c>
      <c r="CM216" s="24" t="str">
        <f t="shared" si="193"/>
        <v>57</v>
      </c>
      <c r="CN216" s="24" t="str">
        <f t="array" ref="CN216">_xlfn.TEXTJOIN("",TRUE,IF(ISNUMBER(FIND(MID(CM215&amp;Y215,ROW($1:$162),1),CM216&amp;Y216)),MID(CM215&amp;Y215,ROW($1:$162),1),""))</f>
        <v/>
      </c>
      <c r="CO216" s="24" t="str">
        <f t="array" ref="CO216">_xlfn.TEXTJOIN("",TRUE,IF(ISERROR(FIND(ROW($1:$168)-1,CM216&amp;CN216)),ROW($1:$168)-1,""))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16" s="30" t="str">
        <f t="shared" si="194"/>
        <v>邻孤孤</v>
      </c>
    </row>
    <row r="217" spans="1:94">
      <c r="A217" s="15">
        <v>217</v>
      </c>
      <c r="B217" s="80">
        <v>2024186</v>
      </c>
      <c r="C217" s="8" t="s">
        <v>154</v>
      </c>
      <c r="D217" s="81">
        <f t="shared" si="205"/>
        <v>21</v>
      </c>
      <c r="E217" s="82">
        <f t="shared" si="206"/>
        <v>1</v>
      </c>
      <c r="F217" s="83">
        <f t="shared" si="203"/>
        <v>5.25</v>
      </c>
      <c r="G217" s="84" t="str">
        <f t="shared" si="204"/>
        <v>紧凑</v>
      </c>
      <c r="H217" s="85" t="s">
        <v>10</v>
      </c>
      <c r="I217" s="85" t="s">
        <v>11</v>
      </c>
      <c r="J217" s="85" t="s">
        <v>12</v>
      </c>
      <c r="K217" s="85" t="s">
        <v>13</v>
      </c>
      <c r="L217" s="86">
        <f>MAX(MID(C217,{1,2,3},1)*1)-MIN(MID(C217,{1,2,3},1)*1)</f>
        <v>4</v>
      </c>
      <c r="M217" s="87">
        <v>0</v>
      </c>
      <c r="N217" s="87">
        <v>1</v>
      </c>
      <c r="O217" s="87">
        <v>2</v>
      </c>
      <c r="P217" s="87">
        <v>3</v>
      </c>
      <c r="Q217" s="87">
        <v>4</v>
      </c>
      <c r="R217" s="87">
        <v>5</v>
      </c>
      <c r="S217" s="87">
        <v>6</v>
      </c>
      <c r="T217" s="87">
        <v>7</v>
      </c>
      <c r="U217" s="87">
        <v>8</v>
      </c>
      <c r="V217" s="87">
        <v>9</v>
      </c>
      <c r="W217" s="88">
        <f t="shared" si="207"/>
        <v>2</v>
      </c>
      <c r="X217" s="88">
        <f t="shared" si="208"/>
        <v>4</v>
      </c>
      <c r="Y217" s="88">
        <f t="shared" si="209"/>
        <v>2</v>
      </c>
      <c r="Z217" s="89">
        <f t="shared" si="181"/>
        <v>8</v>
      </c>
      <c r="AA217" s="17" t="str">
        <f>_xlfn.TEXTJOIN(", ",TRUE,ABS(MID(C217,{1,1,2},1)-MID(C217,{2,3,3},1)))</f>
        <v>2, 4, 2</v>
      </c>
      <c r="AB217" s="90">
        <v>0</v>
      </c>
      <c r="AC217" s="90">
        <v>1</v>
      </c>
      <c r="AD217" s="90">
        <v>2</v>
      </c>
      <c r="AE217" s="90">
        <v>3</v>
      </c>
      <c r="AF217" s="90">
        <v>4</v>
      </c>
      <c r="AG217" s="90">
        <v>5</v>
      </c>
      <c r="AH217" s="90">
        <v>6</v>
      </c>
      <c r="AI217" s="90">
        <v>7</v>
      </c>
      <c r="AJ217" s="90">
        <v>8</v>
      </c>
      <c r="AK217" s="90">
        <v>9</v>
      </c>
      <c r="AL217" s="91">
        <v>0</v>
      </c>
      <c r="AM217" s="91">
        <v>1</v>
      </c>
      <c r="AN217" s="91">
        <v>2</v>
      </c>
      <c r="AO217" s="91">
        <v>3</v>
      </c>
      <c r="AP217" s="91">
        <v>4</v>
      </c>
      <c r="AQ217" s="91">
        <v>5</v>
      </c>
      <c r="AR217" s="91">
        <v>6</v>
      </c>
      <c r="AS217" s="91">
        <v>7</v>
      </c>
      <c r="AT217" s="91">
        <v>8</v>
      </c>
      <c r="AU217" s="91">
        <v>9</v>
      </c>
      <c r="AV217" s="92">
        <v>0</v>
      </c>
      <c r="AW217" s="92">
        <v>1</v>
      </c>
      <c r="AX217" s="92">
        <v>2</v>
      </c>
      <c r="AY217" s="92">
        <v>3</v>
      </c>
      <c r="AZ217" s="92">
        <v>4</v>
      </c>
      <c r="BA217" s="92">
        <v>5</v>
      </c>
      <c r="BB217" s="92">
        <v>6</v>
      </c>
      <c r="BC217" s="92">
        <v>7</v>
      </c>
      <c r="BD217" s="92">
        <v>8</v>
      </c>
      <c r="BE217" s="92">
        <v>9</v>
      </c>
      <c r="BF217" s="93">
        <v>0</v>
      </c>
      <c r="BG217" s="93">
        <v>1</v>
      </c>
      <c r="BH217" s="93">
        <v>2</v>
      </c>
      <c r="BI217" s="93">
        <v>3</v>
      </c>
      <c r="BJ217" s="93">
        <v>4</v>
      </c>
      <c r="BK217" s="93">
        <v>5</v>
      </c>
      <c r="BL217" s="93">
        <v>6</v>
      </c>
      <c r="BM217" s="93">
        <v>7</v>
      </c>
      <c r="BN217" s="93">
        <v>8</v>
      </c>
      <c r="BO217" s="93">
        <v>9</v>
      </c>
      <c r="BP217" s="94" t="str">
        <f t="shared" si="182"/>
        <v>标准型</v>
      </c>
      <c r="BQ217" s="15">
        <f t="shared" si="179"/>
        <v>2</v>
      </c>
      <c r="BR217" s="15">
        <f t="shared" si="180"/>
        <v>4</v>
      </c>
      <c r="BS217" s="20" t="str">
        <f t="shared" si="184"/>
        <v/>
      </c>
      <c r="BT217" s="21" t="str">
        <f t="shared" si="185"/>
        <v/>
      </c>
      <c r="BU217" s="21" t="str">
        <f t="array" ref="BU217">_xlfn.TEXTJOIN("",TRUE,IF(ISERROR(FIND(ROW($1:$168)-1,BS217&amp;BT217)),ROW($1:$168)-1,""))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17" s="22" t="str">
        <f t="shared" si="186"/>
        <v>中中中</v>
      </c>
      <c r="BW217" s="23" t="str">
        <f t="shared" si="197"/>
        <v/>
      </c>
      <c r="BX217" s="23" t="str">
        <f t="shared" si="195"/>
        <v/>
      </c>
      <c r="BY217" s="23" t="str">
        <f t="array" ref="BY217">_xlfn.TEXTJOIN("",TRUE,IF(ISERROR(FIND(ROW($1:$168)-1,BW217&amp;BX217)),ROW($1:$168)-1,""))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17" s="22" t="str">
        <f t="shared" si="187"/>
        <v>中中中</v>
      </c>
      <c r="CA217" s="24" t="str">
        <f t="shared" si="188"/>
        <v/>
      </c>
      <c r="CB217" s="24" t="str">
        <f t="shared" si="196"/>
        <v/>
      </c>
      <c r="CC217" s="24" t="str">
        <f t="array" ref="CC217">_xlfn.TEXTJOIN("",TRUE,IF(ISERROR(FIND(ROW($1:$168)-1,CA217&amp;CB217)),ROW($1:$168)-1,""))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17" s="22" t="str">
        <f t="shared" si="189"/>
        <v>中中中</v>
      </c>
      <c r="CE217" s="25" t="str">
        <f t="shared" si="183"/>
        <v>13</v>
      </c>
      <c r="CF217" s="26" t="str">
        <f t="array" ref="CF217">_xlfn.TEXTJOIN("",TRUE,IF(ISNUMBER(FIND(MID(CE216&amp;W216,ROW($1:$162),1),CE217&amp;W217)),MID(CE216&amp;W216,ROW($1:$162),1),""))</f>
        <v>23</v>
      </c>
      <c r="CG217" s="27" t="str">
        <f t="array" ref="CG217">_xlfn.TEXTJOIN("",TRUE,IF(ISERROR(FIND(ROW($1:$168)-1,CE217&amp;CF217)),ROW($1:$168)-1,""))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217" s="28" t="str">
        <f t="shared" si="190"/>
        <v>邻传孤</v>
      </c>
      <c r="CI217" s="29" t="str">
        <f t="shared" si="191"/>
        <v>35</v>
      </c>
      <c r="CJ217" s="29" t="str">
        <f t="array" ref="CJ217">_xlfn.TEXTJOIN("",TRUE,IF(ISNUMBER(FIND(MID(CI216&amp;X216,ROW($1:$162),1),CI217&amp;X217)),MID(CI216&amp;X216,ROW($1:$162),1),""))</f>
        <v>43</v>
      </c>
      <c r="CK217" s="29" t="str">
        <f t="array" ref="CK217">_xlfn.TEXTJOIN("",TRUE,IF(ISERROR(FIND(ROW($1:$168)-1,CI217&amp;CJ217)),ROW($1:$168)-1,""))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17" s="19" t="str">
        <f t="shared" si="192"/>
        <v>邻传孤</v>
      </c>
      <c r="CM217" s="24" t="str">
        <f t="shared" si="193"/>
        <v>13</v>
      </c>
      <c r="CN217" s="24" t="str">
        <f t="array" ref="CN217">_xlfn.TEXTJOIN("",TRUE,IF(ISNUMBER(FIND(MID(CM216&amp;Y216,ROW($1:$162),1),CM217&amp;Y217)),MID(CM216&amp;Y216,ROW($1:$162),1),""))</f>
        <v/>
      </c>
      <c r="CO217" s="24" t="str">
        <f t="array" ref="CO217">_xlfn.TEXTJOIN("",TRUE,IF(ISERROR(FIND(ROW($1:$168)-1,CM217&amp;CN217)),ROW($1:$168)-1,""))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17" s="30" t="str">
        <f t="shared" si="194"/>
        <v>邻孤孤</v>
      </c>
    </row>
    <row r="218" spans="1:94">
      <c r="A218" s="15">
        <v>218</v>
      </c>
      <c r="B218" s="80">
        <v>2024187</v>
      </c>
      <c r="C218" s="8" t="s">
        <v>225</v>
      </c>
      <c r="D218" s="81">
        <f t="shared" si="205"/>
        <v>11</v>
      </c>
      <c r="E218" s="82">
        <f t="shared" si="206"/>
        <v>1</v>
      </c>
      <c r="F218" s="83">
        <f t="shared" si="203"/>
        <v>1.375</v>
      </c>
      <c r="G218" s="84" t="str">
        <f t="shared" si="204"/>
        <v>松散</v>
      </c>
      <c r="H218" s="85" t="s">
        <v>10</v>
      </c>
      <c r="I218" s="85" t="s">
        <v>11</v>
      </c>
      <c r="J218" s="85" t="s">
        <v>12</v>
      </c>
      <c r="K218" s="85" t="s">
        <v>13</v>
      </c>
      <c r="L218" s="86">
        <f>MAX(MID(C218,{1,2,3},1)*1)-MIN(MID(C218,{1,2,3},1)*1)</f>
        <v>8</v>
      </c>
      <c r="M218" s="87">
        <v>0</v>
      </c>
      <c r="N218" s="87">
        <v>1</v>
      </c>
      <c r="O218" s="87">
        <v>2</v>
      </c>
      <c r="P218" s="87">
        <v>3</v>
      </c>
      <c r="Q218" s="87">
        <v>4</v>
      </c>
      <c r="R218" s="87">
        <v>5</v>
      </c>
      <c r="S218" s="87">
        <v>6</v>
      </c>
      <c r="T218" s="87">
        <v>7</v>
      </c>
      <c r="U218" s="87">
        <v>8</v>
      </c>
      <c r="V218" s="87">
        <v>9</v>
      </c>
      <c r="W218" s="88">
        <f t="shared" si="207"/>
        <v>5</v>
      </c>
      <c r="X218" s="88">
        <f t="shared" si="208"/>
        <v>3</v>
      </c>
      <c r="Y218" s="88">
        <f t="shared" si="209"/>
        <v>8</v>
      </c>
      <c r="Z218" s="89">
        <f t="shared" si="181"/>
        <v>16</v>
      </c>
      <c r="AA218" s="17" t="str">
        <f>_xlfn.TEXTJOIN(", ",TRUE,ABS(MID(C218,{1,1,2},1)-MID(C218,{2,3,3},1)))</f>
        <v>5, 3, 8</v>
      </c>
      <c r="AB218" s="90">
        <v>0</v>
      </c>
      <c r="AC218" s="90">
        <v>1</v>
      </c>
      <c r="AD218" s="90">
        <v>2</v>
      </c>
      <c r="AE218" s="90">
        <v>3</v>
      </c>
      <c r="AF218" s="90">
        <v>4</v>
      </c>
      <c r="AG218" s="90">
        <v>5</v>
      </c>
      <c r="AH218" s="90">
        <v>6</v>
      </c>
      <c r="AI218" s="90">
        <v>7</v>
      </c>
      <c r="AJ218" s="90">
        <v>8</v>
      </c>
      <c r="AK218" s="90">
        <v>9</v>
      </c>
      <c r="AL218" s="91">
        <v>0</v>
      </c>
      <c r="AM218" s="91">
        <v>1</v>
      </c>
      <c r="AN218" s="91">
        <v>2</v>
      </c>
      <c r="AO218" s="91">
        <v>3</v>
      </c>
      <c r="AP218" s="91">
        <v>4</v>
      </c>
      <c r="AQ218" s="91">
        <v>5</v>
      </c>
      <c r="AR218" s="91">
        <v>6</v>
      </c>
      <c r="AS218" s="91">
        <v>7</v>
      </c>
      <c r="AT218" s="91">
        <v>8</v>
      </c>
      <c r="AU218" s="91">
        <v>9</v>
      </c>
      <c r="AV218" s="92">
        <v>0</v>
      </c>
      <c r="AW218" s="92">
        <v>1</v>
      </c>
      <c r="AX218" s="92">
        <v>2</v>
      </c>
      <c r="AY218" s="92">
        <v>3</v>
      </c>
      <c r="AZ218" s="92">
        <v>4</v>
      </c>
      <c r="BA218" s="92">
        <v>5</v>
      </c>
      <c r="BB218" s="92">
        <v>6</v>
      </c>
      <c r="BC218" s="92">
        <v>7</v>
      </c>
      <c r="BD218" s="92">
        <v>8</v>
      </c>
      <c r="BE218" s="92">
        <v>9</v>
      </c>
      <c r="BF218" s="93">
        <v>0</v>
      </c>
      <c r="BG218" s="93">
        <v>1</v>
      </c>
      <c r="BH218" s="93">
        <v>2</v>
      </c>
      <c r="BI218" s="93">
        <v>3</v>
      </c>
      <c r="BJ218" s="93">
        <v>4</v>
      </c>
      <c r="BK218" s="93">
        <v>5</v>
      </c>
      <c r="BL218" s="93">
        <v>6</v>
      </c>
      <c r="BM218" s="93">
        <v>7</v>
      </c>
      <c r="BN218" s="93">
        <v>8</v>
      </c>
      <c r="BO218" s="93">
        <v>9</v>
      </c>
      <c r="BP218" s="94" t="str">
        <f t="shared" si="182"/>
        <v>松散型</v>
      </c>
      <c r="BQ218" s="15">
        <f t="shared" si="179"/>
        <v>3</v>
      </c>
      <c r="BR218" s="15">
        <f t="shared" si="180"/>
        <v>8</v>
      </c>
      <c r="BS218" s="20" t="str">
        <f t="shared" si="184"/>
        <v/>
      </c>
      <c r="BT218" s="21" t="str">
        <f t="shared" si="185"/>
        <v/>
      </c>
      <c r="BU218" s="21" t="str">
        <f t="array" ref="BU218">_xlfn.TEXTJOIN("",TRUE,IF(ISERROR(FIND(ROW($1:$168)-1,BS218&amp;BT218)),ROW($1:$168)-1,""))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18" s="22" t="str">
        <f t="shared" si="186"/>
        <v>中中中</v>
      </c>
      <c r="BW218" s="23" t="str">
        <f t="shared" si="197"/>
        <v/>
      </c>
      <c r="BX218" s="23">
        <f t="shared" si="195"/>
        <v>3</v>
      </c>
      <c r="BY218" s="23" t="str">
        <f t="array" ref="BY218">_xlfn.TEXTJOIN("",TRUE,IF(ISERROR(FIND(ROW($1:$168)-1,BW218&amp;BX218)),ROW($1:$168)-1,""))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18" s="22" t="str">
        <f t="shared" si="187"/>
        <v>中隔中</v>
      </c>
      <c r="CA218" s="24" t="str">
        <f t="shared" si="188"/>
        <v/>
      </c>
      <c r="CB218" s="24" t="str">
        <f t="shared" si="196"/>
        <v/>
      </c>
      <c r="CC218" s="24" t="str">
        <f t="array" ref="CC218">_xlfn.TEXTJOIN("",TRUE,IF(ISERROR(FIND(ROW($1:$168)-1,CA218&amp;CB218)),ROW($1:$168)-1,""))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18" s="22" t="str">
        <f t="shared" si="189"/>
        <v>中中中</v>
      </c>
      <c r="CE218" s="25" t="str">
        <f t="shared" si="183"/>
        <v>46</v>
      </c>
      <c r="CF218" s="26" t="str">
        <f t="array" ref="CF218">_xlfn.TEXTJOIN("",TRUE,IF(ISNUMBER(FIND(MID(CE217&amp;W217,ROW($1:$162),1),CE218&amp;W218)),MID(CE217&amp;W217,ROW($1:$162),1),""))</f>
        <v/>
      </c>
      <c r="CG218" s="27" t="str">
        <f t="array" ref="CG218">_xlfn.TEXTJOIN("",TRUE,IF(ISERROR(FIND(ROW($1:$168)-1,CE218&amp;CF218)),ROW($1:$168)-1,""))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18" s="28" t="str">
        <f t="shared" si="190"/>
        <v>邻孤孤</v>
      </c>
      <c r="CI218" s="29" t="str">
        <f t="shared" si="191"/>
        <v>24</v>
      </c>
      <c r="CJ218" s="29" t="str">
        <f t="array" ref="CJ218">_xlfn.TEXTJOIN("",TRUE,IF(ISNUMBER(FIND(MID(CI217&amp;X217,ROW($1:$162),1),CI218&amp;X218)),MID(CI217&amp;X217,ROW($1:$162),1),""))</f>
        <v>34</v>
      </c>
      <c r="CK218" s="29" t="str">
        <f t="array" ref="CK218">_xlfn.TEXTJOIN("",TRUE,IF(ISERROR(FIND(ROW($1:$168)-1,CI218&amp;CJ218)),ROW($1:$168)-1,""))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18" s="19" t="str">
        <f t="shared" si="192"/>
        <v>邻传孤</v>
      </c>
      <c r="CM218" s="24" t="str">
        <f t="shared" si="193"/>
        <v>79</v>
      </c>
      <c r="CN218" s="24" t="str">
        <f t="array" ref="CN218">_xlfn.TEXTJOIN("",TRUE,IF(ISNUMBER(FIND(MID(CM217&amp;Y217,ROW($1:$162),1),CM218&amp;Y218)),MID(CM217&amp;Y217,ROW($1:$162),1),""))</f>
        <v/>
      </c>
      <c r="CO218" s="24" t="str">
        <f t="array" ref="CO218">_xlfn.TEXTJOIN("",TRUE,IF(ISERROR(FIND(ROW($1:$168)-1,CM218&amp;CN218)),ROW($1:$168)-1,""))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218" s="30" t="str">
        <f t="shared" si="194"/>
        <v>邻孤孤</v>
      </c>
    </row>
    <row r="219" spans="1:94">
      <c r="A219" s="15">
        <v>219</v>
      </c>
      <c r="B219" s="80">
        <v>2024188</v>
      </c>
      <c r="C219" s="8" t="s">
        <v>226</v>
      </c>
      <c r="D219" s="81">
        <f t="shared" si="205"/>
        <v>20</v>
      </c>
      <c r="E219" s="82">
        <f t="shared" si="206"/>
        <v>0</v>
      </c>
      <c r="F219" s="83">
        <f t="shared" si="203"/>
        <v>5</v>
      </c>
      <c r="G219" s="84" t="str">
        <f t="shared" si="204"/>
        <v>紧凑</v>
      </c>
      <c r="H219" s="85" t="s">
        <v>10</v>
      </c>
      <c r="I219" s="85" t="s">
        <v>11</v>
      </c>
      <c r="J219" s="85" t="s">
        <v>12</v>
      </c>
      <c r="K219" s="85" t="s">
        <v>13</v>
      </c>
      <c r="L219" s="86">
        <f>MAX(MID(C219,{1,2,3},1)*1)-MIN(MID(C219,{1,2,3},1)*1)</f>
        <v>4</v>
      </c>
      <c r="M219" s="87">
        <v>0</v>
      </c>
      <c r="N219" s="87">
        <v>1</v>
      </c>
      <c r="O219" s="87">
        <v>2</v>
      </c>
      <c r="P219" s="87">
        <v>3</v>
      </c>
      <c r="Q219" s="87">
        <v>4</v>
      </c>
      <c r="R219" s="87">
        <v>5</v>
      </c>
      <c r="S219" s="87">
        <v>6</v>
      </c>
      <c r="T219" s="87">
        <v>7</v>
      </c>
      <c r="U219" s="87">
        <v>8</v>
      </c>
      <c r="V219" s="87">
        <v>9</v>
      </c>
      <c r="W219" s="88">
        <f t="shared" si="207"/>
        <v>4</v>
      </c>
      <c r="X219" s="88">
        <f t="shared" si="208"/>
        <v>3</v>
      </c>
      <c r="Y219" s="88">
        <f t="shared" si="209"/>
        <v>1</v>
      </c>
      <c r="Z219" s="89">
        <f t="shared" si="181"/>
        <v>8</v>
      </c>
      <c r="AA219" s="17" t="str">
        <f>_xlfn.TEXTJOIN(", ",TRUE,ABS(MID(C219,{1,1,2},1)-MID(C219,{2,3,3},1)))</f>
        <v>4, 3, 1</v>
      </c>
      <c r="AB219" s="90">
        <v>0</v>
      </c>
      <c r="AC219" s="90">
        <v>1</v>
      </c>
      <c r="AD219" s="90">
        <v>2</v>
      </c>
      <c r="AE219" s="90">
        <v>3</v>
      </c>
      <c r="AF219" s="90">
        <v>4</v>
      </c>
      <c r="AG219" s="90">
        <v>5</v>
      </c>
      <c r="AH219" s="90">
        <v>6</v>
      </c>
      <c r="AI219" s="90">
        <v>7</v>
      </c>
      <c r="AJ219" s="90">
        <v>8</v>
      </c>
      <c r="AK219" s="90">
        <v>9</v>
      </c>
      <c r="AL219" s="91">
        <v>0</v>
      </c>
      <c r="AM219" s="91">
        <v>1</v>
      </c>
      <c r="AN219" s="91">
        <v>2</v>
      </c>
      <c r="AO219" s="91">
        <v>3</v>
      </c>
      <c r="AP219" s="91">
        <v>4</v>
      </c>
      <c r="AQ219" s="91">
        <v>5</v>
      </c>
      <c r="AR219" s="91">
        <v>6</v>
      </c>
      <c r="AS219" s="91">
        <v>7</v>
      </c>
      <c r="AT219" s="91">
        <v>8</v>
      </c>
      <c r="AU219" s="91">
        <v>9</v>
      </c>
      <c r="AV219" s="92">
        <v>0</v>
      </c>
      <c r="AW219" s="92">
        <v>1</v>
      </c>
      <c r="AX219" s="92">
        <v>2</v>
      </c>
      <c r="AY219" s="92">
        <v>3</v>
      </c>
      <c r="AZ219" s="92">
        <v>4</v>
      </c>
      <c r="BA219" s="92">
        <v>5</v>
      </c>
      <c r="BB219" s="92">
        <v>6</v>
      </c>
      <c r="BC219" s="92">
        <v>7</v>
      </c>
      <c r="BD219" s="92">
        <v>8</v>
      </c>
      <c r="BE219" s="92">
        <v>9</v>
      </c>
      <c r="BF219" s="93">
        <v>0</v>
      </c>
      <c r="BG219" s="93">
        <v>1</v>
      </c>
      <c r="BH219" s="93">
        <v>2</v>
      </c>
      <c r="BI219" s="93">
        <v>3</v>
      </c>
      <c r="BJ219" s="93">
        <v>4</v>
      </c>
      <c r="BK219" s="93">
        <v>5</v>
      </c>
      <c r="BL219" s="93">
        <v>6</v>
      </c>
      <c r="BM219" s="93">
        <v>7</v>
      </c>
      <c r="BN219" s="93">
        <v>8</v>
      </c>
      <c r="BO219" s="93">
        <v>9</v>
      </c>
      <c r="BP219" s="94" t="str">
        <f t="shared" si="182"/>
        <v>紧凑型</v>
      </c>
      <c r="BQ219" s="15">
        <f t="shared" si="179"/>
        <v>1</v>
      </c>
      <c r="BR219" s="15">
        <f t="shared" si="180"/>
        <v>4</v>
      </c>
      <c r="BS219" s="20" t="str">
        <f t="shared" si="184"/>
        <v/>
      </c>
      <c r="BT219" s="21">
        <f t="shared" si="185"/>
        <v>4</v>
      </c>
      <c r="BU219" s="21" t="str">
        <f t="array" ref="BU219">_xlfn.TEXTJOIN("",TRUE,IF(ISERROR(FIND(ROW($1:$168)-1,BS219&amp;BT219)),ROW($1:$168)-1,""))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19" s="22" t="str">
        <f t="shared" si="186"/>
        <v>中隔中</v>
      </c>
      <c r="BW219" s="23">
        <f t="shared" si="197"/>
        <v>3</v>
      </c>
      <c r="BX219" s="23" t="str">
        <f t="shared" si="195"/>
        <v/>
      </c>
      <c r="BY219" s="23" t="str">
        <f t="array" ref="BY219">_xlfn.TEXTJOIN("",TRUE,IF(ISERROR(FIND(ROW($1:$168)-1,BW219&amp;BX219)),ROW($1:$168)-1,""))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19" s="22" t="str">
        <f t="shared" si="187"/>
        <v>复中中</v>
      </c>
      <c r="CA219" s="24" t="str">
        <f t="shared" si="188"/>
        <v/>
      </c>
      <c r="CB219" s="24" t="str">
        <f t="shared" si="196"/>
        <v/>
      </c>
      <c r="CC219" s="24" t="str">
        <f t="array" ref="CC219">_xlfn.TEXTJOIN("",TRUE,IF(ISERROR(FIND(ROW($1:$168)-1,CA219&amp;CB219)),ROW($1:$168)-1,""))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19" s="22" t="str">
        <f t="shared" si="189"/>
        <v>中中中</v>
      </c>
      <c r="CE219" s="25" t="str">
        <f t="shared" si="183"/>
        <v>35</v>
      </c>
      <c r="CF219" s="26" t="str">
        <f t="array" ref="CF219">_xlfn.TEXTJOIN("",TRUE,IF(ISNUMBER(FIND(MID(CE218&amp;W218,ROW($1:$162),1),CE219&amp;W219)),MID(CE218&amp;W218,ROW($1:$162),1),""))</f>
        <v>45</v>
      </c>
      <c r="CG219" s="27" t="str">
        <f t="array" ref="CG219">_xlfn.TEXTJOIN("",TRUE,IF(ISERROR(FIND(ROW($1:$168)-1,CE219&amp;CF219)),ROW($1:$168)-1,""))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19" s="28" t="str">
        <f t="shared" si="190"/>
        <v>邻传孤</v>
      </c>
      <c r="CI219" s="29" t="str">
        <f t="shared" si="191"/>
        <v>24</v>
      </c>
      <c r="CJ219" s="29" t="str">
        <f t="array" ref="CJ219">_xlfn.TEXTJOIN("",TRUE,IF(ISNUMBER(FIND(MID(CI218&amp;X218,ROW($1:$162),1),CI219&amp;X219)),MID(CI218&amp;X218,ROW($1:$162),1),""))</f>
        <v>243</v>
      </c>
      <c r="CK219" s="29" t="str">
        <f t="array" ref="CK219">_xlfn.TEXTJOIN("",TRUE,IF(ISERROR(FIND(ROW($1:$168)-1,CI219&amp;CJ219)),ROW($1:$168)-1,""))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19" s="19" t="str">
        <f t="shared" si="192"/>
        <v>邻传孤</v>
      </c>
      <c r="CM219" s="24" t="str">
        <f t="shared" si="193"/>
        <v>02</v>
      </c>
      <c r="CN219" s="24" t="str">
        <f t="array" ref="CN219">_xlfn.TEXTJOIN("",TRUE,IF(ISNUMBER(FIND(MID(CM218&amp;Y218,ROW($1:$162),1),CM219&amp;Y219)),MID(CM218&amp;Y218,ROW($1:$162),1),""))</f>
        <v/>
      </c>
      <c r="CO219" s="24" t="str">
        <f t="array" ref="CO219">_xlfn.TEXTJOIN("",TRUE,IF(ISERROR(FIND(ROW($1:$168)-1,CM219&amp;CN219)),ROW($1:$168)-1,""))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19" s="30" t="str">
        <f t="shared" si="194"/>
        <v>邻孤孤</v>
      </c>
    </row>
    <row r="220" spans="1:94">
      <c r="A220" s="15">
        <v>220</v>
      </c>
      <c r="B220" s="80">
        <v>2024189</v>
      </c>
      <c r="C220" s="8" t="s">
        <v>227</v>
      </c>
      <c r="D220" s="81">
        <f t="shared" si="205"/>
        <v>8</v>
      </c>
      <c r="E220" s="82">
        <f t="shared" si="206"/>
        <v>8</v>
      </c>
      <c r="F220" s="83">
        <f t="shared" si="203"/>
        <v>1.6</v>
      </c>
      <c r="G220" s="84" t="str">
        <f t="shared" si="204"/>
        <v>松散</v>
      </c>
      <c r="H220" s="85" t="s">
        <v>10</v>
      </c>
      <c r="I220" s="85" t="s">
        <v>11</v>
      </c>
      <c r="J220" s="85" t="s">
        <v>12</v>
      </c>
      <c r="K220" s="85" t="s">
        <v>13</v>
      </c>
      <c r="L220" s="86">
        <f>MAX(MID(C220,{1,2,3},1)*1)-MIN(MID(C220,{1,2,3},1)*1)</f>
        <v>5</v>
      </c>
      <c r="M220" s="87">
        <v>0</v>
      </c>
      <c r="N220" s="87">
        <v>1</v>
      </c>
      <c r="O220" s="87">
        <v>2</v>
      </c>
      <c r="P220" s="87">
        <v>3</v>
      </c>
      <c r="Q220" s="87">
        <v>4</v>
      </c>
      <c r="R220" s="87">
        <v>5</v>
      </c>
      <c r="S220" s="87">
        <v>6</v>
      </c>
      <c r="T220" s="87">
        <v>7</v>
      </c>
      <c r="U220" s="87">
        <v>8</v>
      </c>
      <c r="V220" s="87">
        <v>9</v>
      </c>
      <c r="W220" s="88">
        <f t="shared" si="207"/>
        <v>2</v>
      </c>
      <c r="X220" s="88">
        <f t="shared" si="208"/>
        <v>5</v>
      </c>
      <c r="Y220" s="88">
        <f t="shared" si="209"/>
        <v>3</v>
      </c>
      <c r="Z220" s="89">
        <f t="shared" si="181"/>
        <v>10</v>
      </c>
      <c r="AA220" s="17" t="str">
        <f>_xlfn.TEXTJOIN(", ",TRUE,ABS(MID(C220,{1,1,2},1)-MID(C220,{2,3,3},1)))</f>
        <v>2, 5, 3</v>
      </c>
      <c r="AB220" s="90">
        <v>0</v>
      </c>
      <c r="AC220" s="90">
        <v>1</v>
      </c>
      <c r="AD220" s="90">
        <v>2</v>
      </c>
      <c r="AE220" s="90">
        <v>3</v>
      </c>
      <c r="AF220" s="90">
        <v>4</v>
      </c>
      <c r="AG220" s="90">
        <v>5</v>
      </c>
      <c r="AH220" s="90">
        <v>6</v>
      </c>
      <c r="AI220" s="90">
        <v>7</v>
      </c>
      <c r="AJ220" s="90">
        <v>8</v>
      </c>
      <c r="AK220" s="90">
        <v>9</v>
      </c>
      <c r="AL220" s="91">
        <v>0</v>
      </c>
      <c r="AM220" s="91">
        <v>1</v>
      </c>
      <c r="AN220" s="91">
        <v>2</v>
      </c>
      <c r="AO220" s="91">
        <v>3</v>
      </c>
      <c r="AP220" s="91">
        <v>4</v>
      </c>
      <c r="AQ220" s="91">
        <v>5</v>
      </c>
      <c r="AR220" s="91">
        <v>6</v>
      </c>
      <c r="AS220" s="91">
        <v>7</v>
      </c>
      <c r="AT220" s="91">
        <v>8</v>
      </c>
      <c r="AU220" s="91">
        <v>9</v>
      </c>
      <c r="AV220" s="92">
        <v>0</v>
      </c>
      <c r="AW220" s="92">
        <v>1</v>
      </c>
      <c r="AX220" s="92">
        <v>2</v>
      </c>
      <c r="AY220" s="92">
        <v>3</v>
      </c>
      <c r="AZ220" s="92">
        <v>4</v>
      </c>
      <c r="BA220" s="92">
        <v>5</v>
      </c>
      <c r="BB220" s="92">
        <v>6</v>
      </c>
      <c r="BC220" s="92">
        <v>7</v>
      </c>
      <c r="BD220" s="92">
        <v>8</v>
      </c>
      <c r="BE220" s="92">
        <v>9</v>
      </c>
      <c r="BF220" s="93">
        <v>0</v>
      </c>
      <c r="BG220" s="93">
        <v>1</v>
      </c>
      <c r="BH220" s="93">
        <v>2</v>
      </c>
      <c r="BI220" s="93">
        <v>3</v>
      </c>
      <c r="BJ220" s="93">
        <v>4</v>
      </c>
      <c r="BK220" s="93">
        <v>5</v>
      </c>
      <c r="BL220" s="93">
        <v>6</v>
      </c>
      <c r="BM220" s="93">
        <v>7</v>
      </c>
      <c r="BN220" s="93">
        <v>8</v>
      </c>
      <c r="BO220" s="93">
        <v>9</v>
      </c>
      <c r="BP220" s="94" t="str">
        <f t="shared" si="182"/>
        <v>标准型</v>
      </c>
      <c r="BQ220" s="15">
        <f t="shared" si="179"/>
        <v>2</v>
      </c>
      <c r="BR220" s="15">
        <f t="shared" si="180"/>
        <v>5</v>
      </c>
      <c r="BS220" s="20" t="str">
        <f t="shared" si="184"/>
        <v/>
      </c>
      <c r="BT220" s="21" t="str">
        <f t="shared" si="185"/>
        <v/>
      </c>
      <c r="BU220" s="21" t="str">
        <f t="array" ref="BU220">_xlfn.TEXTJOIN("",TRUE,IF(ISERROR(FIND(ROW($1:$168)-1,BS220&amp;BT220)),ROW($1:$168)-1,""))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20" s="22" t="str">
        <f t="shared" si="186"/>
        <v>中中中</v>
      </c>
      <c r="BW220" s="23" t="str">
        <f t="shared" si="197"/>
        <v/>
      </c>
      <c r="BX220" s="23">
        <f t="shared" si="195"/>
        <v>5</v>
      </c>
      <c r="BY220" s="23" t="str">
        <f t="array" ref="BY220">_xlfn.TEXTJOIN("",TRUE,IF(ISERROR(FIND(ROW($1:$168)-1,BW220&amp;BX220)),ROW($1:$168)-1,""))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20" s="22" t="str">
        <f t="shared" si="187"/>
        <v>中隔中</v>
      </c>
      <c r="CA220" s="24">
        <f t="shared" si="188"/>
        <v>3</v>
      </c>
      <c r="CB220" s="24">
        <f t="shared" si="196"/>
        <v>3</v>
      </c>
      <c r="CC220" s="24" t="str">
        <f t="array" ref="CC220">_xlfn.TEXTJOIN("",TRUE,IF(ISERROR(FIND(ROW($1:$168)-1,CA220&amp;CB220)),ROW($1:$168)-1,""))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20" s="22" t="str">
        <f t="shared" si="189"/>
        <v>复隔中</v>
      </c>
      <c r="CE220" s="25" t="str">
        <f t="shared" si="183"/>
        <v>13</v>
      </c>
      <c r="CF220" s="26" t="str">
        <f t="array" ref="CF220">_xlfn.TEXTJOIN("",TRUE,IF(ISNUMBER(FIND(MID(CE219&amp;W219,ROW($1:$162),1),CE220&amp;W220)),MID(CE219&amp;W219,ROW($1:$162),1),""))</f>
        <v>3</v>
      </c>
      <c r="CG220" s="27" t="str">
        <f t="array" ref="CG220">_xlfn.TEXTJOIN("",TRUE,IF(ISERROR(FIND(ROW($1:$168)-1,CE220&amp;CF220)),ROW($1:$168)-1,""))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220" s="28" t="str">
        <f t="shared" si="190"/>
        <v>邻传孤</v>
      </c>
      <c r="CI220" s="29" t="str">
        <f t="shared" si="191"/>
        <v>46</v>
      </c>
      <c r="CJ220" s="29" t="str">
        <f t="array" ref="CJ220">_xlfn.TEXTJOIN("",TRUE,IF(ISNUMBER(FIND(MID(CI219&amp;X219,ROW($1:$162),1),CI220&amp;X220)),MID(CI219&amp;X219,ROW($1:$162),1),""))</f>
        <v>4</v>
      </c>
      <c r="CK220" s="29" t="str">
        <f t="array" ref="CK220">_xlfn.TEXTJOIN("",TRUE,IF(ISERROR(FIND(ROW($1:$168)-1,CI220&amp;CJ220)),ROW($1:$168)-1,""))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20" s="19" t="str">
        <f t="shared" si="192"/>
        <v>邻传孤</v>
      </c>
      <c r="CM220" s="24" t="str">
        <f t="shared" si="193"/>
        <v>24</v>
      </c>
      <c r="CN220" s="24" t="str">
        <f t="array" ref="CN220">_xlfn.TEXTJOIN("",TRUE,IF(ISNUMBER(FIND(MID(CM219&amp;Y219,ROW($1:$162),1),CM220&amp;Y220)),MID(CM219&amp;Y219,ROW($1:$162),1),""))</f>
        <v>2</v>
      </c>
      <c r="CO220" s="24" t="str">
        <f t="array" ref="CO220">_xlfn.TEXTJOIN("",TRUE,IF(ISERROR(FIND(ROW($1:$168)-1,CM220&amp;CN220)),ROW($1:$168)-1,""))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20" s="30" t="str">
        <f t="shared" si="194"/>
        <v>邻传孤</v>
      </c>
    </row>
    <row r="221" spans="1:94">
      <c r="A221" s="15">
        <v>221</v>
      </c>
      <c r="B221" s="80">
        <v>2024190</v>
      </c>
      <c r="C221" s="8" t="s">
        <v>228</v>
      </c>
      <c r="D221" s="81">
        <f t="shared" si="205"/>
        <v>5</v>
      </c>
      <c r="E221" s="82">
        <f t="shared" si="206"/>
        <v>5</v>
      </c>
      <c r="F221" s="83">
        <f t="shared" si="203"/>
        <v>1.25</v>
      </c>
      <c r="G221" s="84" t="str">
        <f t="shared" si="204"/>
        <v>松散</v>
      </c>
      <c r="H221" s="85" t="s">
        <v>10</v>
      </c>
      <c r="I221" s="85" t="s">
        <v>11</v>
      </c>
      <c r="J221" s="85" t="s">
        <v>12</v>
      </c>
      <c r="K221" s="85" t="s">
        <v>13</v>
      </c>
      <c r="L221" s="86">
        <f>MAX(MID(C221,{1,2,3},1)*1)-MIN(MID(C221,{1,2,3},1)*1)</f>
        <v>4</v>
      </c>
      <c r="M221" s="87">
        <v>0</v>
      </c>
      <c r="N221" s="87">
        <v>1</v>
      </c>
      <c r="O221" s="87">
        <v>2</v>
      </c>
      <c r="P221" s="87">
        <v>3</v>
      </c>
      <c r="Q221" s="87">
        <v>4</v>
      </c>
      <c r="R221" s="87">
        <v>5</v>
      </c>
      <c r="S221" s="87">
        <v>6</v>
      </c>
      <c r="T221" s="87">
        <v>7</v>
      </c>
      <c r="U221" s="87">
        <v>8</v>
      </c>
      <c r="V221" s="87">
        <v>9</v>
      </c>
      <c r="W221" s="88">
        <f t="shared" si="207"/>
        <v>3</v>
      </c>
      <c r="X221" s="88">
        <f t="shared" si="208"/>
        <v>4</v>
      </c>
      <c r="Y221" s="88">
        <f t="shared" si="209"/>
        <v>1</v>
      </c>
      <c r="Z221" s="89">
        <f t="shared" si="181"/>
        <v>8</v>
      </c>
      <c r="AA221" s="17" t="str">
        <f>_xlfn.TEXTJOIN(", ",TRUE,ABS(MID(C221,{1,1,2},1)-MID(C221,{2,3,3},1)))</f>
        <v>3, 4, 1</v>
      </c>
      <c r="AB221" s="90">
        <v>0</v>
      </c>
      <c r="AC221" s="90">
        <v>1</v>
      </c>
      <c r="AD221" s="90">
        <v>2</v>
      </c>
      <c r="AE221" s="90">
        <v>3</v>
      </c>
      <c r="AF221" s="90">
        <v>4</v>
      </c>
      <c r="AG221" s="90">
        <v>5</v>
      </c>
      <c r="AH221" s="90">
        <v>6</v>
      </c>
      <c r="AI221" s="90">
        <v>7</v>
      </c>
      <c r="AJ221" s="90">
        <v>8</v>
      </c>
      <c r="AK221" s="90">
        <v>9</v>
      </c>
      <c r="AL221" s="91">
        <v>0</v>
      </c>
      <c r="AM221" s="91">
        <v>1</v>
      </c>
      <c r="AN221" s="91">
        <v>2</v>
      </c>
      <c r="AO221" s="91">
        <v>3</v>
      </c>
      <c r="AP221" s="91">
        <v>4</v>
      </c>
      <c r="AQ221" s="91">
        <v>5</v>
      </c>
      <c r="AR221" s="91">
        <v>6</v>
      </c>
      <c r="AS221" s="91">
        <v>7</v>
      </c>
      <c r="AT221" s="91">
        <v>8</v>
      </c>
      <c r="AU221" s="91">
        <v>9</v>
      </c>
      <c r="AV221" s="92">
        <v>0</v>
      </c>
      <c r="AW221" s="92">
        <v>1</v>
      </c>
      <c r="AX221" s="92">
        <v>2</v>
      </c>
      <c r="AY221" s="92">
        <v>3</v>
      </c>
      <c r="AZ221" s="92">
        <v>4</v>
      </c>
      <c r="BA221" s="92">
        <v>5</v>
      </c>
      <c r="BB221" s="92">
        <v>6</v>
      </c>
      <c r="BC221" s="92">
        <v>7</v>
      </c>
      <c r="BD221" s="92">
        <v>8</v>
      </c>
      <c r="BE221" s="92">
        <v>9</v>
      </c>
      <c r="BF221" s="93">
        <v>0</v>
      </c>
      <c r="BG221" s="93">
        <v>1</v>
      </c>
      <c r="BH221" s="93">
        <v>2</v>
      </c>
      <c r="BI221" s="93">
        <v>3</v>
      </c>
      <c r="BJ221" s="93">
        <v>4</v>
      </c>
      <c r="BK221" s="93">
        <v>5</v>
      </c>
      <c r="BL221" s="93">
        <v>6</v>
      </c>
      <c r="BM221" s="93">
        <v>7</v>
      </c>
      <c r="BN221" s="93">
        <v>8</v>
      </c>
      <c r="BO221" s="93">
        <v>9</v>
      </c>
      <c r="BP221" s="94" t="str">
        <f t="shared" si="182"/>
        <v>紧凑型</v>
      </c>
      <c r="BQ221" s="15">
        <f t="shared" si="179"/>
        <v>1</v>
      </c>
      <c r="BR221" s="15">
        <f t="shared" si="180"/>
        <v>4</v>
      </c>
      <c r="BS221" s="20">
        <f t="shared" si="184"/>
        <v>3</v>
      </c>
      <c r="BT221" s="21">
        <f t="shared" si="185"/>
        <v>3</v>
      </c>
      <c r="BU221" s="21" t="str">
        <f t="array" ref="BU221">_xlfn.TEXTJOIN("",TRUE,IF(ISERROR(FIND(ROW($1:$168)-1,BS221&amp;BT221)),ROW($1:$168)-1,""))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21" s="22" t="str">
        <f t="shared" si="186"/>
        <v>复隔中</v>
      </c>
      <c r="BW221" s="23" t="str">
        <f t="shared" si="197"/>
        <v/>
      </c>
      <c r="BX221" s="23">
        <f t="shared" si="195"/>
        <v>4</v>
      </c>
      <c r="BY221" s="23" t="str">
        <f t="array" ref="BY221">_xlfn.TEXTJOIN("",TRUE,IF(ISERROR(FIND(ROW($1:$168)-1,BW221&amp;BX221)),ROW($1:$168)-1,""))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21" s="22" t="str">
        <f t="shared" si="187"/>
        <v>中隔中</v>
      </c>
      <c r="CA221" s="24" t="str">
        <f t="shared" si="188"/>
        <v/>
      </c>
      <c r="CB221" s="24">
        <f t="shared" si="196"/>
        <v>1</v>
      </c>
      <c r="CC221" s="24" t="str">
        <f t="array" ref="CC221">_xlfn.TEXTJOIN("",TRUE,IF(ISERROR(FIND(ROW($1:$168)-1,CA221&amp;CB221)),ROW($1:$168)-1,""))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21" s="22" t="str">
        <f t="shared" si="189"/>
        <v>中隔中</v>
      </c>
      <c r="CE221" s="25" t="str">
        <f t="shared" si="183"/>
        <v>24</v>
      </c>
      <c r="CF221" s="26" t="str">
        <f t="array" ref="CF221">_xlfn.TEXTJOIN("",TRUE,IF(ISNUMBER(FIND(MID(CE220&amp;W220,ROW($1:$162),1),CE221&amp;W221)),MID(CE220&amp;W220,ROW($1:$162),1),""))</f>
        <v>32</v>
      </c>
      <c r="CG221" s="27" t="str">
        <f t="array" ref="CG221">_xlfn.TEXTJOIN("",TRUE,IF(ISERROR(FIND(ROW($1:$168)-1,CE221&amp;CF221)),ROW($1:$168)-1,""))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21" s="28" t="str">
        <f t="shared" si="190"/>
        <v>邻传孤</v>
      </c>
      <c r="CI221" s="29" t="str">
        <f t="shared" si="191"/>
        <v>35</v>
      </c>
      <c r="CJ221" s="29" t="str">
        <f t="array" ref="CJ221">_xlfn.TEXTJOIN("",TRUE,IF(ISNUMBER(FIND(MID(CI220&amp;X220,ROW($1:$162),1),CI221&amp;X221)),MID(CI220&amp;X220,ROW($1:$162),1),""))</f>
        <v>45</v>
      </c>
      <c r="CK221" s="29" t="str">
        <f t="array" ref="CK221">_xlfn.TEXTJOIN("",TRUE,IF(ISERROR(FIND(ROW($1:$168)-1,CI221&amp;CJ221)),ROW($1:$168)-1,""))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21" s="19" t="str">
        <f t="shared" si="192"/>
        <v>邻传孤</v>
      </c>
      <c r="CM221" s="24" t="str">
        <f t="shared" si="193"/>
        <v>02</v>
      </c>
      <c r="CN221" s="24" t="str">
        <f t="array" ref="CN221">_xlfn.TEXTJOIN("",TRUE,IF(ISNUMBER(FIND(MID(CM220&amp;Y220,ROW($1:$162),1),CM221&amp;Y221)),MID(CM220&amp;Y220,ROW($1:$162),1),""))</f>
        <v>2</v>
      </c>
      <c r="CO221" s="24" t="str">
        <f t="array" ref="CO221">_xlfn.TEXTJOIN("",TRUE,IF(ISERROR(FIND(ROW($1:$168)-1,CM221&amp;CN221)),ROW($1:$168)-1,""))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21" s="30" t="str">
        <f t="shared" si="194"/>
        <v>邻传孤</v>
      </c>
    </row>
    <row r="222" spans="1:94">
      <c r="A222" s="15">
        <v>222</v>
      </c>
      <c r="B222" s="80">
        <v>2024191</v>
      </c>
      <c r="C222" s="8" t="s">
        <v>229</v>
      </c>
      <c r="D222" s="81">
        <f t="shared" si="205"/>
        <v>13</v>
      </c>
      <c r="E222" s="82">
        <f t="shared" si="206"/>
        <v>3</v>
      </c>
      <c r="F222" s="83">
        <f t="shared" si="203"/>
        <v>2.16666666666667</v>
      </c>
      <c r="G222" s="84" t="str">
        <f t="shared" si="204"/>
        <v>标准</v>
      </c>
      <c r="H222" s="85" t="s">
        <v>10</v>
      </c>
      <c r="I222" s="85" t="s">
        <v>11</v>
      </c>
      <c r="J222" s="85" t="s">
        <v>12</v>
      </c>
      <c r="K222" s="85" t="s">
        <v>13</v>
      </c>
      <c r="L222" s="86">
        <f>MAX(MID(C222,{1,2,3},1)*1)-MIN(MID(C222,{1,2,3},1)*1)</f>
        <v>6</v>
      </c>
      <c r="M222" s="87">
        <v>0</v>
      </c>
      <c r="N222" s="87">
        <v>1</v>
      </c>
      <c r="O222" s="87">
        <v>2</v>
      </c>
      <c r="P222" s="87">
        <v>3</v>
      </c>
      <c r="Q222" s="87">
        <v>4</v>
      </c>
      <c r="R222" s="87">
        <v>5</v>
      </c>
      <c r="S222" s="87">
        <v>6</v>
      </c>
      <c r="T222" s="87">
        <v>7</v>
      </c>
      <c r="U222" s="87">
        <v>8</v>
      </c>
      <c r="V222" s="87">
        <v>9</v>
      </c>
      <c r="W222" s="88">
        <f t="shared" si="207"/>
        <v>5</v>
      </c>
      <c r="X222" s="88">
        <f t="shared" si="208"/>
        <v>1</v>
      </c>
      <c r="Y222" s="88">
        <f t="shared" si="209"/>
        <v>6</v>
      </c>
      <c r="Z222" s="89">
        <f t="shared" si="181"/>
        <v>12</v>
      </c>
      <c r="AA222" s="17" t="str">
        <f>_xlfn.TEXTJOIN(", ",TRUE,ABS(MID(C222,{1,1,2},1)-MID(C222,{2,3,3},1)))</f>
        <v>5, 1, 6</v>
      </c>
      <c r="AB222" s="90">
        <v>0</v>
      </c>
      <c r="AC222" s="90">
        <v>1</v>
      </c>
      <c r="AD222" s="90">
        <v>2</v>
      </c>
      <c r="AE222" s="90">
        <v>3</v>
      </c>
      <c r="AF222" s="90">
        <v>4</v>
      </c>
      <c r="AG222" s="90">
        <v>5</v>
      </c>
      <c r="AH222" s="90">
        <v>6</v>
      </c>
      <c r="AI222" s="90">
        <v>7</v>
      </c>
      <c r="AJ222" s="90">
        <v>8</v>
      </c>
      <c r="AK222" s="90">
        <v>9</v>
      </c>
      <c r="AL222" s="91">
        <v>0</v>
      </c>
      <c r="AM222" s="91">
        <v>1</v>
      </c>
      <c r="AN222" s="91">
        <v>2</v>
      </c>
      <c r="AO222" s="91">
        <v>3</v>
      </c>
      <c r="AP222" s="91">
        <v>4</v>
      </c>
      <c r="AQ222" s="91">
        <v>5</v>
      </c>
      <c r="AR222" s="91">
        <v>6</v>
      </c>
      <c r="AS222" s="91">
        <v>7</v>
      </c>
      <c r="AT222" s="91">
        <v>8</v>
      </c>
      <c r="AU222" s="91">
        <v>9</v>
      </c>
      <c r="AV222" s="92">
        <v>0</v>
      </c>
      <c r="AW222" s="92">
        <v>1</v>
      </c>
      <c r="AX222" s="92">
        <v>2</v>
      </c>
      <c r="AY222" s="92">
        <v>3</v>
      </c>
      <c r="AZ222" s="92">
        <v>4</v>
      </c>
      <c r="BA222" s="92">
        <v>5</v>
      </c>
      <c r="BB222" s="92">
        <v>6</v>
      </c>
      <c r="BC222" s="92">
        <v>7</v>
      </c>
      <c r="BD222" s="92">
        <v>8</v>
      </c>
      <c r="BE222" s="92">
        <v>9</v>
      </c>
      <c r="BF222" s="93">
        <v>0</v>
      </c>
      <c r="BG222" s="93">
        <v>1</v>
      </c>
      <c r="BH222" s="93">
        <v>2</v>
      </c>
      <c r="BI222" s="93">
        <v>3</v>
      </c>
      <c r="BJ222" s="93">
        <v>4</v>
      </c>
      <c r="BK222" s="93">
        <v>5</v>
      </c>
      <c r="BL222" s="93">
        <v>6</v>
      </c>
      <c r="BM222" s="93">
        <v>7</v>
      </c>
      <c r="BN222" s="93">
        <v>8</v>
      </c>
      <c r="BO222" s="93">
        <v>9</v>
      </c>
      <c r="BP222" s="94" t="str">
        <f t="shared" si="182"/>
        <v>松散型</v>
      </c>
      <c r="BQ222" s="15">
        <f t="shared" si="179"/>
        <v>1</v>
      </c>
      <c r="BR222" s="15">
        <f t="shared" si="180"/>
        <v>6</v>
      </c>
      <c r="BS222" s="20" t="str">
        <f t="shared" si="184"/>
        <v/>
      </c>
      <c r="BT222" s="21">
        <f t="shared" si="185"/>
        <v>5</v>
      </c>
      <c r="BU222" s="21" t="str">
        <f t="array" ref="BU222">_xlfn.TEXTJOIN("",TRUE,IF(ISERROR(FIND(ROW($1:$168)-1,BS222&amp;BT222)),ROW($1:$168)-1,""))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22" s="22" t="str">
        <f t="shared" si="186"/>
        <v>中隔中</v>
      </c>
      <c r="BW222" s="23">
        <f t="shared" si="197"/>
        <v>1</v>
      </c>
      <c r="BX222" s="23" t="str">
        <f t="shared" si="195"/>
        <v/>
      </c>
      <c r="BY222" s="23" t="str">
        <f t="array" ref="BY222">_xlfn.TEXTJOIN("",TRUE,IF(ISERROR(FIND(ROW($1:$168)-1,BW222&amp;BX222)),ROW($1:$168)-1,""))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22" s="22" t="str">
        <f t="shared" si="187"/>
        <v>复中中</v>
      </c>
      <c r="CA222" s="24" t="str">
        <f t="shared" si="188"/>
        <v/>
      </c>
      <c r="CB222" s="24" t="str">
        <f t="shared" si="196"/>
        <v/>
      </c>
      <c r="CC222" s="24" t="str">
        <f t="array" ref="CC222">_xlfn.TEXTJOIN("",TRUE,IF(ISERROR(FIND(ROW($1:$168)-1,CA222&amp;CB222)),ROW($1:$168)-1,""))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22" s="22" t="str">
        <f t="shared" si="189"/>
        <v>中中中</v>
      </c>
      <c r="CE222" s="25" t="str">
        <f t="shared" si="183"/>
        <v>46</v>
      </c>
      <c r="CF222" s="26" t="str">
        <f t="array" ref="CF222">_xlfn.TEXTJOIN("",TRUE,IF(ISNUMBER(FIND(MID(CE221&amp;W221,ROW($1:$162),1),CE222&amp;W222)),MID(CE221&amp;W221,ROW($1:$162),1),""))</f>
        <v>4</v>
      </c>
      <c r="CG222" s="27" t="str">
        <f t="array" ref="CG222">_xlfn.TEXTJOIN("",TRUE,IF(ISERROR(FIND(ROW($1:$168)-1,CE222&amp;CF222)),ROW($1:$168)-1,""))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22" s="28" t="str">
        <f t="shared" si="190"/>
        <v>邻传孤</v>
      </c>
      <c r="CI222" s="29" t="str">
        <f t="shared" si="191"/>
        <v>02</v>
      </c>
      <c r="CJ222" s="29" t="str">
        <f t="array" ref="CJ222">_xlfn.TEXTJOIN("",TRUE,IF(ISNUMBER(FIND(MID(CI221&amp;X221,ROW($1:$162),1),CI222&amp;X222)),MID(CI221&amp;X221,ROW($1:$162),1),""))</f>
        <v/>
      </c>
      <c r="CK222" s="29" t="str">
        <f t="array" ref="CK222">_xlfn.TEXTJOIN("",TRUE,IF(ISERROR(FIND(ROW($1:$168)-1,CI222&amp;CJ222)),ROW($1:$168)-1,""))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22" s="19" t="str">
        <f t="shared" si="192"/>
        <v>邻孤孤</v>
      </c>
      <c r="CM222" s="24" t="str">
        <f t="shared" si="193"/>
        <v>57</v>
      </c>
      <c r="CN222" s="24" t="str">
        <f t="array" ref="CN222">_xlfn.TEXTJOIN("",TRUE,IF(ISNUMBER(FIND(MID(CM221&amp;Y221,ROW($1:$162),1),CM222&amp;Y222)),MID(CM221&amp;Y221,ROW($1:$162),1),""))</f>
        <v/>
      </c>
      <c r="CO222" s="24" t="str">
        <f t="array" ref="CO222">_xlfn.TEXTJOIN("",TRUE,IF(ISERROR(FIND(ROW($1:$168)-1,CM222&amp;CN222)),ROW($1:$168)-1,""))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22" s="30" t="str">
        <f t="shared" si="194"/>
        <v>邻孤孤</v>
      </c>
    </row>
    <row r="223" spans="1:94">
      <c r="A223" s="15">
        <v>223</v>
      </c>
      <c r="B223" s="80">
        <v>2024192</v>
      </c>
      <c r="C223" s="8" t="s">
        <v>93</v>
      </c>
      <c r="D223" s="81">
        <f t="shared" si="205"/>
        <v>19</v>
      </c>
      <c r="E223" s="82">
        <f t="shared" si="206"/>
        <v>9</v>
      </c>
      <c r="F223" s="83">
        <f t="shared" si="203"/>
        <v>19</v>
      </c>
      <c r="G223" s="84" t="str">
        <f t="shared" si="204"/>
        <v>紧凑</v>
      </c>
      <c r="H223" s="85" t="s">
        <v>10</v>
      </c>
      <c r="I223" s="85" t="s">
        <v>11</v>
      </c>
      <c r="J223" s="85" t="s">
        <v>12</v>
      </c>
      <c r="K223" s="85" t="s">
        <v>13</v>
      </c>
      <c r="L223" s="86">
        <f>MAX(MID(C223,{1,2,3},1)*1)-MIN(MID(C223,{1,2,3},1)*1)</f>
        <v>1</v>
      </c>
      <c r="M223" s="87">
        <v>0</v>
      </c>
      <c r="N223" s="87">
        <v>1</v>
      </c>
      <c r="O223" s="87">
        <v>2</v>
      </c>
      <c r="P223" s="87">
        <v>3</v>
      </c>
      <c r="Q223" s="87">
        <v>4</v>
      </c>
      <c r="R223" s="87">
        <v>5</v>
      </c>
      <c r="S223" s="87">
        <v>6</v>
      </c>
      <c r="T223" s="87">
        <v>7</v>
      </c>
      <c r="U223" s="87">
        <v>8</v>
      </c>
      <c r="V223" s="87">
        <v>9</v>
      </c>
      <c r="W223" s="88">
        <f t="shared" si="207"/>
        <v>1</v>
      </c>
      <c r="X223" s="88">
        <f t="shared" si="208"/>
        <v>0</v>
      </c>
      <c r="Y223" s="88">
        <f t="shared" si="209"/>
        <v>1</v>
      </c>
      <c r="Z223" s="89">
        <f t="shared" si="181"/>
        <v>2</v>
      </c>
      <c r="AA223" s="17" t="str">
        <f>_xlfn.TEXTJOIN(", ",TRUE,ABS(MID(C223,{1,1,2},1)-MID(C223,{2,3,3},1)))</f>
        <v>1, 0, 1</v>
      </c>
      <c r="AB223" s="90">
        <v>0</v>
      </c>
      <c r="AC223" s="90">
        <v>1</v>
      </c>
      <c r="AD223" s="90">
        <v>2</v>
      </c>
      <c r="AE223" s="90">
        <v>3</v>
      </c>
      <c r="AF223" s="90">
        <v>4</v>
      </c>
      <c r="AG223" s="90">
        <v>5</v>
      </c>
      <c r="AH223" s="90">
        <v>6</v>
      </c>
      <c r="AI223" s="90">
        <v>7</v>
      </c>
      <c r="AJ223" s="90">
        <v>8</v>
      </c>
      <c r="AK223" s="90">
        <v>9</v>
      </c>
      <c r="AL223" s="91">
        <v>0</v>
      </c>
      <c r="AM223" s="91">
        <v>1</v>
      </c>
      <c r="AN223" s="91">
        <v>2</v>
      </c>
      <c r="AO223" s="91">
        <v>3</v>
      </c>
      <c r="AP223" s="91">
        <v>4</v>
      </c>
      <c r="AQ223" s="91">
        <v>5</v>
      </c>
      <c r="AR223" s="91">
        <v>6</v>
      </c>
      <c r="AS223" s="91">
        <v>7</v>
      </c>
      <c r="AT223" s="91">
        <v>8</v>
      </c>
      <c r="AU223" s="91">
        <v>9</v>
      </c>
      <c r="AV223" s="92">
        <v>0</v>
      </c>
      <c r="AW223" s="92">
        <v>1</v>
      </c>
      <c r="AX223" s="92">
        <v>2</v>
      </c>
      <c r="AY223" s="92">
        <v>3</v>
      </c>
      <c r="AZ223" s="92">
        <v>4</v>
      </c>
      <c r="BA223" s="92">
        <v>5</v>
      </c>
      <c r="BB223" s="92">
        <v>6</v>
      </c>
      <c r="BC223" s="92">
        <v>7</v>
      </c>
      <c r="BD223" s="92">
        <v>8</v>
      </c>
      <c r="BE223" s="92">
        <v>9</v>
      </c>
      <c r="BF223" s="93">
        <v>0</v>
      </c>
      <c r="BG223" s="93">
        <v>1</v>
      </c>
      <c r="BH223" s="93">
        <v>2</v>
      </c>
      <c r="BI223" s="93">
        <v>3</v>
      </c>
      <c r="BJ223" s="93">
        <v>4</v>
      </c>
      <c r="BK223" s="93">
        <v>5</v>
      </c>
      <c r="BL223" s="93">
        <v>6</v>
      </c>
      <c r="BM223" s="93">
        <v>7</v>
      </c>
      <c r="BN223" s="93">
        <v>8</v>
      </c>
      <c r="BO223" s="93">
        <v>9</v>
      </c>
      <c r="BP223" s="94" t="str">
        <f t="shared" si="182"/>
        <v>紧凑型</v>
      </c>
      <c r="BQ223" s="15">
        <f t="shared" si="179"/>
        <v>0</v>
      </c>
      <c r="BR223" s="15">
        <f t="shared" si="180"/>
        <v>1</v>
      </c>
      <c r="BS223" s="20">
        <f t="shared" si="184"/>
        <v>1</v>
      </c>
      <c r="BT223" s="21">
        <f t="shared" si="185"/>
        <v>1</v>
      </c>
      <c r="BU223" s="21" t="str">
        <f t="array" ref="BU223">_xlfn.TEXTJOIN("",TRUE,IF(ISERROR(FIND(ROW($1:$168)-1,BS223&amp;BT223)),ROW($1:$168)-1,""))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23" s="22" t="str">
        <f t="shared" si="186"/>
        <v>复隔中</v>
      </c>
      <c r="BW223" s="23" t="str">
        <f t="shared" si="197"/>
        <v/>
      </c>
      <c r="BX223" s="23" t="str">
        <f t="shared" si="195"/>
        <v/>
      </c>
      <c r="BY223" s="23" t="str">
        <f t="array" ref="BY223">_xlfn.TEXTJOIN("",TRUE,IF(ISERROR(FIND(ROW($1:$168)-1,BW223&amp;BX223)),ROW($1:$168)-1,""))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23" s="22" t="str">
        <f t="shared" si="187"/>
        <v>中中中</v>
      </c>
      <c r="CA223" s="24">
        <f t="shared" si="188"/>
        <v>1</v>
      </c>
      <c r="CB223" s="24">
        <f t="shared" si="196"/>
        <v>1</v>
      </c>
      <c r="CC223" s="24" t="str">
        <f t="array" ref="CC223">_xlfn.TEXTJOIN("",TRUE,IF(ISERROR(FIND(ROW($1:$168)-1,CA223&amp;CB223)),ROW($1:$168)-1,""))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23" s="22" t="str">
        <f t="shared" si="189"/>
        <v>复隔中</v>
      </c>
      <c r="CE223" s="25" t="str">
        <f t="shared" si="183"/>
        <v>02</v>
      </c>
      <c r="CF223" s="26" t="str">
        <f t="array" ref="CF223">_xlfn.TEXTJOIN("",TRUE,IF(ISNUMBER(FIND(MID(CE222&amp;W222,ROW($1:$162),1),CE223&amp;W223)),MID(CE222&amp;W222,ROW($1:$162),1),""))</f>
        <v/>
      </c>
      <c r="CG223" s="27" t="str">
        <f t="array" ref="CG223">_xlfn.TEXTJOIN("",TRUE,IF(ISERROR(FIND(ROW($1:$168)-1,CE223&amp;CF223)),ROW($1:$168)-1,""))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23" s="28" t="str">
        <f t="shared" si="190"/>
        <v>邻孤孤</v>
      </c>
      <c r="CI223" s="29" t="str">
        <f t="shared" si="191"/>
        <v>91</v>
      </c>
      <c r="CJ223" s="29" t="str">
        <f t="array" ref="CJ223">_xlfn.TEXTJOIN("",TRUE,IF(ISNUMBER(FIND(MID(CI222&amp;X222,ROW($1:$162),1),CI223&amp;X223)),MID(CI222&amp;X222,ROW($1:$162),1),""))</f>
        <v>01</v>
      </c>
      <c r="CK223" s="29" t="str">
        <f t="array" ref="CK223">_xlfn.TEXTJOIN("",TRUE,IF(ISERROR(FIND(ROW($1:$168)-1,CI223&amp;CJ223)),ROW($1:$168)-1,""))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L223" s="19" t="str">
        <f t="shared" si="192"/>
        <v>邻传孤</v>
      </c>
      <c r="CM223" s="24" t="str">
        <f t="shared" si="193"/>
        <v>02</v>
      </c>
      <c r="CN223" s="24" t="str">
        <f t="array" ref="CN223">_xlfn.TEXTJOIN("",TRUE,IF(ISNUMBER(FIND(MID(CM222&amp;Y222,ROW($1:$162),1),CM223&amp;Y223)),MID(CM222&amp;Y222,ROW($1:$162),1),""))</f>
        <v/>
      </c>
      <c r="CO223" s="24" t="str">
        <f t="array" ref="CO223">_xlfn.TEXTJOIN("",TRUE,IF(ISERROR(FIND(ROW($1:$168)-1,CM223&amp;CN223)),ROW($1:$168)-1,""))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23" s="30" t="str">
        <f t="shared" si="194"/>
        <v>邻孤孤</v>
      </c>
    </row>
    <row r="224" spans="1:94">
      <c r="A224" s="15">
        <v>224</v>
      </c>
      <c r="B224" s="80">
        <v>2024193</v>
      </c>
      <c r="C224" s="8" t="s">
        <v>230</v>
      </c>
      <c r="D224" s="81">
        <f t="shared" si="205"/>
        <v>15</v>
      </c>
      <c r="E224" s="82">
        <f t="shared" si="206"/>
        <v>5</v>
      </c>
      <c r="F224" s="83">
        <f t="shared" si="203"/>
        <v>2.14285714285714</v>
      </c>
      <c r="G224" s="84" t="str">
        <f t="shared" si="204"/>
        <v>标准</v>
      </c>
      <c r="H224" s="85" t="s">
        <v>10</v>
      </c>
      <c r="I224" s="85" t="s">
        <v>11</v>
      </c>
      <c r="J224" s="85" t="s">
        <v>12</v>
      </c>
      <c r="K224" s="85" t="s">
        <v>13</v>
      </c>
      <c r="L224" s="86">
        <f>MAX(MID(C224,{1,2,3},1)*1)-MIN(MID(C224,{1,2,3},1)*1)</f>
        <v>7</v>
      </c>
      <c r="M224" s="87">
        <v>0</v>
      </c>
      <c r="N224" s="87">
        <v>1</v>
      </c>
      <c r="O224" s="87">
        <v>2</v>
      </c>
      <c r="P224" s="87">
        <v>3</v>
      </c>
      <c r="Q224" s="87">
        <v>4</v>
      </c>
      <c r="R224" s="87">
        <v>5</v>
      </c>
      <c r="S224" s="87">
        <v>6</v>
      </c>
      <c r="T224" s="87">
        <v>7</v>
      </c>
      <c r="U224" s="87">
        <v>8</v>
      </c>
      <c r="V224" s="87">
        <v>9</v>
      </c>
      <c r="W224" s="88">
        <f t="shared" si="207"/>
        <v>2</v>
      </c>
      <c r="X224" s="88">
        <f t="shared" si="208"/>
        <v>5</v>
      </c>
      <c r="Y224" s="88">
        <f t="shared" si="209"/>
        <v>7</v>
      </c>
      <c r="Z224" s="89">
        <f t="shared" si="181"/>
        <v>14</v>
      </c>
      <c r="AA224" s="17" t="str">
        <f>_xlfn.TEXTJOIN(", ",TRUE,ABS(MID(C224,{1,1,2},1)-MID(C224,{2,3,3},1)))</f>
        <v>2, 5, 7</v>
      </c>
      <c r="AB224" s="90">
        <v>0</v>
      </c>
      <c r="AC224" s="90">
        <v>1</v>
      </c>
      <c r="AD224" s="90">
        <v>2</v>
      </c>
      <c r="AE224" s="90">
        <v>3</v>
      </c>
      <c r="AF224" s="90">
        <v>4</v>
      </c>
      <c r="AG224" s="90">
        <v>5</v>
      </c>
      <c r="AH224" s="90">
        <v>6</v>
      </c>
      <c r="AI224" s="90">
        <v>7</v>
      </c>
      <c r="AJ224" s="90">
        <v>8</v>
      </c>
      <c r="AK224" s="90">
        <v>9</v>
      </c>
      <c r="AL224" s="91">
        <v>0</v>
      </c>
      <c r="AM224" s="91">
        <v>1</v>
      </c>
      <c r="AN224" s="91">
        <v>2</v>
      </c>
      <c r="AO224" s="91">
        <v>3</v>
      </c>
      <c r="AP224" s="91">
        <v>4</v>
      </c>
      <c r="AQ224" s="91">
        <v>5</v>
      </c>
      <c r="AR224" s="91">
        <v>6</v>
      </c>
      <c r="AS224" s="91">
        <v>7</v>
      </c>
      <c r="AT224" s="91">
        <v>8</v>
      </c>
      <c r="AU224" s="91">
        <v>9</v>
      </c>
      <c r="AV224" s="92">
        <v>0</v>
      </c>
      <c r="AW224" s="92">
        <v>1</v>
      </c>
      <c r="AX224" s="92">
        <v>2</v>
      </c>
      <c r="AY224" s="92">
        <v>3</v>
      </c>
      <c r="AZ224" s="92">
        <v>4</v>
      </c>
      <c r="BA224" s="92">
        <v>5</v>
      </c>
      <c r="BB224" s="92">
        <v>6</v>
      </c>
      <c r="BC224" s="92">
        <v>7</v>
      </c>
      <c r="BD224" s="92">
        <v>8</v>
      </c>
      <c r="BE224" s="92">
        <v>9</v>
      </c>
      <c r="BF224" s="93">
        <v>0</v>
      </c>
      <c r="BG224" s="93">
        <v>1</v>
      </c>
      <c r="BH224" s="93">
        <v>2</v>
      </c>
      <c r="BI224" s="93">
        <v>3</v>
      </c>
      <c r="BJ224" s="93">
        <v>4</v>
      </c>
      <c r="BK224" s="93">
        <v>5</v>
      </c>
      <c r="BL224" s="93">
        <v>6</v>
      </c>
      <c r="BM224" s="93">
        <v>7</v>
      </c>
      <c r="BN224" s="93">
        <v>8</v>
      </c>
      <c r="BO224" s="93">
        <v>9</v>
      </c>
      <c r="BP224" s="94" t="str">
        <f t="shared" si="182"/>
        <v>松散型</v>
      </c>
      <c r="BQ224" s="15">
        <f t="shared" si="179"/>
        <v>2</v>
      </c>
      <c r="BR224" s="15">
        <f t="shared" si="180"/>
        <v>7</v>
      </c>
      <c r="BS224" s="20" t="str">
        <f t="shared" si="184"/>
        <v/>
      </c>
      <c r="BT224" s="21" t="str">
        <f t="shared" si="185"/>
        <v/>
      </c>
      <c r="BU224" s="21" t="str">
        <f t="array" ref="BU224">_xlfn.TEXTJOIN("",TRUE,IF(ISERROR(FIND(ROW($1:$168)-1,BS224&amp;BT224)),ROW($1:$168)-1,""))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24" s="22" t="str">
        <f t="shared" si="186"/>
        <v>中中中</v>
      </c>
      <c r="BW224" s="23" t="str">
        <f t="shared" si="197"/>
        <v/>
      </c>
      <c r="BX224" s="23">
        <f t="shared" si="195"/>
        <v>5</v>
      </c>
      <c r="BY224" s="23" t="str">
        <f t="array" ref="BY224">_xlfn.TEXTJOIN("",TRUE,IF(ISERROR(FIND(ROW($1:$168)-1,BW224&amp;BX224)),ROW($1:$168)-1,""))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24" s="22" t="str">
        <f t="shared" si="187"/>
        <v>中隔中</v>
      </c>
      <c r="CA224" s="24" t="str">
        <f t="shared" si="188"/>
        <v/>
      </c>
      <c r="CB224" s="24" t="str">
        <f t="shared" si="196"/>
        <v/>
      </c>
      <c r="CC224" s="24" t="str">
        <f t="array" ref="CC224">_xlfn.TEXTJOIN("",TRUE,IF(ISERROR(FIND(ROW($1:$168)-1,CA224&amp;CB224)),ROW($1:$168)-1,""))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24" s="22" t="str">
        <f t="shared" si="189"/>
        <v>中中中</v>
      </c>
      <c r="CE224" s="25" t="str">
        <f t="shared" si="183"/>
        <v>13</v>
      </c>
      <c r="CF224" s="26" t="str">
        <f t="array" ref="CF224">_xlfn.TEXTJOIN("",TRUE,IF(ISNUMBER(FIND(MID(CE223&amp;W223,ROW($1:$162),1),CE224&amp;W224)),MID(CE223&amp;W223,ROW($1:$162),1),""))</f>
        <v>21</v>
      </c>
      <c r="CG224" s="27" t="str">
        <f t="array" ref="CG224">_xlfn.TEXTJOIN("",TRUE,IF(ISERROR(FIND(ROW($1:$168)-1,CE224&amp;CF224)),ROW($1:$168)-1,""))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224" s="28" t="str">
        <f t="shared" si="190"/>
        <v>邻传孤</v>
      </c>
      <c r="CI224" s="29" t="str">
        <f t="shared" si="191"/>
        <v>46</v>
      </c>
      <c r="CJ224" s="29" t="str">
        <f t="array" ref="CJ224">_xlfn.TEXTJOIN("",TRUE,IF(ISNUMBER(FIND(MID(CI223&amp;X223,ROW($1:$162),1),CI224&amp;X224)),MID(CI223&amp;X223,ROW($1:$162),1),""))</f>
        <v/>
      </c>
      <c r="CK224" s="29" t="str">
        <f t="array" ref="CK224">_xlfn.TEXTJOIN("",TRUE,IF(ISERROR(FIND(ROW($1:$168)-1,CI224&amp;CJ224)),ROW($1:$168)-1,""))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24" s="19" t="str">
        <f t="shared" si="192"/>
        <v>邻孤孤</v>
      </c>
      <c r="CM224" s="24" t="str">
        <f t="shared" si="193"/>
        <v>68</v>
      </c>
      <c r="CN224" s="24" t="str">
        <f t="array" ref="CN224">_xlfn.TEXTJOIN("",TRUE,IF(ISNUMBER(FIND(MID(CM223&amp;Y223,ROW($1:$162),1),CM224&amp;Y224)),MID(CM223&amp;Y223,ROW($1:$162),1),""))</f>
        <v/>
      </c>
      <c r="CO224" s="24" t="str">
        <f t="array" ref="CO224">_xlfn.TEXTJOIN("",TRUE,IF(ISERROR(FIND(ROW($1:$168)-1,CM224&amp;CN224)),ROW($1:$168)-1,""))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24" s="30" t="str">
        <f t="shared" si="194"/>
        <v>邻孤孤</v>
      </c>
    </row>
    <row r="225" spans="1:94">
      <c r="A225" s="15">
        <v>225</v>
      </c>
      <c r="B225" s="80">
        <v>2024194</v>
      </c>
      <c r="C225" s="8" t="s">
        <v>231</v>
      </c>
      <c r="D225" s="81">
        <f t="shared" si="205"/>
        <v>11</v>
      </c>
      <c r="E225" s="82">
        <f t="shared" si="206"/>
        <v>1</v>
      </c>
      <c r="F225" s="83">
        <f t="shared" si="203"/>
        <v>1.83333333333333</v>
      </c>
      <c r="G225" s="84" t="str">
        <f t="shared" si="204"/>
        <v>松散</v>
      </c>
      <c r="H225" s="85" t="s">
        <v>10</v>
      </c>
      <c r="I225" s="85" t="s">
        <v>11</v>
      </c>
      <c r="J225" s="85" t="s">
        <v>12</v>
      </c>
      <c r="K225" s="85" t="s">
        <v>13</v>
      </c>
      <c r="L225" s="86">
        <f>MAX(MID(C225,{1,2,3},1)*1)-MIN(MID(C225,{1,2,3},1)*1)</f>
        <v>6</v>
      </c>
      <c r="M225" s="87">
        <v>0</v>
      </c>
      <c r="N225" s="87">
        <v>1</v>
      </c>
      <c r="O225" s="87">
        <v>2</v>
      </c>
      <c r="P225" s="87">
        <v>3</v>
      </c>
      <c r="Q225" s="87">
        <v>4</v>
      </c>
      <c r="R225" s="87">
        <v>5</v>
      </c>
      <c r="S225" s="87">
        <v>6</v>
      </c>
      <c r="T225" s="87">
        <v>7</v>
      </c>
      <c r="U225" s="87">
        <v>8</v>
      </c>
      <c r="V225" s="87">
        <v>9</v>
      </c>
      <c r="W225" s="88">
        <f t="shared" si="207"/>
        <v>2</v>
      </c>
      <c r="X225" s="88">
        <f t="shared" si="208"/>
        <v>6</v>
      </c>
      <c r="Y225" s="88">
        <f t="shared" si="209"/>
        <v>4</v>
      </c>
      <c r="Z225" s="89">
        <f t="shared" si="181"/>
        <v>12</v>
      </c>
      <c r="AA225" s="17" t="str">
        <f>_xlfn.TEXTJOIN(", ",TRUE,ABS(MID(C225,{1,1,2},1)-MID(C225,{2,3,3},1)))</f>
        <v>2, 6, 4</v>
      </c>
      <c r="AB225" s="90">
        <v>0</v>
      </c>
      <c r="AC225" s="90">
        <v>1</v>
      </c>
      <c r="AD225" s="90">
        <v>2</v>
      </c>
      <c r="AE225" s="90">
        <v>3</v>
      </c>
      <c r="AF225" s="90">
        <v>4</v>
      </c>
      <c r="AG225" s="90">
        <v>5</v>
      </c>
      <c r="AH225" s="90">
        <v>6</v>
      </c>
      <c r="AI225" s="90">
        <v>7</v>
      </c>
      <c r="AJ225" s="90">
        <v>8</v>
      </c>
      <c r="AK225" s="90">
        <v>9</v>
      </c>
      <c r="AL225" s="91">
        <v>0</v>
      </c>
      <c r="AM225" s="91">
        <v>1</v>
      </c>
      <c r="AN225" s="91">
        <v>2</v>
      </c>
      <c r="AO225" s="91">
        <v>3</v>
      </c>
      <c r="AP225" s="91">
        <v>4</v>
      </c>
      <c r="AQ225" s="91">
        <v>5</v>
      </c>
      <c r="AR225" s="91">
        <v>6</v>
      </c>
      <c r="AS225" s="91">
        <v>7</v>
      </c>
      <c r="AT225" s="91">
        <v>8</v>
      </c>
      <c r="AU225" s="91">
        <v>9</v>
      </c>
      <c r="AV225" s="92">
        <v>0</v>
      </c>
      <c r="AW225" s="92">
        <v>1</v>
      </c>
      <c r="AX225" s="92">
        <v>2</v>
      </c>
      <c r="AY225" s="92">
        <v>3</v>
      </c>
      <c r="AZ225" s="92">
        <v>4</v>
      </c>
      <c r="BA225" s="92">
        <v>5</v>
      </c>
      <c r="BB225" s="92">
        <v>6</v>
      </c>
      <c r="BC225" s="92">
        <v>7</v>
      </c>
      <c r="BD225" s="92">
        <v>8</v>
      </c>
      <c r="BE225" s="92">
        <v>9</v>
      </c>
      <c r="BF225" s="93">
        <v>0</v>
      </c>
      <c r="BG225" s="93">
        <v>1</v>
      </c>
      <c r="BH225" s="93">
        <v>2</v>
      </c>
      <c r="BI225" s="93">
        <v>3</v>
      </c>
      <c r="BJ225" s="93">
        <v>4</v>
      </c>
      <c r="BK225" s="93">
        <v>5</v>
      </c>
      <c r="BL225" s="93">
        <v>6</v>
      </c>
      <c r="BM225" s="93">
        <v>7</v>
      </c>
      <c r="BN225" s="93">
        <v>8</v>
      </c>
      <c r="BO225" s="93">
        <v>9</v>
      </c>
      <c r="BP225" s="94" t="str">
        <f t="shared" si="182"/>
        <v>松散型</v>
      </c>
      <c r="BQ225" s="15">
        <f t="shared" ref="BQ225:BQ288" si="210">MIN(ABS(INT(C225/100)-INT(MOD(C225,100)/10)),ABS(INT(C225/100)-MOD(C225,10)),ABS(INT(MOD(C225,100)/10)-MOD(C225,10)))</f>
        <v>2</v>
      </c>
      <c r="BR225" s="15">
        <f t="shared" ref="BR225:BR288" si="211">MAX(ABS(INT(C225/100)-INT(MOD(C225,100)/10)),ABS(INT(C225/100)-MOD(C225,10)),ABS(INT(MOD(C225,100)/10)-MOD(C225,10)))</f>
        <v>6</v>
      </c>
      <c r="BS225" s="20">
        <f t="shared" si="184"/>
        <v>2</v>
      </c>
      <c r="BT225" s="21" t="str">
        <f t="shared" si="185"/>
        <v/>
      </c>
      <c r="BU225" s="21" t="str">
        <f t="array" ref="BU225">_xlfn.TEXTJOIN("",TRUE,IF(ISERROR(FIND(ROW($1:$168)-1,BS225&amp;BT225)),ROW($1:$168)-1,""))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25" s="22" t="str">
        <f t="shared" si="186"/>
        <v>复中中</v>
      </c>
      <c r="BW225" s="23" t="str">
        <f t="shared" si="197"/>
        <v/>
      </c>
      <c r="BX225" s="23" t="str">
        <f t="shared" si="195"/>
        <v/>
      </c>
      <c r="BY225" s="23" t="str">
        <f t="array" ref="BY225">_xlfn.TEXTJOIN("",TRUE,IF(ISERROR(FIND(ROW($1:$168)-1,BW225&amp;BX225)),ROW($1:$168)-1,""))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25" s="22" t="str">
        <f t="shared" si="187"/>
        <v>中中中</v>
      </c>
      <c r="CA225" s="24" t="str">
        <f t="shared" si="188"/>
        <v/>
      </c>
      <c r="CB225" s="24" t="str">
        <f t="shared" si="196"/>
        <v/>
      </c>
      <c r="CC225" s="24" t="str">
        <f t="array" ref="CC225">_xlfn.TEXTJOIN("",TRUE,IF(ISERROR(FIND(ROW($1:$168)-1,CA225&amp;CB225)),ROW($1:$168)-1,""))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25" s="22" t="str">
        <f t="shared" si="189"/>
        <v>中中中</v>
      </c>
      <c r="CE225" s="25" t="str">
        <f t="shared" si="183"/>
        <v>13</v>
      </c>
      <c r="CF225" s="26" t="str">
        <f t="array" ref="CF225">_xlfn.TEXTJOIN("",TRUE,IF(ISNUMBER(FIND(MID(CE224&amp;W224,ROW($1:$162),1),CE225&amp;W225)),MID(CE224&amp;W224,ROW($1:$162),1),""))</f>
        <v>132</v>
      </c>
      <c r="CG225" s="27" t="str">
        <f t="array" ref="CG225">_xlfn.TEXTJOIN("",TRUE,IF(ISERROR(FIND(ROW($1:$168)-1,CE225&amp;CF225)),ROW($1:$168)-1,""))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225" s="28" t="str">
        <f t="shared" si="190"/>
        <v>邻传孤</v>
      </c>
      <c r="CI225" s="29" t="str">
        <f t="shared" si="191"/>
        <v>57</v>
      </c>
      <c r="CJ225" s="29" t="str">
        <f t="array" ref="CJ225">_xlfn.TEXTJOIN("",TRUE,IF(ISNUMBER(FIND(MID(CI224&amp;X224,ROW($1:$162),1),CI225&amp;X225)),MID(CI224&amp;X224,ROW($1:$162),1),""))</f>
        <v>65</v>
      </c>
      <c r="CK225" s="29" t="str">
        <f t="array" ref="CK225">_xlfn.TEXTJOIN("",TRUE,IF(ISERROR(FIND(ROW($1:$168)-1,CI225&amp;CJ225)),ROW($1:$168)-1,""))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25" s="19" t="str">
        <f t="shared" si="192"/>
        <v>邻传孤</v>
      </c>
      <c r="CM225" s="24" t="str">
        <f t="shared" si="193"/>
        <v>35</v>
      </c>
      <c r="CN225" s="24" t="str">
        <f t="array" ref="CN225">_xlfn.TEXTJOIN("",TRUE,IF(ISNUMBER(FIND(MID(CM224&amp;Y224,ROW($1:$162),1),CM225&amp;Y225)),MID(CM224&amp;Y224,ROW($1:$162),1),""))</f>
        <v/>
      </c>
      <c r="CO225" s="24" t="str">
        <f t="array" ref="CO225">_xlfn.TEXTJOIN("",TRUE,IF(ISERROR(FIND(ROW($1:$168)-1,CM225&amp;CN225)),ROW($1:$168)-1,""))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25" s="30" t="str">
        <f t="shared" si="194"/>
        <v>邻孤孤</v>
      </c>
    </row>
    <row r="226" spans="1:94">
      <c r="A226" s="15">
        <v>226</v>
      </c>
      <c r="B226" s="80">
        <v>2024195</v>
      </c>
      <c r="C226" s="8" t="s">
        <v>232</v>
      </c>
      <c r="D226" s="81">
        <f t="shared" si="205"/>
        <v>14</v>
      </c>
      <c r="E226" s="82">
        <f t="shared" si="206"/>
        <v>4</v>
      </c>
      <c r="F226" s="83">
        <f t="shared" si="203"/>
        <v>2.8</v>
      </c>
      <c r="G226" s="84" t="str">
        <f t="shared" si="204"/>
        <v>标准</v>
      </c>
      <c r="H226" s="85" t="s">
        <v>10</v>
      </c>
      <c r="I226" s="85" t="s">
        <v>11</v>
      </c>
      <c r="J226" s="85" t="s">
        <v>12</v>
      </c>
      <c r="K226" s="85" t="s">
        <v>13</v>
      </c>
      <c r="L226" s="86">
        <f>MAX(MID(C226,{1,2,3},1)*1)-MIN(MID(C226,{1,2,3},1)*1)</f>
        <v>5</v>
      </c>
      <c r="M226" s="87">
        <v>0</v>
      </c>
      <c r="N226" s="87">
        <v>1</v>
      </c>
      <c r="O226" s="87">
        <v>2</v>
      </c>
      <c r="P226" s="87">
        <v>3</v>
      </c>
      <c r="Q226" s="87">
        <v>4</v>
      </c>
      <c r="R226" s="87">
        <v>5</v>
      </c>
      <c r="S226" s="87">
        <v>6</v>
      </c>
      <c r="T226" s="87">
        <v>7</v>
      </c>
      <c r="U226" s="87">
        <v>8</v>
      </c>
      <c r="V226" s="87">
        <v>9</v>
      </c>
      <c r="W226" s="88">
        <f t="shared" si="207"/>
        <v>5</v>
      </c>
      <c r="X226" s="88">
        <f t="shared" si="208"/>
        <v>2</v>
      </c>
      <c r="Y226" s="88">
        <f t="shared" si="209"/>
        <v>3</v>
      </c>
      <c r="Z226" s="89">
        <f t="shared" ref="Z226:Z289" si="212">W226+X226+Y226</f>
        <v>10</v>
      </c>
      <c r="AA226" s="17" t="str">
        <f>_xlfn.TEXTJOIN(", ",TRUE,ABS(MID(C226,{1,1,2},1)-MID(C226,{2,3,3},1)))</f>
        <v>5, 2, 3</v>
      </c>
      <c r="AB226" s="90">
        <v>0</v>
      </c>
      <c r="AC226" s="90">
        <v>1</v>
      </c>
      <c r="AD226" s="90">
        <v>2</v>
      </c>
      <c r="AE226" s="90">
        <v>3</v>
      </c>
      <c r="AF226" s="90">
        <v>4</v>
      </c>
      <c r="AG226" s="90">
        <v>5</v>
      </c>
      <c r="AH226" s="90">
        <v>6</v>
      </c>
      <c r="AI226" s="90">
        <v>7</v>
      </c>
      <c r="AJ226" s="90">
        <v>8</v>
      </c>
      <c r="AK226" s="90">
        <v>9</v>
      </c>
      <c r="AL226" s="91">
        <v>0</v>
      </c>
      <c r="AM226" s="91">
        <v>1</v>
      </c>
      <c r="AN226" s="91">
        <v>2</v>
      </c>
      <c r="AO226" s="91">
        <v>3</v>
      </c>
      <c r="AP226" s="91">
        <v>4</v>
      </c>
      <c r="AQ226" s="91">
        <v>5</v>
      </c>
      <c r="AR226" s="91">
        <v>6</v>
      </c>
      <c r="AS226" s="91">
        <v>7</v>
      </c>
      <c r="AT226" s="91">
        <v>8</v>
      </c>
      <c r="AU226" s="91">
        <v>9</v>
      </c>
      <c r="AV226" s="92">
        <v>0</v>
      </c>
      <c r="AW226" s="92">
        <v>1</v>
      </c>
      <c r="AX226" s="92">
        <v>2</v>
      </c>
      <c r="AY226" s="92">
        <v>3</v>
      </c>
      <c r="AZ226" s="92">
        <v>4</v>
      </c>
      <c r="BA226" s="92">
        <v>5</v>
      </c>
      <c r="BB226" s="92">
        <v>6</v>
      </c>
      <c r="BC226" s="92">
        <v>7</v>
      </c>
      <c r="BD226" s="92">
        <v>8</v>
      </c>
      <c r="BE226" s="92">
        <v>9</v>
      </c>
      <c r="BF226" s="93">
        <v>0</v>
      </c>
      <c r="BG226" s="93">
        <v>1</v>
      </c>
      <c r="BH226" s="93">
        <v>2</v>
      </c>
      <c r="BI226" s="93">
        <v>3</v>
      </c>
      <c r="BJ226" s="93">
        <v>4</v>
      </c>
      <c r="BK226" s="93">
        <v>5</v>
      </c>
      <c r="BL226" s="93">
        <v>6</v>
      </c>
      <c r="BM226" s="93">
        <v>7</v>
      </c>
      <c r="BN226" s="93">
        <v>8</v>
      </c>
      <c r="BO226" s="93">
        <v>9</v>
      </c>
      <c r="BP226" s="94" t="str">
        <f t="shared" ref="BP226:BP289" si="213">IF(AND(BQ226&lt;=1,BR226&lt;=4),"紧凑型",IF(OR(BQ226&gt;=3,BR226&gt;=6),"松散型",IF(AND(BQ226&gt;=1,BR226&lt;=5),"标准型","对子")))</f>
        <v>标准型</v>
      </c>
      <c r="BQ226" s="15">
        <f t="shared" si="210"/>
        <v>2</v>
      </c>
      <c r="BR226" s="15">
        <f t="shared" si="211"/>
        <v>5</v>
      </c>
      <c r="BS226" s="20" t="str">
        <f t="shared" si="184"/>
        <v/>
      </c>
      <c r="BT226" s="21">
        <f t="shared" si="185"/>
        <v>5</v>
      </c>
      <c r="BU226" s="21" t="str">
        <f t="array" ref="BU226">_xlfn.TEXTJOIN("",TRUE,IF(ISERROR(FIND(ROW($1:$168)-1,BS226&amp;BT226)),ROW($1:$168)-1,""))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26" s="22" t="str">
        <f t="shared" si="186"/>
        <v>中隔中</v>
      </c>
      <c r="BW226" s="23">
        <f t="shared" si="197"/>
        <v>2</v>
      </c>
      <c r="BX226" s="23">
        <f t="shared" si="195"/>
        <v>2</v>
      </c>
      <c r="BY226" s="23" t="str">
        <f t="array" ref="BY226">_xlfn.TEXTJOIN("",TRUE,IF(ISERROR(FIND(ROW($1:$168)-1,BW226&amp;BX226)),ROW($1:$168)-1,""))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26" s="22" t="str">
        <f t="shared" si="187"/>
        <v>复隔中</v>
      </c>
      <c r="CA226" s="24" t="str">
        <f t="shared" si="188"/>
        <v/>
      </c>
      <c r="CB226" s="24" t="str">
        <f t="shared" si="196"/>
        <v/>
      </c>
      <c r="CC226" s="24" t="str">
        <f t="array" ref="CC226">_xlfn.TEXTJOIN("",TRUE,IF(ISERROR(FIND(ROW($1:$168)-1,CA226&amp;CB226)),ROW($1:$168)-1,""))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26" s="22" t="str">
        <f t="shared" si="189"/>
        <v>中中中</v>
      </c>
      <c r="CE226" s="25" t="str">
        <f t="shared" ref="CE226:CE289" si="214">IF(W226=0,9,W226-1)&amp;""&amp;IF(W226=9,0,W226+1)</f>
        <v>46</v>
      </c>
      <c r="CF226" s="26" t="str">
        <f t="array" ref="CF226">_xlfn.TEXTJOIN("",TRUE,IF(ISNUMBER(FIND(MID(CE225&amp;W225,ROW($1:$162),1),CE226&amp;W226)),MID(CE225&amp;W225,ROW($1:$162),1),""))</f>
        <v/>
      </c>
      <c r="CG226" s="27" t="str">
        <f t="array" ref="CG226">_xlfn.TEXTJOIN("",TRUE,IF(ISERROR(FIND(ROW($1:$168)-1,CE226&amp;CF226)),ROW($1:$168)-1,""))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26" s="28" t="str">
        <f t="shared" si="190"/>
        <v>邻孤孤</v>
      </c>
      <c r="CI226" s="29" t="str">
        <f t="shared" si="191"/>
        <v>13</v>
      </c>
      <c r="CJ226" s="29" t="str">
        <f t="array" ref="CJ226">_xlfn.TEXTJOIN("",TRUE,IF(ISNUMBER(FIND(MID(CI225&amp;X225,ROW($1:$162),1),CI226&amp;X226)),MID(CI225&amp;X225,ROW($1:$162),1),""))</f>
        <v/>
      </c>
      <c r="CK226" s="29" t="str">
        <f t="array" ref="CK226">_xlfn.TEXTJOIN("",TRUE,IF(ISERROR(FIND(ROW($1:$168)-1,CI226&amp;CJ226)),ROW($1:$168)-1,""))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26" s="19" t="str">
        <f t="shared" si="192"/>
        <v>邻孤孤</v>
      </c>
      <c r="CM226" s="24" t="str">
        <f t="shared" si="193"/>
        <v>24</v>
      </c>
      <c r="CN226" s="24" t="str">
        <f t="array" ref="CN226">_xlfn.TEXTJOIN("",TRUE,IF(ISNUMBER(FIND(MID(CM225&amp;Y225,ROW($1:$162),1),CM226&amp;Y226)),MID(CM225&amp;Y225,ROW($1:$162),1),""))</f>
        <v>34</v>
      </c>
      <c r="CO226" s="24" t="str">
        <f t="array" ref="CO226">_xlfn.TEXTJOIN("",TRUE,IF(ISERROR(FIND(ROW($1:$168)-1,CM226&amp;CN226)),ROW($1:$168)-1,""))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26" s="30" t="str">
        <f t="shared" si="194"/>
        <v>邻传孤</v>
      </c>
    </row>
    <row r="227" spans="1:94">
      <c r="A227" s="15">
        <v>227</v>
      </c>
      <c r="B227" s="80">
        <v>2024196</v>
      </c>
      <c r="C227" s="8" t="s">
        <v>233</v>
      </c>
      <c r="D227" s="81">
        <f t="shared" si="205"/>
        <v>11</v>
      </c>
      <c r="E227" s="82">
        <f t="shared" si="206"/>
        <v>1</v>
      </c>
      <c r="F227" s="83">
        <f t="shared" si="203"/>
        <v>1.83333333333333</v>
      </c>
      <c r="G227" s="84" t="str">
        <f t="shared" si="204"/>
        <v>松散</v>
      </c>
      <c r="H227" s="85" t="s">
        <v>10</v>
      </c>
      <c r="I227" s="85" t="s">
        <v>11</v>
      </c>
      <c r="J227" s="85" t="s">
        <v>12</v>
      </c>
      <c r="K227" s="85" t="s">
        <v>13</v>
      </c>
      <c r="L227" s="86">
        <f>MAX(MID(C227,{1,2,3},1)*1)-MIN(MID(C227,{1,2,3},1)*1)</f>
        <v>6</v>
      </c>
      <c r="M227" s="87">
        <v>0</v>
      </c>
      <c r="N227" s="87">
        <v>1</v>
      </c>
      <c r="O227" s="87">
        <v>2</v>
      </c>
      <c r="P227" s="87">
        <v>3</v>
      </c>
      <c r="Q227" s="87">
        <v>4</v>
      </c>
      <c r="R227" s="87">
        <v>5</v>
      </c>
      <c r="S227" s="87">
        <v>6</v>
      </c>
      <c r="T227" s="87">
        <v>7</v>
      </c>
      <c r="U227" s="87">
        <v>8</v>
      </c>
      <c r="V227" s="87">
        <v>9</v>
      </c>
      <c r="W227" s="88">
        <f t="shared" si="207"/>
        <v>5</v>
      </c>
      <c r="X227" s="88">
        <f t="shared" si="208"/>
        <v>6</v>
      </c>
      <c r="Y227" s="88">
        <f t="shared" si="209"/>
        <v>1</v>
      </c>
      <c r="Z227" s="89">
        <f t="shared" si="212"/>
        <v>12</v>
      </c>
      <c r="AA227" s="17" t="str">
        <f>_xlfn.TEXTJOIN(", ",TRUE,ABS(MID(C227,{1,1,2},1)-MID(C227,{2,3,3},1)))</f>
        <v>5, 6, 1</v>
      </c>
      <c r="AB227" s="90">
        <v>0</v>
      </c>
      <c r="AC227" s="90">
        <v>1</v>
      </c>
      <c r="AD227" s="90">
        <v>2</v>
      </c>
      <c r="AE227" s="90">
        <v>3</v>
      </c>
      <c r="AF227" s="90">
        <v>4</v>
      </c>
      <c r="AG227" s="90">
        <v>5</v>
      </c>
      <c r="AH227" s="90">
        <v>6</v>
      </c>
      <c r="AI227" s="90">
        <v>7</v>
      </c>
      <c r="AJ227" s="90">
        <v>8</v>
      </c>
      <c r="AK227" s="90">
        <v>9</v>
      </c>
      <c r="AL227" s="91">
        <v>0</v>
      </c>
      <c r="AM227" s="91">
        <v>1</v>
      </c>
      <c r="AN227" s="91">
        <v>2</v>
      </c>
      <c r="AO227" s="91">
        <v>3</v>
      </c>
      <c r="AP227" s="91">
        <v>4</v>
      </c>
      <c r="AQ227" s="91">
        <v>5</v>
      </c>
      <c r="AR227" s="91">
        <v>6</v>
      </c>
      <c r="AS227" s="91">
        <v>7</v>
      </c>
      <c r="AT227" s="91">
        <v>8</v>
      </c>
      <c r="AU227" s="91">
        <v>9</v>
      </c>
      <c r="AV227" s="92">
        <v>0</v>
      </c>
      <c r="AW227" s="92">
        <v>1</v>
      </c>
      <c r="AX227" s="92">
        <v>2</v>
      </c>
      <c r="AY227" s="92">
        <v>3</v>
      </c>
      <c r="AZ227" s="92">
        <v>4</v>
      </c>
      <c r="BA227" s="92">
        <v>5</v>
      </c>
      <c r="BB227" s="92">
        <v>6</v>
      </c>
      <c r="BC227" s="92">
        <v>7</v>
      </c>
      <c r="BD227" s="92">
        <v>8</v>
      </c>
      <c r="BE227" s="92">
        <v>9</v>
      </c>
      <c r="BF227" s="93">
        <v>0</v>
      </c>
      <c r="BG227" s="93">
        <v>1</v>
      </c>
      <c r="BH227" s="93">
        <v>2</v>
      </c>
      <c r="BI227" s="93">
        <v>3</v>
      </c>
      <c r="BJ227" s="93">
        <v>4</v>
      </c>
      <c r="BK227" s="93">
        <v>5</v>
      </c>
      <c r="BL227" s="93">
        <v>6</v>
      </c>
      <c r="BM227" s="93">
        <v>7</v>
      </c>
      <c r="BN227" s="93">
        <v>8</v>
      </c>
      <c r="BO227" s="93">
        <v>9</v>
      </c>
      <c r="BP227" s="94" t="str">
        <f t="shared" si="213"/>
        <v>松散型</v>
      </c>
      <c r="BQ227" s="15">
        <f t="shared" si="210"/>
        <v>1</v>
      </c>
      <c r="BR227" s="15">
        <f t="shared" si="211"/>
        <v>6</v>
      </c>
      <c r="BS227" s="20">
        <f t="shared" ref="BS227:BS290" si="215">IF(COUNTIF($W226:$Y226,W227)&gt;0,W227,"")</f>
        <v>5</v>
      </c>
      <c r="BT227" s="21" t="str">
        <f t="shared" ref="BT227:BT290" si="216">IF(COUNTIF($W225:$Y225,W227)&gt;0,W227,"")</f>
        <v/>
      </c>
      <c r="BU227" s="21" t="str">
        <f t="array" ref="BU227">_xlfn.TEXTJOIN("",TRUE,IF(ISERROR(FIND(ROW($1:$168)-1,BS227&amp;BT227)),ROW($1:$168)-1,""))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27" s="22" t="str">
        <f t="shared" ref="BV227:BV290" si="217">IF(BS227&lt;&gt;"","复","中")&amp;IF(BT227&lt;&gt;"","隔","中")&amp;"中"</f>
        <v>复中中</v>
      </c>
      <c r="BW227" s="23" t="str">
        <f t="shared" si="197"/>
        <v/>
      </c>
      <c r="BX227" s="23">
        <f t="shared" si="195"/>
        <v>6</v>
      </c>
      <c r="BY227" s="23" t="str">
        <f t="array" ref="BY227">_xlfn.TEXTJOIN("",TRUE,IF(ISERROR(FIND(ROW($1:$168)-1,BW227&amp;BX227)),ROW($1:$168)-1,""))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27" s="22" t="str">
        <f t="shared" ref="BZ227:BZ290" si="218">IF(BW227&lt;&gt;"","复","中")&amp;IF(BX227&lt;&gt;"","隔","中")&amp;"中"</f>
        <v>中隔中</v>
      </c>
      <c r="CA227" s="24" t="str">
        <f t="shared" ref="CA227:CA290" si="219">IF(COUNTIF($W226:$Y226,Y227)&gt;0,Y227,"")</f>
        <v/>
      </c>
      <c r="CB227" s="24" t="str">
        <f t="shared" si="196"/>
        <v/>
      </c>
      <c r="CC227" s="24" t="str">
        <f t="array" ref="CC227">_xlfn.TEXTJOIN("",TRUE,IF(ISERROR(FIND(ROW($1:$168)-1,CA227&amp;CB227)),ROW($1:$168)-1,""))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27" s="22" t="str">
        <f t="shared" ref="CD227:CD290" si="220">IF(CA227&lt;&gt;"","复","中")&amp;IF(CB227&lt;&gt;"","隔","中")&amp;"中"</f>
        <v>中中中</v>
      </c>
      <c r="CE227" s="25" t="str">
        <f t="shared" si="214"/>
        <v>46</v>
      </c>
      <c r="CF227" s="26" t="str">
        <f t="array" ref="CF227">_xlfn.TEXTJOIN("",TRUE,IF(ISNUMBER(FIND(MID(CE226&amp;W226,ROW($1:$162),1),CE227&amp;W227)),MID(CE226&amp;W226,ROW($1:$162),1),""))</f>
        <v>465</v>
      </c>
      <c r="CG227" s="27" t="str">
        <f t="array" ref="CG227">_xlfn.TEXTJOIN("",TRUE,IF(ISERROR(FIND(ROW($1:$168)-1,CE227&amp;CF227)),ROW($1:$168)-1,""))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27" s="28" t="str">
        <f t="shared" ref="CH227:CH290" si="221">IF(CE227&lt;&gt;"","邻","孤")&amp;IF(CF227&lt;&gt;"","传","孤")&amp;"孤"</f>
        <v>邻传孤</v>
      </c>
      <c r="CI227" s="29" t="str">
        <f t="shared" ref="CI227:CI290" si="222">IF(X227=0,9,X227-1)&amp;""&amp;IF(X227=9,0,X227+1)</f>
        <v>57</v>
      </c>
      <c r="CJ227" s="29" t="str">
        <f t="array" ref="CJ227">_xlfn.TEXTJOIN("",TRUE,IF(ISNUMBER(FIND(MID(CI226&amp;X226,ROW($1:$162),1),CI227&amp;X227)),MID(CI226&amp;X226,ROW($1:$162),1),""))</f>
        <v/>
      </c>
      <c r="CK227" s="29" t="str">
        <f t="array" ref="CK227">_xlfn.TEXTJOIN("",TRUE,IF(ISERROR(FIND(ROW($1:$168)-1,CI227&amp;CJ227)),ROW($1:$168)-1,""))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27" s="19" t="str">
        <f t="shared" ref="CL227:CL290" si="223">IF(CI227&lt;&gt;"","邻","孤")&amp;IF(CJ227&lt;&gt;"","传","孤")&amp;"孤"</f>
        <v>邻孤孤</v>
      </c>
      <c r="CM227" s="24" t="str">
        <f t="shared" ref="CM227:CM290" si="224">IF(Y227=0,9,Y227-1)&amp;""&amp;IF(Y227=9,0,Y227+1)</f>
        <v>02</v>
      </c>
      <c r="CN227" s="24" t="str">
        <f t="array" ref="CN227">_xlfn.TEXTJOIN("",TRUE,IF(ISNUMBER(FIND(MID(CM226&amp;Y226,ROW($1:$162),1),CM227&amp;Y227)),MID(CM226&amp;Y226,ROW($1:$162),1),""))</f>
        <v>2</v>
      </c>
      <c r="CO227" s="24" t="str">
        <f t="array" ref="CO227">_xlfn.TEXTJOIN("",TRUE,IF(ISERROR(FIND(ROW($1:$168)-1,CM227&amp;CN227)),ROW($1:$168)-1,""))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27" s="30" t="str">
        <f t="shared" ref="CP227:CP290" si="225">IF(CM227&lt;&gt;"","邻","孤")&amp;IF(CN227&lt;&gt;"","传","孤")&amp;"孤"</f>
        <v>邻传孤</v>
      </c>
    </row>
    <row r="228" spans="1:94">
      <c r="A228" s="15">
        <v>228</v>
      </c>
      <c r="B228" s="80">
        <v>2024197</v>
      </c>
      <c r="C228" s="8" t="s">
        <v>234</v>
      </c>
      <c r="D228" s="81">
        <f t="shared" si="205"/>
        <v>8</v>
      </c>
      <c r="E228" s="82">
        <f t="shared" si="206"/>
        <v>8</v>
      </c>
      <c r="F228" s="83">
        <f t="shared" si="203"/>
        <v>4</v>
      </c>
      <c r="G228" s="84" t="str">
        <f t="shared" si="204"/>
        <v>紧凑</v>
      </c>
      <c r="H228" s="85" t="s">
        <v>10</v>
      </c>
      <c r="I228" s="85" t="s">
        <v>11</v>
      </c>
      <c r="J228" s="85" t="s">
        <v>12</v>
      </c>
      <c r="K228" s="85" t="s">
        <v>13</v>
      </c>
      <c r="L228" s="86">
        <f>MAX(MID(C228,{1,2,3},1)*1)-MIN(MID(C228,{1,2,3},1)*1)</f>
        <v>2</v>
      </c>
      <c r="M228" s="87">
        <v>0</v>
      </c>
      <c r="N228" s="87">
        <v>1</v>
      </c>
      <c r="O228" s="87">
        <v>2</v>
      </c>
      <c r="P228" s="87">
        <v>3</v>
      </c>
      <c r="Q228" s="87">
        <v>4</v>
      </c>
      <c r="R228" s="87">
        <v>5</v>
      </c>
      <c r="S228" s="87">
        <v>6</v>
      </c>
      <c r="T228" s="87">
        <v>7</v>
      </c>
      <c r="U228" s="87">
        <v>8</v>
      </c>
      <c r="V228" s="87">
        <v>9</v>
      </c>
      <c r="W228" s="88">
        <f t="shared" si="207"/>
        <v>0</v>
      </c>
      <c r="X228" s="88">
        <f t="shared" si="208"/>
        <v>2</v>
      </c>
      <c r="Y228" s="88">
        <f t="shared" si="209"/>
        <v>2</v>
      </c>
      <c r="Z228" s="89">
        <f t="shared" si="212"/>
        <v>4</v>
      </c>
      <c r="AA228" s="17" t="str">
        <f>_xlfn.TEXTJOIN(", ",TRUE,ABS(MID(C228,{1,1,2},1)-MID(C228,{2,3,3},1)))</f>
        <v>0, 2, 2</v>
      </c>
      <c r="AB228" s="90">
        <v>0</v>
      </c>
      <c r="AC228" s="90">
        <v>1</v>
      </c>
      <c r="AD228" s="90">
        <v>2</v>
      </c>
      <c r="AE228" s="90">
        <v>3</v>
      </c>
      <c r="AF228" s="90">
        <v>4</v>
      </c>
      <c r="AG228" s="90">
        <v>5</v>
      </c>
      <c r="AH228" s="90">
        <v>6</v>
      </c>
      <c r="AI228" s="90">
        <v>7</v>
      </c>
      <c r="AJ228" s="90">
        <v>8</v>
      </c>
      <c r="AK228" s="90">
        <v>9</v>
      </c>
      <c r="AL228" s="91">
        <v>0</v>
      </c>
      <c r="AM228" s="91">
        <v>1</v>
      </c>
      <c r="AN228" s="91">
        <v>2</v>
      </c>
      <c r="AO228" s="91">
        <v>3</v>
      </c>
      <c r="AP228" s="91">
        <v>4</v>
      </c>
      <c r="AQ228" s="91">
        <v>5</v>
      </c>
      <c r="AR228" s="91">
        <v>6</v>
      </c>
      <c r="AS228" s="91">
        <v>7</v>
      </c>
      <c r="AT228" s="91">
        <v>8</v>
      </c>
      <c r="AU228" s="91">
        <v>9</v>
      </c>
      <c r="AV228" s="92">
        <v>0</v>
      </c>
      <c r="AW228" s="92">
        <v>1</v>
      </c>
      <c r="AX228" s="92">
        <v>2</v>
      </c>
      <c r="AY228" s="92">
        <v>3</v>
      </c>
      <c r="AZ228" s="92">
        <v>4</v>
      </c>
      <c r="BA228" s="92">
        <v>5</v>
      </c>
      <c r="BB228" s="92">
        <v>6</v>
      </c>
      <c r="BC228" s="92">
        <v>7</v>
      </c>
      <c r="BD228" s="92">
        <v>8</v>
      </c>
      <c r="BE228" s="92">
        <v>9</v>
      </c>
      <c r="BF228" s="93">
        <v>0</v>
      </c>
      <c r="BG228" s="93">
        <v>1</v>
      </c>
      <c r="BH228" s="93">
        <v>2</v>
      </c>
      <c r="BI228" s="93">
        <v>3</v>
      </c>
      <c r="BJ228" s="93">
        <v>4</v>
      </c>
      <c r="BK228" s="93">
        <v>5</v>
      </c>
      <c r="BL228" s="93">
        <v>6</v>
      </c>
      <c r="BM228" s="93">
        <v>7</v>
      </c>
      <c r="BN228" s="93">
        <v>8</v>
      </c>
      <c r="BO228" s="93">
        <v>9</v>
      </c>
      <c r="BP228" s="94" t="str">
        <f t="shared" si="213"/>
        <v>紧凑型</v>
      </c>
      <c r="BQ228" s="15">
        <f t="shared" si="210"/>
        <v>0</v>
      </c>
      <c r="BR228" s="15">
        <f t="shared" si="211"/>
        <v>2</v>
      </c>
      <c r="BS228" s="20" t="str">
        <f t="shared" si="215"/>
        <v/>
      </c>
      <c r="BT228" s="21" t="str">
        <f t="shared" si="216"/>
        <v/>
      </c>
      <c r="BU228" s="21" t="str">
        <f t="array" ref="BU228">_xlfn.TEXTJOIN("",TRUE,IF(ISERROR(FIND(ROW($1:$168)-1,BS228&amp;BT228)),ROW($1:$168)-1,""))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28" s="22" t="str">
        <f t="shared" si="217"/>
        <v>中中中</v>
      </c>
      <c r="BW228" s="23" t="str">
        <f t="shared" si="197"/>
        <v/>
      </c>
      <c r="BX228" s="23">
        <f t="shared" ref="BX228:BX291" si="226">IF(COUNTIF($W226:$Y226,X228)&gt;0,X228,"")</f>
        <v>2</v>
      </c>
      <c r="BY228" s="23" t="str">
        <f t="array" ref="BY228">_xlfn.TEXTJOIN("",TRUE,IF(ISERROR(FIND(ROW($1:$168)-1,BW228&amp;BX228)),ROW($1:$168)-1,""))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28" s="22" t="str">
        <f t="shared" si="218"/>
        <v>中隔中</v>
      </c>
      <c r="CA228" s="24" t="str">
        <f t="shared" si="219"/>
        <v/>
      </c>
      <c r="CB228" s="24">
        <f t="shared" ref="CB228:CB291" si="227">IF(COUNTIF($W226:$Y226,Y228)&gt;0,Y228,"")</f>
        <v>2</v>
      </c>
      <c r="CC228" s="24" t="str">
        <f t="array" ref="CC228">_xlfn.TEXTJOIN("",TRUE,IF(ISERROR(FIND(ROW($1:$168)-1,CA228&amp;CB228)),ROW($1:$168)-1,""))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28" s="22" t="str">
        <f t="shared" si="220"/>
        <v>中隔中</v>
      </c>
      <c r="CE228" s="25" t="str">
        <f t="shared" si="214"/>
        <v>91</v>
      </c>
      <c r="CF228" s="26" t="str">
        <f t="array" ref="CF228">_xlfn.TEXTJOIN("",TRUE,IF(ISNUMBER(FIND(MID(CE227&amp;W227,ROW($1:$162),1),CE228&amp;W228)),MID(CE227&amp;W227,ROW($1:$162),1),""))</f>
        <v/>
      </c>
      <c r="CG228" s="27" t="str">
        <f t="array" ref="CG228">_xlfn.TEXTJOIN("",TRUE,IF(ISERROR(FIND(ROW($1:$168)-1,CE228&amp;CF228)),ROW($1:$168)-1,""))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228" s="28" t="str">
        <f t="shared" si="221"/>
        <v>邻孤孤</v>
      </c>
      <c r="CI228" s="29" t="str">
        <f t="shared" si="222"/>
        <v>13</v>
      </c>
      <c r="CJ228" s="29" t="str">
        <f t="array" ref="CJ228">_xlfn.TEXTJOIN("",TRUE,IF(ISNUMBER(FIND(MID(CI227&amp;X227,ROW($1:$162),1),CI228&amp;X228)),MID(CI227&amp;X227,ROW($1:$162),1),""))</f>
        <v/>
      </c>
      <c r="CK228" s="29" t="str">
        <f t="array" ref="CK228">_xlfn.TEXTJOIN("",TRUE,IF(ISERROR(FIND(ROW($1:$168)-1,CI228&amp;CJ228)),ROW($1:$168)-1,""))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28" s="19" t="str">
        <f t="shared" si="223"/>
        <v>邻孤孤</v>
      </c>
      <c r="CM228" s="24" t="str">
        <f t="shared" si="224"/>
        <v>13</v>
      </c>
      <c r="CN228" s="24" t="str">
        <f t="array" ref="CN228">_xlfn.TEXTJOIN("",TRUE,IF(ISNUMBER(FIND(MID(CM227&amp;Y227,ROW($1:$162),1),CM228&amp;Y228)),MID(CM227&amp;Y227,ROW($1:$162),1),""))</f>
        <v>21</v>
      </c>
      <c r="CO228" s="24" t="str">
        <f t="array" ref="CO228">_xlfn.TEXTJOIN("",TRUE,IF(ISERROR(FIND(ROW($1:$168)-1,CM228&amp;CN228)),ROW($1:$168)-1,""))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228" s="30" t="str">
        <f t="shared" si="225"/>
        <v>邻传孤</v>
      </c>
    </row>
    <row r="229" spans="1:94">
      <c r="A229" s="15">
        <v>229</v>
      </c>
      <c r="B229" s="80">
        <v>2024198</v>
      </c>
      <c r="C229" s="8" t="s">
        <v>235</v>
      </c>
      <c r="D229" s="81">
        <f t="shared" si="205"/>
        <v>8</v>
      </c>
      <c r="E229" s="82">
        <f t="shared" si="206"/>
        <v>8</v>
      </c>
      <c r="F229" s="83">
        <f t="shared" si="203"/>
        <v>1.14285714285714</v>
      </c>
      <c r="G229" s="84" t="str">
        <f t="shared" si="204"/>
        <v>松散</v>
      </c>
      <c r="H229" s="85" t="s">
        <v>10</v>
      </c>
      <c r="I229" s="85" t="s">
        <v>11</v>
      </c>
      <c r="J229" s="85" t="s">
        <v>12</v>
      </c>
      <c r="K229" s="85" t="s">
        <v>13</v>
      </c>
      <c r="L229" s="86">
        <f>MAX(MID(C229,{1,2,3},1)*1)-MIN(MID(C229,{1,2,3},1)*1)</f>
        <v>7</v>
      </c>
      <c r="M229" s="87">
        <v>0</v>
      </c>
      <c r="N229" s="87">
        <v>1</v>
      </c>
      <c r="O229" s="87">
        <v>2</v>
      </c>
      <c r="P229" s="87">
        <v>3</v>
      </c>
      <c r="Q229" s="87">
        <v>4</v>
      </c>
      <c r="R229" s="87">
        <v>5</v>
      </c>
      <c r="S229" s="87">
        <v>6</v>
      </c>
      <c r="T229" s="87">
        <v>7</v>
      </c>
      <c r="U229" s="87">
        <v>8</v>
      </c>
      <c r="V229" s="87">
        <v>9</v>
      </c>
      <c r="W229" s="88">
        <f t="shared" si="207"/>
        <v>6</v>
      </c>
      <c r="X229" s="88">
        <f t="shared" si="208"/>
        <v>7</v>
      </c>
      <c r="Y229" s="88">
        <f t="shared" si="209"/>
        <v>1</v>
      </c>
      <c r="Z229" s="89">
        <f t="shared" si="212"/>
        <v>14</v>
      </c>
      <c r="AA229" s="17" t="str">
        <f>_xlfn.TEXTJOIN(", ",TRUE,ABS(MID(C229,{1,1,2},1)-MID(C229,{2,3,3},1)))</f>
        <v>6, 7, 1</v>
      </c>
      <c r="AB229" s="90">
        <v>0</v>
      </c>
      <c r="AC229" s="90">
        <v>1</v>
      </c>
      <c r="AD229" s="90">
        <v>2</v>
      </c>
      <c r="AE229" s="90">
        <v>3</v>
      </c>
      <c r="AF229" s="90">
        <v>4</v>
      </c>
      <c r="AG229" s="90">
        <v>5</v>
      </c>
      <c r="AH229" s="90">
        <v>6</v>
      </c>
      <c r="AI229" s="90">
        <v>7</v>
      </c>
      <c r="AJ229" s="90">
        <v>8</v>
      </c>
      <c r="AK229" s="90">
        <v>9</v>
      </c>
      <c r="AL229" s="91">
        <v>0</v>
      </c>
      <c r="AM229" s="91">
        <v>1</v>
      </c>
      <c r="AN229" s="91">
        <v>2</v>
      </c>
      <c r="AO229" s="91">
        <v>3</v>
      </c>
      <c r="AP229" s="91">
        <v>4</v>
      </c>
      <c r="AQ229" s="91">
        <v>5</v>
      </c>
      <c r="AR229" s="91">
        <v>6</v>
      </c>
      <c r="AS229" s="91">
        <v>7</v>
      </c>
      <c r="AT229" s="91">
        <v>8</v>
      </c>
      <c r="AU229" s="91">
        <v>9</v>
      </c>
      <c r="AV229" s="92">
        <v>0</v>
      </c>
      <c r="AW229" s="92">
        <v>1</v>
      </c>
      <c r="AX229" s="92">
        <v>2</v>
      </c>
      <c r="AY229" s="92">
        <v>3</v>
      </c>
      <c r="AZ229" s="92">
        <v>4</v>
      </c>
      <c r="BA229" s="92">
        <v>5</v>
      </c>
      <c r="BB229" s="92">
        <v>6</v>
      </c>
      <c r="BC229" s="92">
        <v>7</v>
      </c>
      <c r="BD229" s="92">
        <v>8</v>
      </c>
      <c r="BE229" s="92">
        <v>9</v>
      </c>
      <c r="BF229" s="93">
        <v>0</v>
      </c>
      <c r="BG229" s="93">
        <v>1</v>
      </c>
      <c r="BH229" s="93">
        <v>2</v>
      </c>
      <c r="BI229" s="93">
        <v>3</v>
      </c>
      <c r="BJ229" s="93">
        <v>4</v>
      </c>
      <c r="BK229" s="93">
        <v>5</v>
      </c>
      <c r="BL229" s="93">
        <v>6</v>
      </c>
      <c r="BM229" s="93">
        <v>7</v>
      </c>
      <c r="BN229" s="93">
        <v>8</v>
      </c>
      <c r="BO229" s="93">
        <v>9</v>
      </c>
      <c r="BP229" s="94" t="str">
        <f t="shared" si="213"/>
        <v>松散型</v>
      </c>
      <c r="BQ229" s="15">
        <f t="shared" si="210"/>
        <v>1</v>
      </c>
      <c r="BR229" s="15">
        <f t="shared" si="211"/>
        <v>7</v>
      </c>
      <c r="BS229" s="20" t="str">
        <f t="shared" si="215"/>
        <v/>
      </c>
      <c r="BT229" s="21">
        <f t="shared" si="216"/>
        <v>6</v>
      </c>
      <c r="BU229" s="21" t="str">
        <f t="array" ref="BU229">_xlfn.TEXTJOIN("",TRUE,IF(ISERROR(FIND(ROW($1:$168)-1,BS229&amp;BT229)),ROW($1:$168)-1,""))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29" s="22" t="str">
        <f t="shared" si="217"/>
        <v>中隔中</v>
      </c>
      <c r="BW229" s="23" t="str">
        <f t="shared" si="197"/>
        <v/>
      </c>
      <c r="BX229" s="23" t="str">
        <f t="shared" si="226"/>
        <v/>
      </c>
      <c r="BY229" s="23" t="str">
        <f t="array" ref="BY229">_xlfn.TEXTJOIN("",TRUE,IF(ISERROR(FIND(ROW($1:$168)-1,BW229&amp;BX229)),ROW($1:$168)-1,""))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29" s="22" t="str">
        <f t="shared" si="218"/>
        <v>中中中</v>
      </c>
      <c r="CA229" s="24" t="str">
        <f t="shared" si="219"/>
        <v/>
      </c>
      <c r="CB229" s="24">
        <f t="shared" si="227"/>
        <v>1</v>
      </c>
      <c r="CC229" s="24" t="str">
        <f t="array" ref="CC229">_xlfn.TEXTJOIN("",TRUE,IF(ISERROR(FIND(ROW($1:$168)-1,CA229&amp;CB229)),ROW($1:$168)-1,""))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29" s="22" t="str">
        <f t="shared" si="220"/>
        <v>中隔中</v>
      </c>
      <c r="CE229" s="25" t="str">
        <f t="shared" si="214"/>
        <v>57</v>
      </c>
      <c r="CF229" s="26" t="str">
        <f t="array" ref="CF229">_xlfn.TEXTJOIN("",TRUE,IF(ISNUMBER(FIND(MID(CE228&amp;W228,ROW($1:$162),1),CE229&amp;W229)),MID(CE228&amp;W228,ROW($1:$162),1),""))</f>
        <v/>
      </c>
      <c r="CG229" s="27" t="str">
        <f t="array" ref="CG229">_xlfn.TEXTJOIN("",TRUE,IF(ISERROR(FIND(ROW($1:$168)-1,CE229&amp;CF229)),ROW($1:$168)-1,""))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29" s="28" t="str">
        <f t="shared" si="221"/>
        <v>邻孤孤</v>
      </c>
      <c r="CI229" s="29" t="str">
        <f t="shared" si="222"/>
        <v>68</v>
      </c>
      <c r="CJ229" s="29" t="str">
        <f t="array" ref="CJ229">_xlfn.TEXTJOIN("",TRUE,IF(ISNUMBER(FIND(MID(CI228&amp;X228,ROW($1:$162),1),CI229&amp;X229)),MID(CI228&amp;X228,ROW($1:$162),1),""))</f>
        <v/>
      </c>
      <c r="CK229" s="29" t="str">
        <f t="array" ref="CK229">_xlfn.TEXTJOIN("",TRUE,IF(ISERROR(FIND(ROW($1:$168)-1,CI229&amp;CJ229)),ROW($1:$168)-1,""))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29" s="19" t="str">
        <f t="shared" si="223"/>
        <v>邻孤孤</v>
      </c>
      <c r="CM229" s="24" t="str">
        <f t="shared" si="224"/>
        <v>02</v>
      </c>
      <c r="CN229" s="24" t="str">
        <f t="array" ref="CN229">_xlfn.TEXTJOIN("",TRUE,IF(ISNUMBER(FIND(MID(CM228&amp;Y228,ROW($1:$162),1),CM229&amp;Y229)),MID(CM228&amp;Y228,ROW($1:$162),1),""))</f>
        <v>12</v>
      </c>
      <c r="CO229" s="24" t="str">
        <f t="array" ref="CO229">_xlfn.TEXTJOIN("",TRUE,IF(ISERROR(FIND(ROW($1:$168)-1,CM229&amp;CN229)),ROW($1:$168)-1,""))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29" s="30" t="str">
        <f t="shared" si="225"/>
        <v>邻传孤</v>
      </c>
    </row>
    <row r="230" spans="1:94">
      <c r="A230" s="15">
        <v>230</v>
      </c>
      <c r="B230" s="80">
        <v>2024199</v>
      </c>
      <c r="C230" s="8" t="s">
        <v>236</v>
      </c>
      <c r="D230" s="81">
        <f t="shared" si="205"/>
        <v>12</v>
      </c>
      <c r="E230" s="82">
        <f t="shared" si="206"/>
        <v>2</v>
      </c>
      <c r="F230" s="83">
        <f t="shared" si="203"/>
        <v>2</v>
      </c>
      <c r="G230" s="84" t="str">
        <f t="shared" si="204"/>
        <v>标准</v>
      </c>
      <c r="H230" s="85" t="s">
        <v>10</v>
      </c>
      <c r="I230" s="85" t="s">
        <v>11</v>
      </c>
      <c r="J230" s="85" t="s">
        <v>12</v>
      </c>
      <c r="K230" s="85" t="s">
        <v>13</v>
      </c>
      <c r="L230" s="86">
        <f>MAX(MID(C230,{1,2,3},1)*1)-MIN(MID(C230,{1,2,3},1)*1)</f>
        <v>6</v>
      </c>
      <c r="M230" s="87">
        <v>0</v>
      </c>
      <c r="N230" s="87">
        <v>1</v>
      </c>
      <c r="O230" s="87">
        <v>2</v>
      </c>
      <c r="P230" s="87">
        <v>3</v>
      </c>
      <c r="Q230" s="87">
        <v>4</v>
      </c>
      <c r="R230" s="87">
        <v>5</v>
      </c>
      <c r="S230" s="87">
        <v>6</v>
      </c>
      <c r="T230" s="87">
        <v>7</v>
      </c>
      <c r="U230" s="87">
        <v>8</v>
      </c>
      <c r="V230" s="87">
        <v>9</v>
      </c>
      <c r="W230" s="88">
        <f t="shared" si="207"/>
        <v>3</v>
      </c>
      <c r="X230" s="88">
        <f t="shared" si="208"/>
        <v>6</v>
      </c>
      <c r="Y230" s="88">
        <f t="shared" si="209"/>
        <v>3</v>
      </c>
      <c r="Z230" s="89">
        <f t="shared" si="212"/>
        <v>12</v>
      </c>
      <c r="AA230" s="17" t="str">
        <f>_xlfn.TEXTJOIN(", ",TRUE,ABS(MID(C230,{1,1,2},1)-MID(C230,{2,3,3},1)))</f>
        <v>3, 6, 3</v>
      </c>
      <c r="AB230" s="90">
        <v>0</v>
      </c>
      <c r="AC230" s="90">
        <v>1</v>
      </c>
      <c r="AD230" s="90">
        <v>2</v>
      </c>
      <c r="AE230" s="90">
        <v>3</v>
      </c>
      <c r="AF230" s="90">
        <v>4</v>
      </c>
      <c r="AG230" s="90">
        <v>5</v>
      </c>
      <c r="AH230" s="90">
        <v>6</v>
      </c>
      <c r="AI230" s="90">
        <v>7</v>
      </c>
      <c r="AJ230" s="90">
        <v>8</v>
      </c>
      <c r="AK230" s="90">
        <v>9</v>
      </c>
      <c r="AL230" s="91">
        <v>0</v>
      </c>
      <c r="AM230" s="91">
        <v>1</v>
      </c>
      <c r="AN230" s="91">
        <v>2</v>
      </c>
      <c r="AO230" s="91">
        <v>3</v>
      </c>
      <c r="AP230" s="91">
        <v>4</v>
      </c>
      <c r="AQ230" s="91">
        <v>5</v>
      </c>
      <c r="AR230" s="91">
        <v>6</v>
      </c>
      <c r="AS230" s="91">
        <v>7</v>
      </c>
      <c r="AT230" s="91">
        <v>8</v>
      </c>
      <c r="AU230" s="91">
        <v>9</v>
      </c>
      <c r="AV230" s="92">
        <v>0</v>
      </c>
      <c r="AW230" s="92">
        <v>1</v>
      </c>
      <c r="AX230" s="92">
        <v>2</v>
      </c>
      <c r="AY230" s="92">
        <v>3</v>
      </c>
      <c r="AZ230" s="92">
        <v>4</v>
      </c>
      <c r="BA230" s="92">
        <v>5</v>
      </c>
      <c r="BB230" s="92">
        <v>6</v>
      </c>
      <c r="BC230" s="92">
        <v>7</v>
      </c>
      <c r="BD230" s="92">
        <v>8</v>
      </c>
      <c r="BE230" s="92">
        <v>9</v>
      </c>
      <c r="BF230" s="93">
        <v>0</v>
      </c>
      <c r="BG230" s="93">
        <v>1</v>
      </c>
      <c r="BH230" s="93">
        <v>2</v>
      </c>
      <c r="BI230" s="93">
        <v>3</v>
      </c>
      <c r="BJ230" s="93">
        <v>4</v>
      </c>
      <c r="BK230" s="93">
        <v>5</v>
      </c>
      <c r="BL230" s="93">
        <v>6</v>
      </c>
      <c r="BM230" s="93">
        <v>7</v>
      </c>
      <c r="BN230" s="93">
        <v>8</v>
      </c>
      <c r="BO230" s="93">
        <v>9</v>
      </c>
      <c r="BP230" s="94" t="str">
        <f t="shared" si="213"/>
        <v>松散型</v>
      </c>
      <c r="BQ230" s="15">
        <f t="shared" si="210"/>
        <v>3</v>
      </c>
      <c r="BR230" s="15">
        <f t="shared" si="211"/>
        <v>6</v>
      </c>
      <c r="BS230" s="20" t="str">
        <f t="shared" si="215"/>
        <v/>
      </c>
      <c r="BT230" s="21" t="str">
        <f t="shared" si="216"/>
        <v/>
      </c>
      <c r="BU230" s="21" t="str">
        <f t="array" ref="BU230">_xlfn.TEXTJOIN("",TRUE,IF(ISERROR(FIND(ROW($1:$168)-1,BS230&amp;BT230)),ROW($1:$168)-1,""))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30" s="22" t="str">
        <f t="shared" si="217"/>
        <v>中中中</v>
      </c>
      <c r="BW230" s="23">
        <f t="shared" ref="BW230:BW293" si="228">IF(COUNTIF($W229:$Y229,X230)&gt;0,X230,"")</f>
        <v>6</v>
      </c>
      <c r="BX230" s="23" t="str">
        <f t="shared" si="226"/>
        <v/>
      </c>
      <c r="BY230" s="23" t="str">
        <f t="array" ref="BY230">_xlfn.TEXTJOIN("",TRUE,IF(ISERROR(FIND(ROW($1:$168)-1,BW230&amp;BX230)),ROW($1:$168)-1,""))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30" s="22" t="str">
        <f t="shared" si="218"/>
        <v>复中中</v>
      </c>
      <c r="CA230" s="24" t="str">
        <f t="shared" si="219"/>
        <v/>
      </c>
      <c r="CB230" s="24" t="str">
        <f t="shared" si="227"/>
        <v/>
      </c>
      <c r="CC230" s="24" t="str">
        <f t="array" ref="CC230">_xlfn.TEXTJOIN("",TRUE,IF(ISERROR(FIND(ROW($1:$168)-1,CA230&amp;CB230)),ROW($1:$168)-1,""))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30" s="22" t="str">
        <f t="shared" si="220"/>
        <v>中中中</v>
      </c>
      <c r="CE230" s="25" t="str">
        <f t="shared" si="214"/>
        <v>24</v>
      </c>
      <c r="CF230" s="26" t="str">
        <f t="array" ref="CF230">_xlfn.TEXTJOIN("",TRUE,IF(ISNUMBER(FIND(MID(CE229&amp;W229,ROW($1:$162),1),CE230&amp;W230)),MID(CE229&amp;W229,ROW($1:$162),1),""))</f>
        <v/>
      </c>
      <c r="CG230" s="27" t="str">
        <f t="array" ref="CG230">_xlfn.TEXTJOIN("",TRUE,IF(ISERROR(FIND(ROW($1:$168)-1,CE230&amp;CF230)),ROW($1:$168)-1,""))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30" s="28" t="str">
        <f t="shared" si="221"/>
        <v>邻孤孤</v>
      </c>
      <c r="CI230" s="29" t="str">
        <f t="shared" si="222"/>
        <v>57</v>
      </c>
      <c r="CJ230" s="29" t="str">
        <f t="array" ref="CJ230">_xlfn.TEXTJOIN("",TRUE,IF(ISNUMBER(FIND(MID(CI229&amp;X229,ROW($1:$162),1),CI230&amp;X230)),MID(CI229&amp;X229,ROW($1:$162),1),""))</f>
        <v>67</v>
      </c>
      <c r="CK230" s="29" t="str">
        <f t="array" ref="CK230">_xlfn.TEXTJOIN("",TRUE,IF(ISERROR(FIND(ROW($1:$168)-1,CI230&amp;CJ230)),ROW($1:$168)-1,""))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30" s="19" t="str">
        <f t="shared" si="223"/>
        <v>邻传孤</v>
      </c>
      <c r="CM230" s="24" t="str">
        <f t="shared" si="224"/>
        <v>24</v>
      </c>
      <c r="CN230" s="24" t="str">
        <f t="array" ref="CN230">_xlfn.TEXTJOIN("",TRUE,IF(ISNUMBER(FIND(MID(CM229&amp;Y229,ROW($1:$162),1),CM230&amp;Y230)),MID(CM229&amp;Y229,ROW($1:$162),1),""))</f>
        <v>2</v>
      </c>
      <c r="CO230" s="24" t="str">
        <f t="array" ref="CO230">_xlfn.TEXTJOIN("",TRUE,IF(ISERROR(FIND(ROW($1:$168)-1,CM230&amp;CN230)),ROW($1:$168)-1,""))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30" s="30" t="str">
        <f t="shared" si="225"/>
        <v>邻传孤</v>
      </c>
    </row>
    <row r="231" spans="1:94">
      <c r="A231" s="15">
        <v>231</v>
      </c>
      <c r="B231" s="80">
        <v>2024200</v>
      </c>
      <c r="C231" s="8" t="s">
        <v>237</v>
      </c>
      <c r="D231" s="81">
        <f t="shared" si="205"/>
        <v>12</v>
      </c>
      <c r="E231" s="82">
        <f t="shared" si="206"/>
        <v>2</v>
      </c>
      <c r="F231" s="83">
        <f t="shared" si="203"/>
        <v>1.33333333333333</v>
      </c>
      <c r="G231" s="84" t="str">
        <f t="shared" si="204"/>
        <v>松散</v>
      </c>
      <c r="H231" s="85" t="s">
        <v>10</v>
      </c>
      <c r="I231" s="85" t="s">
        <v>11</v>
      </c>
      <c r="J231" s="85" t="s">
        <v>12</v>
      </c>
      <c r="K231" s="85" t="s">
        <v>13</v>
      </c>
      <c r="L231" s="86">
        <f>MAX(MID(C231,{1,2,3},1)*1)-MIN(MID(C231,{1,2,3},1)*1)</f>
        <v>9</v>
      </c>
      <c r="M231" s="87">
        <v>0</v>
      </c>
      <c r="N231" s="87">
        <v>1</v>
      </c>
      <c r="O231" s="87">
        <v>2</v>
      </c>
      <c r="P231" s="87">
        <v>3</v>
      </c>
      <c r="Q231" s="87">
        <v>4</v>
      </c>
      <c r="R231" s="87">
        <v>5</v>
      </c>
      <c r="S231" s="87">
        <v>6</v>
      </c>
      <c r="T231" s="87">
        <v>7</v>
      </c>
      <c r="U231" s="87">
        <v>8</v>
      </c>
      <c r="V231" s="87">
        <v>9</v>
      </c>
      <c r="W231" s="88">
        <f t="shared" si="207"/>
        <v>3</v>
      </c>
      <c r="X231" s="88">
        <f t="shared" si="208"/>
        <v>6</v>
      </c>
      <c r="Y231" s="88">
        <f t="shared" si="209"/>
        <v>9</v>
      </c>
      <c r="Z231" s="89">
        <f t="shared" si="212"/>
        <v>18</v>
      </c>
      <c r="AA231" s="17" t="str">
        <f>_xlfn.TEXTJOIN(", ",TRUE,ABS(MID(C231,{1,1,2},1)-MID(C231,{2,3,3},1)))</f>
        <v>3, 6, 9</v>
      </c>
      <c r="AB231" s="90">
        <v>0</v>
      </c>
      <c r="AC231" s="90">
        <v>1</v>
      </c>
      <c r="AD231" s="90">
        <v>2</v>
      </c>
      <c r="AE231" s="90">
        <v>3</v>
      </c>
      <c r="AF231" s="90">
        <v>4</v>
      </c>
      <c r="AG231" s="90">
        <v>5</v>
      </c>
      <c r="AH231" s="90">
        <v>6</v>
      </c>
      <c r="AI231" s="90">
        <v>7</v>
      </c>
      <c r="AJ231" s="90">
        <v>8</v>
      </c>
      <c r="AK231" s="90">
        <v>9</v>
      </c>
      <c r="AL231" s="91">
        <v>0</v>
      </c>
      <c r="AM231" s="91">
        <v>1</v>
      </c>
      <c r="AN231" s="91">
        <v>2</v>
      </c>
      <c r="AO231" s="91">
        <v>3</v>
      </c>
      <c r="AP231" s="91">
        <v>4</v>
      </c>
      <c r="AQ231" s="91">
        <v>5</v>
      </c>
      <c r="AR231" s="91">
        <v>6</v>
      </c>
      <c r="AS231" s="91">
        <v>7</v>
      </c>
      <c r="AT231" s="91">
        <v>8</v>
      </c>
      <c r="AU231" s="91">
        <v>9</v>
      </c>
      <c r="AV231" s="92">
        <v>0</v>
      </c>
      <c r="AW231" s="92">
        <v>1</v>
      </c>
      <c r="AX231" s="92">
        <v>2</v>
      </c>
      <c r="AY231" s="92">
        <v>3</v>
      </c>
      <c r="AZ231" s="92">
        <v>4</v>
      </c>
      <c r="BA231" s="92">
        <v>5</v>
      </c>
      <c r="BB231" s="92">
        <v>6</v>
      </c>
      <c r="BC231" s="92">
        <v>7</v>
      </c>
      <c r="BD231" s="92">
        <v>8</v>
      </c>
      <c r="BE231" s="92">
        <v>9</v>
      </c>
      <c r="BF231" s="93">
        <v>0</v>
      </c>
      <c r="BG231" s="93">
        <v>1</v>
      </c>
      <c r="BH231" s="93">
        <v>2</v>
      </c>
      <c r="BI231" s="93">
        <v>3</v>
      </c>
      <c r="BJ231" s="93">
        <v>4</v>
      </c>
      <c r="BK231" s="93">
        <v>5</v>
      </c>
      <c r="BL231" s="93">
        <v>6</v>
      </c>
      <c r="BM231" s="93">
        <v>7</v>
      </c>
      <c r="BN231" s="93">
        <v>8</v>
      </c>
      <c r="BO231" s="93">
        <v>9</v>
      </c>
      <c r="BP231" s="94" t="str">
        <f t="shared" si="213"/>
        <v>松散型</v>
      </c>
      <c r="BQ231" s="15">
        <f t="shared" si="210"/>
        <v>3</v>
      </c>
      <c r="BR231" s="15">
        <f t="shared" si="211"/>
        <v>9</v>
      </c>
      <c r="BS231" s="20">
        <f t="shared" si="215"/>
        <v>3</v>
      </c>
      <c r="BT231" s="21" t="str">
        <f t="shared" si="216"/>
        <v/>
      </c>
      <c r="BU231" s="21" t="str">
        <f t="array" ref="BU231">_xlfn.TEXTJOIN("",TRUE,IF(ISERROR(FIND(ROW($1:$168)-1,BS231&amp;BT231)),ROW($1:$168)-1,""))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31" s="22" t="str">
        <f t="shared" si="217"/>
        <v>复中中</v>
      </c>
      <c r="BW231" s="23">
        <f t="shared" si="228"/>
        <v>6</v>
      </c>
      <c r="BX231" s="23">
        <f t="shared" si="226"/>
        <v>6</v>
      </c>
      <c r="BY231" s="23" t="str">
        <f t="array" ref="BY231">_xlfn.TEXTJOIN("",TRUE,IF(ISERROR(FIND(ROW($1:$168)-1,BW231&amp;BX231)),ROW($1:$168)-1,""))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31" s="22" t="str">
        <f t="shared" si="218"/>
        <v>复隔中</v>
      </c>
      <c r="CA231" s="24" t="str">
        <f t="shared" si="219"/>
        <v/>
      </c>
      <c r="CB231" s="24" t="str">
        <f t="shared" si="227"/>
        <v/>
      </c>
      <c r="CC231" s="24" t="str">
        <f t="array" ref="CC231">_xlfn.TEXTJOIN("",TRUE,IF(ISERROR(FIND(ROW($1:$168)-1,CA231&amp;CB231)),ROW($1:$168)-1,""))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31" s="22" t="str">
        <f t="shared" si="220"/>
        <v>中中中</v>
      </c>
      <c r="CE231" s="25" t="str">
        <f t="shared" si="214"/>
        <v>24</v>
      </c>
      <c r="CF231" s="26" t="str">
        <f t="array" ref="CF231">_xlfn.TEXTJOIN("",TRUE,IF(ISNUMBER(FIND(MID(CE230&amp;W230,ROW($1:$162),1),CE231&amp;W231)),MID(CE230&amp;W230,ROW($1:$162),1),""))</f>
        <v>243</v>
      </c>
      <c r="CG231" s="27" t="str">
        <f t="array" ref="CG231">_xlfn.TEXTJOIN("",TRUE,IF(ISERROR(FIND(ROW($1:$168)-1,CE231&amp;CF231)),ROW($1:$168)-1,""))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31" s="28" t="str">
        <f t="shared" si="221"/>
        <v>邻传孤</v>
      </c>
      <c r="CI231" s="29" t="str">
        <f t="shared" si="222"/>
        <v>57</v>
      </c>
      <c r="CJ231" s="29" t="str">
        <f t="array" ref="CJ231">_xlfn.TEXTJOIN("",TRUE,IF(ISNUMBER(FIND(MID(CI230&amp;X230,ROW($1:$162),1),CI231&amp;X231)),MID(CI230&amp;X230,ROW($1:$162),1),""))</f>
        <v>576</v>
      </c>
      <c r="CK231" s="29" t="str">
        <f t="array" ref="CK231">_xlfn.TEXTJOIN("",TRUE,IF(ISERROR(FIND(ROW($1:$168)-1,CI231&amp;CJ231)),ROW($1:$168)-1,""))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31" s="19" t="str">
        <f t="shared" si="223"/>
        <v>邻传孤</v>
      </c>
      <c r="CM231" s="24" t="str">
        <f t="shared" si="224"/>
        <v>80</v>
      </c>
      <c r="CN231" s="24" t="str">
        <f t="array" ref="CN231">_xlfn.TEXTJOIN("",TRUE,IF(ISNUMBER(FIND(MID(CM230&amp;Y230,ROW($1:$162),1),CM231&amp;Y231)),MID(CM230&amp;Y230,ROW($1:$162),1),""))</f>
        <v/>
      </c>
      <c r="CO231" s="24" t="str">
        <f t="array" ref="CO231">_xlfn.TEXTJOIN("",TRUE,IF(ISERROR(FIND(ROW($1:$168)-1,CM231&amp;CN231)),ROW($1:$168)-1,""))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231" s="30" t="str">
        <f t="shared" si="225"/>
        <v>邻孤孤</v>
      </c>
    </row>
    <row r="232" spans="1:94">
      <c r="A232" s="15">
        <v>232</v>
      </c>
      <c r="B232" s="80">
        <v>2024201</v>
      </c>
      <c r="C232" s="8" t="s">
        <v>238</v>
      </c>
      <c r="D232" s="81">
        <f t="shared" si="205"/>
        <v>15</v>
      </c>
      <c r="E232" s="82">
        <f t="shared" si="206"/>
        <v>5</v>
      </c>
      <c r="F232" s="83">
        <f t="shared" si="203"/>
        <v>3</v>
      </c>
      <c r="G232" s="84" t="str">
        <f t="shared" si="204"/>
        <v>标准</v>
      </c>
      <c r="H232" s="85" t="s">
        <v>10</v>
      </c>
      <c r="I232" s="85" t="s">
        <v>11</v>
      </c>
      <c r="J232" s="85" t="s">
        <v>12</v>
      </c>
      <c r="K232" s="85" t="s">
        <v>13</v>
      </c>
      <c r="L232" s="86">
        <f>MAX(MID(C232,{1,2,3},1)*1)-MIN(MID(C232,{1,2,3},1)*1)</f>
        <v>5</v>
      </c>
      <c r="M232" s="87">
        <v>0</v>
      </c>
      <c r="N232" s="87">
        <v>1</v>
      </c>
      <c r="O232" s="87">
        <v>2</v>
      </c>
      <c r="P232" s="87">
        <v>3</v>
      </c>
      <c r="Q232" s="87">
        <v>4</v>
      </c>
      <c r="R232" s="87">
        <v>5</v>
      </c>
      <c r="S232" s="87">
        <v>6</v>
      </c>
      <c r="T232" s="87">
        <v>7</v>
      </c>
      <c r="U232" s="87">
        <v>8</v>
      </c>
      <c r="V232" s="87">
        <v>9</v>
      </c>
      <c r="W232" s="88">
        <f t="shared" si="207"/>
        <v>4</v>
      </c>
      <c r="X232" s="88">
        <f t="shared" si="208"/>
        <v>5</v>
      </c>
      <c r="Y232" s="88">
        <f t="shared" si="209"/>
        <v>1</v>
      </c>
      <c r="Z232" s="89">
        <f t="shared" si="212"/>
        <v>10</v>
      </c>
      <c r="AA232" s="17" t="str">
        <f>_xlfn.TEXTJOIN(", ",TRUE,ABS(MID(C232,{1,1,2},1)-MID(C232,{2,3,3},1)))</f>
        <v>4, 5, 1</v>
      </c>
      <c r="AB232" s="90">
        <v>0</v>
      </c>
      <c r="AC232" s="90">
        <v>1</v>
      </c>
      <c r="AD232" s="90">
        <v>2</v>
      </c>
      <c r="AE232" s="90">
        <v>3</v>
      </c>
      <c r="AF232" s="90">
        <v>4</v>
      </c>
      <c r="AG232" s="90">
        <v>5</v>
      </c>
      <c r="AH232" s="90">
        <v>6</v>
      </c>
      <c r="AI232" s="90">
        <v>7</v>
      </c>
      <c r="AJ232" s="90">
        <v>8</v>
      </c>
      <c r="AK232" s="90">
        <v>9</v>
      </c>
      <c r="AL232" s="91">
        <v>0</v>
      </c>
      <c r="AM232" s="91">
        <v>1</v>
      </c>
      <c r="AN232" s="91">
        <v>2</v>
      </c>
      <c r="AO232" s="91">
        <v>3</v>
      </c>
      <c r="AP232" s="91">
        <v>4</v>
      </c>
      <c r="AQ232" s="91">
        <v>5</v>
      </c>
      <c r="AR232" s="91">
        <v>6</v>
      </c>
      <c r="AS232" s="91">
        <v>7</v>
      </c>
      <c r="AT232" s="91">
        <v>8</v>
      </c>
      <c r="AU232" s="91">
        <v>9</v>
      </c>
      <c r="AV232" s="92">
        <v>0</v>
      </c>
      <c r="AW232" s="92">
        <v>1</v>
      </c>
      <c r="AX232" s="92">
        <v>2</v>
      </c>
      <c r="AY232" s="92">
        <v>3</v>
      </c>
      <c r="AZ232" s="92">
        <v>4</v>
      </c>
      <c r="BA232" s="92">
        <v>5</v>
      </c>
      <c r="BB232" s="92">
        <v>6</v>
      </c>
      <c r="BC232" s="92">
        <v>7</v>
      </c>
      <c r="BD232" s="92">
        <v>8</v>
      </c>
      <c r="BE232" s="92">
        <v>9</v>
      </c>
      <c r="BF232" s="93">
        <v>0</v>
      </c>
      <c r="BG232" s="93">
        <v>1</v>
      </c>
      <c r="BH232" s="93">
        <v>2</v>
      </c>
      <c r="BI232" s="93">
        <v>3</v>
      </c>
      <c r="BJ232" s="93">
        <v>4</v>
      </c>
      <c r="BK232" s="93">
        <v>5</v>
      </c>
      <c r="BL232" s="93">
        <v>6</v>
      </c>
      <c r="BM232" s="93">
        <v>7</v>
      </c>
      <c r="BN232" s="93">
        <v>8</v>
      </c>
      <c r="BO232" s="93">
        <v>9</v>
      </c>
      <c r="BP232" s="94" t="str">
        <f t="shared" si="213"/>
        <v>标准型</v>
      </c>
      <c r="BQ232" s="15">
        <f t="shared" si="210"/>
        <v>1</v>
      </c>
      <c r="BR232" s="15">
        <f t="shared" si="211"/>
        <v>5</v>
      </c>
      <c r="BS232" s="20" t="str">
        <f t="shared" si="215"/>
        <v/>
      </c>
      <c r="BT232" s="21" t="str">
        <f t="shared" si="216"/>
        <v/>
      </c>
      <c r="BU232" s="21" t="str">
        <f t="array" ref="BU232">_xlfn.TEXTJOIN("",TRUE,IF(ISERROR(FIND(ROW($1:$168)-1,BS232&amp;BT232)),ROW($1:$168)-1,""))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32" s="22" t="str">
        <f t="shared" si="217"/>
        <v>中中中</v>
      </c>
      <c r="BW232" s="23" t="str">
        <f t="shared" si="228"/>
        <v/>
      </c>
      <c r="BX232" s="23" t="str">
        <f t="shared" si="226"/>
        <v/>
      </c>
      <c r="BY232" s="23" t="str">
        <f t="array" ref="BY232">_xlfn.TEXTJOIN("",TRUE,IF(ISERROR(FIND(ROW($1:$168)-1,BW232&amp;BX232)),ROW($1:$168)-1,""))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32" s="22" t="str">
        <f t="shared" si="218"/>
        <v>中中中</v>
      </c>
      <c r="CA232" s="24" t="str">
        <f t="shared" si="219"/>
        <v/>
      </c>
      <c r="CB232" s="24" t="str">
        <f t="shared" si="227"/>
        <v/>
      </c>
      <c r="CC232" s="24" t="str">
        <f t="array" ref="CC232">_xlfn.TEXTJOIN("",TRUE,IF(ISERROR(FIND(ROW($1:$168)-1,CA232&amp;CB232)),ROW($1:$168)-1,""))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32" s="22" t="str">
        <f t="shared" si="220"/>
        <v>中中中</v>
      </c>
      <c r="CE232" s="25" t="str">
        <f t="shared" si="214"/>
        <v>35</v>
      </c>
      <c r="CF232" s="26" t="str">
        <f t="array" ref="CF232">_xlfn.TEXTJOIN("",TRUE,IF(ISNUMBER(FIND(MID(CE231&amp;W231,ROW($1:$162),1),CE232&amp;W232)),MID(CE231&amp;W231,ROW($1:$162),1),""))</f>
        <v>43</v>
      </c>
      <c r="CG232" s="27" t="str">
        <f t="array" ref="CG232">_xlfn.TEXTJOIN("",TRUE,IF(ISERROR(FIND(ROW($1:$168)-1,CE232&amp;CF232)),ROW($1:$168)-1,""))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32" s="28" t="str">
        <f t="shared" si="221"/>
        <v>邻传孤</v>
      </c>
      <c r="CI232" s="29" t="str">
        <f t="shared" si="222"/>
        <v>46</v>
      </c>
      <c r="CJ232" s="29" t="str">
        <f t="array" ref="CJ232">_xlfn.TEXTJOIN("",TRUE,IF(ISNUMBER(FIND(MID(CI231&amp;X231,ROW($1:$162),1),CI232&amp;X232)),MID(CI231&amp;X231,ROW($1:$162),1),""))</f>
        <v>56</v>
      </c>
      <c r="CK232" s="29" t="str">
        <f t="array" ref="CK232">_xlfn.TEXTJOIN("",TRUE,IF(ISERROR(FIND(ROW($1:$168)-1,CI232&amp;CJ232)),ROW($1:$168)-1,""))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32" s="19" t="str">
        <f t="shared" si="223"/>
        <v>邻传孤</v>
      </c>
      <c r="CM232" s="24" t="str">
        <f t="shared" si="224"/>
        <v>02</v>
      </c>
      <c r="CN232" s="24" t="str">
        <f t="array" ref="CN232">_xlfn.TEXTJOIN("",TRUE,IF(ISNUMBER(FIND(MID(CM231&amp;Y231,ROW($1:$162),1),CM232&amp;Y232)),MID(CM231&amp;Y231,ROW($1:$162),1),""))</f>
        <v>0</v>
      </c>
      <c r="CO232" s="24" t="str">
        <f t="array" ref="CO232">_xlfn.TEXTJOIN("",TRUE,IF(ISERROR(FIND(ROW($1:$168)-1,CM232&amp;CN232)),ROW($1:$168)-1,""))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32" s="30" t="str">
        <f t="shared" si="225"/>
        <v>邻传孤</v>
      </c>
    </row>
    <row r="233" spans="1:94">
      <c r="A233" s="15">
        <v>233</v>
      </c>
      <c r="B233" s="80">
        <v>2024202</v>
      </c>
      <c r="C233" s="8" t="s">
        <v>239</v>
      </c>
      <c r="D233" s="81">
        <f t="shared" si="205"/>
        <v>12</v>
      </c>
      <c r="E233" s="82">
        <f t="shared" si="206"/>
        <v>2</v>
      </c>
      <c r="F233" s="83">
        <f t="shared" si="203"/>
        <v>4</v>
      </c>
      <c r="G233" s="84" t="str">
        <f t="shared" si="204"/>
        <v>紧凑</v>
      </c>
      <c r="H233" s="85" t="s">
        <v>10</v>
      </c>
      <c r="I233" s="85" t="s">
        <v>11</v>
      </c>
      <c r="J233" s="85" t="s">
        <v>12</v>
      </c>
      <c r="K233" s="85" t="s">
        <v>13</v>
      </c>
      <c r="L233" s="86">
        <f>MAX(MID(C233,{1,2,3},1)*1)-MIN(MID(C233,{1,2,3},1)*1)</f>
        <v>3</v>
      </c>
      <c r="M233" s="87">
        <v>0</v>
      </c>
      <c r="N233" s="87">
        <v>1</v>
      </c>
      <c r="O233" s="87">
        <v>2</v>
      </c>
      <c r="P233" s="87">
        <v>3</v>
      </c>
      <c r="Q233" s="87">
        <v>4</v>
      </c>
      <c r="R233" s="87">
        <v>5</v>
      </c>
      <c r="S233" s="87">
        <v>6</v>
      </c>
      <c r="T233" s="87">
        <v>7</v>
      </c>
      <c r="U233" s="87">
        <v>8</v>
      </c>
      <c r="V233" s="87">
        <v>9</v>
      </c>
      <c r="W233" s="88">
        <f t="shared" si="207"/>
        <v>0</v>
      </c>
      <c r="X233" s="88">
        <f t="shared" si="208"/>
        <v>3</v>
      </c>
      <c r="Y233" s="88">
        <f t="shared" si="209"/>
        <v>3</v>
      </c>
      <c r="Z233" s="89">
        <f t="shared" si="212"/>
        <v>6</v>
      </c>
      <c r="AA233" s="17" t="str">
        <f>_xlfn.TEXTJOIN(", ",TRUE,ABS(MID(C233,{1,1,2},1)-MID(C233,{2,3,3},1)))</f>
        <v>0, 3, 3</v>
      </c>
      <c r="AB233" s="90">
        <v>0</v>
      </c>
      <c r="AC233" s="90">
        <v>1</v>
      </c>
      <c r="AD233" s="90">
        <v>2</v>
      </c>
      <c r="AE233" s="90">
        <v>3</v>
      </c>
      <c r="AF233" s="90">
        <v>4</v>
      </c>
      <c r="AG233" s="90">
        <v>5</v>
      </c>
      <c r="AH233" s="90">
        <v>6</v>
      </c>
      <c r="AI233" s="90">
        <v>7</v>
      </c>
      <c r="AJ233" s="90">
        <v>8</v>
      </c>
      <c r="AK233" s="90">
        <v>9</v>
      </c>
      <c r="AL233" s="91">
        <v>0</v>
      </c>
      <c r="AM233" s="91">
        <v>1</v>
      </c>
      <c r="AN233" s="91">
        <v>2</v>
      </c>
      <c r="AO233" s="91">
        <v>3</v>
      </c>
      <c r="AP233" s="91">
        <v>4</v>
      </c>
      <c r="AQ233" s="91">
        <v>5</v>
      </c>
      <c r="AR233" s="91">
        <v>6</v>
      </c>
      <c r="AS233" s="91">
        <v>7</v>
      </c>
      <c r="AT233" s="91">
        <v>8</v>
      </c>
      <c r="AU233" s="91">
        <v>9</v>
      </c>
      <c r="AV233" s="92">
        <v>0</v>
      </c>
      <c r="AW233" s="92">
        <v>1</v>
      </c>
      <c r="AX233" s="92">
        <v>2</v>
      </c>
      <c r="AY233" s="92">
        <v>3</v>
      </c>
      <c r="AZ233" s="92">
        <v>4</v>
      </c>
      <c r="BA233" s="92">
        <v>5</v>
      </c>
      <c r="BB233" s="92">
        <v>6</v>
      </c>
      <c r="BC233" s="92">
        <v>7</v>
      </c>
      <c r="BD233" s="92">
        <v>8</v>
      </c>
      <c r="BE233" s="92">
        <v>9</v>
      </c>
      <c r="BF233" s="93">
        <v>0</v>
      </c>
      <c r="BG233" s="93">
        <v>1</v>
      </c>
      <c r="BH233" s="93">
        <v>2</v>
      </c>
      <c r="BI233" s="93">
        <v>3</v>
      </c>
      <c r="BJ233" s="93">
        <v>4</v>
      </c>
      <c r="BK233" s="93">
        <v>5</v>
      </c>
      <c r="BL233" s="93">
        <v>6</v>
      </c>
      <c r="BM233" s="93">
        <v>7</v>
      </c>
      <c r="BN233" s="93">
        <v>8</v>
      </c>
      <c r="BO233" s="93">
        <v>9</v>
      </c>
      <c r="BP233" s="94" t="str">
        <f t="shared" si="213"/>
        <v>紧凑型</v>
      </c>
      <c r="BQ233" s="15">
        <f t="shared" si="210"/>
        <v>0</v>
      </c>
      <c r="BR233" s="15">
        <f t="shared" si="211"/>
        <v>3</v>
      </c>
      <c r="BS233" s="20" t="str">
        <f t="shared" si="215"/>
        <v/>
      </c>
      <c r="BT233" s="21" t="str">
        <f t="shared" si="216"/>
        <v/>
      </c>
      <c r="BU233" s="21" t="str">
        <f t="array" ref="BU233">_xlfn.TEXTJOIN("",TRUE,IF(ISERROR(FIND(ROW($1:$168)-1,BS233&amp;BT233)),ROW($1:$168)-1,""))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33" s="22" t="str">
        <f t="shared" si="217"/>
        <v>中中中</v>
      </c>
      <c r="BW233" s="23" t="str">
        <f t="shared" si="228"/>
        <v/>
      </c>
      <c r="BX233" s="23">
        <f t="shared" si="226"/>
        <v>3</v>
      </c>
      <c r="BY233" s="23" t="str">
        <f t="array" ref="BY233">_xlfn.TEXTJOIN("",TRUE,IF(ISERROR(FIND(ROW($1:$168)-1,BW233&amp;BX233)),ROW($1:$168)-1,""))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33" s="22" t="str">
        <f t="shared" si="218"/>
        <v>中隔中</v>
      </c>
      <c r="CA233" s="24" t="str">
        <f t="shared" si="219"/>
        <v/>
      </c>
      <c r="CB233" s="24">
        <f t="shared" si="227"/>
        <v>3</v>
      </c>
      <c r="CC233" s="24" t="str">
        <f t="array" ref="CC233">_xlfn.TEXTJOIN("",TRUE,IF(ISERROR(FIND(ROW($1:$168)-1,CA233&amp;CB233)),ROW($1:$168)-1,""))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33" s="22" t="str">
        <f t="shared" si="220"/>
        <v>中隔中</v>
      </c>
      <c r="CE233" s="25" t="str">
        <f t="shared" si="214"/>
        <v>91</v>
      </c>
      <c r="CF233" s="26" t="str">
        <f t="array" ref="CF233">_xlfn.TEXTJOIN("",TRUE,IF(ISNUMBER(FIND(MID(CE232&amp;W232,ROW($1:$162),1),CE233&amp;W233)),MID(CE232&amp;W232,ROW($1:$162),1),""))</f>
        <v/>
      </c>
      <c r="CG233" s="27" t="str">
        <f t="array" ref="CG233">_xlfn.TEXTJOIN("",TRUE,IF(ISERROR(FIND(ROW($1:$168)-1,CE233&amp;CF233)),ROW($1:$168)-1,""))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233" s="28" t="str">
        <f t="shared" si="221"/>
        <v>邻孤孤</v>
      </c>
      <c r="CI233" s="29" t="str">
        <f t="shared" si="222"/>
        <v>24</v>
      </c>
      <c r="CJ233" s="29" t="str">
        <f t="array" ref="CJ233">_xlfn.TEXTJOIN("",TRUE,IF(ISNUMBER(FIND(MID(CI232&amp;X232,ROW($1:$162),1),CI233&amp;X233)),MID(CI232&amp;X232,ROW($1:$162),1),""))</f>
        <v>4</v>
      </c>
      <c r="CK233" s="29" t="str">
        <f t="array" ref="CK233">_xlfn.TEXTJOIN("",TRUE,IF(ISERROR(FIND(ROW($1:$168)-1,CI233&amp;CJ233)),ROW($1:$168)-1,""))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33" s="19" t="str">
        <f t="shared" si="223"/>
        <v>邻传孤</v>
      </c>
      <c r="CM233" s="24" t="str">
        <f t="shared" si="224"/>
        <v>24</v>
      </c>
      <c r="CN233" s="24" t="str">
        <f t="array" ref="CN233">_xlfn.TEXTJOIN("",TRUE,IF(ISNUMBER(FIND(MID(CM232&amp;Y232,ROW($1:$162),1),CM233&amp;Y233)),MID(CM232&amp;Y232,ROW($1:$162),1),""))</f>
        <v>2</v>
      </c>
      <c r="CO233" s="24" t="str">
        <f t="array" ref="CO233">_xlfn.TEXTJOIN("",TRUE,IF(ISERROR(FIND(ROW($1:$168)-1,CM233&amp;CN233)),ROW($1:$168)-1,""))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33" s="30" t="str">
        <f t="shared" si="225"/>
        <v>邻传孤</v>
      </c>
    </row>
    <row r="234" spans="1:94">
      <c r="A234" s="15">
        <v>234</v>
      </c>
      <c r="B234" s="80">
        <v>2024203</v>
      </c>
      <c r="C234" s="8" t="s">
        <v>240</v>
      </c>
      <c r="D234" s="81">
        <f t="shared" si="205"/>
        <v>10</v>
      </c>
      <c r="E234" s="82">
        <f t="shared" si="206"/>
        <v>0</v>
      </c>
      <c r="F234" s="83">
        <f t="shared" si="203"/>
        <v>1.66666666666667</v>
      </c>
      <c r="G234" s="84" t="str">
        <f t="shared" si="204"/>
        <v>松散</v>
      </c>
      <c r="H234" s="85" t="s">
        <v>10</v>
      </c>
      <c r="I234" s="85" t="s">
        <v>11</v>
      </c>
      <c r="J234" s="85" t="s">
        <v>12</v>
      </c>
      <c r="K234" s="85" t="s">
        <v>13</v>
      </c>
      <c r="L234" s="86">
        <f>MAX(MID(C234,{1,2,3},1)*1)-MIN(MID(C234,{1,2,3},1)*1)</f>
        <v>6</v>
      </c>
      <c r="M234" s="87">
        <v>0</v>
      </c>
      <c r="N234" s="87">
        <v>1</v>
      </c>
      <c r="O234" s="87">
        <v>2</v>
      </c>
      <c r="P234" s="87">
        <v>3</v>
      </c>
      <c r="Q234" s="87">
        <v>4</v>
      </c>
      <c r="R234" s="87">
        <v>5</v>
      </c>
      <c r="S234" s="87">
        <v>6</v>
      </c>
      <c r="T234" s="87">
        <v>7</v>
      </c>
      <c r="U234" s="87">
        <v>8</v>
      </c>
      <c r="V234" s="87">
        <v>9</v>
      </c>
      <c r="W234" s="88">
        <f t="shared" si="207"/>
        <v>6</v>
      </c>
      <c r="X234" s="88">
        <f t="shared" si="208"/>
        <v>1</v>
      </c>
      <c r="Y234" s="88">
        <f t="shared" si="209"/>
        <v>5</v>
      </c>
      <c r="Z234" s="89">
        <f t="shared" si="212"/>
        <v>12</v>
      </c>
      <c r="AA234" s="17" t="str">
        <f>_xlfn.TEXTJOIN(", ",TRUE,ABS(MID(C234,{1,1,2},1)-MID(C234,{2,3,3},1)))</f>
        <v>6, 1, 5</v>
      </c>
      <c r="AB234" s="90">
        <v>0</v>
      </c>
      <c r="AC234" s="90">
        <v>1</v>
      </c>
      <c r="AD234" s="90">
        <v>2</v>
      </c>
      <c r="AE234" s="90">
        <v>3</v>
      </c>
      <c r="AF234" s="90">
        <v>4</v>
      </c>
      <c r="AG234" s="90">
        <v>5</v>
      </c>
      <c r="AH234" s="90">
        <v>6</v>
      </c>
      <c r="AI234" s="90">
        <v>7</v>
      </c>
      <c r="AJ234" s="90">
        <v>8</v>
      </c>
      <c r="AK234" s="90">
        <v>9</v>
      </c>
      <c r="AL234" s="91">
        <v>0</v>
      </c>
      <c r="AM234" s="91">
        <v>1</v>
      </c>
      <c r="AN234" s="91">
        <v>2</v>
      </c>
      <c r="AO234" s="91">
        <v>3</v>
      </c>
      <c r="AP234" s="91">
        <v>4</v>
      </c>
      <c r="AQ234" s="91">
        <v>5</v>
      </c>
      <c r="AR234" s="91">
        <v>6</v>
      </c>
      <c r="AS234" s="91">
        <v>7</v>
      </c>
      <c r="AT234" s="91">
        <v>8</v>
      </c>
      <c r="AU234" s="91">
        <v>9</v>
      </c>
      <c r="AV234" s="92">
        <v>0</v>
      </c>
      <c r="AW234" s="92">
        <v>1</v>
      </c>
      <c r="AX234" s="92">
        <v>2</v>
      </c>
      <c r="AY234" s="92">
        <v>3</v>
      </c>
      <c r="AZ234" s="92">
        <v>4</v>
      </c>
      <c r="BA234" s="92">
        <v>5</v>
      </c>
      <c r="BB234" s="92">
        <v>6</v>
      </c>
      <c r="BC234" s="92">
        <v>7</v>
      </c>
      <c r="BD234" s="92">
        <v>8</v>
      </c>
      <c r="BE234" s="92">
        <v>9</v>
      </c>
      <c r="BF234" s="93">
        <v>0</v>
      </c>
      <c r="BG234" s="93">
        <v>1</v>
      </c>
      <c r="BH234" s="93">
        <v>2</v>
      </c>
      <c r="BI234" s="93">
        <v>3</v>
      </c>
      <c r="BJ234" s="93">
        <v>4</v>
      </c>
      <c r="BK234" s="93">
        <v>5</v>
      </c>
      <c r="BL234" s="93">
        <v>6</v>
      </c>
      <c r="BM234" s="93">
        <v>7</v>
      </c>
      <c r="BN234" s="93">
        <v>8</v>
      </c>
      <c r="BO234" s="93">
        <v>9</v>
      </c>
      <c r="BP234" s="94" t="str">
        <f t="shared" si="213"/>
        <v>松散型</v>
      </c>
      <c r="BQ234" s="15">
        <f t="shared" si="210"/>
        <v>1</v>
      </c>
      <c r="BR234" s="15">
        <f t="shared" si="211"/>
        <v>6</v>
      </c>
      <c r="BS234" s="20" t="str">
        <f t="shared" si="215"/>
        <v/>
      </c>
      <c r="BT234" s="21" t="str">
        <f t="shared" si="216"/>
        <v/>
      </c>
      <c r="BU234" s="21" t="str">
        <f t="array" ref="BU234">_xlfn.TEXTJOIN("",TRUE,IF(ISERROR(FIND(ROW($1:$168)-1,BS234&amp;BT234)),ROW($1:$168)-1,""))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34" s="22" t="str">
        <f t="shared" si="217"/>
        <v>中中中</v>
      </c>
      <c r="BW234" s="23" t="str">
        <f t="shared" si="228"/>
        <v/>
      </c>
      <c r="BX234" s="23">
        <f t="shared" si="226"/>
        <v>1</v>
      </c>
      <c r="BY234" s="23" t="str">
        <f t="array" ref="BY234">_xlfn.TEXTJOIN("",TRUE,IF(ISERROR(FIND(ROW($1:$168)-1,BW234&amp;BX234)),ROW($1:$168)-1,""))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34" s="22" t="str">
        <f t="shared" si="218"/>
        <v>中隔中</v>
      </c>
      <c r="CA234" s="24" t="str">
        <f t="shared" si="219"/>
        <v/>
      </c>
      <c r="CB234" s="24">
        <f t="shared" si="227"/>
        <v>5</v>
      </c>
      <c r="CC234" s="24" t="str">
        <f t="array" ref="CC234">_xlfn.TEXTJOIN("",TRUE,IF(ISERROR(FIND(ROW($1:$168)-1,CA234&amp;CB234)),ROW($1:$168)-1,""))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34" s="22" t="str">
        <f t="shared" si="220"/>
        <v>中隔中</v>
      </c>
      <c r="CE234" s="25" t="str">
        <f t="shared" si="214"/>
        <v>57</v>
      </c>
      <c r="CF234" s="26" t="str">
        <f t="array" ref="CF234">_xlfn.TEXTJOIN("",TRUE,IF(ISNUMBER(FIND(MID(CE233&amp;W233,ROW($1:$162),1),CE234&amp;W234)),MID(CE233&amp;W233,ROW($1:$162),1),""))</f>
        <v/>
      </c>
      <c r="CG234" s="27" t="str">
        <f t="array" ref="CG234">_xlfn.TEXTJOIN("",TRUE,IF(ISERROR(FIND(ROW($1:$168)-1,CE234&amp;CF234)),ROW($1:$168)-1,""))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34" s="28" t="str">
        <f t="shared" si="221"/>
        <v>邻孤孤</v>
      </c>
      <c r="CI234" s="29" t="str">
        <f t="shared" si="222"/>
        <v>02</v>
      </c>
      <c r="CJ234" s="29" t="str">
        <f t="array" ref="CJ234">_xlfn.TEXTJOIN("",TRUE,IF(ISNUMBER(FIND(MID(CI233&amp;X233,ROW($1:$162),1),CI234&amp;X234)),MID(CI233&amp;X233,ROW($1:$162),1),""))</f>
        <v>2</v>
      </c>
      <c r="CK234" s="29" t="str">
        <f t="array" ref="CK234">_xlfn.TEXTJOIN("",TRUE,IF(ISERROR(FIND(ROW($1:$168)-1,CI234&amp;CJ234)),ROW($1:$168)-1,""))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34" s="19" t="str">
        <f t="shared" si="223"/>
        <v>邻传孤</v>
      </c>
      <c r="CM234" s="24" t="str">
        <f t="shared" si="224"/>
        <v>46</v>
      </c>
      <c r="CN234" s="24" t="str">
        <f t="array" ref="CN234">_xlfn.TEXTJOIN("",TRUE,IF(ISNUMBER(FIND(MID(CM233&amp;Y233,ROW($1:$162),1),CM234&amp;Y234)),MID(CM233&amp;Y233,ROW($1:$162),1),""))</f>
        <v>4</v>
      </c>
      <c r="CO234" s="24" t="str">
        <f t="array" ref="CO234">_xlfn.TEXTJOIN("",TRUE,IF(ISERROR(FIND(ROW($1:$168)-1,CM234&amp;CN234)),ROW($1:$168)-1,""))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34" s="30" t="str">
        <f t="shared" si="225"/>
        <v>邻传孤</v>
      </c>
    </row>
    <row r="235" spans="1:94">
      <c r="A235" s="15">
        <v>235</v>
      </c>
      <c r="B235" s="80">
        <v>2024204</v>
      </c>
      <c r="C235" s="8" t="s">
        <v>241</v>
      </c>
      <c r="D235" s="81">
        <f t="shared" si="205"/>
        <v>12</v>
      </c>
      <c r="E235" s="82">
        <f t="shared" si="206"/>
        <v>2</v>
      </c>
      <c r="F235" s="83">
        <f t="shared" si="203"/>
        <v>1.33333333333333</v>
      </c>
      <c r="G235" s="84" t="str">
        <f t="shared" si="204"/>
        <v>松散</v>
      </c>
      <c r="H235" s="85" t="s">
        <v>10</v>
      </c>
      <c r="I235" s="85" t="s">
        <v>11</v>
      </c>
      <c r="J235" s="85" t="s">
        <v>12</v>
      </c>
      <c r="K235" s="85" t="s">
        <v>13</v>
      </c>
      <c r="L235" s="86">
        <f>MAX(MID(C235,{1,2,3},1)*1)-MIN(MID(C235,{1,2,3},1)*1)</f>
        <v>9</v>
      </c>
      <c r="M235" s="87">
        <v>0</v>
      </c>
      <c r="N235" s="87">
        <v>1</v>
      </c>
      <c r="O235" s="87">
        <v>2</v>
      </c>
      <c r="P235" s="87">
        <v>3</v>
      </c>
      <c r="Q235" s="87">
        <v>4</v>
      </c>
      <c r="R235" s="87">
        <v>5</v>
      </c>
      <c r="S235" s="87">
        <v>6</v>
      </c>
      <c r="T235" s="87">
        <v>7</v>
      </c>
      <c r="U235" s="87">
        <v>8</v>
      </c>
      <c r="V235" s="87">
        <v>9</v>
      </c>
      <c r="W235" s="88">
        <f t="shared" si="207"/>
        <v>6</v>
      </c>
      <c r="X235" s="88">
        <f t="shared" si="208"/>
        <v>3</v>
      </c>
      <c r="Y235" s="88">
        <f t="shared" si="209"/>
        <v>9</v>
      </c>
      <c r="Z235" s="89">
        <f t="shared" si="212"/>
        <v>18</v>
      </c>
      <c r="AA235" s="17" t="str">
        <f>_xlfn.TEXTJOIN(", ",TRUE,ABS(MID(C235,{1,1,2},1)-MID(C235,{2,3,3},1)))</f>
        <v>6, 3, 9</v>
      </c>
      <c r="AB235" s="90">
        <v>0</v>
      </c>
      <c r="AC235" s="90">
        <v>1</v>
      </c>
      <c r="AD235" s="90">
        <v>2</v>
      </c>
      <c r="AE235" s="90">
        <v>3</v>
      </c>
      <c r="AF235" s="90">
        <v>4</v>
      </c>
      <c r="AG235" s="90">
        <v>5</v>
      </c>
      <c r="AH235" s="90">
        <v>6</v>
      </c>
      <c r="AI235" s="90">
        <v>7</v>
      </c>
      <c r="AJ235" s="90">
        <v>8</v>
      </c>
      <c r="AK235" s="90">
        <v>9</v>
      </c>
      <c r="AL235" s="91">
        <v>0</v>
      </c>
      <c r="AM235" s="91">
        <v>1</v>
      </c>
      <c r="AN235" s="91">
        <v>2</v>
      </c>
      <c r="AO235" s="91">
        <v>3</v>
      </c>
      <c r="AP235" s="91">
        <v>4</v>
      </c>
      <c r="AQ235" s="91">
        <v>5</v>
      </c>
      <c r="AR235" s="91">
        <v>6</v>
      </c>
      <c r="AS235" s="91">
        <v>7</v>
      </c>
      <c r="AT235" s="91">
        <v>8</v>
      </c>
      <c r="AU235" s="91">
        <v>9</v>
      </c>
      <c r="AV235" s="92">
        <v>0</v>
      </c>
      <c r="AW235" s="92">
        <v>1</v>
      </c>
      <c r="AX235" s="92">
        <v>2</v>
      </c>
      <c r="AY235" s="92">
        <v>3</v>
      </c>
      <c r="AZ235" s="92">
        <v>4</v>
      </c>
      <c r="BA235" s="92">
        <v>5</v>
      </c>
      <c r="BB235" s="92">
        <v>6</v>
      </c>
      <c r="BC235" s="92">
        <v>7</v>
      </c>
      <c r="BD235" s="92">
        <v>8</v>
      </c>
      <c r="BE235" s="92">
        <v>9</v>
      </c>
      <c r="BF235" s="93">
        <v>0</v>
      </c>
      <c r="BG235" s="93">
        <v>1</v>
      </c>
      <c r="BH235" s="93">
        <v>2</v>
      </c>
      <c r="BI235" s="93">
        <v>3</v>
      </c>
      <c r="BJ235" s="93">
        <v>4</v>
      </c>
      <c r="BK235" s="93">
        <v>5</v>
      </c>
      <c r="BL235" s="93">
        <v>6</v>
      </c>
      <c r="BM235" s="93">
        <v>7</v>
      </c>
      <c r="BN235" s="93">
        <v>8</v>
      </c>
      <c r="BO235" s="93">
        <v>9</v>
      </c>
      <c r="BP235" s="94" t="str">
        <f t="shared" si="213"/>
        <v>松散型</v>
      </c>
      <c r="BQ235" s="15">
        <f t="shared" si="210"/>
        <v>3</v>
      </c>
      <c r="BR235" s="15">
        <f t="shared" si="211"/>
        <v>9</v>
      </c>
      <c r="BS235" s="20">
        <f t="shared" si="215"/>
        <v>6</v>
      </c>
      <c r="BT235" s="21" t="str">
        <f t="shared" si="216"/>
        <v/>
      </c>
      <c r="BU235" s="21" t="str">
        <f t="array" ref="BU235">_xlfn.TEXTJOIN("",TRUE,IF(ISERROR(FIND(ROW($1:$168)-1,BS235&amp;BT235)),ROW($1:$168)-1,""))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35" s="22" t="str">
        <f t="shared" si="217"/>
        <v>复中中</v>
      </c>
      <c r="BW235" s="23" t="str">
        <f t="shared" si="228"/>
        <v/>
      </c>
      <c r="BX235" s="23">
        <f t="shared" si="226"/>
        <v>3</v>
      </c>
      <c r="BY235" s="23" t="str">
        <f t="array" ref="BY235">_xlfn.TEXTJOIN("",TRUE,IF(ISERROR(FIND(ROW($1:$168)-1,BW235&amp;BX235)),ROW($1:$168)-1,""))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35" s="22" t="str">
        <f t="shared" si="218"/>
        <v>中隔中</v>
      </c>
      <c r="CA235" s="24" t="str">
        <f t="shared" si="219"/>
        <v/>
      </c>
      <c r="CB235" s="24" t="str">
        <f t="shared" si="227"/>
        <v/>
      </c>
      <c r="CC235" s="24" t="str">
        <f t="array" ref="CC235">_xlfn.TEXTJOIN("",TRUE,IF(ISERROR(FIND(ROW($1:$168)-1,CA235&amp;CB235)),ROW($1:$168)-1,""))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35" s="22" t="str">
        <f t="shared" si="220"/>
        <v>中中中</v>
      </c>
      <c r="CE235" s="25" t="str">
        <f t="shared" si="214"/>
        <v>57</v>
      </c>
      <c r="CF235" s="26" t="str">
        <f t="array" ref="CF235">_xlfn.TEXTJOIN("",TRUE,IF(ISNUMBER(FIND(MID(CE234&amp;W234,ROW($1:$162),1),CE235&amp;W235)),MID(CE234&amp;W234,ROW($1:$162),1),""))</f>
        <v>576</v>
      </c>
      <c r="CG235" s="27" t="str">
        <f t="array" ref="CG235">_xlfn.TEXTJOIN("",TRUE,IF(ISERROR(FIND(ROW($1:$168)-1,CE235&amp;CF235)),ROW($1:$168)-1,""))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35" s="28" t="str">
        <f t="shared" si="221"/>
        <v>邻传孤</v>
      </c>
      <c r="CI235" s="29" t="str">
        <f t="shared" si="222"/>
        <v>24</v>
      </c>
      <c r="CJ235" s="29" t="str">
        <f t="array" ref="CJ235">_xlfn.TEXTJOIN("",TRUE,IF(ISNUMBER(FIND(MID(CI234&amp;X234,ROW($1:$162),1),CI235&amp;X235)),MID(CI234&amp;X234,ROW($1:$162),1),""))</f>
        <v>2</v>
      </c>
      <c r="CK235" s="29" t="str">
        <f t="array" ref="CK235">_xlfn.TEXTJOIN("",TRUE,IF(ISERROR(FIND(ROW($1:$168)-1,CI235&amp;CJ235)),ROW($1:$168)-1,""))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35" s="19" t="str">
        <f t="shared" si="223"/>
        <v>邻传孤</v>
      </c>
      <c r="CM235" s="24" t="str">
        <f t="shared" si="224"/>
        <v>80</v>
      </c>
      <c r="CN235" s="24" t="str">
        <f t="array" ref="CN235">_xlfn.TEXTJOIN("",TRUE,IF(ISNUMBER(FIND(MID(CM234&amp;Y234,ROW($1:$162),1),CM235&amp;Y235)),MID(CM234&amp;Y234,ROW($1:$162),1),""))</f>
        <v/>
      </c>
      <c r="CO235" s="24" t="str">
        <f t="array" ref="CO235">_xlfn.TEXTJOIN("",TRUE,IF(ISERROR(FIND(ROW($1:$168)-1,CM235&amp;CN235)),ROW($1:$168)-1,""))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235" s="30" t="str">
        <f t="shared" si="225"/>
        <v>邻孤孤</v>
      </c>
    </row>
    <row r="236" spans="1:94">
      <c r="A236" s="15">
        <v>236</v>
      </c>
      <c r="B236" s="80">
        <v>2024205</v>
      </c>
      <c r="C236" s="8" t="s">
        <v>242</v>
      </c>
      <c r="D236" s="81">
        <f t="shared" ref="D236:D255" si="229">LEFT(C236,1)+MID(C236,2,1)+RIGHT(C236,1)</f>
        <v>12</v>
      </c>
      <c r="E236" s="82">
        <f t="shared" ref="E236:E255" si="230">MOD(LEFT(C236,1)+MID(C236,2,1)+RIGHT(C236,1),10)</f>
        <v>2</v>
      </c>
      <c r="F236" s="83">
        <f t="shared" si="203"/>
        <v>2.4</v>
      </c>
      <c r="G236" s="84" t="str">
        <f t="shared" si="204"/>
        <v>标准</v>
      </c>
      <c r="H236" s="85" t="s">
        <v>10</v>
      </c>
      <c r="I236" s="85" t="s">
        <v>11</v>
      </c>
      <c r="J236" s="85" t="s">
        <v>12</v>
      </c>
      <c r="K236" s="85" t="s">
        <v>13</v>
      </c>
      <c r="L236" s="86">
        <f>MAX(MID(C236,{1,2,3},1)*1)-MIN(MID(C236,{1,2,3},1)*1)</f>
        <v>5</v>
      </c>
      <c r="M236" s="87">
        <v>0</v>
      </c>
      <c r="N236" s="87">
        <v>1</v>
      </c>
      <c r="O236" s="87">
        <v>2</v>
      </c>
      <c r="P236" s="87">
        <v>3</v>
      </c>
      <c r="Q236" s="87">
        <v>4</v>
      </c>
      <c r="R236" s="87">
        <v>5</v>
      </c>
      <c r="S236" s="87">
        <v>6</v>
      </c>
      <c r="T236" s="87">
        <v>7</v>
      </c>
      <c r="U236" s="87">
        <v>8</v>
      </c>
      <c r="V236" s="87">
        <v>9</v>
      </c>
      <c r="W236" s="88">
        <f t="shared" ref="W236:W255" si="231">ABS(LEFT(C236,1)-MID(C236,2,1))</f>
        <v>1</v>
      </c>
      <c r="X236" s="88">
        <f t="shared" ref="X236:X255" si="232">ABS(LEFT(C236,1)-RIGHT(C236,1))</f>
        <v>5</v>
      </c>
      <c r="Y236" s="88">
        <f t="shared" ref="Y236:Y255" si="233">ABS(MID(C236,2,1)-RIGHT(C236,1))</f>
        <v>4</v>
      </c>
      <c r="Z236" s="89">
        <f t="shared" si="212"/>
        <v>10</v>
      </c>
      <c r="AA236" s="17" t="str">
        <f>_xlfn.TEXTJOIN(", ",TRUE,ABS(MID(C236,{1,1,2},1)-MID(C236,{2,3,3},1)))</f>
        <v>1, 5, 4</v>
      </c>
      <c r="AB236" s="90">
        <v>0</v>
      </c>
      <c r="AC236" s="90">
        <v>1</v>
      </c>
      <c r="AD236" s="90">
        <v>2</v>
      </c>
      <c r="AE236" s="90">
        <v>3</v>
      </c>
      <c r="AF236" s="90">
        <v>4</v>
      </c>
      <c r="AG236" s="90">
        <v>5</v>
      </c>
      <c r="AH236" s="90">
        <v>6</v>
      </c>
      <c r="AI236" s="90">
        <v>7</v>
      </c>
      <c r="AJ236" s="90">
        <v>8</v>
      </c>
      <c r="AK236" s="90">
        <v>9</v>
      </c>
      <c r="AL236" s="91">
        <v>0</v>
      </c>
      <c r="AM236" s="91">
        <v>1</v>
      </c>
      <c r="AN236" s="91">
        <v>2</v>
      </c>
      <c r="AO236" s="91">
        <v>3</v>
      </c>
      <c r="AP236" s="91">
        <v>4</v>
      </c>
      <c r="AQ236" s="91">
        <v>5</v>
      </c>
      <c r="AR236" s="91">
        <v>6</v>
      </c>
      <c r="AS236" s="91">
        <v>7</v>
      </c>
      <c r="AT236" s="91">
        <v>8</v>
      </c>
      <c r="AU236" s="91">
        <v>9</v>
      </c>
      <c r="AV236" s="92">
        <v>0</v>
      </c>
      <c r="AW236" s="92">
        <v>1</v>
      </c>
      <c r="AX236" s="92">
        <v>2</v>
      </c>
      <c r="AY236" s="92">
        <v>3</v>
      </c>
      <c r="AZ236" s="92">
        <v>4</v>
      </c>
      <c r="BA236" s="92">
        <v>5</v>
      </c>
      <c r="BB236" s="92">
        <v>6</v>
      </c>
      <c r="BC236" s="92">
        <v>7</v>
      </c>
      <c r="BD236" s="92">
        <v>8</v>
      </c>
      <c r="BE236" s="92">
        <v>9</v>
      </c>
      <c r="BF236" s="93">
        <v>0</v>
      </c>
      <c r="BG236" s="93">
        <v>1</v>
      </c>
      <c r="BH236" s="93">
        <v>2</v>
      </c>
      <c r="BI236" s="93">
        <v>3</v>
      </c>
      <c r="BJ236" s="93">
        <v>4</v>
      </c>
      <c r="BK236" s="93">
        <v>5</v>
      </c>
      <c r="BL236" s="93">
        <v>6</v>
      </c>
      <c r="BM236" s="93">
        <v>7</v>
      </c>
      <c r="BN236" s="93">
        <v>8</v>
      </c>
      <c r="BO236" s="93">
        <v>9</v>
      </c>
      <c r="BP236" s="94" t="str">
        <f t="shared" si="213"/>
        <v>标准型</v>
      </c>
      <c r="BQ236" s="15">
        <f t="shared" si="210"/>
        <v>1</v>
      </c>
      <c r="BR236" s="15">
        <f t="shared" si="211"/>
        <v>5</v>
      </c>
      <c r="BS236" s="20" t="str">
        <f t="shared" si="215"/>
        <v/>
      </c>
      <c r="BT236" s="21">
        <f t="shared" si="216"/>
        <v>1</v>
      </c>
      <c r="BU236" s="21" t="str">
        <f t="array" ref="BU236">_xlfn.TEXTJOIN("",TRUE,IF(ISERROR(FIND(ROW($1:$168)-1,BS236&amp;BT236)),ROW($1:$168)-1,""))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36" s="22" t="str">
        <f t="shared" si="217"/>
        <v>中隔中</v>
      </c>
      <c r="BW236" s="23" t="str">
        <f t="shared" si="228"/>
        <v/>
      </c>
      <c r="BX236" s="23">
        <f t="shared" si="226"/>
        <v>5</v>
      </c>
      <c r="BY236" s="23" t="str">
        <f t="array" ref="BY236">_xlfn.TEXTJOIN("",TRUE,IF(ISERROR(FIND(ROW($1:$168)-1,BW236&amp;BX236)),ROW($1:$168)-1,""))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36" s="22" t="str">
        <f t="shared" si="218"/>
        <v>中隔中</v>
      </c>
      <c r="CA236" s="24" t="str">
        <f t="shared" si="219"/>
        <v/>
      </c>
      <c r="CB236" s="24" t="str">
        <f t="shared" si="227"/>
        <v/>
      </c>
      <c r="CC236" s="24" t="str">
        <f t="array" ref="CC236">_xlfn.TEXTJOIN("",TRUE,IF(ISERROR(FIND(ROW($1:$168)-1,CA236&amp;CB236)),ROW($1:$168)-1,""))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36" s="22" t="str">
        <f t="shared" si="220"/>
        <v>中中中</v>
      </c>
      <c r="CE236" s="25" t="str">
        <f t="shared" si="214"/>
        <v>02</v>
      </c>
      <c r="CF236" s="26" t="str">
        <f t="array" ref="CF236">_xlfn.TEXTJOIN("",TRUE,IF(ISNUMBER(FIND(MID(CE235&amp;W235,ROW($1:$162),1),CE236&amp;W236)),MID(CE235&amp;W235,ROW($1:$162),1),""))</f>
        <v/>
      </c>
      <c r="CG236" s="27" t="str">
        <f t="array" ref="CG236">_xlfn.TEXTJOIN("",TRUE,IF(ISERROR(FIND(ROW($1:$168)-1,CE236&amp;CF236)),ROW($1:$168)-1,""))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36" s="28" t="str">
        <f t="shared" si="221"/>
        <v>邻孤孤</v>
      </c>
      <c r="CI236" s="29" t="str">
        <f t="shared" si="222"/>
        <v>46</v>
      </c>
      <c r="CJ236" s="29" t="str">
        <f t="array" ref="CJ236">_xlfn.TEXTJOIN("",TRUE,IF(ISNUMBER(FIND(MID(CI235&amp;X235,ROW($1:$162),1),CI236&amp;X236)),MID(CI235&amp;X235,ROW($1:$162),1),""))</f>
        <v>4</v>
      </c>
      <c r="CK236" s="29" t="str">
        <f t="array" ref="CK236">_xlfn.TEXTJOIN("",TRUE,IF(ISERROR(FIND(ROW($1:$168)-1,CI236&amp;CJ236)),ROW($1:$168)-1,""))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36" s="19" t="str">
        <f t="shared" si="223"/>
        <v>邻传孤</v>
      </c>
      <c r="CM236" s="24" t="str">
        <f t="shared" si="224"/>
        <v>35</v>
      </c>
      <c r="CN236" s="24" t="str">
        <f t="array" ref="CN236">_xlfn.TEXTJOIN("",TRUE,IF(ISNUMBER(FIND(MID(CM235&amp;Y235,ROW($1:$162),1),CM236&amp;Y236)),MID(CM235&amp;Y235,ROW($1:$162),1),""))</f>
        <v/>
      </c>
      <c r="CO236" s="24" t="str">
        <f t="array" ref="CO236">_xlfn.TEXTJOIN("",TRUE,IF(ISERROR(FIND(ROW($1:$168)-1,CM236&amp;CN236)),ROW($1:$168)-1,""))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36" s="30" t="str">
        <f t="shared" si="225"/>
        <v>邻孤孤</v>
      </c>
    </row>
    <row r="237" spans="1:94">
      <c r="A237" s="15">
        <v>237</v>
      </c>
      <c r="B237" s="80">
        <v>2024206</v>
      </c>
      <c r="C237" s="8" t="s">
        <v>243</v>
      </c>
      <c r="D237" s="81">
        <f t="shared" si="229"/>
        <v>17</v>
      </c>
      <c r="E237" s="82">
        <f t="shared" si="230"/>
        <v>7</v>
      </c>
      <c r="F237" s="83">
        <f t="shared" si="203"/>
        <v>2.42857142857143</v>
      </c>
      <c r="G237" s="84" t="str">
        <f t="shared" si="204"/>
        <v>标准</v>
      </c>
      <c r="H237" s="85" t="s">
        <v>10</v>
      </c>
      <c r="I237" s="85" t="s">
        <v>11</v>
      </c>
      <c r="J237" s="85" t="s">
        <v>12</v>
      </c>
      <c r="K237" s="85" t="s">
        <v>13</v>
      </c>
      <c r="L237" s="86">
        <f>MAX(MID(C237,{1,2,3},1)*1)-MIN(MID(C237,{1,2,3},1)*1)</f>
        <v>7</v>
      </c>
      <c r="M237" s="87">
        <v>0</v>
      </c>
      <c r="N237" s="87">
        <v>1</v>
      </c>
      <c r="O237" s="87">
        <v>2</v>
      </c>
      <c r="P237" s="87">
        <v>3</v>
      </c>
      <c r="Q237" s="87">
        <v>4</v>
      </c>
      <c r="R237" s="87">
        <v>5</v>
      </c>
      <c r="S237" s="87">
        <v>6</v>
      </c>
      <c r="T237" s="87">
        <v>7</v>
      </c>
      <c r="U237" s="87">
        <v>8</v>
      </c>
      <c r="V237" s="87">
        <v>9</v>
      </c>
      <c r="W237" s="88">
        <f t="shared" si="231"/>
        <v>7</v>
      </c>
      <c r="X237" s="88">
        <f t="shared" si="232"/>
        <v>0</v>
      </c>
      <c r="Y237" s="88">
        <f t="shared" si="233"/>
        <v>7</v>
      </c>
      <c r="Z237" s="89">
        <f t="shared" si="212"/>
        <v>14</v>
      </c>
      <c r="AA237" s="17" t="str">
        <f>_xlfn.TEXTJOIN(", ",TRUE,ABS(MID(C237,{1,1,2},1)-MID(C237,{2,3,3},1)))</f>
        <v>7, 0, 7</v>
      </c>
      <c r="AB237" s="90">
        <v>0</v>
      </c>
      <c r="AC237" s="90">
        <v>1</v>
      </c>
      <c r="AD237" s="90">
        <v>2</v>
      </c>
      <c r="AE237" s="90">
        <v>3</v>
      </c>
      <c r="AF237" s="90">
        <v>4</v>
      </c>
      <c r="AG237" s="90">
        <v>5</v>
      </c>
      <c r="AH237" s="90">
        <v>6</v>
      </c>
      <c r="AI237" s="90">
        <v>7</v>
      </c>
      <c r="AJ237" s="90">
        <v>8</v>
      </c>
      <c r="AK237" s="90">
        <v>9</v>
      </c>
      <c r="AL237" s="91">
        <v>0</v>
      </c>
      <c r="AM237" s="91">
        <v>1</v>
      </c>
      <c r="AN237" s="91">
        <v>2</v>
      </c>
      <c r="AO237" s="91">
        <v>3</v>
      </c>
      <c r="AP237" s="91">
        <v>4</v>
      </c>
      <c r="AQ237" s="91">
        <v>5</v>
      </c>
      <c r="AR237" s="91">
        <v>6</v>
      </c>
      <c r="AS237" s="91">
        <v>7</v>
      </c>
      <c r="AT237" s="91">
        <v>8</v>
      </c>
      <c r="AU237" s="91">
        <v>9</v>
      </c>
      <c r="AV237" s="92">
        <v>0</v>
      </c>
      <c r="AW237" s="92">
        <v>1</v>
      </c>
      <c r="AX237" s="92">
        <v>2</v>
      </c>
      <c r="AY237" s="92">
        <v>3</v>
      </c>
      <c r="AZ237" s="92">
        <v>4</v>
      </c>
      <c r="BA237" s="92">
        <v>5</v>
      </c>
      <c r="BB237" s="92">
        <v>6</v>
      </c>
      <c r="BC237" s="92">
        <v>7</v>
      </c>
      <c r="BD237" s="92">
        <v>8</v>
      </c>
      <c r="BE237" s="92">
        <v>9</v>
      </c>
      <c r="BF237" s="93">
        <v>0</v>
      </c>
      <c r="BG237" s="93">
        <v>1</v>
      </c>
      <c r="BH237" s="93">
        <v>2</v>
      </c>
      <c r="BI237" s="93">
        <v>3</v>
      </c>
      <c r="BJ237" s="93">
        <v>4</v>
      </c>
      <c r="BK237" s="93">
        <v>5</v>
      </c>
      <c r="BL237" s="93">
        <v>6</v>
      </c>
      <c r="BM237" s="93">
        <v>7</v>
      </c>
      <c r="BN237" s="93">
        <v>8</v>
      </c>
      <c r="BO237" s="93">
        <v>9</v>
      </c>
      <c r="BP237" s="94" t="str">
        <f t="shared" si="213"/>
        <v>松散型</v>
      </c>
      <c r="BQ237" s="15">
        <f t="shared" si="210"/>
        <v>0</v>
      </c>
      <c r="BR237" s="15">
        <f t="shared" si="211"/>
        <v>7</v>
      </c>
      <c r="BS237" s="20" t="str">
        <f t="shared" si="215"/>
        <v/>
      </c>
      <c r="BT237" s="21" t="str">
        <f t="shared" si="216"/>
        <v/>
      </c>
      <c r="BU237" s="21" t="str">
        <f t="array" ref="BU237">_xlfn.TEXTJOIN("",TRUE,IF(ISERROR(FIND(ROW($1:$168)-1,BS237&amp;BT237)),ROW($1:$168)-1,""))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37" s="22" t="str">
        <f t="shared" si="217"/>
        <v>中中中</v>
      </c>
      <c r="BW237" s="23" t="str">
        <f t="shared" si="228"/>
        <v/>
      </c>
      <c r="BX237" s="23" t="str">
        <f t="shared" si="226"/>
        <v/>
      </c>
      <c r="BY237" s="23" t="str">
        <f t="array" ref="BY237">_xlfn.TEXTJOIN("",TRUE,IF(ISERROR(FIND(ROW($1:$168)-1,BW237&amp;BX237)),ROW($1:$168)-1,""))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37" s="22" t="str">
        <f t="shared" si="218"/>
        <v>中中中</v>
      </c>
      <c r="CA237" s="24" t="str">
        <f t="shared" si="219"/>
        <v/>
      </c>
      <c r="CB237" s="24" t="str">
        <f t="shared" si="227"/>
        <v/>
      </c>
      <c r="CC237" s="24" t="str">
        <f t="array" ref="CC237">_xlfn.TEXTJOIN("",TRUE,IF(ISERROR(FIND(ROW($1:$168)-1,CA237&amp;CB237)),ROW($1:$168)-1,""))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37" s="22" t="str">
        <f t="shared" si="220"/>
        <v>中中中</v>
      </c>
      <c r="CE237" s="25" t="str">
        <f t="shared" si="214"/>
        <v>68</v>
      </c>
      <c r="CF237" s="26" t="str">
        <f t="array" ref="CF237">_xlfn.TEXTJOIN("",TRUE,IF(ISNUMBER(FIND(MID(CE236&amp;W236,ROW($1:$162),1),CE237&amp;W237)),MID(CE236&amp;W236,ROW($1:$162),1),""))</f>
        <v/>
      </c>
      <c r="CG237" s="27" t="str">
        <f t="array" ref="CG237">_xlfn.TEXTJOIN("",TRUE,IF(ISERROR(FIND(ROW($1:$168)-1,CE237&amp;CF237)),ROW($1:$168)-1,""))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37" s="28" t="str">
        <f t="shared" si="221"/>
        <v>邻孤孤</v>
      </c>
      <c r="CI237" s="29" t="str">
        <f t="shared" si="222"/>
        <v>91</v>
      </c>
      <c r="CJ237" s="29" t="str">
        <f t="array" ref="CJ237">_xlfn.TEXTJOIN("",TRUE,IF(ISNUMBER(FIND(MID(CI236&amp;X236,ROW($1:$162),1),CI237&amp;X237)),MID(CI236&amp;X236,ROW($1:$162),1),""))</f>
        <v/>
      </c>
      <c r="CK237" s="29" t="str">
        <f t="array" ref="CK237">_xlfn.TEXTJOIN("",TRUE,IF(ISERROR(FIND(ROW($1:$168)-1,CI237&amp;CJ237)),ROW($1:$168)-1,""))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237" s="19" t="str">
        <f t="shared" si="223"/>
        <v>邻孤孤</v>
      </c>
      <c r="CM237" s="24" t="str">
        <f t="shared" si="224"/>
        <v>68</v>
      </c>
      <c r="CN237" s="24" t="str">
        <f t="array" ref="CN237">_xlfn.TEXTJOIN("",TRUE,IF(ISNUMBER(FIND(MID(CM236&amp;Y236,ROW($1:$162),1),CM237&amp;Y237)),MID(CM236&amp;Y236,ROW($1:$162),1),""))</f>
        <v/>
      </c>
      <c r="CO237" s="24" t="str">
        <f t="array" ref="CO237">_xlfn.TEXTJOIN("",TRUE,IF(ISERROR(FIND(ROW($1:$168)-1,CM237&amp;CN237)),ROW($1:$168)-1,""))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37" s="30" t="str">
        <f t="shared" si="225"/>
        <v>邻孤孤</v>
      </c>
    </row>
    <row r="238" spans="1:94">
      <c r="A238" s="15">
        <v>238</v>
      </c>
      <c r="B238" s="80">
        <v>2024207</v>
      </c>
      <c r="C238" s="8" t="s">
        <v>244</v>
      </c>
      <c r="D238" s="81">
        <f t="shared" si="229"/>
        <v>19</v>
      </c>
      <c r="E238" s="82">
        <f t="shared" si="230"/>
        <v>9</v>
      </c>
      <c r="F238" s="83">
        <f t="shared" si="203"/>
        <v>2.71428571428571</v>
      </c>
      <c r="G238" s="84" t="str">
        <f t="shared" si="204"/>
        <v>标准</v>
      </c>
      <c r="H238" s="85" t="s">
        <v>10</v>
      </c>
      <c r="I238" s="85" t="s">
        <v>11</v>
      </c>
      <c r="J238" s="85" t="s">
        <v>12</v>
      </c>
      <c r="K238" s="85" t="s">
        <v>13</v>
      </c>
      <c r="L238" s="86">
        <f>MAX(MID(C238,{1,2,3},1)*1)-MIN(MID(C238,{1,2,3},1)*1)</f>
        <v>7</v>
      </c>
      <c r="M238" s="87">
        <v>0</v>
      </c>
      <c r="N238" s="87">
        <v>1</v>
      </c>
      <c r="O238" s="87">
        <v>2</v>
      </c>
      <c r="P238" s="87">
        <v>3</v>
      </c>
      <c r="Q238" s="87">
        <v>4</v>
      </c>
      <c r="R238" s="87">
        <v>5</v>
      </c>
      <c r="S238" s="87">
        <v>6</v>
      </c>
      <c r="T238" s="87">
        <v>7</v>
      </c>
      <c r="U238" s="87">
        <v>8</v>
      </c>
      <c r="V238" s="87">
        <v>9</v>
      </c>
      <c r="W238" s="88">
        <f t="shared" si="231"/>
        <v>1</v>
      </c>
      <c r="X238" s="88">
        <f t="shared" si="232"/>
        <v>6</v>
      </c>
      <c r="Y238" s="88">
        <f t="shared" si="233"/>
        <v>7</v>
      </c>
      <c r="Z238" s="89">
        <f t="shared" si="212"/>
        <v>14</v>
      </c>
      <c r="AA238" s="17" t="str">
        <f>_xlfn.TEXTJOIN(", ",TRUE,ABS(MID(C238,{1,1,2},1)-MID(C238,{2,3,3},1)))</f>
        <v>1, 6, 7</v>
      </c>
      <c r="AB238" s="90">
        <v>0</v>
      </c>
      <c r="AC238" s="90">
        <v>1</v>
      </c>
      <c r="AD238" s="90">
        <v>2</v>
      </c>
      <c r="AE238" s="90">
        <v>3</v>
      </c>
      <c r="AF238" s="90">
        <v>4</v>
      </c>
      <c r="AG238" s="90">
        <v>5</v>
      </c>
      <c r="AH238" s="90">
        <v>6</v>
      </c>
      <c r="AI238" s="90">
        <v>7</v>
      </c>
      <c r="AJ238" s="90">
        <v>8</v>
      </c>
      <c r="AK238" s="90">
        <v>9</v>
      </c>
      <c r="AL238" s="91">
        <v>0</v>
      </c>
      <c r="AM238" s="91">
        <v>1</v>
      </c>
      <c r="AN238" s="91">
        <v>2</v>
      </c>
      <c r="AO238" s="91">
        <v>3</v>
      </c>
      <c r="AP238" s="91">
        <v>4</v>
      </c>
      <c r="AQ238" s="91">
        <v>5</v>
      </c>
      <c r="AR238" s="91">
        <v>6</v>
      </c>
      <c r="AS238" s="91">
        <v>7</v>
      </c>
      <c r="AT238" s="91">
        <v>8</v>
      </c>
      <c r="AU238" s="91">
        <v>9</v>
      </c>
      <c r="AV238" s="92">
        <v>0</v>
      </c>
      <c r="AW238" s="92">
        <v>1</v>
      </c>
      <c r="AX238" s="92">
        <v>2</v>
      </c>
      <c r="AY238" s="92">
        <v>3</v>
      </c>
      <c r="AZ238" s="92">
        <v>4</v>
      </c>
      <c r="BA238" s="92">
        <v>5</v>
      </c>
      <c r="BB238" s="92">
        <v>6</v>
      </c>
      <c r="BC238" s="92">
        <v>7</v>
      </c>
      <c r="BD238" s="92">
        <v>8</v>
      </c>
      <c r="BE238" s="92">
        <v>9</v>
      </c>
      <c r="BF238" s="93">
        <v>0</v>
      </c>
      <c r="BG238" s="93">
        <v>1</v>
      </c>
      <c r="BH238" s="93">
        <v>2</v>
      </c>
      <c r="BI238" s="93">
        <v>3</v>
      </c>
      <c r="BJ238" s="93">
        <v>4</v>
      </c>
      <c r="BK238" s="93">
        <v>5</v>
      </c>
      <c r="BL238" s="93">
        <v>6</v>
      </c>
      <c r="BM238" s="93">
        <v>7</v>
      </c>
      <c r="BN238" s="93">
        <v>8</v>
      </c>
      <c r="BO238" s="93">
        <v>9</v>
      </c>
      <c r="BP238" s="94" t="str">
        <f t="shared" si="213"/>
        <v>松散型</v>
      </c>
      <c r="BQ238" s="15">
        <f t="shared" si="210"/>
        <v>1</v>
      </c>
      <c r="BR238" s="15">
        <f t="shared" si="211"/>
        <v>7</v>
      </c>
      <c r="BS238" s="20" t="str">
        <f t="shared" si="215"/>
        <v/>
      </c>
      <c r="BT238" s="21">
        <f t="shared" si="216"/>
        <v>1</v>
      </c>
      <c r="BU238" s="21" t="str">
        <f t="array" ref="BU238">_xlfn.TEXTJOIN("",TRUE,IF(ISERROR(FIND(ROW($1:$168)-1,BS238&amp;BT238)),ROW($1:$168)-1,""))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38" s="22" t="str">
        <f t="shared" si="217"/>
        <v>中隔中</v>
      </c>
      <c r="BW238" s="23" t="str">
        <f t="shared" si="228"/>
        <v/>
      </c>
      <c r="BX238" s="23" t="str">
        <f t="shared" si="226"/>
        <v/>
      </c>
      <c r="BY238" s="23" t="str">
        <f t="array" ref="BY238">_xlfn.TEXTJOIN("",TRUE,IF(ISERROR(FIND(ROW($1:$168)-1,BW238&amp;BX238)),ROW($1:$168)-1,""))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38" s="22" t="str">
        <f t="shared" si="218"/>
        <v>中中中</v>
      </c>
      <c r="CA238" s="24">
        <f t="shared" si="219"/>
        <v>7</v>
      </c>
      <c r="CB238" s="24" t="str">
        <f t="shared" si="227"/>
        <v/>
      </c>
      <c r="CC238" s="24" t="str">
        <f t="array" ref="CC238">_xlfn.TEXTJOIN("",TRUE,IF(ISERROR(FIND(ROW($1:$168)-1,CA238&amp;CB238)),ROW($1:$168)-1,""))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38" s="22" t="str">
        <f t="shared" si="220"/>
        <v>复中中</v>
      </c>
      <c r="CE238" s="25" t="str">
        <f t="shared" si="214"/>
        <v>02</v>
      </c>
      <c r="CF238" s="26" t="str">
        <f t="array" ref="CF238">_xlfn.TEXTJOIN("",TRUE,IF(ISNUMBER(FIND(MID(CE237&amp;W237,ROW($1:$162),1),CE238&amp;W238)),MID(CE237&amp;W237,ROW($1:$162),1),""))</f>
        <v/>
      </c>
      <c r="CG238" s="27" t="str">
        <f t="array" ref="CG238">_xlfn.TEXTJOIN("",TRUE,IF(ISERROR(FIND(ROW($1:$168)-1,CE238&amp;CF238)),ROW($1:$168)-1,""))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38" s="28" t="str">
        <f t="shared" si="221"/>
        <v>邻孤孤</v>
      </c>
      <c r="CI238" s="29" t="str">
        <f t="shared" si="222"/>
        <v>57</v>
      </c>
      <c r="CJ238" s="29" t="str">
        <f t="array" ref="CJ238">_xlfn.TEXTJOIN("",TRUE,IF(ISNUMBER(FIND(MID(CI237&amp;X237,ROW($1:$162),1),CI238&amp;X238)),MID(CI237&amp;X237,ROW($1:$162),1),""))</f>
        <v/>
      </c>
      <c r="CK238" s="29" t="str">
        <f t="array" ref="CK238">_xlfn.TEXTJOIN("",TRUE,IF(ISERROR(FIND(ROW($1:$168)-1,CI238&amp;CJ238)),ROW($1:$168)-1,""))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38" s="19" t="str">
        <f t="shared" si="223"/>
        <v>邻孤孤</v>
      </c>
      <c r="CM238" s="24" t="str">
        <f t="shared" si="224"/>
        <v>68</v>
      </c>
      <c r="CN238" s="24" t="str">
        <f t="array" ref="CN238">_xlfn.TEXTJOIN("",TRUE,IF(ISNUMBER(FIND(MID(CM237&amp;Y237,ROW($1:$162),1),CM238&amp;Y238)),MID(CM237&amp;Y237,ROW($1:$162),1),""))</f>
        <v>687</v>
      </c>
      <c r="CO238" s="24" t="str">
        <f t="array" ref="CO238">_xlfn.TEXTJOIN("",TRUE,IF(ISERROR(FIND(ROW($1:$168)-1,CM238&amp;CN238)),ROW($1:$168)-1,""))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P238" s="30" t="str">
        <f t="shared" si="225"/>
        <v>邻传孤</v>
      </c>
    </row>
    <row r="239" spans="1:94">
      <c r="A239" s="15">
        <v>239</v>
      </c>
      <c r="B239" s="80">
        <v>2024208</v>
      </c>
      <c r="C239" s="8" t="s">
        <v>245</v>
      </c>
      <c r="D239" s="81">
        <f t="shared" si="229"/>
        <v>11</v>
      </c>
      <c r="E239" s="82">
        <f t="shared" si="230"/>
        <v>1</v>
      </c>
      <c r="F239" s="83">
        <f t="shared" si="203"/>
        <v>1.57142857142857</v>
      </c>
      <c r="G239" s="84" t="str">
        <f t="shared" si="204"/>
        <v>松散</v>
      </c>
      <c r="H239" s="85" t="s">
        <v>10</v>
      </c>
      <c r="I239" s="85" t="s">
        <v>11</v>
      </c>
      <c r="J239" s="85" t="s">
        <v>12</v>
      </c>
      <c r="K239" s="85" t="s">
        <v>13</v>
      </c>
      <c r="L239" s="86">
        <f>MAX(MID(C239,{1,2,3},1)*1)-MIN(MID(C239,{1,2,3},1)*1)</f>
        <v>7</v>
      </c>
      <c r="M239" s="87">
        <v>0</v>
      </c>
      <c r="N239" s="87">
        <v>1</v>
      </c>
      <c r="O239" s="87">
        <v>2</v>
      </c>
      <c r="P239" s="87">
        <v>3</v>
      </c>
      <c r="Q239" s="87">
        <v>4</v>
      </c>
      <c r="R239" s="87">
        <v>5</v>
      </c>
      <c r="S239" s="87">
        <v>6</v>
      </c>
      <c r="T239" s="87">
        <v>7</v>
      </c>
      <c r="U239" s="87">
        <v>8</v>
      </c>
      <c r="V239" s="87">
        <v>9</v>
      </c>
      <c r="W239" s="88">
        <f t="shared" si="231"/>
        <v>6</v>
      </c>
      <c r="X239" s="88">
        <f t="shared" si="232"/>
        <v>1</v>
      </c>
      <c r="Y239" s="88">
        <f t="shared" si="233"/>
        <v>7</v>
      </c>
      <c r="Z239" s="89">
        <f t="shared" si="212"/>
        <v>14</v>
      </c>
      <c r="AA239" s="17" t="str">
        <f>_xlfn.TEXTJOIN(", ",TRUE,ABS(MID(C239,{1,1,2},1)-MID(C239,{2,3,3},1)))</f>
        <v>6, 1, 7</v>
      </c>
      <c r="AB239" s="90">
        <v>0</v>
      </c>
      <c r="AC239" s="90">
        <v>1</v>
      </c>
      <c r="AD239" s="90">
        <v>2</v>
      </c>
      <c r="AE239" s="90">
        <v>3</v>
      </c>
      <c r="AF239" s="90">
        <v>4</v>
      </c>
      <c r="AG239" s="90">
        <v>5</v>
      </c>
      <c r="AH239" s="90">
        <v>6</v>
      </c>
      <c r="AI239" s="90">
        <v>7</v>
      </c>
      <c r="AJ239" s="90">
        <v>8</v>
      </c>
      <c r="AK239" s="90">
        <v>9</v>
      </c>
      <c r="AL239" s="91">
        <v>0</v>
      </c>
      <c r="AM239" s="91">
        <v>1</v>
      </c>
      <c r="AN239" s="91">
        <v>2</v>
      </c>
      <c r="AO239" s="91">
        <v>3</v>
      </c>
      <c r="AP239" s="91">
        <v>4</v>
      </c>
      <c r="AQ239" s="91">
        <v>5</v>
      </c>
      <c r="AR239" s="91">
        <v>6</v>
      </c>
      <c r="AS239" s="91">
        <v>7</v>
      </c>
      <c r="AT239" s="91">
        <v>8</v>
      </c>
      <c r="AU239" s="91">
        <v>9</v>
      </c>
      <c r="AV239" s="92">
        <v>0</v>
      </c>
      <c r="AW239" s="92">
        <v>1</v>
      </c>
      <c r="AX239" s="92">
        <v>2</v>
      </c>
      <c r="AY239" s="92">
        <v>3</v>
      </c>
      <c r="AZ239" s="92">
        <v>4</v>
      </c>
      <c r="BA239" s="92">
        <v>5</v>
      </c>
      <c r="BB239" s="92">
        <v>6</v>
      </c>
      <c r="BC239" s="92">
        <v>7</v>
      </c>
      <c r="BD239" s="92">
        <v>8</v>
      </c>
      <c r="BE239" s="92">
        <v>9</v>
      </c>
      <c r="BF239" s="93">
        <v>0</v>
      </c>
      <c r="BG239" s="93">
        <v>1</v>
      </c>
      <c r="BH239" s="93">
        <v>2</v>
      </c>
      <c r="BI239" s="93">
        <v>3</v>
      </c>
      <c r="BJ239" s="93">
        <v>4</v>
      </c>
      <c r="BK239" s="93">
        <v>5</v>
      </c>
      <c r="BL239" s="93">
        <v>6</v>
      </c>
      <c r="BM239" s="93">
        <v>7</v>
      </c>
      <c r="BN239" s="93">
        <v>8</v>
      </c>
      <c r="BO239" s="93">
        <v>9</v>
      </c>
      <c r="BP239" s="94" t="str">
        <f t="shared" si="213"/>
        <v>松散型</v>
      </c>
      <c r="BQ239" s="15">
        <f t="shared" si="210"/>
        <v>1</v>
      </c>
      <c r="BR239" s="15">
        <f t="shared" si="211"/>
        <v>7</v>
      </c>
      <c r="BS239" s="20">
        <f t="shared" si="215"/>
        <v>6</v>
      </c>
      <c r="BT239" s="21" t="str">
        <f t="shared" si="216"/>
        <v/>
      </c>
      <c r="BU239" s="21" t="str">
        <f t="array" ref="BU239">_xlfn.TEXTJOIN("",TRUE,IF(ISERROR(FIND(ROW($1:$168)-1,BS239&amp;BT239)),ROW($1:$168)-1,""))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39" s="22" t="str">
        <f t="shared" si="217"/>
        <v>复中中</v>
      </c>
      <c r="BW239" s="23">
        <f t="shared" si="228"/>
        <v>1</v>
      </c>
      <c r="BX239" s="23" t="str">
        <f t="shared" si="226"/>
        <v/>
      </c>
      <c r="BY239" s="23" t="str">
        <f t="array" ref="BY239">_xlfn.TEXTJOIN("",TRUE,IF(ISERROR(FIND(ROW($1:$168)-1,BW239&amp;BX239)),ROW($1:$168)-1,""))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39" s="22" t="str">
        <f t="shared" si="218"/>
        <v>复中中</v>
      </c>
      <c r="CA239" s="24">
        <f t="shared" si="219"/>
        <v>7</v>
      </c>
      <c r="CB239" s="24">
        <f t="shared" si="227"/>
        <v>7</v>
      </c>
      <c r="CC239" s="24" t="str">
        <f t="array" ref="CC239">_xlfn.TEXTJOIN("",TRUE,IF(ISERROR(FIND(ROW($1:$168)-1,CA239&amp;CB239)),ROW($1:$168)-1,""))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D239" s="22" t="str">
        <f t="shared" si="220"/>
        <v>复隔中</v>
      </c>
      <c r="CE239" s="25" t="str">
        <f t="shared" si="214"/>
        <v>57</v>
      </c>
      <c r="CF239" s="26" t="str">
        <f t="array" ref="CF239">_xlfn.TEXTJOIN("",TRUE,IF(ISNUMBER(FIND(MID(CE238&amp;W238,ROW($1:$162),1),CE239&amp;W239)),MID(CE238&amp;W238,ROW($1:$162),1),""))</f>
        <v/>
      </c>
      <c r="CG239" s="27" t="str">
        <f t="array" ref="CG239">_xlfn.TEXTJOIN("",TRUE,IF(ISERROR(FIND(ROW($1:$168)-1,CE239&amp;CF239)),ROW($1:$168)-1,""))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39" s="28" t="str">
        <f t="shared" si="221"/>
        <v>邻孤孤</v>
      </c>
      <c r="CI239" s="29" t="str">
        <f t="shared" si="222"/>
        <v>02</v>
      </c>
      <c r="CJ239" s="29" t="str">
        <f t="array" ref="CJ239">_xlfn.TEXTJOIN("",TRUE,IF(ISNUMBER(FIND(MID(CI238&amp;X238,ROW($1:$162),1),CI239&amp;X239)),MID(CI238&amp;X238,ROW($1:$162),1),""))</f>
        <v/>
      </c>
      <c r="CK239" s="29" t="str">
        <f t="array" ref="CK239">_xlfn.TEXTJOIN("",TRUE,IF(ISERROR(FIND(ROW($1:$168)-1,CI239&amp;CJ239)),ROW($1:$168)-1,""))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39" s="19" t="str">
        <f t="shared" si="223"/>
        <v>邻孤孤</v>
      </c>
      <c r="CM239" s="24" t="str">
        <f t="shared" si="224"/>
        <v>68</v>
      </c>
      <c r="CN239" s="24" t="str">
        <f t="array" ref="CN239">_xlfn.TEXTJOIN("",TRUE,IF(ISNUMBER(FIND(MID(CM238&amp;Y238,ROW($1:$162),1),CM239&amp;Y239)),MID(CM238&amp;Y238,ROW($1:$162),1),""))</f>
        <v>687</v>
      </c>
      <c r="CO239" s="24" t="str">
        <f t="array" ref="CO239">_xlfn.TEXTJOIN("",TRUE,IF(ISERROR(FIND(ROW($1:$168)-1,CM239&amp;CN239)),ROW($1:$168)-1,""))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P239" s="30" t="str">
        <f t="shared" si="225"/>
        <v>邻传孤</v>
      </c>
    </row>
    <row r="240" spans="1:94">
      <c r="A240" s="15">
        <v>240</v>
      </c>
      <c r="B240" s="80">
        <v>2024209</v>
      </c>
      <c r="C240" s="8" t="s">
        <v>93</v>
      </c>
      <c r="D240" s="81">
        <f t="shared" si="229"/>
        <v>19</v>
      </c>
      <c r="E240" s="82">
        <f t="shared" si="230"/>
        <v>9</v>
      </c>
      <c r="F240" s="83">
        <f t="shared" si="203"/>
        <v>19</v>
      </c>
      <c r="G240" s="84" t="str">
        <f t="shared" si="204"/>
        <v>紧凑</v>
      </c>
      <c r="H240" s="85" t="s">
        <v>10</v>
      </c>
      <c r="I240" s="85" t="s">
        <v>11</v>
      </c>
      <c r="J240" s="85" t="s">
        <v>12</v>
      </c>
      <c r="K240" s="85" t="s">
        <v>13</v>
      </c>
      <c r="L240" s="86">
        <f>MAX(MID(C240,{1,2,3},1)*1)-MIN(MID(C240,{1,2,3},1)*1)</f>
        <v>1</v>
      </c>
      <c r="M240" s="87">
        <v>0</v>
      </c>
      <c r="N240" s="87">
        <v>1</v>
      </c>
      <c r="O240" s="87">
        <v>2</v>
      </c>
      <c r="P240" s="87">
        <v>3</v>
      </c>
      <c r="Q240" s="87">
        <v>4</v>
      </c>
      <c r="R240" s="87">
        <v>5</v>
      </c>
      <c r="S240" s="87">
        <v>6</v>
      </c>
      <c r="T240" s="87">
        <v>7</v>
      </c>
      <c r="U240" s="87">
        <v>8</v>
      </c>
      <c r="V240" s="87">
        <v>9</v>
      </c>
      <c r="W240" s="88">
        <f t="shared" si="231"/>
        <v>1</v>
      </c>
      <c r="X240" s="88">
        <f t="shared" si="232"/>
        <v>0</v>
      </c>
      <c r="Y240" s="88">
        <f t="shared" si="233"/>
        <v>1</v>
      </c>
      <c r="Z240" s="89">
        <f t="shared" si="212"/>
        <v>2</v>
      </c>
      <c r="AA240" s="17" t="str">
        <f>_xlfn.TEXTJOIN(", ",TRUE,ABS(MID(C240,{1,1,2},1)-MID(C240,{2,3,3},1)))</f>
        <v>1, 0, 1</v>
      </c>
      <c r="AB240" s="90">
        <v>0</v>
      </c>
      <c r="AC240" s="90">
        <v>1</v>
      </c>
      <c r="AD240" s="90">
        <v>2</v>
      </c>
      <c r="AE240" s="90">
        <v>3</v>
      </c>
      <c r="AF240" s="90">
        <v>4</v>
      </c>
      <c r="AG240" s="90">
        <v>5</v>
      </c>
      <c r="AH240" s="90">
        <v>6</v>
      </c>
      <c r="AI240" s="90">
        <v>7</v>
      </c>
      <c r="AJ240" s="90">
        <v>8</v>
      </c>
      <c r="AK240" s="90">
        <v>9</v>
      </c>
      <c r="AL240" s="91">
        <v>0</v>
      </c>
      <c r="AM240" s="91">
        <v>1</v>
      </c>
      <c r="AN240" s="91">
        <v>2</v>
      </c>
      <c r="AO240" s="91">
        <v>3</v>
      </c>
      <c r="AP240" s="91">
        <v>4</v>
      </c>
      <c r="AQ240" s="91">
        <v>5</v>
      </c>
      <c r="AR240" s="91">
        <v>6</v>
      </c>
      <c r="AS240" s="91">
        <v>7</v>
      </c>
      <c r="AT240" s="91">
        <v>8</v>
      </c>
      <c r="AU240" s="91">
        <v>9</v>
      </c>
      <c r="AV240" s="92">
        <v>0</v>
      </c>
      <c r="AW240" s="92">
        <v>1</v>
      </c>
      <c r="AX240" s="92">
        <v>2</v>
      </c>
      <c r="AY240" s="92">
        <v>3</v>
      </c>
      <c r="AZ240" s="92">
        <v>4</v>
      </c>
      <c r="BA240" s="92">
        <v>5</v>
      </c>
      <c r="BB240" s="92">
        <v>6</v>
      </c>
      <c r="BC240" s="92">
        <v>7</v>
      </c>
      <c r="BD240" s="92">
        <v>8</v>
      </c>
      <c r="BE240" s="92">
        <v>9</v>
      </c>
      <c r="BF240" s="93">
        <v>0</v>
      </c>
      <c r="BG240" s="93">
        <v>1</v>
      </c>
      <c r="BH240" s="93">
        <v>2</v>
      </c>
      <c r="BI240" s="93">
        <v>3</v>
      </c>
      <c r="BJ240" s="93">
        <v>4</v>
      </c>
      <c r="BK240" s="93">
        <v>5</v>
      </c>
      <c r="BL240" s="93">
        <v>6</v>
      </c>
      <c r="BM240" s="93">
        <v>7</v>
      </c>
      <c r="BN240" s="93">
        <v>8</v>
      </c>
      <c r="BO240" s="93">
        <v>9</v>
      </c>
      <c r="BP240" s="94" t="str">
        <f t="shared" si="213"/>
        <v>紧凑型</v>
      </c>
      <c r="BQ240" s="15">
        <f t="shared" si="210"/>
        <v>0</v>
      </c>
      <c r="BR240" s="15">
        <f t="shared" si="211"/>
        <v>1</v>
      </c>
      <c r="BS240" s="20">
        <f t="shared" si="215"/>
        <v>1</v>
      </c>
      <c r="BT240" s="21">
        <f t="shared" si="216"/>
        <v>1</v>
      </c>
      <c r="BU240" s="21" t="str">
        <f t="array" ref="BU240">_xlfn.TEXTJOIN("",TRUE,IF(ISERROR(FIND(ROW($1:$168)-1,BS240&amp;BT240)),ROW($1:$168)-1,""))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40" s="22" t="str">
        <f t="shared" si="217"/>
        <v>复隔中</v>
      </c>
      <c r="BW240" s="23" t="str">
        <f t="shared" si="228"/>
        <v/>
      </c>
      <c r="BX240" s="23" t="str">
        <f t="shared" si="226"/>
        <v/>
      </c>
      <c r="BY240" s="23" t="str">
        <f t="array" ref="BY240">_xlfn.TEXTJOIN("",TRUE,IF(ISERROR(FIND(ROW($1:$168)-1,BW240&amp;BX240)),ROW($1:$168)-1,""))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40" s="22" t="str">
        <f t="shared" si="218"/>
        <v>中中中</v>
      </c>
      <c r="CA240" s="24">
        <f t="shared" si="219"/>
        <v>1</v>
      </c>
      <c r="CB240" s="24">
        <f t="shared" si="227"/>
        <v>1</v>
      </c>
      <c r="CC240" s="24" t="str">
        <f t="array" ref="CC240">_xlfn.TEXTJOIN("",TRUE,IF(ISERROR(FIND(ROW($1:$168)-1,CA240&amp;CB240)),ROW($1:$168)-1,""))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40" s="22" t="str">
        <f t="shared" si="220"/>
        <v>复隔中</v>
      </c>
      <c r="CE240" s="25" t="str">
        <f t="shared" si="214"/>
        <v>02</v>
      </c>
      <c r="CF240" s="26" t="str">
        <f t="array" ref="CF240">_xlfn.TEXTJOIN("",TRUE,IF(ISNUMBER(FIND(MID(CE239&amp;W239,ROW($1:$162),1),CE240&amp;W240)),MID(CE239&amp;W239,ROW($1:$162),1),""))</f>
        <v/>
      </c>
      <c r="CG240" s="27" t="str">
        <f t="array" ref="CG240">_xlfn.TEXTJOIN("",TRUE,IF(ISERROR(FIND(ROW($1:$168)-1,CE240&amp;CF240)),ROW($1:$168)-1,""))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40" s="28" t="str">
        <f t="shared" si="221"/>
        <v>邻孤孤</v>
      </c>
      <c r="CI240" s="29" t="str">
        <f t="shared" si="222"/>
        <v>91</v>
      </c>
      <c r="CJ240" s="29" t="str">
        <f t="array" ref="CJ240">_xlfn.TEXTJOIN("",TRUE,IF(ISNUMBER(FIND(MID(CI239&amp;X239,ROW($1:$162),1),CI240&amp;X240)),MID(CI239&amp;X239,ROW($1:$162),1),""))</f>
        <v>01</v>
      </c>
      <c r="CK240" s="29" t="str">
        <f t="array" ref="CK240">_xlfn.TEXTJOIN("",TRUE,IF(ISERROR(FIND(ROW($1:$168)-1,CI240&amp;CJ240)),ROW($1:$168)-1,""))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L240" s="19" t="str">
        <f t="shared" si="223"/>
        <v>邻传孤</v>
      </c>
      <c r="CM240" s="24" t="str">
        <f t="shared" si="224"/>
        <v>02</v>
      </c>
      <c r="CN240" s="24" t="str">
        <f t="array" ref="CN240">_xlfn.TEXTJOIN("",TRUE,IF(ISNUMBER(FIND(MID(CM239&amp;Y239,ROW($1:$162),1),CM240&amp;Y240)),MID(CM239&amp;Y239,ROW($1:$162),1),""))</f>
        <v/>
      </c>
      <c r="CO240" s="24" t="str">
        <f t="array" ref="CO240">_xlfn.TEXTJOIN("",TRUE,IF(ISERROR(FIND(ROW($1:$168)-1,CM240&amp;CN240)),ROW($1:$168)-1,""))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40" s="30" t="str">
        <f t="shared" si="225"/>
        <v>邻孤孤</v>
      </c>
    </row>
    <row r="241" spans="1:94">
      <c r="A241" s="15">
        <v>241</v>
      </c>
      <c r="B241" s="80">
        <v>2024210</v>
      </c>
      <c r="C241" s="8" t="s">
        <v>214</v>
      </c>
      <c r="D241" s="81">
        <f t="shared" si="229"/>
        <v>17</v>
      </c>
      <c r="E241" s="82">
        <f t="shared" si="230"/>
        <v>7</v>
      </c>
      <c r="F241" s="83">
        <f t="shared" si="203"/>
        <v>3.4</v>
      </c>
      <c r="G241" s="84" t="str">
        <f t="shared" si="204"/>
        <v>标准</v>
      </c>
      <c r="H241" s="85" t="s">
        <v>10</v>
      </c>
      <c r="I241" s="85" t="s">
        <v>11</v>
      </c>
      <c r="J241" s="85" t="s">
        <v>12</v>
      </c>
      <c r="K241" s="85" t="s">
        <v>13</v>
      </c>
      <c r="L241" s="86">
        <f>MAX(MID(C241,{1,2,3},1)*1)-MIN(MID(C241,{1,2,3},1)*1)</f>
        <v>5</v>
      </c>
      <c r="M241" s="87">
        <v>0</v>
      </c>
      <c r="N241" s="87">
        <v>1</v>
      </c>
      <c r="O241" s="87">
        <v>2</v>
      </c>
      <c r="P241" s="87">
        <v>3</v>
      </c>
      <c r="Q241" s="87">
        <v>4</v>
      </c>
      <c r="R241" s="87">
        <v>5</v>
      </c>
      <c r="S241" s="87">
        <v>6</v>
      </c>
      <c r="T241" s="87">
        <v>7</v>
      </c>
      <c r="U241" s="87">
        <v>8</v>
      </c>
      <c r="V241" s="87">
        <v>9</v>
      </c>
      <c r="W241" s="88">
        <f t="shared" si="231"/>
        <v>0</v>
      </c>
      <c r="X241" s="88">
        <f t="shared" si="232"/>
        <v>5</v>
      </c>
      <c r="Y241" s="88">
        <f t="shared" si="233"/>
        <v>5</v>
      </c>
      <c r="Z241" s="89">
        <f t="shared" si="212"/>
        <v>10</v>
      </c>
      <c r="AA241" s="17" t="str">
        <f>_xlfn.TEXTJOIN(", ",TRUE,ABS(MID(C241,{1,1,2},1)-MID(C241,{2,3,3},1)))</f>
        <v>0, 5, 5</v>
      </c>
      <c r="AB241" s="90">
        <v>0</v>
      </c>
      <c r="AC241" s="90">
        <v>1</v>
      </c>
      <c r="AD241" s="90">
        <v>2</v>
      </c>
      <c r="AE241" s="90">
        <v>3</v>
      </c>
      <c r="AF241" s="90">
        <v>4</v>
      </c>
      <c r="AG241" s="90">
        <v>5</v>
      </c>
      <c r="AH241" s="90">
        <v>6</v>
      </c>
      <c r="AI241" s="90">
        <v>7</v>
      </c>
      <c r="AJ241" s="90">
        <v>8</v>
      </c>
      <c r="AK241" s="90">
        <v>9</v>
      </c>
      <c r="AL241" s="91">
        <v>0</v>
      </c>
      <c r="AM241" s="91">
        <v>1</v>
      </c>
      <c r="AN241" s="91">
        <v>2</v>
      </c>
      <c r="AO241" s="91">
        <v>3</v>
      </c>
      <c r="AP241" s="91">
        <v>4</v>
      </c>
      <c r="AQ241" s="91">
        <v>5</v>
      </c>
      <c r="AR241" s="91">
        <v>6</v>
      </c>
      <c r="AS241" s="91">
        <v>7</v>
      </c>
      <c r="AT241" s="91">
        <v>8</v>
      </c>
      <c r="AU241" s="91">
        <v>9</v>
      </c>
      <c r="AV241" s="92">
        <v>0</v>
      </c>
      <c r="AW241" s="92">
        <v>1</v>
      </c>
      <c r="AX241" s="92">
        <v>2</v>
      </c>
      <c r="AY241" s="92">
        <v>3</v>
      </c>
      <c r="AZ241" s="92">
        <v>4</v>
      </c>
      <c r="BA241" s="92">
        <v>5</v>
      </c>
      <c r="BB241" s="92">
        <v>6</v>
      </c>
      <c r="BC241" s="92">
        <v>7</v>
      </c>
      <c r="BD241" s="92">
        <v>8</v>
      </c>
      <c r="BE241" s="92">
        <v>9</v>
      </c>
      <c r="BF241" s="93">
        <v>0</v>
      </c>
      <c r="BG241" s="93">
        <v>1</v>
      </c>
      <c r="BH241" s="93">
        <v>2</v>
      </c>
      <c r="BI241" s="93">
        <v>3</v>
      </c>
      <c r="BJ241" s="93">
        <v>4</v>
      </c>
      <c r="BK241" s="93">
        <v>5</v>
      </c>
      <c r="BL241" s="93">
        <v>6</v>
      </c>
      <c r="BM241" s="93">
        <v>7</v>
      </c>
      <c r="BN241" s="93">
        <v>8</v>
      </c>
      <c r="BO241" s="93">
        <v>9</v>
      </c>
      <c r="BP241" s="94" t="str">
        <f t="shared" si="213"/>
        <v>对子</v>
      </c>
      <c r="BQ241" s="15">
        <f t="shared" si="210"/>
        <v>0</v>
      </c>
      <c r="BR241" s="15">
        <f t="shared" si="211"/>
        <v>5</v>
      </c>
      <c r="BS241" s="20">
        <f t="shared" si="215"/>
        <v>0</v>
      </c>
      <c r="BT241" s="21" t="str">
        <f t="shared" si="216"/>
        <v/>
      </c>
      <c r="BU241" s="21" t="str">
        <f t="array" ref="BU241">_xlfn.TEXTJOIN("",TRUE,IF(ISERROR(FIND(ROW($1:$168)-1,BS241&amp;BT241)),ROW($1:$168)-1,""))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41" s="22" t="str">
        <f t="shared" si="217"/>
        <v>复中中</v>
      </c>
      <c r="BW241" s="23" t="str">
        <f t="shared" si="228"/>
        <v/>
      </c>
      <c r="BX241" s="23" t="str">
        <f t="shared" si="226"/>
        <v/>
      </c>
      <c r="BY241" s="23" t="str">
        <f t="array" ref="BY241">_xlfn.TEXTJOIN("",TRUE,IF(ISERROR(FIND(ROW($1:$168)-1,BW241&amp;BX241)),ROW($1:$168)-1,""))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41" s="22" t="str">
        <f t="shared" si="218"/>
        <v>中中中</v>
      </c>
      <c r="CA241" s="24" t="str">
        <f t="shared" si="219"/>
        <v/>
      </c>
      <c r="CB241" s="24" t="str">
        <f t="shared" si="227"/>
        <v/>
      </c>
      <c r="CC241" s="24" t="str">
        <f t="array" ref="CC241">_xlfn.TEXTJOIN("",TRUE,IF(ISERROR(FIND(ROW($1:$168)-1,CA241&amp;CB241)),ROW($1:$168)-1,""))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41" s="22" t="str">
        <f t="shared" si="220"/>
        <v>中中中</v>
      </c>
      <c r="CE241" s="25" t="str">
        <f t="shared" si="214"/>
        <v>91</v>
      </c>
      <c r="CF241" s="26" t="str">
        <f t="array" ref="CF241">_xlfn.TEXTJOIN("",TRUE,IF(ISNUMBER(FIND(MID(CE240&amp;W240,ROW($1:$162),1),CE241&amp;W241)),MID(CE240&amp;W240,ROW($1:$162),1),""))</f>
        <v>01</v>
      </c>
      <c r="CG241" s="27" t="str">
        <f t="array" ref="CG241">_xlfn.TEXTJOIN("",TRUE,IF(ISERROR(FIND(ROW($1:$168)-1,CE241&amp;CF241)),ROW($1:$168)-1,""))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H241" s="28" t="str">
        <f t="shared" si="221"/>
        <v>邻传孤</v>
      </c>
      <c r="CI241" s="29" t="str">
        <f t="shared" si="222"/>
        <v>46</v>
      </c>
      <c r="CJ241" s="29" t="str">
        <f t="array" ref="CJ241">_xlfn.TEXTJOIN("",TRUE,IF(ISNUMBER(FIND(MID(CI240&amp;X240,ROW($1:$162),1),CI241&amp;X241)),MID(CI240&amp;X240,ROW($1:$162),1),""))</f>
        <v/>
      </c>
      <c r="CK241" s="29" t="str">
        <f t="array" ref="CK241">_xlfn.TEXTJOIN("",TRUE,IF(ISERROR(FIND(ROW($1:$168)-1,CI241&amp;CJ241)),ROW($1:$168)-1,""))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41" s="19" t="str">
        <f t="shared" si="223"/>
        <v>邻孤孤</v>
      </c>
      <c r="CM241" s="24" t="str">
        <f t="shared" si="224"/>
        <v>46</v>
      </c>
      <c r="CN241" s="24" t="str">
        <f t="array" ref="CN241">_xlfn.TEXTJOIN("",TRUE,IF(ISNUMBER(FIND(MID(CM240&amp;Y240,ROW($1:$162),1),CM241&amp;Y241)),MID(CM240&amp;Y240,ROW($1:$162),1),""))</f>
        <v/>
      </c>
      <c r="CO241" s="24" t="str">
        <f t="array" ref="CO241">_xlfn.TEXTJOIN("",TRUE,IF(ISERROR(FIND(ROW($1:$168)-1,CM241&amp;CN241)),ROW($1:$168)-1,""))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41" s="30" t="str">
        <f t="shared" si="225"/>
        <v>邻孤孤</v>
      </c>
    </row>
    <row r="242" spans="1:94">
      <c r="A242" s="15">
        <v>242</v>
      </c>
      <c r="B242" s="80">
        <v>2024211</v>
      </c>
      <c r="C242" s="8" t="s">
        <v>246</v>
      </c>
      <c r="D242" s="81">
        <f t="shared" si="229"/>
        <v>9</v>
      </c>
      <c r="E242" s="82">
        <f t="shared" si="230"/>
        <v>9</v>
      </c>
      <c r="F242" s="83">
        <f t="shared" si="203"/>
        <v>1.8</v>
      </c>
      <c r="G242" s="84" t="str">
        <f t="shared" si="204"/>
        <v>松散</v>
      </c>
      <c r="H242" s="85" t="s">
        <v>10</v>
      </c>
      <c r="I242" s="85" t="s">
        <v>11</v>
      </c>
      <c r="J242" s="85" t="s">
        <v>12</v>
      </c>
      <c r="K242" s="85" t="s">
        <v>13</v>
      </c>
      <c r="L242" s="86">
        <f>MAX(MID(C242,{1,2,3},1)*1)-MIN(MID(C242,{1,2,3},1)*1)</f>
        <v>5</v>
      </c>
      <c r="M242" s="87">
        <v>0</v>
      </c>
      <c r="N242" s="87">
        <v>1</v>
      </c>
      <c r="O242" s="87">
        <v>2</v>
      </c>
      <c r="P242" s="87">
        <v>3</v>
      </c>
      <c r="Q242" s="87">
        <v>4</v>
      </c>
      <c r="R242" s="87">
        <v>5</v>
      </c>
      <c r="S242" s="87">
        <v>6</v>
      </c>
      <c r="T242" s="87">
        <v>7</v>
      </c>
      <c r="U242" s="87">
        <v>8</v>
      </c>
      <c r="V242" s="87">
        <v>9</v>
      </c>
      <c r="W242" s="88">
        <f t="shared" si="231"/>
        <v>5</v>
      </c>
      <c r="X242" s="88">
        <f t="shared" si="232"/>
        <v>4</v>
      </c>
      <c r="Y242" s="88">
        <f t="shared" si="233"/>
        <v>1</v>
      </c>
      <c r="Z242" s="89">
        <f t="shared" si="212"/>
        <v>10</v>
      </c>
      <c r="AA242" s="17" t="str">
        <f>_xlfn.TEXTJOIN(", ",TRUE,ABS(MID(C242,{1,1,2},1)-MID(C242,{2,3,3},1)))</f>
        <v>5, 4, 1</v>
      </c>
      <c r="AB242" s="90">
        <v>0</v>
      </c>
      <c r="AC242" s="90">
        <v>1</v>
      </c>
      <c r="AD242" s="90">
        <v>2</v>
      </c>
      <c r="AE242" s="90">
        <v>3</v>
      </c>
      <c r="AF242" s="90">
        <v>4</v>
      </c>
      <c r="AG242" s="90">
        <v>5</v>
      </c>
      <c r="AH242" s="90">
        <v>6</v>
      </c>
      <c r="AI242" s="90">
        <v>7</v>
      </c>
      <c r="AJ242" s="90">
        <v>8</v>
      </c>
      <c r="AK242" s="90">
        <v>9</v>
      </c>
      <c r="AL242" s="91">
        <v>0</v>
      </c>
      <c r="AM242" s="91">
        <v>1</v>
      </c>
      <c r="AN242" s="91">
        <v>2</v>
      </c>
      <c r="AO242" s="91">
        <v>3</v>
      </c>
      <c r="AP242" s="91">
        <v>4</v>
      </c>
      <c r="AQ242" s="91">
        <v>5</v>
      </c>
      <c r="AR242" s="91">
        <v>6</v>
      </c>
      <c r="AS242" s="91">
        <v>7</v>
      </c>
      <c r="AT242" s="91">
        <v>8</v>
      </c>
      <c r="AU242" s="91">
        <v>9</v>
      </c>
      <c r="AV242" s="92">
        <v>0</v>
      </c>
      <c r="AW242" s="92">
        <v>1</v>
      </c>
      <c r="AX242" s="92">
        <v>2</v>
      </c>
      <c r="AY242" s="92">
        <v>3</v>
      </c>
      <c r="AZ242" s="92">
        <v>4</v>
      </c>
      <c r="BA242" s="92">
        <v>5</v>
      </c>
      <c r="BB242" s="92">
        <v>6</v>
      </c>
      <c r="BC242" s="92">
        <v>7</v>
      </c>
      <c r="BD242" s="92">
        <v>8</v>
      </c>
      <c r="BE242" s="92">
        <v>9</v>
      </c>
      <c r="BF242" s="93">
        <v>0</v>
      </c>
      <c r="BG242" s="93">
        <v>1</v>
      </c>
      <c r="BH242" s="93">
        <v>2</v>
      </c>
      <c r="BI242" s="93">
        <v>3</v>
      </c>
      <c r="BJ242" s="93">
        <v>4</v>
      </c>
      <c r="BK242" s="93">
        <v>5</v>
      </c>
      <c r="BL242" s="93">
        <v>6</v>
      </c>
      <c r="BM242" s="93">
        <v>7</v>
      </c>
      <c r="BN242" s="93">
        <v>8</v>
      </c>
      <c r="BO242" s="93">
        <v>9</v>
      </c>
      <c r="BP242" s="94" t="str">
        <f t="shared" si="213"/>
        <v>标准型</v>
      </c>
      <c r="BQ242" s="15">
        <f t="shared" si="210"/>
        <v>1</v>
      </c>
      <c r="BR242" s="15">
        <f t="shared" si="211"/>
        <v>5</v>
      </c>
      <c r="BS242" s="20">
        <f t="shared" si="215"/>
        <v>5</v>
      </c>
      <c r="BT242" s="21" t="str">
        <f t="shared" si="216"/>
        <v/>
      </c>
      <c r="BU242" s="21" t="str">
        <f t="array" ref="BU242">_xlfn.TEXTJOIN("",TRUE,IF(ISERROR(FIND(ROW($1:$168)-1,BS242&amp;BT242)),ROW($1:$168)-1,""))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42" s="22" t="str">
        <f t="shared" si="217"/>
        <v>复中中</v>
      </c>
      <c r="BW242" s="23" t="str">
        <f t="shared" si="228"/>
        <v/>
      </c>
      <c r="BX242" s="23" t="str">
        <f t="shared" si="226"/>
        <v/>
      </c>
      <c r="BY242" s="23" t="str">
        <f t="array" ref="BY242">_xlfn.TEXTJOIN("",TRUE,IF(ISERROR(FIND(ROW($1:$168)-1,BW242&amp;BX242)),ROW($1:$168)-1,""))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42" s="22" t="str">
        <f t="shared" si="218"/>
        <v>中中中</v>
      </c>
      <c r="CA242" s="24" t="str">
        <f t="shared" si="219"/>
        <v/>
      </c>
      <c r="CB242" s="24">
        <f t="shared" si="227"/>
        <v>1</v>
      </c>
      <c r="CC242" s="24" t="str">
        <f t="array" ref="CC242">_xlfn.TEXTJOIN("",TRUE,IF(ISERROR(FIND(ROW($1:$168)-1,CA242&amp;CB242)),ROW($1:$168)-1,""))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42" s="22" t="str">
        <f t="shared" si="220"/>
        <v>中隔中</v>
      </c>
      <c r="CE242" s="25" t="str">
        <f t="shared" si="214"/>
        <v>46</v>
      </c>
      <c r="CF242" s="26" t="str">
        <f t="array" ref="CF242">_xlfn.TEXTJOIN("",TRUE,IF(ISNUMBER(FIND(MID(CE241&amp;W241,ROW($1:$162),1),CE242&amp;W242)),MID(CE241&amp;W241,ROW($1:$162),1),""))</f>
        <v/>
      </c>
      <c r="CG242" s="27" t="str">
        <f t="array" ref="CG242">_xlfn.TEXTJOIN("",TRUE,IF(ISERROR(FIND(ROW($1:$168)-1,CE242&amp;CF242)),ROW($1:$168)-1,""))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42" s="28" t="str">
        <f t="shared" si="221"/>
        <v>邻孤孤</v>
      </c>
      <c r="CI242" s="29" t="str">
        <f t="shared" si="222"/>
        <v>35</v>
      </c>
      <c r="CJ242" s="29" t="str">
        <f t="array" ref="CJ242">_xlfn.TEXTJOIN("",TRUE,IF(ISNUMBER(FIND(MID(CI241&amp;X241,ROW($1:$162),1),CI242&amp;X242)),MID(CI241&amp;X241,ROW($1:$162),1),""))</f>
        <v>45</v>
      </c>
      <c r="CK242" s="29" t="str">
        <f t="array" ref="CK242">_xlfn.TEXTJOIN("",TRUE,IF(ISERROR(FIND(ROW($1:$168)-1,CI242&amp;CJ242)),ROW($1:$168)-1,""))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42" s="19" t="str">
        <f t="shared" si="223"/>
        <v>邻传孤</v>
      </c>
      <c r="CM242" s="24" t="str">
        <f t="shared" si="224"/>
        <v>02</v>
      </c>
      <c r="CN242" s="24" t="str">
        <f t="array" ref="CN242">_xlfn.TEXTJOIN("",TRUE,IF(ISNUMBER(FIND(MID(CM241&amp;Y241,ROW($1:$162),1),CM242&amp;Y242)),MID(CM241&amp;Y241,ROW($1:$162),1),""))</f>
        <v/>
      </c>
      <c r="CO242" s="24" t="str">
        <f t="array" ref="CO242">_xlfn.TEXTJOIN("",TRUE,IF(ISERROR(FIND(ROW($1:$168)-1,CM242&amp;CN242)),ROW($1:$168)-1,""))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42" s="30" t="str">
        <f t="shared" si="225"/>
        <v>邻孤孤</v>
      </c>
    </row>
    <row r="243" spans="1:94">
      <c r="A243" s="15">
        <v>243</v>
      </c>
      <c r="B243" s="80">
        <v>2024212</v>
      </c>
      <c r="C243" s="8" t="s">
        <v>247</v>
      </c>
      <c r="D243" s="81">
        <f t="shared" si="229"/>
        <v>17</v>
      </c>
      <c r="E243" s="82">
        <f t="shared" si="230"/>
        <v>7</v>
      </c>
      <c r="F243" s="83">
        <f t="shared" si="203"/>
        <v>1.88888888888889</v>
      </c>
      <c r="G243" s="84" t="str">
        <f t="shared" si="204"/>
        <v>松散</v>
      </c>
      <c r="H243" s="85" t="s">
        <v>10</v>
      </c>
      <c r="I243" s="85" t="s">
        <v>11</v>
      </c>
      <c r="J243" s="85" t="s">
        <v>12</v>
      </c>
      <c r="K243" s="85" t="s">
        <v>13</v>
      </c>
      <c r="L243" s="86">
        <f>MAX(MID(C243,{1,2,3},1)*1)-MIN(MID(C243,{1,2,3},1)*1)</f>
        <v>9</v>
      </c>
      <c r="M243" s="87">
        <v>0</v>
      </c>
      <c r="N243" s="87">
        <v>1</v>
      </c>
      <c r="O243" s="87">
        <v>2</v>
      </c>
      <c r="P243" s="87">
        <v>3</v>
      </c>
      <c r="Q243" s="87">
        <v>4</v>
      </c>
      <c r="R243" s="87">
        <v>5</v>
      </c>
      <c r="S243" s="87">
        <v>6</v>
      </c>
      <c r="T243" s="87">
        <v>7</v>
      </c>
      <c r="U243" s="87">
        <v>8</v>
      </c>
      <c r="V243" s="87">
        <v>9</v>
      </c>
      <c r="W243" s="88">
        <f t="shared" si="231"/>
        <v>8</v>
      </c>
      <c r="X243" s="88">
        <f t="shared" si="232"/>
        <v>9</v>
      </c>
      <c r="Y243" s="88">
        <f t="shared" si="233"/>
        <v>1</v>
      </c>
      <c r="Z243" s="89">
        <f t="shared" si="212"/>
        <v>18</v>
      </c>
      <c r="AA243" s="17" t="str">
        <f>_xlfn.TEXTJOIN(", ",TRUE,ABS(MID(C243,{1,1,2},1)-MID(C243,{2,3,3},1)))</f>
        <v>8, 9, 1</v>
      </c>
      <c r="AB243" s="90">
        <v>0</v>
      </c>
      <c r="AC243" s="90">
        <v>1</v>
      </c>
      <c r="AD243" s="90">
        <v>2</v>
      </c>
      <c r="AE243" s="90">
        <v>3</v>
      </c>
      <c r="AF243" s="90">
        <v>4</v>
      </c>
      <c r="AG243" s="90">
        <v>5</v>
      </c>
      <c r="AH243" s="90">
        <v>6</v>
      </c>
      <c r="AI243" s="90">
        <v>7</v>
      </c>
      <c r="AJ243" s="90">
        <v>8</v>
      </c>
      <c r="AK243" s="90">
        <v>9</v>
      </c>
      <c r="AL243" s="91">
        <v>0</v>
      </c>
      <c r="AM243" s="91">
        <v>1</v>
      </c>
      <c r="AN243" s="91">
        <v>2</v>
      </c>
      <c r="AO243" s="91">
        <v>3</v>
      </c>
      <c r="AP243" s="91">
        <v>4</v>
      </c>
      <c r="AQ243" s="91">
        <v>5</v>
      </c>
      <c r="AR243" s="91">
        <v>6</v>
      </c>
      <c r="AS243" s="91">
        <v>7</v>
      </c>
      <c r="AT243" s="91">
        <v>8</v>
      </c>
      <c r="AU243" s="91">
        <v>9</v>
      </c>
      <c r="AV243" s="92">
        <v>0</v>
      </c>
      <c r="AW243" s="92">
        <v>1</v>
      </c>
      <c r="AX243" s="92">
        <v>2</v>
      </c>
      <c r="AY243" s="92">
        <v>3</v>
      </c>
      <c r="AZ243" s="92">
        <v>4</v>
      </c>
      <c r="BA243" s="92">
        <v>5</v>
      </c>
      <c r="BB243" s="92">
        <v>6</v>
      </c>
      <c r="BC243" s="92">
        <v>7</v>
      </c>
      <c r="BD243" s="92">
        <v>8</v>
      </c>
      <c r="BE243" s="92">
        <v>9</v>
      </c>
      <c r="BF243" s="93">
        <v>0</v>
      </c>
      <c r="BG243" s="93">
        <v>1</v>
      </c>
      <c r="BH243" s="93">
        <v>2</v>
      </c>
      <c r="BI243" s="93">
        <v>3</v>
      </c>
      <c r="BJ243" s="93">
        <v>4</v>
      </c>
      <c r="BK243" s="93">
        <v>5</v>
      </c>
      <c r="BL243" s="93">
        <v>6</v>
      </c>
      <c r="BM243" s="93">
        <v>7</v>
      </c>
      <c r="BN243" s="93">
        <v>8</v>
      </c>
      <c r="BO243" s="93">
        <v>9</v>
      </c>
      <c r="BP243" s="94" t="str">
        <f t="shared" si="213"/>
        <v>松散型</v>
      </c>
      <c r="BQ243" s="15">
        <f t="shared" si="210"/>
        <v>1</v>
      </c>
      <c r="BR243" s="15">
        <f t="shared" si="211"/>
        <v>9</v>
      </c>
      <c r="BS243" s="20" t="str">
        <f t="shared" si="215"/>
        <v/>
      </c>
      <c r="BT243" s="21" t="str">
        <f t="shared" si="216"/>
        <v/>
      </c>
      <c r="BU243" s="21" t="str">
        <f t="array" ref="BU243">_xlfn.TEXTJOIN("",TRUE,IF(ISERROR(FIND(ROW($1:$168)-1,BS243&amp;BT243)),ROW($1:$168)-1,""))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43" s="22" t="str">
        <f t="shared" si="217"/>
        <v>中中中</v>
      </c>
      <c r="BW243" s="23" t="str">
        <f t="shared" si="228"/>
        <v/>
      </c>
      <c r="BX243" s="23" t="str">
        <f t="shared" si="226"/>
        <v/>
      </c>
      <c r="BY243" s="23" t="str">
        <f t="array" ref="BY243">_xlfn.TEXTJOIN("",TRUE,IF(ISERROR(FIND(ROW($1:$168)-1,BW243&amp;BX243)),ROW($1:$168)-1,""))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43" s="22" t="str">
        <f t="shared" si="218"/>
        <v>中中中</v>
      </c>
      <c r="CA243" s="24">
        <f t="shared" si="219"/>
        <v>1</v>
      </c>
      <c r="CB243" s="24" t="str">
        <f t="shared" si="227"/>
        <v/>
      </c>
      <c r="CC243" s="24" t="str">
        <f t="array" ref="CC243">_xlfn.TEXTJOIN("",TRUE,IF(ISERROR(FIND(ROW($1:$168)-1,CA243&amp;CB243)),ROW($1:$168)-1,""))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43" s="22" t="str">
        <f t="shared" si="220"/>
        <v>复中中</v>
      </c>
      <c r="CE243" s="25" t="str">
        <f t="shared" si="214"/>
        <v>79</v>
      </c>
      <c r="CF243" s="26" t="str">
        <f t="array" ref="CF243">_xlfn.TEXTJOIN("",TRUE,IF(ISNUMBER(FIND(MID(CE242&amp;W242,ROW($1:$162),1),CE243&amp;W243)),MID(CE242&amp;W242,ROW($1:$162),1),""))</f>
        <v/>
      </c>
      <c r="CG243" s="27" t="str">
        <f t="array" ref="CG243">_xlfn.TEXTJOIN("",TRUE,IF(ISERROR(FIND(ROW($1:$168)-1,CE243&amp;CF243)),ROW($1:$168)-1,""))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243" s="28" t="str">
        <f t="shared" si="221"/>
        <v>邻孤孤</v>
      </c>
      <c r="CI243" s="29" t="str">
        <f t="shared" si="222"/>
        <v>80</v>
      </c>
      <c r="CJ243" s="29" t="str">
        <f t="array" ref="CJ243">_xlfn.TEXTJOIN("",TRUE,IF(ISNUMBER(FIND(MID(CI242&amp;X242,ROW($1:$162),1),CI243&amp;X243)),MID(CI242&amp;X242,ROW($1:$162),1),""))</f>
        <v/>
      </c>
      <c r="CK243" s="29" t="str">
        <f t="array" ref="CK243">_xlfn.TEXTJOIN("",TRUE,IF(ISERROR(FIND(ROW($1:$168)-1,CI243&amp;CJ243)),ROW($1:$168)-1,""))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243" s="19" t="str">
        <f t="shared" si="223"/>
        <v>邻孤孤</v>
      </c>
      <c r="CM243" s="24" t="str">
        <f t="shared" si="224"/>
        <v>02</v>
      </c>
      <c r="CN243" s="24" t="str">
        <f t="array" ref="CN243">_xlfn.TEXTJOIN("",TRUE,IF(ISNUMBER(FIND(MID(CM242&amp;Y242,ROW($1:$162),1),CM243&amp;Y243)),MID(CM242&amp;Y242,ROW($1:$162),1),""))</f>
        <v>021</v>
      </c>
      <c r="CO243" s="24" t="str">
        <f t="array" ref="CO243">_xlfn.TEXTJOIN("",TRUE,IF(ISERROR(FIND(ROW($1:$168)-1,CM243&amp;CN243)),ROW($1:$168)-1,""))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43" s="30" t="str">
        <f t="shared" si="225"/>
        <v>邻传孤</v>
      </c>
    </row>
    <row r="244" spans="1:94">
      <c r="A244" s="15">
        <v>244</v>
      </c>
      <c r="B244" s="80">
        <v>2024213</v>
      </c>
      <c r="C244" s="8" t="s">
        <v>118</v>
      </c>
      <c r="D244" s="81">
        <f t="shared" si="229"/>
        <v>9</v>
      </c>
      <c r="E244" s="82">
        <f t="shared" si="230"/>
        <v>9</v>
      </c>
      <c r="F244" s="83">
        <f t="shared" si="203"/>
        <v>1</v>
      </c>
      <c r="G244" s="84" t="str">
        <f t="shared" si="204"/>
        <v>松散</v>
      </c>
      <c r="H244" s="85" t="s">
        <v>10</v>
      </c>
      <c r="I244" s="85" t="s">
        <v>11</v>
      </c>
      <c r="J244" s="85" t="s">
        <v>12</v>
      </c>
      <c r="K244" s="85" t="s">
        <v>13</v>
      </c>
      <c r="L244" s="86">
        <f>MAX(MID(C244,{1,2,3},1)*1)-MIN(MID(C244,{1,2,3},1)*1)</f>
        <v>9</v>
      </c>
      <c r="M244" s="87">
        <v>0</v>
      </c>
      <c r="N244" s="87">
        <v>1</v>
      </c>
      <c r="O244" s="87">
        <v>2</v>
      </c>
      <c r="P244" s="87">
        <v>3</v>
      </c>
      <c r="Q244" s="87">
        <v>4</v>
      </c>
      <c r="R244" s="87">
        <v>5</v>
      </c>
      <c r="S244" s="87">
        <v>6</v>
      </c>
      <c r="T244" s="87">
        <v>7</v>
      </c>
      <c r="U244" s="87">
        <v>8</v>
      </c>
      <c r="V244" s="87">
        <v>9</v>
      </c>
      <c r="W244" s="88">
        <f t="shared" si="231"/>
        <v>0</v>
      </c>
      <c r="X244" s="88">
        <f t="shared" si="232"/>
        <v>9</v>
      </c>
      <c r="Y244" s="88">
        <f t="shared" si="233"/>
        <v>9</v>
      </c>
      <c r="Z244" s="89">
        <f t="shared" si="212"/>
        <v>18</v>
      </c>
      <c r="AA244" s="17" t="str">
        <f>_xlfn.TEXTJOIN(", ",TRUE,ABS(MID(C244,{1,1,2},1)-MID(C244,{2,3,3},1)))</f>
        <v>0, 9, 9</v>
      </c>
      <c r="AB244" s="90">
        <v>0</v>
      </c>
      <c r="AC244" s="90">
        <v>1</v>
      </c>
      <c r="AD244" s="90">
        <v>2</v>
      </c>
      <c r="AE244" s="90">
        <v>3</v>
      </c>
      <c r="AF244" s="90">
        <v>4</v>
      </c>
      <c r="AG244" s="90">
        <v>5</v>
      </c>
      <c r="AH244" s="90">
        <v>6</v>
      </c>
      <c r="AI244" s="90">
        <v>7</v>
      </c>
      <c r="AJ244" s="90">
        <v>8</v>
      </c>
      <c r="AK244" s="90">
        <v>9</v>
      </c>
      <c r="AL244" s="91">
        <v>0</v>
      </c>
      <c r="AM244" s="91">
        <v>1</v>
      </c>
      <c r="AN244" s="91">
        <v>2</v>
      </c>
      <c r="AO244" s="91">
        <v>3</v>
      </c>
      <c r="AP244" s="91">
        <v>4</v>
      </c>
      <c r="AQ244" s="91">
        <v>5</v>
      </c>
      <c r="AR244" s="91">
        <v>6</v>
      </c>
      <c r="AS244" s="91">
        <v>7</v>
      </c>
      <c r="AT244" s="91">
        <v>8</v>
      </c>
      <c r="AU244" s="91">
        <v>9</v>
      </c>
      <c r="AV244" s="92">
        <v>0</v>
      </c>
      <c r="AW244" s="92">
        <v>1</v>
      </c>
      <c r="AX244" s="92">
        <v>2</v>
      </c>
      <c r="AY244" s="92">
        <v>3</v>
      </c>
      <c r="AZ244" s="92">
        <v>4</v>
      </c>
      <c r="BA244" s="92">
        <v>5</v>
      </c>
      <c r="BB244" s="92">
        <v>6</v>
      </c>
      <c r="BC244" s="92">
        <v>7</v>
      </c>
      <c r="BD244" s="92">
        <v>8</v>
      </c>
      <c r="BE244" s="92">
        <v>9</v>
      </c>
      <c r="BF244" s="93">
        <v>0</v>
      </c>
      <c r="BG244" s="93">
        <v>1</v>
      </c>
      <c r="BH244" s="93">
        <v>2</v>
      </c>
      <c r="BI244" s="93">
        <v>3</v>
      </c>
      <c r="BJ244" s="93">
        <v>4</v>
      </c>
      <c r="BK244" s="93">
        <v>5</v>
      </c>
      <c r="BL244" s="93">
        <v>6</v>
      </c>
      <c r="BM244" s="93">
        <v>7</v>
      </c>
      <c r="BN244" s="93">
        <v>8</v>
      </c>
      <c r="BO244" s="93">
        <v>9</v>
      </c>
      <c r="BP244" s="94" t="str">
        <f t="shared" si="213"/>
        <v>松散型</v>
      </c>
      <c r="BQ244" s="15">
        <f t="shared" si="210"/>
        <v>0</v>
      </c>
      <c r="BR244" s="15">
        <f t="shared" si="211"/>
        <v>9</v>
      </c>
      <c r="BS244" s="20" t="str">
        <f t="shared" si="215"/>
        <v/>
      </c>
      <c r="BT244" s="21" t="str">
        <f t="shared" si="216"/>
        <v/>
      </c>
      <c r="BU244" s="21" t="str">
        <f t="array" ref="BU244">_xlfn.TEXTJOIN("",TRUE,IF(ISERROR(FIND(ROW($1:$168)-1,BS244&amp;BT244)),ROW($1:$168)-1,""))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44" s="22" t="str">
        <f t="shared" si="217"/>
        <v>中中中</v>
      </c>
      <c r="BW244" s="23">
        <f t="shared" si="228"/>
        <v>9</v>
      </c>
      <c r="BX244" s="23" t="str">
        <f t="shared" si="226"/>
        <v/>
      </c>
      <c r="BY244" s="23" t="str">
        <f t="array" ref="BY244">_xlfn.TEXTJOIN("",TRUE,IF(ISERROR(FIND(ROW($1:$168)-1,BW244&amp;BX244)),ROW($1:$168)-1,""))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44" s="22" t="str">
        <f t="shared" si="218"/>
        <v>复中中</v>
      </c>
      <c r="CA244" s="24">
        <f t="shared" si="219"/>
        <v>9</v>
      </c>
      <c r="CB244" s="24" t="str">
        <f t="shared" si="227"/>
        <v/>
      </c>
      <c r="CC244" s="24" t="str">
        <f t="array" ref="CC244">_xlfn.TEXTJOIN("",TRUE,IF(ISERROR(FIND(ROW($1:$168)-1,CA244&amp;CB244)),ROW($1:$168)-1,""))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44" s="22" t="str">
        <f t="shared" si="220"/>
        <v>复中中</v>
      </c>
      <c r="CE244" s="25" t="str">
        <f t="shared" si="214"/>
        <v>91</v>
      </c>
      <c r="CF244" s="26" t="str">
        <f t="array" ref="CF244">_xlfn.TEXTJOIN("",TRUE,IF(ISNUMBER(FIND(MID(CE243&amp;W243,ROW($1:$162),1),CE244&amp;W244)),MID(CE243&amp;W243,ROW($1:$162),1),""))</f>
        <v>9</v>
      </c>
      <c r="CG244" s="27" t="str">
        <f t="array" ref="CG244">_xlfn.TEXTJOIN("",TRUE,IF(ISERROR(FIND(ROW($1:$168)-1,CE244&amp;CF244)),ROW($1:$168)-1,""))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244" s="28" t="str">
        <f t="shared" si="221"/>
        <v>邻传孤</v>
      </c>
      <c r="CI244" s="29" t="str">
        <f t="shared" si="222"/>
        <v>80</v>
      </c>
      <c r="CJ244" s="29" t="str">
        <f t="array" ref="CJ244">_xlfn.TEXTJOIN("",TRUE,IF(ISNUMBER(FIND(MID(CI243&amp;X243,ROW($1:$162),1),CI244&amp;X244)),MID(CI243&amp;X243,ROW($1:$162),1),""))</f>
        <v>809</v>
      </c>
      <c r="CK244" s="29" t="str">
        <f t="array" ref="CK244">_xlfn.TEXTJOIN("",TRUE,IF(ISERROR(FIND(ROW($1:$168)-1,CI244&amp;CJ244)),ROW($1:$168)-1,""))</f>
        <v>1234567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244" s="19" t="str">
        <f t="shared" si="223"/>
        <v>邻传孤</v>
      </c>
      <c r="CM244" s="24" t="str">
        <f t="shared" si="224"/>
        <v>80</v>
      </c>
      <c r="CN244" s="24" t="str">
        <f t="array" ref="CN244">_xlfn.TEXTJOIN("",TRUE,IF(ISNUMBER(FIND(MID(CM243&amp;Y243,ROW($1:$162),1),CM244&amp;Y244)),MID(CM243&amp;Y243,ROW($1:$162),1),""))</f>
        <v>0</v>
      </c>
      <c r="CO244" s="24" t="str">
        <f t="array" ref="CO244">_xlfn.TEXTJOIN("",TRUE,IF(ISERROR(FIND(ROW($1:$168)-1,CM244&amp;CN244)),ROW($1:$168)-1,""))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244" s="30" t="str">
        <f t="shared" si="225"/>
        <v>邻传孤</v>
      </c>
    </row>
    <row r="245" spans="1:94">
      <c r="A245" s="15">
        <v>245</v>
      </c>
      <c r="B245" s="80">
        <v>2024214</v>
      </c>
      <c r="C245" s="8" t="s">
        <v>248</v>
      </c>
      <c r="D245" s="81">
        <f t="shared" si="229"/>
        <v>14</v>
      </c>
      <c r="E245" s="82">
        <f t="shared" si="230"/>
        <v>4</v>
      </c>
      <c r="F245" s="83">
        <f t="shared" si="203"/>
        <v>4.66666666666667</v>
      </c>
      <c r="G245" s="84" t="str">
        <f t="shared" si="204"/>
        <v>紧凑</v>
      </c>
      <c r="H245" s="85" t="s">
        <v>10</v>
      </c>
      <c r="I245" s="85" t="s">
        <v>11</v>
      </c>
      <c r="J245" s="85" t="s">
        <v>12</v>
      </c>
      <c r="K245" s="85" t="s">
        <v>13</v>
      </c>
      <c r="L245" s="86">
        <f>MAX(MID(C245,{1,2,3},1)*1)-MIN(MID(C245,{1,2,3},1)*1)</f>
        <v>3</v>
      </c>
      <c r="M245" s="87">
        <v>0</v>
      </c>
      <c r="N245" s="87">
        <v>1</v>
      </c>
      <c r="O245" s="87">
        <v>2</v>
      </c>
      <c r="P245" s="87">
        <v>3</v>
      </c>
      <c r="Q245" s="87">
        <v>4</v>
      </c>
      <c r="R245" s="87">
        <v>5</v>
      </c>
      <c r="S245" s="87">
        <v>6</v>
      </c>
      <c r="T245" s="87">
        <v>7</v>
      </c>
      <c r="U245" s="87">
        <v>8</v>
      </c>
      <c r="V245" s="87">
        <v>9</v>
      </c>
      <c r="W245" s="88">
        <f t="shared" si="231"/>
        <v>3</v>
      </c>
      <c r="X245" s="88">
        <f t="shared" si="232"/>
        <v>2</v>
      </c>
      <c r="Y245" s="88">
        <f t="shared" si="233"/>
        <v>1</v>
      </c>
      <c r="Z245" s="89">
        <f t="shared" si="212"/>
        <v>6</v>
      </c>
      <c r="AA245" s="17" t="str">
        <f>_xlfn.TEXTJOIN(", ",TRUE,ABS(MID(C245,{1,1,2},1)-MID(C245,{2,3,3},1)))</f>
        <v>3, 2, 1</v>
      </c>
      <c r="AB245" s="90">
        <v>0</v>
      </c>
      <c r="AC245" s="90">
        <v>1</v>
      </c>
      <c r="AD245" s="90">
        <v>2</v>
      </c>
      <c r="AE245" s="90">
        <v>3</v>
      </c>
      <c r="AF245" s="90">
        <v>4</v>
      </c>
      <c r="AG245" s="90">
        <v>5</v>
      </c>
      <c r="AH245" s="90">
        <v>6</v>
      </c>
      <c r="AI245" s="90">
        <v>7</v>
      </c>
      <c r="AJ245" s="90">
        <v>8</v>
      </c>
      <c r="AK245" s="90">
        <v>9</v>
      </c>
      <c r="AL245" s="91">
        <v>0</v>
      </c>
      <c r="AM245" s="91">
        <v>1</v>
      </c>
      <c r="AN245" s="91">
        <v>2</v>
      </c>
      <c r="AO245" s="91">
        <v>3</v>
      </c>
      <c r="AP245" s="91">
        <v>4</v>
      </c>
      <c r="AQ245" s="91">
        <v>5</v>
      </c>
      <c r="AR245" s="91">
        <v>6</v>
      </c>
      <c r="AS245" s="91">
        <v>7</v>
      </c>
      <c r="AT245" s="91">
        <v>8</v>
      </c>
      <c r="AU245" s="91">
        <v>9</v>
      </c>
      <c r="AV245" s="92">
        <v>0</v>
      </c>
      <c r="AW245" s="92">
        <v>1</v>
      </c>
      <c r="AX245" s="92">
        <v>2</v>
      </c>
      <c r="AY245" s="92">
        <v>3</v>
      </c>
      <c r="AZ245" s="92">
        <v>4</v>
      </c>
      <c r="BA245" s="92">
        <v>5</v>
      </c>
      <c r="BB245" s="92">
        <v>6</v>
      </c>
      <c r="BC245" s="92">
        <v>7</v>
      </c>
      <c r="BD245" s="92">
        <v>8</v>
      </c>
      <c r="BE245" s="92">
        <v>9</v>
      </c>
      <c r="BF245" s="93">
        <v>0</v>
      </c>
      <c r="BG245" s="93">
        <v>1</v>
      </c>
      <c r="BH245" s="93">
        <v>2</v>
      </c>
      <c r="BI245" s="93">
        <v>3</v>
      </c>
      <c r="BJ245" s="93">
        <v>4</v>
      </c>
      <c r="BK245" s="93">
        <v>5</v>
      </c>
      <c r="BL245" s="93">
        <v>6</v>
      </c>
      <c r="BM245" s="93">
        <v>7</v>
      </c>
      <c r="BN245" s="93">
        <v>8</v>
      </c>
      <c r="BO245" s="93">
        <v>9</v>
      </c>
      <c r="BP245" s="94" t="str">
        <f t="shared" si="213"/>
        <v>紧凑型</v>
      </c>
      <c r="BQ245" s="15">
        <f t="shared" si="210"/>
        <v>1</v>
      </c>
      <c r="BR245" s="15">
        <f t="shared" si="211"/>
        <v>3</v>
      </c>
      <c r="BS245" s="20" t="str">
        <f t="shared" si="215"/>
        <v/>
      </c>
      <c r="BT245" s="21" t="str">
        <f t="shared" si="216"/>
        <v/>
      </c>
      <c r="BU245" s="21" t="str">
        <f t="array" ref="BU245">_xlfn.TEXTJOIN("",TRUE,IF(ISERROR(FIND(ROW($1:$168)-1,BS245&amp;BT245)),ROW($1:$168)-1,""))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45" s="22" t="str">
        <f t="shared" si="217"/>
        <v>中中中</v>
      </c>
      <c r="BW245" s="23" t="str">
        <f t="shared" si="228"/>
        <v/>
      </c>
      <c r="BX245" s="23" t="str">
        <f t="shared" si="226"/>
        <v/>
      </c>
      <c r="BY245" s="23" t="str">
        <f t="array" ref="BY245">_xlfn.TEXTJOIN("",TRUE,IF(ISERROR(FIND(ROW($1:$168)-1,BW245&amp;BX245)),ROW($1:$168)-1,""))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45" s="22" t="str">
        <f t="shared" si="218"/>
        <v>中中中</v>
      </c>
      <c r="CA245" s="24" t="str">
        <f t="shared" si="219"/>
        <v/>
      </c>
      <c r="CB245" s="24">
        <f t="shared" si="227"/>
        <v>1</v>
      </c>
      <c r="CC245" s="24" t="str">
        <f t="array" ref="CC245">_xlfn.TEXTJOIN("",TRUE,IF(ISERROR(FIND(ROW($1:$168)-1,CA245&amp;CB245)),ROW($1:$168)-1,""))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45" s="22" t="str">
        <f t="shared" si="220"/>
        <v>中隔中</v>
      </c>
      <c r="CE245" s="25" t="str">
        <f t="shared" si="214"/>
        <v>24</v>
      </c>
      <c r="CF245" s="26" t="str">
        <f t="array" ref="CF245">_xlfn.TEXTJOIN("",TRUE,IF(ISNUMBER(FIND(MID(CE244&amp;W244,ROW($1:$162),1),CE245&amp;W245)),MID(CE244&amp;W244,ROW($1:$162),1),""))</f>
        <v/>
      </c>
      <c r="CG245" s="27" t="str">
        <f t="array" ref="CG245">_xlfn.TEXTJOIN("",TRUE,IF(ISERROR(FIND(ROW($1:$168)-1,CE245&amp;CF245)),ROW($1:$168)-1,""))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45" s="28" t="str">
        <f t="shared" si="221"/>
        <v>邻孤孤</v>
      </c>
      <c r="CI245" s="29" t="str">
        <f t="shared" si="222"/>
        <v>13</v>
      </c>
      <c r="CJ245" s="29" t="str">
        <f t="array" ref="CJ245">_xlfn.TEXTJOIN("",TRUE,IF(ISNUMBER(FIND(MID(CI244&amp;X244,ROW($1:$162),1),CI245&amp;X245)),MID(CI244&amp;X244,ROW($1:$162),1),""))</f>
        <v/>
      </c>
      <c r="CK245" s="29" t="str">
        <f t="array" ref="CK245">_xlfn.TEXTJOIN("",TRUE,IF(ISERROR(FIND(ROW($1:$168)-1,CI245&amp;CJ245)),ROW($1:$168)-1,""))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45" s="19" t="str">
        <f t="shared" si="223"/>
        <v>邻孤孤</v>
      </c>
      <c r="CM245" s="24" t="str">
        <f t="shared" si="224"/>
        <v>02</v>
      </c>
      <c r="CN245" s="24" t="str">
        <f t="array" ref="CN245">_xlfn.TEXTJOIN("",TRUE,IF(ISNUMBER(FIND(MID(CM244&amp;Y244,ROW($1:$162),1),CM245&amp;Y245)),MID(CM244&amp;Y244,ROW($1:$162),1),""))</f>
        <v>0</v>
      </c>
      <c r="CO245" s="24" t="str">
        <f t="array" ref="CO245">_xlfn.TEXTJOIN("",TRUE,IF(ISERROR(FIND(ROW($1:$168)-1,CM245&amp;CN245)),ROW($1:$168)-1,""))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45" s="30" t="str">
        <f t="shared" si="225"/>
        <v>邻传孤</v>
      </c>
    </row>
    <row r="246" spans="1:94">
      <c r="A246" s="15">
        <v>246</v>
      </c>
      <c r="B246" s="80">
        <v>2024215</v>
      </c>
      <c r="C246" s="8" t="s">
        <v>249</v>
      </c>
      <c r="D246" s="81">
        <f t="shared" si="229"/>
        <v>15</v>
      </c>
      <c r="E246" s="82">
        <f t="shared" si="230"/>
        <v>5</v>
      </c>
      <c r="F246" s="83">
        <f t="shared" si="203"/>
        <v>3</v>
      </c>
      <c r="G246" s="84" t="str">
        <f t="shared" si="204"/>
        <v>标准</v>
      </c>
      <c r="H246" s="85" t="s">
        <v>10</v>
      </c>
      <c r="I246" s="85" t="s">
        <v>11</v>
      </c>
      <c r="J246" s="85" t="s">
        <v>12</v>
      </c>
      <c r="K246" s="85" t="s">
        <v>13</v>
      </c>
      <c r="L246" s="86">
        <f>MAX(MID(C246,{1,2,3},1)*1)-MIN(MID(C246,{1,2,3},1)*1)</f>
        <v>5</v>
      </c>
      <c r="M246" s="87">
        <v>0</v>
      </c>
      <c r="N246" s="87">
        <v>1</v>
      </c>
      <c r="O246" s="87">
        <v>2</v>
      </c>
      <c r="P246" s="87">
        <v>3</v>
      </c>
      <c r="Q246" s="87">
        <v>4</v>
      </c>
      <c r="R246" s="87">
        <v>5</v>
      </c>
      <c r="S246" s="87">
        <v>6</v>
      </c>
      <c r="T246" s="87">
        <v>7</v>
      </c>
      <c r="U246" s="87">
        <v>8</v>
      </c>
      <c r="V246" s="87">
        <v>9</v>
      </c>
      <c r="W246" s="88">
        <f t="shared" si="231"/>
        <v>4</v>
      </c>
      <c r="X246" s="88">
        <f t="shared" si="232"/>
        <v>1</v>
      </c>
      <c r="Y246" s="88">
        <f t="shared" si="233"/>
        <v>5</v>
      </c>
      <c r="Z246" s="89">
        <f t="shared" si="212"/>
        <v>10</v>
      </c>
      <c r="AA246" s="17" t="str">
        <f>_xlfn.TEXTJOIN(", ",TRUE,ABS(MID(C246,{1,1,2},1)-MID(C246,{2,3,3},1)))</f>
        <v>4, 1, 5</v>
      </c>
      <c r="AB246" s="90">
        <v>0</v>
      </c>
      <c r="AC246" s="90">
        <v>1</v>
      </c>
      <c r="AD246" s="90">
        <v>2</v>
      </c>
      <c r="AE246" s="90">
        <v>3</v>
      </c>
      <c r="AF246" s="90">
        <v>4</v>
      </c>
      <c r="AG246" s="90">
        <v>5</v>
      </c>
      <c r="AH246" s="90">
        <v>6</v>
      </c>
      <c r="AI246" s="90">
        <v>7</v>
      </c>
      <c r="AJ246" s="90">
        <v>8</v>
      </c>
      <c r="AK246" s="90">
        <v>9</v>
      </c>
      <c r="AL246" s="91">
        <v>0</v>
      </c>
      <c r="AM246" s="91">
        <v>1</v>
      </c>
      <c r="AN246" s="91">
        <v>2</v>
      </c>
      <c r="AO246" s="91">
        <v>3</v>
      </c>
      <c r="AP246" s="91">
        <v>4</v>
      </c>
      <c r="AQ246" s="91">
        <v>5</v>
      </c>
      <c r="AR246" s="91">
        <v>6</v>
      </c>
      <c r="AS246" s="91">
        <v>7</v>
      </c>
      <c r="AT246" s="91">
        <v>8</v>
      </c>
      <c r="AU246" s="91">
        <v>9</v>
      </c>
      <c r="AV246" s="92">
        <v>0</v>
      </c>
      <c r="AW246" s="92">
        <v>1</v>
      </c>
      <c r="AX246" s="92">
        <v>2</v>
      </c>
      <c r="AY246" s="92">
        <v>3</v>
      </c>
      <c r="AZ246" s="92">
        <v>4</v>
      </c>
      <c r="BA246" s="92">
        <v>5</v>
      </c>
      <c r="BB246" s="92">
        <v>6</v>
      </c>
      <c r="BC246" s="92">
        <v>7</v>
      </c>
      <c r="BD246" s="92">
        <v>8</v>
      </c>
      <c r="BE246" s="92">
        <v>9</v>
      </c>
      <c r="BF246" s="93">
        <v>0</v>
      </c>
      <c r="BG246" s="93">
        <v>1</v>
      </c>
      <c r="BH246" s="93">
        <v>2</v>
      </c>
      <c r="BI246" s="93">
        <v>3</v>
      </c>
      <c r="BJ246" s="93">
        <v>4</v>
      </c>
      <c r="BK246" s="93">
        <v>5</v>
      </c>
      <c r="BL246" s="93">
        <v>6</v>
      </c>
      <c r="BM246" s="93">
        <v>7</v>
      </c>
      <c r="BN246" s="93">
        <v>8</v>
      </c>
      <c r="BO246" s="93">
        <v>9</v>
      </c>
      <c r="BP246" s="94" t="str">
        <f t="shared" si="213"/>
        <v>标准型</v>
      </c>
      <c r="BQ246" s="15">
        <f t="shared" si="210"/>
        <v>1</v>
      </c>
      <c r="BR246" s="15">
        <f t="shared" si="211"/>
        <v>5</v>
      </c>
      <c r="BS246" s="20" t="str">
        <f t="shared" si="215"/>
        <v/>
      </c>
      <c r="BT246" s="21" t="str">
        <f t="shared" si="216"/>
        <v/>
      </c>
      <c r="BU246" s="21" t="str">
        <f t="array" ref="BU246">_xlfn.TEXTJOIN("",TRUE,IF(ISERROR(FIND(ROW($1:$168)-1,BS246&amp;BT246)),ROW($1:$168)-1,""))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46" s="22" t="str">
        <f t="shared" si="217"/>
        <v>中中中</v>
      </c>
      <c r="BW246" s="23">
        <f t="shared" si="228"/>
        <v>1</v>
      </c>
      <c r="BX246" s="23" t="str">
        <f t="shared" si="226"/>
        <v/>
      </c>
      <c r="BY246" s="23" t="str">
        <f t="array" ref="BY246">_xlfn.TEXTJOIN("",TRUE,IF(ISERROR(FIND(ROW($1:$168)-1,BW246&amp;BX246)),ROW($1:$168)-1,""))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46" s="22" t="str">
        <f t="shared" si="218"/>
        <v>复中中</v>
      </c>
      <c r="CA246" s="24" t="str">
        <f t="shared" si="219"/>
        <v/>
      </c>
      <c r="CB246" s="24" t="str">
        <f t="shared" si="227"/>
        <v/>
      </c>
      <c r="CC246" s="24" t="str">
        <f t="array" ref="CC246">_xlfn.TEXTJOIN("",TRUE,IF(ISERROR(FIND(ROW($1:$168)-1,CA246&amp;CB246)),ROW($1:$168)-1,""))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46" s="22" t="str">
        <f t="shared" si="220"/>
        <v>中中中</v>
      </c>
      <c r="CE246" s="25" t="str">
        <f t="shared" si="214"/>
        <v>35</v>
      </c>
      <c r="CF246" s="26" t="str">
        <f t="array" ref="CF246">_xlfn.TEXTJOIN("",TRUE,IF(ISNUMBER(FIND(MID(CE245&amp;W245,ROW($1:$162),1),CE246&amp;W246)),MID(CE245&amp;W245,ROW($1:$162),1),""))</f>
        <v>43</v>
      </c>
      <c r="CG246" s="27" t="str">
        <f t="array" ref="CG246">_xlfn.TEXTJOIN("",TRUE,IF(ISERROR(FIND(ROW($1:$168)-1,CE246&amp;CF246)),ROW($1:$168)-1,""))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46" s="28" t="str">
        <f t="shared" si="221"/>
        <v>邻传孤</v>
      </c>
      <c r="CI246" s="29" t="str">
        <f t="shared" si="222"/>
        <v>02</v>
      </c>
      <c r="CJ246" s="29" t="str">
        <f t="array" ref="CJ246">_xlfn.TEXTJOIN("",TRUE,IF(ISNUMBER(FIND(MID(CI245&amp;X245,ROW($1:$162),1),CI246&amp;X246)),MID(CI245&amp;X245,ROW($1:$162),1),""))</f>
        <v>12</v>
      </c>
      <c r="CK246" s="29" t="str">
        <f t="array" ref="CK246">_xlfn.TEXTJOIN("",TRUE,IF(ISERROR(FIND(ROW($1:$168)-1,CI246&amp;CJ246)),ROW($1:$168)-1,""))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46" s="19" t="str">
        <f t="shared" si="223"/>
        <v>邻传孤</v>
      </c>
      <c r="CM246" s="24" t="str">
        <f t="shared" si="224"/>
        <v>46</v>
      </c>
      <c r="CN246" s="24" t="str">
        <f t="array" ref="CN246">_xlfn.TEXTJOIN("",TRUE,IF(ISNUMBER(FIND(MID(CM245&amp;Y245,ROW($1:$162),1),CM246&amp;Y246)),MID(CM245&amp;Y245,ROW($1:$162),1),""))</f>
        <v/>
      </c>
      <c r="CO246" s="24" t="str">
        <f t="array" ref="CO246">_xlfn.TEXTJOIN("",TRUE,IF(ISERROR(FIND(ROW($1:$168)-1,CM246&amp;CN246)),ROW($1:$168)-1,""))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46" s="30" t="str">
        <f t="shared" si="225"/>
        <v>邻孤孤</v>
      </c>
    </row>
    <row r="247" spans="1:94">
      <c r="A247" s="15">
        <v>247</v>
      </c>
      <c r="B247" s="80">
        <v>2024216</v>
      </c>
      <c r="C247" s="8" t="s">
        <v>250</v>
      </c>
      <c r="D247" s="81">
        <f t="shared" si="229"/>
        <v>12</v>
      </c>
      <c r="E247" s="82">
        <f t="shared" si="230"/>
        <v>2</v>
      </c>
      <c r="F247" s="83">
        <f t="shared" si="203"/>
        <v>0.1</v>
      </c>
      <c r="G247" s="84" t="str">
        <f t="shared" si="204"/>
        <v>极紧凑</v>
      </c>
      <c r="H247" s="85" t="s">
        <v>10</v>
      </c>
      <c r="I247" s="85" t="s">
        <v>11</v>
      </c>
      <c r="J247" s="85" t="s">
        <v>12</v>
      </c>
      <c r="K247" s="85" t="s">
        <v>13</v>
      </c>
      <c r="L247" s="86">
        <f>MAX(MID(C247,{1,2,3},1)*1)-MIN(MID(C247,{1,2,3},1)*1)</f>
        <v>0</v>
      </c>
      <c r="M247" s="87">
        <v>0</v>
      </c>
      <c r="N247" s="87">
        <v>1</v>
      </c>
      <c r="O247" s="87">
        <v>2</v>
      </c>
      <c r="P247" s="87">
        <v>3</v>
      </c>
      <c r="Q247" s="87">
        <v>4</v>
      </c>
      <c r="R247" s="87">
        <v>5</v>
      </c>
      <c r="S247" s="87">
        <v>6</v>
      </c>
      <c r="T247" s="87">
        <v>7</v>
      </c>
      <c r="U247" s="87">
        <v>8</v>
      </c>
      <c r="V247" s="87">
        <v>9</v>
      </c>
      <c r="W247" s="88">
        <f t="shared" si="231"/>
        <v>0</v>
      </c>
      <c r="X247" s="88">
        <f t="shared" si="232"/>
        <v>0</v>
      </c>
      <c r="Y247" s="88">
        <f t="shared" si="233"/>
        <v>0</v>
      </c>
      <c r="Z247" s="89">
        <f t="shared" si="212"/>
        <v>0</v>
      </c>
      <c r="AA247" s="17" t="str">
        <f>_xlfn.TEXTJOIN(", ",TRUE,ABS(MID(C247,{1,1,2},1)-MID(C247,{2,3,3},1)))</f>
        <v>0, 0, 0</v>
      </c>
      <c r="AB247" s="90">
        <v>0</v>
      </c>
      <c r="AC247" s="90">
        <v>1</v>
      </c>
      <c r="AD247" s="90">
        <v>2</v>
      </c>
      <c r="AE247" s="90">
        <v>3</v>
      </c>
      <c r="AF247" s="90">
        <v>4</v>
      </c>
      <c r="AG247" s="90">
        <v>5</v>
      </c>
      <c r="AH247" s="90">
        <v>6</v>
      </c>
      <c r="AI247" s="90">
        <v>7</v>
      </c>
      <c r="AJ247" s="90">
        <v>8</v>
      </c>
      <c r="AK247" s="90">
        <v>9</v>
      </c>
      <c r="AL247" s="91">
        <v>0</v>
      </c>
      <c r="AM247" s="91">
        <v>1</v>
      </c>
      <c r="AN247" s="91">
        <v>2</v>
      </c>
      <c r="AO247" s="91">
        <v>3</v>
      </c>
      <c r="AP247" s="91">
        <v>4</v>
      </c>
      <c r="AQ247" s="91">
        <v>5</v>
      </c>
      <c r="AR247" s="91">
        <v>6</v>
      </c>
      <c r="AS247" s="91">
        <v>7</v>
      </c>
      <c r="AT247" s="91">
        <v>8</v>
      </c>
      <c r="AU247" s="91">
        <v>9</v>
      </c>
      <c r="AV247" s="92">
        <v>0</v>
      </c>
      <c r="AW247" s="92">
        <v>1</v>
      </c>
      <c r="AX247" s="92">
        <v>2</v>
      </c>
      <c r="AY247" s="92">
        <v>3</v>
      </c>
      <c r="AZ247" s="92">
        <v>4</v>
      </c>
      <c r="BA247" s="92">
        <v>5</v>
      </c>
      <c r="BB247" s="92">
        <v>6</v>
      </c>
      <c r="BC247" s="92">
        <v>7</v>
      </c>
      <c r="BD247" s="92">
        <v>8</v>
      </c>
      <c r="BE247" s="92">
        <v>9</v>
      </c>
      <c r="BF247" s="93">
        <v>0</v>
      </c>
      <c r="BG247" s="93">
        <v>1</v>
      </c>
      <c r="BH247" s="93">
        <v>2</v>
      </c>
      <c r="BI247" s="93">
        <v>3</v>
      </c>
      <c r="BJ247" s="93">
        <v>4</v>
      </c>
      <c r="BK247" s="93">
        <v>5</v>
      </c>
      <c r="BL247" s="93">
        <v>6</v>
      </c>
      <c r="BM247" s="93">
        <v>7</v>
      </c>
      <c r="BN247" s="93">
        <v>8</v>
      </c>
      <c r="BO247" s="93">
        <v>9</v>
      </c>
      <c r="BP247" s="94" t="str">
        <f t="shared" si="213"/>
        <v>紧凑型</v>
      </c>
      <c r="BQ247" s="15">
        <f t="shared" si="210"/>
        <v>0</v>
      </c>
      <c r="BR247" s="15">
        <f t="shared" si="211"/>
        <v>0</v>
      </c>
      <c r="BS247" s="20" t="str">
        <f t="shared" si="215"/>
        <v/>
      </c>
      <c r="BT247" s="21" t="str">
        <f t="shared" si="216"/>
        <v/>
      </c>
      <c r="BU247" s="21" t="str">
        <f t="array" ref="BU247">_xlfn.TEXTJOIN("",TRUE,IF(ISERROR(FIND(ROW($1:$168)-1,BS247&amp;BT247)),ROW($1:$168)-1,""))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47" s="22" t="str">
        <f t="shared" si="217"/>
        <v>中中中</v>
      </c>
      <c r="BW247" s="23" t="str">
        <f t="shared" si="228"/>
        <v/>
      </c>
      <c r="BX247" s="23" t="str">
        <f t="shared" si="226"/>
        <v/>
      </c>
      <c r="BY247" s="23" t="str">
        <f t="array" ref="BY247">_xlfn.TEXTJOIN("",TRUE,IF(ISERROR(FIND(ROW($1:$168)-1,BW247&amp;BX247)),ROW($1:$168)-1,""))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47" s="22" t="str">
        <f t="shared" si="218"/>
        <v>中中中</v>
      </c>
      <c r="CA247" s="24" t="str">
        <f t="shared" si="219"/>
        <v/>
      </c>
      <c r="CB247" s="24" t="str">
        <f t="shared" si="227"/>
        <v/>
      </c>
      <c r="CC247" s="24" t="str">
        <f t="array" ref="CC247">_xlfn.TEXTJOIN("",TRUE,IF(ISERROR(FIND(ROW($1:$168)-1,CA247&amp;CB247)),ROW($1:$168)-1,""))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47" s="22" t="str">
        <f t="shared" si="220"/>
        <v>中中中</v>
      </c>
      <c r="CE247" s="25" t="str">
        <f t="shared" si="214"/>
        <v>91</v>
      </c>
      <c r="CF247" s="26" t="str">
        <f t="array" ref="CF247">_xlfn.TEXTJOIN("",TRUE,IF(ISNUMBER(FIND(MID(CE246&amp;W246,ROW($1:$162),1),CE247&amp;W247)),MID(CE246&amp;W246,ROW($1:$162),1),""))</f>
        <v/>
      </c>
      <c r="CG247" s="27" t="str">
        <f t="array" ref="CG247">_xlfn.TEXTJOIN("",TRUE,IF(ISERROR(FIND(ROW($1:$168)-1,CE247&amp;CF247)),ROW($1:$168)-1,""))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247" s="28" t="str">
        <f t="shared" si="221"/>
        <v>邻孤孤</v>
      </c>
      <c r="CI247" s="29" t="str">
        <f t="shared" si="222"/>
        <v>91</v>
      </c>
      <c r="CJ247" s="29" t="str">
        <f t="array" ref="CJ247">_xlfn.TEXTJOIN("",TRUE,IF(ISNUMBER(FIND(MID(CI246&amp;X246,ROW($1:$162),1),CI247&amp;X247)),MID(CI246&amp;X246,ROW($1:$162),1),""))</f>
        <v>01</v>
      </c>
      <c r="CK247" s="29" t="str">
        <f t="array" ref="CK247">_xlfn.TEXTJOIN("",TRUE,IF(ISERROR(FIND(ROW($1:$168)-1,CI247&amp;CJ247)),ROW($1:$168)-1,""))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L247" s="19" t="str">
        <f t="shared" si="223"/>
        <v>邻传孤</v>
      </c>
      <c r="CM247" s="24" t="str">
        <f t="shared" si="224"/>
        <v>91</v>
      </c>
      <c r="CN247" s="24" t="str">
        <f t="array" ref="CN247">_xlfn.TEXTJOIN("",TRUE,IF(ISNUMBER(FIND(MID(CM246&amp;Y246,ROW($1:$162),1),CM247&amp;Y247)),MID(CM246&amp;Y246,ROW($1:$162),1),""))</f>
        <v/>
      </c>
      <c r="CO247" s="24" t="str">
        <f t="array" ref="CO247">_xlfn.TEXTJOIN("",TRUE,IF(ISERROR(FIND(ROW($1:$168)-1,CM247&amp;CN247)),ROW($1:$168)-1,""))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247" s="30" t="str">
        <f t="shared" si="225"/>
        <v>邻孤孤</v>
      </c>
    </row>
    <row r="248" spans="1:94">
      <c r="A248" s="15">
        <v>248</v>
      </c>
      <c r="B248" s="80">
        <v>2024217</v>
      </c>
      <c r="C248" s="8" t="s">
        <v>251</v>
      </c>
      <c r="D248" s="81">
        <f t="shared" si="229"/>
        <v>9</v>
      </c>
      <c r="E248" s="82">
        <f t="shared" si="230"/>
        <v>9</v>
      </c>
      <c r="F248" s="83">
        <f t="shared" si="203"/>
        <v>1.8</v>
      </c>
      <c r="G248" s="84" t="str">
        <f t="shared" si="204"/>
        <v>松散</v>
      </c>
      <c r="H248" s="85" t="s">
        <v>10</v>
      </c>
      <c r="I248" s="85" t="s">
        <v>11</v>
      </c>
      <c r="J248" s="85" t="s">
        <v>12</v>
      </c>
      <c r="K248" s="85" t="s">
        <v>13</v>
      </c>
      <c r="L248" s="86">
        <f>MAX(MID(C248,{1,2,3},1)*1)-MIN(MID(C248,{1,2,3},1)*1)</f>
        <v>5</v>
      </c>
      <c r="M248" s="87">
        <v>0</v>
      </c>
      <c r="N248" s="87">
        <v>1</v>
      </c>
      <c r="O248" s="87">
        <v>2</v>
      </c>
      <c r="P248" s="87">
        <v>3</v>
      </c>
      <c r="Q248" s="87">
        <v>4</v>
      </c>
      <c r="R248" s="87">
        <v>5</v>
      </c>
      <c r="S248" s="87">
        <v>6</v>
      </c>
      <c r="T248" s="87">
        <v>7</v>
      </c>
      <c r="U248" s="87">
        <v>8</v>
      </c>
      <c r="V248" s="87">
        <v>9</v>
      </c>
      <c r="W248" s="88">
        <f t="shared" si="231"/>
        <v>4</v>
      </c>
      <c r="X248" s="88">
        <f t="shared" si="232"/>
        <v>1</v>
      </c>
      <c r="Y248" s="88">
        <f t="shared" si="233"/>
        <v>5</v>
      </c>
      <c r="Z248" s="89">
        <f t="shared" si="212"/>
        <v>10</v>
      </c>
      <c r="AA248" s="17" t="str">
        <f>_xlfn.TEXTJOIN(", ",TRUE,ABS(MID(C248,{1,1,2},1)-MID(C248,{2,3,3},1)))</f>
        <v>4, 1, 5</v>
      </c>
      <c r="AB248" s="90">
        <v>0</v>
      </c>
      <c r="AC248" s="90">
        <v>1</v>
      </c>
      <c r="AD248" s="90">
        <v>2</v>
      </c>
      <c r="AE248" s="90">
        <v>3</v>
      </c>
      <c r="AF248" s="90">
        <v>4</v>
      </c>
      <c r="AG248" s="90">
        <v>5</v>
      </c>
      <c r="AH248" s="90">
        <v>6</v>
      </c>
      <c r="AI248" s="90">
        <v>7</v>
      </c>
      <c r="AJ248" s="90">
        <v>8</v>
      </c>
      <c r="AK248" s="90">
        <v>9</v>
      </c>
      <c r="AL248" s="91">
        <v>0</v>
      </c>
      <c r="AM248" s="91">
        <v>1</v>
      </c>
      <c r="AN248" s="91">
        <v>2</v>
      </c>
      <c r="AO248" s="91">
        <v>3</v>
      </c>
      <c r="AP248" s="91">
        <v>4</v>
      </c>
      <c r="AQ248" s="91">
        <v>5</v>
      </c>
      <c r="AR248" s="91">
        <v>6</v>
      </c>
      <c r="AS248" s="91">
        <v>7</v>
      </c>
      <c r="AT248" s="91">
        <v>8</v>
      </c>
      <c r="AU248" s="91">
        <v>9</v>
      </c>
      <c r="AV248" s="92">
        <v>0</v>
      </c>
      <c r="AW248" s="92">
        <v>1</v>
      </c>
      <c r="AX248" s="92">
        <v>2</v>
      </c>
      <c r="AY248" s="92">
        <v>3</v>
      </c>
      <c r="AZ248" s="92">
        <v>4</v>
      </c>
      <c r="BA248" s="92">
        <v>5</v>
      </c>
      <c r="BB248" s="92">
        <v>6</v>
      </c>
      <c r="BC248" s="92">
        <v>7</v>
      </c>
      <c r="BD248" s="92">
        <v>8</v>
      </c>
      <c r="BE248" s="92">
        <v>9</v>
      </c>
      <c r="BF248" s="93">
        <v>0</v>
      </c>
      <c r="BG248" s="93">
        <v>1</v>
      </c>
      <c r="BH248" s="93">
        <v>2</v>
      </c>
      <c r="BI248" s="93">
        <v>3</v>
      </c>
      <c r="BJ248" s="93">
        <v>4</v>
      </c>
      <c r="BK248" s="93">
        <v>5</v>
      </c>
      <c r="BL248" s="93">
        <v>6</v>
      </c>
      <c r="BM248" s="93">
        <v>7</v>
      </c>
      <c r="BN248" s="93">
        <v>8</v>
      </c>
      <c r="BO248" s="93">
        <v>9</v>
      </c>
      <c r="BP248" s="94" t="str">
        <f t="shared" si="213"/>
        <v>标准型</v>
      </c>
      <c r="BQ248" s="15">
        <f t="shared" si="210"/>
        <v>1</v>
      </c>
      <c r="BR248" s="15">
        <f t="shared" si="211"/>
        <v>5</v>
      </c>
      <c r="BS248" s="20" t="str">
        <f t="shared" si="215"/>
        <v/>
      </c>
      <c r="BT248" s="21">
        <f t="shared" si="216"/>
        <v>4</v>
      </c>
      <c r="BU248" s="21" t="str">
        <f t="array" ref="BU248">_xlfn.TEXTJOIN("",TRUE,IF(ISERROR(FIND(ROW($1:$168)-1,BS248&amp;BT248)),ROW($1:$168)-1,""))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48" s="22" t="str">
        <f t="shared" si="217"/>
        <v>中隔中</v>
      </c>
      <c r="BW248" s="23" t="str">
        <f t="shared" si="228"/>
        <v/>
      </c>
      <c r="BX248" s="23">
        <f t="shared" si="226"/>
        <v>1</v>
      </c>
      <c r="BY248" s="23" t="str">
        <f t="array" ref="BY248">_xlfn.TEXTJOIN("",TRUE,IF(ISERROR(FIND(ROW($1:$168)-1,BW248&amp;BX248)),ROW($1:$168)-1,""))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48" s="22" t="str">
        <f t="shared" si="218"/>
        <v>中隔中</v>
      </c>
      <c r="CA248" s="24" t="str">
        <f t="shared" si="219"/>
        <v/>
      </c>
      <c r="CB248" s="24">
        <f t="shared" si="227"/>
        <v>5</v>
      </c>
      <c r="CC248" s="24" t="str">
        <f t="array" ref="CC248">_xlfn.TEXTJOIN("",TRUE,IF(ISERROR(FIND(ROW($1:$168)-1,CA248&amp;CB248)),ROW($1:$168)-1,""))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48" s="22" t="str">
        <f t="shared" si="220"/>
        <v>中隔中</v>
      </c>
      <c r="CE248" s="25" t="str">
        <f t="shared" si="214"/>
        <v>35</v>
      </c>
      <c r="CF248" s="26" t="str">
        <f t="array" ref="CF248">_xlfn.TEXTJOIN("",TRUE,IF(ISNUMBER(FIND(MID(CE247&amp;W247,ROW($1:$162),1),CE248&amp;W248)),MID(CE247&amp;W247,ROW($1:$162),1),""))</f>
        <v/>
      </c>
      <c r="CG248" s="27" t="str">
        <f t="array" ref="CG248">_xlfn.TEXTJOIN("",TRUE,IF(ISERROR(FIND(ROW($1:$168)-1,CE248&amp;CF248)),ROW($1:$168)-1,""))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48" s="28" t="str">
        <f t="shared" si="221"/>
        <v>邻孤孤</v>
      </c>
      <c r="CI248" s="29" t="str">
        <f t="shared" si="222"/>
        <v>02</v>
      </c>
      <c r="CJ248" s="29" t="str">
        <f t="array" ref="CJ248">_xlfn.TEXTJOIN("",TRUE,IF(ISNUMBER(FIND(MID(CI247&amp;X247,ROW($1:$162),1),CI248&amp;X248)),MID(CI247&amp;X247,ROW($1:$162),1),""))</f>
        <v>10</v>
      </c>
      <c r="CK248" s="29" t="str">
        <f t="array" ref="CK248">_xlfn.TEXTJOIN("",TRUE,IF(ISERROR(FIND(ROW($1:$168)-1,CI248&amp;CJ248)),ROW($1:$168)-1,""))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48" s="19" t="str">
        <f t="shared" si="223"/>
        <v>邻传孤</v>
      </c>
      <c r="CM248" s="24" t="str">
        <f t="shared" si="224"/>
        <v>46</v>
      </c>
      <c r="CN248" s="24" t="str">
        <f t="array" ref="CN248">_xlfn.TEXTJOIN("",TRUE,IF(ISNUMBER(FIND(MID(CM247&amp;Y247,ROW($1:$162),1),CM248&amp;Y248)),MID(CM247&amp;Y247,ROW($1:$162),1),""))</f>
        <v/>
      </c>
      <c r="CO248" s="24" t="str">
        <f t="array" ref="CO248">_xlfn.TEXTJOIN("",TRUE,IF(ISERROR(FIND(ROW($1:$168)-1,CM248&amp;CN248)),ROW($1:$168)-1,""))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48" s="30" t="str">
        <f t="shared" si="225"/>
        <v>邻孤孤</v>
      </c>
    </row>
    <row r="249" spans="1:94">
      <c r="A249" s="15">
        <v>249</v>
      </c>
      <c r="B249" s="80">
        <v>2024218</v>
      </c>
      <c r="C249" s="8" t="s">
        <v>252</v>
      </c>
      <c r="D249" s="81">
        <f t="shared" si="229"/>
        <v>17</v>
      </c>
      <c r="E249" s="82">
        <f t="shared" si="230"/>
        <v>7</v>
      </c>
      <c r="F249" s="83">
        <f t="shared" si="203"/>
        <v>5.66666666666667</v>
      </c>
      <c r="G249" s="84" t="str">
        <f t="shared" si="204"/>
        <v>紧凑</v>
      </c>
      <c r="H249" s="85" t="s">
        <v>10</v>
      </c>
      <c r="I249" s="85" t="s">
        <v>11</v>
      </c>
      <c r="J249" s="85" t="s">
        <v>12</v>
      </c>
      <c r="K249" s="85" t="s">
        <v>13</v>
      </c>
      <c r="L249" s="86">
        <f>MAX(MID(C249,{1,2,3},1)*1)-MIN(MID(C249,{1,2,3},1)*1)</f>
        <v>3</v>
      </c>
      <c r="M249" s="87">
        <v>0</v>
      </c>
      <c r="N249" s="87">
        <v>1</v>
      </c>
      <c r="O249" s="87">
        <v>2</v>
      </c>
      <c r="P249" s="87">
        <v>3</v>
      </c>
      <c r="Q249" s="87">
        <v>4</v>
      </c>
      <c r="R249" s="87">
        <v>5</v>
      </c>
      <c r="S249" s="87">
        <v>6</v>
      </c>
      <c r="T249" s="87">
        <v>7</v>
      </c>
      <c r="U249" s="87">
        <v>8</v>
      </c>
      <c r="V249" s="87">
        <v>9</v>
      </c>
      <c r="W249" s="88">
        <f t="shared" si="231"/>
        <v>2</v>
      </c>
      <c r="X249" s="88">
        <f t="shared" si="232"/>
        <v>3</v>
      </c>
      <c r="Y249" s="88">
        <f t="shared" si="233"/>
        <v>1</v>
      </c>
      <c r="Z249" s="89">
        <f t="shared" si="212"/>
        <v>6</v>
      </c>
      <c r="AA249" s="17" t="str">
        <f>_xlfn.TEXTJOIN(", ",TRUE,ABS(MID(C249,{1,1,2},1)-MID(C249,{2,3,3},1)))</f>
        <v>2, 3, 1</v>
      </c>
      <c r="AB249" s="90">
        <v>0</v>
      </c>
      <c r="AC249" s="90">
        <v>1</v>
      </c>
      <c r="AD249" s="90">
        <v>2</v>
      </c>
      <c r="AE249" s="90">
        <v>3</v>
      </c>
      <c r="AF249" s="90">
        <v>4</v>
      </c>
      <c r="AG249" s="90">
        <v>5</v>
      </c>
      <c r="AH249" s="90">
        <v>6</v>
      </c>
      <c r="AI249" s="90">
        <v>7</v>
      </c>
      <c r="AJ249" s="90">
        <v>8</v>
      </c>
      <c r="AK249" s="90">
        <v>9</v>
      </c>
      <c r="AL249" s="91">
        <v>0</v>
      </c>
      <c r="AM249" s="91">
        <v>1</v>
      </c>
      <c r="AN249" s="91">
        <v>2</v>
      </c>
      <c r="AO249" s="91">
        <v>3</v>
      </c>
      <c r="AP249" s="91">
        <v>4</v>
      </c>
      <c r="AQ249" s="91">
        <v>5</v>
      </c>
      <c r="AR249" s="91">
        <v>6</v>
      </c>
      <c r="AS249" s="91">
        <v>7</v>
      </c>
      <c r="AT249" s="91">
        <v>8</v>
      </c>
      <c r="AU249" s="91">
        <v>9</v>
      </c>
      <c r="AV249" s="92">
        <v>0</v>
      </c>
      <c r="AW249" s="92">
        <v>1</v>
      </c>
      <c r="AX249" s="92">
        <v>2</v>
      </c>
      <c r="AY249" s="92">
        <v>3</v>
      </c>
      <c r="AZ249" s="92">
        <v>4</v>
      </c>
      <c r="BA249" s="92">
        <v>5</v>
      </c>
      <c r="BB249" s="92">
        <v>6</v>
      </c>
      <c r="BC249" s="92">
        <v>7</v>
      </c>
      <c r="BD249" s="92">
        <v>8</v>
      </c>
      <c r="BE249" s="92">
        <v>9</v>
      </c>
      <c r="BF249" s="93">
        <v>0</v>
      </c>
      <c r="BG249" s="93">
        <v>1</v>
      </c>
      <c r="BH249" s="93">
        <v>2</v>
      </c>
      <c r="BI249" s="93">
        <v>3</v>
      </c>
      <c r="BJ249" s="93">
        <v>4</v>
      </c>
      <c r="BK249" s="93">
        <v>5</v>
      </c>
      <c r="BL249" s="93">
        <v>6</v>
      </c>
      <c r="BM249" s="93">
        <v>7</v>
      </c>
      <c r="BN249" s="93">
        <v>8</v>
      </c>
      <c r="BO249" s="93">
        <v>9</v>
      </c>
      <c r="BP249" s="94" t="str">
        <f t="shared" si="213"/>
        <v>紧凑型</v>
      </c>
      <c r="BQ249" s="15">
        <f t="shared" si="210"/>
        <v>1</v>
      </c>
      <c r="BR249" s="15">
        <f t="shared" si="211"/>
        <v>3</v>
      </c>
      <c r="BS249" s="20" t="str">
        <f t="shared" si="215"/>
        <v/>
      </c>
      <c r="BT249" s="21" t="str">
        <f t="shared" si="216"/>
        <v/>
      </c>
      <c r="BU249" s="21" t="str">
        <f t="array" ref="BU249">_xlfn.TEXTJOIN("",TRUE,IF(ISERROR(FIND(ROW($1:$168)-1,BS249&amp;BT249)),ROW($1:$168)-1,""))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49" s="22" t="str">
        <f t="shared" si="217"/>
        <v>中中中</v>
      </c>
      <c r="BW249" s="23" t="str">
        <f t="shared" si="228"/>
        <v/>
      </c>
      <c r="BX249" s="23" t="str">
        <f t="shared" si="226"/>
        <v/>
      </c>
      <c r="BY249" s="23" t="str">
        <f t="array" ref="BY249">_xlfn.TEXTJOIN("",TRUE,IF(ISERROR(FIND(ROW($1:$168)-1,BW249&amp;BX249)),ROW($1:$168)-1,""))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49" s="22" t="str">
        <f t="shared" si="218"/>
        <v>中中中</v>
      </c>
      <c r="CA249" s="24">
        <f t="shared" si="219"/>
        <v>1</v>
      </c>
      <c r="CB249" s="24" t="str">
        <f t="shared" si="227"/>
        <v/>
      </c>
      <c r="CC249" s="24" t="str">
        <f t="array" ref="CC249">_xlfn.TEXTJOIN("",TRUE,IF(ISERROR(FIND(ROW($1:$168)-1,CA249&amp;CB249)),ROW($1:$168)-1,""))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49" s="22" t="str">
        <f t="shared" si="220"/>
        <v>复中中</v>
      </c>
      <c r="CE249" s="25" t="str">
        <f t="shared" si="214"/>
        <v>13</v>
      </c>
      <c r="CF249" s="26" t="str">
        <f t="array" ref="CF249">_xlfn.TEXTJOIN("",TRUE,IF(ISNUMBER(FIND(MID(CE248&amp;W248,ROW($1:$162),1),CE249&amp;W249)),MID(CE248&amp;W248,ROW($1:$162),1),""))</f>
        <v>3</v>
      </c>
      <c r="CG249" s="27" t="str">
        <f t="array" ref="CG249">_xlfn.TEXTJOIN("",TRUE,IF(ISERROR(FIND(ROW($1:$168)-1,CE249&amp;CF249)),ROW($1:$168)-1,""))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249" s="28" t="str">
        <f t="shared" si="221"/>
        <v>邻传孤</v>
      </c>
      <c r="CI249" s="29" t="str">
        <f t="shared" si="222"/>
        <v>24</v>
      </c>
      <c r="CJ249" s="29" t="str">
        <f t="array" ref="CJ249">_xlfn.TEXTJOIN("",TRUE,IF(ISNUMBER(FIND(MID(CI248&amp;X248,ROW($1:$162),1),CI249&amp;X249)),MID(CI248&amp;X248,ROW($1:$162),1),""))</f>
        <v>2</v>
      </c>
      <c r="CK249" s="29" t="str">
        <f t="array" ref="CK249">_xlfn.TEXTJOIN("",TRUE,IF(ISERROR(FIND(ROW($1:$168)-1,CI249&amp;CJ249)),ROW($1:$168)-1,""))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49" s="19" t="str">
        <f t="shared" si="223"/>
        <v>邻传孤</v>
      </c>
      <c r="CM249" s="24" t="str">
        <f t="shared" si="224"/>
        <v>02</v>
      </c>
      <c r="CN249" s="24" t="str">
        <f t="array" ref="CN249">_xlfn.TEXTJOIN("",TRUE,IF(ISNUMBER(FIND(MID(CM248&amp;Y248,ROW($1:$162),1),CM249&amp;Y249)),MID(CM248&amp;Y248,ROW($1:$162),1),""))</f>
        <v/>
      </c>
      <c r="CO249" s="24" t="str">
        <f t="array" ref="CO249">_xlfn.TEXTJOIN("",TRUE,IF(ISERROR(FIND(ROW($1:$168)-1,CM249&amp;CN249)),ROW($1:$168)-1,""))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49" s="30" t="str">
        <f t="shared" si="225"/>
        <v>邻孤孤</v>
      </c>
    </row>
    <row r="250" spans="1:94">
      <c r="A250" s="15">
        <v>250</v>
      </c>
      <c r="B250" s="80">
        <v>2024219</v>
      </c>
      <c r="C250" s="8" t="s">
        <v>253</v>
      </c>
      <c r="D250" s="81">
        <f t="shared" si="229"/>
        <v>8</v>
      </c>
      <c r="E250" s="82">
        <f t="shared" si="230"/>
        <v>8</v>
      </c>
      <c r="F250" s="83">
        <f t="shared" si="203"/>
        <v>1.6</v>
      </c>
      <c r="G250" s="84" t="str">
        <f t="shared" si="204"/>
        <v>松散</v>
      </c>
      <c r="H250" s="85" t="s">
        <v>10</v>
      </c>
      <c r="I250" s="85" t="s">
        <v>11</v>
      </c>
      <c r="J250" s="85" t="s">
        <v>12</v>
      </c>
      <c r="K250" s="85" t="s">
        <v>13</v>
      </c>
      <c r="L250" s="86">
        <f>MAX(MID(C250,{1,2,3},1)*1)-MIN(MID(C250,{1,2,3},1)*1)</f>
        <v>5</v>
      </c>
      <c r="M250" s="87">
        <v>0</v>
      </c>
      <c r="N250" s="87">
        <v>1</v>
      </c>
      <c r="O250" s="87">
        <v>2</v>
      </c>
      <c r="P250" s="87">
        <v>3</v>
      </c>
      <c r="Q250" s="87">
        <v>4</v>
      </c>
      <c r="R250" s="87">
        <v>5</v>
      </c>
      <c r="S250" s="87">
        <v>6</v>
      </c>
      <c r="T250" s="87">
        <v>7</v>
      </c>
      <c r="U250" s="87">
        <v>8</v>
      </c>
      <c r="V250" s="87">
        <v>9</v>
      </c>
      <c r="W250" s="88">
        <f t="shared" si="231"/>
        <v>3</v>
      </c>
      <c r="X250" s="88">
        <f t="shared" si="232"/>
        <v>2</v>
      </c>
      <c r="Y250" s="88">
        <f t="shared" si="233"/>
        <v>5</v>
      </c>
      <c r="Z250" s="89">
        <f t="shared" si="212"/>
        <v>10</v>
      </c>
      <c r="AA250" s="17" t="str">
        <f>_xlfn.TEXTJOIN(", ",TRUE,ABS(MID(C250,{1,1,2},1)-MID(C250,{2,3,3},1)))</f>
        <v>3, 2, 5</v>
      </c>
      <c r="AB250" s="90">
        <v>0</v>
      </c>
      <c r="AC250" s="90">
        <v>1</v>
      </c>
      <c r="AD250" s="90">
        <v>2</v>
      </c>
      <c r="AE250" s="90">
        <v>3</v>
      </c>
      <c r="AF250" s="90">
        <v>4</v>
      </c>
      <c r="AG250" s="90">
        <v>5</v>
      </c>
      <c r="AH250" s="90">
        <v>6</v>
      </c>
      <c r="AI250" s="90">
        <v>7</v>
      </c>
      <c r="AJ250" s="90">
        <v>8</v>
      </c>
      <c r="AK250" s="90">
        <v>9</v>
      </c>
      <c r="AL250" s="91">
        <v>0</v>
      </c>
      <c r="AM250" s="91">
        <v>1</v>
      </c>
      <c r="AN250" s="91">
        <v>2</v>
      </c>
      <c r="AO250" s="91">
        <v>3</v>
      </c>
      <c r="AP250" s="91">
        <v>4</v>
      </c>
      <c r="AQ250" s="91">
        <v>5</v>
      </c>
      <c r="AR250" s="91">
        <v>6</v>
      </c>
      <c r="AS250" s="91">
        <v>7</v>
      </c>
      <c r="AT250" s="91">
        <v>8</v>
      </c>
      <c r="AU250" s="91">
        <v>9</v>
      </c>
      <c r="AV250" s="92">
        <v>0</v>
      </c>
      <c r="AW250" s="92">
        <v>1</v>
      </c>
      <c r="AX250" s="92">
        <v>2</v>
      </c>
      <c r="AY250" s="92">
        <v>3</v>
      </c>
      <c r="AZ250" s="92">
        <v>4</v>
      </c>
      <c r="BA250" s="92">
        <v>5</v>
      </c>
      <c r="BB250" s="92">
        <v>6</v>
      </c>
      <c r="BC250" s="92">
        <v>7</v>
      </c>
      <c r="BD250" s="92">
        <v>8</v>
      </c>
      <c r="BE250" s="92">
        <v>9</v>
      </c>
      <c r="BF250" s="93">
        <v>0</v>
      </c>
      <c r="BG250" s="93">
        <v>1</v>
      </c>
      <c r="BH250" s="93">
        <v>2</v>
      </c>
      <c r="BI250" s="93">
        <v>3</v>
      </c>
      <c r="BJ250" s="93">
        <v>4</v>
      </c>
      <c r="BK250" s="93">
        <v>5</v>
      </c>
      <c r="BL250" s="93">
        <v>6</v>
      </c>
      <c r="BM250" s="93">
        <v>7</v>
      </c>
      <c r="BN250" s="93">
        <v>8</v>
      </c>
      <c r="BO250" s="93">
        <v>9</v>
      </c>
      <c r="BP250" s="94" t="str">
        <f t="shared" si="213"/>
        <v>标准型</v>
      </c>
      <c r="BQ250" s="15">
        <f t="shared" si="210"/>
        <v>2</v>
      </c>
      <c r="BR250" s="15">
        <f t="shared" si="211"/>
        <v>5</v>
      </c>
      <c r="BS250" s="20">
        <f t="shared" si="215"/>
        <v>3</v>
      </c>
      <c r="BT250" s="21" t="str">
        <f t="shared" si="216"/>
        <v/>
      </c>
      <c r="BU250" s="21" t="str">
        <f t="array" ref="BU250">_xlfn.TEXTJOIN("",TRUE,IF(ISERROR(FIND(ROW($1:$168)-1,BS250&amp;BT250)),ROW($1:$168)-1,""))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50" s="22" t="str">
        <f t="shared" si="217"/>
        <v>复中中</v>
      </c>
      <c r="BW250" s="23">
        <f t="shared" si="228"/>
        <v>2</v>
      </c>
      <c r="BX250" s="23" t="str">
        <f t="shared" si="226"/>
        <v/>
      </c>
      <c r="BY250" s="23" t="str">
        <f t="array" ref="BY250">_xlfn.TEXTJOIN("",TRUE,IF(ISERROR(FIND(ROW($1:$168)-1,BW250&amp;BX250)),ROW($1:$168)-1,""))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50" s="22" t="str">
        <f t="shared" si="218"/>
        <v>复中中</v>
      </c>
      <c r="CA250" s="24" t="str">
        <f t="shared" si="219"/>
        <v/>
      </c>
      <c r="CB250" s="24">
        <f t="shared" si="227"/>
        <v>5</v>
      </c>
      <c r="CC250" s="24" t="str">
        <f t="array" ref="CC250">_xlfn.TEXTJOIN("",TRUE,IF(ISERROR(FIND(ROW($1:$168)-1,CA250&amp;CB250)),ROW($1:$168)-1,""))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50" s="22" t="str">
        <f t="shared" si="220"/>
        <v>中隔中</v>
      </c>
      <c r="CE250" s="25" t="str">
        <f t="shared" si="214"/>
        <v>24</v>
      </c>
      <c r="CF250" s="26" t="str">
        <f t="array" ref="CF250">_xlfn.TEXTJOIN("",TRUE,IF(ISNUMBER(FIND(MID(CE249&amp;W249,ROW($1:$162),1),CE250&amp;W250)),MID(CE249&amp;W249,ROW($1:$162),1),""))</f>
        <v>32</v>
      </c>
      <c r="CG250" s="27" t="str">
        <f t="array" ref="CG250">_xlfn.TEXTJOIN("",TRUE,IF(ISERROR(FIND(ROW($1:$168)-1,CE250&amp;CF250)),ROW($1:$168)-1,""))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50" s="28" t="str">
        <f t="shared" si="221"/>
        <v>邻传孤</v>
      </c>
      <c r="CI250" s="29" t="str">
        <f t="shared" si="222"/>
        <v>13</v>
      </c>
      <c r="CJ250" s="29" t="str">
        <f t="array" ref="CJ250">_xlfn.TEXTJOIN("",TRUE,IF(ISNUMBER(FIND(MID(CI249&amp;X249,ROW($1:$162),1),CI250&amp;X250)),MID(CI249&amp;X249,ROW($1:$162),1),""))</f>
        <v>23</v>
      </c>
      <c r="CK250" s="29" t="str">
        <f t="array" ref="CK250">_xlfn.TEXTJOIN("",TRUE,IF(ISERROR(FIND(ROW($1:$168)-1,CI250&amp;CJ250)),ROW($1:$168)-1,""))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250" s="19" t="str">
        <f t="shared" si="223"/>
        <v>邻传孤</v>
      </c>
      <c r="CM250" s="24" t="str">
        <f t="shared" si="224"/>
        <v>46</v>
      </c>
      <c r="CN250" s="24" t="str">
        <f t="array" ref="CN250">_xlfn.TEXTJOIN("",TRUE,IF(ISNUMBER(FIND(MID(CM249&amp;Y249,ROW($1:$162),1),CM250&amp;Y250)),MID(CM249&amp;Y249,ROW($1:$162),1),""))</f>
        <v/>
      </c>
      <c r="CO250" s="24" t="str">
        <f t="array" ref="CO250">_xlfn.TEXTJOIN("",TRUE,IF(ISERROR(FIND(ROW($1:$168)-1,CM250&amp;CN250)),ROW($1:$168)-1,""))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50" s="30" t="str">
        <f t="shared" si="225"/>
        <v>邻孤孤</v>
      </c>
    </row>
    <row r="251" spans="1:94">
      <c r="A251" s="15">
        <v>251</v>
      </c>
      <c r="B251" s="80">
        <v>2024220</v>
      </c>
      <c r="C251" s="8" t="s">
        <v>254</v>
      </c>
      <c r="D251" s="81">
        <f t="shared" si="229"/>
        <v>9</v>
      </c>
      <c r="E251" s="82">
        <f t="shared" si="230"/>
        <v>9</v>
      </c>
      <c r="F251" s="83">
        <f t="shared" si="203"/>
        <v>3</v>
      </c>
      <c r="G251" s="84" t="str">
        <f t="shared" si="204"/>
        <v>标准</v>
      </c>
      <c r="H251" s="85" t="s">
        <v>10</v>
      </c>
      <c r="I251" s="85" t="s">
        <v>11</v>
      </c>
      <c r="J251" s="85" t="s">
        <v>12</v>
      </c>
      <c r="K251" s="85" t="s">
        <v>13</v>
      </c>
      <c r="L251" s="86">
        <f>MAX(MID(C251,{1,2,3},1)*1)-MIN(MID(C251,{1,2,3},1)*1)</f>
        <v>3</v>
      </c>
      <c r="M251" s="87">
        <v>0</v>
      </c>
      <c r="N251" s="87">
        <v>1</v>
      </c>
      <c r="O251" s="87">
        <v>2</v>
      </c>
      <c r="P251" s="87">
        <v>3</v>
      </c>
      <c r="Q251" s="87">
        <v>4</v>
      </c>
      <c r="R251" s="87">
        <v>5</v>
      </c>
      <c r="S251" s="87">
        <v>6</v>
      </c>
      <c r="T251" s="87">
        <v>7</v>
      </c>
      <c r="U251" s="87">
        <v>8</v>
      </c>
      <c r="V251" s="87">
        <v>9</v>
      </c>
      <c r="W251" s="88">
        <f t="shared" si="231"/>
        <v>3</v>
      </c>
      <c r="X251" s="88">
        <f t="shared" si="232"/>
        <v>0</v>
      </c>
      <c r="Y251" s="88">
        <f t="shared" si="233"/>
        <v>3</v>
      </c>
      <c r="Z251" s="89">
        <f t="shared" si="212"/>
        <v>6</v>
      </c>
      <c r="AA251" s="17" t="str">
        <f>_xlfn.TEXTJOIN(", ",TRUE,ABS(MID(C251,{1,1,2},1)-MID(C251,{2,3,3},1)))</f>
        <v>3, 0, 3</v>
      </c>
      <c r="AB251" s="90">
        <v>0</v>
      </c>
      <c r="AC251" s="90">
        <v>1</v>
      </c>
      <c r="AD251" s="90">
        <v>2</v>
      </c>
      <c r="AE251" s="90">
        <v>3</v>
      </c>
      <c r="AF251" s="90">
        <v>4</v>
      </c>
      <c r="AG251" s="90">
        <v>5</v>
      </c>
      <c r="AH251" s="90">
        <v>6</v>
      </c>
      <c r="AI251" s="90">
        <v>7</v>
      </c>
      <c r="AJ251" s="90">
        <v>8</v>
      </c>
      <c r="AK251" s="90">
        <v>9</v>
      </c>
      <c r="AL251" s="91">
        <v>0</v>
      </c>
      <c r="AM251" s="91">
        <v>1</v>
      </c>
      <c r="AN251" s="91">
        <v>2</v>
      </c>
      <c r="AO251" s="91">
        <v>3</v>
      </c>
      <c r="AP251" s="91">
        <v>4</v>
      </c>
      <c r="AQ251" s="91">
        <v>5</v>
      </c>
      <c r="AR251" s="91">
        <v>6</v>
      </c>
      <c r="AS251" s="91">
        <v>7</v>
      </c>
      <c r="AT251" s="91">
        <v>8</v>
      </c>
      <c r="AU251" s="91">
        <v>9</v>
      </c>
      <c r="AV251" s="92">
        <v>0</v>
      </c>
      <c r="AW251" s="92">
        <v>1</v>
      </c>
      <c r="AX251" s="92">
        <v>2</v>
      </c>
      <c r="AY251" s="92">
        <v>3</v>
      </c>
      <c r="AZ251" s="92">
        <v>4</v>
      </c>
      <c r="BA251" s="92">
        <v>5</v>
      </c>
      <c r="BB251" s="92">
        <v>6</v>
      </c>
      <c r="BC251" s="92">
        <v>7</v>
      </c>
      <c r="BD251" s="92">
        <v>8</v>
      </c>
      <c r="BE251" s="92">
        <v>9</v>
      </c>
      <c r="BF251" s="93">
        <v>0</v>
      </c>
      <c r="BG251" s="93">
        <v>1</v>
      </c>
      <c r="BH251" s="93">
        <v>2</v>
      </c>
      <c r="BI251" s="93">
        <v>3</v>
      </c>
      <c r="BJ251" s="93">
        <v>4</v>
      </c>
      <c r="BK251" s="93">
        <v>5</v>
      </c>
      <c r="BL251" s="93">
        <v>6</v>
      </c>
      <c r="BM251" s="93">
        <v>7</v>
      </c>
      <c r="BN251" s="93">
        <v>8</v>
      </c>
      <c r="BO251" s="93">
        <v>9</v>
      </c>
      <c r="BP251" s="94" t="str">
        <f t="shared" si="213"/>
        <v>紧凑型</v>
      </c>
      <c r="BQ251" s="15">
        <f t="shared" si="210"/>
        <v>0</v>
      </c>
      <c r="BR251" s="15">
        <f t="shared" si="211"/>
        <v>3</v>
      </c>
      <c r="BS251" s="20">
        <f t="shared" si="215"/>
        <v>3</v>
      </c>
      <c r="BT251" s="21">
        <f t="shared" si="216"/>
        <v>3</v>
      </c>
      <c r="BU251" s="21" t="str">
        <f t="array" ref="BU251">_xlfn.TEXTJOIN("",TRUE,IF(ISERROR(FIND(ROW($1:$168)-1,BS251&amp;BT251)),ROW($1:$168)-1,""))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51" s="22" t="str">
        <f t="shared" si="217"/>
        <v>复隔中</v>
      </c>
      <c r="BW251" s="23" t="str">
        <f t="shared" si="228"/>
        <v/>
      </c>
      <c r="BX251" s="23" t="str">
        <f t="shared" si="226"/>
        <v/>
      </c>
      <c r="BY251" s="23" t="str">
        <f t="array" ref="BY251">_xlfn.TEXTJOIN("",TRUE,IF(ISERROR(FIND(ROW($1:$168)-1,BW251&amp;BX251)),ROW($1:$168)-1,""))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51" s="22" t="str">
        <f t="shared" si="218"/>
        <v>中中中</v>
      </c>
      <c r="CA251" s="24">
        <f t="shared" si="219"/>
        <v>3</v>
      </c>
      <c r="CB251" s="24">
        <f t="shared" si="227"/>
        <v>3</v>
      </c>
      <c r="CC251" s="24" t="str">
        <f t="array" ref="CC251">_xlfn.TEXTJOIN("",TRUE,IF(ISERROR(FIND(ROW($1:$168)-1,CA251&amp;CB251)),ROW($1:$168)-1,""))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51" s="22" t="str">
        <f t="shared" si="220"/>
        <v>复隔中</v>
      </c>
      <c r="CE251" s="25" t="str">
        <f t="shared" si="214"/>
        <v>24</v>
      </c>
      <c r="CF251" s="26" t="str">
        <f t="array" ref="CF251">_xlfn.TEXTJOIN("",TRUE,IF(ISNUMBER(FIND(MID(CE250&amp;W250,ROW($1:$162),1),CE251&amp;W251)),MID(CE250&amp;W250,ROW($1:$162),1),""))</f>
        <v>243</v>
      </c>
      <c r="CG251" s="27" t="str">
        <f t="array" ref="CG251">_xlfn.TEXTJOIN("",TRUE,IF(ISERROR(FIND(ROW($1:$168)-1,CE251&amp;CF251)),ROW($1:$168)-1,""))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51" s="28" t="str">
        <f t="shared" si="221"/>
        <v>邻传孤</v>
      </c>
      <c r="CI251" s="29" t="str">
        <f t="shared" si="222"/>
        <v>91</v>
      </c>
      <c r="CJ251" s="29" t="str">
        <f t="array" ref="CJ251">_xlfn.TEXTJOIN("",TRUE,IF(ISNUMBER(FIND(MID(CI250&amp;X250,ROW($1:$162),1),CI251&amp;X251)),MID(CI250&amp;X250,ROW($1:$162),1),""))</f>
        <v>1</v>
      </c>
      <c r="CK251" s="29" t="str">
        <f t="array" ref="CK251">_xlfn.TEXTJOIN("",TRUE,IF(ISERROR(FIND(ROW($1:$168)-1,CI251&amp;CJ251)),ROW($1:$168)-1,""))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251" s="19" t="str">
        <f t="shared" si="223"/>
        <v>邻传孤</v>
      </c>
      <c r="CM251" s="24" t="str">
        <f t="shared" si="224"/>
        <v>24</v>
      </c>
      <c r="CN251" s="24" t="str">
        <f t="array" ref="CN251">_xlfn.TEXTJOIN("",TRUE,IF(ISNUMBER(FIND(MID(CM250&amp;Y250,ROW($1:$162),1),CM251&amp;Y251)),MID(CM250&amp;Y250,ROW($1:$162),1),""))</f>
        <v>4</v>
      </c>
      <c r="CO251" s="24" t="str">
        <f t="array" ref="CO251">_xlfn.TEXTJOIN("",TRUE,IF(ISERROR(FIND(ROW($1:$168)-1,CM251&amp;CN251)),ROW($1:$168)-1,""))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51" s="30" t="str">
        <f t="shared" si="225"/>
        <v>邻传孤</v>
      </c>
    </row>
    <row r="252" spans="1:94">
      <c r="A252" s="15">
        <v>252</v>
      </c>
      <c r="B252" s="80">
        <v>2024221</v>
      </c>
      <c r="C252" s="8" t="s">
        <v>255</v>
      </c>
      <c r="D252" s="81">
        <f t="shared" si="229"/>
        <v>4</v>
      </c>
      <c r="E252" s="82">
        <f t="shared" si="230"/>
        <v>4</v>
      </c>
      <c r="F252" s="83">
        <f t="shared" si="203"/>
        <v>1.33333333333333</v>
      </c>
      <c r="G252" s="84" t="str">
        <f t="shared" si="204"/>
        <v>松散</v>
      </c>
      <c r="H252" s="85" t="s">
        <v>10</v>
      </c>
      <c r="I252" s="85" t="s">
        <v>11</v>
      </c>
      <c r="J252" s="85" t="s">
        <v>12</v>
      </c>
      <c r="K252" s="85" t="s">
        <v>13</v>
      </c>
      <c r="L252" s="86">
        <f>MAX(MID(C252,{1,2,3},1)*1)-MIN(MID(C252,{1,2,3},1)*1)</f>
        <v>3</v>
      </c>
      <c r="M252" s="87">
        <v>0</v>
      </c>
      <c r="N252" s="87">
        <v>1</v>
      </c>
      <c r="O252" s="87">
        <v>2</v>
      </c>
      <c r="P252" s="87">
        <v>3</v>
      </c>
      <c r="Q252" s="87">
        <v>4</v>
      </c>
      <c r="R252" s="87">
        <v>5</v>
      </c>
      <c r="S252" s="87">
        <v>6</v>
      </c>
      <c r="T252" s="87">
        <v>7</v>
      </c>
      <c r="U252" s="87">
        <v>8</v>
      </c>
      <c r="V252" s="87">
        <v>9</v>
      </c>
      <c r="W252" s="88">
        <f t="shared" si="231"/>
        <v>1</v>
      </c>
      <c r="X252" s="88">
        <f t="shared" si="232"/>
        <v>2</v>
      </c>
      <c r="Y252" s="88">
        <f t="shared" si="233"/>
        <v>3</v>
      </c>
      <c r="Z252" s="89">
        <f t="shared" si="212"/>
        <v>6</v>
      </c>
      <c r="AA252" s="17" t="str">
        <f>_xlfn.TEXTJOIN(", ",TRUE,ABS(MID(C252,{1,1,2},1)-MID(C252,{2,3,3},1)))</f>
        <v>1, 2, 3</v>
      </c>
      <c r="AB252" s="90">
        <v>0</v>
      </c>
      <c r="AC252" s="90">
        <v>1</v>
      </c>
      <c r="AD252" s="90">
        <v>2</v>
      </c>
      <c r="AE252" s="90">
        <v>3</v>
      </c>
      <c r="AF252" s="90">
        <v>4</v>
      </c>
      <c r="AG252" s="90">
        <v>5</v>
      </c>
      <c r="AH252" s="90">
        <v>6</v>
      </c>
      <c r="AI252" s="90">
        <v>7</v>
      </c>
      <c r="AJ252" s="90">
        <v>8</v>
      </c>
      <c r="AK252" s="90">
        <v>9</v>
      </c>
      <c r="AL252" s="91">
        <v>0</v>
      </c>
      <c r="AM252" s="91">
        <v>1</v>
      </c>
      <c r="AN252" s="91">
        <v>2</v>
      </c>
      <c r="AO252" s="91">
        <v>3</v>
      </c>
      <c r="AP252" s="91">
        <v>4</v>
      </c>
      <c r="AQ252" s="91">
        <v>5</v>
      </c>
      <c r="AR252" s="91">
        <v>6</v>
      </c>
      <c r="AS252" s="91">
        <v>7</v>
      </c>
      <c r="AT252" s="91">
        <v>8</v>
      </c>
      <c r="AU252" s="91">
        <v>9</v>
      </c>
      <c r="AV252" s="92">
        <v>0</v>
      </c>
      <c r="AW252" s="92">
        <v>1</v>
      </c>
      <c r="AX252" s="92">
        <v>2</v>
      </c>
      <c r="AY252" s="92">
        <v>3</v>
      </c>
      <c r="AZ252" s="92">
        <v>4</v>
      </c>
      <c r="BA252" s="92">
        <v>5</v>
      </c>
      <c r="BB252" s="92">
        <v>6</v>
      </c>
      <c r="BC252" s="92">
        <v>7</v>
      </c>
      <c r="BD252" s="92">
        <v>8</v>
      </c>
      <c r="BE252" s="92">
        <v>9</v>
      </c>
      <c r="BF252" s="93">
        <v>0</v>
      </c>
      <c r="BG252" s="93">
        <v>1</v>
      </c>
      <c r="BH252" s="93">
        <v>2</v>
      </c>
      <c r="BI252" s="93">
        <v>3</v>
      </c>
      <c r="BJ252" s="93">
        <v>4</v>
      </c>
      <c r="BK252" s="93">
        <v>5</v>
      </c>
      <c r="BL252" s="93">
        <v>6</v>
      </c>
      <c r="BM252" s="93">
        <v>7</v>
      </c>
      <c r="BN252" s="93">
        <v>8</v>
      </c>
      <c r="BO252" s="93">
        <v>9</v>
      </c>
      <c r="BP252" s="94" t="str">
        <f t="shared" si="213"/>
        <v>紧凑型</v>
      </c>
      <c r="BQ252" s="15">
        <f t="shared" si="210"/>
        <v>1</v>
      </c>
      <c r="BR252" s="15">
        <f t="shared" si="211"/>
        <v>3</v>
      </c>
      <c r="BS252" s="20" t="str">
        <f t="shared" si="215"/>
        <v/>
      </c>
      <c r="BT252" s="21" t="str">
        <f t="shared" si="216"/>
        <v/>
      </c>
      <c r="BU252" s="21" t="str">
        <f t="array" ref="BU252">_xlfn.TEXTJOIN("",TRUE,IF(ISERROR(FIND(ROW($1:$168)-1,BS252&amp;BT252)),ROW($1:$168)-1,""))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52" s="22" t="str">
        <f t="shared" si="217"/>
        <v>中中中</v>
      </c>
      <c r="BW252" s="23" t="str">
        <f t="shared" si="228"/>
        <v/>
      </c>
      <c r="BX252" s="23">
        <f t="shared" si="226"/>
        <v>2</v>
      </c>
      <c r="BY252" s="23" t="str">
        <f t="array" ref="BY252">_xlfn.TEXTJOIN("",TRUE,IF(ISERROR(FIND(ROW($1:$168)-1,BW252&amp;BX252)),ROW($1:$168)-1,""))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52" s="22" t="str">
        <f t="shared" si="218"/>
        <v>中隔中</v>
      </c>
      <c r="CA252" s="24">
        <f t="shared" si="219"/>
        <v>3</v>
      </c>
      <c r="CB252" s="24">
        <f t="shared" si="227"/>
        <v>3</v>
      </c>
      <c r="CC252" s="24" t="str">
        <f t="array" ref="CC252">_xlfn.TEXTJOIN("",TRUE,IF(ISERROR(FIND(ROW($1:$168)-1,CA252&amp;CB252)),ROW($1:$168)-1,""))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52" s="22" t="str">
        <f t="shared" si="220"/>
        <v>复隔中</v>
      </c>
      <c r="CE252" s="25" t="str">
        <f t="shared" si="214"/>
        <v>02</v>
      </c>
      <c r="CF252" s="26" t="str">
        <f t="array" ref="CF252">_xlfn.TEXTJOIN("",TRUE,IF(ISNUMBER(FIND(MID(CE251&amp;W251,ROW($1:$162),1),CE252&amp;W252)),MID(CE251&amp;W251,ROW($1:$162),1),""))</f>
        <v>2</v>
      </c>
      <c r="CG252" s="27" t="str">
        <f t="array" ref="CG252">_xlfn.TEXTJOIN("",TRUE,IF(ISERROR(FIND(ROW($1:$168)-1,CE252&amp;CF252)),ROW($1:$168)-1,""))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52" s="28" t="str">
        <f t="shared" si="221"/>
        <v>邻传孤</v>
      </c>
      <c r="CI252" s="29" t="str">
        <f t="shared" si="222"/>
        <v>13</v>
      </c>
      <c r="CJ252" s="29" t="str">
        <f t="array" ref="CJ252">_xlfn.TEXTJOIN("",TRUE,IF(ISNUMBER(FIND(MID(CI251&amp;X251,ROW($1:$162),1),CI252&amp;X252)),MID(CI251&amp;X251,ROW($1:$162),1),""))</f>
        <v>1</v>
      </c>
      <c r="CK252" s="29" t="str">
        <f t="array" ref="CK252">_xlfn.TEXTJOIN("",TRUE,IF(ISERROR(FIND(ROW($1:$168)-1,CI252&amp;CJ252)),ROW($1:$168)-1,""))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L252" s="19" t="str">
        <f t="shared" si="223"/>
        <v>邻传孤</v>
      </c>
      <c r="CM252" s="24" t="str">
        <f t="shared" si="224"/>
        <v>24</v>
      </c>
      <c r="CN252" s="24" t="str">
        <f t="array" ref="CN252">_xlfn.TEXTJOIN("",TRUE,IF(ISNUMBER(FIND(MID(CM251&amp;Y251,ROW($1:$162),1),CM252&amp;Y252)),MID(CM251&amp;Y251,ROW($1:$162),1),""))</f>
        <v>243</v>
      </c>
      <c r="CO252" s="24" t="str">
        <f t="array" ref="CO252">_xlfn.TEXTJOIN("",TRUE,IF(ISERROR(FIND(ROW($1:$168)-1,CM252&amp;CN252)),ROW($1:$168)-1,""))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52" s="30" t="str">
        <f t="shared" si="225"/>
        <v>邻传孤</v>
      </c>
    </row>
    <row r="253" spans="1:94">
      <c r="A253" s="15">
        <v>253</v>
      </c>
      <c r="B253" s="80">
        <v>2024222</v>
      </c>
      <c r="C253" s="8" t="s">
        <v>143</v>
      </c>
      <c r="D253" s="81">
        <f t="shared" si="229"/>
        <v>15</v>
      </c>
      <c r="E253" s="82">
        <f t="shared" si="230"/>
        <v>5</v>
      </c>
      <c r="F253" s="83">
        <f t="shared" si="203"/>
        <v>7.5</v>
      </c>
      <c r="G253" s="84" t="str">
        <f t="shared" si="204"/>
        <v>紧凑</v>
      </c>
      <c r="H253" s="85" t="s">
        <v>10</v>
      </c>
      <c r="I253" s="85" t="s">
        <v>11</v>
      </c>
      <c r="J253" s="85" t="s">
        <v>12</v>
      </c>
      <c r="K253" s="85" t="s">
        <v>13</v>
      </c>
      <c r="L253" s="86">
        <f>MAX(MID(C253,{1,2,3},1)*1)-MIN(MID(C253,{1,2,3},1)*1)</f>
        <v>2</v>
      </c>
      <c r="M253" s="87">
        <v>0</v>
      </c>
      <c r="N253" s="87">
        <v>1</v>
      </c>
      <c r="O253" s="87">
        <v>2</v>
      </c>
      <c r="P253" s="87">
        <v>3</v>
      </c>
      <c r="Q253" s="87">
        <v>4</v>
      </c>
      <c r="R253" s="87">
        <v>5</v>
      </c>
      <c r="S253" s="87">
        <v>6</v>
      </c>
      <c r="T253" s="87">
        <v>7</v>
      </c>
      <c r="U253" s="87">
        <v>8</v>
      </c>
      <c r="V253" s="87">
        <v>9</v>
      </c>
      <c r="W253" s="88">
        <f t="shared" si="231"/>
        <v>1</v>
      </c>
      <c r="X253" s="88">
        <f t="shared" si="232"/>
        <v>1</v>
      </c>
      <c r="Y253" s="88">
        <f t="shared" si="233"/>
        <v>2</v>
      </c>
      <c r="Z253" s="89">
        <f t="shared" si="212"/>
        <v>4</v>
      </c>
      <c r="AA253" s="17" t="str">
        <f>_xlfn.TEXTJOIN(", ",TRUE,ABS(MID(C253,{1,1,2},1)-MID(C253,{2,3,3},1)))</f>
        <v>1, 1, 2</v>
      </c>
      <c r="AB253" s="90">
        <v>0</v>
      </c>
      <c r="AC253" s="90">
        <v>1</v>
      </c>
      <c r="AD253" s="90">
        <v>2</v>
      </c>
      <c r="AE253" s="90">
        <v>3</v>
      </c>
      <c r="AF253" s="90">
        <v>4</v>
      </c>
      <c r="AG253" s="90">
        <v>5</v>
      </c>
      <c r="AH253" s="90">
        <v>6</v>
      </c>
      <c r="AI253" s="90">
        <v>7</v>
      </c>
      <c r="AJ253" s="90">
        <v>8</v>
      </c>
      <c r="AK253" s="90">
        <v>9</v>
      </c>
      <c r="AL253" s="91">
        <v>0</v>
      </c>
      <c r="AM253" s="91">
        <v>1</v>
      </c>
      <c r="AN253" s="91">
        <v>2</v>
      </c>
      <c r="AO253" s="91">
        <v>3</v>
      </c>
      <c r="AP253" s="91">
        <v>4</v>
      </c>
      <c r="AQ253" s="91">
        <v>5</v>
      </c>
      <c r="AR253" s="91">
        <v>6</v>
      </c>
      <c r="AS253" s="91">
        <v>7</v>
      </c>
      <c r="AT253" s="91">
        <v>8</v>
      </c>
      <c r="AU253" s="91">
        <v>9</v>
      </c>
      <c r="AV253" s="92">
        <v>0</v>
      </c>
      <c r="AW253" s="92">
        <v>1</v>
      </c>
      <c r="AX253" s="92">
        <v>2</v>
      </c>
      <c r="AY253" s="92">
        <v>3</v>
      </c>
      <c r="AZ253" s="92">
        <v>4</v>
      </c>
      <c r="BA253" s="92">
        <v>5</v>
      </c>
      <c r="BB253" s="92">
        <v>6</v>
      </c>
      <c r="BC253" s="92">
        <v>7</v>
      </c>
      <c r="BD253" s="92">
        <v>8</v>
      </c>
      <c r="BE253" s="92">
        <v>9</v>
      </c>
      <c r="BF253" s="93">
        <v>0</v>
      </c>
      <c r="BG253" s="93">
        <v>1</v>
      </c>
      <c r="BH253" s="93">
        <v>2</v>
      </c>
      <c r="BI253" s="93">
        <v>3</v>
      </c>
      <c r="BJ253" s="93">
        <v>4</v>
      </c>
      <c r="BK253" s="93">
        <v>5</v>
      </c>
      <c r="BL253" s="93">
        <v>6</v>
      </c>
      <c r="BM253" s="93">
        <v>7</v>
      </c>
      <c r="BN253" s="93">
        <v>8</v>
      </c>
      <c r="BO253" s="93">
        <v>9</v>
      </c>
      <c r="BP253" s="94" t="str">
        <f t="shared" si="213"/>
        <v>紧凑型</v>
      </c>
      <c r="BQ253" s="15">
        <f t="shared" si="210"/>
        <v>1</v>
      </c>
      <c r="BR253" s="15">
        <f t="shared" si="211"/>
        <v>2</v>
      </c>
      <c r="BS253" s="20">
        <f t="shared" si="215"/>
        <v>1</v>
      </c>
      <c r="BT253" s="21" t="str">
        <f t="shared" si="216"/>
        <v/>
      </c>
      <c r="BU253" s="21" t="str">
        <f t="array" ref="BU253">_xlfn.TEXTJOIN("",TRUE,IF(ISERROR(FIND(ROW($1:$168)-1,BS253&amp;BT253)),ROW($1:$168)-1,""))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53" s="22" t="str">
        <f t="shared" si="217"/>
        <v>复中中</v>
      </c>
      <c r="BW253" s="23">
        <f t="shared" si="228"/>
        <v>1</v>
      </c>
      <c r="BX253" s="23" t="str">
        <f t="shared" si="226"/>
        <v/>
      </c>
      <c r="BY253" s="23" t="str">
        <f t="array" ref="BY253">_xlfn.TEXTJOIN("",TRUE,IF(ISERROR(FIND(ROW($1:$168)-1,BW253&amp;BX253)),ROW($1:$168)-1,""))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53" s="22" t="str">
        <f t="shared" si="218"/>
        <v>复中中</v>
      </c>
      <c r="CA253" s="24">
        <f t="shared" si="219"/>
        <v>2</v>
      </c>
      <c r="CB253" s="24" t="str">
        <f t="shared" si="227"/>
        <v/>
      </c>
      <c r="CC253" s="24" t="str">
        <f t="array" ref="CC253">_xlfn.TEXTJOIN("",TRUE,IF(ISERROR(FIND(ROW($1:$168)-1,CA253&amp;CB253)),ROW($1:$168)-1,""))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53" s="22" t="str">
        <f t="shared" si="220"/>
        <v>复中中</v>
      </c>
      <c r="CE253" s="25" t="str">
        <f t="shared" si="214"/>
        <v>02</v>
      </c>
      <c r="CF253" s="26" t="str">
        <f t="array" ref="CF253">_xlfn.TEXTJOIN("",TRUE,IF(ISNUMBER(FIND(MID(CE252&amp;W252,ROW($1:$162),1),CE253&amp;W253)),MID(CE252&amp;W252,ROW($1:$162),1),""))</f>
        <v>021</v>
      </c>
      <c r="CG253" s="27" t="str">
        <f t="array" ref="CG253">_xlfn.TEXTJOIN("",TRUE,IF(ISERROR(FIND(ROW($1:$168)-1,CE253&amp;CF253)),ROW($1:$168)-1,""))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53" s="28" t="str">
        <f t="shared" si="221"/>
        <v>邻传孤</v>
      </c>
      <c r="CI253" s="29" t="str">
        <f t="shared" si="222"/>
        <v>02</v>
      </c>
      <c r="CJ253" s="29" t="str">
        <f t="array" ref="CJ253">_xlfn.TEXTJOIN("",TRUE,IF(ISNUMBER(FIND(MID(CI252&amp;X252,ROW($1:$162),1),CI253&amp;X253)),MID(CI252&amp;X252,ROW($1:$162),1),""))</f>
        <v>12</v>
      </c>
      <c r="CK253" s="29" t="str">
        <f t="array" ref="CK253">_xlfn.TEXTJOIN("",TRUE,IF(ISERROR(FIND(ROW($1:$168)-1,CI253&amp;CJ253)),ROW($1:$168)-1,""))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53" s="19" t="str">
        <f t="shared" si="223"/>
        <v>邻传孤</v>
      </c>
      <c r="CM253" s="24" t="str">
        <f t="shared" si="224"/>
        <v>13</v>
      </c>
      <c r="CN253" s="24" t="str">
        <f t="array" ref="CN253">_xlfn.TEXTJOIN("",TRUE,IF(ISNUMBER(FIND(MID(CM252&amp;Y252,ROW($1:$162),1),CM253&amp;Y253)),MID(CM252&amp;Y252,ROW($1:$162),1),""))</f>
        <v>23</v>
      </c>
      <c r="CO253" s="24" t="str">
        <f t="array" ref="CO253">_xlfn.TEXTJOIN("",TRUE,IF(ISERROR(FIND(ROW($1:$168)-1,CM253&amp;CN253)),ROW($1:$168)-1,""))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253" s="30" t="str">
        <f t="shared" si="225"/>
        <v>邻传孤</v>
      </c>
    </row>
    <row r="254" spans="1:94">
      <c r="A254" s="15">
        <v>254</v>
      </c>
      <c r="B254" s="80">
        <v>2024223</v>
      </c>
      <c r="C254" s="8" t="s">
        <v>256</v>
      </c>
      <c r="D254" s="81">
        <f t="shared" si="229"/>
        <v>17</v>
      </c>
      <c r="E254" s="82">
        <f t="shared" si="230"/>
        <v>7</v>
      </c>
      <c r="F254" s="83">
        <f t="shared" si="203"/>
        <v>4.25</v>
      </c>
      <c r="G254" s="84" t="str">
        <f t="shared" si="204"/>
        <v>紧凑</v>
      </c>
      <c r="H254" s="85" t="s">
        <v>10</v>
      </c>
      <c r="I254" s="85" t="s">
        <v>11</v>
      </c>
      <c r="J254" s="85" t="s">
        <v>12</v>
      </c>
      <c r="K254" s="85" t="s">
        <v>13</v>
      </c>
      <c r="L254" s="86">
        <f>MAX(MID(C254,{1,2,3},1)*1)-MIN(MID(C254,{1,2,3},1)*1)</f>
        <v>4</v>
      </c>
      <c r="M254" s="87">
        <v>0</v>
      </c>
      <c r="N254" s="87">
        <v>1</v>
      </c>
      <c r="O254" s="87">
        <v>2</v>
      </c>
      <c r="P254" s="87">
        <v>3</v>
      </c>
      <c r="Q254" s="87">
        <v>4</v>
      </c>
      <c r="R254" s="87">
        <v>5</v>
      </c>
      <c r="S254" s="87">
        <v>6</v>
      </c>
      <c r="T254" s="87">
        <v>7</v>
      </c>
      <c r="U254" s="87">
        <v>8</v>
      </c>
      <c r="V254" s="87">
        <v>9</v>
      </c>
      <c r="W254" s="88">
        <f t="shared" si="231"/>
        <v>0</v>
      </c>
      <c r="X254" s="88">
        <f t="shared" si="232"/>
        <v>4</v>
      </c>
      <c r="Y254" s="88">
        <f t="shared" si="233"/>
        <v>4</v>
      </c>
      <c r="Z254" s="89">
        <f t="shared" si="212"/>
        <v>8</v>
      </c>
      <c r="AA254" s="17" t="str">
        <f>_xlfn.TEXTJOIN(", ",TRUE,ABS(MID(C254,{1,1,2},1)-MID(C254,{2,3,3},1)))</f>
        <v>0, 4, 4</v>
      </c>
      <c r="AB254" s="90">
        <v>0</v>
      </c>
      <c r="AC254" s="90">
        <v>1</v>
      </c>
      <c r="AD254" s="90">
        <v>2</v>
      </c>
      <c r="AE254" s="90">
        <v>3</v>
      </c>
      <c r="AF254" s="90">
        <v>4</v>
      </c>
      <c r="AG254" s="90">
        <v>5</v>
      </c>
      <c r="AH254" s="90">
        <v>6</v>
      </c>
      <c r="AI254" s="90">
        <v>7</v>
      </c>
      <c r="AJ254" s="90">
        <v>8</v>
      </c>
      <c r="AK254" s="90">
        <v>9</v>
      </c>
      <c r="AL254" s="91">
        <v>0</v>
      </c>
      <c r="AM254" s="91">
        <v>1</v>
      </c>
      <c r="AN254" s="91">
        <v>2</v>
      </c>
      <c r="AO254" s="91">
        <v>3</v>
      </c>
      <c r="AP254" s="91">
        <v>4</v>
      </c>
      <c r="AQ254" s="91">
        <v>5</v>
      </c>
      <c r="AR254" s="91">
        <v>6</v>
      </c>
      <c r="AS254" s="91">
        <v>7</v>
      </c>
      <c r="AT254" s="91">
        <v>8</v>
      </c>
      <c r="AU254" s="91">
        <v>9</v>
      </c>
      <c r="AV254" s="92">
        <v>0</v>
      </c>
      <c r="AW254" s="92">
        <v>1</v>
      </c>
      <c r="AX254" s="92">
        <v>2</v>
      </c>
      <c r="AY254" s="92">
        <v>3</v>
      </c>
      <c r="AZ254" s="92">
        <v>4</v>
      </c>
      <c r="BA254" s="92">
        <v>5</v>
      </c>
      <c r="BB254" s="92">
        <v>6</v>
      </c>
      <c r="BC254" s="92">
        <v>7</v>
      </c>
      <c r="BD254" s="92">
        <v>8</v>
      </c>
      <c r="BE254" s="92">
        <v>9</v>
      </c>
      <c r="BF254" s="93">
        <v>0</v>
      </c>
      <c r="BG254" s="93">
        <v>1</v>
      </c>
      <c r="BH254" s="93">
        <v>2</v>
      </c>
      <c r="BI254" s="93">
        <v>3</v>
      </c>
      <c r="BJ254" s="93">
        <v>4</v>
      </c>
      <c r="BK254" s="93">
        <v>5</v>
      </c>
      <c r="BL254" s="93">
        <v>6</v>
      </c>
      <c r="BM254" s="93">
        <v>7</v>
      </c>
      <c r="BN254" s="93">
        <v>8</v>
      </c>
      <c r="BO254" s="93">
        <v>9</v>
      </c>
      <c r="BP254" s="94" t="str">
        <f t="shared" si="213"/>
        <v>紧凑型</v>
      </c>
      <c r="BQ254" s="15">
        <f t="shared" si="210"/>
        <v>0</v>
      </c>
      <c r="BR254" s="15">
        <f t="shared" si="211"/>
        <v>4</v>
      </c>
      <c r="BS254" s="20" t="str">
        <f t="shared" si="215"/>
        <v/>
      </c>
      <c r="BT254" s="21" t="str">
        <f t="shared" si="216"/>
        <v/>
      </c>
      <c r="BU254" s="21" t="str">
        <f t="array" ref="BU254">_xlfn.TEXTJOIN("",TRUE,IF(ISERROR(FIND(ROW($1:$168)-1,BS254&amp;BT254)),ROW($1:$168)-1,""))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54" s="22" t="str">
        <f t="shared" si="217"/>
        <v>中中中</v>
      </c>
      <c r="BW254" s="23" t="str">
        <f t="shared" si="228"/>
        <v/>
      </c>
      <c r="BX254" s="23" t="str">
        <f t="shared" si="226"/>
        <v/>
      </c>
      <c r="BY254" s="23" t="str">
        <f t="array" ref="BY254">_xlfn.TEXTJOIN("",TRUE,IF(ISERROR(FIND(ROW($1:$168)-1,BW254&amp;BX254)),ROW($1:$168)-1,""))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54" s="22" t="str">
        <f t="shared" si="218"/>
        <v>中中中</v>
      </c>
      <c r="CA254" s="24" t="str">
        <f t="shared" si="219"/>
        <v/>
      </c>
      <c r="CB254" s="24" t="str">
        <f t="shared" si="227"/>
        <v/>
      </c>
      <c r="CC254" s="24" t="str">
        <f t="array" ref="CC254">_xlfn.TEXTJOIN("",TRUE,IF(ISERROR(FIND(ROW($1:$168)-1,CA254&amp;CB254)),ROW($1:$168)-1,""))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54" s="22" t="str">
        <f t="shared" si="220"/>
        <v>中中中</v>
      </c>
      <c r="CE254" s="25" t="str">
        <f t="shared" si="214"/>
        <v>91</v>
      </c>
      <c r="CF254" s="26" t="str">
        <f t="array" ref="CF254">_xlfn.TEXTJOIN("",TRUE,IF(ISNUMBER(FIND(MID(CE253&amp;W253,ROW($1:$162),1),CE254&amp;W254)),MID(CE253&amp;W253,ROW($1:$162),1),""))</f>
        <v>01</v>
      </c>
      <c r="CG254" s="27" t="str">
        <f t="array" ref="CG254">_xlfn.TEXTJOIN("",TRUE,IF(ISERROR(FIND(ROW($1:$168)-1,CE254&amp;CF254)),ROW($1:$168)-1,""))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H254" s="28" t="str">
        <f t="shared" si="221"/>
        <v>邻传孤</v>
      </c>
      <c r="CI254" s="29" t="str">
        <f t="shared" si="222"/>
        <v>35</v>
      </c>
      <c r="CJ254" s="29" t="str">
        <f t="array" ref="CJ254">_xlfn.TEXTJOIN("",TRUE,IF(ISNUMBER(FIND(MID(CI253&amp;X253,ROW($1:$162),1),CI254&amp;X254)),MID(CI253&amp;X253,ROW($1:$162),1),""))</f>
        <v/>
      </c>
      <c r="CK254" s="29" t="str">
        <f t="array" ref="CK254">_xlfn.TEXTJOIN("",TRUE,IF(ISERROR(FIND(ROW($1:$168)-1,CI254&amp;CJ254)),ROW($1:$168)-1,""))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54" s="19" t="str">
        <f t="shared" si="223"/>
        <v>邻孤孤</v>
      </c>
      <c r="CM254" s="24" t="str">
        <f t="shared" si="224"/>
        <v>35</v>
      </c>
      <c r="CN254" s="24" t="str">
        <f t="array" ref="CN254">_xlfn.TEXTJOIN("",TRUE,IF(ISNUMBER(FIND(MID(CM253&amp;Y253,ROW($1:$162),1),CM254&amp;Y254)),MID(CM253&amp;Y253,ROW($1:$162),1),""))</f>
        <v>3</v>
      </c>
      <c r="CO254" s="24" t="str">
        <f t="array" ref="CO254">_xlfn.TEXTJOIN("",TRUE,IF(ISERROR(FIND(ROW($1:$168)-1,CM254&amp;CN254)),ROW($1:$168)-1,""))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54" s="30" t="str">
        <f t="shared" si="225"/>
        <v>邻传孤</v>
      </c>
    </row>
    <row r="255" spans="1:94">
      <c r="A255" s="15">
        <v>255</v>
      </c>
      <c r="B255" s="80">
        <v>2024224</v>
      </c>
      <c r="C255" s="8" t="s">
        <v>53</v>
      </c>
      <c r="D255" s="81">
        <f t="shared" si="229"/>
        <v>11</v>
      </c>
      <c r="E255" s="82">
        <f t="shared" si="230"/>
        <v>1</v>
      </c>
      <c r="F255" s="83">
        <f t="shared" si="203"/>
        <v>1.83333333333333</v>
      </c>
      <c r="G255" s="84" t="str">
        <f t="shared" si="204"/>
        <v>松散</v>
      </c>
      <c r="H255" s="85" t="s">
        <v>10</v>
      </c>
      <c r="I255" s="85" t="s">
        <v>11</v>
      </c>
      <c r="J255" s="85" t="s">
        <v>12</v>
      </c>
      <c r="K255" s="85" t="s">
        <v>13</v>
      </c>
      <c r="L255" s="86">
        <f>MAX(MID(C255,{1,2,3},1)*1)-MIN(MID(C255,{1,2,3},1)*1)</f>
        <v>6</v>
      </c>
      <c r="M255" s="87">
        <v>0</v>
      </c>
      <c r="N255" s="87">
        <v>1</v>
      </c>
      <c r="O255" s="87">
        <v>2</v>
      </c>
      <c r="P255" s="87">
        <v>3</v>
      </c>
      <c r="Q255" s="87">
        <v>4</v>
      </c>
      <c r="R255" s="87">
        <v>5</v>
      </c>
      <c r="S255" s="87">
        <v>6</v>
      </c>
      <c r="T255" s="87">
        <v>7</v>
      </c>
      <c r="U255" s="87">
        <v>8</v>
      </c>
      <c r="V255" s="87">
        <v>9</v>
      </c>
      <c r="W255" s="88">
        <f t="shared" si="231"/>
        <v>1</v>
      </c>
      <c r="X255" s="88">
        <f t="shared" si="232"/>
        <v>5</v>
      </c>
      <c r="Y255" s="88">
        <f t="shared" si="233"/>
        <v>6</v>
      </c>
      <c r="Z255" s="89">
        <f t="shared" si="212"/>
        <v>12</v>
      </c>
      <c r="AA255" s="17" t="str">
        <f>_xlfn.TEXTJOIN(", ",TRUE,ABS(MID(C255,{1,1,2},1)-MID(C255,{2,3,3},1)))</f>
        <v>1, 5, 6</v>
      </c>
      <c r="AB255" s="90">
        <v>0</v>
      </c>
      <c r="AC255" s="90">
        <v>1</v>
      </c>
      <c r="AD255" s="90">
        <v>2</v>
      </c>
      <c r="AE255" s="90">
        <v>3</v>
      </c>
      <c r="AF255" s="90">
        <v>4</v>
      </c>
      <c r="AG255" s="90">
        <v>5</v>
      </c>
      <c r="AH255" s="90">
        <v>6</v>
      </c>
      <c r="AI255" s="90">
        <v>7</v>
      </c>
      <c r="AJ255" s="90">
        <v>8</v>
      </c>
      <c r="AK255" s="90">
        <v>9</v>
      </c>
      <c r="AL255" s="91">
        <v>0</v>
      </c>
      <c r="AM255" s="91">
        <v>1</v>
      </c>
      <c r="AN255" s="91">
        <v>2</v>
      </c>
      <c r="AO255" s="91">
        <v>3</v>
      </c>
      <c r="AP255" s="91">
        <v>4</v>
      </c>
      <c r="AQ255" s="91">
        <v>5</v>
      </c>
      <c r="AR255" s="91">
        <v>6</v>
      </c>
      <c r="AS255" s="91">
        <v>7</v>
      </c>
      <c r="AT255" s="91">
        <v>8</v>
      </c>
      <c r="AU255" s="91">
        <v>9</v>
      </c>
      <c r="AV255" s="92">
        <v>0</v>
      </c>
      <c r="AW255" s="92">
        <v>1</v>
      </c>
      <c r="AX255" s="92">
        <v>2</v>
      </c>
      <c r="AY255" s="92">
        <v>3</v>
      </c>
      <c r="AZ255" s="92">
        <v>4</v>
      </c>
      <c r="BA255" s="92">
        <v>5</v>
      </c>
      <c r="BB255" s="92">
        <v>6</v>
      </c>
      <c r="BC255" s="92">
        <v>7</v>
      </c>
      <c r="BD255" s="92">
        <v>8</v>
      </c>
      <c r="BE255" s="92">
        <v>9</v>
      </c>
      <c r="BF255" s="93">
        <v>0</v>
      </c>
      <c r="BG255" s="93">
        <v>1</v>
      </c>
      <c r="BH255" s="93">
        <v>2</v>
      </c>
      <c r="BI255" s="93">
        <v>3</v>
      </c>
      <c r="BJ255" s="93">
        <v>4</v>
      </c>
      <c r="BK255" s="93">
        <v>5</v>
      </c>
      <c r="BL255" s="93">
        <v>6</v>
      </c>
      <c r="BM255" s="93">
        <v>7</v>
      </c>
      <c r="BN255" s="93">
        <v>8</v>
      </c>
      <c r="BO255" s="93">
        <v>9</v>
      </c>
      <c r="BP255" s="94" t="str">
        <f t="shared" si="213"/>
        <v>松散型</v>
      </c>
      <c r="BQ255" s="15">
        <f t="shared" si="210"/>
        <v>1</v>
      </c>
      <c r="BR255" s="15">
        <f t="shared" si="211"/>
        <v>6</v>
      </c>
      <c r="BS255" s="20" t="str">
        <f t="shared" si="215"/>
        <v/>
      </c>
      <c r="BT255" s="21">
        <f t="shared" si="216"/>
        <v>1</v>
      </c>
      <c r="BU255" s="21" t="str">
        <f t="array" ref="BU255">_xlfn.TEXTJOIN("",TRUE,IF(ISERROR(FIND(ROW($1:$168)-1,BS255&amp;BT255)),ROW($1:$168)-1,""))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55" s="22" t="str">
        <f t="shared" si="217"/>
        <v>中隔中</v>
      </c>
      <c r="BW255" s="23" t="str">
        <f t="shared" si="228"/>
        <v/>
      </c>
      <c r="BX255" s="23" t="str">
        <f t="shared" si="226"/>
        <v/>
      </c>
      <c r="BY255" s="23" t="str">
        <f t="array" ref="BY255">_xlfn.TEXTJOIN("",TRUE,IF(ISERROR(FIND(ROW($1:$168)-1,BW255&amp;BX255)),ROW($1:$168)-1,""))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55" s="22" t="str">
        <f t="shared" si="218"/>
        <v>中中中</v>
      </c>
      <c r="CA255" s="24" t="str">
        <f t="shared" si="219"/>
        <v/>
      </c>
      <c r="CB255" s="24" t="str">
        <f t="shared" si="227"/>
        <v/>
      </c>
      <c r="CC255" s="24" t="str">
        <f t="array" ref="CC255">_xlfn.TEXTJOIN("",TRUE,IF(ISERROR(FIND(ROW($1:$168)-1,CA255&amp;CB255)),ROW($1:$168)-1,""))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55" s="22" t="str">
        <f t="shared" si="220"/>
        <v>中中中</v>
      </c>
      <c r="CE255" s="25" t="str">
        <f t="shared" si="214"/>
        <v>02</v>
      </c>
      <c r="CF255" s="26" t="str">
        <f t="array" ref="CF255">_xlfn.TEXTJOIN("",TRUE,IF(ISNUMBER(FIND(MID(CE254&amp;W254,ROW($1:$162),1),CE255&amp;W255)),MID(CE254&amp;W254,ROW($1:$162),1),""))</f>
        <v>10</v>
      </c>
      <c r="CG255" s="27" t="str">
        <f t="array" ref="CG255">_xlfn.TEXTJOIN("",TRUE,IF(ISERROR(FIND(ROW($1:$168)-1,CE255&amp;CF255)),ROW($1:$168)-1,""))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55" s="28" t="str">
        <f t="shared" si="221"/>
        <v>邻传孤</v>
      </c>
      <c r="CI255" s="29" t="str">
        <f t="shared" si="222"/>
        <v>46</v>
      </c>
      <c r="CJ255" s="29" t="str">
        <f t="array" ref="CJ255">_xlfn.TEXTJOIN("",TRUE,IF(ISNUMBER(FIND(MID(CI254&amp;X254,ROW($1:$162),1),CI255&amp;X255)),MID(CI254&amp;X254,ROW($1:$162),1),""))</f>
        <v>54</v>
      </c>
      <c r="CK255" s="29" t="str">
        <f t="array" ref="CK255">_xlfn.TEXTJOIN("",TRUE,IF(ISERROR(FIND(ROW($1:$168)-1,CI255&amp;CJ255)),ROW($1:$168)-1,""))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55" s="19" t="str">
        <f t="shared" si="223"/>
        <v>邻传孤</v>
      </c>
      <c r="CM255" s="24" t="str">
        <f t="shared" si="224"/>
        <v>57</v>
      </c>
      <c r="CN255" s="24" t="str">
        <f t="array" ref="CN255">_xlfn.TEXTJOIN("",TRUE,IF(ISNUMBER(FIND(MID(CM254&amp;Y254,ROW($1:$162),1),CM255&amp;Y255)),MID(CM254&amp;Y254,ROW($1:$162),1),""))</f>
        <v>5</v>
      </c>
      <c r="CO255" s="24" t="str">
        <f t="array" ref="CO255">_xlfn.TEXTJOIN("",TRUE,IF(ISERROR(FIND(ROW($1:$168)-1,CM255&amp;CN255)),ROW($1:$168)-1,""))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55" s="30" t="str">
        <f t="shared" si="225"/>
        <v>邻传孤</v>
      </c>
    </row>
    <row r="256" spans="1:94">
      <c r="A256" s="15">
        <v>256</v>
      </c>
      <c r="B256" s="80">
        <v>2024225</v>
      </c>
      <c r="C256" s="8" t="s">
        <v>221</v>
      </c>
      <c r="D256" s="81">
        <f t="shared" ref="D256:D280" si="234">LEFT(C256,1)+MID(C256,2,1)+RIGHT(C256,1)</f>
        <v>20</v>
      </c>
      <c r="E256" s="82">
        <f t="shared" ref="E256:E280" si="235">MOD(LEFT(C256,1)+MID(C256,2,1)+RIGHT(C256,1),10)</f>
        <v>0</v>
      </c>
      <c r="F256" s="83">
        <f t="shared" si="203"/>
        <v>5</v>
      </c>
      <c r="G256" s="84" t="str">
        <f t="shared" si="204"/>
        <v>紧凑</v>
      </c>
      <c r="H256" s="85" t="s">
        <v>10</v>
      </c>
      <c r="I256" s="85" t="s">
        <v>11</v>
      </c>
      <c r="J256" s="85" t="s">
        <v>12</v>
      </c>
      <c r="K256" s="85" t="s">
        <v>13</v>
      </c>
      <c r="L256" s="86">
        <f>MAX(MID(C256,{1,2,3},1)*1)-MIN(MID(C256,{1,2,3},1)*1)</f>
        <v>4</v>
      </c>
      <c r="M256" s="87">
        <v>0</v>
      </c>
      <c r="N256" s="87">
        <v>1</v>
      </c>
      <c r="O256" s="87">
        <v>2</v>
      </c>
      <c r="P256" s="87">
        <v>3</v>
      </c>
      <c r="Q256" s="87">
        <v>4</v>
      </c>
      <c r="R256" s="87">
        <v>5</v>
      </c>
      <c r="S256" s="87">
        <v>6</v>
      </c>
      <c r="T256" s="87">
        <v>7</v>
      </c>
      <c r="U256" s="87">
        <v>8</v>
      </c>
      <c r="V256" s="87">
        <v>9</v>
      </c>
      <c r="W256" s="88">
        <f t="shared" ref="W256:W280" si="236">ABS(LEFT(C256,1)-MID(C256,2,1))</f>
        <v>0</v>
      </c>
      <c r="X256" s="88">
        <f t="shared" ref="X256:X280" si="237">ABS(LEFT(C256,1)-RIGHT(C256,1))</f>
        <v>4</v>
      </c>
      <c r="Y256" s="88">
        <f t="shared" ref="Y256:Y280" si="238">ABS(MID(C256,2,1)-RIGHT(C256,1))</f>
        <v>4</v>
      </c>
      <c r="Z256" s="89">
        <f t="shared" si="212"/>
        <v>8</v>
      </c>
      <c r="AA256" s="17" t="str">
        <f>_xlfn.TEXTJOIN(", ",TRUE,ABS(MID(C256,{1,1,2},1)-MID(C256,{2,3,3},1)))</f>
        <v>0, 4, 4</v>
      </c>
      <c r="AB256" s="90">
        <v>0</v>
      </c>
      <c r="AC256" s="90">
        <v>1</v>
      </c>
      <c r="AD256" s="90">
        <v>2</v>
      </c>
      <c r="AE256" s="90">
        <v>3</v>
      </c>
      <c r="AF256" s="90">
        <v>4</v>
      </c>
      <c r="AG256" s="90">
        <v>5</v>
      </c>
      <c r="AH256" s="90">
        <v>6</v>
      </c>
      <c r="AI256" s="90">
        <v>7</v>
      </c>
      <c r="AJ256" s="90">
        <v>8</v>
      </c>
      <c r="AK256" s="90">
        <v>9</v>
      </c>
      <c r="AL256" s="91">
        <v>0</v>
      </c>
      <c r="AM256" s="91">
        <v>1</v>
      </c>
      <c r="AN256" s="91">
        <v>2</v>
      </c>
      <c r="AO256" s="91">
        <v>3</v>
      </c>
      <c r="AP256" s="91">
        <v>4</v>
      </c>
      <c r="AQ256" s="91">
        <v>5</v>
      </c>
      <c r="AR256" s="91">
        <v>6</v>
      </c>
      <c r="AS256" s="91">
        <v>7</v>
      </c>
      <c r="AT256" s="91">
        <v>8</v>
      </c>
      <c r="AU256" s="91">
        <v>9</v>
      </c>
      <c r="AV256" s="92">
        <v>0</v>
      </c>
      <c r="AW256" s="92">
        <v>1</v>
      </c>
      <c r="AX256" s="92">
        <v>2</v>
      </c>
      <c r="AY256" s="92">
        <v>3</v>
      </c>
      <c r="AZ256" s="92">
        <v>4</v>
      </c>
      <c r="BA256" s="92">
        <v>5</v>
      </c>
      <c r="BB256" s="92">
        <v>6</v>
      </c>
      <c r="BC256" s="92">
        <v>7</v>
      </c>
      <c r="BD256" s="92">
        <v>8</v>
      </c>
      <c r="BE256" s="92">
        <v>9</v>
      </c>
      <c r="BF256" s="93">
        <v>0</v>
      </c>
      <c r="BG256" s="93">
        <v>1</v>
      </c>
      <c r="BH256" s="93">
        <v>2</v>
      </c>
      <c r="BI256" s="93">
        <v>3</v>
      </c>
      <c r="BJ256" s="93">
        <v>4</v>
      </c>
      <c r="BK256" s="93">
        <v>5</v>
      </c>
      <c r="BL256" s="93">
        <v>6</v>
      </c>
      <c r="BM256" s="93">
        <v>7</v>
      </c>
      <c r="BN256" s="93">
        <v>8</v>
      </c>
      <c r="BO256" s="93">
        <v>9</v>
      </c>
      <c r="BP256" s="94" t="str">
        <f t="shared" si="213"/>
        <v>紧凑型</v>
      </c>
      <c r="BQ256" s="15">
        <f t="shared" si="210"/>
        <v>0</v>
      </c>
      <c r="BR256" s="15">
        <f t="shared" si="211"/>
        <v>4</v>
      </c>
      <c r="BS256" s="20" t="str">
        <f t="shared" si="215"/>
        <v/>
      </c>
      <c r="BT256" s="21">
        <f t="shared" si="216"/>
        <v>0</v>
      </c>
      <c r="BU256" s="21" t="str">
        <f t="array" ref="BU256">_xlfn.TEXTJOIN("",TRUE,IF(ISERROR(FIND(ROW($1:$168)-1,BS256&amp;BT256)),ROW($1:$168)-1,""))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56" s="22" t="str">
        <f t="shared" si="217"/>
        <v>中隔中</v>
      </c>
      <c r="BW256" s="23" t="str">
        <f t="shared" si="228"/>
        <v/>
      </c>
      <c r="BX256" s="23">
        <f t="shared" si="226"/>
        <v>4</v>
      </c>
      <c r="BY256" s="23" t="str">
        <f t="array" ref="BY256">_xlfn.TEXTJOIN("",TRUE,IF(ISERROR(FIND(ROW($1:$168)-1,BW256&amp;BX256)),ROW($1:$168)-1,""))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56" s="22" t="str">
        <f t="shared" si="218"/>
        <v>中隔中</v>
      </c>
      <c r="CA256" s="24" t="str">
        <f t="shared" si="219"/>
        <v/>
      </c>
      <c r="CB256" s="24">
        <f t="shared" si="227"/>
        <v>4</v>
      </c>
      <c r="CC256" s="24" t="str">
        <f t="array" ref="CC256">_xlfn.TEXTJOIN("",TRUE,IF(ISERROR(FIND(ROW($1:$168)-1,CA256&amp;CB256)),ROW($1:$168)-1,""))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56" s="22" t="str">
        <f t="shared" si="220"/>
        <v>中隔中</v>
      </c>
      <c r="CE256" s="25" t="str">
        <f t="shared" si="214"/>
        <v>91</v>
      </c>
      <c r="CF256" s="26" t="str">
        <f t="array" ref="CF256">_xlfn.TEXTJOIN("",TRUE,IF(ISNUMBER(FIND(MID(CE255&amp;W255,ROW($1:$162),1),CE256&amp;W256)),MID(CE255&amp;W255,ROW($1:$162),1),""))</f>
        <v>01</v>
      </c>
      <c r="CG256" s="27" t="str">
        <f t="array" ref="CG256">_xlfn.TEXTJOIN("",TRUE,IF(ISERROR(FIND(ROW($1:$168)-1,CE256&amp;CF256)),ROW($1:$168)-1,""))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H256" s="28" t="str">
        <f t="shared" si="221"/>
        <v>邻传孤</v>
      </c>
      <c r="CI256" s="29" t="str">
        <f t="shared" si="222"/>
        <v>35</v>
      </c>
      <c r="CJ256" s="29" t="str">
        <f t="array" ref="CJ256">_xlfn.TEXTJOIN("",TRUE,IF(ISNUMBER(FIND(MID(CI255&amp;X255,ROW($1:$162),1),CI256&amp;X256)),MID(CI255&amp;X255,ROW($1:$162),1),""))</f>
        <v>45</v>
      </c>
      <c r="CK256" s="29" t="str">
        <f t="array" ref="CK256">_xlfn.TEXTJOIN("",TRUE,IF(ISERROR(FIND(ROW($1:$168)-1,CI256&amp;CJ256)),ROW($1:$168)-1,""))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56" s="19" t="str">
        <f t="shared" si="223"/>
        <v>邻传孤</v>
      </c>
      <c r="CM256" s="24" t="str">
        <f t="shared" si="224"/>
        <v>35</v>
      </c>
      <c r="CN256" s="24" t="str">
        <f t="array" ref="CN256">_xlfn.TEXTJOIN("",TRUE,IF(ISNUMBER(FIND(MID(CM255&amp;Y255,ROW($1:$162),1),CM256&amp;Y256)),MID(CM255&amp;Y255,ROW($1:$162),1),""))</f>
        <v>5</v>
      </c>
      <c r="CO256" s="24" t="str">
        <f t="array" ref="CO256">_xlfn.TEXTJOIN("",TRUE,IF(ISERROR(FIND(ROW($1:$168)-1,CM256&amp;CN256)),ROW($1:$168)-1,""))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56" s="30" t="str">
        <f t="shared" si="225"/>
        <v>邻传孤</v>
      </c>
    </row>
    <row r="257" spans="1:94">
      <c r="A257" s="15">
        <v>257</v>
      </c>
      <c r="B257" s="80">
        <v>2024226</v>
      </c>
      <c r="C257" s="8" t="s">
        <v>225</v>
      </c>
      <c r="D257" s="81">
        <f t="shared" si="234"/>
        <v>11</v>
      </c>
      <c r="E257" s="82">
        <f t="shared" si="235"/>
        <v>1</v>
      </c>
      <c r="F257" s="83">
        <f t="shared" si="203"/>
        <v>1.375</v>
      </c>
      <c r="G257" s="84" t="str">
        <f t="shared" si="204"/>
        <v>松散</v>
      </c>
      <c r="H257" s="85" t="s">
        <v>10</v>
      </c>
      <c r="I257" s="85" t="s">
        <v>11</v>
      </c>
      <c r="J257" s="85" t="s">
        <v>12</v>
      </c>
      <c r="K257" s="85" t="s">
        <v>13</v>
      </c>
      <c r="L257" s="86">
        <f>MAX(MID(C257,{1,2,3},1)*1)-MIN(MID(C257,{1,2,3},1)*1)</f>
        <v>8</v>
      </c>
      <c r="M257" s="87">
        <v>0</v>
      </c>
      <c r="N257" s="87">
        <v>1</v>
      </c>
      <c r="O257" s="87">
        <v>2</v>
      </c>
      <c r="P257" s="87">
        <v>3</v>
      </c>
      <c r="Q257" s="87">
        <v>4</v>
      </c>
      <c r="R257" s="87">
        <v>5</v>
      </c>
      <c r="S257" s="87">
        <v>6</v>
      </c>
      <c r="T257" s="87">
        <v>7</v>
      </c>
      <c r="U257" s="87">
        <v>8</v>
      </c>
      <c r="V257" s="87">
        <v>9</v>
      </c>
      <c r="W257" s="88">
        <f t="shared" si="236"/>
        <v>5</v>
      </c>
      <c r="X257" s="88">
        <f t="shared" si="237"/>
        <v>3</v>
      </c>
      <c r="Y257" s="88">
        <f t="shared" si="238"/>
        <v>8</v>
      </c>
      <c r="Z257" s="89">
        <f t="shared" si="212"/>
        <v>16</v>
      </c>
      <c r="AA257" s="17" t="str">
        <f>_xlfn.TEXTJOIN(", ",TRUE,ABS(MID(C257,{1,1,2},1)-MID(C257,{2,3,3},1)))</f>
        <v>5, 3, 8</v>
      </c>
      <c r="AB257" s="90">
        <v>0</v>
      </c>
      <c r="AC257" s="90">
        <v>1</v>
      </c>
      <c r="AD257" s="90">
        <v>2</v>
      </c>
      <c r="AE257" s="90">
        <v>3</v>
      </c>
      <c r="AF257" s="90">
        <v>4</v>
      </c>
      <c r="AG257" s="90">
        <v>5</v>
      </c>
      <c r="AH257" s="90">
        <v>6</v>
      </c>
      <c r="AI257" s="90">
        <v>7</v>
      </c>
      <c r="AJ257" s="90">
        <v>8</v>
      </c>
      <c r="AK257" s="90">
        <v>9</v>
      </c>
      <c r="AL257" s="91">
        <v>0</v>
      </c>
      <c r="AM257" s="91">
        <v>1</v>
      </c>
      <c r="AN257" s="91">
        <v>2</v>
      </c>
      <c r="AO257" s="91">
        <v>3</v>
      </c>
      <c r="AP257" s="91">
        <v>4</v>
      </c>
      <c r="AQ257" s="91">
        <v>5</v>
      </c>
      <c r="AR257" s="91">
        <v>6</v>
      </c>
      <c r="AS257" s="91">
        <v>7</v>
      </c>
      <c r="AT257" s="91">
        <v>8</v>
      </c>
      <c r="AU257" s="91">
        <v>9</v>
      </c>
      <c r="AV257" s="92">
        <v>0</v>
      </c>
      <c r="AW257" s="92">
        <v>1</v>
      </c>
      <c r="AX257" s="92">
        <v>2</v>
      </c>
      <c r="AY257" s="92">
        <v>3</v>
      </c>
      <c r="AZ257" s="92">
        <v>4</v>
      </c>
      <c r="BA257" s="92">
        <v>5</v>
      </c>
      <c r="BB257" s="92">
        <v>6</v>
      </c>
      <c r="BC257" s="92">
        <v>7</v>
      </c>
      <c r="BD257" s="92">
        <v>8</v>
      </c>
      <c r="BE257" s="92">
        <v>9</v>
      </c>
      <c r="BF257" s="93">
        <v>0</v>
      </c>
      <c r="BG257" s="93">
        <v>1</v>
      </c>
      <c r="BH257" s="93">
        <v>2</v>
      </c>
      <c r="BI257" s="93">
        <v>3</v>
      </c>
      <c r="BJ257" s="93">
        <v>4</v>
      </c>
      <c r="BK257" s="93">
        <v>5</v>
      </c>
      <c r="BL257" s="93">
        <v>6</v>
      </c>
      <c r="BM257" s="93">
        <v>7</v>
      </c>
      <c r="BN257" s="93">
        <v>8</v>
      </c>
      <c r="BO257" s="93">
        <v>9</v>
      </c>
      <c r="BP257" s="94" t="str">
        <f t="shared" si="213"/>
        <v>松散型</v>
      </c>
      <c r="BQ257" s="15">
        <f t="shared" si="210"/>
        <v>3</v>
      </c>
      <c r="BR257" s="15">
        <f t="shared" si="211"/>
        <v>8</v>
      </c>
      <c r="BS257" s="20" t="str">
        <f t="shared" si="215"/>
        <v/>
      </c>
      <c r="BT257" s="21">
        <f t="shared" si="216"/>
        <v>5</v>
      </c>
      <c r="BU257" s="21" t="str">
        <f t="array" ref="BU257">_xlfn.TEXTJOIN("",TRUE,IF(ISERROR(FIND(ROW($1:$168)-1,BS257&amp;BT257)),ROW($1:$168)-1,""))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57" s="22" t="str">
        <f t="shared" si="217"/>
        <v>中隔中</v>
      </c>
      <c r="BW257" s="23" t="str">
        <f t="shared" si="228"/>
        <v/>
      </c>
      <c r="BX257" s="23" t="str">
        <f t="shared" si="226"/>
        <v/>
      </c>
      <c r="BY257" s="23" t="str">
        <f t="array" ref="BY257">_xlfn.TEXTJOIN("",TRUE,IF(ISERROR(FIND(ROW($1:$168)-1,BW257&amp;BX257)),ROW($1:$168)-1,""))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57" s="22" t="str">
        <f t="shared" si="218"/>
        <v>中中中</v>
      </c>
      <c r="CA257" s="24" t="str">
        <f t="shared" si="219"/>
        <v/>
      </c>
      <c r="CB257" s="24" t="str">
        <f t="shared" si="227"/>
        <v/>
      </c>
      <c r="CC257" s="24" t="str">
        <f t="array" ref="CC257">_xlfn.TEXTJOIN("",TRUE,IF(ISERROR(FIND(ROW($1:$168)-1,CA257&amp;CB257)),ROW($1:$168)-1,""))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57" s="22" t="str">
        <f t="shared" si="220"/>
        <v>中中中</v>
      </c>
      <c r="CE257" s="25" t="str">
        <f t="shared" si="214"/>
        <v>46</v>
      </c>
      <c r="CF257" s="26" t="str">
        <f t="array" ref="CF257">_xlfn.TEXTJOIN("",TRUE,IF(ISNUMBER(FIND(MID(CE256&amp;W256,ROW($1:$162),1),CE257&amp;W257)),MID(CE256&amp;W256,ROW($1:$162),1),""))</f>
        <v/>
      </c>
      <c r="CG257" s="27" t="str">
        <f t="array" ref="CG257">_xlfn.TEXTJOIN("",TRUE,IF(ISERROR(FIND(ROW($1:$168)-1,CE257&amp;CF257)),ROW($1:$168)-1,""))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57" s="28" t="str">
        <f t="shared" si="221"/>
        <v>邻孤孤</v>
      </c>
      <c r="CI257" s="29" t="str">
        <f t="shared" si="222"/>
        <v>24</v>
      </c>
      <c r="CJ257" s="29" t="str">
        <f t="array" ref="CJ257">_xlfn.TEXTJOIN("",TRUE,IF(ISNUMBER(FIND(MID(CI256&amp;X256,ROW($1:$162),1),CI257&amp;X257)),MID(CI256&amp;X256,ROW($1:$162),1),""))</f>
        <v>34</v>
      </c>
      <c r="CK257" s="29" t="str">
        <f t="array" ref="CK257">_xlfn.TEXTJOIN("",TRUE,IF(ISERROR(FIND(ROW($1:$168)-1,CI257&amp;CJ257)),ROW($1:$168)-1,""))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57" s="19" t="str">
        <f t="shared" si="223"/>
        <v>邻传孤</v>
      </c>
      <c r="CM257" s="24" t="str">
        <f t="shared" si="224"/>
        <v>79</v>
      </c>
      <c r="CN257" s="24" t="str">
        <f t="array" ref="CN257">_xlfn.TEXTJOIN("",TRUE,IF(ISNUMBER(FIND(MID(CM256&amp;Y256,ROW($1:$162),1),CM257&amp;Y257)),MID(CM256&amp;Y256,ROW($1:$162),1),""))</f>
        <v/>
      </c>
      <c r="CO257" s="24" t="str">
        <f t="array" ref="CO257">_xlfn.TEXTJOIN("",TRUE,IF(ISERROR(FIND(ROW($1:$168)-1,CM257&amp;CN257)),ROW($1:$168)-1,""))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257" s="30" t="str">
        <f t="shared" si="225"/>
        <v>邻孤孤</v>
      </c>
    </row>
    <row r="258" spans="1:94">
      <c r="A258" s="15">
        <v>258</v>
      </c>
      <c r="B258" s="80">
        <v>2024227</v>
      </c>
      <c r="C258" s="8" t="s">
        <v>257</v>
      </c>
      <c r="D258" s="81">
        <f t="shared" si="234"/>
        <v>6</v>
      </c>
      <c r="E258" s="82">
        <f t="shared" si="235"/>
        <v>6</v>
      </c>
      <c r="F258" s="83">
        <f t="shared" si="203"/>
        <v>3</v>
      </c>
      <c r="G258" s="84" t="str">
        <f t="shared" si="204"/>
        <v>标准</v>
      </c>
      <c r="H258" s="85" t="s">
        <v>10</v>
      </c>
      <c r="I258" s="85" t="s">
        <v>11</v>
      </c>
      <c r="J258" s="85" t="s">
        <v>12</v>
      </c>
      <c r="K258" s="85" t="s">
        <v>13</v>
      </c>
      <c r="L258" s="86">
        <f>MAX(MID(C258,{1,2,3},1)*1)-MIN(MID(C258,{1,2,3},1)*1)</f>
        <v>2</v>
      </c>
      <c r="M258" s="87">
        <v>0</v>
      </c>
      <c r="N258" s="87">
        <v>1</v>
      </c>
      <c r="O258" s="87">
        <v>2</v>
      </c>
      <c r="P258" s="87">
        <v>3</v>
      </c>
      <c r="Q258" s="87">
        <v>4</v>
      </c>
      <c r="R258" s="87">
        <v>5</v>
      </c>
      <c r="S258" s="87">
        <v>6</v>
      </c>
      <c r="T258" s="87">
        <v>7</v>
      </c>
      <c r="U258" s="87">
        <v>8</v>
      </c>
      <c r="V258" s="87">
        <v>9</v>
      </c>
      <c r="W258" s="88">
        <f t="shared" si="236"/>
        <v>2</v>
      </c>
      <c r="X258" s="88">
        <f t="shared" si="237"/>
        <v>1</v>
      </c>
      <c r="Y258" s="88">
        <f t="shared" si="238"/>
        <v>1</v>
      </c>
      <c r="Z258" s="89">
        <f t="shared" si="212"/>
        <v>4</v>
      </c>
      <c r="AA258" s="17" t="str">
        <f>_xlfn.TEXTJOIN(", ",TRUE,ABS(MID(C258,{1,1,2},1)-MID(C258,{2,3,3},1)))</f>
        <v>2, 1, 1</v>
      </c>
      <c r="AB258" s="90">
        <v>0</v>
      </c>
      <c r="AC258" s="90">
        <v>1</v>
      </c>
      <c r="AD258" s="90">
        <v>2</v>
      </c>
      <c r="AE258" s="90">
        <v>3</v>
      </c>
      <c r="AF258" s="90">
        <v>4</v>
      </c>
      <c r="AG258" s="90">
        <v>5</v>
      </c>
      <c r="AH258" s="90">
        <v>6</v>
      </c>
      <c r="AI258" s="90">
        <v>7</v>
      </c>
      <c r="AJ258" s="90">
        <v>8</v>
      </c>
      <c r="AK258" s="90">
        <v>9</v>
      </c>
      <c r="AL258" s="91">
        <v>0</v>
      </c>
      <c r="AM258" s="91">
        <v>1</v>
      </c>
      <c r="AN258" s="91">
        <v>2</v>
      </c>
      <c r="AO258" s="91">
        <v>3</v>
      </c>
      <c r="AP258" s="91">
        <v>4</v>
      </c>
      <c r="AQ258" s="91">
        <v>5</v>
      </c>
      <c r="AR258" s="91">
        <v>6</v>
      </c>
      <c r="AS258" s="91">
        <v>7</v>
      </c>
      <c r="AT258" s="91">
        <v>8</v>
      </c>
      <c r="AU258" s="91">
        <v>9</v>
      </c>
      <c r="AV258" s="92">
        <v>0</v>
      </c>
      <c r="AW258" s="92">
        <v>1</v>
      </c>
      <c r="AX258" s="92">
        <v>2</v>
      </c>
      <c r="AY258" s="92">
        <v>3</v>
      </c>
      <c r="AZ258" s="92">
        <v>4</v>
      </c>
      <c r="BA258" s="92">
        <v>5</v>
      </c>
      <c r="BB258" s="92">
        <v>6</v>
      </c>
      <c r="BC258" s="92">
        <v>7</v>
      </c>
      <c r="BD258" s="92">
        <v>8</v>
      </c>
      <c r="BE258" s="92">
        <v>9</v>
      </c>
      <c r="BF258" s="93">
        <v>0</v>
      </c>
      <c r="BG258" s="93">
        <v>1</v>
      </c>
      <c r="BH258" s="93">
        <v>2</v>
      </c>
      <c r="BI258" s="93">
        <v>3</v>
      </c>
      <c r="BJ258" s="93">
        <v>4</v>
      </c>
      <c r="BK258" s="93">
        <v>5</v>
      </c>
      <c r="BL258" s="93">
        <v>6</v>
      </c>
      <c r="BM258" s="93">
        <v>7</v>
      </c>
      <c r="BN258" s="93">
        <v>8</v>
      </c>
      <c r="BO258" s="93">
        <v>9</v>
      </c>
      <c r="BP258" s="94" t="str">
        <f t="shared" si="213"/>
        <v>紧凑型</v>
      </c>
      <c r="BQ258" s="15">
        <f t="shared" si="210"/>
        <v>1</v>
      </c>
      <c r="BR258" s="15">
        <f t="shared" si="211"/>
        <v>2</v>
      </c>
      <c r="BS258" s="20" t="str">
        <f t="shared" si="215"/>
        <v/>
      </c>
      <c r="BT258" s="21" t="str">
        <f t="shared" si="216"/>
        <v/>
      </c>
      <c r="BU258" s="21" t="str">
        <f t="array" ref="BU258">_xlfn.TEXTJOIN("",TRUE,IF(ISERROR(FIND(ROW($1:$168)-1,BS258&amp;BT258)),ROW($1:$168)-1,""))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58" s="22" t="str">
        <f t="shared" si="217"/>
        <v>中中中</v>
      </c>
      <c r="BW258" s="23" t="str">
        <f t="shared" si="228"/>
        <v/>
      </c>
      <c r="BX258" s="23" t="str">
        <f t="shared" si="226"/>
        <v/>
      </c>
      <c r="BY258" s="23" t="str">
        <f t="array" ref="BY258">_xlfn.TEXTJOIN("",TRUE,IF(ISERROR(FIND(ROW($1:$168)-1,BW258&amp;BX258)),ROW($1:$168)-1,""))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58" s="22" t="str">
        <f t="shared" si="218"/>
        <v>中中中</v>
      </c>
      <c r="CA258" s="24" t="str">
        <f t="shared" si="219"/>
        <v/>
      </c>
      <c r="CB258" s="24" t="str">
        <f t="shared" si="227"/>
        <v/>
      </c>
      <c r="CC258" s="24" t="str">
        <f t="array" ref="CC258">_xlfn.TEXTJOIN("",TRUE,IF(ISERROR(FIND(ROW($1:$168)-1,CA258&amp;CB258)),ROW($1:$168)-1,""))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58" s="22" t="str">
        <f t="shared" si="220"/>
        <v>中中中</v>
      </c>
      <c r="CE258" s="25" t="str">
        <f t="shared" si="214"/>
        <v>13</v>
      </c>
      <c r="CF258" s="26" t="str">
        <f t="array" ref="CF258">_xlfn.TEXTJOIN("",TRUE,IF(ISNUMBER(FIND(MID(CE257&amp;W257,ROW($1:$162),1),CE258&amp;W258)),MID(CE257&amp;W257,ROW($1:$162),1),""))</f>
        <v/>
      </c>
      <c r="CG258" s="27" t="str">
        <f t="array" ref="CG258">_xlfn.TEXTJOIN("",TRUE,IF(ISERROR(FIND(ROW($1:$168)-1,CE258&amp;CF258)),ROW($1:$168)-1,""))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58" s="28" t="str">
        <f t="shared" si="221"/>
        <v>邻孤孤</v>
      </c>
      <c r="CI258" s="29" t="str">
        <f t="shared" si="222"/>
        <v>02</v>
      </c>
      <c r="CJ258" s="29" t="str">
        <f t="array" ref="CJ258">_xlfn.TEXTJOIN("",TRUE,IF(ISNUMBER(FIND(MID(CI257&amp;X257,ROW($1:$162),1),CI258&amp;X258)),MID(CI257&amp;X257,ROW($1:$162),1),""))</f>
        <v>2</v>
      </c>
      <c r="CK258" s="29" t="str">
        <f t="array" ref="CK258">_xlfn.TEXTJOIN("",TRUE,IF(ISERROR(FIND(ROW($1:$168)-1,CI258&amp;CJ258)),ROW($1:$168)-1,""))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58" s="19" t="str">
        <f t="shared" si="223"/>
        <v>邻传孤</v>
      </c>
      <c r="CM258" s="24" t="str">
        <f t="shared" si="224"/>
        <v>02</v>
      </c>
      <c r="CN258" s="24" t="str">
        <f t="array" ref="CN258">_xlfn.TEXTJOIN("",TRUE,IF(ISNUMBER(FIND(MID(CM257&amp;Y257,ROW($1:$162),1),CM258&amp;Y258)),MID(CM257&amp;Y257,ROW($1:$162),1),""))</f>
        <v/>
      </c>
      <c r="CO258" s="24" t="str">
        <f t="array" ref="CO258">_xlfn.TEXTJOIN("",TRUE,IF(ISERROR(FIND(ROW($1:$168)-1,CM258&amp;CN258)),ROW($1:$168)-1,""))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58" s="30" t="str">
        <f t="shared" si="225"/>
        <v>邻孤孤</v>
      </c>
    </row>
    <row r="259" spans="1:94">
      <c r="A259" s="15">
        <v>259</v>
      </c>
      <c r="B259" s="80">
        <v>2024228</v>
      </c>
      <c r="C259" s="8" t="s">
        <v>258</v>
      </c>
      <c r="D259" s="81">
        <f t="shared" si="234"/>
        <v>19</v>
      </c>
      <c r="E259" s="82">
        <f t="shared" si="235"/>
        <v>9</v>
      </c>
      <c r="F259" s="83">
        <f t="shared" si="203"/>
        <v>2.71428571428571</v>
      </c>
      <c r="G259" s="84" t="str">
        <f t="shared" si="204"/>
        <v>标准</v>
      </c>
      <c r="H259" s="85" t="s">
        <v>10</v>
      </c>
      <c r="I259" s="85" t="s">
        <v>11</v>
      </c>
      <c r="J259" s="85" t="s">
        <v>12</v>
      </c>
      <c r="K259" s="85" t="s">
        <v>13</v>
      </c>
      <c r="L259" s="86">
        <f>MAX(MID(C259,{1,2,3},1)*1)-MIN(MID(C259,{1,2,3},1)*1)</f>
        <v>7</v>
      </c>
      <c r="M259" s="87">
        <v>0</v>
      </c>
      <c r="N259" s="87">
        <v>1</v>
      </c>
      <c r="O259" s="87">
        <v>2</v>
      </c>
      <c r="P259" s="87">
        <v>3</v>
      </c>
      <c r="Q259" s="87">
        <v>4</v>
      </c>
      <c r="R259" s="87">
        <v>5</v>
      </c>
      <c r="S259" s="87">
        <v>6</v>
      </c>
      <c r="T259" s="87">
        <v>7</v>
      </c>
      <c r="U259" s="87">
        <v>8</v>
      </c>
      <c r="V259" s="87">
        <v>9</v>
      </c>
      <c r="W259" s="88">
        <f t="shared" si="236"/>
        <v>7</v>
      </c>
      <c r="X259" s="88">
        <f t="shared" si="237"/>
        <v>6</v>
      </c>
      <c r="Y259" s="88">
        <f t="shared" si="238"/>
        <v>1</v>
      </c>
      <c r="Z259" s="89">
        <f t="shared" si="212"/>
        <v>14</v>
      </c>
      <c r="AA259" s="17" t="str">
        <f>_xlfn.TEXTJOIN(", ",TRUE,ABS(MID(C259,{1,1,2},1)-MID(C259,{2,3,3},1)))</f>
        <v>7, 6, 1</v>
      </c>
      <c r="AB259" s="90">
        <v>0</v>
      </c>
      <c r="AC259" s="90">
        <v>1</v>
      </c>
      <c r="AD259" s="90">
        <v>2</v>
      </c>
      <c r="AE259" s="90">
        <v>3</v>
      </c>
      <c r="AF259" s="90">
        <v>4</v>
      </c>
      <c r="AG259" s="90">
        <v>5</v>
      </c>
      <c r="AH259" s="90">
        <v>6</v>
      </c>
      <c r="AI259" s="90">
        <v>7</v>
      </c>
      <c r="AJ259" s="90">
        <v>8</v>
      </c>
      <c r="AK259" s="90">
        <v>9</v>
      </c>
      <c r="AL259" s="91">
        <v>0</v>
      </c>
      <c r="AM259" s="91">
        <v>1</v>
      </c>
      <c r="AN259" s="91">
        <v>2</v>
      </c>
      <c r="AO259" s="91">
        <v>3</v>
      </c>
      <c r="AP259" s="91">
        <v>4</v>
      </c>
      <c r="AQ259" s="91">
        <v>5</v>
      </c>
      <c r="AR259" s="91">
        <v>6</v>
      </c>
      <c r="AS259" s="91">
        <v>7</v>
      </c>
      <c r="AT259" s="91">
        <v>8</v>
      </c>
      <c r="AU259" s="91">
        <v>9</v>
      </c>
      <c r="AV259" s="92">
        <v>0</v>
      </c>
      <c r="AW259" s="92">
        <v>1</v>
      </c>
      <c r="AX259" s="92">
        <v>2</v>
      </c>
      <c r="AY259" s="92">
        <v>3</v>
      </c>
      <c r="AZ259" s="92">
        <v>4</v>
      </c>
      <c r="BA259" s="92">
        <v>5</v>
      </c>
      <c r="BB259" s="92">
        <v>6</v>
      </c>
      <c r="BC259" s="92">
        <v>7</v>
      </c>
      <c r="BD259" s="92">
        <v>8</v>
      </c>
      <c r="BE259" s="92">
        <v>9</v>
      </c>
      <c r="BF259" s="93">
        <v>0</v>
      </c>
      <c r="BG259" s="93">
        <v>1</v>
      </c>
      <c r="BH259" s="93">
        <v>2</v>
      </c>
      <c r="BI259" s="93">
        <v>3</v>
      </c>
      <c r="BJ259" s="93">
        <v>4</v>
      </c>
      <c r="BK259" s="93">
        <v>5</v>
      </c>
      <c r="BL259" s="93">
        <v>6</v>
      </c>
      <c r="BM259" s="93">
        <v>7</v>
      </c>
      <c r="BN259" s="93">
        <v>8</v>
      </c>
      <c r="BO259" s="93">
        <v>9</v>
      </c>
      <c r="BP259" s="94" t="str">
        <f t="shared" si="213"/>
        <v>松散型</v>
      </c>
      <c r="BQ259" s="15">
        <f t="shared" si="210"/>
        <v>1</v>
      </c>
      <c r="BR259" s="15">
        <f t="shared" si="211"/>
        <v>7</v>
      </c>
      <c r="BS259" s="20" t="str">
        <f t="shared" si="215"/>
        <v/>
      </c>
      <c r="BT259" s="21" t="str">
        <f t="shared" si="216"/>
        <v/>
      </c>
      <c r="BU259" s="21" t="str">
        <f t="array" ref="BU259">_xlfn.TEXTJOIN("",TRUE,IF(ISERROR(FIND(ROW($1:$168)-1,BS259&amp;BT259)),ROW($1:$168)-1,""))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59" s="22" t="str">
        <f t="shared" si="217"/>
        <v>中中中</v>
      </c>
      <c r="BW259" s="23" t="str">
        <f t="shared" si="228"/>
        <v/>
      </c>
      <c r="BX259" s="23" t="str">
        <f t="shared" si="226"/>
        <v/>
      </c>
      <c r="BY259" s="23" t="str">
        <f t="array" ref="BY259">_xlfn.TEXTJOIN("",TRUE,IF(ISERROR(FIND(ROW($1:$168)-1,BW259&amp;BX259)),ROW($1:$168)-1,""))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59" s="22" t="str">
        <f t="shared" si="218"/>
        <v>中中中</v>
      </c>
      <c r="CA259" s="24">
        <f t="shared" si="219"/>
        <v>1</v>
      </c>
      <c r="CB259" s="24" t="str">
        <f t="shared" si="227"/>
        <v/>
      </c>
      <c r="CC259" s="24" t="str">
        <f t="array" ref="CC259">_xlfn.TEXTJOIN("",TRUE,IF(ISERROR(FIND(ROW($1:$168)-1,CA259&amp;CB259)),ROW($1:$168)-1,""))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59" s="22" t="str">
        <f t="shared" si="220"/>
        <v>复中中</v>
      </c>
      <c r="CE259" s="25" t="str">
        <f t="shared" si="214"/>
        <v>68</v>
      </c>
      <c r="CF259" s="26" t="str">
        <f t="array" ref="CF259">_xlfn.TEXTJOIN("",TRUE,IF(ISNUMBER(FIND(MID(CE258&amp;W258,ROW($1:$162),1),CE259&amp;W259)),MID(CE258&amp;W258,ROW($1:$162),1),""))</f>
        <v/>
      </c>
      <c r="CG259" s="27" t="str">
        <f t="array" ref="CG259">_xlfn.TEXTJOIN("",TRUE,IF(ISERROR(FIND(ROW($1:$168)-1,CE259&amp;CF259)),ROW($1:$168)-1,""))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59" s="28" t="str">
        <f t="shared" si="221"/>
        <v>邻孤孤</v>
      </c>
      <c r="CI259" s="29" t="str">
        <f t="shared" si="222"/>
        <v>57</v>
      </c>
      <c r="CJ259" s="29" t="str">
        <f t="array" ref="CJ259">_xlfn.TEXTJOIN("",TRUE,IF(ISNUMBER(FIND(MID(CI258&amp;X258,ROW($1:$162),1),CI259&amp;X259)),MID(CI258&amp;X258,ROW($1:$162),1),""))</f>
        <v/>
      </c>
      <c r="CK259" s="29" t="str">
        <f t="array" ref="CK259">_xlfn.TEXTJOIN("",TRUE,IF(ISERROR(FIND(ROW($1:$168)-1,CI259&amp;CJ259)),ROW($1:$168)-1,""))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59" s="19" t="str">
        <f t="shared" si="223"/>
        <v>邻孤孤</v>
      </c>
      <c r="CM259" s="24" t="str">
        <f t="shared" si="224"/>
        <v>02</v>
      </c>
      <c r="CN259" s="24" t="str">
        <f t="array" ref="CN259">_xlfn.TEXTJOIN("",TRUE,IF(ISNUMBER(FIND(MID(CM258&amp;Y258,ROW($1:$162),1),CM259&amp;Y259)),MID(CM258&amp;Y258,ROW($1:$162),1),""))</f>
        <v>021</v>
      </c>
      <c r="CO259" s="24" t="str">
        <f t="array" ref="CO259">_xlfn.TEXTJOIN("",TRUE,IF(ISERROR(FIND(ROW($1:$168)-1,CM259&amp;CN259)),ROW($1:$168)-1,""))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59" s="30" t="str">
        <f t="shared" si="225"/>
        <v>邻传孤</v>
      </c>
    </row>
    <row r="260" spans="1:94">
      <c r="A260" s="15">
        <v>260</v>
      </c>
      <c r="B260" s="80">
        <v>2024229</v>
      </c>
      <c r="C260" s="8" t="s">
        <v>259</v>
      </c>
      <c r="D260" s="81">
        <f t="shared" si="234"/>
        <v>11</v>
      </c>
      <c r="E260" s="82">
        <f t="shared" si="235"/>
        <v>1</v>
      </c>
      <c r="F260" s="83">
        <f t="shared" ref="F260:F323" si="239">IF(L260=0,0.1,D260/L260)</f>
        <v>1.375</v>
      </c>
      <c r="G260" s="84" t="str">
        <f t="shared" ref="G260:G323" si="240">IF(F260=0.1,"极紧凑",IF(F260&gt;3.5,"紧凑",IF(AND(F260&gt;=2,F260&lt;=3.5),"标准",IF(AND(F260&gt;=1,F260&lt;2),"松散",""))))</f>
        <v>松散</v>
      </c>
      <c r="H260" s="85" t="s">
        <v>10</v>
      </c>
      <c r="I260" s="85" t="s">
        <v>11</v>
      </c>
      <c r="J260" s="85" t="s">
        <v>12</v>
      </c>
      <c r="K260" s="85" t="s">
        <v>13</v>
      </c>
      <c r="L260" s="86">
        <f>MAX(MID(C260,{1,2,3},1)*1)-MIN(MID(C260,{1,2,3},1)*1)</f>
        <v>8</v>
      </c>
      <c r="M260" s="87">
        <v>0</v>
      </c>
      <c r="N260" s="87">
        <v>1</v>
      </c>
      <c r="O260" s="87">
        <v>2</v>
      </c>
      <c r="P260" s="87">
        <v>3</v>
      </c>
      <c r="Q260" s="87">
        <v>4</v>
      </c>
      <c r="R260" s="87">
        <v>5</v>
      </c>
      <c r="S260" s="87">
        <v>6</v>
      </c>
      <c r="T260" s="87">
        <v>7</v>
      </c>
      <c r="U260" s="87">
        <v>8</v>
      </c>
      <c r="V260" s="87">
        <v>9</v>
      </c>
      <c r="W260" s="88">
        <f t="shared" si="236"/>
        <v>8</v>
      </c>
      <c r="X260" s="88">
        <f t="shared" si="237"/>
        <v>8</v>
      </c>
      <c r="Y260" s="88">
        <f t="shared" si="238"/>
        <v>0</v>
      </c>
      <c r="Z260" s="89">
        <f t="shared" si="212"/>
        <v>16</v>
      </c>
      <c r="AA260" s="17" t="str">
        <f>_xlfn.TEXTJOIN(", ",TRUE,ABS(MID(C260,{1,1,2},1)-MID(C260,{2,3,3},1)))</f>
        <v>8, 8, 0</v>
      </c>
      <c r="AB260" s="90">
        <v>0</v>
      </c>
      <c r="AC260" s="90">
        <v>1</v>
      </c>
      <c r="AD260" s="90">
        <v>2</v>
      </c>
      <c r="AE260" s="90">
        <v>3</v>
      </c>
      <c r="AF260" s="90">
        <v>4</v>
      </c>
      <c r="AG260" s="90">
        <v>5</v>
      </c>
      <c r="AH260" s="90">
        <v>6</v>
      </c>
      <c r="AI260" s="90">
        <v>7</v>
      </c>
      <c r="AJ260" s="90">
        <v>8</v>
      </c>
      <c r="AK260" s="90">
        <v>9</v>
      </c>
      <c r="AL260" s="91">
        <v>0</v>
      </c>
      <c r="AM260" s="91">
        <v>1</v>
      </c>
      <c r="AN260" s="91">
        <v>2</v>
      </c>
      <c r="AO260" s="91">
        <v>3</v>
      </c>
      <c r="AP260" s="91">
        <v>4</v>
      </c>
      <c r="AQ260" s="91">
        <v>5</v>
      </c>
      <c r="AR260" s="91">
        <v>6</v>
      </c>
      <c r="AS260" s="91">
        <v>7</v>
      </c>
      <c r="AT260" s="91">
        <v>8</v>
      </c>
      <c r="AU260" s="91">
        <v>9</v>
      </c>
      <c r="AV260" s="92">
        <v>0</v>
      </c>
      <c r="AW260" s="92">
        <v>1</v>
      </c>
      <c r="AX260" s="92">
        <v>2</v>
      </c>
      <c r="AY260" s="92">
        <v>3</v>
      </c>
      <c r="AZ260" s="92">
        <v>4</v>
      </c>
      <c r="BA260" s="92">
        <v>5</v>
      </c>
      <c r="BB260" s="92">
        <v>6</v>
      </c>
      <c r="BC260" s="92">
        <v>7</v>
      </c>
      <c r="BD260" s="92">
        <v>8</v>
      </c>
      <c r="BE260" s="92">
        <v>9</v>
      </c>
      <c r="BF260" s="93">
        <v>0</v>
      </c>
      <c r="BG260" s="93">
        <v>1</v>
      </c>
      <c r="BH260" s="93">
        <v>2</v>
      </c>
      <c r="BI260" s="93">
        <v>3</v>
      </c>
      <c r="BJ260" s="93">
        <v>4</v>
      </c>
      <c r="BK260" s="93">
        <v>5</v>
      </c>
      <c r="BL260" s="93">
        <v>6</v>
      </c>
      <c r="BM260" s="93">
        <v>7</v>
      </c>
      <c r="BN260" s="93">
        <v>8</v>
      </c>
      <c r="BO260" s="93">
        <v>9</v>
      </c>
      <c r="BP260" s="94" t="str">
        <f t="shared" si="213"/>
        <v>松散型</v>
      </c>
      <c r="BQ260" s="15">
        <f t="shared" si="210"/>
        <v>0</v>
      </c>
      <c r="BR260" s="15">
        <f t="shared" si="211"/>
        <v>8</v>
      </c>
      <c r="BS260" s="20" t="str">
        <f t="shared" si="215"/>
        <v/>
      </c>
      <c r="BT260" s="21" t="str">
        <f t="shared" si="216"/>
        <v/>
      </c>
      <c r="BU260" s="21" t="str">
        <f t="array" ref="BU260">_xlfn.TEXTJOIN("",TRUE,IF(ISERROR(FIND(ROW($1:$168)-1,BS260&amp;BT260)),ROW($1:$168)-1,""))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60" s="22" t="str">
        <f t="shared" si="217"/>
        <v>中中中</v>
      </c>
      <c r="BW260" s="23" t="str">
        <f t="shared" si="228"/>
        <v/>
      </c>
      <c r="BX260" s="23" t="str">
        <f t="shared" si="226"/>
        <v/>
      </c>
      <c r="BY260" s="23" t="str">
        <f t="array" ref="BY260">_xlfn.TEXTJOIN("",TRUE,IF(ISERROR(FIND(ROW($1:$168)-1,BW260&amp;BX260)),ROW($1:$168)-1,""))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60" s="22" t="str">
        <f t="shared" si="218"/>
        <v>中中中</v>
      </c>
      <c r="CA260" s="24" t="str">
        <f t="shared" si="219"/>
        <v/>
      </c>
      <c r="CB260" s="24" t="str">
        <f t="shared" si="227"/>
        <v/>
      </c>
      <c r="CC260" s="24" t="str">
        <f t="array" ref="CC260">_xlfn.TEXTJOIN("",TRUE,IF(ISERROR(FIND(ROW($1:$168)-1,CA260&amp;CB260)),ROW($1:$168)-1,""))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60" s="22" t="str">
        <f t="shared" si="220"/>
        <v>中中中</v>
      </c>
      <c r="CE260" s="25" t="str">
        <f t="shared" si="214"/>
        <v>79</v>
      </c>
      <c r="CF260" s="26" t="str">
        <f t="array" ref="CF260">_xlfn.TEXTJOIN("",TRUE,IF(ISNUMBER(FIND(MID(CE259&amp;W259,ROW($1:$162),1),CE260&amp;W260)),MID(CE259&amp;W259,ROW($1:$162),1),""))</f>
        <v>87</v>
      </c>
      <c r="CG260" s="27" t="str">
        <f t="array" ref="CG260">_xlfn.TEXTJOIN("",TRUE,IF(ISERROR(FIND(ROW($1:$168)-1,CE260&amp;CF260)),ROW($1:$168)-1,""))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H260" s="28" t="str">
        <f t="shared" si="221"/>
        <v>邻传孤</v>
      </c>
      <c r="CI260" s="29" t="str">
        <f t="shared" si="222"/>
        <v>79</v>
      </c>
      <c r="CJ260" s="29" t="str">
        <f t="array" ref="CJ260">_xlfn.TEXTJOIN("",TRUE,IF(ISNUMBER(FIND(MID(CI259&amp;X259,ROW($1:$162),1),CI260&amp;X260)),MID(CI259&amp;X259,ROW($1:$162),1),""))</f>
        <v>7</v>
      </c>
      <c r="CK260" s="29" t="str">
        <f t="array" ref="CK260">_xlfn.TEXTJOIN("",TRUE,IF(ISERROR(FIND(ROW($1:$168)-1,CI260&amp;CJ260)),ROW($1:$168)-1,""))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L260" s="19" t="str">
        <f t="shared" si="223"/>
        <v>邻传孤</v>
      </c>
      <c r="CM260" s="24" t="str">
        <f t="shared" si="224"/>
        <v>91</v>
      </c>
      <c r="CN260" s="24" t="str">
        <f t="array" ref="CN260">_xlfn.TEXTJOIN("",TRUE,IF(ISNUMBER(FIND(MID(CM259&amp;Y259,ROW($1:$162),1),CM260&amp;Y260)),MID(CM259&amp;Y259,ROW($1:$162),1),""))</f>
        <v>01</v>
      </c>
      <c r="CO260" s="24" t="str">
        <f t="array" ref="CO260">_xlfn.TEXTJOIN("",TRUE,IF(ISERROR(FIND(ROW($1:$168)-1,CM260&amp;CN260)),ROW($1:$168)-1,""))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260" s="30" t="str">
        <f t="shared" si="225"/>
        <v>邻传孤</v>
      </c>
    </row>
    <row r="261" spans="1:94">
      <c r="A261" s="15">
        <v>261</v>
      </c>
      <c r="B261" s="80">
        <v>2024230</v>
      </c>
      <c r="C261" s="8" t="s">
        <v>260</v>
      </c>
      <c r="D261" s="81">
        <f t="shared" si="234"/>
        <v>20</v>
      </c>
      <c r="E261" s="82">
        <f t="shared" si="235"/>
        <v>0</v>
      </c>
      <c r="F261" s="83">
        <f t="shared" si="239"/>
        <v>4</v>
      </c>
      <c r="G261" s="84" t="str">
        <f t="shared" si="240"/>
        <v>紧凑</v>
      </c>
      <c r="H261" s="85" t="s">
        <v>10</v>
      </c>
      <c r="I261" s="85" t="s">
        <v>11</v>
      </c>
      <c r="J261" s="85" t="s">
        <v>12</v>
      </c>
      <c r="K261" s="85" t="s">
        <v>13</v>
      </c>
      <c r="L261" s="86">
        <f>MAX(MID(C261,{1,2,3},1)*1)-MIN(MID(C261,{1,2,3},1)*1)</f>
        <v>5</v>
      </c>
      <c r="M261" s="87">
        <v>0</v>
      </c>
      <c r="N261" s="87">
        <v>1</v>
      </c>
      <c r="O261" s="87">
        <v>2</v>
      </c>
      <c r="P261" s="87">
        <v>3</v>
      </c>
      <c r="Q261" s="87">
        <v>4</v>
      </c>
      <c r="R261" s="87">
        <v>5</v>
      </c>
      <c r="S261" s="87">
        <v>6</v>
      </c>
      <c r="T261" s="87">
        <v>7</v>
      </c>
      <c r="U261" s="87">
        <v>8</v>
      </c>
      <c r="V261" s="87">
        <v>9</v>
      </c>
      <c r="W261" s="88">
        <f t="shared" si="236"/>
        <v>5</v>
      </c>
      <c r="X261" s="88">
        <f t="shared" si="237"/>
        <v>3</v>
      </c>
      <c r="Y261" s="88">
        <f t="shared" si="238"/>
        <v>2</v>
      </c>
      <c r="Z261" s="89">
        <f t="shared" si="212"/>
        <v>10</v>
      </c>
      <c r="AA261" s="17" t="str">
        <f>_xlfn.TEXTJOIN(", ",TRUE,ABS(MID(C261,{1,1,2},1)-MID(C261,{2,3,3},1)))</f>
        <v>5, 3, 2</v>
      </c>
      <c r="AB261" s="90">
        <v>0</v>
      </c>
      <c r="AC261" s="90">
        <v>1</v>
      </c>
      <c r="AD261" s="90">
        <v>2</v>
      </c>
      <c r="AE261" s="90">
        <v>3</v>
      </c>
      <c r="AF261" s="90">
        <v>4</v>
      </c>
      <c r="AG261" s="90">
        <v>5</v>
      </c>
      <c r="AH261" s="90">
        <v>6</v>
      </c>
      <c r="AI261" s="90">
        <v>7</v>
      </c>
      <c r="AJ261" s="90">
        <v>8</v>
      </c>
      <c r="AK261" s="90">
        <v>9</v>
      </c>
      <c r="AL261" s="91">
        <v>0</v>
      </c>
      <c r="AM261" s="91">
        <v>1</v>
      </c>
      <c r="AN261" s="91">
        <v>2</v>
      </c>
      <c r="AO261" s="91">
        <v>3</v>
      </c>
      <c r="AP261" s="91">
        <v>4</v>
      </c>
      <c r="AQ261" s="91">
        <v>5</v>
      </c>
      <c r="AR261" s="91">
        <v>6</v>
      </c>
      <c r="AS261" s="91">
        <v>7</v>
      </c>
      <c r="AT261" s="91">
        <v>8</v>
      </c>
      <c r="AU261" s="91">
        <v>9</v>
      </c>
      <c r="AV261" s="92">
        <v>0</v>
      </c>
      <c r="AW261" s="92">
        <v>1</v>
      </c>
      <c r="AX261" s="92">
        <v>2</v>
      </c>
      <c r="AY261" s="92">
        <v>3</v>
      </c>
      <c r="AZ261" s="92">
        <v>4</v>
      </c>
      <c r="BA261" s="92">
        <v>5</v>
      </c>
      <c r="BB261" s="92">
        <v>6</v>
      </c>
      <c r="BC261" s="92">
        <v>7</v>
      </c>
      <c r="BD261" s="92">
        <v>8</v>
      </c>
      <c r="BE261" s="92">
        <v>9</v>
      </c>
      <c r="BF261" s="93">
        <v>0</v>
      </c>
      <c r="BG261" s="93">
        <v>1</v>
      </c>
      <c r="BH261" s="93">
        <v>2</v>
      </c>
      <c r="BI261" s="93">
        <v>3</v>
      </c>
      <c r="BJ261" s="93">
        <v>4</v>
      </c>
      <c r="BK261" s="93">
        <v>5</v>
      </c>
      <c r="BL261" s="93">
        <v>6</v>
      </c>
      <c r="BM261" s="93">
        <v>7</v>
      </c>
      <c r="BN261" s="93">
        <v>8</v>
      </c>
      <c r="BO261" s="93">
        <v>9</v>
      </c>
      <c r="BP261" s="94" t="str">
        <f t="shared" si="213"/>
        <v>标准型</v>
      </c>
      <c r="BQ261" s="15">
        <f t="shared" si="210"/>
        <v>2</v>
      </c>
      <c r="BR261" s="15">
        <f t="shared" si="211"/>
        <v>5</v>
      </c>
      <c r="BS261" s="20" t="str">
        <f t="shared" si="215"/>
        <v/>
      </c>
      <c r="BT261" s="21" t="str">
        <f t="shared" si="216"/>
        <v/>
      </c>
      <c r="BU261" s="21" t="str">
        <f t="array" ref="BU261">_xlfn.TEXTJOIN("",TRUE,IF(ISERROR(FIND(ROW($1:$168)-1,BS261&amp;BT261)),ROW($1:$168)-1,""))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61" s="22" t="str">
        <f t="shared" si="217"/>
        <v>中中中</v>
      </c>
      <c r="BW261" s="23" t="str">
        <f t="shared" si="228"/>
        <v/>
      </c>
      <c r="BX261" s="23" t="str">
        <f t="shared" si="226"/>
        <v/>
      </c>
      <c r="BY261" s="23" t="str">
        <f t="array" ref="BY261">_xlfn.TEXTJOIN("",TRUE,IF(ISERROR(FIND(ROW($1:$168)-1,BW261&amp;BX261)),ROW($1:$168)-1,""))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61" s="22" t="str">
        <f t="shared" si="218"/>
        <v>中中中</v>
      </c>
      <c r="CA261" s="24" t="str">
        <f t="shared" si="219"/>
        <v/>
      </c>
      <c r="CB261" s="24" t="str">
        <f t="shared" si="227"/>
        <v/>
      </c>
      <c r="CC261" s="24" t="str">
        <f t="array" ref="CC261">_xlfn.TEXTJOIN("",TRUE,IF(ISERROR(FIND(ROW($1:$168)-1,CA261&amp;CB261)),ROW($1:$168)-1,""))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61" s="22" t="str">
        <f t="shared" si="220"/>
        <v>中中中</v>
      </c>
      <c r="CE261" s="25" t="str">
        <f t="shared" si="214"/>
        <v>46</v>
      </c>
      <c r="CF261" s="26" t="str">
        <f t="array" ref="CF261">_xlfn.TEXTJOIN("",TRUE,IF(ISNUMBER(FIND(MID(CE260&amp;W260,ROW($1:$162),1),CE261&amp;W261)),MID(CE260&amp;W260,ROW($1:$162),1),""))</f>
        <v/>
      </c>
      <c r="CG261" s="27" t="str">
        <f t="array" ref="CG261">_xlfn.TEXTJOIN("",TRUE,IF(ISERROR(FIND(ROW($1:$168)-1,CE261&amp;CF261)),ROW($1:$168)-1,""))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61" s="28" t="str">
        <f t="shared" si="221"/>
        <v>邻孤孤</v>
      </c>
      <c r="CI261" s="29" t="str">
        <f t="shared" si="222"/>
        <v>24</v>
      </c>
      <c r="CJ261" s="29" t="str">
        <f t="array" ref="CJ261">_xlfn.TEXTJOIN("",TRUE,IF(ISNUMBER(FIND(MID(CI260&amp;X260,ROW($1:$162),1),CI261&amp;X261)),MID(CI260&amp;X260,ROW($1:$162),1),""))</f>
        <v/>
      </c>
      <c r="CK261" s="29" t="str">
        <f t="array" ref="CK261">_xlfn.TEXTJOIN("",TRUE,IF(ISERROR(FIND(ROW($1:$168)-1,CI261&amp;CJ261)),ROW($1:$168)-1,""))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61" s="19" t="str">
        <f t="shared" si="223"/>
        <v>邻孤孤</v>
      </c>
      <c r="CM261" s="24" t="str">
        <f t="shared" si="224"/>
        <v>13</v>
      </c>
      <c r="CN261" s="24" t="str">
        <f t="array" ref="CN261">_xlfn.TEXTJOIN("",TRUE,IF(ISNUMBER(FIND(MID(CM260&amp;Y260,ROW($1:$162),1),CM261&amp;Y261)),MID(CM260&amp;Y260,ROW($1:$162),1),""))</f>
        <v>1</v>
      </c>
      <c r="CO261" s="24" t="str">
        <f t="array" ref="CO261">_xlfn.TEXTJOIN("",TRUE,IF(ISERROR(FIND(ROW($1:$168)-1,CM261&amp;CN261)),ROW($1:$168)-1,""))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P261" s="30" t="str">
        <f t="shared" si="225"/>
        <v>邻传孤</v>
      </c>
    </row>
    <row r="262" spans="1:94">
      <c r="A262" s="15">
        <v>262</v>
      </c>
      <c r="B262" s="80">
        <v>2024231</v>
      </c>
      <c r="C262" s="8" t="s">
        <v>261</v>
      </c>
      <c r="D262" s="81">
        <f t="shared" si="234"/>
        <v>20</v>
      </c>
      <c r="E262" s="82">
        <f t="shared" si="235"/>
        <v>0</v>
      </c>
      <c r="F262" s="83">
        <f t="shared" si="239"/>
        <v>3.33333333333333</v>
      </c>
      <c r="G262" s="84" t="str">
        <f t="shared" si="240"/>
        <v>标准</v>
      </c>
      <c r="H262" s="85" t="s">
        <v>10</v>
      </c>
      <c r="I262" s="85" t="s">
        <v>11</v>
      </c>
      <c r="J262" s="85" t="s">
        <v>12</v>
      </c>
      <c r="K262" s="85" t="s">
        <v>13</v>
      </c>
      <c r="L262" s="86">
        <f>MAX(MID(C262,{1,2,3},1)*1)-MIN(MID(C262,{1,2,3},1)*1)</f>
        <v>6</v>
      </c>
      <c r="M262" s="87">
        <v>0</v>
      </c>
      <c r="N262" s="87">
        <v>1</v>
      </c>
      <c r="O262" s="87">
        <v>2</v>
      </c>
      <c r="P262" s="87">
        <v>3</v>
      </c>
      <c r="Q262" s="87">
        <v>4</v>
      </c>
      <c r="R262" s="87">
        <v>5</v>
      </c>
      <c r="S262" s="87">
        <v>6</v>
      </c>
      <c r="T262" s="87">
        <v>7</v>
      </c>
      <c r="U262" s="87">
        <v>8</v>
      </c>
      <c r="V262" s="87">
        <v>9</v>
      </c>
      <c r="W262" s="88">
        <f t="shared" si="236"/>
        <v>6</v>
      </c>
      <c r="X262" s="88">
        <f t="shared" si="237"/>
        <v>1</v>
      </c>
      <c r="Y262" s="88">
        <f t="shared" si="238"/>
        <v>5</v>
      </c>
      <c r="Z262" s="89">
        <f t="shared" si="212"/>
        <v>12</v>
      </c>
      <c r="AA262" s="17" t="str">
        <f>_xlfn.TEXTJOIN(", ",TRUE,ABS(MID(C262,{1,1,2},1)-MID(C262,{2,3,3},1)))</f>
        <v>6, 1, 5</v>
      </c>
      <c r="AB262" s="90">
        <v>0</v>
      </c>
      <c r="AC262" s="90">
        <v>1</v>
      </c>
      <c r="AD262" s="90">
        <v>2</v>
      </c>
      <c r="AE262" s="90">
        <v>3</v>
      </c>
      <c r="AF262" s="90">
        <v>4</v>
      </c>
      <c r="AG262" s="90">
        <v>5</v>
      </c>
      <c r="AH262" s="90">
        <v>6</v>
      </c>
      <c r="AI262" s="90">
        <v>7</v>
      </c>
      <c r="AJ262" s="90">
        <v>8</v>
      </c>
      <c r="AK262" s="90">
        <v>9</v>
      </c>
      <c r="AL262" s="91">
        <v>0</v>
      </c>
      <c r="AM262" s="91">
        <v>1</v>
      </c>
      <c r="AN262" s="91">
        <v>2</v>
      </c>
      <c r="AO262" s="91">
        <v>3</v>
      </c>
      <c r="AP262" s="91">
        <v>4</v>
      </c>
      <c r="AQ262" s="91">
        <v>5</v>
      </c>
      <c r="AR262" s="91">
        <v>6</v>
      </c>
      <c r="AS262" s="91">
        <v>7</v>
      </c>
      <c r="AT262" s="91">
        <v>8</v>
      </c>
      <c r="AU262" s="91">
        <v>9</v>
      </c>
      <c r="AV262" s="92">
        <v>0</v>
      </c>
      <c r="AW262" s="92">
        <v>1</v>
      </c>
      <c r="AX262" s="92">
        <v>2</v>
      </c>
      <c r="AY262" s="92">
        <v>3</v>
      </c>
      <c r="AZ262" s="92">
        <v>4</v>
      </c>
      <c r="BA262" s="92">
        <v>5</v>
      </c>
      <c r="BB262" s="92">
        <v>6</v>
      </c>
      <c r="BC262" s="92">
        <v>7</v>
      </c>
      <c r="BD262" s="92">
        <v>8</v>
      </c>
      <c r="BE262" s="92">
        <v>9</v>
      </c>
      <c r="BF262" s="93">
        <v>0</v>
      </c>
      <c r="BG262" s="93">
        <v>1</v>
      </c>
      <c r="BH262" s="93">
        <v>2</v>
      </c>
      <c r="BI262" s="93">
        <v>3</v>
      </c>
      <c r="BJ262" s="93">
        <v>4</v>
      </c>
      <c r="BK262" s="93">
        <v>5</v>
      </c>
      <c r="BL262" s="93">
        <v>6</v>
      </c>
      <c r="BM262" s="93">
        <v>7</v>
      </c>
      <c r="BN262" s="93">
        <v>8</v>
      </c>
      <c r="BO262" s="93">
        <v>9</v>
      </c>
      <c r="BP262" s="94" t="str">
        <f t="shared" si="213"/>
        <v>松散型</v>
      </c>
      <c r="BQ262" s="15">
        <f t="shared" si="210"/>
        <v>1</v>
      </c>
      <c r="BR262" s="15">
        <f t="shared" si="211"/>
        <v>6</v>
      </c>
      <c r="BS262" s="20" t="str">
        <f t="shared" si="215"/>
        <v/>
      </c>
      <c r="BT262" s="21" t="str">
        <f t="shared" si="216"/>
        <v/>
      </c>
      <c r="BU262" s="21" t="str">
        <f t="array" ref="BU262">_xlfn.TEXTJOIN("",TRUE,IF(ISERROR(FIND(ROW($1:$168)-1,BS262&amp;BT262)),ROW($1:$168)-1,""))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62" s="22" t="str">
        <f t="shared" si="217"/>
        <v>中中中</v>
      </c>
      <c r="BW262" s="23" t="str">
        <f t="shared" si="228"/>
        <v/>
      </c>
      <c r="BX262" s="23" t="str">
        <f t="shared" si="226"/>
        <v/>
      </c>
      <c r="BY262" s="23" t="str">
        <f t="array" ref="BY262">_xlfn.TEXTJOIN("",TRUE,IF(ISERROR(FIND(ROW($1:$168)-1,BW262&amp;BX262)),ROW($1:$168)-1,""))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62" s="22" t="str">
        <f t="shared" si="218"/>
        <v>中中中</v>
      </c>
      <c r="CA262" s="24">
        <f t="shared" si="219"/>
        <v>5</v>
      </c>
      <c r="CB262" s="24" t="str">
        <f t="shared" si="227"/>
        <v/>
      </c>
      <c r="CC262" s="24" t="str">
        <f t="array" ref="CC262">_xlfn.TEXTJOIN("",TRUE,IF(ISERROR(FIND(ROW($1:$168)-1,CA262&amp;CB262)),ROW($1:$168)-1,""))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62" s="22" t="str">
        <f t="shared" si="220"/>
        <v>复中中</v>
      </c>
      <c r="CE262" s="25" t="str">
        <f t="shared" si="214"/>
        <v>57</v>
      </c>
      <c r="CF262" s="26" t="str">
        <f t="array" ref="CF262">_xlfn.TEXTJOIN("",TRUE,IF(ISNUMBER(FIND(MID(CE261&amp;W261,ROW($1:$162),1),CE262&amp;W262)),MID(CE261&amp;W261,ROW($1:$162),1),""))</f>
        <v>65</v>
      </c>
      <c r="CG262" s="27" t="str">
        <f t="array" ref="CG262">_xlfn.TEXTJOIN("",TRUE,IF(ISERROR(FIND(ROW($1:$168)-1,CE262&amp;CF262)),ROW($1:$168)-1,""))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62" s="28" t="str">
        <f t="shared" si="221"/>
        <v>邻传孤</v>
      </c>
      <c r="CI262" s="29" t="str">
        <f t="shared" si="222"/>
        <v>02</v>
      </c>
      <c r="CJ262" s="29" t="str">
        <f t="array" ref="CJ262">_xlfn.TEXTJOIN("",TRUE,IF(ISNUMBER(FIND(MID(CI261&amp;X261,ROW($1:$162),1),CI262&amp;X262)),MID(CI261&amp;X261,ROW($1:$162),1),""))</f>
        <v>2</v>
      </c>
      <c r="CK262" s="29" t="str">
        <f t="array" ref="CK262">_xlfn.TEXTJOIN("",TRUE,IF(ISERROR(FIND(ROW($1:$168)-1,CI262&amp;CJ262)),ROW($1:$168)-1,""))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62" s="19" t="str">
        <f t="shared" si="223"/>
        <v>邻传孤</v>
      </c>
      <c r="CM262" s="24" t="str">
        <f t="shared" si="224"/>
        <v>46</v>
      </c>
      <c r="CN262" s="24" t="str">
        <f t="array" ref="CN262">_xlfn.TEXTJOIN("",TRUE,IF(ISNUMBER(FIND(MID(CM261&amp;Y261,ROW($1:$162),1),CM262&amp;Y262)),MID(CM261&amp;Y261,ROW($1:$162),1),""))</f>
        <v/>
      </c>
      <c r="CO262" s="24" t="str">
        <f t="array" ref="CO262">_xlfn.TEXTJOIN("",TRUE,IF(ISERROR(FIND(ROW($1:$168)-1,CM262&amp;CN262)),ROW($1:$168)-1,""))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62" s="30" t="str">
        <f t="shared" si="225"/>
        <v>邻孤孤</v>
      </c>
    </row>
    <row r="263" spans="1:94">
      <c r="A263" s="15">
        <v>263</v>
      </c>
      <c r="B263" s="80">
        <v>2024232</v>
      </c>
      <c r="C263" s="8" t="s">
        <v>262</v>
      </c>
      <c r="D263" s="81">
        <f t="shared" si="234"/>
        <v>3</v>
      </c>
      <c r="E263" s="82">
        <f t="shared" si="235"/>
        <v>3</v>
      </c>
      <c r="F263" s="83">
        <f t="shared" si="239"/>
        <v>1.5</v>
      </c>
      <c r="G263" s="84" t="str">
        <f t="shared" si="240"/>
        <v>松散</v>
      </c>
      <c r="H263" s="85" t="s">
        <v>10</v>
      </c>
      <c r="I263" s="85" t="s">
        <v>11</v>
      </c>
      <c r="J263" s="85" t="s">
        <v>12</v>
      </c>
      <c r="K263" s="85" t="s">
        <v>13</v>
      </c>
      <c r="L263" s="86">
        <f>MAX(MID(C263,{1,2,3},1)*1)-MIN(MID(C263,{1,2,3},1)*1)</f>
        <v>2</v>
      </c>
      <c r="M263" s="87">
        <v>0</v>
      </c>
      <c r="N263" s="87">
        <v>1</v>
      </c>
      <c r="O263" s="87">
        <v>2</v>
      </c>
      <c r="P263" s="87">
        <v>3</v>
      </c>
      <c r="Q263" s="87">
        <v>4</v>
      </c>
      <c r="R263" s="87">
        <v>5</v>
      </c>
      <c r="S263" s="87">
        <v>6</v>
      </c>
      <c r="T263" s="87">
        <v>7</v>
      </c>
      <c r="U263" s="87">
        <v>8</v>
      </c>
      <c r="V263" s="87">
        <v>9</v>
      </c>
      <c r="W263" s="88">
        <f t="shared" si="236"/>
        <v>1</v>
      </c>
      <c r="X263" s="88">
        <f t="shared" si="237"/>
        <v>2</v>
      </c>
      <c r="Y263" s="88">
        <f t="shared" si="238"/>
        <v>1</v>
      </c>
      <c r="Z263" s="89">
        <f t="shared" si="212"/>
        <v>4</v>
      </c>
      <c r="AA263" s="17" t="str">
        <f>_xlfn.TEXTJOIN(", ",TRUE,ABS(MID(C263,{1,1,2},1)-MID(C263,{2,3,3},1)))</f>
        <v>1, 2, 1</v>
      </c>
      <c r="AB263" s="90">
        <v>0</v>
      </c>
      <c r="AC263" s="90">
        <v>1</v>
      </c>
      <c r="AD263" s="90">
        <v>2</v>
      </c>
      <c r="AE263" s="90">
        <v>3</v>
      </c>
      <c r="AF263" s="90">
        <v>4</v>
      </c>
      <c r="AG263" s="90">
        <v>5</v>
      </c>
      <c r="AH263" s="90">
        <v>6</v>
      </c>
      <c r="AI263" s="90">
        <v>7</v>
      </c>
      <c r="AJ263" s="90">
        <v>8</v>
      </c>
      <c r="AK263" s="90">
        <v>9</v>
      </c>
      <c r="AL263" s="91">
        <v>0</v>
      </c>
      <c r="AM263" s="91">
        <v>1</v>
      </c>
      <c r="AN263" s="91">
        <v>2</v>
      </c>
      <c r="AO263" s="91">
        <v>3</v>
      </c>
      <c r="AP263" s="91">
        <v>4</v>
      </c>
      <c r="AQ263" s="91">
        <v>5</v>
      </c>
      <c r="AR263" s="91">
        <v>6</v>
      </c>
      <c r="AS263" s="91">
        <v>7</v>
      </c>
      <c r="AT263" s="91">
        <v>8</v>
      </c>
      <c r="AU263" s="91">
        <v>9</v>
      </c>
      <c r="AV263" s="92">
        <v>0</v>
      </c>
      <c r="AW263" s="92">
        <v>1</v>
      </c>
      <c r="AX263" s="92">
        <v>2</v>
      </c>
      <c r="AY263" s="92">
        <v>3</v>
      </c>
      <c r="AZ263" s="92">
        <v>4</v>
      </c>
      <c r="BA263" s="92">
        <v>5</v>
      </c>
      <c r="BB263" s="92">
        <v>6</v>
      </c>
      <c r="BC263" s="92">
        <v>7</v>
      </c>
      <c r="BD263" s="92">
        <v>8</v>
      </c>
      <c r="BE263" s="92">
        <v>9</v>
      </c>
      <c r="BF263" s="93">
        <v>0</v>
      </c>
      <c r="BG263" s="93">
        <v>1</v>
      </c>
      <c r="BH263" s="93">
        <v>2</v>
      </c>
      <c r="BI263" s="93">
        <v>3</v>
      </c>
      <c r="BJ263" s="93">
        <v>4</v>
      </c>
      <c r="BK263" s="93">
        <v>5</v>
      </c>
      <c r="BL263" s="93">
        <v>6</v>
      </c>
      <c r="BM263" s="93">
        <v>7</v>
      </c>
      <c r="BN263" s="93">
        <v>8</v>
      </c>
      <c r="BO263" s="93">
        <v>9</v>
      </c>
      <c r="BP263" s="94" t="str">
        <f t="shared" si="213"/>
        <v>紧凑型</v>
      </c>
      <c r="BQ263" s="15">
        <f t="shared" si="210"/>
        <v>1</v>
      </c>
      <c r="BR263" s="15">
        <f t="shared" si="211"/>
        <v>2</v>
      </c>
      <c r="BS263" s="20">
        <f t="shared" si="215"/>
        <v>1</v>
      </c>
      <c r="BT263" s="21" t="str">
        <f t="shared" si="216"/>
        <v/>
      </c>
      <c r="BU263" s="21" t="str">
        <f t="array" ref="BU263">_xlfn.TEXTJOIN("",TRUE,IF(ISERROR(FIND(ROW($1:$168)-1,BS263&amp;BT263)),ROW($1:$168)-1,""))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63" s="22" t="str">
        <f t="shared" si="217"/>
        <v>复中中</v>
      </c>
      <c r="BW263" s="23" t="str">
        <f t="shared" si="228"/>
        <v/>
      </c>
      <c r="BX263" s="23">
        <f t="shared" si="226"/>
        <v>2</v>
      </c>
      <c r="BY263" s="23" t="str">
        <f t="array" ref="BY263">_xlfn.TEXTJOIN("",TRUE,IF(ISERROR(FIND(ROW($1:$168)-1,BW263&amp;BX263)),ROW($1:$168)-1,""))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63" s="22" t="str">
        <f t="shared" si="218"/>
        <v>中隔中</v>
      </c>
      <c r="CA263" s="24">
        <f t="shared" si="219"/>
        <v>1</v>
      </c>
      <c r="CB263" s="24" t="str">
        <f t="shared" si="227"/>
        <v/>
      </c>
      <c r="CC263" s="24" t="str">
        <f t="array" ref="CC263">_xlfn.TEXTJOIN("",TRUE,IF(ISERROR(FIND(ROW($1:$168)-1,CA263&amp;CB263)),ROW($1:$168)-1,""))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63" s="22" t="str">
        <f t="shared" si="220"/>
        <v>复中中</v>
      </c>
      <c r="CE263" s="25" t="str">
        <f t="shared" si="214"/>
        <v>02</v>
      </c>
      <c r="CF263" s="26" t="str">
        <f t="array" ref="CF263">_xlfn.TEXTJOIN("",TRUE,IF(ISNUMBER(FIND(MID(CE262&amp;W262,ROW($1:$162),1),CE263&amp;W263)),MID(CE262&amp;W262,ROW($1:$162),1),""))</f>
        <v/>
      </c>
      <c r="CG263" s="27" t="str">
        <f t="array" ref="CG263">_xlfn.TEXTJOIN("",TRUE,IF(ISERROR(FIND(ROW($1:$168)-1,CE263&amp;CF263)),ROW($1:$168)-1,""))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63" s="28" t="str">
        <f t="shared" si="221"/>
        <v>邻孤孤</v>
      </c>
      <c r="CI263" s="29" t="str">
        <f t="shared" si="222"/>
        <v>13</v>
      </c>
      <c r="CJ263" s="29" t="str">
        <f t="array" ref="CJ263">_xlfn.TEXTJOIN("",TRUE,IF(ISNUMBER(FIND(MID(CI262&amp;X262,ROW($1:$162),1),CI263&amp;X263)),MID(CI262&amp;X262,ROW($1:$162),1),""))</f>
        <v>21</v>
      </c>
      <c r="CK263" s="29" t="str">
        <f t="array" ref="CK263">_xlfn.TEXTJOIN("",TRUE,IF(ISERROR(FIND(ROW($1:$168)-1,CI263&amp;CJ263)),ROW($1:$168)-1,""))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263" s="19" t="str">
        <f t="shared" si="223"/>
        <v>邻传孤</v>
      </c>
      <c r="CM263" s="24" t="str">
        <f t="shared" si="224"/>
        <v>02</v>
      </c>
      <c r="CN263" s="24" t="str">
        <f t="array" ref="CN263">_xlfn.TEXTJOIN("",TRUE,IF(ISNUMBER(FIND(MID(CM262&amp;Y262,ROW($1:$162),1),CM263&amp;Y263)),MID(CM262&amp;Y262,ROW($1:$162),1),""))</f>
        <v/>
      </c>
      <c r="CO263" s="24" t="str">
        <f t="array" ref="CO263">_xlfn.TEXTJOIN("",TRUE,IF(ISERROR(FIND(ROW($1:$168)-1,CM263&amp;CN263)),ROW($1:$168)-1,""))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63" s="30" t="str">
        <f t="shared" si="225"/>
        <v>邻孤孤</v>
      </c>
    </row>
    <row r="264" spans="1:94">
      <c r="A264" s="15">
        <v>264</v>
      </c>
      <c r="B264" s="80">
        <v>2024233</v>
      </c>
      <c r="C264" s="8" t="s">
        <v>131</v>
      </c>
      <c r="D264" s="81">
        <f t="shared" si="234"/>
        <v>19</v>
      </c>
      <c r="E264" s="82">
        <f t="shared" si="235"/>
        <v>9</v>
      </c>
      <c r="F264" s="83">
        <f t="shared" si="239"/>
        <v>3.16666666666667</v>
      </c>
      <c r="G264" s="84" t="str">
        <f t="shared" si="240"/>
        <v>标准</v>
      </c>
      <c r="H264" s="85" t="s">
        <v>10</v>
      </c>
      <c r="I264" s="85" t="s">
        <v>11</v>
      </c>
      <c r="J264" s="85" t="s">
        <v>12</v>
      </c>
      <c r="K264" s="85" t="s">
        <v>13</v>
      </c>
      <c r="L264" s="86">
        <f>MAX(MID(C264,{1,2,3},1)*1)-MIN(MID(C264,{1,2,3},1)*1)</f>
        <v>6</v>
      </c>
      <c r="M264" s="87">
        <v>0</v>
      </c>
      <c r="N264" s="87">
        <v>1</v>
      </c>
      <c r="O264" s="87">
        <v>2</v>
      </c>
      <c r="P264" s="87">
        <v>3</v>
      </c>
      <c r="Q264" s="87">
        <v>4</v>
      </c>
      <c r="R264" s="87">
        <v>5</v>
      </c>
      <c r="S264" s="87">
        <v>6</v>
      </c>
      <c r="T264" s="87">
        <v>7</v>
      </c>
      <c r="U264" s="87">
        <v>8</v>
      </c>
      <c r="V264" s="87">
        <v>9</v>
      </c>
      <c r="W264" s="88">
        <f t="shared" si="236"/>
        <v>6</v>
      </c>
      <c r="X264" s="88">
        <f t="shared" si="237"/>
        <v>4</v>
      </c>
      <c r="Y264" s="88">
        <f t="shared" si="238"/>
        <v>2</v>
      </c>
      <c r="Z264" s="89">
        <f t="shared" si="212"/>
        <v>12</v>
      </c>
      <c r="AA264" s="17" t="str">
        <f>_xlfn.TEXTJOIN(", ",TRUE,ABS(MID(C264,{1,1,2},1)-MID(C264,{2,3,3},1)))</f>
        <v>6, 4, 2</v>
      </c>
      <c r="AB264" s="90">
        <v>0</v>
      </c>
      <c r="AC264" s="90">
        <v>1</v>
      </c>
      <c r="AD264" s="90">
        <v>2</v>
      </c>
      <c r="AE264" s="90">
        <v>3</v>
      </c>
      <c r="AF264" s="90">
        <v>4</v>
      </c>
      <c r="AG264" s="90">
        <v>5</v>
      </c>
      <c r="AH264" s="90">
        <v>6</v>
      </c>
      <c r="AI264" s="90">
        <v>7</v>
      </c>
      <c r="AJ264" s="90">
        <v>8</v>
      </c>
      <c r="AK264" s="90">
        <v>9</v>
      </c>
      <c r="AL264" s="91">
        <v>0</v>
      </c>
      <c r="AM264" s="91">
        <v>1</v>
      </c>
      <c r="AN264" s="91">
        <v>2</v>
      </c>
      <c r="AO264" s="91">
        <v>3</v>
      </c>
      <c r="AP264" s="91">
        <v>4</v>
      </c>
      <c r="AQ264" s="91">
        <v>5</v>
      </c>
      <c r="AR264" s="91">
        <v>6</v>
      </c>
      <c r="AS264" s="91">
        <v>7</v>
      </c>
      <c r="AT264" s="91">
        <v>8</v>
      </c>
      <c r="AU264" s="91">
        <v>9</v>
      </c>
      <c r="AV264" s="92">
        <v>0</v>
      </c>
      <c r="AW264" s="92">
        <v>1</v>
      </c>
      <c r="AX264" s="92">
        <v>2</v>
      </c>
      <c r="AY264" s="92">
        <v>3</v>
      </c>
      <c r="AZ264" s="92">
        <v>4</v>
      </c>
      <c r="BA264" s="92">
        <v>5</v>
      </c>
      <c r="BB264" s="92">
        <v>6</v>
      </c>
      <c r="BC264" s="92">
        <v>7</v>
      </c>
      <c r="BD264" s="92">
        <v>8</v>
      </c>
      <c r="BE264" s="92">
        <v>9</v>
      </c>
      <c r="BF264" s="93">
        <v>0</v>
      </c>
      <c r="BG264" s="93">
        <v>1</v>
      </c>
      <c r="BH264" s="93">
        <v>2</v>
      </c>
      <c r="BI264" s="93">
        <v>3</v>
      </c>
      <c r="BJ264" s="93">
        <v>4</v>
      </c>
      <c r="BK264" s="93">
        <v>5</v>
      </c>
      <c r="BL264" s="93">
        <v>6</v>
      </c>
      <c r="BM264" s="93">
        <v>7</v>
      </c>
      <c r="BN264" s="93">
        <v>8</v>
      </c>
      <c r="BO264" s="93">
        <v>9</v>
      </c>
      <c r="BP264" s="94" t="str">
        <f t="shared" si="213"/>
        <v>松散型</v>
      </c>
      <c r="BQ264" s="15">
        <f t="shared" si="210"/>
        <v>2</v>
      </c>
      <c r="BR264" s="15">
        <f t="shared" si="211"/>
        <v>6</v>
      </c>
      <c r="BS264" s="20" t="str">
        <f t="shared" si="215"/>
        <v/>
      </c>
      <c r="BT264" s="21">
        <f t="shared" si="216"/>
        <v>6</v>
      </c>
      <c r="BU264" s="21" t="str">
        <f t="array" ref="BU264">_xlfn.TEXTJOIN("",TRUE,IF(ISERROR(FIND(ROW($1:$168)-1,BS264&amp;BT264)),ROW($1:$168)-1,""))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64" s="22" t="str">
        <f t="shared" si="217"/>
        <v>中隔中</v>
      </c>
      <c r="BW264" s="23" t="str">
        <f t="shared" si="228"/>
        <v/>
      </c>
      <c r="BX264" s="23" t="str">
        <f t="shared" si="226"/>
        <v/>
      </c>
      <c r="BY264" s="23" t="str">
        <f t="array" ref="BY264">_xlfn.TEXTJOIN("",TRUE,IF(ISERROR(FIND(ROW($1:$168)-1,BW264&amp;BX264)),ROW($1:$168)-1,""))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64" s="22" t="str">
        <f t="shared" si="218"/>
        <v>中中中</v>
      </c>
      <c r="CA264" s="24">
        <f t="shared" si="219"/>
        <v>2</v>
      </c>
      <c r="CB264" s="24" t="str">
        <f t="shared" si="227"/>
        <v/>
      </c>
      <c r="CC264" s="24" t="str">
        <f t="array" ref="CC264">_xlfn.TEXTJOIN("",TRUE,IF(ISERROR(FIND(ROW($1:$168)-1,CA264&amp;CB264)),ROW($1:$168)-1,""))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64" s="22" t="str">
        <f t="shared" si="220"/>
        <v>复中中</v>
      </c>
      <c r="CE264" s="25" t="str">
        <f t="shared" si="214"/>
        <v>57</v>
      </c>
      <c r="CF264" s="26" t="str">
        <f t="array" ref="CF264">_xlfn.TEXTJOIN("",TRUE,IF(ISNUMBER(FIND(MID(CE263&amp;W263,ROW($1:$162),1),CE264&amp;W264)),MID(CE263&amp;W263,ROW($1:$162),1),""))</f>
        <v/>
      </c>
      <c r="CG264" s="27" t="str">
        <f t="array" ref="CG264">_xlfn.TEXTJOIN("",TRUE,IF(ISERROR(FIND(ROW($1:$168)-1,CE264&amp;CF264)),ROW($1:$168)-1,""))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64" s="28" t="str">
        <f t="shared" si="221"/>
        <v>邻孤孤</v>
      </c>
      <c r="CI264" s="29" t="str">
        <f t="shared" si="222"/>
        <v>35</v>
      </c>
      <c r="CJ264" s="29" t="str">
        <f t="array" ref="CJ264">_xlfn.TEXTJOIN("",TRUE,IF(ISNUMBER(FIND(MID(CI263&amp;X263,ROW($1:$162),1),CI264&amp;X264)),MID(CI263&amp;X263,ROW($1:$162),1),""))</f>
        <v>3</v>
      </c>
      <c r="CK264" s="29" t="str">
        <f t="array" ref="CK264">_xlfn.TEXTJOIN("",TRUE,IF(ISERROR(FIND(ROW($1:$168)-1,CI264&amp;CJ264)),ROW($1:$168)-1,""))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64" s="19" t="str">
        <f t="shared" si="223"/>
        <v>邻传孤</v>
      </c>
      <c r="CM264" s="24" t="str">
        <f t="shared" si="224"/>
        <v>13</v>
      </c>
      <c r="CN264" s="24" t="str">
        <f t="array" ref="CN264">_xlfn.TEXTJOIN("",TRUE,IF(ISNUMBER(FIND(MID(CM263&amp;Y263,ROW($1:$162),1),CM264&amp;Y264)),MID(CM263&amp;Y263,ROW($1:$162),1),""))</f>
        <v>21</v>
      </c>
      <c r="CO264" s="24" t="str">
        <f t="array" ref="CO264">_xlfn.TEXTJOIN("",TRUE,IF(ISERROR(FIND(ROW($1:$168)-1,CM264&amp;CN264)),ROW($1:$168)-1,""))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264" s="30" t="str">
        <f t="shared" si="225"/>
        <v>邻传孤</v>
      </c>
    </row>
    <row r="265" spans="1:94">
      <c r="A265" s="15">
        <v>265</v>
      </c>
      <c r="B265" s="80">
        <v>2024234</v>
      </c>
      <c r="C265" s="8" t="s">
        <v>263</v>
      </c>
      <c r="D265" s="81">
        <f t="shared" si="234"/>
        <v>13</v>
      </c>
      <c r="E265" s="82">
        <f t="shared" si="235"/>
        <v>3</v>
      </c>
      <c r="F265" s="83">
        <f t="shared" si="239"/>
        <v>2.16666666666667</v>
      </c>
      <c r="G265" s="84" t="str">
        <f t="shared" si="240"/>
        <v>标准</v>
      </c>
      <c r="H265" s="85" t="s">
        <v>10</v>
      </c>
      <c r="I265" s="85" t="s">
        <v>11</v>
      </c>
      <c r="J265" s="85" t="s">
        <v>12</v>
      </c>
      <c r="K265" s="85" t="s">
        <v>13</v>
      </c>
      <c r="L265" s="86">
        <f>MAX(MID(C265,{1,2,3},1)*1)-MIN(MID(C265,{1,2,3},1)*1)</f>
        <v>6</v>
      </c>
      <c r="M265" s="87">
        <v>0</v>
      </c>
      <c r="N265" s="87">
        <v>1</v>
      </c>
      <c r="O265" s="87">
        <v>2</v>
      </c>
      <c r="P265" s="87">
        <v>3</v>
      </c>
      <c r="Q265" s="87">
        <v>4</v>
      </c>
      <c r="R265" s="87">
        <v>5</v>
      </c>
      <c r="S265" s="87">
        <v>6</v>
      </c>
      <c r="T265" s="87">
        <v>7</v>
      </c>
      <c r="U265" s="87">
        <v>8</v>
      </c>
      <c r="V265" s="87">
        <v>9</v>
      </c>
      <c r="W265" s="88">
        <f t="shared" si="236"/>
        <v>6</v>
      </c>
      <c r="X265" s="88">
        <f t="shared" si="237"/>
        <v>2</v>
      </c>
      <c r="Y265" s="88">
        <f t="shared" si="238"/>
        <v>4</v>
      </c>
      <c r="Z265" s="89">
        <f t="shared" si="212"/>
        <v>12</v>
      </c>
      <c r="AA265" s="17" t="str">
        <f>_xlfn.TEXTJOIN(", ",TRUE,ABS(MID(C265,{1,1,2},1)-MID(C265,{2,3,3},1)))</f>
        <v>6, 2, 4</v>
      </c>
      <c r="AB265" s="90">
        <v>0</v>
      </c>
      <c r="AC265" s="90">
        <v>1</v>
      </c>
      <c r="AD265" s="90">
        <v>2</v>
      </c>
      <c r="AE265" s="90">
        <v>3</v>
      </c>
      <c r="AF265" s="90">
        <v>4</v>
      </c>
      <c r="AG265" s="90">
        <v>5</v>
      </c>
      <c r="AH265" s="90">
        <v>6</v>
      </c>
      <c r="AI265" s="90">
        <v>7</v>
      </c>
      <c r="AJ265" s="90">
        <v>8</v>
      </c>
      <c r="AK265" s="90">
        <v>9</v>
      </c>
      <c r="AL265" s="91">
        <v>0</v>
      </c>
      <c r="AM265" s="91">
        <v>1</v>
      </c>
      <c r="AN265" s="91">
        <v>2</v>
      </c>
      <c r="AO265" s="91">
        <v>3</v>
      </c>
      <c r="AP265" s="91">
        <v>4</v>
      </c>
      <c r="AQ265" s="91">
        <v>5</v>
      </c>
      <c r="AR265" s="91">
        <v>6</v>
      </c>
      <c r="AS265" s="91">
        <v>7</v>
      </c>
      <c r="AT265" s="91">
        <v>8</v>
      </c>
      <c r="AU265" s="91">
        <v>9</v>
      </c>
      <c r="AV265" s="92">
        <v>0</v>
      </c>
      <c r="AW265" s="92">
        <v>1</v>
      </c>
      <c r="AX265" s="92">
        <v>2</v>
      </c>
      <c r="AY265" s="92">
        <v>3</v>
      </c>
      <c r="AZ265" s="92">
        <v>4</v>
      </c>
      <c r="BA265" s="92">
        <v>5</v>
      </c>
      <c r="BB265" s="92">
        <v>6</v>
      </c>
      <c r="BC265" s="92">
        <v>7</v>
      </c>
      <c r="BD265" s="92">
        <v>8</v>
      </c>
      <c r="BE265" s="92">
        <v>9</v>
      </c>
      <c r="BF265" s="93">
        <v>0</v>
      </c>
      <c r="BG265" s="93">
        <v>1</v>
      </c>
      <c r="BH265" s="93">
        <v>2</v>
      </c>
      <c r="BI265" s="93">
        <v>3</v>
      </c>
      <c r="BJ265" s="93">
        <v>4</v>
      </c>
      <c r="BK265" s="93">
        <v>5</v>
      </c>
      <c r="BL265" s="93">
        <v>6</v>
      </c>
      <c r="BM265" s="93">
        <v>7</v>
      </c>
      <c r="BN265" s="93">
        <v>8</v>
      </c>
      <c r="BO265" s="93">
        <v>9</v>
      </c>
      <c r="BP265" s="94" t="str">
        <f t="shared" si="213"/>
        <v>松散型</v>
      </c>
      <c r="BQ265" s="15">
        <f t="shared" si="210"/>
        <v>2</v>
      </c>
      <c r="BR265" s="15">
        <f t="shared" si="211"/>
        <v>6</v>
      </c>
      <c r="BS265" s="20">
        <f t="shared" si="215"/>
        <v>6</v>
      </c>
      <c r="BT265" s="21" t="str">
        <f t="shared" si="216"/>
        <v/>
      </c>
      <c r="BU265" s="21" t="str">
        <f t="array" ref="BU265">_xlfn.TEXTJOIN("",TRUE,IF(ISERROR(FIND(ROW($1:$168)-1,BS265&amp;BT265)),ROW($1:$168)-1,""))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65" s="22" t="str">
        <f t="shared" si="217"/>
        <v>复中中</v>
      </c>
      <c r="BW265" s="23">
        <f t="shared" si="228"/>
        <v>2</v>
      </c>
      <c r="BX265" s="23">
        <f t="shared" si="226"/>
        <v>2</v>
      </c>
      <c r="BY265" s="23" t="str">
        <f t="array" ref="BY265">_xlfn.TEXTJOIN("",TRUE,IF(ISERROR(FIND(ROW($1:$168)-1,BW265&amp;BX265)),ROW($1:$168)-1,""))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65" s="22" t="str">
        <f t="shared" si="218"/>
        <v>复隔中</v>
      </c>
      <c r="CA265" s="24">
        <f t="shared" si="219"/>
        <v>4</v>
      </c>
      <c r="CB265" s="24" t="str">
        <f t="shared" si="227"/>
        <v/>
      </c>
      <c r="CC265" s="24" t="str">
        <f t="array" ref="CC265">_xlfn.TEXTJOIN("",TRUE,IF(ISERROR(FIND(ROW($1:$168)-1,CA265&amp;CB265)),ROW($1:$168)-1,""))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65" s="22" t="str">
        <f t="shared" si="220"/>
        <v>复中中</v>
      </c>
      <c r="CE265" s="25" t="str">
        <f t="shared" si="214"/>
        <v>57</v>
      </c>
      <c r="CF265" s="26" t="str">
        <f t="array" ref="CF265">_xlfn.TEXTJOIN("",TRUE,IF(ISNUMBER(FIND(MID(CE264&amp;W264,ROW($1:$162),1),CE265&amp;W265)),MID(CE264&amp;W264,ROW($1:$162),1),""))</f>
        <v>576</v>
      </c>
      <c r="CG265" s="27" t="str">
        <f t="array" ref="CG265">_xlfn.TEXTJOIN("",TRUE,IF(ISERROR(FIND(ROW($1:$168)-1,CE265&amp;CF265)),ROW($1:$168)-1,""))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65" s="28" t="str">
        <f t="shared" si="221"/>
        <v>邻传孤</v>
      </c>
      <c r="CI265" s="29" t="str">
        <f t="shared" si="222"/>
        <v>13</v>
      </c>
      <c r="CJ265" s="29" t="str">
        <f t="array" ref="CJ265">_xlfn.TEXTJOIN("",TRUE,IF(ISNUMBER(FIND(MID(CI264&amp;X264,ROW($1:$162),1),CI265&amp;X265)),MID(CI264&amp;X264,ROW($1:$162),1),""))</f>
        <v>3</v>
      </c>
      <c r="CK265" s="29" t="str">
        <f t="array" ref="CK265">_xlfn.TEXTJOIN("",TRUE,IF(ISERROR(FIND(ROW($1:$168)-1,CI265&amp;CJ265)),ROW($1:$168)-1,""))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265" s="19" t="str">
        <f t="shared" si="223"/>
        <v>邻传孤</v>
      </c>
      <c r="CM265" s="24" t="str">
        <f t="shared" si="224"/>
        <v>35</v>
      </c>
      <c r="CN265" s="24" t="str">
        <f t="array" ref="CN265">_xlfn.TEXTJOIN("",TRUE,IF(ISNUMBER(FIND(MID(CM264&amp;Y264,ROW($1:$162),1),CM265&amp;Y265)),MID(CM264&amp;Y264,ROW($1:$162),1),""))</f>
        <v>3</v>
      </c>
      <c r="CO265" s="24" t="str">
        <f t="array" ref="CO265">_xlfn.TEXTJOIN("",TRUE,IF(ISERROR(FIND(ROW($1:$168)-1,CM265&amp;CN265)),ROW($1:$168)-1,""))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65" s="30" t="str">
        <f t="shared" si="225"/>
        <v>邻传孤</v>
      </c>
    </row>
    <row r="266" spans="1:94">
      <c r="A266" s="15">
        <v>266</v>
      </c>
      <c r="B266" s="80">
        <v>2024235</v>
      </c>
      <c r="C266" s="8" t="s">
        <v>264</v>
      </c>
      <c r="D266" s="81">
        <f t="shared" si="234"/>
        <v>15</v>
      </c>
      <c r="E266" s="82">
        <f t="shared" si="235"/>
        <v>5</v>
      </c>
      <c r="F266" s="83">
        <f t="shared" si="239"/>
        <v>2.14285714285714</v>
      </c>
      <c r="G266" s="84" t="str">
        <f t="shared" si="240"/>
        <v>标准</v>
      </c>
      <c r="H266" s="85" t="s">
        <v>10</v>
      </c>
      <c r="I266" s="85" t="s">
        <v>11</v>
      </c>
      <c r="J266" s="85" t="s">
        <v>12</v>
      </c>
      <c r="K266" s="85" t="s">
        <v>13</v>
      </c>
      <c r="L266" s="86">
        <f>MAX(MID(C266,{1,2,3},1)*1)-MIN(MID(C266,{1,2,3},1)*1)</f>
        <v>7</v>
      </c>
      <c r="M266" s="87">
        <v>0</v>
      </c>
      <c r="N266" s="87">
        <v>1</v>
      </c>
      <c r="O266" s="87">
        <v>2</v>
      </c>
      <c r="P266" s="87">
        <v>3</v>
      </c>
      <c r="Q266" s="87">
        <v>4</v>
      </c>
      <c r="R266" s="87">
        <v>5</v>
      </c>
      <c r="S266" s="87">
        <v>6</v>
      </c>
      <c r="T266" s="87">
        <v>7</v>
      </c>
      <c r="U266" s="87">
        <v>8</v>
      </c>
      <c r="V266" s="87">
        <v>9</v>
      </c>
      <c r="W266" s="88">
        <f t="shared" si="236"/>
        <v>5</v>
      </c>
      <c r="X266" s="88">
        <f t="shared" si="237"/>
        <v>2</v>
      </c>
      <c r="Y266" s="88">
        <f t="shared" si="238"/>
        <v>7</v>
      </c>
      <c r="Z266" s="89">
        <f t="shared" si="212"/>
        <v>14</v>
      </c>
      <c r="AA266" s="17" t="str">
        <f>_xlfn.TEXTJOIN(", ",TRUE,ABS(MID(C266,{1,1,2},1)-MID(C266,{2,3,3},1)))</f>
        <v>5, 2, 7</v>
      </c>
      <c r="AB266" s="90">
        <v>0</v>
      </c>
      <c r="AC266" s="90">
        <v>1</v>
      </c>
      <c r="AD266" s="90">
        <v>2</v>
      </c>
      <c r="AE266" s="90">
        <v>3</v>
      </c>
      <c r="AF266" s="90">
        <v>4</v>
      </c>
      <c r="AG266" s="90">
        <v>5</v>
      </c>
      <c r="AH266" s="90">
        <v>6</v>
      </c>
      <c r="AI266" s="90">
        <v>7</v>
      </c>
      <c r="AJ266" s="90">
        <v>8</v>
      </c>
      <c r="AK266" s="90">
        <v>9</v>
      </c>
      <c r="AL266" s="91">
        <v>0</v>
      </c>
      <c r="AM266" s="91">
        <v>1</v>
      </c>
      <c r="AN266" s="91">
        <v>2</v>
      </c>
      <c r="AO266" s="91">
        <v>3</v>
      </c>
      <c r="AP266" s="91">
        <v>4</v>
      </c>
      <c r="AQ266" s="91">
        <v>5</v>
      </c>
      <c r="AR266" s="91">
        <v>6</v>
      </c>
      <c r="AS266" s="91">
        <v>7</v>
      </c>
      <c r="AT266" s="91">
        <v>8</v>
      </c>
      <c r="AU266" s="91">
        <v>9</v>
      </c>
      <c r="AV266" s="92">
        <v>0</v>
      </c>
      <c r="AW266" s="92">
        <v>1</v>
      </c>
      <c r="AX266" s="92">
        <v>2</v>
      </c>
      <c r="AY266" s="92">
        <v>3</v>
      </c>
      <c r="AZ266" s="92">
        <v>4</v>
      </c>
      <c r="BA266" s="92">
        <v>5</v>
      </c>
      <c r="BB266" s="92">
        <v>6</v>
      </c>
      <c r="BC266" s="92">
        <v>7</v>
      </c>
      <c r="BD266" s="92">
        <v>8</v>
      </c>
      <c r="BE266" s="92">
        <v>9</v>
      </c>
      <c r="BF266" s="93">
        <v>0</v>
      </c>
      <c r="BG266" s="93">
        <v>1</v>
      </c>
      <c r="BH266" s="93">
        <v>2</v>
      </c>
      <c r="BI266" s="93">
        <v>3</v>
      </c>
      <c r="BJ266" s="93">
        <v>4</v>
      </c>
      <c r="BK266" s="93">
        <v>5</v>
      </c>
      <c r="BL266" s="93">
        <v>6</v>
      </c>
      <c r="BM266" s="93">
        <v>7</v>
      </c>
      <c r="BN266" s="93">
        <v>8</v>
      </c>
      <c r="BO266" s="93">
        <v>9</v>
      </c>
      <c r="BP266" s="94" t="str">
        <f t="shared" si="213"/>
        <v>松散型</v>
      </c>
      <c r="BQ266" s="15">
        <f t="shared" si="210"/>
        <v>2</v>
      </c>
      <c r="BR266" s="15">
        <f t="shared" si="211"/>
        <v>7</v>
      </c>
      <c r="BS266" s="20" t="str">
        <f t="shared" si="215"/>
        <v/>
      </c>
      <c r="BT266" s="21" t="str">
        <f t="shared" si="216"/>
        <v/>
      </c>
      <c r="BU266" s="21" t="str">
        <f t="array" ref="BU266">_xlfn.TEXTJOIN("",TRUE,IF(ISERROR(FIND(ROW($1:$168)-1,BS266&amp;BT266)),ROW($1:$168)-1,""))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66" s="22" t="str">
        <f t="shared" si="217"/>
        <v>中中中</v>
      </c>
      <c r="BW266" s="23">
        <f t="shared" si="228"/>
        <v>2</v>
      </c>
      <c r="BX266" s="23">
        <f t="shared" si="226"/>
        <v>2</v>
      </c>
      <c r="BY266" s="23" t="str">
        <f t="array" ref="BY266">_xlfn.TEXTJOIN("",TRUE,IF(ISERROR(FIND(ROW($1:$168)-1,BW266&amp;BX266)),ROW($1:$168)-1,""))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66" s="22" t="str">
        <f t="shared" si="218"/>
        <v>复隔中</v>
      </c>
      <c r="CA266" s="24" t="str">
        <f t="shared" si="219"/>
        <v/>
      </c>
      <c r="CB266" s="24" t="str">
        <f t="shared" si="227"/>
        <v/>
      </c>
      <c r="CC266" s="24" t="str">
        <f t="array" ref="CC266">_xlfn.TEXTJOIN("",TRUE,IF(ISERROR(FIND(ROW($1:$168)-1,CA266&amp;CB266)),ROW($1:$168)-1,""))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66" s="22" t="str">
        <f t="shared" si="220"/>
        <v>中中中</v>
      </c>
      <c r="CE266" s="25" t="str">
        <f t="shared" si="214"/>
        <v>46</v>
      </c>
      <c r="CF266" s="26" t="str">
        <f t="array" ref="CF266">_xlfn.TEXTJOIN("",TRUE,IF(ISNUMBER(FIND(MID(CE265&amp;W265,ROW($1:$162),1),CE266&amp;W266)),MID(CE265&amp;W265,ROW($1:$162),1),""))</f>
        <v>56</v>
      </c>
      <c r="CG266" s="27" t="str">
        <f t="array" ref="CG266">_xlfn.TEXTJOIN("",TRUE,IF(ISERROR(FIND(ROW($1:$168)-1,CE266&amp;CF266)),ROW($1:$168)-1,""))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66" s="28" t="str">
        <f t="shared" si="221"/>
        <v>邻传孤</v>
      </c>
      <c r="CI266" s="29" t="str">
        <f t="shared" si="222"/>
        <v>13</v>
      </c>
      <c r="CJ266" s="29" t="str">
        <f t="array" ref="CJ266">_xlfn.TEXTJOIN("",TRUE,IF(ISNUMBER(FIND(MID(CI265&amp;X265,ROW($1:$162),1),CI266&amp;X266)),MID(CI265&amp;X265,ROW($1:$162),1),""))</f>
        <v>132</v>
      </c>
      <c r="CK266" s="29" t="str">
        <f t="array" ref="CK266">_xlfn.TEXTJOIN("",TRUE,IF(ISERROR(FIND(ROW($1:$168)-1,CI266&amp;CJ266)),ROW($1:$168)-1,""))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266" s="19" t="str">
        <f t="shared" si="223"/>
        <v>邻传孤</v>
      </c>
      <c r="CM266" s="24" t="str">
        <f t="shared" si="224"/>
        <v>68</v>
      </c>
      <c r="CN266" s="24" t="str">
        <f t="array" ref="CN266">_xlfn.TEXTJOIN("",TRUE,IF(ISNUMBER(FIND(MID(CM265&amp;Y265,ROW($1:$162),1),CM266&amp;Y266)),MID(CM265&amp;Y265,ROW($1:$162),1),""))</f>
        <v/>
      </c>
      <c r="CO266" s="24" t="str">
        <f t="array" ref="CO266">_xlfn.TEXTJOIN("",TRUE,IF(ISERROR(FIND(ROW($1:$168)-1,CM266&amp;CN266)),ROW($1:$168)-1,""))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66" s="30" t="str">
        <f t="shared" si="225"/>
        <v>邻孤孤</v>
      </c>
    </row>
    <row r="267" spans="1:94">
      <c r="A267" s="15">
        <v>267</v>
      </c>
      <c r="B267" s="80">
        <v>2024236</v>
      </c>
      <c r="C267" s="8" t="s">
        <v>265</v>
      </c>
      <c r="D267" s="81">
        <f t="shared" si="234"/>
        <v>8</v>
      </c>
      <c r="E267" s="82">
        <f t="shared" si="235"/>
        <v>8</v>
      </c>
      <c r="F267" s="83">
        <f t="shared" si="239"/>
        <v>2</v>
      </c>
      <c r="G267" s="84" t="str">
        <f t="shared" si="240"/>
        <v>标准</v>
      </c>
      <c r="H267" s="85" t="s">
        <v>10</v>
      </c>
      <c r="I267" s="85" t="s">
        <v>11</v>
      </c>
      <c r="J267" s="85" t="s">
        <v>12</v>
      </c>
      <c r="K267" s="85" t="s">
        <v>13</v>
      </c>
      <c r="L267" s="86">
        <f>MAX(MID(C267,{1,2,3},1)*1)-MIN(MID(C267,{1,2,3},1)*1)</f>
        <v>4</v>
      </c>
      <c r="M267" s="87">
        <v>0</v>
      </c>
      <c r="N267" s="87">
        <v>1</v>
      </c>
      <c r="O267" s="87">
        <v>2</v>
      </c>
      <c r="P267" s="87">
        <v>3</v>
      </c>
      <c r="Q267" s="87">
        <v>4</v>
      </c>
      <c r="R267" s="87">
        <v>5</v>
      </c>
      <c r="S267" s="87">
        <v>6</v>
      </c>
      <c r="T267" s="87">
        <v>7</v>
      </c>
      <c r="U267" s="87">
        <v>8</v>
      </c>
      <c r="V267" s="87">
        <v>9</v>
      </c>
      <c r="W267" s="88">
        <f t="shared" si="236"/>
        <v>4</v>
      </c>
      <c r="X267" s="88">
        <f t="shared" si="237"/>
        <v>3</v>
      </c>
      <c r="Y267" s="88">
        <f t="shared" si="238"/>
        <v>1</v>
      </c>
      <c r="Z267" s="89">
        <f t="shared" si="212"/>
        <v>8</v>
      </c>
      <c r="AA267" s="17" t="str">
        <f>_xlfn.TEXTJOIN(", ",TRUE,ABS(MID(C267,{1,1,2},1)-MID(C267,{2,3,3},1)))</f>
        <v>4, 3, 1</v>
      </c>
      <c r="AB267" s="90">
        <v>0</v>
      </c>
      <c r="AC267" s="90">
        <v>1</v>
      </c>
      <c r="AD267" s="90">
        <v>2</v>
      </c>
      <c r="AE267" s="90">
        <v>3</v>
      </c>
      <c r="AF267" s="90">
        <v>4</v>
      </c>
      <c r="AG267" s="90">
        <v>5</v>
      </c>
      <c r="AH267" s="90">
        <v>6</v>
      </c>
      <c r="AI267" s="90">
        <v>7</v>
      </c>
      <c r="AJ267" s="90">
        <v>8</v>
      </c>
      <c r="AK267" s="90">
        <v>9</v>
      </c>
      <c r="AL267" s="91">
        <v>0</v>
      </c>
      <c r="AM267" s="91">
        <v>1</v>
      </c>
      <c r="AN267" s="91">
        <v>2</v>
      </c>
      <c r="AO267" s="91">
        <v>3</v>
      </c>
      <c r="AP267" s="91">
        <v>4</v>
      </c>
      <c r="AQ267" s="91">
        <v>5</v>
      </c>
      <c r="AR267" s="91">
        <v>6</v>
      </c>
      <c r="AS267" s="91">
        <v>7</v>
      </c>
      <c r="AT267" s="91">
        <v>8</v>
      </c>
      <c r="AU267" s="91">
        <v>9</v>
      </c>
      <c r="AV267" s="92">
        <v>0</v>
      </c>
      <c r="AW267" s="92">
        <v>1</v>
      </c>
      <c r="AX267" s="92">
        <v>2</v>
      </c>
      <c r="AY267" s="92">
        <v>3</v>
      </c>
      <c r="AZ267" s="92">
        <v>4</v>
      </c>
      <c r="BA267" s="92">
        <v>5</v>
      </c>
      <c r="BB267" s="92">
        <v>6</v>
      </c>
      <c r="BC267" s="92">
        <v>7</v>
      </c>
      <c r="BD267" s="92">
        <v>8</v>
      </c>
      <c r="BE267" s="92">
        <v>9</v>
      </c>
      <c r="BF267" s="93">
        <v>0</v>
      </c>
      <c r="BG267" s="93">
        <v>1</v>
      </c>
      <c r="BH267" s="93">
        <v>2</v>
      </c>
      <c r="BI267" s="93">
        <v>3</v>
      </c>
      <c r="BJ267" s="93">
        <v>4</v>
      </c>
      <c r="BK267" s="93">
        <v>5</v>
      </c>
      <c r="BL267" s="93">
        <v>6</v>
      </c>
      <c r="BM267" s="93">
        <v>7</v>
      </c>
      <c r="BN267" s="93">
        <v>8</v>
      </c>
      <c r="BO267" s="93">
        <v>9</v>
      </c>
      <c r="BP267" s="94" t="str">
        <f t="shared" si="213"/>
        <v>紧凑型</v>
      </c>
      <c r="BQ267" s="15">
        <f t="shared" si="210"/>
        <v>1</v>
      </c>
      <c r="BR267" s="15">
        <f t="shared" si="211"/>
        <v>4</v>
      </c>
      <c r="BS267" s="20" t="str">
        <f t="shared" si="215"/>
        <v/>
      </c>
      <c r="BT267" s="21">
        <f t="shared" si="216"/>
        <v>4</v>
      </c>
      <c r="BU267" s="21" t="str">
        <f t="array" ref="BU267">_xlfn.TEXTJOIN("",TRUE,IF(ISERROR(FIND(ROW($1:$168)-1,BS267&amp;BT267)),ROW($1:$168)-1,""))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67" s="22" t="str">
        <f t="shared" si="217"/>
        <v>中隔中</v>
      </c>
      <c r="BW267" s="23" t="str">
        <f t="shared" si="228"/>
        <v/>
      </c>
      <c r="BX267" s="23" t="str">
        <f t="shared" si="226"/>
        <v/>
      </c>
      <c r="BY267" s="23" t="str">
        <f t="array" ref="BY267">_xlfn.TEXTJOIN("",TRUE,IF(ISERROR(FIND(ROW($1:$168)-1,BW267&amp;BX267)),ROW($1:$168)-1,""))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67" s="22" t="str">
        <f t="shared" si="218"/>
        <v>中中中</v>
      </c>
      <c r="CA267" s="24" t="str">
        <f t="shared" si="219"/>
        <v/>
      </c>
      <c r="CB267" s="24" t="str">
        <f t="shared" si="227"/>
        <v/>
      </c>
      <c r="CC267" s="24" t="str">
        <f t="array" ref="CC267">_xlfn.TEXTJOIN("",TRUE,IF(ISERROR(FIND(ROW($1:$168)-1,CA267&amp;CB267)),ROW($1:$168)-1,""))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67" s="22" t="str">
        <f t="shared" si="220"/>
        <v>中中中</v>
      </c>
      <c r="CE267" s="25" t="str">
        <f t="shared" si="214"/>
        <v>35</v>
      </c>
      <c r="CF267" s="26" t="str">
        <f t="array" ref="CF267">_xlfn.TEXTJOIN("",TRUE,IF(ISNUMBER(FIND(MID(CE266&amp;W266,ROW($1:$162),1),CE267&amp;W267)),MID(CE266&amp;W266,ROW($1:$162),1),""))</f>
        <v>45</v>
      </c>
      <c r="CG267" s="27" t="str">
        <f t="array" ref="CG267">_xlfn.TEXTJOIN("",TRUE,IF(ISERROR(FIND(ROW($1:$168)-1,CE267&amp;CF267)),ROW($1:$168)-1,""))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67" s="28" t="str">
        <f t="shared" si="221"/>
        <v>邻传孤</v>
      </c>
      <c r="CI267" s="29" t="str">
        <f t="shared" si="222"/>
        <v>24</v>
      </c>
      <c r="CJ267" s="29" t="str">
        <f t="array" ref="CJ267">_xlfn.TEXTJOIN("",TRUE,IF(ISNUMBER(FIND(MID(CI266&amp;X266,ROW($1:$162),1),CI267&amp;X267)),MID(CI266&amp;X266,ROW($1:$162),1),""))</f>
        <v>32</v>
      </c>
      <c r="CK267" s="29" t="str">
        <f t="array" ref="CK267">_xlfn.TEXTJOIN("",TRUE,IF(ISERROR(FIND(ROW($1:$168)-1,CI267&amp;CJ267)),ROW($1:$168)-1,""))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67" s="19" t="str">
        <f t="shared" si="223"/>
        <v>邻传孤</v>
      </c>
      <c r="CM267" s="24" t="str">
        <f t="shared" si="224"/>
        <v>02</v>
      </c>
      <c r="CN267" s="24" t="str">
        <f t="array" ref="CN267">_xlfn.TEXTJOIN("",TRUE,IF(ISNUMBER(FIND(MID(CM266&amp;Y266,ROW($1:$162),1),CM267&amp;Y267)),MID(CM266&amp;Y266,ROW($1:$162),1),""))</f>
        <v/>
      </c>
      <c r="CO267" s="24" t="str">
        <f t="array" ref="CO267">_xlfn.TEXTJOIN("",TRUE,IF(ISERROR(FIND(ROW($1:$168)-1,CM267&amp;CN267)),ROW($1:$168)-1,""))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67" s="30" t="str">
        <f t="shared" si="225"/>
        <v>邻孤孤</v>
      </c>
    </row>
    <row r="268" spans="1:94">
      <c r="A268" s="15">
        <v>268</v>
      </c>
      <c r="B268" s="80">
        <v>2024237</v>
      </c>
      <c r="C268" s="8" t="s">
        <v>266</v>
      </c>
      <c r="D268" s="81">
        <f t="shared" si="234"/>
        <v>13</v>
      </c>
      <c r="E268" s="82">
        <f t="shared" si="235"/>
        <v>3</v>
      </c>
      <c r="F268" s="83">
        <f t="shared" si="239"/>
        <v>2.6</v>
      </c>
      <c r="G268" s="84" t="str">
        <f t="shared" si="240"/>
        <v>标准</v>
      </c>
      <c r="H268" s="85" t="s">
        <v>10</v>
      </c>
      <c r="I268" s="85" t="s">
        <v>11</v>
      </c>
      <c r="J268" s="85" t="s">
        <v>12</v>
      </c>
      <c r="K268" s="85" t="s">
        <v>13</v>
      </c>
      <c r="L268" s="86">
        <f>MAX(MID(C268,{1,2,3},1)*1)-MIN(MID(C268,{1,2,3},1)*1)</f>
        <v>5</v>
      </c>
      <c r="M268" s="87">
        <v>0</v>
      </c>
      <c r="N268" s="87">
        <v>1</v>
      </c>
      <c r="O268" s="87">
        <v>2</v>
      </c>
      <c r="P268" s="87">
        <v>3</v>
      </c>
      <c r="Q268" s="87">
        <v>4</v>
      </c>
      <c r="R268" s="87">
        <v>5</v>
      </c>
      <c r="S268" s="87">
        <v>6</v>
      </c>
      <c r="T268" s="87">
        <v>7</v>
      </c>
      <c r="U268" s="87">
        <v>8</v>
      </c>
      <c r="V268" s="87">
        <v>9</v>
      </c>
      <c r="W268" s="88">
        <f t="shared" si="236"/>
        <v>5</v>
      </c>
      <c r="X268" s="88">
        <f t="shared" si="237"/>
        <v>2</v>
      </c>
      <c r="Y268" s="88">
        <f t="shared" si="238"/>
        <v>3</v>
      </c>
      <c r="Z268" s="89">
        <f t="shared" si="212"/>
        <v>10</v>
      </c>
      <c r="AA268" s="17" t="str">
        <f>_xlfn.TEXTJOIN(", ",TRUE,ABS(MID(C268,{1,1,2},1)-MID(C268,{2,3,3},1)))</f>
        <v>5, 2, 3</v>
      </c>
      <c r="AB268" s="90">
        <v>0</v>
      </c>
      <c r="AC268" s="90">
        <v>1</v>
      </c>
      <c r="AD268" s="90">
        <v>2</v>
      </c>
      <c r="AE268" s="90">
        <v>3</v>
      </c>
      <c r="AF268" s="90">
        <v>4</v>
      </c>
      <c r="AG268" s="90">
        <v>5</v>
      </c>
      <c r="AH268" s="90">
        <v>6</v>
      </c>
      <c r="AI268" s="90">
        <v>7</v>
      </c>
      <c r="AJ268" s="90">
        <v>8</v>
      </c>
      <c r="AK268" s="90">
        <v>9</v>
      </c>
      <c r="AL268" s="91">
        <v>0</v>
      </c>
      <c r="AM268" s="91">
        <v>1</v>
      </c>
      <c r="AN268" s="91">
        <v>2</v>
      </c>
      <c r="AO268" s="91">
        <v>3</v>
      </c>
      <c r="AP268" s="91">
        <v>4</v>
      </c>
      <c r="AQ268" s="91">
        <v>5</v>
      </c>
      <c r="AR268" s="91">
        <v>6</v>
      </c>
      <c r="AS268" s="91">
        <v>7</v>
      </c>
      <c r="AT268" s="91">
        <v>8</v>
      </c>
      <c r="AU268" s="91">
        <v>9</v>
      </c>
      <c r="AV268" s="92">
        <v>0</v>
      </c>
      <c r="AW268" s="92">
        <v>1</v>
      </c>
      <c r="AX268" s="92">
        <v>2</v>
      </c>
      <c r="AY268" s="92">
        <v>3</v>
      </c>
      <c r="AZ268" s="92">
        <v>4</v>
      </c>
      <c r="BA268" s="92">
        <v>5</v>
      </c>
      <c r="BB268" s="92">
        <v>6</v>
      </c>
      <c r="BC268" s="92">
        <v>7</v>
      </c>
      <c r="BD268" s="92">
        <v>8</v>
      </c>
      <c r="BE268" s="92">
        <v>9</v>
      </c>
      <c r="BF268" s="93">
        <v>0</v>
      </c>
      <c r="BG268" s="93">
        <v>1</v>
      </c>
      <c r="BH268" s="93">
        <v>2</v>
      </c>
      <c r="BI268" s="93">
        <v>3</v>
      </c>
      <c r="BJ268" s="93">
        <v>4</v>
      </c>
      <c r="BK268" s="93">
        <v>5</v>
      </c>
      <c r="BL268" s="93">
        <v>6</v>
      </c>
      <c r="BM268" s="93">
        <v>7</v>
      </c>
      <c r="BN268" s="93">
        <v>8</v>
      </c>
      <c r="BO268" s="93">
        <v>9</v>
      </c>
      <c r="BP268" s="94" t="str">
        <f t="shared" si="213"/>
        <v>标准型</v>
      </c>
      <c r="BQ268" s="15">
        <f t="shared" si="210"/>
        <v>2</v>
      </c>
      <c r="BR268" s="15">
        <f t="shared" si="211"/>
        <v>5</v>
      </c>
      <c r="BS268" s="20" t="str">
        <f t="shared" si="215"/>
        <v/>
      </c>
      <c r="BT268" s="21">
        <f t="shared" si="216"/>
        <v>5</v>
      </c>
      <c r="BU268" s="21" t="str">
        <f t="array" ref="BU268">_xlfn.TEXTJOIN("",TRUE,IF(ISERROR(FIND(ROW($1:$168)-1,BS268&amp;BT268)),ROW($1:$168)-1,""))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68" s="22" t="str">
        <f t="shared" si="217"/>
        <v>中隔中</v>
      </c>
      <c r="BW268" s="23" t="str">
        <f t="shared" si="228"/>
        <v/>
      </c>
      <c r="BX268" s="23">
        <f t="shared" si="226"/>
        <v>2</v>
      </c>
      <c r="BY268" s="23" t="str">
        <f t="array" ref="BY268">_xlfn.TEXTJOIN("",TRUE,IF(ISERROR(FIND(ROW($1:$168)-1,BW268&amp;BX268)),ROW($1:$168)-1,""))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68" s="22" t="str">
        <f t="shared" si="218"/>
        <v>中隔中</v>
      </c>
      <c r="CA268" s="24">
        <f t="shared" si="219"/>
        <v>3</v>
      </c>
      <c r="CB268" s="24" t="str">
        <f t="shared" si="227"/>
        <v/>
      </c>
      <c r="CC268" s="24" t="str">
        <f t="array" ref="CC268">_xlfn.TEXTJOIN("",TRUE,IF(ISERROR(FIND(ROW($1:$168)-1,CA268&amp;CB268)),ROW($1:$168)-1,""))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68" s="22" t="str">
        <f t="shared" si="220"/>
        <v>复中中</v>
      </c>
      <c r="CE268" s="25" t="str">
        <f t="shared" si="214"/>
        <v>46</v>
      </c>
      <c r="CF268" s="26" t="str">
        <f t="array" ref="CF268">_xlfn.TEXTJOIN("",TRUE,IF(ISNUMBER(FIND(MID(CE267&amp;W267,ROW($1:$162),1),CE268&amp;W268)),MID(CE267&amp;W267,ROW($1:$162),1),""))</f>
        <v>54</v>
      </c>
      <c r="CG268" s="27" t="str">
        <f t="array" ref="CG268">_xlfn.TEXTJOIN("",TRUE,IF(ISERROR(FIND(ROW($1:$168)-1,CE268&amp;CF268)),ROW($1:$168)-1,""))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68" s="28" t="str">
        <f t="shared" si="221"/>
        <v>邻传孤</v>
      </c>
      <c r="CI268" s="29" t="str">
        <f t="shared" si="222"/>
        <v>13</v>
      </c>
      <c r="CJ268" s="29" t="str">
        <f t="array" ref="CJ268">_xlfn.TEXTJOIN("",TRUE,IF(ISNUMBER(FIND(MID(CI267&amp;X267,ROW($1:$162),1),CI268&amp;X268)),MID(CI267&amp;X267,ROW($1:$162),1),""))</f>
        <v>23</v>
      </c>
      <c r="CK268" s="29" t="str">
        <f t="array" ref="CK268">_xlfn.TEXTJOIN("",TRUE,IF(ISERROR(FIND(ROW($1:$168)-1,CI268&amp;CJ268)),ROW($1:$168)-1,""))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268" s="19" t="str">
        <f t="shared" si="223"/>
        <v>邻传孤</v>
      </c>
      <c r="CM268" s="24" t="str">
        <f t="shared" si="224"/>
        <v>24</v>
      </c>
      <c r="CN268" s="24" t="str">
        <f t="array" ref="CN268">_xlfn.TEXTJOIN("",TRUE,IF(ISNUMBER(FIND(MID(CM267&amp;Y267,ROW($1:$162),1),CM268&amp;Y268)),MID(CM267&amp;Y267,ROW($1:$162),1),""))</f>
        <v>2</v>
      </c>
      <c r="CO268" s="24" t="str">
        <f t="array" ref="CO268">_xlfn.TEXTJOIN("",TRUE,IF(ISERROR(FIND(ROW($1:$168)-1,CM268&amp;CN268)),ROW($1:$168)-1,""))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68" s="30" t="str">
        <f t="shared" si="225"/>
        <v>邻传孤</v>
      </c>
    </row>
    <row r="269" spans="1:94">
      <c r="A269" s="15">
        <v>269</v>
      </c>
      <c r="B269" s="80">
        <v>2024238</v>
      </c>
      <c r="C269" s="8" t="s">
        <v>113</v>
      </c>
      <c r="D269" s="81">
        <f t="shared" si="234"/>
        <v>19</v>
      </c>
      <c r="E269" s="82">
        <f t="shared" si="235"/>
        <v>9</v>
      </c>
      <c r="F269" s="83">
        <f t="shared" si="239"/>
        <v>3.8</v>
      </c>
      <c r="G269" s="84" t="str">
        <f t="shared" si="240"/>
        <v>紧凑</v>
      </c>
      <c r="H269" s="85" t="s">
        <v>10</v>
      </c>
      <c r="I269" s="85" t="s">
        <v>11</v>
      </c>
      <c r="J269" s="85" t="s">
        <v>12</v>
      </c>
      <c r="K269" s="85" t="s">
        <v>13</v>
      </c>
      <c r="L269" s="86">
        <f>MAX(MID(C269,{1,2,3},1)*1)-MIN(MID(C269,{1,2,3},1)*1)</f>
        <v>5</v>
      </c>
      <c r="M269" s="87">
        <v>0</v>
      </c>
      <c r="N269" s="87">
        <v>1</v>
      </c>
      <c r="O269" s="87">
        <v>2</v>
      </c>
      <c r="P269" s="87">
        <v>3</v>
      </c>
      <c r="Q269" s="87">
        <v>4</v>
      </c>
      <c r="R269" s="87">
        <v>5</v>
      </c>
      <c r="S269" s="87">
        <v>6</v>
      </c>
      <c r="T269" s="87">
        <v>7</v>
      </c>
      <c r="U269" s="87">
        <v>8</v>
      </c>
      <c r="V269" s="87">
        <v>9</v>
      </c>
      <c r="W269" s="88">
        <f t="shared" si="236"/>
        <v>2</v>
      </c>
      <c r="X269" s="88">
        <f t="shared" si="237"/>
        <v>5</v>
      </c>
      <c r="Y269" s="88">
        <f t="shared" si="238"/>
        <v>3</v>
      </c>
      <c r="Z269" s="89">
        <f t="shared" si="212"/>
        <v>10</v>
      </c>
      <c r="AA269" s="17" t="str">
        <f>_xlfn.TEXTJOIN(", ",TRUE,ABS(MID(C269,{1,1,2},1)-MID(C269,{2,3,3},1)))</f>
        <v>2, 5, 3</v>
      </c>
      <c r="AB269" s="90">
        <v>0</v>
      </c>
      <c r="AC269" s="90">
        <v>1</v>
      </c>
      <c r="AD269" s="90">
        <v>2</v>
      </c>
      <c r="AE269" s="90">
        <v>3</v>
      </c>
      <c r="AF269" s="90">
        <v>4</v>
      </c>
      <c r="AG269" s="90">
        <v>5</v>
      </c>
      <c r="AH269" s="90">
        <v>6</v>
      </c>
      <c r="AI269" s="90">
        <v>7</v>
      </c>
      <c r="AJ269" s="90">
        <v>8</v>
      </c>
      <c r="AK269" s="90">
        <v>9</v>
      </c>
      <c r="AL269" s="91">
        <v>0</v>
      </c>
      <c r="AM269" s="91">
        <v>1</v>
      </c>
      <c r="AN269" s="91">
        <v>2</v>
      </c>
      <c r="AO269" s="91">
        <v>3</v>
      </c>
      <c r="AP269" s="91">
        <v>4</v>
      </c>
      <c r="AQ269" s="91">
        <v>5</v>
      </c>
      <c r="AR269" s="91">
        <v>6</v>
      </c>
      <c r="AS269" s="91">
        <v>7</v>
      </c>
      <c r="AT269" s="91">
        <v>8</v>
      </c>
      <c r="AU269" s="91">
        <v>9</v>
      </c>
      <c r="AV269" s="92">
        <v>0</v>
      </c>
      <c r="AW269" s="92">
        <v>1</v>
      </c>
      <c r="AX269" s="92">
        <v>2</v>
      </c>
      <c r="AY269" s="92">
        <v>3</v>
      </c>
      <c r="AZ269" s="92">
        <v>4</v>
      </c>
      <c r="BA269" s="92">
        <v>5</v>
      </c>
      <c r="BB269" s="92">
        <v>6</v>
      </c>
      <c r="BC269" s="92">
        <v>7</v>
      </c>
      <c r="BD269" s="92">
        <v>8</v>
      </c>
      <c r="BE269" s="92">
        <v>9</v>
      </c>
      <c r="BF269" s="93">
        <v>0</v>
      </c>
      <c r="BG269" s="93">
        <v>1</v>
      </c>
      <c r="BH269" s="93">
        <v>2</v>
      </c>
      <c r="BI269" s="93">
        <v>3</v>
      </c>
      <c r="BJ269" s="93">
        <v>4</v>
      </c>
      <c r="BK269" s="93">
        <v>5</v>
      </c>
      <c r="BL269" s="93">
        <v>6</v>
      </c>
      <c r="BM269" s="93">
        <v>7</v>
      </c>
      <c r="BN269" s="93">
        <v>8</v>
      </c>
      <c r="BO269" s="93">
        <v>9</v>
      </c>
      <c r="BP269" s="94" t="str">
        <f t="shared" si="213"/>
        <v>标准型</v>
      </c>
      <c r="BQ269" s="15">
        <f t="shared" si="210"/>
        <v>2</v>
      </c>
      <c r="BR269" s="15">
        <f t="shared" si="211"/>
        <v>5</v>
      </c>
      <c r="BS269" s="20">
        <f t="shared" si="215"/>
        <v>2</v>
      </c>
      <c r="BT269" s="21" t="str">
        <f t="shared" si="216"/>
        <v/>
      </c>
      <c r="BU269" s="21" t="str">
        <f t="array" ref="BU269">_xlfn.TEXTJOIN("",TRUE,IF(ISERROR(FIND(ROW($1:$168)-1,BS269&amp;BT269)),ROW($1:$168)-1,""))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69" s="22" t="str">
        <f t="shared" si="217"/>
        <v>复中中</v>
      </c>
      <c r="BW269" s="23">
        <f t="shared" si="228"/>
        <v>5</v>
      </c>
      <c r="BX269" s="23" t="str">
        <f t="shared" si="226"/>
        <v/>
      </c>
      <c r="BY269" s="23" t="str">
        <f t="array" ref="BY269">_xlfn.TEXTJOIN("",TRUE,IF(ISERROR(FIND(ROW($1:$168)-1,BW269&amp;BX269)),ROW($1:$168)-1,""))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69" s="22" t="str">
        <f t="shared" si="218"/>
        <v>复中中</v>
      </c>
      <c r="CA269" s="24">
        <f t="shared" si="219"/>
        <v>3</v>
      </c>
      <c r="CB269" s="24">
        <f t="shared" si="227"/>
        <v>3</v>
      </c>
      <c r="CC269" s="24" t="str">
        <f t="array" ref="CC269">_xlfn.TEXTJOIN("",TRUE,IF(ISERROR(FIND(ROW($1:$168)-1,CA269&amp;CB269)),ROW($1:$168)-1,""))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69" s="22" t="str">
        <f t="shared" si="220"/>
        <v>复隔中</v>
      </c>
      <c r="CE269" s="25" t="str">
        <f t="shared" si="214"/>
        <v>13</v>
      </c>
      <c r="CF269" s="26" t="str">
        <f t="array" ref="CF269">_xlfn.TEXTJOIN("",TRUE,IF(ISNUMBER(FIND(MID(CE268&amp;W268,ROW($1:$162),1),CE269&amp;W269)),MID(CE268&amp;W268,ROW($1:$162),1),""))</f>
        <v/>
      </c>
      <c r="CG269" s="27" t="str">
        <f t="array" ref="CG269">_xlfn.TEXTJOIN("",TRUE,IF(ISERROR(FIND(ROW($1:$168)-1,CE269&amp;CF269)),ROW($1:$168)-1,""))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69" s="28" t="str">
        <f t="shared" si="221"/>
        <v>邻孤孤</v>
      </c>
      <c r="CI269" s="29" t="str">
        <f t="shared" si="222"/>
        <v>46</v>
      </c>
      <c r="CJ269" s="29" t="str">
        <f t="array" ref="CJ269">_xlfn.TEXTJOIN("",TRUE,IF(ISNUMBER(FIND(MID(CI268&amp;X268,ROW($1:$162),1),CI269&amp;X269)),MID(CI268&amp;X268,ROW($1:$162),1),""))</f>
        <v/>
      </c>
      <c r="CK269" s="29" t="str">
        <f t="array" ref="CK269">_xlfn.TEXTJOIN("",TRUE,IF(ISERROR(FIND(ROW($1:$168)-1,CI269&amp;CJ269)),ROW($1:$168)-1,""))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69" s="19" t="str">
        <f t="shared" si="223"/>
        <v>邻孤孤</v>
      </c>
      <c r="CM269" s="24" t="str">
        <f t="shared" si="224"/>
        <v>24</v>
      </c>
      <c r="CN269" s="24" t="str">
        <f t="array" ref="CN269">_xlfn.TEXTJOIN("",TRUE,IF(ISNUMBER(FIND(MID(CM268&amp;Y268,ROW($1:$162),1),CM269&amp;Y269)),MID(CM268&amp;Y268,ROW($1:$162),1),""))</f>
        <v>243</v>
      </c>
      <c r="CO269" s="24" t="str">
        <f t="array" ref="CO269">_xlfn.TEXTJOIN("",TRUE,IF(ISERROR(FIND(ROW($1:$168)-1,CM269&amp;CN269)),ROW($1:$168)-1,""))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69" s="30" t="str">
        <f t="shared" si="225"/>
        <v>邻传孤</v>
      </c>
    </row>
    <row r="270" spans="1:94">
      <c r="A270" s="15">
        <v>270</v>
      </c>
      <c r="B270" s="80">
        <v>2024239</v>
      </c>
      <c r="C270" s="8" t="s">
        <v>267</v>
      </c>
      <c r="D270" s="81">
        <f t="shared" si="234"/>
        <v>11</v>
      </c>
      <c r="E270" s="82">
        <f t="shared" si="235"/>
        <v>1</v>
      </c>
      <c r="F270" s="83">
        <f t="shared" si="239"/>
        <v>3.66666666666667</v>
      </c>
      <c r="G270" s="84" t="str">
        <f t="shared" si="240"/>
        <v>紧凑</v>
      </c>
      <c r="H270" s="85" t="s">
        <v>10</v>
      </c>
      <c r="I270" s="85" t="s">
        <v>11</v>
      </c>
      <c r="J270" s="85" t="s">
        <v>12</v>
      </c>
      <c r="K270" s="85" t="s">
        <v>13</v>
      </c>
      <c r="L270" s="86">
        <f>MAX(MID(C270,{1,2,3},1)*1)-MIN(MID(C270,{1,2,3},1)*1)</f>
        <v>3</v>
      </c>
      <c r="M270" s="87">
        <v>0</v>
      </c>
      <c r="N270" s="87">
        <v>1</v>
      </c>
      <c r="O270" s="87">
        <v>2</v>
      </c>
      <c r="P270" s="87">
        <v>3</v>
      </c>
      <c r="Q270" s="87">
        <v>4</v>
      </c>
      <c r="R270" s="87">
        <v>5</v>
      </c>
      <c r="S270" s="87">
        <v>6</v>
      </c>
      <c r="T270" s="87">
        <v>7</v>
      </c>
      <c r="U270" s="87">
        <v>8</v>
      </c>
      <c r="V270" s="87">
        <v>9</v>
      </c>
      <c r="W270" s="88">
        <f t="shared" si="236"/>
        <v>3</v>
      </c>
      <c r="X270" s="88">
        <f t="shared" si="237"/>
        <v>1</v>
      </c>
      <c r="Y270" s="88">
        <f t="shared" si="238"/>
        <v>2</v>
      </c>
      <c r="Z270" s="89">
        <f t="shared" si="212"/>
        <v>6</v>
      </c>
      <c r="AA270" s="17" t="str">
        <f>_xlfn.TEXTJOIN(", ",TRUE,ABS(MID(C270,{1,1,2},1)-MID(C270,{2,3,3},1)))</f>
        <v>3, 1, 2</v>
      </c>
      <c r="AB270" s="90">
        <v>0</v>
      </c>
      <c r="AC270" s="90">
        <v>1</v>
      </c>
      <c r="AD270" s="90">
        <v>2</v>
      </c>
      <c r="AE270" s="90">
        <v>3</v>
      </c>
      <c r="AF270" s="90">
        <v>4</v>
      </c>
      <c r="AG270" s="90">
        <v>5</v>
      </c>
      <c r="AH270" s="90">
        <v>6</v>
      </c>
      <c r="AI270" s="90">
        <v>7</v>
      </c>
      <c r="AJ270" s="90">
        <v>8</v>
      </c>
      <c r="AK270" s="90">
        <v>9</v>
      </c>
      <c r="AL270" s="91">
        <v>0</v>
      </c>
      <c r="AM270" s="91">
        <v>1</v>
      </c>
      <c r="AN270" s="91">
        <v>2</v>
      </c>
      <c r="AO270" s="91">
        <v>3</v>
      </c>
      <c r="AP270" s="91">
        <v>4</v>
      </c>
      <c r="AQ270" s="91">
        <v>5</v>
      </c>
      <c r="AR270" s="91">
        <v>6</v>
      </c>
      <c r="AS270" s="91">
        <v>7</v>
      </c>
      <c r="AT270" s="91">
        <v>8</v>
      </c>
      <c r="AU270" s="91">
        <v>9</v>
      </c>
      <c r="AV270" s="92">
        <v>0</v>
      </c>
      <c r="AW270" s="92">
        <v>1</v>
      </c>
      <c r="AX270" s="92">
        <v>2</v>
      </c>
      <c r="AY270" s="92">
        <v>3</v>
      </c>
      <c r="AZ270" s="92">
        <v>4</v>
      </c>
      <c r="BA270" s="92">
        <v>5</v>
      </c>
      <c r="BB270" s="92">
        <v>6</v>
      </c>
      <c r="BC270" s="92">
        <v>7</v>
      </c>
      <c r="BD270" s="92">
        <v>8</v>
      </c>
      <c r="BE270" s="92">
        <v>9</v>
      </c>
      <c r="BF270" s="93">
        <v>0</v>
      </c>
      <c r="BG270" s="93">
        <v>1</v>
      </c>
      <c r="BH270" s="93">
        <v>2</v>
      </c>
      <c r="BI270" s="93">
        <v>3</v>
      </c>
      <c r="BJ270" s="93">
        <v>4</v>
      </c>
      <c r="BK270" s="93">
        <v>5</v>
      </c>
      <c r="BL270" s="93">
        <v>6</v>
      </c>
      <c r="BM270" s="93">
        <v>7</v>
      </c>
      <c r="BN270" s="93">
        <v>8</v>
      </c>
      <c r="BO270" s="93">
        <v>9</v>
      </c>
      <c r="BP270" s="94" t="str">
        <f t="shared" si="213"/>
        <v>紧凑型</v>
      </c>
      <c r="BQ270" s="15">
        <f t="shared" si="210"/>
        <v>1</v>
      </c>
      <c r="BR270" s="15">
        <f t="shared" si="211"/>
        <v>3</v>
      </c>
      <c r="BS270" s="20">
        <f t="shared" si="215"/>
        <v>3</v>
      </c>
      <c r="BT270" s="21">
        <f t="shared" si="216"/>
        <v>3</v>
      </c>
      <c r="BU270" s="21" t="str">
        <f t="array" ref="BU270">_xlfn.TEXTJOIN("",TRUE,IF(ISERROR(FIND(ROW($1:$168)-1,BS270&amp;BT270)),ROW($1:$168)-1,""))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70" s="22" t="str">
        <f t="shared" si="217"/>
        <v>复隔中</v>
      </c>
      <c r="BW270" s="23" t="str">
        <f t="shared" si="228"/>
        <v/>
      </c>
      <c r="BX270" s="23" t="str">
        <f t="shared" si="226"/>
        <v/>
      </c>
      <c r="BY270" s="23" t="str">
        <f t="array" ref="BY270">_xlfn.TEXTJOIN("",TRUE,IF(ISERROR(FIND(ROW($1:$168)-1,BW270&amp;BX270)),ROW($1:$168)-1,""))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70" s="22" t="str">
        <f t="shared" si="218"/>
        <v>中中中</v>
      </c>
      <c r="CA270" s="24">
        <f t="shared" si="219"/>
        <v>2</v>
      </c>
      <c r="CB270" s="24">
        <f t="shared" si="227"/>
        <v>2</v>
      </c>
      <c r="CC270" s="24" t="str">
        <f t="array" ref="CC270">_xlfn.TEXTJOIN("",TRUE,IF(ISERROR(FIND(ROW($1:$168)-1,CA270&amp;CB270)),ROW($1:$168)-1,""))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70" s="22" t="str">
        <f t="shared" si="220"/>
        <v>复隔中</v>
      </c>
      <c r="CE270" s="25" t="str">
        <f t="shared" si="214"/>
        <v>24</v>
      </c>
      <c r="CF270" s="26" t="str">
        <f t="array" ref="CF270">_xlfn.TEXTJOIN("",TRUE,IF(ISNUMBER(FIND(MID(CE269&amp;W269,ROW($1:$162),1),CE270&amp;W270)),MID(CE269&amp;W269,ROW($1:$162),1),""))</f>
        <v>32</v>
      </c>
      <c r="CG270" s="27" t="str">
        <f t="array" ref="CG270">_xlfn.TEXTJOIN("",TRUE,IF(ISERROR(FIND(ROW($1:$168)-1,CE270&amp;CF270)),ROW($1:$168)-1,""))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70" s="28" t="str">
        <f t="shared" si="221"/>
        <v>邻传孤</v>
      </c>
      <c r="CI270" s="29" t="str">
        <f t="shared" si="222"/>
        <v>02</v>
      </c>
      <c r="CJ270" s="29" t="str">
        <f t="array" ref="CJ270">_xlfn.TEXTJOIN("",TRUE,IF(ISNUMBER(FIND(MID(CI269&amp;X269,ROW($1:$162),1),CI270&amp;X270)),MID(CI269&amp;X269,ROW($1:$162),1),""))</f>
        <v/>
      </c>
      <c r="CK270" s="29" t="str">
        <f t="array" ref="CK270">_xlfn.TEXTJOIN("",TRUE,IF(ISERROR(FIND(ROW($1:$168)-1,CI270&amp;CJ270)),ROW($1:$168)-1,""))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70" s="19" t="str">
        <f t="shared" si="223"/>
        <v>邻孤孤</v>
      </c>
      <c r="CM270" s="24" t="str">
        <f t="shared" si="224"/>
        <v>13</v>
      </c>
      <c r="CN270" s="24" t="str">
        <f t="array" ref="CN270">_xlfn.TEXTJOIN("",TRUE,IF(ISNUMBER(FIND(MID(CM269&amp;Y269,ROW($1:$162),1),CM270&amp;Y270)),MID(CM269&amp;Y269,ROW($1:$162),1),""))</f>
        <v>23</v>
      </c>
      <c r="CO270" s="24" t="str">
        <f t="array" ref="CO270">_xlfn.TEXTJOIN("",TRUE,IF(ISERROR(FIND(ROW($1:$168)-1,CM270&amp;CN270)),ROW($1:$168)-1,""))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270" s="30" t="str">
        <f t="shared" si="225"/>
        <v>邻传孤</v>
      </c>
    </row>
    <row r="271" spans="1:94">
      <c r="A271" s="15">
        <v>271</v>
      </c>
      <c r="B271" s="80">
        <v>2024240</v>
      </c>
      <c r="C271" s="8" t="s">
        <v>268</v>
      </c>
      <c r="D271" s="81">
        <f t="shared" si="234"/>
        <v>11</v>
      </c>
      <c r="E271" s="82">
        <f t="shared" si="235"/>
        <v>1</v>
      </c>
      <c r="F271" s="83">
        <f t="shared" si="239"/>
        <v>1.83333333333333</v>
      </c>
      <c r="G271" s="84" t="str">
        <f t="shared" si="240"/>
        <v>松散</v>
      </c>
      <c r="H271" s="85" t="s">
        <v>10</v>
      </c>
      <c r="I271" s="85" t="s">
        <v>11</v>
      </c>
      <c r="J271" s="85" t="s">
        <v>12</v>
      </c>
      <c r="K271" s="85" t="s">
        <v>13</v>
      </c>
      <c r="L271" s="86">
        <f>MAX(MID(C271,{1,2,3},1)*1)-MIN(MID(C271,{1,2,3},1)*1)</f>
        <v>6</v>
      </c>
      <c r="M271" s="87">
        <v>0</v>
      </c>
      <c r="N271" s="87">
        <v>1</v>
      </c>
      <c r="O271" s="87">
        <v>2</v>
      </c>
      <c r="P271" s="87">
        <v>3</v>
      </c>
      <c r="Q271" s="87">
        <v>4</v>
      </c>
      <c r="R271" s="87">
        <v>5</v>
      </c>
      <c r="S271" s="87">
        <v>6</v>
      </c>
      <c r="T271" s="87">
        <v>7</v>
      </c>
      <c r="U271" s="87">
        <v>8</v>
      </c>
      <c r="V271" s="87">
        <v>9</v>
      </c>
      <c r="W271" s="88">
        <f t="shared" si="236"/>
        <v>6</v>
      </c>
      <c r="X271" s="88">
        <f t="shared" si="237"/>
        <v>5</v>
      </c>
      <c r="Y271" s="88">
        <f t="shared" si="238"/>
        <v>1</v>
      </c>
      <c r="Z271" s="89">
        <f t="shared" si="212"/>
        <v>12</v>
      </c>
      <c r="AA271" s="17" t="str">
        <f>_xlfn.TEXTJOIN(", ",TRUE,ABS(MID(C271,{1,1,2},1)-MID(C271,{2,3,3},1)))</f>
        <v>6, 5, 1</v>
      </c>
      <c r="AB271" s="90">
        <v>0</v>
      </c>
      <c r="AC271" s="90">
        <v>1</v>
      </c>
      <c r="AD271" s="90">
        <v>2</v>
      </c>
      <c r="AE271" s="90">
        <v>3</v>
      </c>
      <c r="AF271" s="90">
        <v>4</v>
      </c>
      <c r="AG271" s="90">
        <v>5</v>
      </c>
      <c r="AH271" s="90">
        <v>6</v>
      </c>
      <c r="AI271" s="90">
        <v>7</v>
      </c>
      <c r="AJ271" s="90">
        <v>8</v>
      </c>
      <c r="AK271" s="90">
        <v>9</v>
      </c>
      <c r="AL271" s="91">
        <v>0</v>
      </c>
      <c r="AM271" s="91">
        <v>1</v>
      </c>
      <c r="AN271" s="91">
        <v>2</v>
      </c>
      <c r="AO271" s="91">
        <v>3</v>
      </c>
      <c r="AP271" s="91">
        <v>4</v>
      </c>
      <c r="AQ271" s="91">
        <v>5</v>
      </c>
      <c r="AR271" s="91">
        <v>6</v>
      </c>
      <c r="AS271" s="91">
        <v>7</v>
      </c>
      <c r="AT271" s="91">
        <v>8</v>
      </c>
      <c r="AU271" s="91">
        <v>9</v>
      </c>
      <c r="AV271" s="92">
        <v>0</v>
      </c>
      <c r="AW271" s="92">
        <v>1</v>
      </c>
      <c r="AX271" s="92">
        <v>2</v>
      </c>
      <c r="AY271" s="92">
        <v>3</v>
      </c>
      <c r="AZ271" s="92">
        <v>4</v>
      </c>
      <c r="BA271" s="92">
        <v>5</v>
      </c>
      <c r="BB271" s="92">
        <v>6</v>
      </c>
      <c r="BC271" s="92">
        <v>7</v>
      </c>
      <c r="BD271" s="92">
        <v>8</v>
      </c>
      <c r="BE271" s="92">
        <v>9</v>
      </c>
      <c r="BF271" s="93">
        <v>0</v>
      </c>
      <c r="BG271" s="93">
        <v>1</v>
      </c>
      <c r="BH271" s="93">
        <v>2</v>
      </c>
      <c r="BI271" s="93">
        <v>3</v>
      </c>
      <c r="BJ271" s="93">
        <v>4</v>
      </c>
      <c r="BK271" s="93">
        <v>5</v>
      </c>
      <c r="BL271" s="93">
        <v>6</v>
      </c>
      <c r="BM271" s="93">
        <v>7</v>
      </c>
      <c r="BN271" s="93">
        <v>8</v>
      </c>
      <c r="BO271" s="93">
        <v>9</v>
      </c>
      <c r="BP271" s="94" t="str">
        <f t="shared" si="213"/>
        <v>松散型</v>
      </c>
      <c r="BQ271" s="15">
        <f t="shared" si="210"/>
        <v>1</v>
      </c>
      <c r="BR271" s="15">
        <f t="shared" si="211"/>
        <v>6</v>
      </c>
      <c r="BS271" s="20" t="str">
        <f t="shared" si="215"/>
        <v/>
      </c>
      <c r="BT271" s="21" t="str">
        <f t="shared" si="216"/>
        <v/>
      </c>
      <c r="BU271" s="21" t="str">
        <f t="array" ref="BU271">_xlfn.TEXTJOIN("",TRUE,IF(ISERROR(FIND(ROW($1:$168)-1,BS271&amp;BT271)),ROW($1:$168)-1,""))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71" s="22" t="str">
        <f t="shared" si="217"/>
        <v>中中中</v>
      </c>
      <c r="BW271" s="23" t="str">
        <f t="shared" si="228"/>
        <v/>
      </c>
      <c r="BX271" s="23">
        <f t="shared" si="226"/>
        <v>5</v>
      </c>
      <c r="BY271" s="23" t="str">
        <f t="array" ref="BY271">_xlfn.TEXTJOIN("",TRUE,IF(ISERROR(FIND(ROW($1:$168)-1,BW271&amp;BX271)),ROW($1:$168)-1,""))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71" s="22" t="str">
        <f t="shared" si="218"/>
        <v>中隔中</v>
      </c>
      <c r="CA271" s="24">
        <f t="shared" si="219"/>
        <v>1</v>
      </c>
      <c r="CB271" s="24" t="str">
        <f t="shared" si="227"/>
        <v/>
      </c>
      <c r="CC271" s="24" t="str">
        <f t="array" ref="CC271">_xlfn.TEXTJOIN("",TRUE,IF(ISERROR(FIND(ROW($1:$168)-1,CA271&amp;CB271)),ROW($1:$168)-1,""))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71" s="22" t="str">
        <f t="shared" si="220"/>
        <v>复中中</v>
      </c>
      <c r="CE271" s="25" t="str">
        <f t="shared" si="214"/>
        <v>57</v>
      </c>
      <c r="CF271" s="26" t="str">
        <f t="array" ref="CF271">_xlfn.TEXTJOIN("",TRUE,IF(ISNUMBER(FIND(MID(CE270&amp;W270,ROW($1:$162),1),CE271&amp;W271)),MID(CE270&amp;W270,ROW($1:$162),1),""))</f>
        <v/>
      </c>
      <c r="CG271" s="27" t="str">
        <f t="array" ref="CG271">_xlfn.TEXTJOIN("",TRUE,IF(ISERROR(FIND(ROW($1:$168)-1,CE271&amp;CF271)),ROW($1:$168)-1,""))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71" s="28" t="str">
        <f t="shared" si="221"/>
        <v>邻孤孤</v>
      </c>
      <c r="CI271" s="29" t="str">
        <f t="shared" si="222"/>
        <v>46</v>
      </c>
      <c r="CJ271" s="29" t="str">
        <f t="array" ref="CJ271">_xlfn.TEXTJOIN("",TRUE,IF(ISNUMBER(FIND(MID(CI270&amp;X270,ROW($1:$162),1),CI271&amp;X271)),MID(CI270&amp;X270,ROW($1:$162),1),""))</f>
        <v/>
      </c>
      <c r="CK271" s="29" t="str">
        <f t="array" ref="CK271">_xlfn.TEXTJOIN("",TRUE,IF(ISERROR(FIND(ROW($1:$168)-1,CI271&amp;CJ271)),ROW($1:$168)-1,""))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71" s="19" t="str">
        <f t="shared" si="223"/>
        <v>邻孤孤</v>
      </c>
      <c r="CM271" s="24" t="str">
        <f t="shared" si="224"/>
        <v>02</v>
      </c>
      <c r="CN271" s="24" t="str">
        <f t="array" ref="CN271">_xlfn.TEXTJOIN("",TRUE,IF(ISNUMBER(FIND(MID(CM270&amp;Y270,ROW($1:$162),1),CM271&amp;Y271)),MID(CM270&amp;Y270,ROW($1:$162),1),""))</f>
        <v>12</v>
      </c>
      <c r="CO271" s="24" t="str">
        <f t="array" ref="CO271">_xlfn.TEXTJOIN("",TRUE,IF(ISERROR(FIND(ROW($1:$168)-1,CM271&amp;CN271)),ROW($1:$168)-1,""))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71" s="30" t="str">
        <f t="shared" si="225"/>
        <v>邻传孤</v>
      </c>
    </row>
    <row r="272" spans="1:94">
      <c r="A272" s="15">
        <v>272</v>
      </c>
      <c r="B272" s="80">
        <v>2024241</v>
      </c>
      <c r="C272" s="8" t="s">
        <v>269</v>
      </c>
      <c r="D272" s="81">
        <f t="shared" si="234"/>
        <v>11</v>
      </c>
      <c r="E272" s="82">
        <f t="shared" si="235"/>
        <v>1</v>
      </c>
      <c r="F272" s="83">
        <f t="shared" si="239"/>
        <v>1.57142857142857</v>
      </c>
      <c r="G272" s="84" t="str">
        <f t="shared" si="240"/>
        <v>松散</v>
      </c>
      <c r="H272" s="85" t="s">
        <v>10</v>
      </c>
      <c r="I272" s="85" t="s">
        <v>11</v>
      </c>
      <c r="J272" s="85" t="s">
        <v>12</v>
      </c>
      <c r="K272" s="85" t="s">
        <v>13</v>
      </c>
      <c r="L272" s="86">
        <f>MAX(MID(C272,{1,2,3},1)*1)-MIN(MID(C272,{1,2,3},1)*1)</f>
        <v>7</v>
      </c>
      <c r="M272" s="87">
        <v>0</v>
      </c>
      <c r="N272" s="87">
        <v>1</v>
      </c>
      <c r="O272" s="87">
        <v>2</v>
      </c>
      <c r="P272" s="87">
        <v>3</v>
      </c>
      <c r="Q272" s="87">
        <v>4</v>
      </c>
      <c r="R272" s="87">
        <v>5</v>
      </c>
      <c r="S272" s="87">
        <v>6</v>
      </c>
      <c r="T272" s="87">
        <v>7</v>
      </c>
      <c r="U272" s="87">
        <v>8</v>
      </c>
      <c r="V272" s="87">
        <v>9</v>
      </c>
      <c r="W272" s="88">
        <f t="shared" si="236"/>
        <v>3</v>
      </c>
      <c r="X272" s="88">
        <f t="shared" si="237"/>
        <v>4</v>
      </c>
      <c r="Y272" s="88">
        <f t="shared" si="238"/>
        <v>7</v>
      </c>
      <c r="Z272" s="89">
        <f t="shared" si="212"/>
        <v>14</v>
      </c>
      <c r="AA272" s="17" t="str">
        <f>_xlfn.TEXTJOIN(", ",TRUE,ABS(MID(C272,{1,1,2},1)-MID(C272,{2,3,3},1)))</f>
        <v>3, 4, 7</v>
      </c>
      <c r="AB272" s="90">
        <v>0</v>
      </c>
      <c r="AC272" s="90">
        <v>1</v>
      </c>
      <c r="AD272" s="90">
        <v>2</v>
      </c>
      <c r="AE272" s="90">
        <v>3</v>
      </c>
      <c r="AF272" s="90">
        <v>4</v>
      </c>
      <c r="AG272" s="90">
        <v>5</v>
      </c>
      <c r="AH272" s="90">
        <v>6</v>
      </c>
      <c r="AI272" s="90">
        <v>7</v>
      </c>
      <c r="AJ272" s="90">
        <v>8</v>
      </c>
      <c r="AK272" s="90">
        <v>9</v>
      </c>
      <c r="AL272" s="91">
        <v>0</v>
      </c>
      <c r="AM272" s="91">
        <v>1</v>
      </c>
      <c r="AN272" s="91">
        <v>2</v>
      </c>
      <c r="AO272" s="91">
        <v>3</v>
      </c>
      <c r="AP272" s="91">
        <v>4</v>
      </c>
      <c r="AQ272" s="91">
        <v>5</v>
      </c>
      <c r="AR272" s="91">
        <v>6</v>
      </c>
      <c r="AS272" s="91">
        <v>7</v>
      </c>
      <c r="AT272" s="91">
        <v>8</v>
      </c>
      <c r="AU272" s="91">
        <v>9</v>
      </c>
      <c r="AV272" s="92">
        <v>0</v>
      </c>
      <c r="AW272" s="92">
        <v>1</v>
      </c>
      <c r="AX272" s="92">
        <v>2</v>
      </c>
      <c r="AY272" s="92">
        <v>3</v>
      </c>
      <c r="AZ272" s="92">
        <v>4</v>
      </c>
      <c r="BA272" s="92">
        <v>5</v>
      </c>
      <c r="BB272" s="92">
        <v>6</v>
      </c>
      <c r="BC272" s="92">
        <v>7</v>
      </c>
      <c r="BD272" s="92">
        <v>8</v>
      </c>
      <c r="BE272" s="92">
        <v>9</v>
      </c>
      <c r="BF272" s="93">
        <v>0</v>
      </c>
      <c r="BG272" s="93">
        <v>1</v>
      </c>
      <c r="BH272" s="93">
        <v>2</v>
      </c>
      <c r="BI272" s="93">
        <v>3</v>
      </c>
      <c r="BJ272" s="93">
        <v>4</v>
      </c>
      <c r="BK272" s="93">
        <v>5</v>
      </c>
      <c r="BL272" s="93">
        <v>6</v>
      </c>
      <c r="BM272" s="93">
        <v>7</v>
      </c>
      <c r="BN272" s="93">
        <v>8</v>
      </c>
      <c r="BO272" s="93">
        <v>9</v>
      </c>
      <c r="BP272" s="94" t="str">
        <f t="shared" si="213"/>
        <v>松散型</v>
      </c>
      <c r="BQ272" s="15">
        <f t="shared" si="210"/>
        <v>3</v>
      </c>
      <c r="BR272" s="15">
        <f t="shared" si="211"/>
        <v>7</v>
      </c>
      <c r="BS272" s="20" t="str">
        <f t="shared" si="215"/>
        <v/>
      </c>
      <c r="BT272" s="21">
        <f t="shared" si="216"/>
        <v>3</v>
      </c>
      <c r="BU272" s="21" t="str">
        <f t="array" ref="BU272">_xlfn.TEXTJOIN("",TRUE,IF(ISERROR(FIND(ROW($1:$168)-1,BS272&amp;BT272)),ROW($1:$168)-1,""))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72" s="22" t="str">
        <f t="shared" si="217"/>
        <v>中隔中</v>
      </c>
      <c r="BW272" s="23" t="str">
        <f t="shared" si="228"/>
        <v/>
      </c>
      <c r="BX272" s="23" t="str">
        <f t="shared" si="226"/>
        <v/>
      </c>
      <c r="BY272" s="23" t="str">
        <f t="array" ref="BY272">_xlfn.TEXTJOIN("",TRUE,IF(ISERROR(FIND(ROW($1:$168)-1,BW272&amp;BX272)),ROW($1:$168)-1,""))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72" s="22" t="str">
        <f t="shared" si="218"/>
        <v>中中中</v>
      </c>
      <c r="CA272" s="24" t="str">
        <f t="shared" si="219"/>
        <v/>
      </c>
      <c r="CB272" s="24" t="str">
        <f t="shared" si="227"/>
        <v/>
      </c>
      <c r="CC272" s="24" t="str">
        <f t="array" ref="CC272">_xlfn.TEXTJOIN("",TRUE,IF(ISERROR(FIND(ROW($1:$168)-1,CA272&amp;CB272)),ROW($1:$168)-1,""))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72" s="22" t="str">
        <f t="shared" si="220"/>
        <v>中中中</v>
      </c>
      <c r="CE272" s="25" t="str">
        <f t="shared" si="214"/>
        <v>24</v>
      </c>
      <c r="CF272" s="26" t="str">
        <f t="array" ref="CF272">_xlfn.TEXTJOIN("",TRUE,IF(ISNUMBER(FIND(MID(CE271&amp;W271,ROW($1:$162),1),CE272&amp;W272)),MID(CE271&amp;W271,ROW($1:$162),1),""))</f>
        <v/>
      </c>
      <c r="CG272" s="27" t="str">
        <f t="array" ref="CG272">_xlfn.TEXTJOIN("",TRUE,IF(ISERROR(FIND(ROW($1:$168)-1,CE272&amp;CF272)),ROW($1:$168)-1,""))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72" s="28" t="str">
        <f t="shared" si="221"/>
        <v>邻孤孤</v>
      </c>
      <c r="CI272" s="29" t="str">
        <f t="shared" si="222"/>
        <v>35</v>
      </c>
      <c r="CJ272" s="29" t="str">
        <f t="array" ref="CJ272">_xlfn.TEXTJOIN("",TRUE,IF(ISNUMBER(FIND(MID(CI271&amp;X271,ROW($1:$162),1),CI272&amp;X272)),MID(CI271&amp;X271,ROW($1:$162),1),""))</f>
        <v>45</v>
      </c>
      <c r="CK272" s="29" t="str">
        <f t="array" ref="CK272">_xlfn.TEXTJOIN("",TRUE,IF(ISERROR(FIND(ROW($1:$168)-1,CI272&amp;CJ272)),ROW($1:$168)-1,""))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72" s="19" t="str">
        <f t="shared" si="223"/>
        <v>邻传孤</v>
      </c>
      <c r="CM272" s="24" t="str">
        <f t="shared" si="224"/>
        <v>68</v>
      </c>
      <c r="CN272" s="24" t="str">
        <f t="array" ref="CN272">_xlfn.TEXTJOIN("",TRUE,IF(ISNUMBER(FIND(MID(CM271&amp;Y271,ROW($1:$162),1),CM272&amp;Y272)),MID(CM271&amp;Y271,ROW($1:$162),1),""))</f>
        <v/>
      </c>
      <c r="CO272" s="24" t="str">
        <f t="array" ref="CO272">_xlfn.TEXTJOIN("",TRUE,IF(ISERROR(FIND(ROW($1:$168)-1,CM272&amp;CN272)),ROW($1:$168)-1,""))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72" s="30" t="str">
        <f t="shared" si="225"/>
        <v>邻孤孤</v>
      </c>
    </row>
    <row r="273" spans="1:94">
      <c r="A273" s="15">
        <v>273</v>
      </c>
      <c r="B273" s="80">
        <v>2024242</v>
      </c>
      <c r="C273" s="8" t="s">
        <v>270</v>
      </c>
      <c r="D273" s="81">
        <f t="shared" si="234"/>
        <v>11</v>
      </c>
      <c r="E273" s="82">
        <f t="shared" si="235"/>
        <v>1</v>
      </c>
      <c r="F273" s="83">
        <f t="shared" si="239"/>
        <v>2.75</v>
      </c>
      <c r="G273" s="84" t="str">
        <f t="shared" si="240"/>
        <v>标准</v>
      </c>
      <c r="H273" s="85" t="s">
        <v>10</v>
      </c>
      <c r="I273" s="85" t="s">
        <v>11</v>
      </c>
      <c r="J273" s="85" t="s">
        <v>12</v>
      </c>
      <c r="K273" s="85" t="s">
        <v>13</v>
      </c>
      <c r="L273" s="86">
        <f>MAX(MID(C273,{1,2,3},1)*1)-MIN(MID(C273,{1,2,3},1)*1)</f>
        <v>4</v>
      </c>
      <c r="M273" s="87">
        <v>0</v>
      </c>
      <c r="N273" s="87">
        <v>1</v>
      </c>
      <c r="O273" s="87">
        <v>2</v>
      </c>
      <c r="P273" s="87">
        <v>3</v>
      </c>
      <c r="Q273" s="87">
        <v>4</v>
      </c>
      <c r="R273" s="87">
        <v>5</v>
      </c>
      <c r="S273" s="87">
        <v>6</v>
      </c>
      <c r="T273" s="87">
        <v>7</v>
      </c>
      <c r="U273" s="87">
        <v>8</v>
      </c>
      <c r="V273" s="87">
        <v>9</v>
      </c>
      <c r="W273" s="88">
        <f t="shared" si="236"/>
        <v>4</v>
      </c>
      <c r="X273" s="88">
        <f t="shared" si="237"/>
        <v>3</v>
      </c>
      <c r="Y273" s="88">
        <f t="shared" si="238"/>
        <v>1</v>
      </c>
      <c r="Z273" s="89">
        <f t="shared" si="212"/>
        <v>8</v>
      </c>
      <c r="AA273" s="17" t="str">
        <f>_xlfn.TEXTJOIN(", ",TRUE,ABS(MID(C273,{1,1,2},1)-MID(C273,{2,3,3},1)))</f>
        <v>4, 3, 1</v>
      </c>
      <c r="AB273" s="90">
        <v>0</v>
      </c>
      <c r="AC273" s="90">
        <v>1</v>
      </c>
      <c r="AD273" s="90">
        <v>2</v>
      </c>
      <c r="AE273" s="90">
        <v>3</v>
      </c>
      <c r="AF273" s="90">
        <v>4</v>
      </c>
      <c r="AG273" s="90">
        <v>5</v>
      </c>
      <c r="AH273" s="90">
        <v>6</v>
      </c>
      <c r="AI273" s="90">
        <v>7</v>
      </c>
      <c r="AJ273" s="90">
        <v>8</v>
      </c>
      <c r="AK273" s="90">
        <v>9</v>
      </c>
      <c r="AL273" s="91">
        <v>0</v>
      </c>
      <c r="AM273" s="91">
        <v>1</v>
      </c>
      <c r="AN273" s="91">
        <v>2</v>
      </c>
      <c r="AO273" s="91">
        <v>3</v>
      </c>
      <c r="AP273" s="91">
        <v>4</v>
      </c>
      <c r="AQ273" s="91">
        <v>5</v>
      </c>
      <c r="AR273" s="91">
        <v>6</v>
      </c>
      <c r="AS273" s="91">
        <v>7</v>
      </c>
      <c r="AT273" s="91">
        <v>8</v>
      </c>
      <c r="AU273" s="91">
        <v>9</v>
      </c>
      <c r="AV273" s="92">
        <v>0</v>
      </c>
      <c r="AW273" s="92">
        <v>1</v>
      </c>
      <c r="AX273" s="92">
        <v>2</v>
      </c>
      <c r="AY273" s="92">
        <v>3</v>
      </c>
      <c r="AZ273" s="92">
        <v>4</v>
      </c>
      <c r="BA273" s="92">
        <v>5</v>
      </c>
      <c r="BB273" s="92">
        <v>6</v>
      </c>
      <c r="BC273" s="92">
        <v>7</v>
      </c>
      <c r="BD273" s="92">
        <v>8</v>
      </c>
      <c r="BE273" s="92">
        <v>9</v>
      </c>
      <c r="BF273" s="93">
        <v>0</v>
      </c>
      <c r="BG273" s="93">
        <v>1</v>
      </c>
      <c r="BH273" s="93">
        <v>2</v>
      </c>
      <c r="BI273" s="93">
        <v>3</v>
      </c>
      <c r="BJ273" s="93">
        <v>4</v>
      </c>
      <c r="BK273" s="93">
        <v>5</v>
      </c>
      <c r="BL273" s="93">
        <v>6</v>
      </c>
      <c r="BM273" s="93">
        <v>7</v>
      </c>
      <c r="BN273" s="93">
        <v>8</v>
      </c>
      <c r="BO273" s="93">
        <v>9</v>
      </c>
      <c r="BP273" s="94" t="str">
        <f t="shared" si="213"/>
        <v>紧凑型</v>
      </c>
      <c r="BQ273" s="15">
        <f t="shared" si="210"/>
        <v>1</v>
      </c>
      <c r="BR273" s="15">
        <f t="shared" si="211"/>
        <v>4</v>
      </c>
      <c r="BS273" s="20">
        <f t="shared" si="215"/>
        <v>4</v>
      </c>
      <c r="BT273" s="21" t="str">
        <f t="shared" si="216"/>
        <v/>
      </c>
      <c r="BU273" s="21" t="str">
        <f t="array" ref="BU273">_xlfn.TEXTJOIN("",TRUE,IF(ISERROR(FIND(ROW($1:$168)-1,BS273&amp;BT273)),ROW($1:$168)-1,""))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73" s="22" t="str">
        <f t="shared" si="217"/>
        <v>复中中</v>
      </c>
      <c r="BW273" s="23">
        <f t="shared" si="228"/>
        <v>3</v>
      </c>
      <c r="BX273" s="23" t="str">
        <f t="shared" si="226"/>
        <v/>
      </c>
      <c r="BY273" s="23" t="str">
        <f t="array" ref="BY273">_xlfn.TEXTJOIN("",TRUE,IF(ISERROR(FIND(ROW($1:$168)-1,BW273&amp;BX273)),ROW($1:$168)-1,""))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73" s="22" t="str">
        <f t="shared" si="218"/>
        <v>复中中</v>
      </c>
      <c r="CA273" s="24" t="str">
        <f t="shared" si="219"/>
        <v/>
      </c>
      <c r="CB273" s="24">
        <f t="shared" si="227"/>
        <v>1</v>
      </c>
      <c r="CC273" s="24" t="str">
        <f t="array" ref="CC273">_xlfn.TEXTJOIN("",TRUE,IF(ISERROR(FIND(ROW($1:$168)-1,CA273&amp;CB273)),ROW($1:$168)-1,""))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73" s="22" t="str">
        <f t="shared" si="220"/>
        <v>中隔中</v>
      </c>
      <c r="CE273" s="25" t="str">
        <f t="shared" si="214"/>
        <v>35</v>
      </c>
      <c r="CF273" s="26" t="str">
        <f t="array" ref="CF273">_xlfn.TEXTJOIN("",TRUE,IF(ISNUMBER(FIND(MID(CE272&amp;W272,ROW($1:$162),1),CE273&amp;W273)),MID(CE272&amp;W272,ROW($1:$162),1),""))</f>
        <v>43</v>
      </c>
      <c r="CG273" s="27" t="str">
        <f t="array" ref="CG273">_xlfn.TEXTJOIN("",TRUE,IF(ISERROR(FIND(ROW($1:$168)-1,CE273&amp;CF273)),ROW($1:$168)-1,""))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73" s="28" t="str">
        <f t="shared" si="221"/>
        <v>邻传孤</v>
      </c>
      <c r="CI273" s="29" t="str">
        <f t="shared" si="222"/>
        <v>24</v>
      </c>
      <c r="CJ273" s="29" t="str">
        <f t="array" ref="CJ273">_xlfn.TEXTJOIN("",TRUE,IF(ISNUMBER(FIND(MID(CI272&amp;X272,ROW($1:$162),1),CI273&amp;X273)),MID(CI272&amp;X272,ROW($1:$162),1),""))</f>
        <v>34</v>
      </c>
      <c r="CK273" s="29" t="str">
        <f t="array" ref="CK273">_xlfn.TEXTJOIN("",TRUE,IF(ISERROR(FIND(ROW($1:$168)-1,CI273&amp;CJ273)),ROW($1:$168)-1,""))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73" s="19" t="str">
        <f t="shared" si="223"/>
        <v>邻传孤</v>
      </c>
      <c r="CM273" s="24" t="str">
        <f t="shared" si="224"/>
        <v>02</v>
      </c>
      <c r="CN273" s="24" t="str">
        <f t="array" ref="CN273">_xlfn.TEXTJOIN("",TRUE,IF(ISNUMBER(FIND(MID(CM272&amp;Y272,ROW($1:$162),1),CM273&amp;Y273)),MID(CM272&amp;Y272,ROW($1:$162),1),""))</f>
        <v/>
      </c>
      <c r="CO273" s="24" t="str">
        <f t="array" ref="CO273">_xlfn.TEXTJOIN("",TRUE,IF(ISERROR(FIND(ROW($1:$168)-1,CM273&amp;CN273)),ROW($1:$168)-1,""))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73" s="30" t="str">
        <f t="shared" si="225"/>
        <v>邻孤孤</v>
      </c>
    </row>
    <row r="274" spans="1:94">
      <c r="A274" s="15">
        <v>274</v>
      </c>
      <c r="B274" s="80">
        <v>2024243</v>
      </c>
      <c r="C274" s="8" t="s">
        <v>186</v>
      </c>
      <c r="D274" s="81">
        <f t="shared" si="234"/>
        <v>19</v>
      </c>
      <c r="E274" s="82">
        <f t="shared" si="235"/>
        <v>9</v>
      </c>
      <c r="F274" s="83">
        <f t="shared" si="239"/>
        <v>4.75</v>
      </c>
      <c r="G274" s="84" t="str">
        <f t="shared" si="240"/>
        <v>紧凑</v>
      </c>
      <c r="H274" s="85" t="s">
        <v>10</v>
      </c>
      <c r="I274" s="85" t="s">
        <v>11</v>
      </c>
      <c r="J274" s="85" t="s">
        <v>12</v>
      </c>
      <c r="K274" s="85" t="s">
        <v>13</v>
      </c>
      <c r="L274" s="86">
        <f>MAX(MID(C274,{1,2,3},1)*1)-MIN(MID(C274,{1,2,3},1)*1)</f>
        <v>4</v>
      </c>
      <c r="M274" s="87">
        <v>0</v>
      </c>
      <c r="N274" s="87">
        <v>1</v>
      </c>
      <c r="O274" s="87">
        <v>2</v>
      </c>
      <c r="P274" s="87">
        <v>3</v>
      </c>
      <c r="Q274" s="87">
        <v>4</v>
      </c>
      <c r="R274" s="87">
        <v>5</v>
      </c>
      <c r="S274" s="87">
        <v>6</v>
      </c>
      <c r="T274" s="87">
        <v>7</v>
      </c>
      <c r="U274" s="87">
        <v>8</v>
      </c>
      <c r="V274" s="87">
        <v>9</v>
      </c>
      <c r="W274" s="88">
        <f t="shared" si="236"/>
        <v>4</v>
      </c>
      <c r="X274" s="88">
        <f t="shared" si="237"/>
        <v>4</v>
      </c>
      <c r="Y274" s="88">
        <f t="shared" si="238"/>
        <v>0</v>
      </c>
      <c r="Z274" s="89">
        <f t="shared" si="212"/>
        <v>8</v>
      </c>
      <c r="AA274" s="17" t="str">
        <f>_xlfn.TEXTJOIN(", ",TRUE,ABS(MID(C274,{1,1,2},1)-MID(C274,{2,3,3},1)))</f>
        <v>4, 4, 0</v>
      </c>
      <c r="AB274" s="90">
        <v>0</v>
      </c>
      <c r="AC274" s="90">
        <v>1</v>
      </c>
      <c r="AD274" s="90">
        <v>2</v>
      </c>
      <c r="AE274" s="90">
        <v>3</v>
      </c>
      <c r="AF274" s="90">
        <v>4</v>
      </c>
      <c r="AG274" s="90">
        <v>5</v>
      </c>
      <c r="AH274" s="90">
        <v>6</v>
      </c>
      <c r="AI274" s="90">
        <v>7</v>
      </c>
      <c r="AJ274" s="90">
        <v>8</v>
      </c>
      <c r="AK274" s="90">
        <v>9</v>
      </c>
      <c r="AL274" s="91">
        <v>0</v>
      </c>
      <c r="AM274" s="91">
        <v>1</v>
      </c>
      <c r="AN274" s="91">
        <v>2</v>
      </c>
      <c r="AO274" s="91">
        <v>3</v>
      </c>
      <c r="AP274" s="91">
        <v>4</v>
      </c>
      <c r="AQ274" s="91">
        <v>5</v>
      </c>
      <c r="AR274" s="91">
        <v>6</v>
      </c>
      <c r="AS274" s="91">
        <v>7</v>
      </c>
      <c r="AT274" s="91">
        <v>8</v>
      </c>
      <c r="AU274" s="91">
        <v>9</v>
      </c>
      <c r="AV274" s="92">
        <v>0</v>
      </c>
      <c r="AW274" s="92">
        <v>1</v>
      </c>
      <c r="AX274" s="92">
        <v>2</v>
      </c>
      <c r="AY274" s="92">
        <v>3</v>
      </c>
      <c r="AZ274" s="92">
        <v>4</v>
      </c>
      <c r="BA274" s="92">
        <v>5</v>
      </c>
      <c r="BB274" s="92">
        <v>6</v>
      </c>
      <c r="BC274" s="92">
        <v>7</v>
      </c>
      <c r="BD274" s="92">
        <v>8</v>
      </c>
      <c r="BE274" s="92">
        <v>9</v>
      </c>
      <c r="BF274" s="93">
        <v>0</v>
      </c>
      <c r="BG274" s="93">
        <v>1</v>
      </c>
      <c r="BH274" s="93">
        <v>2</v>
      </c>
      <c r="BI274" s="93">
        <v>3</v>
      </c>
      <c r="BJ274" s="93">
        <v>4</v>
      </c>
      <c r="BK274" s="93">
        <v>5</v>
      </c>
      <c r="BL274" s="93">
        <v>6</v>
      </c>
      <c r="BM274" s="93">
        <v>7</v>
      </c>
      <c r="BN274" s="93">
        <v>8</v>
      </c>
      <c r="BO274" s="93">
        <v>9</v>
      </c>
      <c r="BP274" s="94" t="str">
        <f t="shared" si="213"/>
        <v>紧凑型</v>
      </c>
      <c r="BQ274" s="15">
        <f t="shared" si="210"/>
        <v>0</v>
      </c>
      <c r="BR274" s="15">
        <f t="shared" si="211"/>
        <v>4</v>
      </c>
      <c r="BS274" s="20">
        <f t="shared" si="215"/>
        <v>4</v>
      </c>
      <c r="BT274" s="21">
        <f t="shared" si="216"/>
        <v>4</v>
      </c>
      <c r="BU274" s="21" t="str">
        <f t="array" ref="BU274">_xlfn.TEXTJOIN("",TRUE,IF(ISERROR(FIND(ROW($1:$168)-1,BS274&amp;BT274)),ROW($1:$168)-1,""))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74" s="22" t="str">
        <f t="shared" si="217"/>
        <v>复隔中</v>
      </c>
      <c r="BW274" s="23">
        <f t="shared" si="228"/>
        <v>4</v>
      </c>
      <c r="BX274" s="23">
        <f t="shared" si="226"/>
        <v>4</v>
      </c>
      <c r="BY274" s="23" t="str">
        <f t="array" ref="BY274">_xlfn.TEXTJOIN("",TRUE,IF(ISERROR(FIND(ROW($1:$168)-1,BW274&amp;BX274)),ROW($1:$168)-1,""))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74" s="22" t="str">
        <f t="shared" si="218"/>
        <v>复隔中</v>
      </c>
      <c r="CA274" s="24" t="str">
        <f t="shared" si="219"/>
        <v/>
      </c>
      <c r="CB274" s="24" t="str">
        <f t="shared" si="227"/>
        <v/>
      </c>
      <c r="CC274" s="24" t="str">
        <f t="array" ref="CC274">_xlfn.TEXTJOIN("",TRUE,IF(ISERROR(FIND(ROW($1:$168)-1,CA274&amp;CB274)),ROW($1:$168)-1,""))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74" s="22" t="str">
        <f t="shared" si="220"/>
        <v>中中中</v>
      </c>
      <c r="CE274" s="25" t="str">
        <f t="shared" si="214"/>
        <v>35</v>
      </c>
      <c r="CF274" s="26" t="str">
        <f t="array" ref="CF274">_xlfn.TEXTJOIN("",TRUE,IF(ISNUMBER(FIND(MID(CE273&amp;W273,ROW($1:$162),1),CE274&amp;W274)),MID(CE273&amp;W273,ROW($1:$162),1),""))</f>
        <v>354</v>
      </c>
      <c r="CG274" s="27" t="str">
        <f t="array" ref="CG274">_xlfn.TEXTJOIN("",TRUE,IF(ISERROR(FIND(ROW($1:$168)-1,CE274&amp;CF274)),ROW($1:$168)-1,""))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74" s="28" t="str">
        <f t="shared" si="221"/>
        <v>邻传孤</v>
      </c>
      <c r="CI274" s="29" t="str">
        <f t="shared" si="222"/>
        <v>35</v>
      </c>
      <c r="CJ274" s="29" t="str">
        <f t="array" ref="CJ274">_xlfn.TEXTJOIN("",TRUE,IF(ISNUMBER(FIND(MID(CI273&amp;X273,ROW($1:$162),1),CI274&amp;X274)),MID(CI273&amp;X273,ROW($1:$162),1),""))</f>
        <v>43</v>
      </c>
      <c r="CK274" s="29" t="str">
        <f t="array" ref="CK274">_xlfn.TEXTJOIN("",TRUE,IF(ISERROR(FIND(ROW($1:$168)-1,CI274&amp;CJ274)),ROW($1:$168)-1,""))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74" s="19" t="str">
        <f t="shared" si="223"/>
        <v>邻传孤</v>
      </c>
      <c r="CM274" s="24" t="str">
        <f t="shared" si="224"/>
        <v>91</v>
      </c>
      <c r="CN274" s="24" t="str">
        <f t="array" ref="CN274">_xlfn.TEXTJOIN("",TRUE,IF(ISNUMBER(FIND(MID(CM273&amp;Y273,ROW($1:$162),1),CM274&amp;Y274)),MID(CM273&amp;Y273,ROW($1:$162),1),""))</f>
        <v>01</v>
      </c>
      <c r="CO274" s="24" t="str">
        <f t="array" ref="CO274">_xlfn.TEXTJOIN("",TRUE,IF(ISERROR(FIND(ROW($1:$168)-1,CM274&amp;CN274)),ROW($1:$168)-1,""))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274" s="30" t="str">
        <f t="shared" si="225"/>
        <v>邻传孤</v>
      </c>
    </row>
    <row r="275" spans="1:94">
      <c r="A275" s="15">
        <v>275</v>
      </c>
      <c r="B275" s="80">
        <v>2024244</v>
      </c>
      <c r="C275" s="8" t="s">
        <v>271</v>
      </c>
      <c r="D275" s="81">
        <f t="shared" si="234"/>
        <v>17</v>
      </c>
      <c r="E275" s="82">
        <f t="shared" si="235"/>
        <v>7</v>
      </c>
      <c r="F275" s="83">
        <f t="shared" si="239"/>
        <v>3.4</v>
      </c>
      <c r="G275" s="84" t="str">
        <f t="shared" si="240"/>
        <v>标准</v>
      </c>
      <c r="H275" s="85" t="s">
        <v>10</v>
      </c>
      <c r="I275" s="85" t="s">
        <v>11</v>
      </c>
      <c r="J275" s="85" t="s">
        <v>12</v>
      </c>
      <c r="K275" s="85" t="s">
        <v>13</v>
      </c>
      <c r="L275" s="86">
        <f>MAX(MID(C275,{1,2,3},1)*1)-MIN(MID(C275,{1,2,3},1)*1)</f>
        <v>5</v>
      </c>
      <c r="M275" s="87">
        <v>0</v>
      </c>
      <c r="N275" s="87">
        <v>1</v>
      </c>
      <c r="O275" s="87">
        <v>2</v>
      </c>
      <c r="P275" s="87">
        <v>3</v>
      </c>
      <c r="Q275" s="87">
        <v>4</v>
      </c>
      <c r="R275" s="87">
        <v>5</v>
      </c>
      <c r="S275" s="87">
        <v>6</v>
      </c>
      <c r="T275" s="87">
        <v>7</v>
      </c>
      <c r="U275" s="87">
        <v>8</v>
      </c>
      <c r="V275" s="87">
        <v>9</v>
      </c>
      <c r="W275" s="88">
        <f t="shared" si="236"/>
        <v>2</v>
      </c>
      <c r="X275" s="88">
        <f t="shared" si="237"/>
        <v>5</v>
      </c>
      <c r="Y275" s="88">
        <f t="shared" si="238"/>
        <v>3</v>
      </c>
      <c r="Z275" s="89">
        <f t="shared" si="212"/>
        <v>10</v>
      </c>
      <c r="AA275" s="17" t="str">
        <f>_xlfn.TEXTJOIN(", ",TRUE,ABS(MID(C275,{1,1,2},1)-MID(C275,{2,3,3},1)))</f>
        <v>2, 5, 3</v>
      </c>
      <c r="AB275" s="90">
        <v>0</v>
      </c>
      <c r="AC275" s="90">
        <v>1</v>
      </c>
      <c r="AD275" s="90">
        <v>2</v>
      </c>
      <c r="AE275" s="90">
        <v>3</v>
      </c>
      <c r="AF275" s="90">
        <v>4</v>
      </c>
      <c r="AG275" s="90">
        <v>5</v>
      </c>
      <c r="AH275" s="90">
        <v>6</v>
      </c>
      <c r="AI275" s="90">
        <v>7</v>
      </c>
      <c r="AJ275" s="90">
        <v>8</v>
      </c>
      <c r="AK275" s="90">
        <v>9</v>
      </c>
      <c r="AL275" s="91">
        <v>0</v>
      </c>
      <c r="AM275" s="91">
        <v>1</v>
      </c>
      <c r="AN275" s="91">
        <v>2</v>
      </c>
      <c r="AO275" s="91">
        <v>3</v>
      </c>
      <c r="AP275" s="91">
        <v>4</v>
      </c>
      <c r="AQ275" s="91">
        <v>5</v>
      </c>
      <c r="AR275" s="91">
        <v>6</v>
      </c>
      <c r="AS275" s="91">
        <v>7</v>
      </c>
      <c r="AT275" s="91">
        <v>8</v>
      </c>
      <c r="AU275" s="91">
        <v>9</v>
      </c>
      <c r="AV275" s="92">
        <v>0</v>
      </c>
      <c r="AW275" s="92">
        <v>1</v>
      </c>
      <c r="AX275" s="92">
        <v>2</v>
      </c>
      <c r="AY275" s="92">
        <v>3</v>
      </c>
      <c r="AZ275" s="92">
        <v>4</v>
      </c>
      <c r="BA275" s="92">
        <v>5</v>
      </c>
      <c r="BB275" s="92">
        <v>6</v>
      </c>
      <c r="BC275" s="92">
        <v>7</v>
      </c>
      <c r="BD275" s="92">
        <v>8</v>
      </c>
      <c r="BE275" s="92">
        <v>9</v>
      </c>
      <c r="BF275" s="93">
        <v>0</v>
      </c>
      <c r="BG275" s="93">
        <v>1</v>
      </c>
      <c r="BH275" s="93">
        <v>2</v>
      </c>
      <c r="BI275" s="93">
        <v>3</v>
      </c>
      <c r="BJ275" s="93">
        <v>4</v>
      </c>
      <c r="BK275" s="93">
        <v>5</v>
      </c>
      <c r="BL275" s="93">
        <v>6</v>
      </c>
      <c r="BM275" s="93">
        <v>7</v>
      </c>
      <c r="BN275" s="93">
        <v>8</v>
      </c>
      <c r="BO275" s="93">
        <v>9</v>
      </c>
      <c r="BP275" s="94" t="str">
        <f t="shared" si="213"/>
        <v>标准型</v>
      </c>
      <c r="BQ275" s="15">
        <f t="shared" si="210"/>
        <v>2</v>
      </c>
      <c r="BR275" s="15">
        <f t="shared" si="211"/>
        <v>5</v>
      </c>
      <c r="BS275" s="20" t="str">
        <f t="shared" si="215"/>
        <v/>
      </c>
      <c r="BT275" s="21" t="str">
        <f t="shared" si="216"/>
        <v/>
      </c>
      <c r="BU275" s="21" t="str">
        <f t="array" ref="BU275">_xlfn.TEXTJOIN("",TRUE,IF(ISERROR(FIND(ROW($1:$168)-1,BS275&amp;BT275)),ROW($1:$168)-1,""))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75" s="22" t="str">
        <f t="shared" si="217"/>
        <v>中中中</v>
      </c>
      <c r="BW275" s="23" t="str">
        <f t="shared" si="228"/>
        <v/>
      </c>
      <c r="BX275" s="23" t="str">
        <f t="shared" si="226"/>
        <v/>
      </c>
      <c r="BY275" s="23" t="str">
        <f t="array" ref="BY275">_xlfn.TEXTJOIN("",TRUE,IF(ISERROR(FIND(ROW($1:$168)-1,BW275&amp;BX275)),ROW($1:$168)-1,""))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75" s="22" t="str">
        <f t="shared" si="218"/>
        <v>中中中</v>
      </c>
      <c r="CA275" s="24" t="str">
        <f t="shared" si="219"/>
        <v/>
      </c>
      <c r="CB275" s="24">
        <f t="shared" si="227"/>
        <v>3</v>
      </c>
      <c r="CC275" s="24" t="str">
        <f t="array" ref="CC275">_xlfn.TEXTJOIN("",TRUE,IF(ISERROR(FIND(ROW($1:$168)-1,CA275&amp;CB275)),ROW($1:$168)-1,""))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75" s="22" t="str">
        <f t="shared" si="220"/>
        <v>中隔中</v>
      </c>
      <c r="CE275" s="25" t="str">
        <f t="shared" si="214"/>
        <v>13</v>
      </c>
      <c r="CF275" s="26" t="str">
        <f t="array" ref="CF275">_xlfn.TEXTJOIN("",TRUE,IF(ISNUMBER(FIND(MID(CE274&amp;W274,ROW($1:$162),1),CE275&amp;W275)),MID(CE274&amp;W274,ROW($1:$162),1),""))</f>
        <v>3</v>
      </c>
      <c r="CG275" s="27" t="str">
        <f t="array" ref="CG275">_xlfn.TEXTJOIN("",TRUE,IF(ISERROR(FIND(ROW($1:$168)-1,CE275&amp;CF275)),ROW($1:$168)-1,""))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275" s="28" t="str">
        <f t="shared" si="221"/>
        <v>邻传孤</v>
      </c>
      <c r="CI275" s="29" t="str">
        <f t="shared" si="222"/>
        <v>46</v>
      </c>
      <c r="CJ275" s="29" t="str">
        <f t="array" ref="CJ275">_xlfn.TEXTJOIN("",TRUE,IF(ISNUMBER(FIND(MID(CI274&amp;X274,ROW($1:$162),1),CI275&amp;X275)),MID(CI274&amp;X274,ROW($1:$162),1),""))</f>
        <v>54</v>
      </c>
      <c r="CK275" s="29" t="str">
        <f t="array" ref="CK275">_xlfn.TEXTJOIN("",TRUE,IF(ISERROR(FIND(ROW($1:$168)-1,CI275&amp;CJ275)),ROW($1:$168)-1,""))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75" s="19" t="str">
        <f t="shared" si="223"/>
        <v>邻传孤</v>
      </c>
      <c r="CM275" s="24" t="str">
        <f t="shared" si="224"/>
        <v>24</v>
      </c>
      <c r="CN275" s="24" t="str">
        <f t="array" ref="CN275">_xlfn.TEXTJOIN("",TRUE,IF(ISNUMBER(FIND(MID(CM274&amp;Y274,ROW($1:$162),1),CM275&amp;Y275)),MID(CM274&amp;Y274,ROW($1:$162),1),""))</f>
        <v/>
      </c>
      <c r="CO275" s="24" t="str">
        <f t="array" ref="CO275">_xlfn.TEXTJOIN("",TRUE,IF(ISERROR(FIND(ROW($1:$168)-1,CM275&amp;CN275)),ROW($1:$168)-1,""))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75" s="30" t="str">
        <f t="shared" si="225"/>
        <v>邻孤孤</v>
      </c>
    </row>
    <row r="276" spans="1:94">
      <c r="A276" s="15">
        <v>276</v>
      </c>
      <c r="B276" s="80">
        <v>2024245</v>
      </c>
      <c r="C276" s="8" t="s">
        <v>182</v>
      </c>
      <c r="D276" s="81">
        <f t="shared" si="234"/>
        <v>12</v>
      </c>
      <c r="E276" s="82">
        <f t="shared" si="235"/>
        <v>2</v>
      </c>
      <c r="F276" s="83">
        <f t="shared" si="239"/>
        <v>2</v>
      </c>
      <c r="G276" s="84" t="str">
        <f t="shared" si="240"/>
        <v>标准</v>
      </c>
      <c r="H276" s="85" t="s">
        <v>10</v>
      </c>
      <c r="I276" s="85" t="s">
        <v>11</v>
      </c>
      <c r="J276" s="85" t="s">
        <v>12</v>
      </c>
      <c r="K276" s="85" t="s">
        <v>13</v>
      </c>
      <c r="L276" s="86">
        <f>MAX(MID(C276,{1,2,3},1)*1)-MIN(MID(C276,{1,2,3},1)*1)</f>
        <v>6</v>
      </c>
      <c r="M276" s="87">
        <v>0</v>
      </c>
      <c r="N276" s="87">
        <v>1</v>
      </c>
      <c r="O276" s="87">
        <v>2</v>
      </c>
      <c r="P276" s="87">
        <v>3</v>
      </c>
      <c r="Q276" s="87">
        <v>4</v>
      </c>
      <c r="R276" s="87">
        <v>5</v>
      </c>
      <c r="S276" s="87">
        <v>6</v>
      </c>
      <c r="T276" s="87">
        <v>7</v>
      </c>
      <c r="U276" s="87">
        <v>8</v>
      </c>
      <c r="V276" s="87">
        <v>9</v>
      </c>
      <c r="W276" s="88">
        <f t="shared" si="236"/>
        <v>3</v>
      </c>
      <c r="X276" s="88">
        <f t="shared" si="237"/>
        <v>6</v>
      </c>
      <c r="Y276" s="88">
        <f t="shared" si="238"/>
        <v>3</v>
      </c>
      <c r="Z276" s="89">
        <f t="shared" si="212"/>
        <v>12</v>
      </c>
      <c r="AA276" s="17" t="str">
        <f>_xlfn.TEXTJOIN(", ",TRUE,ABS(MID(C276,{1,1,2},1)-MID(C276,{2,3,3},1)))</f>
        <v>3, 6, 3</v>
      </c>
      <c r="AB276" s="90">
        <v>0</v>
      </c>
      <c r="AC276" s="90">
        <v>1</v>
      </c>
      <c r="AD276" s="90">
        <v>2</v>
      </c>
      <c r="AE276" s="90">
        <v>3</v>
      </c>
      <c r="AF276" s="90">
        <v>4</v>
      </c>
      <c r="AG276" s="90">
        <v>5</v>
      </c>
      <c r="AH276" s="90">
        <v>6</v>
      </c>
      <c r="AI276" s="90">
        <v>7</v>
      </c>
      <c r="AJ276" s="90">
        <v>8</v>
      </c>
      <c r="AK276" s="90">
        <v>9</v>
      </c>
      <c r="AL276" s="91">
        <v>0</v>
      </c>
      <c r="AM276" s="91">
        <v>1</v>
      </c>
      <c r="AN276" s="91">
        <v>2</v>
      </c>
      <c r="AO276" s="91">
        <v>3</v>
      </c>
      <c r="AP276" s="91">
        <v>4</v>
      </c>
      <c r="AQ276" s="91">
        <v>5</v>
      </c>
      <c r="AR276" s="91">
        <v>6</v>
      </c>
      <c r="AS276" s="91">
        <v>7</v>
      </c>
      <c r="AT276" s="91">
        <v>8</v>
      </c>
      <c r="AU276" s="91">
        <v>9</v>
      </c>
      <c r="AV276" s="92">
        <v>0</v>
      </c>
      <c r="AW276" s="92">
        <v>1</v>
      </c>
      <c r="AX276" s="92">
        <v>2</v>
      </c>
      <c r="AY276" s="92">
        <v>3</v>
      </c>
      <c r="AZ276" s="92">
        <v>4</v>
      </c>
      <c r="BA276" s="92">
        <v>5</v>
      </c>
      <c r="BB276" s="92">
        <v>6</v>
      </c>
      <c r="BC276" s="92">
        <v>7</v>
      </c>
      <c r="BD276" s="92">
        <v>8</v>
      </c>
      <c r="BE276" s="92">
        <v>9</v>
      </c>
      <c r="BF276" s="93">
        <v>0</v>
      </c>
      <c r="BG276" s="93">
        <v>1</v>
      </c>
      <c r="BH276" s="93">
        <v>2</v>
      </c>
      <c r="BI276" s="93">
        <v>3</v>
      </c>
      <c r="BJ276" s="93">
        <v>4</v>
      </c>
      <c r="BK276" s="93">
        <v>5</v>
      </c>
      <c r="BL276" s="93">
        <v>6</v>
      </c>
      <c r="BM276" s="93">
        <v>7</v>
      </c>
      <c r="BN276" s="93">
        <v>8</v>
      </c>
      <c r="BO276" s="93">
        <v>9</v>
      </c>
      <c r="BP276" s="94" t="str">
        <f t="shared" si="213"/>
        <v>松散型</v>
      </c>
      <c r="BQ276" s="15">
        <f t="shared" si="210"/>
        <v>3</v>
      </c>
      <c r="BR276" s="15">
        <f t="shared" si="211"/>
        <v>6</v>
      </c>
      <c r="BS276" s="20">
        <f t="shared" si="215"/>
        <v>3</v>
      </c>
      <c r="BT276" s="21" t="str">
        <f t="shared" si="216"/>
        <v/>
      </c>
      <c r="BU276" s="21" t="str">
        <f t="array" ref="BU276">_xlfn.TEXTJOIN("",TRUE,IF(ISERROR(FIND(ROW($1:$168)-1,BS276&amp;BT276)),ROW($1:$168)-1,""))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76" s="22" t="str">
        <f t="shared" si="217"/>
        <v>复中中</v>
      </c>
      <c r="BW276" s="23" t="str">
        <f t="shared" si="228"/>
        <v/>
      </c>
      <c r="BX276" s="23" t="str">
        <f t="shared" si="226"/>
        <v/>
      </c>
      <c r="BY276" s="23" t="str">
        <f t="array" ref="BY276">_xlfn.TEXTJOIN("",TRUE,IF(ISERROR(FIND(ROW($1:$168)-1,BW276&amp;BX276)),ROW($1:$168)-1,""))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76" s="22" t="str">
        <f t="shared" si="218"/>
        <v>中中中</v>
      </c>
      <c r="CA276" s="24">
        <f t="shared" si="219"/>
        <v>3</v>
      </c>
      <c r="CB276" s="24" t="str">
        <f t="shared" si="227"/>
        <v/>
      </c>
      <c r="CC276" s="24" t="str">
        <f t="array" ref="CC276">_xlfn.TEXTJOIN("",TRUE,IF(ISERROR(FIND(ROW($1:$168)-1,CA276&amp;CB276)),ROW($1:$168)-1,""))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76" s="22" t="str">
        <f t="shared" si="220"/>
        <v>复中中</v>
      </c>
      <c r="CE276" s="25" t="str">
        <f t="shared" si="214"/>
        <v>24</v>
      </c>
      <c r="CF276" s="26" t="str">
        <f t="array" ref="CF276">_xlfn.TEXTJOIN("",TRUE,IF(ISNUMBER(FIND(MID(CE275&amp;W275,ROW($1:$162),1),CE276&amp;W276)),MID(CE275&amp;W275,ROW($1:$162),1),""))</f>
        <v>32</v>
      </c>
      <c r="CG276" s="27" t="str">
        <f t="array" ref="CG276">_xlfn.TEXTJOIN("",TRUE,IF(ISERROR(FIND(ROW($1:$168)-1,CE276&amp;CF276)),ROW($1:$168)-1,""))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76" s="28" t="str">
        <f t="shared" si="221"/>
        <v>邻传孤</v>
      </c>
      <c r="CI276" s="29" t="str">
        <f t="shared" si="222"/>
        <v>57</v>
      </c>
      <c r="CJ276" s="29" t="str">
        <f t="array" ref="CJ276">_xlfn.TEXTJOIN("",TRUE,IF(ISNUMBER(FIND(MID(CI275&amp;X275,ROW($1:$162),1),CI276&amp;X276)),MID(CI275&amp;X275,ROW($1:$162),1),""))</f>
        <v>65</v>
      </c>
      <c r="CK276" s="29" t="str">
        <f t="array" ref="CK276">_xlfn.TEXTJOIN("",TRUE,IF(ISERROR(FIND(ROW($1:$168)-1,CI276&amp;CJ276)),ROW($1:$168)-1,""))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76" s="19" t="str">
        <f t="shared" si="223"/>
        <v>邻传孤</v>
      </c>
      <c r="CM276" s="24" t="str">
        <f t="shared" si="224"/>
        <v>24</v>
      </c>
      <c r="CN276" s="24" t="str">
        <f t="array" ref="CN276">_xlfn.TEXTJOIN("",TRUE,IF(ISNUMBER(FIND(MID(CM275&amp;Y275,ROW($1:$162),1),CM276&amp;Y276)),MID(CM275&amp;Y275,ROW($1:$162),1),""))</f>
        <v>243</v>
      </c>
      <c r="CO276" s="24" t="str">
        <f t="array" ref="CO276">_xlfn.TEXTJOIN("",TRUE,IF(ISERROR(FIND(ROW($1:$168)-1,CM276&amp;CN276)),ROW($1:$168)-1,""))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76" s="30" t="str">
        <f t="shared" si="225"/>
        <v>邻传孤</v>
      </c>
    </row>
    <row r="277" spans="1:94">
      <c r="A277" s="15">
        <v>277</v>
      </c>
      <c r="B277" s="80">
        <v>2024246</v>
      </c>
      <c r="C277" s="8" t="s">
        <v>235</v>
      </c>
      <c r="D277" s="81">
        <f t="shared" si="234"/>
        <v>8</v>
      </c>
      <c r="E277" s="82">
        <f t="shared" si="235"/>
        <v>8</v>
      </c>
      <c r="F277" s="83">
        <f t="shared" si="239"/>
        <v>1.14285714285714</v>
      </c>
      <c r="G277" s="84" t="str">
        <f t="shared" si="240"/>
        <v>松散</v>
      </c>
      <c r="H277" s="85" t="s">
        <v>10</v>
      </c>
      <c r="I277" s="85" t="s">
        <v>11</v>
      </c>
      <c r="J277" s="85" t="s">
        <v>12</v>
      </c>
      <c r="K277" s="85" t="s">
        <v>13</v>
      </c>
      <c r="L277" s="86">
        <f>MAX(MID(C277,{1,2,3},1)*1)-MIN(MID(C277,{1,2,3},1)*1)</f>
        <v>7</v>
      </c>
      <c r="M277" s="87">
        <v>0</v>
      </c>
      <c r="N277" s="87">
        <v>1</v>
      </c>
      <c r="O277" s="87">
        <v>2</v>
      </c>
      <c r="P277" s="87">
        <v>3</v>
      </c>
      <c r="Q277" s="87">
        <v>4</v>
      </c>
      <c r="R277" s="87">
        <v>5</v>
      </c>
      <c r="S277" s="87">
        <v>6</v>
      </c>
      <c r="T277" s="87">
        <v>7</v>
      </c>
      <c r="U277" s="87">
        <v>8</v>
      </c>
      <c r="V277" s="87">
        <v>9</v>
      </c>
      <c r="W277" s="88">
        <f t="shared" si="236"/>
        <v>6</v>
      </c>
      <c r="X277" s="88">
        <f t="shared" si="237"/>
        <v>7</v>
      </c>
      <c r="Y277" s="88">
        <f t="shared" si="238"/>
        <v>1</v>
      </c>
      <c r="Z277" s="89">
        <f t="shared" si="212"/>
        <v>14</v>
      </c>
      <c r="AA277" s="17" t="str">
        <f>_xlfn.TEXTJOIN(", ",TRUE,ABS(MID(C277,{1,1,2},1)-MID(C277,{2,3,3},1)))</f>
        <v>6, 7, 1</v>
      </c>
      <c r="AB277" s="90">
        <v>0</v>
      </c>
      <c r="AC277" s="90">
        <v>1</v>
      </c>
      <c r="AD277" s="90">
        <v>2</v>
      </c>
      <c r="AE277" s="90">
        <v>3</v>
      </c>
      <c r="AF277" s="90">
        <v>4</v>
      </c>
      <c r="AG277" s="90">
        <v>5</v>
      </c>
      <c r="AH277" s="90">
        <v>6</v>
      </c>
      <c r="AI277" s="90">
        <v>7</v>
      </c>
      <c r="AJ277" s="90">
        <v>8</v>
      </c>
      <c r="AK277" s="90">
        <v>9</v>
      </c>
      <c r="AL277" s="91">
        <v>0</v>
      </c>
      <c r="AM277" s="91">
        <v>1</v>
      </c>
      <c r="AN277" s="91">
        <v>2</v>
      </c>
      <c r="AO277" s="91">
        <v>3</v>
      </c>
      <c r="AP277" s="91">
        <v>4</v>
      </c>
      <c r="AQ277" s="91">
        <v>5</v>
      </c>
      <c r="AR277" s="91">
        <v>6</v>
      </c>
      <c r="AS277" s="91">
        <v>7</v>
      </c>
      <c r="AT277" s="91">
        <v>8</v>
      </c>
      <c r="AU277" s="91">
        <v>9</v>
      </c>
      <c r="AV277" s="92">
        <v>0</v>
      </c>
      <c r="AW277" s="92">
        <v>1</v>
      </c>
      <c r="AX277" s="92">
        <v>2</v>
      </c>
      <c r="AY277" s="92">
        <v>3</v>
      </c>
      <c r="AZ277" s="92">
        <v>4</v>
      </c>
      <c r="BA277" s="92">
        <v>5</v>
      </c>
      <c r="BB277" s="92">
        <v>6</v>
      </c>
      <c r="BC277" s="92">
        <v>7</v>
      </c>
      <c r="BD277" s="92">
        <v>8</v>
      </c>
      <c r="BE277" s="92">
        <v>9</v>
      </c>
      <c r="BF277" s="93">
        <v>0</v>
      </c>
      <c r="BG277" s="93">
        <v>1</v>
      </c>
      <c r="BH277" s="93">
        <v>2</v>
      </c>
      <c r="BI277" s="93">
        <v>3</v>
      </c>
      <c r="BJ277" s="93">
        <v>4</v>
      </c>
      <c r="BK277" s="93">
        <v>5</v>
      </c>
      <c r="BL277" s="93">
        <v>6</v>
      </c>
      <c r="BM277" s="93">
        <v>7</v>
      </c>
      <c r="BN277" s="93">
        <v>8</v>
      </c>
      <c r="BO277" s="93">
        <v>9</v>
      </c>
      <c r="BP277" s="94" t="str">
        <f t="shared" si="213"/>
        <v>松散型</v>
      </c>
      <c r="BQ277" s="15">
        <f t="shared" si="210"/>
        <v>1</v>
      </c>
      <c r="BR277" s="15">
        <f t="shared" si="211"/>
        <v>7</v>
      </c>
      <c r="BS277" s="20">
        <f t="shared" si="215"/>
        <v>6</v>
      </c>
      <c r="BT277" s="21" t="str">
        <f t="shared" si="216"/>
        <v/>
      </c>
      <c r="BU277" s="21" t="str">
        <f t="array" ref="BU277">_xlfn.TEXTJOIN("",TRUE,IF(ISERROR(FIND(ROW($1:$168)-1,BS277&amp;BT277)),ROW($1:$168)-1,""))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77" s="22" t="str">
        <f t="shared" si="217"/>
        <v>复中中</v>
      </c>
      <c r="BW277" s="23" t="str">
        <f t="shared" si="228"/>
        <v/>
      </c>
      <c r="BX277" s="23" t="str">
        <f t="shared" si="226"/>
        <v/>
      </c>
      <c r="BY277" s="23" t="str">
        <f t="array" ref="BY277">_xlfn.TEXTJOIN("",TRUE,IF(ISERROR(FIND(ROW($1:$168)-1,BW277&amp;BX277)),ROW($1:$168)-1,""))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77" s="22" t="str">
        <f t="shared" si="218"/>
        <v>中中中</v>
      </c>
      <c r="CA277" s="24" t="str">
        <f t="shared" si="219"/>
        <v/>
      </c>
      <c r="CB277" s="24" t="str">
        <f t="shared" si="227"/>
        <v/>
      </c>
      <c r="CC277" s="24" t="str">
        <f t="array" ref="CC277">_xlfn.TEXTJOIN("",TRUE,IF(ISERROR(FIND(ROW($1:$168)-1,CA277&amp;CB277)),ROW($1:$168)-1,""))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77" s="22" t="str">
        <f t="shared" si="220"/>
        <v>中中中</v>
      </c>
      <c r="CE277" s="25" t="str">
        <f t="shared" si="214"/>
        <v>57</v>
      </c>
      <c r="CF277" s="26" t="str">
        <f t="array" ref="CF277">_xlfn.TEXTJOIN("",TRUE,IF(ISNUMBER(FIND(MID(CE276&amp;W276,ROW($1:$162),1),CE277&amp;W277)),MID(CE276&amp;W276,ROW($1:$162),1),""))</f>
        <v/>
      </c>
      <c r="CG277" s="27" t="str">
        <f t="array" ref="CG277">_xlfn.TEXTJOIN("",TRUE,IF(ISERROR(FIND(ROW($1:$168)-1,CE277&amp;CF277)),ROW($1:$168)-1,""))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77" s="28" t="str">
        <f t="shared" si="221"/>
        <v>邻孤孤</v>
      </c>
      <c r="CI277" s="29" t="str">
        <f t="shared" si="222"/>
        <v>68</v>
      </c>
      <c r="CJ277" s="29" t="str">
        <f t="array" ref="CJ277">_xlfn.TEXTJOIN("",TRUE,IF(ISNUMBER(FIND(MID(CI276&amp;X276,ROW($1:$162),1),CI277&amp;X277)),MID(CI276&amp;X276,ROW($1:$162),1),""))</f>
        <v>76</v>
      </c>
      <c r="CK277" s="29" t="str">
        <f t="array" ref="CK277">_xlfn.TEXTJOIN("",TRUE,IF(ISERROR(FIND(ROW($1:$168)-1,CI277&amp;CJ277)),ROW($1:$168)-1,""))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L277" s="19" t="str">
        <f t="shared" si="223"/>
        <v>邻传孤</v>
      </c>
      <c r="CM277" s="24" t="str">
        <f t="shared" si="224"/>
        <v>02</v>
      </c>
      <c r="CN277" s="24" t="str">
        <f t="array" ref="CN277">_xlfn.TEXTJOIN("",TRUE,IF(ISNUMBER(FIND(MID(CM276&amp;Y276,ROW($1:$162),1),CM277&amp;Y277)),MID(CM276&amp;Y276,ROW($1:$162),1),""))</f>
        <v>2</v>
      </c>
      <c r="CO277" s="24" t="str">
        <f t="array" ref="CO277">_xlfn.TEXTJOIN("",TRUE,IF(ISERROR(FIND(ROW($1:$168)-1,CM277&amp;CN277)),ROW($1:$168)-1,""))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77" s="30" t="str">
        <f t="shared" si="225"/>
        <v>邻传孤</v>
      </c>
    </row>
    <row r="278" spans="1:94">
      <c r="A278" s="15">
        <v>278</v>
      </c>
      <c r="B278" s="80">
        <v>2024247</v>
      </c>
      <c r="C278" s="8" t="s">
        <v>272</v>
      </c>
      <c r="D278" s="81">
        <f t="shared" si="234"/>
        <v>18</v>
      </c>
      <c r="E278" s="82">
        <f t="shared" si="235"/>
        <v>8</v>
      </c>
      <c r="F278" s="83">
        <f t="shared" si="239"/>
        <v>3.6</v>
      </c>
      <c r="G278" s="84" t="str">
        <f t="shared" si="240"/>
        <v>紧凑</v>
      </c>
      <c r="H278" s="85" t="s">
        <v>10</v>
      </c>
      <c r="I278" s="85" t="s">
        <v>11</v>
      </c>
      <c r="J278" s="85" t="s">
        <v>12</v>
      </c>
      <c r="K278" s="85" t="s">
        <v>13</v>
      </c>
      <c r="L278" s="86">
        <f>MAX(MID(C278,{1,2,3},1)*1)-MIN(MID(C278,{1,2,3},1)*1)</f>
        <v>5</v>
      </c>
      <c r="M278" s="87">
        <v>0</v>
      </c>
      <c r="N278" s="87">
        <v>1</v>
      </c>
      <c r="O278" s="87">
        <v>2</v>
      </c>
      <c r="P278" s="87">
        <v>3</v>
      </c>
      <c r="Q278" s="87">
        <v>4</v>
      </c>
      <c r="R278" s="87">
        <v>5</v>
      </c>
      <c r="S278" s="87">
        <v>6</v>
      </c>
      <c r="T278" s="87">
        <v>7</v>
      </c>
      <c r="U278" s="87">
        <v>8</v>
      </c>
      <c r="V278" s="87">
        <v>9</v>
      </c>
      <c r="W278" s="88">
        <f t="shared" si="236"/>
        <v>1</v>
      </c>
      <c r="X278" s="88">
        <f t="shared" si="237"/>
        <v>4</v>
      </c>
      <c r="Y278" s="88">
        <f t="shared" si="238"/>
        <v>5</v>
      </c>
      <c r="Z278" s="89">
        <f t="shared" si="212"/>
        <v>10</v>
      </c>
      <c r="AA278" s="17" t="str">
        <f>_xlfn.TEXTJOIN(", ",TRUE,ABS(MID(C278,{1,1,2},1)-MID(C278,{2,3,3},1)))</f>
        <v>1, 4, 5</v>
      </c>
      <c r="AB278" s="90">
        <v>0</v>
      </c>
      <c r="AC278" s="90">
        <v>1</v>
      </c>
      <c r="AD278" s="90">
        <v>2</v>
      </c>
      <c r="AE278" s="90">
        <v>3</v>
      </c>
      <c r="AF278" s="90">
        <v>4</v>
      </c>
      <c r="AG278" s="90">
        <v>5</v>
      </c>
      <c r="AH278" s="90">
        <v>6</v>
      </c>
      <c r="AI278" s="90">
        <v>7</v>
      </c>
      <c r="AJ278" s="90">
        <v>8</v>
      </c>
      <c r="AK278" s="90">
        <v>9</v>
      </c>
      <c r="AL278" s="91">
        <v>0</v>
      </c>
      <c r="AM278" s="91">
        <v>1</v>
      </c>
      <c r="AN278" s="91">
        <v>2</v>
      </c>
      <c r="AO278" s="91">
        <v>3</v>
      </c>
      <c r="AP278" s="91">
        <v>4</v>
      </c>
      <c r="AQ278" s="91">
        <v>5</v>
      </c>
      <c r="AR278" s="91">
        <v>6</v>
      </c>
      <c r="AS278" s="91">
        <v>7</v>
      </c>
      <c r="AT278" s="91">
        <v>8</v>
      </c>
      <c r="AU278" s="91">
        <v>9</v>
      </c>
      <c r="AV278" s="92">
        <v>0</v>
      </c>
      <c r="AW278" s="92">
        <v>1</v>
      </c>
      <c r="AX278" s="92">
        <v>2</v>
      </c>
      <c r="AY278" s="92">
        <v>3</v>
      </c>
      <c r="AZ278" s="92">
        <v>4</v>
      </c>
      <c r="BA278" s="92">
        <v>5</v>
      </c>
      <c r="BB278" s="92">
        <v>6</v>
      </c>
      <c r="BC278" s="92">
        <v>7</v>
      </c>
      <c r="BD278" s="92">
        <v>8</v>
      </c>
      <c r="BE278" s="92">
        <v>9</v>
      </c>
      <c r="BF278" s="93">
        <v>0</v>
      </c>
      <c r="BG278" s="93">
        <v>1</v>
      </c>
      <c r="BH278" s="93">
        <v>2</v>
      </c>
      <c r="BI278" s="93">
        <v>3</v>
      </c>
      <c r="BJ278" s="93">
        <v>4</v>
      </c>
      <c r="BK278" s="93">
        <v>5</v>
      </c>
      <c r="BL278" s="93">
        <v>6</v>
      </c>
      <c r="BM278" s="93">
        <v>7</v>
      </c>
      <c r="BN278" s="93">
        <v>8</v>
      </c>
      <c r="BO278" s="93">
        <v>9</v>
      </c>
      <c r="BP278" s="94" t="str">
        <f t="shared" si="213"/>
        <v>标准型</v>
      </c>
      <c r="BQ278" s="15">
        <f t="shared" si="210"/>
        <v>1</v>
      </c>
      <c r="BR278" s="15">
        <f t="shared" si="211"/>
        <v>5</v>
      </c>
      <c r="BS278" s="20">
        <f t="shared" si="215"/>
        <v>1</v>
      </c>
      <c r="BT278" s="21" t="str">
        <f t="shared" si="216"/>
        <v/>
      </c>
      <c r="BU278" s="21" t="str">
        <f t="array" ref="BU278">_xlfn.TEXTJOIN("",TRUE,IF(ISERROR(FIND(ROW($1:$168)-1,BS278&amp;BT278)),ROW($1:$168)-1,""))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78" s="22" t="str">
        <f t="shared" si="217"/>
        <v>复中中</v>
      </c>
      <c r="BW278" s="23" t="str">
        <f t="shared" si="228"/>
        <v/>
      </c>
      <c r="BX278" s="23" t="str">
        <f t="shared" si="226"/>
        <v/>
      </c>
      <c r="BY278" s="23" t="str">
        <f t="array" ref="BY278">_xlfn.TEXTJOIN("",TRUE,IF(ISERROR(FIND(ROW($1:$168)-1,BW278&amp;BX278)),ROW($1:$168)-1,""))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78" s="22" t="str">
        <f t="shared" si="218"/>
        <v>中中中</v>
      </c>
      <c r="CA278" s="24" t="str">
        <f t="shared" si="219"/>
        <v/>
      </c>
      <c r="CB278" s="24" t="str">
        <f t="shared" si="227"/>
        <v/>
      </c>
      <c r="CC278" s="24" t="str">
        <f t="array" ref="CC278">_xlfn.TEXTJOIN("",TRUE,IF(ISERROR(FIND(ROW($1:$168)-1,CA278&amp;CB278)),ROW($1:$168)-1,""))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78" s="22" t="str">
        <f t="shared" si="220"/>
        <v>中中中</v>
      </c>
      <c r="CE278" s="25" t="str">
        <f t="shared" si="214"/>
        <v>02</v>
      </c>
      <c r="CF278" s="26" t="str">
        <f t="array" ref="CF278">_xlfn.TEXTJOIN("",TRUE,IF(ISNUMBER(FIND(MID(CE277&amp;W277,ROW($1:$162),1),CE278&amp;W278)),MID(CE277&amp;W277,ROW($1:$162),1),""))</f>
        <v/>
      </c>
      <c r="CG278" s="27" t="str">
        <f t="array" ref="CG278">_xlfn.TEXTJOIN("",TRUE,IF(ISERROR(FIND(ROW($1:$168)-1,CE278&amp;CF278)),ROW($1:$168)-1,""))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78" s="28" t="str">
        <f t="shared" si="221"/>
        <v>邻孤孤</v>
      </c>
      <c r="CI278" s="29" t="str">
        <f t="shared" si="222"/>
        <v>35</v>
      </c>
      <c r="CJ278" s="29" t="str">
        <f t="array" ref="CJ278">_xlfn.TEXTJOIN("",TRUE,IF(ISNUMBER(FIND(MID(CI277&amp;X277,ROW($1:$162),1),CI278&amp;X278)),MID(CI277&amp;X277,ROW($1:$162),1),""))</f>
        <v/>
      </c>
      <c r="CK278" s="29" t="str">
        <f t="array" ref="CK278">_xlfn.TEXTJOIN("",TRUE,IF(ISERROR(FIND(ROW($1:$168)-1,CI278&amp;CJ278)),ROW($1:$168)-1,""))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78" s="19" t="str">
        <f t="shared" si="223"/>
        <v>邻孤孤</v>
      </c>
      <c r="CM278" s="24" t="str">
        <f t="shared" si="224"/>
        <v>46</v>
      </c>
      <c r="CN278" s="24" t="str">
        <f t="array" ref="CN278">_xlfn.TEXTJOIN("",TRUE,IF(ISNUMBER(FIND(MID(CM277&amp;Y277,ROW($1:$162),1),CM278&amp;Y278)),MID(CM277&amp;Y277,ROW($1:$162),1),""))</f>
        <v/>
      </c>
      <c r="CO278" s="24" t="str">
        <f t="array" ref="CO278">_xlfn.TEXTJOIN("",TRUE,IF(ISERROR(FIND(ROW($1:$168)-1,CM278&amp;CN278)),ROW($1:$168)-1,""))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78" s="30" t="str">
        <f t="shared" si="225"/>
        <v>邻孤孤</v>
      </c>
    </row>
    <row r="279" spans="1:94">
      <c r="A279" s="15">
        <v>279</v>
      </c>
      <c r="B279" s="80">
        <v>2024248</v>
      </c>
      <c r="C279" s="8" t="s">
        <v>273</v>
      </c>
      <c r="D279" s="81">
        <f t="shared" si="234"/>
        <v>15</v>
      </c>
      <c r="E279" s="82">
        <f t="shared" si="235"/>
        <v>5</v>
      </c>
      <c r="F279" s="83">
        <f t="shared" si="239"/>
        <v>2.14285714285714</v>
      </c>
      <c r="G279" s="84" t="str">
        <f t="shared" si="240"/>
        <v>标准</v>
      </c>
      <c r="H279" s="85" t="s">
        <v>10</v>
      </c>
      <c r="I279" s="85" t="s">
        <v>11</v>
      </c>
      <c r="J279" s="85" t="s">
        <v>12</v>
      </c>
      <c r="K279" s="85" t="s">
        <v>13</v>
      </c>
      <c r="L279" s="86">
        <f>MAX(MID(C279,{1,2,3},1)*1)-MIN(MID(C279,{1,2,3},1)*1)</f>
        <v>7</v>
      </c>
      <c r="M279" s="87">
        <v>0</v>
      </c>
      <c r="N279" s="87">
        <v>1</v>
      </c>
      <c r="O279" s="87">
        <v>2</v>
      </c>
      <c r="P279" s="87">
        <v>3</v>
      </c>
      <c r="Q279" s="87">
        <v>4</v>
      </c>
      <c r="R279" s="87">
        <v>5</v>
      </c>
      <c r="S279" s="87">
        <v>6</v>
      </c>
      <c r="T279" s="87">
        <v>7</v>
      </c>
      <c r="U279" s="87">
        <v>8</v>
      </c>
      <c r="V279" s="87">
        <v>9</v>
      </c>
      <c r="W279" s="88">
        <f t="shared" si="236"/>
        <v>2</v>
      </c>
      <c r="X279" s="88">
        <f t="shared" si="237"/>
        <v>7</v>
      </c>
      <c r="Y279" s="88">
        <f t="shared" si="238"/>
        <v>5</v>
      </c>
      <c r="Z279" s="89">
        <f t="shared" si="212"/>
        <v>14</v>
      </c>
      <c r="AA279" s="17" t="str">
        <f>_xlfn.TEXTJOIN(", ",TRUE,ABS(MID(C279,{1,1,2},1)-MID(C279,{2,3,3},1)))</f>
        <v>2, 7, 5</v>
      </c>
      <c r="AB279" s="90">
        <v>0</v>
      </c>
      <c r="AC279" s="90">
        <v>1</v>
      </c>
      <c r="AD279" s="90">
        <v>2</v>
      </c>
      <c r="AE279" s="90">
        <v>3</v>
      </c>
      <c r="AF279" s="90">
        <v>4</v>
      </c>
      <c r="AG279" s="90">
        <v>5</v>
      </c>
      <c r="AH279" s="90">
        <v>6</v>
      </c>
      <c r="AI279" s="90">
        <v>7</v>
      </c>
      <c r="AJ279" s="90">
        <v>8</v>
      </c>
      <c r="AK279" s="90">
        <v>9</v>
      </c>
      <c r="AL279" s="91">
        <v>0</v>
      </c>
      <c r="AM279" s="91">
        <v>1</v>
      </c>
      <c r="AN279" s="91">
        <v>2</v>
      </c>
      <c r="AO279" s="91">
        <v>3</v>
      </c>
      <c r="AP279" s="91">
        <v>4</v>
      </c>
      <c r="AQ279" s="91">
        <v>5</v>
      </c>
      <c r="AR279" s="91">
        <v>6</v>
      </c>
      <c r="AS279" s="91">
        <v>7</v>
      </c>
      <c r="AT279" s="91">
        <v>8</v>
      </c>
      <c r="AU279" s="91">
        <v>9</v>
      </c>
      <c r="AV279" s="92">
        <v>0</v>
      </c>
      <c r="AW279" s="92">
        <v>1</v>
      </c>
      <c r="AX279" s="92">
        <v>2</v>
      </c>
      <c r="AY279" s="92">
        <v>3</v>
      </c>
      <c r="AZ279" s="92">
        <v>4</v>
      </c>
      <c r="BA279" s="92">
        <v>5</v>
      </c>
      <c r="BB279" s="92">
        <v>6</v>
      </c>
      <c r="BC279" s="92">
        <v>7</v>
      </c>
      <c r="BD279" s="92">
        <v>8</v>
      </c>
      <c r="BE279" s="92">
        <v>9</v>
      </c>
      <c r="BF279" s="93">
        <v>0</v>
      </c>
      <c r="BG279" s="93">
        <v>1</v>
      </c>
      <c r="BH279" s="93">
        <v>2</v>
      </c>
      <c r="BI279" s="93">
        <v>3</v>
      </c>
      <c r="BJ279" s="93">
        <v>4</v>
      </c>
      <c r="BK279" s="93">
        <v>5</v>
      </c>
      <c r="BL279" s="93">
        <v>6</v>
      </c>
      <c r="BM279" s="93">
        <v>7</v>
      </c>
      <c r="BN279" s="93">
        <v>8</v>
      </c>
      <c r="BO279" s="93">
        <v>9</v>
      </c>
      <c r="BP279" s="94" t="str">
        <f t="shared" si="213"/>
        <v>松散型</v>
      </c>
      <c r="BQ279" s="15">
        <f t="shared" si="210"/>
        <v>2</v>
      </c>
      <c r="BR279" s="15">
        <f t="shared" si="211"/>
        <v>7</v>
      </c>
      <c r="BS279" s="20" t="str">
        <f t="shared" si="215"/>
        <v/>
      </c>
      <c r="BT279" s="21" t="str">
        <f t="shared" si="216"/>
        <v/>
      </c>
      <c r="BU279" s="21" t="str">
        <f t="array" ref="BU279">_xlfn.TEXTJOIN("",TRUE,IF(ISERROR(FIND(ROW($1:$168)-1,BS279&amp;BT279)),ROW($1:$168)-1,""))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79" s="22" t="str">
        <f t="shared" si="217"/>
        <v>中中中</v>
      </c>
      <c r="BW279" s="23" t="str">
        <f t="shared" si="228"/>
        <v/>
      </c>
      <c r="BX279" s="23">
        <f t="shared" si="226"/>
        <v>7</v>
      </c>
      <c r="BY279" s="23" t="str">
        <f t="array" ref="BY279">_xlfn.TEXTJOIN("",TRUE,IF(ISERROR(FIND(ROW($1:$168)-1,BW279&amp;BX279)),ROW($1:$168)-1,""))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79" s="22" t="str">
        <f t="shared" si="218"/>
        <v>中隔中</v>
      </c>
      <c r="CA279" s="24">
        <f t="shared" si="219"/>
        <v>5</v>
      </c>
      <c r="CB279" s="24" t="str">
        <f t="shared" si="227"/>
        <v/>
      </c>
      <c r="CC279" s="24" t="str">
        <f t="array" ref="CC279">_xlfn.TEXTJOIN("",TRUE,IF(ISERROR(FIND(ROW($1:$168)-1,CA279&amp;CB279)),ROW($1:$168)-1,""))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79" s="22" t="str">
        <f t="shared" si="220"/>
        <v>复中中</v>
      </c>
      <c r="CE279" s="25" t="str">
        <f t="shared" si="214"/>
        <v>13</v>
      </c>
      <c r="CF279" s="26" t="str">
        <f t="array" ref="CF279">_xlfn.TEXTJOIN("",TRUE,IF(ISNUMBER(FIND(MID(CE278&amp;W278,ROW($1:$162),1),CE279&amp;W279)),MID(CE278&amp;W278,ROW($1:$162),1),""))</f>
        <v>21</v>
      </c>
      <c r="CG279" s="27" t="str">
        <f t="array" ref="CG279">_xlfn.TEXTJOIN("",TRUE,IF(ISERROR(FIND(ROW($1:$168)-1,CE279&amp;CF279)),ROW($1:$168)-1,""))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279" s="28" t="str">
        <f t="shared" si="221"/>
        <v>邻传孤</v>
      </c>
      <c r="CI279" s="29" t="str">
        <f t="shared" si="222"/>
        <v>68</v>
      </c>
      <c r="CJ279" s="29" t="str">
        <f t="array" ref="CJ279">_xlfn.TEXTJOIN("",TRUE,IF(ISNUMBER(FIND(MID(CI278&amp;X278,ROW($1:$162),1),CI279&amp;X279)),MID(CI278&amp;X278,ROW($1:$162),1),""))</f>
        <v/>
      </c>
      <c r="CK279" s="29" t="str">
        <f t="array" ref="CK279">_xlfn.TEXTJOIN("",TRUE,IF(ISERROR(FIND(ROW($1:$168)-1,CI279&amp;CJ279)),ROW($1:$168)-1,""))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79" s="19" t="str">
        <f t="shared" si="223"/>
        <v>邻孤孤</v>
      </c>
      <c r="CM279" s="24" t="str">
        <f t="shared" si="224"/>
        <v>46</v>
      </c>
      <c r="CN279" s="24" t="str">
        <f t="array" ref="CN279">_xlfn.TEXTJOIN("",TRUE,IF(ISNUMBER(FIND(MID(CM278&amp;Y278,ROW($1:$162),1),CM279&amp;Y279)),MID(CM278&amp;Y278,ROW($1:$162),1),""))</f>
        <v>465</v>
      </c>
      <c r="CO279" s="24" t="str">
        <f t="array" ref="CO279">_xlfn.TEXTJOIN("",TRUE,IF(ISERROR(FIND(ROW($1:$168)-1,CM279&amp;CN279)),ROW($1:$168)-1,""))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79" s="30" t="str">
        <f t="shared" si="225"/>
        <v>邻传孤</v>
      </c>
    </row>
    <row r="280" spans="1:94">
      <c r="A280" s="15">
        <v>280</v>
      </c>
      <c r="B280" s="80">
        <v>2024249</v>
      </c>
      <c r="C280" s="8" t="s">
        <v>214</v>
      </c>
      <c r="D280" s="81">
        <f t="shared" si="234"/>
        <v>17</v>
      </c>
      <c r="E280" s="82">
        <f t="shared" si="235"/>
        <v>7</v>
      </c>
      <c r="F280" s="83">
        <f t="shared" si="239"/>
        <v>3.4</v>
      </c>
      <c r="G280" s="84" t="str">
        <f t="shared" si="240"/>
        <v>标准</v>
      </c>
      <c r="H280" s="85" t="s">
        <v>10</v>
      </c>
      <c r="I280" s="85" t="s">
        <v>11</v>
      </c>
      <c r="J280" s="85" t="s">
        <v>12</v>
      </c>
      <c r="K280" s="85" t="s">
        <v>13</v>
      </c>
      <c r="L280" s="86">
        <f>MAX(MID(C280,{1,2,3},1)*1)-MIN(MID(C280,{1,2,3},1)*1)</f>
        <v>5</v>
      </c>
      <c r="M280" s="87">
        <v>0</v>
      </c>
      <c r="N280" s="87">
        <v>1</v>
      </c>
      <c r="O280" s="87">
        <v>2</v>
      </c>
      <c r="P280" s="87">
        <v>3</v>
      </c>
      <c r="Q280" s="87">
        <v>4</v>
      </c>
      <c r="R280" s="87">
        <v>5</v>
      </c>
      <c r="S280" s="87">
        <v>6</v>
      </c>
      <c r="T280" s="87">
        <v>7</v>
      </c>
      <c r="U280" s="87">
        <v>8</v>
      </c>
      <c r="V280" s="87">
        <v>9</v>
      </c>
      <c r="W280" s="88">
        <f t="shared" si="236"/>
        <v>0</v>
      </c>
      <c r="X280" s="88">
        <f t="shared" si="237"/>
        <v>5</v>
      </c>
      <c r="Y280" s="88">
        <f t="shared" si="238"/>
        <v>5</v>
      </c>
      <c r="Z280" s="89">
        <f t="shared" si="212"/>
        <v>10</v>
      </c>
      <c r="AA280" s="17" t="str">
        <f>_xlfn.TEXTJOIN(", ",TRUE,ABS(MID(C280,{1,1,2},1)-MID(C280,{2,3,3},1)))</f>
        <v>0, 5, 5</v>
      </c>
      <c r="AB280" s="90">
        <v>0</v>
      </c>
      <c r="AC280" s="90">
        <v>1</v>
      </c>
      <c r="AD280" s="90">
        <v>2</v>
      </c>
      <c r="AE280" s="90">
        <v>3</v>
      </c>
      <c r="AF280" s="90">
        <v>4</v>
      </c>
      <c r="AG280" s="90">
        <v>5</v>
      </c>
      <c r="AH280" s="90">
        <v>6</v>
      </c>
      <c r="AI280" s="90">
        <v>7</v>
      </c>
      <c r="AJ280" s="90">
        <v>8</v>
      </c>
      <c r="AK280" s="90">
        <v>9</v>
      </c>
      <c r="AL280" s="91">
        <v>0</v>
      </c>
      <c r="AM280" s="91">
        <v>1</v>
      </c>
      <c r="AN280" s="91">
        <v>2</v>
      </c>
      <c r="AO280" s="91">
        <v>3</v>
      </c>
      <c r="AP280" s="91">
        <v>4</v>
      </c>
      <c r="AQ280" s="91">
        <v>5</v>
      </c>
      <c r="AR280" s="91">
        <v>6</v>
      </c>
      <c r="AS280" s="91">
        <v>7</v>
      </c>
      <c r="AT280" s="91">
        <v>8</v>
      </c>
      <c r="AU280" s="91">
        <v>9</v>
      </c>
      <c r="AV280" s="92">
        <v>0</v>
      </c>
      <c r="AW280" s="92">
        <v>1</v>
      </c>
      <c r="AX280" s="92">
        <v>2</v>
      </c>
      <c r="AY280" s="92">
        <v>3</v>
      </c>
      <c r="AZ280" s="92">
        <v>4</v>
      </c>
      <c r="BA280" s="92">
        <v>5</v>
      </c>
      <c r="BB280" s="92">
        <v>6</v>
      </c>
      <c r="BC280" s="92">
        <v>7</v>
      </c>
      <c r="BD280" s="92">
        <v>8</v>
      </c>
      <c r="BE280" s="92">
        <v>9</v>
      </c>
      <c r="BF280" s="93">
        <v>0</v>
      </c>
      <c r="BG280" s="93">
        <v>1</v>
      </c>
      <c r="BH280" s="93">
        <v>2</v>
      </c>
      <c r="BI280" s="93">
        <v>3</v>
      </c>
      <c r="BJ280" s="93">
        <v>4</v>
      </c>
      <c r="BK280" s="93">
        <v>5</v>
      </c>
      <c r="BL280" s="93">
        <v>6</v>
      </c>
      <c r="BM280" s="93">
        <v>7</v>
      </c>
      <c r="BN280" s="93">
        <v>8</v>
      </c>
      <c r="BO280" s="93">
        <v>9</v>
      </c>
      <c r="BP280" s="94" t="str">
        <f t="shared" si="213"/>
        <v>对子</v>
      </c>
      <c r="BQ280" s="15">
        <f t="shared" si="210"/>
        <v>0</v>
      </c>
      <c r="BR280" s="15">
        <f t="shared" si="211"/>
        <v>5</v>
      </c>
      <c r="BS280" s="20" t="str">
        <f t="shared" si="215"/>
        <v/>
      </c>
      <c r="BT280" s="21" t="str">
        <f t="shared" si="216"/>
        <v/>
      </c>
      <c r="BU280" s="21" t="str">
        <f t="array" ref="BU280">_xlfn.TEXTJOIN("",TRUE,IF(ISERROR(FIND(ROW($1:$168)-1,BS280&amp;BT280)),ROW($1:$168)-1,""))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80" s="22" t="str">
        <f t="shared" si="217"/>
        <v>中中中</v>
      </c>
      <c r="BW280" s="23">
        <f t="shared" si="228"/>
        <v>5</v>
      </c>
      <c r="BX280" s="23">
        <f t="shared" si="226"/>
        <v>5</v>
      </c>
      <c r="BY280" s="23" t="str">
        <f t="array" ref="BY280">_xlfn.TEXTJOIN("",TRUE,IF(ISERROR(FIND(ROW($1:$168)-1,BW280&amp;BX280)),ROW($1:$168)-1,""))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80" s="22" t="str">
        <f t="shared" si="218"/>
        <v>复隔中</v>
      </c>
      <c r="CA280" s="24">
        <f t="shared" si="219"/>
        <v>5</v>
      </c>
      <c r="CB280" s="24">
        <f t="shared" si="227"/>
        <v>5</v>
      </c>
      <c r="CC280" s="24" t="str">
        <f t="array" ref="CC280">_xlfn.TEXTJOIN("",TRUE,IF(ISERROR(FIND(ROW($1:$168)-1,CA280&amp;CB280)),ROW($1:$168)-1,""))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80" s="22" t="str">
        <f t="shared" si="220"/>
        <v>复隔中</v>
      </c>
      <c r="CE280" s="25" t="str">
        <f t="shared" si="214"/>
        <v>91</v>
      </c>
      <c r="CF280" s="26" t="str">
        <f t="array" ref="CF280">_xlfn.TEXTJOIN("",TRUE,IF(ISNUMBER(FIND(MID(CE279&amp;W279,ROW($1:$162),1),CE280&amp;W280)),MID(CE279&amp;W279,ROW($1:$162),1),""))</f>
        <v>1</v>
      </c>
      <c r="CG280" s="27" t="str">
        <f t="array" ref="CG280">_xlfn.TEXTJOIN("",TRUE,IF(ISERROR(FIND(ROW($1:$168)-1,CE280&amp;CF280)),ROW($1:$168)-1,""))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280" s="28" t="str">
        <f t="shared" si="221"/>
        <v>邻传孤</v>
      </c>
      <c r="CI280" s="29" t="str">
        <f t="shared" si="222"/>
        <v>46</v>
      </c>
      <c r="CJ280" s="29" t="str">
        <f t="array" ref="CJ280">_xlfn.TEXTJOIN("",TRUE,IF(ISNUMBER(FIND(MID(CI279&amp;X279,ROW($1:$162),1),CI280&amp;X280)),MID(CI279&amp;X279,ROW($1:$162),1),""))</f>
        <v>6</v>
      </c>
      <c r="CK280" s="29" t="str">
        <f t="array" ref="CK280">_xlfn.TEXTJOIN("",TRUE,IF(ISERROR(FIND(ROW($1:$168)-1,CI280&amp;CJ280)),ROW($1:$168)-1,""))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80" s="19" t="str">
        <f t="shared" si="223"/>
        <v>邻传孤</v>
      </c>
      <c r="CM280" s="24" t="str">
        <f t="shared" si="224"/>
        <v>46</v>
      </c>
      <c r="CN280" s="24" t="str">
        <f t="array" ref="CN280">_xlfn.TEXTJOIN("",TRUE,IF(ISNUMBER(FIND(MID(CM279&amp;Y279,ROW($1:$162),1),CM280&amp;Y280)),MID(CM279&amp;Y279,ROW($1:$162),1),""))</f>
        <v>465</v>
      </c>
      <c r="CO280" s="24" t="str">
        <f t="array" ref="CO280">_xlfn.TEXTJOIN("",TRUE,IF(ISERROR(FIND(ROW($1:$168)-1,CM280&amp;CN280)),ROW($1:$168)-1,""))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80" s="30" t="str">
        <f t="shared" si="225"/>
        <v>邻传孤</v>
      </c>
    </row>
    <row r="281" spans="1:94">
      <c r="A281" s="15">
        <v>281</v>
      </c>
      <c r="B281" s="80">
        <v>2024250</v>
      </c>
      <c r="C281" s="8" t="s">
        <v>274</v>
      </c>
      <c r="D281" s="81">
        <f t="shared" ref="D281:D304" si="241">LEFT(C281,1)+MID(C281,2,1)+RIGHT(C281,1)</f>
        <v>10</v>
      </c>
      <c r="E281" s="82">
        <f t="shared" ref="E281:E304" si="242">MOD(LEFT(C281,1)+MID(C281,2,1)+RIGHT(C281,1),10)</f>
        <v>0</v>
      </c>
      <c r="F281" s="83">
        <f t="shared" si="239"/>
        <v>3.33333333333333</v>
      </c>
      <c r="G281" s="84" t="str">
        <f t="shared" si="240"/>
        <v>标准</v>
      </c>
      <c r="H281" s="85" t="s">
        <v>10</v>
      </c>
      <c r="I281" s="85" t="s">
        <v>11</v>
      </c>
      <c r="J281" s="85" t="s">
        <v>12</v>
      </c>
      <c r="K281" s="85" t="s">
        <v>13</v>
      </c>
      <c r="L281" s="86">
        <f>MAX(MID(C281,{1,2,3},1)*1)-MIN(MID(C281,{1,2,3},1)*1)</f>
        <v>3</v>
      </c>
      <c r="M281" s="87">
        <v>0</v>
      </c>
      <c r="N281" s="87">
        <v>1</v>
      </c>
      <c r="O281" s="87">
        <v>2</v>
      </c>
      <c r="P281" s="87">
        <v>3</v>
      </c>
      <c r="Q281" s="87">
        <v>4</v>
      </c>
      <c r="R281" s="87">
        <v>5</v>
      </c>
      <c r="S281" s="87">
        <v>6</v>
      </c>
      <c r="T281" s="87">
        <v>7</v>
      </c>
      <c r="U281" s="87">
        <v>8</v>
      </c>
      <c r="V281" s="87">
        <v>9</v>
      </c>
      <c r="W281" s="88">
        <f t="shared" ref="W281:W304" si="243">ABS(LEFT(C281,1)-MID(C281,2,1))</f>
        <v>3</v>
      </c>
      <c r="X281" s="88">
        <f t="shared" ref="X281:X304" si="244">ABS(LEFT(C281,1)-RIGHT(C281,1))</f>
        <v>1</v>
      </c>
      <c r="Y281" s="88">
        <f t="shared" ref="Y281:Y304" si="245">ABS(MID(C281,2,1)-RIGHT(C281,1))</f>
        <v>2</v>
      </c>
      <c r="Z281" s="89">
        <f t="shared" si="212"/>
        <v>6</v>
      </c>
      <c r="AA281" s="17" t="str">
        <f>_xlfn.TEXTJOIN(", ",TRUE,ABS(MID(C281,{1,1,2},1)-MID(C281,{2,3,3},1)))</f>
        <v>3, 1, 2</v>
      </c>
      <c r="AB281" s="90">
        <v>0</v>
      </c>
      <c r="AC281" s="90">
        <v>1</v>
      </c>
      <c r="AD281" s="90">
        <v>2</v>
      </c>
      <c r="AE281" s="90">
        <v>3</v>
      </c>
      <c r="AF281" s="90">
        <v>4</v>
      </c>
      <c r="AG281" s="90">
        <v>5</v>
      </c>
      <c r="AH281" s="90">
        <v>6</v>
      </c>
      <c r="AI281" s="90">
        <v>7</v>
      </c>
      <c r="AJ281" s="90">
        <v>8</v>
      </c>
      <c r="AK281" s="90">
        <v>9</v>
      </c>
      <c r="AL281" s="91">
        <v>0</v>
      </c>
      <c r="AM281" s="91">
        <v>1</v>
      </c>
      <c r="AN281" s="91">
        <v>2</v>
      </c>
      <c r="AO281" s="91">
        <v>3</v>
      </c>
      <c r="AP281" s="91">
        <v>4</v>
      </c>
      <c r="AQ281" s="91">
        <v>5</v>
      </c>
      <c r="AR281" s="91">
        <v>6</v>
      </c>
      <c r="AS281" s="91">
        <v>7</v>
      </c>
      <c r="AT281" s="91">
        <v>8</v>
      </c>
      <c r="AU281" s="91">
        <v>9</v>
      </c>
      <c r="AV281" s="92">
        <v>0</v>
      </c>
      <c r="AW281" s="92">
        <v>1</v>
      </c>
      <c r="AX281" s="92">
        <v>2</v>
      </c>
      <c r="AY281" s="92">
        <v>3</v>
      </c>
      <c r="AZ281" s="92">
        <v>4</v>
      </c>
      <c r="BA281" s="92">
        <v>5</v>
      </c>
      <c r="BB281" s="92">
        <v>6</v>
      </c>
      <c r="BC281" s="92">
        <v>7</v>
      </c>
      <c r="BD281" s="92">
        <v>8</v>
      </c>
      <c r="BE281" s="92">
        <v>9</v>
      </c>
      <c r="BF281" s="93">
        <v>0</v>
      </c>
      <c r="BG281" s="93">
        <v>1</v>
      </c>
      <c r="BH281" s="93">
        <v>2</v>
      </c>
      <c r="BI281" s="93">
        <v>3</v>
      </c>
      <c r="BJ281" s="93">
        <v>4</v>
      </c>
      <c r="BK281" s="93">
        <v>5</v>
      </c>
      <c r="BL281" s="93">
        <v>6</v>
      </c>
      <c r="BM281" s="93">
        <v>7</v>
      </c>
      <c r="BN281" s="93">
        <v>8</v>
      </c>
      <c r="BO281" s="93">
        <v>9</v>
      </c>
      <c r="BP281" s="94" t="str">
        <f t="shared" si="213"/>
        <v>紧凑型</v>
      </c>
      <c r="BQ281" s="15">
        <f t="shared" si="210"/>
        <v>1</v>
      </c>
      <c r="BR281" s="15">
        <f t="shared" si="211"/>
        <v>3</v>
      </c>
      <c r="BS281" s="20" t="str">
        <f t="shared" si="215"/>
        <v/>
      </c>
      <c r="BT281" s="21" t="str">
        <f t="shared" si="216"/>
        <v/>
      </c>
      <c r="BU281" s="21" t="str">
        <f t="array" ref="BU281">_xlfn.TEXTJOIN("",TRUE,IF(ISERROR(FIND(ROW($1:$168)-1,BS281&amp;BT281)),ROW($1:$168)-1,""))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81" s="22" t="str">
        <f t="shared" si="217"/>
        <v>中中中</v>
      </c>
      <c r="BW281" s="23" t="str">
        <f t="shared" si="228"/>
        <v/>
      </c>
      <c r="BX281" s="23" t="str">
        <f t="shared" si="226"/>
        <v/>
      </c>
      <c r="BY281" s="23" t="str">
        <f t="array" ref="BY281">_xlfn.TEXTJOIN("",TRUE,IF(ISERROR(FIND(ROW($1:$168)-1,BW281&amp;BX281)),ROW($1:$168)-1,""))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81" s="22" t="str">
        <f t="shared" si="218"/>
        <v>中中中</v>
      </c>
      <c r="CA281" s="24" t="str">
        <f t="shared" si="219"/>
        <v/>
      </c>
      <c r="CB281" s="24">
        <f t="shared" si="227"/>
        <v>2</v>
      </c>
      <c r="CC281" s="24" t="str">
        <f t="array" ref="CC281">_xlfn.TEXTJOIN("",TRUE,IF(ISERROR(FIND(ROW($1:$168)-1,CA281&amp;CB281)),ROW($1:$168)-1,""))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81" s="22" t="str">
        <f t="shared" si="220"/>
        <v>中隔中</v>
      </c>
      <c r="CE281" s="25" t="str">
        <f t="shared" si="214"/>
        <v>24</v>
      </c>
      <c r="CF281" s="26" t="str">
        <f t="array" ref="CF281">_xlfn.TEXTJOIN("",TRUE,IF(ISNUMBER(FIND(MID(CE280&amp;W280,ROW($1:$162),1),CE281&amp;W281)),MID(CE280&amp;W280,ROW($1:$162),1),""))</f>
        <v/>
      </c>
      <c r="CG281" s="27" t="str">
        <f t="array" ref="CG281">_xlfn.TEXTJOIN("",TRUE,IF(ISERROR(FIND(ROW($1:$168)-1,CE281&amp;CF281)),ROW($1:$168)-1,""))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81" s="28" t="str">
        <f t="shared" si="221"/>
        <v>邻孤孤</v>
      </c>
      <c r="CI281" s="29" t="str">
        <f t="shared" si="222"/>
        <v>02</v>
      </c>
      <c r="CJ281" s="29" t="str">
        <f t="array" ref="CJ281">_xlfn.TEXTJOIN("",TRUE,IF(ISNUMBER(FIND(MID(CI280&amp;X280,ROW($1:$162),1),CI281&amp;X281)),MID(CI280&amp;X280,ROW($1:$162),1),""))</f>
        <v/>
      </c>
      <c r="CK281" s="29" t="str">
        <f t="array" ref="CK281">_xlfn.TEXTJOIN("",TRUE,IF(ISERROR(FIND(ROW($1:$168)-1,CI281&amp;CJ281)),ROW($1:$168)-1,""))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81" s="19" t="str">
        <f t="shared" si="223"/>
        <v>邻孤孤</v>
      </c>
      <c r="CM281" s="24" t="str">
        <f t="shared" si="224"/>
        <v>13</v>
      </c>
      <c r="CN281" s="24" t="str">
        <f t="array" ref="CN281">_xlfn.TEXTJOIN("",TRUE,IF(ISNUMBER(FIND(MID(CM280&amp;Y280,ROW($1:$162),1),CM281&amp;Y281)),MID(CM280&amp;Y280,ROW($1:$162),1),""))</f>
        <v/>
      </c>
      <c r="CO281" s="24" t="str">
        <f t="array" ref="CO281">_xlfn.TEXTJOIN("",TRUE,IF(ISERROR(FIND(ROW($1:$168)-1,CM281&amp;CN281)),ROW($1:$168)-1,""))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81" s="30" t="str">
        <f t="shared" si="225"/>
        <v>邻孤孤</v>
      </c>
    </row>
    <row r="282" spans="1:94">
      <c r="A282" s="15">
        <v>282</v>
      </c>
      <c r="B282" s="80">
        <v>2024251</v>
      </c>
      <c r="C282" s="8" t="s">
        <v>275</v>
      </c>
      <c r="D282" s="81">
        <f t="shared" si="241"/>
        <v>12</v>
      </c>
      <c r="E282" s="82">
        <f t="shared" si="242"/>
        <v>2</v>
      </c>
      <c r="F282" s="83">
        <f t="shared" si="239"/>
        <v>2.4</v>
      </c>
      <c r="G282" s="84" t="str">
        <f t="shared" si="240"/>
        <v>标准</v>
      </c>
      <c r="H282" s="85" t="s">
        <v>10</v>
      </c>
      <c r="I282" s="85" t="s">
        <v>11</v>
      </c>
      <c r="J282" s="85" t="s">
        <v>12</v>
      </c>
      <c r="K282" s="85" t="s">
        <v>13</v>
      </c>
      <c r="L282" s="86">
        <f>MAX(MID(C282,{1,2,3},1)*1)-MIN(MID(C282,{1,2,3},1)*1)</f>
        <v>5</v>
      </c>
      <c r="M282" s="87">
        <v>0</v>
      </c>
      <c r="N282" s="87">
        <v>1</v>
      </c>
      <c r="O282" s="87">
        <v>2</v>
      </c>
      <c r="P282" s="87">
        <v>3</v>
      </c>
      <c r="Q282" s="87">
        <v>4</v>
      </c>
      <c r="R282" s="87">
        <v>5</v>
      </c>
      <c r="S282" s="87">
        <v>6</v>
      </c>
      <c r="T282" s="87">
        <v>7</v>
      </c>
      <c r="U282" s="87">
        <v>8</v>
      </c>
      <c r="V282" s="87">
        <v>9</v>
      </c>
      <c r="W282" s="88">
        <f t="shared" si="243"/>
        <v>4</v>
      </c>
      <c r="X282" s="88">
        <f t="shared" si="244"/>
        <v>5</v>
      </c>
      <c r="Y282" s="88">
        <f t="shared" si="245"/>
        <v>1</v>
      </c>
      <c r="Z282" s="89">
        <f t="shared" si="212"/>
        <v>10</v>
      </c>
      <c r="AA282" s="17" t="str">
        <f>_xlfn.TEXTJOIN(", ",TRUE,ABS(MID(C282,{1,1,2},1)-MID(C282,{2,3,3},1)))</f>
        <v>4, 5, 1</v>
      </c>
      <c r="AB282" s="90">
        <v>0</v>
      </c>
      <c r="AC282" s="90">
        <v>1</v>
      </c>
      <c r="AD282" s="90">
        <v>2</v>
      </c>
      <c r="AE282" s="90">
        <v>3</v>
      </c>
      <c r="AF282" s="90">
        <v>4</v>
      </c>
      <c r="AG282" s="90">
        <v>5</v>
      </c>
      <c r="AH282" s="90">
        <v>6</v>
      </c>
      <c r="AI282" s="90">
        <v>7</v>
      </c>
      <c r="AJ282" s="90">
        <v>8</v>
      </c>
      <c r="AK282" s="90">
        <v>9</v>
      </c>
      <c r="AL282" s="91">
        <v>0</v>
      </c>
      <c r="AM282" s="91">
        <v>1</v>
      </c>
      <c r="AN282" s="91">
        <v>2</v>
      </c>
      <c r="AO282" s="91">
        <v>3</v>
      </c>
      <c r="AP282" s="91">
        <v>4</v>
      </c>
      <c r="AQ282" s="91">
        <v>5</v>
      </c>
      <c r="AR282" s="91">
        <v>6</v>
      </c>
      <c r="AS282" s="91">
        <v>7</v>
      </c>
      <c r="AT282" s="91">
        <v>8</v>
      </c>
      <c r="AU282" s="91">
        <v>9</v>
      </c>
      <c r="AV282" s="92">
        <v>0</v>
      </c>
      <c r="AW282" s="92">
        <v>1</v>
      </c>
      <c r="AX282" s="92">
        <v>2</v>
      </c>
      <c r="AY282" s="92">
        <v>3</v>
      </c>
      <c r="AZ282" s="92">
        <v>4</v>
      </c>
      <c r="BA282" s="92">
        <v>5</v>
      </c>
      <c r="BB282" s="92">
        <v>6</v>
      </c>
      <c r="BC282" s="92">
        <v>7</v>
      </c>
      <c r="BD282" s="92">
        <v>8</v>
      </c>
      <c r="BE282" s="92">
        <v>9</v>
      </c>
      <c r="BF282" s="93">
        <v>0</v>
      </c>
      <c r="BG282" s="93">
        <v>1</v>
      </c>
      <c r="BH282" s="93">
        <v>2</v>
      </c>
      <c r="BI282" s="93">
        <v>3</v>
      </c>
      <c r="BJ282" s="93">
        <v>4</v>
      </c>
      <c r="BK282" s="93">
        <v>5</v>
      </c>
      <c r="BL282" s="93">
        <v>6</v>
      </c>
      <c r="BM282" s="93">
        <v>7</v>
      </c>
      <c r="BN282" s="93">
        <v>8</v>
      </c>
      <c r="BO282" s="93">
        <v>9</v>
      </c>
      <c r="BP282" s="94" t="str">
        <f t="shared" si="213"/>
        <v>标准型</v>
      </c>
      <c r="BQ282" s="15">
        <f t="shared" si="210"/>
        <v>1</v>
      </c>
      <c r="BR282" s="15">
        <f t="shared" si="211"/>
        <v>5</v>
      </c>
      <c r="BS282" s="20" t="str">
        <f t="shared" si="215"/>
        <v/>
      </c>
      <c r="BT282" s="21" t="str">
        <f t="shared" si="216"/>
        <v/>
      </c>
      <c r="BU282" s="21" t="str">
        <f t="array" ref="BU282">_xlfn.TEXTJOIN("",TRUE,IF(ISERROR(FIND(ROW($1:$168)-1,BS282&amp;BT282)),ROW($1:$168)-1,""))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82" s="22" t="str">
        <f t="shared" si="217"/>
        <v>中中中</v>
      </c>
      <c r="BW282" s="23" t="str">
        <f t="shared" si="228"/>
        <v/>
      </c>
      <c r="BX282" s="23">
        <f t="shared" si="226"/>
        <v>5</v>
      </c>
      <c r="BY282" s="23" t="str">
        <f t="array" ref="BY282">_xlfn.TEXTJOIN("",TRUE,IF(ISERROR(FIND(ROW($1:$168)-1,BW282&amp;BX282)),ROW($1:$168)-1,""))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82" s="22" t="str">
        <f t="shared" si="218"/>
        <v>中隔中</v>
      </c>
      <c r="CA282" s="24">
        <f t="shared" si="219"/>
        <v>1</v>
      </c>
      <c r="CB282" s="24" t="str">
        <f t="shared" si="227"/>
        <v/>
      </c>
      <c r="CC282" s="24" t="str">
        <f t="array" ref="CC282">_xlfn.TEXTJOIN("",TRUE,IF(ISERROR(FIND(ROW($1:$168)-1,CA282&amp;CB282)),ROW($1:$168)-1,""))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82" s="22" t="str">
        <f t="shared" si="220"/>
        <v>复中中</v>
      </c>
      <c r="CE282" s="25" t="str">
        <f t="shared" si="214"/>
        <v>35</v>
      </c>
      <c r="CF282" s="26" t="str">
        <f t="array" ref="CF282">_xlfn.TEXTJOIN("",TRUE,IF(ISNUMBER(FIND(MID(CE281&amp;W281,ROW($1:$162),1),CE282&amp;W282)),MID(CE281&amp;W281,ROW($1:$162),1),""))</f>
        <v>43</v>
      </c>
      <c r="CG282" s="27" t="str">
        <f t="array" ref="CG282">_xlfn.TEXTJOIN("",TRUE,IF(ISERROR(FIND(ROW($1:$168)-1,CE282&amp;CF282)),ROW($1:$168)-1,""))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82" s="28" t="str">
        <f t="shared" si="221"/>
        <v>邻传孤</v>
      </c>
      <c r="CI282" s="29" t="str">
        <f t="shared" si="222"/>
        <v>46</v>
      </c>
      <c r="CJ282" s="29" t="str">
        <f t="array" ref="CJ282">_xlfn.TEXTJOIN("",TRUE,IF(ISNUMBER(FIND(MID(CI281&amp;X281,ROW($1:$162),1),CI282&amp;X282)),MID(CI281&amp;X281,ROW($1:$162),1),""))</f>
        <v/>
      </c>
      <c r="CK282" s="29" t="str">
        <f t="array" ref="CK282">_xlfn.TEXTJOIN("",TRUE,IF(ISERROR(FIND(ROW($1:$168)-1,CI282&amp;CJ282)),ROW($1:$168)-1,""))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82" s="19" t="str">
        <f t="shared" si="223"/>
        <v>邻孤孤</v>
      </c>
      <c r="CM282" s="24" t="str">
        <f t="shared" si="224"/>
        <v>02</v>
      </c>
      <c r="CN282" s="24" t="str">
        <f t="array" ref="CN282">_xlfn.TEXTJOIN("",TRUE,IF(ISNUMBER(FIND(MID(CM281&amp;Y281,ROW($1:$162),1),CM282&amp;Y282)),MID(CM281&amp;Y281,ROW($1:$162),1),""))</f>
        <v>12</v>
      </c>
      <c r="CO282" s="24" t="str">
        <f t="array" ref="CO282">_xlfn.TEXTJOIN("",TRUE,IF(ISERROR(FIND(ROW($1:$168)-1,CM282&amp;CN282)),ROW($1:$168)-1,""))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82" s="30" t="str">
        <f t="shared" si="225"/>
        <v>邻传孤</v>
      </c>
    </row>
    <row r="283" spans="1:94">
      <c r="A283" s="15">
        <v>283</v>
      </c>
      <c r="B283" s="80">
        <v>2024252</v>
      </c>
      <c r="C283" s="8" t="s">
        <v>97</v>
      </c>
      <c r="D283" s="81">
        <f t="shared" si="241"/>
        <v>14</v>
      </c>
      <c r="E283" s="82">
        <f t="shared" si="242"/>
        <v>4</v>
      </c>
      <c r="F283" s="83">
        <f t="shared" si="239"/>
        <v>1.75</v>
      </c>
      <c r="G283" s="84" t="str">
        <f t="shared" si="240"/>
        <v>松散</v>
      </c>
      <c r="H283" s="85" t="s">
        <v>10</v>
      </c>
      <c r="I283" s="85" t="s">
        <v>11</v>
      </c>
      <c r="J283" s="85" t="s">
        <v>12</v>
      </c>
      <c r="K283" s="85" t="s">
        <v>13</v>
      </c>
      <c r="L283" s="86">
        <f>MAX(MID(C283,{1,2,3},1)*1)-MIN(MID(C283,{1,2,3},1)*1)</f>
        <v>8</v>
      </c>
      <c r="M283" s="87">
        <v>0</v>
      </c>
      <c r="N283" s="87">
        <v>1</v>
      </c>
      <c r="O283" s="87">
        <v>2</v>
      </c>
      <c r="P283" s="87">
        <v>3</v>
      </c>
      <c r="Q283" s="87">
        <v>4</v>
      </c>
      <c r="R283" s="87">
        <v>5</v>
      </c>
      <c r="S283" s="87">
        <v>6</v>
      </c>
      <c r="T283" s="87">
        <v>7</v>
      </c>
      <c r="U283" s="87">
        <v>8</v>
      </c>
      <c r="V283" s="87">
        <v>9</v>
      </c>
      <c r="W283" s="88">
        <f t="shared" si="243"/>
        <v>8</v>
      </c>
      <c r="X283" s="88">
        <f t="shared" si="244"/>
        <v>6</v>
      </c>
      <c r="Y283" s="88">
        <f t="shared" si="245"/>
        <v>2</v>
      </c>
      <c r="Z283" s="89">
        <f t="shared" si="212"/>
        <v>16</v>
      </c>
      <c r="AA283" s="17" t="str">
        <f>_xlfn.TEXTJOIN(", ",TRUE,ABS(MID(C283,{1,1,2},1)-MID(C283,{2,3,3},1)))</f>
        <v>8, 6, 2</v>
      </c>
      <c r="AB283" s="90">
        <v>0</v>
      </c>
      <c r="AC283" s="90">
        <v>1</v>
      </c>
      <c r="AD283" s="90">
        <v>2</v>
      </c>
      <c r="AE283" s="90">
        <v>3</v>
      </c>
      <c r="AF283" s="90">
        <v>4</v>
      </c>
      <c r="AG283" s="90">
        <v>5</v>
      </c>
      <c r="AH283" s="90">
        <v>6</v>
      </c>
      <c r="AI283" s="90">
        <v>7</v>
      </c>
      <c r="AJ283" s="90">
        <v>8</v>
      </c>
      <c r="AK283" s="90">
        <v>9</v>
      </c>
      <c r="AL283" s="91">
        <v>0</v>
      </c>
      <c r="AM283" s="91">
        <v>1</v>
      </c>
      <c r="AN283" s="91">
        <v>2</v>
      </c>
      <c r="AO283" s="91">
        <v>3</v>
      </c>
      <c r="AP283" s="91">
        <v>4</v>
      </c>
      <c r="AQ283" s="91">
        <v>5</v>
      </c>
      <c r="AR283" s="91">
        <v>6</v>
      </c>
      <c r="AS283" s="91">
        <v>7</v>
      </c>
      <c r="AT283" s="91">
        <v>8</v>
      </c>
      <c r="AU283" s="91">
        <v>9</v>
      </c>
      <c r="AV283" s="92">
        <v>0</v>
      </c>
      <c r="AW283" s="92">
        <v>1</v>
      </c>
      <c r="AX283" s="92">
        <v>2</v>
      </c>
      <c r="AY283" s="92">
        <v>3</v>
      </c>
      <c r="AZ283" s="92">
        <v>4</v>
      </c>
      <c r="BA283" s="92">
        <v>5</v>
      </c>
      <c r="BB283" s="92">
        <v>6</v>
      </c>
      <c r="BC283" s="92">
        <v>7</v>
      </c>
      <c r="BD283" s="92">
        <v>8</v>
      </c>
      <c r="BE283" s="92">
        <v>9</v>
      </c>
      <c r="BF283" s="93">
        <v>0</v>
      </c>
      <c r="BG283" s="93">
        <v>1</v>
      </c>
      <c r="BH283" s="93">
        <v>2</v>
      </c>
      <c r="BI283" s="93">
        <v>3</v>
      </c>
      <c r="BJ283" s="93">
        <v>4</v>
      </c>
      <c r="BK283" s="93">
        <v>5</v>
      </c>
      <c r="BL283" s="93">
        <v>6</v>
      </c>
      <c r="BM283" s="93">
        <v>7</v>
      </c>
      <c r="BN283" s="93">
        <v>8</v>
      </c>
      <c r="BO283" s="93">
        <v>9</v>
      </c>
      <c r="BP283" s="94" t="str">
        <f t="shared" si="213"/>
        <v>松散型</v>
      </c>
      <c r="BQ283" s="15">
        <f t="shared" si="210"/>
        <v>2</v>
      </c>
      <c r="BR283" s="15">
        <f t="shared" si="211"/>
        <v>8</v>
      </c>
      <c r="BS283" s="20" t="str">
        <f t="shared" si="215"/>
        <v/>
      </c>
      <c r="BT283" s="21" t="str">
        <f t="shared" si="216"/>
        <v/>
      </c>
      <c r="BU283" s="21" t="str">
        <f t="array" ref="BU283">_xlfn.TEXTJOIN("",TRUE,IF(ISERROR(FIND(ROW($1:$168)-1,BS283&amp;BT283)),ROW($1:$168)-1,""))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83" s="22" t="str">
        <f t="shared" si="217"/>
        <v>中中中</v>
      </c>
      <c r="BW283" s="23" t="str">
        <f t="shared" si="228"/>
        <v/>
      </c>
      <c r="BX283" s="23" t="str">
        <f t="shared" si="226"/>
        <v/>
      </c>
      <c r="BY283" s="23" t="str">
        <f t="array" ref="BY283">_xlfn.TEXTJOIN("",TRUE,IF(ISERROR(FIND(ROW($1:$168)-1,BW283&amp;BX283)),ROW($1:$168)-1,""))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83" s="22" t="str">
        <f t="shared" si="218"/>
        <v>中中中</v>
      </c>
      <c r="CA283" s="24" t="str">
        <f t="shared" si="219"/>
        <v/>
      </c>
      <c r="CB283" s="24">
        <f t="shared" si="227"/>
        <v>2</v>
      </c>
      <c r="CC283" s="24" t="str">
        <f t="array" ref="CC283">_xlfn.TEXTJOIN("",TRUE,IF(ISERROR(FIND(ROW($1:$168)-1,CA283&amp;CB283)),ROW($1:$168)-1,""))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83" s="22" t="str">
        <f t="shared" si="220"/>
        <v>中隔中</v>
      </c>
      <c r="CE283" s="25" t="str">
        <f t="shared" si="214"/>
        <v>79</v>
      </c>
      <c r="CF283" s="26" t="str">
        <f t="array" ref="CF283">_xlfn.TEXTJOIN("",TRUE,IF(ISNUMBER(FIND(MID(CE282&amp;W282,ROW($1:$162),1),CE283&amp;W283)),MID(CE282&amp;W282,ROW($1:$162),1),""))</f>
        <v/>
      </c>
      <c r="CG283" s="27" t="str">
        <f t="array" ref="CG283">_xlfn.TEXTJOIN("",TRUE,IF(ISERROR(FIND(ROW($1:$168)-1,CE283&amp;CF283)),ROW($1:$168)-1,""))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283" s="28" t="str">
        <f t="shared" si="221"/>
        <v>邻孤孤</v>
      </c>
      <c r="CI283" s="29" t="str">
        <f t="shared" si="222"/>
        <v>57</v>
      </c>
      <c r="CJ283" s="29" t="str">
        <f t="array" ref="CJ283">_xlfn.TEXTJOIN("",TRUE,IF(ISNUMBER(FIND(MID(CI282&amp;X282,ROW($1:$162),1),CI283&amp;X283)),MID(CI282&amp;X282,ROW($1:$162),1),""))</f>
        <v>65</v>
      </c>
      <c r="CK283" s="29" t="str">
        <f t="array" ref="CK283">_xlfn.TEXTJOIN("",TRUE,IF(ISERROR(FIND(ROW($1:$168)-1,CI283&amp;CJ283)),ROW($1:$168)-1,""))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83" s="19" t="str">
        <f t="shared" si="223"/>
        <v>邻传孤</v>
      </c>
      <c r="CM283" s="24" t="str">
        <f t="shared" si="224"/>
        <v>13</v>
      </c>
      <c r="CN283" s="24" t="str">
        <f t="array" ref="CN283">_xlfn.TEXTJOIN("",TRUE,IF(ISNUMBER(FIND(MID(CM282&amp;Y282,ROW($1:$162),1),CM283&amp;Y283)),MID(CM282&amp;Y282,ROW($1:$162),1),""))</f>
        <v>21</v>
      </c>
      <c r="CO283" s="24" t="str">
        <f t="array" ref="CO283">_xlfn.TEXTJOIN("",TRUE,IF(ISERROR(FIND(ROW($1:$168)-1,CM283&amp;CN283)),ROW($1:$168)-1,""))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283" s="30" t="str">
        <f t="shared" si="225"/>
        <v>邻传孤</v>
      </c>
    </row>
    <row r="284" spans="1:94">
      <c r="A284" s="15">
        <v>284</v>
      </c>
      <c r="B284" s="80">
        <v>2024253</v>
      </c>
      <c r="C284" s="8" t="s">
        <v>266</v>
      </c>
      <c r="D284" s="81">
        <f t="shared" si="241"/>
        <v>13</v>
      </c>
      <c r="E284" s="82">
        <f t="shared" si="242"/>
        <v>3</v>
      </c>
      <c r="F284" s="83">
        <f t="shared" si="239"/>
        <v>2.6</v>
      </c>
      <c r="G284" s="84" t="str">
        <f t="shared" si="240"/>
        <v>标准</v>
      </c>
      <c r="H284" s="85" t="s">
        <v>10</v>
      </c>
      <c r="I284" s="85" t="s">
        <v>11</v>
      </c>
      <c r="J284" s="85" t="s">
        <v>12</v>
      </c>
      <c r="K284" s="85" t="s">
        <v>13</v>
      </c>
      <c r="L284" s="86">
        <f>MAX(MID(C284,{1,2,3},1)*1)-MIN(MID(C284,{1,2,3},1)*1)</f>
        <v>5</v>
      </c>
      <c r="M284" s="87">
        <v>0</v>
      </c>
      <c r="N284" s="87">
        <v>1</v>
      </c>
      <c r="O284" s="87">
        <v>2</v>
      </c>
      <c r="P284" s="87">
        <v>3</v>
      </c>
      <c r="Q284" s="87">
        <v>4</v>
      </c>
      <c r="R284" s="87">
        <v>5</v>
      </c>
      <c r="S284" s="87">
        <v>6</v>
      </c>
      <c r="T284" s="87">
        <v>7</v>
      </c>
      <c r="U284" s="87">
        <v>8</v>
      </c>
      <c r="V284" s="87">
        <v>9</v>
      </c>
      <c r="W284" s="88">
        <f t="shared" si="243"/>
        <v>5</v>
      </c>
      <c r="X284" s="88">
        <f t="shared" si="244"/>
        <v>2</v>
      </c>
      <c r="Y284" s="88">
        <f t="shared" si="245"/>
        <v>3</v>
      </c>
      <c r="Z284" s="89">
        <f t="shared" si="212"/>
        <v>10</v>
      </c>
      <c r="AA284" s="17" t="str">
        <f>_xlfn.TEXTJOIN(", ",TRUE,ABS(MID(C284,{1,1,2},1)-MID(C284,{2,3,3},1)))</f>
        <v>5, 2, 3</v>
      </c>
      <c r="AB284" s="90">
        <v>0</v>
      </c>
      <c r="AC284" s="90">
        <v>1</v>
      </c>
      <c r="AD284" s="90">
        <v>2</v>
      </c>
      <c r="AE284" s="90">
        <v>3</v>
      </c>
      <c r="AF284" s="90">
        <v>4</v>
      </c>
      <c r="AG284" s="90">
        <v>5</v>
      </c>
      <c r="AH284" s="90">
        <v>6</v>
      </c>
      <c r="AI284" s="90">
        <v>7</v>
      </c>
      <c r="AJ284" s="90">
        <v>8</v>
      </c>
      <c r="AK284" s="90">
        <v>9</v>
      </c>
      <c r="AL284" s="91">
        <v>0</v>
      </c>
      <c r="AM284" s="91">
        <v>1</v>
      </c>
      <c r="AN284" s="91">
        <v>2</v>
      </c>
      <c r="AO284" s="91">
        <v>3</v>
      </c>
      <c r="AP284" s="91">
        <v>4</v>
      </c>
      <c r="AQ284" s="91">
        <v>5</v>
      </c>
      <c r="AR284" s="91">
        <v>6</v>
      </c>
      <c r="AS284" s="91">
        <v>7</v>
      </c>
      <c r="AT284" s="91">
        <v>8</v>
      </c>
      <c r="AU284" s="91">
        <v>9</v>
      </c>
      <c r="AV284" s="92">
        <v>0</v>
      </c>
      <c r="AW284" s="92">
        <v>1</v>
      </c>
      <c r="AX284" s="92">
        <v>2</v>
      </c>
      <c r="AY284" s="92">
        <v>3</v>
      </c>
      <c r="AZ284" s="92">
        <v>4</v>
      </c>
      <c r="BA284" s="92">
        <v>5</v>
      </c>
      <c r="BB284" s="92">
        <v>6</v>
      </c>
      <c r="BC284" s="92">
        <v>7</v>
      </c>
      <c r="BD284" s="92">
        <v>8</v>
      </c>
      <c r="BE284" s="92">
        <v>9</v>
      </c>
      <c r="BF284" s="93">
        <v>0</v>
      </c>
      <c r="BG284" s="93">
        <v>1</v>
      </c>
      <c r="BH284" s="93">
        <v>2</v>
      </c>
      <c r="BI284" s="93">
        <v>3</v>
      </c>
      <c r="BJ284" s="93">
        <v>4</v>
      </c>
      <c r="BK284" s="93">
        <v>5</v>
      </c>
      <c r="BL284" s="93">
        <v>6</v>
      </c>
      <c r="BM284" s="93">
        <v>7</v>
      </c>
      <c r="BN284" s="93">
        <v>8</v>
      </c>
      <c r="BO284" s="93">
        <v>9</v>
      </c>
      <c r="BP284" s="94" t="str">
        <f t="shared" si="213"/>
        <v>标准型</v>
      </c>
      <c r="BQ284" s="15">
        <f t="shared" si="210"/>
        <v>2</v>
      </c>
      <c r="BR284" s="15">
        <f t="shared" si="211"/>
        <v>5</v>
      </c>
      <c r="BS284" s="20" t="str">
        <f t="shared" si="215"/>
        <v/>
      </c>
      <c r="BT284" s="21">
        <f t="shared" si="216"/>
        <v>5</v>
      </c>
      <c r="BU284" s="21" t="str">
        <f t="array" ref="BU284">_xlfn.TEXTJOIN("",TRUE,IF(ISERROR(FIND(ROW($1:$168)-1,BS284&amp;BT284)),ROW($1:$168)-1,""))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84" s="22" t="str">
        <f t="shared" si="217"/>
        <v>中隔中</v>
      </c>
      <c r="BW284" s="23">
        <f t="shared" si="228"/>
        <v>2</v>
      </c>
      <c r="BX284" s="23" t="str">
        <f t="shared" si="226"/>
        <v/>
      </c>
      <c r="BY284" s="23" t="str">
        <f t="array" ref="BY284">_xlfn.TEXTJOIN("",TRUE,IF(ISERROR(FIND(ROW($1:$168)-1,BW284&amp;BX284)),ROW($1:$168)-1,""))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84" s="22" t="str">
        <f t="shared" si="218"/>
        <v>复中中</v>
      </c>
      <c r="CA284" s="24" t="str">
        <f t="shared" si="219"/>
        <v/>
      </c>
      <c r="CB284" s="24" t="str">
        <f t="shared" si="227"/>
        <v/>
      </c>
      <c r="CC284" s="24" t="str">
        <f t="array" ref="CC284">_xlfn.TEXTJOIN("",TRUE,IF(ISERROR(FIND(ROW($1:$168)-1,CA284&amp;CB284)),ROW($1:$168)-1,""))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84" s="22" t="str">
        <f t="shared" si="220"/>
        <v>中中中</v>
      </c>
      <c r="CE284" s="25" t="str">
        <f t="shared" si="214"/>
        <v>46</v>
      </c>
      <c r="CF284" s="26" t="str">
        <f t="array" ref="CF284">_xlfn.TEXTJOIN("",TRUE,IF(ISNUMBER(FIND(MID(CE283&amp;W283,ROW($1:$162),1),CE284&amp;W284)),MID(CE283&amp;W283,ROW($1:$162),1),""))</f>
        <v/>
      </c>
      <c r="CG284" s="27" t="str">
        <f t="array" ref="CG284">_xlfn.TEXTJOIN("",TRUE,IF(ISERROR(FIND(ROW($1:$168)-1,CE284&amp;CF284)),ROW($1:$168)-1,""))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84" s="28" t="str">
        <f t="shared" si="221"/>
        <v>邻孤孤</v>
      </c>
      <c r="CI284" s="29" t="str">
        <f t="shared" si="222"/>
        <v>13</v>
      </c>
      <c r="CJ284" s="29" t="str">
        <f t="array" ref="CJ284">_xlfn.TEXTJOIN("",TRUE,IF(ISNUMBER(FIND(MID(CI283&amp;X283,ROW($1:$162),1),CI284&amp;X284)),MID(CI283&amp;X283,ROW($1:$162),1),""))</f>
        <v/>
      </c>
      <c r="CK284" s="29" t="str">
        <f t="array" ref="CK284">_xlfn.TEXTJOIN("",TRUE,IF(ISERROR(FIND(ROW($1:$168)-1,CI284&amp;CJ284)),ROW($1:$168)-1,""))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84" s="19" t="str">
        <f t="shared" si="223"/>
        <v>邻孤孤</v>
      </c>
      <c r="CM284" s="24" t="str">
        <f t="shared" si="224"/>
        <v>24</v>
      </c>
      <c r="CN284" s="24" t="str">
        <f t="array" ref="CN284">_xlfn.TEXTJOIN("",TRUE,IF(ISNUMBER(FIND(MID(CM283&amp;Y283,ROW($1:$162),1),CM284&amp;Y284)),MID(CM283&amp;Y283,ROW($1:$162),1),""))</f>
        <v>32</v>
      </c>
      <c r="CO284" s="24" t="str">
        <f t="array" ref="CO284">_xlfn.TEXTJOIN("",TRUE,IF(ISERROR(FIND(ROW($1:$168)-1,CM284&amp;CN284)),ROW($1:$168)-1,""))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84" s="30" t="str">
        <f t="shared" si="225"/>
        <v>邻传孤</v>
      </c>
    </row>
    <row r="285" spans="1:94">
      <c r="A285" s="15">
        <v>285</v>
      </c>
      <c r="B285" s="80">
        <v>2024254</v>
      </c>
      <c r="C285" s="8" t="s">
        <v>276</v>
      </c>
      <c r="D285" s="81">
        <f t="shared" si="241"/>
        <v>13</v>
      </c>
      <c r="E285" s="82">
        <f t="shared" si="242"/>
        <v>3</v>
      </c>
      <c r="F285" s="83">
        <f t="shared" si="239"/>
        <v>1.44444444444444</v>
      </c>
      <c r="G285" s="84" t="str">
        <f t="shared" si="240"/>
        <v>松散</v>
      </c>
      <c r="H285" s="85" t="s">
        <v>10</v>
      </c>
      <c r="I285" s="85" t="s">
        <v>11</v>
      </c>
      <c r="J285" s="85" t="s">
        <v>12</v>
      </c>
      <c r="K285" s="85" t="s">
        <v>13</v>
      </c>
      <c r="L285" s="86">
        <f>MAX(MID(C285,{1,2,3},1)*1)-MIN(MID(C285,{1,2,3},1)*1)</f>
        <v>9</v>
      </c>
      <c r="M285" s="87">
        <v>0</v>
      </c>
      <c r="N285" s="87">
        <v>1</v>
      </c>
      <c r="O285" s="87">
        <v>2</v>
      </c>
      <c r="P285" s="87">
        <v>3</v>
      </c>
      <c r="Q285" s="87">
        <v>4</v>
      </c>
      <c r="R285" s="87">
        <v>5</v>
      </c>
      <c r="S285" s="87">
        <v>6</v>
      </c>
      <c r="T285" s="87">
        <v>7</v>
      </c>
      <c r="U285" s="87">
        <v>8</v>
      </c>
      <c r="V285" s="87">
        <v>9</v>
      </c>
      <c r="W285" s="88">
        <f t="shared" si="243"/>
        <v>4</v>
      </c>
      <c r="X285" s="88">
        <f t="shared" si="244"/>
        <v>5</v>
      </c>
      <c r="Y285" s="88">
        <f t="shared" si="245"/>
        <v>9</v>
      </c>
      <c r="Z285" s="89">
        <f t="shared" si="212"/>
        <v>18</v>
      </c>
      <c r="AA285" s="17" t="str">
        <f>_xlfn.TEXTJOIN(", ",TRUE,ABS(MID(C285,{1,1,2},1)-MID(C285,{2,3,3},1)))</f>
        <v>4, 5, 9</v>
      </c>
      <c r="AB285" s="90">
        <v>0</v>
      </c>
      <c r="AC285" s="90">
        <v>1</v>
      </c>
      <c r="AD285" s="90">
        <v>2</v>
      </c>
      <c r="AE285" s="90">
        <v>3</v>
      </c>
      <c r="AF285" s="90">
        <v>4</v>
      </c>
      <c r="AG285" s="90">
        <v>5</v>
      </c>
      <c r="AH285" s="90">
        <v>6</v>
      </c>
      <c r="AI285" s="90">
        <v>7</v>
      </c>
      <c r="AJ285" s="90">
        <v>8</v>
      </c>
      <c r="AK285" s="90">
        <v>9</v>
      </c>
      <c r="AL285" s="91">
        <v>0</v>
      </c>
      <c r="AM285" s="91">
        <v>1</v>
      </c>
      <c r="AN285" s="91">
        <v>2</v>
      </c>
      <c r="AO285" s="91">
        <v>3</v>
      </c>
      <c r="AP285" s="91">
        <v>4</v>
      </c>
      <c r="AQ285" s="91">
        <v>5</v>
      </c>
      <c r="AR285" s="91">
        <v>6</v>
      </c>
      <c r="AS285" s="91">
        <v>7</v>
      </c>
      <c r="AT285" s="91">
        <v>8</v>
      </c>
      <c r="AU285" s="91">
        <v>9</v>
      </c>
      <c r="AV285" s="92">
        <v>0</v>
      </c>
      <c r="AW285" s="92">
        <v>1</v>
      </c>
      <c r="AX285" s="92">
        <v>2</v>
      </c>
      <c r="AY285" s="92">
        <v>3</v>
      </c>
      <c r="AZ285" s="92">
        <v>4</v>
      </c>
      <c r="BA285" s="92">
        <v>5</v>
      </c>
      <c r="BB285" s="92">
        <v>6</v>
      </c>
      <c r="BC285" s="92">
        <v>7</v>
      </c>
      <c r="BD285" s="92">
        <v>8</v>
      </c>
      <c r="BE285" s="92">
        <v>9</v>
      </c>
      <c r="BF285" s="93">
        <v>0</v>
      </c>
      <c r="BG285" s="93">
        <v>1</v>
      </c>
      <c r="BH285" s="93">
        <v>2</v>
      </c>
      <c r="BI285" s="93">
        <v>3</v>
      </c>
      <c r="BJ285" s="93">
        <v>4</v>
      </c>
      <c r="BK285" s="93">
        <v>5</v>
      </c>
      <c r="BL285" s="93">
        <v>6</v>
      </c>
      <c r="BM285" s="93">
        <v>7</v>
      </c>
      <c r="BN285" s="93">
        <v>8</v>
      </c>
      <c r="BO285" s="93">
        <v>9</v>
      </c>
      <c r="BP285" s="94" t="str">
        <f t="shared" si="213"/>
        <v>松散型</v>
      </c>
      <c r="BQ285" s="15">
        <f t="shared" si="210"/>
        <v>4</v>
      </c>
      <c r="BR285" s="15">
        <f t="shared" si="211"/>
        <v>9</v>
      </c>
      <c r="BS285" s="20" t="str">
        <f t="shared" si="215"/>
        <v/>
      </c>
      <c r="BT285" s="21" t="str">
        <f t="shared" si="216"/>
        <v/>
      </c>
      <c r="BU285" s="21" t="str">
        <f t="array" ref="BU285">_xlfn.TEXTJOIN("",TRUE,IF(ISERROR(FIND(ROW($1:$168)-1,BS285&amp;BT285)),ROW($1:$168)-1,""))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85" s="22" t="str">
        <f t="shared" si="217"/>
        <v>中中中</v>
      </c>
      <c r="BW285" s="23">
        <f t="shared" si="228"/>
        <v>5</v>
      </c>
      <c r="BX285" s="23" t="str">
        <f t="shared" si="226"/>
        <v/>
      </c>
      <c r="BY285" s="23" t="str">
        <f t="array" ref="BY285">_xlfn.TEXTJOIN("",TRUE,IF(ISERROR(FIND(ROW($1:$168)-1,BW285&amp;BX285)),ROW($1:$168)-1,""))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85" s="22" t="str">
        <f t="shared" si="218"/>
        <v>复中中</v>
      </c>
      <c r="CA285" s="24" t="str">
        <f t="shared" si="219"/>
        <v/>
      </c>
      <c r="CB285" s="24" t="str">
        <f t="shared" si="227"/>
        <v/>
      </c>
      <c r="CC285" s="24" t="str">
        <f t="array" ref="CC285">_xlfn.TEXTJOIN("",TRUE,IF(ISERROR(FIND(ROW($1:$168)-1,CA285&amp;CB285)),ROW($1:$168)-1,""))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85" s="22" t="str">
        <f t="shared" si="220"/>
        <v>中中中</v>
      </c>
      <c r="CE285" s="25" t="str">
        <f t="shared" si="214"/>
        <v>35</v>
      </c>
      <c r="CF285" s="26" t="str">
        <f t="array" ref="CF285">_xlfn.TEXTJOIN("",TRUE,IF(ISNUMBER(FIND(MID(CE284&amp;W284,ROW($1:$162),1),CE285&amp;W285)),MID(CE284&amp;W284,ROW($1:$162),1),""))</f>
        <v>45</v>
      </c>
      <c r="CG285" s="27" t="str">
        <f t="array" ref="CG285">_xlfn.TEXTJOIN("",TRUE,IF(ISERROR(FIND(ROW($1:$168)-1,CE285&amp;CF285)),ROW($1:$168)-1,""))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85" s="28" t="str">
        <f t="shared" si="221"/>
        <v>邻传孤</v>
      </c>
      <c r="CI285" s="29" t="str">
        <f t="shared" si="222"/>
        <v>46</v>
      </c>
      <c r="CJ285" s="29" t="str">
        <f t="array" ref="CJ285">_xlfn.TEXTJOIN("",TRUE,IF(ISNUMBER(FIND(MID(CI284&amp;X284,ROW($1:$162),1),CI285&amp;X285)),MID(CI284&amp;X284,ROW($1:$162),1),""))</f>
        <v/>
      </c>
      <c r="CK285" s="29" t="str">
        <f t="array" ref="CK285">_xlfn.TEXTJOIN("",TRUE,IF(ISERROR(FIND(ROW($1:$168)-1,CI285&amp;CJ285)),ROW($1:$168)-1,""))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85" s="19" t="str">
        <f t="shared" si="223"/>
        <v>邻孤孤</v>
      </c>
      <c r="CM285" s="24" t="str">
        <f t="shared" si="224"/>
        <v>80</v>
      </c>
      <c r="CN285" s="24" t="str">
        <f t="array" ref="CN285">_xlfn.TEXTJOIN("",TRUE,IF(ISNUMBER(FIND(MID(CM284&amp;Y284,ROW($1:$162),1),CM285&amp;Y285)),MID(CM284&amp;Y284,ROW($1:$162),1),""))</f>
        <v/>
      </c>
      <c r="CO285" s="24" t="str">
        <f t="array" ref="CO285">_xlfn.TEXTJOIN("",TRUE,IF(ISERROR(FIND(ROW($1:$168)-1,CM285&amp;CN285)),ROW($1:$168)-1,""))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285" s="30" t="str">
        <f t="shared" si="225"/>
        <v>邻孤孤</v>
      </c>
    </row>
    <row r="286" spans="1:94">
      <c r="A286" s="15">
        <v>286</v>
      </c>
      <c r="B286" s="80">
        <v>2024255</v>
      </c>
      <c r="C286" s="8" t="s">
        <v>277</v>
      </c>
      <c r="D286" s="81">
        <f t="shared" si="241"/>
        <v>15</v>
      </c>
      <c r="E286" s="82">
        <f t="shared" si="242"/>
        <v>5</v>
      </c>
      <c r="F286" s="83">
        <f t="shared" si="239"/>
        <v>1.66666666666667</v>
      </c>
      <c r="G286" s="84" t="str">
        <f t="shared" si="240"/>
        <v>松散</v>
      </c>
      <c r="H286" s="85" t="s">
        <v>10</v>
      </c>
      <c r="I286" s="85" t="s">
        <v>11</v>
      </c>
      <c r="J286" s="85" t="s">
        <v>12</v>
      </c>
      <c r="K286" s="85" t="s">
        <v>13</v>
      </c>
      <c r="L286" s="86">
        <f>MAX(MID(C286,{1,2,3},1)*1)-MIN(MID(C286,{1,2,3},1)*1)</f>
        <v>9</v>
      </c>
      <c r="M286" s="87">
        <v>0</v>
      </c>
      <c r="N286" s="87">
        <v>1</v>
      </c>
      <c r="O286" s="87">
        <v>2</v>
      </c>
      <c r="P286" s="87">
        <v>3</v>
      </c>
      <c r="Q286" s="87">
        <v>4</v>
      </c>
      <c r="R286" s="87">
        <v>5</v>
      </c>
      <c r="S286" s="87">
        <v>6</v>
      </c>
      <c r="T286" s="87">
        <v>7</v>
      </c>
      <c r="U286" s="87">
        <v>8</v>
      </c>
      <c r="V286" s="87">
        <v>9</v>
      </c>
      <c r="W286" s="88">
        <f t="shared" si="243"/>
        <v>9</v>
      </c>
      <c r="X286" s="88">
        <f t="shared" si="244"/>
        <v>6</v>
      </c>
      <c r="Y286" s="88">
        <f t="shared" si="245"/>
        <v>3</v>
      </c>
      <c r="Z286" s="89">
        <f t="shared" si="212"/>
        <v>18</v>
      </c>
      <c r="AA286" s="17" t="str">
        <f>_xlfn.TEXTJOIN(", ",TRUE,ABS(MID(C286,{1,1,2},1)-MID(C286,{2,3,3},1)))</f>
        <v>9, 6, 3</v>
      </c>
      <c r="AB286" s="90">
        <v>0</v>
      </c>
      <c r="AC286" s="90">
        <v>1</v>
      </c>
      <c r="AD286" s="90">
        <v>2</v>
      </c>
      <c r="AE286" s="90">
        <v>3</v>
      </c>
      <c r="AF286" s="90">
        <v>4</v>
      </c>
      <c r="AG286" s="90">
        <v>5</v>
      </c>
      <c r="AH286" s="90">
        <v>6</v>
      </c>
      <c r="AI286" s="90">
        <v>7</v>
      </c>
      <c r="AJ286" s="90">
        <v>8</v>
      </c>
      <c r="AK286" s="90">
        <v>9</v>
      </c>
      <c r="AL286" s="91">
        <v>0</v>
      </c>
      <c r="AM286" s="91">
        <v>1</v>
      </c>
      <c r="AN286" s="91">
        <v>2</v>
      </c>
      <c r="AO286" s="91">
        <v>3</v>
      </c>
      <c r="AP286" s="91">
        <v>4</v>
      </c>
      <c r="AQ286" s="91">
        <v>5</v>
      </c>
      <c r="AR286" s="91">
        <v>6</v>
      </c>
      <c r="AS286" s="91">
        <v>7</v>
      </c>
      <c r="AT286" s="91">
        <v>8</v>
      </c>
      <c r="AU286" s="91">
        <v>9</v>
      </c>
      <c r="AV286" s="92">
        <v>0</v>
      </c>
      <c r="AW286" s="92">
        <v>1</v>
      </c>
      <c r="AX286" s="92">
        <v>2</v>
      </c>
      <c r="AY286" s="92">
        <v>3</v>
      </c>
      <c r="AZ286" s="92">
        <v>4</v>
      </c>
      <c r="BA286" s="92">
        <v>5</v>
      </c>
      <c r="BB286" s="92">
        <v>6</v>
      </c>
      <c r="BC286" s="92">
        <v>7</v>
      </c>
      <c r="BD286" s="92">
        <v>8</v>
      </c>
      <c r="BE286" s="92">
        <v>9</v>
      </c>
      <c r="BF286" s="93">
        <v>0</v>
      </c>
      <c r="BG286" s="93">
        <v>1</v>
      </c>
      <c r="BH286" s="93">
        <v>2</v>
      </c>
      <c r="BI286" s="93">
        <v>3</v>
      </c>
      <c r="BJ286" s="93">
        <v>4</v>
      </c>
      <c r="BK286" s="93">
        <v>5</v>
      </c>
      <c r="BL286" s="93">
        <v>6</v>
      </c>
      <c r="BM286" s="93">
        <v>7</v>
      </c>
      <c r="BN286" s="93">
        <v>8</v>
      </c>
      <c r="BO286" s="93">
        <v>9</v>
      </c>
      <c r="BP286" s="94" t="str">
        <f t="shared" si="213"/>
        <v>松散型</v>
      </c>
      <c r="BQ286" s="15">
        <f t="shared" si="210"/>
        <v>3</v>
      </c>
      <c r="BR286" s="15">
        <f t="shared" si="211"/>
        <v>9</v>
      </c>
      <c r="BS286" s="20">
        <f t="shared" si="215"/>
        <v>9</v>
      </c>
      <c r="BT286" s="21" t="str">
        <f t="shared" si="216"/>
        <v/>
      </c>
      <c r="BU286" s="21" t="str">
        <f t="array" ref="BU286">_xlfn.TEXTJOIN("",TRUE,IF(ISERROR(FIND(ROW($1:$168)-1,BS286&amp;BT286)),ROW($1:$168)-1,""))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86" s="22" t="str">
        <f t="shared" si="217"/>
        <v>复中中</v>
      </c>
      <c r="BW286" s="23" t="str">
        <f t="shared" si="228"/>
        <v/>
      </c>
      <c r="BX286" s="23" t="str">
        <f t="shared" si="226"/>
        <v/>
      </c>
      <c r="BY286" s="23" t="str">
        <f t="array" ref="BY286">_xlfn.TEXTJOIN("",TRUE,IF(ISERROR(FIND(ROW($1:$168)-1,BW286&amp;BX286)),ROW($1:$168)-1,""))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86" s="22" t="str">
        <f t="shared" si="218"/>
        <v>中中中</v>
      </c>
      <c r="CA286" s="24" t="str">
        <f t="shared" si="219"/>
        <v/>
      </c>
      <c r="CB286" s="24">
        <f t="shared" si="227"/>
        <v>3</v>
      </c>
      <c r="CC286" s="24" t="str">
        <f t="array" ref="CC286">_xlfn.TEXTJOIN("",TRUE,IF(ISERROR(FIND(ROW($1:$168)-1,CA286&amp;CB286)),ROW($1:$168)-1,""))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86" s="22" t="str">
        <f t="shared" si="220"/>
        <v>中隔中</v>
      </c>
      <c r="CE286" s="25" t="str">
        <f t="shared" si="214"/>
        <v>80</v>
      </c>
      <c r="CF286" s="26" t="str">
        <f t="array" ref="CF286">_xlfn.TEXTJOIN("",TRUE,IF(ISNUMBER(FIND(MID(CE285&amp;W285,ROW($1:$162),1),CE286&amp;W286)),MID(CE285&amp;W285,ROW($1:$162),1),""))</f>
        <v/>
      </c>
      <c r="CG286" s="27" t="str">
        <f t="array" ref="CG286">_xlfn.TEXTJOIN("",TRUE,IF(ISERROR(FIND(ROW($1:$168)-1,CE286&amp;CF286)),ROW($1:$168)-1,""))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H286" s="28" t="str">
        <f t="shared" si="221"/>
        <v>邻孤孤</v>
      </c>
      <c r="CI286" s="29" t="str">
        <f t="shared" si="222"/>
        <v>57</v>
      </c>
      <c r="CJ286" s="29" t="str">
        <f t="array" ref="CJ286">_xlfn.TEXTJOIN("",TRUE,IF(ISNUMBER(FIND(MID(CI285&amp;X285,ROW($1:$162),1),CI286&amp;X286)),MID(CI285&amp;X285,ROW($1:$162),1),""))</f>
        <v>65</v>
      </c>
      <c r="CK286" s="29" t="str">
        <f t="array" ref="CK286">_xlfn.TEXTJOIN("",TRUE,IF(ISERROR(FIND(ROW($1:$168)-1,CI286&amp;CJ286)),ROW($1:$168)-1,""))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86" s="19" t="str">
        <f t="shared" si="223"/>
        <v>邻传孤</v>
      </c>
      <c r="CM286" s="24" t="str">
        <f t="shared" si="224"/>
        <v>24</v>
      </c>
      <c r="CN286" s="24" t="str">
        <f t="array" ref="CN286">_xlfn.TEXTJOIN("",TRUE,IF(ISNUMBER(FIND(MID(CM285&amp;Y285,ROW($1:$162),1),CM286&amp;Y286)),MID(CM285&amp;Y285,ROW($1:$162),1),""))</f>
        <v/>
      </c>
      <c r="CO286" s="24" t="str">
        <f t="array" ref="CO286">_xlfn.TEXTJOIN("",TRUE,IF(ISERROR(FIND(ROW($1:$168)-1,CM286&amp;CN286)),ROW($1:$168)-1,""))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86" s="30" t="str">
        <f t="shared" si="225"/>
        <v>邻孤孤</v>
      </c>
    </row>
    <row r="287" spans="1:94">
      <c r="A287" s="15">
        <v>287</v>
      </c>
      <c r="B287" s="80">
        <v>2024256</v>
      </c>
      <c r="C287" s="8" t="s">
        <v>81</v>
      </c>
      <c r="D287" s="81">
        <f t="shared" si="241"/>
        <v>20</v>
      </c>
      <c r="E287" s="82">
        <f t="shared" si="242"/>
        <v>0</v>
      </c>
      <c r="F287" s="83">
        <f t="shared" si="239"/>
        <v>4</v>
      </c>
      <c r="G287" s="84" t="str">
        <f t="shared" si="240"/>
        <v>紧凑</v>
      </c>
      <c r="H287" s="85" t="s">
        <v>10</v>
      </c>
      <c r="I287" s="85" t="s">
        <v>11</v>
      </c>
      <c r="J287" s="85" t="s">
        <v>12</v>
      </c>
      <c r="K287" s="85" t="s">
        <v>13</v>
      </c>
      <c r="L287" s="86">
        <f>MAX(MID(C287,{1,2,3},1)*1)-MIN(MID(C287,{1,2,3},1)*1)</f>
        <v>5</v>
      </c>
      <c r="M287" s="87">
        <v>0</v>
      </c>
      <c r="N287" s="87">
        <v>1</v>
      </c>
      <c r="O287" s="87">
        <v>2</v>
      </c>
      <c r="P287" s="87">
        <v>3</v>
      </c>
      <c r="Q287" s="87">
        <v>4</v>
      </c>
      <c r="R287" s="87">
        <v>5</v>
      </c>
      <c r="S287" s="87">
        <v>6</v>
      </c>
      <c r="T287" s="87">
        <v>7</v>
      </c>
      <c r="U287" s="87">
        <v>8</v>
      </c>
      <c r="V287" s="87">
        <v>9</v>
      </c>
      <c r="W287" s="88">
        <f t="shared" si="243"/>
        <v>3</v>
      </c>
      <c r="X287" s="88">
        <f t="shared" si="244"/>
        <v>2</v>
      </c>
      <c r="Y287" s="88">
        <f t="shared" si="245"/>
        <v>5</v>
      </c>
      <c r="Z287" s="89">
        <f t="shared" si="212"/>
        <v>10</v>
      </c>
      <c r="AA287" s="17" t="str">
        <f>_xlfn.TEXTJOIN(", ",TRUE,ABS(MID(C287,{1,1,2},1)-MID(C287,{2,3,3},1)))</f>
        <v>3, 2, 5</v>
      </c>
      <c r="AB287" s="90">
        <v>0</v>
      </c>
      <c r="AC287" s="90">
        <v>1</v>
      </c>
      <c r="AD287" s="90">
        <v>2</v>
      </c>
      <c r="AE287" s="90">
        <v>3</v>
      </c>
      <c r="AF287" s="90">
        <v>4</v>
      </c>
      <c r="AG287" s="90">
        <v>5</v>
      </c>
      <c r="AH287" s="90">
        <v>6</v>
      </c>
      <c r="AI287" s="90">
        <v>7</v>
      </c>
      <c r="AJ287" s="90">
        <v>8</v>
      </c>
      <c r="AK287" s="90">
        <v>9</v>
      </c>
      <c r="AL287" s="91">
        <v>0</v>
      </c>
      <c r="AM287" s="91">
        <v>1</v>
      </c>
      <c r="AN287" s="91">
        <v>2</v>
      </c>
      <c r="AO287" s="91">
        <v>3</v>
      </c>
      <c r="AP287" s="91">
        <v>4</v>
      </c>
      <c r="AQ287" s="91">
        <v>5</v>
      </c>
      <c r="AR287" s="91">
        <v>6</v>
      </c>
      <c r="AS287" s="91">
        <v>7</v>
      </c>
      <c r="AT287" s="91">
        <v>8</v>
      </c>
      <c r="AU287" s="91">
        <v>9</v>
      </c>
      <c r="AV287" s="92">
        <v>0</v>
      </c>
      <c r="AW287" s="92">
        <v>1</v>
      </c>
      <c r="AX287" s="92">
        <v>2</v>
      </c>
      <c r="AY287" s="92">
        <v>3</v>
      </c>
      <c r="AZ287" s="92">
        <v>4</v>
      </c>
      <c r="BA287" s="92">
        <v>5</v>
      </c>
      <c r="BB287" s="92">
        <v>6</v>
      </c>
      <c r="BC287" s="92">
        <v>7</v>
      </c>
      <c r="BD287" s="92">
        <v>8</v>
      </c>
      <c r="BE287" s="92">
        <v>9</v>
      </c>
      <c r="BF287" s="93">
        <v>0</v>
      </c>
      <c r="BG287" s="93">
        <v>1</v>
      </c>
      <c r="BH287" s="93">
        <v>2</v>
      </c>
      <c r="BI287" s="93">
        <v>3</v>
      </c>
      <c r="BJ287" s="93">
        <v>4</v>
      </c>
      <c r="BK287" s="93">
        <v>5</v>
      </c>
      <c r="BL287" s="93">
        <v>6</v>
      </c>
      <c r="BM287" s="93">
        <v>7</v>
      </c>
      <c r="BN287" s="93">
        <v>8</v>
      </c>
      <c r="BO287" s="93">
        <v>9</v>
      </c>
      <c r="BP287" s="94" t="str">
        <f t="shared" si="213"/>
        <v>标准型</v>
      </c>
      <c r="BQ287" s="15">
        <f t="shared" si="210"/>
        <v>2</v>
      </c>
      <c r="BR287" s="15">
        <f t="shared" si="211"/>
        <v>5</v>
      </c>
      <c r="BS287" s="20">
        <f t="shared" si="215"/>
        <v>3</v>
      </c>
      <c r="BT287" s="21" t="str">
        <f t="shared" si="216"/>
        <v/>
      </c>
      <c r="BU287" s="21" t="str">
        <f t="array" ref="BU287">_xlfn.TEXTJOIN("",TRUE,IF(ISERROR(FIND(ROW($1:$168)-1,BS287&amp;BT287)),ROW($1:$168)-1,""))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87" s="22" t="str">
        <f t="shared" si="217"/>
        <v>复中中</v>
      </c>
      <c r="BW287" s="23" t="str">
        <f t="shared" si="228"/>
        <v/>
      </c>
      <c r="BX287" s="23" t="str">
        <f t="shared" si="226"/>
        <v/>
      </c>
      <c r="BY287" s="23" t="str">
        <f t="array" ref="BY287">_xlfn.TEXTJOIN("",TRUE,IF(ISERROR(FIND(ROW($1:$168)-1,BW287&amp;BX287)),ROW($1:$168)-1,""))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87" s="22" t="str">
        <f t="shared" si="218"/>
        <v>中中中</v>
      </c>
      <c r="CA287" s="24" t="str">
        <f t="shared" si="219"/>
        <v/>
      </c>
      <c r="CB287" s="24">
        <f t="shared" si="227"/>
        <v>5</v>
      </c>
      <c r="CC287" s="24" t="str">
        <f t="array" ref="CC287">_xlfn.TEXTJOIN("",TRUE,IF(ISERROR(FIND(ROW($1:$168)-1,CA287&amp;CB287)),ROW($1:$168)-1,""))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87" s="22" t="str">
        <f t="shared" si="220"/>
        <v>中隔中</v>
      </c>
      <c r="CE287" s="25" t="str">
        <f t="shared" si="214"/>
        <v>24</v>
      </c>
      <c r="CF287" s="26" t="str">
        <f t="array" ref="CF287">_xlfn.TEXTJOIN("",TRUE,IF(ISNUMBER(FIND(MID(CE286&amp;W286,ROW($1:$162),1),CE287&amp;W287)),MID(CE286&amp;W286,ROW($1:$162),1),""))</f>
        <v/>
      </c>
      <c r="CG287" s="27" t="str">
        <f t="array" ref="CG287">_xlfn.TEXTJOIN("",TRUE,IF(ISERROR(FIND(ROW($1:$168)-1,CE287&amp;CF287)),ROW($1:$168)-1,""))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87" s="28" t="str">
        <f t="shared" si="221"/>
        <v>邻孤孤</v>
      </c>
      <c r="CI287" s="29" t="str">
        <f t="shared" si="222"/>
        <v>13</v>
      </c>
      <c r="CJ287" s="29" t="str">
        <f t="array" ref="CJ287">_xlfn.TEXTJOIN("",TRUE,IF(ISNUMBER(FIND(MID(CI286&amp;X286,ROW($1:$162),1),CI287&amp;X287)),MID(CI286&amp;X286,ROW($1:$162),1),""))</f>
        <v/>
      </c>
      <c r="CK287" s="29" t="str">
        <f t="array" ref="CK287">_xlfn.TEXTJOIN("",TRUE,IF(ISERROR(FIND(ROW($1:$168)-1,CI287&amp;CJ287)),ROW($1:$168)-1,""))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87" s="19" t="str">
        <f t="shared" si="223"/>
        <v>邻孤孤</v>
      </c>
      <c r="CM287" s="24" t="str">
        <f t="shared" si="224"/>
        <v>46</v>
      </c>
      <c r="CN287" s="24" t="str">
        <f t="array" ref="CN287">_xlfn.TEXTJOIN("",TRUE,IF(ISNUMBER(FIND(MID(CM286&amp;Y286,ROW($1:$162),1),CM287&amp;Y287)),MID(CM286&amp;Y286,ROW($1:$162),1),""))</f>
        <v>4</v>
      </c>
      <c r="CO287" s="24" t="str">
        <f t="array" ref="CO287">_xlfn.TEXTJOIN("",TRUE,IF(ISERROR(FIND(ROW($1:$168)-1,CM287&amp;CN287)),ROW($1:$168)-1,""))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87" s="30" t="str">
        <f t="shared" si="225"/>
        <v>邻传孤</v>
      </c>
    </row>
    <row r="288" spans="1:94">
      <c r="A288" s="15">
        <v>288</v>
      </c>
      <c r="B288" s="80">
        <v>2024257</v>
      </c>
      <c r="C288" s="8" t="s">
        <v>278</v>
      </c>
      <c r="D288" s="81">
        <f t="shared" si="241"/>
        <v>19</v>
      </c>
      <c r="E288" s="82">
        <f t="shared" si="242"/>
        <v>9</v>
      </c>
      <c r="F288" s="83">
        <f t="shared" si="239"/>
        <v>2.375</v>
      </c>
      <c r="G288" s="84" t="str">
        <f t="shared" si="240"/>
        <v>标准</v>
      </c>
      <c r="H288" s="85" t="s">
        <v>10</v>
      </c>
      <c r="I288" s="85" t="s">
        <v>11</v>
      </c>
      <c r="J288" s="85" t="s">
        <v>12</v>
      </c>
      <c r="K288" s="85" t="s">
        <v>13</v>
      </c>
      <c r="L288" s="86">
        <f>MAX(MID(C288,{1,2,3},1)*1)-MIN(MID(C288,{1,2,3},1)*1)</f>
        <v>8</v>
      </c>
      <c r="M288" s="87">
        <v>0</v>
      </c>
      <c r="N288" s="87">
        <v>1</v>
      </c>
      <c r="O288" s="87">
        <v>2</v>
      </c>
      <c r="P288" s="87">
        <v>3</v>
      </c>
      <c r="Q288" s="87">
        <v>4</v>
      </c>
      <c r="R288" s="87">
        <v>5</v>
      </c>
      <c r="S288" s="87">
        <v>6</v>
      </c>
      <c r="T288" s="87">
        <v>7</v>
      </c>
      <c r="U288" s="87">
        <v>8</v>
      </c>
      <c r="V288" s="87">
        <v>9</v>
      </c>
      <c r="W288" s="88">
        <f t="shared" si="243"/>
        <v>8</v>
      </c>
      <c r="X288" s="88">
        <f t="shared" si="244"/>
        <v>8</v>
      </c>
      <c r="Y288" s="88">
        <f t="shared" si="245"/>
        <v>0</v>
      </c>
      <c r="Z288" s="89">
        <f t="shared" si="212"/>
        <v>16</v>
      </c>
      <c r="AA288" s="17" t="str">
        <f>_xlfn.TEXTJOIN(", ",TRUE,ABS(MID(C288,{1,1,2},1)-MID(C288,{2,3,3},1)))</f>
        <v>8, 8, 0</v>
      </c>
      <c r="AB288" s="90">
        <v>0</v>
      </c>
      <c r="AC288" s="90">
        <v>1</v>
      </c>
      <c r="AD288" s="90">
        <v>2</v>
      </c>
      <c r="AE288" s="90">
        <v>3</v>
      </c>
      <c r="AF288" s="90">
        <v>4</v>
      </c>
      <c r="AG288" s="90">
        <v>5</v>
      </c>
      <c r="AH288" s="90">
        <v>6</v>
      </c>
      <c r="AI288" s="90">
        <v>7</v>
      </c>
      <c r="AJ288" s="90">
        <v>8</v>
      </c>
      <c r="AK288" s="90">
        <v>9</v>
      </c>
      <c r="AL288" s="91">
        <v>0</v>
      </c>
      <c r="AM288" s="91">
        <v>1</v>
      </c>
      <c r="AN288" s="91">
        <v>2</v>
      </c>
      <c r="AO288" s="91">
        <v>3</v>
      </c>
      <c r="AP288" s="91">
        <v>4</v>
      </c>
      <c r="AQ288" s="91">
        <v>5</v>
      </c>
      <c r="AR288" s="91">
        <v>6</v>
      </c>
      <c r="AS288" s="91">
        <v>7</v>
      </c>
      <c r="AT288" s="91">
        <v>8</v>
      </c>
      <c r="AU288" s="91">
        <v>9</v>
      </c>
      <c r="AV288" s="92">
        <v>0</v>
      </c>
      <c r="AW288" s="92">
        <v>1</v>
      </c>
      <c r="AX288" s="92">
        <v>2</v>
      </c>
      <c r="AY288" s="92">
        <v>3</v>
      </c>
      <c r="AZ288" s="92">
        <v>4</v>
      </c>
      <c r="BA288" s="92">
        <v>5</v>
      </c>
      <c r="BB288" s="92">
        <v>6</v>
      </c>
      <c r="BC288" s="92">
        <v>7</v>
      </c>
      <c r="BD288" s="92">
        <v>8</v>
      </c>
      <c r="BE288" s="92">
        <v>9</v>
      </c>
      <c r="BF288" s="93">
        <v>0</v>
      </c>
      <c r="BG288" s="93">
        <v>1</v>
      </c>
      <c r="BH288" s="93">
        <v>2</v>
      </c>
      <c r="BI288" s="93">
        <v>3</v>
      </c>
      <c r="BJ288" s="93">
        <v>4</v>
      </c>
      <c r="BK288" s="93">
        <v>5</v>
      </c>
      <c r="BL288" s="93">
        <v>6</v>
      </c>
      <c r="BM288" s="93">
        <v>7</v>
      </c>
      <c r="BN288" s="93">
        <v>8</v>
      </c>
      <c r="BO288" s="93">
        <v>9</v>
      </c>
      <c r="BP288" s="94" t="str">
        <f t="shared" si="213"/>
        <v>松散型</v>
      </c>
      <c r="BQ288" s="15">
        <f t="shared" si="210"/>
        <v>0</v>
      </c>
      <c r="BR288" s="15">
        <f t="shared" si="211"/>
        <v>8</v>
      </c>
      <c r="BS288" s="20" t="str">
        <f t="shared" si="215"/>
        <v/>
      </c>
      <c r="BT288" s="21" t="str">
        <f t="shared" si="216"/>
        <v/>
      </c>
      <c r="BU288" s="21" t="str">
        <f t="array" ref="BU288">_xlfn.TEXTJOIN("",TRUE,IF(ISERROR(FIND(ROW($1:$168)-1,BS288&amp;BT288)),ROW($1:$168)-1,""))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88" s="22" t="str">
        <f t="shared" si="217"/>
        <v>中中中</v>
      </c>
      <c r="BW288" s="23" t="str">
        <f t="shared" si="228"/>
        <v/>
      </c>
      <c r="BX288" s="23" t="str">
        <f t="shared" si="226"/>
        <v/>
      </c>
      <c r="BY288" s="23" t="str">
        <f t="array" ref="BY288">_xlfn.TEXTJOIN("",TRUE,IF(ISERROR(FIND(ROW($1:$168)-1,BW288&amp;BX288)),ROW($1:$168)-1,""))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88" s="22" t="str">
        <f t="shared" si="218"/>
        <v>中中中</v>
      </c>
      <c r="CA288" s="24" t="str">
        <f t="shared" si="219"/>
        <v/>
      </c>
      <c r="CB288" s="24" t="str">
        <f t="shared" si="227"/>
        <v/>
      </c>
      <c r="CC288" s="24" t="str">
        <f t="array" ref="CC288">_xlfn.TEXTJOIN("",TRUE,IF(ISERROR(FIND(ROW($1:$168)-1,CA288&amp;CB288)),ROW($1:$168)-1,""))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88" s="22" t="str">
        <f t="shared" si="220"/>
        <v>中中中</v>
      </c>
      <c r="CE288" s="25" t="str">
        <f t="shared" si="214"/>
        <v>79</v>
      </c>
      <c r="CF288" s="26" t="str">
        <f t="array" ref="CF288">_xlfn.TEXTJOIN("",TRUE,IF(ISNUMBER(FIND(MID(CE287&amp;W287,ROW($1:$162),1),CE288&amp;W288)),MID(CE287&amp;W287,ROW($1:$162),1),""))</f>
        <v/>
      </c>
      <c r="CG288" s="27" t="str">
        <f t="array" ref="CG288">_xlfn.TEXTJOIN("",TRUE,IF(ISERROR(FIND(ROW($1:$168)-1,CE288&amp;CF288)),ROW($1:$168)-1,""))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288" s="28" t="str">
        <f t="shared" si="221"/>
        <v>邻孤孤</v>
      </c>
      <c r="CI288" s="29" t="str">
        <f t="shared" si="222"/>
        <v>79</v>
      </c>
      <c r="CJ288" s="29" t="str">
        <f t="array" ref="CJ288">_xlfn.TEXTJOIN("",TRUE,IF(ISNUMBER(FIND(MID(CI287&amp;X287,ROW($1:$162),1),CI288&amp;X288)),MID(CI287&amp;X287,ROW($1:$162),1),""))</f>
        <v/>
      </c>
      <c r="CK288" s="29" t="str">
        <f t="array" ref="CK288">_xlfn.TEXTJOIN("",TRUE,IF(ISERROR(FIND(ROW($1:$168)-1,CI288&amp;CJ288)),ROW($1:$168)-1,""))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288" s="19" t="str">
        <f t="shared" si="223"/>
        <v>邻孤孤</v>
      </c>
      <c r="CM288" s="24" t="str">
        <f t="shared" si="224"/>
        <v>91</v>
      </c>
      <c r="CN288" s="24" t="str">
        <f t="array" ref="CN288">_xlfn.TEXTJOIN("",TRUE,IF(ISNUMBER(FIND(MID(CM287&amp;Y287,ROW($1:$162),1),CM288&amp;Y288)),MID(CM287&amp;Y287,ROW($1:$162),1),""))</f>
        <v/>
      </c>
      <c r="CO288" s="24" t="str">
        <f t="array" ref="CO288">_xlfn.TEXTJOIN("",TRUE,IF(ISERROR(FIND(ROW($1:$168)-1,CM288&amp;CN288)),ROW($1:$168)-1,""))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288" s="30" t="str">
        <f t="shared" si="225"/>
        <v>邻孤孤</v>
      </c>
    </row>
    <row r="289" spans="1:94">
      <c r="A289" s="15">
        <v>289</v>
      </c>
      <c r="B289" s="80">
        <v>2024258</v>
      </c>
      <c r="C289" s="8" t="s">
        <v>279</v>
      </c>
      <c r="D289" s="81">
        <f t="shared" si="241"/>
        <v>14</v>
      </c>
      <c r="E289" s="82">
        <f t="shared" si="242"/>
        <v>4</v>
      </c>
      <c r="F289" s="83">
        <f t="shared" si="239"/>
        <v>2</v>
      </c>
      <c r="G289" s="84" t="str">
        <f t="shared" si="240"/>
        <v>标准</v>
      </c>
      <c r="H289" s="85" t="s">
        <v>10</v>
      </c>
      <c r="I289" s="85" t="s">
        <v>11</v>
      </c>
      <c r="J289" s="85" t="s">
        <v>12</v>
      </c>
      <c r="K289" s="85" t="s">
        <v>13</v>
      </c>
      <c r="L289" s="86">
        <f>MAX(MID(C289,{1,2,3},1)*1)-MIN(MID(C289,{1,2,3},1)*1)</f>
        <v>7</v>
      </c>
      <c r="M289" s="87">
        <v>0</v>
      </c>
      <c r="N289" s="87">
        <v>1</v>
      </c>
      <c r="O289" s="87">
        <v>2</v>
      </c>
      <c r="P289" s="87">
        <v>3</v>
      </c>
      <c r="Q289" s="87">
        <v>4</v>
      </c>
      <c r="R289" s="87">
        <v>5</v>
      </c>
      <c r="S289" s="87">
        <v>6</v>
      </c>
      <c r="T289" s="87">
        <v>7</v>
      </c>
      <c r="U289" s="87">
        <v>8</v>
      </c>
      <c r="V289" s="87">
        <v>9</v>
      </c>
      <c r="W289" s="88">
        <f t="shared" si="243"/>
        <v>7</v>
      </c>
      <c r="X289" s="88">
        <f t="shared" si="244"/>
        <v>7</v>
      </c>
      <c r="Y289" s="88">
        <f t="shared" si="245"/>
        <v>0</v>
      </c>
      <c r="Z289" s="89">
        <f t="shared" si="212"/>
        <v>14</v>
      </c>
      <c r="AA289" s="17" t="str">
        <f>_xlfn.TEXTJOIN(", ",TRUE,ABS(MID(C289,{1,1,2},1)-MID(C289,{2,3,3},1)))</f>
        <v>7, 7, 0</v>
      </c>
      <c r="AB289" s="90">
        <v>0</v>
      </c>
      <c r="AC289" s="90">
        <v>1</v>
      </c>
      <c r="AD289" s="90">
        <v>2</v>
      </c>
      <c r="AE289" s="90">
        <v>3</v>
      </c>
      <c r="AF289" s="90">
        <v>4</v>
      </c>
      <c r="AG289" s="90">
        <v>5</v>
      </c>
      <c r="AH289" s="90">
        <v>6</v>
      </c>
      <c r="AI289" s="90">
        <v>7</v>
      </c>
      <c r="AJ289" s="90">
        <v>8</v>
      </c>
      <c r="AK289" s="90">
        <v>9</v>
      </c>
      <c r="AL289" s="91">
        <v>0</v>
      </c>
      <c r="AM289" s="91">
        <v>1</v>
      </c>
      <c r="AN289" s="91">
        <v>2</v>
      </c>
      <c r="AO289" s="91">
        <v>3</v>
      </c>
      <c r="AP289" s="91">
        <v>4</v>
      </c>
      <c r="AQ289" s="91">
        <v>5</v>
      </c>
      <c r="AR289" s="91">
        <v>6</v>
      </c>
      <c r="AS289" s="91">
        <v>7</v>
      </c>
      <c r="AT289" s="91">
        <v>8</v>
      </c>
      <c r="AU289" s="91">
        <v>9</v>
      </c>
      <c r="AV289" s="92">
        <v>0</v>
      </c>
      <c r="AW289" s="92">
        <v>1</v>
      </c>
      <c r="AX289" s="92">
        <v>2</v>
      </c>
      <c r="AY289" s="92">
        <v>3</v>
      </c>
      <c r="AZ289" s="92">
        <v>4</v>
      </c>
      <c r="BA289" s="92">
        <v>5</v>
      </c>
      <c r="BB289" s="92">
        <v>6</v>
      </c>
      <c r="BC289" s="92">
        <v>7</v>
      </c>
      <c r="BD289" s="92">
        <v>8</v>
      </c>
      <c r="BE289" s="92">
        <v>9</v>
      </c>
      <c r="BF289" s="93">
        <v>0</v>
      </c>
      <c r="BG289" s="93">
        <v>1</v>
      </c>
      <c r="BH289" s="93">
        <v>2</v>
      </c>
      <c r="BI289" s="93">
        <v>3</v>
      </c>
      <c r="BJ289" s="93">
        <v>4</v>
      </c>
      <c r="BK289" s="93">
        <v>5</v>
      </c>
      <c r="BL289" s="93">
        <v>6</v>
      </c>
      <c r="BM289" s="93">
        <v>7</v>
      </c>
      <c r="BN289" s="93">
        <v>8</v>
      </c>
      <c r="BO289" s="93">
        <v>9</v>
      </c>
      <c r="BP289" s="94" t="str">
        <f t="shared" si="213"/>
        <v>松散型</v>
      </c>
      <c r="BQ289" s="15">
        <f t="shared" ref="BQ289:BQ352" si="246">MIN(ABS(INT(C289/100)-INT(MOD(C289,100)/10)),ABS(INT(C289/100)-MOD(C289,10)),ABS(INT(MOD(C289,100)/10)-MOD(C289,10)))</f>
        <v>0</v>
      </c>
      <c r="BR289" s="15">
        <f t="shared" ref="BR289:BR352" si="247">MAX(ABS(INT(C289/100)-INT(MOD(C289,100)/10)),ABS(INT(C289/100)-MOD(C289,10)),ABS(INT(MOD(C289,100)/10)-MOD(C289,10)))</f>
        <v>7</v>
      </c>
      <c r="BS289" s="20" t="str">
        <f t="shared" si="215"/>
        <v/>
      </c>
      <c r="BT289" s="21" t="str">
        <f t="shared" si="216"/>
        <v/>
      </c>
      <c r="BU289" s="21" t="str">
        <f t="array" ref="BU289">_xlfn.TEXTJOIN("",TRUE,IF(ISERROR(FIND(ROW($1:$168)-1,BS289&amp;BT289)),ROW($1:$168)-1,""))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89" s="22" t="str">
        <f t="shared" si="217"/>
        <v>中中中</v>
      </c>
      <c r="BW289" s="23" t="str">
        <f t="shared" si="228"/>
        <v/>
      </c>
      <c r="BX289" s="23" t="str">
        <f t="shared" si="226"/>
        <v/>
      </c>
      <c r="BY289" s="23" t="str">
        <f t="array" ref="BY289">_xlfn.TEXTJOIN("",TRUE,IF(ISERROR(FIND(ROW($1:$168)-1,BW289&amp;BX289)),ROW($1:$168)-1,""))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89" s="22" t="str">
        <f t="shared" si="218"/>
        <v>中中中</v>
      </c>
      <c r="CA289" s="24">
        <f t="shared" si="219"/>
        <v>0</v>
      </c>
      <c r="CB289" s="24" t="str">
        <f t="shared" si="227"/>
        <v/>
      </c>
      <c r="CC289" s="24" t="str">
        <f t="array" ref="CC289">_xlfn.TEXTJOIN("",TRUE,IF(ISERROR(FIND(ROW($1:$168)-1,CA289&amp;CB289)),ROW($1:$168)-1,""))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89" s="22" t="str">
        <f t="shared" si="220"/>
        <v>复中中</v>
      </c>
      <c r="CE289" s="25" t="str">
        <f t="shared" si="214"/>
        <v>68</v>
      </c>
      <c r="CF289" s="26" t="str">
        <f t="array" ref="CF289">_xlfn.TEXTJOIN("",TRUE,IF(ISNUMBER(FIND(MID(CE288&amp;W288,ROW($1:$162),1),CE289&amp;W289)),MID(CE288&amp;W288,ROW($1:$162),1),""))</f>
        <v>78</v>
      </c>
      <c r="CG289" s="27" t="str">
        <f t="array" ref="CG289">_xlfn.TEXTJOIN("",TRUE,IF(ISERROR(FIND(ROW($1:$168)-1,CE289&amp;CF289)),ROW($1:$168)-1,""))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H289" s="28" t="str">
        <f t="shared" si="221"/>
        <v>邻传孤</v>
      </c>
      <c r="CI289" s="29" t="str">
        <f t="shared" si="222"/>
        <v>68</v>
      </c>
      <c r="CJ289" s="29" t="str">
        <f t="array" ref="CJ289">_xlfn.TEXTJOIN("",TRUE,IF(ISNUMBER(FIND(MID(CI288&amp;X288,ROW($1:$162),1),CI289&amp;X289)),MID(CI288&amp;X288,ROW($1:$162),1),""))</f>
        <v>78</v>
      </c>
      <c r="CK289" s="29" t="str">
        <f t="array" ref="CK289">_xlfn.TEXTJOIN("",TRUE,IF(ISERROR(FIND(ROW($1:$168)-1,CI289&amp;CJ289)),ROW($1:$168)-1,""))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L289" s="19" t="str">
        <f t="shared" si="223"/>
        <v>邻传孤</v>
      </c>
      <c r="CM289" s="24" t="str">
        <f t="shared" si="224"/>
        <v>91</v>
      </c>
      <c r="CN289" s="24" t="str">
        <f t="array" ref="CN289">_xlfn.TEXTJOIN("",TRUE,IF(ISNUMBER(FIND(MID(CM288&amp;Y288,ROW($1:$162),1),CM289&amp;Y289)),MID(CM288&amp;Y288,ROW($1:$162),1),""))</f>
        <v>910</v>
      </c>
      <c r="CO289" s="24" t="str">
        <f t="array" ref="CO289">_xlfn.TEXTJOIN("",TRUE,IF(ISERROR(FIND(ROW($1:$168)-1,CM289&amp;CN289)),ROW($1:$168)-1,""))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289" s="30" t="str">
        <f t="shared" si="225"/>
        <v>邻传孤</v>
      </c>
    </row>
    <row r="290" spans="1:94">
      <c r="A290" s="15">
        <v>290</v>
      </c>
      <c r="B290" s="80">
        <v>2024259</v>
      </c>
      <c r="C290" s="8" t="s">
        <v>280</v>
      </c>
      <c r="D290" s="81">
        <f t="shared" si="241"/>
        <v>15</v>
      </c>
      <c r="E290" s="82">
        <f t="shared" si="242"/>
        <v>5</v>
      </c>
      <c r="F290" s="83">
        <f t="shared" si="239"/>
        <v>2.14285714285714</v>
      </c>
      <c r="G290" s="84" t="str">
        <f t="shared" si="240"/>
        <v>标准</v>
      </c>
      <c r="H290" s="85" t="s">
        <v>10</v>
      </c>
      <c r="I290" s="85" t="s">
        <v>11</v>
      </c>
      <c r="J290" s="85" t="s">
        <v>12</v>
      </c>
      <c r="K290" s="85" t="s">
        <v>13</v>
      </c>
      <c r="L290" s="86">
        <f>MAX(MID(C290,{1,2,3},1)*1)-MIN(MID(C290,{1,2,3},1)*1)</f>
        <v>7</v>
      </c>
      <c r="M290" s="87">
        <v>0</v>
      </c>
      <c r="N290" s="87">
        <v>1</v>
      </c>
      <c r="O290" s="87">
        <v>2</v>
      </c>
      <c r="P290" s="87">
        <v>3</v>
      </c>
      <c r="Q290" s="87">
        <v>4</v>
      </c>
      <c r="R290" s="87">
        <v>5</v>
      </c>
      <c r="S290" s="87">
        <v>6</v>
      </c>
      <c r="T290" s="87">
        <v>7</v>
      </c>
      <c r="U290" s="87">
        <v>8</v>
      </c>
      <c r="V290" s="87">
        <v>9</v>
      </c>
      <c r="W290" s="88">
        <f t="shared" si="243"/>
        <v>2</v>
      </c>
      <c r="X290" s="88">
        <f t="shared" si="244"/>
        <v>7</v>
      </c>
      <c r="Y290" s="88">
        <f t="shared" si="245"/>
        <v>5</v>
      </c>
      <c r="Z290" s="89">
        <f t="shared" ref="Z290:Z353" si="248">W290+X290+Y290</f>
        <v>14</v>
      </c>
      <c r="AA290" s="17" t="str">
        <f>_xlfn.TEXTJOIN(", ",TRUE,ABS(MID(C290,{1,1,2},1)-MID(C290,{2,3,3},1)))</f>
        <v>2, 7, 5</v>
      </c>
      <c r="AB290" s="90">
        <v>0</v>
      </c>
      <c r="AC290" s="90">
        <v>1</v>
      </c>
      <c r="AD290" s="90">
        <v>2</v>
      </c>
      <c r="AE290" s="90">
        <v>3</v>
      </c>
      <c r="AF290" s="90">
        <v>4</v>
      </c>
      <c r="AG290" s="90">
        <v>5</v>
      </c>
      <c r="AH290" s="90">
        <v>6</v>
      </c>
      <c r="AI290" s="90">
        <v>7</v>
      </c>
      <c r="AJ290" s="90">
        <v>8</v>
      </c>
      <c r="AK290" s="90">
        <v>9</v>
      </c>
      <c r="AL290" s="91">
        <v>0</v>
      </c>
      <c r="AM290" s="91">
        <v>1</v>
      </c>
      <c r="AN290" s="91">
        <v>2</v>
      </c>
      <c r="AO290" s="91">
        <v>3</v>
      </c>
      <c r="AP290" s="91">
        <v>4</v>
      </c>
      <c r="AQ290" s="91">
        <v>5</v>
      </c>
      <c r="AR290" s="91">
        <v>6</v>
      </c>
      <c r="AS290" s="91">
        <v>7</v>
      </c>
      <c r="AT290" s="91">
        <v>8</v>
      </c>
      <c r="AU290" s="91">
        <v>9</v>
      </c>
      <c r="AV290" s="92">
        <v>0</v>
      </c>
      <c r="AW290" s="92">
        <v>1</v>
      </c>
      <c r="AX290" s="92">
        <v>2</v>
      </c>
      <c r="AY290" s="92">
        <v>3</v>
      </c>
      <c r="AZ290" s="92">
        <v>4</v>
      </c>
      <c r="BA290" s="92">
        <v>5</v>
      </c>
      <c r="BB290" s="92">
        <v>6</v>
      </c>
      <c r="BC290" s="92">
        <v>7</v>
      </c>
      <c r="BD290" s="92">
        <v>8</v>
      </c>
      <c r="BE290" s="92">
        <v>9</v>
      </c>
      <c r="BF290" s="93">
        <v>0</v>
      </c>
      <c r="BG290" s="93">
        <v>1</v>
      </c>
      <c r="BH290" s="93">
        <v>2</v>
      </c>
      <c r="BI290" s="93">
        <v>3</v>
      </c>
      <c r="BJ290" s="93">
        <v>4</v>
      </c>
      <c r="BK290" s="93">
        <v>5</v>
      </c>
      <c r="BL290" s="93">
        <v>6</v>
      </c>
      <c r="BM290" s="93">
        <v>7</v>
      </c>
      <c r="BN290" s="93">
        <v>8</v>
      </c>
      <c r="BO290" s="93">
        <v>9</v>
      </c>
      <c r="BP290" s="94" t="str">
        <f t="shared" ref="BP290:BP353" si="249">IF(AND(BQ290&lt;=1,BR290&lt;=4),"紧凑型",IF(OR(BQ290&gt;=3,BR290&gt;=6),"松散型",IF(AND(BQ290&gt;=1,BR290&lt;=5),"标准型","对子")))</f>
        <v>松散型</v>
      </c>
      <c r="BQ290" s="15">
        <f t="shared" si="246"/>
        <v>2</v>
      </c>
      <c r="BR290" s="15">
        <f t="shared" si="247"/>
        <v>7</v>
      </c>
      <c r="BS290" s="20" t="str">
        <f t="shared" si="215"/>
        <v/>
      </c>
      <c r="BT290" s="21" t="str">
        <f t="shared" si="216"/>
        <v/>
      </c>
      <c r="BU290" s="21" t="str">
        <f t="array" ref="BU290">_xlfn.TEXTJOIN("",TRUE,IF(ISERROR(FIND(ROW($1:$168)-1,BS290&amp;BT290)),ROW($1:$168)-1,""))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90" s="22" t="str">
        <f t="shared" si="217"/>
        <v>中中中</v>
      </c>
      <c r="BW290" s="23">
        <f t="shared" si="228"/>
        <v>7</v>
      </c>
      <c r="BX290" s="23" t="str">
        <f t="shared" si="226"/>
        <v/>
      </c>
      <c r="BY290" s="23" t="str">
        <f t="array" ref="BY290">_xlfn.TEXTJOIN("",TRUE,IF(ISERROR(FIND(ROW($1:$168)-1,BW290&amp;BX290)),ROW($1:$168)-1,""))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90" s="22" t="str">
        <f t="shared" si="218"/>
        <v>复中中</v>
      </c>
      <c r="CA290" s="24" t="str">
        <f t="shared" si="219"/>
        <v/>
      </c>
      <c r="CB290" s="24" t="str">
        <f t="shared" si="227"/>
        <v/>
      </c>
      <c r="CC290" s="24" t="str">
        <f t="array" ref="CC290">_xlfn.TEXTJOIN("",TRUE,IF(ISERROR(FIND(ROW($1:$168)-1,CA290&amp;CB290)),ROW($1:$168)-1,""))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90" s="22" t="str">
        <f t="shared" si="220"/>
        <v>中中中</v>
      </c>
      <c r="CE290" s="25" t="str">
        <f t="shared" ref="CE290:CE353" si="250">IF(W290=0,9,W290-1)&amp;""&amp;IF(W290=9,0,W290+1)</f>
        <v>13</v>
      </c>
      <c r="CF290" s="26" t="str">
        <f t="array" ref="CF290">_xlfn.TEXTJOIN("",TRUE,IF(ISNUMBER(FIND(MID(CE289&amp;W289,ROW($1:$162),1),CE290&amp;W290)),MID(CE289&amp;W289,ROW($1:$162),1),""))</f>
        <v/>
      </c>
      <c r="CG290" s="27" t="str">
        <f t="array" ref="CG290">_xlfn.TEXTJOIN("",TRUE,IF(ISERROR(FIND(ROW($1:$168)-1,CE290&amp;CF290)),ROW($1:$168)-1,""))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90" s="28" t="str">
        <f t="shared" si="221"/>
        <v>邻孤孤</v>
      </c>
      <c r="CI290" s="29" t="str">
        <f t="shared" si="222"/>
        <v>68</v>
      </c>
      <c r="CJ290" s="29" t="str">
        <f t="array" ref="CJ290">_xlfn.TEXTJOIN("",TRUE,IF(ISNUMBER(FIND(MID(CI289&amp;X289,ROW($1:$162),1),CI290&amp;X290)),MID(CI289&amp;X289,ROW($1:$162),1),""))</f>
        <v>687</v>
      </c>
      <c r="CK290" s="29" t="str">
        <f t="array" ref="CK290">_xlfn.TEXTJOIN("",TRUE,IF(ISERROR(FIND(ROW($1:$168)-1,CI290&amp;CJ290)),ROW($1:$168)-1,""))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L290" s="19" t="str">
        <f t="shared" si="223"/>
        <v>邻传孤</v>
      </c>
      <c r="CM290" s="24" t="str">
        <f t="shared" si="224"/>
        <v>46</v>
      </c>
      <c r="CN290" s="24" t="str">
        <f t="array" ref="CN290">_xlfn.TEXTJOIN("",TRUE,IF(ISNUMBER(FIND(MID(CM289&amp;Y289,ROW($1:$162),1),CM290&amp;Y290)),MID(CM289&amp;Y289,ROW($1:$162),1),""))</f>
        <v/>
      </c>
      <c r="CO290" s="24" t="str">
        <f t="array" ref="CO290">_xlfn.TEXTJOIN("",TRUE,IF(ISERROR(FIND(ROW($1:$168)-1,CM290&amp;CN290)),ROW($1:$168)-1,""))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90" s="30" t="str">
        <f t="shared" si="225"/>
        <v>邻孤孤</v>
      </c>
    </row>
    <row r="291" spans="1:94">
      <c r="A291" s="15">
        <v>291</v>
      </c>
      <c r="B291" s="80">
        <v>2024260</v>
      </c>
      <c r="C291" s="8" t="s">
        <v>281</v>
      </c>
      <c r="D291" s="81">
        <f t="shared" si="241"/>
        <v>17</v>
      </c>
      <c r="E291" s="82">
        <f t="shared" si="242"/>
        <v>7</v>
      </c>
      <c r="F291" s="83">
        <f t="shared" si="239"/>
        <v>2.42857142857143</v>
      </c>
      <c r="G291" s="84" t="str">
        <f t="shared" si="240"/>
        <v>标准</v>
      </c>
      <c r="H291" s="85" t="s">
        <v>10</v>
      </c>
      <c r="I291" s="85" t="s">
        <v>11</v>
      </c>
      <c r="J291" s="85" t="s">
        <v>12</v>
      </c>
      <c r="K291" s="85" t="s">
        <v>13</v>
      </c>
      <c r="L291" s="86">
        <f>MAX(MID(C291,{1,2,3},1)*1)-MIN(MID(C291,{1,2,3},1)*1)</f>
        <v>7</v>
      </c>
      <c r="M291" s="87">
        <v>0</v>
      </c>
      <c r="N291" s="87">
        <v>1</v>
      </c>
      <c r="O291" s="87">
        <v>2</v>
      </c>
      <c r="P291" s="87">
        <v>3</v>
      </c>
      <c r="Q291" s="87">
        <v>4</v>
      </c>
      <c r="R291" s="87">
        <v>5</v>
      </c>
      <c r="S291" s="87">
        <v>6</v>
      </c>
      <c r="T291" s="87">
        <v>7</v>
      </c>
      <c r="U291" s="87">
        <v>8</v>
      </c>
      <c r="V291" s="87">
        <v>9</v>
      </c>
      <c r="W291" s="88">
        <f t="shared" si="243"/>
        <v>7</v>
      </c>
      <c r="X291" s="88">
        <f t="shared" si="244"/>
        <v>3</v>
      </c>
      <c r="Y291" s="88">
        <f t="shared" si="245"/>
        <v>4</v>
      </c>
      <c r="Z291" s="89">
        <f t="shared" si="248"/>
        <v>14</v>
      </c>
      <c r="AA291" s="17" t="str">
        <f>_xlfn.TEXTJOIN(", ",TRUE,ABS(MID(C291,{1,1,2},1)-MID(C291,{2,3,3},1)))</f>
        <v>7, 3, 4</v>
      </c>
      <c r="AB291" s="90">
        <v>0</v>
      </c>
      <c r="AC291" s="90">
        <v>1</v>
      </c>
      <c r="AD291" s="90">
        <v>2</v>
      </c>
      <c r="AE291" s="90">
        <v>3</v>
      </c>
      <c r="AF291" s="90">
        <v>4</v>
      </c>
      <c r="AG291" s="90">
        <v>5</v>
      </c>
      <c r="AH291" s="90">
        <v>6</v>
      </c>
      <c r="AI291" s="90">
        <v>7</v>
      </c>
      <c r="AJ291" s="90">
        <v>8</v>
      </c>
      <c r="AK291" s="90">
        <v>9</v>
      </c>
      <c r="AL291" s="91">
        <v>0</v>
      </c>
      <c r="AM291" s="91">
        <v>1</v>
      </c>
      <c r="AN291" s="91">
        <v>2</v>
      </c>
      <c r="AO291" s="91">
        <v>3</v>
      </c>
      <c r="AP291" s="91">
        <v>4</v>
      </c>
      <c r="AQ291" s="91">
        <v>5</v>
      </c>
      <c r="AR291" s="91">
        <v>6</v>
      </c>
      <c r="AS291" s="91">
        <v>7</v>
      </c>
      <c r="AT291" s="91">
        <v>8</v>
      </c>
      <c r="AU291" s="91">
        <v>9</v>
      </c>
      <c r="AV291" s="92">
        <v>0</v>
      </c>
      <c r="AW291" s="92">
        <v>1</v>
      </c>
      <c r="AX291" s="92">
        <v>2</v>
      </c>
      <c r="AY291" s="92">
        <v>3</v>
      </c>
      <c r="AZ291" s="92">
        <v>4</v>
      </c>
      <c r="BA291" s="92">
        <v>5</v>
      </c>
      <c r="BB291" s="92">
        <v>6</v>
      </c>
      <c r="BC291" s="92">
        <v>7</v>
      </c>
      <c r="BD291" s="92">
        <v>8</v>
      </c>
      <c r="BE291" s="92">
        <v>9</v>
      </c>
      <c r="BF291" s="93">
        <v>0</v>
      </c>
      <c r="BG291" s="93">
        <v>1</v>
      </c>
      <c r="BH291" s="93">
        <v>2</v>
      </c>
      <c r="BI291" s="93">
        <v>3</v>
      </c>
      <c r="BJ291" s="93">
        <v>4</v>
      </c>
      <c r="BK291" s="93">
        <v>5</v>
      </c>
      <c r="BL291" s="93">
        <v>6</v>
      </c>
      <c r="BM291" s="93">
        <v>7</v>
      </c>
      <c r="BN291" s="93">
        <v>8</v>
      </c>
      <c r="BO291" s="93">
        <v>9</v>
      </c>
      <c r="BP291" s="94" t="str">
        <f t="shared" si="249"/>
        <v>松散型</v>
      </c>
      <c r="BQ291" s="15">
        <f t="shared" si="246"/>
        <v>3</v>
      </c>
      <c r="BR291" s="15">
        <f t="shared" si="247"/>
        <v>7</v>
      </c>
      <c r="BS291" s="20">
        <f t="shared" ref="BS291:BS354" si="251">IF(COUNTIF($W290:$Y290,W291)&gt;0,W291,"")</f>
        <v>7</v>
      </c>
      <c r="BT291" s="21">
        <f t="shared" ref="BT291:BT354" si="252">IF(COUNTIF($W289:$Y289,W291)&gt;0,W291,"")</f>
        <v>7</v>
      </c>
      <c r="BU291" s="21" t="str">
        <f t="array" ref="BU291">_xlfn.TEXTJOIN("",TRUE,IF(ISERROR(FIND(ROW($1:$168)-1,BS291&amp;BT291)),ROW($1:$168)-1,""))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V291" s="22" t="str">
        <f t="shared" ref="BV291:BV354" si="253">IF(BS291&lt;&gt;"","复","中")&amp;IF(BT291&lt;&gt;"","隔","中")&amp;"中"</f>
        <v>复隔中</v>
      </c>
      <c r="BW291" s="23" t="str">
        <f t="shared" si="228"/>
        <v/>
      </c>
      <c r="BX291" s="23" t="str">
        <f t="shared" si="226"/>
        <v/>
      </c>
      <c r="BY291" s="23" t="str">
        <f t="array" ref="BY291">_xlfn.TEXTJOIN("",TRUE,IF(ISERROR(FIND(ROW($1:$168)-1,BW291&amp;BX291)),ROW($1:$168)-1,""))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91" s="22" t="str">
        <f t="shared" ref="BZ291:BZ354" si="254">IF(BW291&lt;&gt;"","复","中")&amp;IF(BX291&lt;&gt;"","隔","中")&amp;"中"</f>
        <v>中中中</v>
      </c>
      <c r="CA291" s="24" t="str">
        <f t="shared" ref="CA291:CA354" si="255">IF(COUNTIF($W290:$Y290,Y291)&gt;0,Y291,"")</f>
        <v/>
      </c>
      <c r="CB291" s="24" t="str">
        <f t="shared" si="227"/>
        <v/>
      </c>
      <c r="CC291" s="24" t="str">
        <f t="array" ref="CC291">_xlfn.TEXTJOIN("",TRUE,IF(ISERROR(FIND(ROW($1:$168)-1,CA291&amp;CB291)),ROW($1:$168)-1,""))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91" s="22" t="str">
        <f t="shared" ref="CD291:CD354" si="256">IF(CA291&lt;&gt;"","复","中")&amp;IF(CB291&lt;&gt;"","隔","中")&amp;"中"</f>
        <v>中中中</v>
      </c>
      <c r="CE291" s="25" t="str">
        <f t="shared" si="250"/>
        <v>68</v>
      </c>
      <c r="CF291" s="26" t="str">
        <f t="array" ref="CF291">_xlfn.TEXTJOIN("",TRUE,IF(ISNUMBER(FIND(MID(CE290&amp;W290,ROW($1:$162),1),CE291&amp;W291)),MID(CE290&amp;W290,ROW($1:$162),1),""))</f>
        <v/>
      </c>
      <c r="CG291" s="27" t="str">
        <f t="array" ref="CG291">_xlfn.TEXTJOIN("",TRUE,IF(ISERROR(FIND(ROW($1:$168)-1,CE291&amp;CF291)),ROW($1:$168)-1,""))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91" s="28" t="str">
        <f t="shared" ref="CH291:CH354" si="257">IF(CE291&lt;&gt;"","邻","孤")&amp;IF(CF291&lt;&gt;"","传","孤")&amp;"孤"</f>
        <v>邻孤孤</v>
      </c>
      <c r="CI291" s="29" t="str">
        <f t="shared" ref="CI291:CI354" si="258">IF(X291=0,9,X291-1)&amp;""&amp;IF(X291=9,0,X291+1)</f>
        <v>24</v>
      </c>
      <c r="CJ291" s="29" t="str">
        <f t="array" ref="CJ291">_xlfn.TEXTJOIN("",TRUE,IF(ISNUMBER(FIND(MID(CI290&amp;X290,ROW($1:$162),1),CI291&amp;X291)),MID(CI290&amp;X290,ROW($1:$162),1),""))</f>
        <v/>
      </c>
      <c r="CK291" s="29" t="str">
        <f t="array" ref="CK291">_xlfn.TEXTJOIN("",TRUE,IF(ISERROR(FIND(ROW($1:$168)-1,CI291&amp;CJ291)),ROW($1:$168)-1,""))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91" s="19" t="str">
        <f t="shared" ref="CL291:CL354" si="259">IF(CI291&lt;&gt;"","邻","孤")&amp;IF(CJ291&lt;&gt;"","传","孤")&amp;"孤"</f>
        <v>邻孤孤</v>
      </c>
      <c r="CM291" s="24" t="str">
        <f t="shared" ref="CM291:CM354" si="260">IF(Y291=0,9,Y291-1)&amp;""&amp;IF(Y291=9,0,Y291+1)</f>
        <v>35</v>
      </c>
      <c r="CN291" s="24" t="str">
        <f t="array" ref="CN291">_xlfn.TEXTJOIN("",TRUE,IF(ISNUMBER(FIND(MID(CM290&amp;Y290,ROW($1:$162),1),CM291&amp;Y291)),MID(CM290&amp;Y290,ROW($1:$162),1),""))</f>
        <v>45</v>
      </c>
      <c r="CO291" s="24" t="str">
        <f t="array" ref="CO291">_xlfn.TEXTJOIN("",TRUE,IF(ISERROR(FIND(ROW($1:$168)-1,CM291&amp;CN291)),ROW($1:$168)-1,""))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91" s="30" t="str">
        <f t="shared" ref="CP291:CP354" si="261">IF(CM291&lt;&gt;"","邻","孤")&amp;IF(CN291&lt;&gt;"","传","孤")&amp;"孤"</f>
        <v>邻传孤</v>
      </c>
    </row>
    <row r="292" spans="1:94">
      <c r="A292" s="15">
        <v>292</v>
      </c>
      <c r="B292" s="80">
        <v>2024261</v>
      </c>
      <c r="C292" s="8" t="s">
        <v>282</v>
      </c>
      <c r="D292" s="81">
        <f t="shared" si="241"/>
        <v>19</v>
      </c>
      <c r="E292" s="82">
        <f t="shared" si="242"/>
        <v>9</v>
      </c>
      <c r="F292" s="83">
        <f t="shared" si="239"/>
        <v>19</v>
      </c>
      <c r="G292" s="84" t="str">
        <f t="shared" si="240"/>
        <v>紧凑</v>
      </c>
      <c r="H292" s="85" t="s">
        <v>10</v>
      </c>
      <c r="I292" s="85" t="s">
        <v>11</v>
      </c>
      <c r="J292" s="85" t="s">
        <v>12</v>
      </c>
      <c r="K292" s="85" t="s">
        <v>13</v>
      </c>
      <c r="L292" s="86">
        <f>MAX(MID(C292,{1,2,3},1)*1)-MIN(MID(C292,{1,2,3},1)*1)</f>
        <v>1</v>
      </c>
      <c r="M292" s="87">
        <v>0</v>
      </c>
      <c r="N292" s="87">
        <v>1</v>
      </c>
      <c r="O292" s="87">
        <v>2</v>
      </c>
      <c r="P292" s="87">
        <v>3</v>
      </c>
      <c r="Q292" s="87">
        <v>4</v>
      </c>
      <c r="R292" s="87">
        <v>5</v>
      </c>
      <c r="S292" s="87">
        <v>6</v>
      </c>
      <c r="T292" s="87">
        <v>7</v>
      </c>
      <c r="U292" s="87">
        <v>8</v>
      </c>
      <c r="V292" s="87">
        <v>9</v>
      </c>
      <c r="W292" s="88">
        <f t="shared" si="243"/>
        <v>1</v>
      </c>
      <c r="X292" s="88">
        <f t="shared" si="244"/>
        <v>1</v>
      </c>
      <c r="Y292" s="88">
        <f t="shared" si="245"/>
        <v>0</v>
      </c>
      <c r="Z292" s="89">
        <f t="shared" si="248"/>
        <v>2</v>
      </c>
      <c r="AA292" s="17" t="str">
        <f>_xlfn.TEXTJOIN(", ",TRUE,ABS(MID(C292,{1,1,2},1)-MID(C292,{2,3,3},1)))</f>
        <v>1, 1, 0</v>
      </c>
      <c r="AB292" s="90">
        <v>0</v>
      </c>
      <c r="AC292" s="90">
        <v>1</v>
      </c>
      <c r="AD292" s="90">
        <v>2</v>
      </c>
      <c r="AE292" s="90">
        <v>3</v>
      </c>
      <c r="AF292" s="90">
        <v>4</v>
      </c>
      <c r="AG292" s="90">
        <v>5</v>
      </c>
      <c r="AH292" s="90">
        <v>6</v>
      </c>
      <c r="AI292" s="90">
        <v>7</v>
      </c>
      <c r="AJ292" s="90">
        <v>8</v>
      </c>
      <c r="AK292" s="90">
        <v>9</v>
      </c>
      <c r="AL292" s="91">
        <v>0</v>
      </c>
      <c r="AM292" s="91">
        <v>1</v>
      </c>
      <c r="AN292" s="91">
        <v>2</v>
      </c>
      <c r="AO292" s="91">
        <v>3</v>
      </c>
      <c r="AP292" s="91">
        <v>4</v>
      </c>
      <c r="AQ292" s="91">
        <v>5</v>
      </c>
      <c r="AR292" s="91">
        <v>6</v>
      </c>
      <c r="AS292" s="91">
        <v>7</v>
      </c>
      <c r="AT292" s="91">
        <v>8</v>
      </c>
      <c r="AU292" s="91">
        <v>9</v>
      </c>
      <c r="AV292" s="92">
        <v>0</v>
      </c>
      <c r="AW292" s="92">
        <v>1</v>
      </c>
      <c r="AX292" s="92">
        <v>2</v>
      </c>
      <c r="AY292" s="92">
        <v>3</v>
      </c>
      <c r="AZ292" s="92">
        <v>4</v>
      </c>
      <c r="BA292" s="92">
        <v>5</v>
      </c>
      <c r="BB292" s="92">
        <v>6</v>
      </c>
      <c r="BC292" s="92">
        <v>7</v>
      </c>
      <c r="BD292" s="92">
        <v>8</v>
      </c>
      <c r="BE292" s="92">
        <v>9</v>
      </c>
      <c r="BF292" s="93">
        <v>0</v>
      </c>
      <c r="BG292" s="93">
        <v>1</v>
      </c>
      <c r="BH292" s="93">
        <v>2</v>
      </c>
      <c r="BI292" s="93">
        <v>3</v>
      </c>
      <c r="BJ292" s="93">
        <v>4</v>
      </c>
      <c r="BK292" s="93">
        <v>5</v>
      </c>
      <c r="BL292" s="93">
        <v>6</v>
      </c>
      <c r="BM292" s="93">
        <v>7</v>
      </c>
      <c r="BN292" s="93">
        <v>8</v>
      </c>
      <c r="BO292" s="93">
        <v>9</v>
      </c>
      <c r="BP292" s="94" t="str">
        <f t="shared" si="249"/>
        <v>紧凑型</v>
      </c>
      <c r="BQ292" s="15">
        <f t="shared" si="246"/>
        <v>0</v>
      </c>
      <c r="BR292" s="15">
        <f t="shared" si="247"/>
        <v>1</v>
      </c>
      <c r="BS292" s="20" t="str">
        <f t="shared" si="251"/>
        <v/>
      </c>
      <c r="BT292" s="21" t="str">
        <f t="shared" si="252"/>
        <v/>
      </c>
      <c r="BU292" s="21" t="str">
        <f t="array" ref="BU292">_xlfn.TEXTJOIN("",TRUE,IF(ISERROR(FIND(ROW($1:$168)-1,BS292&amp;BT292)),ROW($1:$168)-1,""))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92" s="22" t="str">
        <f t="shared" si="253"/>
        <v>中中中</v>
      </c>
      <c r="BW292" s="23" t="str">
        <f t="shared" si="228"/>
        <v/>
      </c>
      <c r="BX292" s="23" t="str">
        <f t="shared" ref="BX292:BX355" si="262">IF(COUNTIF($W290:$Y290,X292)&gt;0,X292,"")</f>
        <v/>
      </c>
      <c r="BY292" s="23" t="str">
        <f t="array" ref="BY292">_xlfn.TEXTJOIN("",TRUE,IF(ISERROR(FIND(ROW($1:$168)-1,BW292&amp;BX292)),ROW($1:$168)-1,""))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92" s="22" t="str">
        <f t="shared" si="254"/>
        <v>中中中</v>
      </c>
      <c r="CA292" s="24" t="str">
        <f t="shared" si="255"/>
        <v/>
      </c>
      <c r="CB292" s="24" t="str">
        <f t="shared" ref="CB292:CB355" si="263">IF(COUNTIF($W290:$Y290,Y292)&gt;0,Y292,"")</f>
        <v/>
      </c>
      <c r="CC292" s="24" t="str">
        <f t="array" ref="CC292">_xlfn.TEXTJOIN("",TRUE,IF(ISERROR(FIND(ROW($1:$168)-1,CA292&amp;CB292)),ROW($1:$168)-1,""))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92" s="22" t="str">
        <f t="shared" si="256"/>
        <v>中中中</v>
      </c>
      <c r="CE292" s="25" t="str">
        <f t="shared" si="250"/>
        <v>02</v>
      </c>
      <c r="CF292" s="26" t="str">
        <f t="array" ref="CF292">_xlfn.TEXTJOIN("",TRUE,IF(ISNUMBER(FIND(MID(CE291&amp;W291,ROW($1:$162),1),CE292&amp;W292)),MID(CE291&amp;W291,ROW($1:$162),1),""))</f>
        <v/>
      </c>
      <c r="CG292" s="27" t="str">
        <f t="array" ref="CG292">_xlfn.TEXTJOIN("",TRUE,IF(ISERROR(FIND(ROW($1:$168)-1,CE292&amp;CF292)),ROW($1:$168)-1,""))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92" s="28" t="str">
        <f t="shared" si="257"/>
        <v>邻孤孤</v>
      </c>
      <c r="CI292" s="29" t="str">
        <f t="shared" si="258"/>
        <v>02</v>
      </c>
      <c r="CJ292" s="29" t="str">
        <f t="array" ref="CJ292">_xlfn.TEXTJOIN("",TRUE,IF(ISNUMBER(FIND(MID(CI291&amp;X291,ROW($1:$162),1),CI292&amp;X292)),MID(CI291&amp;X291,ROW($1:$162),1),""))</f>
        <v>2</v>
      </c>
      <c r="CK292" s="29" t="str">
        <f t="array" ref="CK292">_xlfn.TEXTJOIN("",TRUE,IF(ISERROR(FIND(ROW($1:$168)-1,CI292&amp;CJ292)),ROW($1:$168)-1,""))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92" s="19" t="str">
        <f t="shared" si="259"/>
        <v>邻传孤</v>
      </c>
      <c r="CM292" s="24" t="str">
        <f t="shared" si="260"/>
        <v>91</v>
      </c>
      <c r="CN292" s="24" t="str">
        <f t="array" ref="CN292">_xlfn.TEXTJOIN("",TRUE,IF(ISNUMBER(FIND(MID(CM291&amp;Y291,ROW($1:$162),1),CM292&amp;Y292)),MID(CM291&amp;Y291,ROW($1:$162),1),""))</f>
        <v/>
      </c>
      <c r="CO292" s="24" t="str">
        <f t="array" ref="CO292">_xlfn.TEXTJOIN("",TRUE,IF(ISERROR(FIND(ROW($1:$168)-1,CM292&amp;CN292)),ROW($1:$168)-1,""))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292" s="30" t="str">
        <f t="shared" si="261"/>
        <v>邻孤孤</v>
      </c>
    </row>
    <row r="293" spans="1:94">
      <c r="A293" s="15">
        <v>293</v>
      </c>
      <c r="B293" s="80">
        <v>2024262</v>
      </c>
      <c r="C293" s="8" t="s">
        <v>283</v>
      </c>
      <c r="D293" s="81">
        <f t="shared" si="241"/>
        <v>15</v>
      </c>
      <c r="E293" s="82">
        <f t="shared" si="242"/>
        <v>5</v>
      </c>
      <c r="F293" s="83">
        <f t="shared" si="239"/>
        <v>7.5</v>
      </c>
      <c r="G293" s="84" t="str">
        <f t="shared" si="240"/>
        <v>紧凑</v>
      </c>
      <c r="H293" s="85" t="s">
        <v>10</v>
      </c>
      <c r="I293" s="85" t="s">
        <v>11</v>
      </c>
      <c r="J293" s="85" t="s">
        <v>12</v>
      </c>
      <c r="K293" s="85" t="s">
        <v>13</v>
      </c>
      <c r="L293" s="86">
        <f>MAX(MID(C293,{1,2,3},1)*1)-MIN(MID(C293,{1,2,3},1)*1)</f>
        <v>2</v>
      </c>
      <c r="M293" s="87">
        <v>0</v>
      </c>
      <c r="N293" s="87">
        <v>1</v>
      </c>
      <c r="O293" s="87">
        <v>2</v>
      </c>
      <c r="P293" s="87">
        <v>3</v>
      </c>
      <c r="Q293" s="87">
        <v>4</v>
      </c>
      <c r="R293" s="87">
        <v>5</v>
      </c>
      <c r="S293" s="87">
        <v>6</v>
      </c>
      <c r="T293" s="87">
        <v>7</v>
      </c>
      <c r="U293" s="87">
        <v>8</v>
      </c>
      <c r="V293" s="87">
        <v>9</v>
      </c>
      <c r="W293" s="88">
        <f t="shared" si="243"/>
        <v>2</v>
      </c>
      <c r="X293" s="88">
        <f t="shared" si="244"/>
        <v>1</v>
      </c>
      <c r="Y293" s="88">
        <f t="shared" si="245"/>
        <v>1</v>
      </c>
      <c r="Z293" s="89">
        <f t="shared" si="248"/>
        <v>4</v>
      </c>
      <c r="AA293" s="17" t="str">
        <f>_xlfn.TEXTJOIN(", ",TRUE,ABS(MID(C293,{1,1,2},1)-MID(C293,{2,3,3},1)))</f>
        <v>2, 1, 1</v>
      </c>
      <c r="AB293" s="90">
        <v>0</v>
      </c>
      <c r="AC293" s="90">
        <v>1</v>
      </c>
      <c r="AD293" s="90">
        <v>2</v>
      </c>
      <c r="AE293" s="90">
        <v>3</v>
      </c>
      <c r="AF293" s="90">
        <v>4</v>
      </c>
      <c r="AG293" s="90">
        <v>5</v>
      </c>
      <c r="AH293" s="90">
        <v>6</v>
      </c>
      <c r="AI293" s="90">
        <v>7</v>
      </c>
      <c r="AJ293" s="90">
        <v>8</v>
      </c>
      <c r="AK293" s="90">
        <v>9</v>
      </c>
      <c r="AL293" s="91">
        <v>0</v>
      </c>
      <c r="AM293" s="91">
        <v>1</v>
      </c>
      <c r="AN293" s="91">
        <v>2</v>
      </c>
      <c r="AO293" s="91">
        <v>3</v>
      </c>
      <c r="AP293" s="91">
        <v>4</v>
      </c>
      <c r="AQ293" s="91">
        <v>5</v>
      </c>
      <c r="AR293" s="91">
        <v>6</v>
      </c>
      <c r="AS293" s="91">
        <v>7</v>
      </c>
      <c r="AT293" s="91">
        <v>8</v>
      </c>
      <c r="AU293" s="91">
        <v>9</v>
      </c>
      <c r="AV293" s="92">
        <v>0</v>
      </c>
      <c r="AW293" s="92">
        <v>1</v>
      </c>
      <c r="AX293" s="92">
        <v>2</v>
      </c>
      <c r="AY293" s="92">
        <v>3</v>
      </c>
      <c r="AZ293" s="92">
        <v>4</v>
      </c>
      <c r="BA293" s="92">
        <v>5</v>
      </c>
      <c r="BB293" s="92">
        <v>6</v>
      </c>
      <c r="BC293" s="92">
        <v>7</v>
      </c>
      <c r="BD293" s="92">
        <v>8</v>
      </c>
      <c r="BE293" s="92">
        <v>9</v>
      </c>
      <c r="BF293" s="93">
        <v>0</v>
      </c>
      <c r="BG293" s="93">
        <v>1</v>
      </c>
      <c r="BH293" s="93">
        <v>2</v>
      </c>
      <c r="BI293" s="93">
        <v>3</v>
      </c>
      <c r="BJ293" s="93">
        <v>4</v>
      </c>
      <c r="BK293" s="93">
        <v>5</v>
      </c>
      <c r="BL293" s="93">
        <v>6</v>
      </c>
      <c r="BM293" s="93">
        <v>7</v>
      </c>
      <c r="BN293" s="93">
        <v>8</v>
      </c>
      <c r="BO293" s="93">
        <v>9</v>
      </c>
      <c r="BP293" s="94" t="str">
        <f t="shared" si="249"/>
        <v>紧凑型</v>
      </c>
      <c r="BQ293" s="15">
        <f t="shared" si="246"/>
        <v>1</v>
      </c>
      <c r="BR293" s="15">
        <f t="shared" si="247"/>
        <v>2</v>
      </c>
      <c r="BS293" s="20" t="str">
        <f t="shared" si="251"/>
        <v/>
      </c>
      <c r="BT293" s="21" t="str">
        <f t="shared" si="252"/>
        <v/>
      </c>
      <c r="BU293" s="21" t="str">
        <f t="array" ref="BU293">_xlfn.TEXTJOIN("",TRUE,IF(ISERROR(FIND(ROW($1:$168)-1,BS293&amp;BT293)),ROW($1:$168)-1,""))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93" s="22" t="str">
        <f t="shared" si="253"/>
        <v>中中中</v>
      </c>
      <c r="BW293" s="23">
        <f t="shared" si="228"/>
        <v>1</v>
      </c>
      <c r="BX293" s="23" t="str">
        <f t="shared" si="262"/>
        <v/>
      </c>
      <c r="BY293" s="23" t="str">
        <f t="array" ref="BY293">_xlfn.TEXTJOIN("",TRUE,IF(ISERROR(FIND(ROW($1:$168)-1,BW293&amp;BX293)),ROW($1:$168)-1,""))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93" s="22" t="str">
        <f t="shared" si="254"/>
        <v>复中中</v>
      </c>
      <c r="CA293" s="24">
        <f t="shared" si="255"/>
        <v>1</v>
      </c>
      <c r="CB293" s="24" t="str">
        <f t="shared" si="263"/>
        <v/>
      </c>
      <c r="CC293" s="24" t="str">
        <f t="array" ref="CC293">_xlfn.TEXTJOIN("",TRUE,IF(ISERROR(FIND(ROW($1:$168)-1,CA293&amp;CB293)),ROW($1:$168)-1,""))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93" s="22" t="str">
        <f t="shared" si="256"/>
        <v>复中中</v>
      </c>
      <c r="CE293" s="25" t="str">
        <f t="shared" si="250"/>
        <v>13</v>
      </c>
      <c r="CF293" s="26" t="str">
        <f t="array" ref="CF293">_xlfn.TEXTJOIN("",TRUE,IF(ISNUMBER(FIND(MID(CE292&amp;W292,ROW($1:$162),1),CE293&amp;W293)),MID(CE292&amp;W292,ROW($1:$162),1),""))</f>
        <v>21</v>
      </c>
      <c r="CG293" s="27" t="str">
        <f t="array" ref="CG293">_xlfn.TEXTJOIN("",TRUE,IF(ISERROR(FIND(ROW($1:$168)-1,CE293&amp;CF293)),ROW($1:$168)-1,""))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293" s="28" t="str">
        <f t="shared" si="257"/>
        <v>邻传孤</v>
      </c>
      <c r="CI293" s="29" t="str">
        <f t="shared" si="258"/>
        <v>02</v>
      </c>
      <c r="CJ293" s="29" t="str">
        <f t="array" ref="CJ293">_xlfn.TEXTJOIN("",TRUE,IF(ISNUMBER(FIND(MID(CI292&amp;X292,ROW($1:$162),1),CI293&amp;X293)),MID(CI292&amp;X292,ROW($1:$162),1),""))</f>
        <v>021</v>
      </c>
      <c r="CK293" s="29" t="str">
        <f t="array" ref="CK293">_xlfn.TEXTJOIN("",TRUE,IF(ISERROR(FIND(ROW($1:$168)-1,CI293&amp;CJ293)),ROW($1:$168)-1,""))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93" s="19" t="str">
        <f t="shared" si="259"/>
        <v>邻传孤</v>
      </c>
      <c r="CM293" s="24" t="str">
        <f t="shared" si="260"/>
        <v>02</v>
      </c>
      <c r="CN293" s="24" t="str">
        <f t="array" ref="CN293">_xlfn.TEXTJOIN("",TRUE,IF(ISNUMBER(FIND(MID(CM292&amp;Y292,ROW($1:$162),1),CM293&amp;Y293)),MID(CM292&amp;Y292,ROW($1:$162),1),""))</f>
        <v>10</v>
      </c>
      <c r="CO293" s="24" t="str">
        <f t="array" ref="CO293">_xlfn.TEXTJOIN("",TRUE,IF(ISERROR(FIND(ROW($1:$168)-1,CM293&amp;CN293)),ROW($1:$168)-1,""))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93" s="30" t="str">
        <f t="shared" si="261"/>
        <v>邻传孤</v>
      </c>
    </row>
    <row r="294" spans="1:94">
      <c r="A294" s="15">
        <v>294</v>
      </c>
      <c r="B294" s="80">
        <v>2024263</v>
      </c>
      <c r="C294" s="8" t="s">
        <v>284</v>
      </c>
      <c r="D294" s="81">
        <f t="shared" si="241"/>
        <v>13</v>
      </c>
      <c r="E294" s="82">
        <f t="shared" si="242"/>
        <v>3</v>
      </c>
      <c r="F294" s="83">
        <f t="shared" si="239"/>
        <v>1.85714285714286</v>
      </c>
      <c r="G294" s="84" t="str">
        <f t="shared" si="240"/>
        <v>松散</v>
      </c>
      <c r="H294" s="85" t="s">
        <v>10</v>
      </c>
      <c r="I294" s="85" t="s">
        <v>11</v>
      </c>
      <c r="J294" s="85" t="s">
        <v>12</v>
      </c>
      <c r="K294" s="85" t="s">
        <v>13</v>
      </c>
      <c r="L294" s="86">
        <f>MAX(MID(C294,{1,2,3},1)*1)-MIN(MID(C294,{1,2,3},1)*1)</f>
        <v>7</v>
      </c>
      <c r="M294" s="87">
        <v>0</v>
      </c>
      <c r="N294" s="87">
        <v>1</v>
      </c>
      <c r="O294" s="87">
        <v>2</v>
      </c>
      <c r="P294" s="87">
        <v>3</v>
      </c>
      <c r="Q294" s="87">
        <v>4</v>
      </c>
      <c r="R294" s="87">
        <v>5</v>
      </c>
      <c r="S294" s="87">
        <v>6</v>
      </c>
      <c r="T294" s="87">
        <v>7</v>
      </c>
      <c r="U294" s="87">
        <v>8</v>
      </c>
      <c r="V294" s="87">
        <v>9</v>
      </c>
      <c r="W294" s="88">
        <f t="shared" si="243"/>
        <v>7</v>
      </c>
      <c r="X294" s="88">
        <f t="shared" si="244"/>
        <v>0</v>
      </c>
      <c r="Y294" s="88">
        <f t="shared" si="245"/>
        <v>7</v>
      </c>
      <c r="Z294" s="89">
        <f t="shared" si="248"/>
        <v>14</v>
      </c>
      <c r="AA294" s="17" t="str">
        <f>_xlfn.TEXTJOIN(", ",TRUE,ABS(MID(C294,{1,1,2},1)-MID(C294,{2,3,3},1)))</f>
        <v>7, 0, 7</v>
      </c>
      <c r="AB294" s="90">
        <v>0</v>
      </c>
      <c r="AC294" s="90">
        <v>1</v>
      </c>
      <c r="AD294" s="90">
        <v>2</v>
      </c>
      <c r="AE294" s="90">
        <v>3</v>
      </c>
      <c r="AF294" s="90">
        <v>4</v>
      </c>
      <c r="AG294" s="90">
        <v>5</v>
      </c>
      <c r="AH294" s="90">
        <v>6</v>
      </c>
      <c r="AI294" s="90">
        <v>7</v>
      </c>
      <c r="AJ294" s="90">
        <v>8</v>
      </c>
      <c r="AK294" s="90">
        <v>9</v>
      </c>
      <c r="AL294" s="91">
        <v>0</v>
      </c>
      <c r="AM294" s="91">
        <v>1</v>
      </c>
      <c r="AN294" s="91">
        <v>2</v>
      </c>
      <c r="AO294" s="91">
        <v>3</v>
      </c>
      <c r="AP294" s="91">
        <v>4</v>
      </c>
      <c r="AQ294" s="91">
        <v>5</v>
      </c>
      <c r="AR294" s="91">
        <v>6</v>
      </c>
      <c r="AS294" s="91">
        <v>7</v>
      </c>
      <c r="AT294" s="91">
        <v>8</v>
      </c>
      <c r="AU294" s="91">
        <v>9</v>
      </c>
      <c r="AV294" s="92">
        <v>0</v>
      </c>
      <c r="AW294" s="92">
        <v>1</v>
      </c>
      <c r="AX294" s="92">
        <v>2</v>
      </c>
      <c r="AY294" s="92">
        <v>3</v>
      </c>
      <c r="AZ294" s="92">
        <v>4</v>
      </c>
      <c r="BA294" s="92">
        <v>5</v>
      </c>
      <c r="BB294" s="92">
        <v>6</v>
      </c>
      <c r="BC294" s="92">
        <v>7</v>
      </c>
      <c r="BD294" s="92">
        <v>8</v>
      </c>
      <c r="BE294" s="92">
        <v>9</v>
      </c>
      <c r="BF294" s="93">
        <v>0</v>
      </c>
      <c r="BG294" s="93">
        <v>1</v>
      </c>
      <c r="BH294" s="93">
        <v>2</v>
      </c>
      <c r="BI294" s="93">
        <v>3</v>
      </c>
      <c r="BJ294" s="93">
        <v>4</v>
      </c>
      <c r="BK294" s="93">
        <v>5</v>
      </c>
      <c r="BL294" s="93">
        <v>6</v>
      </c>
      <c r="BM294" s="93">
        <v>7</v>
      </c>
      <c r="BN294" s="93">
        <v>8</v>
      </c>
      <c r="BO294" s="93">
        <v>9</v>
      </c>
      <c r="BP294" s="94" t="str">
        <f t="shared" si="249"/>
        <v>松散型</v>
      </c>
      <c r="BQ294" s="15">
        <f t="shared" si="246"/>
        <v>0</v>
      </c>
      <c r="BR294" s="15">
        <f t="shared" si="247"/>
        <v>7</v>
      </c>
      <c r="BS294" s="20" t="str">
        <f t="shared" si="251"/>
        <v/>
      </c>
      <c r="BT294" s="21" t="str">
        <f t="shared" si="252"/>
        <v/>
      </c>
      <c r="BU294" s="21" t="str">
        <f t="array" ref="BU294">_xlfn.TEXTJOIN("",TRUE,IF(ISERROR(FIND(ROW($1:$168)-1,BS294&amp;BT294)),ROW($1:$168)-1,""))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94" s="22" t="str">
        <f t="shared" si="253"/>
        <v>中中中</v>
      </c>
      <c r="BW294" s="23" t="str">
        <f t="shared" ref="BW294:BW357" si="264">IF(COUNTIF($W293:$Y293,X294)&gt;0,X294,"")</f>
        <v/>
      </c>
      <c r="BX294" s="23">
        <f t="shared" si="262"/>
        <v>0</v>
      </c>
      <c r="BY294" s="23" t="str">
        <f t="array" ref="BY294">_xlfn.TEXTJOIN("",TRUE,IF(ISERROR(FIND(ROW($1:$168)-1,BW294&amp;BX294)),ROW($1:$168)-1,""))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94" s="22" t="str">
        <f t="shared" si="254"/>
        <v>中隔中</v>
      </c>
      <c r="CA294" s="24" t="str">
        <f t="shared" si="255"/>
        <v/>
      </c>
      <c r="CB294" s="24" t="str">
        <f t="shared" si="263"/>
        <v/>
      </c>
      <c r="CC294" s="24" t="str">
        <f t="array" ref="CC294">_xlfn.TEXTJOIN("",TRUE,IF(ISERROR(FIND(ROW($1:$168)-1,CA294&amp;CB294)),ROW($1:$168)-1,""))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94" s="22" t="str">
        <f t="shared" si="256"/>
        <v>中中中</v>
      </c>
      <c r="CE294" s="25" t="str">
        <f t="shared" si="250"/>
        <v>68</v>
      </c>
      <c r="CF294" s="26" t="str">
        <f t="array" ref="CF294">_xlfn.TEXTJOIN("",TRUE,IF(ISNUMBER(FIND(MID(CE293&amp;W293,ROW($1:$162),1),CE294&amp;W294)),MID(CE293&amp;W293,ROW($1:$162),1),""))</f>
        <v/>
      </c>
      <c r="CG294" s="27" t="str">
        <f t="array" ref="CG294">_xlfn.TEXTJOIN("",TRUE,IF(ISERROR(FIND(ROW($1:$168)-1,CE294&amp;CF294)),ROW($1:$168)-1,""))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94" s="28" t="str">
        <f t="shared" si="257"/>
        <v>邻孤孤</v>
      </c>
      <c r="CI294" s="29" t="str">
        <f t="shared" si="258"/>
        <v>91</v>
      </c>
      <c r="CJ294" s="29" t="str">
        <f t="array" ref="CJ294">_xlfn.TEXTJOIN("",TRUE,IF(ISNUMBER(FIND(MID(CI293&amp;X293,ROW($1:$162),1),CI294&amp;X294)),MID(CI293&amp;X293,ROW($1:$162),1),""))</f>
        <v>01</v>
      </c>
      <c r="CK294" s="29" t="str">
        <f t="array" ref="CK294">_xlfn.TEXTJOIN("",TRUE,IF(ISERROR(FIND(ROW($1:$168)-1,CI294&amp;CJ294)),ROW($1:$168)-1,""))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L294" s="19" t="str">
        <f t="shared" si="259"/>
        <v>邻传孤</v>
      </c>
      <c r="CM294" s="24" t="str">
        <f t="shared" si="260"/>
        <v>68</v>
      </c>
      <c r="CN294" s="24" t="str">
        <f t="array" ref="CN294">_xlfn.TEXTJOIN("",TRUE,IF(ISNUMBER(FIND(MID(CM293&amp;Y293,ROW($1:$162),1),CM294&amp;Y294)),MID(CM293&amp;Y293,ROW($1:$162),1),""))</f>
        <v/>
      </c>
      <c r="CO294" s="24" t="str">
        <f t="array" ref="CO294">_xlfn.TEXTJOIN("",TRUE,IF(ISERROR(FIND(ROW($1:$168)-1,CM294&amp;CN294)),ROW($1:$168)-1,""))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94" s="30" t="str">
        <f t="shared" si="261"/>
        <v>邻孤孤</v>
      </c>
    </row>
    <row r="295" spans="1:94">
      <c r="A295" s="15">
        <v>295</v>
      </c>
      <c r="B295" s="80">
        <v>2024264</v>
      </c>
      <c r="C295" s="8" t="s">
        <v>235</v>
      </c>
      <c r="D295" s="81">
        <f t="shared" si="241"/>
        <v>8</v>
      </c>
      <c r="E295" s="82">
        <f t="shared" si="242"/>
        <v>8</v>
      </c>
      <c r="F295" s="83">
        <f t="shared" si="239"/>
        <v>1.14285714285714</v>
      </c>
      <c r="G295" s="84" t="str">
        <f t="shared" si="240"/>
        <v>松散</v>
      </c>
      <c r="H295" s="85" t="s">
        <v>10</v>
      </c>
      <c r="I295" s="85" t="s">
        <v>11</v>
      </c>
      <c r="J295" s="85" t="s">
        <v>12</v>
      </c>
      <c r="K295" s="85" t="s">
        <v>13</v>
      </c>
      <c r="L295" s="86">
        <f>MAX(MID(C295,{1,2,3},1)*1)-MIN(MID(C295,{1,2,3},1)*1)</f>
        <v>7</v>
      </c>
      <c r="M295" s="87">
        <v>0</v>
      </c>
      <c r="N295" s="87">
        <v>1</v>
      </c>
      <c r="O295" s="87">
        <v>2</v>
      </c>
      <c r="P295" s="87">
        <v>3</v>
      </c>
      <c r="Q295" s="87">
        <v>4</v>
      </c>
      <c r="R295" s="87">
        <v>5</v>
      </c>
      <c r="S295" s="87">
        <v>6</v>
      </c>
      <c r="T295" s="87">
        <v>7</v>
      </c>
      <c r="U295" s="87">
        <v>8</v>
      </c>
      <c r="V295" s="87">
        <v>9</v>
      </c>
      <c r="W295" s="88">
        <f t="shared" si="243"/>
        <v>6</v>
      </c>
      <c r="X295" s="88">
        <f t="shared" si="244"/>
        <v>7</v>
      </c>
      <c r="Y295" s="88">
        <f t="shared" si="245"/>
        <v>1</v>
      </c>
      <c r="Z295" s="89">
        <f t="shared" si="248"/>
        <v>14</v>
      </c>
      <c r="AA295" s="17" t="str">
        <f>_xlfn.TEXTJOIN(", ",TRUE,ABS(MID(C295,{1,1,2},1)-MID(C295,{2,3,3},1)))</f>
        <v>6, 7, 1</v>
      </c>
      <c r="AB295" s="90">
        <v>0</v>
      </c>
      <c r="AC295" s="90">
        <v>1</v>
      </c>
      <c r="AD295" s="90">
        <v>2</v>
      </c>
      <c r="AE295" s="90">
        <v>3</v>
      </c>
      <c r="AF295" s="90">
        <v>4</v>
      </c>
      <c r="AG295" s="90">
        <v>5</v>
      </c>
      <c r="AH295" s="90">
        <v>6</v>
      </c>
      <c r="AI295" s="90">
        <v>7</v>
      </c>
      <c r="AJ295" s="90">
        <v>8</v>
      </c>
      <c r="AK295" s="90">
        <v>9</v>
      </c>
      <c r="AL295" s="91">
        <v>0</v>
      </c>
      <c r="AM295" s="91">
        <v>1</v>
      </c>
      <c r="AN295" s="91">
        <v>2</v>
      </c>
      <c r="AO295" s="91">
        <v>3</v>
      </c>
      <c r="AP295" s="91">
        <v>4</v>
      </c>
      <c r="AQ295" s="91">
        <v>5</v>
      </c>
      <c r="AR295" s="91">
        <v>6</v>
      </c>
      <c r="AS295" s="91">
        <v>7</v>
      </c>
      <c r="AT295" s="91">
        <v>8</v>
      </c>
      <c r="AU295" s="91">
        <v>9</v>
      </c>
      <c r="AV295" s="92">
        <v>0</v>
      </c>
      <c r="AW295" s="92">
        <v>1</v>
      </c>
      <c r="AX295" s="92">
        <v>2</v>
      </c>
      <c r="AY295" s="92">
        <v>3</v>
      </c>
      <c r="AZ295" s="92">
        <v>4</v>
      </c>
      <c r="BA295" s="92">
        <v>5</v>
      </c>
      <c r="BB295" s="92">
        <v>6</v>
      </c>
      <c r="BC295" s="92">
        <v>7</v>
      </c>
      <c r="BD295" s="92">
        <v>8</v>
      </c>
      <c r="BE295" s="92">
        <v>9</v>
      </c>
      <c r="BF295" s="93">
        <v>0</v>
      </c>
      <c r="BG295" s="93">
        <v>1</v>
      </c>
      <c r="BH295" s="93">
        <v>2</v>
      </c>
      <c r="BI295" s="93">
        <v>3</v>
      </c>
      <c r="BJ295" s="93">
        <v>4</v>
      </c>
      <c r="BK295" s="93">
        <v>5</v>
      </c>
      <c r="BL295" s="93">
        <v>6</v>
      </c>
      <c r="BM295" s="93">
        <v>7</v>
      </c>
      <c r="BN295" s="93">
        <v>8</v>
      </c>
      <c r="BO295" s="93">
        <v>9</v>
      </c>
      <c r="BP295" s="94" t="str">
        <f t="shared" si="249"/>
        <v>松散型</v>
      </c>
      <c r="BQ295" s="15">
        <f t="shared" si="246"/>
        <v>1</v>
      </c>
      <c r="BR295" s="15">
        <f t="shared" si="247"/>
        <v>7</v>
      </c>
      <c r="BS295" s="20" t="str">
        <f t="shared" si="251"/>
        <v/>
      </c>
      <c r="BT295" s="21" t="str">
        <f t="shared" si="252"/>
        <v/>
      </c>
      <c r="BU295" s="21" t="str">
        <f t="array" ref="BU295">_xlfn.TEXTJOIN("",TRUE,IF(ISERROR(FIND(ROW($1:$168)-1,BS295&amp;BT295)),ROW($1:$168)-1,""))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95" s="22" t="str">
        <f t="shared" si="253"/>
        <v>中中中</v>
      </c>
      <c r="BW295" s="23">
        <f t="shared" si="264"/>
        <v>7</v>
      </c>
      <c r="BX295" s="23" t="str">
        <f t="shared" si="262"/>
        <v/>
      </c>
      <c r="BY295" s="23" t="str">
        <f t="array" ref="BY295">_xlfn.TEXTJOIN("",TRUE,IF(ISERROR(FIND(ROW($1:$168)-1,BW295&amp;BX295)),ROW($1:$168)-1,""))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95" s="22" t="str">
        <f t="shared" si="254"/>
        <v>复中中</v>
      </c>
      <c r="CA295" s="24" t="str">
        <f t="shared" si="255"/>
        <v/>
      </c>
      <c r="CB295" s="24">
        <f t="shared" si="263"/>
        <v>1</v>
      </c>
      <c r="CC295" s="24" t="str">
        <f t="array" ref="CC295">_xlfn.TEXTJOIN("",TRUE,IF(ISERROR(FIND(ROW($1:$168)-1,CA295&amp;CB295)),ROW($1:$168)-1,""))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95" s="22" t="str">
        <f t="shared" si="256"/>
        <v>中隔中</v>
      </c>
      <c r="CE295" s="25" t="str">
        <f t="shared" si="250"/>
        <v>57</v>
      </c>
      <c r="CF295" s="26" t="str">
        <f t="array" ref="CF295">_xlfn.TEXTJOIN("",TRUE,IF(ISNUMBER(FIND(MID(CE294&amp;W294,ROW($1:$162),1),CE295&amp;W295)),MID(CE294&amp;W294,ROW($1:$162),1),""))</f>
        <v>67</v>
      </c>
      <c r="CG295" s="27" t="str">
        <f t="array" ref="CG295">_xlfn.TEXTJOIN("",TRUE,IF(ISERROR(FIND(ROW($1:$168)-1,CE295&amp;CF295)),ROW($1:$168)-1,""))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95" s="28" t="str">
        <f t="shared" si="257"/>
        <v>邻传孤</v>
      </c>
      <c r="CI295" s="29" t="str">
        <f t="shared" si="258"/>
        <v>68</v>
      </c>
      <c r="CJ295" s="29" t="str">
        <f t="array" ref="CJ295">_xlfn.TEXTJOIN("",TRUE,IF(ISNUMBER(FIND(MID(CI294&amp;X294,ROW($1:$162),1),CI295&amp;X295)),MID(CI294&amp;X294,ROW($1:$162),1),""))</f>
        <v/>
      </c>
      <c r="CK295" s="29" t="str">
        <f t="array" ref="CK295">_xlfn.TEXTJOIN("",TRUE,IF(ISERROR(FIND(ROW($1:$168)-1,CI295&amp;CJ295)),ROW($1:$168)-1,""))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95" s="19" t="str">
        <f t="shared" si="259"/>
        <v>邻孤孤</v>
      </c>
      <c r="CM295" s="24" t="str">
        <f t="shared" si="260"/>
        <v>02</v>
      </c>
      <c r="CN295" s="24" t="str">
        <f t="array" ref="CN295">_xlfn.TEXTJOIN("",TRUE,IF(ISNUMBER(FIND(MID(CM294&amp;Y294,ROW($1:$162),1),CM295&amp;Y295)),MID(CM294&amp;Y294,ROW($1:$162),1),""))</f>
        <v/>
      </c>
      <c r="CO295" s="24" t="str">
        <f t="array" ref="CO295">_xlfn.TEXTJOIN("",TRUE,IF(ISERROR(FIND(ROW($1:$168)-1,CM295&amp;CN295)),ROW($1:$168)-1,""))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95" s="30" t="str">
        <f t="shared" si="261"/>
        <v>邻孤孤</v>
      </c>
    </row>
    <row r="296" spans="1:94">
      <c r="A296" s="15">
        <v>296</v>
      </c>
      <c r="B296" s="80">
        <v>2024265</v>
      </c>
      <c r="C296" s="8" t="s">
        <v>285</v>
      </c>
      <c r="D296" s="81">
        <f t="shared" si="241"/>
        <v>11</v>
      </c>
      <c r="E296" s="82">
        <f t="shared" si="242"/>
        <v>1</v>
      </c>
      <c r="F296" s="83">
        <f t="shared" si="239"/>
        <v>3.66666666666667</v>
      </c>
      <c r="G296" s="84" t="str">
        <f t="shared" si="240"/>
        <v>紧凑</v>
      </c>
      <c r="H296" s="85" t="s">
        <v>10</v>
      </c>
      <c r="I296" s="85" t="s">
        <v>11</v>
      </c>
      <c r="J296" s="85" t="s">
        <v>12</v>
      </c>
      <c r="K296" s="85" t="s">
        <v>13</v>
      </c>
      <c r="L296" s="86">
        <f>MAX(MID(C296,{1,2,3},1)*1)-MIN(MID(C296,{1,2,3},1)*1)</f>
        <v>3</v>
      </c>
      <c r="M296" s="87">
        <v>0</v>
      </c>
      <c r="N296" s="87">
        <v>1</v>
      </c>
      <c r="O296" s="87">
        <v>2</v>
      </c>
      <c r="P296" s="87">
        <v>3</v>
      </c>
      <c r="Q296" s="87">
        <v>4</v>
      </c>
      <c r="R296" s="87">
        <v>5</v>
      </c>
      <c r="S296" s="87">
        <v>6</v>
      </c>
      <c r="T296" s="87">
        <v>7</v>
      </c>
      <c r="U296" s="87">
        <v>8</v>
      </c>
      <c r="V296" s="87">
        <v>9</v>
      </c>
      <c r="W296" s="88">
        <f t="shared" si="243"/>
        <v>2</v>
      </c>
      <c r="X296" s="88">
        <f t="shared" si="244"/>
        <v>3</v>
      </c>
      <c r="Y296" s="88">
        <f t="shared" si="245"/>
        <v>1</v>
      </c>
      <c r="Z296" s="89">
        <f t="shared" si="248"/>
        <v>6</v>
      </c>
      <c r="AA296" s="17" t="str">
        <f>_xlfn.TEXTJOIN(", ",TRUE,ABS(MID(C296,{1,1,2},1)-MID(C296,{2,3,3},1)))</f>
        <v>2, 3, 1</v>
      </c>
      <c r="AB296" s="90">
        <v>0</v>
      </c>
      <c r="AC296" s="90">
        <v>1</v>
      </c>
      <c r="AD296" s="90">
        <v>2</v>
      </c>
      <c r="AE296" s="90">
        <v>3</v>
      </c>
      <c r="AF296" s="90">
        <v>4</v>
      </c>
      <c r="AG296" s="90">
        <v>5</v>
      </c>
      <c r="AH296" s="90">
        <v>6</v>
      </c>
      <c r="AI296" s="90">
        <v>7</v>
      </c>
      <c r="AJ296" s="90">
        <v>8</v>
      </c>
      <c r="AK296" s="90">
        <v>9</v>
      </c>
      <c r="AL296" s="91">
        <v>0</v>
      </c>
      <c r="AM296" s="91">
        <v>1</v>
      </c>
      <c r="AN296" s="91">
        <v>2</v>
      </c>
      <c r="AO296" s="91">
        <v>3</v>
      </c>
      <c r="AP296" s="91">
        <v>4</v>
      </c>
      <c r="AQ296" s="91">
        <v>5</v>
      </c>
      <c r="AR296" s="91">
        <v>6</v>
      </c>
      <c r="AS296" s="91">
        <v>7</v>
      </c>
      <c r="AT296" s="91">
        <v>8</v>
      </c>
      <c r="AU296" s="91">
        <v>9</v>
      </c>
      <c r="AV296" s="92">
        <v>0</v>
      </c>
      <c r="AW296" s="92">
        <v>1</v>
      </c>
      <c r="AX296" s="92">
        <v>2</v>
      </c>
      <c r="AY296" s="92">
        <v>3</v>
      </c>
      <c r="AZ296" s="92">
        <v>4</v>
      </c>
      <c r="BA296" s="92">
        <v>5</v>
      </c>
      <c r="BB296" s="92">
        <v>6</v>
      </c>
      <c r="BC296" s="92">
        <v>7</v>
      </c>
      <c r="BD296" s="92">
        <v>8</v>
      </c>
      <c r="BE296" s="92">
        <v>9</v>
      </c>
      <c r="BF296" s="93">
        <v>0</v>
      </c>
      <c r="BG296" s="93">
        <v>1</v>
      </c>
      <c r="BH296" s="93">
        <v>2</v>
      </c>
      <c r="BI296" s="93">
        <v>3</v>
      </c>
      <c r="BJ296" s="93">
        <v>4</v>
      </c>
      <c r="BK296" s="93">
        <v>5</v>
      </c>
      <c r="BL296" s="93">
        <v>6</v>
      </c>
      <c r="BM296" s="93">
        <v>7</v>
      </c>
      <c r="BN296" s="93">
        <v>8</v>
      </c>
      <c r="BO296" s="93">
        <v>9</v>
      </c>
      <c r="BP296" s="94" t="str">
        <f t="shared" si="249"/>
        <v>紧凑型</v>
      </c>
      <c r="BQ296" s="15">
        <f t="shared" si="246"/>
        <v>1</v>
      </c>
      <c r="BR296" s="15">
        <f t="shared" si="247"/>
        <v>3</v>
      </c>
      <c r="BS296" s="20" t="str">
        <f t="shared" si="251"/>
        <v/>
      </c>
      <c r="BT296" s="21" t="str">
        <f t="shared" si="252"/>
        <v/>
      </c>
      <c r="BU296" s="21" t="str">
        <f t="array" ref="BU296">_xlfn.TEXTJOIN("",TRUE,IF(ISERROR(FIND(ROW($1:$168)-1,BS296&amp;BT296)),ROW($1:$168)-1,""))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96" s="22" t="str">
        <f t="shared" si="253"/>
        <v>中中中</v>
      </c>
      <c r="BW296" s="23" t="str">
        <f t="shared" si="264"/>
        <v/>
      </c>
      <c r="BX296" s="23" t="str">
        <f t="shared" si="262"/>
        <v/>
      </c>
      <c r="BY296" s="23" t="str">
        <f t="array" ref="BY296">_xlfn.TEXTJOIN("",TRUE,IF(ISERROR(FIND(ROW($1:$168)-1,BW296&amp;BX296)),ROW($1:$168)-1,""))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96" s="22" t="str">
        <f t="shared" si="254"/>
        <v>中中中</v>
      </c>
      <c r="CA296" s="24">
        <f t="shared" si="255"/>
        <v>1</v>
      </c>
      <c r="CB296" s="24" t="str">
        <f t="shared" si="263"/>
        <v/>
      </c>
      <c r="CC296" s="24" t="str">
        <f t="array" ref="CC296">_xlfn.TEXTJOIN("",TRUE,IF(ISERROR(FIND(ROW($1:$168)-1,CA296&amp;CB296)),ROW($1:$168)-1,""))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96" s="22" t="str">
        <f t="shared" si="256"/>
        <v>复中中</v>
      </c>
      <c r="CE296" s="25" t="str">
        <f t="shared" si="250"/>
        <v>13</v>
      </c>
      <c r="CF296" s="26" t="str">
        <f t="array" ref="CF296">_xlfn.TEXTJOIN("",TRUE,IF(ISNUMBER(FIND(MID(CE295&amp;W295,ROW($1:$162),1),CE296&amp;W296)),MID(CE295&amp;W295,ROW($1:$162),1),""))</f>
        <v/>
      </c>
      <c r="CG296" s="27" t="str">
        <f t="array" ref="CG296">_xlfn.TEXTJOIN("",TRUE,IF(ISERROR(FIND(ROW($1:$168)-1,CE296&amp;CF296)),ROW($1:$168)-1,""))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96" s="28" t="str">
        <f t="shared" si="257"/>
        <v>邻孤孤</v>
      </c>
      <c r="CI296" s="29" t="str">
        <f t="shared" si="258"/>
        <v>24</v>
      </c>
      <c r="CJ296" s="29" t="str">
        <f t="array" ref="CJ296">_xlfn.TEXTJOIN("",TRUE,IF(ISNUMBER(FIND(MID(CI295&amp;X295,ROW($1:$162),1),CI296&amp;X296)),MID(CI295&amp;X295,ROW($1:$162),1),""))</f>
        <v/>
      </c>
      <c r="CK296" s="29" t="str">
        <f t="array" ref="CK296">_xlfn.TEXTJOIN("",TRUE,IF(ISERROR(FIND(ROW($1:$168)-1,CI296&amp;CJ296)),ROW($1:$168)-1,""))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96" s="19" t="str">
        <f t="shared" si="259"/>
        <v>邻孤孤</v>
      </c>
      <c r="CM296" s="24" t="str">
        <f t="shared" si="260"/>
        <v>02</v>
      </c>
      <c r="CN296" s="24" t="str">
        <f t="array" ref="CN296">_xlfn.TEXTJOIN("",TRUE,IF(ISNUMBER(FIND(MID(CM295&amp;Y295,ROW($1:$162),1),CM296&amp;Y296)),MID(CM295&amp;Y295,ROW($1:$162),1),""))</f>
        <v>021</v>
      </c>
      <c r="CO296" s="24" t="str">
        <f t="array" ref="CO296">_xlfn.TEXTJOIN("",TRUE,IF(ISERROR(FIND(ROW($1:$168)-1,CM296&amp;CN296)),ROW($1:$168)-1,""))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96" s="30" t="str">
        <f t="shared" si="261"/>
        <v>邻传孤</v>
      </c>
    </row>
    <row r="297" spans="1:94">
      <c r="A297" s="15">
        <v>297</v>
      </c>
      <c r="B297" s="80">
        <v>2024266</v>
      </c>
      <c r="C297" s="8" t="s">
        <v>241</v>
      </c>
      <c r="D297" s="81">
        <f t="shared" si="241"/>
        <v>12</v>
      </c>
      <c r="E297" s="82">
        <f t="shared" si="242"/>
        <v>2</v>
      </c>
      <c r="F297" s="83">
        <f t="shared" si="239"/>
        <v>1.33333333333333</v>
      </c>
      <c r="G297" s="84" t="str">
        <f t="shared" si="240"/>
        <v>松散</v>
      </c>
      <c r="H297" s="85" t="s">
        <v>10</v>
      </c>
      <c r="I297" s="85" t="s">
        <v>11</v>
      </c>
      <c r="J297" s="85" t="s">
        <v>12</v>
      </c>
      <c r="K297" s="85" t="s">
        <v>13</v>
      </c>
      <c r="L297" s="86">
        <f>MAX(MID(C297,{1,2,3},1)*1)-MIN(MID(C297,{1,2,3},1)*1)</f>
        <v>9</v>
      </c>
      <c r="M297" s="87">
        <v>0</v>
      </c>
      <c r="N297" s="87">
        <v>1</v>
      </c>
      <c r="O297" s="87">
        <v>2</v>
      </c>
      <c r="P297" s="87">
        <v>3</v>
      </c>
      <c r="Q297" s="87">
        <v>4</v>
      </c>
      <c r="R297" s="87">
        <v>5</v>
      </c>
      <c r="S297" s="87">
        <v>6</v>
      </c>
      <c r="T297" s="87">
        <v>7</v>
      </c>
      <c r="U297" s="87">
        <v>8</v>
      </c>
      <c r="V297" s="87">
        <v>9</v>
      </c>
      <c r="W297" s="88">
        <f t="shared" si="243"/>
        <v>6</v>
      </c>
      <c r="X297" s="88">
        <f t="shared" si="244"/>
        <v>3</v>
      </c>
      <c r="Y297" s="88">
        <f t="shared" si="245"/>
        <v>9</v>
      </c>
      <c r="Z297" s="89">
        <f t="shared" si="248"/>
        <v>18</v>
      </c>
      <c r="AA297" s="17" t="str">
        <f>_xlfn.TEXTJOIN(", ",TRUE,ABS(MID(C297,{1,1,2},1)-MID(C297,{2,3,3},1)))</f>
        <v>6, 3, 9</v>
      </c>
      <c r="AB297" s="90">
        <v>0</v>
      </c>
      <c r="AC297" s="90">
        <v>1</v>
      </c>
      <c r="AD297" s="90">
        <v>2</v>
      </c>
      <c r="AE297" s="90">
        <v>3</v>
      </c>
      <c r="AF297" s="90">
        <v>4</v>
      </c>
      <c r="AG297" s="90">
        <v>5</v>
      </c>
      <c r="AH297" s="90">
        <v>6</v>
      </c>
      <c r="AI297" s="90">
        <v>7</v>
      </c>
      <c r="AJ297" s="90">
        <v>8</v>
      </c>
      <c r="AK297" s="90">
        <v>9</v>
      </c>
      <c r="AL297" s="91">
        <v>0</v>
      </c>
      <c r="AM297" s="91">
        <v>1</v>
      </c>
      <c r="AN297" s="91">
        <v>2</v>
      </c>
      <c r="AO297" s="91">
        <v>3</v>
      </c>
      <c r="AP297" s="91">
        <v>4</v>
      </c>
      <c r="AQ297" s="91">
        <v>5</v>
      </c>
      <c r="AR297" s="91">
        <v>6</v>
      </c>
      <c r="AS297" s="91">
        <v>7</v>
      </c>
      <c r="AT297" s="91">
        <v>8</v>
      </c>
      <c r="AU297" s="91">
        <v>9</v>
      </c>
      <c r="AV297" s="92">
        <v>0</v>
      </c>
      <c r="AW297" s="92">
        <v>1</v>
      </c>
      <c r="AX297" s="92">
        <v>2</v>
      </c>
      <c r="AY297" s="92">
        <v>3</v>
      </c>
      <c r="AZ297" s="92">
        <v>4</v>
      </c>
      <c r="BA297" s="92">
        <v>5</v>
      </c>
      <c r="BB297" s="92">
        <v>6</v>
      </c>
      <c r="BC297" s="92">
        <v>7</v>
      </c>
      <c r="BD297" s="92">
        <v>8</v>
      </c>
      <c r="BE297" s="92">
        <v>9</v>
      </c>
      <c r="BF297" s="93">
        <v>0</v>
      </c>
      <c r="BG297" s="93">
        <v>1</v>
      </c>
      <c r="BH297" s="93">
        <v>2</v>
      </c>
      <c r="BI297" s="93">
        <v>3</v>
      </c>
      <c r="BJ297" s="93">
        <v>4</v>
      </c>
      <c r="BK297" s="93">
        <v>5</v>
      </c>
      <c r="BL297" s="93">
        <v>6</v>
      </c>
      <c r="BM297" s="93">
        <v>7</v>
      </c>
      <c r="BN297" s="93">
        <v>8</v>
      </c>
      <c r="BO297" s="93">
        <v>9</v>
      </c>
      <c r="BP297" s="94" t="str">
        <f t="shared" si="249"/>
        <v>松散型</v>
      </c>
      <c r="BQ297" s="15">
        <f t="shared" si="246"/>
        <v>3</v>
      </c>
      <c r="BR297" s="15">
        <f t="shared" si="247"/>
        <v>9</v>
      </c>
      <c r="BS297" s="20" t="str">
        <f t="shared" si="251"/>
        <v/>
      </c>
      <c r="BT297" s="21">
        <f t="shared" si="252"/>
        <v>6</v>
      </c>
      <c r="BU297" s="21" t="str">
        <f t="array" ref="BU297">_xlfn.TEXTJOIN("",TRUE,IF(ISERROR(FIND(ROW($1:$168)-1,BS297&amp;BT297)),ROW($1:$168)-1,""))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97" s="22" t="str">
        <f t="shared" si="253"/>
        <v>中隔中</v>
      </c>
      <c r="BW297" s="23">
        <f t="shared" si="264"/>
        <v>3</v>
      </c>
      <c r="BX297" s="23" t="str">
        <f t="shared" si="262"/>
        <v/>
      </c>
      <c r="BY297" s="23" t="str">
        <f t="array" ref="BY297">_xlfn.TEXTJOIN("",TRUE,IF(ISERROR(FIND(ROW($1:$168)-1,BW297&amp;BX297)),ROW($1:$168)-1,""))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97" s="22" t="str">
        <f t="shared" si="254"/>
        <v>复中中</v>
      </c>
      <c r="CA297" s="24" t="str">
        <f t="shared" si="255"/>
        <v/>
      </c>
      <c r="CB297" s="24" t="str">
        <f t="shared" si="263"/>
        <v/>
      </c>
      <c r="CC297" s="24" t="str">
        <f t="array" ref="CC297">_xlfn.TEXTJOIN("",TRUE,IF(ISERROR(FIND(ROW($1:$168)-1,CA297&amp;CB297)),ROW($1:$168)-1,""))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97" s="22" t="str">
        <f t="shared" si="256"/>
        <v>中中中</v>
      </c>
      <c r="CE297" s="25" t="str">
        <f t="shared" si="250"/>
        <v>57</v>
      </c>
      <c r="CF297" s="26" t="str">
        <f t="array" ref="CF297">_xlfn.TEXTJOIN("",TRUE,IF(ISNUMBER(FIND(MID(CE296&amp;W296,ROW($1:$162),1),CE297&amp;W297)),MID(CE296&amp;W296,ROW($1:$162),1),""))</f>
        <v/>
      </c>
      <c r="CG297" s="27" t="str">
        <f t="array" ref="CG297">_xlfn.TEXTJOIN("",TRUE,IF(ISERROR(FIND(ROW($1:$168)-1,CE297&amp;CF297)),ROW($1:$168)-1,""))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97" s="28" t="str">
        <f t="shared" si="257"/>
        <v>邻孤孤</v>
      </c>
      <c r="CI297" s="29" t="str">
        <f t="shared" si="258"/>
        <v>24</v>
      </c>
      <c r="CJ297" s="29" t="str">
        <f t="array" ref="CJ297">_xlfn.TEXTJOIN("",TRUE,IF(ISNUMBER(FIND(MID(CI296&amp;X296,ROW($1:$162),1),CI297&amp;X297)),MID(CI296&amp;X296,ROW($1:$162),1),""))</f>
        <v>243</v>
      </c>
      <c r="CK297" s="29" t="str">
        <f t="array" ref="CK297">_xlfn.TEXTJOIN("",TRUE,IF(ISERROR(FIND(ROW($1:$168)-1,CI297&amp;CJ297)),ROW($1:$168)-1,""))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97" s="19" t="str">
        <f t="shared" si="259"/>
        <v>邻传孤</v>
      </c>
      <c r="CM297" s="24" t="str">
        <f t="shared" si="260"/>
        <v>80</v>
      </c>
      <c r="CN297" s="24" t="str">
        <f t="array" ref="CN297">_xlfn.TEXTJOIN("",TRUE,IF(ISNUMBER(FIND(MID(CM296&amp;Y296,ROW($1:$162),1),CM297&amp;Y297)),MID(CM296&amp;Y296,ROW($1:$162),1),""))</f>
        <v>0</v>
      </c>
      <c r="CO297" s="24" t="str">
        <f t="array" ref="CO297">_xlfn.TEXTJOIN("",TRUE,IF(ISERROR(FIND(ROW($1:$168)-1,CM297&amp;CN297)),ROW($1:$168)-1,""))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297" s="30" t="str">
        <f t="shared" si="261"/>
        <v>邻传孤</v>
      </c>
    </row>
    <row r="298" spans="1:94">
      <c r="A298" s="15">
        <v>298</v>
      </c>
      <c r="B298" s="80">
        <v>2024267</v>
      </c>
      <c r="C298" s="8" t="s">
        <v>47</v>
      </c>
      <c r="D298" s="81">
        <f t="shared" si="241"/>
        <v>11</v>
      </c>
      <c r="E298" s="82">
        <f t="shared" si="242"/>
        <v>1</v>
      </c>
      <c r="F298" s="83">
        <f t="shared" si="239"/>
        <v>2.2</v>
      </c>
      <c r="G298" s="84" t="str">
        <f t="shared" si="240"/>
        <v>标准</v>
      </c>
      <c r="H298" s="85" t="s">
        <v>10</v>
      </c>
      <c r="I298" s="85" t="s">
        <v>11</v>
      </c>
      <c r="J298" s="85" t="s">
        <v>12</v>
      </c>
      <c r="K298" s="85" t="s">
        <v>13</v>
      </c>
      <c r="L298" s="86">
        <f>MAX(MID(C298,{1,2,3},1)*1)-MIN(MID(C298,{1,2,3},1)*1)</f>
        <v>5</v>
      </c>
      <c r="M298" s="87">
        <v>0</v>
      </c>
      <c r="N298" s="87">
        <v>1</v>
      </c>
      <c r="O298" s="87">
        <v>2</v>
      </c>
      <c r="P298" s="87">
        <v>3</v>
      </c>
      <c r="Q298" s="87">
        <v>4</v>
      </c>
      <c r="R298" s="87">
        <v>5</v>
      </c>
      <c r="S298" s="87">
        <v>6</v>
      </c>
      <c r="T298" s="87">
        <v>7</v>
      </c>
      <c r="U298" s="87">
        <v>8</v>
      </c>
      <c r="V298" s="87">
        <v>9</v>
      </c>
      <c r="W298" s="88">
        <f t="shared" si="243"/>
        <v>0</v>
      </c>
      <c r="X298" s="88">
        <f t="shared" si="244"/>
        <v>5</v>
      </c>
      <c r="Y298" s="88">
        <f t="shared" si="245"/>
        <v>5</v>
      </c>
      <c r="Z298" s="89">
        <f t="shared" si="248"/>
        <v>10</v>
      </c>
      <c r="AA298" s="17" t="str">
        <f>_xlfn.TEXTJOIN(", ",TRUE,ABS(MID(C298,{1,1,2},1)-MID(C298,{2,3,3},1)))</f>
        <v>0, 5, 5</v>
      </c>
      <c r="AB298" s="90">
        <v>0</v>
      </c>
      <c r="AC298" s="90">
        <v>1</v>
      </c>
      <c r="AD298" s="90">
        <v>2</v>
      </c>
      <c r="AE298" s="90">
        <v>3</v>
      </c>
      <c r="AF298" s="90">
        <v>4</v>
      </c>
      <c r="AG298" s="90">
        <v>5</v>
      </c>
      <c r="AH298" s="90">
        <v>6</v>
      </c>
      <c r="AI298" s="90">
        <v>7</v>
      </c>
      <c r="AJ298" s="90">
        <v>8</v>
      </c>
      <c r="AK298" s="90">
        <v>9</v>
      </c>
      <c r="AL298" s="91">
        <v>0</v>
      </c>
      <c r="AM298" s="91">
        <v>1</v>
      </c>
      <c r="AN298" s="91">
        <v>2</v>
      </c>
      <c r="AO298" s="91">
        <v>3</v>
      </c>
      <c r="AP298" s="91">
        <v>4</v>
      </c>
      <c r="AQ298" s="91">
        <v>5</v>
      </c>
      <c r="AR298" s="91">
        <v>6</v>
      </c>
      <c r="AS298" s="91">
        <v>7</v>
      </c>
      <c r="AT298" s="91">
        <v>8</v>
      </c>
      <c r="AU298" s="91">
        <v>9</v>
      </c>
      <c r="AV298" s="92">
        <v>0</v>
      </c>
      <c r="AW298" s="92">
        <v>1</v>
      </c>
      <c r="AX298" s="92">
        <v>2</v>
      </c>
      <c r="AY298" s="92">
        <v>3</v>
      </c>
      <c r="AZ298" s="92">
        <v>4</v>
      </c>
      <c r="BA298" s="92">
        <v>5</v>
      </c>
      <c r="BB298" s="92">
        <v>6</v>
      </c>
      <c r="BC298" s="92">
        <v>7</v>
      </c>
      <c r="BD298" s="92">
        <v>8</v>
      </c>
      <c r="BE298" s="92">
        <v>9</v>
      </c>
      <c r="BF298" s="93">
        <v>0</v>
      </c>
      <c r="BG298" s="93">
        <v>1</v>
      </c>
      <c r="BH298" s="93">
        <v>2</v>
      </c>
      <c r="BI298" s="93">
        <v>3</v>
      </c>
      <c r="BJ298" s="93">
        <v>4</v>
      </c>
      <c r="BK298" s="93">
        <v>5</v>
      </c>
      <c r="BL298" s="93">
        <v>6</v>
      </c>
      <c r="BM298" s="93">
        <v>7</v>
      </c>
      <c r="BN298" s="93">
        <v>8</v>
      </c>
      <c r="BO298" s="93">
        <v>9</v>
      </c>
      <c r="BP298" s="94" t="str">
        <f t="shared" si="249"/>
        <v>对子</v>
      </c>
      <c r="BQ298" s="15">
        <f t="shared" si="246"/>
        <v>0</v>
      </c>
      <c r="BR298" s="15">
        <f t="shared" si="247"/>
        <v>5</v>
      </c>
      <c r="BS298" s="20" t="str">
        <f t="shared" si="251"/>
        <v/>
      </c>
      <c r="BT298" s="21" t="str">
        <f t="shared" si="252"/>
        <v/>
      </c>
      <c r="BU298" s="21" t="str">
        <f t="array" ref="BU298">_xlfn.TEXTJOIN("",TRUE,IF(ISERROR(FIND(ROW($1:$168)-1,BS298&amp;BT298)),ROW($1:$168)-1,""))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98" s="22" t="str">
        <f t="shared" si="253"/>
        <v>中中中</v>
      </c>
      <c r="BW298" s="23" t="str">
        <f t="shared" si="264"/>
        <v/>
      </c>
      <c r="BX298" s="23" t="str">
        <f t="shared" si="262"/>
        <v/>
      </c>
      <c r="BY298" s="23" t="str">
        <f t="array" ref="BY298">_xlfn.TEXTJOIN("",TRUE,IF(ISERROR(FIND(ROW($1:$168)-1,BW298&amp;BX298)),ROW($1:$168)-1,""))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98" s="22" t="str">
        <f t="shared" si="254"/>
        <v>中中中</v>
      </c>
      <c r="CA298" s="24" t="str">
        <f t="shared" si="255"/>
        <v/>
      </c>
      <c r="CB298" s="24" t="str">
        <f t="shared" si="263"/>
        <v/>
      </c>
      <c r="CC298" s="24" t="str">
        <f t="array" ref="CC298">_xlfn.TEXTJOIN("",TRUE,IF(ISERROR(FIND(ROW($1:$168)-1,CA298&amp;CB298)),ROW($1:$168)-1,""))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98" s="22" t="str">
        <f t="shared" si="256"/>
        <v>中中中</v>
      </c>
      <c r="CE298" s="25" t="str">
        <f t="shared" si="250"/>
        <v>91</v>
      </c>
      <c r="CF298" s="26" t="str">
        <f t="array" ref="CF298">_xlfn.TEXTJOIN("",TRUE,IF(ISNUMBER(FIND(MID(CE297&amp;W297,ROW($1:$162),1),CE298&amp;W298)),MID(CE297&amp;W297,ROW($1:$162),1),""))</f>
        <v/>
      </c>
      <c r="CG298" s="27" t="str">
        <f t="array" ref="CG298">_xlfn.TEXTJOIN("",TRUE,IF(ISERROR(FIND(ROW($1:$168)-1,CE298&amp;CF298)),ROW($1:$168)-1,""))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298" s="28" t="str">
        <f t="shared" si="257"/>
        <v>邻孤孤</v>
      </c>
      <c r="CI298" s="29" t="str">
        <f t="shared" si="258"/>
        <v>46</v>
      </c>
      <c r="CJ298" s="29" t="str">
        <f t="array" ref="CJ298">_xlfn.TEXTJOIN("",TRUE,IF(ISNUMBER(FIND(MID(CI297&amp;X297,ROW($1:$162),1),CI298&amp;X298)),MID(CI297&amp;X297,ROW($1:$162),1),""))</f>
        <v>4</v>
      </c>
      <c r="CK298" s="29" t="str">
        <f t="array" ref="CK298">_xlfn.TEXTJOIN("",TRUE,IF(ISERROR(FIND(ROW($1:$168)-1,CI298&amp;CJ298)),ROW($1:$168)-1,""))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298" s="19" t="str">
        <f t="shared" si="259"/>
        <v>邻传孤</v>
      </c>
      <c r="CM298" s="24" t="str">
        <f t="shared" si="260"/>
        <v>46</v>
      </c>
      <c r="CN298" s="24" t="str">
        <f t="array" ref="CN298">_xlfn.TEXTJOIN("",TRUE,IF(ISNUMBER(FIND(MID(CM297&amp;Y297,ROW($1:$162),1),CM298&amp;Y298)),MID(CM297&amp;Y297,ROW($1:$162),1),""))</f>
        <v/>
      </c>
      <c r="CO298" s="24" t="str">
        <f t="array" ref="CO298">_xlfn.TEXTJOIN("",TRUE,IF(ISERROR(FIND(ROW($1:$168)-1,CM298&amp;CN298)),ROW($1:$168)-1,""))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98" s="30" t="str">
        <f t="shared" si="261"/>
        <v>邻孤孤</v>
      </c>
    </row>
    <row r="299" spans="1:94">
      <c r="A299" s="15">
        <v>299</v>
      </c>
      <c r="B299" s="80">
        <v>2024268</v>
      </c>
      <c r="C299" s="8" t="s">
        <v>132</v>
      </c>
      <c r="D299" s="81">
        <f t="shared" si="241"/>
        <v>13</v>
      </c>
      <c r="E299" s="82">
        <f t="shared" si="242"/>
        <v>3</v>
      </c>
      <c r="F299" s="83">
        <f t="shared" si="239"/>
        <v>1.625</v>
      </c>
      <c r="G299" s="84" t="str">
        <f t="shared" si="240"/>
        <v>松散</v>
      </c>
      <c r="H299" s="85" t="s">
        <v>10</v>
      </c>
      <c r="I299" s="85" t="s">
        <v>11</v>
      </c>
      <c r="J299" s="85" t="s">
        <v>12</v>
      </c>
      <c r="K299" s="85" t="s">
        <v>13</v>
      </c>
      <c r="L299" s="86">
        <f>MAX(MID(C299,{1,2,3},1)*1)-MIN(MID(C299,{1,2,3},1)*1)</f>
        <v>8</v>
      </c>
      <c r="M299" s="87">
        <v>0</v>
      </c>
      <c r="N299" s="87">
        <v>1</v>
      </c>
      <c r="O299" s="87">
        <v>2</v>
      </c>
      <c r="P299" s="87">
        <v>3</v>
      </c>
      <c r="Q299" s="87">
        <v>4</v>
      </c>
      <c r="R299" s="87">
        <v>5</v>
      </c>
      <c r="S299" s="87">
        <v>6</v>
      </c>
      <c r="T299" s="87">
        <v>7</v>
      </c>
      <c r="U299" s="87">
        <v>8</v>
      </c>
      <c r="V299" s="87">
        <v>9</v>
      </c>
      <c r="W299" s="88">
        <f t="shared" si="243"/>
        <v>6</v>
      </c>
      <c r="X299" s="88">
        <f t="shared" si="244"/>
        <v>8</v>
      </c>
      <c r="Y299" s="88">
        <f t="shared" si="245"/>
        <v>2</v>
      </c>
      <c r="Z299" s="89">
        <f t="shared" si="248"/>
        <v>16</v>
      </c>
      <c r="AA299" s="17" t="str">
        <f>_xlfn.TEXTJOIN(", ",TRUE,ABS(MID(C299,{1,1,2},1)-MID(C299,{2,3,3},1)))</f>
        <v>6, 8, 2</v>
      </c>
      <c r="AB299" s="90">
        <v>0</v>
      </c>
      <c r="AC299" s="90">
        <v>1</v>
      </c>
      <c r="AD299" s="90">
        <v>2</v>
      </c>
      <c r="AE299" s="90">
        <v>3</v>
      </c>
      <c r="AF299" s="90">
        <v>4</v>
      </c>
      <c r="AG299" s="90">
        <v>5</v>
      </c>
      <c r="AH299" s="90">
        <v>6</v>
      </c>
      <c r="AI299" s="90">
        <v>7</v>
      </c>
      <c r="AJ299" s="90">
        <v>8</v>
      </c>
      <c r="AK299" s="90">
        <v>9</v>
      </c>
      <c r="AL299" s="91">
        <v>0</v>
      </c>
      <c r="AM299" s="91">
        <v>1</v>
      </c>
      <c r="AN299" s="91">
        <v>2</v>
      </c>
      <c r="AO299" s="91">
        <v>3</v>
      </c>
      <c r="AP299" s="91">
        <v>4</v>
      </c>
      <c r="AQ299" s="91">
        <v>5</v>
      </c>
      <c r="AR299" s="91">
        <v>6</v>
      </c>
      <c r="AS299" s="91">
        <v>7</v>
      </c>
      <c r="AT299" s="91">
        <v>8</v>
      </c>
      <c r="AU299" s="91">
        <v>9</v>
      </c>
      <c r="AV299" s="92">
        <v>0</v>
      </c>
      <c r="AW299" s="92">
        <v>1</v>
      </c>
      <c r="AX299" s="92">
        <v>2</v>
      </c>
      <c r="AY299" s="92">
        <v>3</v>
      </c>
      <c r="AZ299" s="92">
        <v>4</v>
      </c>
      <c r="BA299" s="92">
        <v>5</v>
      </c>
      <c r="BB299" s="92">
        <v>6</v>
      </c>
      <c r="BC299" s="92">
        <v>7</v>
      </c>
      <c r="BD299" s="92">
        <v>8</v>
      </c>
      <c r="BE299" s="92">
        <v>9</v>
      </c>
      <c r="BF299" s="93">
        <v>0</v>
      </c>
      <c r="BG299" s="93">
        <v>1</v>
      </c>
      <c r="BH299" s="93">
        <v>2</v>
      </c>
      <c r="BI299" s="93">
        <v>3</v>
      </c>
      <c r="BJ299" s="93">
        <v>4</v>
      </c>
      <c r="BK299" s="93">
        <v>5</v>
      </c>
      <c r="BL299" s="93">
        <v>6</v>
      </c>
      <c r="BM299" s="93">
        <v>7</v>
      </c>
      <c r="BN299" s="93">
        <v>8</v>
      </c>
      <c r="BO299" s="93">
        <v>9</v>
      </c>
      <c r="BP299" s="94" t="str">
        <f t="shared" si="249"/>
        <v>松散型</v>
      </c>
      <c r="BQ299" s="15">
        <f t="shared" si="246"/>
        <v>2</v>
      </c>
      <c r="BR299" s="15">
        <f t="shared" si="247"/>
        <v>8</v>
      </c>
      <c r="BS299" s="20" t="str">
        <f t="shared" si="251"/>
        <v/>
      </c>
      <c r="BT299" s="21">
        <f t="shared" si="252"/>
        <v>6</v>
      </c>
      <c r="BU299" s="21" t="str">
        <f t="array" ref="BU299">_xlfn.TEXTJOIN("",TRUE,IF(ISERROR(FIND(ROW($1:$168)-1,BS299&amp;BT299)),ROW($1:$168)-1,""))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299" s="22" t="str">
        <f t="shared" si="253"/>
        <v>中隔中</v>
      </c>
      <c r="BW299" s="23" t="str">
        <f t="shared" si="264"/>
        <v/>
      </c>
      <c r="BX299" s="23" t="str">
        <f t="shared" si="262"/>
        <v/>
      </c>
      <c r="BY299" s="23" t="str">
        <f t="array" ref="BY299">_xlfn.TEXTJOIN("",TRUE,IF(ISERROR(FIND(ROW($1:$168)-1,BW299&amp;BX299)),ROW($1:$168)-1,""))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299" s="22" t="str">
        <f t="shared" si="254"/>
        <v>中中中</v>
      </c>
      <c r="CA299" s="24" t="str">
        <f t="shared" si="255"/>
        <v/>
      </c>
      <c r="CB299" s="24" t="str">
        <f t="shared" si="263"/>
        <v/>
      </c>
      <c r="CC299" s="24" t="str">
        <f t="array" ref="CC299">_xlfn.TEXTJOIN("",TRUE,IF(ISERROR(FIND(ROW($1:$168)-1,CA299&amp;CB299)),ROW($1:$168)-1,""))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299" s="22" t="str">
        <f t="shared" si="256"/>
        <v>中中中</v>
      </c>
      <c r="CE299" s="25" t="str">
        <f t="shared" si="250"/>
        <v>57</v>
      </c>
      <c r="CF299" s="26" t="str">
        <f t="array" ref="CF299">_xlfn.TEXTJOIN("",TRUE,IF(ISNUMBER(FIND(MID(CE298&amp;W298,ROW($1:$162),1),CE299&amp;W299)),MID(CE298&amp;W298,ROW($1:$162),1),""))</f>
        <v/>
      </c>
      <c r="CG299" s="27" t="str">
        <f t="array" ref="CG299">_xlfn.TEXTJOIN("",TRUE,IF(ISERROR(FIND(ROW($1:$168)-1,CE299&amp;CF299)),ROW($1:$168)-1,""))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299" s="28" t="str">
        <f t="shared" si="257"/>
        <v>邻孤孤</v>
      </c>
      <c r="CI299" s="29" t="str">
        <f t="shared" si="258"/>
        <v>79</v>
      </c>
      <c r="CJ299" s="29" t="str">
        <f t="array" ref="CJ299">_xlfn.TEXTJOIN("",TRUE,IF(ISNUMBER(FIND(MID(CI298&amp;X298,ROW($1:$162),1),CI299&amp;X299)),MID(CI298&amp;X298,ROW($1:$162),1),""))</f>
        <v/>
      </c>
      <c r="CK299" s="29" t="str">
        <f t="array" ref="CK299">_xlfn.TEXTJOIN("",TRUE,IF(ISERROR(FIND(ROW($1:$168)-1,CI299&amp;CJ299)),ROW($1:$168)-1,""))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299" s="19" t="str">
        <f t="shared" si="259"/>
        <v>邻孤孤</v>
      </c>
      <c r="CM299" s="24" t="str">
        <f t="shared" si="260"/>
        <v>13</v>
      </c>
      <c r="CN299" s="24" t="str">
        <f t="array" ref="CN299">_xlfn.TEXTJOIN("",TRUE,IF(ISNUMBER(FIND(MID(CM298&amp;Y298,ROW($1:$162),1),CM299&amp;Y299)),MID(CM298&amp;Y298,ROW($1:$162),1),""))</f>
        <v/>
      </c>
      <c r="CO299" s="24" t="str">
        <f t="array" ref="CO299">_xlfn.TEXTJOIN("",TRUE,IF(ISERROR(FIND(ROW($1:$168)-1,CM299&amp;CN299)),ROW($1:$168)-1,""))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299" s="30" t="str">
        <f t="shared" si="261"/>
        <v>邻孤孤</v>
      </c>
    </row>
    <row r="300" spans="1:94">
      <c r="A300" s="15">
        <v>300</v>
      </c>
      <c r="B300" s="80">
        <v>2024269</v>
      </c>
      <c r="C300" s="8" t="s">
        <v>286</v>
      </c>
      <c r="D300" s="81">
        <f t="shared" si="241"/>
        <v>19</v>
      </c>
      <c r="E300" s="82">
        <f t="shared" si="242"/>
        <v>9</v>
      </c>
      <c r="F300" s="83">
        <f t="shared" si="239"/>
        <v>3.8</v>
      </c>
      <c r="G300" s="84" t="str">
        <f t="shared" si="240"/>
        <v>紧凑</v>
      </c>
      <c r="H300" s="85" t="s">
        <v>10</v>
      </c>
      <c r="I300" s="85" t="s">
        <v>11</v>
      </c>
      <c r="J300" s="85" t="s">
        <v>12</v>
      </c>
      <c r="K300" s="85" t="s">
        <v>13</v>
      </c>
      <c r="L300" s="86">
        <f>MAX(MID(C300,{1,2,3},1)*1)-MIN(MID(C300,{1,2,3},1)*1)</f>
        <v>5</v>
      </c>
      <c r="M300" s="87">
        <v>0</v>
      </c>
      <c r="N300" s="87">
        <v>1</v>
      </c>
      <c r="O300" s="87">
        <v>2</v>
      </c>
      <c r="P300" s="87">
        <v>3</v>
      </c>
      <c r="Q300" s="87">
        <v>4</v>
      </c>
      <c r="R300" s="87">
        <v>5</v>
      </c>
      <c r="S300" s="87">
        <v>6</v>
      </c>
      <c r="T300" s="87">
        <v>7</v>
      </c>
      <c r="U300" s="87">
        <v>8</v>
      </c>
      <c r="V300" s="87">
        <v>9</v>
      </c>
      <c r="W300" s="88">
        <f t="shared" si="243"/>
        <v>5</v>
      </c>
      <c r="X300" s="88">
        <f t="shared" si="244"/>
        <v>5</v>
      </c>
      <c r="Y300" s="88">
        <f t="shared" si="245"/>
        <v>0</v>
      </c>
      <c r="Z300" s="89">
        <f t="shared" si="248"/>
        <v>10</v>
      </c>
      <c r="AA300" s="17" t="str">
        <f>_xlfn.TEXTJOIN(", ",TRUE,ABS(MID(C300,{1,1,2},1)-MID(C300,{2,3,3},1)))</f>
        <v>5, 5, 0</v>
      </c>
      <c r="AB300" s="90">
        <v>0</v>
      </c>
      <c r="AC300" s="90">
        <v>1</v>
      </c>
      <c r="AD300" s="90">
        <v>2</v>
      </c>
      <c r="AE300" s="90">
        <v>3</v>
      </c>
      <c r="AF300" s="90">
        <v>4</v>
      </c>
      <c r="AG300" s="90">
        <v>5</v>
      </c>
      <c r="AH300" s="90">
        <v>6</v>
      </c>
      <c r="AI300" s="90">
        <v>7</v>
      </c>
      <c r="AJ300" s="90">
        <v>8</v>
      </c>
      <c r="AK300" s="90">
        <v>9</v>
      </c>
      <c r="AL300" s="91">
        <v>0</v>
      </c>
      <c r="AM300" s="91">
        <v>1</v>
      </c>
      <c r="AN300" s="91">
        <v>2</v>
      </c>
      <c r="AO300" s="91">
        <v>3</v>
      </c>
      <c r="AP300" s="91">
        <v>4</v>
      </c>
      <c r="AQ300" s="91">
        <v>5</v>
      </c>
      <c r="AR300" s="91">
        <v>6</v>
      </c>
      <c r="AS300" s="91">
        <v>7</v>
      </c>
      <c r="AT300" s="91">
        <v>8</v>
      </c>
      <c r="AU300" s="91">
        <v>9</v>
      </c>
      <c r="AV300" s="92">
        <v>0</v>
      </c>
      <c r="AW300" s="92">
        <v>1</v>
      </c>
      <c r="AX300" s="92">
        <v>2</v>
      </c>
      <c r="AY300" s="92">
        <v>3</v>
      </c>
      <c r="AZ300" s="92">
        <v>4</v>
      </c>
      <c r="BA300" s="92">
        <v>5</v>
      </c>
      <c r="BB300" s="92">
        <v>6</v>
      </c>
      <c r="BC300" s="92">
        <v>7</v>
      </c>
      <c r="BD300" s="92">
        <v>8</v>
      </c>
      <c r="BE300" s="92">
        <v>9</v>
      </c>
      <c r="BF300" s="93">
        <v>0</v>
      </c>
      <c r="BG300" s="93">
        <v>1</v>
      </c>
      <c r="BH300" s="93">
        <v>2</v>
      </c>
      <c r="BI300" s="93">
        <v>3</v>
      </c>
      <c r="BJ300" s="93">
        <v>4</v>
      </c>
      <c r="BK300" s="93">
        <v>5</v>
      </c>
      <c r="BL300" s="93">
        <v>6</v>
      </c>
      <c r="BM300" s="93">
        <v>7</v>
      </c>
      <c r="BN300" s="93">
        <v>8</v>
      </c>
      <c r="BO300" s="93">
        <v>9</v>
      </c>
      <c r="BP300" s="94" t="str">
        <f t="shared" si="249"/>
        <v>对子</v>
      </c>
      <c r="BQ300" s="15">
        <f t="shared" si="246"/>
        <v>0</v>
      </c>
      <c r="BR300" s="15">
        <f t="shared" si="247"/>
        <v>5</v>
      </c>
      <c r="BS300" s="20" t="str">
        <f t="shared" si="251"/>
        <v/>
      </c>
      <c r="BT300" s="21">
        <f t="shared" si="252"/>
        <v>5</v>
      </c>
      <c r="BU300" s="21" t="str">
        <f t="array" ref="BU300">_xlfn.TEXTJOIN("",TRUE,IF(ISERROR(FIND(ROW($1:$168)-1,BS300&amp;BT300)),ROW($1:$168)-1,""))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00" s="22" t="str">
        <f t="shared" si="253"/>
        <v>中隔中</v>
      </c>
      <c r="BW300" s="23" t="str">
        <f t="shared" si="264"/>
        <v/>
      </c>
      <c r="BX300" s="23">
        <f t="shared" si="262"/>
        <v>5</v>
      </c>
      <c r="BY300" s="23" t="str">
        <f t="array" ref="BY300">_xlfn.TEXTJOIN("",TRUE,IF(ISERROR(FIND(ROW($1:$168)-1,BW300&amp;BX300)),ROW($1:$168)-1,""))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00" s="22" t="str">
        <f t="shared" si="254"/>
        <v>中隔中</v>
      </c>
      <c r="CA300" s="24" t="str">
        <f t="shared" si="255"/>
        <v/>
      </c>
      <c r="CB300" s="24">
        <f t="shared" si="263"/>
        <v>0</v>
      </c>
      <c r="CC300" s="24" t="str">
        <f t="array" ref="CC300">_xlfn.TEXTJOIN("",TRUE,IF(ISERROR(FIND(ROW($1:$168)-1,CA300&amp;CB300)),ROW($1:$168)-1,""))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00" s="22" t="str">
        <f t="shared" si="256"/>
        <v>中隔中</v>
      </c>
      <c r="CE300" s="25" t="str">
        <f t="shared" si="250"/>
        <v>46</v>
      </c>
      <c r="CF300" s="26" t="str">
        <f t="array" ref="CF300">_xlfn.TEXTJOIN("",TRUE,IF(ISNUMBER(FIND(MID(CE299&amp;W299,ROW($1:$162),1),CE300&amp;W300)),MID(CE299&amp;W299,ROW($1:$162),1),""))</f>
        <v>56</v>
      </c>
      <c r="CG300" s="27" t="str">
        <f t="array" ref="CG300">_xlfn.TEXTJOIN("",TRUE,IF(ISERROR(FIND(ROW($1:$168)-1,CE300&amp;CF300)),ROW($1:$168)-1,""))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00" s="28" t="str">
        <f t="shared" si="257"/>
        <v>邻传孤</v>
      </c>
      <c r="CI300" s="29" t="str">
        <f t="shared" si="258"/>
        <v>46</v>
      </c>
      <c r="CJ300" s="29" t="str">
        <f t="array" ref="CJ300">_xlfn.TEXTJOIN("",TRUE,IF(ISNUMBER(FIND(MID(CI299&amp;X299,ROW($1:$162),1),CI300&amp;X300)),MID(CI299&amp;X299,ROW($1:$162),1),""))</f>
        <v/>
      </c>
      <c r="CK300" s="29" t="str">
        <f t="array" ref="CK300">_xlfn.TEXTJOIN("",TRUE,IF(ISERROR(FIND(ROW($1:$168)-1,CI300&amp;CJ300)),ROW($1:$168)-1,""))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00" s="19" t="str">
        <f t="shared" si="259"/>
        <v>邻孤孤</v>
      </c>
      <c r="CM300" s="24" t="str">
        <f t="shared" si="260"/>
        <v>91</v>
      </c>
      <c r="CN300" s="24" t="str">
        <f t="array" ref="CN300">_xlfn.TEXTJOIN("",TRUE,IF(ISNUMBER(FIND(MID(CM299&amp;Y299,ROW($1:$162),1),CM300&amp;Y300)),MID(CM299&amp;Y299,ROW($1:$162),1),""))</f>
        <v>1</v>
      </c>
      <c r="CO300" s="24" t="str">
        <f t="array" ref="CO300">_xlfn.TEXTJOIN("",TRUE,IF(ISERROR(FIND(ROW($1:$168)-1,CM300&amp;CN300)),ROW($1:$168)-1,""))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300" s="30" t="str">
        <f t="shared" si="261"/>
        <v>邻传孤</v>
      </c>
    </row>
    <row r="301" spans="1:94">
      <c r="A301" s="15">
        <v>301</v>
      </c>
      <c r="B301" s="80">
        <v>2024270</v>
      </c>
      <c r="C301" s="8" t="s">
        <v>287</v>
      </c>
      <c r="D301" s="81">
        <f t="shared" si="241"/>
        <v>24</v>
      </c>
      <c r="E301" s="82">
        <f t="shared" si="242"/>
        <v>4</v>
      </c>
      <c r="F301" s="83">
        <f t="shared" si="239"/>
        <v>8</v>
      </c>
      <c r="G301" s="84" t="str">
        <f t="shared" si="240"/>
        <v>紧凑</v>
      </c>
      <c r="H301" s="85" t="s">
        <v>10</v>
      </c>
      <c r="I301" s="85" t="s">
        <v>11</v>
      </c>
      <c r="J301" s="85" t="s">
        <v>12</v>
      </c>
      <c r="K301" s="85" t="s">
        <v>13</v>
      </c>
      <c r="L301" s="86">
        <f>MAX(MID(C301,{1,2,3},1)*1)-MIN(MID(C301,{1,2,3},1)*1)</f>
        <v>3</v>
      </c>
      <c r="M301" s="87">
        <v>0</v>
      </c>
      <c r="N301" s="87">
        <v>1</v>
      </c>
      <c r="O301" s="87">
        <v>2</v>
      </c>
      <c r="P301" s="87">
        <v>3</v>
      </c>
      <c r="Q301" s="87">
        <v>4</v>
      </c>
      <c r="R301" s="87">
        <v>5</v>
      </c>
      <c r="S301" s="87">
        <v>6</v>
      </c>
      <c r="T301" s="87">
        <v>7</v>
      </c>
      <c r="U301" s="87">
        <v>8</v>
      </c>
      <c r="V301" s="87">
        <v>9</v>
      </c>
      <c r="W301" s="88">
        <f t="shared" si="243"/>
        <v>3</v>
      </c>
      <c r="X301" s="88">
        <f t="shared" si="244"/>
        <v>3</v>
      </c>
      <c r="Y301" s="88">
        <f t="shared" si="245"/>
        <v>0</v>
      </c>
      <c r="Z301" s="89">
        <f t="shared" si="248"/>
        <v>6</v>
      </c>
      <c r="AA301" s="17" t="str">
        <f>_xlfn.TEXTJOIN(", ",TRUE,ABS(MID(C301,{1,1,2},1)-MID(C301,{2,3,3},1)))</f>
        <v>3, 3, 0</v>
      </c>
      <c r="AB301" s="90">
        <v>0</v>
      </c>
      <c r="AC301" s="90">
        <v>1</v>
      </c>
      <c r="AD301" s="90">
        <v>2</v>
      </c>
      <c r="AE301" s="90">
        <v>3</v>
      </c>
      <c r="AF301" s="90">
        <v>4</v>
      </c>
      <c r="AG301" s="90">
        <v>5</v>
      </c>
      <c r="AH301" s="90">
        <v>6</v>
      </c>
      <c r="AI301" s="90">
        <v>7</v>
      </c>
      <c r="AJ301" s="90">
        <v>8</v>
      </c>
      <c r="AK301" s="90">
        <v>9</v>
      </c>
      <c r="AL301" s="91">
        <v>0</v>
      </c>
      <c r="AM301" s="91">
        <v>1</v>
      </c>
      <c r="AN301" s="91">
        <v>2</v>
      </c>
      <c r="AO301" s="91">
        <v>3</v>
      </c>
      <c r="AP301" s="91">
        <v>4</v>
      </c>
      <c r="AQ301" s="91">
        <v>5</v>
      </c>
      <c r="AR301" s="91">
        <v>6</v>
      </c>
      <c r="AS301" s="91">
        <v>7</v>
      </c>
      <c r="AT301" s="91">
        <v>8</v>
      </c>
      <c r="AU301" s="91">
        <v>9</v>
      </c>
      <c r="AV301" s="92">
        <v>0</v>
      </c>
      <c r="AW301" s="92">
        <v>1</v>
      </c>
      <c r="AX301" s="92">
        <v>2</v>
      </c>
      <c r="AY301" s="92">
        <v>3</v>
      </c>
      <c r="AZ301" s="92">
        <v>4</v>
      </c>
      <c r="BA301" s="92">
        <v>5</v>
      </c>
      <c r="BB301" s="92">
        <v>6</v>
      </c>
      <c r="BC301" s="92">
        <v>7</v>
      </c>
      <c r="BD301" s="92">
        <v>8</v>
      </c>
      <c r="BE301" s="92">
        <v>9</v>
      </c>
      <c r="BF301" s="93">
        <v>0</v>
      </c>
      <c r="BG301" s="93">
        <v>1</v>
      </c>
      <c r="BH301" s="93">
        <v>2</v>
      </c>
      <c r="BI301" s="93">
        <v>3</v>
      </c>
      <c r="BJ301" s="93">
        <v>4</v>
      </c>
      <c r="BK301" s="93">
        <v>5</v>
      </c>
      <c r="BL301" s="93">
        <v>6</v>
      </c>
      <c r="BM301" s="93">
        <v>7</v>
      </c>
      <c r="BN301" s="93">
        <v>8</v>
      </c>
      <c r="BO301" s="93">
        <v>9</v>
      </c>
      <c r="BP301" s="94" t="str">
        <f t="shared" si="249"/>
        <v>紧凑型</v>
      </c>
      <c r="BQ301" s="15">
        <f t="shared" si="246"/>
        <v>0</v>
      </c>
      <c r="BR301" s="15">
        <f t="shared" si="247"/>
        <v>3</v>
      </c>
      <c r="BS301" s="20" t="str">
        <f t="shared" si="251"/>
        <v/>
      </c>
      <c r="BT301" s="21" t="str">
        <f t="shared" si="252"/>
        <v/>
      </c>
      <c r="BU301" s="21" t="str">
        <f t="array" ref="BU301">_xlfn.TEXTJOIN("",TRUE,IF(ISERROR(FIND(ROW($1:$168)-1,BS301&amp;BT301)),ROW($1:$168)-1,""))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01" s="22" t="str">
        <f t="shared" si="253"/>
        <v>中中中</v>
      </c>
      <c r="BW301" s="23" t="str">
        <f t="shared" si="264"/>
        <v/>
      </c>
      <c r="BX301" s="23" t="str">
        <f t="shared" si="262"/>
        <v/>
      </c>
      <c r="BY301" s="23" t="str">
        <f t="array" ref="BY301">_xlfn.TEXTJOIN("",TRUE,IF(ISERROR(FIND(ROW($1:$168)-1,BW301&amp;BX301)),ROW($1:$168)-1,""))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01" s="22" t="str">
        <f t="shared" si="254"/>
        <v>中中中</v>
      </c>
      <c r="CA301" s="24">
        <f t="shared" si="255"/>
        <v>0</v>
      </c>
      <c r="CB301" s="24" t="str">
        <f t="shared" si="263"/>
        <v/>
      </c>
      <c r="CC301" s="24" t="str">
        <f t="array" ref="CC301">_xlfn.TEXTJOIN("",TRUE,IF(ISERROR(FIND(ROW($1:$168)-1,CA301&amp;CB301)),ROW($1:$168)-1,""))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01" s="22" t="str">
        <f t="shared" si="256"/>
        <v>复中中</v>
      </c>
      <c r="CE301" s="25" t="str">
        <f t="shared" si="250"/>
        <v>24</v>
      </c>
      <c r="CF301" s="26" t="str">
        <f t="array" ref="CF301">_xlfn.TEXTJOIN("",TRUE,IF(ISNUMBER(FIND(MID(CE300&amp;W300,ROW($1:$162),1),CE301&amp;W301)),MID(CE300&amp;W300,ROW($1:$162),1),""))</f>
        <v>4</v>
      </c>
      <c r="CG301" s="27" t="str">
        <f t="array" ref="CG301">_xlfn.TEXTJOIN("",TRUE,IF(ISERROR(FIND(ROW($1:$168)-1,CE301&amp;CF301)),ROW($1:$168)-1,""))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01" s="28" t="str">
        <f t="shared" si="257"/>
        <v>邻传孤</v>
      </c>
      <c r="CI301" s="29" t="str">
        <f t="shared" si="258"/>
        <v>24</v>
      </c>
      <c r="CJ301" s="29" t="str">
        <f t="array" ref="CJ301">_xlfn.TEXTJOIN("",TRUE,IF(ISNUMBER(FIND(MID(CI300&amp;X300,ROW($1:$162),1),CI301&amp;X301)),MID(CI300&amp;X300,ROW($1:$162),1),""))</f>
        <v>4</v>
      </c>
      <c r="CK301" s="29" t="str">
        <f t="array" ref="CK301">_xlfn.TEXTJOIN("",TRUE,IF(ISERROR(FIND(ROW($1:$168)-1,CI301&amp;CJ301)),ROW($1:$168)-1,""))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01" s="19" t="str">
        <f t="shared" si="259"/>
        <v>邻传孤</v>
      </c>
      <c r="CM301" s="24" t="str">
        <f t="shared" si="260"/>
        <v>91</v>
      </c>
      <c r="CN301" s="24" t="str">
        <f t="array" ref="CN301">_xlfn.TEXTJOIN("",TRUE,IF(ISNUMBER(FIND(MID(CM300&amp;Y300,ROW($1:$162),1),CM301&amp;Y301)),MID(CM300&amp;Y300,ROW($1:$162),1),""))</f>
        <v>910</v>
      </c>
      <c r="CO301" s="24" t="str">
        <f t="array" ref="CO301">_xlfn.TEXTJOIN("",TRUE,IF(ISERROR(FIND(ROW($1:$168)-1,CM301&amp;CN301)),ROW($1:$168)-1,""))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301" s="30" t="str">
        <f t="shared" si="261"/>
        <v>邻传孤</v>
      </c>
    </row>
    <row r="302" spans="1:94">
      <c r="A302" s="15">
        <v>302</v>
      </c>
      <c r="B302" s="80">
        <v>2024271</v>
      </c>
      <c r="C302" s="8" t="s">
        <v>288</v>
      </c>
      <c r="D302" s="81">
        <f t="shared" si="241"/>
        <v>21</v>
      </c>
      <c r="E302" s="82">
        <f t="shared" si="242"/>
        <v>1</v>
      </c>
      <c r="F302" s="83">
        <f t="shared" si="239"/>
        <v>5.25</v>
      </c>
      <c r="G302" s="84" t="str">
        <f t="shared" si="240"/>
        <v>紧凑</v>
      </c>
      <c r="H302" s="85" t="s">
        <v>10</v>
      </c>
      <c r="I302" s="85" t="s">
        <v>11</v>
      </c>
      <c r="J302" s="85" t="s">
        <v>12</v>
      </c>
      <c r="K302" s="85" t="s">
        <v>13</v>
      </c>
      <c r="L302" s="86">
        <f>MAX(MID(C302,{1,2,3},1)*1)-MIN(MID(C302,{1,2,3},1)*1)</f>
        <v>4</v>
      </c>
      <c r="M302" s="87">
        <v>0</v>
      </c>
      <c r="N302" s="87">
        <v>1</v>
      </c>
      <c r="O302" s="87">
        <v>2</v>
      </c>
      <c r="P302" s="87">
        <v>3</v>
      </c>
      <c r="Q302" s="87">
        <v>4</v>
      </c>
      <c r="R302" s="87">
        <v>5</v>
      </c>
      <c r="S302" s="87">
        <v>6</v>
      </c>
      <c r="T302" s="87">
        <v>7</v>
      </c>
      <c r="U302" s="87">
        <v>8</v>
      </c>
      <c r="V302" s="87">
        <v>9</v>
      </c>
      <c r="W302" s="88">
        <f t="shared" si="243"/>
        <v>2</v>
      </c>
      <c r="X302" s="88">
        <f t="shared" si="244"/>
        <v>2</v>
      </c>
      <c r="Y302" s="88">
        <f t="shared" si="245"/>
        <v>4</v>
      </c>
      <c r="Z302" s="89">
        <f t="shared" si="248"/>
        <v>8</v>
      </c>
      <c r="AA302" s="17" t="str">
        <f>_xlfn.TEXTJOIN(", ",TRUE,ABS(MID(C302,{1,1,2},1)-MID(C302,{2,3,3},1)))</f>
        <v>2, 2, 4</v>
      </c>
      <c r="AB302" s="90">
        <v>0</v>
      </c>
      <c r="AC302" s="90">
        <v>1</v>
      </c>
      <c r="AD302" s="90">
        <v>2</v>
      </c>
      <c r="AE302" s="90">
        <v>3</v>
      </c>
      <c r="AF302" s="90">
        <v>4</v>
      </c>
      <c r="AG302" s="90">
        <v>5</v>
      </c>
      <c r="AH302" s="90">
        <v>6</v>
      </c>
      <c r="AI302" s="90">
        <v>7</v>
      </c>
      <c r="AJ302" s="90">
        <v>8</v>
      </c>
      <c r="AK302" s="90">
        <v>9</v>
      </c>
      <c r="AL302" s="91">
        <v>0</v>
      </c>
      <c r="AM302" s="91">
        <v>1</v>
      </c>
      <c r="AN302" s="91">
        <v>2</v>
      </c>
      <c r="AO302" s="91">
        <v>3</v>
      </c>
      <c r="AP302" s="91">
        <v>4</v>
      </c>
      <c r="AQ302" s="91">
        <v>5</v>
      </c>
      <c r="AR302" s="91">
        <v>6</v>
      </c>
      <c r="AS302" s="91">
        <v>7</v>
      </c>
      <c r="AT302" s="91">
        <v>8</v>
      </c>
      <c r="AU302" s="91">
        <v>9</v>
      </c>
      <c r="AV302" s="92">
        <v>0</v>
      </c>
      <c r="AW302" s="92">
        <v>1</v>
      </c>
      <c r="AX302" s="92">
        <v>2</v>
      </c>
      <c r="AY302" s="92">
        <v>3</v>
      </c>
      <c r="AZ302" s="92">
        <v>4</v>
      </c>
      <c r="BA302" s="92">
        <v>5</v>
      </c>
      <c r="BB302" s="92">
        <v>6</v>
      </c>
      <c r="BC302" s="92">
        <v>7</v>
      </c>
      <c r="BD302" s="92">
        <v>8</v>
      </c>
      <c r="BE302" s="92">
        <v>9</v>
      </c>
      <c r="BF302" s="93">
        <v>0</v>
      </c>
      <c r="BG302" s="93">
        <v>1</v>
      </c>
      <c r="BH302" s="93">
        <v>2</v>
      </c>
      <c r="BI302" s="93">
        <v>3</v>
      </c>
      <c r="BJ302" s="93">
        <v>4</v>
      </c>
      <c r="BK302" s="93">
        <v>5</v>
      </c>
      <c r="BL302" s="93">
        <v>6</v>
      </c>
      <c r="BM302" s="93">
        <v>7</v>
      </c>
      <c r="BN302" s="93">
        <v>8</v>
      </c>
      <c r="BO302" s="93">
        <v>9</v>
      </c>
      <c r="BP302" s="94" t="str">
        <f t="shared" si="249"/>
        <v>标准型</v>
      </c>
      <c r="BQ302" s="15">
        <f t="shared" si="246"/>
        <v>2</v>
      </c>
      <c r="BR302" s="15">
        <f t="shared" si="247"/>
        <v>4</v>
      </c>
      <c r="BS302" s="20" t="str">
        <f t="shared" si="251"/>
        <v/>
      </c>
      <c r="BT302" s="21" t="str">
        <f t="shared" si="252"/>
        <v/>
      </c>
      <c r="BU302" s="21" t="str">
        <f t="array" ref="BU302">_xlfn.TEXTJOIN("",TRUE,IF(ISERROR(FIND(ROW($1:$168)-1,BS302&amp;BT302)),ROW($1:$168)-1,""))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02" s="22" t="str">
        <f t="shared" si="253"/>
        <v>中中中</v>
      </c>
      <c r="BW302" s="23" t="str">
        <f t="shared" si="264"/>
        <v/>
      </c>
      <c r="BX302" s="23" t="str">
        <f t="shared" si="262"/>
        <v/>
      </c>
      <c r="BY302" s="23" t="str">
        <f t="array" ref="BY302">_xlfn.TEXTJOIN("",TRUE,IF(ISERROR(FIND(ROW($1:$168)-1,BW302&amp;BX302)),ROW($1:$168)-1,""))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02" s="22" t="str">
        <f t="shared" si="254"/>
        <v>中中中</v>
      </c>
      <c r="CA302" s="24" t="str">
        <f t="shared" si="255"/>
        <v/>
      </c>
      <c r="CB302" s="24" t="str">
        <f t="shared" si="263"/>
        <v/>
      </c>
      <c r="CC302" s="24" t="str">
        <f t="array" ref="CC302">_xlfn.TEXTJOIN("",TRUE,IF(ISERROR(FIND(ROW($1:$168)-1,CA302&amp;CB302)),ROW($1:$168)-1,""))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02" s="22" t="str">
        <f t="shared" si="256"/>
        <v>中中中</v>
      </c>
      <c r="CE302" s="25" t="str">
        <f t="shared" si="250"/>
        <v>13</v>
      </c>
      <c r="CF302" s="26" t="str">
        <f t="array" ref="CF302">_xlfn.TEXTJOIN("",TRUE,IF(ISNUMBER(FIND(MID(CE301&amp;W301,ROW($1:$162),1),CE302&amp;W302)),MID(CE301&amp;W301,ROW($1:$162),1),""))</f>
        <v>23</v>
      </c>
      <c r="CG302" s="27" t="str">
        <f t="array" ref="CG302">_xlfn.TEXTJOIN("",TRUE,IF(ISERROR(FIND(ROW($1:$168)-1,CE302&amp;CF302)),ROW($1:$168)-1,""))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302" s="28" t="str">
        <f t="shared" si="257"/>
        <v>邻传孤</v>
      </c>
      <c r="CI302" s="29" t="str">
        <f t="shared" si="258"/>
        <v>13</v>
      </c>
      <c r="CJ302" s="29" t="str">
        <f t="array" ref="CJ302">_xlfn.TEXTJOIN("",TRUE,IF(ISNUMBER(FIND(MID(CI301&amp;X301,ROW($1:$162),1),CI302&amp;X302)),MID(CI301&amp;X301,ROW($1:$162),1),""))</f>
        <v>23</v>
      </c>
      <c r="CK302" s="29" t="str">
        <f t="array" ref="CK302">_xlfn.TEXTJOIN("",TRUE,IF(ISERROR(FIND(ROW($1:$168)-1,CI302&amp;CJ302)),ROW($1:$168)-1,""))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302" s="19" t="str">
        <f t="shared" si="259"/>
        <v>邻传孤</v>
      </c>
      <c r="CM302" s="24" t="str">
        <f t="shared" si="260"/>
        <v>35</v>
      </c>
      <c r="CN302" s="24" t="str">
        <f t="array" ref="CN302">_xlfn.TEXTJOIN("",TRUE,IF(ISNUMBER(FIND(MID(CM301&amp;Y301,ROW($1:$162),1),CM302&amp;Y302)),MID(CM301&amp;Y301,ROW($1:$162),1),""))</f>
        <v/>
      </c>
      <c r="CO302" s="24" t="str">
        <f t="array" ref="CO302">_xlfn.TEXTJOIN("",TRUE,IF(ISERROR(FIND(ROW($1:$168)-1,CM302&amp;CN302)),ROW($1:$168)-1,""))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02" s="30" t="str">
        <f t="shared" si="261"/>
        <v>邻孤孤</v>
      </c>
    </row>
    <row r="303" spans="1:94">
      <c r="A303" s="15">
        <v>303</v>
      </c>
      <c r="B303" s="80">
        <v>2024272</v>
      </c>
      <c r="C303" s="8" t="s">
        <v>289</v>
      </c>
      <c r="D303" s="81">
        <f t="shared" si="241"/>
        <v>14</v>
      </c>
      <c r="E303" s="82">
        <f t="shared" si="242"/>
        <v>4</v>
      </c>
      <c r="F303" s="83">
        <f t="shared" si="239"/>
        <v>2.8</v>
      </c>
      <c r="G303" s="84" t="str">
        <f t="shared" si="240"/>
        <v>标准</v>
      </c>
      <c r="H303" s="85" t="s">
        <v>10</v>
      </c>
      <c r="I303" s="85" t="s">
        <v>11</v>
      </c>
      <c r="J303" s="85" t="s">
        <v>12</v>
      </c>
      <c r="K303" s="85" t="s">
        <v>13</v>
      </c>
      <c r="L303" s="86">
        <f>MAX(MID(C303,{1,2,3},1)*1)-MIN(MID(C303,{1,2,3},1)*1)</f>
        <v>5</v>
      </c>
      <c r="M303" s="87">
        <v>0</v>
      </c>
      <c r="N303" s="87">
        <v>1</v>
      </c>
      <c r="O303" s="87">
        <v>2</v>
      </c>
      <c r="P303" s="87">
        <v>3</v>
      </c>
      <c r="Q303" s="87">
        <v>4</v>
      </c>
      <c r="R303" s="87">
        <v>5</v>
      </c>
      <c r="S303" s="87">
        <v>6</v>
      </c>
      <c r="T303" s="87">
        <v>7</v>
      </c>
      <c r="U303" s="87">
        <v>8</v>
      </c>
      <c r="V303" s="87">
        <v>9</v>
      </c>
      <c r="W303" s="88">
        <f t="shared" si="243"/>
        <v>5</v>
      </c>
      <c r="X303" s="88">
        <f t="shared" si="244"/>
        <v>3</v>
      </c>
      <c r="Y303" s="88">
        <f t="shared" si="245"/>
        <v>2</v>
      </c>
      <c r="Z303" s="89">
        <f t="shared" si="248"/>
        <v>10</v>
      </c>
      <c r="AA303" s="17" t="str">
        <f>_xlfn.TEXTJOIN(", ",TRUE,ABS(MID(C303,{1,1,2},1)-MID(C303,{2,3,3},1)))</f>
        <v>5, 3, 2</v>
      </c>
      <c r="AB303" s="90">
        <v>0</v>
      </c>
      <c r="AC303" s="90">
        <v>1</v>
      </c>
      <c r="AD303" s="90">
        <v>2</v>
      </c>
      <c r="AE303" s="90">
        <v>3</v>
      </c>
      <c r="AF303" s="90">
        <v>4</v>
      </c>
      <c r="AG303" s="90">
        <v>5</v>
      </c>
      <c r="AH303" s="90">
        <v>6</v>
      </c>
      <c r="AI303" s="90">
        <v>7</v>
      </c>
      <c r="AJ303" s="90">
        <v>8</v>
      </c>
      <c r="AK303" s="90">
        <v>9</v>
      </c>
      <c r="AL303" s="91">
        <v>0</v>
      </c>
      <c r="AM303" s="91">
        <v>1</v>
      </c>
      <c r="AN303" s="91">
        <v>2</v>
      </c>
      <c r="AO303" s="91">
        <v>3</v>
      </c>
      <c r="AP303" s="91">
        <v>4</v>
      </c>
      <c r="AQ303" s="91">
        <v>5</v>
      </c>
      <c r="AR303" s="91">
        <v>6</v>
      </c>
      <c r="AS303" s="91">
        <v>7</v>
      </c>
      <c r="AT303" s="91">
        <v>8</v>
      </c>
      <c r="AU303" s="91">
        <v>9</v>
      </c>
      <c r="AV303" s="92">
        <v>0</v>
      </c>
      <c r="AW303" s="92">
        <v>1</v>
      </c>
      <c r="AX303" s="92">
        <v>2</v>
      </c>
      <c r="AY303" s="92">
        <v>3</v>
      </c>
      <c r="AZ303" s="92">
        <v>4</v>
      </c>
      <c r="BA303" s="92">
        <v>5</v>
      </c>
      <c r="BB303" s="92">
        <v>6</v>
      </c>
      <c r="BC303" s="92">
        <v>7</v>
      </c>
      <c r="BD303" s="92">
        <v>8</v>
      </c>
      <c r="BE303" s="92">
        <v>9</v>
      </c>
      <c r="BF303" s="93">
        <v>0</v>
      </c>
      <c r="BG303" s="93">
        <v>1</v>
      </c>
      <c r="BH303" s="93">
        <v>2</v>
      </c>
      <c r="BI303" s="93">
        <v>3</v>
      </c>
      <c r="BJ303" s="93">
        <v>4</v>
      </c>
      <c r="BK303" s="93">
        <v>5</v>
      </c>
      <c r="BL303" s="93">
        <v>6</v>
      </c>
      <c r="BM303" s="93">
        <v>7</v>
      </c>
      <c r="BN303" s="93">
        <v>8</v>
      </c>
      <c r="BO303" s="93">
        <v>9</v>
      </c>
      <c r="BP303" s="94" t="str">
        <f t="shared" si="249"/>
        <v>标准型</v>
      </c>
      <c r="BQ303" s="15">
        <f t="shared" si="246"/>
        <v>2</v>
      </c>
      <c r="BR303" s="15">
        <f t="shared" si="247"/>
        <v>5</v>
      </c>
      <c r="BS303" s="20" t="str">
        <f t="shared" si="251"/>
        <v/>
      </c>
      <c r="BT303" s="21" t="str">
        <f t="shared" si="252"/>
        <v/>
      </c>
      <c r="BU303" s="21" t="str">
        <f t="array" ref="BU303">_xlfn.TEXTJOIN("",TRUE,IF(ISERROR(FIND(ROW($1:$168)-1,BS303&amp;BT303)),ROW($1:$168)-1,""))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03" s="22" t="str">
        <f t="shared" si="253"/>
        <v>中中中</v>
      </c>
      <c r="BW303" s="23" t="str">
        <f t="shared" si="264"/>
        <v/>
      </c>
      <c r="BX303" s="23">
        <f t="shared" si="262"/>
        <v>3</v>
      </c>
      <c r="BY303" s="23" t="str">
        <f t="array" ref="BY303">_xlfn.TEXTJOIN("",TRUE,IF(ISERROR(FIND(ROW($1:$168)-1,BW303&amp;BX303)),ROW($1:$168)-1,""))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03" s="22" t="str">
        <f t="shared" si="254"/>
        <v>中隔中</v>
      </c>
      <c r="CA303" s="24">
        <f t="shared" si="255"/>
        <v>2</v>
      </c>
      <c r="CB303" s="24" t="str">
        <f t="shared" si="263"/>
        <v/>
      </c>
      <c r="CC303" s="24" t="str">
        <f t="array" ref="CC303">_xlfn.TEXTJOIN("",TRUE,IF(ISERROR(FIND(ROW($1:$168)-1,CA303&amp;CB303)),ROW($1:$168)-1,""))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03" s="22" t="str">
        <f t="shared" si="256"/>
        <v>复中中</v>
      </c>
      <c r="CE303" s="25" t="str">
        <f t="shared" si="250"/>
        <v>46</v>
      </c>
      <c r="CF303" s="26" t="str">
        <f t="array" ref="CF303">_xlfn.TEXTJOIN("",TRUE,IF(ISNUMBER(FIND(MID(CE302&amp;W302,ROW($1:$162),1),CE303&amp;W303)),MID(CE302&amp;W302,ROW($1:$162),1),""))</f>
        <v/>
      </c>
      <c r="CG303" s="27" t="str">
        <f t="array" ref="CG303">_xlfn.TEXTJOIN("",TRUE,IF(ISERROR(FIND(ROW($1:$168)-1,CE303&amp;CF303)),ROW($1:$168)-1,""))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03" s="28" t="str">
        <f t="shared" si="257"/>
        <v>邻孤孤</v>
      </c>
      <c r="CI303" s="29" t="str">
        <f t="shared" si="258"/>
        <v>24</v>
      </c>
      <c r="CJ303" s="29" t="str">
        <f t="array" ref="CJ303">_xlfn.TEXTJOIN("",TRUE,IF(ISNUMBER(FIND(MID(CI302&amp;X302,ROW($1:$162),1),CI303&amp;X303)),MID(CI302&amp;X302,ROW($1:$162),1),""))</f>
        <v>32</v>
      </c>
      <c r="CK303" s="29" t="str">
        <f t="array" ref="CK303">_xlfn.TEXTJOIN("",TRUE,IF(ISERROR(FIND(ROW($1:$168)-1,CI303&amp;CJ303)),ROW($1:$168)-1,""))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03" s="19" t="str">
        <f t="shared" si="259"/>
        <v>邻传孤</v>
      </c>
      <c r="CM303" s="24" t="str">
        <f t="shared" si="260"/>
        <v>13</v>
      </c>
      <c r="CN303" s="24" t="str">
        <f t="array" ref="CN303">_xlfn.TEXTJOIN("",TRUE,IF(ISNUMBER(FIND(MID(CM302&amp;Y302,ROW($1:$162),1),CM303&amp;Y303)),MID(CM302&amp;Y302,ROW($1:$162),1),""))</f>
        <v>3</v>
      </c>
      <c r="CO303" s="24" t="str">
        <f t="array" ref="CO303">_xlfn.TEXTJOIN("",TRUE,IF(ISERROR(FIND(ROW($1:$168)-1,CM303&amp;CN303)),ROW($1:$168)-1,""))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303" s="30" t="str">
        <f t="shared" si="261"/>
        <v>邻传孤</v>
      </c>
    </row>
    <row r="304" spans="1:94">
      <c r="A304" s="15">
        <v>304</v>
      </c>
      <c r="B304" s="80">
        <v>2024273</v>
      </c>
      <c r="C304" s="8" t="s">
        <v>290</v>
      </c>
      <c r="D304" s="81">
        <f t="shared" si="241"/>
        <v>14</v>
      </c>
      <c r="E304" s="82">
        <f t="shared" si="242"/>
        <v>4</v>
      </c>
      <c r="F304" s="83">
        <f t="shared" si="239"/>
        <v>2.8</v>
      </c>
      <c r="G304" s="84" t="str">
        <f t="shared" si="240"/>
        <v>标准</v>
      </c>
      <c r="H304" s="85" t="s">
        <v>10</v>
      </c>
      <c r="I304" s="85" t="s">
        <v>11</v>
      </c>
      <c r="J304" s="85" t="s">
        <v>12</v>
      </c>
      <c r="K304" s="85" t="s">
        <v>13</v>
      </c>
      <c r="L304" s="86">
        <f>MAX(MID(C304,{1,2,3},1)*1)-MIN(MID(C304,{1,2,3},1)*1)</f>
        <v>5</v>
      </c>
      <c r="M304" s="87">
        <v>0</v>
      </c>
      <c r="N304" s="87">
        <v>1</v>
      </c>
      <c r="O304" s="87">
        <v>2</v>
      </c>
      <c r="P304" s="87">
        <v>3</v>
      </c>
      <c r="Q304" s="87">
        <v>4</v>
      </c>
      <c r="R304" s="87">
        <v>5</v>
      </c>
      <c r="S304" s="87">
        <v>6</v>
      </c>
      <c r="T304" s="87">
        <v>7</v>
      </c>
      <c r="U304" s="87">
        <v>8</v>
      </c>
      <c r="V304" s="87">
        <v>9</v>
      </c>
      <c r="W304" s="88">
        <f t="shared" si="243"/>
        <v>5</v>
      </c>
      <c r="X304" s="88">
        <f t="shared" si="244"/>
        <v>5</v>
      </c>
      <c r="Y304" s="88">
        <f t="shared" si="245"/>
        <v>0</v>
      </c>
      <c r="Z304" s="89">
        <f t="shared" si="248"/>
        <v>10</v>
      </c>
      <c r="AA304" s="17" t="str">
        <f>_xlfn.TEXTJOIN(", ",TRUE,ABS(MID(C304,{1,1,2},1)-MID(C304,{2,3,3},1)))</f>
        <v>5, 5, 0</v>
      </c>
      <c r="AB304" s="90">
        <v>0</v>
      </c>
      <c r="AC304" s="90">
        <v>1</v>
      </c>
      <c r="AD304" s="90">
        <v>2</v>
      </c>
      <c r="AE304" s="90">
        <v>3</v>
      </c>
      <c r="AF304" s="90">
        <v>4</v>
      </c>
      <c r="AG304" s="90">
        <v>5</v>
      </c>
      <c r="AH304" s="90">
        <v>6</v>
      </c>
      <c r="AI304" s="90">
        <v>7</v>
      </c>
      <c r="AJ304" s="90">
        <v>8</v>
      </c>
      <c r="AK304" s="90">
        <v>9</v>
      </c>
      <c r="AL304" s="91">
        <v>0</v>
      </c>
      <c r="AM304" s="91">
        <v>1</v>
      </c>
      <c r="AN304" s="91">
        <v>2</v>
      </c>
      <c r="AO304" s="91">
        <v>3</v>
      </c>
      <c r="AP304" s="91">
        <v>4</v>
      </c>
      <c r="AQ304" s="91">
        <v>5</v>
      </c>
      <c r="AR304" s="91">
        <v>6</v>
      </c>
      <c r="AS304" s="91">
        <v>7</v>
      </c>
      <c r="AT304" s="91">
        <v>8</v>
      </c>
      <c r="AU304" s="91">
        <v>9</v>
      </c>
      <c r="AV304" s="92">
        <v>0</v>
      </c>
      <c r="AW304" s="92">
        <v>1</v>
      </c>
      <c r="AX304" s="92">
        <v>2</v>
      </c>
      <c r="AY304" s="92">
        <v>3</v>
      </c>
      <c r="AZ304" s="92">
        <v>4</v>
      </c>
      <c r="BA304" s="92">
        <v>5</v>
      </c>
      <c r="BB304" s="92">
        <v>6</v>
      </c>
      <c r="BC304" s="92">
        <v>7</v>
      </c>
      <c r="BD304" s="92">
        <v>8</v>
      </c>
      <c r="BE304" s="92">
        <v>9</v>
      </c>
      <c r="BF304" s="93">
        <v>0</v>
      </c>
      <c r="BG304" s="93">
        <v>1</v>
      </c>
      <c r="BH304" s="93">
        <v>2</v>
      </c>
      <c r="BI304" s="93">
        <v>3</v>
      </c>
      <c r="BJ304" s="93">
        <v>4</v>
      </c>
      <c r="BK304" s="93">
        <v>5</v>
      </c>
      <c r="BL304" s="93">
        <v>6</v>
      </c>
      <c r="BM304" s="93">
        <v>7</v>
      </c>
      <c r="BN304" s="93">
        <v>8</v>
      </c>
      <c r="BO304" s="93">
        <v>9</v>
      </c>
      <c r="BP304" s="94" t="str">
        <f t="shared" si="249"/>
        <v>对子</v>
      </c>
      <c r="BQ304" s="15">
        <f t="shared" si="246"/>
        <v>0</v>
      </c>
      <c r="BR304" s="15">
        <f t="shared" si="247"/>
        <v>5</v>
      </c>
      <c r="BS304" s="20">
        <f t="shared" si="251"/>
        <v>5</v>
      </c>
      <c r="BT304" s="21" t="str">
        <f t="shared" si="252"/>
        <v/>
      </c>
      <c r="BU304" s="21" t="str">
        <f t="array" ref="BU304">_xlfn.TEXTJOIN("",TRUE,IF(ISERROR(FIND(ROW($1:$168)-1,BS304&amp;BT304)),ROW($1:$168)-1,""))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04" s="22" t="str">
        <f t="shared" si="253"/>
        <v>复中中</v>
      </c>
      <c r="BW304" s="23">
        <f t="shared" si="264"/>
        <v>5</v>
      </c>
      <c r="BX304" s="23" t="str">
        <f t="shared" si="262"/>
        <v/>
      </c>
      <c r="BY304" s="23" t="str">
        <f t="array" ref="BY304">_xlfn.TEXTJOIN("",TRUE,IF(ISERROR(FIND(ROW($1:$168)-1,BW304&amp;BX304)),ROW($1:$168)-1,""))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04" s="22" t="str">
        <f t="shared" si="254"/>
        <v>复中中</v>
      </c>
      <c r="CA304" s="24" t="str">
        <f t="shared" si="255"/>
        <v/>
      </c>
      <c r="CB304" s="24" t="str">
        <f t="shared" si="263"/>
        <v/>
      </c>
      <c r="CC304" s="24" t="str">
        <f t="array" ref="CC304">_xlfn.TEXTJOIN("",TRUE,IF(ISERROR(FIND(ROW($1:$168)-1,CA304&amp;CB304)),ROW($1:$168)-1,""))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04" s="22" t="str">
        <f t="shared" si="256"/>
        <v>中中中</v>
      </c>
      <c r="CE304" s="25" t="str">
        <f t="shared" si="250"/>
        <v>46</v>
      </c>
      <c r="CF304" s="26" t="str">
        <f t="array" ref="CF304">_xlfn.TEXTJOIN("",TRUE,IF(ISNUMBER(FIND(MID(CE303&amp;W303,ROW($1:$162),1),CE304&amp;W304)),MID(CE303&amp;W303,ROW($1:$162),1),""))</f>
        <v>465</v>
      </c>
      <c r="CG304" s="27" t="str">
        <f t="array" ref="CG304">_xlfn.TEXTJOIN("",TRUE,IF(ISERROR(FIND(ROW($1:$168)-1,CE304&amp;CF304)),ROW($1:$168)-1,""))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04" s="28" t="str">
        <f t="shared" si="257"/>
        <v>邻传孤</v>
      </c>
      <c r="CI304" s="29" t="str">
        <f t="shared" si="258"/>
        <v>46</v>
      </c>
      <c r="CJ304" s="29" t="str">
        <f t="array" ref="CJ304">_xlfn.TEXTJOIN("",TRUE,IF(ISNUMBER(FIND(MID(CI303&amp;X303,ROW($1:$162),1),CI304&amp;X304)),MID(CI303&amp;X303,ROW($1:$162),1),""))</f>
        <v>4</v>
      </c>
      <c r="CK304" s="29" t="str">
        <f t="array" ref="CK304">_xlfn.TEXTJOIN("",TRUE,IF(ISERROR(FIND(ROW($1:$168)-1,CI304&amp;CJ304)),ROW($1:$168)-1,""))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04" s="19" t="str">
        <f t="shared" si="259"/>
        <v>邻传孤</v>
      </c>
      <c r="CM304" s="24" t="str">
        <f t="shared" si="260"/>
        <v>91</v>
      </c>
      <c r="CN304" s="24" t="str">
        <f t="array" ref="CN304">_xlfn.TEXTJOIN("",TRUE,IF(ISNUMBER(FIND(MID(CM303&amp;Y303,ROW($1:$162),1),CM304&amp;Y304)),MID(CM303&amp;Y303,ROW($1:$162),1),""))</f>
        <v>1</v>
      </c>
      <c r="CO304" s="24" t="str">
        <f t="array" ref="CO304">_xlfn.TEXTJOIN("",TRUE,IF(ISERROR(FIND(ROW($1:$168)-1,CM304&amp;CN304)),ROW($1:$168)-1,""))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304" s="30" t="str">
        <f t="shared" si="261"/>
        <v>邻传孤</v>
      </c>
    </row>
    <row r="305" spans="1:94">
      <c r="A305" s="15">
        <v>305</v>
      </c>
      <c r="B305" s="80">
        <v>2024274</v>
      </c>
      <c r="C305" s="8" t="s">
        <v>240</v>
      </c>
      <c r="D305" s="81">
        <f t="shared" ref="D305:D328" si="265">LEFT(C305,1)+MID(C305,2,1)+RIGHT(C305,1)</f>
        <v>10</v>
      </c>
      <c r="E305" s="82">
        <f t="shared" ref="E305:E328" si="266">MOD(LEFT(C305,1)+MID(C305,2,1)+RIGHT(C305,1),10)</f>
        <v>0</v>
      </c>
      <c r="F305" s="83">
        <f t="shared" si="239"/>
        <v>1.66666666666667</v>
      </c>
      <c r="G305" s="84" t="str">
        <f t="shared" si="240"/>
        <v>松散</v>
      </c>
      <c r="H305" s="85" t="s">
        <v>10</v>
      </c>
      <c r="I305" s="85" t="s">
        <v>11</v>
      </c>
      <c r="J305" s="85" t="s">
        <v>12</v>
      </c>
      <c r="K305" s="85" t="s">
        <v>13</v>
      </c>
      <c r="L305" s="86">
        <f>MAX(MID(C305,{1,2,3},1)*1)-MIN(MID(C305,{1,2,3},1)*1)</f>
        <v>6</v>
      </c>
      <c r="M305" s="87">
        <v>0</v>
      </c>
      <c r="N305" s="87">
        <v>1</v>
      </c>
      <c r="O305" s="87">
        <v>2</v>
      </c>
      <c r="P305" s="87">
        <v>3</v>
      </c>
      <c r="Q305" s="87">
        <v>4</v>
      </c>
      <c r="R305" s="87">
        <v>5</v>
      </c>
      <c r="S305" s="87">
        <v>6</v>
      </c>
      <c r="T305" s="87">
        <v>7</v>
      </c>
      <c r="U305" s="87">
        <v>8</v>
      </c>
      <c r="V305" s="87">
        <v>9</v>
      </c>
      <c r="W305" s="88">
        <f t="shared" ref="W305:W328" si="267">ABS(LEFT(C305,1)-MID(C305,2,1))</f>
        <v>6</v>
      </c>
      <c r="X305" s="88">
        <f t="shared" ref="X305:X328" si="268">ABS(LEFT(C305,1)-RIGHT(C305,1))</f>
        <v>1</v>
      </c>
      <c r="Y305" s="88">
        <f t="shared" ref="Y305:Y328" si="269">ABS(MID(C305,2,1)-RIGHT(C305,1))</f>
        <v>5</v>
      </c>
      <c r="Z305" s="89">
        <f t="shared" si="248"/>
        <v>12</v>
      </c>
      <c r="AA305" s="17" t="str">
        <f>_xlfn.TEXTJOIN(", ",TRUE,ABS(MID(C305,{1,1,2},1)-MID(C305,{2,3,3},1)))</f>
        <v>6, 1, 5</v>
      </c>
      <c r="AB305" s="90">
        <v>0</v>
      </c>
      <c r="AC305" s="90">
        <v>1</v>
      </c>
      <c r="AD305" s="90">
        <v>2</v>
      </c>
      <c r="AE305" s="90">
        <v>3</v>
      </c>
      <c r="AF305" s="90">
        <v>4</v>
      </c>
      <c r="AG305" s="90">
        <v>5</v>
      </c>
      <c r="AH305" s="90">
        <v>6</v>
      </c>
      <c r="AI305" s="90">
        <v>7</v>
      </c>
      <c r="AJ305" s="90">
        <v>8</v>
      </c>
      <c r="AK305" s="90">
        <v>9</v>
      </c>
      <c r="AL305" s="91">
        <v>0</v>
      </c>
      <c r="AM305" s="91">
        <v>1</v>
      </c>
      <c r="AN305" s="91">
        <v>2</v>
      </c>
      <c r="AO305" s="91">
        <v>3</v>
      </c>
      <c r="AP305" s="91">
        <v>4</v>
      </c>
      <c r="AQ305" s="91">
        <v>5</v>
      </c>
      <c r="AR305" s="91">
        <v>6</v>
      </c>
      <c r="AS305" s="91">
        <v>7</v>
      </c>
      <c r="AT305" s="91">
        <v>8</v>
      </c>
      <c r="AU305" s="91">
        <v>9</v>
      </c>
      <c r="AV305" s="92">
        <v>0</v>
      </c>
      <c r="AW305" s="92">
        <v>1</v>
      </c>
      <c r="AX305" s="92">
        <v>2</v>
      </c>
      <c r="AY305" s="92">
        <v>3</v>
      </c>
      <c r="AZ305" s="92">
        <v>4</v>
      </c>
      <c r="BA305" s="92">
        <v>5</v>
      </c>
      <c r="BB305" s="92">
        <v>6</v>
      </c>
      <c r="BC305" s="92">
        <v>7</v>
      </c>
      <c r="BD305" s="92">
        <v>8</v>
      </c>
      <c r="BE305" s="92">
        <v>9</v>
      </c>
      <c r="BF305" s="93">
        <v>0</v>
      </c>
      <c r="BG305" s="93">
        <v>1</v>
      </c>
      <c r="BH305" s="93">
        <v>2</v>
      </c>
      <c r="BI305" s="93">
        <v>3</v>
      </c>
      <c r="BJ305" s="93">
        <v>4</v>
      </c>
      <c r="BK305" s="93">
        <v>5</v>
      </c>
      <c r="BL305" s="93">
        <v>6</v>
      </c>
      <c r="BM305" s="93">
        <v>7</v>
      </c>
      <c r="BN305" s="93">
        <v>8</v>
      </c>
      <c r="BO305" s="93">
        <v>9</v>
      </c>
      <c r="BP305" s="94" t="str">
        <f t="shared" si="249"/>
        <v>松散型</v>
      </c>
      <c r="BQ305" s="15">
        <f t="shared" si="246"/>
        <v>1</v>
      </c>
      <c r="BR305" s="15">
        <f t="shared" si="247"/>
        <v>6</v>
      </c>
      <c r="BS305" s="20" t="str">
        <f t="shared" si="251"/>
        <v/>
      </c>
      <c r="BT305" s="21" t="str">
        <f t="shared" si="252"/>
        <v/>
      </c>
      <c r="BU305" s="21" t="str">
        <f t="array" ref="BU305">_xlfn.TEXTJOIN("",TRUE,IF(ISERROR(FIND(ROW($1:$168)-1,BS305&amp;BT305)),ROW($1:$168)-1,""))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05" s="22" t="str">
        <f t="shared" si="253"/>
        <v>中中中</v>
      </c>
      <c r="BW305" s="23" t="str">
        <f t="shared" si="264"/>
        <v/>
      </c>
      <c r="BX305" s="23" t="str">
        <f t="shared" si="262"/>
        <v/>
      </c>
      <c r="BY305" s="23" t="str">
        <f t="array" ref="BY305">_xlfn.TEXTJOIN("",TRUE,IF(ISERROR(FIND(ROW($1:$168)-1,BW305&amp;BX305)),ROW($1:$168)-1,""))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05" s="22" t="str">
        <f t="shared" si="254"/>
        <v>中中中</v>
      </c>
      <c r="CA305" s="24">
        <f t="shared" si="255"/>
        <v>5</v>
      </c>
      <c r="CB305" s="24">
        <f t="shared" si="263"/>
        <v>5</v>
      </c>
      <c r="CC305" s="24" t="str">
        <f t="array" ref="CC305">_xlfn.TEXTJOIN("",TRUE,IF(ISERROR(FIND(ROW($1:$168)-1,CA305&amp;CB305)),ROW($1:$168)-1,""))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05" s="22" t="str">
        <f t="shared" si="256"/>
        <v>复隔中</v>
      </c>
      <c r="CE305" s="25" t="str">
        <f t="shared" si="250"/>
        <v>57</v>
      </c>
      <c r="CF305" s="26" t="str">
        <f t="array" ref="CF305">_xlfn.TEXTJOIN("",TRUE,IF(ISNUMBER(FIND(MID(CE304&amp;W304,ROW($1:$162),1),CE305&amp;W305)),MID(CE304&amp;W304,ROW($1:$162),1),""))</f>
        <v>65</v>
      </c>
      <c r="CG305" s="27" t="str">
        <f t="array" ref="CG305">_xlfn.TEXTJOIN("",TRUE,IF(ISERROR(FIND(ROW($1:$168)-1,CE305&amp;CF305)),ROW($1:$168)-1,""))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05" s="28" t="str">
        <f t="shared" si="257"/>
        <v>邻传孤</v>
      </c>
      <c r="CI305" s="29" t="str">
        <f t="shared" si="258"/>
        <v>02</v>
      </c>
      <c r="CJ305" s="29" t="str">
        <f t="array" ref="CJ305">_xlfn.TEXTJOIN("",TRUE,IF(ISNUMBER(FIND(MID(CI304&amp;X304,ROW($1:$162),1),CI305&amp;X305)),MID(CI304&amp;X304,ROW($1:$162),1),""))</f>
        <v/>
      </c>
      <c r="CK305" s="29" t="str">
        <f t="array" ref="CK305">_xlfn.TEXTJOIN("",TRUE,IF(ISERROR(FIND(ROW($1:$168)-1,CI305&amp;CJ305)),ROW($1:$168)-1,""))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05" s="19" t="str">
        <f t="shared" si="259"/>
        <v>邻孤孤</v>
      </c>
      <c r="CM305" s="24" t="str">
        <f t="shared" si="260"/>
        <v>46</v>
      </c>
      <c r="CN305" s="24" t="str">
        <f t="array" ref="CN305">_xlfn.TEXTJOIN("",TRUE,IF(ISNUMBER(FIND(MID(CM304&amp;Y304,ROW($1:$162),1),CM305&amp;Y305)),MID(CM304&amp;Y304,ROW($1:$162),1),""))</f>
        <v/>
      </c>
      <c r="CO305" s="24" t="str">
        <f t="array" ref="CO305">_xlfn.TEXTJOIN("",TRUE,IF(ISERROR(FIND(ROW($1:$168)-1,CM305&amp;CN305)),ROW($1:$168)-1,""))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05" s="30" t="str">
        <f t="shared" si="261"/>
        <v>邻孤孤</v>
      </c>
    </row>
    <row r="306" spans="1:94">
      <c r="A306" s="15">
        <v>306</v>
      </c>
      <c r="B306" s="80">
        <v>2024275</v>
      </c>
      <c r="C306" s="8" t="s">
        <v>291</v>
      </c>
      <c r="D306" s="81">
        <f t="shared" si="265"/>
        <v>17</v>
      </c>
      <c r="E306" s="82">
        <f t="shared" si="266"/>
        <v>7</v>
      </c>
      <c r="F306" s="83">
        <f t="shared" si="239"/>
        <v>2.83333333333333</v>
      </c>
      <c r="G306" s="84" t="str">
        <f t="shared" si="240"/>
        <v>标准</v>
      </c>
      <c r="H306" s="85" t="s">
        <v>10</v>
      </c>
      <c r="I306" s="85" t="s">
        <v>11</v>
      </c>
      <c r="J306" s="85" t="s">
        <v>12</v>
      </c>
      <c r="K306" s="85" t="s">
        <v>13</v>
      </c>
      <c r="L306" s="86">
        <f>MAX(MID(C306,{1,2,3},1)*1)-MIN(MID(C306,{1,2,3},1)*1)</f>
        <v>6</v>
      </c>
      <c r="M306" s="87">
        <v>0</v>
      </c>
      <c r="N306" s="87">
        <v>1</v>
      </c>
      <c r="O306" s="87">
        <v>2</v>
      </c>
      <c r="P306" s="87">
        <v>3</v>
      </c>
      <c r="Q306" s="87">
        <v>4</v>
      </c>
      <c r="R306" s="87">
        <v>5</v>
      </c>
      <c r="S306" s="87">
        <v>6</v>
      </c>
      <c r="T306" s="87">
        <v>7</v>
      </c>
      <c r="U306" s="87">
        <v>8</v>
      </c>
      <c r="V306" s="87">
        <v>9</v>
      </c>
      <c r="W306" s="88">
        <f t="shared" si="267"/>
        <v>6</v>
      </c>
      <c r="X306" s="88">
        <f t="shared" si="268"/>
        <v>1</v>
      </c>
      <c r="Y306" s="88">
        <f t="shared" si="269"/>
        <v>5</v>
      </c>
      <c r="Z306" s="89">
        <f t="shared" si="248"/>
        <v>12</v>
      </c>
      <c r="AA306" s="17" t="str">
        <f>_xlfn.TEXTJOIN(", ",TRUE,ABS(MID(C306,{1,1,2},1)-MID(C306,{2,3,3},1)))</f>
        <v>6, 1, 5</v>
      </c>
      <c r="AB306" s="90">
        <v>0</v>
      </c>
      <c r="AC306" s="90">
        <v>1</v>
      </c>
      <c r="AD306" s="90">
        <v>2</v>
      </c>
      <c r="AE306" s="90">
        <v>3</v>
      </c>
      <c r="AF306" s="90">
        <v>4</v>
      </c>
      <c r="AG306" s="90">
        <v>5</v>
      </c>
      <c r="AH306" s="90">
        <v>6</v>
      </c>
      <c r="AI306" s="90">
        <v>7</v>
      </c>
      <c r="AJ306" s="90">
        <v>8</v>
      </c>
      <c r="AK306" s="90">
        <v>9</v>
      </c>
      <c r="AL306" s="91">
        <v>0</v>
      </c>
      <c r="AM306" s="91">
        <v>1</v>
      </c>
      <c r="AN306" s="91">
        <v>2</v>
      </c>
      <c r="AO306" s="91">
        <v>3</v>
      </c>
      <c r="AP306" s="91">
        <v>4</v>
      </c>
      <c r="AQ306" s="91">
        <v>5</v>
      </c>
      <c r="AR306" s="91">
        <v>6</v>
      </c>
      <c r="AS306" s="91">
        <v>7</v>
      </c>
      <c r="AT306" s="91">
        <v>8</v>
      </c>
      <c r="AU306" s="91">
        <v>9</v>
      </c>
      <c r="AV306" s="92">
        <v>0</v>
      </c>
      <c r="AW306" s="92">
        <v>1</v>
      </c>
      <c r="AX306" s="92">
        <v>2</v>
      </c>
      <c r="AY306" s="92">
        <v>3</v>
      </c>
      <c r="AZ306" s="92">
        <v>4</v>
      </c>
      <c r="BA306" s="92">
        <v>5</v>
      </c>
      <c r="BB306" s="92">
        <v>6</v>
      </c>
      <c r="BC306" s="92">
        <v>7</v>
      </c>
      <c r="BD306" s="92">
        <v>8</v>
      </c>
      <c r="BE306" s="92">
        <v>9</v>
      </c>
      <c r="BF306" s="93">
        <v>0</v>
      </c>
      <c r="BG306" s="93">
        <v>1</v>
      </c>
      <c r="BH306" s="93">
        <v>2</v>
      </c>
      <c r="BI306" s="93">
        <v>3</v>
      </c>
      <c r="BJ306" s="93">
        <v>4</v>
      </c>
      <c r="BK306" s="93">
        <v>5</v>
      </c>
      <c r="BL306" s="93">
        <v>6</v>
      </c>
      <c r="BM306" s="93">
        <v>7</v>
      </c>
      <c r="BN306" s="93">
        <v>8</v>
      </c>
      <c r="BO306" s="93">
        <v>9</v>
      </c>
      <c r="BP306" s="94" t="str">
        <f t="shared" si="249"/>
        <v>松散型</v>
      </c>
      <c r="BQ306" s="15">
        <f t="shared" si="246"/>
        <v>1</v>
      </c>
      <c r="BR306" s="15">
        <f t="shared" si="247"/>
        <v>6</v>
      </c>
      <c r="BS306" s="20">
        <f t="shared" si="251"/>
        <v>6</v>
      </c>
      <c r="BT306" s="21" t="str">
        <f t="shared" si="252"/>
        <v/>
      </c>
      <c r="BU306" s="21" t="str">
        <f t="array" ref="BU306">_xlfn.TEXTJOIN("",TRUE,IF(ISERROR(FIND(ROW($1:$168)-1,BS306&amp;BT306)),ROW($1:$168)-1,""))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06" s="22" t="str">
        <f t="shared" si="253"/>
        <v>复中中</v>
      </c>
      <c r="BW306" s="23">
        <f t="shared" si="264"/>
        <v>1</v>
      </c>
      <c r="BX306" s="23" t="str">
        <f t="shared" si="262"/>
        <v/>
      </c>
      <c r="BY306" s="23" t="str">
        <f t="array" ref="BY306">_xlfn.TEXTJOIN("",TRUE,IF(ISERROR(FIND(ROW($1:$168)-1,BW306&amp;BX306)),ROW($1:$168)-1,""))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06" s="22" t="str">
        <f t="shared" si="254"/>
        <v>复中中</v>
      </c>
      <c r="CA306" s="24">
        <f t="shared" si="255"/>
        <v>5</v>
      </c>
      <c r="CB306" s="24">
        <f t="shared" si="263"/>
        <v>5</v>
      </c>
      <c r="CC306" s="24" t="str">
        <f t="array" ref="CC306">_xlfn.TEXTJOIN("",TRUE,IF(ISERROR(FIND(ROW($1:$168)-1,CA306&amp;CB306)),ROW($1:$168)-1,""))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06" s="22" t="str">
        <f t="shared" si="256"/>
        <v>复隔中</v>
      </c>
      <c r="CE306" s="25" t="str">
        <f t="shared" si="250"/>
        <v>57</v>
      </c>
      <c r="CF306" s="26" t="str">
        <f t="array" ref="CF306">_xlfn.TEXTJOIN("",TRUE,IF(ISNUMBER(FIND(MID(CE305&amp;W305,ROW($1:$162),1),CE306&amp;W306)),MID(CE305&amp;W305,ROW($1:$162),1),""))</f>
        <v>576</v>
      </c>
      <c r="CG306" s="27" t="str">
        <f t="array" ref="CG306">_xlfn.TEXTJOIN("",TRUE,IF(ISERROR(FIND(ROW($1:$168)-1,CE306&amp;CF306)),ROW($1:$168)-1,""))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06" s="28" t="str">
        <f t="shared" si="257"/>
        <v>邻传孤</v>
      </c>
      <c r="CI306" s="29" t="str">
        <f t="shared" si="258"/>
        <v>02</v>
      </c>
      <c r="CJ306" s="29" t="str">
        <f t="array" ref="CJ306">_xlfn.TEXTJOIN("",TRUE,IF(ISNUMBER(FIND(MID(CI305&amp;X305,ROW($1:$162),1),CI306&amp;X306)),MID(CI305&amp;X305,ROW($1:$162),1),""))</f>
        <v>021</v>
      </c>
      <c r="CK306" s="29" t="str">
        <f t="array" ref="CK306">_xlfn.TEXTJOIN("",TRUE,IF(ISERROR(FIND(ROW($1:$168)-1,CI306&amp;CJ306)),ROW($1:$168)-1,""))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06" s="19" t="str">
        <f t="shared" si="259"/>
        <v>邻传孤</v>
      </c>
      <c r="CM306" s="24" t="str">
        <f t="shared" si="260"/>
        <v>46</v>
      </c>
      <c r="CN306" s="24" t="str">
        <f t="array" ref="CN306">_xlfn.TEXTJOIN("",TRUE,IF(ISNUMBER(FIND(MID(CM305&amp;Y305,ROW($1:$162),1),CM306&amp;Y306)),MID(CM305&amp;Y305,ROW($1:$162),1),""))</f>
        <v>465</v>
      </c>
      <c r="CO306" s="24" t="str">
        <f t="array" ref="CO306">_xlfn.TEXTJOIN("",TRUE,IF(ISERROR(FIND(ROW($1:$168)-1,CM306&amp;CN306)),ROW($1:$168)-1,""))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06" s="30" t="str">
        <f t="shared" si="261"/>
        <v>邻传孤</v>
      </c>
    </row>
    <row r="307" spans="1:94">
      <c r="A307" s="15">
        <v>307</v>
      </c>
      <c r="B307" s="80">
        <v>2024276</v>
      </c>
      <c r="C307" s="8" t="s">
        <v>97</v>
      </c>
      <c r="D307" s="81">
        <f t="shared" si="265"/>
        <v>14</v>
      </c>
      <c r="E307" s="82">
        <f t="shared" si="266"/>
        <v>4</v>
      </c>
      <c r="F307" s="83">
        <f t="shared" si="239"/>
        <v>1.75</v>
      </c>
      <c r="G307" s="84" t="str">
        <f t="shared" si="240"/>
        <v>松散</v>
      </c>
      <c r="H307" s="85" t="s">
        <v>10</v>
      </c>
      <c r="I307" s="85" t="s">
        <v>11</v>
      </c>
      <c r="J307" s="85" t="s">
        <v>12</v>
      </c>
      <c r="K307" s="85" t="s">
        <v>13</v>
      </c>
      <c r="L307" s="86">
        <f>MAX(MID(C307,{1,2,3},1)*1)-MIN(MID(C307,{1,2,3},1)*1)</f>
        <v>8</v>
      </c>
      <c r="M307" s="87">
        <v>0</v>
      </c>
      <c r="N307" s="87">
        <v>1</v>
      </c>
      <c r="O307" s="87">
        <v>2</v>
      </c>
      <c r="P307" s="87">
        <v>3</v>
      </c>
      <c r="Q307" s="87">
        <v>4</v>
      </c>
      <c r="R307" s="87">
        <v>5</v>
      </c>
      <c r="S307" s="87">
        <v>6</v>
      </c>
      <c r="T307" s="87">
        <v>7</v>
      </c>
      <c r="U307" s="87">
        <v>8</v>
      </c>
      <c r="V307" s="87">
        <v>9</v>
      </c>
      <c r="W307" s="88">
        <f t="shared" si="267"/>
        <v>8</v>
      </c>
      <c r="X307" s="88">
        <f t="shared" si="268"/>
        <v>6</v>
      </c>
      <c r="Y307" s="88">
        <f t="shared" si="269"/>
        <v>2</v>
      </c>
      <c r="Z307" s="89">
        <f t="shared" si="248"/>
        <v>16</v>
      </c>
      <c r="AA307" s="17" t="str">
        <f>_xlfn.TEXTJOIN(", ",TRUE,ABS(MID(C307,{1,1,2},1)-MID(C307,{2,3,3},1)))</f>
        <v>8, 6, 2</v>
      </c>
      <c r="AB307" s="90">
        <v>0</v>
      </c>
      <c r="AC307" s="90">
        <v>1</v>
      </c>
      <c r="AD307" s="90">
        <v>2</v>
      </c>
      <c r="AE307" s="90">
        <v>3</v>
      </c>
      <c r="AF307" s="90">
        <v>4</v>
      </c>
      <c r="AG307" s="90">
        <v>5</v>
      </c>
      <c r="AH307" s="90">
        <v>6</v>
      </c>
      <c r="AI307" s="90">
        <v>7</v>
      </c>
      <c r="AJ307" s="90">
        <v>8</v>
      </c>
      <c r="AK307" s="90">
        <v>9</v>
      </c>
      <c r="AL307" s="91">
        <v>0</v>
      </c>
      <c r="AM307" s="91">
        <v>1</v>
      </c>
      <c r="AN307" s="91">
        <v>2</v>
      </c>
      <c r="AO307" s="91">
        <v>3</v>
      </c>
      <c r="AP307" s="91">
        <v>4</v>
      </c>
      <c r="AQ307" s="91">
        <v>5</v>
      </c>
      <c r="AR307" s="91">
        <v>6</v>
      </c>
      <c r="AS307" s="91">
        <v>7</v>
      </c>
      <c r="AT307" s="91">
        <v>8</v>
      </c>
      <c r="AU307" s="91">
        <v>9</v>
      </c>
      <c r="AV307" s="92">
        <v>0</v>
      </c>
      <c r="AW307" s="92">
        <v>1</v>
      </c>
      <c r="AX307" s="92">
        <v>2</v>
      </c>
      <c r="AY307" s="92">
        <v>3</v>
      </c>
      <c r="AZ307" s="92">
        <v>4</v>
      </c>
      <c r="BA307" s="92">
        <v>5</v>
      </c>
      <c r="BB307" s="92">
        <v>6</v>
      </c>
      <c r="BC307" s="92">
        <v>7</v>
      </c>
      <c r="BD307" s="92">
        <v>8</v>
      </c>
      <c r="BE307" s="92">
        <v>9</v>
      </c>
      <c r="BF307" s="93">
        <v>0</v>
      </c>
      <c r="BG307" s="93">
        <v>1</v>
      </c>
      <c r="BH307" s="93">
        <v>2</v>
      </c>
      <c r="BI307" s="93">
        <v>3</v>
      </c>
      <c r="BJ307" s="93">
        <v>4</v>
      </c>
      <c r="BK307" s="93">
        <v>5</v>
      </c>
      <c r="BL307" s="93">
        <v>6</v>
      </c>
      <c r="BM307" s="93">
        <v>7</v>
      </c>
      <c r="BN307" s="93">
        <v>8</v>
      </c>
      <c r="BO307" s="93">
        <v>9</v>
      </c>
      <c r="BP307" s="94" t="str">
        <f t="shared" si="249"/>
        <v>松散型</v>
      </c>
      <c r="BQ307" s="15">
        <f t="shared" si="246"/>
        <v>2</v>
      </c>
      <c r="BR307" s="15">
        <f t="shared" si="247"/>
        <v>8</v>
      </c>
      <c r="BS307" s="20" t="str">
        <f t="shared" si="251"/>
        <v/>
      </c>
      <c r="BT307" s="21" t="str">
        <f t="shared" si="252"/>
        <v/>
      </c>
      <c r="BU307" s="21" t="str">
        <f t="array" ref="BU307">_xlfn.TEXTJOIN("",TRUE,IF(ISERROR(FIND(ROW($1:$168)-1,BS307&amp;BT307)),ROW($1:$168)-1,""))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07" s="22" t="str">
        <f t="shared" si="253"/>
        <v>中中中</v>
      </c>
      <c r="BW307" s="23">
        <f t="shared" si="264"/>
        <v>6</v>
      </c>
      <c r="BX307" s="23">
        <f t="shared" si="262"/>
        <v>6</v>
      </c>
      <c r="BY307" s="23" t="str">
        <f t="array" ref="BY307">_xlfn.TEXTJOIN("",TRUE,IF(ISERROR(FIND(ROW($1:$168)-1,BW307&amp;BX307)),ROW($1:$168)-1,""))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07" s="22" t="str">
        <f t="shared" si="254"/>
        <v>复隔中</v>
      </c>
      <c r="CA307" s="24" t="str">
        <f t="shared" si="255"/>
        <v/>
      </c>
      <c r="CB307" s="24" t="str">
        <f t="shared" si="263"/>
        <v/>
      </c>
      <c r="CC307" s="24" t="str">
        <f t="array" ref="CC307">_xlfn.TEXTJOIN("",TRUE,IF(ISERROR(FIND(ROW($1:$168)-1,CA307&amp;CB307)),ROW($1:$168)-1,""))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07" s="22" t="str">
        <f t="shared" si="256"/>
        <v>中中中</v>
      </c>
      <c r="CE307" s="25" t="str">
        <f t="shared" si="250"/>
        <v>79</v>
      </c>
      <c r="CF307" s="26" t="str">
        <f t="array" ref="CF307">_xlfn.TEXTJOIN("",TRUE,IF(ISNUMBER(FIND(MID(CE306&amp;W306,ROW($1:$162),1),CE307&amp;W307)),MID(CE306&amp;W306,ROW($1:$162),1),""))</f>
        <v>7</v>
      </c>
      <c r="CG307" s="27" t="str">
        <f t="array" ref="CG307">_xlfn.TEXTJOIN("",TRUE,IF(ISERROR(FIND(ROW($1:$168)-1,CE307&amp;CF307)),ROW($1:$168)-1,""))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H307" s="28" t="str">
        <f t="shared" si="257"/>
        <v>邻传孤</v>
      </c>
      <c r="CI307" s="29" t="str">
        <f t="shared" si="258"/>
        <v>57</v>
      </c>
      <c r="CJ307" s="29" t="str">
        <f t="array" ref="CJ307">_xlfn.TEXTJOIN("",TRUE,IF(ISNUMBER(FIND(MID(CI306&amp;X306,ROW($1:$162),1),CI307&amp;X307)),MID(CI306&amp;X306,ROW($1:$162),1),""))</f>
        <v/>
      </c>
      <c r="CK307" s="29" t="str">
        <f t="array" ref="CK307">_xlfn.TEXTJOIN("",TRUE,IF(ISERROR(FIND(ROW($1:$168)-1,CI307&amp;CJ307)),ROW($1:$168)-1,""))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07" s="19" t="str">
        <f t="shared" si="259"/>
        <v>邻孤孤</v>
      </c>
      <c r="CM307" s="24" t="str">
        <f t="shared" si="260"/>
        <v>13</v>
      </c>
      <c r="CN307" s="24" t="str">
        <f t="array" ref="CN307">_xlfn.TEXTJOIN("",TRUE,IF(ISNUMBER(FIND(MID(CM306&amp;Y306,ROW($1:$162),1),CM307&amp;Y307)),MID(CM306&amp;Y306,ROW($1:$162),1),""))</f>
        <v/>
      </c>
      <c r="CO307" s="24" t="str">
        <f t="array" ref="CO307">_xlfn.TEXTJOIN("",TRUE,IF(ISERROR(FIND(ROW($1:$168)-1,CM307&amp;CN307)),ROW($1:$168)-1,""))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07" s="30" t="str">
        <f t="shared" si="261"/>
        <v>邻孤孤</v>
      </c>
    </row>
    <row r="308" spans="1:94">
      <c r="A308" s="15">
        <v>308</v>
      </c>
      <c r="B308" s="80">
        <v>2024277</v>
      </c>
      <c r="C308" s="8" t="s">
        <v>292</v>
      </c>
      <c r="D308" s="81">
        <f t="shared" si="265"/>
        <v>18</v>
      </c>
      <c r="E308" s="82">
        <f t="shared" si="266"/>
        <v>8</v>
      </c>
      <c r="F308" s="83">
        <f t="shared" si="239"/>
        <v>4.5</v>
      </c>
      <c r="G308" s="84" t="str">
        <f t="shared" si="240"/>
        <v>紧凑</v>
      </c>
      <c r="H308" s="85" t="s">
        <v>10</v>
      </c>
      <c r="I308" s="85" t="s">
        <v>11</v>
      </c>
      <c r="J308" s="85" t="s">
        <v>12</v>
      </c>
      <c r="K308" s="85" t="s">
        <v>13</v>
      </c>
      <c r="L308" s="86">
        <f>MAX(MID(C308,{1,2,3},1)*1)-MIN(MID(C308,{1,2,3},1)*1)</f>
        <v>4</v>
      </c>
      <c r="M308" s="87">
        <v>0</v>
      </c>
      <c r="N308" s="87">
        <v>1</v>
      </c>
      <c r="O308" s="87">
        <v>2</v>
      </c>
      <c r="P308" s="87">
        <v>3</v>
      </c>
      <c r="Q308" s="87">
        <v>4</v>
      </c>
      <c r="R308" s="87">
        <v>5</v>
      </c>
      <c r="S308" s="87">
        <v>6</v>
      </c>
      <c r="T308" s="87">
        <v>7</v>
      </c>
      <c r="U308" s="87">
        <v>8</v>
      </c>
      <c r="V308" s="87">
        <v>9</v>
      </c>
      <c r="W308" s="88">
        <f t="shared" si="267"/>
        <v>2</v>
      </c>
      <c r="X308" s="88">
        <f t="shared" si="268"/>
        <v>2</v>
      </c>
      <c r="Y308" s="88">
        <f t="shared" si="269"/>
        <v>4</v>
      </c>
      <c r="Z308" s="89">
        <f t="shared" si="248"/>
        <v>8</v>
      </c>
      <c r="AA308" s="17" t="str">
        <f>_xlfn.TEXTJOIN(", ",TRUE,ABS(MID(C308,{1,1,2},1)-MID(C308,{2,3,3},1)))</f>
        <v>2, 2, 4</v>
      </c>
      <c r="AB308" s="90">
        <v>0</v>
      </c>
      <c r="AC308" s="90">
        <v>1</v>
      </c>
      <c r="AD308" s="90">
        <v>2</v>
      </c>
      <c r="AE308" s="90">
        <v>3</v>
      </c>
      <c r="AF308" s="90">
        <v>4</v>
      </c>
      <c r="AG308" s="90">
        <v>5</v>
      </c>
      <c r="AH308" s="90">
        <v>6</v>
      </c>
      <c r="AI308" s="90">
        <v>7</v>
      </c>
      <c r="AJ308" s="90">
        <v>8</v>
      </c>
      <c r="AK308" s="90">
        <v>9</v>
      </c>
      <c r="AL308" s="91">
        <v>0</v>
      </c>
      <c r="AM308" s="91">
        <v>1</v>
      </c>
      <c r="AN308" s="91">
        <v>2</v>
      </c>
      <c r="AO308" s="91">
        <v>3</v>
      </c>
      <c r="AP308" s="91">
        <v>4</v>
      </c>
      <c r="AQ308" s="91">
        <v>5</v>
      </c>
      <c r="AR308" s="91">
        <v>6</v>
      </c>
      <c r="AS308" s="91">
        <v>7</v>
      </c>
      <c r="AT308" s="91">
        <v>8</v>
      </c>
      <c r="AU308" s="91">
        <v>9</v>
      </c>
      <c r="AV308" s="92">
        <v>0</v>
      </c>
      <c r="AW308" s="92">
        <v>1</v>
      </c>
      <c r="AX308" s="92">
        <v>2</v>
      </c>
      <c r="AY308" s="92">
        <v>3</v>
      </c>
      <c r="AZ308" s="92">
        <v>4</v>
      </c>
      <c r="BA308" s="92">
        <v>5</v>
      </c>
      <c r="BB308" s="92">
        <v>6</v>
      </c>
      <c r="BC308" s="92">
        <v>7</v>
      </c>
      <c r="BD308" s="92">
        <v>8</v>
      </c>
      <c r="BE308" s="92">
        <v>9</v>
      </c>
      <c r="BF308" s="93">
        <v>0</v>
      </c>
      <c r="BG308" s="93">
        <v>1</v>
      </c>
      <c r="BH308" s="93">
        <v>2</v>
      </c>
      <c r="BI308" s="93">
        <v>3</v>
      </c>
      <c r="BJ308" s="93">
        <v>4</v>
      </c>
      <c r="BK308" s="93">
        <v>5</v>
      </c>
      <c r="BL308" s="93">
        <v>6</v>
      </c>
      <c r="BM308" s="93">
        <v>7</v>
      </c>
      <c r="BN308" s="93">
        <v>8</v>
      </c>
      <c r="BO308" s="93">
        <v>9</v>
      </c>
      <c r="BP308" s="94" t="str">
        <f t="shared" si="249"/>
        <v>标准型</v>
      </c>
      <c r="BQ308" s="15">
        <f t="shared" si="246"/>
        <v>2</v>
      </c>
      <c r="BR308" s="15">
        <f t="shared" si="247"/>
        <v>4</v>
      </c>
      <c r="BS308" s="20">
        <f t="shared" si="251"/>
        <v>2</v>
      </c>
      <c r="BT308" s="21" t="str">
        <f t="shared" si="252"/>
        <v/>
      </c>
      <c r="BU308" s="21" t="str">
        <f t="array" ref="BU308">_xlfn.TEXTJOIN("",TRUE,IF(ISERROR(FIND(ROW($1:$168)-1,BS308&amp;BT308)),ROW($1:$168)-1,""))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08" s="22" t="str">
        <f t="shared" si="253"/>
        <v>复中中</v>
      </c>
      <c r="BW308" s="23">
        <f t="shared" si="264"/>
        <v>2</v>
      </c>
      <c r="BX308" s="23" t="str">
        <f t="shared" si="262"/>
        <v/>
      </c>
      <c r="BY308" s="23" t="str">
        <f t="array" ref="BY308">_xlfn.TEXTJOIN("",TRUE,IF(ISERROR(FIND(ROW($1:$168)-1,BW308&amp;BX308)),ROW($1:$168)-1,""))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08" s="22" t="str">
        <f t="shared" si="254"/>
        <v>复中中</v>
      </c>
      <c r="CA308" s="24" t="str">
        <f t="shared" si="255"/>
        <v/>
      </c>
      <c r="CB308" s="24" t="str">
        <f t="shared" si="263"/>
        <v/>
      </c>
      <c r="CC308" s="24" t="str">
        <f t="array" ref="CC308">_xlfn.TEXTJOIN("",TRUE,IF(ISERROR(FIND(ROW($1:$168)-1,CA308&amp;CB308)),ROW($1:$168)-1,""))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08" s="22" t="str">
        <f t="shared" si="256"/>
        <v>中中中</v>
      </c>
      <c r="CE308" s="25" t="str">
        <f t="shared" si="250"/>
        <v>13</v>
      </c>
      <c r="CF308" s="26" t="str">
        <f t="array" ref="CF308">_xlfn.TEXTJOIN("",TRUE,IF(ISNUMBER(FIND(MID(CE307&amp;W307,ROW($1:$162),1),CE308&amp;W308)),MID(CE307&amp;W307,ROW($1:$162),1),""))</f>
        <v/>
      </c>
      <c r="CG308" s="27" t="str">
        <f t="array" ref="CG308">_xlfn.TEXTJOIN("",TRUE,IF(ISERROR(FIND(ROW($1:$168)-1,CE308&amp;CF308)),ROW($1:$168)-1,""))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08" s="28" t="str">
        <f t="shared" si="257"/>
        <v>邻孤孤</v>
      </c>
      <c r="CI308" s="29" t="str">
        <f t="shared" si="258"/>
        <v>13</v>
      </c>
      <c r="CJ308" s="29" t="str">
        <f t="array" ref="CJ308">_xlfn.TEXTJOIN("",TRUE,IF(ISNUMBER(FIND(MID(CI307&amp;X307,ROW($1:$162),1),CI308&amp;X308)),MID(CI307&amp;X307,ROW($1:$162),1),""))</f>
        <v/>
      </c>
      <c r="CK308" s="29" t="str">
        <f t="array" ref="CK308">_xlfn.TEXTJOIN("",TRUE,IF(ISERROR(FIND(ROW($1:$168)-1,CI308&amp;CJ308)),ROW($1:$168)-1,""))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08" s="19" t="str">
        <f t="shared" si="259"/>
        <v>邻孤孤</v>
      </c>
      <c r="CM308" s="24" t="str">
        <f t="shared" si="260"/>
        <v>35</v>
      </c>
      <c r="CN308" s="24" t="str">
        <f t="array" ref="CN308">_xlfn.TEXTJOIN("",TRUE,IF(ISNUMBER(FIND(MID(CM307&amp;Y307,ROW($1:$162),1),CM308&amp;Y308)),MID(CM307&amp;Y307,ROW($1:$162),1),""))</f>
        <v>3</v>
      </c>
      <c r="CO308" s="24" t="str">
        <f t="array" ref="CO308">_xlfn.TEXTJOIN("",TRUE,IF(ISERROR(FIND(ROW($1:$168)-1,CM308&amp;CN308)),ROW($1:$168)-1,""))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08" s="30" t="str">
        <f t="shared" si="261"/>
        <v>邻传孤</v>
      </c>
    </row>
    <row r="309" spans="1:94">
      <c r="A309" s="15">
        <v>309</v>
      </c>
      <c r="B309" s="80">
        <v>2024278</v>
      </c>
      <c r="C309" s="8" t="s">
        <v>293</v>
      </c>
      <c r="D309" s="81">
        <f t="shared" si="265"/>
        <v>5</v>
      </c>
      <c r="E309" s="82">
        <f t="shared" si="266"/>
        <v>5</v>
      </c>
      <c r="F309" s="83">
        <f t="shared" si="239"/>
        <v>5</v>
      </c>
      <c r="G309" s="84" t="str">
        <f t="shared" si="240"/>
        <v>紧凑</v>
      </c>
      <c r="H309" s="85" t="s">
        <v>10</v>
      </c>
      <c r="I309" s="85" t="s">
        <v>11</v>
      </c>
      <c r="J309" s="85" t="s">
        <v>12</v>
      </c>
      <c r="K309" s="85" t="s">
        <v>13</v>
      </c>
      <c r="L309" s="86">
        <f>MAX(MID(C309,{1,2,3},1)*1)-MIN(MID(C309,{1,2,3},1)*1)</f>
        <v>1</v>
      </c>
      <c r="M309" s="87">
        <v>0</v>
      </c>
      <c r="N309" s="87">
        <v>1</v>
      </c>
      <c r="O309" s="87">
        <v>2</v>
      </c>
      <c r="P309" s="87">
        <v>3</v>
      </c>
      <c r="Q309" s="87">
        <v>4</v>
      </c>
      <c r="R309" s="87">
        <v>5</v>
      </c>
      <c r="S309" s="87">
        <v>6</v>
      </c>
      <c r="T309" s="87">
        <v>7</v>
      </c>
      <c r="U309" s="87">
        <v>8</v>
      </c>
      <c r="V309" s="87">
        <v>9</v>
      </c>
      <c r="W309" s="88">
        <f t="shared" si="267"/>
        <v>0</v>
      </c>
      <c r="X309" s="88">
        <f t="shared" si="268"/>
        <v>1</v>
      </c>
      <c r="Y309" s="88">
        <f t="shared" si="269"/>
        <v>1</v>
      </c>
      <c r="Z309" s="89">
        <f t="shared" si="248"/>
        <v>2</v>
      </c>
      <c r="AA309" s="17" t="str">
        <f>_xlfn.TEXTJOIN(", ",TRUE,ABS(MID(C309,{1,1,2},1)-MID(C309,{2,3,3},1)))</f>
        <v>0, 1, 1</v>
      </c>
      <c r="AB309" s="90">
        <v>0</v>
      </c>
      <c r="AC309" s="90">
        <v>1</v>
      </c>
      <c r="AD309" s="90">
        <v>2</v>
      </c>
      <c r="AE309" s="90">
        <v>3</v>
      </c>
      <c r="AF309" s="90">
        <v>4</v>
      </c>
      <c r="AG309" s="90">
        <v>5</v>
      </c>
      <c r="AH309" s="90">
        <v>6</v>
      </c>
      <c r="AI309" s="90">
        <v>7</v>
      </c>
      <c r="AJ309" s="90">
        <v>8</v>
      </c>
      <c r="AK309" s="90">
        <v>9</v>
      </c>
      <c r="AL309" s="91">
        <v>0</v>
      </c>
      <c r="AM309" s="91">
        <v>1</v>
      </c>
      <c r="AN309" s="91">
        <v>2</v>
      </c>
      <c r="AO309" s="91">
        <v>3</v>
      </c>
      <c r="AP309" s="91">
        <v>4</v>
      </c>
      <c r="AQ309" s="91">
        <v>5</v>
      </c>
      <c r="AR309" s="91">
        <v>6</v>
      </c>
      <c r="AS309" s="91">
        <v>7</v>
      </c>
      <c r="AT309" s="91">
        <v>8</v>
      </c>
      <c r="AU309" s="91">
        <v>9</v>
      </c>
      <c r="AV309" s="92">
        <v>0</v>
      </c>
      <c r="AW309" s="92">
        <v>1</v>
      </c>
      <c r="AX309" s="92">
        <v>2</v>
      </c>
      <c r="AY309" s="92">
        <v>3</v>
      </c>
      <c r="AZ309" s="92">
        <v>4</v>
      </c>
      <c r="BA309" s="92">
        <v>5</v>
      </c>
      <c r="BB309" s="92">
        <v>6</v>
      </c>
      <c r="BC309" s="92">
        <v>7</v>
      </c>
      <c r="BD309" s="92">
        <v>8</v>
      </c>
      <c r="BE309" s="92">
        <v>9</v>
      </c>
      <c r="BF309" s="93">
        <v>0</v>
      </c>
      <c r="BG309" s="93">
        <v>1</v>
      </c>
      <c r="BH309" s="93">
        <v>2</v>
      </c>
      <c r="BI309" s="93">
        <v>3</v>
      </c>
      <c r="BJ309" s="93">
        <v>4</v>
      </c>
      <c r="BK309" s="93">
        <v>5</v>
      </c>
      <c r="BL309" s="93">
        <v>6</v>
      </c>
      <c r="BM309" s="93">
        <v>7</v>
      </c>
      <c r="BN309" s="93">
        <v>8</v>
      </c>
      <c r="BO309" s="93">
        <v>9</v>
      </c>
      <c r="BP309" s="94" t="str">
        <f t="shared" si="249"/>
        <v>紧凑型</v>
      </c>
      <c r="BQ309" s="15">
        <f t="shared" si="246"/>
        <v>0</v>
      </c>
      <c r="BR309" s="15">
        <f t="shared" si="247"/>
        <v>1</v>
      </c>
      <c r="BS309" s="20" t="str">
        <f t="shared" si="251"/>
        <v/>
      </c>
      <c r="BT309" s="21" t="str">
        <f t="shared" si="252"/>
        <v/>
      </c>
      <c r="BU309" s="21" t="str">
        <f t="array" ref="BU309">_xlfn.TEXTJOIN("",TRUE,IF(ISERROR(FIND(ROW($1:$168)-1,BS309&amp;BT309)),ROW($1:$168)-1,""))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09" s="22" t="str">
        <f t="shared" si="253"/>
        <v>中中中</v>
      </c>
      <c r="BW309" s="23" t="str">
        <f t="shared" si="264"/>
        <v/>
      </c>
      <c r="BX309" s="23" t="str">
        <f t="shared" si="262"/>
        <v/>
      </c>
      <c r="BY309" s="23" t="str">
        <f t="array" ref="BY309">_xlfn.TEXTJOIN("",TRUE,IF(ISERROR(FIND(ROW($1:$168)-1,BW309&amp;BX309)),ROW($1:$168)-1,""))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09" s="22" t="str">
        <f t="shared" si="254"/>
        <v>中中中</v>
      </c>
      <c r="CA309" s="24" t="str">
        <f t="shared" si="255"/>
        <v/>
      </c>
      <c r="CB309" s="24" t="str">
        <f t="shared" si="263"/>
        <v/>
      </c>
      <c r="CC309" s="24" t="str">
        <f t="array" ref="CC309">_xlfn.TEXTJOIN("",TRUE,IF(ISERROR(FIND(ROW($1:$168)-1,CA309&amp;CB309)),ROW($1:$168)-1,""))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09" s="22" t="str">
        <f t="shared" si="256"/>
        <v>中中中</v>
      </c>
      <c r="CE309" s="25" t="str">
        <f t="shared" si="250"/>
        <v>91</v>
      </c>
      <c r="CF309" s="26" t="str">
        <f t="array" ref="CF309">_xlfn.TEXTJOIN("",TRUE,IF(ISNUMBER(FIND(MID(CE308&amp;W308,ROW($1:$162),1),CE309&amp;W309)),MID(CE308&amp;W308,ROW($1:$162),1),""))</f>
        <v>1</v>
      </c>
      <c r="CG309" s="27" t="str">
        <f t="array" ref="CG309">_xlfn.TEXTJOIN("",TRUE,IF(ISERROR(FIND(ROW($1:$168)-1,CE309&amp;CF309)),ROW($1:$168)-1,""))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309" s="28" t="str">
        <f t="shared" si="257"/>
        <v>邻传孤</v>
      </c>
      <c r="CI309" s="29" t="str">
        <f t="shared" si="258"/>
        <v>02</v>
      </c>
      <c r="CJ309" s="29" t="str">
        <f t="array" ref="CJ309">_xlfn.TEXTJOIN("",TRUE,IF(ISNUMBER(FIND(MID(CI308&amp;X308,ROW($1:$162),1),CI309&amp;X309)),MID(CI308&amp;X308,ROW($1:$162),1),""))</f>
        <v>12</v>
      </c>
      <c r="CK309" s="29" t="str">
        <f t="array" ref="CK309">_xlfn.TEXTJOIN("",TRUE,IF(ISERROR(FIND(ROW($1:$168)-1,CI309&amp;CJ309)),ROW($1:$168)-1,""))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09" s="19" t="str">
        <f t="shared" si="259"/>
        <v>邻传孤</v>
      </c>
      <c r="CM309" s="24" t="str">
        <f t="shared" si="260"/>
        <v>02</v>
      </c>
      <c r="CN309" s="24" t="str">
        <f t="array" ref="CN309">_xlfn.TEXTJOIN("",TRUE,IF(ISNUMBER(FIND(MID(CM308&amp;Y308,ROW($1:$162),1),CM309&amp;Y309)),MID(CM308&amp;Y308,ROW($1:$162),1),""))</f>
        <v/>
      </c>
      <c r="CO309" s="24" t="str">
        <f t="array" ref="CO309">_xlfn.TEXTJOIN("",TRUE,IF(ISERROR(FIND(ROW($1:$168)-1,CM309&amp;CN309)),ROW($1:$168)-1,""))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09" s="30" t="str">
        <f t="shared" si="261"/>
        <v>邻孤孤</v>
      </c>
    </row>
    <row r="310" spans="1:94">
      <c r="A310" s="15">
        <v>310</v>
      </c>
      <c r="B310" s="80">
        <v>2024279</v>
      </c>
      <c r="C310" s="8" t="s">
        <v>87</v>
      </c>
      <c r="D310" s="81">
        <f t="shared" si="265"/>
        <v>6</v>
      </c>
      <c r="E310" s="82">
        <f t="shared" si="266"/>
        <v>6</v>
      </c>
      <c r="F310" s="83">
        <f t="shared" si="239"/>
        <v>1</v>
      </c>
      <c r="G310" s="84" t="str">
        <f t="shared" si="240"/>
        <v>松散</v>
      </c>
      <c r="H310" s="85" t="s">
        <v>10</v>
      </c>
      <c r="I310" s="85" t="s">
        <v>11</v>
      </c>
      <c r="J310" s="85" t="s">
        <v>12</v>
      </c>
      <c r="K310" s="85" t="s">
        <v>13</v>
      </c>
      <c r="L310" s="86">
        <f>MAX(MID(C310,{1,2,3},1)*1)-MIN(MID(C310,{1,2,3},1)*1)</f>
        <v>6</v>
      </c>
      <c r="M310" s="87">
        <v>0</v>
      </c>
      <c r="N310" s="87">
        <v>1</v>
      </c>
      <c r="O310" s="87">
        <v>2</v>
      </c>
      <c r="P310" s="87">
        <v>3</v>
      </c>
      <c r="Q310" s="87">
        <v>4</v>
      </c>
      <c r="R310" s="87">
        <v>5</v>
      </c>
      <c r="S310" s="87">
        <v>6</v>
      </c>
      <c r="T310" s="87">
        <v>7</v>
      </c>
      <c r="U310" s="87">
        <v>8</v>
      </c>
      <c r="V310" s="87">
        <v>9</v>
      </c>
      <c r="W310" s="88">
        <f t="shared" si="267"/>
        <v>6</v>
      </c>
      <c r="X310" s="88">
        <f t="shared" si="268"/>
        <v>0</v>
      </c>
      <c r="Y310" s="88">
        <f t="shared" si="269"/>
        <v>6</v>
      </c>
      <c r="Z310" s="89">
        <f t="shared" si="248"/>
        <v>12</v>
      </c>
      <c r="AA310" s="17" t="str">
        <f>_xlfn.TEXTJOIN(", ",TRUE,ABS(MID(C310,{1,1,2},1)-MID(C310,{2,3,3},1)))</f>
        <v>6, 0, 6</v>
      </c>
      <c r="AB310" s="90">
        <v>0</v>
      </c>
      <c r="AC310" s="90">
        <v>1</v>
      </c>
      <c r="AD310" s="90">
        <v>2</v>
      </c>
      <c r="AE310" s="90">
        <v>3</v>
      </c>
      <c r="AF310" s="90">
        <v>4</v>
      </c>
      <c r="AG310" s="90">
        <v>5</v>
      </c>
      <c r="AH310" s="90">
        <v>6</v>
      </c>
      <c r="AI310" s="90">
        <v>7</v>
      </c>
      <c r="AJ310" s="90">
        <v>8</v>
      </c>
      <c r="AK310" s="90">
        <v>9</v>
      </c>
      <c r="AL310" s="91">
        <v>0</v>
      </c>
      <c r="AM310" s="91">
        <v>1</v>
      </c>
      <c r="AN310" s="91">
        <v>2</v>
      </c>
      <c r="AO310" s="91">
        <v>3</v>
      </c>
      <c r="AP310" s="91">
        <v>4</v>
      </c>
      <c r="AQ310" s="91">
        <v>5</v>
      </c>
      <c r="AR310" s="91">
        <v>6</v>
      </c>
      <c r="AS310" s="91">
        <v>7</v>
      </c>
      <c r="AT310" s="91">
        <v>8</v>
      </c>
      <c r="AU310" s="91">
        <v>9</v>
      </c>
      <c r="AV310" s="92">
        <v>0</v>
      </c>
      <c r="AW310" s="92">
        <v>1</v>
      </c>
      <c r="AX310" s="92">
        <v>2</v>
      </c>
      <c r="AY310" s="92">
        <v>3</v>
      </c>
      <c r="AZ310" s="92">
        <v>4</v>
      </c>
      <c r="BA310" s="92">
        <v>5</v>
      </c>
      <c r="BB310" s="92">
        <v>6</v>
      </c>
      <c r="BC310" s="92">
        <v>7</v>
      </c>
      <c r="BD310" s="92">
        <v>8</v>
      </c>
      <c r="BE310" s="92">
        <v>9</v>
      </c>
      <c r="BF310" s="93">
        <v>0</v>
      </c>
      <c r="BG310" s="93">
        <v>1</v>
      </c>
      <c r="BH310" s="93">
        <v>2</v>
      </c>
      <c r="BI310" s="93">
        <v>3</v>
      </c>
      <c r="BJ310" s="93">
        <v>4</v>
      </c>
      <c r="BK310" s="93">
        <v>5</v>
      </c>
      <c r="BL310" s="93">
        <v>6</v>
      </c>
      <c r="BM310" s="93">
        <v>7</v>
      </c>
      <c r="BN310" s="93">
        <v>8</v>
      </c>
      <c r="BO310" s="93">
        <v>9</v>
      </c>
      <c r="BP310" s="94" t="str">
        <f t="shared" si="249"/>
        <v>松散型</v>
      </c>
      <c r="BQ310" s="15">
        <f t="shared" si="246"/>
        <v>0</v>
      </c>
      <c r="BR310" s="15">
        <f t="shared" si="247"/>
        <v>6</v>
      </c>
      <c r="BS310" s="20" t="str">
        <f t="shared" si="251"/>
        <v/>
      </c>
      <c r="BT310" s="21" t="str">
        <f t="shared" si="252"/>
        <v/>
      </c>
      <c r="BU310" s="21" t="str">
        <f t="array" ref="BU310">_xlfn.TEXTJOIN("",TRUE,IF(ISERROR(FIND(ROW($1:$168)-1,BS310&amp;BT310)),ROW($1:$168)-1,""))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10" s="22" t="str">
        <f t="shared" si="253"/>
        <v>中中中</v>
      </c>
      <c r="BW310" s="23">
        <f t="shared" si="264"/>
        <v>0</v>
      </c>
      <c r="BX310" s="23" t="str">
        <f t="shared" si="262"/>
        <v/>
      </c>
      <c r="BY310" s="23" t="str">
        <f t="array" ref="BY310">_xlfn.TEXTJOIN("",TRUE,IF(ISERROR(FIND(ROW($1:$168)-1,BW310&amp;BX310)),ROW($1:$168)-1,""))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10" s="22" t="str">
        <f t="shared" si="254"/>
        <v>复中中</v>
      </c>
      <c r="CA310" s="24" t="str">
        <f t="shared" si="255"/>
        <v/>
      </c>
      <c r="CB310" s="24" t="str">
        <f t="shared" si="263"/>
        <v/>
      </c>
      <c r="CC310" s="24" t="str">
        <f t="array" ref="CC310">_xlfn.TEXTJOIN("",TRUE,IF(ISERROR(FIND(ROW($1:$168)-1,CA310&amp;CB310)),ROW($1:$168)-1,""))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10" s="22" t="str">
        <f t="shared" si="256"/>
        <v>中中中</v>
      </c>
      <c r="CE310" s="25" t="str">
        <f t="shared" si="250"/>
        <v>57</v>
      </c>
      <c r="CF310" s="26" t="str">
        <f t="array" ref="CF310">_xlfn.TEXTJOIN("",TRUE,IF(ISNUMBER(FIND(MID(CE309&amp;W309,ROW($1:$162),1),CE310&amp;W310)),MID(CE309&amp;W309,ROW($1:$162),1),""))</f>
        <v/>
      </c>
      <c r="CG310" s="27" t="str">
        <f t="array" ref="CG310">_xlfn.TEXTJOIN("",TRUE,IF(ISERROR(FIND(ROW($1:$168)-1,CE310&amp;CF310)),ROW($1:$168)-1,""))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10" s="28" t="str">
        <f t="shared" si="257"/>
        <v>邻孤孤</v>
      </c>
      <c r="CI310" s="29" t="str">
        <f t="shared" si="258"/>
        <v>91</v>
      </c>
      <c r="CJ310" s="29" t="str">
        <f t="array" ref="CJ310">_xlfn.TEXTJOIN("",TRUE,IF(ISNUMBER(FIND(MID(CI309&amp;X309,ROW($1:$162),1),CI310&amp;X310)),MID(CI309&amp;X309,ROW($1:$162),1),""))</f>
        <v>01</v>
      </c>
      <c r="CK310" s="29" t="str">
        <f t="array" ref="CK310">_xlfn.TEXTJOIN("",TRUE,IF(ISERROR(FIND(ROW($1:$168)-1,CI310&amp;CJ310)),ROW($1:$168)-1,""))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L310" s="19" t="str">
        <f t="shared" si="259"/>
        <v>邻传孤</v>
      </c>
      <c r="CM310" s="24" t="str">
        <f t="shared" si="260"/>
        <v>57</v>
      </c>
      <c r="CN310" s="24" t="str">
        <f t="array" ref="CN310">_xlfn.TEXTJOIN("",TRUE,IF(ISNUMBER(FIND(MID(CM309&amp;Y309,ROW($1:$162),1),CM310&amp;Y310)),MID(CM309&amp;Y309,ROW($1:$162),1),""))</f>
        <v/>
      </c>
      <c r="CO310" s="24" t="str">
        <f t="array" ref="CO310">_xlfn.TEXTJOIN("",TRUE,IF(ISERROR(FIND(ROW($1:$168)-1,CM310&amp;CN310)),ROW($1:$168)-1,""))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10" s="30" t="str">
        <f t="shared" si="261"/>
        <v>邻孤孤</v>
      </c>
    </row>
    <row r="311" spans="1:94">
      <c r="A311" s="15">
        <v>311</v>
      </c>
      <c r="B311" s="80">
        <v>2024280</v>
      </c>
      <c r="C311" s="8" t="s">
        <v>294</v>
      </c>
      <c r="D311" s="81">
        <f t="shared" si="265"/>
        <v>14</v>
      </c>
      <c r="E311" s="82">
        <f t="shared" si="266"/>
        <v>4</v>
      </c>
      <c r="F311" s="83">
        <f t="shared" si="239"/>
        <v>2.33333333333333</v>
      </c>
      <c r="G311" s="84" t="str">
        <f t="shared" si="240"/>
        <v>标准</v>
      </c>
      <c r="H311" s="85" t="s">
        <v>10</v>
      </c>
      <c r="I311" s="85" t="s">
        <v>11</v>
      </c>
      <c r="J311" s="85" t="s">
        <v>12</v>
      </c>
      <c r="K311" s="85" t="s">
        <v>13</v>
      </c>
      <c r="L311" s="86">
        <f>MAX(MID(C311,{1,2,3},1)*1)-MIN(MID(C311,{1,2,3},1)*1)</f>
        <v>6</v>
      </c>
      <c r="M311" s="87">
        <v>0</v>
      </c>
      <c r="N311" s="87">
        <v>1</v>
      </c>
      <c r="O311" s="87">
        <v>2</v>
      </c>
      <c r="P311" s="87">
        <v>3</v>
      </c>
      <c r="Q311" s="87">
        <v>4</v>
      </c>
      <c r="R311" s="87">
        <v>5</v>
      </c>
      <c r="S311" s="87">
        <v>6</v>
      </c>
      <c r="T311" s="87">
        <v>7</v>
      </c>
      <c r="U311" s="87">
        <v>8</v>
      </c>
      <c r="V311" s="87">
        <v>9</v>
      </c>
      <c r="W311" s="88">
        <f t="shared" si="267"/>
        <v>2</v>
      </c>
      <c r="X311" s="88">
        <f t="shared" si="268"/>
        <v>6</v>
      </c>
      <c r="Y311" s="88">
        <f t="shared" si="269"/>
        <v>4</v>
      </c>
      <c r="Z311" s="89">
        <f t="shared" si="248"/>
        <v>12</v>
      </c>
      <c r="AA311" s="17" t="str">
        <f>_xlfn.TEXTJOIN(", ",TRUE,ABS(MID(C311,{1,1,2},1)-MID(C311,{2,3,3},1)))</f>
        <v>2, 6, 4</v>
      </c>
      <c r="AB311" s="90">
        <v>0</v>
      </c>
      <c r="AC311" s="90">
        <v>1</v>
      </c>
      <c r="AD311" s="90">
        <v>2</v>
      </c>
      <c r="AE311" s="90">
        <v>3</v>
      </c>
      <c r="AF311" s="90">
        <v>4</v>
      </c>
      <c r="AG311" s="90">
        <v>5</v>
      </c>
      <c r="AH311" s="90">
        <v>6</v>
      </c>
      <c r="AI311" s="90">
        <v>7</v>
      </c>
      <c r="AJ311" s="90">
        <v>8</v>
      </c>
      <c r="AK311" s="90">
        <v>9</v>
      </c>
      <c r="AL311" s="91">
        <v>0</v>
      </c>
      <c r="AM311" s="91">
        <v>1</v>
      </c>
      <c r="AN311" s="91">
        <v>2</v>
      </c>
      <c r="AO311" s="91">
        <v>3</v>
      </c>
      <c r="AP311" s="91">
        <v>4</v>
      </c>
      <c r="AQ311" s="91">
        <v>5</v>
      </c>
      <c r="AR311" s="91">
        <v>6</v>
      </c>
      <c r="AS311" s="91">
        <v>7</v>
      </c>
      <c r="AT311" s="91">
        <v>8</v>
      </c>
      <c r="AU311" s="91">
        <v>9</v>
      </c>
      <c r="AV311" s="92">
        <v>0</v>
      </c>
      <c r="AW311" s="92">
        <v>1</v>
      </c>
      <c r="AX311" s="92">
        <v>2</v>
      </c>
      <c r="AY311" s="92">
        <v>3</v>
      </c>
      <c r="AZ311" s="92">
        <v>4</v>
      </c>
      <c r="BA311" s="92">
        <v>5</v>
      </c>
      <c r="BB311" s="92">
        <v>6</v>
      </c>
      <c r="BC311" s="92">
        <v>7</v>
      </c>
      <c r="BD311" s="92">
        <v>8</v>
      </c>
      <c r="BE311" s="92">
        <v>9</v>
      </c>
      <c r="BF311" s="93">
        <v>0</v>
      </c>
      <c r="BG311" s="93">
        <v>1</v>
      </c>
      <c r="BH311" s="93">
        <v>2</v>
      </c>
      <c r="BI311" s="93">
        <v>3</v>
      </c>
      <c r="BJ311" s="93">
        <v>4</v>
      </c>
      <c r="BK311" s="93">
        <v>5</v>
      </c>
      <c r="BL311" s="93">
        <v>6</v>
      </c>
      <c r="BM311" s="93">
        <v>7</v>
      </c>
      <c r="BN311" s="93">
        <v>8</v>
      </c>
      <c r="BO311" s="93">
        <v>9</v>
      </c>
      <c r="BP311" s="94" t="str">
        <f t="shared" si="249"/>
        <v>松散型</v>
      </c>
      <c r="BQ311" s="15">
        <f t="shared" si="246"/>
        <v>2</v>
      </c>
      <c r="BR311" s="15">
        <f t="shared" si="247"/>
        <v>6</v>
      </c>
      <c r="BS311" s="20" t="str">
        <f t="shared" si="251"/>
        <v/>
      </c>
      <c r="BT311" s="21" t="str">
        <f t="shared" si="252"/>
        <v/>
      </c>
      <c r="BU311" s="21" t="str">
        <f t="array" ref="BU311">_xlfn.TEXTJOIN("",TRUE,IF(ISERROR(FIND(ROW($1:$168)-1,BS311&amp;BT311)),ROW($1:$168)-1,""))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11" s="22" t="str">
        <f t="shared" si="253"/>
        <v>中中中</v>
      </c>
      <c r="BW311" s="23">
        <f t="shared" si="264"/>
        <v>6</v>
      </c>
      <c r="BX311" s="23" t="str">
        <f t="shared" si="262"/>
        <v/>
      </c>
      <c r="BY311" s="23" t="str">
        <f t="array" ref="BY311">_xlfn.TEXTJOIN("",TRUE,IF(ISERROR(FIND(ROW($1:$168)-1,BW311&amp;BX311)),ROW($1:$168)-1,""))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11" s="22" t="str">
        <f t="shared" si="254"/>
        <v>复中中</v>
      </c>
      <c r="CA311" s="24" t="str">
        <f t="shared" si="255"/>
        <v/>
      </c>
      <c r="CB311" s="24" t="str">
        <f t="shared" si="263"/>
        <v/>
      </c>
      <c r="CC311" s="24" t="str">
        <f t="array" ref="CC311">_xlfn.TEXTJOIN("",TRUE,IF(ISERROR(FIND(ROW($1:$168)-1,CA311&amp;CB311)),ROW($1:$168)-1,""))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11" s="22" t="str">
        <f t="shared" si="256"/>
        <v>中中中</v>
      </c>
      <c r="CE311" s="25" t="str">
        <f t="shared" si="250"/>
        <v>13</v>
      </c>
      <c r="CF311" s="26" t="str">
        <f t="array" ref="CF311">_xlfn.TEXTJOIN("",TRUE,IF(ISNUMBER(FIND(MID(CE310&amp;W310,ROW($1:$162),1),CE311&amp;W311)),MID(CE310&amp;W310,ROW($1:$162),1),""))</f>
        <v/>
      </c>
      <c r="CG311" s="27" t="str">
        <f t="array" ref="CG311">_xlfn.TEXTJOIN("",TRUE,IF(ISERROR(FIND(ROW($1:$168)-1,CE311&amp;CF311)),ROW($1:$168)-1,""))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11" s="28" t="str">
        <f t="shared" si="257"/>
        <v>邻孤孤</v>
      </c>
      <c r="CI311" s="29" t="str">
        <f t="shared" si="258"/>
        <v>57</v>
      </c>
      <c r="CJ311" s="29" t="str">
        <f t="array" ref="CJ311">_xlfn.TEXTJOIN("",TRUE,IF(ISNUMBER(FIND(MID(CI310&amp;X310,ROW($1:$162),1),CI311&amp;X311)),MID(CI310&amp;X310,ROW($1:$162),1),""))</f>
        <v/>
      </c>
      <c r="CK311" s="29" t="str">
        <f t="array" ref="CK311">_xlfn.TEXTJOIN("",TRUE,IF(ISERROR(FIND(ROW($1:$168)-1,CI311&amp;CJ311)),ROW($1:$168)-1,""))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11" s="19" t="str">
        <f t="shared" si="259"/>
        <v>邻孤孤</v>
      </c>
      <c r="CM311" s="24" t="str">
        <f t="shared" si="260"/>
        <v>35</v>
      </c>
      <c r="CN311" s="24" t="str">
        <f t="array" ref="CN311">_xlfn.TEXTJOIN("",TRUE,IF(ISNUMBER(FIND(MID(CM310&amp;Y310,ROW($1:$162),1),CM311&amp;Y311)),MID(CM310&amp;Y310,ROW($1:$162),1),""))</f>
        <v>5</v>
      </c>
      <c r="CO311" s="24" t="str">
        <f t="array" ref="CO311">_xlfn.TEXTJOIN("",TRUE,IF(ISERROR(FIND(ROW($1:$168)-1,CM311&amp;CN311)),ROW($1:$168)-1,""))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11" s="30" t="str">
        <f t="shared" si="261"/>
        <v>邻传孤</v>
      </c>
    </row>
    <row r="312" spans="1:94">
      <c r="A312" s="15">
        <v>312</v>
      </c>
      <c r="B312" s="80">
        <v>2024281</v>
      </c>
      <c r="C312" s="8" t="s">
        <v>41</v>
      </c>
      <c r="D312" s="81">
        <f t="shared" si="265"/>
        <v>9</v>
      </c>
      <c r="E312" s="82">
        <f t="shared" si="266"/>
        <v>9</v>
      </c>
      <c r="F312" s="83">
        <f t="shared" si="239"/>
        <v>1</v>
      </c>
      <c r="G312" s="84" t="str">
        <f t="shared" si="240"/>
        <v>松散</v>
      </c>
      <c r="H312" s="85" t="s">
        <v>10</v>
      </c>
      <c r="I312" s="85" t="s">
        <v>11</v>
      </c>
      <c r="J312" s="85" t="s">
        <v>12</v>
      </c>
      <c r="K312" s="85" t="s">
        <v>13</v>
      </c>
      <c r="L312" s="86">
        <f>MAX(MID(C312,{1,2,3},1)*1)-MIN(MID(C312,{1,2,3},1)*1)</f>
        <v>9</v>
      </c>
      <c r="M312" s="87">
        <v>0</v>
      </c>
      <c r="N312" s="87">
        <v>1</v>
      </c>
      <c r="O312" s="87">
        <v>2</v>
      </c>
      <c r="P312" s="87">
        <v>3</v>
      </c>
      <c r="Q312" s="87">
        <v>4</v>
      </c>
      <c r="R312" s="87">
        <v>5</v>
      </c>
      <c r="S312" s="87">
        <v>6</v>
      </c>
      <c r="T312" s="87">
        <v>7</v>
      </c>
      <c r="U312" s="87">
        <v>8</v>
      </c>
      <c r="V312" s="87">
        <v>9</v>
      </c>
      <c r="W312" s="88">
        <f t="shared" si="267"/>
        <v>9</v>
      </c>
      <c r="X312" s="88">
        <f t="shared" si="268"/>
        <v>9</v>
      </c>
      <c r="Y312" s="88">
        <f t="shared" si="269"/>
        <v>0</v>
      </c>
      <c r="Z312" s="89">
        <f t="shared" si="248"/>
        <v>18</v>
      </c>
      <c r="AA312" s="17" t="str">
        <f>_xlfn.TEXTJOIN(", ",TRUE,ABS(MID(C312,{1,1,2},1)-MID(C312,{2,3,3},1)))</f>
        <v>9, 9, 0</v>
      </c>
      <c r="AB312" s="90">
        <v>0</v>
      </c>
      <c r="AC312" s="90">
        <v>1</v>
      </c>
      <c r="AD312" s="90">
        <v>2</v>
      </c>
      <c r="AE312" s="90">
        <v>3</v>
      </c>
      <c r="AF312" s="90">
        <v>4</v>
      </c>
      <c r="AG312" s="90">
        <v>5</v>
      </c>
      <c r="AH312" s="90">
        <v>6</v>
      </c>
      <c r="AI312" s="90">
        <v>7</v>
      </c>
      <c r="AJ312" s="90">
        <v>8</v>
      </c>
      <c r="AK312" s="90">
        <v>9</v>
      </c>
      <c r="AL312" s="91">
        <v>0</v>
      </c>
      <c r="AM312" s="91">
        <v>1</v>
      </c>
      <c r="AN312" s="91">
        <v>2</v>
      </c>
      <c r="AO312" s="91">
        <v>3</v>
      </c>
      <c r="AP312" s="91">
        <v>4</v>
      </c>
      <c r="AQ312" s="91">
        <v>5</v>
      </c>
      <c r="AR312" s="91">
        <v>6</v>
      </c>
      <c r="AS312" s="91">
        <v>7</v>
      </c>
      <c r="AT312" s="91">
        <v>8</v>
      </c>
      <c r="AU312" s="91">
        <v>9</v>
      </c>
      <c r="AV312" s="92">
        <v>0</v>
      </c>
      <c r="AW312" s="92">
        <v>1</v>
      </c>
      <c r="AX312" s="92">
        <v>2</v>
      </c>
      <c r="AY312" s="92">
        <v>3</v>
      </c>
      <c r="AZ312" s="92">
        <v>4</v>
      </c>
      <c r="BA312" s="92">
        <v>5</v>
      </c>
      <c r="BB312" s="92">
        <v>6</v>
      </c>
      <c r="BC312" s="92">
        <v>7</v>
      </c>
      <c r="BD312" s="92">
        <v>8</v>
      </c>
      <c r="BE312" s="92">
        <v>9</v>
      </c>
      <c r="BF312" s="93">
        <v>0</v>
      </c>
      <c r="BG312" s="93">
        <v>1</v>
      </c>
      <c r="BH312" s="93">
        <v>2</v>
      </c>
      <c r="BI312" s="93">
        <v>3</v>
      </c>
      <c r="BJ312" s="93">
        <v>4</v>
      </c>
      <c r="BK312" s="93">
        <v>5</v>
      </c>
      <c r="BL312" s="93">
        <v>6</v>
      </c>
      <c r="BM312" s="93">
        <v>7</v>
      </c>
      <c r="BN312" s="93">
        <v>8</v>
      </c>
      <c r="BO312" s="93">
        <v>9</v>
      </c>
      <c r="BP312" s="94" t="str">
        <f t="shared" si="249"/>
        <v>松散型</v>
      </c>
      <c r="BQ312" s="15">
        <f t="shared" si="246"/>
        <v>0</v>
      </c>
      <c r="BR312" s="15">
        <f t="shared" si="247"/>
        <v>9</v>
      </c>
      <c r="BS312" s="20" t="str">
        <f t="shared" si="251"/>
        <v/>
      </c>
      <c r="BT312" s="21" t="str">
        <f t="shared" si="252"/>
        <v/>
      </c>
      <c r="BU312" s="21" t="str">
        <f t="array" ref="BU312">_xlfn.TEXTJOIN("",TRUE,IF(ISERROR(FIND(ROW($1:$168)-1,BS312&amp;BT312)),ROW($1:$168)-1,""))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12" s="22" t="str">
        <f t="shared" si="253"/>
        <v>中中中</v>
      </c>
      <c r="BW312" s="23" t="str">
        <f t="shared" si="264"/>
        <v/>
      </c>
      <c r="BX312" s="23" t="str">
        <f t="shared" si="262"/>
        <v/>
      </c>
      <c r="BY312" s="23" t="str">
        <f t="array" ref="BY312">_xlfn.TEXTJOIN("",TRUE,IF(ISERROR(FIND(ROW($1:$168)-1,BW312&amp;BX312)),ROW($1:$168)-1,""))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12" s="22" t="str">
        <f t="shared" si="254"/>
        <v>中中中</v>
      </c>
      <c r="CA312" s="24" t="str">
        <f t="shared" si="255"/>
        <v/>
      </c>
      <c r="CB312" s="24">
        <f t="shared" si="263"/>
        <v>0</v>
      </c>
      <c r="CC312" s="24" t="str">
        <f t="array" ref="CC312">_xlfn.TEXTJOIN("",TRUE,IF(ISERROR(FIND(ROW($1:$168)-1,CA312&amp;CB312)),ROW($1:$168)-1,""))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12" s="22" t="str">
        <f t="shared" si="256"/>
        <v>中隔中</v>
      </c>
      <c r="CE312" s="25" t="str">
        <f t="shared" si="250"/>
        <v>80</v>
      </c>
      <c r="CF312" s="26" t="str">
        <f t="array" ref="CF312">_xlfn.TEXTJOIN("",TRUE,IF(ISNUMBER(FIND(MID(CE311&amp;W311,ROW($1:$162),1),CE312&amp;W312)),MID(CE311&amp;W311,ROW($1:$162),1),""))</f>
        <v/>
      </c>
      <c r="CG312" s="27" t="str">
        <f t="array" ref="CG312">_xlfn.TEXTJOIN("",TRUE,IF(ISERROR(FIND(ROW($1:$168)-1,CE312&amp;CF312)),ROW($1:$168)-1,""))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H312" s="28" t="str">
        <f t="shared" si="257"/>
        <v>邻孤孤</v>
      </c>
      <c r="CI312" s="29" t="str">
        <f t="shared" si="258"/>
        <v>80</v>
      </c>
      <c r="CJ312" s="29" t="str">
        <f t="array" ref="CJ312">_xlfn.TEXTJOIN("",TRUE,IF(ISNUMBER(FIND(MID(CI311&amp;X311,ROW($1:$162),1),CI312&amp;X312)),MID(CI311&amp;X311,ROW($1:$162),1),""))</f>
        <v/>
      </c>
      <c r="CK312" s="29" t="str">
        <f t="array" ref="CK312">_xlfn.TEXTJOIN("",TRUE,IF(ISERROR(FIND(ROW($1:$168)-1,CI312&amp;CJ312)),ROW($1:$168)-1,""))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312" s="19" t="str">
        <f t="shared" si="259"/>
        <v>邻孤孤</v>
      </c>
      <c r="CM312" s="24" t="str">
        <f t="shared" si="260"/>
        <v>91</v>
      </c>
      <c r="CN312" s="24" t="str">
        <f t="array" ref="CN312">_xlfn.TEXTJOIN("",TRUE,IF(ISNUMBER(FIND(MID(CM311&amp;Y311,ROW($1:$162),1),CM312&amp;Y312)),MID(CM311&amp;Y311,ROW($1:$162),1),""))</f>
        <v/>
      </c>
      <c r="CO312" s="24" t="str">
        <f t="array" ref="CO312">_xlfn.TEXTJOIN("",TRUE,IF(ISERROR(FIND(ROW($1:$168)-1,CM312&amp;CN312)),ROW($1:$168)-1,""))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312" s="30" t="str">
        <f t="shared" si="261"/>
        <v>邻孤孤</v>
      </c>
    </row>
    <row r="313" spans="1:94">
      <c r="A313" s="15">
        <v>313</v>
      </c>
      <c r="B313" s="80">
        <v>2024282</v>
      </c>
      <c r="C313" s="8" t="s">
        <v>295</v>
      </c>
      <c r="D313" s="81">
        <f t="shared" si="265"/>
        <v>20</v>
      </c>
      <c r="E313" s="82">
        <f t="shared" si="266"/>
        <v>0</v>
      </c>
      <c r="F313" s="83">
        <f t="shared" si="239"/>
        <v>3.33333333333333</v>
      </c>
      <c r="G313" s="84" t="str">
        <f t="shared" si="240"/>
        <v>标准</v>
      </c>
      <c r="H313" s="85" t="s">
        <v>10</v>
      </c>
      <c r="I313" s="85" t="s">
        <v>11</v>
      </c>
      <c r="J313" s="85" t="s">
        <v>12</v>
      </c>
      <c r="K313" s="85" t="s">
        <v>13</v>
      </c>
      <c r="L313" s="86">
        <f>MAX(MID(C313,{1,2,3},1)*1)-MIN(MID(C313,{1,2,3},1)*1)</f>
        <v>6</v>
      </c>
      <c r="M313" s="87">
        <v>0</v>
      </c>
      <c r="N313" s="87">
        <v>1</v>
      </c>
      <c r="O313" s="87">
        <v>2</v>
      </c>
      <c r="P313" s="87">
        <v>3</v>
      </c>
      <c r="Q313" s="87">
        <v>4</v>
      </c>
      <c r="R313" s="87">
        <v>5</v>
      </c>
      <c r="S313" s="87">
        <v>6</v>
      </c>
      <c r="T313" s="87">
        <v>7</v>
      </c>
      <c r="U313" s="87">
        <v>8</v>
      </c>
      <c r="V313" s="87">
        <v>9</v>
      </c>
      <c r="W313" s="88">
        <f t="shared" si="267"/>
        <v>1</v>
      </c>
      <c r="X313" s="88">
        <f t="shared" si="268"/>
        <v>6</v>
      </c>
      <c r="Y313" s="88">
        <f t="shared" si="269"/>
        <v>5</v>
      </c>
      <c r="Z313" s="89">
        <f t="shared" si="248"/>
        <v>12</v>
      </c>
      <c r="AA313" s="17" t="str">
        <f>_xlfn.TEXTJOIN(", ",TRUE,ABS(MID(C313,{1,1,2},1)-MID(C313,{2,3,3},1)))</f>
        <v>1, 6, 5</v>
      </c>
      <c r="AB313" s="90">
        <v>0</v>
      </c>
      <c r="AC313" s="90">
        <v>1</v>
      </c>
      <c r="AD313" s="90">
        <v>2</v>
      </c>
      <c r="AE313" s="90">
        <v>3</v>
      </c>
      <c r="AF313" s="90">
        <v>4</v>
      </c>
      <c r="AG313" s="90">
        <v>5</v>
      </c>
      <c r="AH313" s="90">
        <v>6</v>
      </c>
      <c r="AI313" s="90">
        <v>7</v>
      </c>
      <c r="AJ313" s="90">
        <v>8</v>
      </c>
      <c r="AK313" s="90">
        <v>9</v>
      </c>
      <c r="AL313" s="91">
        <v>0</v>
      </c>
      <c r="AM313" s="91">
        <v>1</v>
      </c>
      <c r="AN313" s="91">
        <v>2</v>
      </c>
      <c r="AO313" s="91">
        <v>3</v>
      </c>
      <c r="AP313" s="91">
        <v>4</v>
      </c>
      <c r="AQ313" s="91">
        <v>5</v>
      </c>
      <c r="AR313" s="91">
        <v>6</v>
      </c>
      <c r="AS313" s="91">
        <v>7</v>
      </c>
      <c r="AT313" s="91">
        <v>8</v>
      </c>
      <c r="AU313" s="91">
        <v>9</v>
      </c>
      <c r="AV313" s="92">
        <v>0</v>
      </c>
      <c r="AW313" s="92">
        <v>1</v>
      </c>
      <c r="AX313" s="92">
        <v>2</v>
      </c>
      <c r="AY313" s="92">
        <v>3</v>
      </c>
      <c r="AZ313" s="92">
        <v>4</v>
      </c>
      <c r="BA313" s="92">
        <v>5</v>
      </c>
      <c r="BB313" s="92">
        <v>6</v>
      </c>
      <c r="BC313" s="92">
        <v>7</v>
      </c>
      <c r="BD313" s="92">
        <v>8</v>
      </c>
      <c r="BE313" s="92">
        <v>9</v>
      </c>
      <c r="BF313" s="93">
        <v>0</v>
      </c>
      <c r="BG313" s="93">
        <v>1</v>
      </c>
      <c r="BH313" s="93">
        <v>2</v>
      </c>
      <c r="BI313" s="93">
        <v>3</v>
      </c>
      <c r="BJ313" s="93">
        <v>4</v>
      </c>
      <c r="BK313" s="93">
        <v>5</v>
      </c>
      <c r="BL313" s="93">
        <v>6</v>
      </c>
      <c r="BM313" s="93">
        <v>7</v>
      </c>
      <c r="BN313" s="93">
        <v>8</v>
      </c>
      <c r="BO313" s="93">
        <v>9</v>
      </c>
      <c r="BP313" s="94" t="str">
        <f t="shared" si="249"/>
        <v>松散型</v>
      </c>
      <c r="BQ313" s="15">
        <f t="shared" si="246"/>
        <v>1</v>
      </c>
      <c r="BR313" s="15">
        <f t="shared" si="247"/>
        <v>6</v>
      </c>
      <c r="BS313" s="20" t="str">
        <f t="shared" si="251"/>
        <v/>
      </c>
      <c r="BT313" s="21" t="str">
        <f t="shared" si="252"/>
        <v/>
      </c>
      <c r="BU313" s="21" t="str">
        <f t="array" ref="BU313">_xlfn.TEXTJOIN("",TRUE,IF(ISERROR(FIND(ROW($1:$168)-1,BS313&amp;BT313)),ROW($1:$168)-1,""))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13" s="22" t="str">
        <f t="shared" si="253"/>
        <v>中中中</v>
      </c>
      <c r="BW313" s="23" t="str">
        <f t="shared" si="264"/>
        <v/>
      </c>
      <c r="BX313" s="23">
        <f t="shared" si="262"/>
        <v>6</v>
      </c>
      <c r="BY313" s="23" t="str">
        <f t="array" ref="BY313">_xlfn.TEXTJOIN("",TRUE,IF(ISERROR(FIND(ROW($1:$168)-1,BW313&amp;BX313)),ROW($1:$168)-1,""))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13" s="22" t="str">
        <f t="shared" si="254"/>
        <v>中隔中</v>
      </c>
      <c r="CA313" s="24" t="str">
        <f t="shared" si="255"/>
        <v/>
      </c>
      <c r="CB313" s="24" t="str">
        <f t="shared" si="263"/>
        <v/>
      </c>
      <c r="CC313" s="24" t="str">
        <f t="array" ref="CC313">_xlfn.TEXTJOIN("",TRUE,IF(ISERROR(FIND(ROW($1:$168)-1,CA313&amp;CB313)),ROW($1:$168)-1,""))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13" s="22" t="str">
        <f t="shared" si="256"/>
        <v>中中中</v>
      </c>
      <c r="CE313" s="25" t="str">
        <f t="shared" si="250"/>
        <v>02</v>
      </c>
      <c r="CF313" s="26" t="str">
        <f t="array" ref="CF313">_xlfn.TEXTJOIN("",TRUE,IF(ISNUMBER(FIND(MID(CE312&amp;W312,ROW($1:$162),1),CE313&amp;W313)),MID(CE312&amp;W312,ROW($1:$162),1),""))</f>
        <v>0</v>
      </c>
      <c r="CG313" s="27" t="str">
        <f t="array" ref="CG313">_xlfn.TEXTJOIN("",TRUE,IF(ISERROR(FIND(ROW($1:$168)-1,CE313&amp;CF313)),ROW($1:$168)-1,""))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13" s="28" t="str">
        <f t="shared" si="257"/>
        <v>邻传孤</v>
      </c>
      <c r="CI313" s="29" t="str">
        <f t="shared" si="258"/>
        <v>57</v>
      </c>
      <c r="CJ313" s="29" t="str">
        <f t="array" ref="CJ313">_xlfn.TEXTJOIN("",TRUE,IF(ISNUMBER(FIND(MID(CI312&amp;X312,ROW($1:$162),1),CI313&amp;X313)),MID(CI312&amp;X312,ROW($1:$162),1),""))</f>
        <v/>
      </c>
      <c r="CK313" s="29" t="str">
        <f t="array" ref="CK313">_xlfn.TEXTJOIN("",TRUE,IF(ISERROR(FIND(ROW($1:$168)-1,CI313&amp;CJ313)),ROW($1:$168)-1,""))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13" s="19" t="str">
        <f t="shared" si="259"/>
        <v>邻孤孤</v>
      </c>
      <c r="CM313" s="24" t="str">
        <f t="shared" si="260"/>
        <v>46</v>
      </c>
      <c r="CN313" s="24" t="str">
        <f t="array" ref="CN313">_xlfn.TEXTJOIN("",TRUE,IF(ISNUMBER(FIND(MID(CM312&amp;Y312,ROW($1:$162),1),CM313&amp;Y313)),MID(CM312&amp;Y312,ROW($1:$162),1),""))</f>
        <v/>
      </c>
      <c r="CO313" s="24" t="str">
        <f t="array" ref="CO313">_xlfn.TEXTJOIN("",TRUE,IF(ISERROR(FIND(ROW($1:$168)-1,CM313&amp;CN313)),ROW($1:$168)-1,""))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13" s="30" t="str">
        <f t="shared" si="261"/>
        <v>邻孤孤</v>
      </c>
    </row>
    <row r="314" spans="1:94">
      <c r="A314" s="15">
        <v>314</v>
      </c>
      <c r="B314" s="80">
        <v>2024283</v>
      </c>
      <c r="C314" s="8" t="s">
        <v>296</v>
      </c>
      <c r="D314" s="81">
        <f t="shared" si="265"/>
        <v>14</v>
      </c>
      <c r="E314" s="82">
        <f t="shared" si="266"/>
        <v>4</v>
      </c>
      <c r="F314" s="83">
        <f t="shared" si="239"/>
        <v>1.75</v>
      </c>
      <c r="G314" s="84" t="str">
        <f t="shared" si="240"/>
        <v>松散</v>
      </c>
      <c r="H314" s="85" t="s">
        <v>10</v>
      </c>
      <c r="I314" s="85" t="s">
        <v>11</v>
      </c>
      <c r="J314" s="85" t="s">
        <v>12</v>
      </c>
      <c r="K314" s="85" t="s">
        <v>13</v>
      </c>
      <c r="L314" s="86">
        <f>MAX(MID(C314,{1,2,3},1)*1)-MIN(MID(C314,{1,2,3},1)*1)</f>
        <v>8</v>
      </c>
      <c r="M314" s="87">
        <v>0</v>
      </c>
      <c r="N314" s="87">
        <v>1</v>
      </c>
      <c r="O314" s="87">
        <v>2</v>
      </c>
      <c r="P314" s="87">
        <v>3</v>
      </c>
      <c r="Q314" s="87">
        <v>4</v>
      </c>
      <c r="R314" s="87">
        <v>5</v>
      </c>
      <c r="S314" s="87">
        <v>6</v>
      </c>
      <c r="T314" s="87">
        <v>7</v>
      </c>
      <c r="U314" s="87">
        <v>8</v>
      </c>
      <c r="V314" s="87">
        <v>9</v>
      </c>
      <c r="W314" s="88">
        <f t="shared" si="267"/>
        <v>3</v>
      </c>
      <c r="X314" s="88">
        <f t="shared" si="268"/>
        <v>5</v>
      </c>
      <c r="Y314" s="88">
        <f t="shared" si="269"/>
        <v>8</v>
      </c>
      <c r="Z314" s="89">
        <f t="shared" si="248"/>
        <v>16</v>
      </c>
      <c r="AA314" s="17" t="str">
        <f>_xlfn.TEXTJOIN(", ",TRUE,ABS(MID(C314,{1,1,2},1)-MID(C314,{2,3,3},1)))</f>
        <v>3, 5, 8</v>
      </c>
      <c r="AB314" s="90">
        <v>0</v>
      </c>
      <c r="AC314" s="90">
        <v>1</v>
      </c>
      <c r="AD314" s="90">
        <v>2</v>
      </c>
      <c r="AE314" s="90">
        <v>3</v>
      </c>
      <c r="AF314" s="90">
        <v>4</v>
      </c>
      <c r="AG314" s="90">
        <v>5</v>
      </c>
      <c r="AH314" s="90">
        <v>6</v>
      </c>
      <c r="AI314" s="90">
        <v>7</v>
      </c>
      <c r="AJ314" s="90">
        <v>8</v>
      </c>
      <c r="AK314" s="90">
        <v>9</v>
      </c>
      <c r="AL314" s="91">
        <v>0</v>
      </c>
      <c r="AM314" s="91">
        <v>1</v>
      </c>
      <c r="AN314" s="91">
        <v>2</v>
      </c>
      <c r="AO314" s="91">
        <v>3</v>
      </c>
      <c r="AP314" s="91">
        <v>4</v>
      </c>
      <c r="AQ314" s="91">
        <v>5</v>
      </c>
      <c r="AR314" s="91">
        <v>6</v>
      </c>
      <c r="AS314" s="91">
        <v>7</v>
      </c>
      <c r="AT314" s="91">
        <v>8</v>
      </c>
      <c r="AU314" s="91">
        <v>9</v>
      </c>
      <c r="AV314" s="92">
        <v>0</v>
      </c>
      <c r="AW314" s="92">
        <v>1</v>
      </c>
      <c r="AX314" s="92">
        <v>2</v>
      </c>
      <c r="AY314" s="92">
        <v>3</v>
      </c>
      <c r="AZ314" s="92">
        <v>4</v>
      </c>
      <c r="BA314" s="92">
        <v>5</v>
      </c>
      <c r="BB314" s="92">
        <v>6</v>
      </c>
      <c r="BC314" s="92">
        <v>7</v>
      </c>
      <c r="BD314" s="92">
        <v>8</v>
      </c>
      <c r="BE314" s="92">
        <v>9</v>
      </c>
      <c r="BF314" s="93">
        <v>0</v>
      </c>
      <c r="BG314" s="93">
        <v>1</v>
      </c>
      <c r="BH314" s="93">
        <v>2</v>
      </c>
      <c r="BI314" s="93">
        <v>3</v>
      </c>
      <c r="BJ314" s="93">
        <v>4</v>
      </c>
      <c r="BK314" s="93">
        <v>5</v>
      </c>
      <c r="BL314" s="93">
        <v>6</v>
      </c>
      <c r="BM314" s="93">
        <v>7</v>
      </c>
      <c r="BN314" s="93">
        <v>8</v>
      </c>
      <c r="BO314" s="93">
        <v>9</v>
      </c>
      <c r="BP314" s="94" t="str">
        <f t="shared" si="249"/>
        <v>松散型</v>
      </c>
      <c r="BQ314" s="15">
        <f t="shared" si="246"/>
        <v>3</v>
      </c>
      <c r="BR314" s="15">
        <f t="shared" si="247"/>
        <v>8</v>
      </c>
      <c r="BS314" s="20" t="str">
        <f t="shared" si="251"/>
        <v/>
      </c>
      <c r="BT314" s="21" t="str">
        <f t="shared" si="252"/>
        <v/>
      </c>
      <c r="BU314" s="21" t="str">
        <f t="array" ref="BU314">_xlfn.TEXTJOIN("",TRUE,IF(ISERROR(FIND(ROW($1:$168)-1,BS314&amp;BT314)),ROW($1:$168)-1,""))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14" s="22" t="str">
        <f t="shared" si="253"/>
        <v>中中中</v>
      </c>
      <c r="BW314" s="23">
        <f t="shared" si="264"/>
        <v>5</v>
      </c>
      <c r="BX314" s="23" t="str">
        <f t="shared" si="262"/>
        <v/>
      </c>
      <c r="BY314" s="23" t="str">
        <f t="array" ref="BY314">_xlfn.TEXTJOIN("",TRUE,IF(ISERROR(FIND(ROW($1:$168)-1,BW314&amp;BX314)),ROW($1:$168)-1,""))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14" s="22" t="str">
        <f t="shared" si="254"/>
        <v>复中中</v>
      </c>
      <c r="CA314" s="24" t="str">
        <f t="shared" si="255"/>
        <v/>
      </c>
      <c r="CB314" s="24" t="str">
        <f t="shared" si="263"/>
        <v/>
      </c>
      <c r="CC314" s="24" t="str">
        <f t="array" ref="CC314">_xlfn.TEXTJOIN("",TRUE,IF(ISERROR(FIND(ROW($1:$168)-1,CA314&amp;CB314)),ROW($1:$168)-1,""))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14" s="22" t="str">
        <f t="shared" si="256"/>
        <v>中中中</v>
      </c>
      <c r="CE314" s="25" t="str">
        <f t="shared" si="250"/>
        <v>24</v>
      </c>
      <c r="CF314" s="26" t="str">
        <f t="array" ref="CF314">_xlfn.TEXTJOIN("",TRUE,IF(ISNUMBER(FIND(MID(CE313&amp;W313,ROW($1:$162),1),CE314&amp;W314)),MID(CE313&amp;W313,ROW($1:$162),1),""))</f>
        <v>2</v>
      </c>
      <c r="CG314" s="27" t="str">
        <f t="array" ref="CG314">_xlfn.TEXTJOIN("",TRUE,IF(ISERROR(FIND(ROW($1:$168)-1,CE314&amp;CF314)),ROW($1:$168)-1,""))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14" s="28" t="str">
        <f t="shared" si="257"/>
        <v>邻传孤</v>
      </c>
      <c r="CI314" s="29" t="str">
        <f t="shared" si="258"/>
        <v>46</v>
      </c>
      <c r="CJ314" s="29" t="str">
        <f t="array" ref="CJ314">_xlfn.TEXTJOIN("",TRUE,IF(ISNUMBER(FIND(MID(CI313&amp;X313,ROW($1:$162),1),CI314&amp;X314)),MID(CI313&amp;X313,ROW($1:$162),1),""))</f>
        <v>56</v>
      </c>
      <c r="CK314" s="29" t="str">
        <f t="array" ref="CK314">_xlfn.TEXTJOIN("",TRUE,IF(ISERROR(FIND(ROW($1:$168)-1,CI314&amp;CJ314)),ROW($1:$168)-1,""))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14" s="19" t="str">
        <f t="shared" si="259"/>
        <v>邻传孤</v>
      </c>
      <c r="CM314" s="24" t="str">
        <f t="shared" si="260"/>
        <v>79</v>
      </c>
      <c r="CN314" s="24" t="str">
        <f t="array" ref="CN314">_xlfn.TEXTJOIN("",TRUE,IF(ISNUMBER(FIND(MID(CM313&amp;Y313,ROW($1:$162),1),CM314&amp;Y314)),MID(CM313&amp;Y313,ROW($1:$162),1),""))</f>
        <v/>
      </c>
      <c r="CO314" s="24" t="str">
        <f t="array" ref="CO314">_xlfn.TEXTJOIN("",TRUE,IF(ISERROR(FIND(ROW($1:$168)-1,CM314&amp;CN314)),ROW($1:$168)-1,""))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314" s="30" t="str">
        <f t="shared" si="261"/>
        <v>邻孤孤</v>
      </c>
    </row>
    <row r="315" spans="1:94">
      <c r="A315" s="15">
        <v>315</v>
      </c>
      <c r="B315" s="80">
        <v>2024284</v>
      </c>
      <c r="C315" s="8" t="s">
        <v>297</v>
      </c>
      <c r="D315" s="81">
        <f t="shared" si="265"/>
        <v>9</v>
      </c>
      <c r="E315" s="82">
        <f t="shared" si="266"/>
        <v>9</v>
      </c>
      <c r="F315" s="83">
        <f t="shared" si="239"/>
        <v>4.5</v>
      </c>
      <c r="G315" s="84" t="str">
        <f t="shared" si="240"/>
        <v>紧凑</v>
      </c>
      <c r="H315" s="85" t="s">
        <v>10</v>
      </c>
      <c r="I315" s="85" t="s">
        <v>11</v>
      </c>
      <c r="J315" s="85" t="s">
        <v>12</v>
      </c>
      <c r="K315" s="85" t="s">
        <v>13</v>
      </c>
      <c r="L315" s="86">
        <f>MAX(MID(C315,{1,2,3},1)*1)-MIN(MID(C315,{1,2,3},1)*1)</f>
        <v>2</v>
      </c>
      <c r="M315" s="87">
        <v>0</v>
      </c>
      <c r="N315" s="87">
        <v>1</v>
      </c>
      <c r="O315" s="87">
        <v>2</v>
      </c>
      <c r="P315" s="87">
        <v>3</v>
      </c>
      <c r="Q315" s="87">
        <v>4</v>
      </c>
      <c r="R315" s="87">
        <v>5</v>
      </c>
      <c r="S315" s="87">
        <v>6</v>
      </c>
      <c r="T315" s="87">
        <v>7</v>
      </c>
      <c r="U315" s="87">
        <v>8</v>
      </c>
      <c r="V315" s="87">
        <v>9</v>
      </c>
      <c r="W315" s="88">
        <f t="shared" si="267"/>
        <v>1</v>
      </c>
      <c r="X315" s="88">
        <f t="shared" si="268"/>
        <v>1</v>
      </c>
      <c r="Y315" s="88">
        <f t="shared" si="269"/>
        <v>2</v>
      </c>
      <c r="Z315" s="89">
        <f t="shared" si="248"/>
        <v>4</v>
      </c>
      <c r="AA315" s="17" t="str">
        <f>_xlfn.TEXTJOIN(", ",TRUE,ABS(MID(C315,{1,1,2},1)-MID(C315,{2,3,3},1)))</f>
        <v>1, 1, 2</v>
      </c>
      <c r="AB315" s="90">
        <v>0</v>
      </c>
      <c r="AC315" s="90">
        <v>1</v>
      </c>
      <c r="AD315" s="90">
        <v>2</v>
      </c>
      <c r="AE315" s="90">
        <v>3</v>
      </c>
      <c r="AF315" s="90">
        <v>4</v>
      </c>
      <c r="AG315" s="90">
        <v>5</v>
      </c>
      <c r="AH315" s="90">
        <v>6</v>
      </c>
      <c r="AI315" s="90">
        <v>7</v>
      </c>
      <c r="AJ315" s="90">
        <v>8</v>
      </c>
      <c r="AK315" s="90">
        <v>9</v>
      </c>
      <c r="AL315" s="91">
        <v>0</v>
      </c>
      <c r="AM315" s="91">
        <v>1</v>
      </c>
      <c r="AN315" s="91">
        <v>2</v>
      </c>
      <c r="AO315" s="91">
        <v>3</v>
      </c>
      <c r="AP315" s="91">
        <v>4</v>
      </c>
      <c r="AQ315" s="91">
        <v>5</v>
      </c>
      <c r="AR315" s="91">
        <v>6</v>
      </c>
      <c r="AS315" s="91">
        <v>7</v>
      </c>
      <c r="AT315" s="91">
        <v>8</v>
      </c>
      <c r="AU315" s="91">
        <v>9</v>
      </c>
      <c r="AV315" s="92">
        <v>0</v>
      </c>
      <c r="AW315" s="92">
        <v>1</v>
      </c>
      <c r="AX315" s="92">
        <v>2</v>
      </c>
      <c r="AY315" s="92">
        <v>3</v>
      </c>
      <c r="AZ315" s="92">
        <v>4</v>
      </c>
      <c r="BA315" s="92">
        <v>5</v>
      </c>
      <c r="BB315" s="92">
        <v>6</v>
      </c>
      <c r="BC315" s="92">
        <v>7</v>
      </c>
      <c r="BD315" s="92">
        <v>8</v>
      </c>
      <c r="BE315" s="92">
        <v>9</v>
      </c>
      <c r="BF315" s="93">
        <v>0</v>
      </c>
      <c r="BG315" s="93">
        <v>1</v>
      </c>
      <c r="BH315" s="93">
        <v>2</v>
      </c>
      <c r="BI315" s="93">
        <v>3</v>
      </c>
      <c r="BJ315" s="93">
        <v>4</v>
      </c>
      <c r="BK315" s="93">
        <v>5</v>
      </c>
      <c r="BL315" s="93">
        <v>6</v>
      </c>
      <c r="BM315" s="93">
        <v>7</v>
      </c>
      <c r="BN315" s="93">
        <v>8</v>
      </c>
      <c r="BO315" s="93">
        <v>9</v>
      </c>
      <c r="BP315" s="94" t="str">
        <f t="shared" si="249"/>
        <v>紧凑型</v>
      </c>
      <c r="BQ315" s="15">
        <f t="shared" si="246"/>
        <v>1</v>
      </c>
      <c r="BR315" s="15">
        <f t="shared" si="247"/>
        <v>2</v>
      </c>
      <c r="BS315" s="20" t="str">
        <f t="shared" si="251"/>
        <v/>
      </c>
      <c r="BT315" s="21">
        <f t="shared" si="252"/>
        <v>1</v>
      </c>
      <c r="BU315" s="21" t="str">
        <f t="array" ref="BU315">_xlfn.TEXTJOIN("",TRUE,IF(ISERROR(FIND(ROW($1:$168)-1,BS315&amp;BT315)),ROW($1:$168)-1,""))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15" s="22" t="str">
        <f t="shared" si="253"/>
        <v>中隔中</v>
      </c>
      <c r="BW315" s="23" t="str">
        <f t="shared" si="264"/>
        <v/>
      </c>
      <c r="BX315" s="23">
        <f t="shared" si="262"/>
        <v>1</v>
      </c>
      <c r="BY315" s="23" t="str">
        <f t="array" ref="BY315">_xlfn.TEXTJOIN("",TRUE,IF(ISERROR(FIND(ROW($1:$168)-1,BW315&amp;BX315)),ROW($1:$168)-1,""))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15" s="22" t="str">
        <f t="shared" si="254"/>
        <v>中隔中</v>
      </c>
      <c r="CA315" s="24" t="str">
        <f t="shared" si="255"/>
        <v/>
      </c>
      <c r="CB315" s="24" t="str">
        <f t="shared" si="263"/>
        <v/>
      </c>
      <c r="CC315" s="24" t="str">
        <f t="array" ref="CC315">_xlfn.TEXTJOIN("",TRUE,IF(ISERROR(FIND(ROW($1:$168)-1,CA315&amp;CB315)),ROW($1:$168)-1,""))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15" s="22" t="str">
        <f t="shared" si="256"/>
        <v>中中中</v>
      </c>
      <c r="CE315" s="25" t="str">
        <f t="shared" si="250"/>
        <v>02</v>
      </c>
      <c r="CF315" s="26" t="str">
        <f t="array" ref="CF315">_xlfn.TEXTJOIN("",TRUE,IF(ISNUMBER(FIND(MID(CE314&amp;W314,ROW($1:$162),1),CE315&amp;W315)),MID(CE314&amp;W314,ROW($1:$162),1),""))</f>
        <v>2</v>
      </c>
      <c r="CG315" s="27" t="str">
        <f t="array" ref="CG315">_xlfn.TEXTJOIN("",TRUE,IF(ISERROR(FIND(ROW($1:$168)-1,CE315&amp;CF315)),ROW($1:$168)-1,""))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15" s="28" t="str">
        <f t="shared" si="257"/>
        <v>邻传孤</v>
      </c>
      <c r="CI315" s="29" t="str">
        <f t="shared" si="258"/>
        <v>02</v>
      </c>
      <c r="CJ315" s="29" t="str">
        <f t="array" ref="CJ315">_xlfn.TEXTJOIN("",TRUE,IF(ISNUMBER(FIND(MID(CI314&amp;X314,ROW($1:$162),1),CI315&amp;X315)),MID(CI314&amp;X314,ROW($1:$162),1),""))</f>
        <v/>
      </c>
      <c r="CK315" s="29" t="str">
        <f t="array" ref="CK315">_xlfn.TEXTJOIN("",TRUE,IF(ISERROR(FIND(ROW($1:$168)-1,CI315&amp;CJ315)),ROW($1:$168)-1,""))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15" s="19" t="str">
        <f t="shared" si="259"/>
        <v>邻孤孤</v>
      </c>
      <c r="CM315" s="24" t="str">
        <f t="shared" si="260"/>
        <v>13</v>
      </c>
      <c r="CN315" s="24" t="str">
        <f t="array" ref="CN315">_xlfn.TEXTJOIN("",TRUE,IF(ISNUMBER(FIND(MID(CM314&amp;Y314,ROW($1:$162),1),CM315&amp;Y315)),MID(CM314&amp;Y314,ROW($1:$162),1),""))</f>
        <v/>
      </c>
      <c r="CO315" s="24" t="str">
        <f t="array" ref="CO315">_xlfn.TEXTJOIN("",TRUE,IF(ISERROR(FIND(ROW($1:$168)-1,CM315&amp;CN315)),ROW($1:$168)-1,""))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15" s="30" t="str">
        <f t="shared" si="261"/>
        <v>邻孤孤</v>
      </c>
    </row>
    <row r="316" spans="1:94">
      <c r="A316" s="15">
        <v>316</v>
      </c>
      <c r="B316" s="80">
        <v>2024285</v>
      </c>
      <c r="C316" s="8" t="s">
        <v>298</v>
      </c>
      <c r="D316" s="81">
        <f t="shared" si="265"/>
        <v>16</v>
      </c>
      <c r="E316" s="82">
        <f t="shared" si="266"/>
        <v>6</v>
      </c>
      <c r="F316" s="83">
        <f t="shared" si="239"/>
        <v>2.28571428571429</v>
      </c>
      <c r="G316" s="84" t="str">
        <f t="shared" si="240"/>
        <v>标准</v>
      </c>
      <c r="H316" s="85" t="s">
        <v>10</v>
      </c>
      <c r="I316" s="85" t="s">
        <v>11</v>
      </c>
      <c r="J316" s="85" t="s">
        <v>12</v>
      </c>
      <c r="K316" s="85" t="s">
        <v>13</v>
      </c>
      <c r="L316" s="86">
        <f>MAX(MID(C316,{1,2,3},1)*1)-MIN(MID(C316,{1,2,3},1)*1)</f>
        <v>7</v>
      </c>
      <c r="M316" s="87">
        <v>0</v>
      </c>
      <c r="N316" s="87">
        <v>1</v>
      </c>
      <c r="O316" s="87">
        <v>2</v>
      </c>
      <c r="P316" s="87">
        <v>3</v>
      </c>
      <c r="Q316" s="87">
        <v>4</v>
      </c>
      <c r="R316" s="87">
        <v>5</v>
      </c>
      <c r="S316" s="87">
        <v>6</v>
      </c>
      <c r="T316" s="87">
        <v>7</v>
      </c>
      <c r="U316" s="87">
        <v>8</v>
      </c>
      <c r="V316" s="87">
        <v>9</v>
      </c>
      <c r="W316" s="88">
        <f t="shared" si="267"/>
        <v>6</v>
      </c>
      <c r="X316" s="88">
        <f t="shared" si="268"/>
        <v>1</v>
      </c>
      <c r="Y316" s="88">
        <f t="shared" si="269"/>
        <v>7</v>
      </c>
      <c r="Z316" s="89">
        <f t="shared" si="248"/>
        <v>14</v>
      </c>
      <c r="AA316" s="17" t="str">
        <f>_xlfn.TEXTJOIN(", ",TRUE,ABS(MID(C316,{1,1,2},1)-MID(C316,{2,3,3},1)))</f>
        <v>6, 1, 7</v>
      </c>
      <c r="AB316" s="90">
        <v>0</v>
      </c>
      <c r="AC316" s="90">
        <v>1</v>
      </c>
      <c r="AD316" s="90">
        <v>2</v>
      </c>
      <c r="AE316" s="90">
        <v>3</v>
      </c>
      <c r="AF316" s="90">
        <v>4</v>
      </c>
      <c r="AG316" s="90">
        <v>5</v>
      </c>
      <c r="AH316" s="90">
        <v>6</v>
      </c>
      <c r="AI316" s="90">
        <v>7</v>
      </c>
      <c r="AJ316" s="90">
        <v>8</v>
      </c>
      <c r="AK316" s="90">
        <v>9</v>
      </c>
      <c r="AL316" s="91">
        <v>0</v>
      </c>
      <c r="AM316" s="91">
        <v>1</v>
      </c>
      <c r="AN316" s="91">
        <v>2</v>
      </c>
      <c r="AO316" s="91">
        <v>3</v>
      </c>
      <c r="AP316" s="91">
        <v>4</v>
      </c>
      <c r="AQ316" s="91">
        <v>5</v>
      </c>
      <c r="AR316" s="91">
        <v>6</v>
      </c>
      <c r="AS316" s="91">
        <v>7</v>
      </c>
      <c r="AT316" s="91">
        <v>8</v>
      </c>
      <c r="AU316" s="91">
        <v>9</v>
      </c>
      <c r="AV316" s="92">
        <v>0</v>
      </c>
      <c r="AW316" s="92">
        <v>1</v>
      </c>
      <c r="AX316" s="92">
        <v>2</v>
      </c>
      <c r="AY316" s="92">
        <v>3</v>
      </c>
      <c r="AZ316" s="92">
        <v>4</v>
      </c>
      <c r="BA316" s="92">
        <v>5</v>
      </c>
      <c r="BB316" s="92">
        <v>6</v>
      </c>
      <c r="BC316" s="92">
        <v>7</v>
      </c>
      <c r="BD316" s="92">
        <v>8</v>
      </c>
      <c r="BE316" s="92">
        <v>9</v>
      </c>
      <c r="BF316" s="93">
        <v>0</v>
      </c>
      <c r="BG316" s="93">
        <v>1</v>
      </c>
      <c r="BH316" s="93">
        <v>2</v>
      </c>
      <c r="BI316" s="93">
        <v>3</v>
      </c>
      <c r="BJ316" s="93">
        <v>4</v>
      </c>
      <c r="BK316" s="93">
        <v>5</v>
      </c>
      <c r="BL316" s="93">
        <v>6</v>
      </c>
      <c r="BM316" s="93">
        <v>7</v>
      </c>
      <c r="BN316" s="93">
        <v>8</v>
      </c>
      <c r="BO316" s="93">
        <v>9</v>
      </c>
      <c r="BP316" s="94" t="str">
        <f t="shared" si="249"/>
        <v>松散型</v>
      </c>
      <c r="BQ316" s="15">
        <f t="shared" si="246"/>
        <v>1</v>
      </c>
      <c r="BR316" s="15">
        <f t="shared" si="247"/>
        <v>7</v>
      </c>
      <c r="BS316" s="20" t="str">
        <f t="shared" si="251"/>
        <v/>
      </c>
      <c r="BT316" s="21" t="str">
        <f t="shared" si="252"/>
        <v/>
      </c>
      <c r="BU316" s="21" t="str">
        <f t="array" ref="BU316">_xlfn.TEXTJOIN("",TRUE,IF(ISERROR(FIND(ROW($1:$168)-1,BS316&amp;BT316)),ROW($1:$168)-1,""))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16" s="22" t="str">
        <f t="shared" si="253"/>
        <v>中中中</v>
      </c>
      <c r="BW316" s="23">
        <f t="shared" si="264"/>
        <v>1</v>
      </c>
      <c r="BX316" s="23" t="str">
        <f t="shared" si="262"/>
        <v/>
      </c>
      <c r="BY316" s="23" t="str">
        <f t="array" ref="BY316">_xlfn.TEXTJOIN("",TRUE,IF(ISERROR(FIND(ROW($1:$168)-1,BW316&amp;BX316)),ROW($1:$168)-1,""))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16" s="22" t="str">
        <f t="shared" si="254"/>
        <v>复中中</v>
      </c>
      <c r="CA316" s="24" t="str">
        <f t="shared" si="255"/>
        <v/>
      </c>
      <c r="CB316" s="24" t="str">
        <f t="shared" si="263"/>
        <v/>
      </c>
      <c r="CC316" s="24" t="str">
        <f t="array" ref="CC316">_xlfn.TEXTJOIN("",TRUE,IF(ISERROR(FIND(ROW($1:$168)-1,CA316&amp;CB316)),ROW($1:$168)-1,""))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16" s="22" t="str">
        <f t="shared" si="256"/>
        <v>中中中</v>
      </c>
      <c r="CE316" s="25" t="str">
        <f t="shared" si="250"/>
        <v>57</v>
      </c>
      <c r="CF316" s="26" t="str">
        <f t="array" ref="CF316">_xlfn.TEXTJOIN("",TRUE,IF(ISNUMBER(FIND(MID(CE315&amp;W315,ROW($1:$162),1),CE316&amp;W316)),MID(CE315&amp;W315,ROW($1:$162),1),""))</f>
        <v/>
      </c>
      <c r="CG316" s="27" t="str">
        <f t="array" ref="CG316">_xlfn.TEXTJOIN("",TRUE,IF(ISERROR(FIND(ROW($1:$168)-1,CE316&amp;CF316)),ROW($1:$168)-1,""))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16" s="28" t="str">
        <f t="shared" si="257"/>
        <v>邻孤孤</v>
      </c>
      <c r="CI316" s="29" t="str">
        <f t="shared" si="258"/>
        <v>02</v>
      </c>
      <c r="CJ316" s="29" t="str">
        <f t="array" ref="CJ316">_xlfn.TEXTJOIN("",TRUE,IF(ISNUMBER(FIND(MID(CI315&amp;X315,ROW($1:$162),1),CI316&amp;X316)),MID(CI315&amp;X315,ROW($1:$162),1),""))</f>
        <v>021</v>
      </c>
      <c r="CK316" s="29" t="str">
        <f t="array" ref="CK316">_xlfn.TEXTJOIN("",TRUE,IF(ISERROR(FIND(ROW($1:$168)-1,CI316&amp;CJ316)),ROW($1:$168)-1,""))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16" s="19" t="str">
        <f t="shared" si="259"/>
        <v>邻传孤</v>
      </c>
      <c r="CM316" s="24" t="str">
        <f t="shared" si="260"/>
        <v>68</v>
      </c>
      <c r="CN316" s="24" t="str">
        <f t="array" ref="CN316">_xlfn.TEXTJOIN("",TRUE,IF(ISNUMBER(FIND(MID(CM315&amp;Y315,ROW($1:$162),1),CM316&amp;Y316)),MID(CM315&amp;Y315,ROW($1:$162),1),""))</f>
        <v/>
      </c>
      <c r="CO316" s="24" t="str">
        <f t="array" ref="CO316">_xlfn.TEXTJOIN("",TRUE,IF(ISERROR(FIND(ROW($1:$168)-1,CM316&amp;CN316)),ROW($1:$168)-1,""))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16" s="30" t="str">
        <f t="shared" si="261"/>
        <v>邻孤孤</v>
      </c>
    </row>
    <row r="317" spans="1:94">
      <c r="A317" s="15">
        <v>317</v>
      </c>
      <c r="B317" s="80">
        <v>2024286</v>
      </c>
      <c r="C317" s="8" t="s">
        <v>299</v>
      </c>
      <c r="D317" s="81">
        <f t="shared" si="265"/>
        <v>9</v>
      </c>
      <c r="E317" s="82">
        <f t="shared" si="266"/>
        <v>9</v>
      </c>
      <c r="F317" s="83">
        <f t="shared" si="239"/>
        <v>1.8</v>
      </c>
      <c r="G317" s="84" t="str">
        <f t="shared" si="240"/>
        <v>松散</v>
      </c>
      <c r="H317" s="85" t="s">
        <v>10</v>
      </c>
      <c r="I317" s="85" t="s">
        <v>11</v>
      </c>
      <c r="J317" s="85" t="s">
        <v>12</v>
      </c>
      <c r="K317" s="85" t="s">
        <v>13</v>
      </c>
      <c r="L317" s="86">
        <f>MAX(MID(C317,{1,2,3},1)*1)-MIN(MID(C317,{1,2,3},1)*1)</f>
        <v>5</v>
      </c>
      <c r="M317" s="87">
        <v>0</v>
      </c>
      <c r="N317" s="87">
        <v>1</v>
      </c>
      <c r="O317" s="87">
        <v>2</v>
      </c>
      <c r="P317" s="87">
        <v>3</v>
      </c>
      <c r="Q317" s="87">
        <v>4</v>
      </c>
      <c r="R317" s="87">
        <v>5</v>
      </c>
      <c r="S317" s="87">
        <v>6</v>
      </c>
      <c r="T317" s="87">
        <v>7</v>
      </c>
      <c r="U317" s="87">
        <v>8</v>
      </c>
      <c r="V317" s="87">
        <v>9</v>
      </c>
      <c r="W317" s="88">
        <f t="shared" si="267"/>
        <v>4</v>
      </c>
      <c r="X317" s="88">
        <f t="shared" si="268"/>
        <v>5</v>
      </c>
      <c r="Y317" s="88">
        <f t="shared" si="269"/>
        <v>1</v>
      </c>
      <c r="Z317" s="89">
        <f t="shared" si="248"/>
        <v>10</v>
      </c>
      <c r="AA317" s="17" t="str">
        <f>_xlfn.TEXTJOIN(", ",TRUE,ABS(MID(C317,{1,1,2},1)-MID(C317,{2,3,3},1)))</f>
        <v>4, 5, 1</v>
      </c>
      <c r="AB317" s="90">
        <v>0</v>
      </c>
      <c r="AC317" s="90">
        <v>1</v>
      </c>
      <c r="AD317" s="90">
        <v>2</v>
      </c>
      <c r="AE317" s="90">
        <v>3</v>
      </c>
      <c r="AF317" s="90">
        <v>4</v>
      </c>
      <c r="AG317" s="90">
        <v>5</v>
      </c>
      <c r="AH317" s="90">
        <v>6</v>
      </c>
      <c r="AI317" s="90">
        <v>7</v>
      </c>
      <c r="AJ317" s="90">
        <v>8</v>
      </c>
      <c r="AK317" s="90">
        <v>9</v>
      </c>
      <c r="AL317" s="91">
        <v>0</v>
      </c>
      <c r="AM317" s="91">
        <v>1</v>
      </c>
      <c r="AN317" s="91">
        <v>2</v>
      </c>
      <c r="AO317" s="91">
        <v>3</v>
      </c>
      <c r="AP317" s="91">
        <v>4</v>
      </c>
      <c r="AQ317" s="91">
        <v>5</v>
      </c>
      <c r="AR317" s="91">
        <v>6</v>
      </c>
      <c r="AS317" s="91">
        <v>7</v>
      </c>
      <c r="AT317" s="91">
        <v>8</v>
      </c>
      <c r="AU317" s="91">
        <v>9</v>
      </c>
      <c r="AV317" s="92">
        <v>0</v>
      </c>
      <c r="AW317" s="92">
        <v>1</v>
      </c>
      <c r="AX317" s="92">
        <v>2</v>
      </c>
      <c r="AY317" s="92">
        <v>3</v>
      </c>
      <c r="AZ317" s="92">
        <v>4</v>
      </c>
      <c r="BA317" s="92">
        <v>5</v>
      </c>
      <c r="BB317" s="92">
        <v>6</v>
      </c>
      <c r="BC317" s="92">
        <v>7</v>
      </c>
      <c r="BD317" s="92">
        <v>8</v>
      </c>
      <c r="BE317" s="92">
        <v>9</v>
      </c>
      <c r="BF317" s="93">
        <v>0</v>
      </c>
      <c r="BG317" s="93">
        <v>1</v>
      </c>
      <c r="BH317" s="93">
        <v>2</v>
      </c>
      <c r="BI317" s="93">
        <v>3</v>
      </c>
      <c r="BJ317" s="93">
        <v>4</v>
      </c>
      <c r="BK317" s="93">
        <v>5</v>
      </c>
      <c r="BL317" s="93">
        <v>6</v>
      </c>
      <c r="BM317" s="93">
        <v>7</v>
      </c>
      <c r="BN317" s="93">
        <v>8</v>
      </c>
      <c r="BO317" s="93">
        <v>9</v>
      </c>
      <c r="BP317" s="94" t="str">
        <f t="shared" si="249"/>
        <v>标准型</v>
      </c>
      <c r="BQ317" s="15">
        <f t="shared" si="246"/>
        <v>1</v>
      </c>
      <c r="BR317" s="15">
        <f t="shared" si="247"/>
        <v>5</v>
      </c>
      <c r="BS317" s="20" t="str">
        <f t="shared" si="251"/>
        <v/>
      </c>
      <c r="BT317" s="21" t="str">
        <f t="shared" si="252"/>
        <v/>
      </c>
      <c r="BU317" s="21" t="str">
        <f t="array" ref="BU317">_xlfn.TEXTJOIN("",TRUE,IF(ISERROR(FIND(ROW($1:$168)-1,BS317&amp;BT317)),ROW($1:$168)-1,""))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17" s="22" t="str">
        <f t="shared" si="253"/>
        <v>中中中</v>
      </c>
      <c r="BW317" s="23" t="str">
        <f t="shared" si="264"/>
        <v/>
      </c>
      <c r="BX317" s="23" t="str">
        <f t="shared" si="262"/>
        <v/>
      </c>
      <c r="BY317" s="23" t="str">
        <f t="array" ref="BY317">_xlfn.TEXTJOIN("",TRUE,IF(ISERROR(FIND(ROW($1:$168)-1,BW317&amp;BX317)),ROW($1:$168)-1,""))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17" s="22" t="str">
        <f t="shared" si="254"/>
        <v>中中中</v>
      </c>
      <c r="CA317" s="24">
        <f t="shared" si="255"/>
        <v>1</v>
      </c>
      <c r="CB317" s="24">
        <f t="shared" si="263"/>
        <v>1</v>
      </c>
      <c r="CC317" s="24" t="str">
        <f t="array" ref="CC317">_xlfn.TEXTJOIN("",TRUE,IF(ISERROR(FIND(ROW($1:$168)-1,CA317&amp;CB317)),ROW($1:$168)-1,""))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17" s="22" t="str">
        <f t="shared" si="256"/>
        <v>复隔中</v>
      </c>
      <c r="CE317" s="25" t="str">
        <f t="shared" si="250"/>
        <v>35</v>
      </c>
      <c r="CF317" s="26" t="str">
        <f t="array" ref="CF317">_xlfn.TEXTJOIN("",TRUE,IF(ISNUMBER(FIND(MID(CE316&amp;W316,ROW($1:$162),1),CE317&amp;W317)),MID(CE316&amp;W316,ROW($1:$162),1),""))</f>
        <v>5</v>
      </c>
      <c r="CG317" s="27" t="str">
        <f t="array" ref="CG317">_xlfn.TEXTJOIN("",TRUE,IF(ISERROR(FIND(ROW($1:$168)-1,CE317&amp;CF317)),ROW($1:$168)-1,""))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17" s="28" t="str">
        <f t="shared" si="257"/>
        <v>邻传孤</v>
      </c>
      <c r="CI317" s="29" t="str">
        <f t="shared" si="258"/>
        <v>46</v>
      </c>
      <c r="CJ317" s="29" t="str">
        <f t="array" ref="CJ317">_xlfn.TEXTJOIN("",TRUE,IF(ISNUMBER(FIND(MID(CI316&amp;X316,ROW($1:$162),1),CI317&amp;X317)),MID(CI316&amp;X316,ROW($1:$162),1),""))</f>
        <v/>
      </c>
      <c r="CK317" s="29" t="str">
        <f t="array" ref="CK317">_xlfn.TEXTJOIN("",TRUE,IF(ISERROR(FIND(ROW($1:$168)-1,CI317&amp;CJ317)),ROW($1:$168)-1,""))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17" s="19" t="str">
        <f t="shared" si="259"/>
        <v>邻孤孤</v>
      </c>
      <c r="CM317" s="24" t="str">
        <f t="shared" si="260"/>
        <v>02</v>
      </c>
      <c r="CN317" s="24" t="str">
        <f t="array" ref="CN317">_xlfn.TEXTJOIN("",TRUE,IF(ISNUMBER(FIND(MID(CM316&amp;Y316,ROW($1:$162),1),CM317&amp;Y317)),MID(CM316&amp;Y316,ROW($1:$162),1),""))</f>
        <v/>
      </c>
      <c r="CO317" s="24" t="str">
        <f t="array" ref="CO317">_xlfn.TEXTJOIN("",TRUE,IF(ISERROR(FIND(ROW($1:$168)-1,CM317&amp;CN317)),ROW($1:$168)-1,""))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17" s="30" t="str">
        <f t="shared" si="261"/>
        <v>邻孤孤</v>
      </c>
    </row>
    <row r="318" spans="1:94">
      <c r="A318" s="15">
        <v>318</v>
      </c>
      <c r="B318" s="80">
        <v>2024287</v>
      </c>
      <c r="C318" s="8" t="s">
        <v>109</v>
      </c>
      <c r="D318" s="81">
        <f t="shared" si="265"/>
        <v>12</v>
      </c>
      <c r="E318" s="82">
        <f t="shared" si="266"/>
        <v>2</v>
      </c>
      <c r="F318" s="83">
        <f t="shared" si="239"/>
        <v>1.5</v>
      </c>
      <c r="G318" s="84" t="str">
        <f t="shared" si="240"/>
        <v>松散</v>
      </c>
      <c r="H318" s="85" t="s">
        <v>10</v>
      </c>
      <c r="I318" s="85" t="s">
        <v>11</v>
      </c>
      <c r="J318" s="85" t="s">
        <v>12</v>
      </c>
      <c r="K318" s="85" t="s">
        <v>13</v>
      </c>
      <c r="L318" s="86">
        <f>MAX(MID(C318,{1,2,3},1)*1)-MIN(MID(C318,{1,2,3},1)*1)</f>
        <v>8</v>
      </c>
      <c r="M318" s="87">
        <v>0</v>
      </c>
      <c r="N318" s="87">
        <v>1</v>
      </c>
      <c r="O318" s="87">
        <v>2</v>
      </c>
      <c r="P318" s="87">
        <v>3</v>
      </c>
      <c r="Q318" s="87">
        <v>4</v>
      </c>
      <c r="R318" s="87">
        <v>5</v>
      </c>
      <c r="S318" s="87">
        <v>6</v>
      </c>
      <c r="T318" s="87">
        <v>7</v>
      </c>
      <c r="U318" s="87">
        <v>8</v>
      </c>
      <c r="V318" s="87">
        <v>9</v>
      </c>
      <c r="W318" s="88">
        <f t="shared" si="267"/>
        <v>8</v>
      </c>
      <c r="X318" s="88">
        <f t="shared" si="268"/>
        <v>1</v>
      </c>
      <c r="Y318" s="88">
        <f t="shared" si="269"/>
        <v>7</v>
      </c>
      <c r="Z318" s="89">
        <f t="shared" si="248"/>
        <v>16</v>
      </c>
      <c r="AA318" s="17" t="str">
        <f>_xlfn.TEXTJOIN(", ",TRUE,ABS(MID(C318,{1,1,2},1)-MID(C318,{2,3,3},1)))</f>
        <v>8, 1, 7</v>
      </c>
      <c r="AB318" s="90">
        <v>0</v>
      </c>
      <c r="AC318" s="90">
        <v>1</v>
      </c>
      <c r="AD318" s="90">
        <v>2</v>
      </c>
      <c r="AE318" s="90">
        <v>3</v>
      </c>
      <c r="AF318" s="90">
        <v>4</v>
      </c>
      <c r="AG318" s="90">
        <v>5</v>
      </c>
      <c r="AH318" s="90">
        <v>6</v>
      </c>
      <c r="AI318" s="90">
        <v>7</v>
      </c>
      <c r="AJ318" s="90">
        <v>8</v>
      </c>
      <c r="AK318" s="90">
        <v>9</v>
      </c>
      <c r="AL318" s="91">
        <v>0</v>
      </c>
      <c r="AM318" s="91">
        <v>1</v>
      </c>
      <c r="AN318" s="91">
        <v>2</v>
      </c>
      <c r="AO318" s="91">
        <v>3</v>
      </c>
      <c r="AP318" s="91">
        <v>4</v>
      </c>
      <c r="AQ318" s="91">
        <v>5</v>
      </c>
      <c r="AR318" s="91">
        <v>6</v>
      </c>
      <c r="AS318" s="91">
        <v>7</v>
      </c>
      <c r="AT318" s="91">
        <v>8</v>
      </c>
      <c r="AU318" s="91">
        <v>9</v>
      </c>
      <c r="AV318" s="92">
        <v>0</v>
      </c>
      <c r="AW318" s="92">
        <v>1</v>
      </c>
      <c r="AX318" s="92">
        <v>2</v>
      </c>
      <c r="AY318" s="92">
        <v>3</v>
      </c>
      <c r="AZ318" s="92">
        <v>4</v>
      </c>
      <c r="BA318" s="92">
        <v>5</v>
      </c>
      <c r="BB318" s="92">
        <v>6</v>
      </c>
      <c r="BC318" s="92">
        <v>7</v>
      </c>
      <c r="BD318" s="92">
        <v>8</v>
      </c>
      <c r="BE318" s="92">
        <v>9</v>
      </c>
      <c r="BF318" s="93">
        <v>0</v>
      </c>
      <c r="BG318" s="93">
        <v>1</v>
      </c>
      <c r="BH318" s="93">
        <v>2</v>
      </c>
      <c r="BI318" s="93">
        <v>3</v>
      </c>
      <c r="BJ318" s="93">
        <v>4</v>
      </c>
      <c r="BK318" s="93">
        <v>5</v>
      </c>
      <c r="BL318" s="93">
        <v>6</v>
      </c>
      <c r="BM318" s="93">
        <v>7</v>
      </c>
      <c r="BN318" s="93">
        <v>8</v>
      </c>
      <c r="BO318" s="93">
        <v>9</v>
      </c>
      <c r="BP318" s="94" t="str">
        <f t="shared" si="249"/>
        <v>松散型</v>
      </c>
      <c r="BQ318" s="15">
        <f t="shared" si="246"/>
        <v>1</v>
      </c>
      <c r="BR318" s="15">
        <f t="shared" si="247"/>
        <v>8</v>
      </c>
      <c r="BS318" s="20" t="str">
        <f t="shared" si="251"/>
        <v/>
      </c>
      <c r="BT318" s="21" t="str">
        <f t="shared" si="252"/>
        <v/>
      </c>
      <c r="BU318" s="21" t="str">
        <f t="array" ref="BU318">_xlfn.TEXTJOIN("",TRUE,IF(ISERROR(FIND(ROW($1:$168)-1,BS318&amp;BT318)),ROW($1:$168)-1,""))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18" s="22" t="str">
        <f t="shared" si="253"/>
        <v>中中中</v>
      </c>
      <c r="BW318" s="23">
        <f t="shared" si="264"/>
        <v>1</v>
      </c>
      <c r="BX318" s="23">
        <f t="shared" si="262"/>
        <v>1</v>
      </c>
      <c r="BY318" s="23" t="str">
        <f t="array" ref="BY318">_xlfn.TEXTJOIN("",TRUE,IF(ISERROR(FIND(ROW($1:$168)-1,BW318&amp;BX318)),ROW($1:$168)-1,""))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18" s="22" t="str">
        <f t="shared" si="254"/>
        <v>复隔中</v>
      </c>
      <c r="CA318" s="24" t="str">
        <f t="shared" si="255"/>
        <v/>
      </c>
      <c r="CB318" s="24">
        <f t="shared" si="263"/>
        <v>7</v>
      </c>
      <c r="CC318" s="24" t="str">
        <f t="array" ref="CC318">_xlfn.TEXTJOIN("",TRUE,IF(ISERROR(FIND(ROW($1:$168)-1,CA318&amp;CB318)),ROW($1:$168)-1,""))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18" s="22" t="str">
        <f t="shared" si="256"/>
        <v>中隔中</v>
      </c>
      <c r="CE318" s="25" t="str">
        <f t="shared" si="250"/>
        <v>79</v>
      </c>
      <c r="CF318" s="26" t="str">
        <f t="array" ref="CF318">_xlfn.TEXTJOIN("",TRUE,IF(ISNUMBER(FIND(MID(CE317&amp;W317,ROW($1:$162),1),CE318&amp;W318)),MID(CE317&amp;W317,ROW($1:$162),1),""))</f>
        <v/>
      </c>
      <c r="CG318" s="27" t="str">
        <f t="array" ref="CG318">_xlfn.TEXTJOIN("",TRUE,IF(ISERROR(FIND(ROW($1:$168)-1,CE318&amp;CF318)),ROW($1:$168)-1,""))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318" s="28" t="str">
        <f t="shared" si="257"/>
        <v>邻孤孤</v>
      </c>
      <c r="CI318" s="29" t="str">
        <f t="shared" si="258"/>
        <v>02</v>
      </c>
      <c r="CJ318" s="29" t="str">
        <f t="array" ref="CJ318">_xlfn.TEXTJOIN("",TRUE,IF(ISNUMBER(FIND(MID(CI317&amp;X317,ROW($1:$162),1),CI318&amp;X318)),MID(CI317&amp;X317,ROW($1:$162),1),""))</f>
        <v/>
      </c>
      <c r="CK318" s="29" t="str">
        <f t="array" ref="CK318">_xlfn.TEXTJOIN("",TRUE,IF(ISERROR(FIND(ROW($1:$168)-1,CI318&amp;CJ318)),ROW($1:$168)-1,""))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18" s="19" t="str">
        <f t="shared" si="259"/>
        <v>邻孤孤</v>
      </c>
      <c r="CM318" s="24" t="str">
        <f t="shared" si="260"/>
        <v>68</v>
      </c>
      <c r="CN318" s="24" t="str">
        <f t="array" ref="CN318">_xlfn.TEXTJOIN("",TRUE,IF(ISNUMBER(FIND(MID(CM317&amp;Y317,ROW($1:$162),1),CM318&amp;Y318)),MID(CM317&amp;Y317,ROW($1:$162),1),""))</f>
        <v/>
      </c>
      <c r="CO318" s="24" t="str">
        <f t="array" ref="CO318">_xlfn.TEXTJOIN("",TRUE,IF(ISERROR(FIND(ROW($1:$168)-1,CM318&amp;CN318)),ROW($1:$168)-1,""))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18" s="30" t="str">
        <f t="shared" si="261"/>
        <v>邻孤孤</v>
      </c>
    </row>
    <row r="319" spans="1:94">
      <c r="A319" s="15">
        <v>319</v>
      </c>
      <c r="B319" s="80">
        <v>2024288</v>
      </c>
      <c r="C319" s="8" t="s">
        <v>300</v>
      </c>
      <c r="D319" s="81">
        <f t="shared" si="265"/>
        <v>20</v>
      </c>
      <c r="E319" s="82">
        <f t="shared" si="266"/>
        <v>0</v>
      </c>
      <c r="F319" s="83">
        <f t="shared" si="239"/>
        <v>3.33333333333333</v>
      </c>
      <c r="G319" s="84" t="str">
        <f t="shared" si="240"/>
        <v>标准</v>
      </c>
      <c r="H319" s="85" t="s">
        <v>10</v>
      </c>
      <c r="I319" s="85" t="s">
        <v>11</v>
      </c>
      <c r="J319" s="85" t="s">
        <v>12</v>
      </c>
      <c r="K319" s="85" t="s">
        <v>13</v>
      </c>
      <c r="L319" s="86">
        <f>MAX(MID(C319,{1,2,3},1)*1)-MIN(MID(C319,{1,2,3},1)*1)</f>
        <v>6</v>
      </c>
      <c r="M319" s="87">
        <v>0</v>
      </c>
      <c r="N319" s="87">
        <v>1</v>
      </c>
      <c r="O319" s="87">
        <v>2</v>
      </c>
      <c r="P319" s="87">
        <v>3</v>
      </c>
      <c r="Q319" s="87">
        <v>4</v>
      </c>
      <c r="R319" s="87">
        <v>5</v>
      </c>
      <c r="S319" s="87">
        <v>6</v>
      </c>
      <c r="T319" s="87">
        <v>7</v>
      </c>
      <c r="U319" s="87">
        <v>8</v>
      </c>
      <c r="V319" s="87">
        <v>9</v>
      </c>
      <c r="W319" s="88">
        <f t="shared" si="267"/>
        <v>5</v>
      </c>
      <c r="X319" s="88">
        <f t="shared" si="268"/>
        <v>1</v>
      </c>
      <c r="Y319" s="88">
        <f t="shared" si="269"/>
        <v>6</v>
      </c>
      <c r="Z319" s="89">
        <f t="shared" si="248"/>
        <v>12</v>
      </c>
      <c r="AA319" s="17" t="str">
        <f>_xlfn.TEXTJOIN(", ",TRUE,ABS(MID(C319,{1,1,2},1)-MID(C319,{2,3,3},1)))</f>
        <v>5, 1, 6</v>
      </c>
      <c r="AB319" s="90">
        <v>0</v>
      </c>
      <c r="AC319" s="90">
        <v>1</v>
      </c>
      <c r="AD319" s="90">
        <v>2</v>
      </c>
      <c r="AE319" s="90">
        <v>3</v>
      </c>
      <c r="AF319" s="90">
        <v>4</v>
      </c>
      <c r="AG319" s="90">
        <v>5</v>
      </c>
      <c r="AH319" s="90">
        <v>6</v>
      </c>
      <c r="AI319" s="90">
        <v>7</v>
      </c>
      <c r="AJ319" s="90">
        <v>8</v>
      </c>
      <c r="AK319" s="90">
        <v>9</v>
      </c>
      <c r="AL319" s="91">
        <v>0</v>
      </c>
      <c r="AM319" s="91">
        <v>1</v>
      </c>
      <c r="AN319" s="91">
        <v>2</v>
      </c>
      <c r="AO319" s="91">
        <v>3</v>
      </c>
      <c r="AP319" s="91">
        <v>4</v>
      </c>
      <c r="AQ319" s="91">
        <v>5</v>
      </c>
      <c r="AR319" s="91">
        <v>6</v>
      </c>
      <c r="AS319" s="91">
        <v>7</v>
      </c>
      <c r="AT319" s="91">
        <v>8</v>
      </c>
      <c r="AU319" s="91">
        <v>9</v>
      </c>
      <c r="AV319" s="92">
        <v>0</v>
      </c>
      <c r="AW319" s="92">
        <v>1</v>
      </c>
      <c r="AX319" s="92">
        <v>2</v>
      </c>
      <c r="AY319" s="92">
        <v>3</v>
      </c>
      <c r="AZ319" s="92">
        <v>4</v>
      </c>
      <c r="BA319" s="92">
        <v>5</v>
      </c>
      <c r="BB319" s="92">
        <v>6</v>
      </c>
      <c r="BC319" s="92">
        <v>7</v>
      </c>
      <c r="BD319" s="92">
        <v>8</v>
      </c>
      <c r="BE319" s="92">
        <v>9</v>
      </c>
      <c r="BF319" s="93">
        <v>0</v>
      </c>
      <c r="BG319" s="93">
        <v>1</v>
      </c>
      <c r="BH319" s="93">
        <v>2</v>
      </c>
      <c r="BI319" s="93">
        <v>3</v>
      </c>
      <c r="BJ319" s="93">
        <v>4</v>
      </c>
      <c r="BK319" s="93">
        <v>5</v>
      </c>
      <c r="BL319" s="93">
        <v>6</v>
      </c>
      <c r="BM319" s="93">
        <v>7</v>
      </c>
      <c r="BN319" s="93">
        <v>8</v>
      </c>
      <c r="BO319" s="93">
        <v>9</v>
      </c>
      <c r="BP319" s="94" t="str">
        <f t="shared" si="249"/>
        <v>松散型</v>
      </c>
      <c r="BQ319" s="15">
        <f t="shared" si="246"/>
        <v>1</v>
      </c>
      <c r="BR319" s="15">
        <f t="shared" si="247"/>
        <v>6</v>
      </c>
      <c r="BS319" s="20" t="str">
        <f t="shared" si="251"/>
        <v/>
      </c>
      <c r="BT319" s="21">
        <f t="shared" si="252"/>
        <v>5</v>
      </c>
      <c r="BU319" s="21" t="str">
        <f t="array" ref="BU319">_xlfn.TEXTJOIN("",TRUE,IF(ISERROR(FIND(ROW($1:$168)-1,BS319&amp;BT319)),ROW($1:$168)-1,""))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19" s="22" t="str">
        <f t="shared" si="253"/>
        <v>中隔中</v>
      </c>
      <c r="BW319" s="23">
        <f t="shared" si="264"/>
        <v>1</v>
      </c>
      <c r="BX319" s="23">
        <f t="shared" si="262"/>
        <v>1</v>
      </c>
      <c r="BY319" s="23" t="str">
        <f t="array" ref="BY319">_xlfn.TEXTJOIN("",TRUE,IF(ISERROR(FIND(ROW($1:$168)-1,BW319&amp;BX319)),ROW($1:$168)-1,""))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19" s="22" t="str">
        <f t="shared" si="254"/>
        <v>复隔中</v>
      </c>
      <c r="CA319" s="24" t="str">
        <f t="shared" si="255"/>
        <v/>
      </c>
      <c r="CB319" s="24" t="str">
        <f t="shared" si="263"/>
        <v/>
      </c>
      <c r="CC319" s="24" t="str">
        <f t="array" ref="CC319">_xlfn.TEXTJOIN("",TRUE,IF(ISERROR(FIND(ROW($1:$168)-1,CA319&amp;CB319)),ROW($1:$168)-1,""))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19" s="22" t="str">
        <f t="shared" si="256"/>
        <v>中中中</v>
      </c>
      <c r="CE319" s="25" t="str">
        <f t="shared" si="250"/>
        <v>46</v>
      </c>
      <c r="CF319" s="26" t="str">
        <f t="array" ref="CF319">_xlfn.TEXTJOIN("",TRUE,IF(ISNUMBER(FIND(MID(CE318&amp;W318,ROW($1:$162),1),CE319&amp;W319)),MID(CE318&amp;W318,ROW($1:$162),1),""))</f>
        <v/>
      </c>
      <c r="CG319" s="27" t="str">
        <f t="array" ref="CG319">_xlfn.TEXTJOIN("",TRUE,IF(ISERROR(FIND(ROW($1:$168)-1,CE319&amp;CF319)),ROW($1:$168)-1,""))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19" s="28" t="str">
        <f t="shared" si="257"/>
        <v>邻孤孤</v>
      </c>
      <c r="CI319" s="29" t="str">
        <f t="shared" si="258"/>
        <v>02</v>
      </c>
      <c r="CJ319" s="29" t="str">
        <f t="array" ref="CJ319">_xlfn.TEXTJOIN("",TRUE,IF(ISNUMBER(FIND(MID(CI318&amp;X318,ROW($1:$162),1),CI319&amp;X319)),MID(CI318&amp;X318,ROW($1:$162),1),""))</f>
        <v>021</v>
      </c>
      <c r="CK319" s="29" t="str">
        <f t="array" ref="CK319">_xlfn.TEXTJOIN("",TRUE,IF(ISERROR(FIND(ROW($1:$168)-1,CI319&amp;CJ319)),ROW($1:$168)-1,""))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19" s="19" t="str">
        <f t="shared" si="259"/>
        <v>邻传孤</v>
      </c>
      <c r="CM319" s="24" t="str">
        <f t="shared" si="260"/>
        <v>57</v>
      </c>
      <c r="CN319" s="24" t="str">
        <f t="array" ref="CN319">_xlfn.TEXTJOIN("",TRUE,IF(ISNUMBER(FIND(MID(CM318&amp;Y318,ROW($1:$162),1),CM319&amp;Y319)),MID(CM318&amp;Y318,ROW($1:$162),1),""))</f>
        <v>67</v>
      </c>
      <c r="CO319" s="24" t="str">
        <f t="array" ref="CO319">_xlfn.TEXTJOIN("",TRUE,IF(ISERROR(FIND(ROW($1:$168)-1,CM319&amp;CN319)),ROW($1:$168)-1,""))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19" s="30" t="str">
        <f t="shared" si="261"/>
        <v>邻传孤</v>
      </c>
    </row>
    <row r="320" spans="1:94">
      <c r="A320" s="15">
        <v>320</v>
      </c>
      <c r="B320" s="80">
        <v>2024289</v>
      </c>
      <c r="C320" s="8" t="s">
        <v>167</v>
      </c>
      <c r="D320" s="81">
        <f t="shared" si="265"/>
        <v>26</v>
      </c>
      <c r="E320" s="82">
        <f t="shared" si="266"/>
        <v>6</v>
      </c>
      <c r="F320" s="83">
        <f t="shared" si="239"/>
        <v>26</v>
      </c>
      <c r="G320" s="84" t="str">
        <f t="shared" si="240"/>
        <v>紧凑</v>
      </c>
      <c r="H320" s="85" t="s">
        <v>10</v>
      </c>
      <c r="I320" s="85" t="s">
        <v>11</v>
      </c>
      <c r="J320" s="85" t="s">
        <v>12</v>
      </c>
      <c r="K320" s="85" t="s">
        <v>13</v>
      </c>
      <c r="L320" s="86">
        <f>MAX(MID(C320,{1,2,3},1)*1)-MIN(MID(C320,{1,2,3},1)*1)</f>
        <v>1</v>
      </c>
      <c r="M320" s="87">
        <v>0</v>
      </c>
      <c r="N320" s="87">
        <v>1</v>
      </c>
      <c r="O320" s="87">
        <v>2</v>
      </c>
      <c r="P320" s="87">
        <v>3</v>
      </c>
      <c r="Q320" s="87">
        <v>4</v>
      </c>
      <c r="R320" s="87">
        <v>5</v>
      </c>
      <c r="S320" s="87">
        <v>6</v>
      </c>
      <c r="T320" s="87">
        <v>7</v>
      </c>
      <c r="U320" s="87">
        <v>8</v>
      </c>
      <c r="V320" s="87">
        <v>9</v>
      </c>
      <c r="W320" s="88">
        <f t="shared" si="267"/>
        <v>1</v>
      </c>
      <c r="X320" s="88">
        <f t="shared" si="268"/>
        <v>0</v>
      </c>
      <c r="Y320" s="88">
        <f t="shared" si="269"/>
        <v>1</v>
      </c>
      <c r="Z320" s="89">
        <f t="shared" si="248"/>
        <v>2</v>
      </c>
      <c r="AA320" s="17" t="str">
        <f>_xlfn.TEXTJOIN(", ",TRUE,ABS(MID(C320,{1,1,2},1)-MID(C320,{2,3,3},1)))</f>
        <v>1, 0, 1</v>
      </c>
      <c r="AB320" s="90">
        <v>0</v>
      </c>
      <c r="AC320" s="90">
        <v>1</v>
      </c>
      <c r="AD320" s="90">
        <v>2</v>
      </c>
      <c r="AE320" s="90">
        <v>3</v>
      </c>
      <c r="AF320" s="90">
        <v>4</v>
      </c>
      <c r="AG320" s="90">
        <v>5</v>
      </c>
      <c r="AH320" s="90">
        <v>6</v>
      </c>
      <c r="AI320" s="90">
        <v>7</v>
      </c>
      <c r="AJ320" s="90">
        <v>8</v>
      </c>
      <c r="AK320" s="90">
        <v>9</v>
      </c>
      <c r="AL320" s="91">
        <v>0</v>
      </c>
      <c r="AM320" s="91">
        <v>1</v>
      </c>
      <c r="AN320" s="91">
        <v>2</v>
      </c>
      <c r="AO320" s="91">
        <v>3</v>
      </c>
      <c r="AP320" s="91">
        <v>4</v>
      </c>
      <c r="AQ320" s="91">
        <v>5</v>
      </c>
      <c r="AR320" s="91">
        <v>6</v>
      </c>
      <c r="AS320" s="91">
        <v>7</v>
      </c>
      <c r="AT320" s="91">
        <v>8</v>
      </c>
      <c r="AU320" s="91">
        <v>9</v>
      </c>
      <c r="AV320" s="92">
        <v>0</v>
      </c>
      <c r="AW320" s="92">
        <v>1</v>
      </c>
      <c r="AX320" s="92">
        <v>2</v>
      </c>
      <c r="AY320" s="92">
        <v>3</v>
      </c>
      <c r="AZ320" s="92">
        <v>4</v>
      </c>
      <c r="BA320" s="92">
        <v>5</v>
      </c>
      <c r="BB320" s="92">
        <v>6</v>
      </c>
      <c r="BC320" s="92">
        <v>7</v>
      </c>
      <c r="BD320" s="92">
        <v>8</v>
      </c>
      <c r="BE320" s="92">
        <v>9</v>
      </c>
      <c r="BF320" s="93">
        <v>0</v>
      </c>
      <c r="BG320" s="93">
        <v>1</v>
      </c>
      <c r="BH320" s="93">
        <v>2</v>
      </c>
      <c r="BI320" s="93">
        <v>3</v>
      </c>
      <c r="BJ320" s="93">
        <v>4</v>
      </c>
      <c r="BK320" s="93">
        <v>5</v>
      </c>
      <c r="BL320" s="93">
        <v>6</v>
      </c>
      <c r="BM320" s="93">
        <v>7</v>
      </c>
      <c r="BN320" s="93">
        <v>8</v>
      </c>
      <c r="BO320" s="93">
        <v>9</v>
      </c>
      <c r="BP320" s="94" t="str">
        <f t="shared" si="249"/>
        <v>紧凑型</v>
      </c>
      <c r="BQ320" s="15">
        <f t="shared" si="246"/>
        <v>0</v>
      </c>
      <c r="BR320" s="15">
        <f t="shared" si="247"/>
        <v>1</v>
      </c>
      <c r="BS320" s="20">
        <f t="shared" si="251"/>
        <v>1</v>
      </c>
      <c r="BT320" s="21">
        <f t="shared" si="252"/>
        <v>1</v>
      </c>
      <c r="BU320" s="21" t="str">
        <f t="array" ref="BU320">_xlfn.TEXTJOIN("",TRUE,IF(ISERROR(FIND(ROW($1:$168)-1,BS320&amp;BT320)),ROW($1:$168)-1,""))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20" s="22" t="str">
        <f t="shared" si="253"/>
        <v>复隔中</v>
      </c>
      <c r="BW320" s="23" t="str">
        <f t="shared" si="264"/>
        <v/>
      </c>
      <c r="BX320" s="23" t="str">
        <f t="shared" si="262"/>
        <v/>
      </c>
      <c r="BY320" s="23" t="str">
        <f t="array" ref="BY320">_xlfn.TEXTJOIN("",TRUE,IF(ISERROR(FIND(ROW($1:$168)-1,BW320&amp;BX320)),ROW($1:$168)-1,""))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20" s="22" t="str">
        <f t="shared" si="254"/>
        <v>中中中</v>
      </c>
      <c r="CA320" s="24">
        <f t="shared" si="255"/>
        <v>1</v>
      </c>
      <c r="CB320" s="24">
        <f t="shared" si="263"/>
        <v>1</v>
      </c>
      <c r="CC320" s="24" t="str">
        <f t="array" ref="CC320">_xlfn.TEXTJOIN("",TRUE,IF(ISERROR(FIND(ROW($1:$168)-1,CA320&amp;CB320)),ROW($1:$168)-1,""))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20" s="22" t="str">
        <f t="shared" si="256"/>
        <v>复隔中</v>
      </c>
      <c r="CE320" s="25" t="str">
        <f t="shared" si="250"/>
        <v>02</v>
      </c>
      <c r="CF320" s="26" t="str">
        <f t="array" ref="CF320">_xlfn.TEXTJOIN("",TRUE,IF(ISNUMBER(FIND(MID(CE319&amp;W319,ROW($1:$162),1),CE320&amp;W320)),MID(CE319&amp;W319,ROW($1:$162),1),""))</f>
        <v/>
      </c>
      <c r="CG320" s="27" t="str">
        <f t="array" ref="CG320">_xlfn.TEXTJOIN("",TRUE,IF(ISERROR(FIND(ROW($1:$168)-1,CE320&amp;CF320)),ROW($1:$168)-1,""))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20" s="28" t="str">
        <f t="shared" si="257"/>
        <v>邻孤孤</v>
      </c>
      <c r="CI320" s="29" t="str">
        <f t="shared" si="258"/>
        <v>91</v>
      </c>
      <c r="CJ320" s="29" t="str">
        <f t="array" ref="CJ320">_xlfn.TEXTJOIN("",TRUE,IF(ISNUMBER(FIND(MID(CI319&amp;X319,ROW($1:$162),1),CI320&amp;X320)),MID(CI319&amp;X319,ROW($1:$162),1),""))</f>
        <v>01</v>
      </c>
      <c r="CK320" s="29" t="str">
        <f t="array" ref="CK320">_xlfn.TEXTJOIN("",TRUE,IF(ISERROR(FIND(ROW($1:$168)-1,CI320&amp;CJ320)),ROW($1:$168)-1,""))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L320" s="19" t="str">
        <f t="shared" si="259"/>
        <v>邻传孤</v>
      </c>
      <c r="CM320" s="24" t="str">
        <f t="shared" si="260"/>
        <v>02</v>
      </c>
      <c r="CN320" s="24" t="str">
        <f t="array" ref="CN320">_xlfn.TEXTJOIN("",TRUE,IF(ISNUMBER(FIND(MID(CM319&amp;Y319,ROW($1:$162),1),CM320&amp;Y320)),MID(CM319&amp;Y319,ROW($1:$162),1),""))</f>
        <v/>
      </c>
      <c r="CO320" s="24" t="str">
        <f t="array" ref="CO320">_xlfn.TEXTJOIN("",TRUE,IF(ISERROR(FIND(ROW($1:$168)-1,CM320&amp;CN320)),ROW($1:$168)-1,""))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20" s="30" t="str">
        <f t="shared" si="261"/>
        <v>邻孤孤</v>
      </c>
    </row>
    <row r="321" spans="1:94">
      <c r="A321" s="15">
        <v>321</v>
      </c>
      <c r="B321" s="80">
        <v>2024290</v>
      </c>
      <c r="C321" s="8" t="s">
        <v>259</v>
      </c>
      <c r="D321" s="81">
        <f t="shared" si="265"/>
        <v>11</v>
      </c>
      <c r="E321" s="82">
        <f t="shared" si="266"/>
        <v>1</v>
      </c>
      <c r="F321" s="83">
        <f t="shared" si="239"/>
        <v>1.375</v>
      </c>
      <c r="G321" s="84" t="str">
        <f t="shared" si="240"/>
        <v>松散</v>
      </c>
      <c r="H321" s="85" t="s">
        <v>10</v>
      </c>
      <c r="I321" s="85" t="s">
        <v>11</v>
      </c>
      <c r="J321" s="85" t="s">
        <v>12</v>
      </c>
      <c r="K321" s="85" t="s">
        <v>13</v>
      </c>
      <c r="L321" s="86">
        <f>MAX(MID(C321,{1,2,3},1)*1)-MIN(MID(C321,{1,2,3},1)*1)</f>
        <v>8</v>
      </c>
      <c r="M321" s="87">
        <v>0</v>
      </c>
      <c r="N321" s="87">
        <v>1</v>
      </c>
      <c r="O321" s="87">
        <v>2</v>
      </c>
      <c r="P321" s="87">
        <v>3</v>
      </c>
      <c r="Q321" s="87">
        <v>4</v>
      </c>
      <c r="R321" s="87">
        <v>5</v>
      </c>
      <c r="S321" s="87">
        <v>6</v>
      </c>
      <c r="T321" s="87">
        <v>7</v>
      </c>
      <c r="U321" s="87">
        <v>8</v>
      </c>
      <c r="V321" s="87">
        <v>9</v>
      </c>
      <c r="W321" s="88">
        <f t="shared" si="267"/>
        <v>8</v>
      </c>
      <c r="X321" s="88">
        <f t="shared" si="268"/>
        <v>8</v>
      </c>
      <c r="Y321" s="88">
        <f t="shared" si="269"/>
        <v>0</v>
      </c>
      <c r="Z321" s="89">
        <f t="shared" si="248"/>
        <v>16</v>
      </c>
      <c r="AA321" s="17" t="str">
        <f>_xlfn.TEXTJOIN(", ",TRUE,ABS(MID(C321,{1,1,2},1)-MID(C321,{2,3,3},1)))</f>
        <v>8, 8, 0</v>
      </c>
      <c r="AB321" s="90">
        <v>0</v>
      </c>
      <c r="AC321" s="90">
        <v>1</v>
      </c>
      <c r="AD321" s="90">
        <v>2</v>
      </c>
      <c r="AE321" s="90">
        <v>3</v>
      </c>
      <c r="AF321" s="90">
        <v>4</v>
      </c>
      <c r="AG321" s="90">
        <v>5</v>
      </c>
      <c r="AH321" s="90">
        <v>6</v>
      </c>
      <c r="AI321" s="90">
        <v>7</v>
      </c>
      <c r="AJ321" s="90">
        <v>8</v>
      </c>
      <c r="AK321" s="90">
        <v>9</v>
      </c>
      <c r="AL321" s="91">
        <v>0</v>
      </c>
      <c r="AM321" s="91">
        <v>1</v>
      </c>
      <c r="AN321" s="91">
        <v>2</v>
      </c>
      <c r="AO321" s="91">
        <v>3</v>
      </c>
      <c r="AP321" s="91">
        <v>4</v>
      </c>
      <c r="AQ321" s="91">
        <v>5</v>
      </c>
      <c r="AR321" s="91">
        <v>6</v>
      </c>
      <c r="AS321" s="91">
        <v>7</v>
      </c>
      <c r="AT321" s="91">
        <v>8</v>
      </c>
      <c r="AU321" s="91">
        <v>9</v>
      </c>
      <c r="AV321" s="92">
        <v>0</v>
      </c>
      <c r="AW321" s="92">
        <v>1</v>
      </c>
      <c r="AX321" s="92">
        <v>2</v>
      </c>
      <c r="AY321" s="92">
        <v>3</v>
      </c>
      <c r="AZ321" s="92">
        <v>4</v>
      </c>
      <c r="BA321" s="92">
        <v>5</v>
      </c>
      <c r="BB321" s="92">
        <v>6</v>
      </c>
      <c r="BC321" s="92">
        <v>7</v>
      </c>
      <c r="BD321" s="92">
        <v>8</v>
      </c>
      <c r="BE321" s="92">
        <v>9</v>
      </c>
      <c r="BF321" s="93">
        <v>0</v>
      </c>
      <c r="BG321" s="93">
        <v>1</v>
      </c>
      <c r="BH321" s="93">
        <v>2</v>
      </c>
      <c r="BI321" s="93">
        <v>3</v>
      </c>
      <c r="BJ321" s="93">
        <v>4</v>
      </c>
      <c r="BK321" s="93">
        <v>5</v>
      </c>
      <c r="BL321" s="93">
        <v>6</v>
      </c>
      <c r="BM321" s="93">
        <v>7</v>
      </c>
      <c r="BN321" s="93">
        <v>8</v>
      </c>
      <c r="BO321" s="93">
        <v>9</v>
      </c>
      <c r="BP321" s="94" t="str">
        <f t="shared" si="249"/>
        <v>松散型</v>
      </c>
      <c r="BQ321" s="15">
        <f t="shared" si="246"/>
        <v>0</v>
      </c>
      <c r="BR321" s="15">
        <f t="shared" si="247"/>
        <v>8</v>
      </c>
      <c r="BS321" s="20" t="str">
        <f t="shared" si="251"/>
        <v/>
      </c>
      <c r="BT321" s="21" t="str">
        <f t="shared" si="252"/>
        <v/>
      </c>
      <c r="BU321" s="21" t="str">
        <f t="array" ref="BU321">_xlfn.TEXTJOIN("",TRUE,IF(ISERROR(FIND(ROW($1:$168)-1,BS321&amp;BT321)),ROW($1:$168)-1,""))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21" s="22" t="str">
        <f t="shared" si="253"/>
        <v>中中中</v>
      </c>
      <c r="BW321" s="23" t="str">
        <f t="shared" si="264"/>
        <v/>
      </c>
      <c r="BX321" s="23" t="str">
        <f t="shared" si="262"/>
        <v/>
      </c>
      <c r="BY321" s="23" t="str">
        <f t="array" ref="BY321">_xlfn.TEXTJOIN("",TRUE,IF(ISERROR(FIND(ROW($1:$168)-1,BW321&amp;BX321)),ROW($1:$168)-1,""))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21" s="22" t="str">
        <f t="shared" si="254"/>
        <v>中中中</v>
      </c>
      <c r="CA321" s="24">
        <f t="shared" si="255"/>
        <v>0</v>
      </c>
      <c r="CB321" s="24" t="str">
        <f t="shared" si="263"/>
        <v/>
      </c>
      <c r="CC321" s="24" t="str">
        <f t="array" ref="CC321">_xlfn.TEXTJOIN("",TRUE,IF(ISERROR(FIND(ROW($1:$168)-1,CA321&amp;CB321)),ROW($1:$168)-1,""))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21" s="22" t="str">
        <f t="shared" si="256"/>
        <v>复中中</v>
      </c>
      <c r="CE321" s="25" t="str">
        <f t="shared" si="250"/>
        <v>79</v>
      </c>
      <c r="CF321" s="26" t="str">
        <f t="array" ref="CF321">_xlfn.TEXTJOIN("",TRUE,IF(ISNUMBER(FIND(MID(CE320&amp;W320,ROW($1:$162),1),CE321&amp;W321)),MID(CE320&amp;W320,ROW($1:$162),1),""))</f>
        <v/>
      </c>
      <c r="CG321" s="27" t="str">
        <f t="array" ref="CG321">_xlfn.TEXTJOIN("",TRUE,IF(ISERROR(FIND(ROW($1:$168)-1,CE321&amp;CF321)),ROW($1:$168)-1,""))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321" s="28" t="str">
        <f t="shared" si="257"/>
        <v>邻孤孤</v>
      </c>
      <c r="CI321" s="29" t="str">
        <f t="shared" si="258"/>
        <v>79</v>
      </c>
      <c r="CJ321" s="29" t="str">
        <f t="array" ref="CJ321">_xlfn.TEXTJOIN("",TRUE,IF(ISNUMBER(FIND(MID(CI320&amp;X320,ROW($1:$162),1),CI321&amp;X321)),MID(CI320&amp;X320,ROW($1:$162),1),""))</f>
        <v>9</v>
      </c>
      <c r="CK321" s="29" t="str">
        <f t="array" ref="CK321">_xlfn.TEXTJOIN("",TRUE,IF(ISERROR(FIND(ROW($1:$168)-1,CI321&amp;CJ321)),ROW($1:$168)-1,""))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L321" s="19" t="str">
        <f t="shared" si="259"/>
        <v>邻传孤</v>
      </c>
      <c r="CM321" s="24" t="str">
        <f t="shared" si="260"/>
        <v>91</v>
      </c>
      <c r="CN321" s="24" t="str">
        <f t="array" ref="CN321">_xlfn.TEXTJOIN("",TRUE,IF(ISNUMBER(FIND(MID(CM320&amp;Y320,ROW($1:$162),1),CM321&amp;Y321)),MID(CM320&amp;Y320,ROW($1:$162),1),""))</f>
        <v>01</v>
      </c>
      <c r="CO321" s="24" t="str">
        <f t="array" ref="CO321">_xlfn.TEXTJOIN("",TRUE,IF(ISERROR(FIND(ROW($1:$168)-1,CM321&amp;CN321)),ROW($1:$168)-1,""))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321" s="30" t="str">
        <f t="shared" si="261"/>
        <v>邻传孤</v>
      </c>
    </row>
    <row r="322" spans="1:94">
      <c r="A322" s="15">
        <v>322</v>
      </c>
      <c r="B322" s="80">
        <v>2024291</v>
      </c>
      <c r="C322" s="8" t="s">
        <v>195</v>
      </c>
      <c r="D322" s="81">
        <f t="shared" si="265"/>
        <v>12</v>
      </c>
      <c r="E322" s="82">
        <f t="shared" si="266"/>
        <v>2</v>
      </c>
      <c r="F322" s="83">
        <f t="shared" si="239"/>
        <v>3</v>
      </c>
      <c r="G322" s="84" t="str">
        <f t="shared" si="240"/>
        <v>标准</v>
      </c>
      <c r="H322" s="85" t="s">
        <v>10</v>
      </c>
      <c r="I322" s="85" t="s">
        <v>11</v>
      </c>
      <c r="J322" s="85" t="s">
        <v>12</v>
      </c>
      <c r="K322" s="85" t="s">
        <v>13</v>
      </c>
      <c r="L322" s="86">
        <f>MAX(MID(C322,{1,2,3},1)*1)-MIN(MID(C322,{1,2,3},1)*1)</f>
        <v>4</v>
      </c>
      <c r="M322" s="87">
        <v>0</v>
      </c>
      <c r="N322" s="87">
        <v>1</v>
      </c>
      <c r="O322" s="87">
        <v>2</v>
      </c>
      <c r="P322" s="87">
        <v>3</v>
      </c>
      <c r="Q322" s="87">
        <v>4</v>
      </c>
      <c r="R322" s="87">
        <v>5</v>
      </c>
      <c r="S322" s="87">
        <v>6</v>
      </c>
      <c r="T322" s="87">
        <v>7</v>
      </c>
      <c r="U322" s="87">
        <v>8</v>
      </c>
      <c r="V322" s="87">
        <v>9</v>
      </c>
      <c r="W322" s="88">
        <f t="shared" si="267"/>
        <v>2</v>
      </c>
      <c r="X322" s="88">
        <f t="shared" si="268"/>
        <v>2</v>
      </c>
      <c r="Y322" s="88">
        <f t="shared" si="269"/>
        <v>4</v>
      </c>
      <c r="Z322" s="89">
        <f t="shared" si="248"/>
        <v>8</v>
      </c>
      <c r="AA322" s="17" t="str">
        <f>_xlfn.TEXTJOIN(", ",TRUE,ABS(MID(C322,{1,1,2},1)-MID(C322,{2,3,3},1)))</f>
        <v>2, 2, 4</v>
      </c>
      <c r="AB322" s="90">
        <v>0</v>
      </c>
      <c r="AC322" s="90">
        <v>1</v>
      </c>
      <c r="AD322" s="90">
        <v>2</v>
      </c>
      <c r="AE322" s="90">
        <v>3</v>
      </c>
      <c r="AF322" s="90">
        <v>4</v>
      </c>
      <c r="AG322" s="90">
        <v>5</v>
      </c>
      <c r="AH322" s="90">
        <v>6</v>
      </c>
      <c r="AI322" s="90">
        <v>7</v>
      </c>
      <c r="AJ322" s="90">
        <v>8</v>
      </c>
      <c r="AK322" s="90">
        <v>9</v>
      </c>
      <c r="AL322" s="91">
        <v>0</v>
      </c>
      <c r="AM322" s="91">
        <v>1</v>
      </c>
      <c r="AN322" s="91">
        <v>2</v>
      </c>
      <c r="AO322" s="91">
        <v>3</v>
      </c>
      <c r="AP322" s="91">
        <v>4</v>
      </c>
      <c r="AQ322" s="91">
        <v>5</v>
      </c>
      <c r="AR322" s="91">
        <v>6</v>
      </c>
      <c r="AS322" s="91">
        <v>7</v>
      </c>
      <c r="AT322" s="91">
        <v>8</v>
      </c>
      <c r="AU322" s="91">
        <v>9</v>
      </c>
      <c r="AV322" s="92">
        <v>0</v>
      </c>
      <c r="AW322" s="92">
        <v>1</v>
      </c>
      <c r="AX322" s="92">
        <v>2</v>
      </c>
      <c r="AY322" s="92">
        <v>3</v>
      </c>
      <c r="AZ322" s="92">
        <v>4</v>
      </c>
      <c r="BA322" s="92">
        <v>5</v>
      </c>
      <c r="BB322" s="92">
        <v>6</v>
      </c>
      <c r="BC322" s="92">
        <v>7</v>
      </c>
      <c r="BD322" s="92">
        <v>8</v>
      </c>
      <c r="BE322" s="92">
        <v>9</v>
      </c>
      <c r="BF322" s="93">
        <v>0</v>
      </c>
      <c r="BG322" s="93">
        <v>1</v>
      </c>
      <c r="BH322" s="93">
        <v>2</v>
      </c>
      <c r="BI322" s="93">
        <v>3</v>
      </c>
      <c r="BJ322" s="93">
        <v>4</v>
      </c>
      <c r="BK322" s="93">
        <v>5</v>
      </c>
      <c r="BL322" s="93">
        <v>6</v>
      </c>
      <c r="BM322" s="93">
        <v>7</v>
      </c>
      <c r="BN322" s="93">
        <v>8</v>
      </c>
      <c r="BO322" s="93">
        <v>9</v>
      </c>
      <c r="BP322" s="94" t="str">
        <f t="shared" si="249"/>
        <v>标准型</v>
      </c>
      <c r="BQ322" s="15">
        <f t="shared" si="246"/>
        <v>2</v>
      </c>
      <c r="BR322" s="15">
        <f t="shared" si="247"/>
        <v>4</v>
      </c>
      <c r="BS322" s="20" t="str">
        <f t="shared" si="251"/>
        <v/>
      </c>
      <c r="BT322" s="21" t="str">
        <f t="shared" si="252"/>
        <v/>
      </c>
      <c r="BU322" s="21" t="str">
        <f t="array" ref="BU322">_xlfn.TEXTJOIN("",TRUE,IF(ISERROR(FIND(ROW($1:$168)-1,BS322&amp;BT322)),ROW($1:$168)-1,""))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22" s="22" t="str">
        <f t="shared" si="253"/>
        <v>中中中</v>
      </c>
      <c r="BW322" s="23" t="str">
        <f t="shared" si="264"/>
        <v/>
      </c>
      <c r="BX322" s="23" t="str">
        <f t="shared" si="262"/>
        <v/>
      </c>
      <c r="BY322" s="23" t="str">
        <f t="array" ref="BY322">_xlfn.TEXTJOIN("",TRUE,IF(ISERROR(FIND(ROW($1:$168)-1,BW322&amp;BX322)),ROW($1:$168)-1,""))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22" s="22" t="str">
        <f t="shared" si="254"/>
        <v>中中中</v>
      </c>
      <c r="CA322" s="24" t="str">
        <f t="shared" si="255"/>
        <v/>
      </c>
      <c r="CB322" s="24" t="str">
        <f t="shared" si="263"/>
        <v/>
      </c>
      <c r="CC322" s="24" t="str">
        <f t="array" ref="CC322">_xlfn.TEXTJOIN("",TRUE,IF(ISERROR(FIND(ROW($1:$168)-1,CA322&amp;CB322)),ROW($1:$168)-1,""))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22" s="22" t="str">
        <f t="shared" si="256"/>
        <v>中中中</v>
      </c>
      <c r="CE322" s="25" t="str">
        <f t="shared" si="250"/>
        <v>13</v>
      </c>
      <c r="CF322" s="26" t="str">
        <f t="array" ref="CF322">_xlfn.TEXTJOIN("",TRUE,IF(ISNUMBER(FIND(MID(CE321&amp;W321,ROW($1:$162),1),CE322&amp;W322)),MID(CE321&amp;W321,ROW($1:$162),1),""))</f>
        <v/>
      </c>
      <c r="CG322" s="27" t="str">
        <f t="array" ref="CG322">_xlfn.TEXTJOIN("",TRUE,IF(ISERROR(FIND(ROW($1:$168)-1,CE322&amp;CF322)),ROW($1:$168)-1,""))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22" s="28" t="str">
        <f t="shared" si="257"/>
        <v>邻孤孤</v>
      </c>
      <c r="CI322" s="29" t="str">
        <f t="shared" si="258"/>
        <v>13</v>
      </c>
      <c r="CJ322" s="29" t="str">
        <f t="array" ref="CJ322">_xlfn.TEXTJOIN("",TRUE,IF(ISNUMBER(FIND(MID(CI321&amp;X321,ROW($1:$162),1),CI322&amp;X322)),MID(CI321&amp;X321,ROW($1:$162),1),""))</f>
        <v/>
      </c>
      <c r="CK322" s="29" t="str">
        <f t="array" ref="CK322">_xlfn.TEXTJOIN("",TRUE,IF(ISERROR(FIND(ROW($1:$168)-1,CI322&amp;CJ322)),ROW($1:$168)-1,""))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22" s="19" t="str">
        <f t="shared" si="259"/>
        <v>邻孤孤</v>
      </c>
      <c r="CM322" s="24" t="str">
        <f t="shared" si="260"/>
        <v>35</v>
      </c>
      <c r="CN322" s="24" t="str">
        <f t="array" ref="CN322">_xlfn.TEXTJOIN("",TRUE,IF(ISNUMBER(FIND(MID(CM321&amp;Y321,ROW($1:$162),1),CM322&amp;Y322)),MID(CM321&amp;Y321,ROW($1:$162),1),""))</f>
        <v/>
      </c>
      <c r="CO322" s="24" t="str">
        <f t="array" ref="CO322">_xlfn.TEXTJOIN("",TRUE,IF(ISERROR(FIND(ROW($1:$168)-1,CM322&amp;CN322)),ROW($1:$168)-1,""))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22" s="30" t="str">
        <f t="shared" si="261"/>
        <v>邻孤孤</v>
      </c>
    </row>
    <row r="323" spans="1:94">
      <c r="A323" s="15">
        <v>323</v>
      </c>
      <c r="B323" s="80">
        <v>2024292</v>
      </c>
      <c r="C323" s="8" t="s">
        <v>301</v>
      </c>
      <c r="D323" s="81">
        <f t="shared" si="265"/>
        <v>12</v>
      </c>
      <c r="E323" s="82">
        <f t="shared" si="266"/>
        <v>2</v>
      </c>
      <c r="F323" s="83">
        <f t="shared" si="239"/>
        <v>3</v>
      </c>
      <c r="G323" s="84" t="str">
        <f t="shared" si="240"/>
        <v>标准</v>
      </c>
      <c r="H323" s="85" t="s">
        <v>10</v>
      </c>
      <c r="I323" s="85" t="s">
        <v>11</v>
      </c>
      <c r="J323" s="85" t="s">
        <v>12</v>
      </c>
      <c r="K323" s="85" t="s">
        <v>13</v>
      </c>
      <c r="L323" s="86">
        <f>MAX(MID(C323,{1,2,3},1)*1)-MIN(MID(C323,{1,2,3},1)*1)</f>
        <v>4</v>
      </c>
      <c r="M323" s="87">
        <v>0</v>
      </c>
      <c r="N323" s="87">
        <v>1</v>
      </c>
      <c r="O323" s="87">
        <v>2</v>
      </c>
      <c r="P323" s="87">
        <v>3</v>
      </c>
      <c r="Q323" s="87">
        <v>4</v>
      </c>
      <c r="R323" s="87">
        <v>5</v>
      </c>
      <c r="S323" s="87">
        <v>6</v>
      </c>
      <c r="T323" s="87">
        <v>7</v>
      </c>
      <c r="U323" s="87">
        <v>8</v>
      </c>
      <c r="V323" s="87">
        <v>9</v>
      </c>
      <c r="W323" s="88">
        <f t="shared" si="267"/>
        <v>2</v>
      </c>
      <c r="X323" s="88">
        <f t="shared" si="268"/>
        <v>2</v>
      </c>
      <c r="Y323" s="88">
        <f t="shared" si="269"/>
        <v>4</v>
      </c>
      <c r="Z323" s="89">
        <f t="shared" si="248"/>
        <v>8</v>
      </c>
      <c r="AA323" s="17" t="str">
        <f>_xlfn.TEXTJOIN(", ",TRUE,ABS(MID(C323,{1,1,2},1)-MID(C323,{2,3,3},1)))</f>
        <v>2, 2, 4</v>
      </c>
      <c r="AB323" s="90">
        <v>0</v>
      </c>
      <c r="AC323" s="90">
        <v>1</v>
      </c>
      <c r="AD323" s="90">
        <v>2</v>
      </c>
      <c r="AE323" s="90">
        <v>3</v>
      </c>
      <c r="AF323" s="90">
        <v>4</v>
      </c>
      <c r="AG323" s="90">
        <v>5</v>
      </c>
      <c r="AH323" s="90">
        <v>6</v>
      </c>
      <c r="AI323" s="90">
        <v>7</v>
      </c>
      <c r="AJ323" s="90">
        <v>8</v>
      </c>
      <c r="AK323" s="90">
        <v>9</v>
      </c>
      <c r="AL323" s="91">
        <v>0</v>
      </c>
      <c r="AM323" s="91">
        <v>1</v>
      </c>
      <c r="AN323" s="91">
        <v>2</v>
      </c>
      <c r="AO323" s="91">
        <v>3</v>
      </c>
      <c r="AP323" s="91">
        <v>4</v>
      </c>
      <c r="AQ323" s="91">
        <v>5</v>
      </c>
      <c r="AR323" s="91">
        <v>6</v>
      </c>
      <c r="AS323" s="91">
        <v>7</v>
      </c>
      <c r="AT323" s="91">
        <v>8</v>
      </c>
      <c r="AU323" s="91">
        <v>9</v>
      </c>
      <c r="AV323" s="92">
        <v>0</v>
      </c>
      <c r="AW323" s="92">
        <v>1</v>
      </c>
      <c r="AX323" s="92">
        <v>2</v>
      </c>
      <c r="AY323" s="92">
        <v>3</v>
      </c>
      <c r="AZ323" s="92">
        <v>4</v>
      </c>
      <c r="BA323" s="92">
        <v>5</v>
      </c>
      <c r="BB323" s="92">
        <v>6</v>
      </c>
      <c r="BC323" s="92">
        <v>7</v>
      </c>
      <c r="BD323" s="92">
        <v>8</v>
      </c>
      <c r="BE323" s="92">
        <v>9</v>
      </c>
      <c r="BF323" s="93">
        <v>0</v>
      </c>
      <c r="BG323" s="93">
        <v>1</v>
      </c>
      <c r="BH323" s="93">
        <v>2</v>
      </c>
      <c r="BI323" s="93">
        <v>3</v>
      </c>
      <c r="BJ323" s="93">
        <v>4</v>
      </c>
      <c r="BK323" s="93">
        <v>5</v>
      </c>
      <c r="BL323" s="93">
        <v>6</v>
      </c>
      <c r="BM323" s="93">
        <v>7</v>
      </c>
      <c r="BN323" s="93">
        <v>8</v>
      </c>
      <c r="BO323" s="93">
        <v>9</v>
      </c>
      <c r="BP323" s="94" t="str">
        <f t="shared" si="249"/>
        <v>标准型</v>
      </c>
      <c r="BQ323" s="15">
        <f t="shared" si="246"/>
        <v>2</v>
      </c>
      <c r="BR323" s="15">
        <f t="shared" si="247"/>
        <v>4</v>
      </c>
      <c r="BS323" s="20">
        <f t="shared" si="251"/>
        <v>2</v>
      </c>
      <c r="BT323" s="21" t="str">
        <f t="shared" si="252"/>
        <v/>
      </c>
      <c r="BU323" s="21" t="str">
        <f t="array" ref="BU323">_xlfn.TEXTJOIN("",TRUE,IF(ISERROR(FIND(ROW($1:$168)-1,BS323&amp;BT323)),ROW($1:$168)-1,""))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23" s="22" t="str">
        <f t="shared" si="253"/>
        <v>复中中</v>
      </c>
      <c r="BW323" s="23">
        <f t="shared" si="264"/>
        <v>2</v>
      </c>
      <c r="BX323" s="23" t="str">
        <f t="shared" si="262"/>
        <v/>
      </c>
      <c r="BY323" s="23" t="str">
        <f t="array" ref="BY323">_xlfn.TEXTJOIN("",TRUE,IF(ISERROR(FIND(ROW($1:$168)-1,BW323&amp;BX323)),ROW($1:$168)-1,""))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23" s="22" t="str">
        <f t="shared" si="254"/>
        <v>复中中</v>
      </c>
      <c r="CA323" s="24">
        <f t="shared" si="255"/>
        <v>4</v>
      </c>
      <c r="CB323" s="24" t="str">
        <f t="shared" si="263"/>
        <v/>
      </c>
      <c r="CC323" s="24" t="str">
        <f t="array" ref="CC323">_xlfn.TEXTJOIN("",TRUE,IF(ISERROR(FIND(ROW($1:$168)-1,CA323&amp;CB323)),ROW($1:$168)-1,""))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23" s="22" t="str">
        <f t="shared" si="256"/>
        <v>复中中</v>
      </c>
      <c r="CE323" s="25" t="str">
        <f t="shared" si="250"/>
        <v>13</v>
      </c>
      <c r="CF323" s="26" t="str">
        <f t="array" ref="CF323">_xlfn.TEXTJOIN("",TRUE,IF(ISNUMBER(FIND(MID(CE322&amp;W322,ROW($1:$162),1),CE323&amp;W323)),MID(CE322&amp;W322,ROW($1:$162),1),""))</f>
        <v>132</v>
      </c>
      <c r="CG323" s="27" t="str">
        <f t="array" ref="CG323">_xlfn.TEXTJOIN("",TRUE,IF(ISERROR(FIND(ROW($1:$168)-1,CE323&amp;CF323)),ROW($1:$168)-1,""))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323" s="28" t="str">
        <f t="shared" si="257"/>
        <v>邻传孤</v>
      </c>
      <c r="CI323" s="29" t="str">
        <f t="shared" si="258"/>
        <v>13</v>
      </c>
      <c r="CJ323" s="29" t="str">
        <f t="array" ref="CJ323">_xlfn.TEXTJOIN("",TRUE,IF(ISNUMBER(FIND(MID(CI322&amp;X322,ROW($1:$162),1),CI323&amp;X323)),MID(CI322&amp;X322,ROW($1:$162),1),""))</f>
        <v>132</v>
      </c>
      <c r="CK323" s="29" t="str">
        <f t="array" ref="CK323">_xlfn.TEXTJOIN("",TRUE,IF(ISERROR(FIND(ROW($1:$168)-1,CI323&amp;CJ323)),ROW($1:$168)-1,""))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323" s="19" t="str">
        <f t="shared" si="259"/>
        <v>邻传孤</v>
      </c>
      <c r="CM323" s="24" t="str">
        <f t="shared" si="260"/>
        <v>35</v>
      </c>
      <c r="CN323" s="24" t="str">
        <f t="array" ref="CN323">_xlfn.TEXTJOIN("",TRUE,IF(ISNUMBER(FIND(MID(CM322&amp;Y322,ROW($1:$162),1),CM323&amp;Y323)),MID(CM322&amp;Y322,ROW($1:$162),1),""))</f>
        <v>354</v>
      </c>
      <c r="CO323" s="24" t="str">
        <f t="array" ref="CO323">_xlfn.TEXTJOIN("",TRUE,IF(ISERROR(FIND(ROW($1:$168)-1,CM323&amp;CN323)),ROW($1:$168)-1,""))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23" s="30" t="str">
        <f t="shared" si="261"/>
        <v>邻传孤</v>
      </c>
    </row>
    <row r="324" spans="1:94">
      <c r="A324" s="15">
        <v>324</v>
      </c>
      <c r="B324" s="80">
        <v>2024293</v>
      </c>
      <c r="C324" s="8" t="s">
        <v>302</v>
      </c>
      <c r="D324" s="81">
        <f t="shared" si="265"/>
        <v>8</v>
      </c>
      <c r="E324" s="82">
        <f t="shared" si="266"/>
        <v>8</v>
      </c>
      <c r="F324" s="83">
        <f t="shared" ref="F324:F387" si="270">IF(L324=0,0.1,D324/L324)</f>
        <v>2</v>
      </c>
      <c r="G324" s="84" t="str">
        <f t="shared" ref="G324:G387" si="271">IF(F324=0.1,"极紧凑",IF(F324&gt;3.5,"紧凑",IF(AND(F324&gt;=2,F324&lt;=3.5),"标准",IF(AND(F324&gt;=1,F324&lt;2),"松散",""))))</f>
        <v>标准</v>
      </c>
      <c r="H324" s="85" t="s">
        <v>10</v>
      </c>
      <c r="I324" s="85" t="s">
        <v>11</v>
      </c>
      <c r="J324" s="85" t="s">
        <v>12</v>
      </c>
      <c r="K324" s="85" t="s">
        <v>13</v>
      </c>
      <c r="L324" s="86">
        <f>MAX(MID(C324,{1,2,3},1)*1)-MIN(MID(C324,{1,2,3},1)*1)</f>
        <v>4</v>
      </c>
      <c r="M324" s="87">
        <v>0</v>
      </c>
      <c r="N324" s="87">
        <v>1</v>
      </c>
      <c r="O324" s="87">
        <v>2</v>
      </c>
      <c r="P324" s="87">
        <v>3</v>
      </c>
      <c r="Q324" s="87">
        <v>4</v>
      </c>
      <c r="R324" s="87">
        <v>5</v>
      </c>
      <c r="S324" s="87">
        <v>6</v>
      </c>
      <c r="T324" s="87">
        <v>7</v>
      </c>
      <c r="U324" s="87">
        <v>8</v>
      </c>
      <c r="V324" s="87">
        <v>9</v>
      </c>
      <c r="W324" s="88">
        <f t="shared" si="267"/>
        <v>3</v>
      </c>
      <c r="X324" s="88">
        <f t="shared" si="268"/>
        <v>4</v>
      </c>
      <c r="Y324" s="88">
        <f t="shared" si="269"/>
        <v>1</v>
      </c>
      <c r="Z324" s="89">
        <f t="shared" si="248"/>
        <v>8</v>
      </c>
      <c r="AA324" s="17" t="str">
        <f>_xlfn.TEXTJOIN(", ",TRUE,ABS(MID(C324,{1,1,2},1)-MID(C324,{2,3,3},1)))</f>
        <v>3, 4, 1</v>
      </c>
      <c r="AB324" s="90">
        <v>0</v>
      </c>
      <c r="AC324" s="90">
        <v>1</v>
      </c>
      <c r="AD324" s="90">
        <v>2</v>
      </c>
      <c r="AE324" s="90">
        <v>3</v>
      </c>
      <c r="AF324" s="90">
        <v>4</v>
      </c>
      <c r="AG324" s="90">
        <v>5</v>
      </c>
      <c r="AH324" s="90">
        <v>6</v>
      </c>
      <c r="AI324" s="90">
        <v>7</v>
      </c>
      <c r="AJ324" s="90">
        <v>8</v>
      </c>
      <c r="AK324" s="90">
        <v>9</v>
      </c>
      <c r="AL324" s="91">
        <v>0</v>
      </c>
      <c r="AM324" s="91">
        <v>1</v>
      </c>
      <c r="AN324" s="91">
        <v>2</v>
      </c>
      <c r="AO324" s="91">
        <v>3</v>
      </c>
      <c r="AP324" s="91">
        <v>4</v>
      </c>
      <c r="AQ324" s="91">
        <v>5</v>
      </c>
      <c r="AR324" s="91">
        <v>6</v>
      </c>
      <c r="AS324" s="91">
        <v>7</v>
      </c>
      <c r="AT324" s="91">
        <v>8</v>
      </c>
      <c r="AU324" s="91">
        <v>9</v>
      </c>
      <c r="AV324" s="92">
        <v>0</v>
      </c>
      <c r="AW324" s="92">
        <v>1</v>
      </c>
      <c r="AX324" s="92">
        <v>2</v>
      </c>
      <c r="AY324" s="92">
        <v>3</v>
      </c>
      <c r="AZ324" s="92">
        <v>4</v>
      </c>
      <c r="BA324" s="92">
        <v>5</v>
      </c>
      <c r="BB324" s="92">
        <v>6</v>
      </c>
      <c r="BC324" s="92">
        <v>7</v>
      </c>
      <c r="BD324" s="92">
        <v>8</v>
      </c>
      <c r="BE324" s="92">
        <v>9</v>
      </c>
      <c r="BF324" s="93">
        <v>0</v>
      </c>
      <c r="BG324" s="93">
        <v>1</v>
      </c>
      <c r="BH324" s="93">
        <v>2</v>
      </c>
      <c r="BI324" s="93">
        <v>3</v>
      </c>
      <c r="BJ324" s="93">
        <v>4</v>
      </c>
      <c r="BK324" s="93">
        <v>5</v>
      </c>
      <c r="BL324" s="93">
        <v>6</v>
      </c>
      <c r="BM324" s="93">
        <v>7</v>
      </c>
      <c r="BN324" s="93">
        <v>8</v>
      </c>
      <c r="BO324" s="93">
        <v>9</v>
      </c>
      <c r="BP324" s="94" t="str">
        <f t="shared" si="249"/>
        <v>紧凑型</v>
      </c>
      <c r="BQ324" s="15">
        <f t="shared" si="246"/>
        <v>1</v>
      </c>
      <c r="BR324" s="15">
        <f t="shared" si="247"/>
        <v>4</v>
      </c>
      <c r="BS324" s="20" t="str">
        <f t="shared" si="251"/>
        <v/>
      </c>
      <c r="BT324" s="21" t="str">
        <f t="shared" si="252"/>
        <v/>
      </c>
      <c r="BU324" s="21" t="str">
        <f t="array" ref="BU324">_xlfn.TEXTJOIN("",TRUE,IF(ISERROR(FIND(ROW($1:$168)-1,BS324&amp;BT324)),ROW($1:$168)-1,""))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24" s="22" t="str">
        <f t="shared" si="253"/>
        <v>中中中</v>
      </c>
      <c r="BW324" s="23">
        <f t="shared" si="264"/>
        <v>4</v>
      </c>
      <c r="BX324" s="23">
        <f t="shared" si="262"/>
        <v>4</v>
      </c>
      <c r="BY324" s="23" t="str">
        <f t="array" ref="BY324">_xlfn.TEXTJOIN("",TRUE,IF(ISERROR(FIND(ROW($1:$168)-1,BW324&amp;BX324)),ROW($1:$168)-1,""))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24" s="22" t="str">
        <f t="shared" si="254"/>
        <v>复隔中</v>
      </c>
      <c r="CA324" s="24" t="str">
        <f t="shared" si="255"/>
        <v/>
      </c>
      <c r="CB324" s="24" t="str">
        <f t="shared" si="263"/>
        <v/>
      </c>
      <c r="CC324" s="24" t="str">
        <f t="array" ref="CC324">_xlfn.TEXTJOIN("",TRUE,IF(ISERROR(FIND(ROW($1:$168)-1,CA324&amp;CB324)),ROW($1:$168)-1,""))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24" s="22" t="str">
        <f t="shared" si="256"/>
        <v>中中中</v>
      </c>
      <c r="CE324" s="25" t="str">
        <f t="shared" si="250"/>
        <v>24</v>
      </c>
      <c r="CF324" s="26" t="str">
        <f t="array" ref="CF324">_xlfn.TEXTJOIN("",TRUE,IF(ISNUMBER(FIND(MID(CE323&amp;W323,ROW($1:$162),1),CE324&amp;W324)),MID(CE323&amp;W323,ROW($1:$162),1),""))</f>
        <v>32</v>
      </c>
      <c r="CG324" s="27" t="str">
        <f t="array" ref="CG324">_xlfn.TEXTJOIN("",TRUE,IF(ISERROR(FIND(ROW($1:$168)-1,CE324&amp;CF324)),ROW($1:$168)-1,""))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24" s="28" t="str">
        <f t="shared" si="257"/>
        <v>邻传孤</v>
      </c>
      <c r="CI324" s="29" t="str">
        <f t="shared" si="258"/>
        <v>35</v>
      </c>
      <c r="CJ324" s="29" t="str">
        <f t="array" ref="CJ324">_xlfn.TEXTJOIN("",TRUE,IF(ISNUMBER(FIND(MID(CI323&amp;X323,ROW($1:$162),1),CI324&amp;X324)),MID(CI323&amp;X323,ROW($1:$162),1),""))</f>
        <v>3</v>
      </c>
      <c r="CK324" s="29" t="str">
        <f t="array" ref="CK324">_xlfn.TEXTJOIN("",TRUE,IF(ISERROR(FIND(ROW($1:$168)-1,CI324&amp;CJ324)),ROW($1:$168)-1,""))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24" s="19" t="str">
        <f t="shared" si="259"/>
        <v>邻传孤</v>
      </c>
      <c r="CM324" s="24" t="str">
        <f t="shared" si="260"/>
        <v>02</v>
      </c>
      <c r="CN324" s="24" t="str">
        <f t="array" ref="CN324">_xlfn.TEXTJOIN("",TRUE,IF(ISNUMBER(FIND(MID(CM323&amp;Y323,ROW($1:$162),1),CM324&amp;Y324)),MID(CM323&amp;Y323,ROW($1:$162),1),""))</f>
        <v/>
      </c>
      <c r="CO324" s="24" t="str">
        <f t="array" ref="CO324">_xlfn.TEXTJOIN("",TRUE,IF(ISERROR(FIND(ROW($1:$168)-1,CM324&amp;CN324)),ROW($1:$168)-1,""))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24" s="30" t="str">
        <f t="shared" si="261"/>
        <v>邻孤孤</v>
      </c>
    </row>
    <row r="325" spans="1:94">
      <c r="A325" s="15">
        <v>325</v>
      </c>
      <c r="B325" s="80">
        <v>2024294</v>
      </c>
      <c r="C325" s="8" t="s">
        <v>303</v>
      </c>
      <c r="D325" s="81">
        <f t="shared" si="265"/>
        <v>13</v>
      </c>
      <c r="E325" s="82">
        <f t="shared" si="266"/>
        <v>3</v>
      </c>
      <c r="F325" s="83">
        <f t="shared" si="270"/>
        <v>4.33333333333333</v>
      </c>
      <c r="G325" s="84" t="str">
        <f t="shared" si="271"/>
        <v>紧凑</v>
      </c>
      <c r="H325" s="85" t="s">
        <v>10</v>
      </c>
      <c r="I325" s="85" t="s">
        <v>11</v>
      </c>
      <c r="J325" s="85" t="s">
        <v>12</v>
      </c>
      <c r="K325" s="85" t="s">
        <v>13</v>
      </c>
      <c r="L325" s="86">
        <f>MAX(MID(C325,{1,2,3},1)*1)-MIN(MID(C325,{1,2,3},1)*1)</f>
        <v>3</v>
      </c>
      <c r="M325" s="87">
        <v>0</v>
      </c>
      <c r="N325" s="87">
        <v>1</v>
      </c>
      <c r="O325" s="87">
        <v>2</v>
      </c>
      <c r="P325" s="87">
        <v>3</v>
      </c>
      <c r="Q325" s="87">
        <v>4</v>
      </c>
      <c r="R325" s="87">
        <v>5</v>
      </c>
      <c r="S325" s="87">
        <v>6</v>
      </c>
      <c r="T325" s="87">
        <v>7</v>
      </c>
      <c r="U325" s="87">
        <v>8</v>
      </c>
      <c r="V325" s="87">
        <v>9</v>
      </c>
      <c r="W325" s="88">
        <f t="shared" si="267"/>
        <v>3</v>
      </c>
      <c r="X325" s="88">
        <f t="shared" si="268"/>
        <v>1</v>
      </c>
      <c r="Y325" s="88">
        <f t="shared" si="269"/>
        <v>2</v>
      </c>
      <c r="Z325" s="89">
        <f t="shared" si="248"/>
        <v>6</v>
      </c>
      <c r="AA325" s="17" t="str">
        <f>_xlfn.TEXTJOIN(", ",TRUE,ABS(MID(C325,{1,1,2},1)-MID(C325,{2,3,3},1)))</f>
        <v>3, 1, 2</v>
      </c>
      <c r="AB325" s="90">
        <v>0</v>
      </c>
      <c r="AC325" s="90">
        <v>1</v>
      </c>
      <c r="AD325" s="90">
        <v>2</v>
      </c>
      <c r="AE325" s="90">
        <v>3</v>
      </c>
      <c r="AF325" s="90">
        <v>4</v>
      </c>
      <c r="AG325" s="90">
        <v>5</v>
      </c>
      <c r="AH325" s="90">
        <v>6</v>
      </c>
      <c r="AI325" s="90">
        <v>7</v>
      </c>
      <c r="AJ325" s="90">
        <v>8</v>
      </c>
      <c r="AK325" s="90">
        <v>9</v>
      </c>
      <c r="AL325" s="91">
        <v>0</v>
      </c>
      <c r="AM325" s="91">
        <v>1</v>
      </c>
      <c r="AN325" s="91">
        <v>2</v>
      </c>
      <c r="AO325" s="91">
        <v>3</v>
      </c>
      <c r="AP325" s="91">
        <v>4</v>
      </c>
      <c r="AQ325" s="91">
        <v>5</v>
      </c>
      <c r="AR325" s="91">
        <v>6</v>
      </c>
      <c r="AS325" s="91">
        <v>7</v>
      </c>
      <c r="AT325" s="91">
        <v>8</v>
      </c>
      <c r="AU325" s="91">
        <v>9</v>
      </c>
      <c r="AV325" s="92">
        <v>0</v>
      </c>
      <c r="AW325" s="92">
        <v>1</v>
      </c>
      <c r="AX325" s="92">
        <v>2</v>
      </c>
      <c r="AY325" s="92">
        <v>3</v>
      </c>
      <c r="AZ325" s="92">
        <v>4</v>
      </c>
      <c r="BA325" s="92">
        <v>5</v>
      </c>
      <c r="BB325" s="92">
        <v>6</v>
      </c>
      <c r="BC325" s="92">
        <v>7</v>
      </c>
      <c r="BD325" s="92">
        <v>8</v>
      </c>
      <c r="BE325" s="92">
        <v>9</v>
      </c>
      <c r="BF325" s="93">
        <v>0</v>
      </c>
      <c r="BG325" s="93">
        <v>1</v>
      </c>
      <c r="BH325" s="93">
        <v>2</v>
      </c>
      <c r="BI325" s="93">
        <v>3</v>
      </c>
      <c r="BJ325" s="93">
        <v>4</v>
      </c>
      <c r="BK325" s="93">
        <v>5</v>
      </c>
      <c r="BL325" s="93">
        <v>6</v>
      </c>
      <c r="BM325" s="93">
        <v>7</v>
      </c>
      <c r="BN325" s="93">
        <v>8</v>
      </c>
      <c r="BO325" s="93">
        <v>9</v>
      </c>
      <c r="BP325" s="94" t="str">
        <f t="shared" si="249"/>
        <v>紧凑型</v>
      </c>
      <c r="BQ325" s="15">
        <f t="shared" si="246"/>
        <v>1</v>
      </c>
      <c r="BR325" s="15">
        <f t="shared" si="247"/>
        <v>3</v>
      </c>
      <c r="BS325" s="20">
        <f t="shared" si="251"/>
        <v>3</v>
      </c>
      <c r="BT325" s="21" t="str">
        <f t="shared" si="252"/>
        <v/>
      </c>
      <c r="BU325" s="21" t="str">
        <f t="array" ref="BU325">_xlfn.TEXTJOIN("",TRUE,IF(ISERROR(FIND(ROW($1:$168)-1,BS325&amp;BT325)),ROW($1:$168)-1,""))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25" s="22" t="str">
        <f t="shared" si="253"/>
        <v>复中中</v>
      </c>
      <c r="BW325" s="23">
        <f t="shared" si="264"/>
        <v>1</v>
      </c>
      <c r="BX325" s="23" t="str">
        <f t="shared" si="262"/>
        <v/>
      </c>
      <c r="BY325" s="23" t="str">
        <f t="array" ref="BY325">_xlfn.TEXTJOIN("",TRUE,IF(ISERROR(FIND(ROW($1:$168)-1,BW325&amp;BX325)),ROW($1:$168)-1,""))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25" s="22" t="str">
        <f t="shared" si="254"/>
        <v>复中中</v>
      </c>
      <c r="CA325" s="24" t="str">
        <f t="shared" si="255"/>
        <v/>
      </c>
      <c r="CB325" s="24">
        <f t="shared" si="263"/>
        <v>2</v>
      </c>
      <c r="CC325" s="24" t="str">
        <f t="array" ref="CC325">_xlfn.TEXTJOIN("",TRUE,IF(ISERROR(FIND(ROW($1:$168)-1,CA325&amp;CB325)),ROW($1:$168)-1,""))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25" s="22" t="str">
        <f t="shared" si="256"/>
        <v>中隔中</v>
      </c>
      <c r="CE325" s="25" t="str">
        <f t="shared" si="250"/>
        <v>24</v>
      </c>
      <c r="CF325" s="26" t="str">
        <f t="array" ref="CF325">_xlfn.TEXTJOIN("",TRUE,IF(ISNUMBER(FIND(MID(CE324&amp;W324,ROW($1:$162),1),CE325&amp;W325)),MID(CE324&amp;W324,ROW($1:$162),1),""))</f>
        <v>243</v>
      </c>
      <c r="CG325" s="27" t="str">
        <f t="array" ref="CG325">_xlfn.TEXTJOIN("",TRUE,IF(ISERROR(FIND(ROW($1:$168)-1,CE325&amp;CF325)),ROW($1:$168)-1,""))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25" s="28" t="str">
        <f t="shared" si="257"/>
        <v>邻传孤</v>
      </c>
      <c r="CI325" s="29" t="str">
        <f t="shared" si="258"/>
        <v>02</v>
      </c>
      <c r="CJ325" s="29" t="str">
        <f t="array" ref="CJ325">_xlfn.TEXTJOIN("",TRUE,IF(ISNUMBER(FIND(MID(CI324&amp;X324,ROW($1:$162),1),CI325&amp;X325)),MID(CI324&amp;X324,ROW($1:$162),1),""))</f>
        <v/>
      </c>
      <c r="CK325" s="29" t="str">
        <f t="array" ref="CK325">_xlfn.TEXTJOIN("",TRUE,IF(ISERROR(FIND(ROW($1:$168)-1,CI325&amp;CJ325)),ROW($1:$168)-1,""))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25" s="19" t="str">
        <f t="shared" si="259"/>
        <v>邻孤孤</v>
      </c>
      <c r="CM325" s="24" t="str">
        <f t="shared" si="260"/>
        <v>13</v>
      </c>
      <c r="CN325" s="24" t="str">
        <f t="array" ref="CN325">_xlfn.TEXTJOIN("",TRUE,IF(ISNUMBER(FIND(MID(CM324&amp;Y324,ROW($1:$162),1),CM325&amp;Y325)),MID(CM324&amp;Y324,ROW($1:$162),1),""))</f>
        <v>21</v>
      </c>
      <c r="CO325" s="24" t="str">
        <f t="array" ref="CO325">_xlfn.TEXTJOIN("",TRUE,IF(ISERROR(FIND(ROW($1:$168)-1,CM325&amp;CN325)),ROW($1:$168)-1,""))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325" s="30" t="str">
        <f t="shared" si="261"/>
        <v>邻传孤</v>
      </c>
    </row>
    <row r="326" spans="1:94">
      <c r="A326" s="15">
        <v>326</v>
      </c>
      <c r="B326" s="80">
        <v>2024295</v>
      </c>
      <c r="C326" s="8" t="s">
        <v>304</v>
      </c>
      <c r="D326" s="81">
        <f t="shared" si="265"/>
        <v>13</v>
      </c>
      <c r="E326" s="82">
        <f t="shared" si="266"/>
        <v>3</v>
      </c>
      <c r="F326" s="83">
        <f t="shared" si="270"/>
        <v>2.16666666666667</v>
      </c>
      <c r="G326" s="84" t="str">
        <f t="shared" si="271"/>
        <v>标准</v>
      </c>
      <c r="H326" s="85" t="s">
        <v>10</v>
      </c>
      <c r="I326" s="85" t="s">
        <v>11</v>
      </c>
      <c r="J326" s="85" t="s">
        <v>12</v>
      </c>
      <c r="K326" s="85" t="s">
        <v>13</v>
      </c>
      <c r="L326" s="86">
        <f>MAX(MID(C326,{1,2,3},1)*1)-MIN(MID(C326,{1,2,3},1)*1)</f>
        <v>6</v>
      </c>
      <c r="M326" s="87">
        <v>0</v>
      </c>
      <c r="N326" s="87">
        <v>1</v>
      </c>
      <c r="O326" s="87">
        <v>2</v>
      </c>
      <c r="P326" s="87">
        <v>3</v>
      </c>
      <c r="Q326" s="87">
        <v>4</v>
      </c>
      <c r="R326" s="87">
        <v>5</v>
      </c>
      <c r="S326" s="87">
        <v>6</v>
      </c>
      <c r="T326" s="87">
        <v>7</v>
      </c>
      <c r="U326" s="87">
        <v>8</v>
      </c>
      <c r="V326" s="87">
        <v>9</v>
      </c>
      <c r="W326" s="88">
        <f t="shared" si="267"/>
        <v>2</v>
      </c>
      <c r="X326" s="88">
        <f t="shared" si="268"/>
        <v>4</v>
      </c>
      <c r="Y326" s="88">
        <f t="shared" si="269"/>
        <v>6</v>
      </c>
      <c r="Z326" s="89">
        <f t="shared" si="248"/>
        <v>12</v>
      </c>
      <c r="AA326" s="17" t="str">
        <f>_xlfn.TEXTJOIN(", ",TRUE,ABS(MID(C326,{1,1,2},1)-MID(C326,{2,3,3},1)))</f>
        <v>2, 4, 6</v>
      </c>
      <c r="AB326" s="90">
        <v>0</v>
      </c>
      <c r="AC326" s="90">
        <v>1</v>
      </c>
      <c r="AD326" s="90">
        <v>2</v>
      </c>
      <c r="AE326" s="90">
        <v>3</v>
      </c>
      <c r="AF326" s="90">
        <v>4</v>
      </c>
      <c r="AG326" s="90">
        <v>5</v>
      </c>
      <c r="AH326" s="90">
        <v>6</v>
      </c>
      <c r="AI326" s="90">
        <v>7</v>
      </c>
      <c r="AJ326" s="90">
        <v>8</v>
      </c>
      <c r="AK326" s="90">
        <v>9</v>
      </c>
      <c r="AL326" s="91">
        <v>0</v>
      </c>
      <c r="AM326" s="91">
        <v>1</v>
      </c>
      <c r="AN326" s="91">
        <v>2</v>
      </c>
      <c r="AO326" s="91">
        <v>3</v>
      </c>
      <c r="AP326" s="91">
        <v>4</v>
      </c>
      <c r="AQ326" s="91">
        <v>5</v>
      </c>
      <c r="AR326" s="91">
        <v>6</v>
      </c>
      <c r="AS326" s="91">
        <v>7</v>
      </c>
      <c r="AT326" s="91">
        <v>8</v>
      </c>
      <c r="AU326" s="91">
        <v>9</v>
      </c>
      <c r="AV326" s="92">
        <v>0</v>
      </c>
      <c r="AW326" s="92">
        <v>1</v>
      </c>
      <c r="AX326" s="92">
        <v>2</v>
      </c>
      <c r="AY326" s="92">
        <v>3</v>
      </c>
      <c r="AZ326" s="92">
        <v>4</v>
      </c>
      <c r="BA326" s="92">
        <v>5</v>
      </c>
      <c r="BB326" s="92">
        <v>6</v>
      </c>
      <c r="BC326" s="92">
        <v>7</v>
      </c>
      <c r="BD326" s="92">
        <v>8</v>
      </c>
      <c r="BE326" s="92">
        <v>9</v>
      </c>
      <c r="BF326" s="93">
        <v>0</v>
      </c>
      <c r="BG326" s="93">
        <v>1</v>
      </c>
      <c r="BH326" s="93">
        <v>2</v>
      </c>
      <c r="BI326" s="93">
        <v>3</v>
      </c>
      <c r="BJ326" s="93">
        <v>4</v>
      </c>
      <c r="BK326" s="93">
        <v>5</v>
      </c>
      <c r="BL326" s="93">
        <v>6</v>
      </c>
      <c r="BM326" s="93">
        <v>7</v>
      </c>
      <c r="BN326" s="93">
        <v>8</v>
      </c>
      <c r="BO326" s="93">
        <v>9</v>
      </c>
      <c r="BP326" s="94" t="str">
        <f t="shared" si="249"/>
        <v>松散型</v>
      </c>
      <c r="BQ326" s="15">
        <f t="shared" si="246"/>
        <v>2</v>
      </c>
      <c r="BR326" s="15">
        <f t="shared" si="247"/>
        <v>6</v>
      </c>
      <c r="BS326" s="20">
        <f t="shared" si="251"/>
        <v>2</v>
      </c>
      <c r="BT326" s="21" t="str">
        <f t="shared" si="252"/>
        <v/>
      </c>
      <c r="BU326" s="21" t="str">
        <f t="array" ref="BU326">_xlfn.TEXTJOIN("",TRUE,IF(ISERROR(FIND(ROW($1:$168)-1,BS326&amp;BT326)),ROW($1:$168)-1,""))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26" s="22" t="str">
        <f t="shared" si="253"/>
        <v>复中中</v>
      </c>
      <c r="BW326" s="23" t="str">
        <f t="shared" si="264"/>
        <v/>
      </c>
      <c r="BX326" s="23">
        <f t="shared" si="262"/>
        <v>4</v>
      </c>
      <c r="BY326" s="23" t="str">
        <f t="array" ref="BY326">_xlfn.TEXTJOIN("",TRUE,IF(ISERROR(FIND(ROW($1:$168)-1,BW326&amp;BX326)),ROW($1:$168)-1,""))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26" s="22" t="str">
        <f t="shared" si="254"/>
        <v>中隔中</v>
      </c>
      <c r="CA326" s="24" t="str">
        <f t="shared" si="255"/>
        <v/>
      </c>
      <c r="CB326" s="24" t="str">
        <f t="shared" si="263"/>
        <v/>
      </c>
      <c r="CC326" s="24" t="str">
        <f t="array" ref="CC326">_xlfn.TEXTJOIN("",TRUE,IF(ISERROR(FIND(ROW($1:$168)-1,CA326&amp;CB326)),ROW($1:$168)-1,""))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26" s="22" t="str">
        <f t="shared" si="256"/>
        <v>中中中</v>
      </c>
      <c r="CE326" s="25" t="str">
        <f t="shared" si="250"/>
        <v>13</v>
      </c>
      <c r="CF326" s="26" t="str">
        <f t="array" ref="CF326">_xlfn.TEXTJOIN("",TRUE,IF(ISNUMBER(FIND(MID(CE325&amp;W325,ROW($1:$162),1),CE326&amp;W326)),MID(CE325&amp;W325,ROW($1:$162),1),""))</f>
        <v>23</v>
      </c>
      <c r="CG326" s="27" t="str">
        <f t="array" ref="CG326">_xlfn.TEXTJOIN("",TRUE,IF(ISERROR(FIND(ROW($1:$168)-1,CE326&amp;CF326)),ROW($1:$168)-1,""))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326" s="28" t="str">
        <f t="shared" si="257"/>
        <v>邻传孤</v>
      </c>
      <c r="CI326" s="29" t="str">
        <f t="shared" si="258"/>
        <v>35</v>
      </c>
      <c r="CJ326" s="29" t="str">
        <f t="array" ref="CJ326">_xlfn.TEXTJOIN("",TRUE,IF(ISNUMBER(FIND(MID(CI325&amp;X325,ROW($1:$162),1),CI326&amp;X326)),MID(CI325&amp;X325,ROW($1:$162),1),""))</f>
        <v/>
      </c>
      <c r="CK326" s="29" t="str">
        <f t="array" ref="CK326">_xlfn.TEXTJOIN("",TRUE,IF(ISERROR(FIND(ROW($1:$168)-1,CI326&amp;CJ326)),ROW($1:$168)-1,""))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26" s="19" t="str">
        <f t="shared" si="259"/>
        <v>邻孤孤</v>
      </c>
      <c r="CM326" s="24" t="str">
        <f t="shared" si="260"/>
        <v>57</v>
      </c>
      <c r="CN326" s="24" t="str">
        <f t="array" ref="CN326">_xlfn.TEXTJOIN("",TRUE,IF(ISNUMBER(FIND(MID(CM325&amp;Y325,ROW($1:$162),1),CM326&amp;Y326)),MID(CM325&amp;Y325,ROW($1:$162),1),""))</f>
        <v/>
      </c>
      <c r="CO326" s="24" t="str">
        <f t="array" ref="CO326">_xlfn.TEXTJOIN("",TRUE,IF(ISERROR(FIND(ROW($1:$168)-1,CM326&amp;CN326)),ROW($1:$168)-1,""))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26" s="30" t="str">
        <f t="shared" si="261"/>
        <v>邻孤孤</v>
      </c>
    </row>
    <row r="327" spans="1:94">
      <c r="A327" s="15">
        <v>327</v>
      </c>
      <c r="B327" s="80">
        <v>2024296</v>
      </c>
      <c r="C327" s="8" t="s">
        <v>191</v>
      </c>
      <c r="D327" s="81">
        <f t="shared" si="265"/>
        <v>15</v>
      </c>
      <c r="E327" s="82">
        <f t="shared" si="266"/>
        <v>5</v>
      </c>
      <c r="F327" s="83">
        <f t="shared" si="270"/>
        <v>2.14285714285714</v>
      </c>
      <c r="G327" s="84" t="str">
        <f t="shared" si="271"/>
        <v>标准</v>
      </c>
      <c r="H327" s="85" t="s">
        <v>10</v>
      </c>
      <c r="I327" s="85" t="s">
        <v>11</v>
      </c>
      <c r="J327" s="85" t="s">
        <v>12</v>
      </c>
      <c r="K327" s="85" t="s">
        <v>13</v>
      </c>
      <c r="L327" s="86">
        <f>MAX(MID(C327,{1,2,3},1)*1)-MIN(MID(C327,{1,2,3},1)*1)</f>
        <v>7</v>
      </c>
      <c r="M327" s="87">
        <v>0</v>
      </c>
      <c r="N327" s="87">
        <v>1</v>
      </c>
      <c r="O327" s="87">
        <v>2</v>
      </c>
      <c r="P327" s="87">
        <v>3</v>
      </c>
      <c r="Q327" s="87">
        <v>4</v>
      </c>
      <c r="R327" s="87">
        <v>5</v>
      </c>
      <c r="S327" s="87">
        <v>6</v>
      </c>
      <c r="T327" s="87">
        <v>7</v>
      </c>
      <c r="U327" s="87">
        <v>8</v>
      </c>
      <c r="V327" s="87">
        <v>9</v>
      </c>
      <c r="W327" s="88">
        <f t="shared" si="267"/>
        <v>7</v>
      </c>
      <c r="X327" s="88">
        <f t="shared" si="268"/>
        <v>2</v>
      </c>
      <c r="Y327" s="88">
        <f t="shared" si="269"/>
        <v>5</v>
      </c>
      <c r="Z327" s="89">
        <f t="shared" si="248"/>
        <v>14</v>
      </c>
      <c r="AA327" s="17" t="str">
        <f>_xlfn.TEXTJOIN(", ",TRUE,ABS(MID(C327,{1,1,2},1)-MID(C327,{2,3,3},1)))</f>
        <v>7, 2, 5</v>
      </c>
      <c r="AB327" s="90">
        <v>0</v>
      </c>
      <c r="AC327" s="90">
        <v>1</v>
      </c>
      <c r="AD327" s="90">
        <v>2</v>
      </c>
      <c r="AE327" s="90">
        <v>3</v>
      </c>
      <c r="AF327" s="90">
        <v>4</v>
      </c>
      <c r="AG327" s="90">
        <v>5</v>
      </c>
      <c r="AH327" s="90">
        <v>6</v>
      </c>
      <c r="AI327" s="90">
        <v>7</v>
      </c>
      <c r="AJ327" s="90">
        <v>8</v>
      </c>
      <c r="AK327" s="90">
        <v>9</v>
      </c>
      <c r="AL327" s="91">
        <v>0</v>
      </c>
      <c r="AM327" s="91">
        <v>1</v>
      </c>
      <c r="AN327" s="91">
        <v>2</v>
      </c>
      <c r="AO327" s="91">
        <v>3</v>
      </c>
      <c r="AP327" s="91">
        <v>4</v>
      </c>
      <c r="AQ327" s="91">
        <v>5</v>
      </c>
      <c r="AR327" s="91">
        <v>6</v>
      </c>
      <c r="AS327" s="91">
        <v>7</v>
      </c>
      <c r="AT327" s="91">
        <v>8</v>
      </c>
      <c r="AU327" s="91">
        <v>9</v>
      </c>
      <c r="AV327" s="92">
        <v>0</v>
      </c>
      <c r="AW327" s="92">
        <v>1</v>
      </c>
      <c r="AX327" s="92">
        <v>2</v>
      </c>
      <c r="AY327" s="92">
        <v>3</v>
      </c>
      <c r="AZ327" s="92">
        <v>4</v>
      </c>
      <c r="BA327" s="92">
        <v>5</v>
      </c>
      <c r="BB327" s="92">
        <v>6</v>
      </c>
      <c r="BC327" s="92">
        <v>7</v>
      </c>
      <c r="BD327" s="92">
        <v>8</v>
      </c>
      <c r="BE327" s="92">
        <v>9</v>
      </c>
      <c r="BF327" s="93">
        <v>0</v>
      </c>
      <c r="BG327" s="93">
        <v>1</v>
      </c>
      <c r="BH327" s="93">
        <v>2</v>
      </c>
      <c r="BI327" s="93">
        <v>3</v>
      </c>
      <c r="BJ327" s="93">
        <v>4</v>
      </c>
      <c r="BK327" s="93">
        <v>5</v>
      </c>
      <c r="BL327" s="93">
        <v>6</v>
      </c>
      <c r="BM327" s="93">
        <v>7</v>
      </c>
      <c r="BN327" s="93">
        <v>8</v>
      </c>
      <c r="BO327" s="93">
        <v>9</v>
      </c>
      <c r="BP327" s="94" t="str">
        <f t="shared" si="249"/>
        <v>松散型</v>
      </c>
      <c r="BQ327" s="15">
        <f t="shared" si="246"/>
        <v>2</v>
      </c>
      <c r="BR327" s="15">
        <f t="shared" si="247"/>
        <v>7</v>
      </c>
      <c r="BS327" s="20" t="str">
        <f t="shared" si="251"/>
        <v/>
      </c>
      <c r="BT327" s="21" t="str">
        <f t="shared" si="252"/>
        <v/>
      </c>
      <c r="BU327" s="21" t="str">
        <f t="array" ref="BU327">_xlfn.TEXTJOIN("",TRUE,IF(ISERROR(FIND(ROW($1:$168)-1,BS327&amp;BT327)),ROW($1:$168)-1,""))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27" s="22" t="str">
        <f t="shared" si="253"/>
        <v>中中中</v>
      </c>
      <c r="BW327" s="23">
        <f t="shared" si="264"/>
        <v>2</v>
      </c>
      <c r="BX327" s="23">
        <f t="shared" si="262"/>
        <v>2</v>
      </c>
      <c r="BY327" s="23" t="str">
        <f t="array" ref="BY327">_xlfn.TEXTJOIN("",TRUE,IF(ISERROR(FIND(ROW($1:$168)-1,BW327&amp;BX327)),ROW($1:$168)-1,""))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27" s="22" t="str">
        <f t="shared" si="254"/>
        <v>复隔中</v>
      </c>
      <c r="CA327" s="24" t="str">
        <f t="shared" si="255"/>
        <v/>
      </c>
      <c r="CB327" s="24" t="str">
        <f t="shared" si="263"/>
        <v/>
      </c>
      <c r="CC327" s="24" t="str">
        <f t="array" ref="CC327">_xlfn.TEXTJOIN("",TRUE,IF(ISERROR(FIND(ROW($1:$168)-1,CA327&amp;CB327)),ROW($1:$168)-1,""))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27" s="22" t="str">
        <f t="shared" si="256"/>
        <v>中中中</v>
      </c>
      <c r="CE327" s="25" t="str">
        <f t="shared" si="250"/>
        <v>68</v>
      </c>
      <c r="CF327" s="26" t="str">
        <f t="array" ref="CF327">_xlfn.TEXTJOIN("",TRUE,IF(ISNUMBER(FIND(MID(CE326&amp;W326,ROW($1:$162),1),CE327&amp;W327)),MID(CE326&amp;W326,ROW($1:$162),1),""))</f>
        <v/>
      </c>
      <c r="CG327" s="27" t="str">
        <f t="array" ref="CG327">_xlfn.TEXTJOIN("",TRUE,IF(ISERROR(FIND(ROW($1:$168)-1,CE327&amp;CF327)),ROW($1:$168)-1,""))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27" s="28" t="str">
        <f t="shared" si="257"/>
        <v>邻孤孤</v>
      </c>
      <c r="CI327" s="29" t="str">
        <f t="shared" si="258"/>
        <v>13</v>
      </c>
      <c r="CJ327" s="29" t="str">
        <f t="array" ref="CJ327">_xlfn.TEXTJOIN("",TRUE,IF(ISNUMBER(FIND(MID(CI326&amp;X326,ROW($1:$162),1),CI327&amp;X327)),MID(CI326&amp;X326,ROW($1:$162),1),""))</f>
        <v>3</v>
      </c>
      <c r="CK327" s="29" t="str">
        <f t="array" ref="CK327">_xlfn.TEXTJOIN("",TRUE,IF(ISERROR(FIND(ROW($1:$168)-1,CI327&amp;CJ327)),ROW($1:$168)-1,""))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327" s="19" t="str">
        <f t="shared" si="259"/>
        <v>邻传孤</v>
      </c>
      <c r="CM327" s="24" t="str">
        <f t="shared" si="260"/>
        <v>46</v>
      </c>
      <c r="CN327" s="24" t="str">
        <f t="array" ref="CN327">_xlfn.TEXTJOIN("",TRUE,IF(ISNUMBER(FIND(MID(CM326&amp;Y326,ROW($1:$162),1),CM327&amp;Y327)),MID(CM326&amp;Y326,ROW($1:$162),1),""))</f>
        <v>56</v>
      </c>
      <c r="CO327" s="24" t="str">
        <f t="array" ref="CO327">_xlfn.TEXTJOIN("",TRUE,IF(ISERROR(FIND(ROW($1:$168)-1,CM327&amp;CN327)),ROW($1:$168)-1,""))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27" s="30" t="str">
        <f t="shared" si="261"/>
        <v>邻传孤</v>
      </c>
    </row>
    <row r="328" spans="1:94">
      <c r="A328" s="15">
        <v>328</v>
      </c>
      <c r="B328" s="80">
        <v>2024297</v>
      </c>
      <c r="C328" s="8" t="s">
        <v>305</v>
      </c>
      <c r="D328" s="81">
        <f t="shared" si="265"/>
        <v>12</v>
      </c>
      <c r="E328" s="82">
        <f t="shared" si="266"/>
        <v>2</v>
      </c>
      <c r="F328" s="83">
        <f t="shared" si="270"/>
        <v>2.4</v>
      </c>
      <c r="G328" s="84" t="str">
        <f t="shared" si="271"/>
        <v>标准</v>
      </c>
      <c r="H328" s="85" t="s">
        <v>10</v>
      </c>
      <c r="I328" s="85" t="s">
        <v>11</v>
      </c>
      <c r="J328" s="85" t="s">
        <v>12</v>
      </c>
      <c r="K328" s="85" t="s">
        <v>13</v>
      </c>
      <c r="L328" s="86">
        <f>MAX(MID(C328,{1,2,3},1)*1)-MIN(MID(C328,{1,2,3},1)*1)</f>
        <v>5</v>
      </c>
      <c r="M328" s="87">
        <v>0</v>
      </c>
      <c r="N328" s="87">
        <v>1</v>
      </c>
      <c r="O328" s="87">
        <v>2</v>
      </c>
      <c r="P328" s="87">
        <v>3</v>
      </c>
      <c r="Q328" s="87">
        <v>4</v>
      </c>
      <c r="R328" s="87">
        <v>5</v>
      </c>
      <c r="S328" s="87">
        <v>6</v>
      </c>
      <c r="T328" s="87">
        <v>7</v>
      </c>
      <c r="U328" s="87">
        <v>8</v>
      </c>
      <c r="V328" s="87">
        <v>9</v>
      </c>
      <c r="W328" s="88">
        <f t="shared" si="267"/>
        <v>4</v>
      </c>
      <c r="X328" s="88">
        <f t="shared" si="268"/>
        <v>1</v>
      </c>
      <c r="Y328" s="88">
        <f t="shared" si="269"/>
        <v>5</v>
      </c>
      <c r="Z328" s="89">
        <f t="shared" si="248"/>
        <v>10</v>
      </c>
      <c r="AA328" s="17" t="str">
        <f>_xlfn.TEXTJOIN(", ",TRUE,ABS(MID(C328,{1,1,2},1)-MID(C328,{2,3,3},1)))</f>
        <v>4, 1, 5</v>
      </c>
      <c r="AB328" s="90">
        <v>0</v>
      </c>
      <c r="AC328" s="90">
        <v>1</v>
      </c>
      <c r="AD328" s="90">
        <v>2</v>
      </c>
      <c r="AE328" s="90">
        <v>3</v>
      </c>
      <c r="AF328" s="90">
        <v>4</v>
      </c>
      <c r="AG328" s="90">
        <v>5</v>
      </c>
      <c r="AH328" s="90">
        <v>6</v>
      </c>
      <c r="AI328" s="90">
        <v>7</v>
      </c>
      <c r="AJ328" s="90">
        <v>8</v>
      </c>
      <c r="AK328" s="90">
        <v>9</v>
      </c>
      <c r="AL328" s="91">
        <v>0</v>
      </c>
      <c r="AM328" s="91">
        <v>1</v>
      </c>
      <c r="AN328" s="91">
        <v>2</v>
      </c>
      <c r="AO328" s="91">
        <v>3</v>
      </c>
      <c r="AP328" s="91">
        <v>4</v>
      </c>
      <c r="AQ328" s="91">
        <v>5</v>
      </c>
      <c r="AR328" s="91">
        <v>6</v>
      </c>
      <c r="AS328" s="91">
        <v>7</v>
      </c>
      <c r="AT328" s="91">
        <v>8</v>
      </c>
      <c r="AU328" s="91">
        <v>9</v>
      </c>
      <c r="AV328" s="92">
        <v>0</v>
      </c>
      <c r="AW328" s="92">
        <v>1</v>
      </c>
      <c r="AX328" s="92">
        <v>2</v>
      </c>
      <c r="AY328" s="92">
        <v>3</v>
      </c>
      <c r="AZ328" s="92">
        <v>4</v>
      </c>
      <c r="BA328" s="92">
        <v>5</v>
      </c>
      <c r="BB328" s="92">
        <v>6</v>
      </c>
      <c r="BC328" s="92">
        <v>7</v>
      </c>
      <c r="BD328" s="92">
        <v>8</v>
      </c>
      <c r="BE328" s="92">
        <v>9</v>
      </c>
      <c r="BF328" s="93">
        <v>0</v>
      </c>
      <c r="BG328" s="93">
        <v>1</v>
      </c>
      <c r="BH328" s="93">
        <v>2</v>
      </c>
      <c r="BI328" s="93">
        <v>3</v>
      </c>
      <c r="BJ328" s="93">
        <v>4</v>
      </c>
      <c r="BK328" s="93">
        <v>5</v>
      </c>
      <c r="BL328" s="93">
        <v>6</v>
      </c>
      <c r="BM328" s="93">
        <v>7</v>
      </c>
      <c r="BN328" s="93">
        <v>8</v>
      </c>
      <c r="BO328" s="93">
        <v>9</v>
      </c>
      <c r="BP328" s="94" t="str">
        <f t="shared" si="249"/>
        <v>标准型</v>
      </c>
      <c r="BQ328" s="15">
        <f t="shared" si="246"/>
        <v>1</v>
      </c>
      <c r="BR328" s="15">
        <f t="shared" si="247"/>
        <v>5</v>
      </c>
      <c r="BS328" s="20" t="str">
        <f t="shared" si="251"/>
        <v/>
      </c>
      <c r="BT328" s="21">
        <f t="shared" si="252"/>
        <v>4</v>
      </c>
      <c r="BU328" s="21" t="str">
        <f t="array" ref="BU328">_xlfn.TEXTJOIN("",TRUE,IF(ISERROR(FIND(ROW($1:$168)-1,BS328&amp;BT328)),ROW($1:$168)-1,""))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28" s="22" t="str">
        <f t="shared" si="253"/>
        <v>中隔中</v>
      </c>
      <c r="BW328" s="23" t="str">
        <f t="shared" si="264"/>
        <v/>
      </c>
      <c r="BX328" s="23" t="str">
        <f t="shared" si="262"/>
        <v/>
      </c>
      <c r="BY328" s="23" t="str">
        <f t="array" ref="BY328">_xlfn.TEXTJOIN("",TRUE,IF(ISERROR(FIND(ROW($1:$168)-1,BW328&amp;BX328)),ROW($1:$168)-1,""))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28" s="22" t="str">
        <f t="shared" si="254"/>
        <v>中中中</v>
      </c>
      <c r="CA328" s="24">
        <f t="shared" si="255"/>
        <v>5</v>
      </c>
      <c r="CB328" s="24" t="str">
        <f t="shared" si="263"/>
        <v/>
      </c>
      <c r="CC328" s="24" t="str">
        <f t="array" ref="CC328">_xlfn.TEXTJOIN("",TRUE,IF(ISERROR(FIND(ROW($1:$168)-1,CA328&amp;CB328)),ROW($1:$168)-1,""))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28" s="22" t="str">
        <f t="shared" si="256"/>
        <v>复中中</v>
      </c>
      <c r="CE328" s="25" t="str">
        <f t="shared" si="250"/>
        <v>35</v>
      </c>
      <c r="CF328" s="26" t="str">
        <f t="array" ref="CF328">_xlfn.TEXTJOIN("",TRUE,IF(ISNUMBER(FIND(MID(CE327&amp;W327,ROW($1:$162),1),CE328&amp;W328)),MID(CE327&amp;W327,ROW($1:$162),1),""))</f>
        <v/>
      </c>
      <c r="CG328" s="27" t="str">
        <f t="array" ref="CG328">_xlfn.TEXTJOIN("",TRUE,IF(ISERROR(FIND(ROW($1:$168)-1,CE328&amp;CF328)),ROW($1:$168)-1,""))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28" s="28" t="str">
        <f t="shared" si="257"/>
        <v>邻孤孤</v>
      </c>
      <c r="CI328" s="29" t="str">
        <f t="shared" si="258"/>
        <v>02</v>
      </c>
      <c r="CJ328" s="29" t="str">
        <f t="array" ref="CJ328">_xlfn.TEXTJOIN("",TRUE,IF(ISNUMBER(FIND(MID(CI327&amp;X327,ROW($1:$162),1),CI328&amp;X328)),MID(CI327&amp;X327,ROW($1:$162),1),""))</f>
        <v>12</v>
      </c>
      <c r="CK328" s="29" t="str">
        <f t="array" ref="CK328">_xlfn.TEXTJOIN("",TRUE,IF(ISERROR(FIND(ROW($1:$168)-1,CI328&amp;CJ328)),ROW($1:$168)-1,""))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28" s="19" t="str">
        <f t="shared" si="259"/>
        <v>邻传孤</v>
      </c>
      <c r="CM328" s="24" t="str">
        <f t="shared" si="260"/>
        <v>46</v>
      </c>
      <c r="CN328" s="24" t="str">
        <f t="array" ref="CN328">_xlfn.TEXTJOIN("",TRUE,IF(ISNUMBER(FIND(MID(CM327&amp;Y327,ROW($1:$162),1),CM328&amp;Y328)),MID(CM327&amp;Y327,ROW($1:$162),1),""))</f>
        <v>465</v>
      </c>
      <c r="CO328" s="24" t="str">
        <f t="array" ref="CO328">_xlfn.TEXTJOIN("",TRUE,IF(ISERROR(FIND(ROW($1:$168)-1,CM328&amp;CN328)),ROW($1:$168)-1,""))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28" s="30" t="str">
        <f t="shared" si="261"/>
        <v>邻传孤</v>
      </c>
    </row>
    <row r="329" spans="1:94">
      <c r="A329" s="15">
        <v>329</v>
      </c>
      <c r="B329" s="80">
        <v>2024298</v>
      </c>
      <c r="C329" s="8" t="s">
        <v>306</v>
      </c>
      <c r="D329" s="81">
        <f t="shared" ref="D329:D354" si="272">LEFT(C329,1)+MID(C329,2,1)+RIGHT(C329,1)</f>
        <v>10</v>
      </c>
      <c r="E329" s="82">
        <f t="shared" ref="E329:E354" si="273">MOD(LEFT(C329,1)+MID(C329,2,1)+RIGHT(C329,1),10)</f>
        <v>0</v>
      </c>
      <c r="F329" s="83">
        <f t="shared" si="270"/>
        <v>2</v>
      </c>
      <c r="G329" s="84" t="str">
        <f t="shared" si="271"/>
        <v>标准</v>
      </c>
      <c r="H329" s="85" t="s">
        <v>10</v>
      </c>
      <c r="I329" s="85" t="s">
        <v>11</v>
      </c>
      <c r="J329" s="85" t="s">
        <v>12</v>
      </c>
      <c r="K329" s="85" t="s">
        <v>13</v>
      </c>
      <c r="L329" s="86">
        <f>MAX(MID(C329,{1,2,3},1)*1)-MIN(MID(C329,{1,2,3},1)*1)</f>
        <v>5</v>
      </c>
      <c r="M329" s="87">
        <v>0</v>
      </c>
      <c r="N329" s="87">
        <v>1</v>
      </c>
      <c r="O329" s="87">
        <v>2</v>
      </c>
      <c r="P329" s="87">
        <v>3</v>
      </c>
      <c r="Q329" s="87">
        <v>4</v>
      </c>
      <c r="R329" s="87">
        <v>5</v>
      </c>
      <c r="S329" s="87">
        <v>6</v>
      </c>
      <c r="T329" s="87">
        <v>7</v>
      </c>
      <c r="U329" s="87">
        <v>8</v>
      </c>
      <c r="V329" s="87">
        <v>9</v>
      </c>
      <c r="W329" s="88">
        <f t="shared" ref="W329:W354" si="274">ABS(LEFT(C329,1)-MID(C329,2,1))</f>
        <v>5</v>
      </c>
      <c r="X329" s="88">
        <f t="shared" ref="X329:X354" si="275">ABS(LEFT(C329,1)-RIGHT(C329,1))</f>
        <v>5</v>
      </c>
      <c r="Y329" s="88">
        <f t="shared" ref="Y329:Y354" si="276">ABS(MID(C329,2,1)-RIGHT(C329,1))</f>
        <v>0</v>
      </c>
      <c r="Z329" s="89">
        <f t="shared" si="248"/>
        <v>10</v>
      </c>
      <c r="AA329" s="17" t="str">
        <f>_xlfn.TEXTJOIN(", ",TRUE,ABS(MID(C329,{1,1,2},1)-MID(C329,{2,3,3},1)))</f>
        <v>5, 5, 0</v>
      </c>
      <c r="AB329" s="90">
        <v>0</v>
      </c>
      <c r="AC329" s="90">
        <v>1</v>
      </c>
      <c r="AD329" s="90">
        <v>2</v>
      </c>
      <c r="AE329" s="90">
        <v>3</v>
      </c>
      <c r="AF329" s="90">
        <v>4</v>
      </c>
      <c r="AG329" s="90">
        <v>5</v>
      </c>
      <c r="AH329" s="90">
        <v>6</v>
      </c>
      <c r="AI329" s="90">
        <v>7</v>
      </c>
      <c r="AJ329" s="90">
        <v>8</v>
      </c>
      <c r="AK329" s="90">
        <v>9</v>
      </c>
      <c r="AL329" s="91">
        <v>0</v>
      </c>
      <c r="AM329" s="91">
        <v>1</v>
      </c>
      <c r="AN329" s="91">
        <v>2</v>
      </c>
      <c r="AO329" s="91">
        <v>3</v>
      </c>
      <c r="AP329" s="91">
        <v>4</v>
      </c>
      <c r="AQ329" s="91">
        <v>5</v>
      </c>
      <c r="AR329" s="91">
        <v>6</v>
      </c>
      <c r="AS329" s="91">
        <v>7</v>
      </c>
      <c r="AT329" s="91">
        <v>8</v>
      </c>
      <c r="AU329" s="91">
        <v>9</v>
      </c>
      <c r="AV329" s="92">
        <v>0</v>
      </c>
      <c r="AW329" s="92">
        <v>1</v>
      </c>
      <c r="AX329" s="92">
        <v>2</v>
      </c>
      <c r="AY329" s="92">
        <v>3</v>
      </c>
      <c r="AZ329" s="92">
        <v>4</v>
      </c>
      <c r="BA329" s="92">
        <v>5</v>
      </c>
      <c r="BB329" s="92">
        <v>6</v>
      </c>
      <c r="BC329" s="92">
        <v>7</v>
      </c>
      <c r="BD329" s="92">
        <v>8</v>
      </c>
      <c r="BE329" s="92">
        <v>9</v>
      </c>
      <c r="BF329" s="93">
        <v>0</v>
      </c>
      <c r="BG329" s="93">
        <v>1</v>
      </c>
      <c r="BH329" s="93">
        <v>2</v>
      </c>
      <c r="BI329" s="93">
        <v>3</v>
      </c>
      <c r="BJ329" s="93">
        <v>4</v>
      </c>
      <c r="BK329" s="93">
        <v>5</v>
      </c>
      <c r="BL329" s="93">
        <v>6</v>
      </c>
      <c r="BM329" s="93">
        <v>7</v>
      </c>
      <c r="BN329" s="93">
        <v>8</v>
      </c>
      <c r="BO329" s="93">
        <v>9</v>
      </c>
      <c r="BP329" s="94" t="str">
        <f t="shared" si="249"/>
        <v>对子</v>
      </c>
      <c r="BQ329" s="15">
        <f t="shared" si="246"/>
        <v>0</v>
      </c>
      <c r="BR329" s="15">
        <f t="shared" si="247"/>
        <v>5</v>
      </c>
      <c r="BS329" s="20">
        <f t="shared" si="251"/>
        <v>5</v>
      </c>
      <c r="BT329" s="21">
        <f t="shared" si="252"/>
        <v>5</v>
      </c>
      <c r="BU329" s="21" t="str">
        <f t="array" ref="BU329">_xlfn.TEXTJOIN("",TRUE,IF(ISERROR(FIND(ROW($1:$168)-1,BS329&amp;BT329)),ROW($1:$168)-1,""))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29" s="22" t="str">
        <f t="shared" si="253"/>
        <v>复隔中</v>
      </c>
      <c r="BW329" s="23">
        <f t="shared" si="264"/>
        <v>5</v>
      </c>
      <c r="BX329" s="23">
        <f t="shared" si="262"/>
        <v>5</v>
      </c>
      <c r="BY329" s="23" t="str">
        <f t="array" ref="BY329">_xlfn.TEXTJOIN("",TRUE,IF(ISERROR(FIND(ROW($1:$168)-1,BW329&amp;BX329)),ROW($1:$168)-1,""))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29" s="22" t="str">
        <f t="shared" si="254"/>
        <v>复隔中</v>
      </c>
      <c r="CA329" s="24" t="str">
        <f t="shared" si="255"/>
        <v/>
      </c>
      <c r="CB329" s="24" t="str">
        <f t="shared" si="263"/>
        <v/>
      </c>
      <c r="CC329" s="24" t="str">
        <f t="array" ref="CC329">_xlfn.TEXTJOIN("",TRUE,IF(ISERROR(FIND(ROW($1:$168)-1,CA329&amp;CB329)),ROW($1:$168)-1,""))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29" s="22" t="str">
        <f t="shared" si="256"/>
        <v>中中中</v>
      </c>
      <c r="CE329" s="25" t="str">
        <f t="shared" si="250"/>
        <v>46</v>
      </c>
      <c r="CF329" s="26" t="str">
        <f t="array" ref="CF329">_xlfn.TEXTJOIN("",TRUE,IF(ISNUMBER(FIND(MID(CE328&amp;W328,ROW($1:$162),1),CE329&amp;W329)),MID(CE328&amp;W328,ROW($1:$162),1),""))</f>
        <v>54</v>
      </c>
      <c r="CG329" s="27" t="str">
        <f t="array" ref="CG329">_xlfn.TEXTJOIN("",TRUE,IF(ISERROR(FIND(ROW($1:$168)-1,CE329&amp;CF329)),ROW($1:$168)-1,""))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29" s="28" t="str">
        <f t="shared" si="257"/>
        <v>邻传孤</v>
      </c>
      <c r="CI329" s="29" t="str">
        <f t="shared" si="258"/>
        <v>46</v>
      </c>
      <c r="CJ329" s="29" t="str">
        <f t="array" ref="CJ329">_xlfn.TEXTJOIN("",TRUE,IF(ISNUMBER(FIND(MID(CI328&amp;X328,ROW($1:$162),1),CI329&amp;X329)),MID(CI328&amp;X328,ROW($1:$162),1),""))</f>
        <v/>
      </c>
      <c r="CK329" s="29" t="str">
        <f t="array" ref="CK329">_xlfn.TEXTJOIN("",TRUE,IF(ISERROR(FIND(ROW($1:$168)-1,CI329&amp;CJ329)),ROW($1:$168)-1,""))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29" s="19" t="str">
        <f t="shared" si="259"/>
        <v>邻孤孤</v>
      </c>
      <c r="CM329" s="24" t="str">
        <f t="shared" si="260"/>
        <v>91</v>
      </c>
      <c r="CN329" s="24" t="str">
        <f t="array" ref="CN329">_xlfn.TEXTJOIN("",TRUE,IF(ISNUMBER(FIND(MID(CM328&amp;Y328,ROW($1:$162),1),CM329&amp;Y329)),MID(CM328&amp;Y328,ROW($1:$162),1),""))</f>
        <v/>
      </c>
      <c r="CO329" s="24" t="str">
        <f t="array" ref="CO329">_xlfn.TEXTJOIN("",TRUE,IF(ISERROR(FIND(ROW($1:$168)-1,CM329&amp;CN329)),ROW($1:$168)-1,""))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329" s="30" t="str">
        <f t="shared" si="261"/>
        <v>邻孤孤</v>
      </c>
    </row>
    <row r="330" spans="1:94">
      <c r="A330" s="15">
        <v>330</v>
      </c>
      <c r="B330" s="80">
        <v>2024299</v>
      </c>
      <c r="C330" s="8" t="s">
        <v>307</v>
      </c>
      <c r="D330" s="81">
        <f t="shared" si="272"/>
        <v>22</v>
      </c>
      <c r="E330" s="82">
        <f t="shared" si="273"/>
        <v>2</v>
      </c>
      <c r="F330" s="83">
        <f t="shared" si="270"/>
        <v>4.4</v>
      </c>
      <c r="G330" s="84" t="str">
        <f t="shared" si="271"/>
        <v>紧凑</v>
      </c>
      <c r="H330" s="85" t="s">
        <v>10</v>
      </c>
      <c r="I330" s="85" t="s">
        <v>11</v>
      </c>
      <c r="J330" s="85" t="s">
        <v>12</v>
      </c>
      <c r="K330" s="85" t="s">
        <v>13</v>
      </c>
      <c r="L330" s="86">
        <f>MAX(MID(C330,{1,2,3},1)*1)-MIN(MID(C330,{1,2,3},1)*1)</f>
        <v>5</v>
      </c>
      <c r="M330" s="87">
        <v>0</v>
      </c>
      <c r="N330" s="87">
        <v>1</v>
      </c>
      <c r="O330" s="87">
        <v>2</v>
      </c>
      <c r="P330" s="87">
        <v>3</v>
      </c>
      <c r="Q330" s="87">
        <v>4</v>
      </c>
      <c r="R330" s="87">
        <v>5</v>
      </c>
      <c r="S330" s="87">
        <v>6</v>
      </c>
      <c r="T330" s="87">
        <v>7</v>
      </c>
      <c r="U330" s="87">
        <v>8</v>
      </c>
      <c r="V330" s="87">
        <v>9</v>
      </c>
      <c r="W330" s="88">
        <f t="shared" si="274"/>
        <v>5</v>
      </c>
      <c r="X330" s="88">
        <f t="shared" si="275"/>
        <v>0</v>
      </c>
      <c r="Y330" s="88">
        <f t="shared" si="276"/>
        <v>5</v>
      </c>
      <c r="Z330" s="89">
        <f t="shared" si="248"/>
        <v>10</v>
      </c>
      <c r="AA330" s="17" t="str">
        <f>_xlfn.TEXTJOIN(", ",TRUE,ABS(MID(C330,{1,1,2},1)-MID(C330,{2,3,3},1)))</f>
        <v>5, 0, 5</v>
      </c>
      <c r="AB330" s="90">
        <v>0</v>
      </c>
      <c r="AC330" s="90">
        <v>1</v>
      </c>
      <c r="AD330" s="90">
        <v>2</v>
      </c>
      <c r="AE330" s="90">
        <v>3</v>
      </c>
      <c r="AF330" s="90">
        <v>4</v>
      </c>
      <c r="AG330" s="90">
        <v>5</v>
      </c>
      <c r="AH330" s="90">
        <v>6</v>
      </c>
      <c r="AI330" s="90">
        <v>7</v>
      </c>
      <c r="AJ330" s="90">
        <v>8</v>
      </c>
      <c r="AK330" s="90">
        <v>9</v>
      </c>
      <c r="AL330" s="91">
        <v>0</v>
      </c>
      <c r="AM330" s="91">
        <v>1</v>
      </c>
      <c r="AN330" s="91">
        <v>2</v>
      </c>
      <c r="AO330" s="91">
        <v>3</v>
      </c>
      <c r="AP330" s="91">
        <v>4</v>
      </c>
      <c r="AQ330" s="91">
        <v>5</v>
      </c>
      <c r="AR330" s="91">
        <v>6</v>
      </c>
      <c r="AS330" s="91">
        <v>7</v>
      </c>
      <c r="AT330" s="91">
        <v>8</v>
      </c>
      <c r="AU330" s="91">
        <v>9</v>
      </c>
      <c r="AV330" s="92">
        <v>0</v>
      </c>
      <c r="AW330" s="92">
        <v>1</v>
      </c>
      <c r="AX330" s="92">
        <v>2</v>
      </c>
      <c r="AY330" s="92">
        <v>3</v>
      </c>
      <c r="AZ330" s="92">
        <v>4</v>
      </c>
      <c r="BA330" s="92">
        <v>5</v>
      </c>
      <c r="BB330" s="92">
        <v>6</v>
      </c>
      <c r="BC330" s="92">
        <v>7</v>
      </c>
      <c r="BD330" s="92">
        <v>8</v>
      </c>
      <c r="BE330" s="92">
        <v>9</v>
      </c>
      <c r="BF330" s="93">
        <v>0</v>
      </c>
      <c r="BG330" s="93">
        <v>1</v>
      </c>
      <c r="BH330" s="93">
        <v>2</v>
      </c>
      <c r="BI330" s="93">
        <v>3</v>
      </c>
      <c r="BJ330" s="93">
        <v>4</v>
      </c>
      <c r="BK330" s="93">
        <v>5</v>
      </c>
      <c r="BL330" s="93">
        <v>6</v>
      </c>
      <c r="BM330" s="93">
        <v>7</v>
      </c>
      <c r="BN330" s="93">
        <v>8</v>
      </c>
      <c r="BO330" s="93">
        <v>9</v>
      </c>
      <c r="BP330" s="94" t="str">
        <f t="shared" si="249"/>
        <v>对子</v>
      </c>
      <c r="BQ330" s="15">
        <f t="shared" si="246"/>
        <v>0</v>
      </c>
      <c r="BR330" s="15">
        <f t="shared" si="247"/>
        <v>5</v>
      </c>
      <c r="BS330" s="20">
        <f t="shared" si="251"/>
        <v>5</v>
      </c>
      <c r="BT330" s="21">
        <f t="shared" si="252"/>
        <v>5</v>
      </c>
      <c r="BU330" s="21" t="str">
        <f t="array" ref="BU330">_xlfn.TEXTJOIN("",TRUE,IF(ISERROR(FIND(ROW($1:$168)-1,BS330&amp;BT330)),ROW($1:$168)-1,""))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30" s="22" t="str">
        <f t="shared" si="253"/>
        <v>复隔中</v>
      </c>
      <c r="BW330" s="23">
        <f t="shared" si="264"/>
        <v>0</v>
      </c>
      <c r="BX330" s="23" t="str">
        <f t="shared" si="262"/>
        <v/>
      </c>
      <c r="BY330" s="23" t="str">
        <f t="array" ref="BY330">_xlfn.TEXTJOIN("",TRUE,IF(ISERROR(FIND(ROW($1:$168)-1,BW330&amp;BX330)),ROW($1:$168)-1,""))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30" s="22" t="str">
        <f t="shared" si="254"/>
        <v>复中中</v>
      </c>
      <c r="CA330" s="24">
        <f t="shared" si="255"/>
        <v>5</v>
      </c>
      <c r="CB330" s="24">
        <f t="shared" si="263"/>
        <v>5</v>
      </c>
      <c r="CC330" s="24" t="str">
        <f t="array" ref="CC330">_xlfn.TEXTJOIN("",TRUE,IF(ISERROR(FIND(ROW($1:$168)-1,CA330&amp;CB330)),ROW($1:$168)-1,""))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30" s="22" t="str">
        <f t="shared" si="256"/>
        <v>复隔中</v>
      </c>
      <c r="CE330" s="25" t="str">
        <f t="shared" si="250"/>
        <v>46</v>
      </c>
      <c r="CF330" s="26" t="str">
        <f t="array" ref="CF330">_xlfn.TEXTJOIN("",TRUE,IF(ISNUMBER(FIND(MID(CE329&amp;W329,ROW($1:$162),1),CE330&amp;W330)),MID(CE329&amp;W329,ROW($1:$162),1),""))</f>
        <v>465</v>
      </c>
      <c r="CG330" s="27" t="str">
        <f t="array" ref="CG330">_xlfn.TEXTJOIN("",TRUE,IF(ISERROR(FIND(ROW($1:$168)-1,CE330&amp;CF330)),ROW($1:$168)-1,""))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30" s="28" t="str">
        <f t="shared" si="257"/>
        <v>邻传孤</v>
      </c>
      <c r="CI330" s="29" t="str">
        <f t="shared" si="258"/>
        <v>91</v>
      </c>
      <c r="CJ330" s="29" t="str">
        <f t="array" ref="CJ330">_xlfn.TEXTJOIN("",TRUE,IF(ISNUMBER(FIND(MID(CI329&amp;X329,ROW($1:$162),1),CI330&amp;X330)),MID(CI329&amp;X329,ROW($1:$162),1),""))</f>
        <v/>
      </c>
      <c r="CK330" s="29" t="str">
        <f t="array" ref="CK330">_xlfn.TEXTJOIN("",TRUE,IF(ISERROR(FIND(ROW($1:$168)-1,CI330&amp;CJ330)),ROW($1:$168)-1,""))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330" s="19" t="str">
        <f t="shared" si="259"/>
        <v>邻孤孤</v>
      </c>
      <c r="CM330" s="24" t="str">
        <f t="shared" si="260"/>
        <v>46</v>
      </c>
      <c r="CN330" s="24" t="str">
        <f t="array" ref="CN330">_xlfn.TEXTJOIN("",TRUE,IF(ISNUMBER(FIND(MID(CM329&amp;Y329,ROW($1:$162),1),CM330&amp;Y330)),MID(CM329&amp;Y329,ROW($1:$162),1),""))</f>
        <v/>
      </c>
      <c r="CO330" s="24" t="str">
        <f t="array" ref="CO330">_xlfn.TEXTJOIN("",TRUE,IF(ISERROR(FIND(ROW($1:$168)-1,CM330&amp;CN330)),ROW($1:$168)-1,""))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30" s="30" t="str">
        <f t="shared" si="261"/>
        <v>邻孤孤</v>
      </c>
    </row>
    <row r="331" spans="1:94">
      <c r="A331" s="15">
        <v>331</v>
      </c>
      <c r="B331" s="80">
        <v>2024300</v>
      </c>
      <c r="C331" s="8" t="s">
        <v>308</v>
      </c>
      <c r="D331" s="81">
        <f t="shared" si="272"/>
        <v>18</v>
      </c>
      <c r="E331" s="82">
        <f t="shared" si="273"/>
        <v>8</v>
      </c>
      <c r="F331" s="83">
        <f t="shared" si="270"/>
        <v>0.1</v>
      </c>
      <c r="G331" s="84" t="str">
        <f t="shared" si="271"/>
        <v>极紧凑</v>
      </c>
      <c r="H331" s="85" t="s">
        <v>10</v>
      </c>
      <c r="I331" s="85" t="s">
        <v>11</v>
      </c>
      <c r="J331" s="85" t="s">
        <v>12</v>
      </c>
      <c r="K331" s="85" t="s">
        <v>13</v>
      </c>
      <c r="L331" s="86">
        <f>MAX(MID(C331,{1,2,3},1)*1)-MIN(MID(C331,{1,2,3},1)*1)</f>
        <v>0</v>
      </c>
      <c r="M331" s="87">
        <v>0</v>
      </c>
      <c r="N331" s="87">
        <v>1</v>
      </c>
      <c r="O331" s="87">
        <v>2</v>
      </c>
      <c r="P331" s="87">
        <v>3</v>
      </c>
      <c r="Q331" s="87">
        <v>4</v>
      </c>
      <c r="R331" s="87">
        <v>5</v>
      </c>
      <c r="S331" s="87">
        <v>6</v>
      </c>
      <c r="T331" s="87">
        <v>7</v>
      </c>
      <c r="U331" s="87">
        <v>8</v>
      </c>
      <c r="V331" s="87">
        <v>9</v>
      </c>
      <c r="W331" s="88">
        <f t="shared" si="274"/>
        <v>0</v>
      </c>
      <c r="X331" s="88">
        <f t="shared" si="275"/>
        <v>0</v>
      </c>
      <c r="Y331" s="88">
        <f t="shared" si="276"/>
        <v>0</v>
      </c>
      <c r="Z331" s="89">
        <f t="shared" si="248"/>
        <v>0</v>
      </c>
      <c r="AA331" s="17" t="str">
        <f>_xlfn.TEXTJOIN(", ",TRUE,ABS(MID(C331,{1,1,2},1)-MID(C331,{2,3,3},1)))</f>
        <v>0, 0, 0</v>
      </c>
      <c r="AB331" s="90">
        <v>0</v>
      </c>
      <c r="AC331" s="90">
        <v>1</v>
      </c>
      <c r="AD331" s="90">
        <v>2</v>
      </c>
      <c r="AE331" s="90">
        <v>3</v>
      </c>
      <c r="AF331" s="90">
        <v>4</v>
      </c>
      <c r="AG331" s="90">
        <v>5</v>
      </c>
      <c r="AH331" s="90">
        <v>6</v>
      </c>
      <c r="AI331" s="90">
        <v>7</v>
      </c>
      <c r="AJ331" s="90">
        <v>8</v>
      </c>
      <c r="AK331" s="90">
        <v>9</v>
      </c>
      <c r="AL331" s="91">
        <v>0</v>
      </c>
      <c r="AM331" s="91">
        <v>1</v>
      </c>
      <c r="AN331" s="91">
        <v>2</v>
      </c>
      <c r="AO331" s="91">
        <v>3</v>
      </c>
      <c r="AP331" s="91">
        <v>4</v>
      </c>
      <c r="AQ331" s="91">
        <v>5</v>
      </c>
      <c r="AR331" s="91">
        <v>6</v>
      </c>
      <c r="AS331" s="91">
        <v>7</v>
      </c>
      <c r="AT331" s="91">
        <v>8</v>
      </c>
      <c r="AU331" s="91">
        <v>9</v>
      </c>
      <c r="AV331" s="92">
        <v>0</v>
      </c>
      <c r="AW331" s="92">
        <v>1</v>
      </c>
      <c r="AX331" s="92">
        <v>2</v>
      </c>
      <c r="AY331" s="92">
        <v>3</v>
      </c>
      <c r="AZ331" s="92">
        <v>4</v>
      </c>
      <c r="BA331" s="92">
        <v>5</v>
      </c>
      <c r="BB331" s="92">
        <v>6</v>
      </c>
      <c r="BC331" s="92">
        <v>7</v>
      </c>
      <c r="BD331" s="92">
        <v>8</v>
      </c>
      <c r="BE331" s="92">
        <v>9</v>
      </c>
      <c r="BF331" s="93">
        <v>0</v>
      </c>
      <c r="BG331" s="93">
        <v>1</v>
      </c>
      <c r="BH331" s="93">
        <v>2</v>
      </c>
      <c r="BI331" s="93">
        <v>3</v>
      </c>
      <c r="BJ331" s="93">
        <v>4</v>
      </c>
      <c r="BK331" s="93">
        <v>5</v>
      </c>
      <c r="BL331" s="93">
        <v>6</v>
      </c>
      <c r="BM331" s="93">
        <v>7</v>
      </c>
      <c r="BN331" s="93">
        <v>8</v>
      </c>
      <c r="BO331" s="93">
        <v>9</v>
      </c>
      <c r="BP331" s="94" t="str">
        <f t="shared" si="249"/>
        <v>紧凑型</v>
      </c>
      <c r="BQ331" s="15">
        <f t="shared" si="246"/>
        <v>0</v>
      </c>
      <c r="BR331" s="15">
        <f t="shared" si="247"/>
        <v>0</v>
      </c>
      <c r="BS331" s="20">
        <f t="shared" si="251"/>
        <v>0</v>
      </c>
      <c r="BT331" s="21">
        <f t="shared" si="252"/>
        <v>0</v>
      </c>
      <c r="BU331" s="21" t="str">
        <f t="array" ref="BU331">_xlfn.TEXTJOIN("",TRUE,IF(ISERROR(FIND(ROW($1:$168)-1,BS331&amp;BT331)),ROW($1:$168)-1,""))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31" s="22" t="str">
        <f t="shared" si="253"/>
        <v>复隔中</v>
      </c>
      <c r="BW331" s="23">
        <f t="shared" si="264"/>
        <v>0</v>
      </c>
      <c r="BX331" s="23">
        <f t="shared" si="262"/>
        <v>0</v>
      </c>
      <c r="BY331" s="23" t="str">
        <f t="array" ref="BY331">_xlfn.TEXTJOIN("",TRUE,IF(ISERROR(FIND(ROW($1:$168)-1,BW331&amp;BX331)),ROW($1:$168)-1,""))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31" s="22" t="str">
        <f t="shared" si="254"/>
        <v>复隔中</v>
      </c>
      <c r="CA331" s="24">
        <f t="shared" si="255"/>
        <v>0</v>
      </c>
      <c r="CB331" s="24">
        <f t="shared" si="263"/>
        <v>0</v>
      </c>
      <c r="CC331" s="24" t="str">
        <f t="array" ref="CC331">_xlfn.TEXTJOIN("",TRUE,IF(ISERROR(FIND(ROW($1:$168)-1,CA331&amp;CB331)),ROW($1:$168)-1,""))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31" s="22" t="str">
        <f t="shared" si="256"/>
        <v>复隔中</v>
      </c>
      <c r="CE331" s="25" t="str">
        <f t="shared" si="250"/>
        <v>91</v>
      </c>
      <c r="CF331" s="26" t="str">
        <f t="array" ref="CF331">_xlfn.TEXTJOIN("",TRUE,IF(ISNUMBER(FIND(MID(CE330&amp;W330,ROW($1:$162),1),CE331&amp;W331)),MID(CE330&amp;W330,ROW($1:$162),1),""))</f>
        <v/>
      </c>
      <c r="CG331" s="27" t="str">
        <f t="array" ref="CG331">_xlfn.TEXTJOIN("",TRUE,IF(ISERROR(FIND(ROW($1:$168)-1,CE331&amp;CF331)),ROW($1:$168)-1,""))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331" s="28" t="str">
        <f t="shared" si="257"/>
        <v>邻孤孤</v>
      </c>
      <c r="CI331" s="29" t="str">
        <f t="shared" si="258"/>
        <v>91</v>
      </c>
      <c r="CJ331" s="29" t="str">
        <f t="array" ref="CJ331">_xlfn.TEXTJOIN("",TRUE,IF(ISNUMBER(FIND(MID(CI330&amp;X330,ROW($1:$162),1),CI331&amp;X331)),MID(CI330&amp;X330,ROW($1:$162),1),""))</f>
        <v>910</v>
      </c>
      <c r="CK331" s="29" t="str">
        <f t="array" ref="CK331">_xlfn.TEXTJOIN("",TRUE,IF(ISERROR(FIND(ROW($1:$168)-1,CI331&amp;CJ331)),ROW($1:$168)-1,""))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331" s="19" t="str">
        <f t="shared" si="259"/>
        <v>邻传孤</v>
      </c>
      <c r="CM331" s="24" t="str">
        <f t="shared" si="260"/>
        <v>91</v>
      </c>
      <c r="CN331" s="24" t="str">
        <f t="array" ref="CN331">_xlfn.TEXTJOIN("",TRUE,IF(ISNUMBER(FIND(MID(CM330&amp;Y330,ROW($1:$162),1),CM331&amp;Y331)),MID(CM330&amp;Y330,ROW($1:$162),1),""))</f>
        <v/>
      </c>
      <c r="CO331" s="24" t="str">
        <f t="array" ref="CO331">_xlfn.TEXTJOIN("",TRUE,IF(ISERROR(FIND(ROW($1:$168)-1,CM331&amp;CN331)),ROW($1:$168)-1,""))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331" s="30" t="str">
        <f t="shared" si="261"/>
        <v>邻孤孤</v>
      </c>
    </row>
    <row r="332" spans="1:94">
      <c r="A332" s="15">
        <v>332</v>
      </c>
      <c r="B332" s="80">
        <v>2024301</v>
      </c>
      <c r="C332" s="8" t="s">
        <v>309</v>
      </c>
      <c r="D332" s="81">
        <f t="shared" si="272"/>
        <v>12</v>
      </c>
      <c r="E332" s="82">
        <f t="shared" si="273"/>
        <v>2</v>
      </c>
      <c r="F332" s="83">
        <f t="shared" si="270"/>
        <v>6</v>
      </c>
      <c r="G332" s="84" t="str">
        <f t="shared" si="271"/>
        <v>紧凑</v>
      </c>
      <c r="H332" s="85" t="s">
        <v>10</v>
      </c>
      <c r="I332" s="85" t="s">
        <v>11</v>
      </c>
      <c r="J332" s="85" t="s">
        <v>12</v>
      </c>
      <c r="K332" s="85" t="s">
        <v>13</v>
      </c>
      <c r="L332" s="86">
        <f>MAX(MID(C332,{1,2,3},1)*1)-MIN(MID(C332,{1,2,3},1)*1)</f>
        <v>2</v>
      </c>
      <c r="M332" s="87">
        <v>0</v>
      </c>
      <c r="N332" s="87">
        <v>1</v>
      </c>
      <c r="O332" s="87">
        <v>2</v>
      </c>
      <c r="P332" s="87">
        <v>3</v>
      </c>
      <c r="Q332" s="87">
        <v>4</v>
      </c>
      <c r="R332" s="87">
        <v>5</v>
      </c>
      <c r="S332" s="87">
        <v>6</v>
      </c>
      <c r="T332" s="87">
        <v>7</v>
      </c>
      <c r="U332" s="87">
        <v>8</v>
      </c>
      <c r="V332" s="87">
        <v>9</v>
      </c>
      <c r="W332" s="88">
        <f t="shared" si="274"/>
        <v>1</v>
      </c>
      <c r="X332" s="88">
        <f t="shared" si="275"/>
        <v>1</v>
      </c>
      <c r="Y332" s="88">
        <f t="shared" si="276"/>
        <v>2</v>
      </c>
      <c r="Z332" s="89">
        <f t="shared" si="248"/>
        <v>4</v>
      </c>
      <c r="AA332" s="17" t="str">
        <f>_xlfn.TEXTJOIN(", ",TRUE,ABS(MID(C332,{1,1,2},1)-MID(C332,{2,3,3},1)))</f>
        <v>1, 1, 2</v>
      </c>
      <c r="AB332" s="90">
        <v>0</v>
      </c>
      <c r="AC332" s="90">
        <v>1</v>
      </c>
      <c r="AD332" s="90">
        <v>2</v>
      </c>
      <c r="AE332" s="90">
        <v>3</v>
      </c>
      <c r="AF332" s="90">
        <v>4</v>
      </c>
      <c r="AG332" s="90">
        <v>5</v>
      </c>
      <c r="AH332" s="90">
        <v>6</v>
      </c>
      <c r="AI332" s="90">
        <v>7</v>
      </c>
      <c r="AJ332" s="90">
        <v>8</v>
      </c>
      <c r="AK332" s="90">
        <v>9</v>
      </c>
      <c r="AL332" s="91">
        <v>0</v>
      </c>
      <c r="AM332" s="91">
        <v>1</v>
      </c>
      <c r="AN332" s="91">
        <v>2</v>
      </c>
      <c r="AO332" s="91">
        <v>3</v>
      </c>
      <c r="AP332" s="91">
        <v>4</v>
      </c>
      <c r="AQ332" s="91">
        <v>5</v>
      </c>
      <c r="AR332" s="91">
        <v>6</v>
      </c>
      <c r="AS332" s="91">
        <v>7</v>
      </c>
      <c r="AT332" s="91">
        <v>8</v>
      </c>
      <c r="AU332" s="91">
        <v>9</v>
      </c>
      <c r="AV332" s="92">
        <v>0</v>
      </c>
      <c r="AW332" s="92">
        <v>1</v>
      </c>
      <c r="AX332" s="92">
        <v>2</v>
      </c>
      <c r="AY332" s="92">
        <v>3</v>
      </c>
      <c r="AZ332" s="92">
        <v>4</v>
      </c>
      <c r="BA332" s="92">
        <v>5</v>
      </c>
      <c r="BB332" s="92">
        <v>6</v>
      </c>
      <c r="BC332" s="92">
        <v>7</v>
      </c>
      <c r="BD332" s="92">
        <v>8</v>
      </c>
      <c r="BE332" s="92">
        <v>9</v>
      </c>
      <c r="BF332" s="93">
        <v>0</v>
      </c>
      <c r="BG332" s="93">
        <v>1</v>
      </c>
      <c r="BH332" s="93">
        <v>2</v>
      </c>
      <c r="BI332" s="93">
        <v>3</v>
      </c>
      <c r="BJ332" s="93">
        <v>4</v>
      </c>
      <c r="BK332" s="93">
        <v>5</v>
      </c>
      <c r="BL332" s="93">
        <v>6</v>
      </c>
      <c r="BM332" s="93">
        <v>7</v>
      </c>
      <c r="BN332" s="93">
        <v>8</v>
      </c>
      <c r="BO332" s="93">
        <v>9</v>
      </c>
      <c r="BP332" s="94" t="str">
        <f t="shared" si="249"/>
        <v>紧凑型</v>
      </c>
      <c r="BQ332" s="15">
        <f t="shared" si="246"/>
        <v>1</v>
      </c>
      <c r="BR332" s="15">
        <f t="shared" si="247"/>
        <v>2</v>
      </c>
      <c r="BS332" s="20" t="str">
        <f t="shared" si="251"/>
        <v/>
      </c>
      <c r="BT332" s="21" t="str">
        <f t="shared" si="252"/>
        <v/>
      </c>
      <c r="BU332" s="21" t="str">
        <f t="array" ref="BU332">_xlfn.TEXTJOIN("",TRUE,IF(ISERROR(FIND(ROW($1:$168)-1,BS332&amp;BT332)),ROW($1:$168)-1,""))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32" s="22" t="str">
        <f t="shared" si="253"/>
        <v>中中中</v>
      </c>
      <c r="BW332" s="23" t="str">
        <f t="shared" si="264"/>
        <v/>
      </c>
      <c r="BX332" s="23" t="str">
        <f t="shared" si="262"/>
        <v/>
      </c>
      <c r="BY332" s="23" t="str">
        <f t="array" ref="BY332">_xlfn.TEXTJOIN("",TRUE,IF(ISERROR(FIND(ROW($1:$168)-1,BW332&amp;BX332)),ROW($1:$168)-1,""))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32" s="22" t="str">
        <f t="shared" si="254"/>
        <v>中中中</v>
      </c>
      <c r="CA332" s="24" t="str">
        <f t="shared" si="255"/>
        <v/>
      </c>
      <c r="CB332" s="24" t="str">
        <f t="shared" si="263"/>
        <v/>
      </c>
      <c r="CC332" s="24" t="str">
        <f t="array" ref="CC332">_xlfn.TEXTJOIN("",TRUE,IF(ISERROR(FIND(ROW($1:$168)-1,CA332&amp;CB332)),ROW($1:$168)-1,""))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32" s="22" t="str">
        <f t="shared" si="256"/>
        <v>中中中</v>
      </c>
      <c r="CE332" s="25" t="str">
        <f t="shared" si="250"/>
        <v>02</v>
      </c>
      <c r="CF332" s="26" t="str">
        <f t="array" ref="CF332">_xlfn.TEXTJOIN("",TRUE,IF(ISNUMBER(FIND(MID(CE331&amp;W331,ROW($1:$162),1),CE332&amp;W332)),MID(CE331&amp;W331,ROW($1:$162),1),""))</f>
        <v>10</v>
      </c>
      <c r="CG332" s="27" t="str">
        <f t="array" ref="CG332">_xlfn.TEXTJOIN("",TRUE,IF(ISERROR(FIND(ROW($1:$168)-1,CE332&amp;CF332)),ROW($1:$168)-1,""))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32" s="28" t="str">
        <f t="shared" si="257"/>
        <v>邻传孤</v>
      </c>
      <c r="CI332" s="29" t="str">
        <f t="shared" si="258"/>
        <v>02</v>
      </c>
      <c r="CJ332" s="29" t="str">
        <f t="array" ref="CJ332">_xlfn.TEXTJOIN("",TRUE,IF(ISNUMBER(FIND(MID(CI331&amp;X331,ROW($1:$162),1),CI332&amp;X332)),MID(CI331&amp;X331,ROW($1:$162),1),""))</f>
        <v>10</v>
      </c>
      <c r="CK332" s="29" t="str">
        <f t="array" ref="CK332">_xlfn.TEXTJOIN("",TRUE,IF(ISERROR(FIND(ROW($1:$168)-1,CI332&amp;CJ332)),ROW($1:$168)-1,""))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32" s="19" t="str">
        <f t="shared" si="259"/>
        <v>邻传孤</v>
      </c>
      <c r="CM332" s="24" t="str">
        <f t="shared" si="260"/>
        <v>13</v>
      </c>
      <c r="CN332" s="24" t="str">
        <f t="array" ref="CN332">_xlfn.TEXTJOIN("",TRUE,IF(ISNUMBER(FIND(MID(CM331&amp;Y331,ROW($1:$162),1),CM332&amp;Y332)),MID(CM331&amp;Y331,ROW($1:$162),1),""))</f>
        <v>1</v>
      </c>
      <c r="CO332" s="24" t="str">
        <f t="array" ref="CO332">_xlfn.TEXTJOIN("",TRUE,IF(ISERROR(FIND(ROW($1:$168)-1,CM332&amp;CN332)),ROW($1:$168)-1,""))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P332" s="30" t="str">
        <f t="shared" si="261"/>
        <v>邻传孤</v>
      </c>
    </row>
    <row r="333" spans="1:94">
      <c r="A333" s="15">
        <v>333</v>
      </c>
      <c r="B333" s="80">
        <v>2024302</v>
      </c>
      <c r="C333" s="8" t="s">
        <v>310</v>
      </c>
      <c r="D333" s="81">
        <f t="shared" si="272"/>
        <v>12</v>
      </c>
      <c r="E333" s="82">
        <f t="shared" si="273"/>
        <v>2</v>
      </c>
      <c r="F333" s="83">
        <f t="shared" si="270"/>
        <v>2.4</v>
      </c>
      <c r="G333" s="84" t="str">
        <f t="shared" si="271"/>
        <v>标准</v>
      </c>
      <c r="H333" s="85" t="s">
        <v>10</v>
      </c>
      <c r="I333" s="85" t="s">
        <v>11</v>
      </c>
      <c r="J333" s="85" t="s">
        <v>12</v>
      </c>
      <c r="K333" s="85" t="s">
        <v>13</v>
      </c>
      <c r="L333" s="86">
        <f>MAX(MID(C333,{1,2,3},1)*1)-MIN(MID(C333,{1,2,3},1)*1)</f>
        <v>5</v>
      </c>
      <c r="M333" s="87">
        <v>0</v>
      </c>
      <c r="N333" s="87">
        <v>1</v>
      </c>
      <c r="O333" s="87">
        <v>2</v>
      </c>
      <c r="P333" s="87">
        <v>3</v>
      </c>
      <c r="Q333" s="87">
        <v>4</v>
      </c>
      <c r="R333" s="87">
        <v>5</v>
      </c>
      <c r="S333" s="87">
        <v>6</v>
      </c>
      <c r="T333" s="87">
        <v>7</v>
      </c>
      <c r="U333" s="87">
        <v>8</v>
      </c>
      <c r="V333" s="87">
        <v>9</v>
      </c>
      <c r="W333" s="88">
        <f t="shared" si="274"/>
        <v>4</v>
      </c>
      <c r="X333" s="88">
        <f t="shared" si="275"/>
        <v>1</v>
      </c>
      <c r="Y333" s="88">
        <f t="shared" si="276"/>
        <v>5</v>
      </c>
      <c r="Z333" s="89">
        <f t="shared" si="248"/>
        <v>10</v>
      </c>
      <c r="AA333" s="17" t="str">
        <f>_xlfn.TEXTJOIN(", ",TRUE,ABS(MID(C333,{1,1,2},1)-MID(C333,{2,3,3},1)))</f>
        <v>4, 1, 5</v>
      </c>
      <c r="AB333" s="90">
        <v>0</v>
      </c>
      <c r="AC333" s="90">
        <v>1</v>
      </c>
      <c r="AD333" s="90">
        <v>2</v>
      </c>
      <c r="AE333" s="90">
        <v>3</v>
      </c>
      <c r="AF333" s="90">
        <v>4</v>
      </c>
      <c r="AG333" s="90">
        <v>5</v>
      </c>
      <c r="AH333" s="90">
        <v>6</v>
      </c>
      <c r="AI333" s="90">
        <v>7</v>
      </c>
      <c r="AJ333" s="90">
        <v>8</v>
      </c>
      <c r="AK333" s="90">
        <v>9</v>
      </c>
      <c r="AL333" s="91">
        <v>0</v>
      </c>
      <c r="AM333" s="91">
        <v>1</v>
      </c>
      <c r="AN333" s="91">
        <v>2</v>
      </c>
      <c r="AO333" s="91">
        <v>3</v>
      </c>
      <c r="AP333" s="91">
        <v>4</v>
      </c>
      <c r="AQ333" s="91">
        <v>5</v>
      </c>
      <c r="AR333" s="91">
        <v>6</v>
      </c>
      <c r="AS333" s="91">
        <v>7</v>
      </c>
      <c r="AT333" s="91">
        <v>8</v>
      </c>
      <c r="AU333" s="91">
        <v>9</v>
      </c>
      <c r="AV333" s="92">
        <v>0</v>
      </c>
      <c r="AW333" s="92">
        <v>1</v>
      </c>
      <c r="AX333" s="92">
        <v>2</v>
      </c>
      <c r="AY333" s="92">
        <v>3</v>
      </c>
      <c r="AZ333" s="92">
        <v>4</v>
      </c>
      <c r="BA333" s="92">
        <v>5</v>
      </c>
      <c r="BB333" s="92">
        <v>6</v>
      </c>
      <c r="BC333" s="92">
        <v>7</v>
      </c>
      <c r="BD333" s="92">
        <v>8</v>
      </c>
      <c r="BE333" s="92">
        <v>9</v>
      </c>
      <c r="BF333" s="93">
        <v>0</v>
      </c>
      <c r="BG333" s="93">
        <v>1</v>
      </c>
      <c r="BH333" s="93">
        <v>2</v>
      </c>
      <c r="BI333" s="93">
        <v>3</v>
      </c>
      <c r="BJ333" s="93">
        <v>4</v>
      </c>
      <c r="BK333" s="93">
        <v>5</v>
      </c>
      <c r="BL333" s="93">
        <v>6</v>
      </c>
      <c r="BM333" s="93">
        <v>7</v>
      </c>
      <c r="BN333" s="93">
        <v>8</v>
      </c>
      <c r="BO333" s="93">
        <v>9</v>
      </c>
      <c r="BP333" s="94" t="str">
        <f t="shared" si="249"/>
        <v>标准型</v>
      </c>
      <c r="BQ333" s="15">
        <f t="shared" si="246"/>
        <v>1</v>
      </c>
      <c r="BR333" s="15">
        <f t="shared" si="247"/>
        <v>5</v>
      </c>
      <c r="BS333" s="20" t="str">
        <f t="shared" si="251"/>
        <v/>
      </c>
      <c r="BT333" s="21" t="str">
        <f t="shared" si="252"/>
        <v/>
      </c>
      <c r="BU333" s="21" t="str">
        <f t="array" ref="BU333">_xlfn.TEXTJOIN("",TRUE,IF(ISERROR(FIND(ROW($1:$168)-1,BS333&amp;BT333)),ROW($1:$168)-1,""))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33" s="22" t="str">
        <f t="shared" si="253"/>
        <v>中中中</v>
      </c>
      <c r="BW333" s="23">
        <f t="shared" si="264"/>
        <v>1</v>
      </c>
      <c r="BX333" s="23" t="str">
        <f t="shared" si="262"/>
        <v/>
      </c>
      <c r="BY333" s="23" t="str">
        <f t="array" ref="BY333">_xlfn.TEXTJOIN("",TRUE,IF(ISERROR(FIND(ROW($1:$168)-1,BW333&amp;BX333)),ROW($1:$168)-1,""))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33" s="22" t="str">
        <f t="shared" si="254"/>
        <v>复中中</v>
      </c>
      <c r="CA333" s="24" t="str">
        <f t="shared" si="255"/>
        <v/>
      </c>
      <c r="CB333" s="24" t="str">
        <f t="shared" si="263"/>
        <v/>
      </c>
      <c r="CC333" s="24" t="str">
        <f t="array" ref="CC333">_xlfn.TEXTJOIN("",TRUE,IF(ISERROR(FIND(ROW($1:$168)-1,CA333&amp;CB333)),ROW($1:$168)-1,""))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33" s="22" t="str">
        <f t="shared" si="256"/>
        <v>中中中</v>
      </c>
      <c r="CE333" s="25" t="str">
        <f t="shared" si="250"/>
        <v>35</v>
      </c>
      <c r="CF333" s="26" t="str">
        <f t="array" ref="CF333">_xlfn.TEXTJOIN("",TRUE,IF(ISNUMBER(FIND(MID(CE332&amp;W332,ROW($1:$162),1),CE333&amp;W333)),MID(CE332&amp;W332,ROW($1:$162),1),""))</f>
        <v/>
      </c>
      <c r="CG333" s="27" t="str">
        <f t="array" ref="CG333">_xlfn.TEXTJOIN("",TRUE,IF(ISERROR(FIND(ROW($1:$168)-1,CE333&amp;CF333)),ROW($1:$168)-1,""))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33" s="28" t="str">
        <f t="shared" si="257"/>
        <v>邻孤孤</v>
      </c>
      <c r="CI333" s="29" t="str">
        <f t="shared" si="258"/>
        <v>02</v>
      </c>
      <c r="CJ333" s="29" t="str">
        <f t="array" ref="CJ333">_xlfn.TEXTJOIN("",TRUE,IF(ISNUMBER(FIND(MID(CI332&amp;X332,ROW($1:$162),1),CI333&amp;X333)),MID(CI332&amp;X332,ROW($1:$162),1),""))</f>
        <v>021</v>
      </c>
      <c r="CK333" s="29" t="str">
        <f t="array" ref="CK333">_xlfn.TEXTJOIN("",TRUE,IF(ISERROR(FIND(ROW($1:$168)-1,CI333&amp;CJ333)),ROW($1:$168)-1,""))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33" s="19" t="str">
        <f t="shared" si="259"/>
        <v>邻传孤</v>
      </c>
      <c r="CM333" s="24" t="str">
        <f t="shared" si="260"/>
        <v>46</v>
      </c>
      <c r="CN333" s="24" t="str">
        <f t="array" ref="CN333">_xlfn.TEXTJOIN("",TRUE,IF(ISNUMBER(FIND(MID(CM332&amp;Y332,ROW($1:$162),1),CM333&amp;Y333)),MID(CM332&amp;Y332,ROW($1:$162),1),""))</f>
        <v/>
      </c>
      <c r="CO333" s="24" t="str">
        <f t="array" ref="CO333">_xlfn.TEXTJOIN("",TRUE,IF(ISERROR(FIND(ROW($1:$168)-1,CM333&amp;CN333)),ROW($1:$168)-1,""))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33" s="30" t="str">
        <f t="shared" si="261"/>
        <v>邻孤孤</v>
      </c>
    </row>
    <row r="334" spans="1:94">
      <c r="A334" s="15">
        <v>334</v>
      </c>
      <c r="B334" s="80">
        <v>2024303</v>
      </c>
      <c r="C334" s="8" t="s">
        <v>130</v>
      </c>
      <c r="D334" s="81">
        <f t="shared" si="272"/>
        <v>12</v>
      </c>
      <c r="E334" s="82">
        <f t="shared" si="273"/>
        <v>2</v>
      </c>
      <c r="F334" s="83">
        <f t="shared" si="270"/>
        <v>4</v>
      </c>
      <c r="G334" s="84" t="str">
        <f t="shared" si="271"/>
        <v>紧凑</v>
      </c>
      <c r="H334" s="85" t="s">
        <v>10</v>
      </c>
      <c r="I334" s="85" t="s">
        <v>11</v>
      </c>
      <c r="J334" s="85" t="s">
        <v>12</v>
      </c>
      <c r="K334" s="85" t="s">
        <v>13</v>
      </c>
      <c r="L334" s="86">
        <f>MAX(MID(C334,{1,2,3},1)*1)-MIN(MID(C334,{1,2,3},1)*1)</f>
        <v>3</v>
      </c>
      <c r="M334" s="87">
        <v>0</v>
      </c>
      <c r="N334" s="87">
        <v>1</v>
      </c>
      <c r="O334" s="87">
        <v>2</v>
      </c>
      <c r="P334" s="87">
        <v>3</v>
      </c>
      <c r="Q334" s="87">
        <v>4</v>
      </c>
      <c r="R334" s="87">
        <v>5</v>
      </c>
      <c r="S334" s="87">
        <v>6</v>
      </c>
      <c r="T334" s="87">
        <v>7</v>
      </c>
      <c r="U334" s="87">
        <v>8</v>
      </c>
      <c r="V334" s="87">
        <v>9</v>
      </c>
      <c r="W334" s="88">
        <f t="shared" si="274"/>
        <v>0</v>
      </c>
      <c r="X334" s="88">
        <f t="shared" si="275"/>
        <v>3</v>
      </c>
      <c r="Y334" s="88">
        <f t="shared" si="276"/>
        <v>3</v>
      </c>
      <c r="Z334" s="89">
        <f t="shared" si="248"/>
        <v>6</v>
      </c>
      <c r="AA334" s="17" t="str">
        <f>_xlfn.TEXTJOIN(", ",TRUE,ABS(MID(C334,{1,1,2},1)-MID(C334,{2,3,3},1)))</f>
        <v>0, 3, 3</v>
      </c>
      <c r="AB334" s="90">
        <v>0</v>
      </c>
      <c r="AC334" s="90">
        <v>1</v>
      </c>
      <c r="AD334" s="90">
        <v>2</v>
      </c>
      <c r="AE334" s="90">
        <v>3</v>
      </c>
      <c r="AF334" s="90">
        <v>4</v>
      </c>
      <c r="AG334" s="90">
        <v>5</v>
      </c>
      <c r="AH334" s="90">
        <v>6</v>
      </c>
      <c r="AI334" s="90">
        <v>7</v>
      </c>
      <c r="AJ334" s="90">
        <v>8</v>
      </c>
      <c r="AK334" s="90">
        <v>9</v>
      </c>
      <c r="AL334" s="91">
        <v>0</v>
      </c>
      <c r="AM334" s="91">
        <v>1</v>
      </c>
      <c r="AN334" s="91">
        <v>2</v>
      </c>
      <c r="AO334" s="91">
        <v>3</v>
      </c>
      <c r="AP334" s="91">
        <v>4</v>
      </c>
      <c r="AQ334" s="91">
        <v>5</v>
      </c>
      <c r="AR334" s="91">
        <v>6</v>
      </c>
      <c r="AS334" s="91">
        <v>7</v>
      </c>
      <c r="AT334" s="91">
        <v>8</v>
      </c>
      <c r="AU334" s="91">
        <v>9</v>
      </c>
      <c r="AV334" s="92">
        <v>0</v>
      </c>
      <c r="AW334" s="92">
        <v>1</v>
      </c>
      <c r="AX334" s="92">
        <v>2</v>
      </c>
      <c r="AY334" s="92">
        <v>3</v>
      </c>
      <c r="AZ334" s="92">
        <v>4</v>
      </c>
      <c r="BA334" s="92">
        <v>5</v>
      </c>
      <c r="BB334" s="92">
        <v>6</v>
      </c>
      <c r="BC334" s="92">
        <v>7</v>
      </c>
      <c r="BD334" s="92">
        <v>8</v>
      </c>
      <c r="BE334" s="92">
        <v>9</v>
      </c>
      <c r="BF334" s="93">
        <v>0</v>
      </c>
      <c r="BG334" s="93">
        <v>1</v>
      </c>
      <c r="BH334" s="93">
        <v>2</v>
      </c>
      <c r="BI334" s="93">
        <v>3</v>
      </c>
      <c r="BJ334" s="93">
        <v>4</v>
      </c>
      <c r="BK334" s="93">
        <v>5</v>
      </c>
      <c r="BL334" s="93">
        <v>6</v>
      </c>
      <c r="BM334" s="93">
        <v>7</v>
      </c>
      <c r="BN334" s="93">
        <v>8</v>
      </c>
      <c r="BO334" s="93">
        <v>9</v>
      </c>
      <c r="BP334" s="94" t="str">
        <f t="shared" si="249"/>
        <v>紧凑型</v>
      </c>
      <c r="BQ334" s="15">
        <f t="shared" si="246"/>
        <v>0</v>
      </c>
      <c r="BR334" s="15">
        <f t="shared" si="247"/>
        <v>3</v>
      </c>
      <c r="BS334" s="20" t="str">
        <f t="shared" si="251"/>
        <v/>
      </c>
      <c r="BT334" s="21" t="str">
        <f t="shared" si="252"/>
        <v/>
      </c>
      <c r="BU334" s="21" t="str">
        <f t="array" ref="BU334">_xlfn.TEXTJOIN("",TRUE,IF(ISERROR(FIND(ROW($1:$168)-1,BS334&amp;BT334)),ROW($1:$168)-1,""))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34" s="22" t="str">
        <f t="shared" si="253"/>
        <v>中中中</v>
      </c>
      <c r="BW334" s="23" t="str">
        <f t="shared" si="264"/>
        <v/>
      </c>
      <c r="BX334" s="23" t="str">
        <f t="shared" si="262"/>
        <v/>
      </c>
      <c r="BY334" s="23" t="str">
        <f t="array" ref="BY334">_xlfn.TEXTJOIN("",TRUE,IF(ISERROR(FIND(ROW($1:$168)-1,BW334&amp;BX334)),ROW($1:$168)-1,""))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34" s="22" t="str">
        <f t="shared" si="254"/>
        <v>中中中</v>
      </c>
      <c r="CA334" s="24" t="str">
        <f t="shared" si="255"/>
        <v/>
      </c>
      <c r="CB334" s="24" t="str">
        <f t="shared" si="263"/>
        <v/>
      </c>
      <c r="CC334" s="24" t="str">
        <f t="array" ref="CC334">_xlfn.TEXTJOIN("",TRUE,IF(ISERROR(FIND(ROW($1:$168)-1,CA334&amp;CB334)),ROW($1:$168)-1,""))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34" s="22" t="str">
        <f t="shared" si="256"/>
        <v>中中中</v>
      </c>
      <c r="CE334" s="25" t="str">
        <f t="shared" si="250"/>
        <v>91</v>
      </c>
      <c r="CF334" s="26" t="str">
        <f t="array" ref="CF334">_xlfn.TEXTJOIN("",TRUE,IF(ISNUMBER(FIND(MID(CE333&amp;W333,ROW($1:$162),1),CE334&amp;W334)),MID(CE333&amp;W333,ROW($1:$162),1),""))</f>
        <v/>
      </c>
      <c r="CG334" s="27" t="str">
        <f t="array" ref="CG334">_xlfn.TEXTJOIN("",TRUE,IF(ISERROR(FIND(ROW($1:$168)-1,CE334&amp;CF334)),ROW($1:$168)-1,""))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334" s="28" t="str">
        <f t="shared" si="257"/>
        <v>邻孤孤</v>
      </c>
      <c r="CI334" s="29" t="str">
        <f t="shared" si="258"/>
        <v>24</v>
      </c>
      <c r="CJ334" s="29" t="str">
        <f t="array" ref="CJ334">_xlfn.TEXTJOIN("",TRUE,IF(ISNUMBER(FIND(MID(CI333&amp;X333,ROW($1:$162),1),CI334&amp;X334)),MID(CI333&amp;X333,ROW($1:$162),1),""))</f>
        <v>2</v>
      </c>
      <c r="CK334" s="29" t="str">
        <f t="array" ref="CK334">_xlfn.TEXTJOIN("",TRUE,IF(ISERROR(FIND(ROW($1:$168)-1,CI334&amp;CJ334)),ROW($1:$168)-1,""))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34" s="19" t="str">
        <f t="shared" si="259"/>
        <v>邻传孤</v>
      </c>
      <c r="CM334" s="24" t="str">
        <f t="shared" si="260"/>
        <v>24</v>
      </c>
      <c r="CN334" s="24" t="str">
        <f t="array" ref="CN334">_xlfn.TEXTJOIN("",TRUE,IF(ISNUMBER(FIND(MID(CM333&amp;Y333,ROW($1:$162),1),CM334&amp;Y334)),MID(CM333&amp;Y333,ROW($1:$162),1),""))</f>
        <v>4</v>
      </c>
      <c r="CO334" s="24" t="str">
        <f t="array" ref="CO334">_xlfn.TEXTJOIN("",TRUE,IF(ISERROR(FIND(ROW($1:$168)-1,CM334&amp;CN334)),ROW($1:$168)-1,""))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34" s="30" t="str">
        <f t="shared" si="261"/>
        <v>邻传孤</v>
      </c>
    </row>
    <row r="335" spans="1:94">
      <c r="A335" s="15">
        <v>335</v>
      </c>
      <c r="B335" s="80">
        <v>2024304</v>
      </c>
      <c r="C335" s="8" t="s">
        <v>35</v>
      </c>
      <c r="D335" s="81">
        <f t="shared" si="272"/>
        <v>16</v>
      </c>
      <c r="E335" s="82">
        <f t="shared" si="273"/>
        <v>6</v>
      </c>
      <c r="F335" s="83">
        <f t="shared" si="270"/>
        <v>2</v>
      </c>
      <c r="G335" s="84" t="str">
        <f t="shared" si="271"/>
        <v>标准</v>
      </c>
      <c r="H335" s="85" t="s">
        <v>10</v>
      </c>
      <c r="I335" s="85" t="s">
        <v>11</v>
      </c>
      <c r="J335" s="85" t="s">
        <v>12</v>
      </c>
      <c r="K335" s="85" t="s">
        <v>13</v>
      </c>
      <c r="L335" s="86">
        <f>MAX(MID(C335,{1,2,3},1)*1)-MIN(MID(C335,{1,2,3},1)*1)</f>
        <v>8</v>
      </c>
      <c r="M335" s="87">
        <v>0</v>
      </c>
      <c r="N335" s="87">
        <v>1</v>
      </c>
      <c r="O335" s="87">
        <v>2</v>
      </c>
      <c r="P335" s="87">
        <v>3</v>
      </c>
      <c r="Q335" s="87">
        <v>4</v>
      </c>
      <c r="R335" s="87">
        <v>5</v>
      </c>
      <c r="S335" s="87">
        <v>6</v>
      </c>
      <c r="T335" s="87">
        <v>7</v>
      </c>
      <c r="U335" s="87">
        <v>8</v>
      </c>
      <c r="V335" s="87">
        <v>9</v>
      </c>
      <c r="W335" s="88">
        <f t="shared" si="274"/>
        <v>5</v>
      </c>
      <c r="X335" s="88">
        <f t="shared" si="275"/>
        <v>8</v>
      </c>
      <c r="Y335" s="88">
        <f t="shared" si="276"/>
        <v>3</v>
      </c>
      <c r="Z335" s="89">
        <f t="shared" si="248"/>
        <v>16</v>
      </c>
      <c r="AA335" s="17" t="str">
        <f>_xlfn.TEXTJOIN(", ",TRUE,ABS(MID(C335,{1,1,2},1)-MID(C335,{2,3,3},1)))</f>
        <v>5, 8, 3</v>
      </c>
      <c r="AB335" s="90">
        <v>0</v>
      </c>
      <c r="AC335" s="90">
        <v>1</v>
      </c>
      <c r="AD335" s="90">
        <v>2</v>
      </c>
      <c r="AE335" s="90">
        <v>3</v>
      </c>
      <c r="AF335" s="90">
        <v>4</v>
      </c>
      <c r="AG335" s="90">
        <v>5</v>
      </c>
      <c r="AH335" s="90">
        <v>6</v>
      </c>
      <c r="AI335" s="90">
        <v>7</v>
      </c>
      <c r="AJ335" s="90">
        <v>8</v>
      </c>
      <c r="AK335" s="90">
        <v>9</v>
      </c>
      <c r="AL335" s="91">
        <v>0</v>
      </c>
      <c r="AM335" s="91">
        <v>1</v>
      </c>
      <c r="AN335" s="91">
        <v>2</v>
      </c>
      <c r="AO335" s="91">
        <v>3</v>
      </c>
      <c r="AP335" s="91">
        <v>4</v>
      </c>
      <c r="AQ335" s="91">
        <v>5</v>
      </c>
      <c r="AR335" s="91">
        <v>6</v>
      </c>
      <c r="AS335" s="91">
        <v>7</v>
      </c>
      <c r="AT335" s="91">
        <v>8</v>
      </c>
      <c r="AU335" s="91">
        <v>9</v>
      </c>
      <c r="AV335" s="92">
        <v>0</v>
      </c>
      <c r="AW335" s="92">
        <v>1</v>
      </c>
      <c r="AX335" s="92">
        <v>2</v>
      </c>
      <c r="AY335" s="92">
        <v>3</v>
      </c>
      <c r="AZ335" s="92">
        <v>4</v>
      </c>
      <c r="BA335" s="92">
        <v>5</v>
      </c>
      <c r="BB335" s="92">
        <v>6</v>
      </c>
      <c r="BC335" s="92">
        <v>7</v>
      </c>
      <c r="BD335" s="92">
        <v>8</v>
      </c>
      <c r="BE335" s="92">
        <v>9</v>
      </c>
      <c r="BF335" s="93">
        <v>0</v>
      </c>
      <c r="BG335" s="93">
        <v>1</v>
      </c>
      <c r="BH335" s="93">
        <v>2</v>
      </c>
      <c r="BI335" s="93">
        <v>3</v>
      </c>
      <c r="BJ335" s="93">
        <v>4</v>
      </c>
      <c r="BK335" s="93">
        <v>5</v>
      </c>
      <c r="BL335" s="93">
        <v>6</v>
      </c>
      <c r="BM335" s="93">
        <v>7</v>
      </c>
      <c r="BN335" s="93">
        <v>8</v>
      </c>
      <c r="BO335" s="93">
        <v>9</v>
      </c>
      <c r="BP335" s="94" t="str">
        <f t="shared" si="249"/>
        <v>松散型</v>
      </c>
      <c r="BQ335" s="15">
        <f t="shared" si="246"/>
        <v>3</v>
      </c>
      <c r="BR335" s="15">
        <f t="shared" si="247"/>
        <v>8</v>
      </c>
      <c r="BS335" s="20" t="str">
        <f t="shared" si="251"/>
        <v/>
      </c>
      <c r="BT335" s="21">
        <f t="shared" si="252"/>
        <v>5</v>
      </c>
      <c r="BU335" s="21" t="str">
        <f t="array" ref="BU335">_xlfn.TEXTJOIN("",TRUE,IF(ISERROR(FIND(ROW($1:$168)-1,BS335&amp;BT335)),ROW($1:$168)-1,""))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35" s="22" t="str">
        <f t="shared" si="253"/>
        <v>中隔中</v>
      </c>
      <c r="BW335" s="23" t="str">
        <f t="shared" si="264"/>
        <v/>
      </c>
      <c r="BX335" s="23" t="str">
        <f t="shared" si="262"/>
        <v/>
      </c>
      <c r="BY335" s="23" t="str">
        <f t="array" ref="BY335">_xlfn.TEXTJOIN("",TRUE,IF(ISERROR(FIND(ROW($1:$168)-1,BW335&amp;BX335)),ROW($1:$168)-1,""))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35" s="22" t="str">
        <f t="shared" si="254"/>
        <v>中中中</v>
      </c>
      <c r="CA335" s="24">
        <f t="shared" si="255"/>
        <v>3</v>
      </c>
      <c r="CB335" s="24" t="str">
        <f t="shared" si="263"/>
        <v/>
      </c>
      <c r="CC335" s="24" t="str">
        <f t="array" ref="CC335">_xlfn.TEXTJOIN("",TRUE,IF(ISERROR(FIND(ROW($1:$168)-1,CA335&amp;CB335)),ROW($1:$168)-1,""))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35" s="22" t="str">
        <f t="shared" si="256"/>
        <v>复中中</v>
      </c>
      <c r="CE335" s="25" t="str">
        <f t="shared" si="250"/>
        <v>46</v>
      </c>
      <c r="CF335" s="26" t="str">
        <f t="array" ref="CF335">_xlfn.TEXTJOIN("",TRUE,IF(ISNUMBER(FIND(MID(CE334&amp;W334,ROW($1:$162),1),CE335&amp;W335)),MID(CE334&amp;W334,ROW($1:$162),1),""))</f>
        <v/>
      </c>
      <c r="CG335" s="27" t="str">
        <f t="array" ref="CG335">_xlfn.TEXTJOIN("",TRUE,IF(ISERROR(FIND(ROW($1:$168)-1,CE335&amp;CF335)),ROW($1:$168)-1,""))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35" s="28" t="str">
        <f t="shared" si="257"/>
        <v>邻孤孤</v>
      </c>
      <c r="CI335" s="29" t="str">
        <f t="shared" si="258"/>
        <v>79</v>
      </c>
      <c r="CJ335" s="29" t="str">
        <f t="array" ref="CJ335">_xlfn.TEXTJOIN("",TRUE,IF(ISNUMBER(FIND(MID(CI334&amp;X334,ROW($1:$162),1),CI335&amp;X335)),MID(CI334&amp;X334,ROW($1:$162),1),""))</f>
        <v/>
      </c>
      <c r="CK335" s="29" t="str">
        <f t="array" ref="CK335">_xlfn.TEXTJOIN("",TRUE,IF(ISERROR(FIND(ROW($1:$168)-1,CI335&amp;CJ335)),ROW($1:$168)-1,""))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335" s="19" t="str">
        <f t="shared" si="259"/>
        <v>邻孤孤</v>
      </c>
      <c r="CM335" s="24" t="str">
        <f t="shared" si="260"/>
        <v>24</v>
      </c>
      <c r="CN335" s="24" t="str">
        <f t="array" ref="CN335">_xlfn.TEXTJOIN("",TRUE,IF(ISNUMBER(FIND(MID(CM334&amp;Y334,ROW($1:$162),1),CM335&amp;Y335)),MID(CM334&amp;Y334,ROW($1:$162),1),""))</f>
        <v>243</v>
      </c>
      <c r="CO335" s="24" t="str">
        <f t="array" ref="CO335">_xlfn.TEXTJOIN("",TRUE,IF(ISERROR(FIND(ROW($1:$168)-1,CM335&amp;CN335)),ROW($1:$168)-1,""))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35" s="30" t="str">
        <f t="shared" si="261"/>
        <v>邻传孤</v>
      </c>
    </row>
    <row r="336" spans="1:94">
      <c r="A336" s="15">
        <v>336</v>
      </c>
      <c r="B336" s="80">
        <v>2024305</v>
      </c>
      <c r="C336" s="8" t="s">
        <v>311</v>
      </c>
      <c r="D336" s="81">
        <f t="shared" si="272"/>
        <v>21</v>
      </c>
      <c r="E336" s="82">
        <f t="shared" si="273"/>
        <v>1</v>
      </c>
      <c r="F336" s="83">
        <f t="shared" si="270"/>
        <v>7</v>
      </c>
      <c r="G336" s="84" t="str">
        <f t="shared" si="271"/>
        <v>紧凑</v>
      </c>
      <c r="H336" s="85" t="s">
        <v>10</v>
      </c>
      <c r="I336" s="85" t="s">
        <v>11</v>
      </c>
      <c r="J336" s="85" t="s">
        <v>12</v>
      </c>
      <c r="K336" s="85" t="s">
        <v>13</v>
      </c>
      <c r="L336" s="86">
        <f>MAX(MID(C336,{1,2,3},1)*1)-MIN(MID(C336,{1,2,3},1)*1)</f>
        <v>3</v>
      </c>
      <c r="M336" s="87">
        <v>0</v>
      </c>
      <c r="N336" s="87">
        <v>1</v>
      </c>
      <c r="O336" s="87">
        <v>2</v>
      </c>
      <c r="P336" s="87">
        <v>3</v>
      </c>
      <c r="Q336" s="87">
        <v>4</v>
      </c>
      <c r="R336" s="87">
        <v>5</v>
      </c>
      <c r="S336" s="87">
        <v>6</v>
      </c>
      <c r="T336" s="87">
        <v>7</v>
      </c>
      <c r="U336" s="87">
        <v>8</v>
      </c>
      <c r="V336" s="87">
        <v>9</v>
      </c>
      <c r="W336" s="88">
        <f t="shared" si="274"/>
        <v>3</v>
      </c>
      <c r="X336" s="88">
        <f t="shared" si="275"/>
        <v>3</v>
      </c>
      <c r="Y336" s="88">
        <f t="shared" si="276"/>
        <v>0</v>
      </c>
      <c r="Z336" s="89">
        <f t="shared" si="248"/>
        <v>6</v>
      </c>
      <c r="AA336" s="17" t="str">
        <f>_xlfn.TEXTJOIN(", ",TRUE,ABS(MID(C336,{1,1,2},1)-MID(C336,{2,3,3},1)))</f>
        <v>3, 3, 0</v>
      </c>
      <c r="AB336" s="90">
        <v>0</v>
      </c>
      <c r="AC336" s="90">
        <v>1</v>
      </c>
      <c r="AD336" s="90">
        <v>2</v>
      </c>
      <c r="AE336" s="90">
        <v>3</v>
      </c>
      <c r="AF336" s="90">
        <v>4</v>
      </c>
      <c r="AG336" s="90">
        <v>5</v>
      </c>
      <c r="AH336" s="90">
        <v>6</v>
      </c>
      <c r="AI336" s="90">
        <v>7</v>
      </c>
      <c r="AJ336" s="90">
        <v>8</v>
      </c>
      <c r="AK336" s="90">
        <v>9</v>
      </c>
      <c r="AL336" s="91">
        <v>0</v>
      </c>
      <c r="AM336" s="91">
        <v>1</v>
      </c>
      <c r="AN336" s="91">
        <v>2</v>
      </c>
      <c r="AO336" s="91">
        <v>3</v>
      </c>
      <c r="AP336" s="91">
        <v>4</v>
      </c>
      <c r="AQ336" s="91">
        <v>5</v>
      </c>
      <c r="AR336" s="91">
        <v>6</v>
      </c>
      <c r="AS336" s="91">
        <v>7</v>
      </c>
      <c r="AT336" s="91">
        <v>8</v>
      </c>
      <c r="AU336" s="91">
        <v>9</v>
      </c>
      <c r="AV336" s="92">
        <v>0</v>
      </c>
      <c r="AW336" s="92">
        <v>1</v>
      </c>
      <c r="AX336" s="92">
        <v>2</v>
      </c>
      <c r="AY336" s="92">
        <v>3</v>
      </c>
      <c r="AZ336" s="92">
        <v>4</v>
      </c>
      <c r="BA336" s="92">
        <v>5</v>
      </c>
      <c r="BB336" s="92">
        <v>6</v>
      </c>
      <c r="BC336" s="92">
        <v>7</v>
      </c>
      <c r="BD336" s="92">
        <v>8</v>
      </c>
      <c r="BE336" s="92">
        <v>9</v>
      </c>
      <c r="BF336" s="93">
        <v>0</v>
      </c>
      <c r="BG336" s="93">
        <v>1</v>
      </c>
      <c r="BH336" s="93">
        <v>2</v>
      </c>
      <c r="BI336" s="93">
        <v>3</v>
      </c>
      <c r="BJ336" s="93">
        <v>4</v>
      </c>
      <c r="BK336" s="93">
        <v>5</v>
      </c>
      <c r="BL336" s="93">
        <v>6</v>
      </c>
      <c r="BM336" s="93">
        <v>7</v>
      </c>
      <c r="BN336" s="93">
        <v>8</v>
      </c>
      <c r="BO336" s="93">
        <v>9</v>
      </c>
      <c r="BP336" s="94" t="str">
        <f t="shared" si="249"/>
        <v>紧凑型</v>
      </c>
      <c r="BQ336" s="15">
        <f t="shared" si="246"/>
        <v>0</v>
      </c>
      <c r="BR336" s="15">
        <f t="shared" si="247"/>
        <v>3</v>
      </c>
      <c r="BS336" s="20">
        <f t="shared" si="251"/>
        <v>3</v>
      </c>
      <c r="BT336" s="21">
        <f t="shared" si="252"/>
        <v>3</v>
      </c>
      <c r="BU336" s="21" t="str">
        <f t="array" ref="BU336">_xlfn.TEXTJOIN("",TRUE,IF(ISERROR(FIND(ROW($1:$168)-1,BS336&amp;BT336)),ROW($1:$168)-1,""))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36" s="22" t="str">
        <f t="shared" si="253"/>
        <v>复隔中</v>
      </c>
      <c r="BW336" s="23">
        <f t="shared" si="264"/>
        <v>3</v>
      </c>
      <c r="BX336" s="23">
        <f t="shared" si="262"/>
        <v>3</v>
      </c>
      <c r="BY336" s="23" t="str">
        <f t="array" ref="BY336">_xlfn.TEXTJOIN("",TRUE,IF(ISERROR(FIND(ROW($1:$168)-1,BW336&amp;BX336)),ROW($1:$168)-1,""))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36" s="22" t="str">
        <f t="shared" si="254"/>
        <v>复隔中</v>
      </c>
      <c r="CA336" s="24" t="str">
        <f t="shared" si="255"/>
        <v/>
      </c>
      <c r="CB336" s="24">
        <f t="shared" si="263"/>
        <v>0</v>
      </c>
      <c r="CC336" s="24" t="str">
        <f t="array" ref="CC336">_xlfn.TEXTJOIN("",TRUE,IF(ISERROR(FIND(ROW($1:$168)-1,CA336&amp;CB336)),ROW($1:$168)-1,""))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36" s="22" t="str">
        <f t="shared" si="256"/>
        <v>中隔中</v>
      </c>
      <c r="CE336" s="25" t="str">
        <f t="shared" si="250"/>
        <v>24</v>
      </c>
      <c r="CF336" s="26" t="str">
        <f t="array" ref="CF336">_xlfn.TEXTJOIN("",TRUE,IF(ISNUMBER(FIND(MID(CE335&amp;W335,ROW($1:$162),1),CE336&amp;W336)),MID(CE335&amp;W335,ROW($1:$162),1),""))</f>
        <v>4</v>
      </c>
      <c r="CG336" s="27" t="str">
        <f t="array" ref="CG336">_xlfn.TEXTJOIN("",TRUE,IF(ISERROR(FIND(ROW($1:$168)-1,CE336&amp;CF336)),ROW($1:$168)-1,""))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36" s="28" t="str">
        <f t="shared" si="257"/>
        <v>邻传孤</v>
      </c>
      <c r="CI336" s="29" t="str">
        <f t="shared" si="258"/>
        <v>24</v>
      </c>
      <c r="CJ336" s="29" t="str">
        <f t="array" ref="CJ336">_xlfn.TEXTJOIN("",TRUE,IF(ISNUMBER(FIND(MID(CI335&amp;X335,ROW($1:$162),1),CI336&amp;X336)),MID(CI335&amp;X335,ROW($1:$162),1),""))</f>
        <v/>
      </c>
      <c r="CK336" s="29" t="str">
        <f t="array" ref="CK336">_xlfn.TEXTJOIN("",TRUE,IF(ISERROR(FIND(ROW($1:$168)-1,CI336&amp;CJ336)),ROW($1:$168)-1,""))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36" s="19" t="str">
        <f t="shared" si="259"/>
        <v>邻孤孤</v>
      </c>
      <c r="CM336" s="24" t="str">
        <f t="shared" si="260"/>
        <v>91</v>
      </c>
      <c r="CN336" s="24" t="str">
        <f t="array" ref="CN336">_xlfn.TEXTJOIN("",TRUE,IF(ISNUMBER(FIND(MID(CM335&amp;Y335,ROW($1:$162),1),CM336&amp;Y336)),MID(CM335&amp;Y335,ROW($1:$162),1),""))</f>
        <v/>
      </c>
      <c r="CO336" s="24" t="str">
        <f t="array" ref="CO336">_xlfn.TEXTJOIN("",TRUE,IF(ISERROR(FIND(ROW($1:$168)-1,CM336&amp;CN336)),ROW($1:$168)-1,""))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336" s="30" t="str">
        <f t="shared" si="261"/>
        <v>邻孤孤</v>
      </c>
    </row>
    <row r="337" spans="1:94">
      <c r="A337" s="15">
        <v>337</v>
      </c>
      <c r="B337" s="80">
        <v>2024306</v>
      </c>
      <c r="C337" s="8" t="s">
        <v>312</v>
      </c>
      <c r="D337" s="81">
        <f t="shared" si="272"/>
        <v>17</v>
      </c>
      <c r="E337" s="82">
        <f t="shared" si="273"/>
        <v>7</v>
      </c>
      <c r="F337" s="83">
        <f t="shared" si="270"/>
        <v>2.42857142857143</v>
      </c>
      <c r="G337" s="84" t="str">
        <f t="shared" si="271"/>
        <v>标准</v>
      </c>
      <c r="H337" s="85" t="s">
        <v>10</v>
      </c>
      <c r="I337" s="85" t="s">
        <v>11</v>
      </c>
      <c r="J337" s="85" t="s">
        <v>12</v>
      </c>
      <c r="K337" s="85" t="s">
        <v>13</v>
      </c>
      <c r="L337" s="86">
        <f>MAX(MID(C337,{1,2,3},1)*1)-MIN(MID(C337,{1,2,3},1)*1)</f>
        <v>7</v>
      </c>
      <c r="M337" s="87">
        <v>0</v>
      </c>
      <c r="N337" s="87">
        <v>1</v>
      </c>
      <c r="O337" s="87">
        <v>2</v>
      </c>
      <c r="P337" s="87">
        <v>3</v>
      </c>
      <c r="Q337" s="87">
        <v>4</v>
      </c>
      <c r="R337" s="87">
        <v>5</v>
      </c>
      <c r="S337" s="87">
        <v>6</v>
      </c>
      <c r="T337" s="87">
        <v>7</v>
      </c>
      <c r="U337" s="87">
        <v>8</v>
      </c>
      <c r="V337" s="87">
        <v>9</v>
      </c>
      <c r="W337" s="88">
        <f t="shared" si="274"/>
        <v>7</v>
      </c>
      <c r="X337" s="88">
        <f t="shared" si="275"/>
        <v>4</v>
      </c>
      <c r="Y337" s="88">
        <f t="shared" si="276"/>
        <v>3</v>
      </c>
      <c r="Z337" s="89">
        <f t="shared" si="248"/>
        <v>14</v>
      </c>
      <c r="AA337" s="17" t="str">
        <f>_xlfn.TEXTJOIN(", ",TRUE,ABS(MID(C337,{1,1,2},1)-MID(C337,{2,3,3},1)))</f>
        <v>7, 4, 3</v>
      </c>
      <c r="AB337" s="90">
        <v>0</v>
      </c>
      <c r="AC337" s="90">
        <v>1</v>
      </c>
      <c r="AD337" s="90">
        <v>2</v>
      </c>
      <c r="AE337" s="90">
        <v>3</v>
      </c>
      <c r="AF337" s="90">
        <v>4</v>
      </c>
      <c r="AG337" s="90">
        <v>5</v>
      </c>
      <c r="AH337" s="90">
        <v>6</v>
      </c>
      <c r="AI337" s="90">
        <v>7</v>
      </c>
      <c r="AJ337" s="90">
        <v>8</v>
      </c>
      <c r="AK337" s="90">
        <v>9</v>
      </c>
      <c r="AL337" s="91">
        <v>0</v>
      </c>
      <c r="AM337" s="91">
        <v>1</v>
      </c>
      <c r="AN337" s="91">
        <v>2</v>
      </c>
      <c r="AO337" s="91">
        <v>3</v>
      </c>
      <c r="AP337" s="91">
        <v>4</v>
      </c>
      <c r="AQ337" s="91">
        <v>5</v>
      </c>
      <c r="AR337" s="91">
        <v>6</v>
      </c>
      <c r="AS337" s="91">
        <v>7</v>
      </c>
      <c r="AT337" s="91">
        <v>8</v>
      </c>
      <c r="AU337" s="91">
        <v>9</v>
      </c>
      <c r="AV337" s="92">
        <v>0</v>
      </c>
      <c r="AW337" s="92">
        <v>1</v>
      </c>
      <c r="AX337" s="92">
        <v>2</v>
      </c>
      <c r="AY337" s="92">
        <v>3</v>
      </c>
      <c r="AZ337" s="92">
        <v>4</v>
      </c>
      <c r="BA337" s="92">
        <v>5</v>
      </c>
      <c r="BB337" s="92">
        <v>6</v>
      </c>
      <c r="BC337" s="92">
        <v>7</v>
      </c>
      <c r="BD337" s="92">
        <v>8</v>
      </c>
      <c r="BE337" s="92">
        <v>9</v>
      </c>
      <c r="BF337" s="93">
        <v>0</v>
      </c>
      <c r="BG337" s="93">
        <v>1</v>
      </c>
      <c r="BH337" s="93">
        <v>2</v>
      </c>
      <c r="BI337" s="93">
        <v>3</v>
      </c>
      <c r="BJ337" s="93">
        <v>4</v>
      </c>
      <c r="BK337" s="93">
        <v>5</v>
      </c>
      <c r="BL337" s="93">
        <v>6</v>
      </c>
      <c r="BM337" s="93">
        <v>7</v>
      </c>
      <c r="BN337" s="93">
        <v>8</v>
      </c>
      <c r="BO337" s="93">
        <v>9</v>
      </c>
      <c r="BP337" s="94" t="str">
        <f t="shared" si="249"/>
        <v>松散型</v>
      </c>
      <c r="BQ337" s="15">
        <f t="shared" si="246"/>
        <v>3</v>
      </c>
      <c r="BR337" s="15">
        <f t="shared" si="247"/>
        <v>7</v>
      </c>
      <c r="BS337" s="20" t="str">
        <f t="shared" si="251"/>
        <v/>
      </c>
      <c r="BT337" s="21" t="str">
        <f t="shared" si="252"/>
        <v/>
      </c>
      <c r="BU337" s="21" t="str">
        <f t="array" ref="BU337">_xlfn.TEXTJOIN("",TRUE,IF(ISERROR(FIND(ROW($1:$168)-1,BS337&amp;BT337)),ROW($1:$168)-1,""))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37" s="22" t="str">
        <f t="shared" si="253"/>
        <v>中中中</v>
      </c>
      <c r="BW337" s="23" t="str">
        <f t="shared" si="264"/>
        <v/>
      </c>
      <c r="BX337" s="23" t="str">
        <f t="shared" si="262"/>
        <v/>
      </c>
      <c r="BY337" s="23" t="str">
        <f t="array" ref="BY337">_xlfn.TEXTJOIN("",TRUE,IF(ISERROR(FIND(ROW($1:$168)-1,BW337&amp;BX337)),ROW($1:$168)-1,""))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37" s="22" t="str">
        <f t="shared" si="254"/>
        <v>中中中</v>
      </c>
      <c r="CA337" s="24">
        <f t="shared" si="255"/>
        <v>3</v>
      </c>
      <c r="CB337" s="24">
        <f t="shared" si="263"/>
        <v>3</v>
      </c>
      <c r="CC337" s="24" t="str">
        <f t="array" ref="CC337">_xlfn.TEXTJOIN("",TRUE,IF(ISERROR(FIND(ROW($1:$168)-1,CA337&amp;CB337)),ROW($1:$168)-1,""))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37" s="22" t="str">
        <f t="shared" si="256"/>
        <v>复隔中</v>
      </c>
      <c r="CE337" s="25" t="str">
        <f t="shared" si="250"/>
        <v>68</v>
      </c>
      <c r="CF337" s="26" t="str">
        <f t="array" ref="CF337">_xlfn.TEXTJOIN("",TRUE,IF(ISNUMBER(FIND(MID(CE336&amp;W336,ROW($1:$162),1),CE337&amp;W337)),MID(CE336&amp;W336,ROW($1:$162),1),""))</f>
        <v/>
      </c>
      <c r="CG337" s="27" t="str">
        <f t="array" ref="CG337">_xlfn.TEXTJOIN("",TRUE,IF(ISERROR(FIND(ROW($1:$168)-1,CE337&amp;CF337)),ROW($1:$168)-1,""))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37" s="28" t="str">
        <f t="shared" si="257"/>
        <v>邻孤孤</v>
      </c>
      <c r="CI337" s="29" t="str">
        <f t="shared" si="258"/>
        <v>35</v>
      </c>
      <c r="CJ337" s="29" t="str">
        <f t="array" ref="CJ337">_xlfn.TEXTJOIN("",TRUE,IF(ISNUMBER(FIND(MID(CI336&amp;X336,ROW($1:$162),1),CI337&amp;X337)),MID(CI336&amp;X336,ROW($1:$162),1),""))</f>
        <v>43</v>
      </c>
      <c r="CK337" s="29" t="str">
        <f t="array" ref="CK337">_xlfn.TEXTJOIN("",TRUE,IF(ISERROR(FIND(ROW($1:$168)-1,CI337&amp;CJ337)),ROW($1:$168)-1,""))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37" s="19" t="str">
        <f t="shared" si="259"/>
        <v>邻传孤</v>
      </c>
      <c r="CM337" s="24" t="str">
        <f t="shared" si="260"/>
        <v>24</v>
      </c>
      <c r="CN337" s="24" t="str">
        <f t="array" ref="CN337">_xlfn.TEXTJOIN("",TRUE,IF(ISNUMBER(FIND(MID(CM336&amp;Y336,ROW($1:$162),1),CM337&amp;Y337)),MID(CM336&amp;Y336,ROW($1:$162),1),""))</f>
        <v/>
      </c>
      <c r="CO337" s="24" t="str">
        <f t="array" ref="CO337">_xlfn.TEXTJOIN("",TRUE,IF(ISERROR(FIND(ROW($1:$168)-1,CM337&amp;CN337)),ROW($1:$168)-1,""))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37" s="30" t="str">
        <f t="shared" si="261"/>
        <v>邻孤孤</v>
      </c>
    </row>
    <row r="338" spans="1:94">
      <c r="A338" s="15">
        <v>338</v>
      </c>
      <c r="B338" s="80">
        <v>2024307</v>
      </c>
      <c r="C338" s="8" t="s">
        <v>154</v>
      </c>
      <c r="D338" s="81">
        <f t="shared" si="272"/>
        <v>21</v>
      </c>
      <c r="E338" s="82">
        <f t="shared" si="273"/>
        <v>1</v>
      </c>
      <c r="F338" s="83">
        <f t="shared" si="270"/>
        <v>5.25</v>
      </c>
      <c r="G338" s="84" t="str">
        <f t="shared" si="271"/>
        <v>紧凑</v>
      </c>
      <c r="H338" s="85" t="s">
        <v>10</v>
      </c>
      <c r="I338" s="85" t="s">
        <v>11</v>
      </c>
      <c r="J338" s="85" t="s">
        <v>12</v>
      </c>
      <c r="K338" s="85" t="s">
        <v>13</v>
      </c>
      <c r="L338" s="86">
        <f>MAX(MID(C338,{1,2,3},1)*1)-MIN(MID(C338,{1,2,3},1)*1)</f>
        <v>4</v>
      </c>
      <c r="M338" s="87">
        <v>0</v>
      </c>
      <c r="N338" s="87">
        <v>1</v>
      </c>
      <c r="O338" s="87">
        <v>2</v>
      </c>
      <c r="P338" s="87">
        <v>3</v>
      </c>
      <c r="Q338" s="87">
        <v>4</v>
      </c>
      <c r="R338" s="87">
        <v>5</v>
      </c>
      <c r="S338" s="87">
        <v>6</v>
      </c>
      <c r="T338" s="87">
        <v>7</v>
      </c>
      <c r="U338" s="87">
        <v>8</v>
      </c>
      <c r="V338" s="87">
        <v>9</v>
      </c>
      <c r="W338" s="88">
        <f t="shared" si="274"/>
        <v>2</v>
      </c>
      <c r="X338" s="88">
        <f t="shared" si="275"/>
        <v>4</v>
      </c>
      <c r="Y338" s="88">
        <f t="shared" si="276"/>
        <v>2</v>
      </c>
      <c r="Z338" s="89">
        <f t="shared" si="248"/>
        <v>8</v>
      </c>
      <c r="AA338" s="17" t="str">
        <f>_xlfn.TEXTJOIN(", ",TRUE,ABS(MID(C338,{1,1,2},1)-MID(C338,{2,3,3},1)))</f>
        <v>2, 4, 2</v>
      </c>
      <c r="AB338" s="90">
        <v>0</v>
      </c>
      <c r="AC338" s="90">
        <v>1</v>
      </c>
      <c r="AD338" s="90">
        <v>2</v>
      </c>
      <c r="AE338" s="90">
        <v>3</v>
      </c>
      <c r="AF338" s="90">
        <v>4</v>
      </c>
      <c r="AG338" s="90">
        <v>5</v>
      </c>
      <c r="AH338" s="90">
        <v>6</v>
      </c>
      <c r="AI338" s="90">
        <v>7</v>
      </c>
      <c r="AJ338" s="90">
        <v>8</v>
      </c>
      <c r="AK338" s="90">
        <v>9</v>
      </c>
      <c r="AL338" s="91">
        <v>0</v>
      </c>
      <c r="AM338" s="91">
        <v>1</v>
      </c>
      <c r="AN338" s="91">
        <v>2</v>
      </c>
      <c r="AO338" s="91">
        <v>3</v>
      </c>
      <c r="AP338" s="91">
        <v>4</v>
      </c>
      <c r="AQ338" s="91">
        <v>5</v>
      </c>
      <c r="AR338" s="91">
        <v>6</v>
      </c>
      <c r="AS338" s="91">
        <v>7</v>
      </c>
      <c r="AT338" s="91">
        <v>8</v>
      </c>
      <c r="AU338" s="91">
        <v>9</v>
      </c>
      <c r="AV338" s="92">
        <v>0</v>
      </c>
      <c r="AW338" s="92">
        <v>1</v>
      </c>
      <c r="AX338" s="92">
        <v>2</v>
      </c>
      <c r="AY338" s="92">
        <v>3</v>
      </c>
      <c r="AZ338" s="92">
        <v>4</v>
      </c>
      <c r="BA338" s="92">
        <v>5</v>
      </c>
      <c r="BB338" s="92">
        <v>6</v>
      </c>
      <c r="BC338" s="92">
        <v>7</v>
      </c>
      <c r="BD338" s="92">
        <v>8</v>
      </c>
      <c r="BE338" s="92">
        <v>9</v>
      </c>
      <c r="BF338" s="93">
        <v>0</v>
      </c>
      <c r="BG338" s="93">
        <v>1</v>
      </c>
      <c r="BH338" s="93">
        <v>2</v>
      </c>
      <c r="BI338" s="93">
        <v>3</v>
      </c>
      <c r="BJ338" s="93">
        <v>4</v>
      </c>
      <c r="BK338" s="93">
        <v>5</v>
      </c>
      <c r="BL338" s="93">
        <v>6</v>
      </c>
      <c r="BM338" s="93">
        <v>7</v>
      </c>
      <c r="BN338" s="93">
        <v>8</v>
      </c>
      <c r="BO338" s="93">
        <v>9</v>
      </c>
      <c r="BP338" s="94" t="str">
        <f t="shared" si="249"/>
        <v>标准型</v>
      </c>
      <c r="BQ338" s="15">
        <f t="shared" si="246"/>
        <v>2</v>
      </c>
      <c r="BR338" s="15">
        <f t="shared" si="247"/>
        <v>4</v>
      </c>
      <c r="BS338" s="20" t="str">
        <f t="shared" si="251"/>
        <v/>
      </c>
      <c r="BT338" s="21" t="str">
        <f t="shared" si="252"/>
        <v/>
      </c>
      <c r="BU338" s="21" t="str">
        <f t="array" ref="BU338">_xlfn.TEXTJOIN("",TRUE,IF(ISERROR(FIND(ROW($1:$168)-1,BS338&amp;BT338)),ROW($1:$168)-1,""))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38" s="22" t="str">
        <f t="shared" si="253"/>
        <v>中中中</v>
      </c>
      <c r="BW338" s="23">
        <f t="shared" si="264"/>
        <v>4</v>
      </c>
      <c r="BX338" s="23" t="str">
        <f t="shared" si="262"/>
        <v/>
      </c>
      <c r="BY338" s="23" t="str">
        <f t="array" ref="BY338">_xlfn.TEXTJOIN("",TRUE,IF(ISERROR(FIND(ROW($1:$168)-1,BW338&amp;BX338)),ROW($1:$168)-1,""))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38" s="22" t="str">
        <f t="shared" si="254"/>
        <v>复中中</v>
      </c>
      <c r="CA338" s="24" t="str">
        <f t="shared" si="255"/>
        <v/>
      </c>
      <c r="CB338" s="24" t="str">
        <f t="shared" si="263"/>
        <v/>
      </c>
      <c r="CC338" s="24" t="str">
        <f t="array" ref="CC338">_xlfn.TEXTJOIN("",TRUE,IF(ISERROR(FIND(ROW($1:$168)-1,CA338&amp;CB338)),ROW($1:$168)-1,""))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38" s="22" t="str">
        <f t="shared" si="256"/>
        <v>中中中</v>
      </c>
      <c r="CE338" s="25" t="str">
        <f t="shared" si="250"/>
        <v>13</v>
      </c>
      <c r="CF338" s="26" t="str">
        <f t="array" ref="CF338">_xlfn.TEXTJOIN("",TRUE,IF(ISNUMBER(FIND(MID(CE337&amp;W337,ROW($1:$162),1),CE338&amp;W338)),MID(CE337&amp;W337,ROW($1:$162),1),""))</f>
        <v/>
      </c>
      <c r="CG338" s="27" t="str">
        <f t="array" ref="CG338">_xlfn.TEXTJOIN("",TRUE,IF(ISERROR(FIND(ROW($1:$168)-1,CE338&amp;CF338)),ROW($1:$168)-1,""))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38" s="28" t="str">
        <f t="shared" si="257"/>
        <v>邻孤孤</v>
      </c>
      <c r="CI338" s="29" t="str">
        <f t="shared" si="258"/>
        <v>35</v>
      </c>
      <c r="CJ338" s="29" t="str">
        <f t="array" ref="CJ338">_xlfn.TEXTJOIN("",TRUE,IF(ISNUMBER(FIND(MID(CI337&amp;X337,ROW($1:$162),1),CI338&amp;X338)),MID(CI337&amp;X337,ROW($1:$162),1),""))</f>
        <v>354</v>
      </c>
      <c r="CK338" s="29" t="str">
        <f t="array" ref="CK338">_xlfn.TEXTJOIN("",TRUE,IF(ISERROR(FIND(ROW($1:$168)-1,CI338&amp;CJ338)),ROW($1:$168)-1,""))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38" s="19" t="str">
        <f t="shared" si="259"/>
        <v>邻传孤</v>
      </c>
      <c r="CM338" s="24" t="str">
        <f t="shared" si="260"/>
        <v>13</v>
      </c>
      <c r="CN338" s="24" t="str">
        <f t="array" ref="CN338">_xlfn.TEXTJOIN("",TRUE,IF(ISNUMBER(FIND(MID(CM337&amp;Y337,ROW($1:$162),1),CM338&amp;Y338)),MID(CM337&amp;Y337,ROW($1:$162),1),""))</f>
        <v>23</v>
      </c>
      <c r="CO338" s="24" t="str">
        <f t="array" ref="CO338">_xlfn.TEXTJOIN("",TRUE,IF(ISERROR(FIND(ROW($1:$168)-1,CM338&amp;CN338)),ROW($1:$168)-1,""))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338" s="30" t="str">
        <f t="shared" si="261"/>
        <v>邻传孤</v>
      </c>
    </row>
    <row r="339" spans="1:94">
      <c r="A339" s="15">
        <v>339</v>
      </c>
      <c r="B339" s="80">
        <v>2024308</v>
      </c>
      <c r="C339" s="8" t="s">
        <v>313</v>
      </c>
      <c r="D339" s="81">
        <f t="shared" si="272"/>
        <v>15</v>
      </c>
      <c r="E339" s="82">
        <f t="shared" si="273"/>
        <v>5</v>
      </c>
      <c r="F339" s="83">
        <f t="shared" si="270"/>
        <v>7.5</v>
      </c>
      <c r="G339" s="84" t="str">
        <f t="shared" si="271"/>
        <v>紧凑</v>
      </c>
      <c r="H339" s="85" t="s">
        <v>10</v>
      </c>
      <c r="I339" s="85" t="s">
        <v>11</v>
      </c>
      <c r="J339" s="85" t="s">
        <v>12</v>
      </c>
      <c r="K339" s="85" t="s">
        <v>13</v>
      </c>
      <c r="L339" s="86">
        <f>MAX(MID(C339,{1,2,3},1)*1)-MIN(MID(C339,{1,2,3},1)*1)</f>
        <v>2</v>
      </c>
      <c r="M339" s="87">
        <v>0</v>
      </c>
      <c r="N339" s="87">
        <v>1</v>
      </c>
      <c r="O339" s="87">
        <v>2</v>
      </c>
      <c r="P339" s="87">
        <v>3</v>
      </c>
      <c r="Q339" s="87">
        <v>4</v>
      </c>
      <c r="R339" s="87">
        <v>5</v>
      </c>
      <c r="S339" s="87">
        <v>6</v>
      </c>
      <c r="T339" s="87">
        <v>7</v>
      </c>
      <c r="U339" s="87">
        <v>8</v>
      </c>
      <c r="V339" s="87">
        <v>9</v>
      </c>
      <c r="W339" s="88">
        <f t="shared" si="274"/>
        <v>1</v>
      </c>
      <c r="X339" s="88">
        <f t="shared" si="275"/>
        <v>2</v>
      </c>
      <c r="Y339" s="88">
        <f t="shared" si="276"/>
        <v>1</v>
      </c>
      <c r="Z339" s="89">
        <f t="shared" si="248"/>
        <v>4</v>
      </c>
      <c r="AA339" s="17" t="str">
        <f>_xlfn.TEXTJOIN(", ",TRUE,ABS(MID(C339,{1,1,2},1)-MID(C339,{2,3,3},1)))</f>
        <v>1, 2, 1</v>
      </c>
      <c r="AB339" s="90">
        <v>0</v>
      </c>
      <c r="AC339" s="90">
        <v>1</v>
      </c>
      <c r="AD339" s="90">
        <v>2</v>
      </c>
      <c r="AE339" s="90">
        <v>3</v>
      </c>
      <c r="AF339" s="90">
        <v>4</v>
      </c>
      <c r="AG339" s="90">
        <v>5</v>
      </c>
      <c r="AH339" s="90">
        <v>6</v>
      </c>
      <c r="AI339" s="90">
        <v>7</v>
      </c>
      <c r="AJ339" s="90">
        <v>8</v>
      </c>
      <c r="AK339" s="90">
        <v>9</v>
      </c>
      <c r="AL339" s="91">
        <v>0</v>
      </c>
      <c r="AM339" s="91">
        <v>1</v>
      </c>
      <c r="AN339" s="91">
        <v>2</v>
      </c>
      <c r="AO339" s="91">
        <v>3</v>
      </c>
      <c r="AP339" s="91">
        <v>4</v>
      </c>
      <c r="AQ339" s="91">
        <v>5</v>
      </c>
      <c r="AR339" s="91">
        <v>6</v>
      </c>
      <c r="AS339" s="91">
        <v>7</v>
      </c>
      <c r="AT339" s="91">
        <v>8</v>
      </c>
      <c r="AU339" s="91">
        <v>9</v>
      </c>
      <c r="AV339" s="92">
        <v>0</v>
      </c>
      <c r="AW339" s="92">
        <v>1</v>
      </c>
      <c r="AX339" s="92">
        <v>2</v>
      </c>
      <c r="AY339" s="92">
        <v>3</v>
      </c>
      <c r="AZ339" s="92">
        <v>4</v>
      </c>
      <c r="BA339" s="92">
        <v>5</v>
      </c>
      <c r="BB339" s="92">
        <v>6</v>
      </c>
      <c r="BC339" s="92">
        <v>7</v>
      </c>
      <c r="BD339" s="92">
        <v>8</v>
      </c>
      <c r="BE339" s="92">
        <v>9</v>
      </c>
      <c r="BF339" s="93">
        <v>0</v>
      </c>
      <c r="BG339" s="93">
        <v>1</v>
      </c>
      <c r="BH339" s="93">
        <v>2</v>
      </c>
      <c r="BI339" s="93">
        <v>3</v>
      </c>
      <c r="BJ339" s="93">
        <v>4</v>
      </c>
      <c r="BK339" s="93">
        <v>5</v>
      </c>
      <c r="BL339" s="93">
        <v>6</v>
      </c>
      <c r="BM339" s="93">
        <v>7</v>
      </c>
      <c r="BN339" s="93">
        <v>8</v>
      </c>
      <c r="BO339" s="93">
        <v>9</v>
      </c>
      <c r="BP339" s="94" t="str">
        <f t="shared" si="249"/>
        <v>紧凑型</v>
      </c>
      <c r="BQ339" s="15">
        <f t="shared" si="246"/>
        <v>1</v>
      </c>
      <c r="BR339" s="15">
        <f t="shared" si="247"/>
        <v>2</v>
      </c>
      <c r="BS339" s="20" t="str">
        <f t="shared" si="251"/>
        <v/>
      </c>
      <c r="BT339" s="21" t="str">
        <f t="shared" si="252"/>
        <v/>
      </c>
      <c r="BU339" s="21" t="str">
        <f t="array" ref="BU339">_xlfn.TEXTJOIN("",TRUE,IF(ISERROR(FIND(ROW($1:$168)-1,BS339&amp;BT339)),ROW($1:$168)-1,""))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39" s="22" t="str">
        <f t="shared" si="253"/>
        <v>中中中</v>
      </c>
      <c r="BW339" s="23">
        <f t="shared" si="264"/>
        <v>2</v>
      </c>
      <c r="BX339" s="23" t="str">
        <f t="shared" si="262"/>
        <v/>
      </c>
      <c r="BY339" s="23" t="str">
        <f t="array" ref="BY339">_xlfn.TEXTJOIN("",TRUE,IF(ISERROR(FIND(ROW($1:$168)-1,BW339&amp;BX339)),ROW($1:$168)-1,""))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39" s="22" t="str">
        <f t="shared" si="254"/>
        <v>复中中</v>
      </c>
      <c r="CA339" s="24" t="str">
        <f t="shared" si="255"/>
        <v/>
      </c>
      <c r="CB339" s="24" t="str">
        <f t="shared" si="263"/>
        <v/>
      </c>
      <c r="CC339" s="24" t="str">
        <f t="array" ref="CC339">_xlfn.TEXTJOIN("",TRUE,IF(ISERROR(FIND(ROW($1:$168)-1,CA339&amp;CB339)),ROW($1:$168)-1,""))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39" s="22" t="str">
        <f t="shared" si="256"/>
        <v>中中中</v>
      </c>
      <c r="CE339" s="25" t="str">
        <f t="shared" si="250"/>
        <v>02</v>
      </c>
      <c r="CF339" s="26" t="str">
        <f t="array" ref="CF339">_xlfn.TEXTJOIN("",TRUE,IF(ISNUMBER(FIND(MID(CE338&amp;W338,ROW($1:$162),1),CE339&amp;W339)),MID(CE338&amp;W338,ROW($1:$162),1),""))</f>
        <v>12</v>
      </c>
      <c r="CG339" s="27" t="str">
        <f t="array" ref="CG339">_xlfn.TEXTJOIN("",TRUE,IF(ISERROR(FIND(ROW($1:$168)-1,CE339&amp;CF339)),ROW($1:$168)-1,""))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39" s="28" t="str">
        <f t="shared" si="257"/>
        <v>邻传孤</v>
      </c>
      <c r="CI339" s="29" t="str">
        <f t="shared" si="258"/>
        <v>13</v>
      </c>
      <c r="CJ339" s="29" t="str">
        <f t="array" ref="CJ339">_xlfn.TEXTJOIN("",TRUE,IF(ISNUMBER(FIND(MID(CI338&amp;X338,ROW($1:$162),1),CI339&amp;X339)),MID(CI338&amp;X338,ROW($1:$162),1),""))</f>
        <v>3</v>
      </c>
      <c r="CK339" s="29" t="str">
        <f t="array" ref="CK339">_xlfn.TEXTJOIN("",TRUE,IF(ISERROR(FIND(ROW($1:$168)-1,CI339&amp;CJ339)),ROW($1:$168)-1,""))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339" s="19" t="str">
        <f t="shared" si="259"/>
        <v>邻传孤</v>
      </c>
      <c r="CM339" s="24" t="str">
        <f t="shared" si="260"/>
        <v>02</v>
      </c>
      <c r="CN339" s="24" t="str">
        <f t="array" ref="CN339">_xlfn.TEXTJOIN("",TRUE,IF(ISNUMBER(FIND(MID(CM338&amp;Y338,ROW($1:$162),1),CM339&amp;Y339)),MID(CM338&amp;Y338,ROW($1:$162),1),""))</f>
        <v>12</v>
      </c>
      <c r="CO339" s="24" t="str">
        <f t="array" ref="CO339">_xlfn.TEXTJOIN("",TRUE,IF(ISERROR(FIND(ROW($1:$168)-1,CM339&amp;CN339)),ROW($1:$168)-1,""))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39" s="30" t="str">
        <f t="shared" si="261"/>
        <v>邻传孤</v>
      </c>
    </row>
    <row r="340" spans="1:94">
      <c r="A340" s="15">
        <v>340</v>
      </c>
      <c r="B340" s="80">
        <v>2024309</v>
      </c>
      <c r="C340" s="8" t="s">
        <v>314</v>
      </c>
      <c r="D340" s="81">
        <f t="shared" si="272"/>
        <v>17</v>
      </c>
      <c r="E340" s="82">
        <f t="shared" si="273"/>
        <v>7</v>
      </c>
      <c r="F340" s="83">
        <f t="shared" si="270"/>
        <v>2.83333333333333</v>
      </c>
      <c r="G340" s="84" t="str">
        <f t="shared" si="271"/>
        <v>标准</v>
      </c>
      <c r="H340" s="85" t="s">
        <v>10</v>
      </c>
      <c r="I340" s="85" t="s">
        <v>11</v>
      </c>
      <c r="J340" s="85" t="s">
        <v>12</v>
      </c>
      <c r="K340" s="85" t="s">
        <v>13</v>
      </c>
      <c r="L340" s="86">
        <f>MAX(MID(C340,{1,2,3},1)*1)-MIN(MID(C340,{1,2,3},1)*1)</f>
        <v>6</v>
      </c>
      <c r="M340" s="87">
        <v>0</v>
      </c>
      <c r="N340" s="87">
        <v>1</v>
      </c>
      <c r="O340" s="87">
        <v>2</v>
      </c>
      <c r="P340" s="87">
        <v>3</v>
      </c>
      <c r="Q340" s="87">
        <v>4</v>
      </c>
      <c r="R340" s="87">
        <v>5</v>
      </c>
      <c r="S340" s="87">
        <v>6</v>
      </c>
      <c r="T340" s="87">
        <v>7</v>
      </c>
      <c r="U340" s="87">
        <v>8</v>
      </c>
      <c r="V340" s="87">
        <v>9</v>
      </c>
      <c r="W340" s="88">
        <f t="shared" si="274"/>
        <v>2</v>
      </c>
      <c r="X340" s="88">
        <f t="shared" si="275"/>
        <v>4</v>
      </c>
      <c r="Y340" s="88">
        <f t="shared" si="276"/>
        <v>6</v>
      </c>
      <c r="Z340" s="89">
        <f t="shared" si="248"/>
        <v>12</v>
      </c>
      <c r="AA340" s="17" t="str">
        <f>_xlfn.TEXTJOIN(", ",TRUE,ABS(MID(C340,{1,1,2},1)-MID(C340,{2,3,3},1)))</f>
        <v>2, 4, 6</v>
      </c>
      <c r="AB340" s="90">
        <v>0</v>
      </c>
      <c r="AC340" s="90">
        <v>1</v>
      </c>
      <c r="AD340" s="90">
        <v>2</v>
      </c>
      <c r="AE340" s="90">
        <v>3</v>
      </c>
      <c r="AF340" s="90">
        <v>4</v>
      </c>
      <c r="AG340" s="90">
        <v>5</v>
      </c>
      <c r="AH340" s="90">
        <v>6</v>
      </c>
      <c r="AI340" s="90">
        <v>7</v>
      </c>
      <c r="AJ340" s="90">
        <v>8</v>
      </c>
      <c r="AK340" s="90">
        <v>9</v>
      </c>
      <c r="AL340" s="91">
        <v>0</v>
      </c>
      <c r="AM340" s="91">
        <v>1</v>
      </c>
      <c r="AN340" s="91">
        <v>2</v>
      </c>
      <c r="AO340" s="91">
        <v>3</v>
      </c>
      <c r="AP340" s="91">
        <v>4</v>
      </c>
      <c r="AQ340" s="91">
        <v>5</v>
      </c>
      <c r="AR340" s="91">
        <v>6</v>
      </c>
      <c r="AS340" s="91">
        <v>7</v>
      </c>
      <c r="AT340" s="91">
        <v>8</v>
      </c>
      <c r="AU340" s="91">
        <v>9</v>
      </c>
      <c r="AV340" s="92">
        <v>0</v>
      </c>
      <c r="AW340" s="92">
        <v>1</v>
      </c>
      <c r="AX340" s="92">
        <v>2</v>
      </c>
      <c r="AY340" s="92">
        <v>3</v>
      </c>
      <c r="AZ340" s="92">
        <v>4</v>
      </c>
      <c r="BA340" s="92">
        <v>5</v>
      </c>
      <c r="BB340" s="92">
        <v>6</v>
      </c>
      <c r="BC340" s="92">
        <v>7</v>
      </c>
      <c r="BD340" s="92">
        <v>8</v>
      </c>
      <c r="BE340" s="92">
        <v>9</v>
      </c>
      <c r="BF340" s="93">
        <v>0</v>
      </c>
      <c r="BG340" s="93">
        <v>1</v>
      </c>
      <c r="BH340" s="93">
        <v>2</v>
      </c>
      <c r="BI340" s="93">
        <v>3</v>
      </c>
      <c r="BJ340" s="93">
        <v>4</v>
      </c>
      <c r="BK340" s="93">
        <v>5</v>
      </c>
      <c r="BL340" s="93">
        <v>6</v>
      </c>
      <c r="BM340" s="93">
        <v>7</v>
      </c>
      <c r="BN340" s="93">
        <v>8</v>
      </c>
      <c r="BO340" s="93">
        <v>9</v>
      </c>
      <c r="BP340" s="94" t="str">
        <f t="shared" si="249"/>
        <v>松散型</v>
      </c>
      <c r="BQ340" s="15">
        <f t="shared" si="246"/>
        <v>2</v>
      </c>
      <c r="BR340" s="15">
        <f t="shared" si="247"/>
        <v>6</v>
      </c>
      <c r="BS340" s="20">
        <f t="shared" si="251"/>
        <v>2</v>
      </c>
      <c r="BT340" s="21">
        <f t="shared" si="252"/>
        <v>2</v>
      </c>
      <c r="BU340" s="21" t="str">
        <f t="array" ref="BU340">_xlfn.TEXTJOIN("",TRUE,IF(ISERROR(FIND(ROW($1:$168)-1,BS340&amp;BT340)),ROW($1:$168)-1,""))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40" s="22" t="str">
        <f t="shared" si="253"/>
        <v>复隔中</v>
      </c>
      <c r="BW340" s="23" t="str">
        <f t="shared" si="264"/>
        <v/>
      </c>
      <c r="BX340" s="23">
        <f t="shared" si="262"/>
        <v>4</v>
      </c>
      <c r="BY340" s="23" t="str">
        <f t="array" ref="BY340">_xlfn.TEXTJOIN("",TRUE,IF(ISERROR(FIND(ROW($1:$168)-1,BW340&amp;BX340)),ROW($1:$168)-1,""))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40" s="22" t="str">
        <f t="shared" si="254"/>
        <v>中隔中</v>
      </c>
      <c r="CA340" s="24" t="str">
        <f t="shared" si="255"/>
        <v/>
      </c>
      <c r="CB340" s="24" t="str">
        <f t="shared" si="263"/>
        <v/>
      </c>
      <c r="CC340" s="24" t="str">
        <f t="array" ref="CC340">_xlfn.TEXTJOIN("",TRUE,IF(ISERROR(FIND(ROW($1:$168)-1,CA340&amp;CB340)),ROW($1:$168)-1,""))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40" s="22" t="str">
        <f t="shared" si="256"/>
        <v>中中中</v>
      </c>
      <c r="CE340" s="25" t="str">
        <f t="shared" si="250"/>
        <v>13</v>
      </c>
      <c r="CF340" s="26" t="str">
        <f t="array" ref="CF340">_xlfn.TEXTJOIN("",TRUE,IF(ISNUMBER(FIND(MID(CE339&amp;W339,ROW($1:$162),1),CE340&amp;W340)),MID(CE339&amp;W339,ROW($1:$162),1),""))</f>
        <v>21</v>
      </c>
      <c r="CG340" s="27" t="str">
        <f t="array" ref="CG340">_xlfn.TEXTJOIN("",TRUE,IF(ISERROR(FIND(ROW($1:$168)-1,CE340&amp;CF340)),ROW($1:$168)-1,""))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340" s="28" t="str">
        <f t="shared" si="257"/>
        <v>邻传孤</v>
      </c>
      <c r="CI340" s="29" t="str">
        <f t="shared" si="258"/>
        <v>35</v>
      </c>
      <c r="CJ340" s="29" t="str">
        <f t="array" ref="CJ340">_xlfn.TEXTJOIN("",TRUE,IF(ISNUMBER(FIND(MID(CI339&amp;X339,ROW($1:$162),1),CI340&amp;X340)),MID(CI339&amp;X339,ROW($1:$162),1),""))</f>
        <v>3</v>
      </c>
      <c r="CK340" s="29" t="str">
        <f t="array" ref="CK340">_xlfn.TEXTJOIN("",TRUE,IF(ISERROR(FIND(ROW($1:$168)-1,CI340&amp;CJ340)),ROW($1:$168)-1,""))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40" s="19" t="str">
        <f t="shared" si="259"/>
        <v>邻传孤</v>
      </c>
      <c r="CM340" s="24" t="str">
        <f t="shared" si="260"/>
        <v>57</v>
      </c>
      <c r="CN340" s="24" t="str">
        <f t="array" ref="CN340">_xlfn.TEXTJOIN("",TRUE,IF(ISNUMBER(FIND(MID(CM339&amp;Y339,ROW($1:$162),1),CM340&amp;Y340)),MID(CM339&amp;Y339,ROW($1:$162),1),""))</f>
        <v/>
      </c>
      <c r="CO340" s="24" t="str">
        <f t="array" ref="CO340">_xlfn.TEXTJOIN("",TRUE,IF(ISERROR(FIND(ROW($1:$168)-1,CM340&amp;CN340)),ROW($1:$168)-1,""))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40" s="30" t="str">
        <f t="shared" si="261"/>
        <v>邻孤孤</v>
      </c>
    </row>
    <row r="341" spans="1:94">
      <c r="A341" s="15">
        <v>341</v>
      </c>
      <c r="B341" s="80">
        <v>2024310</v>
      </c>
      <c r="C341" s="8" t="s">
        <v>315</v>
      </c>
      <c r="D341" s="81">
        <f t="shared" si="272"/>
        <v>9</v>
      </c>
      <c r="E341" s="82">
        <f t="shared" si="273"/>
        <v>9</v>
      </c>
      <c r="F341" s="83">
        <f t="shared" si="270"/>
        <v>1.5</v>
      </c>
      <c r="G341" s="84" t="str">
        <f t="shared" si="271"/>
        <v>松散</v>
      </c>
      <c r="H341" s="85" t="s">
        <v>10</v>
      </c>
      <c r="I341" s="85" t="s">
        <v>11</v>
      </c>
      <c r="J341" s="85" t="s">
        <v>12</v>
      </c>
      <c r="K341" s="85" t="s">
        <v>13</v>
      </c>
      <c r="L341" s="86">
        <f>MAX(MID(C341,{1,2,3},1)*1)-MIN(MID(C341,{1,2,3},1)*1)</f>
        <v>6</v>
      </c>
      <c r="M341" s="87">
        <v>0</v>
      </c>
      <c r="N341" s="87">
        <v>1</v>
      </c>
      <c r="O341" s="87">
        <v>2</v>
      </c>
      <c r="P341" s="87">
        <v>3</v>
      </c>
      <c r="Q341" s="87">
        <v>4</v>
      </c>
      <c r="R341" s="87">
        <v>5</v>
      </c>
      <c r="S341" s="87">
        <v>6</v>
      </c>
      <c r="T341" s="87">
        <v>7</v>
      </c>
      <c r="U341" s="87">
        <v>8</v>
      </c>
      <c r="V341" s="87">
        <v>9</v>
      </c>
      <c r="W341" s="88">
        <f t="shared" si="274"/>
        <v>6</v>
      </c>
      <c r="X341" s="88">
        <f t="shared" si="275"/>
        <v>3</v>
      </c>
      <c r="Y341" s="88">
        <f t="shared" si="276"/>
        <v>3</v>
      </c>
      <c r="Z341" s="89">
        <f t="shared" si="248"/>
        <v>12</v>
      </c>
      <c r="AA341" s="17" t="str">
        <f>_xlfn.TEXTJOIN(", ",TRUE,ABS(MID(C341,{1,1,2},1)-MID(C341,{2,3,3},1)))</f>
        <v>6, 3, 3</v>
      </c>
      <c r="AB341" s="90">
        <v>0</v>
      </c>
      <c r="AC341" s="90">
        <v>1</v>
      </c>
      <c r="AD341" s="90">
        <v>2</v>
      </c>
      <c r="AE341" s="90">
        <v>3</v>
      </c>
      <c r="AF341" s="90">
        <v>4</v>
      </c>
      <c r="AG341" s="90">
        <v>5</v>
      </c>
      <c r="AH341" s="90">
        <v>6</v>
      </c>
      <c r="AI341" s="90">
        <v>7</v>
      </c>
      <c r="AJ341" s="90">
        <v>8</v>
      </c>
      <c r="AK341" s="90">
        <v>9</v>
      </c>
      <c r="AL341" s="91">
        <v>0</v>
      </c>
      <c r="AM341" s="91">
        <v>1</v>
      </c>
      <c r="AN341" s="91">
        <v>2</v>
      </c>
      <c r="AO341" s="91">
        <v>3</v>
      </c>
      <c r="AP341" s="91">
        <v>4</v>
      </c>
      <c r="AQ341" s="91">
        <v>5</v>
      </c>
      <c r="AR341" s="91">
        <v>6</v>
      </c>
      <c r="AS341" s="91">
        <v>7</v>
      </c>
      <c r="AT341" s="91">
        <v>8</v>
      </c>
      <c r="AU341" s="91">
        <v>9</v>
      </c>
      <c r="AV341" s="92">
        <v>0</v>
      </c>
      <c r="AW341" s="92">
        <v>1</v>
      </c>
      <c r="AX341" s="92">
        <v>2</v>
      </c>
      <c r="AY341" s="92">
        <v>3</v>
      </c>
      <c r="AZ341" s="92">
        <v>4</v>
      </c>
      <c r="BA341" s="92">
        <v>5</v>
      </c>
      <c r="BB341" s="92">
        <v>6</v>
      </c>
      <c r="BC341" s="92">
        <v>7</v>
      </c>
      <c r="BD341" s="92">
        <v>8</v>
      </c>
      <c r="BE341" s="92">
        <v>9</v>
      </c>
      <c r="BF341" s="93">
        <v>0</v>
      </c>
      <c r="BG341" s="93">
        <v>1</v>
      </c>
      <c r="BH341" s="93">
        <v>2</v>
      </c>
      <c r="BI341" s="93">
        <v>3</v>
      </c>
      <c r="BJ341" s="93">
        <v>4</v>
      </c>
      <c r="BK341" s="93">
        <v>5</v>
      </c>
      <c r="BL341" s="93">
        <v>6</v>
      </c>
      <c r="BM341" s="93">
        <v>7</v>
      </c>
      <c r="BN341" s="93">
        <v>8</v>
      </c>
      <c r="BO341" s="93">
        <v>9</v>
      </c>
      <c r="BP341" s="94" t="str">
        <f t="shared" si="249"/>
        <v>松散型</v>
      </c>
      <c r="BQ341" s="15">
        <f t="shared" si="246"/>
        <v>3</v>
      </c>
      <c r="BR341" s="15">
        <f t="shared" si="247"/>
        <v>6</v>
      </c>
      <c r="BS341" s="20">
        <f t="shared" si="251"/>
        <v>6</v>
      </c>
      <c r="BT341" s="21" t="str">
        <f t="shared" si="252"/>
        <v/>
      </c>
      <c r="BU341" s="21" t="str">
        <f t="array" ref="BU341">_xlfn.TEXTJOIN("",TRUE,IF(ISERROR(FIND(ROW($1:$168)-1,BS341&amp;BT341)),ROW($1:$168)-1,""))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41" s="22" t="str">
        <f t="shared" si="253"/>
        <v>复中中</v>
      </c>
      <c r="BW341" s="23" t="str">
        <f t="shared" si="264"/>
        <v/>
      </c>
      <c r="BX341" s="23" t="str">
        <f t="shared" si="262"/>
        <v/>
      </c>
      <c r="BY341" s="23" t="str">
        <f t="array" ref="BY341">_xlfn.TEXTJOIN("",TRUE,IF(ISERROR(FIND(ROW($1:$168)-1,BW341&amp;BX341)),ROW($1:$168)-1,""))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41" s="22" t="str">
        <f t="shared" si="254"/>
        <v>中中中</v>
      </c>
      <c r="CA341" s="24" t="str">
        <f t="shared" si="255"/>
        <v/>
      </c>
      <c r="CB341" s="24" t="str">
        <f t="shared" si="263"/>
        <v/>
      </c>
      <c r="CC341" s="24" t="str">
        <f t="array" ref="CC341">_xlfn.TEXTJOIN("",TRUE,IF(ISERROR(FIND(ROW($1:$168)-1,CA341&amp;CB341)),ROW($1:$168)-1,""))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41" s="22" t="str">
        <f t="shared" si="256"/>
        <v>中中中</v>
      </c>
      <c r="CE341" s="25" t="str">
        <f t="shared" si="250"/>
        <v>57</v>
      </c>
      <c r="CF341" s="26" t="str">
        <f t="array" ref="CF341">_xlfn.TEXTJOIN("",TRUE,IF(ISNUMBER(FIND(MID(CE340&amp;W340,ROW($1:$162),1),CE341&amp;W341)),MID(CE340&amp;W340,ROW($1:$162),1),""))</f>
        <v/>
      </c>
      <c r="CG341" s="27" t="str">
        <f t="array" ref="CG341">_xlfn.TEXTJOIN("",TRUE,IF(ISERROR(FIND(ROW($1:$168)-1,CE341&amp;CF341)),ROW($1:$168)-1,""))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41" s="28" t="str">
        <f t="shared" si="257"/>
        <v>邻孤孤</v>
      </c>
      <c r="CI341" s="29" t="str">
        <f t="shared" si="258"/>
        <v>24</v>
      </c>
      <c r="CJ341" s="29" t="str">
        <f t="array" ref="CJ341">_xlfn.TEXTJOIN("",TRUE,IF(ISNUMBER(FIND(MID(CI340&amp;X340,ROW($1:$162),1),CI341&amp;X341)),MID(CI340&amp;X340,ROW($1:$162),1),""))</f>
        <v>34</v>
      </c>
      <c r="CK341" s="29" t="str">
        <f t="array" ref="CK341">_xlfn.TEXTJOIN("",TRUE,IF(ISERROR(FIND(ROW($1:$168)-1,CI341&amp;CJ341)),ROW($1:$168)-1,""))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41" s="19" t="str">
        <f t="shared" si="259"/>
        <v>邻传孤</v>
      </c>
      <c r="CM341" s="24" t="str">
        <f t="shared" si="260"/>
        <v>24</v>
      </c>
      <c r="CN341" s="24" t="str">
        <f t="array" ref="CN341">_xlfn.TEXTJOIN("",TRUE,IF(ISNUMBER(FIND(MID(CM340&amp;Y340,ROW($1:$162),1),CM341&amp;Y341)),MID(CM340&amp;Y340,ROW($1:$162),1),""))</f>
        <v/>
      </c>
      <c r="CO341" s="24" t="str">
        <f t="array" ref="CO341">_xlfn.TEXTJOIN("",TRUE,IF(ISERROR(FIND(ROW($1:$168)-1,CM341&amp;CN341)),ROW($1:$168)-1,""))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41" s="30" t="str">
        <f t="shared" si="261"/>
        <v>邻孤孤</v>
      </c>
    </row>
    <row r="342" spans="1:94">
      <c r="A342" s="15">
        <v>342</v>
      </c>
      <c r="B342" s="80">
        <v>2024311</v>
      </c>
      <c r="C342" s="8" t="s">
        <v>178</v>
      </c>
      <c r="D342" s="81">
        <f t="shared" si="272"/>
        <v>13</v>
      </c>
      <c r="E342" s="82">
        <f t="shared" si="273"/>
        <v>3</v>
      </c>
      <c r="F342" s="83">
        <f t="shared" si="270"/>
        <v>1.85714285714286</v>
      </c>
      <c r="G342" s="84" t="str">
        <f t="shared" si="271"/>
        <v>松散</v>
      </c>
      <c r="H342" s="85" t="s">
        <v>10</v>
      </c>
      <c r="I342" s="85" t="s">
        <v>11</v>
      </c>
      <c r="J342" s="85" t="s">
        <v>12</v>
      </c>
      <c r="K342" s="85" t="s">
        <v>13</v>
      </c>
      <c r="L342" s="86">
        <f>MAX(MID(C342,{1,2,3},1)*1)-MIN(MID(C342,{1,2,3},1)*1)</f>
        <v>7</v>
      </c>
      <c r="M342" s="87">
        <v>0</v>
      </c>
      <c r="N342" s="87">
        <v>1</v>
      </c>
      <c r="O342" s="87">
        <v>2</v>
      </c>
      <c r="P342" s="87">
        <v>3</v>
      </c>
      <c r="Q342" s="87">
        <v>4</v>
      </c>
      <c r="R342" s="87">
        <v>5</v>
      </c>
      <c r="S342" s="87">
        <v>6</v>
      </c>
      <c r="T342" s="87">
        <v>7</v>
      </c>
      <c r="U342" s="87">
        <v>8</v>
      </c>
      <c r="V342" s="87">
        <v>9</v>
      </c>
      <c r="W342" s="88">
        <f t="shared" si="274"/>
        <v>6</v>
      </c>
      <c r="X342" s="88">
        <f t="shared" si="275"/>
        <v>7</v>
      </c>
      <c r="Y342" s="88">
        <f t="shared" si="276"/>
        <v>1</v>
      </c>
      <c r="Z342" s="89">
        <f t="shared" si="248"/>
        <v>14</v>
      </c>
      <c r="AA342" s="17" t="str">
        <f>_xlfn.TEXTJOIN(", ",TRUE,ABS(MID(C342,{1,1,2},1)-MID(C342,{2,3,3},1)))</f>
        <v>6, 7, 1</v>
      </c>
      <c r="AB342" s="90">
        <v>0</v>
      </c>
      <c r="AC342" s="90">
        <v>1</v>
      </c>
      <c r="AD342" s="90">
        <v>2</v>
      </c>
      <c r="AE342" s="90">
        <v>3</v>
      </c>
      <c r="AF342" s="90">
        <v>4</v>
      </c>
      <c r="AG342" s="90">
        <v>5</v>
      </c>
      <c r="AH342" s="90">
        <v>6</v>
      </c>
      <c r="AI342" s="90">
        <v>7</v>
      </c>
      <c r="AJ342" s="90">
        <v>8</v>
      </c>
      <c r="AK342" s="90">
        <v>9</v>
      </c>
      <c r="AL342" s="91">
        <v>0</v>
      </c>
      <c r="AM342" s="91">
        <v>1</v>
      </c>
      <c r="AN342" s="91">
        <v>2</v>
      </c>
      <c r="AO342" s="91">
        <v>3</v>
      </c>
      <c r="AP342" s="91">
        <v>4</v>
      </c>
      <c r="AQ342" s="91">
        <v>5</v>
      </c>
      <c r="AR342" s="91">
        <v>6</v>
      </c>
      <c r="AS342" s="91">
        <v>7</v>
      </c>
      <c r="AT342" s="91">
        <v>8</v>
      </c>
      <c r="AU342" s="91">
        <v>9</v>
      </c>
      <c r="AV342" s="92">
        <v>0</v>
      </c>
      <c r="AW342" s="92">
        <v>1</v>
      </c>
      <c r="AX342" s="92">
        <v>2</v>
      </c>
      <c r="AY342" s="92">
        <v>3</v>
      </c>
      <c r="AZ342" s="92">
        <v>4</v>
      </c>
      <c r="BA342" s="92">
        <v>5</v>
      </c>
      <c r="BB342" s="92">
        <v>6</v>
      </c>
      <c r="BC342" s="92">
        <v>7</v>
      </c>
      <c r="BD342" s="92">
        <v>8</v>
      </c>
      <c r="BE342" s="92">
        <v>9</v>
      </c>
      <c r="BF342" s="93">
        <v>0</v>
      </c>
      <c r="BG342" s="93">
        <v>1</v>
      </c>
      <c r="BH342" s="93">
        <v>2</v>
      </c>
      <c r="BI342" s="93">
        <v>3</v>
      </c>
      <c r="BJ342" s="93">
        <v>4</v>
      </c>
      <c r="BK342" s="93">
        <v>5</v>
      </c>
      <c r="BL342" s="93">
        <v>6</v>
      </c>
      <c r="BM342" s="93">
        <v>7</v>
      </c>
      <c r="BN342" s="93">
        <v>8</v>
      </c>
      <c r="BO342" s="93">
        <v>9</v>
      </c>
      <c r="BP342" s="94" t="str">
        <f t="shared" si="249"/>
        <v>松散型</v>
      </c>
      <c r="BQ342" s="15">
        <f t="shared" si="246"/>
        <v>1</v>
      </c>
      <c r="BR342" s="15">
        <f t="shared" si="247"/>
        <v>7</v>
      </c>
      <c r="BS342" s="20">
        <f t="shared" si="251"/>
        <v>6</v>
      </c>
      <c r="BT342" s="21">
        <f t="shared" si="252"/>
        <v>6</v>
      </c>
      <c r="BU342" s="21" t="str">
        <f t="array" ref="BU342">_xlfn.TEXTJOIN("",TRUE,IF(ISERROR(FIND(ROW($1:$168)-1,BS342&amp;BT342)),ROW($1:$168)-1,""))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42" s="22" t="str">
        <f t="shared" si="253"/>
        <v>复隔中</v>
      </c>
      <c r="BW342" s="23" t="str">
        <f t="shared" si="264"/>
        <v/>
      </c>
      <c r="BX342" s="23" t="str">
        <f t="shared" si="262"/>
        <v/>
      </c>
      <c r="BY342" s="23" t="str">
        <f t="array" ref="BY342">_xlfn.TEXTJOIN("",TRUE,IF(ISERROR(FIND(ROW($1:$168)-1,BW342&amp;BX342)),ROW($1:$168)-1,""))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42" s="22" t="str">
        <f t="shared" si="254"/>
        <v>中中中</v>
      </c>
      <c r="CA342" s="24" t="str">
        <f t="shared" si="255"/>
        <v/>
      </c>
      <c r="CB342" s="24" t="str">
        <f t="shared" si="263"/>
        <v/>
      </c>
      <c r="CC342" s="24" t="str">
        <f t="array" ref="CC342">_xlfn.TEXTJOIN("",TRUE,IF(ISERROR(FIND(ROW($1:$168)-1,CA342&amp;CB342)),ROW($1:$168)-1,""))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42" s="22" t="str">
        <f t="shared" si="256"/>
        <v>中中中</v>
      </c>
      <c r="CE342" s="25" t="str">
        <f t="shared" si="250"/>
        <v>57</v>
      </c>
      <c r="CF342" s="26" t="str">
        <f t="array" ref="CF342">_xlfn.TEXTJOIN("",TRUE,IF(ISNUMBER(FIND(MID(CE341&amp;W341,ROW($1:$162),1),CE342&amp;W342)),MID(CE341&amp;W341,ROW($1:$162),1),""))</f>
        <v>576</v>
      </c>
      <c r="CG342" s="27" t="str">
        <f t="array" ref="CG342">_xlfn.TEXTJOIN("",TRUE,IF(ISERROR(FIND(ROW($1:$168)-1,CE342&amp;CF342)),ROW($1:$168)-1,""))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42" s="28" t="str">
        <f t="shared" si="257"/>
        <v>邻传孤</v>
      </c>
      <c r="CI342" s="29" t="str">
        <f t="shared" si="258"/>
        <v>68</v>
      </c>
      <c r="CJ342" s="29" t="str">
        <f t="array" ref="CJ342">_xlfn.TEXTJOIN("",TRUE,IF(ISNUMBER(FIND(MID(CI341&amp;X341,ROW($1:$162),1),CI342&amp;X342)),MID(CI341&amp;X341,ROW($1:$162),1),""))</f>
        <v/>
      </c>
      <c r="CK342" s="29" t="str">
        <f t="array" ref="CK342">_xlfn.TEXTJOIN("",TRUE,IF(ISERROR(FIND(ROW($1:$168)-1,CI342&amp;CJ342)),ROW($1:$168)-1,""))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42" s="19" t="str">
        <f t="shared" si="259"/>
        <v>邻孤孤</v>
      </c>
      <c r="CM342" s="24" t="str">
        <f t="shared" si="260"/>
        <v>02</v>
      </c>
      <c r="CN342" s="24" t="str">
        <f t="array" ref="CN342">_xlfn.TEXTJOIN("",TRUE,IF(ISNUMBER(FIND(MID(CM341&amp;Y341,ROW($1:$162),1),CM342&amp;Y342)),MID(CM341&amp;Y341,ROW($1:$162),1),""))</f>
        <v>2</v>
      </c>
      <c r="CO342" s="24" t="str">
        <f t="array" ref="CO342">_xlfn.TEXTJOIN("",TRUE,IF(ISERROR(FIND(ROW($1:$168)-1,CM342&amp;CN342)),ROW($1:$168)-1,""))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42" s="30" t="str">
        <f t="shared" si="261"/>
        <v>邻传孤</v>
      </c>
    </row>
    <row r="343" spans="1:94">
      <c r="A343" s="15">
        <v>343</v>
      </c>
      <c r="B343" s="80">
        <v>2024312</v>
      </c>
      <c r="C343" s="8" t="s">
        <v>316</v>
      </c>
      <c r="D343" s="81">
        <f t="shared" si="272"/>
        <v>16</v>
      </c>
      <c r="E343" s="82">
        <f t="shared" si="273"/>
        <v>6</v>
      </c>
      <c r="F343" s="83">
        <f t="shared" si="270"/>
        <v>5.33333333333333</v>
      </c>
      <c r="G343" s="84" t="str">
        <f t="shared" si="271"/>
        <v>紧凑</v>
      </c>
      <c r="H343" s="85" t="s">
        <v>10</v>
      </c>
      <c r="I343" s="85" t="s">
        <v>11</v>
      </c>
      <c r="J343" s="85" t="s">
        <v>12</v>
      </c>
      <c r="K343" s="85" t="s">
        <v>13</v>
      </c>
      <c r="L343" s="86">
        <f>MAX(MID(C343,{1,2,3},1)*1)-MIN(MID(C343,{1,2,3},1)*1)</f>
        <v>3</v>
      </c>
      <c r="M343" s="87">
        <v>0</v>
      </c>
      <c r="N343" s="87">
        <v>1</v>
      </c>
      <c r="O343" s="87">
        <v>2</v>
      </c>
      <c r="P343" s="87">
        <v>3</v>
      </c>
      <c r="Q343" s="87">
        <v>4</v>
      </c>
      <c r="R343" s="87">
        <v>5</v>
      </c>
      <c r="S343" s="87">
        <v>6</v>
      </c>
      <c r="T343" s="87">
        <v>7</v>
      </c>
      <c r="U343" s="87">
        <v>8</v>
      </c>
      <c r="V343" s="87">
        <v>9</v>
      </c>
      <c r="W343" s="88">
        <f t="shared" si="274"/>
        <v>2</v>
      </c>
      <c r="X343" s="88">
        <f t="shared" si="275"/>
        <v>3</v>
      </c>
      <c r="Y343" s="88">
        <f t="shared" si="276"/>
        <v>1</v>
      </c>
      <c r="Z343" s="89">
        <f t="shared" si="248"/>
        <v>6</v>
      </c>
      <c r="AA343" s="17" t="str">
        <f>_xlfn.TEXTJOIN(", ",TRUE,ABS(MID(C343,{1,1,2},1)-MID(C343,{2,3,3},1)))</f>
        <v>2, 3, 1</v>
      </c>
      <c r="AB343" s="90">
        <v>0</v>
      </c>
      <c r="AC343" s="90">
        <v>1</v>
      </c>
      <c r="AD343" s="90">
        <v>2</v>
      </c>
      <c r="AE343" s="90">
        <v>3</v>
      </c>
      <c r="AF343" s="90">
        <v>4</v>
      </c>
      <c r="AG343" s="90">
        <v>5</v>
      </c>
      <c r="AH343" s="90">
        <v>6</v>
      </c>
      <c r="AI343" s="90">
        <v>7</v>
      </c>
      <c r="AJ343" s="90">
        <v>8</v>
      </c>
      <c r="AK343" s="90">
        <v>9</v>
      </c>
      <c r="AL343" s="91">
        <v>0</v>
      </c>
      <c r="AM343" s="91">
        <v>1</v>
      </c>
      <c r="AN343" s="91">
        <v>2</v>
      </c>
      <c r="AO343" s="91">
        <v>3</v>
      </c>
      <c r="AP343" s="91">
        <v>4</v>
      </c>
      <c r="AQ343" s="91">
        <v>5</v>
      </c>
      <c r="AR343" s="91">
        <v>6</v>
      </c>
      <c r="AS343" s="91">
        <v>7</v>
      </c>
      <c r="AT343" s="91">
        <v>8</v>
      </c>
      <c r="AU343" s="91">
        <v>9</v>
      </c>
      <c r="AV343" s="92">
        <v>0</v>
      </c>
      <c r="AW343" s="92">
        <v>1</v>
      </c>
      <c r="AX343" s="92">
        <v>2</v>
      </c>
      <c r="AY343" s="92">
        <v>3</v>
      </c>
      <c r="AZ343" s="92">
        <v>4</v>
      </c>
      <c r="BA343" s="92">
        <v>5</v>
      </c>
      <c r="BB343" s="92">
        <v>6</v>
      </c>
      <c r="BC343" s="92">
        <v>7</v>
      </c>
      <c r="BD343" s="92">
        <v>8</v>
      </c>
      <c r="BE343" s="92">
        <v>9</v>
      </c>
      <c r="BF343" s="93">
        <v>0</v>
      </c>
      <c r="BG343" s="93">
        <v>1</v>
      </c>
      <c r="BH343" s="93">
        <v>2</v>
      </c>
      <c r="BI343" s="93">
        <v>3</v>
      </c>
      <c r="BJ343" s="93">
        <v>4</v>
      </c>
      <c r="BK343" s="93">
        <v>5</v>
      </c>
      <c r="BL343" s="93">
        <v>6</v>
      </c>
      <c r="BM343" s="93">
        <v>7</v>
      </c>
      <c r="BN343" s="93">
        <v>8</v>
      </c>
      <c r="BO343" s="93">
        <v>9</v>
      </c>
      <c r="BP343" s="94" t="str">
        <f t="shared" si="249"/>
        <v>紧凑型</v>
      </c>
      <c r="BQ343" s="15">
        <f t="shared" si="246"/>
        <v>1</v>
      </c>
      <c r="BR343" s="15">
        <f t="shared" si="247"/>
        <v>3</v>
      </c>
      <c r="BS343" s="20" t="str">
        <f t="shared" si="251"/>
        <v/>
      </c>
      <c r="BT343" s="21" t="str">
        <f t="shared" si="252"/>
        <v/>
      </c>
      <c r="BU343" s="21" t="str">
        <f t="array" ref="BU343">_xlfn.TEXTJOIN("",TRUE,IF(ISERROR(FIND(ROW($1:$168)-1,BS343&amp;BT343)),ROW($1:$168)-1,""))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43" s="22" t="str">
        <f t="shared" si="253"/>
        <v>中中中</v>
      </c>
      <c r="BW343" s="23" t="str">
        <f t="shared" si="264"/>
        <v/>
      </c>
      <c r="BX343" s="23">
        <f t="shared" si="262"/>
        <v>3</v>
      </c>
      <c r="BY343" s="23" t="str">
        <f t="array" ref="BY343">_xlfn.TEXTJOIN("",TRUE,IF(ISERROR(FIND(ROW($1:$168)-1,BW343&amp;BX343)),ROW($1:$168)-1,""))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43" s="22" t="str">
        <f t="shared" si="254"/>
        <v>中隔中</v>
      </c>
      <c r="CA343" s="24">
        <f t="shared" si="255"/>
        <v>1</v>
      </c>
      <c r="CB343" s="24" t="str">
        <f t="shared" si="263"/>
        <v/>
      </c>
      <c r="CC343" s="24" t="str">
        <f t="array" ref="CC343">_xlfn.TEXTJOIN("",TRUE,IF(ISERROR(FIND(ROW($1:$168)-1,CA343&amp;CB343)),ROW($1:$168)-1,""))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43" s="22" t="str">
        <f t="shared" si="256"/>
        <v>复中中</v>
      </c>
      <c r="CE343" s="25" t="str">
        <f t="shared" si="250"/>
        <v>13</v>
      </c>
      <c r="CF343" s="26" t="str">
        <f t="array" ref="CF343">_xlfn.TEXTJOIN("",TRUE,IF(ISNUMBER(FIND(MID(CE342&amp;W342,ROW($1:$162),1),CE343&amp;W343)),MID(CE342&amp;W342,ROW($1:$162),1),""))</f>
        <v/>
      </c>
      <c r="CG343" s="27" t="str">
        <f t="array" ref="CG343">_xlfn.TEXTJOIN("",TRUE,IF(ISERROR(FIND(ROW($1:$168)-1,CE343&amp;CF343)),ROW($1:$168)-1,""))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43" s="28" t="str">
        <f t="shared" si="257"/>
        <v>邻孤孤</v>
      </c>
      <c r="CI343" s="29" t="str">
        <f t="shared" si="258"/>
        <v>24</v>
      </c>
      <c r="CJ343" s="29" t="str">
        <f t="array" ref="CJ343">_xlfn.TEXTJOIN("",TRUE,IF(ISNUMBER(FIND(MID(CI342&amp;X342,ROW($1:$162),1),CI343&amp;X343)),MID(CI342&amp;X342,ROW($1:$162),1),""))</f>
        <v/>
      </c>
      <c r="CK343" s="29" t="str">
        <f t="array" ref="CK343">_xlfn.TEXTJOIN("",TRUE,IF(ISERROR(FIND(ROW($1:$168)-1,CI343&amp;CJ343)),ROW($1:$168)-1,""))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43" s="19" t="str">
        <f t="shared" si="259"/>
        <v>邻孤孤</v>
      </c>
      <c r="CM343" s="24" t="str">
        <f t="shared" si="260"/>
        <v>02</v>
      </c>
      <c r="CN343" s="24" t="str">
        <f t="array" ref="CN343">_xlfn.TEXTJOIN("",TRUE,IF(ISNUMBER(FIND(MID(CM342&amp;Y342,ROW($1:$162),1),CM343&amp;Y343)),MID(CM342&amp;Y342,ROW($1:$162),1),""))</f>
        <v>021</v>
      </c>
      <c r="CO343" s="24" t="str">
        <f t="array" ref="CO343">_xlfn.TEXTJOIN("",TRUE,IF(ISERROR(FIND(ROW($1:$168)-1,CM343&amp;CN343)),ROW($1:$168)-1,""))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43" s="30" t="str">
        <f t="shared" si="261"/>
        <v>邻传孤</v>
      </c>
    </row>
    <row r="344" spans="1:94">
      <c r="A344" s="15">
        <v>344</v>
      </c>
      <c r="B344" s="80">
        <v>2024313</v>
      </c>
      <c r="C344" s="8" t="s">
        <v>317</v>
      </c>
      <c r="D344" s="81">
        <f t="shared" si="272"/>
        <v>14</v>
      </c>
      <c r="E344" s="82">
        <f t="shared" si="273"/>
        <v>4</v>
      </c>
      <c r="F344" s="83">
        <f t="shared" si="270"/>
        <v>1.55555555555556</v>
      </c>
      <c r="G344" s="84" t="str">
        <f t="shared" si="271"/>
        <v>松散</v>
      </c>
      <c r="H344" s="85" t="s">
        <v>10</v>
      </c>
      <c r="I344" s="85" t="s">
        <v>11</v>
      </c>
      <c r="J344" s="85" t="s">
        <v>12</v>
      </c>
      <c r="K344" s="85" t="s">
        <v>13</v>
      </c>
      <c r="L344" s="86">
        <f>MAX(MID(C344,{1,2,3},1)*1)-MIN(MID(C344,{1,2,3},1)*1)</f>
        <v>9</v>
      </c>
      <c r="M344" s="87">
        <v>0</v>
      </c>
      <c r="N344" s="87">
        <v>1</v>
      </c>
      <c r="O344" s="87">
        <v>2</v>
      </c>
      <c r="P344" s="87">
        <v>3</v>
      </c>
      <c r="Q344" s="87">
        <v>4</v>
      </c>
      <c r="R344" s="87">
        <v>5</v>
      </c>
      <c r="S344" s="87">
        <v>6</v>
      </c>
      <c r="T344" s="87">
        <v>7</v>
      </c>
      <c r="U344" s="87">
        <v>8</v>
      </c>
      <c r="V344" s="87">
        <v>9</v>
      </c>
      <c r="W344" s="88">
        <f t="shared" si="274"/>
        <v>9</v>
      </c>
      <c r="X344" s="88">
        <f t="shared" si="275"/>
        <v>5</v>
      </c>
      <c r="Y344" s="88">
        <f t="shared" si="276"/>
        <v>4</v>
      </c>
      <c r="Z344" s="89">
        <f t="shared" si="248"/>
        <v>18</v>
      </c>
      <c r="AA344" s="17" t="str">
        <f>_xlfn.TEXTJOIN(", ",TRUE,ABS(MID(C344,{1,1,2},1)-MID(C344,{2,3,3},1)))</f>
        <v>9, 5, 4</v>
      </c>
      <c r="AB344" s="90">
        <v>0</v>
      </c>
      <c r="AC344" s="90">
        <v>1</v>
      </c>
      <c r="AD344" s="90">
        <v>2</v>
      </c>
      <c r="AE344" s="90">
        <v>3</v>
      </c>
      <c r="AF344" s="90">
        <v>4</v>
      </c>
      <c r="AG344" s="90">
        <v>5</v>
      </c>
      <c r="AH344" s="90">
        <v>6</v>
      </c>
      <c r="AI344" s="90">
        <v>7</v>
      </c>
      <c r="AJ344" s="90">
        <v>8</v>
      </c>
      <c r="AK344" s="90">
        <v>9</v>
      </c>
      <c r="AL344" s="91">
        <v>0</v>
      </c>
      <c r="AM344" s="91">
        <v>1</v>
      </c>
      <c r="AN344" s="91">
        <v>2</v>
      </c>
      <c r="AO344" s="91">
        <v>3</v>
      </c>
      <c r="AP344" s="91">
        <v>4</v>
      </c>
      <c r="AQ344" s="91">
        <v>5</v>
      </c>
      <c r="AR344" s="91">
        <v>6</v>
      </c>
      <c r="AS344" s="91">
        <v>7</v>
      </c>
      <c r="AT344" s="91">
        <v>8</v>
      </c>
      <c r="AU344" s="91">
        <v>9</v>
      </c>
      <c r="AV344" s="92">
        <v>0</v>
      </c>
      <c r="AW344" s="92">
        <v>1</v>
      </c>
      <c r="AX344" s="92">
        <v>2</v>
      </c>
      <c r="AY344" s="92">
        <v>3</v>
      </c>
      <c r="AZ344" s="92">
        <v>4</v>
      </c>
      <c r="BA344" s="92">
        <v>5</v>
      </c>
      <c r="BB344" s="92">
        <v>6</v>
      </c>
      <c r="BC344" s="92">
        <v>7</v>
      </c>
      <c r="BD344" s="92">
        <v>8</v>
      </c>
      <c r="BE344" s="92">
        <v>9</v>
      </c>
      <c r="BF344" s="93">
        <v>0</v>
      </c>
      <c r="BG344" s="93">
        <v>1</v>
      </c>
      <c r="BH344" s="93">
        <v>2</v>
      </c>
      <c r="BI344" s="93">
        <v>3</v>
      </c>
      <c r="BJ344" s="93">
        <v>4</v>
      </c>
      <c r="BK344" s="93">
        <v>5</v>
      </c>
      <c r="BL344" s="93">
        <v>6</v>
      </c>
      <c r="BM344" s="93">
        <v>7</v>
      </c>
      <c r="BN344" s="93">
        <v>8</v>
      </c>
      <c r="BO344" s="93">
        <v>9</v>
      </c>
      <c r="BP344" s="94" t="str">
        <f t="shared" si="249"/>
        <v>松散型</v>
      </c>
      <c r="BQ344" s="15">
        <f t="shared" si="246"/>
        <v>4</v>
      </c>
      <c r="BR344" s="15">
        <f t="shared" si="247"/>
        <v>9</v>
      </c>
      <c r="BS344" s="20" t="str">
        <f t="shared" si="251"/>
        <v/>
      </c>
      <c r="BT344" s="21" t="str">
        <f t="shared" si="252"/>
        <v/>
      </c>
      <c r="BU344" s="21" t="str">
        <f t="array" ref="BU344">_xlfn.TEXTJOIN("",TRUE,IF(ISERROR(FIND(ROW($1:$168)-1,BS344&amp;BT344)),ROW($1:$168)-1,""))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44" s="22" t="str">
        <f t="shared" si="253"/>
        <v>中中中</v>
      </c>
      <c r="BW344" s="23" t="str">
        <f t="shared" si="264"/>
        <v/>
      </c>
      <c r="BX344" s="23" t="str">
        <f t="shared" si="262"/>
        <v/>
      </c>
      <c r="BY344" s="23" t="str">
        <f t="array" ref="BY344">_xlfn.TEXTJOIN("",TRUE,IF(ISERROR(FIND(ROW($1:$168)-1,BW344&amp;BX344)),ROW($1:$168)-1,""))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44" s="22" t="str">
        <f t="shared" si="254"/>
        <v>中中中</v>
      </c>
      <c r="CA344" s="24" t="str">
        <f t="shared" si="255"/>
        <v/>
      </c>
      <c r="CB344" s="24" t="str">
        <f t="shared" si="263"/>
        <v/>
      </c>
      <c r="CC344" s="24" t="str">
        <f t="array" ref="CC344">_xlfn.TEXTJOIN("",TRUE,IF(ISERROR(FIND(ROW($1:$168)-1,CA344&amp;CB344)),ROW($1:$168)-1,""))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44" s="22" t="str">
        <f t="shared" si="256"/>
        <v>中中中</v>
      </c>
      <c r="CE344" s="25" t="str">
        <f t="shared" si="250"/>
        <v>80</v>
      </c>
      <c r="CF344" s="26" t="str">
        <f t="array" ref="CF344">_xlfn.TEXTJOIN("",TRUE,IF(ISNUMBER(FIND(MID(CE343&amp;W343,ROW($1:$162),1),CE344&amp;W344)),MID(CE343&amp;W343,ROW($1:$162),1),""))</f>
        <v/>
      </c>
      <c r="CG344" s="27" t="str">
        <f t="array" ref="CG344">_xlfn.TEXTJOIN("",TRUE,IF(ISERROR(FIND(ROW($1:$168)-1,CE344&amp;CF344)),ROW($1:$168)-1,""))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H344" s="28" t="str">
        <f t="shared" si="257"/>
        <v>邻孤孤</v>
      </c>
      <c r="CI344" s="29" t="str">
        <f t="shared" si="258"/>
        <v>46</v>
      </c>
      <c r="CJ344" s="29" t="str">
        <f t="array" ref="CJ344">_xlfn.TEXTJOIN("",TRUE,IF(ISNUMBER(FIND(MID(CI343&amp;X343,ROW($1:$162),1),CI344&amp;X344)),MID(CI343&amp;X343,ROW($1:$162),1),""))</f>
        <v>4</v>
      </c>
      <c r="CK344" s="29" t="str">
        <f t="array" ref="CK344">_xlfn.TEXTJOIN("",TRUE,IF(ISERROR(FIND(ROW($1:$168)-1,CI344&amp;CJ344)),ROW($1:$168)-1,""))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44" s="19" t="str">
        <f t="shared" si="259"/>
        <v>邻传孤</v>
      </c>
      <c r="CM344" s="24" t="str">
        <f t="shared" si="260"/>
        <v>35</v>
      </c>
      <c r="CN344" s="24" t="str">
        <f t="array" ref="CN344">_xlfn.TEXTJOIN("",TRUE,IF(ISNUMBER(FIND(MID(CM343&amp;Y343,ROW($1:$162),1),CM344&amp;Y344)),MID(CM343&amp;Y343,ROW($1:$162),1),""))</f>
        <v/>
      </c>
      <c r="CO344" s="24" t="str">
        <f t="array" ref="CO344">_xlfn.TEXTJOIN("",TRUE,IF(ISERROR(FIND(ROW($1:$168)-1,CM344&amp;CN344)),ROW($1:$168)-1,""))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44" s="30" t="str">
        <f t="shared" si="261"/>
        <v>邻孤孤</v>
      </c>
    </row>
    <row r="345" spans="1:94">
      <c r="A345" s="15">
        <v>345</v>
      </c>
      <c r="B345" s="80">
        <v>2024314</v>
      </c>
      <c r="C345" s="8" t="s">
        <v>318</v>
      </c>
      <c r="D345" s="81">
        <f t="shared" si="272"/>
        <v>15</v>
      </c>
      <c r="E345" s="82">
        <f t="shared" si="273"/>
        <v>5</v>
      </c>
      <c r="F345" s="83">
        <f t="shared" si="270"/>
        <v>3</v>
      </c>
      <c r="G345" s="84" t="str">
        <f t="shared" si="271"/>
        <v>标准</v>
      </c>
      <c r="H345" s="85" t="s">
        <v>10</v>
      </c>
      <c r="I345" s="85" t="s">
        <v>11</v>
      </c>
      <c r="J345" s="85" t="s">
        <v>12</v>
      </c>
      <c r="K345" s="85" t="s">
        <v>13</v>
      </c>
      <c r="L345" s="86">
        <f>MAX(MID(C345,{1,2,3},1)*1)-MIN(MID(C345,{1,2,3},1)*1)</f>
        <v>5</v>
      </c>
      <c r="M345" s="87">
        <v>0</v>
      </c>
      <c r="N345" s="87">
        <v>1</v>
      </c>
      <c r="O345" s="87">
        <v>2</v>
      </c>
      <c r="P345" s="87">
        <v>3</v>
      </c>
      <c r="Q345" s="87">
        <v>4</v>
      </c>
      <c r="R345" s="87">
        <v>5</v>
      </c>
      <c r="S345" s="87">
        <v>6</v>
      </c>
      <c r="T345" s="87">
        <v>7</v>
      </c>
      <c r="U345" s="87">
        <v>8</v>
      </c>
      <c r="V345" s="87">
        <v>9</v>
      </c>
      <c r="W345" s="88">
        <f t="shared" si="274"/>
        <v>1</v>
      </c>
      <c r="X345" s="88">
        <f t="shared" si="275"/>
        <v>4</v>
      </c>
      <c r="Y345" s="88">
        <f t="shared" si="276"/>
        <v>5</v>
      </c>
      <c r="Z345" s="89">
        <f t="shared" si="248"/>
        <v>10</v>
      </c>
      <c r="AA345" s="17" t="str">
        <f>_xlfn.TEXTJOIN(", ",TRUE,ABS(MID(C345,{1,1,2},1)-MID(C345,{2,3,3},1)))</f>
        <v>1, 4, 5</v>
      </c>
      <c r="AB345" s="90">
        <v>0</v>
      </c>
      <c r="AC345" s="90">
        <v>1</v>
      </c>
      <c r="AD345" s="90">
        <v>2</v>
      </c>
      <c r="AE345" s="90">
        <v>3</v>
      </c>
      <c r="AF345" s="90">
        <v>4</v>
      </c>
      <c r="AG345" s="90">
        <v>5</v>
      </c>
      <c r="AH345" s="90">
        <v>6</v>
      </c>
      <c r="AI345" s="90">
        <v>7</v>
      </c>
      <c r="AJ345" s="90">
        <v>8</v>
      </c>
      <c r="AK345" s="90">
        <v>9</v>
      </c>
      <c r="AL345" s="91">
        <v>0</v>
      </c>
      <c r="AM345" s="91">
        <v>1</v>
      </c>
      <c r="AN345" s="91">
        <v>2</v>
      </c>
      <c r="AO345" s="91">
        <v>3</v>
      </c>
      <c r="AP345" s="91">
        <v>4</v>
      </c>
      <c r="AQ345" s="91">
        <v>5</v>
      </c>
      <c r="AR345" s="91">
        <v>6</v>
      </c>
      <c r="AS345" s="91">
        <v>7</v>
      </c>
      <c r="AT345" s="91">
        <v>8</v>
      </c>
      <c r="AU345" s="91">
        <v>9</v>
      </c>
      <c r="AV345" s="92">
        <v>0</v>
      </c>
      <c r="AW345" s="92">
        <v>1</v>
      </c>
      <c r="AX345" s="92">
        <v>2</v>
      </c>
      <c r="AY345" s="92">
        <v>3</v>
      </c>
      <c r="AZ345" s="92">
        <v>4</v>
      </c>
      <c r="BA345" s="92">
        <v>5</v>
      </c>
      <c r="BB345" s="92">
        <v>6</v>
      </c>
      <c r="BC345" s="92">
        <v>7</v>
      </c>
      <c r="BD345" s="92">
        <v>8</v>
      </c>
      <c r="BE345" s="92">
        <v>9</v>
      </c>
      <c r="BF345" s="93">
        <v>0</v>
      </c>
      <c r="BG345" s="93">
        <v>1</v>
      </c>
      <c r="BH345" s="93">
        <v>2</v>
      </c>
      <c r="BI345" s="93">
        <v>3</v>
      </c>
      <c r="BJ345" s="93">
        <v>4</v>
      </c>
      <c r="BK345" s="93">
        <v>5</v>
      </c>
      <c r="BL345" s="93">
        <v>6</v>
      </c>
      <c r="BM345" s="93">
        <v>7</v>
      </c>
      <c r="BN345" s="93">
        <v>8</v>
      </c>
      <c r="BO345" s="93">
        <v>9</v>
      </c>
      <c r="BP345" s="94" t="str">
        <f t="shared" si="249"/>
        <v>标准型</v>
      </c>
      <c r="BQ345" s="15">
        <f t="shared" si="246"/>
        <v>1</v>
      </c>
      <c r="BR345" s="15">
        <f t="shared" si="247"/>
        <v>5</v>
      </c>
      <c r="BS345" s="20" t="str">
        <f t="shared" si="251"/>
        <v/>
      </c>
      <c r="BT345" s="21">
        <f t="shared" si="252"/>
        <v>1</v>
      </c>
      <c r="BU345" s="21" t="str">
        <f t="array" ref="BU345">_xlfn.TEXTJOIN("",TRUE,IF(ISERROR(FIND(ROW($1:$168)-1,BS345&amp;BT345)),ROW($1:$168)-1,""))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45" s="22" t="str">
        <f t="shared" si="253"/>
        <v>中隔中</v>
      </c>
      <c r="BW345" s="23">
        <f t="shared" si="264"/>
        <v>4</v>
      </c>
      <c r="BX345" s="23" t="str">
        <f t="shared" si="262"/>
        <v/>
      </c>
      <c r="BY345" s="23" t="str">
        <f t="array" ref="BY345">_xlfn.TEXTJOIN("",TRUE,IF(ISERROR(FIND(ROW($1:$168)-1,BW345&amp;BX345)),ROW($1:$168)-1,""))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45" s="22" t="str">
        <f t="shared" si="254"/>
        <v>复中中</v>
      </c>
      <c r="CA345" s="24">
        <f t="shared" si="255"/>
        <v>5</v>
      </c>
      <c r="CB345" s="24" t="str">
        <f t="shared" si="263"/>
        <v/>
      </c>
      <c r="CC345" s="24" t="str">
        <f t="array" ref="CC345">_xlfn.TEXTJOIN("",TRUE,IF(ISERROR(FIND(ROW($1:$168)-1,CA345&amp;CB345)),ROW($1:$168)-1,""))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45" s="22" t="str">
        <f t="shared" si="256"/>
        <v>复中中</v>
      </c>
      <c r="CE345" s="25" t="str">
        <f t="shared" si="250"/>
        <v>02</v>
      </c>
      <c r="CF345" s="26" t="str">
        <f t="array" ref="CF345">_xlfn.TEXTJOIN("",TRUE,IF(ISNUMBER(FIND(MID(CE344&amp;W344,ROW($1:$162),1),CE345&amp;W345)),MID(CE344&amp;W344,ROW($1:$162),1),""))</f>
        <v>0</v>
      </c>
      <c r="CG345" s="27" t="str">
        <f t="array" ref="CG345">_xlfn.TEXTJOIN("",TRUE,IF(ISERROR(FIND(ROW($1:$168)-1,CE345&amp;CF345)),ROW($1:$168)-1,""))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45" s="28" t="str">
        <f t="shared" si="257"/>
        <v>邻传孤</v>
      </c>
      <c r="CI345" s="29" t="str">
        <f t="shared" si="258"/>
        <v>35</v>
      </c>
      <c r="CJ345" s="29" t="str">
        <f t="array" ref="CJ345">_xlfn.TEXTJOIN("",TRUE,IF(ISNUMBER(FIND(MID(CI344&amp;X344,ROW($1:$162),1),CI345&amp;X345)),MID(CI344&amp;X344,ROW($1:$162),1),""))</f>
        <v>45</v>
      </c>
      <c r="CK345" s="29" t="str">
        <f t="array" ref="CK345">_xlfn.TEXTJOIN("",TRUE,IF(ISERROR(FIND(ROW($1:$168)-1,CI345&amp;CJ345)),ROW($1:$168)-1,""))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45" s="19" t="str">
        <f t="shared" si="259"/>
        <v>邻传孤</v>
      </c>
      <c r="CM345" s="24" t="str">
        <f t="shared" si="260"/>
        <v>46</v>
      </c>
      <c r="CN345" s="24" t="str">
        <f t="array" ref="CN345">_xlfn.TEXTJOIN("",TRUE,IF(ISNUMBER(FIND(MID(CM344&amp;Y344,ROW($1:$162),1),CM345&amp;Y345)),MID(CM344&amp;Y344,ROW($1:$162),1),""))</f>
        <v>54</v>
      </c>
      <c r="CO345" s="24" t="str">
        <f t="array" ref="CO345">_xlfn.TEXTJOIN("",TRUE,IF(ISERROR(FIND(ROW($1:$168)-1,CM345&amp;CN345)),ROW($1:$168)-1,""))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45" s="30" t="str">
        <f t="shared" si="261"/>
        <v>邻传孤</v>
      </c>
    </row>
    <row r="346" spans="1:94">
      <c r="A346" s="15">
        <v>346</v>
      </c>
      <c r="B346" s="80">
        <v>2024315</v>
      </c>
      <c r="C346" s="8" t="s">
        <v>319</v>
      </c>
      <c r="D346" s="81">
        <f t="shared" si="272"/>
        <v>10</v>
      </c>
      <c r="E346" s="82">
        <f t="shared" si="273"/>
        <v>0</v>
      </c>
      <c r="F346" s="83">
        <f t="shared" si="270"/>
        <v>1.25</v>
      </c>
      <c r="G346" s="84" t="str">
        <f t="shared" si="271"/>
        <v>松散</v>
      </c>
      <c r="H346" s="85" t="s">
        <v>10</v>
      </c>
      <c r="I346" s="85" t="s">
        <v>11</v>
      </c>
      <c r="J346" s="85" t="s">
        <v>12</v>
      </c>
      <c r="K346" s="85" t="s">
        <v>13</v>
      </c>
      <c r="L346" s="86">
        <f>MAX(MID(C346,{1,2,3},1)*1)-MIN(MID(C346,{1,2,3},1)*1)</f>
        <v>8</v>
      </c>
      <c r="M346" s="87">
        <v>0</v>
      </c>
      <c r="N346" s="87">
        <v>1</v>
      </c>
      <c r="O346" s="87">
        <v>2</v>
      </c>
      <c r="P346" s="87">
        <v>3</v>
      </c>
      <c r="Q346" s="87">
        <v>4</v>
      </c>
      <c r="R346" s="87">
        <v>5</v>
      </c>
      <c r="S346" s="87">
        <v>6</v>
      </c>
      <c r="T346" s="87">
        <v>7</v>
      </c>
      <c r="U346" s="87">
        <v>8</v>
      </c>
      <c r="V346" s="87">
        <v>9</v>
      </c>
      <c r="W346" s="88">
        <f t="shared" si="274"/>
        <v>8</v>
      </c>
      <c r="X346" s="88">
        <f t="shared" si="275"/>
        <v>6</v>
      </c>
      <c r="Y346" s="88">
        <f t="shared" si="276"/>
        <v>2</v>
      </c>
      <c r="Z346" s="89">
        <f t="shared" si="248"/>
        <v>16</v>
      </c>
      <c r="AA346" s="17" t="str">
        <f>_xlfn.TEXTJOIN(", ",TRUE,ABS(MID(C346,{1,1,2},1)-MID(C346,{2,3,3},1)))</f>
        <v>8, 6, 2</v>
      </c>
      <c r="AB346" s="90">
        <v>0</v>
      </c>
      <c r="AC346" s="90">
        <v>1</v>
      </c>
      <c r="AD346" s="90">
        <v>2</v>
      </c>
      <c r="AE346" s="90">
        <v>3</v>
      </c>
      <c r="AF346" s="90">
        <v>4</v>
      </c>
      <c r="AG346" s="90">
        <v>5</v>
      </c>
      <c r="AH346" s="90">
        <v>6</v>
      </c>
      <c r="AI346" s="90">
        <v>7</v>
      </c>
      <c r="AJ346" s="90">
        <v>8</v>
      </c>
      <c r="AK346" s="90">
        <v>9</v>
      </c>
      <c r="AL346" s="91">
        <v>0</v>
      </c>
      <c r="AM346" s="91">
        <v>1</v>
      </c>
      <c r="AN346" s="91">
        <v>2</v>
      </c>
      <c r="AO346" s="91">
        <v>3</v>
      </c>
      <c r="AP346" s="91">
        <v>4</v>
      </c>
      <c r="AQ346" s="91">
        <v>5</v>
      </c>
      <c r="AR346" s="91">
        <v>6</v>
      </c>
      <c r="AS346" s="91">
        <v>7</v>
      </c>
      <c r="AT346" s="91">
        <v>8</v>
      </c>
      <c r="AU346" s="91">
        <v>9</v>
      </c>
      <c r="AV346" s="92">
        <v>0</v>
      </c>
      <c r="AW346" s="92">
        <v>1</v>
      </c>
      <c r="AX346" s="92">
        <v>2</v>
      </c>
      <c r="AY346" s="92">
        <v>3</v>
      </c>
      <c r="AZ346" s="92">
        <v>4</v>
      </c>
      <c r="BA346" s="92">
        <v>5</v>
      </c>
      <c r="BB346" s="92">
        <v>6</v>
      </c>
      <c r="BC346" s="92">
        <v>7</v>
      </c>
      <c r="BD346" s="92">
        <v>8</v>
      </c>
      <c r="BE346" s="92">
        <v>9</v>
      </c>
      <c r="BF346" s="93">
        <v>0</v>
      </c>
      <c r="BG346" s="93">
        <v>1</v>
      </c>
      <c r="BH346" s="93">
        <v>2</v>
      </c>
      <c r="BI346" s="93">
        <v>3</v>
      </c>
      <c r="BJ346" s="93">
        <v>4</v>
      </c>
      <c r="BK346" s="93">
        <v>5</v>
      </c>
      <c r="BL346" s="93">
        <v>6</v>
      </c>
      <c r="BM346" s="93">
        <v>7</v>
      </c>
      <c r="BN346" s="93">
        <v>8</v>
      </c>
      <c r="BO346" s="93">
        <v>9</v>
      </c>
      <c r="BP346" s="94" t="str">
        <f t="shared" si="249"/>
        <v>松散型</v>
      </c>
      <c r="BQ346" s="15">
        <f t="shared" si="246"/>
        <v>2</v>
      </c>
      <c r="BR346" s="15">
        <f t="shared" si="247"/>
        <v>8</v>
      </c>
      <c r="BS346" s="20" t="str">
        <f t="shared" si="251"/>
        <v/>
      </c>
      <c r="BT346" s="21" t="str">
        <f t="shared" si="252"/>
        <v/>
      </c>
      <c r="BU346" s="21" t="str">
        <f t="array" ref="BU346">_xlfn.TEXTJOIN("",TRUE,IF(ISERROR(FIND(ROW($1:$168)-1,BS346&amp;BT346)),ROW($1:$168)-1,""))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46" s="22" t="str">
        <f t="shared" si="253"/>
        <v>中中中</v>
      </c>
      <c r="BW346" s="23" t="str">
        <f t="shared" si="264"/>
        <v/>
      </c>
      <c r="BX346" s="23" t="str">
        <f t="shared" si="262"/>
        <v/>
      </c>
      <c r="BY346" s="23" t="str">
        <f t="array" ref="BY346">_xlfn.TEXTJOIN("",TRUE,IF(ISERROR(FIND(ROW($1:$168)-1,BW346&amp;BX346)),ROW($1:$168)-1,""))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46" s="22" t="str">
        <f t="shared" si="254"/>
        <v>中中中</v>
      </c>
      <c r="CA346" s="24" t="str">
        <f t="shared" si="255"/>
        <v/>
      </c>
      <c r="CB346" s="24" t="str">
        <f t="shared" si="263"/>
        <v/>
      </c>
      <c r="CC346" s="24" t="str">
        <f t="array" ref="CC346">_xlfn.TEXTJOIN("",TRUE,IF(ISERROR(FIND(ROW($1:$168)-1,CA346&amp;CB346)),ROW($1:$168)-1,""))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46" s="22" t="str">
        <f t="shared" si="256"/>
        <v>中中中</v>
      </c>
      <c r="CE346" s="25" t="str">
        <f t="shared" si="250"/>
        <v>79</v>
      </c>
      <c r="CF346" s="26" t="str">
        <f t="array" ref="CF346">_xlfn.TEXTJOIN("",TRUE,IF(ISNUMBER(FIND(MID(CE345&amp;W345,ROW($1:$162),1),CE346&amp;W346)),MID(CE345&amp;W345,ROW($1:$162),1),""))</f>
        <v/>
      </c>
      <c r="CG346" s="27" t="str">
        <f t="array" ref="CG346">_xlfn.TEXTJOIN("",TRUE,IF(ISERROR(FIND(ROW($1:$168)-1,CE346&amp;CF346)),ROW($1:$168)-1,""))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346" s="28" t="str">
        <f t="shared" si="257"/>
        <v>邻孤孤</v>
      </c>
      <c r="CI346" s="29" t="str">
        <f t="shared" si="258"/>
        <v>57</v>
      </c>
      <c r="CJ346" s="29" t="str">
        <f t="array" ref="CJ346">_xlfn.TEXTJOIN("",TRUE,IF(ISNUMBER(FIND(MID(CI345&amp;X345,ROW($1:$162),1),CI346&amp;X346)),MID(CI345&amp;X345,ROW($1:$162),1),""))</f>
        <v>5</v>
      </c>
      <c r="CK346" s="29" t="str">
        <f t="array" ref="CK346">_xlfn.TEXTJOIN("",TRUE,IF(ISERROR(FIND(ROW($1:$168)-1,CI346&amp;CJ346)),ROW($1:$168)-1,""))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46" s="19" t="str">
        <f t="shared" si="259"/>
        <v>邻传孤</v>
      </c>
      <c r="CM346" s="24" t="str">
        <f t="shared" si="260"/>
        <v>13</v>
      </c>
      <c r="CN346" s="24" t="str">
        <f t="array" ref="CN346">_xlfn.TEXTJOIN("",TRUE,IF(ISNUMBER(FIND(MID(CM345&amp;Y345,ROW($1:$162),1),CM346&amp;Y346)),MID(CM345&amp;Y345,ROW($1:$162),1),""))</f>
        <v/>
      </c>
      <c r="CO346" s="24" t="str">
        <f t="array" ref="CO346">_xlfn.TEXTJOIN("",TRUE,IF(ISERROR(FIND(ROW($1:$168)-1,CM346&amp;CN346)),ROW($1:$168)-1,""))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46" s="30" t="str">
        <f t="shared" si="261"/>
        <v>邻孤孤</v>
      </c>
    </row>
    <row r="347" spans="1:94">
      <c r="A347" s="15">
        <v>347</v>
      </c>
      <c r="B347" s="80">
        <v>2024316</v>
      </c>
      <c r="C347" s="8" t="s">
        <v>320</v>
      </c>
      <c r="D347" s="81">
        <f t="shared" si="272"/>
        <v>24</v>
      </c>
      <c r="E347" s="82">
        <f t="shared" si="273"/>
        <v>4</v>
      </c>
      <c r="F347" s="83">
        <f t="shared" si="270"/>
        <v>12</v>
      </c>
      <c r="G347" s="84" t="str">
        <f t="shared" si="271"/>
        <v>紧凑</v>
      </c>
      <c r="H347" s="85" t="s">
        <v>10</v>
      </c>
      <c r="I347" s="85" t="s">
        <v>11</v>
      </c>
      <c r="J347" s="85" t="s">
        <v>12</v>
      </c>
      <c r="K347" s="85" t="s">
        <v>13</v>
      </c>
      <c r="L347" s="86">
        <f>MAX(MID(C347,{1,2,3},1)*1)-MIN(MID(C347,{1,2,3},1)*1)</f>
        <v>2</v>
      </c>
      <c r="M347" s="87">
        <v>0</v>
      </c>
      <c r="N347" s="87">
        <v>1</v>
      </c>
      <c r="O347" s="87">
        <v>2</v>
      </c>
      <c r="P347" s="87">
        <v>3</v>
      </c>
      <c r="Q347" s="87">
        <v>4</v>
      </c>
      <c r="R347" s="87">
        <v>5</v>
      </c>
      <c r="S347" s="87">
        <v>6</v>
      </c>
      <c r="T347" s="87">
        <v>7</v>
      </c>
      <c r="U347" s="87">
        <v>8</v>
      </c>
      <c r="V347" s="87">
        <v>9</v>
      </c>
      <c r="W347" s="88">
        <f t="shared" si="274"/>
        <v>1</v>
      </c>
      <c r="X347" s="88">
        <f t="shared" si="275"/>
        <v>2</v>
      </c>
      <c r="Y347" s="88">
        <f t="shared" si="276"/>
        <v>1</v>
      </c>
      <c r="Z347" s="89">
        <f t="shared" si="248"/>
        <v>4</v>
      </c>
      <c r="AA347" s="17" t="str">
        <f>_xlfn.TEXTJOIN(", ",TRUE,ABS(MID(C347,{1,1,2},1)-MID(C347,{2,3,3},1)))</f>
        <v>1, 2, 1</v>
      </c>
      <c r="AB347" s="90">
        <v>0</v>
      </c>
      <c r="AC347" s="90">
        <v>1</v>
      </c>
      <c r="AD347" s="90">
        <v>2</v>
      </c>
      <c r="AE347" s="90">
        <v>3</v>
      </c>
      <c r="AF347" s="90">
        <v>4</v>
      </c>
      <c r="AG347" s="90">
        <v>5</v>
      </c>
      <c r="AH347" s="90">
        <v>6</v>
      </c>
      <c r="AI347" s="90">
        <v>7</v>
      </c>
      <c r="AJ347" s="90">
        <v>8</v>
      </c>
      <c r="AK347" s="90">
        <v>9</v>
      </c>
      <c r="AL347" s="91">
        <v>0</v>
      </c>
      <c r="AM347" s="91">
        <v>1</v>
      </c>
      <c r="AN347" s="91">
        <v>2</v>
      </c>
      <c r="AO347" s="91">
        <v>3</v>
      </c>
      <c r="AP347" s="91">
        <v>4</v>
      </c>
      <c r="AQ347" s="91">
        <v>5</v>
      </c>
      <c r="AR347" s="91">
        <v>6</v>
      </c>
      <c r="AS347" s="91">
        <v>7</v>
      </c>
      <c r="AT347" s="91">
        <v>8</v>
      </c>
      <c r="AU347" s="91">
        <v>9</v>
      </c>
      <c r="AV347" s="92">
        <v>0</v>
      </c>
      <c r="AW347" s="92">
        <v>1</v>
      </c>
      <c r="AX347" s="92">
        <v>2</v>
      </c>
      <c r="AY347" s="92">
        <v>3</v>
      </c>
      <c r="AZ347" s="92">
        <v>4</v>
      </c>
      <c r="BA347" s="92">
        <v>5</v>
      </c>
      <c r="BB347" s="92">
        <v>6</v>
      </c>
      <c r="BC347" s="92">
        <v>7</v>
      </c>
      <c r="BD347" s="92">
        <v>8</v>
      </c>
      <c r="BE347" s="92">
        <v>9</v>
      </c>
      <c r="BF347" s="93">
        <v>0</v>
      </c>
      <c r="BG347" s="93">
        <v>1</v>
      </c>
      <c r="BH347" s="93">
        <v>2</v>
      </c>
      <c r="BI347" s="93">
        <v>3</v>
      </c>
      <c r="BJ347" s="93">
        <v>4</v>
      </c>
      <c r="BK347" s="93">
        <v>5</v>
      </c>
      <c r="BL347" s="93">
        <v>6</v>
      </c>
      <c r="BM347" s="93">
        <v>7</v>
      </c>
      <c r="BN347" s="93">
        <v>8</v>
      </c>
      <c r="BO347" s="93">
        <v>9</v>
      </c>
      <c r="BP347" s="94" t="str">
        <f t="shared" si="249"/>
        <v>紧凑型</v>
      </c>
      <c r="BQ347" s="15">
        <f t="shared" si="246"/>
        <v>1</v>
      </c>
      <c r="BR347" s="15">
        <f t="shared" si="247"/>
        <v>2</v>
      </c>
      <c r="BS347" s="20" t="str">
        <f t="shared" si="251"/>
        <v/>
      </c>
      <c r="BT347" s="21">
        <f t="shared" si="252"/>
        <v>1</v>
      </c>
      <c r="BU347" s="21" t="str">
        <f t="array" ref="BU347">_xlfn.TEXTJOIN("",TRUE,IF(ISERROR(FIND(ROW($1:$168)-1,BS347&amp;BT347)),ROW($1:$168)-1,""))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47" s="22" t="str">
        <f t="shared" si="253"/>
        <v>中隔中</v>
      </c>
      <c r="BW347" s="23">
        <f t="shared" si="264"/>
        <v>2</v>
      </c>
      <c r="BX347" s="23" t="str">
        <f t="shared" si="262"/>
        <v/>
      </c>
      <c r="BY347" s="23" t="str">
        <f t="array" ref="BY347">_xlfn.TEXTJOIN("",TRUE,IF(ISERROR(FIND(ROW($1:$168)-1,BW347&amp;BX347)),ROW($1:$168)-1,""))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47" s="22" t="str">
        <f t="shared" si="254"/>
        <v>复中中</v>
      </c>
      <c r="CA347" s="24" t="str">
        <f t="shared" si="255"/>
        <v/>
      </c>
      <c r="CB347" s="24">
        <f t="shared" si="263"/>
        <v>1</v>
      </c>
      <c r="CC347" s="24" t="str">
        <f t="array" ref="CC347">_xlfn.TEXTJOIN("",TRUE,IF(ISERROR(FIND(ROW($1:$168)-1,CA347&amp;CB347)),ROW($1:$168)-1,""))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47" s="22" t="str">
        <f t="shared" si="256"/>
        <v>中隔中</v>
      </c>
      <c r="CE347" s="25" t="str">
        <f t="shared" si="250"/>
        <v>02</v>
      </c>
      <c r="CF347" s="26" t="str">
        <f t="array" ref="CF347">_xlfn.TEXTJOIN("",TRUE,IF(ISNUMBER(FIND(MID(CE346&amp;W346,ROW($1:$162),1),CE347&amp;W347)),MID(CE346&amp;W346,ROW($1:$162),1),""))</f>
        <v/>
      </c>
      <c r="CG347" s="27" t="str">
        <f t="array" ref="CG347">_xlfn.TEXTJOIN("",TRUE,IF(ISERROR(FIND(ROW($1:$168)-1,CE347&amp;CF347)),ROW($1:$168)-1,""))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47" s="28" t="str">
        <f t="shared" si="257"/>
        <v>邻孤孤</v>
      </c>
      <c r="CI347" s="29" t="str">
        <f t="shared" si="258"/>
        <v>13</v>
      </c>
      <c r="CJ347" s="29" t="str">
        <f t="array" ref="CJ347">_xlfn.TEXTJOIN("",TRUE,IF(ISNUMBER(FIND(MID(CI346&amp;X346,ROW($1:$162),1),CI347&amp;X347)),MID(CI346&amp;X346,ROW($1:$162),1),""))</f>
        <v/>
      </c>
      <c r="CK347" s="29" t="str">
        <f t="array" ref="CK347">_xlfn.TEXTJOIN("",TRUE,IF(ISERROR(FIND(ROW($1:$168)-1,CI347&amp;CJ347)),ROW($1:$168)-1,""))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47" s="19" t="str">
        <f t="shared" si="259"/>
        <v>邻孤孤</v>
      </c>
      <c r="CM347" s="24" t="str">
        <f t="shared" si="260"/>
        <v>02</v>
      </c>
      <c r="CN347" s="24" t="str">
        <f t="array" ref="CN347">_xlfn.TEXTJOIN("",TRUE,IF(ISNUMBER(FIND(MID(CM346&amp;Y346,ROW($1:$162),1),CM347&amp;Y347)),MID(CM346&amp;Y346,ROW($1:$162),1),""))</f>
        <v>12</v>
      </c>
      <c r="CO347" s="24" t="str">
        <f t="array" ref="CO347">_xlfn.TEXTJOIN("",TRUE,IF(ISERROR(FIND(ROW($1:$168)-1,CM347&amp;CN347)),ROW($1:$168)-1,""))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47" s="30" t="str">
        <f t="shared" si="261"/>
        <v>邻传孤</v>
      </c>
    </row>
    <row r="348" spans="1:94">
      <c r="A348" s="15">
        <v>348</v>
      </c>
      <c r="B348" s="80">
        <v>2024317</v>
      </c>
      <c r="C348" s="8" t="s">
        <v>321</v>
      </c>
      <c r="D348" s="81">
        <f t="shared" si="272"/>
        <v>17</v>
      </c>
      <c r="E348" s="82">
        <f t="shared" si="273"/>
        <v>7</v>
      </c>
      <c r="F348" s="83">
        <f t="shared" si="270"/>
        <v>3.4</v>
      </c>
      <c r="G348" s="84" t="str">
        <f t="shared" si="271"/>
        <v>标准</v>
      </c>
      <c r="H348" s="85" t="s">
        <v>10</v>
      </c>
      <c r="I348" s="85" t="s">
        <v>11</v>
      </c>
      <c r="J348" s="85" t="s">
        <v>12</v>
      </c>
      <c r="K348" s="85" t="s">
        <v>13</v>
      </c>
      <c r="L348" s="86">
        <f>MAX(MID(C348,{1,2,3},1)*1)-MIN(MID(C348,{1,2,3},1)*1)</f>
        <v>5</v>
      </c>
      <c r="M348" s="87">
        <v>0</v>
      </c>
      <c r="N348" s="87">
        <v>1</v>
      </c>
      <c r="O348" s="87">
        <v>2</v>
      </c>
      <c r="P348" s="87">
        <v>3</v>
      </c>
      <c r="Q348" s="87">
        <v>4</v>
      </c>
      <c r="R348" s="87">
        <v>5</v>
      </c>
      <c r="S348" s="87">
        <v>6</v>
      </c>
      <c r="T348" s="87">
        <v>7</v>
      </c>
      <c r="U348" s="87">
        <v>8</v>
      </c>
      <c r="V348" s="87">
        <v>9</v>
      </c>
      <c r="W348" s="88">
        <f t="shared" si="274"/>
        <v>5</v>
      </c>
      <c r="X348" s="88">
        <f t="shared" si="275"/>
        <v>3</v>
      </c>
      <c r="Y348" s="88">
        <f t="shared" si="276"/>
        <v>2</v>
      </c>
      <c r="Z348" s="89">
        <f t="shared" si="248"/>
        <v>10</v>
      </c>
      <c r="AA348" s="17" t="str">
        <f>_xlfn.TEXTJOIN(", ",TRUE,ABS(MID(C348,{1,1,2},1)-MID(C348,{2,3,3},1)))</f>
        <v>5, 3, 2</v>
      </c>
      <c r="AB348" s="90">
        <v>0</v>
      </c>
      <c r="AC348" s="90">
        <v>1</v>
      </c>
      <c r="AD348" s="90">
        <v>2</v>
      </c>
      <c r="AE348" s="90">
        <v>3</v>
      </c>
      <c r="AF348" s="90">
        <v>4</v>
      </c>
      <c r="AG348" s="90">
        <v>5</v>
      </c>
      <c r="AH348" s="90">
        <v>6</v>
      </c>
      <c r="AI348" s="90">
        <v>7</v>
      </c>
      <c r="AJ348" s="90">
        <v>8</v>
      </c>
      <c r="AK348" s="90">
        <v>9</v>
      </c>
      <c r="AL348" s="91">
        <v>0</v>
      </c>
      <c r="AM348" s="91">
        <v>1</v>
      </c>
      <c r="AN348" s="91">
        <v>2</v>
      </c>
      <c r="AO348" s="91">
        <v>3</v>
      </c>
      <c r="AP348" s="91">
        <v>4</v>
      </c>
      <c r="AQ348" s="91">
        <v>5</v>
      </c>
      <c r="AR348" s="91">
        <v>6</v>
      </c>
      <c r="AS348" s="91">
        <v>7</v>
      </c>
      <c r="AT348" s="91">
        <v>8</v>
      </c>
      <c r="AU348" s="91">
        <v>9</v>
      </c>
      <c r="AV348" s="92">
        <v>0</v>
      </c>
      <c r="AW348" s="92">
        <v>1</v>
      </c>
      <c r="AX348" s="92">
        <v>2</v>
      </c>
      <c r="AY348" s="92">
        <v>3</v>
      </c>
      <c r="AZ348" s="92">
        <v>4</v>
      </c>
      <c r="BA348" s="92">
        <v>5</v>
      </c>
      <c r="BB348" s="92">
        <v>6</v>
      </c>
      <c r="BC348" s="92">
        <v>7</v>
      </c>
      <c r="BD348" s="92">
        <v>8</v>
      </c>
      <c r="BE348" s="92">
        <v>9</v>
      </c>
      <c r="BF348" s="93">
        <v>0</v>
      </c>
      <c r="BG348" s="93">
        <v>1</v>
      </c>
      <c r="BH348" s="93">
        <v>2</v>
      </c>
      <c r="BI348" s="93">
        <v>3</v>
      </c>
      <c r="BJ348" s="93">
        <v>4</v>
      </c>
      <c r="BK348" s="93">
        <v>5</v>
      </c>
      <c r="BL348" s="93">
        <v>6</v>
      </c>
      <c r="BM348" s="93">
        <v>7</v>
      </c>
      <c r="BN348" s="93">
        <v>8</v>
      </c>
      <c r="BO348" s="93">
        <v>9</v>
      </c>
      <c r="BP348" s="94" t="str">
        <f t="shared" si="249"/>
        <v>标准型</v>
      </c>
      <c r="BQ348" s="15">
        <f t="shared" si="246"/>
        <v>2</v>
      </c>
      <c r="BR348" s="15">
        <f t="shared" si="247"/>
        <v>5</v>
      </c>
      <c r="BS348" s="20" t="str">
        <f t="shared" si="251"/>
        <v/>
      </c>
      <c r="BT348" s="21" t="str">
        <f t="shared" si="252"/>
        <v/>
      </c>
      <c r="BU348" s="21" t="str">
        <f t="array" ref="BU348">_xlfn.TEXTJOIN("",TRUE,IF(ISERROR(FIND(ROW($1:$168)-1,BS348&amp;BT348)),ROW($1:$168)-1,""))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48" s="22" t="str">
        <f t="shared" si="253"/>
        <v>中中中</v>
      </c>
      <c r="BW348" s="23" t="str">
        <f t="shared" si="264"/>
        <v/>
      </c>
      <c r="BX348" s="23" t="str">
        <f t="shared" si="262"/>
        <v/>
      </c>
      <c r="BY348" s="23" t="str">
        <f t="array" ref="BY348">_xlfn.TEXTJOIN("",TRUE,IF(ISERROR(FIND(ROW($1:$168)-1,BW348&amp;BX348)),ROW($1:$168)-1,""))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48" s="22" t="str">
        <f t="shared" si="254"/>
        <v>中中中</v>
      </c>
      <c r="CA348" s="24">
        <f t="shared" si="255"/>
        <v>2</v>
      </c>
      <c r="CB348" s="24">
        <f t="shared" si="263"/>
        <v>2</v>
      </c>
      <c r="CC348" s="24" t="str">
        <f t="array" ref="CC348">_xlfn.TEXTJOIN("",TRUE,IF(ISERROR(FIND(ROW($1:$168)-1,CA348&amp;CB348)),ROW($1:$168)-1,""))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48" s="22" t="str">
        <f t="shared" si="256"/>
        <v>复隔中</v>
      </c>
      <c r="CE348" s="25" t="str">
        <f t="shared" si="250"/>
        <v>46</v>
      </c>
      <c r="CF348" s="26" t="str">
        <f t="array" ref="CF348">_xlfn.TEXTJOIN("",TRUE,IF(ISNUMBER(FIND(MID(CE347&amp;W347,ROW($1:$162),1),CE348&amp;W348)),MID(CE347&amp;W347,ROW($1:$162),1),""))</f>
        <v/>
      </c>
      <c r="CG348" s="27" t="str">
        <f t="array" ref="CG348">_xlfn.TEXTJOIN("",TRUE,IF(ISERROR(FIND(ROW($1:$168)-1,CE348&amp;CF348)),ROW($1:$168)-1,""))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48" s="28" t="str">
        <f t="shared" si="257"/>
        <v>邻孤孤</v>
      </c>
      <c r="CI348" s="29" t="str">
        <f t="shared" si="258"/>
        <v>24</v>
      </c>
      <c r="CJ348" s="29" t="str">
        <f t="array" ref="CJ348">_xlfn.TEXTJOIN("",TRUE,IF(ISNUMBER(FIND(MID(CI347&amp;X347,ROW($1:$162),1),CI348&amp;X348)),MID(CI347&amp;X347,ROW($1:$162),1),""))</f>
        <v>32</v>
      </c>
      <c r="CK348" s="29" t="str">
        <f t="array" ref="CK348">_xlfn.TEXTJOIN("",TRUE,IF(ISERROR(FIND(ROW($1:$168)-1,CI348&amp;CJ348)),ROW($1:$168)-1,""))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48" s="19" t="str">
        <f t="shared" si="259"/>
        <v>邻传孤</v>
      </c>
      <c r="CM348" s="24" t="str">
        <f t="shared" si="260"/>
        <v>13</v>
      </c>
      <c r="CN348" s="24" t="str">
        <f t="array" ref="CN348">_xlfn.TEXTJOIN("",TRUE,IF(ISNUMBER(FIND(MID(CM347&amp;Y347,ROW($1:$162),1),CM348&amp;Y348)),MID(CM347&amp;Y347,ROW($1:$162),1),""))</f>
        <v>21</v>
      </c>
      <c r="CO348" s="24" t="str">
        <f t="array" ref="CO348">_xlfn.TEXTJOIN("",TRUE,IF(ISERROR(FIND(ROW($1:$168)-1,CM348&amp;CN348)),ROW($1:$168)-1,""))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348" s="30" t="str">
        <f t="shared" si="261"/>
        <v>邻传孤</v>
      </c>
    </row>
    <row r="349" spans="1:94">
      <c r="A349" s="15">
        <v>349</v>
      </c>
      <c r="B349" s="80">
        <v>2024318</v>
      </c>
      <c r="C349" s="8" t="s">
        <v>322</v>
      </c>
      <c r="D349" s="81">
        <f t="shared" si="272"/>
        <v>12</v>
      </c>
      <c r="E349" s="82">
        <f t="shared" si="273"/>
        <v>2</v>
      </c>
      <c r="F349" s="83">
        <f t="shared" si="270"/>
        <v>4</v>
      </c>
      <c r="G349" s="84" t="str">
        <f t="shared" si="271"/>
        <v>紧凑</v>
      </c>
      <c r="H349" s="85" t="s">
        <v>10</v>
      </c>
      <c r="I349" s="85" t="s">
        <v>11</v>
      </c>
      <c r="J349" s="85" t="s">
        <v>12</v>
      </c>
      <c r="K349" s="85" t="s">
        <v>13</v>
      </c>
      <c r="L349" s="86">
        <f>MAX(MID(C349,{1,2,3},1)*1)-MIN(MID(C349,{1,2,3},1)*1)</f>
        <v>3</v>
      </c>
      <c r="M349" s="87">
        <v>0</v>
      </c>
      <c r="N349" s="87">
        <v>1</v>
      </c>
      <c r="O349" s="87">
        <v>2</v>
      </c>
      <c r="P349" s="87">
        <v>3</v>
      </c>
      <c r="Q349" s="87">
        <v>4</v>
      </c>
      <c r="R349" s="87">
        <v>5</v>
      </c>
      <c r="S349" s="87">
        <v>6</v>
      </c>
      <c r="T349" s="87">
        <v>7</v>
      </c>
      <c r="U349" s="87">
        <v>8</v>
      </c>
      <c r="V349" s="87">
        <v>9</v>
      </c>
      <c r="W349" s="88">
        <f t="shared" si="274"/>
        <v>3</v>
      </c>
      <c r="X349" s="88">
        <f t="shared" si="275"/>
        <v>0</v>
      </c>
      <c r="Y349" s="88">
        <f t="shared" si="276"/>
        <v>3</v>
      </c>
      <c r="Z349" s="89">
        <f t="shared" si="248"/>
        <v>6</v>
      </c>
      <c r="AA349" s="17" t="str">
        <f>_xlfn.TEXTJOIN(", ",TRUE,ABS(MID(C349,{1,1,2},1)-MID(C349,{2,3,3},1)))</f>
        <v>3, 0, 3</v>
      </c>
      <c r="AB349" s="90">
        <v>0</v>
      </c>
      <c r="AC349" s="90">
        <v>1</v>
      </c>
      <c r="AD349" s="90">
        <v>2</v>
      </c>
      <c r="AE349" s="90">
        <v>3</v>
      </c>
      <c r="AF349" s="90">
        <v>4</v>
      </c>
      <c r="AG349" s="90">
        <v>5</v>
      </c>
      <c r="AH349" s="90">
        <v>6</v>
      </c>
      <c r="AI349" s="90">
        <v>7</v>
      </c>
      <c r="AJ349" s="90">
        <v>8</v>
      </c>
      <c r="AK349" s="90">
        <v>9</v>
      </c>
      <c r="AL349" s="91">
        <v>0</v>
      </c>
      <c r="AM349" s="91">
        <v>1</v>
      </c>
      <c r="AN349" s="91">
        <v>2</v>
      </c>
      <c r="AO349" s="91">
        <v>3</v>
      </c>
      <c r="AP349" s="91">
        <v>4</v>
      </c>
      <c r="AQ349" s="91">
        <v>5</v>
      </c>
      <c r="AR349" s="91">
        <v>6</v>
      </c>
      <c r="AS349" s="91">
        <v>7</v>
      </c>
      <c r="AT349" s="91">
        <v>8</v>
      </c>
      <c r="AU349" s="91">
        <v>9</v>
      </c>
      <c r="AV349" s="92">
        <v>0</v>
      </c>
      <c r="AW349" s="92">
        <v>1</v>
      </c>
      <c r="AX349" s="92">
        <v>2</v>
      </c>
      <c r="AY349" s="92">
        <v>3</v>
      </c>
      <c r="AZ349" s="92">
        <v>4</v>
      </c>
      <c r="BA349" s="92">
        <v>5</v>
      </c>
      <c r="BB349" s="92">
        <v>6</v>
      </c>
      <c r="BC349" s="92">
        <v>7</v>
      </c>
      <c r="BD349" s="92">
        <v>8</v>
      </c>
      <c r="BE349" s="92">
        <v>9</v>
      </c>
      <c r="BF349" s="93">
        <v>0</v>
      </c>
      <c r="BG349" s="93">
        <v>1</v>
      </c>
      <c r="BH349" s="93">
        <v>2</v>
      </c>
      <c r="BI349" s="93">
        <v>3</v>
      </c>
      <c r="BJ349" s="93">
        <v>4</v>
      </c>
      <c r="BK349" s="93">
        <v>5</v>
      </c>
      <c r="BL349" s="93">
        <v>6</v>
      </c>
      <c r="BM349" s="93">
        <v>7</v>
      </c>
      <c r="BN349" s="93">
        <v>8</v>
      </c>
      <c r="BO349" s="93">
        <v>9</v>
      </c>
      <c r="BP349" s="94" t="str">
        <f t="shared" si="249"/>
        <v>紧凑型</v>
      </c>
      <c r="BQ349" s="15">
        <f t="shared" si="246"/>
        <v>0</v>
      </c>
      <c r="BR349" s="15">
        <f t="shared" si="247"/>
        <v>3</v>
      </c>
      <c r="BS349" s="20">
        <f t="shared" si="251"/>
        <v>3</v>
      </c>
      <c r="BT349" s="21" t="str">
        <f t="shared" si="252"/>
        <v/>
      </c>
      <c r="BU349" s="21" t="str">
        <f t="array" ref="BU349">_xlfn.TEXTJOIN("",TRUE,IF(ISERROR(FIND(ROW($1:$168)-1,BS349&amp;BT349)),ROW($1:$168)-1,""))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49" s="22" t="str">
        <f t="shared" si="253"/>
        <v>复中中</v>
      </c>
      <c r="BW349" s="23" t="str">
        <f t="shared" si="264"/>
        <v/>
      </c>
      <c r="BX349" s="23" t="str">
        <f t="shared" si="262"/>
        <v/>
      </c>
      <c r="BY349" s="23" t="str">
        <f t="array" ref="BY349">_xlfn.TEXTJOIN("",TRUE,IF(ISERROR(FIND(ROW($1:$168)-1,BW349&amp;BX349)),ROW($1:$168)-1,""))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49" s="22" t="str">
        <f t="shared" si="254"/>
        <v>中中中</v>
      </c>
      <c r="CA349" s="24">
        <f t="shared" si="255"/>
        <v>3</v>
      </c>
      <c r="CB349" s="24" t="str">
        <f t="shared" si="263"/>
        <v/>
      </c>
      <c r="CC349" s="24" t="str">
        <f t="array" ref="CC349">_xlfn.TEXTJOIN("",TRUE,IF(ISERROR(FIND(ROW($1:$168)-1,CA349&amp;CB349)),ROW($1:$168)-1,""))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49" s="22" t="str">
        <f t="shared" si="256"/>
        <v>复中中</v>
      </c>
      <c r="CE349" s="25" t="str">
        <f t="shared" si="250"/>
        <v>24</v>
      </c>
      <c r="CF349" s="26" t="str">
        <f t="array" ref="CF349">_xlfn.TEXTJOIN("",TRUE,IF(ISNUMBER(FIND(MID(CE348&amp;W348,ROW($1:$162),1),CE349&amp;W349)),MID(CE348&amp;W348,ROW($1:$162),1),""))</f>
        <v>4</v>
      </c>
      <c r="CG349" s="27" t="str">
        <f t="array" ref="CG349">_xlfn.TEXTJOIN("",TRUE,IF(ISERROR(FIND(ROW($1:$168)-1,CE349&amp;CF349)),ROW($1:$168)-1,""))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49" s="28" t="str">
        <f t="shared" si="257"/>
        <v>邻传孤</v>
      </c>
      <c r="CI349" s="29" t="str">
        <f t="shared" si="258"/>
        <v>91</v>
      </c>
      <c r="CJ349" s="29" t="str">
        <f t="array" ref="CJ349">_xlfn.TEXTJOIN("",TRUE,IF(ISNUMBER(FIND(MID(CI348&amp;X348,ROW($1:$162),1),CI349&amp;X349)),MID(CI348&amp;X348,ROW($1:$162),1),""))</f>
        <v/>
      </c>
      <c r="CK349" s="29" t="str">
        <f t="array" ref="CK349">_xlfn.TEXTJOIN("",TRUE,IF(ISERROR(FIND(ROW($1:$168)-1,CI349&amp;CJ349)),ROW($1:$168)-1,""))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349" s="19" t="str">
        <f t="shared" si="259"/>
        <v>邻孤孤</v>
      </c>
      <c r="CM349" s="24" t="str">
        <f t="shared" si="260"/>
        <v>24</v>
      </c>
      <c r="CN349" s="24" t="str">
        <f t="array" ref="CN349">_xlfn.TEXTJOIN("",TRUE,IF(ISNUMBER(FIND(MID(CM348&amp;Y348,ROW($1:$162),1),CM349&amp;Y349)),MID(CM348&amp;Y348,ROW($1:$162),1),""))</f>
        <v>32</v>
      </c>
      <c r="CO349" s="24" t="str">
        <f t="array" ref="CO349">_xlfn.TEXTJOIN("",TRUE,IF(ISERROR(FIND(ROW($1:$168)-1,CM349&amp;CN349)),ROW($1:$168)-1,""))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49" s="30" t="str">
        <f t="shared" si="261"/>
        <v>邻传孤</v>
      </c>
    </row>
    <row r="350" spans="1:94">
      <c r="A350" s="15">
        <v>350</v>
      </c>
      <c r="B350" s="80">
        <v>2024319</v>
      </c>
      <c r="C350" s="8" t="s">
        <v>323</v>
      </c>
      <c r="D350" s="81">
        <f t="shared" si="272"/>
        <v>15</v>
      </c>
      <c r="E350" s="82">
        <f t="shared" si="273"/>
        <v>5</v>
      </c>
      <c r="F350" s="83">
        <f t="shared" si="270"/>
        <v>3</v>
      </c>
      <c r="G350" s="84" t="str">
        <f t="shared" si="271"/>
        <v>标准</v>
      </c>
      <c r="H350" s="85" t="s">
        <v>10</v>
      </c>
      <c r="I350" s="85" t="s">
        <v>11</v>
      </c>
      <c r="J350" s="85" t="s">
        <v>12</v>
      </c>
      <c r="K350" s="85" t="s">
        <v>13</v>
      </c>
      <c r="L350" s="86">
        <f>MAX(MID(C350,{1,2,3},1)*1)-MIN(MID(C350,{1,2,3},1)*1)</f>
        <v>5</v>
      </c>
      <c r="M350" s="87">
        <v>0</v>
      </c>
      <c r="N350" s="87">
        <v>1</v>
      </c>
      <c r="O350" s="87">
        <v>2</v>
      </c>
      <c r="P350" s="87">
        <v>3</v>
      </c>
      <c r="Q350" s="87">
        <v>4</v>
      </c>
      <c r="R350" s="87">
        <v>5</v>
      </c>
      <c r="S350" s="87">
        <v>6</v>
      </c>
      <c r="T350" s="87">
        <v>7</v>
      </c>
      <c r="U350" s="87">
        <v>8</v>
      </c>
      <c r="V350" s="87">
        <v>9</v>
      </c>
      <c r="W350" s="88">
        <f t="shared" si="274"/>
        <v>5</v>
      </c>
      <c r="X350" s="88">
        <f t="shared" si="275"/>
        <v>1</v>
      </c>
      <c r="Y350" s="88">
        <f t="shared" si="276"/>
        <v>4</v>
      </c>
      <c r="Z350" s="89">
        <f t="shared" si="248"/>
        <v>10</v>
      </c>
      <c r="AA350" s="17" t="str">
        <f>_xlfn.TEXTJOIN(", ",TRUE,ABS(MID(C350,{1,1,2},1)-MID(C350,{2,3,3},1)))</f>
        <v>5, 1, 4</v>
      </c>
      <c r="AB350" s="90">
        <v>0</v>
      </c>
      <c r="AC350" s="90">
        <v>1</v>
      </c>
      <c r="AD350" s="90">
        <v>2</v>
      </c>
      <c r="AE350" s="90">
        <v>3</v>
      </c>
      <c r="AF350" s="90">
        <v>4</v>
      </c>
      <c r="AG350" s="90">
        <v>5</v>
      </c>
      <c r="AH350" s="90">
        <v>6</v>
      </c>
      <c r="AI350" s="90">
        <v>7</v>
      </c>
      <c r="AJ350" s="90">
        <v>8</v>
      </c>
      <c r="AK350" s="90">
        <v>9</v>
      </c>
      <c r="AL350" s="91">
        <v>0</v>
      </c>
      <c r="AM350" s="91">
        <v>1</v>
      </c>
      <c r="AN350" s="91">
        <v>2</v>
      </c>
      <c r="AO350" s="91">
        <v>3</v>
      </c>
      <c r="AP350" s="91">
        <v>4</v>
      </c>
      <c r="AQ350" s="91">
        <v>5</v>
      </c>
      <c r="AR350" s="91">
        <v>6</v>
      </c>
      <c r="AS350" s="91">
        <v>7</v>
      </c>
      <c r="AT350" s="91">
        <v>8</v>
      </c>
      <c r="AU350" s="91">
        <v>9</v>
      </c>
      <c r="AV350" s="92">
        <v>0</v>
      </c>
      <c r="AW350" s="92">
        <v>1</v>
      </c>
      <c r="AX350" s="92">
        <v>2</v>
      </c>
      <c r="AY350" s="92">
        <v>3</v>
      </c>
      <c r="AZ350" s="92">
        <v>4</v>
      </c>
      <c r="BA350" s="92">
        <v>5</v>
      </c>
      <c r="BB350" s="92">
        <v>6</v>
      </c>
      <c r="BC350" s="92">
        <v>7</v>
      </c>
      <c r="BD350" s="92">
        <v>8</v>
      </c>
      <c r="BE350" s="92">
        <v>9</v>
      </c>
      <c r="BF350" s="93">
        <v>0</v>
      </c>
      <c r="BG350" s="93">
        <v>1</v>
      </c>
      <c r="BH350" s="93">
        <v>2</v>
      </c>
      <c r="BI350" s="93">
        <v>3</v>
      </c>
      <c r="BJ350" s="93">
        <v>4</v>
      </c>
      <c r="BK350" s="93">
        <v>5</v>
      </c>
      <c r="BL350" s="93">
        <v>6</v>
      </c>
      <c r="BM350" s="93">
        <v>7</v>
      </c>
      <c r="BN350" s="93">
        <v>8</v>
      </c>
      <c r="BO350" s="93">
        <v>9</v>
      </c>
      <c r="BP350" s="94" t="str">
        <f t="shared" si="249"/>
        <v>标准型</v>
      </c>
      <c r="BQ350" s="15">
        <f t="shared" si="246"/>
        <v>1</v>
      </c>
      <c r="BR350" s="15">
        <f t="shared" si="247"/>
        <v>5</v>
      </c>
      <c r="BS350" s="20" t="str">
        <f t="shared" si="251"/>
        <v/>
      </c>
      <c r="BT350" s="21">
        <f t="shared" si="252"/>
        <v>5</v>
      </c>
      <c r="BU350" s="21" t="str">
        <f t="array" ref="BU350">_xlfn.TEXTJOIN("",TRUE,IF(ISERROR(FIND(ROW($1:$168)-1,BS350&amp;BT350)),ROW($1:$168)-1,""))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50" s="22" t="str">
        <f t="shared" si="253"/>
        <v>中隔中</v>
      </c>
      <c r="BW350" s="23" t="str">
        <f t="shared" si="264"/>
        <v/>
      </c>
      <c r="BX350" s="23" t="str">
        <f t="shared" si="262"/>
        <v/>
      </c>
      <c r="BY350" s="23" t="str">
        <f t="array" ref="BY350">_xlfn.TEXTJOIN("",TRUE,IF(ISERROR(FIND(ROW($1:$168)-1,BW350&amp;BX350)),ROW($1:$168)-1,""))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50" s="22" t="str">
        <f t="shared" si="254"/>
        <v>中中中</v>
      </c>
      <c r="CA350" s="24" t="str">
        <f t="shared" si="255"/>
        <v/>
      </c>
      <c r="CB350" s="24" t="str">
        <f t="shared" si="263"/>
        <v/>
      </c>
      <c r="CC350" s="24" t="str">
        <f t="array" ref="CC350">_xlfn.TEXTJOIN("",TRUE,IF(ISERROR(FIND(ROW($1:$168)-1,CA350&amp;CB350)),ROW($1:$168)-1,""))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50" s="22" t="str">
        <f t="shared" si="256"/>
        <v>中中中</v>
      </c>
      <c r="CE350" s="25" t="str">
        <f t="shared" si="250"/>
        <v>46</v>
      </c>
      <c r="CF350" s="26" t="str">
        <f t="array" ref="CF350">_xlfn.TEXTJOIN("",TRUE,IF(ISNUMBER(FIND(MID(CE349&amp;W349,ROW($1:$162),1),CE350&amp;W350)),MID(CE349&amp;W349,ROW($1:$162),1),""))</f>
        <v>4</v>
      </c>
      <c r="CG350" s="27" t="str">
        <f t="array" ref="CG350">_xlfn.TEXTJOIN("",TRUE,IF(ISERROR(FIND(ROW($1:$168)-1,CE350&amp;CF350)),ROW($1:$168)-1,""))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50" s="28" t="str">
        <f t="shared" si="257"/>
        <v>邻传孤</v>
      </c>
      <c r="CI350" s="29" t="str">
        <f t="shared" si="258"/>
        <v>02</v>
      </c>
      <c r="CJ350" s="29" t="str">
        <f t="array" ref="CJ350">_xlfn.TEXTJOIN("",TRUE,IF(ISNUMBER(FIND(MID(CI349&amp;X349,ROW($1:$162),1),CI350&amp;X350)),MID(CI349&amp;X349,ROW($1:$162),1),""))</f>
        <v>10</v>
      </c>
      <c r="CK350" s="29" t="str">
        <f t="array" ref="CK350">_xlfn.TEXTJOIN("",TRUE,IF(ISERROR(FIND(ROW($1:$168)-1,CI350&amp;CJ350)),ROW($1:$168)-1,""))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50" s="19" t="str">
        <f t="shared" si="259"/>
        <v>邻传孤</v>
      </c>
      <c r="CM350" s="24" t="str">
        <f t="shared" si="260"/>
        <v>35</v>
      </c>
      <c r="CN350" s="24" t="str">
        <f t="array" ref="CN350">_xlfn.TEXTJOIN("",TRUE,IF(ISNUMBER(FIND(MID(CM349&amp;Y349,ROW($1:$162),1),CM350&amp;Y350)),MID(CM349&amp;Y349,ROW($1:$162),1),""))</f>
        <v>43</v>
      </c>
      <c r="CO350" s="24" t="str">
        <f t="array" ref="CO350">_xlfn.TEXTJOIN("",TRUE,IF(ISERROR(FIND(ROW($1:$168)-1,CM350&amp;CN350)),ROW($1:$168)-1,""))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50" s="30" t="str">
        <f t="shared" si="261"/>
        <v>邻传孤</v>
      </c>
    </row>
    <row r="351" spans="1:94">
      <c r="A351" s="15">
        <v>351</v>
      </c>
      <c r="B351" s="80">
        <v>2024320</v>
      </c>
      <c r="C351" s="8" t="s">
        <v>133</v>
      </c>
      <c r="D351" s="81">
        <f t="shared" si="272"/>
        <v>22</v>
      </c>
      <c r="E351" s="82">
        <f t="shared" si="273"/>
        <v>2</v>
      </c>
      <c r="F351" s="83">
        <f t="shared" si="270"/>
        <v>22</v>
      </c>
      <c r="G351" s="84" t="str">
        <f t="shared" si="271"/>
        <v>紧凑</v>
      </c>
      <c r="H351" s="85" t="s">
        <v>10</v>
      </c>
      <c r="I351" s="85" t="s">
        <v>11</v>
      </c>
      <c r="J351" s="85" t="s">
        <v>12</v>
      </c>
      <c r="K351" s="85" t="s">
        <v>13</v>
      </c>
      <c r="L351" s="86">
        <f>MAX(MID(C351,{1,2,3},1)*1)-MIN(MID(C351,{1,2,3},1)*1)</f>
        <v>1</v>
      </c>
      <c r="M351" s="87">
        <v>0</v>
      </c>
      <c r="N351" s="87">
        <v>1</v>
      </c>
      <c r="O351" s="87">
        <v>2</v>
      </c>
      <c r="P351" s="87">
        <v>3</v>
      </c>
      <c r="Q351" s="87">
        <v>4</v>
      </c>
      <c r="R351" s="87">
        <v>5</v>
      </c>
      <c r="S351" s="87">
        <v>6</v>
      </c>
      <c r="T351" s="87">
        <v>7</v>
      </c>
      <c r="U351" s="87">
        <v>8</v>
      </c>
      <c r="V351" s="87">
        <v>9</v>
      </c>
      <c r="W351" s="88">
        <f t="shared" si="274"/>
        <v>0</v>
      </c>
      <c r="X351" s="88">
        <f t="shared" si="275"/>
        <v>1</v>
      </c>
      <c r="Y351" s="88">
        <f t="shared" si="276"/>
        <v>1</v>
      </c>
      <c r="Z351" s="89">
        <f t="shared" si="248"/>
        <v>2</v>
      </c>
      <c r="AA351" s="17" t="str">
        <f>_xlfn.TEXTJOIN(", ",TRUE,ABS(MID(C351,{1,1,2},1)-MID(C351,{2,3,3},1)))</f>
        <v>0, 1, 1</v>
      </c>
      <c r="AB351" s="90">
        <v>0</v>
      </c>
      <c r="AC351" s="90">
        <v>1</v>
      </c>
      <c r="AD351" s="90">
        <v>2</v>
      </c>
      <c r="AE351" s="90">
        <v>3</v>
      </c>
      <c r="AF351" s="90">
        <v>4</v>
      </c>
      <c r="AG351" s="90">
        <v>5</v>
      </c>
      <c r="AH351" s="90">
        <v>6</v>
      </c>
      <c r="AI351" s="90">
        <v>7</v>
      </c>
      <c r="AJ351" s="90">
        <v>8</v>
      </c>
      <c r="AK351" s="90">
        <v>9</v>
      </c>
      <c r="AL351" s="91">
        <v>0</v>
      </c>
      <c r="AM351" s="91">
        <v>1</v>
      </c>
      <c r="AN351" s="91">
        <v>2</v>
      </c>
      <c r="AO351" s="91">
        <v>3</v>
      </c>
      <c r="AP351" s="91">
        <v>4</v>
      </c>
      <c r="AQ351" s="91">
        <v>5</v>
      </c>
      <c r="AR351" s="91">
        <v>6</v>
      </c>
      <c r="AS351" s="91">
        <v>7</v>
      </c>
      <c r="AT351" s="91">
        <v>8</v>
      </c>
      <c r="AU351" s="91">
        <v>9</v>
      </c>
      <c r="AV351" s="92">
        <v>0</v>
      </c>
      <c r="AW351" s="92">
        <v>1</v>
      </c>
      <c r="AX351" s="92">
        <v>2</v>
      </c>
      <c r="AY351" s="92">
        <v>3</v>
      </c>
      <c r="AZ351" s="92">
        <v>4</v>
      </c>
      <c r="BA351" s="92">
        <v>5</v>
      </c>
      <c r="BB351" s="92">
        <v>6</v>
      </c>
      <c r="BC351" s="92">
        <v>7</v>
      </c>
      <c r="BD351" s="92">
        <v>8</v>
      </c>
      <c r="BE351" s="92">
        <v>9</v>
      </c>
      <c r="BF351" s="93">
        <v>0</v>
      </c>
      <c r="BG351" s="93">
        <v>1</v>
      </c>
      <c r="BH351" s="93">
        <v>2</v>
      </c>
      <c r="BI351" s="93">
        <v>3</v>
      </c>
      <c r="BJ351" s="93">
        <v>4</v>
      </c>
      <c r="BK351" s="93">
        <v>5</v>
      </c>
      <c r="BL351" s="93">
        <v>6</v>
      </c>
      <c r="BM351" s="93">
        <v>7</v>
      </c>
      <c r="BN351" s="93">
        <v>8</v>
      </c>
      <c r="BO351" s="93">
        <v>9</v>
      </c>
      <c r="BP351" s="94" t="str">
        <f t="shared" si="249"/>
        <v>紧凑型</v>
      </c>
      <c r="BQ351" s="15">
        <f t="shared" si="246"/>
        <v>0</v>
      </c>
      <c r="BR351" s="15">
        <f t="shared" si="247"/>
        <v>1</v>
      </c>
      <c r="BS351" s="20" t="str">
        <f t="shared" si="251"/>
        <v/>
      </c>
      <c r="BT351" s="21">
        <f t="shared" si="252"/>
        <v>0</v>
      </c>
      <c r="BU351" s="21" t="str">
        <f t="array" ref="BU351">_xlfn.TEXTJOIN("",TRUE,IF(ISERROR(FIND(ROW($1:$168)-1,BS351&amp;BT351)),ROW($1:$168)-1,""))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51" s="22" t="str">
        <f t="shared" si="253"/>
        <v>中隔中</v>
      </c>
      <c r="BW351" s="23">
        <f t="shared" si="264"/>
        <v>1</v>
      </c>
      <c r="BX351" s="23" t="str">
        <f t="shared" si="262"/>
        <v/>
      </c>
      <c r="BY351" s="23" t="str">
        <f t="array" ref="BY351">_xlfn.TEXTJOIN("",TRUE,IF(ISERROR(FIND(ROW($1:$168)-1,BW351&amp;BX351)),ROW($1:$168)-1,""))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51" s="22" t="str">
        <f t="shared" si="254"/>
        <v>复中中</v>
      </c>
      <c r="CA351" s="24">
        <f t="shared" si="255"/>
        <v>1</v>
      </c>
      <c r="CB351" s="24" t="str">
        <f t="shared" si="263"/>
        <v/>
      </c>
      <c r="CC351" s="24" t="str">
        <f t="array" ref="CC351">_xlfn.TEXTJOIN("",TRUE,IF(ISERROR(FIND(ROW($1:$168)-1,CA351&amp;CB351)),ROW($1:$168)-1,""))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51" s="22" t="str">
        <f t="shared" si="256"/>
        <v>复中中</v>
      </c>
      <c r="CE351" s="25" t="str">
        <f t="shared" si="250"/>
        <v>91</v>
      </c>
      <c r="CF351" s="26" t="str">
        <f t="array" ref="CF351">_xlfn.TEXTJOIN("",TRUE,IF(ISNUMBER(FIND(MID(CE350&amp;W350,ROW($1:$162),1),CE351&amp;W351)),MID(CE350&amp;W350,ROW($1:$162),1),""))</f>
        <v/>
      </c>
      <c r="CG351" s="27" t="str">
        <f t="array" ref="CG351">_xlfn.TEXTJOIN("",TRUE,IF(ISERROR(FIND(ROW($1:$168)-1,CE351&amp;CF351)),ROW($1:$168)-1,""))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351" s="28" t="str">
        <f t="shared" si="257"/>
        <v>邻孤孤</v>
      </c>
      <c r="CI351" s="29" t="str">
        <f t="shared" si="258"/>
        <v>02</v>
      </c>
      <c r="CJ351" s="29" t="str">
        <f t="array" ref="CJ351">_xlfn.TEXTJOIN("",TRUE,IF(ISNUMBER(FIND(MID(CI350&amp;X350,ROW($1:$162),1),CI351&amp;X351)),MID(CI350&amp;X350,ROW($1:$162),1),""))</f>
        <v>021</v>
      </c>
      <c r="CK351" s="29" t="str">
        <f t="array" ref="CK351">_xlfn.TEXTJOIN("",TRUE,IF(ISERROR(FIND(ROW($1:$168)-1,CI351&amp;CJ351)),ROW($1:$168)-1,""))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51" s="19" t="str">
        <f t="shared" si="259"/>
        <v>邻传孤</v>
      </c>
      <c r="CM351" s="24" t="str">
        <f t="shared" si="260"/>
        <v>02</v>
      </c>
      <c r="CN351" s="24" t="str">
        <f t="array" ref="CN351">_xlfn.TEXTJOIN("",TRUE,IF(ISNUMBER(FIND(MID(CM350&amp;Y350,ROW($1:$162),1),CM351&amp;Y351)),MID(CM350&amp;Y350,ROW($1:$162),1),""))</f>
        <v/>
      </c>
      <c r="CO351" s="24" t="str">
        <f t="array" ref="CO351">_xlfn.TEXTJOIN("",TRUE,IF(ISERROR(FIND(ROW($1:$168)-1,CM351&amp;CN351)),ROW($1:$168)-1,""))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51" s="30" t="str">
        <f t="shared" si="261"/>
        <v>邻孤孤</v>
      </c>
    </row>
    <row r="352" spans="1:94">
      <c r="A352" s="15">
        <v>352</v>
      </c>
      <c r="B352" s="80">
        <v>2024321</v>
      </c>
      <c r="C352" s="8" t="s">
        <v>111</v>
      </c>
      <c r="D352" s="81">
        <f t="shared" si="272"/>
        <v>11</v>
      </c>
      <c r="E352" s="82">
        <f t="shared" si="273"/>
        <v>1</v>
      </c>
      <c r="F352" s="83">
        <f t="shared" si="270"/>
        <v>3.66666666666667</v>
      </c>
      <c r="G352" s="84" t="str">
        <f t="shared" si="271"/>
        <v>紧凑</v>
      </c>
      <c r="H352" s="85" t="s">
        <v>10</v>
      </c>
      <c r="I352" s="85" t="s">
        <v>11</v>
      </c>
      <c r="J352" s="85" t="s">
        <v>12</v>
      </c>
      <c r="K352" s="85" t="s">
        <v>13</v>
      </c>
      <c r="L352" s="86">
        <f>MAX(MID(C352,{1,2,3},1)*1)-MIN(MID(C352,{1,2,3},1)*1)</f>
        <v>3</v>
      </c>
      <c r="M352" s="87">
        <v>0</v>
      </c>
      <c r="N352" s="87">
        <v>1</v>
      </c>
      <c r="O352" s="87">
        <v>2</v>
      </c>
      <c r="P352" s="87">
        <v>3</v>
      </c>
      <c r="Q352" s="87">
        <v>4</v>
      </c>
      <c r="R352" s="87">
        <v>5</v>
      </c>
      <c r="S352" s="87">
        <v>6</v>
      </c>
      <c r="T352" s="87">
        <v>7</v>
      </c>
      <c r="U352" s="87">
        <v>8</v>
      </c>
      <c r="V352" s="87">
        <v>9</v>
      </c>
      <c r="W352" s="88">
        <f t="shared" si="274"/>
        <v>1</v>
      </c>
      <c r="X352" s="88">
        <f t="shared" si="275"/>
        <v>3</v>
      </c>
      <c r="Y352" s="88">
        <f t="shared" si="276"/>
        <v>2</v>
      </c>
      <c r="Z352" s="89">
        <f t="shared" si="248"/>
        <v>6</v>
      </c>
      <c r="AA352" s="17" t="str">
        <f>_xlfn.TEXTJOIN(", ",TRUE,ABS(MID(C352,{1,1,2},1)-MID(C352,{2,3,3},1)))</f>
        <v>1, 3, 2</v>
      </c>
      <c r="AB352" s="90">
        <v>0</v>
      </c>
      <c r="AC352" s="90">
        <v>1</v>
      </c>
      <c r="AD352" s="90">
        <v>2</v>
      </c>
      <c r="AE352" s="90">
        <v>3</v>
      </c>
      <c r="AF352" s="90">
        <v>4</v>
      </c>
      <c r="AG352" s="90">
        <v>5</v>
      </c>
      <c r="AH352" s="90">
        <v>6</v>
      </c>
      <c r="AI352" s="90">
        <v>7</v>
      </c>
      <c r="AJ352" s="90">
        <v>8</v>
      </c>
      <c r="AK352" s="90">
        <v>9</v>
      </c>
      <c r="AL352" s="91">
        <v>0</v>
      </c>
      <c r="AM352" s="91">
        <v>1</v>
      </c>
      <c r="AN352" s="91">
        <v>2</v>
      </c>
      <c r="AO352" s="91">
        <v>3</v>
      </c>
      <c r="AP352" s="91">
        <v>4</v>
      </c>
      <c r="AQ352" s="91">
        <v>5</v>
      </c>
      <c r="AR352" s="91">
        <v>6</v>
      </c>
      <c r="AS352" s="91">
        <v>7</v>
      </c>
      <c r="AT352" s="91">
        <v>8</v>
      </c>
      <c r="AU352" s="91">
        <v>9</v>
      </c>
      <c r="AV352" s="92">
        <v>0</v>
      </c>
      <c r="AW352" s="92">
        <v>1</v>
      </c>
      <c r="AX352" s="92">
        <v>2</v>
      </c>
      <c r="AY352" s="92">
        <v>3</v>
      </c>
      <c r="AZ352" s="92">
        <v>4</v>
      </c>
      <c r="BA352" s="92">
        <v>5</v>
      </c>
      <c r="BB352" s="92">
        <v>6</v>
      </c>
      <c r="BC352" s="92">
        <v>7</v>
      </c>
      <c r="BD352" s="92">
        <v>8</v>
      </c>
      <c r="BE352" s="92">
        <v>9</v>
      </c>
      <c r="BF352" s="93">
        <v>0</v>
      </c>
      <c r="BG352" s="93">
        <v>1</v>
      </c>
      <c r="BH352" s="93">
        <v>2</v>
      </c>
      <c r="BI352" s="93">
        <v>3</v>
      </c>
      <c r="BJ352" s="93">
        <v>4</v>
      </c>
      <c r="BK352" s="93">
        <v>5</v>
      </c>
      <c r="BL352" s="93">
        <v>6</v>
      </c>
      <c r="BM352" s="93">
        <v>7</v>
      </c>
      <c r="BN352" s="93">
        <v>8</v>
      </c>
      <c r="BO352" s="93">
        <v>9</v>
      </c>
      <c r="BP352" s="94" t="str">
        <f t="shared" si="249"/>
        <v>紧凑型</v>
      </c>
      <c r="BQ352" s="15">
        <f t="shared" si="246"/>
        <v>1</v>
      </c>
      <c r="BR352" s="15">
        <f t="shared" si="247"/>
        <v>3</v>
      </c>
      <c r="BS352" s="20">
        <f t="shared" si="251"/>
        <v>1</v>
      </c>
      <c r="BT352" s="21">
        <f t="shared" si="252"/>
        <v>1</v>
      </c>
      <c r="BU352" s="21" t="str">
        <f t="array" ref="BU352">_xlfn.TEXTJOIN("",TRUE,IF(ISERROR(FIND(ROW($1:$168)-1,BS352&amp;BT352)),ROW($1:$168)-1,""))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52" s="22" t="str">
        <f t="shared" si="253"/>
        <v>复隔中</v>
      </c>
      <c r="BW352" s="23" t="str">
        <f t="shared" si="264"/>
        <v/>
      </c>
      <c r="BX352" s="23" t="str">
        <f t="shared" si="262"/>
        <v/>
      </c>
      <c r="BY352" s="23" t="str">
        <f t="array" ref="BY352">_xlfn.TEXTJOIN("",TRUE,IF(ISERROR(FIND(ROW($1:$168)-1,BW352&amp;BX352)),ROW($1:$168)-1,""))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52" s="22" t="str">
        <f t="shared" si="254"/>
        <v>中中中</v>
      </c>
      <c r="CA352" s="24" t="str">
        <f t="shared" si="255"/>
        <v/>
      </c>
      <c r="CB352" s="24" t="str">
        <f t="shared" si="263"/>
        <v/>
      </c>
      <c r="CC352" s="24" t="str">
        <f t="array" ref="CC352">_xlfn.TEXTJOIN("",TRUE,IF(ISERROR(FIND(ROW($1:$168)-1,CA352&amp;CB352)),ROW($1:$168)-1,""))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52" s="22" t="str">
        <f t="shared" si="256"/>
        <v>中中中</v>
      </c>
      <c r="CE352" s="25" t="str">
        <f t="shared" si="250"/>
        <v>02</v>
      </c>
      <c r="CF352" s="26" t="str">
        <f t="array" ref="CF352">_xlfn.TEXTJOIN("",TRUE,IF(ISNUMBER(FIND(MID(CE351&amp;W351,ROW($1:$162),1),CE352&amp;W352)),MID(CE351&amp;W351,ROW($1:$162),1),""))</f>
        <v>10</v>
      </c>
      <c r="CG352" s="27" t="str">
        <f t="array" ref="CG352">_xlfn.TEXTJOIN("",TRUE,IF(ISERROR(FIND(ROW($1:$168)-1,CE352&amp;CF352)),ROW($1:$168)-1,""))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52" s="28" t="str">
        <f t="shared" si="257"/>
        <v>邻传孤</v>
      </c>
      <c r="CI352" s="29" t="str">
        <f t="shared" si="258"/>
        <v>24</v>
      </c>
      <c r="CJ352" s="29" t="str">
        <f t="array" ref="CJ352">_xlfn.TEXTJOIN("",TRUE,IF(ISNUMBER(FIND(MID(CI351&amp;X351,ROW($1:$162),1),CI352&amp;X352)),MID(CI351&amp;X351,ROW($1:$162),1),""))</f>
        <v>2</v>
      </c>
      <c r="CK352" s="29" t="str">
        <f t="array" ref="CK352">_xlfn.TEXTJOIN("",TRUE,IF(ISERROR(FIND(ROW($1:$168)-1,CI352&amp;CJ352)),ROW($1:$168)-1,""))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52" s="19" t="str">
        <f t="shared" si="259"/>
        <v>邻传孤</v>
      </c>
      <c r="CM352" s="24" t="str">
        <f t="shared" si="260"/>
        <v>13</v>
      </c>
      <c r="CN352" s="24" t="str">
        <f t="array" ref="CN352">_xlfn.TEXTJOIN("",TRUE,IF(ISNUMBER(FIND(MID(CM351&amp;Y351,ROW($1:$162),1),CM352&amp;Y352)),MID(CM351&amp;Y351,ROW($1:$162),1),""))</f>
        <v>21</v>
      </c>
      <c r="CO352" s="24" t="str">
        <f t="array" ref="CO352">_xlfn.TEXTJOIN("",TRUE,IF(ISERROR(FIND(ROW($1:$168)-1,CM352&amp;CN352)),ROW($1:$168)-1,""))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352" s="30" t="str">
        <f t="shared" si="261"/>
        <v>邻传孤</v>
      </c>
    </row>
    <row r="353" spans="1:94">
      <c r="A353" s="15">
        <v>353</v>
      </c>
      <c r="B353" s="80">
        <v>2024322</v>
      </c>
      <c r="C353" s="8" t="s">
        <v>324</v>
      </c>
      <c r="D353" s="81">
        <f t="shared" si="272"/>
        <v>21</v>
      </c>
      <c r="E353" s="82">
        <f t="shared" si="273"/>
        <v>1</v>
      </c>
      <c r="F353" s="83">
        <f t="shared" si="270"/>
        <v>10.5</v>
      </c>
      <c r="G353" s="84" t="str">
        <f t="shared" si="271"/>
        <v>紧凑</v>
      </c>
      <c r="H353" s="85" t="s">
        <v>10</v>
      </c>
      <c r="I353" s="85" t="s">
        <v>11</v>
      </c>
      <c r="J353" s="85" t="s">
        <v>12</v>
      </c>
      <c r="K353" s="85" t="s">
        <v>13</v>
      </c>
      <c r="L353" s="86">
        <f>MAX(MID(C353,{1,2,3},1)*1)-MIN(MID(C353,{1,2,3},1)*1)</f>
        <v>2</v>
      </c>
      <c r="M353" s="87">
        <v>0</v>
      </c>
      <c r="N353" s="87">
        <v>1</v>
      </c>
      <c r="O353" s="87">
        <v>2</v>
      </c>
      <c r="P353" s="87">
        <v>3</v>
      </c>
      <c r="Q353" s="87">
        <v>4</v>
      </c>
      <c r="R353" s="87">
        <v>5</v>
      </c>
      <c r="S353" s="87">
        <v>6</v>
      </c>
      <c r="T353" s="87">
        <v>7</v>
      </c>
      <c r="U353" s="87">
        <v>8</v>
      </c>
      <c r="V353" s="87">
        <v>9</v>
      </c>
      <c r="W353" s="88">
        <f t="shared" si="274"/>
        <v>2</v>
      </c>
      <c r="X353" s="88">
        <f t="shared" si="275"/>
        <v>1</v>
      </c>
      <c r="Y353" s="88">
        <f t="shared" si="276"/>
        <v>1</v>
      </c>
      <c r="Z353" s="89">
        <f t="shared" si="248"/>
        <v>4</v>
      </c>
      <c r="AA353" s="17" t="str">
        <f>_xlfn.TEXTJOIN(", ",TRUE,ABS(MID(C353,{1,1,2},1)-MID(C353,{2,3,3},1)))</f>
        <v>2, 1, 1</v>
      </c>
      <c r="AB353" s="90">
        <v>0</v>
      </c>
      <c r="AC353" s="90">
        <v>1</v>
      </c>
      <c r="AD353" s="90">
        <v>2</v>
      </c>
      <c r="AE353" s="90">
        <v>3</v>
      </c>
      <c r="AF353" s="90">
        <v>4</v>
      </c>
      <c r="AG353" s="90">
        <v>5</v>
      </c>
      <c r="AH353" s="90">
        <v>6</v>
      </c>
      <c r="AI353" s="90">
        <v>7</v>
      </c>
      <c r="AJ353" s="90">
        <v>8</v>
      </c>
      <c r="AK353" s="90">
        <v>9</v>
      </c>
      <c r="AL353" s="91">
        <v>0</v>
      </c>
      <c r="AM353" s="91">
        <v>1</v>
      </c>
      <c r="AN353" s="91">
        <v>2</v>
      </c>
      <c r="AO353" s="91">
        <v>3</v>
      </c>
      <c r="AP353" s="91">
        <v>4</v>
      </c>
      <c r="AQ353" s="91">
        <v>5</v>
      </c>
      <c r="AR353" s="91">
        <v>6</v>
      </c>
      <c r="AS353" s="91">
        <v>7</v>
      </c>
      <c r="AT353" s="91">
        <v>8</v>
      </c>
      <c r="AU353" s="91">
        <v>9</v>
      </c>
      <c r="AV353" s="92">
        <v>0</v>
      </c>
      <c r="AW353" s="92">
        <v>1</v>
      </c>
      <c r="AX353" s="92">
        <v>2</v>
      </c>
      <c r="AY353" s="92">
        <v>3</v>
      </c>
      <c r="AZ353" s="92">
        <v>4</v>
      </c>
      <c r="BA353" s="92">
        <v>5</v>
      </c>
      <c r="BB353" s="92">
        <v>6</v>
      </c>
      <c r="BC353" s="92">
        <v>7</v>
      </c>
      <c r="BD353" s="92">
        <v>8</v>
      </c>
      <c r="BE353" s="92">
        <v>9</v>
      </c>
      <c r="BF353" s="93">
        <v>0</v>
      </c>
      <c r="BG353" s="93">
        <v>1</v>
      </c>
      <c r="BH353" s="93">
        <v>2</v>
      </c>
      <c r="BI353" s="93">
        <v>3</v>
      </c>
      <c r="BJ353" s="93">
        <v>4</v>
      </c>
      <c r="BK353" s="93">
        <v>5</v>
      </c>
      <c r="BL353" s="93">
        <v>6</v>
      </c>
      <c r="BM353" s="93">
        <v>7</v>
      </c>
      <c r="BN353" s="93">
        <v>8</v>
      </c>
      <c r="BO353" s="93">
        <v>9</v>
      </c>
      <c r="BP353" s="94" t="str">
        <f t="shared" si="249"/>
        <v>紧凑型</v>
      </c>
      <c r="BQ353" s="15">
        <f t="shared" ref="BQ353:BQ416" si="277">MIN(ABS(INT(C353/100)-INT(MOD(C353,100)/10)),ABS(INT(C353/100)-MOD(C353,10)),ABS(INT(MOD(C353,100)/10)-MOD(C353,10)))</f>
        <v>1</v>
      </c>
      <c r="BR353" s="15">
        <f t="shared" ref="BR353:BR416" si="278">MAX(ABS(INT(C353/100)-INT(MOD(C353,100)/10)),ABS(INT(C353/100)-MOD(C353,10)),ABS(INT(MOD(C353,100)/10)-MOD(C353,10)))</f>
        <v>2</v>
      </c>
      <c r="BS353" s="20">
        <f t="shared" si="251"/>
        <v>2</v>
      </c>
      <c r="BT353" s="21" t="str">
        <f t="shared" si="252"/>
        <v/>
      </c>
      <c r="BU353" s="21" t="str">
        <f t="array" ref="BU353">_xlfn.TEXTJOIN("",TRUE,IF(ISERROR(FIND(ROW($1:$168)-1,BS353&amp;BT353)),ROW($1:$168)-1,""))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53" s="22" t="str">
        <f t="shared" si="253"/>
        <v>复中中</v>
      </c>
      <c r="BW353" s="23">
        <f t="shared" si="264"/>
        <v>1</v>
      </c>
      <c r="BX353" s="23">
        <f t="shared" si="262"/>
        <v>1</v>
      </c>
      <c r="BY353" s="23" t="str">
        <f t="array" ref="BY353">_xlfn.TEXTJOIN("",TRUE,IF(ISERROR(FIND(ROW($1:$168)-1,BW353&amp;BX353)),ROW($1:$168)-1,""))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53" s="22" t="str">
        <f t="shared" si="254"/>
        <v>复隔中</v>
      </c>
      <c r="CA353" s="24">
        <f t="shared" si="255"/>
        <v>1</v>
      </c>
      <c r="CB353" s="24">
        <f t="shared" si="263"/>
        <v>1</v>
      </c>
      <c r="CC353" s="24" t="str">
        <f t="array" ref="CC353">_xlfn.TEXTJOIN("",TRUE,IF(ISERROR(FIND(ROW($1:$168)-1,CA353&amp;CB353)),ROW($1:$168)-1,""))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53" s="22" t="str">
        <f t="shared" si="256"/>
        <v>复隔中</v>
      </c>
      <c r="CE353" s="25" t="str">
        <f t="shared" si="250"/>
        <v>13</v>
      </c>
      <c r="CF353" s="26" t="str">
        <f t="array" ref="CF353">_xlfn.TEXTJOIN("",TRUE,IF(ISNUMBER(FIND(MID(CE352&amp;W352,ROW($1:$162),1),CE353&amp;W353)),MID(CE352&amp;W352,ROW($1:$162),1),""))</f>
        <v>21</v>
      </c>
      <c r="CG353" s="27" t="str">
        <f t="array" ref="CG353">_xlfn.TEXTJOIN("",TRUE,IF(ISERROR(FIND(ROW($1:$168)-1,CE353&amp;CF353)),ROW($1:$168)-1,""))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353" s="28" t="str">
        <f t="shared" si="257"/>
        <v>邻传孤</v>
      </c>
      <c r="CI353" s="29" t="str">
        <f t="shared" si="258"/>
        <v>02</v>
      </c>
      <c r="CJ353" s="29" t="str">
        <f t="array" ref="CJ353">_xlfn.TEXTJOIN("",TRUE,IF(ISNUMBER(FIND(MID(CI352&amp;X352,ROW($1:$162),1),CI353&amp;X353)),MID(CI352&amp;X352,ROW($1:$162),1),""))</f>
        <v>2</v>
      </c>
      <c r="CK353" s="29" t="str">
        <f t="array" ref="CK353">_xlfn.TEXTJOIN("",TRUE,IF(ISERROR(FIND(ROW($1:$168)-1,CI353&amp;CJ353)),ROW($1:$168)-1,""))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53" s="19" t="str">
        <f t="shared" si="259"/>
        <v>邻传孤</v>
      </c>
      <c r="CM353" s="24" t="str">
        <f t="shared" si="260"/>
        <v>02</v>
      </c>
      <c r="CN353" s="24" t="str">
        <f t="array" ref="CN353">_xlfn.TEXTJOIN("",TRUE,IF(ISNUMBER(FIND(MID(CM352&amp;Y352,ROW($1:$162),1),CM353&amp;Y353)),MID(CM352&amp;Y352,ROW($1:$162),1),""))</f>
        <v>12</v>
      </c>
      <c r="CO353" s="24" t="str">
        <f t="array" ref="CO353">_xlfn.TEXTJOIN("",TRUE,IF(ISERROR(FIND(ROW($1:$168)-1,CM353&amp;CN353)),ROW($1:$168)-1,""))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53" s="30" t="str">
        <f t="shared" si="261"/>
        <v>邻传孤</v>
      </c>
    </row>
    <row r="354" spans="1:94">
      <c r="A354" s="15">
        <v>354</v>
      </c>
      <c r="B354" s="80">
        <v>2024323</v>
      </c>
      <c r="C354" s="8" t="s">
        <v>188</v>
      </c>
      <c r="D354" s="81">
        <f t="shared" si="272"/>
        <v>14</v>
      </c>
      <c r="E354" s="82">
        <f t="shared" si="273"/>
        <v>4</v>
      </c>
      <c r="F354" s="83">
        <f t="shared" si="270"/>
        <v>4.66666666666667</v>
      </c>
      <c r="G354" s="84" t="str">
        <f t="shared" si="271"/>
        <v>紧凑</v>
      </c>
      <c r="H354" s="85" t="s">
        <v>10</v>
      </c>
      <c r="I354" s="85" t="s">
        <v>11</v>
      </c>
      <c r="J354" s="85" t="s">
        <v>12</v>
      </c>
      <c r="K354" s="85" t="s">
        <v>13</v>
      </c>
      <c r="L354" s="86">
        <f>MAX(MID(C354,{1,2,3},1)*1)-MIN(MID(C354,{1,2,3},1)*1)</f>
        <v>3</v>
      </c>
      <c r="M354" s="87">
        <v>0</v>
      </c>
      <c r="N354" s="87">
        <v>1</v>
      </c>
      <c r="O354" s="87">
        <v>2</v>
      </c>
      <c r="P354" s="87">
        <v>3</v>
      </c>
      <c r="Q354" s="87">
        <v>4</v>
      </c>
      <c r="R354" s="87">
        <v>5</v>
      </c>
      <c r="S354" s="87">
        <v>6</v>
      </c>
      <c r="T354" s="87">
        <v>7</v>
      </c>
      <c r="U354" s="87">
        <v>8</v>
      </c>
      <c r="V354" s="87">
        <v>9</v>
      </c>
      <c r="W354" s="88">
        <f t="shared" si="274"/>
        <v>2</v>
      </c>
      <c r="X354" s="88">
        <f t="shared" si="275"/>
        <v>1</v>
      </c>
      <c r="Y354" s="88">
        <f t="shared" si="276"/>
        <v>3</v>
      </c>
      <c r="Z354" s="89">
        <f t="shared" ref="Z354:Z417" si="279">W354+X354+Y354</f>
        <v>6</v>
      </c>
      <c r="AA354" s="17" t="str">
        <f>_xlfn.TEXTJOIN(", ",TRUE,ABS(MID(C354,{1,1,2},1)-MID(C354,{2,3,3},1)))</f>
        <v>2, 1, 3</v>
      </c>
      <c r="AB354" s="90">
        <v>0</v>
      </c>
      <c r="AC354" s="90">
        <v>1</v>
      </c>
      <c r="AD354" s="90">
        <v>2</v>
      </c>
      <c r="AE354" s="90">
        <v>3</v>
      </c>
      <c r="AF354" s="90">
        <v>4</v>
      </c>
      <c r="AG354" s="90">
        <v>5</v>
      </c>
      <c r="AH354" s="90">
        <v>6</v>
      </c>
      <c r="AI354" s="90">
        <v>7</v>
      </c>
      <c r="AJ354" s="90">
        <v>8</v>
      </c>
      <c r="AK354" s="90">
        <v>9</v>
      </c>
      <c r="AL354" s="91">
        <v>0</v>
      </c>
      <c r="AM354" s="91">
        <v>1</v>
      </c>
      <c r="AN354" s="91">
        <v>2</v>
      </c>
      <c r="AO354" s="91">
        <v>3</v>
      </c>
      <c r="AP354" s="91">
        <v>4</v>
      </c>
      <c r="AQ354" s="91">
        <v>5</v>
      </c>
      <c r="AR354" s="91">
        <v>6</v>
      </c>
      <c r="AS354" s="91">
        <v>7</v>
      </c>
      <c r="AT354" s="91">
        <v>8</v>
      </c>
      <c r="AU354" s="91">
        <v>9</v>
      </c>
      <c r="AV354" s="92">
        <v>0</v>
      </c>
      <c r="AW354" s="92">
        <v>1</v>
      </c>
      <c r="AX354" s="92">
        <v>2</v>
      </c>
      <c r="AY354" s="92">
        <v>3</v>
      </c>
      <c r="AZ354" s="92">
        <v>4</v>
      </c>
      <c r="BA354" s="92">
        <v>5</v>
      </c>
      <c r="BB354" s="92">
        <v>6</v>
      </c>
      <c r="BC354" s="92">
        <v>7</v>
      </c>
      <c r="BD354" s="92">
        <v>8</v>
      </c>
      <c r="BE354" s="92">
        <v>9</v>
      </c>
      <c r="BF354" s="93">
        <v>0</v>
      </c>
      <c r="BG354" s="93">
        <v>1</v>
      </c>
      <c r="BH354" s="93">
        <v>2</v>
      </c>
      <c r="BI354" s="93">
        <v>3</v>
      </c>
      <c r="BJ354" s="93">
        <v>4</v>
      </c>
      <c r="BK354" s="93">
        <v>5</v>
      </c>
      <c r="BL354" s="93">
        <v>6</v>
      </c>
      <c r="BM354" s="93">
        <v>7</v>
      </c>
      <c r="BN354" s="93">
        <v>8</v>
      </c>
      <c r="BO354" s="93">
        <v>9</v>
      </c>
      <c r="BP354" s="94" t="str">
        <f t="shared" ref="BP354:BP417" si="280">IF(AND(BQ354&lt;=1,BR354&lt;=4),"紧凑型",IF(OR(BQ354&gt;=3,BR354&gt;=6),"松散型",IF(AND(BQ354&gt;=1,BR354&lt;=5),"标准型","对子")))</f>
        <v>紧凑型</v>
      </c>
      <c r="BQ354" s="15">
        <f t="shared" si="277"/>
        <v>1</v>
      </c>
      <c r="BR354" s="15">
        <f t="shared" si="278"/>
        <v>3</v>
      </c>
      <c r="BS354" s="20">
        <f t="shared" si="251"/>
        <v>2</v>
      </c>
      <c r="BT354" s="21">
        <f t="shared" si="252"/>
        <v>2</v>
      </c>
      <c r="BU354" s="21" t="str">
        <f t="array" ref="BU354">_xlfn.TEXTJOIN("",TRUE,IF(ISERROR(FIND(ROW($1:$168)-1,BS354&amp;BT354)),ROW($1:$168)-1,""))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54" s="22" t="str">
        <f t="shared" si="253"/>
        <v>复隔中</v>
      </c>
      <c r="BW354" s="23">
        <f t="shared" si="264"/>
        <v>1</v>
      </c>
      <c r="BX354" s="23">
        <f t="shared" si="262"/>
        <v>1</v>
      </c>
      <c r="BY354" s="23" t="str">
        <f t="array" ref="BY354">_xlfn.TEXTJOIN("",TRUE,IF(ISERROR(FIND(ROW($1:$168)-1,BW354&amp;BX354)),ROW($1:$168)-1,""))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54" s="22" t="str">
        <f t="shared" si="254"/>
        <v>复隔中</v>
      </c>
      <c r="CA354" s="24" t="str">
        <f t="shared" si="255"/>
        <v/>
      </c>
      <c r="CB354" s="24">
        <f t="shared" si="263"/>
        <v>3</v>
      </c>
      <c r="CC354" s="24" t="str">
        <f t="array" ref="CC354">_xlfn.TEXTJOIN("",TRUE,IF(ISERROR(FIND(ROW($1:$168)-1,CA354&amp;CB354)),ROW($1:$168)-1,""))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54" s="22" t="str">
        <f t="shared" si="256"/>
        <v>中隔中</v>
      </c>
      <c r="CE354" s="25" t="str">
        <f t="shared" ref="CE354:CE417" si="281">IF(W354=0,9,W354-1)&amp;""&amp;IF(W354=9,0,W354+1)</f>
        <v>13</v>
      </c>
      <c r="CF354" s="26" t="str">
        <f t="array" ref="CF354">_xlfn.TEXTJOIN("",TRUE,IF(ISNUMBER(FIND(MID(CE353&amp;W353,ROW($1:$162),1),CE354&amp;W354)),MID(CE353&amp;W353,ROW($1:$162),1),""))</f>
        <v>132</v>
      </c>
      <c r="CG354" s="27" t="str">
        <f t="array" ref="CG354">_xlfn.TEXTJOIN("",TRUE,IF(ISERROR(FIND(ROW($1:$168)-1,CE354&amp;CF354)),ROW($1:$168)-1,""))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354" s="28" t="str">
        <f t="shared" si="257"/>
        <v>邻传孤</v>
      </c>
      <c r="CI354" s="29" t="str">
        <f t="shared" si="258"/>
        <v>02</v>
      </c>
      <c r="CJ354" s="29" t="str">
        <f t="array" ref="CJ354">_xlfn.TEXTJOIN("",TRUE,IF(ISNUMBER(FIND(MID(CI353&amp;X353,ROW($1:$162),1),CI354&amp;X354)),MID(CI353&amp;X353,ROW($1:$162),1),""))</f>
        <v>021</v>
      </c>
      <c r="CK354" s="29" t="str">
        <f t="array" ref="CK354">_xlfn.TEXTJOIN("",TRUE,IF(ISERROR(FIND(ROW($1:$168)-1,CI354&amp;CJ354)),ROW($1:$168)-1,""))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54" s="19" t="str">
        <f t="shared" si="259"/>
        <v>邻传孤</v>
      </c>
      <c r="CM354" s="24" t="str">
        <f t="shared" si="260"/>
        <v>24</v>
      </c>
      <c r="CN354" s="24" t="str">
        <f t="array" ref="CN354">_xlfn.TEXTJOIN("",TRUE,IF(ISNUMBER(FIND(MID(CM353&amp;Y353,ROW($1:$162),1),CM354&amp;Y354)),MID(CM353&amp;Y353,ROW($1:$162),1),""))</f>
        <v>2</v>
      </c>
      <c r="CO354" s="24" t="str">
        <f t="array" ref="CO354">_xlfn.TEXTJOIN("",TRUE,IF(ISERROR(FIND(ROW($1:$168)-1,CM354&amp;CN354)),ROW($1:$168)-1,""))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54" s="30" t="str">
        <f t="shared" si="261"/>
        <v>邻传孤</v>
      </c>
    </row>
    <row r="355" spans="1:94">
      <c r="A355" s="15">
        <v>355</v>
      </c>
      <c r="B355" s="80">
        <v>2024324</v>
      </c>
      <c r="C355" s="8" t="s">
        <v>325</v>
      </c>
      <c r="D355" s="81">
        <f t="shared" ref="D355:D371" si="282">LEFT(C355,1)+MID(C355,2,1)+RIGHT(C355,1)</f>
        <v>15</v>
      </c>
      <c r="E355" s="82">
        <f t="shared" ref="E355:E371" si="283">MOD(LEFT(C355,1)+MID(C355,2,1)+RIGHT(C355,1),10)</f>
        <v>5</v>
      </c>
      <c r="F355" s="83">
        <f t="shared" si="270"/>
        <v>3</v>
      </c>
      <c r="G355" s="84" t="str">
        <f t="shared" si="271"/>
        <v>标准</v>
      </c>
      <c r="H355" s="85" t="s">
        <v>10</v>
      </c>
      <c r="I355" s="85" t="s">
        <v>11</v>
      </c>
      <c r="J355" s="85" t="s">
        <v>12</v>
      </c>
      <c r="K355" s="85" t="s">
        <v>13</v>
      </c>
      <c r="L355" s="86">
        <f>MAX(MID(C355,{1,2,3},1)*1)-MIN(MID(C355,{1,2,3},1)*1)</f>
        <v>5</v>
      </c>
      <c r="M355" s="87">
        <v>0</v>
      </c>
      <c r="N355" s="87">
        <v>1</v>
      </c>
      <c r="O355" s="87">
        <v>2</v>
      </c>
      <c r="P355" s="87">
        <v>3</v>
      </c>
      <c r="Q355" s="87">
        <v>4</v>
      </c>
      <c r="R355" s="87">
        <v>5</v>
      </c>
      <c r="S355" s="87">
        <v>6</v>
      </c>
      <c r="T355" s="87">
        <v>7</v>
      </c>
      <c r="U355" s="87">
        <v>8</v>
      </c>
      <c r="V355" s="87">
        <v>9</v>
      </c>
      <c r="W355" s="88">
        <f t="shared" ref="W355:W371" si="284">ABS(LEFT(C355,1)-MID(C355,2,1))</f>
        <v>5</v>
      </c>
      <c r="X355" s="88">
        <f t="shared" ref="X355:X371" si="285">ABS(LEFT(C355,1)-RIGHT(C355,1))</f>
        <v>1</v>
      </c>
      <c r="Y355" s="88">
        <f t="shared" ref="Y355:Y371" si="286">ABS(MID(C355,2,1)-RIGHT(C355,1))</f>
        <v>4</v>
      </c>
      <c r="Z355" s="89">
        <f t="shared" si="279"/>
        <v>10</v>
      </c>
      <c r="AA355" s="17" t="str">
        <f>_xlfn.TEXTJOIN(", ",TRUE,ABS(MID(C355,{1,1,2},1)-MID(C355,{2,3,3},1)))</f>
        <v>5, 1, 4</v>
      </c>
      <c r="AB355" s="90">
        <v>0</v>
      </c>
      <c r="AC355" s="90">
        <v>1</v>
      </c>
      <c r="AD355" s="90">
        <v>2</v>
      </c>
      <c r="AE355" s="90">
        <v>3</v>
      </c>
      <c r="AF355" s="90">
        <v>4</v>
      </c>
      <c r="AG355" s="90">
        <v>5</v>
      </c>
      <c r="AH355" s="90">
        <v>6</v>
      </c>
      <c r="AI355" s="90">
        <v>7</v>
      </c>
      <c r="AJ355" s="90">
        <v>8</v>
      </c>
      <c r="AK355" s="90">
        <v>9</v>
      </c>
      <c r="AL355" s="91">
        <v>0</v>
      </c>
      <c r="AM355" s="91">
        <v>1</v>
      </c>
      <c r="AN355" s="91">
        <v>2</v>
      </c>
      <c r="AO355" s="91">
        <v>3</v>
      </c>
      <c r="AP355" s="91">
        <v>4</v>
      </c>
      <c r="AQ355" s="91">
        <v>5</v>
      </c>
      <c r="AR355" s="91">
        <v>6</v>
      </c>
      <c r="AS355" s="91">
        <v>7</v>
      </c>
      <c r="AT355" s="91">
        <v>8</v>
      </c>
      <c r="AU355" s="91">
        <v>9</v>
      </c>
      <c r="AV355" s="92">
        <v>0</v>
      </c>
      <c r="AW355" s="92">
        <v>1</v>
      </c>
      <c r="AX355" s="92">
        <v>2</v>
      </c>
      <c r="AY355" s="92">
        <v>3</v>
      </c>
      <c r="AZ355" s="92">
        <v>4</v>
      </c>
      <c r="BA355" s="92">
        <v>5</v>
      </c>
      <c r="BB355" s="92">
        <v>6</v>
      </c>
      <c r="BC355" s="92">
        <v>7</v>
      </c>
      <c r="BD355" s="92">
        <v>8</v>
      </c>
      <c r="BE355" s="92">
        <v>9</v>
      </c>
      <c r="BF355" s="93">
        <v>0</v>
      </c>
      <c r="BG355" s="93">
        <v>1</v>
      </c>
      <c r="BH355" s="93">
        <v>2</v>
      </c>
      <c r="BI355" s="93">
        <v>3</v>
      </c>
      <c r="BJ355" s="93">
        <v>4</v>
      </c>
      <c r="BK355" s="93">
        <v>5</v>
      </c>
      <c r="BL355" s="93">
        <v>6</v>
      </c>
      <c r="BM355" s="93">
        <v>7</v>
      </c>
      <c r="BN355" s="93">
        <v>8</v>
      </c>
      <c r="BO355" s="93">
        <v>9</v>
      </c>
      <c r="BP355" s="94" t="str">
        <f t="shared" si="280"/>
        <v>标准型</v>
      </c>
      <c r="BQ355" s="15">
        <f t="shared" si="277"/>
        <v>1</v>
      </c>
      <c r="BR355" s="15">
        <f t="shared" si="278"/>
        <v>5</v>
      </c>
      <c r="BS355" s="20" t="str">
        <f t="shared" ref="BS355:BS418" si="287">IF(COUNTIF($W354:$Y354,W355)&gt;0,W355,"")</f>
        <v/>
      </c>
      <c r="BT355" s="21" t="str">
        <f t="shared" ref="BT355:BT418" si="288">IF(COUNTIF($W353:$Y353,W355)&gt;0,W355,"")</f>
        <v/>
      </c>
      <c r="BU355" s="21" t="str">
        <f t="array" ref="BU355">_xlfn.TEXTJOIN("",TRUE,IF(ISERROR(FIND(ROW($1:$168)-1,BS355&amp;BT355)),ROW($1:$168)-1,""))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55" s="22" t="str">
        <f t="shared" ref="BV355:BV418" si="289">IF(BS355&lt;&gt;"","复","中")&amp;IF(BT355&lt;&gt;"","隔","中")&amp;"中"</f>
        <v>中中中</v>
      </c>
      <c r="BW355" s="23">
        <f t="shared" si="264"/>
        <v>1</v>
      </c>
      <c r="BX355" s="23">
        <f t="shared" si="262"/>
        <v>1</v>
      </c>
      <c r="BY355" s="23" t="str">
        <f t="array" ref="BY355">_xlfn.TEXTJOIN("",TRUE,IF(ISERROR(FIND(ROW($1:$168)-1,BW355&amp;BX355)),ROW($1:$168)-1,""))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55" s="22" t="str">
        <f t="shared" ref="BZ355:BZ418" si="290">IF(BW355&lt;&gt;"","复","中")&amp;IF(BX355&lt;&gt;"","隔","中")&amp;"中"</f>
        <v>复隔中</v>
      </c>
      <c r="CA355" s="24" t="str">
        <f t="shared" ref="CA355:CA418" si="291">IF(COUNTIF($W354:$Y354,Y355)&gt;0,Y355,"")</f>
        <v/>
      </c>
      <c r="CB355" s="24" t="str">
        <f t="shared" si="263"/>
        <v/>
      </c>
      <c r="CC355" s="24" t="str">
        <f t="array" ref="CC355">_xlfn.TEXTJOIN("",TRUE,IF(ISERROR(FIND(ROW($1:$168)-1,CA355&amp;CB355)),ROW($1:$168)-1,""))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55" s="22" t="str">
        <f t="shared" ref="CD355:CD418" si="292">IF(CA355&lt;&gt;"","复","中")&amp;IF(CB355&lt;&gt;"","隔","中")&amp;"中"</f>
        <v>中中中</v>
      </c>
      <c r="CE355" s="25" t="str">
        <f t="shared" si="281"/>
        <v>46</v>
      </c>
      <c r="CF355" s="26" t="str">
        <f t="array" ref="CF355">_xlfn.TEXTJOIN("",TRUE,IF(ISNUMBER(FIND(MID(CE354&amp;W354,ROW($1:$162),1),CE355&amp;W355)),MID(CE354&amp;W354,ROW($1:$162),1),""))</f>
        <v/>
      </c>
      <c r="CG355" s="27" t="str">
        <f t="array" ref="CG355">_xlfn.TEXTJOIN("",TRUE,IF(ISERROR(FIND(ROW($1:$168)-1,CE355&amp;CF355)),ROW($1:$168)-1,""))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55" s="28" t="str">
        <f t="shared" ref="CH355:CH418" si="293">IF(CE355&lt;&gt;"","邻","孤")&amp;IF(CF355&lt;&gt;"","传","孤")&amp;"孤"</f>
        <v>邻孤孤</v>
      </c>
      <c r="CI355" s="29" t="str">
        <f t="shared" ref="CI355:CI418" si="294">IF(X355=0,9,X355-1)&amp;""&amp;IF(X355=9,0,X355+1)</f>
        <v>02</v>
      </c>
      <c r="CJ355" s="29" t="str">
        <f t="array" ref="CJ355">_xlfn.TEXTJOIN("",TRUE,IF(ISNUMBER(FIND(MID(CI354&amp;X354,ROW($1:$162),1),CI355&amp;X355)),MID(CI354&amp;X354,ROW($1:$162),1),""))</f>
        <v>021</v>
      </c>
      <c r="CK355" s="29" t="str">
        <f t="array" ref="CK355">_xlfn.TEXTJOIN("",TRUE,IF(ISERROR(FIND(ROW($1:$168)-1,CI355&amp;CJ355)),ROW($1:$168)-1,""))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55" s="19" t="str">
        <f t="shared" ref="CL355:CL418" si="295">IF(CI355&lt;&gt;"","邻","孤")&amp;IF(CJ355&lt;&gt;"","传","孤")&amp;"孤"</f>
        <v>邻传孤</v>
      </c>
      <c r="CM355" s="24" t="str">
        <f t="shared" ref="CM355:CM418" si="296">IF(Y355=0,9,Y355-1)&amp;""&amp;IF(Y355=9,0,Y355+1)</f>
        <v>35</v>
      </c>
      <c r="CN355" s="24" t="str">
        <f t="array" ref="CN355">_xlfn.TEXTJOIN("",TRUE,IF(ISNUMBER(FIND(MID(CM354&amp;Y354,ROW($1:$162),1),CM355&amp;Y355)),MID(CM354&amp;Y354,ROW($1:$162),1),""))</f>
        <v>43</v>
      </c>
      <c r="CO355" s="24" t="str">
        <f t="array" ref="CO355">_xlfn.TEXTJOIN("",TRUE,IF(ISERROR(FIND(ROW($1:$168)-1,CM355&amp;CN355)),ROW($1:$168)-1,""))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55" s="30" t="str">
        <f t="shared" ref="CP355:CP418" si="297">IF(CM355&lt;&gt;"","邻","孤")&amp;IF(CN355&lt;&gt;"","传","孤")&amp;"孤"</f>
        <v>邻传孤</v>
      </c>
    </row>
    <row r="356" spans="1:94">
      <c r="A356" s="15">
        <v>356</v>
      </c>
      <c r="B356" s="80">
        <v>2024325</v>
      </c>
      <c r="C356" s="8" t="s">
        <v>326</v>
      </c>
      <c r="D356" s="81">
        <f t="shared" si="282"/>
        <v>14</v>
      </c>
      <c r="E356" s="82">
        <f t="shared" si="283"/>
        <v>4</v>
      </c>
      <c r="F356" s="83">
        <f t="shared" si="270"/>
        <v>2</v>
      </c>
      <c r="G356" s="84" t="str">
        <f t="shared" si="271"/>
        <v>标准</v>
      </c>
      <c r="H356" s="85" t="s">
        <v>10</v>
      </c>
      <c r="I356" s="85" t="s">
        <v>11</v>
      </c>
      <c r="J356" s="85" t="s">
        <v>12</v>
      </c>
      <c r="K356" s="85" t="s">
        <v>13</v>
      </c>
      <c r="L356" s="86">
        <f>MAX(MID(C356,{1,2,3},1)*1)-MIN(MID(C356,{1,2,3},1)*1)</f>
        <v>7</v>
      </c>
      <c r="M356" s="87">
        <v>0</v>
      </c>
      <c r="N356" s="87">
        <v>1</v>
      </c>
      <c r="O356" s="87">
        <v>2</v>
      </c>
      <c r="P356" s="87">
        <v>3</v>
      </c>
      <c r="Q356" s="87">
        <v>4</v>
      </c>
      <c r="R356" s="87">
        <v>5</v>
      </c>
      <c r="S356" s="87">
        <v>6</v>
      </c>
      <c r="T356" s="87">
        <v>7</v>
      </c>
      <c r="U356" s="87">
        <v>8</v>
      </c>
      <c r="V356" s="87">
        <v>9</v>
      </c>
      <c r="W356" s="88">
        <f t="shared" si="284"/>
        <v>4</v>
      </c>
      <c r="X356" s="88">
        <f t="shared" si="285"/>
        <v>7</v>
      </c>
      <c r="Y356" s="88">
        <f t="shared" si="286"/>
        <v>3</v>
      </c>
      <c r="Z356" s="89">
        <f t="shared" si="279"/>
        <v>14</v>
      </c>
      <c r="AA356" s="17" t="str">
        <f>_xlfn.TEXTJOIN(", ",TRUE,ABS(MID(C356,{1,1,2},1)-MID(C356,{2,3,3},1)))</f>
        <v>4, 7, 3</v>
      </c>
      <c r="AB356" s="90">
        <v>0</v>
      </c>
      <c r="AC356" s="90">
        <v>1</v>
      </c>
      <c r="AD356" s="90">
        <v>2</v>
      </c>
      <c r="AE356" s="90">
        <v>3</v>
      </c>
      <c r="AF356" s="90">
        <v>4</v>
      </c>
      <c r="AG356" s="90">
        <v>5</v>
      </c>
      <c r="AH356" s="90">
        <v>6</v>
      </c>
      <c r="AI356" s="90">
        <v>7</v>
      </c>
      <c r="AJ356" s="90">
        <v>8</v>
      </c>
      <c r="AK356" s="90">
        <v>9</v>
      </c>
      <c r="AL356" s="91">
        <v>0</v>
      </c>
      <c r="AM356" s="91">
        <v>1</v>
      </c>
      <c r="AN356" s="91">
        <v>2</v>
      </c>
      <c r="AO356" s="91">
        <v>3</v>
      </c>
      <c r="AP356" s="91">
        <v>4</v>
      </c>
      <c r="AQ356" s="91">
        <v>5</v>
      </c>
      <c r="AR356" s="91">
        <v>6</v>
      </c>
      <c r="AS356" s="91">
        <v>7</v>
      </c>
      <c r="AT356" s="91">
        <v>8</v>
      </c>
      <c r="AU356" s="91">
        <v>9</v>
      </c>
      <c r="AV356" s="92">
        <v>0</v>
      </c>
      <c r="AW356" s="92">
        <v>1</v>
      </c>
      <c r="AX356" s="92">
        <v>2</v>
      </c>
      <c r="AY356" s="92">
        <v>3</v>
      </c>
      <c r="AZ356" s="92">
        <v>4</v>
      </c>
      <c r="BA356" s="92">
        <v>5</v>
      </c>
      <c r="BB356" s="92">
        <v>6</v>
      </c>
      <c r="BC356" s="92">
        <v>7</v>
      </c>
      <c r="BD356" s="92">
        <v>8</v>
      </c>
      <c r="BE356" s="92">
        <v>9</v>
      </c>
      <c r="BF356" s="93">
        <v>0</v>
      </c>
      <c r="BG356" s="93">
        <v>1</v>
      </c>
      <c r="BH356" s="93">
        <v>2</v>
      </c>
      <c r="BI356" s="93">
        <v>3</v>
      </c>
      <c r="BJ356" s="93">
        <v>4</v>
      </c>
      <c r="BK356" s="93">
        <v>5</v>
      </c>
      <c r="BL356" s="93">
        <v>6</v>
      </c>
      <c r="BM356" s="93">
        <v>7</v>
      </c>
      <c r="BN356" s="93">
        <v>8</v>
      </c>
      <c r="BO356" s="93">
        <v>9</v>
      </c>
      <c r="BP356" s="94" t="str">
        <f t="shared" si="280"/>
        <v>松散型</v>
      </c>
      <c r="BQ356" s="15">
        <f t="shared" si="277"/>
        <v>3</v>
      </c>
      <c r="BR356" s="15">
        <f t="shared" si="278"/>
        <v>7</v>
      </c>
      <c r="BS356" s="20">
        <f t="shared" si="287"/>
        <v>4</v>
      </c>
      <c r="BT356" s="21" t="str">
        <f t="shared" si="288"/>
        <v/>
      </c>
      <c r="BU356" s="21" t="str">
        <f t="array" ref="BU356">_xlfn.TEXTJOIN("",TRUE,IF(ISERROR(FIND(ROW($1:$168)-1,BS356&amp;BT356)),ROW($1:$168)-1,""))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56" s="22" t="str">
        <f t="shared" si="289"/>
        <v>复中中</v>
      </c>
      <c r="BW356" s="23" t="str">
        <f t="shared" si="264"/>
        <v/>
      </c>
      <c r="BX356" s="23" t="str">
        <f t="shared" ref="BX356:BX419" si="298">IF(COUNTIF($W354:$Y354,X356)&gt;0,X356,"")</f>
        <v/>
      </c>
      <c r="BY356" s="23" t="str">
        <f t="array" ref="BY356">_xlfn.TEXTJOIN("",TRUE,IF(ISERROR(FIND(ROW($1:$168)-1,BW356&amp;BX356)),ROW($1:$168)-1,""))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56" s="22" t="str">
        <f t="shared" si="290"/>
        <v>中中中</v>
      </c>
      <c r="CA356" s="24" t="str">
        <f t="shared" si="291"/>
        <v/>
      </c>
      <c r="CB356" s="24">
        <f t="shared" ref="CB356:CB419" si="299">IF(COUNTIF($W354:$Y354,Y356)&gt;0,Y356,"")</f>
        <v>3</v>
      </c>
      <c r="CC356" s="24" t="str">
        <f t="array" ref="CC356">_xlfn.TEXTJOIN("",TRUE,IF(ISERROR(FIND(ROW($1:$168)-1,CA356&amp;CB356)),ROW($1:$168)-1,""))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56" s="22" t="str">
        <f t="shared" si="292"/>
        <v>中隔中</v>
      </c>
      <c r="CE356" s="25" t="str">
        <f t="shared" si="281"/>
        <v>35</v>
      </c>
      <c r="CF356" s="26" t="str">
        <f t="array" ref="CF356">_xlfn.TEXTJOIN("",TRUE,IF(ISNUMBER(FIND(MID(CE355&amp;W355,ROW($1:$162),1),CE356&amp;W356)),MID(CE355&amp;W355,ROW($1:$162),1),""))</f>
        <v>45</v>
      </c>
      <c r="CG356" s="27" t="str">
        <f t="array" ref="CG356">_xlfn.TEXTJOIN("",TRUE,IF(ISERROR(FIND(ROW($1:$168)-1,CE356&amp;CF356)),ROW($1:$168)-1,""))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56" s="28" t="str">
        <f t="shared" si="293"/>
        <v>邻传孤</v>
      </c>
      <c r="CI356" s="29" t="str">
        <f t="shared" si="294"/>
        <v>68</v>
      </c>
      <c r="CJ356" s="29" t="str">
        <f t="array" ref="CJ356">_xlfn.TEXTJOIN("",TRUE,IF(ISNUMBER(FIND(MID(CI355&amp;X355,ROW($1:$162),1),CI356&amp;X356)),MID(CI355&amp;X355,ROW($1:$162),1),""))</f>
        <v/>
      </c>
      <c r="CK356" s="29" t="str">
        <f t="array" ref="CK356">_xlfn.TEXTJOIN("",TRUE,IF(ISERROR(FIND(ROW($1:$168)-1,CI356&amp;CJ356)),ROW($1:$168)-1,""))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56" s="19" t="str">
        <f t="shared" si="295"/>
        <v>邻孤孤</v>
      </c>
      <c r="CM356" s="24" t="str">
        <f t="shared" si="296"/>
        <v>24</v>
      </c>
      <c r="CN356" s="24" t="str">
        <f t="array" ref="CN356">_xlfn.TEXTJOIN("",TRUE,IF(ISNUMBER(FIND(MID(CM355&amp;Y355,ROW($1:$162),1),CM356&amp;Y356)),MID(CM355&amp;Y355,ROW($1:$162),1),""))</f>
        <v>34</v>
      </c>
      <c r="CO356" s="24" t="str">
        <f t="array" ref="CO356">_xlfn.TEXTJOIN("",TRUE,IF(ISERROR(FIND(ROW($1:$168)-1,CM356&amp;CN356)),ROW($1:$168)-1,""))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56" s="30" t="str">
        <f t="shared" si="297"/>
        <v>邻传孤</v>
      </c>
    </row>
    <row r="357" spans="1:94">
      <c r="A357" s="15">
        <v>357</v>
      </c>
      <c r="B357" s="80">
        <v>2024326</v>
      </c>
      <c r="C357" s="8" t="s">
        <v>327</v>
      </c>
      <c r="D357" s="81">
        <f t="shared" si="282"/>
        <v>11</v>
      </c>
      <c r="E357" s="82">
        <f t="shared" si="283"/>
        <v>1</v>
      </c>
      <c r="F357" s="83">
        <f t="shared" si="270"/>
        <v>2.2</v>
      </c>
      <c r="G357" s="84" t="str">
        <f t="shared" si="271"/>
        <v>标准</v>
      </c>
      <c r="H357" s="85" t="s">
        <v>10</v>
      </c>
      <c r="I357" s="85" t="s">
        <v>11</v>
      </c>
      <c r="J357" s="85" t="s">
        <v>12</v>
      </c>
      <c r="K357" s="85" t="s">
        <v>13</v>
      </c>
      <c r="L357" s="86">
        <f>MAX(MID(C357,{1,2,3},1)*1)-MIN(MID(C357,{1,2,3},1)*1)</f>
        <v>5</v>
      </c>
      <c r="M357" s="87">
        <v>0</v>
      </c>
      <c r="N357" s="87">
        <v>1</v>
      </c>
      <c r="O357" s="87">
        <v>2</v>
      </c>
      <c r="P357" s="87">
        <v>3</v>
      </c>
      <c r="Q357" s="87">
        <v>4</v>
      </c>
      <c r="R357" s="87">
        <v>5</v>
      </c>
      <c r="S357" s="87">
        <v>6</v>
      </c>
      <c r="T357" s="87">
        <v>7</v>
      </c>
      <c r="U357" s="87">
        <v>8</v>
      </c>
      <c r="V357" s="87">
        <v>9</v>
      </c>
      <c r="W357" s="88">
        <f t="shared" si="284"/>
        <v>5</v>
      </c>
      <c r="X357" s="88">
        <f t="shared" si="285"/>
        <v>5</v>
      </c>
      <c r="Y357" s="88">
        <f t="shared" si="286"/>
        <v>0</v>
      </c>
      <c r="Z357" s="89">
        <f t="shared" si="279"/>
        <v>10</v>
      </c>
      <c r="AA357" s="17" t="str">
        <f>_xlfn.TEXTJOIN(", ",TRUE,ABS(MID(C357,{1,1,2},1)-MID(C357,{2,3,3},1)))</f>
        <v>5, 5, 0</v>
      </c>
      <c r="AB357" s="90">
        <v>0</v>
      </c>
      <c r="AC357" s="90">
        <v>1</v>
      </c>
      <c r="AD357" s="90">
        <v>2</v>
      </c>
      <c r="AE357" s="90">
        <v>3</v>
      </c>
      <c r="AF357" s="90">
        <v>4</v>
      </c>
      <c r="AG357" s="90">
        <v>5</v>
      </c>
      <c r="AH357" s="90">
        <v>6</v>
      </c>
      <c r="AI357" s="90">
        <v>7</v>
      </c>
      <c r="AJ357" s="90">
        <v>8</v>
      </c>
      <c r="AK357" s="90">
        <v>9</v>
      </c>
      <c r="AL357" s="91">
        <v>0</v>
      </c>
      <c r="AM357" s="91">
        <v>1</v>
      </c>
      <c r="AN357" s="91">
        <v>2</v>
      </c>
      <c r="AO357" s="91">
        <v>3</v>
      </c>
      <c r="AP357" s="91">
        <v>4</v>
      </c>
      <c r="AQ357" s="91">
        <v>5</v>
      </c>
      <c r="AR357" s="91">
        <v>6</v>
      </c>
      <c r="AS357" s="91">
        <v>7</v>
      </c>
      <c r="AT357" s="91">
        <v>8</v>
      </c>
      <c r="AU357" s="91">
        <v>9</v>
      </c>
      <c r="AV357" s="92">
        <v>0</v>
      </c>
      <c r="AW357" s="92">
        <v>1</v>
      </c>
      <c r="AX357" s="92">
        <v>2</v>
      </c>
      <c r="AY357" s="92">
        <v>3</v>
      </c>
      <c r="AZ357" s="92">
        <v>4</v>
      </c>
      <c r="BA357" s="92">
        <v>5</v>
      </c>
      <c r="BB357" s="92">
        <v>6</v>
      </c>
      <c r="BC357" s="92">
        <v>7</v>
      </c>
      <c r="BD357" s="92">
        <v>8</v>
      </c>
      <c r="BE357" s="92">
        <v>9</v>
      </c>
      <c r="BF357" s="93">
        <v>0</v>
      </c>
      <c r="BG357" s="93">
        <v>1</v>
      </c>
      <c r="BH357" s="93">
        <v>2</v>
      </c>
      <c r="BI357" s="93">
        <v>3</v>
      </c>
      <c r="BJ357" s="93">
        <v>4</v>
      </c>
      <c r="BK357" s="93">
        <v>5</v>
      </c>
      <c r="BL357" s="93">
        <v>6</v>
      </c>
      <c r="BM357" s="93">
        <v>7</v>
      </c>
      <c r="BN357" s="93">
        <v>8</v>
      </c>
      <c r="BO357" s="93">
        <v>9</v>
      </c>
      <c r="BP357" s="94" t="str">
        <f t="shared" si="280"/>
        <v>对子</v>
      </c>
      <c r="BQ357" s="15">
        <f t="shared" si="277"/>
        <v>0</v>
      </c>
      <c r="BR357" s="15">
        <f t="shared" si="278"/>
        <v>5</v>
      </c>
      <c r="BS357" s="20" t="str">
        <f t="shared" si="287"/>
        <v/>
      </c>
      <c r="BT357" s="21">
        <f t="shared" si="288"/>
        <v>5</v>
      </c>
      <c r="BU357" s="21" t="str">
        <f t="array" ref="BU357">_xlfn.TEXTJOIN("",TRUE,IF(ISERROR(FIND(ROW($1:$168)-1,BS357&amp;BT357)),ROW($1:$168)-1,""))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57" s="22" t="str">
        <f t="shared" si="289"/>
        <v>中隔中</v>
      </c>
      <c r="BW357" s="23" t="str">
        <f t="shared" si="264"/>
        <v/>
      </c>
      <c r="BX357" s="23">
        <f t="shared" si="298"/>
        <v>5</v>
      </c>
      <c r="BY357" s="23" t="str">
        <f t="array" ref="BY357">_xlfn.TEXTJOIN("",TRUE,IF(ISERROR(FIND(ROW($1:$168)-1,BW357&amp;BX357)),ROW($1:$168)-1,""))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57" s="22" t="str">
        <f t="shared" si="290"/>
        <v>中隔中</v>
      </c>
      <c r="CA357" s="24" t="str">
        <f t="shared" si="291"/>
        <v/>
      </c>
      <c r="CB357" s="24" t="str">
        <f t="shared" si="299"/>
        <v/>
      </c>
      <c r="CC357" s="24" t="str">
        <f t="array" ref="CC357">_xlfn.TEXTJOIN("",TRUE,IF(ISERROR(FIND(ROW($1:$168)-1,CA357&amp;CB357)),ROW($1:$168)-1,""))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57" s="22" t="str">
        <f t="shared" si="292"/>
        <v>中中中</v>
      </c>
      <c r="CE357" s="25" t="str">
        <f t="shared" si="281"/>
        <v>46</v>
      </c>
      <c r="CF357" s="26" t="str">
        <f t="array" ref="CF357">_xlfn.TEXTJOIN("",TRUE,IF(ISNUMBER(FIND(MID(CE356&amp;W356,ROW($1:$162),1),CE357&amp;W357)),MID(CE356&amp;W356,ROW($1:$162),1),""))</f>
        <v>54</v>
      </c>
      <c r="CG357" s="27" t="str">
        <f t="array" ref="CG357">_xlfn.TEXTJOIN("",TRUE,IF(ISERROR(FIND(ROW($1:$168)-1,CE357&amp;CF357)),ROW($1:$168)-1,""))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57" s="28" t="str">
        <f t="shared" si="293"/>
        <v>邻传孤</v>
      </c>
      <c r="CI357" s="29" t="str">
        <f t="shared" si="294"/>
        <v>46</v>
      </c>
      <c r="CJ357" s="29" t="str">
        <f t="array" ref="CJ357">_xlfn.TEXTJOIN("",TRUE,IF(ISNUMBER(FIND(MID(CI356&amp;X356,ROW($1:$162),1),CI357&amp;X357)),MID(CI356&amp;X356,ROW($1:$162),1),""))</f>
        <v>6</v>
      </c>
      <c r="CK357" s="29" t="str">
        <f t="array" ref="CK357">_xlfn.TEXTJOIN("",TRUE,IF(ISERROR(FIND(ROW($1:$168)-1,CI357&amp;CJ357)),ROW($1:$168)-1,""))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57" s="19" t="str">
        <f t="shared" si="295"/>
        <v>邻传孤</v>
      </c>
      <c r="CM357" s="24" t="str">
        <f t="shared" si="296"/>
        <v>91</v>
      </c>
      <c r="CN357" s="24" t="str">
        <f t="array" ref="CN357">_xlfn.TEXTJOIN("",TRUE,IF(ISNUMBER(FIND(MID(CM356&amp;Y356,ROW($1:$162),1),CM357&amp;Y357)),MID(CM356&amp;Y356,ROW($1:$162),1),""))</f>
        <v/>
      </c>
      <c r="CO357" s="24" t="str">
        <f t="array" ref="CO357">_xlfn.TEXTJOIN("",TRUE,IF(ISERROR(FIND(ROW($1:$168)-1,CM357&amp;CN357)),ROW($1:$168)-1,""))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357" s="30" t="str">
        <f t="shared" si="297"/>
        <v>邻孤孤</v>
      </c>
    </row>
    <row r="358" spans="1:94">
      <c r="A358" s="15">
        <v>358</v>
      </c>
      <c r="B358" s="80">
        <v>2024327</v>
      </c>
      <c r="C358" s="8" t="s">
        <v>328</v>
      </c>
      <c r="D358" s="81">
        <f t="shared" si="282"/>
        <v>10</v>
      </c>
      <c r="E358" s="82">
        <f t="shared" si="283"/>
        <v>0</v>
      </c>
      <c r="F358" s="83">
        <f t="shared" si="270"/>
        <v>1.25</v>
      </c>
      <c r="G358" s="84" t="str">
        <f t="shared" si="271"/>
        <v>松散</v>
      </c>
      <c r="H358" s="85" t="s">
        <v>10</v>
      </c>
      <c r="I358" s="85" t="s">
        <v>11</v>
      </c>
      <c r="J358" s="85" t="s">
        <v>12</v>
      </c>
      <c r="K358" s="85" t="s">
        <v>13</v>
      </c>
      <c r="L358" s="86">
        <f>MAX(MID(C358,{1,2,3},1)*1)-MIN(MID(C358,{1,2,3},1)*1)</f>
        <v>8</v>
      </c>
      <c r="M358" s="87">
        <v>0</v>
      </c>
      <c r="N358" s="87">
        <v>1</v>
      </c>
      <c r="O358" s="87">
        <v>2</v>
      </c>
      <c r="P358" s="87">
        <v>3</v>
      </c>
      <c r="Q358" s="87">
        <v>4</v>
      </c>
      <c r="R358" s="87">
        <v>5</v>
      </c>
      <c r="S358" s="87">
        <v>6</v>
      </c>
      <c r="T358" s="87">
        <v>7</v>
      </c>
      <c r="U358" s="87">
        <v>8</v>
      </c>
      <c r="V358" s="87">
        <v>9</v>
      </c>
      <c r="W358" s="88">
        <f t="shared" si="284"/>
        <v>6</v>
      </c>
      <c r="X358" s="88">
        <f t="shared" si="285"/>
        <v>2</v>
      </c>
      <c r="Y358" s="88">
        <f t="shared" si="286"/>
        <v>8</v>
      </c>
      <c r="Z358" s="89">
        <f t="shared" si="279"/>
        <v>16</v>
      </c>
      <c r="AA358" s="17" t="str">
        <f>_xlfn.TEXTJOIN(", ",TRUE,ABS(MID(C358,{1,1,2},1)-MID(C358,{2,3,3},1)))</f>
        <v>6, 2, 8</v>
      </c>
      <c r="AB358" s="90">
        <v>0</v>
      </c>
      <c r="AC358" s="90">
        <v>1</v>
      </c>
      <c r="AD358" s="90">
        <v>2</v>
      </c>
      <c r="AE358" s="90">
        <v>3</v>
      </c>
      <c r="AF358" s="90">
        <v>4</v>
      </c>
      <c r="AG358" s="90">
        <v>5</v>
      </c>
      <c r="AH358" s="90">
        <v>6</v>
      </c>
      <c r="AI358" s="90">
        <v>7</v>
      </c>
      <c r="AJ358" s="90">
        <v>8</v>
      </c>
      <c r="AK358" s="90">
        <v>9</v>
      </c>
      <c r="AL358" s="91">
        <v>0</v>
      </c>
      <c r="AM358" s="91">
        <v>1</v>
      </c>
      <c r="AN358" s="91">
        <v>2</v>
      </c>
      <c r="AO358" s="91">
        <v>3</v>
      </c>
      <c r="AP358" s="91">
        <v>4</v>
      </c>
      <c r="AQ358" s="91">
        <v>5</v>
      </c>
      <c r="AR358" s="91">
        <v>6</v>
      </c>
      <c r="AS358" s="91">
        <v>7</v>
      </c>
      <c r="AT358" s="91">
        <v>8</v>
      </c>
      <c r="AU358" s="91">
        <v>9</v>
      </c>
      <c r="AV358" s="92">
        <v>0</v>
      </c>
      <c r="AW358" s="92">
        <v>1</v>
      </c>
      <c r="AX358" s="92">
        <v>2</v>
      </c>
      <c r="AY358" s="92">
        <v>3</v>
      </c>
      <c r="AZ358" s="92">
        <v>4</v>
      </c>
      <c r="BA358" s="92">
        <v>5</v>
      </c>
      <c r="BB358" s="92">
        <v>6</v>
      </c>
      <c r="BC358" s="92">
        <v>7</v>
      </c>
      <c r="BD358" s="92">
        <v>8</v>
      </c>
      <c r="BE358" s="92">
        <v>9</v>
      </c>
      <c r="BF358" s="93">
        <v>0</v>
      </c>
      <c r="BG358" s="93">
        <v>1</v>
      </c>
      <c r="BH358" s="93">
        <v>2</v>
      </c>
      <c r="BI358" s="93">
        <v>3</v>
      </c>
      <c r="BJ358" s="93">
        <v>4</v>
      </c>
      <c r="BK358" s="93">
        <v>5</v>
      </c>
      <c r="BL358" s="93">
        <v>6</v>
      </c>
      <c r="BM358" s="93">
        <v>7</v>
      </c>
      <c r="BN358" s="93">
        <v>8</v>
      </c>
      <c r="BO358" s="93">
        <v>9</v>
      </c>
      <c r="BP358" s="94" t="str">
        <f t="shared" si="280"/>
        <v>松散型</v>
      </c>
      <c r="BQ358" s="15">
        <f t="shared" si="277"/>
        <v>2</v>
      </c>
      <c r="BR358" s="15">
        <f t="shared" si="278"/>
        <v>8</v>
      </c>
      <c r="BS358" s="20" t="str">
        <f t="shared" si="287"/>
        <v/>
      </c>
      <c r="BT358" s="21" t="str">
        <f t="shared" si="288"/>
        <v/>
      </c>
      <c r="BU358" s="21" t="str">
        <f t="array" ref="BU358">_xlfn.TEXTJOIN("",TRUE,IF(ISERROR(FIND(ROW($1:$168)-1,BS358&amp;BT358)),ROW($1:$168)-1,""))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58" s="22" t="str">
        <f t="shared" si="289"/>
        <v>中中中</v>
      </c>
      <c r="BW358" s="23" t="str">
        <f t="shared" ref="BW358:BW421" si="300">IF(COUNTIF($W357:$Y357,X358)&gt;0,X358,"")</f>
        <v/>
      </c>
      <c r="BX358" s="23" t="str">
        <f t="shared" si="298"/>
        <v/>
      </c>
      <c r="BY358" s="23" t="str">
        <f t="array" ref="BY358">_xlfn.TEXTJOIN("",TRUE,IF(ISERROR(FIND(ROW($1:$168)-1,BW358&amp;BX358)),ROW($1:$168)-1,""))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58" s="22" t="str">
        <f t="shared" si="290"/>
        <v>中中中</v>
      </c>
      <c r="CA358" s="24" t="str">
        <f t="shared" si="291"/>
        <v/>
      </c>
      <c r="CB358" s="24" t="str">
        <f t="shared" si="299"/>
        <v/>
      </c>
      <c r="CC358" s="24" t="str">
        <f t="array" ref="CC358">_xlfn.TEXTJOIN("",TRUE,IF(ISERROR(FIND(ROW($1:$168)-1,CA358&amp;CB358)),ROW($1:$168)-1,""))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58" s="22" t="str">
        <f t="shared" si="292"/>
        <v>中中中</v>
      </c>
      <c r="CE358" s="25" t="str">
        <f t="shared" si="281"/>
        <v>57</v>
      </c>
      <c r="CF358" s="26" t="str">
        <f t="array" ref="CF358">_xlfn.TEXTJOIN("",TRUE,IF(ISNUMBER(FIND(MID(CE357&amp;W357,ROW($1:$162),1),CE358&amp;W358)),MID(CE357&amp;W357,ROW($1:$162),1),""))</f>
        <v>65</v>
      </c>
      <c r="CG358" s="27" t="str">
        <f t="array" ref="CG358">_xlfn.TEXTJOIN("",TRUE,IF(ISERROR(FIND(ROW($1:$168)-1,CE358&amp;CF358)),ROW($1:$168)-1,""))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58" s="28" t="str">
        <f t="shared" si="293"/>
        <v>邻传孤</v>
      </c>
      <c r="CI358" s="29" t="str">
        <f t="shared" si="294"/>
        <v>13</v>
      </c>
      <c r="CJ358" s="29" t="str">
        <f t="array" ref="CJ358">_xlfn.TEXTJOIN("",TRUE,IF(ISNUMBER(FIND(MID(CI357&amp;X357,ROW($1:$162),1),CI358&amp;X358)),MID(CI357&amp;X357,ROW($1:$162),1),""))</f>
        <v/>
      </c>
      <c r="CK358" s="29" t="str">
        <f t="array" ref="CK358">_xlfn.TEXTJOIN("",TRUE,IF(ISERROR(FIND(ROW($1:$168)-1,CI358&amp;CJ358)),ROW($1:$168)-1,""))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58" s="19" t="str">
        <f t="shared" si="295"/>
        <v>邻孤孤</v>
      </c>
      <c r="CM358" s="24" t="str">
        <f t="shared" si="296"/>
        <v>79</v>
      </c>
      <c r="CN358" s="24" t="str">
        <f t="array" ref="CN358">_xlfn.TEXTJOIN("",TRUE,IF(ISNUMBER(FIND(MID(CM357&amp;Y357,ROW($1:$162),1),CM358&amp;Y358)),MID(CM357&amp;Y357,ROW($1:$162),1),""))</f>
        <v>9</v>
      </c>
      <c r="CO358" s="24" t="str">
        <f t="array" ref="CO358">_xlfn.TEXTJOIN("",TRUE,IF(ISERROR(FIND(ROW($1:$168)-1,CM358&amp;CN358)),ROW($1:$168)-1,""))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P358" s="30" t="str">
        <f t="shared" si="297"/>
        <v>邻传孤</v>
      </c>
    </row>
    <row r="359" spans="1:94">
      <c r="A359" s="15">
        <v>359</v>
      </c>
      <c r="B359" s="80">
        <v>2024328</v>
      </c>
      <c r="C359" s="8" t="s">
        <v>224</v>
      </c>
      <c r="D359" s="81">
        <f t="shared" si="282"/>
        <v>9</v>
      </c>
      <c r="E359" s="82">
        <f t="shared" si="283"/>
        <v>9</v>
      </c>
      <c r="F359" s="83">
        <f t="shared" si="270"/>
        <v>1.5</v>
      </c>
      <c r="G359" s="84" t="str">
        <f t="shared" si="271"/>
        <v>松散</v>
      </c>
      <c r="H359" s="85" t="s">
        <v>10</v>
      </c>
      <c r="I359" s="85" t="s">
        <v>11</v>
      </c>
      <c r="J359" s="85" t="s">
        <v>12</v>
      </c>
      <c r="K359" s="85" t="s">
        <v>13</v>
      </c>
      <c r="L359" s="86">
        <f>MAX(MID(C359,{1,2,3},1)*1)-MIN(MID(C359,{1,2,3},1)*1)</f>
        <v>6</v>
      </c>
      <c r="M359" s="87">
        <v>0</v>
      </c>
      <c r="N359" s="87">
        <v>1</v>
      </c>
      <c r="O359" s="87">
        <v>2</v>
      </c>
      <c r="P359" s="87">
        <v>3</v>
      </c>
      <c r="Q359" s="87">
        <v>4</v>
      </c>
      <c r="R359" s="87">
        <v>5</v>
      </c>
      <c r="S359" s="87">
        <v>6</v>
      </c>
      <c r="T359" s="87">
        <v>7</v>
      </c>
      <c r="U359" s="87">
        <v>8</v>
      </c>
      <c r="V359" s="87">
        <v>9</v>
      </c>
      <c r="W359" s="88">
        <f t="shared" si="284"/>
        <v>3</v>
      </c>
      <c r="X359" s="88">
        <f t="shared" si="285"/>
        <v>3</v>
      </c>
      <c r="Y359" s="88">
        <f t="shared" si="286"/>
        <v>6</v>
      </c>
      <c r="Z359" s="89">
        <f t="shared" si="279"/>
        <v>12</v>
      </c>
      <c r="AA359" s="17" t="str">
        <f>_xlfn.TEXTJOIN(", ",TRUE,ABS(MID(C359,{1,1,2},1)-MID(C359,{2,3,3},1)))</f>
        <v>3, 3, 6</v>
      </c>
      <c r="AB359" s="90">
        <v>0</v>
      </c>
      <c r="AC359" s="90">
        <v>1</v>
      </c>
      <c r="AD359" s="90">
        <v>2</v>
      </c>
      <c r="AE359" s="90">
        <v>3</v>
      </c>
      <c r="AF359" s="90">
        <v>4</v>
      </c>
      <c r="AG359" s="90">
        <v>5</v>
      </c>
      <c r="AH359" s="90">
        <v>6</v>
      </c>
      <c r="AI359" s="90">
        <v>7</v>
      </c>
      <c r="AJ359" s="90">
        <v>8</v>
      </c>
      <c r="AK359" s="90">
        <v>9</v>
      </c>
      <c r="AL359" s="91">
        <v>0</v>
      </c>
      <c r="AM359" s="91">
        <v>1</v>
      </c>
      <c r="AN359" s="91">
        <v>2</v>
      </c>
      <c r="AO359" s="91">
        <v>3</v>
      </c>
      <c r="AP359" s="91">
        <v>4</v>
      </c>
      <c r="AQ359" s="91">
        <v>5</v>
      </c>
      <c r="AR359" s="91">
        <v>6</v>
      </c>
      <c r="AS359" s="91">
        <v>7</v>
      </c>
      <c r="AT359" s="91">
        <v>8</v>
      </c>
      <c r="AU359" s="91">
        <v>9</v>
      </c>
      <c r="AV359" s="92">
        <v>0</v>
      </c>
      <c r="AW359" s="92">
        <v>1</v>
      </c>
      <c r="AX359" s="92">
        <v>2</v>
      </c>
      <c r="AY359" s="92">
        <v>3</v>
      </c>
      <c r="AZ359" s="92">
        <v>4</v>
      </c>
      <c r="BA359" s="92">
        <v>5</v>
      </c>
      <c r="BB359" s="92">
        <v>6</v>
      </c>
      <c r="BC359" s="92">
        <v>7</v>
      </c>
      <c r="BD359" s="92">
        <v>8</v>
      </c>
      <c r="BE359" s="92">
        <v>9</v>
      </c>
      <c r="BF359" s="93">
        <v>0</v>
      </c>
      <c r="BG359" s="93">
        <v>1</v>
      </c>
      <c r="BH359" s="93">
        <v>2</v>
      </c>
      <c r="BI359" s="93">
        <v>3</v>
      </c>
      <c r="BJ359" s="93">
        <v>4</v>
      </c>
      <c r="BK359" s="93">
        <v>5</v>
      </c>
      <c r="BL359" s="93">
        <v>6</v>
      </c>
      <c r="BM359" s="93">
        <v>7</v>
      </c>
      <c r="BN359" s="93">
        <v>8</v>
      </c>
      <c r="BO359" s="93">
        <v>9</v>
      </c>
      <c r="BP359" s="94" t="str">
        <f t="shared" si="280"/>
        <v>松散型</v>
      </c>
      <c r="BQ359" s="15">
        <f t="shared" si="277"/>
        <v>3</v>
      </c>
      <c r="BR359" s="15">
        <f t="shared" si="278"/>
        <v>6</v>
      </c>
      <c r="BS359" s="20" t="str">
        <f t="shared" si="287"/>
        <v/>
      </c>
      <c r="BT359" s="21" t="str">
        <f t="shared" si="288"/>
        <v/>
      </c>
      <c r="BU359" s="21" t="str">
        <f t="array" ref="BU359">_xlfn.TEXTJOIN("",TRUE,IF(ISERROR(FIND(ROW($1:$168)-1,BS359&amp;BT359)),ROW($1:$168)-1,""))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59" s="22" t="str">
        <f t="shared" si="289"/>
        <v>中中中</v>
      </c>
      <c r="BW359" s="23" t="str">
        <f t="shared" si="300"/>
        <v/>
      </c>
      <c r="BX359" s="23" t="str">
        <f t="shared" si="298"/>
        <v/>
      </c>
      <c r="BY359" s="23" t="str">
        <f t="array" ref="BY359">_xlfn.TEXTJOIN("",TRUE,IF(ISERROR(FIND(ROW($1:$168)-1,BW359&amp;BX359)),ROW($1:$168)-1,""))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59" s="22" t="str">
        <f t="shared" si="290"/>
        <v>中中中</v>
      </c>
      <c r="CA359" s="24">
        <f t="shared" si="291"/>
        <v>6</v>
      </c>
      <c r="CB359" s="24" t="str">
        <f t="shared" si="299"/>
        <v/>
      </c>
      <c r="CC359" s="24" t="str">
        <f t="array" ref="CC359">_xlfn.TEXTJOIN("",TRUE,IF(ISERROR(FIND(ROW($1:$168)-1,CA359&amp;CB359)),ROW($1:$168)-1,""))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59" s="22" t="str">
        <f t="shared" si="292"/>
        <v>复中中</v>
      </c>
      <c r="CE359" s="25" t="str">
        <f t="shared" si="281"/>
        <v>24</v>
      </c>
      <c r="CF359" s="26" t="str">
        <f t="array" ref="CF359">_xlfn.TEXTJOIN("",TRUE,IF(ISNUMBER(FIND(MID(CE358&amp;W358,ROW($1:$162),1),CE359&amp;W359)),MID(CE358&amp;W358,ROW($1:$162),1),""))</f>
        <v/>
      </c>
      <c r="CG359" s="27" t="str">
        <f t="array" ref="CG359">_xlfn.TEXTJOIN("",TRUE,IF(ISERROR(FIND(ROW($1:$168)-1,CE359&amp;CF359)),ROW($1:$168)-1,""))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59" s="28" t="str">
        <f t="shared" si="293"/>
        <v>邻孤孤</v>
      </c>
      <c r="CI359" s="29" t="str">
        <f t="shared" si="294"/>
        <v>24</v>
      </c>
      <c r="CJ359" s="29" t="str">
        <f t="array" ref="CJ359">_xlfn.TEXTJOIN("",TRUE,IF(ISNUMBER(FIND(MID(CI358&amp;X358,ROW($1:$162),1),CI359&amp;X359)),MID(CI358&amp;X358,ROW($1:$162),1),""))</f>
        <v>32</v>
      </c>
      <c r="CK359" s="29" t="str">
        <f t="array" ref="CK359">_xlfn.TEXTJOIN("",TRUE,IF(ISERROR(FIND(ROW($1:$168)-1,CI359&amp;CJ359)),ROW($1:$168)-1,""))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59" s="19" t="str">
        <f t="shared" si="295"/>
        <v>邻传孤</v>
      </c>
      <c r="CM359" s="24" t="str">
        <f t="shared" si="296"/>
        <v>57</v>
      </c>
      <c r="CN359" s="24" t="str">
        <f t="array" ref="CN359">_xlfn.TEXTJOIN("",TRUE,IF(ISNUMBER(FIND(MID(CM358&amp;Y358,ROW($1:$162),1),CM359&amp;Y359)),MID(CM358&amp;Y358,ROW($1:$162),1),""))</f>
        <v>7</v>
      </c>
      <c r="CO359" s="24" t="str">
        <f t="array" ref="CO359">_xlfn.TEXTJOIN("",TRUE,IF(ISERROR(FIND(ROW($1:$168)-1,CM359&amp;CN359)),ROW($1:$168)-1,""))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P359" s="30" t="str">
        <f t="shared" si="297"/>
        <v>邻传孤</v>
      </c>
    </row>
    <row r="360" spans="1:94">
      <c r="A360" s="15">
        <v>360</v>
      </c>
      <c r="B360" s="80">
        <v>2024329</v>
      </c>
      <c r="C360" s="8" t="s">
        <v>329</v>
      </c>
      <c r="D360" s="81">
        <f t="shared" si="282"/>
        <v>10</v>
      </c>
      <c r="E360" s="82">
        <f t="shared" si="283"/>
        <v>0</v>
      </c>
      <c r="F360" s="83">
        <f t="shared" si="270"/>
        <v>1.11111111111111</v>
      </c>
      <c r="G360" s="84" t="str">
        <f t="shared" si="271"/>
        <v>松散</v>
      </c>
      <c r="H360" s="85" t="s">
        <v>10</v>
      </c>
      <c r="I360" s="85" t="s">
        <v>11</v>
      </c>
      <c r="J360" s="85" t="s">
        <v>12</v>
      </c>
      <c r="K360" s="85" t="s">
        <v>13</v>
      </c>
      <c r="L360" s="86">
        <f>MAX(MID(C360,{1,2,3},1)*1)-MIN(MID(C360,{1,2,3},1)*1)</f>
        <v>9</v>
      </c>
      <c r="M360" s="87">
        <v>0</v>
      </c>
      <c r="N360" s="87">
        <v>1</v>
      </c>
      <c r="O360" s="87">
        <v>2</v>
      </c>
      <c r="P360" s="87">
        <v>3</v>
      </c>
      <c r="Q360" s="87">
        <v>4</v>
      </c>
      <c r="R360" s="87">
        <v>5</v>
      </c>
      <c r="S360" s="87">
        <v>6</v>
      </c>
      <c r="T360" s="87">
        <v>7</v>
      </c>
      <c r="U360" s="87">
        <v>8</v>
      </c>
      <c r="V360" s="87">
        <v>9</v>
      </c>
      <c r="W360" s="88">
        <f t="shared" si="284"/>
        <v>8</v>
      </c>
      <c r="X360" s="88">
        <f t="shared" si="285"/>
        <v>9</v>
      </c>
      <c r="Y360" s="88">
        <f t="shared" si="286"/>
        <v>1</v>
      </c>
      <c r="Z360" s="89">
        <f t="shared" si="279"/>
        <v>18</v>
      </c>
      <c r="AA360" s="17" t="str">
        <f>_xlfn.TEXTJOIN(", ",TRUE,ABS(MID(C360,{1,1,2},1)-MID(C360,{2,3,3},1)))</f>
        <v>8, 9, 1</v>
      </c>
      <c r="AB360" s="90">
        <v>0</v>
      </c>
      <c r="AC360" s="90">
        <v>1</v>
      </c>
      <c r="AD360" s="90">
        <v>2</v>
      </c>
      <c r="AE360" s="90">
        <v>3</v>
      </c>
      <c r="AF360" s="90">
        <v>4</v>
      </c>
      <c r="AG360" s="90">
        <v>5</v>
      </c>
      <c r="AH360" s="90">
        <v>6</v>
      </c>
      <c r="AI360" s="90">
        <v>7</v>
      </c>
      <c r="AJ360" s="90">
        <v>8</v>
      </c>
      <c r="AK360" s="90">
        <v>9</v>
      </c>
      <c r="AL360" s="91">
        <v>0</v>
      </c>
      <c r="AM360" s="91">
        <v>1</v>
      </c>
      <c r="AN360" s="91">
        <v>2</v>
      </c>
      <c r="AO360" s="91">
        <v>3</v>
      </c>
      <c r="AP360" s="91">
        <v>4</v>
      </c>
      <c r="AQ360" s="91">
        <v>5</v>
      </c>
      <c r="AR360" s="91">
        <v>6</v>
      </c>
      <c r="AS360" s="91">
        <v>7</v>
      </c>
      <c r="AT360" s="91">
        <v>8</v>
      </c>
      <c r="AU360" s="91">
        <v>9</v>
      </c>
      <c r="AV360" s="92">
        <v>0</v>
      </c>
      <c r="AW360" s="92">
        <v>1</v>
      </c>
      <c r="AX360" s="92">
        <v>2</v>
      </c>
      <c r="AY360" s="92">
        <v>3</v>
      </c>
      <c r="AZ360" s="92">
        <v>4</v>
      </c>
      <c r="BA360" s="92">
        <v>5</v>
      </c>
      <c r="BB360" s="92">
        <v>6</v>
      </c>
      <c r="BC360" s="92">
        <v>7</v>
      </c>
      <c r="BD360" s="92">
        <v>8</v>
      </c>
      <c r="BE360" s="92">
        <v>9</v>
      </c>
      <c r="BF360" s="93">
        <v>0</v>
      </c>
      <c r="BG360" s="93">
        <v>1</v>
      </c>
      <c r="BH360" s="93">
        <v>2</v>
      </c>
      <c r="BI360" s="93">
        <v>3</v>
      </c>
      <c r="BJ360" s="93">
        <v>4</v>
      </c>
      <c r="BK360" s="93">
        <v>5</v>
      </c>
      <c r="BL360" s="93">
        <v>6</v>
      </c>
      <c r="BM360" s="93">
        <v>7</v>
      </c>
      <c r="BN360" s="93">
        <v>8</v>
      </c>
      <c r="BO360" s="93">
        <v>9</v>
      </c>
      <c r="BP360" s="94" t="str">
        <f t="shared" si="280"/>
        <v>松散型</v>
      </c>
      <c r="BQ360" s="15">
        <f t="shared" si="277"/>
        <v>1</v>
      </c>
      <c r="BR360" s="15">
        <f t="shared" si="278"/>
        <v>9</v>
      </c>
      <c r="BS360" s="20" t="str">
        <f t="shared" si="287"/>
        <v/>
      </c>
      <c r="BT360" s="21">
        <f t="shared" si="288"/>
        <v>8</v>
      </c>
      <c r="BU360" s="21" t="str">
        <f t="array" ref="BU360">_xlfn.TEXTJOIN("",TRUE,IF(ISERROR(FIND(ROW($1:$168)-1,BS360&amp;BT360)),ROW($1:$168)-1,""))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60" s="22" t="str">
        <f t="shared" si="289"/>
        <v>中隔中</v>
      </c>
      <c r="BW360" s="23" t="str">
        <f t="shared" si="300"/>
        <v/>
      </c>
      <c r="BX360" s="23" t="str">
        <f t="shared" si="298"/>
        <v/>
      </c>
      <c r="BY360" s="23" t="str">
        <f t="array" ref="BY360">_xlfn.TEXTJOIN("",TRUE,IF(ISERROR(FIND(ROW($1:$168)-1,BW360&amp;BX360)),ROW($1:$168)-1,""))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60" s="22" t="str">
        <f t="shared" si="290"/>
        <v>中中中</v>
      </c>
      <c r="CA360" s="24" t="str">
        <f t="shared" si="291"/>
        <v/>
      </c>
      <c r="CB360" s="24" t="str">
        <f t="shared" si="299"/>
        <v/>
      </c>
      <c r="CC360" s="24" t="str">
        <f t="array" ref="CC360">_xlfn.TEXTJOIN("",TRUE,IF(ISERROR(FIND(ROW($1:$168)-1,CA360&amp;CB360)),ROW($1:$168)-1,""))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60" s="22" t="str">
        <f t="shared" si="292"/>
        <v>中中中</v>
      </c>
      <c r="CE360" s="25" t="str">
        <f t="shared" si="281"/>
        <v>79</v>
      </c>
      <c r="CF360" s="26" t="str">
        <f t="array" ref="CF360">_xlfn.TEXTJOIN("",TRUE,IF(ISNUMBER(FIND(MID(CE359&amp;W359,ROW($1:$162),1),CE360&amp;W360)),MID(CE359&amp;W359,ROW($1:$162),1),""))</f>
        <v/>
      </c>
      <c r="CG360" s="27" t="str">
        <f t="array" ref="CG360">_xlfn.TEXTJOIN("",TRUE,IF(ISERROR(FIND(ROW($1:$168)-1,CE360&amp;CF360)),ROW($1:$168)-1,""))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360" s="28" t="str">
        <f t="shared" si="293"/>
        <v>邻孤孤</v>
      </c>
      <c r="CI360" s="29" t="str">
        <f t="shared" si="294"/>
        <v>80</v>
      </c>
      <c r="CJ360" s="29" t="str">
        <f t="array" ref="CJ360">_xlfn.TEXTJOIN("",TRUE,IF(ISNUMBER(FIND(MID(CI359&amp;X359,ROW($1:$162),1),CI360&amp;X360)),MID(CI359&amp;X359,ROW($1:$162),1),""))</f>
        <v/>
      </c>
      <c r="CK360" s="29" t="str">
        <f t="array" ref="CK360">_xlfn.TEXTJOIN("",TRUE,IF(ISERROR(FIND(ROW($1:$168)-1,CI360&amp;CJ360)),ROW($1:$168)-1,""))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360" s="19" t="str">
        <f t="shared" si="295"/>
        <v>邻孤孤</v>
      </c>
      <c r="CM360" s="24" t="str">
        <f t="shared" si="296"/>
        <v>02</v>
      </c>
      <c r="CN360" s="24" t="str">
        <f t="array" ref="CN360">_xlfn.TEXTJOIN("",TRUE,IF(ISNUMBER(FIND(MID(CM359&amp;Y359,ROW($1:$162),1),CM360&amp;Y360)),MID(CM359&amp;Y359,ROW($1:$162),1),""))</f>
        <v/>
      </c>
      <c r="CO360" s="24" t="str">
        <f t="array" ref="CO360">_xlfn.TEXTJOIN("",TRUE,IF(ISERROR(FIND(ROW($1:$168)-1,CM360&amp;CN360)),ROW($1:$168)-1,""))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60" s="30" t="str">
        <f t="shared" si="297"/>
        <v>邻孤孤</v>
      </c>
    </row>
    <row r="361" spans="1:94">
      <c r="A361" s="15">
        <v>361</v>
      </c>
      <c r="B361" s="80">
        <v>2024330</v>
      </c>
      <c r="C361" s="8" t="s">
        <v>330</v>
      </c>
      <c r="D361" s="81">
        <f t="shared" si="282"/>
        <v>14</v>
      </c>
      <c r="E361" s="82">
        <f t="shared" si="283"/>
        <v>4</v>
      </c>
      <c r="F361" s="83">
        <f t="shared" si="270"/>
        <v>2.33333333333333</v>
      </c>
      <c r="G361" s="84" t="str">
        <f t="shared" si="271"/>
        <v>标准</v>
      </c>
      <c r="H361" s="85" t="s">
        <v>10</v>
      </c>
      <c r="I361" s="85" t="s">
        <v>11</v>
      </c>
      <c r="J361" s="85" t="s">
        <v>12</v>
      </c>
      <c r="K361" s="85" t="s">
        <v>13</v>
      </c>
      <c r="L361" s="86">
        <f>MAX(MID(C361,{1,2,3},1)*1)-MIN(MID(C361,{1,2,3},1)*1)</f>
        <v>6</v>
      </c>
      <c r="M361" s="87">
        <v>0</v>
      </c>
      <c r="N361" s="87">
        <v>1</v>
      </c>
      <c r="O361" s="87">
        <v>2</v>
      </c>
      <c r="P361" s="87">
        <v>3</v>
      </c>
      <c r="Q361" s="87">
        <v>4</v>
      </c>
      <c r="R361" s="87">
        <v>5</v>
      </c>
      <c r="S361" s="87">
        <v>6</v>
      </c>
      <c r="T361" s="87">
        <v>7</v>
      </c>
      <c r="U361" s="87">
        <v>8</v>
      </c>
      <c r="V361" s="87">
        <v>9</v>
      </c>
      <c r="W361" s="88">
        <f t="shared" si="284"/>
        <v>5</v>
      </c>
      <c r="X361" s="88">
        <f t="shared" si="285"/>
        <v>6</v>
      </c>
      <c r="Y361" s="88">
        <f t="shared" si="286"/>
        <v>1</v>
      </c>
      <c r="Z361" s="89">
        <f t="shared" si="279"/>
        <v>12</v>
      </c>
      <c r="AA361" s="17" t="str">
        <f>_xlfn.TEXTJOIN(", ",TRUE,ABS(MID(C361,{1,1,2},1)-MID(C361,{2,3,3},1)))</f>
        <v>5, 6, 1</v>
      </c>
      <c r="AB361" s="90">
        <v>0</v>
      </c>
      <c r="AC361" s="90">
        <v>1</v>
      </c>
      <c r="AD361" s="90">
        <v>2</v>
      </c>
      <c r="AE361" s="90">
        <v>3</v>
      </c>
      <c r="AF361" s="90">
        <v>4</v>
      </c>
      <c r="AG361" s="90">
        <v>5</v>
      </c>
      <c r="AH361" s="90">
        <v>6</v>
      </c>
      <c r="AI361" s="90">
        <v>7</v>
      </c>
      <c r="AJ361" s="90">
        <v>8</v>
      </c>
      <c r="AK361" s="90">
        <v>9</v>
      </c>
      <c r="AL361" s="91">
        <v>0</v>
      </c>
      <c r="AM361" s="91">
        <v>1</v>
      </c>
      <c r="AN361" s="91">
        <v>2</v>
      </c>
      <c r="AO361" s="91">
        <v>3</v>
      </c>
      <c r="AP361" s="91">
        <v>4</v>
      </c>
      <c r="AQ361" s="91">
        <v>5</v>
      </c>
      <c r="AR361" s="91">
        <v>6</v>
      </c>
      <c r="AS361" s="91">
        <v>7</v>
      </c>
      <c r="AT361" s="91">
        <v>8</v>
      </c>
      <c r="AU361" s="91">
        <v>9</v>
      </c>
      <c r="AV361" s="92">
        <v>0</v>
      </c>
      <c r="AW361" s="92">
        <v>1</v>
      </c>
      <c r="AX361" s="92">
        <v>2</v>
      </c>
      <c r="AY361" s="92">
        <v>3</v>
      </c>
      <c r="AZ361" s="92">
        <v>4</v>
      </c>
      <c r="BA361" s="92">
        <v>5</v>
      </c>
      <c r="BB361" s="92">
        <v>6</v>
      </c>
      <c r="BC361" s="92">
        <v>7</v>
      </c>
      <c r="BD361" s="92">
        <v>8</v>
      </c>
      <c r="BE361" s="92">
        <v>9</v>
      </c>
      <c r="BF361" s="93">
        <v>0</v>
      </c>
      <c r="BG361" s="93">
        <v>1</v>
      </c>
      <c r="BH361" s="93">
        <v>2</v>
      </c>
      <c r="BI361" s="93">
        <v>3</v>
      </c>
      <c r="BJ361" s="93">
        <v>4</v>
      </c>
      <c r="BK361" s="93">
        <v>5</v>
      </c>
      <c r="BL361" s="93">
        <v>6</v>
      </c>
      <c r="BM361" s="93">
        <v>7</v>
      </c>
      <c r="BN361" s="93">
        <v>8</v>
      </c>
      <c r="BO361" s="93">
        <v>9</v>
      </c>
      <c r="BP361" s="94" t="str">
        <f t="shared" si="280"/>
        <v>松散型</v>
      </c>
      <c r="BQ361" s="15">
        <f t="shared" si="277"/>
        <v>1</v>
      </c>
      <c r="BR361" s="15">
        <f t="shared" si="278"/>
        <v>6</v>
      </c>
      <c r="BS361" s="20" t="str">
        <f t="shared" si="287"/>
        <v/>
      </c>
      <c r="BT361" s="21" t="str">
        <f t="shared" si="288"/>
        <v/>
      </c>
      <c r="BU361" s="21" t="str">
        <f t="array" ref="BU361">_xlfn.TEXTJOIN("",TRUE,IF(ISERROR(FIND(ROW($1:$168)-1,BS361&amp;BT361)),ROW($1:$168)-1,""))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61" s="22" t="str">
        <f t="shared" si="289"/>
        <v>中中中</v>
      </c>
      <c r="BW361" s="23" t="str">
        <f t="shared" si="300"/>
        <v/>
      </c>
      <c r="BX361" s="23">
        <f t="shared" si="298"/>
        <v>6</v>
      </c>
      <c r="BY361" s="23" t="str">
        <f t="array" ref="BY361">_xlfn.TEXTJOIN("",TRUE,IF(ISERROR(FIND(ROW($1:$168)-1,BW361&amp;BX361)),ROW($1:$168)-1,""))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61" s="22" t="str">
        <f t="shared" si="290"/>
        <v>中隔中</v>
      </c>
      <c r="CA361" s="24">
        <f t="shared" si="291"/>
        <v>1</v>
      </c>
      <c r="CB361" s="24" t="str">
        <f t="shared" si="299"/>
        <v/>
      </c>
      <c r="CC361" s="24" t="str">
        <f t="array" ref="CC361">_xlfn.TEXTJOIN("",TRUE,IF(ISERROR(FIND(ROW($1:$168)-1,CA361&amp;CB361)),ROW($1:$168)-1,""))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61" s="22" t="str">
        <f t="shared" si="292"/>
        <v>复中中</v>
      </c>
      <c r="CE361" s="25" t="str">
        <f t="shared" si="281"/>
        <v>46</v>
      </c>
      <c r="CF361" s="26" t="str">
        <f t="array" ref="CF361">_xlfn.TEXTJOIN("",TRUE,IF(ISNUMBER(FIND(MID(CE360&amp;W360,ROW($1:$162),1),CE361&amp;W361)),MID(CE360&amp;W360,ROW($1:$162),1),""))</f>
        <v/>
      </c>
      <c r="CG361" s="27" t="str">
        <f t="array" ref="CG361">_xlfn.TEXTJOIN("",TRUE,IF(ISERROR(FIND(ROW($1:$168)-1,CE361&amp;CF361)),ROW($1:$168)-1,""))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61" s="28" t="str">
        <f t="shared" si="293"/>
        <v>邻孤孤</v>
      </c>
      <c r="CI361" s="29" t="str">
        <f t="shared" si="294"/>
        <v>57</v>
      </c>
      <c r="CJ361" s="29" t="str">
        <f t="array" ref="CJ361">_xlfn.TEXTJOIN("",TRUE,IF(ISNUMBER(FIND(MID(CI360&amp;X360,ROW($1:$162),1),CI361&amp;X361)),MID(CI360&amp;X360,ROW($1:$162),1),""))</f>
        <v/>
      </c>
      <c r="CK361" s="29" t="str">
        <f t="array" ref="CK361">_xlfn.TEXTJOIN("",TRUE,IF(ISERROR(FIND(ROW($1:$168)-1,CI361&amp;CJ361)),ROW($1:$168)-1,""))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61" s="19" t="str">
        <f t="shared" si="295"/>
        <v>邻孤孤</v>
      </c>
      <c r="CM361" s="24" t="str">
        <f t="shared" si="296"/>
        <v>02</v>
      </c>
      <c r="CN361" s="24" t="str">
        <f t="array" ref="CN361">_xlfn.TEXTJOIN("",TRUE,IF(ISNUMBER(FIND(MID(CM360&amp;Y360,ROW($1:$162),1),CM361&amp;Y361)),MID(CM360&amp;Y360,ROW($1:$162),1),""))</f>
        <v>021</v>
      </c>
      <c r="CO361" s="24" t="str">
        <f t="array" ref="CO361">_xlfn.TEXTJOIN("",TRUE,IF(ISERROR(FIND(ROW($1:$168)-1,CM361&amp;CN361)),ROW($1:$168)-1,""))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61" s="30" t="str">
        <f t="shared" si="297"/>
        <v>邻传孤</v>
      </c>
    </row>
    <row r="362" spans="1:94">
      <c r="A362" s="15">
        <v>362</v>
      </c>
      <c r="B362" s="80">
        <v>2024331</v>
      </c>
      <c r="C362" s="8" t="s">
        <v>331</v>
      </c>
      <c r="D362" s="81">
        <f t="shared" si="282"/>
        <v>19</v>
      </c>
      <c r="E362" s="82">
        <f t="shared" si="283"/>
        <v>9</v>
      </c>
      <c r="F362" s="83">
        <f t="shared" si="270"/>
        <v>3.8</v>
      </c>
      <c r="G362" s="84" t="str">
        <f t="shared" si="271"/>
        <v>紧凑</v>
      </c>
      <c r="H362" s="85" t="s">
        <v>10</v>
      </c>
      <c r="I362" s="85" t="s">
        <v>11</v>
      </c>
      <c r="J362" s="85" t="s">
        <v>12</v>
      </c>
      <c r="K362" s="85" t="s">
        <v>13</v>
      </c>
      <c r="L362" s="86">
        <f>MAX(MID(C362,{1,2,3},1)*1)-MIN(MID(C362,{1,2,3},1)*1)</f>
        <v>5</v>
      </c>
      <c r="M362" s="87">
        <v>0</v>
      </c>
      <c r="N362" s="87">
        <v>1</v>
      </c>
      <c r="O362" s="87">
        <v>2</v>
      </c>
      <c r="P362" s="87">
        <v>3</v>
      </c>
      <c r="Q362" s="87">
        <v>4</v>
      </c>
      <c r="R362" s="87">
        <v>5</v>
      </c>
      <c r="S362" s="87">
        <v>6</v>
      </c>
      <c r="T362" s="87">
        <v>7</v>
      </c>
      <c r="U362" s="87">
        <v>8</v>
      </c>
      <c r="V362" s="87">
        <v>9</v>
      </c>
      <c r="W362" s="88">
        <f t="shared" si="284"/>
        <v>3</v>
      </c>
      <c r="X362" s="88">
        <f t="shared" si="285"/>
        <v>5</v>
      </c>
      <c r="Y362" s="88">
        <f t="shared" si="286"/>
        <v>2</v>
      </c>
      <c r="Z362" s="89">
        <f t="shared" si="279"/>
        <v>10</v>
      </c>
      <c r="AA362" s="17" t="str">
        <f>_xlfn.TEXTJOIN(", ",TRUE,ABS(MID(C362,{1,1,2},1)-MID(C362,{2,3,3},1)))</f>
        <v>3, 5, 2</v>
      </c>
      <c r="AB362" s="90">
        <v>0</v>
      </c>
      <c r="AC362" s="90">
        <v>1</v>
      </c>
      <c r="AD362" s="90">
        <v>2</v>
      </c>
      <c r="AE362" s="90">
        <v>3</v>
      </c>
      <c r="AF362" s="90">
        <v>4</v>
      </c>
      <c r="AG362" s="90">
        <v>5</v>
      </c>
      <c r="AH362" s="90">
        <v>6</v>
      </c>
      <c r="AI362" s="90">
        <v>7</v>
      </c>
      <c r="AJ362" s="90">
        <v>8</v>
      </c>
      <c r="AK362" s="90">
        <v>9</v>
      </c>
      <c r="AL362" s="91">
        <v>0</v>
      </c>
      <c r="AM362" s="91">
        <v>1</v>
      </c>
      <c r="AN362" s="91">
        <v>2</v>
      </c>
      <c r="AO362" s="91">
        <v>3</v>
      </c>
      <c r="AP362" s="91">
        <v>4</v>
      </c>
      <c r="AQ362" s="91">
        <v>5</v>
      </c>
      <c r="AR362" s="91">
        <v>6</v>
      </c>
      <c r="AS362" s="91">
        <v>7</v>
      </c>
      <c r="AT362" s="91">
        <v>8</v>
      </c>
      <c r="AU362" s="91">
        <v>9</v>
      </c>
      <c r="AV362" s="92">
        <v>0</v>
      </c>
      <c r="AW362" s="92">
        <v>1</v>
      </c>
      <c r="AX362" s="92">
        <v>2</v>
      </c>
      <c r="AY362" s="92">
        <v>3</v>
      </c>
      <c r="AZ362" s="92">
        <v>4</v>
      </c>
      <c r="BA362" s="92">
        <v>5</v>
      </c>
      <c r="BB362" s="92">
        <v>6</v>
      </c>
      <c r="BC362" s="92">
        <v>7</v>
      </c>
      <c r="BD362" s="92">
        <v>8</v>
      </c>
      <c r="BE362" s="92">
        <v>9</v>
      </c>
      <c r="BF362" s="93">
        <v>0</v>
      </c>
      <c r="BG362" s="93">
        <v>1</v>
      </c>
      <c r="BH362" s="93">
        <v>2</v>
      </c>
      <c r="BI362" s="93">
        <v>3</v>
      </c>
      <c r="BJ362" s="93">
        <v>4</v>
      </c>
      <c r="BK362" s="93">
        <v>5</v>
      </c>
      <c r="BL362" s="93">
        <v>6</v>
      </c>
      <c r="BM362" s="93">
        <v>7</v>
      </c>
      <c r="BN362" s="93">
        <v>8</v>
      </c>
      <c r="BO362" s="93">
        <v>9</v>
      </c>
      <c r="BP362" s="94" t="str">
        <f t="shared" si="280"/>
        <v>标准型</v>
      </c>
      <c r="BQ362" s="15">
        <f t="shared" si="277"/>
        <v>2</v>
      </c>
      <c r="BR362" s="15">
        <f t="shared" si="278"/>
        <v>5</v>
      </c>
      <c r="BS362" s="20" t="str">
        <f t="shared" si="287"/>
        <v/>
      </c>
      <c r="BT362" s="21" t="str">
        <f t="shared" si="288"/>
        <v/>
      </c>
      <c r="BU362" s="21" t="str">
        <f t="array" ref="BU362">_xlfn.TEXTJOIN("",TRUE,IF(ISERROR(FIND(ROW($1:$168)-1,BS362&amp;BT362)),ROW($1:$168)-1,""))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62" s="22" t="str">
        <f t="shared" si="289"/>
        <v>中中中</v>
      </c>
      <c r="BW362" s="23">
        <f t="shared" si="300"/>
        <v>5</v>
      </c>
      <c r="BX362" s="23" t="str">
        <f t="shared" si="298"/>
        <v/>
      </c>
      <c r="BY362" s="23" t="str">
        <f t="array" ref="BY362">_xlfn.TEXTJOIN("",TRUE,IF(ISERROR(FIND(ROW($1:$168)-1,BW362&amp;BX362)),ROW($1:$168)-1,""))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62" s="22" t="str">
        <f t="shared" si="290"/>
        <v>复中中</v>
      </c>
      <c r="CA362" s="24" t="str">
        <f t="shared" si="291"/>
        <v/>
      </c>
      <c r="CB362" s="24" t="str">
        <f t="shared" si="299"/>
        <v/>
      </c>
      <c r="CC362" s="24" t="str">
        <f t="array" ref="CC362">_xlfn.TEXTJOIN("",TRUE,IF(ISERROR(FIND(ROW($1:$168)-1,CA362&amp;CB362)),ROW($1:$168)-1,""))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62" s="22" t="str">
        <f t="shared" si="292"/>
        <v>中中中</v>
      </c>
      <c r="CE362" s="25" t="str">
        <f t="shared" si="281"/>
        <v>24</v>
      </c>
      <c r="CF362" s="26" t="str">
        <f t="array" ref="CF362">_xlfn.TEXTJOIN("",TRUE,IF(ISNUMBER(FIND(MID(CE361&amp;W361,ROW($1:$162),1),CE362&amp;W362)),MID(CE361&amp;W361,ROW($1:$162),1),""))</f>
        <v>4</v>
      </c>
      <c r="CG362" s="27" t="str">
        <f t="array" ref="CG362">_xlfn.TEXTJOIN("",TRUE,IF(ISERROR(FIND(ROW($1:$168)-1,CE362&amp;CF362)),ROW($1:$168)-1,""))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62" s="28" t="str">
        <f t="shared" si="293"/>
        <v>邻传孤</v>
      </c>
      <c r="CI362" s="29" t="str">
        <f t="shared" si="294"/>
        <v>46</v>
      </c>
      <c r="CJ362" s="29" t="str">
        <f t="array" ref="CJ362">_xlfn.TEXTJOIN("",TRUE,IF(ISNUMBER(FIND(MID(CI361&amp;X361,ROW($1:$162),1),CI362&amp;X362)),MID(CI361&amp;X361,ROW($1:$162),1),""))</f>
        <v>56</v>
      </c>
      <c r="CK362" s="29" t="str">
        <f t="array" ref="CK362">_xlfn.TEXTJOIN("",TRUE,IF(ISERROR(FIND(ROW($1:$168)-1,CI362&amp;CJ362)),ROW($1:$168)-1,""))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62" s="19" t="str">
        <f t="shared" si="295"/>
        <v>邻传孤</v>
      </c>
      <c r="CM362" s="24" t="str">
        <f t="shared" si="296"/>
        <v>13</v>
      </c>
      <c r="CN362" s="24" t="str">
        <f t="array" ref="CN362">_xlfn.TEXTJOIN("",TRUE,IF(ISNUMBER(FIND(MID(CM361&amp;Y361,ROW($1:$162),1),CM362&amp;Y362)),MID(CM361&amp;Y361,ROW($1:$162),1),""))</f>
        <v>21</v>
      </c>
      <c r="CO362" s="24" t="str">
        <f t="array" ref="CO362">_xlfn.TEXTJOIN("",TRUE,IF(ISERROR(FIND(ROW($1:$168)-1,CM362&amp;CN362)),ROW($1:$168)-1,""))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362" s="30" t="str">
        <f t="shared" si="297"/>
        <v>邻传孤</v>
      </c>
    </row>
    <row r="363" spans="1:94">
      <c r="A363" s="15">
        <v>363</v>
      </c>
      <c r="B363" s="80">
        <v>2024332</v>
      </c>
      <c r="C363" s="8" t="s">
        <v>198</v>
      </c>
      <c r="D363" s="81">
        <f t="shared" si="282"/>
        <v>18</v>
      </c>
      <c r="E363" s="82">
        <f t="shared" si="283"/>
        <v>8</v>
      </c>
      <c r="F363" s="83">
        <f t="shared" si="270"/>
        <v>9</v>
      </c>
      <c r="G363" s="84" t="str">
        <f t="shared" si="271"/>
        <v>紧凑</v>
      </c>
      <c r="H363" s="85" t="s">
        <v>10</v>
      </c>
      <c r="I363" s="85" t="s">
        <v>11</v>
      </c>
      <c r="J363" s="85" t="s">
        <v>12</v>
      </c>
      <c r="K363" s="85" t="s">
        <v>13</v>
      </c>
      <c r="L363" s="86">
        <f>MAX(MID(C363,{1,2,3},1)*1)-MIN(MID(C363,{1,2,3},1)*1)</f>
        <v>2</v>
      </c>
      <c r="M363" s="87">
        <v>0</v>
      </c>
      <c r="N363" s="87">
        <v>1</v>
      </c>
      <c r="O363" s="87">
        <v>2</v>
      </c>
      <c r="P363" s="87">
        <v>3</v>
      </c>
      <c r="Q363" s="87">
        <v>4</v>
      </c>
      <c r="R363" s="87">
        <v>5</v>
      </c>
      <c r="S363" s="87">
        <v>6</v>
      </c>
      <c r="T363" s="87">
        <v>7</v>
      </c>
      <c r="U363" s="87">
        <v>8</v>
      </c>
      <c r="V363" s="87">
        <v>9</v>
      </c>
      <c r="W363" s="88">
        <f t="shared" si="284"/>
        <v>1</v>
      </c>
      <c r="X363" s="88">
        <f t="shared" si="285"/>
        <v>2</v>
      </c>
      <c r="Y363" s="88">
        <f t="shared" si="286"/>
        <v>1</v>
      </c>
      <c r="Z363" s="89">
        <f t="shared" si="279"/>
        <v>4</v>
      </c>
      <c r="AA363" s="17" t="str">
        <f>_xlfn.TEXTJOIN(", ",TRUE,ABS(MID(C363,{1,1,2},1)-MID(C363,{2,3,3},1)))</f>
        <v>1, 2, 1</v>
      </c>
      <c r="AB363" s="90">
        <v>0</v>
      </c>
      <c r="AC363" s="90">
        <v>1</v>
      </c>
      <c r="AD363" s="90">
        <v>2</v>
      </c>
      <c r="AE363" s="90">
        <v>3</v>
      </c>
      <c r="AF363" s="90">
        <v>4</v>
      </c>
      <c r="AG363" s="90">
        <v>5</v>
      </c>
      <c r="AH363" s="90">
        <v>6</v>
      </c>
      <c r="AI363" s="90">
        <v>7</v>
      </c>
      <c r="AJ363" s="90">
        <v>8</v>
      </c>
      <c r="AK363" s="90">
        <v>9</v>
      </c>
      <c r="AL363" s="91">
        <v>0</v>
      </c>
      <c r="AM363" s="91">
        <v>1</v>
      </c>
      <c r="AN363" s="91">
        <v>2</v>
      </c>
      <c r="AO363" s="91">
        <v>3</v>
      </c>
      <c r="AP363" s="91">
        <v>4</v>
      </c>
      <c r="AQ363" s="91">
        <v>5</v>
      </c>
      <c r="AR363" s="91">
        <v>6</v>
      </c>
      <c r="AS363" s="91">
        <v>7</v>
      </c>
      <c r="AT363" s="91">
        <v>8</v>
      </c>
      <c r="AU363" s="91">
        <v>9</v>
      </c>
      <c r="AV363" s="92">
        <v>0</v>
      </c>
      <c r="AW363" s="92">
        <v>1</v>
      </c>
      <c r="AX363" s="92">
        <v>2</v>
      </c>
      <c r="AY363" s="92">
        <v>3</v>
      </c>
      <c r="AZ363" s="92">
        <v>4</v>
      </c>
      <c r="BA363" s="92">
        <v>5</v>
      </c>
      <c r="BB363" s="92">
        <v>6</v>
      </c>
      <c r="BC363" s="92">
        <v>7</v>
      </c>
      <c r="BD363" s="92">
        <v>8</v>
      </c>
      <c r="BE363" s="92">
        <v>9</v>
      </c>
      <c r="BF363" s="93">
        <v>0</v>
      </c>
      <c r="BG363" s="93">
        <v>1</v>
      </c>
      <c r="BH363" s="93">
        <v>2</v>
      </c>
      <c r="BI363" s="93">
        <v>3</v>
      </c>
      <c r="BJ363" s="93">
        <v>4</v>
      </c>
      <c r="BK363" s="93">
        <v>5</v>
      </c>
      <c r="BL363" s="93">
        <v>6</v>
      </c>
      <c r="BM363" s="93">
        <v>7</v>
      </c>
      <c r="BN363" s="93">
        <v>8</v>
      </c>
      <c r="BO363" s="93">
        <v>9</v>
      </c>
      <c r="BP363" s="94" t="str">
        <f t="shared" si="280"/>
        <v>紧凑型</v>
      </c>
      <c r="BQ363" s="15">
        <f t="shared" si="277"/>
        <v>1</v>
      </c>
      <c r="BR363" s="15">
        <f t="shared" si="278"/>
        <v>2</v>
      </c>
      <c r="BS363" s="20" t="str">
        <f t="shared" si="287"/>
        <v/>
      </c>
      <c r="BT363" s="21">
        <f t="shared" si="288"/>
        <v>1</v>
      </c>
      <c r="BU363" s="21" t="str">
        <f t="array" ref="BU363">_xlfn.TEXTJOIN("",TRUE,IF(ISERROR(FIND(ROW($1:$168)-1,BS363&amp;BT363)),ROW($1:$168)-1,""))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63" s="22" t="str">
        <f t="shared" si="289"/>
        <v>中隔中</v>
      </c>
      <c r="BW363" s="23">
        <f t="shared" si="300"/>
        <v>2</v>
      </c>
      <c r="BX363" s="23" t="str">
        <f t="shared" si="298"/>
        <v/>
      </c>
      <c r="BY363" s="23" t="str">
        <f t="array" ref="BY363">_xlfn.TEXTJOIN("",TRUE,IF(ISERROR(FIND(ROW($1:$168)-1,BW363&amp;BX363)),ROW($1:$168)-1,""))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63" s="22" t="str">
        <f t="shared" si="290"/>
        <v>复中中</v>
      </c>
      <c r="CA363" s="24" t="str">
        <f t="shared" si="291"/>
        <v/>
      </c>
      <c r="CB363" s="24">
        <f t="shared" si="299"/>
        <v>1</v>
      </c>
      <c r="CC363" s="24" t="str">
        <f t="array" ref="CC363">_xlfn.TEXTJOIN("",TRUE,IF(ISERROR(FIND(ROW($1:$168)-1,CA363&amp;CB363)),ROW($1:$168)-1,""))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63" s="22" t="str">
        <f t="shared" si="292"/>
        <v>中隔中</v>
      </c>
      <c r="CE363" s="25" t="str">
        <f t="shared" si="281"/>
        <v>02</v>
      </c>
      <c r="CF363" s="26" t="str">
        <f t="array" ref="CF363">_xlfn.TEXTJOIN("",TRUE,IF(ISNUMBER(FIND(MID(CE362&amp;W362,ROW($1:$162),1),CE363&amp;W363)),MID(CE362&amp;W362,ROW($1:$162),1),""))</f>
        <v>2</v>
      </c>
      <c r="CG363" s="27" t="str">
        <f t="array" ref="CG363">_xlfn.TEXTJOIN("",TRUE,IF(ISERROR(FIND(ROW($1:$168)-1,CE363&amp;CF363)),ROW($1:$168)-1,""))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63" s="28" t="str">
        <f t="shared" si="293"/>
        <v>邻传孤</v>
      </c>
      <c r="CI363" s="29" t="str">
        <f t="shared" si="294"/>
        <v>13</v>
      </c>
      <c r="CJ363" s="29" t="str">
        <f t="array" ref="CJ363">_xlfn.TEXTJOIN("",TRUE,IF(ISNUMBER(FIND(MID(CI362&amp;X362,ROW($1:$162),1),CI363&amp;X363)),MID(CI362&amp;X362,ROW($1:$162),1),""))</f>
        <v/>
      </c>
      <c r="CK363" s="29" t="str">
        <f t="array" ref="CK363">_xlfn.TEXTJOIN("",TRUE,IF(ISERROR(FIND(ROW($1:$168)-1,CI363&amp;CJ363)),ROW($1:$168)-1,""))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63" s="19" t="str">
        <f t="shared" si="295"/>
        <v>邻孤孤</v>
      </c>
      <c r="CM363" s="24" t="str">
        <f t="shared" si="296"/>
        <v>02</v>
      </c>
      <c r="CN363" s="24" t="str">
        <f t="array" ref="CN363">_xlfn.TEXTJOIN("",TRUE,IF(ISNUMBER(FIND(MID(CM362&amp;Y362,ROW($1:$162),1),CM363&amp;Y363)),MID(CM362&amp;Y362,ROW($1:$162),1),""))</f>
        <v>12</v>
      </c>
      <c r="CO363" s="24" t="str">
        <f t="array" ref="CO363">_xlfn.TEXTJOIN("",TRUE,IF(ISERROR(FIND(ROW($1:$168)-1,CM363&amp;CN363)),ROW($1:$168)-1,""))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63" s="30" t="str">
        <f t="shared" si="297"/>
        <v>邻传孤</v>
      </c>
    </row>
    <row r="364" spans="1:94">
      <c r="A364" s="15">
        <v>364</v>
      </c>
      <c r="B364" s="80">
        <v>2024333</v>
      </c>
      <c r="C364" s="8" t="s">
        <v>332</v>
      </c>
      <c r="D364" s="81">
        <f t="shared" si="282"/>
        <v>15</v>
      </c>
      <c r="E364" s="82">
        <f t="shared" si="283"/>
        <v>5</v>
      </c>
      <c r="F364" s="83">
        <f t="shared" si="270"/>
        <v>1.875</v>
      </c>
      <c r="G364" s="84" t="str">
        <f t="shared" si="271"/>
        <v>松散</v>
      </c>
      <c r="H364" s="85" t="s">
        <v>10</v>
      </c>
      <c r="I364" s="85" t="s">
        <v>11</v>
      </c>
      <c r="J364" s="85" t="s">
        <v>12</v>
      </c>
      <c r="K364" s="85" t="s">
        <v>13</v>
      </c>
      <c r="L364" s="86">
        <f>MAX(MID(C364,{1,2,3},1)*1)-MIN(MID(C364,{1,2,3},1)*1)</f>
        <v>8</v>
      </c>
      <c r="M364" s="87">
        <v>0</v>
      </c>
      <c r="N364" s="87">
        <v>1</v>
      </c>
      <c r="O364" s="87">
        <v>2</v>
      </c>
      <c r="P364" s="87">
        <v>3</v>
      </c>
      <c r="Q364" s="87">
        <v>4</v>
      </c>
      <c r="R364" s="87">
        <v>5</v>
      </c>
      <c r="S364" s="87">
        <v>6</v>
      </c>
      <c r="T364" s="87">
        <v>7</v>
      </c>
      <c r="U364" s="87">
        <v>8</v>
      </c>
      <c r="V364" s="87">
        <v>9</v>
      </c>
      <c r="W364" s="88">
        <f t="shared" si="284"/>
        <v>4</v>
      </c>
      <c r="X364" s="88">
        <f t="shared" si="285"/>
        <v>8</v>
      </c>
      <c r="Y364" s="88">
        <f t="shared" si="286"/>
        <v>4</v>
      </c>
      <c r="Z364" s="89">
        <f t="shared" si="279"/>
        <v>16</v>
      </c>
      <c r="AA364" s="17" t="str">
        <f>_xlfn.TEXTJOIN(", ",TRUE,ABS(MID(C364,{1,1,2},1)-MID(C364,{2,3,3},1)))</f>
        <v>4, 8, 4</v>
      </c>
      <c r="AB364" s="90">
        <v>0</v>
      </c>
      <c r="AC364" s="90">
        <v>1</v>
      </c>
      <c r="AD364" s="90">
        <v>2</v>
      </c>
      <c r="AE364" s="90">
        <v>3</v>
      </c>
      <c r="AF364" s="90">
        <v>4</v>
      </c>
      <c r="AG364" s="90">
        <v>5</v>
      </c>
      <c r="AH364" s="90">
        <v>6</v>
      </c>
      <c r="AI364" s="90">
        <v>7</v>
      </c>
      <c r="AJ364" s="90">
        <v>8</v>
      </c>
      <c r="AK364" s="90">
        <v>9</v>
      </c>
      <c r="AL364" s="91">
        <v>0</v>
      </c>
      <c r="AM364" s="91">
        <v>1</v>
      </c>
      <c r="AN364" s="91">
        <v>2</v>
      </c>
      <c r="AO364" s="91">
        <v>3</v>
      </c>
      <c r="AP364" s="91">
        <v>4</v>
      </c>
      <c r="AQ364" s="91">
        <v>5</v>
      </c>
      <c r="AR364" s="91">
        <v>6</v>
      </c>
      <c r="AS364" s="91">
        <v>7</v>
      </c>
      <c r="AT364" s="91">
        <v>8</v>
      </c>
      <c r="AU364" s="91">
        <v>9</v>
      </c>
      <c r="AV364" s="92">
        <v>0</v>
      </c>
      <c r="AW364" s="92">
        <v>1</v>
      </c>
      <c r="AX364" s="92">
        <v>2</v>
      </c>
      <c r="AY364" s="92">
        <v>3</v>
      </c>
      <c r="AZ364" s="92">
        <v>4</v>
      </c>
      <c r="BA364" s="92">
        <v>5</v>
      </c>
      <c r="BB364" s="92">
        <v>6</v>
      </c>
      <c r="BC364" s="92">
        <v>7</v>
      </c>
      <c r="BD364" s="92">
        <v>8</v>
      </c>
      <c r="BE364" s="92">
        <v>9</v>
      </c>
      <c r="BF364" s="93">
        <v>0</v>
      </c>
      <c r="BG364" s="93">
        <v>1</v>
      </c>
      <c r="BH364" s="93">
        <v>2</v>
      </c>
      <c r="BI364" s="93">
        <v>3</v>
      </c>
      <c r="BJ364" s="93">
        <v>4</v>
      </c>
      <c r="BK364" s="93">
        <v>5</v>
      </c>
      <c r="BL364" s="93">
        <v>6</v>
      </c>
      <c r="BM364" s="93">
        <v>7</v>
      </c>
      <c r="BN364" s="93">
        <v>8</v>
      </c>
      <c r="BO364" s="93">
        <v>9</v>
      </c>
      <c r="BP364" s="94" t="str">
        <f t="shared" si="280"/>
        <v>松散型</v>
      </c>
      <c r="BQ364" s="15">
        <f t="shared" si="277"/>
        <v>4</v>
      </c>
      <c r="BR364" s="15">
        <f t="shared" si="278"/>
        <v>8</v>
      </c>
      <c r="BS364" s="20" t="str">
        <f t="shared" si="287"/>
        <v/>
      </c>
      <c r="BT364" s="21" t="str">
        <f t="shared" si="288"/>
        <v/>
      </c>
      <c r="BU364" s="21" t="str">
        <f t="array" ref="BU364">_xlfn.TEXTJOIN("",TRUE,IF(ISERROR(FIND(ROW($1:$168)-1,BS364&amp;BT364)),ROW($1:$168)-1,""))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64" s="22" t="str">
        <f t="shared" si="289"/>
        <v>中中中</v>
      </c>
      <c r="BW364" s="23" t="str">
        <f t="shared" si="300"/>
        <v/>
      </c>
      <c r="BX364" s="23" t="str">
        <f t="shared" si="298"/>
        <v/>
      </c>
      <c r="BY364" s="23" t="str">
        <f t="array" ref="BY364">_xlfn.TEXTJOIN("",TRUE,IF(ISERROR(FIND(ROW($1:$168)-1,BW364&amp;BX364)),ROW($1:$168)-1,""))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64" s="22" t="str">
        <f t="shared" si="290"/>
        <v>中中中</v>
      </c>
      <c r="CA364" s="24" t="str">
        <f t="shared" si="291"/>
        <v/>
      </c>
      <c r="CB364" s="24" t="str">
        <f t="shared" si="299"/>
        <v/>
      </c>
      <c r="CC364" s="24" t="str">
        <f t="array" ref="CC364">_xlfn.TEXTJOIN("",TRUE,IF(ISERROR(FIND(ROW($1:$168)-1,CA364&amp;CB364)),ROW($1:$168)-1,""))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64" s="22" t="str">
        <f t="shared" si="292"/>
        <v>中中中</v>
      </c>
      <c r="CE364" s="25" t="str">
        <f t="shared" si="281"/>
        <v>35</v>
      </c>
      <c r="CF364" s="26" t="str">
        <f t="array" ref="CF364">_xlfn.TEXTJOIN("",TRUE,IF(ISNUMBER(FIND(MID(CE363&amp;W363,ROW($1:$162),1),CE364&amp;W364)),MID(CE363&amp;W363,ROW($1:$162),1),""))</f>
        <v/>
      </c>
      <c r="CG364" s="27" t="str">
        <f t="array" ref="CG364">_xlfn.TEXTJOIN("",TRUE,IF(ISERROR(FIND(ROW($1:$168)-1,CE364&amp;CF364)),ROW($1:$168)-1,""))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64" s="28" t="str">
        <f t="shared" si="293"/>
        <v>邻孤孤</v>
      </c>
      <c r="CI364" s="29" t="str">
        <f t="shared" si="294"/>
        <v>79</v>
      </c>
      <c r="CJ364" s="29" t="str">
        <f t="array" ref="CJ364">_xlfn.TEXTJOIN("",TRUE,IF(ISNUMBER(FIND(MID(CI363&amp;X363,ROW($1:$162),1),CI364&amp;X364)),MID(CI363&amp;X363,ROW($1:$162),1),""))</f>
        <v/>
      </c>
      <c r="CK364" s="29" t="str">
        <f t="array" ref="CK364">_xlfn.TEXTJOIN("",TRUE,IF(ISERROR(FIND(ROW($1:$168)-1,CI364&amp;CJ364)),ROW($1:$168)-1,""))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364" s="19" t="str">
        <f t="shared" si="295"/>
        <v>邻孤孤</v>
      </c>
      <c r="CM364" s="24" t="str">
        <f t="shared" si="296"/>
        <v>35</v>
      </c>
      <c r="CN364" s="24" t="str">
        <f t="array" ref="CN364">_xlfn.TEXTJOIN("",TRUE,IF(ISNUMBER(FIND(MID(CM363&amp;Y363,ROW($1:$162),1),CM364&amp;Y364)),MID(CM363&amp;Y363,ROW($1:$162),1),""))</f>
        <v/>
      </c>
      <c r="CO364" s="24" t="str">
        <f t="array" ref="CO364">_xlfn.TEXTJOIN("",TRUE,IF(ISERROR(FIND(ROW($1:$168)-1,CM364&amp;CN364)),ROW($1:$168)-1,""))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64" s="30" t="str">
        <f t="shared" si="297"/>
        <v>邻孤孤</v>
      </c>
    </row>
    <row r="365" spans="1:94">
      <c r="A365" s="15">
        <v>365</v>
      </c>
      <c r="B365" s="80">
        <v>2024334</v>
      </c>
      <c r="C365" s="8" t="s">
        <v>333</v>
      </c>
      <c r="D365" s="81">
        <f t="shared" si="282"/>
        <v>10</v>
      </c>
      <c r="E365" s="82">
        <f t="shared" si="283"/>
        <v>0</v>
      </c>
      <c r="F365" s="83">
        <f t="shared" si="270"/>
        <v>2.5</v>
      </c>
      <c r="G365" s="84" t="str">
        <f t="shared" si="271"/>
        <v>标准</v>
      </c>
      <c r="H365" s="85" t="s">
        <v>10</v>
      </c>
      <c r="I365" s="85" t="s">
        <v>11</v>
      </c>
      <c r="J365" s="85" t="s">
        <v>12</v>
      </c>
      <c r="K365" s="85" t="s">
        <v>13</v>
      </c>
      <c r="L365" s="86">
        <f>MAX(MID(C365,{1,2,3},1)*1)-MIN(MID(C365,{1,2,3},1)*1)</f>
        <v>4</v>
      </c>
      <c r="M365" s="87">
        <v>0</v>
      </c>
      <c r="N365" s="87">
        <v>1</v>
      </c>
      <c r="O365" s="87">
        <v>2</v>
      </c>
      <c r="P365" s="87">
        <v>3</v>
      </c>
      <c r="Q365" s="87">
        <v>4</v>
      </c>
      <c r="R365" s="87">
        <v>5</v>
      </c>
      <c r="S365" s="87">
        <v>6</v>
      </c>
      <c r="T365" s="87">
        <v>7</v>
      </c>
      <c r="U365" s="87">
        <v>8</v>
      </c>
      <c r="V365" s="87">
        <v>9</v>
      </c>
      <c r="W365" s="88">
        <f t="shared" si="284"/>
        <v>1</v>
      </c>
      <c r="X365" s="88">
        <f t="shared" si="285"/>
        <v>4</v>
      </c>
      <c r="Y365" s="88">
        <f t="shared" si="286"/>
        <v>3</v>
      </c>
      <c r="Z365" s="89">
        <f t="shared" si="279"/>
        <v>8</v>
      </c>
      <c r="AA365" s="17" t="str">
        <f>_xlfn.TEXTJOIN(", ",TRUE,ABS(MID(C365,{1,1,2},1)-MID(C365,{2,3,3},1)))</f>
        <v>1, 4, 3</v>
      </c>
      <c r="AB365" s="90">
        <v>0</v>
      </c>
      <c r="AC365" s="90">
        <v>1</v>
      </c>
      <c r="AD365" s="90">
        <v>2</v>
      </c>
      <c r="AE365" s="90">
        <v>3</v>
      </c>
      <c r="AF365" s="90">
        <v>4</v>
      </c>
      <c r="AG365" s="90">
        <v>5</v>
      </c>
      <c r="AH365" s="90">
        <v>6</v>
      </c>
      <c r="AI365" s="90">
        <v>7</v>
      </c>
      <c r="AJ365" s="90">
        <v>8</v>
      </c>
      <c r="AK365" s="90">
        <v>9</v>
      </c>
      <c r="AL365" s="91">
        <v>0</v>
      </c>
      <c r="AM365" s="91">
        <v>1</v>
      </c>
      <c r="AN365" s="91">
        <v>2</v>
      </c>
      <c r="AO365" s="91">
        <v>3</v>
      </c>
      <c r="AP365" s="91">
        <v>4</v>
      </c>
      <c r="AQ365" s="91">
        <v>5</v>
      </c>
      <c r="AR365" s="91">
        <v>6</v>
      </c>
      <c r="AS365" s="91">
        <v>7</v>
      </c>
      <c r="AT365" s="91">
        <v>8</v>
      </c>
      <c r="AU365" s="91">
        <v>9</v>
      </c>
      <c r="AV365" s="92">
        <v>0</v>
      </c>
      <c r="AW365" s="92">
        <v>1</v>
      </c>
      <c r="AX365" s="92">
        <v>2</v>
      </c>
      <c r="AY365" s="92">
        <v>3</v>
      </c>
      <c r="AZ365" s="92">
        <v>4</v>
      </c>
      <c r="BA365" s="92">
        <v>5</v>
      </c>
      <c r="BB365" s="92">
        <v>6</v>
      </c>
      <c r="BC365" s="92">
        <v>7</v>
      </c>
      <c r="BD365" s="92">
        <v>8</v>
      </c>
      <c r="BE365" s="92">
        <v>9</v>
      </c>
      <c r="BF365" s="93">
        <v>0</v>
      </c>
      <c r="BG365" s="93">
        <v>1</v>
      </c>
      <c r="BH365" s="93">
        <v>2</v>
      </c>
      <c r="BI365" s="93">
        <v>3</v>
      </c>
      <c r="BJ365" s="93">
        <v>4</v>
      </c>
      <c r="BK365" s="93">
        <v>5</v>
      </c>
      <c r="BL365" s="93">
        <v>6</v>
      </c>
      <c r="BM365" s="93">
        <v>7</v>
      </c>
      <c r="BN365" s="93">
        <v>8</v>
      </c>
      <c r="BO365" s="93">
        <v>9</v>
      </c>
      <c r="BP365" s="94" t="str">
        <f t="shared" si="280"/>
        <v>紧凑型</v>
      </c>
      <c r="BQ365" s="15">
        <f t="shared" si="277"/>
        <v>1</v>
      </c>
      <c r="BR365" s="15">
        <f t="shared" si="278"/>
        <v>4</v>
      </c>
      <c r="BS365" s="20" t="str">
        <f t="shared" si="287"/>
        <v/>
      </c>
      <c r="BT365" s="21">
        <f t="shared" si="288"/>
        <v>1</v>
      </c>
      <c r="BU365" s="21" t="str">
        <f t="array" ref="BU365">_xlfn.TEXTJOIN("",TRUE,IF(ISERROR(FIND(ROW($1:$168)-1,BS365&amp;BT365)),ROW($1:$168)-1,""))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65" s="22" t="str">
        <f t="shared" si="289"/>
        <v>中隔中</v>
      </c>
      <c r="BW365" s="23">
        <f t="shared" si="300"/>
        <v>4</v>
      </c>
      <c r="BX365" s="23" t="str">
        <f t="shared" si="298"/>
        <v/>
      </c>
      <c r="BY365" s="23" t="str">
        <f t="array" ref="BY365">_xlfn.TEXTJOIN("",TRUE,IF(ISERROR(FIND(ROW($1:$168)-1,BW365&amp;BX365)),ROW($1:$168)-1,""))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65" s="22" t="str">
        <f t="shared" si="290"/>
        <v>复中中</v>
      </c>
      <c r="CA365" s="24" t="str">
        <f t="shared" si="291"/>
        <v/>
      </c>
      <c r="CB365" s="24" t="str">
        <f t="shared" si="299"/>
        <v/>
      </c>
      <c r="CC365" s="24" t="str">
        <f t="array" ref="CC365">_xlfn.TEXTJOIN("",TRUE,IF(ISERROR(FIND(ROW($1:$168)-1,CA365&amp;CB365)),ROW($1:$168)-1,""))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65" s="22" t="str">
        <f t="shared" si="292"/>
        <v>中中中</v>
      </c>
      <c r="CE365" s="25" t="str">
        <f t="shared" si="281"/>
        <v>02</v>
      </c>
      <c r="CF365" s="26" t="str">
        <f t="array" ref="CF365">_xlfn.TEXTJOIN("",TRUE,IF(ISNUMBER(FIND(MID(CE364&amp;W364,ROW($1:$162),1),CE365&amp;W365)),MID(CE364&amp;W364,ROW($1:$162),1),""))</f>
        <v/>
      </c>
      <c r="CG365" s="27" t="str">
        <f t="array" ref="CG365">_xlfn.TEXTJOIN("",TRUE,IF(ISERROR(FIND(ROW($1:$168)-1,CE365&amp;CF365)),ROW($1:$168)-1,""))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65" s="28" t="str">
        <f t="shared" si="293"/>
        <v>邻孤孤</v>
      </c>
      <c r="CI365" s="29" t="str">
        <f t="shared" si="294"/>
        <v>35</v>
      </c>
      <c r="CJ365" s="29" t="str">
        <f t="array" ref="CJ365">_xlfn.TEXTJOIN("",TRUE,IF(ISNUMBER(FIND(MID(CI364&amp;X364,ROW($1:$162),1),CI365&amp;X365)),MID(CI364&amp;X364,ROW($1:$162),1),""))</f>
        <v/>
      </c>
      <c r="CK365" s="29" t="str">
        <f t="array" ref="CK365">_xlfn.TEXTJOIN("",TRUE,IF(ISERROR(FIND(ROW($1:$168)-1,CI365&amp;CJ365)),ROW($1:$168)-1,""))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65" s="19" t="str">
        <f t="shared" si="295"/>
        <v>邻孤孤</v>
      </c>
      <c r="CM365" s="24" t="str">
        <f t="shared" si="296"/>
        <v>24</v>
      </c>
      <c r="CN365" s="24" t="str">
        <f t="array" ref="CN365">_xlfn.TEXTJOIN("",TRUE,IF(ISNUMBER(FIND(MID(CM364&amp;Y364,ROW($1:$162),1),CM365&amp;Y365)),MID(CM364&amp;Y364,ROW($1:$162),1),""))</f>
        <v>34</v>
      </c>
      <c r="CO365" s="24" t="str">
        <f t="array" ref="CO365">_xlfn.TEXTJOIN("",TRUE,IF(ISERROR(FIND(ROW($1:$168)-1,CM365&amp;CN365)),ROW($1:$168)-1,""))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65" s="30" t="str">
        <f t="shared" si="297"/>
        <v>邻传孤</v>
      </c>
    </row>
    <row r="366" spans="1:94">
      <c r="A366" s="15">
        <v>366</v>
      </c>
      <c r="B366" s="80">
        <v>2024335</v>
      </c>
      <c r="C366" s="8" t="s">
        <v>334</v>
      </c>
      <c r="D366" s="81">
        <f t="shared" si="282"/>
        <v>17</v>
      </c>
      <c r="E366" s="82">
        <f t="shared" si="283"/>
        <v>7</v>
      </c>
      <c r="F366" s="83">
        <f t="shared" si="270"/>
        <v>2.83333333333333</v>
      </c>
      <c r="G366" s="84" t="str">
        <f t="shared" si="271"/>
        <v>标准</v>
      </c>
      <c r="H366" s="85" t="s">
        <v>10</v>
      </c>
      <c r="I366" s="85" t="s">
        <v>11</v>
      </c>
      <c r="J366" s="85" t="s">
        <v>12</v>
      </c>
      <c r="K366" s="85" t="s">
        <v>13</v>
      </c>
      <c r="L366" s="86">
        <f>MAX(MID(C366,{1,2,3},1)*1)-MIN(MID(C366,{1,2,3},1)*1)</f>
        <v>6</v>
      </c>
      <c r="M366" s="87">
        <v>0</v>
      </c>
      <c r="N366" s="87">
        <v>1</v>
      </c>
      <c r="O366" s="87">
        <v>2</v>
      </c>
      <c r="P366" s="87">
        <v>3</v>
      </c>
      <c r="Q366" s="87">
        <v>4</v>
      </c>
      <c r="R366" s="87">
        <v>5</v>
      </c>
      <c r="S366" s="87">
        <v>6</v>
      </c>
      <c r="T366" s="87">
        <v>7</v>
      </c>
      <c r="U366" s="87">
        <v>8</v>
      </c>
      <c r="V366" s="87">
        <v>9</v>
      </c>
      <c r="W366" s="88">
        <f t="shared" si="284"/>
        <v>4</v>
      </c>
      <c r="X366" s="88">
        <f t="shared" si="285"/>
        <v>2</v>
      </c>
      <c r="Y366" s="88">
        <f t="shared" si="286"/>
        <v>6</v>
      </c>
      <c r="Z366" s="89">
        <f t="shared" si="279"/>
        <v>12</v>
      </c>
      <c r="AA366" s="17" t="str">
        <f>_xlfn.TEXTJOIN(", ",TRUE,ABS(MID(C366,{1,1,2},1)-MID(C366,{2,3,3},1)))</f>
        <v>4, 2, 6</v>
      </c>
      <c r="AB366" s="90">
        <v>0</v>
      </c>
      <c r="AC366" s="90">
        <v>1</v>
      </c>
      <c r="AD366" s="90">
        <v>2</v>
      </c>
      <c r="AE366" s="90">
        <v>3</v>
      </c>
      <c r="AF366" s="90">
        <v>4</v>
      </c>
      <c r="AG366" s="90">
        <v>5</v>
      </c>
      <c r="AH366" s="90">
        <v>6</v>
      </c>
      <c r="AI366" s="90">
        <v>7</v>
      </c>
      <c r="AJ366" s="90">
        <v>8</v>
      </c>
      <c r="AK366" s="90">
        <v>9</v>
      </c>
      <c r="AL366" s="91">
        <v>0</v>
      </c>
      <c r="AM366" s="91">
        <v>1</v>
      </c>
      <c r="AN366" s="91">
        <v>2</v>
      </c>
      <c r="AO366" s="91">
        <v>3</v>
      </c>
      <c r="AP366" s="91">
        <v>4</v>
      </c>
      <c r="AQ366" s="91">
        <v>5</v>
      </c>
      <c r="AR366" s="91">
        <v>6</v>
      </c>
      <c r="AS366" s="91">
        <v>7</v>
      </c>
      <c r="AT366" s="91">
        <v>8</v>
      </c>
      <c r="AU366" s="91">
        <v>9</v>
      </c>
      <c r="AV366" s="92">
        <v>0</v>
      </c>
      <c r="AW366" s="92">
        <v>1</v>
      </c>
      <c r="AX366" s="92">
        <v>2</v>
      </c>
      <c r="AY366" s="92">
        <v>3</v>
      </c>
      <c r="AZ366" s="92">
        <v>4</v>
      </c>
      <c r="BA366" s="92">
        <v>5</v>
      </c>
      <c r="BB366" s="92">
        <v>6</v>
      </c>
      <c r="BC366" s="92">
        <v>7</v>
      </c>
      <c r="BD366" s="92">
        <v>8</v>
      </c>
      <c r="BE366" s="92">
        <v>9</v>
      </c>
      <c r="BF366" s="93">
        <v>0</v>
      </c>
      <c r="BG366" s="93">
        <v>1</v>
      </c>
      <c r="BH366" s="93">
        <v>2</v>
      </c>
      <c r="BI366" s="93">
        <v>3</v>
      </c>
      <c r="BJ366" s="93">
        <v>4</v>
      </c>
      <c r="BK366" s="93">
        <v>5</v>
      </c>
      <c r="BL366" s="93">
        <v>6</v>
      </c>
      <c r="BM366" s="93">
        <v>7</v>
      </c>
      <c r="BN366" s="93">
        <v>8</v>
      </c>
      <c r="BO366" s="93">
        <v>9</v>
      </c>
      <c r="BP366" s="94" t="str">
        <f t="shared" si="280"/>
        <v>松散型</v>
      </c>
      <c r="BQ366" s="15">
        <f t="shared" si="277"/>
        <v>2</v>
      </c>
      <c r="BR366" s="15">
        <f t="shared" si="278"/>
        <v>6</v>
      </c>
      <c r="BS366" s="20">
        <f t="shared" si="287"/>
        <v>4</v>
      </c>
      <c r="BT366" s="21">
        <f t="shared" si="288"/>
        <v>4</v>
      </c>
      <c r="BU366" s="21" t="str">
        <f t="array" ref="BU366">_xlfn.TEXTJOIN("",TRUE,IF(ISERROR(FIND(ROW($1:$168)-1,BS366&amp;BT366)),ROW($1:$168)-1,""))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66" s="22" t="str">
        <f t="shared" si="289"/>
        <v>复隔中</v>
      </c>
      <c r="BW366" s="23" t="str">
        <f t="shared" si="300"/>
        <v/>
      </c>
      <c r="BX366" s="23" t="str">
        <f t="shared" si="298"/>
        <v/>
      </c>
      <c r="BY366" s="23" t="str">
        <f t="array" ref="BY366">_xlfn.TEXTJOIN("",TRUE,IF(ISERROR(FIND(ROW($1:$168)-1,BW366&amp;BX366)),ROW($1:$168)-1,""))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66" s="22" t="str">
        <f t="shared" si="290"/>
        <v>中中中</v>
      </c>
      <c r="CA366" s="24" t="str">
        <f t="shared" si="291"/>
        <v/>
      </c>
      <c r="CB366" s="24" t="str">
        <f t="shared" si="299"/>
        <v/>
      </c>
      <c r="CC366" s="24" t="str">
        <f t="array" ref="CC366">_xlfn.TEXTJOIN("",TRUE,IF(ISERROR(FIND(ROW($1:$168)-1,CA366&amp;CB366)),ROW($1:$168)-1,""))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66" s="22" t="str">
        <f t="shared" si="292"/>
        <v>中中中</v>
      </c>
      <c r="CE366" s="25" t="str">
        <f t="shared" si="281"/>
        <v>35</v>
      </c>
      <c r="CF366" s="26" t="str">
        <f t="array" ref="CF366">_xlfn.TEXTJOIN("",TRUE,IF(ISNUMBER(FIND(MID(CE365&amp;W365,ROW($1:$162),1),CE366&amp;W366)),MID(CE365&amp;W365,ROW($1:$162),1),""))</f>
        <v/>
      </c>
      <c r="CG366" s="27" t="str">
        <f t="array" ref="CG366">_xlfn.TEXTJOIN("",TRUE,IF(ISERROR(FIND(ROW($1:$168)-1,CE366&amp;CF366)),ROW($1:$168)-1,""))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66" s="28" t="str">
        <f t="shared" si="293"/>
        <v>邻孤孤</v>
      </c>
      <c r="CI366" s="29" t="str">
        <f t="shared" si="294"/>
        <v>13</v>
      </c>
      <c r="CJ366" s="29" t="str">
        <f t="array" ref="CJ366">_xlfn.TEXTJOIN("",TRUE,IF(ISNUMBER(FIND(MID(CI365&amp;X365,ROW($1:$162),1),CI366&amp;X366)),MID(CI365&amp;X365,ROW($1:$162),1),""))</f>
        <v>3</v>
      </c>
      <c r="CK366" s="29" t="str">
        <f t="array" ref="CK366">_xlfn.TEXTJOIN("",TRUE,IF(ISERROR(FIND(ROW($1:$168)-1,CI366&amp;CJ366)),ROW($1:$168)-1,""))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366" s="19" t="str">
        <f t="shared" si="295"/>
        <v>邻传孤</v>
      </c>
      <c r="CM366" s="24" t="str">
        <f t="shared" si="296"/>
        <v>57</v>
      </c>
      <c r="CN366" s="24" t="str">
        <f t="array" ref="CN366">_xlfn.TEXTJOIN("",TRUE,IF(ISNUMBER(FIND(MID(CM365&amp;Y365,ROW($1:$162),1),CM366&amp;Y366)),MID(CM365&amp;Y365,ROW($1:$162),1),""))</f>
        <v/>
      </c>
      <c r="CO366" s="24" t="str">
        <f t="array" ref="CO366">_xlfn.TEXTJOIN("",TRUE,IF(ISERROR(FIND(ROW($1:$168)-1,CM366&amp;CN366)),ROW($1:$168)-1,""))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66" s="30" t="str">
        <f t="shared" si="297"/>
        <v>邻孤孤</v>
      </c>
    </row>
    <row r="367" spans="1:94">
      <c r="A367" s="15">
        <v>367</v>
      </c>
      <c r="B367" s="80">
        <v>2024336</v>
      </c>
      <c r="C367" s="8" t="s">
        <v>331</v>
      </c>
      <c r="D367" s="81">
        <f t="shared" si="282"/>
        <v>19</v>
      </c>
      <c r="E367" s="82">
        <f t="shared" si="283"/>
        <v>9</v>
      </c>
      <c r="F367" s="83">
        <f t="shared" si="270"/>
        <v>3.8</v>
      </c>
      <c r="G367" s="84" t="str">
        <f t="shared" si="271"/>
        <v>紧凑</v>
      </c>
      <c r="H367" s="85" t="s">
        <v>10</v>
      </c>
      <c r="I367" s="85" t="s">
        <v>11</v>
      </c>
      <c r="J367" s="85" t="s">
        <v>12</v>
      </c>
      <c r="K367" s="85" t="s">
        <v>13</v>
      </c>
      <c r="L367" s="86">
        <f>MAX(MID(C367,{1,2,3},1)*1)-MIN(MID(C367,{1,2,3},1)*1)</f>
        <v>5</v>
      </c>
      <c r="M367" s="87">
        <v>0</v>
      </c>
      <c r="N367" s="87">
        <v>1</v>
      </c>
      <c r="O367" s="87">
        <v>2</v>
      </c>
      <c r="P367" s="87">
        <v>3</v>
      </c>
      <c r="Q367" s="87">
        <v>4</v>
      </c>
      <c r="R367" s="87">
        <v>5</v>
      </c>
      <c r="S367" s="87">
        <v>6</v>
      </c>
      <c r="T367" s="87">
        <v>7</v>
      </c>
      <c r="U367" s="87">
        <v>8</v>
      </c>
      <c r="V367" s="87">
        <v>9</v>
      </c>
      <c r="W367" s="88">
        <f t="shared" si="284"/>
        <v>3</v>
      </c>
      <c r="X367" s="88">
        <f t="shared" si="285"/>
        <v>5</v>
      </c>
      <c r="Y367" s="88">
        <f t="shared" si="286"/>
        <v>2</v>
      </c>
      <c r="Z367" s="89">
        <f t="shared" si="279"/>
        <v>10</v>
      </c>
      <c r="AA367" s="17" t="str">
        <f>_xlfn.TEXTJOIN(", ",TRUE,ABS(MID(C367,{1,1,2},1)-MID(C367,{2,3,3},1)))</f>
        <v>3, 5, 2</v>
      </c>
      <c r="AB367" s="90">
        <v>0</v>
      </c>
      <c r="AC367" s="90">
        <v>1</v>
      </c>
      <c r="AD367" s="90">
        <v>2</v>
      </c>
      <c r="AE367" s="90">
        <v>3</v>
      </c>
      <c r="AF367" s="90">
        <v>4</v>
      </c>
      <c r="AG367" s="90">
        <v>5</v>
      </c>
      <c r="AH367" s="90">
        <v>6</v>
      </c>
      <c r="AI367" s="90">
        <v>7</v>
      </c>
      <c r="AJ367" s="90">
        <v>8</v>
      </c>
      <c r="AK367" s="90">
        <v>9</v>
      </c>
      <c r="AL367" s="91">
        <v>0</v>
      </c>
      <c r="AM367" s="91">
        <v>1</v>
      </c>
      <c r="AN367" s="91">
        <v>2</v>
      </c>
      <c r="AO367" s="91">
        <v>3</v>
      </c>
      <c r="AP367" s="91">
        <v>4</v>
      </c>
      <c r="AQ367" s="91">
        <v>5</v>
      </c>
      <c r="AR367" s="91">
        <v>6</v>
      </c>
      <c r="AS367" s="91">
        <v>7</v>
      </c>
      <c r="AT367" s="91">
        <v>8</v>
      </c>
      <c r="AU367" s="91">
        <v>9</v>
      </c>
      <c r="AV367" s="92">
        <v>0</v>
      </c>
      <c r="AW367" s="92">
        <v>1</v>
      </c>
      <c r="AX367" s="92">
        <v>2</v>
      </c>
      <c r="AY367" s="92">
        <v>3</v>
      </c>
      <c r="AZ367" s="92">
        <v>4</v>
      </c>
      <c r="BA367" s="92">
        <v>5</v>
      </c>
      <c r="BB367" s="92">
        <v>6</v>
      </c>
      <c r="BC367" s="92">
        <v>7</v>
      </c>
      <c r="BD367" s="92">
        <v>8</v>
      </c>
      <c r="BE367" s="92">
        <v>9</v>
      </c>
      <c r="BF367" s="93">
        <v>0</v>
      </c>
      <c r="BG367" s="93">
        <v>1</v>
      </c>
      <c r="BH367" s="93">
        <v>2</v>
      </c>
      <c r="BI367" s="93">
        <v>3</v>
      </c>
      <c r="BJ367" s="93">
        <v>4</v>
      </c>
      <c r="BK367" s="93">
        <v>5</v>
      </c>
      <c r="BL367" s="93">
        <v>6</v>
      </c>
      <c r="BM367" s="93">
        <v>7</v>
      </c>
      <c r="BN367" s="93">
        <v>8</v>
      </c>
      <c r="BO367" s="93">
        <v>9</v>
      </c>
      <c r="BP367" s="94" t="str">
        <f t="shared" si="280"/>
        <v>标准型</v>
      </c>
      <c r="BQ367" s="15">
        <f t="shared" si="277"/>
        <v>2</v>
      </c>
      <c r="BR367" s="15">
        <f t="shared" si="278"/>
        <v>5</v>
      </c>
      <c r="BS367" s="20" t="str">
        <f t="shared" si="287"/>
        <v/>
      </c>
      <c r="BT367" s="21">
        <f t="shared" si="288"/>
        <v>3</v>
      </c>
      <c r="BU367" s="21" t="str">
        <f t="array" ref="BU367">_xlfn.TEXTJOIN("",TRUE,IF(ISERROR(FIND(ROW($1:$168)-1,BS367&amp;BT367)),ROW($1:$168)-1,""))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67" s="22" t="str">
        <f t="shared" si="289"/>
        <v>中隔中</v>
      </c>
      <c r="BW367" s="23" t="str">
        <f t="shared" si="300"/>
        <v/>
      </c>
      <c r="BX367" s="23" t="str">
        <f t="shared" si="298"/>
        <v/>
      </c>
      <c r="BY367" s="23" t="str">
        <f t="array" ref="BY367">_xlfn.TEXTJOIN("",TRUE,IF(ISERROR(FIND(ROW($1:$168)-1,BW367&amp;BX367)),ROW($1:$168)-1,""))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67" s="22" t="str">
        <f t="shared" si="290"/>
        <v>中中中</v>
      </c>
      <c r="CA367" s="24">
        <f t="shared" si="291"/>
        <v>2</v>
      </c>
      <c r="CB367" s="24" t="str">
        <f t="shared" si="299"/>
        <v/>
      </c>
      <c r="CC367" s="24" t="str">
        <f t="array" ref="CC367">_xlfn.TEXTJOIN("",TRUE,IF(ISERROR(FIND(ROW($1:$168)-1,CA367&amp;CB367)),ROW($1:$168)-1,""))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67" s="22" t="str">
        <f t="shared" si="292"/>
        <v>复中中</v>
      </c>
      <c r="CE367" s="25" t="str">
        <f t="shared" si="281"/>
        <v>24</v>
      </c>
      <c r="CF367" s="26" t="str">
        <f t="array" ref="CF367">_xlfn.TEXTJOIN("",TRUE,IF(ISNUMBER(FIND(MID(CE366&amp;W366,ROW($1:$162),1),CE367&amp;W367)),MID(CE366&amp;W366,ROW($1:$162),1),""))</f>
        <v>34</v>
      </c>
      <c r="CG367" s="27" t="str">
        <f t="array" ref="CG367">_xlfn.TEXTJOIN("",TRUE,IF(ISERROR(FIND(ROW($1:$168)-1,CE367&amp;CF367)),ROW($1:$168)-1,""))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67" s="28" t="str">
        <f t="shared" si="293"/>
        <v>邻传孤</v>
      </c>
      <c r="CI367" s="29" t="str">
        <f t="shared" si="294"/>
        <v>46</v>
      </c>
      <c r="CJ367" s="29" t="str">
        <f t="array" ref="CJ367">_xlfn.TEXTJOIN("",TRUE,IF(ISNUMBER(FIND(MID(CI366&amp;X366,ROW($1:$162),1),CI367&amp;X367)),MID(CI366&amp;X366,ROW($1:$162),1),""))</f>
        <v/>
      </c>
      <c r="CK367" s="29" t="str">
        <f t="array" ref="CK367">_xlfn.TEXTJOIN("",TRUE,IF(ISERROR(FIND(ROW($1:$168)-1,CI367&amp;CJ367)),ROW($1:$168)-1,""))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67" s="19" t="str">
        <f t="shared" si="295"/>
        <v>邻孤孤</v>
      </c>
      <c r="CM367" s="24" t="str">
        <f t="shared" si="296"/>
        <v>13</v>
      </c>
      <c r="CN367" s="24" t="str">
        <f t="array" ref="CN367">_xlfn.TEXTJOIN("",TRUE,IF(ISNUMBER(FIND(MID(CM366&amp;Y366,ROW($1:$162),1),CM367&amp;Y367)),MID(CM366&amp;Y366,ROW($1:$162),1),""))</f>
        <v/>
      </c>
      <c r="CO367" s="24" t="str">
        <f t="array" ref="CO367">_xlfn.TEXTJOIN("",TRUE,IF(ISERROR(FIND(ROW($1:$168)-1,CM367&amp;CN367)),ROW($1:$168)-1,""))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67" s="30" t="str">
        <f t="shared" si="297"/>
        <v>邻孤孤</v>
      </c>
    </row>
    <row r="368" spans="1:94">
      <c r="A368" s="15">
        <v>368</v>
      </c>
      <c r="B368" s="80">
        <v>2024337</v>
      </c>
      <c r="C368" s="8" t="s">
        <v>238</v>
      </c>
      <c r="D368" s="81">
        <f t="shared" si="282"/>
        <v>15</v>
      </c>
      <c r="E368" s="82">
        <f t="shared" si="283"/>
        <v>5</v>
      </c>
      <c r="F368" s="83">
        <f t="shared" si="270"/>
        <v>3</v>
      </c>
      <c r="G368" s="84" t="str">
        <f t="shared" si="271"/>
        <v>标准</v>
      </c>
      <c r="H368" s="85" t="s">
        <v>10</v>
      </c>
      <c r="I368" s="85" t="s">
        <v>11</v>
      </c>
      <c r="J368" s="85" t="s">
        <v>12</v>
      </c>
      <c r="K368" s="85" t="s">
        <v>13</v>
      </c>
      <c r="L368" s="86">
        <f>MAX(MID(C368,{1,2,3},1)*1)-MIN(MID(C368,{1,2,3},1)*1)</f>
        <v>5</v>
      </c>
      <c r="M368" s="87">
        <v>0</v>
      </c>
      <c r="N368" s="87">
        <v>1</v>
      </c>
      <c r="O368" s="87">
        <v>2</v>
      </c>
      <c r="P368" s="87">
        <v>3</v>
      </c>
      <c r="Q368" s="87">
        <v>4</v>
      </c>
      <c r="R368" s="87">
        <v>5</v>
      </c>
      <c r="S368" s="87">
        <v>6</v>
      </c>
      <c r="T368" s="87">
        <v>7</v>
      </c>
      <c r="U368" s="87">
        <v>8</v>
      </c>
      <c r="V368" s="87">
        <v>9</v>
      </c>
      <c r="W368" s="88">
        <f t="shared" si="284"/>
        <v>4</v>
      </c>
      <c r="X368" s="88">
        <f t="shared" si="285"/>
        <v>5</v>
      </c>
      <c r="Y368" s="88">
        <f t="shared" si="286"/>
        <v>1</v>
      </c>
      <c r="Z368" s="89">
        <f t="shared" si="279"/>
        <v>10</v>
      </c>
      <c r="AA368" s="17" t="str">
        <f>_xlfn.TEXTJOIN(", ",TRUE,ABS(MID(C368,{1,1,2},1)-MID(C368,{2,3,3},1)))</f>
        <v>4, 5, 1</v>
      </c>
      <c r="AB368" s="90">
        <v>0</v>
      </c>
      <c r="AC368" s="90">
        <v>1</v>
      </c>
      <c r="AD368" s="90">
        <v>2</v>
      </c>
      <c r="AE368" s="90">
        <v>3</v>
      </c>
      <c r="AF368" s="90">
        <v>4</v>
      </c>
      <c r="AG368" s="90">
        <v>5</v>
      </c>
      <c r="AH368" s="90">
        <v>6</v>
      </c>
      <c r="AI368" s="90">
        <v>7</v>
      </c>
      <c r="AJ368" s="90">
        <v>8</v>
      </c>
      <c r="AK368" s="90">
        <v>9</v>
      </c>
      <c r="AL368" s="91">
        <v>0</v>
      </c>
      <c r="AM368" s="91">
        <v>1</v>
      </c>
      <c r="AN368" s="91">
        <v>2</v>
      </c>
      <c r="AO368" s="91">
        <v>3</v>
      </c>
      <c r="AP368" s="91">
        <v>4</v>
      </c>
      <c r="AQ368" s="91">
        <v>5</v>
      </c>
      <c r="AR368" s="91">
        <v>6</v>
      </c>
      <c r="AS368" s="91">
        <v>7</v>
      </c>
      <c r="AT368" s="91">
        <v>8</v>
      </c>
      <c r="AU368" s="91">
        <v>9</v>
      </c>
      <c r="AV368" s="92">
        <v>0</v>
      </c>
      <c r="AW368" s="92">
        <v>1</v>
      </c>
      <c r="AX368" s="92">
        <v>2</v>
      </c>
      <c r="AY368" s="92">
        <v>3</v>
      </c>
      <c r="AZ368" s="92">
        <v>4</v>
      </c>
      <c r="BA368" s="92">
        <v>5</v>
      </c>
      <c r="BB368" s="92">
        <v>6</v>
      </c>
      <c r="BC368" s="92">
        <v>7</v>
      </c>
      <c r="BD368" s="92">
        <v>8</v>
      </c>
      <c r="BE368" s="92">
        <v>9</v>
      </c>
      <c r="BF368" s="93">
        <v>0</v>
      </c>
      <c r="BG368" s="93">
        <v>1</v>
      </c>
      <c r="BH368" s="93">
        <v>2</v>
      </c>
      <c r="BI368" s="93">
        <v>3</v>
      </c>
      <c r="BJ368" s="93">
        <v>4</v>
      </c>
      <c r="BK368" s="93">
        <v>5</v>
      </c>
      <c r="BL368" s="93">
        <v>6</v>
      </c>
      <c r="BM368" s="93">
        <v>7</v>
      </c>
      <c r="BN368" s="93">
        <v>8</v>
      </c>
      <c r="BO368" s="93">
        <v>9</v>
      </c>
      <c r="BP368" s="94" t="str">
        <f t="shared" si="280"/>
        <v>标准型</v>
      </c>
      <c r="BQ368" s="15">
        <f t="shared" si="277"/>
        <v>1</v>
      </c>
      <c r="BR368" s="15">
        <f t="shared" si="278"/>
        <v>5</v>
      </c>
      <c r="BS368" s="20" t="str">
        <f t="shared" si="287"/>
        <v/>
      </c>
      <c r="BT368" s="21">
        <f t="shared" si="288"/>
        <v>4</v>
      </c>
      <c r="BU368" s="21" t="str">
        <f t="array" ref="BU368">_xlfn.TEXTJOIN("",TRUE,IF(ISERROR(FIND(ROW($1:$168)-1,BS368&amp;BT368)),ROW($1:$168)-1,""))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68" s="22" t="str">
        <f t="shared" si="289"/>
        <v>中隔中</v>
      </c>
      <c r="BW368" s="23">
        <f t="shared" si="300"/>
        <v>5</v>
      </c>
      <c r="BX368" s="23" t="str">
        <f t="shared" si="298"/>
        <v/>
      </c>
      <c r="BY368" s="23" t="str">
        <f t="array" ref="BY368">_xlfn.TEXTJOIN("",TRUE,IF(ISERROR(FIND(ROW($1:$168)-1,BW368&amp;BX368)),ROW($1:$168)-1,""))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68" s="22" t="str">
        <f t="shared" si="290"/>
        <v>复中中</v>
      </c>
      <c r="CA368" s="24" t="str">
        <f t="shared" si="291"/>
        <v/>
      </c>
      <c r="CB368" s="24" t="str">
        <f t="shared" si="299"/>
        <v/>
      </c>
      <c r="CC368" s="24" t="str">
        <f t="array" ref="CC368">_xlfn.TEXTJOIN("",TRUE,IF(ISERROR(FIND(ROW($1:$168)-1,CA368&amp;CB368)),ROW($1:$168)-1,""))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68" s="22" t="str">
        <f t="shared" si="292"/>
        <v>中中中</v>
      </c>
      <c r="CE368" s="25" t="str">
        <f t="shared" si="281"/>
        <v>35</v>
      </c>
      <c r="CF368" s="26" t="str">
        <f t="array" ref="CF368">_xlfn.TEXTJOIN("",TRUE,IF(ISNUMBER(FIND(MID(CE367&amp;W367,ROW($1:$162),1),CE368&amp;W368)),MID(CE367&amp;W367,ROW($1:$162),1),""))</f>
        <v>43</v>
      </c>
      <c r="CG368" s="27" t="str">
        <f t="array" ref="CG368">_xlfn.TEXTJOIN("",TRUE,IF(ISERROR(FIND(ROW($1:$168)-1,CE368&amp;CF368)),ROW($1:$168)-1,""))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68" s="28" t="str">
        <f t="shared" si="293"/>
        <v>邻传孤</v>
      </c>
      <c r="CI368" s="29" t="str">
        <f t="shared" si="294"/>
        <v>46</v>
      </c>
      <c r="CJ368" s="29" t="str">
        <f t="array" ref="CJ368">_xlfn.TEXTJOIN("",TRUE,IF(ISNUMBER(FIND(MID(CI367&amp;X367,ROW($1:$162),1),CI368&amp;X368)),MID(CI367&amp;X367,ROW($1:$162),1),""))</f>
        <v>465</v>
      </c>
      <c r="CK368" s="29" t="str">
        <f t="array" ref="CK368">_xlfn.TEXTJOIN("",TRUE,IF(ISERROR(FIND(ROW($1:$168)-1,CI368&amp;CJ368)),ROW($1:$168)-1,""))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68" s="19" t="str">
        <f t="shared" si="295"/>
        <v>邻传孤</v>
      </c>
      <c r="CM368" s="24" t="str">
        <f t="shared" si="296"/>
        <v>02</v>
      </c>
      <c r="CN368" s="24" t="str">
        <f t="array" ref="CN368">_xlfn.TEXTJOIN("",TRUE,IF(ISNUMBER(FIND(MID(CM367&amp;Y367,ROW($1:$162),1),CM368&amp;Y368)),MID(CM367&amp;Y367,ROW($1:$162),1),""))</f>
        <v>12</v>
      </c>
      <c r="CO368" s="24" t="str">
        <f t="array" ref="CO368">_xlfn.TEXTJOIN("",TRUE,IF(ISERROR(FIND(ROW($1:$168)-1,CM368&amp;CN368)),ROW($1:$168)-1,""))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68" s="30" t="str">
        <f t="shared" si="297"/>
        <v>邻传孤</v>
      </c>
    </row>
    <row r="369" spans="1:94">
      <c r="A369" s="15">
        <v>369</v>
      </c>
      <c r="B369" s="80">
        <v>2024338</v>
      </c>
      <c r="C369" s="8" t="s">
        <v>125</v>
      </c>
      <c r="D369" s="81">
        <f t="shared" si="282"/>
        <v>23</v>
      </c>
      <c r="E369" s="82">
        <f t="shared" si="283"/>
        <v>3</v>
      </c>
      <c r="F369" s="83">
        <f t="shared" si="270"/>
        <v>11.5</v>
      </c>
      <c r="G369" s="84" t="str">
        <f t="shared" si="271"/>
        <v>紧凑</v>
      </c>
      <c r="H369" s="85" t="s">
        <v>10</v>
      </c>
      <c r="I369" s="85" t="s">
        <v>11</v>
      </c>
      <c r="J369" s="85" t="s">
        <v>12</v>
      </c>
      <c r="K369" s="85" t="s">
        <v>13</v>
      </c>
      <c r="L369" s="86">
        <f>MAX(MID(C369,{1,2,3},1)*1)-MIN(MID(C369,{1,2,3},1)*1)</f>
        <v>2</v>
      </c>
      <c r="M369" s="87">
        <v>0</v>
      </c>
      <c r="N369" s="87">
        <v>1</v>
      </c>
      <c r="O369" s="87">
        <v>2</v>
      </c>
      <c r="P369" s="87">
        <v>3</v>
      </c>
      <c r="Q369" s="87">
        <v>4</v>
      </c>
      <c r="R369" s="87">
        <v>5</v>
      </c>
      <c r="S369" s="87">
        <v>6</v>
      </c>
      <c r="T369" s="87">
        <v>7</v>
      </c>
      <c r="U369" s="87">
        <v>8</v>
      </c>
      <c r="V369" s="87">
        <v>9</v>
      </c>
      <c r="W369" s="88">
        <f t="shared" si="284"/>
        <v>2</v>
      </c>
      <c r="X369" s="88">
        <f t="shared" si="285"/>
        <v>2</v>
      </c>
      <c r="Y369" s="88">
        <f t="shared" si="286"/>
        <v>0</v>
      </c>
      <c r="Z369" s="89">
        <f t="shared" si="279"/>
        <v>4</v>
      </c>
      <c r="AA369" s="17" t="str">
        <f>_xlfn.TEXTJOIN(", ",TRUE,ABS(MID(C369,{1,1,2},1)-MID(C369,{2,3,3},1)))</f>
        <v>2, 2, 0</v>
      </c>
      <c r="AB369" s="90">
        <v>0</v>
      </c>
      <c r="AC369" s="90">
        <v>1</v>
      </c>
      <c r="AD369" s="90">
        <v>2</v>
      </c>
      <c r="AE369" s="90">
        <v>3</v>
      </c>
      <c r="AF369" s="90">
        <v>4</v>
      </c>
      <c r="AG369" s="90">
        <v>5</v>
      </c>
      <c r="AH369" s="90">
        <v>6</v>
      </c>
      <c r="AI369" s="90">
        <v>7</v>
      </c>
      <c r="AJ369" s="90">
        <v>8</v>
      </c>
      <c r="AK369" s="90">
        <v>9</v>
      </c>
      <c r="AL369" s="91">
        <v>0</v>
      </c>
      <c r="AM369" s="91">
        <v>1</v>
      </c>
      <c r="AN369" s="91">
        <v>2</v>
      </c>
      <c r="AO369" s="91">
        <v>3</v>
      </c>
      <c r="AP369" s="91">
        <v>4</v>
      </c>
      <c r="AQ369" s="91">
        <v>5</v>
      </c>
      <c r="AR369" s="91">
        <v>6</v>
      </c>
      <c r="AS369" s="91">
        <v>7</v>
      </c>
      <c r="AT369" s="91">
        <v>8</v>
      </c>
      <c r="AU369" s="91">
        <v>9</v>
      </c>
      <c r="AV369" s="92">
        <v>0</v>
      </c>
      <c r="AW369" s="92">
        <v>1</v>
      </c>
      <c r="AX369" s="92">
        <v>2</v>
      </c>
      <c r="AY369" s="92">
        <v>3</v>
      </c>
      <c r="AZ369" s="92">
        <v>4</v>
      </c>
      <c r="BA369" s="92">
        <v>5</v>
      </c>
      <c r="BB369" s="92">
        <v>6</v>
      </c>
      <c r="BC369" s="92">
        <v>7</v>
      </c>
      <c r="BD369" s="92">
        <v>8</v>
      </c>
      <c r="BE369" s="92">
        <v>9</v>
      </c>
      <c r="BF369" s="93">
        <v>0</v>
      </c>
      <c r="BG369" s="93">
        <v>1</v>
      </c>
      <c r="BH369" s="93">
        <v>2</v>
      </c>
      <c r="BI369" s="93">
        <v>3</v>
      </c>
      <c r="BJ369" s="93">
        <v>4</v>
      </c>
      <c r="BK369" s="93">
        <v>5</v>
      </c>
      <c r="BL369" s="93">
        <v>6</v>
      </c>
      <c r="BM369" s="93">
        <v>7</v>
      </c>
      <c r="BN369" s="93">
        <v>8</v>
      </c>
      <c r="BO369" s="93">
        <v>9</v>
      </c>
      <c r="BP369" s="94" t="str">
        <f t="shared" si="280"/>
        <v>紧凑型</v>
      </c>
      <c r="BQ369" s="15">
        <f t="shared" si="277"/>
        <v>0</v>
      </c>
      <c r="BR369" s="15">
        <f t="shared" si="278"/>
        <v>2</v>
      </c>
      <c r="BS369" s="20" t="str">
        <f t="shared" si="287"/>
        <v/>
      </c>
      <c r="BT369" s="21">
        <f t="shared" si="288"/>
        <v>2</v>
      </c>
      <c r="BU369" s="21" t="str">
        <f t="array" ref="BU369">_xlfn.TEXTJOIN("",TRUE,IF(ISERROR(FIND(ROW($1:$168)-1,BS369&amp;BT369)),ROW($1:$168)-1,""))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69" s="22" t="str">
        <f t="shared" si="289"/>
        <v>中隔中</v>
      </c>
      <c r="BW369" s="23" t="str">
        <f t="shared" si="300"/>
        <v/>
      </c>
      <c r="BX369" s="23">
        <f t="shared" si="298"/>
        <v>2</v>
      </c>
      <c r="BY369" s="23" t="str">
        <f t="array" ref="BY369">_xlfn.TEXTJOIN("",TRUE,IF(ISERROR(FIND(ROW($1:$168)-1,BW369&amp;BX369)),ROW($1:$168)-1,""))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69" s="22" t="str">
        <f t="shared" si="290"/>
        <v>中隔中</v>
      </c>
      <c r="CA369" s="24" t="str">
        <f t="shared" si="291"/>
        <v/>
      </c>
      <c r="CB369" s="24" t="str">
        <f t="shared" si="299"/>
        <v/>
      </c>
      <c r="CC369" s="24" t="str">
        <f t="array" ref="CC369">_xlfn.TEXTJOIN("",TRUE,IF(ISERROR(FIND(ROW($1:$168)-1,CA369&amp;CB369)),ROW($1:$168)-1,""))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69" s="22" t="str">
        <f t="shared" si="292"/>
        <v>中中中</v>
      </c>
      <c r="CE369" s="25" t="str">
        <f t="shared" si="281"/>
        <v>13</v>
      </c>
      <c r="CF369" s="26" t="str">
        <f t="array" ref="CF369">_xlfn.TEXTJOIN("",TRUE,IF(ISNUMBER(FIND(MID(CE368&amp;W368,ROW($1:$162),1),CE369&amp;W369)),MID(CE368&amp;W368,ROW($1:$162),1),""))</f>
        <v>3</v>
      </c>
      <c r="CG369" s="27" t="str">
        <f t="array" ref="CG369">_xlfn.TEXTJOIN("",TRUE,IF(ISERROR(FIND(ROW($1:$168)-1,CE369&amp;CF369)),ROW($1:$168)-1,""))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369" s="28" t="str">
        <f t="shared" si="293"/>
        <v>邻传孤</v>
      </c>
      <c r="CI369" s="29" t="str">
        <f t="shared" si="294"/>
        <v>13</v>
      </c>
      <c r="CJ369" s="29" t="str">
        <f t="array" ref="CJ369">_xlfn.TEXTJOIN("",TRUE,IF(ISNUMBER(FIND(MID(CI368&amp;X368,ROW($1:$162),1),CI369&amp;X369)),MID(CI368&amp;X368,ROW($1:$162),1),""))</f>
        <v/>
      </c>
      <c r="CK369" s="29" t="str">
        <f t="array" ref="CK369">_xlfn.TEXTJOIN("",TRUE,IF(ISERROR(FIND(ROW($1:$168)-1,CI369&amp;CJ369)),ROW($1:$168)-1,""))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69" s="19" t="str">
        <f t="shared" si="295"/>
        <v>邻孤孤</v>
      </c>
      <c r="CM369" s="24" t="str">
        <f t="shared" si="296"/>
        <v>91</v>
      </c>
      <c r="CN369" s="24" t="str">
        <f t="array" ref="CN369">_xlfn.TEXTJOIN("",TRUE,IF(ISNUMBER(FIND(MID(CM368&amp;Y368,ROW($1:$162),1),CM369&amp;Y369)),MID(CM368&amp;Y368,ROW($1:$162),1),""))</f>
        <v>01</v>
      </c>
      <c r="CO369" s="24" t="str">
        <f t="array" ref="CO369">_xlfn.TEXTJOIN("",TRUE,IF(ISERROR(FIND(ROW($1:$168)-1,CM369&amp;CN369)),ROW($1:$168)-1,""))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369" s="30" t="str">
        <f t="shared" si="297"/>
        <v>邻传孤</v>
      </c>
    </row>
    <row r="370" spans="1:94">
      <c r="A370" s="15">
        <v>370</v>
      </c>
      <c r="B370" s="80">
        <v>2024339</v>
      </c>
      <c r="C370" s="8" t="s">
        <v>335</v>
      </c>
      <c r="D370" s="81">
        <f t="shared" si="282"/>
        <v>14</v>
      </c>
      <c r="E370" s="82">
        <f t="shared" si="283"/>
        <v>4</v>
      </c>
      <c r="F370" s="83">
        <f t="shared" si="270"/>
        <v>1.55555555555556</v>
      </c>
      <c r="G370" s="84" t="str">
        <f t="shared" si="271"/>
        <v>松散</v>
      </c>
      <c r="H370" s="85" t="s">
        <v>10</v>
      </c>
      <c r="I370" s="85" t="s">
        <v>11</v>
      </c>
      <c r="J370" s="85" t="s">
        <v>12</v>
      </c>
      <c r="K370" s="85" t="s">
        <v>13</v>
      </c>
      <c r="L370" s="86">
        <f>MAX(MID(C370,{1,2,3},1)*1)-MIN(MID(C370,{1,2,3},1)*1)</f>
        <v>9</v>
      </c>
      <c r="M370" s="87">
        <v>0</v>
      </c>
      <c r="N370" s="87">
        <v>1</v>
      </c>
      <c r="O370" s="87">
        <v>2</v>
      </c>
      <c r="P370" s="87">
        <v>3</v>
      </c>
      <c r="Q370" s="87">
        <v>4</v>
      </c>
      <c r="R370" s="87">
        <v>5</v>
      </c>
      <c r="S370" s="87">
        <v>6</v>
      </c>
      <c r="T370" s="87">
        <v>7</v>
      </c>
      <c r="U370" s="87">
        <v>8</v>
      </c>
      <c r="V370" s="87">
        <v>9</v>
      </c>
      <c r="W370" s="88">
        <f t="shared" si="284"/>
        <v>5</v>
      </c>
      <c r="X370" s="88">
        <f t="shared" si="285"/>
        <v>4</v>
      </c>
      <c r="Y370" s="88">
        <f t="shared" si="286"/>
        <v>9</v>
      </c>
      <c r="Z370" s="89">
        <f t="shared" si="279"/>
        <v>18</v>
      </c>
      <c r="AA370" s="17" t="str">
        <f>_xlfn.TEXTJOIN(", ",TRUE,ABS(MID(C370,{1,1,2},1)-MID(C370,{2,3,3},1)))</f>
        <v>5, 4, 9</v>
      </c>
      <c r="AB370" s="90">
        <v>0</v>
      </c>
      <c r="AC370" s="90">
        <v>1</v>
      </c>
      <c r="AD370" s="90">
        <v>2</v>
      </c>
      <c r="AE370" s="90">
        <v>3</v>
      </c>
      <c r="AF370" s="90">
        <v>4</v>
      </c>
      <c r="AG370" s="90">
        <v>5</v>
      </c>
      <c r="AH370" s="90">
        <v>6</v>
      </c>
      <c r="AI370" s="90">
        <v>7</v>
      </c>
      <c r="AJ370" s="90">
        <v>8</v>
      </c>
      <c r="AK370" s="90">
        <v>9</v>
      </c>
      <c r="AL370" s="91">
        <v>0</v>
      </c>
      <c r="AM370" s="91">
        <v>1</v>
      </c>
      <c r="AN370" s="91">
        <v>2</v>
      </c>
      <c r="AO370" s="91">
        <v>3</v>
      </c>
      <c r="AP370" s="91">
        <v>4</v>
      </c>
      <c r="AQ370" s="91">
        <v>5</v>
      </c>
      <c r="AR370" s="91">
        <v>6</v>
      </c>
      <c r="AS370" s="91">
        <v>7</v>
      </c>
      <c r="AT370" s="91">
        <v>8</v>
      </c>
      <c r="AU370" s="91">
        <v>9</v>
      </c>
      <c r="AV370" s="92">
        <v>0</v>
      </c>
      <c r="AW370" s="92">
        <v>1</v>
      </c>
      <c r="AX370" s="92">
        <v>2</v>
      </c>
      <c r="AY370" s="92">
        <v>3</v>
      </c>
      <c r="AZ370" s="92">
        <v>4</v>
      </c>
      <c r="BA370" s="92">
        <v>5</v>
      </c>
      <c r="BB370" s="92">
        <v>6</v>
      </c>
      <c r="BC370" s="92">
        <v>7</v>
      </c>
      <c r="BD370" s="92">
        <v>8</v>
      </c>
      <c r="BE370" s="92">
        <v>9</v>
      </c>
      <c r="BF370" s="93">
        <v>0</v>
      </c>
      <c r="BG370" s="93">
        <v>1</v>
      </c>
      <c r="BH370" s="93">
        <v>2</v>
      </c>
      <c r="BI370" s="93">
        <v>3</v>
      </c>
      <c r="BJ370" s="93">
        <v>4</v>
      </c>
      <c r="BK370" s="93">
        <v>5</v>
      </c>
      <c r="BL370" s="93">
        <v>6</v>
      </c>
      <c r="BM370" s="93">
        <v>7</v>
      </c>
      <c r="BN370" s="93">
        <v>8</v>
      </c>
      <c r="BO370" s="93">
        <v>9</v>
      </c>
      <c r="BP370" s="94" t="str">
        <f t="shared" si="280"/>
        <v>松散型</v>
      </c>
      <c r="BQ370" s="15">
        <f t="shared" si="277"/>
        <v>4</v>
      </c>
      <c r="BR370" s="15">
        <f t="shared" si="278"/>
        <v>9</v>
      </c>
      <c r="BS370" s="20" t="str">
        <f t="shared" si="287"/>
        <v/>
      </c>
      <c r="BT370" s="21">
        <f t="shared" si="288"/>
        <v>5</v>
      </c>
      <c r="BU370" s="21" t="str">
        <f t="array" ref="BU370">_xlfn.TEXTJOIN("",TRUE,IF(ISERROR(FIND(ROW($1:$168)-1,BS370&amp;BT370)),ROW($1:$168)-1,""))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70" s="22" t="str">
        <f t="shared" si="289"/>
        <v>中隔中</v>
      </c>
      <c r="BW370" s="23" t="str">
        <f t="shared" si="300"/>
        <v/>
      </c>
      <c r="BX370" s="23">
        <f t="shared" si="298"/>
        <v>4</v>
      </c>
      <c r="BY370" s="23" t="str">
        <f t="array" ref="BY370">_xlfn.TEXTJOIN("",TRUE,IF(ISERROR(FIND(ROW($1:$168)-1,BW370&amp;BX370)),ROW($1:$168)-1,""))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70" s="22" t="str">
        <f t="shared" si="290"/>
        <v>中隔中</v>
      </c>
      <c r="CA370" s="24" t="str">
        <f t="shared" si="291"/>
        <v/>
      </c>
      <c r="CB370" s="24" t="str">
        <f t="shared" si="299"/>
        <v/>
      </c>
      <c r="CC370" s="24" t="str">
        <f t="array" ref="CC370">_xlfn.TEXTJOIN("",TRUE,IF(ISERROR(FIND(ROW($1:$168)-1,CA370&amp;CB370)),ROW($1:$168)-1,""))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70" s="22" t="str">
        <f t="shared" si="292"/>
        <v>中中中</v>
      </c>
      <c r="CE370" s="25" t="str">
        <f t="shared" si="281"/>
        <v>46</v>
      </c>
      <c r="CF370" s="26" t="str">
        <f t="array" ref="CF370">_xlfn.TEXTJOIN("",TRUE,IF(ISNUMBER(FIND(MID(CE369&amp;W369,ROW($1:$162),1),CE370&amp;W370)),MID(CE369&amp;W369,ROW($1:$162),1),""))</f>
        <v/>
      </c>
      <c r="CG370" s="27" t="str">
        <f t="array" ref="CG370">_xlfn.TEXTJOIN("",TRUE,IF(ISERROR(FIND(ROW($1:$168)-1,CE370&amp;CF370)),ROW($1:$168)-1,""))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70" s="28" t="str">
        <f t="shared" si="293"/>
        <v>邻孤孤</v>
      </c>
      <c r="CI370" s="29" t="str">
        <f t="shared" si="294"/>
        <v>35</v>
      </c>
      <c r="CJ370" s="29" t="str">
        <f t="array" ref="CJ370">_xlfn.TEXTJOIN("",TRUE,IF(ISNUMBER(FIND(MID(CI369&amp;X369,ROW($1:$162),1),CI370&amp;X370)),MID(CI369&amp;X369,ROW($1:$162),1),""))</f>
        <v>3</v>
      </c>
      <c r="CK370" s="29" t="str">
        <f t="array" ref="CK370">_xlfn.TEXTJOIN("",TRUE,IF(ISERROR(FIND(ROW($1:$168)-1,CI370&amp;CJ370)),ROW($1:$168)-1,""))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70" s="19" t="str">
        <f t="shared" si="295"/>
        <v>邻传孤</v>
      </c>
      <c r="CM370" s="24" t="str">
        <f t="shared" si="296"/>
        <v>80</v>
      </c>
      <c r="CN370" s="24" t="str">
        <f t="array" ref="CN370">_xlfn.TEXTJOIN("",TRUE,IF(ISNUMBER(FIND(MID(CM369&amp;Y369,ROW($1:$162),1),CM370&amp;Y370)),MID(CM369&amp;Y369,ROW($1:$162),1),""))</f>
        <v>90</v>
      </c>
      <c r="CO370" s="24" t="str">
        <f t="array" ref="CO370">_xlfn.TEXTJOIN("",TRUE,IF(ISERROR(FIND(ROW($1:$168)-1,CM370&amp;CN370)),ROW($1:$168)-1,""))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P370" s="30" t="str">
        <f t="shared" si="297"/>
        <v>邻传孤</v>
      </c>
    </row>
    <row r="371" spans="1:94">
      <c r="A371" s="15">
        <v>371</v>
      </c>
      <c r="B371" s="80">
        <v>2024340</v>
      </c>
      <c r="C371" s="8" t="s">
        <v>336</v>
      </c>
      <c r="D371" s="81">
        <f t="shared" si="282"/>
        <v>17</v>
      </c>
      <c r="E371" s="82">
        <f t="shared" si="283"/>
        <v>7</v>
      </c>
      <c r="F371" s="83">
        <f t="shared" si="270"/>
        <v>2.83333333333333</v>
      </c>
      <c r="G371" s="84" t="str">
        <f t="shared" si="271"/>
        <v>标准</v>
      </c>
      <c r="H371" s="85" t="s">
        <v>10</v>
      </c>
      <c r="I371" s="85" t="s">
        <v>11</v>
      </c>
      <c r="J371" s="85" t="s">
        <v>12</v>
      </c>
      <c r="K371" s="85" t="s">
        <v>13</v>
      </c>
      <c r="L371" s="86">
        <f>MAX(MID(C371,{1,2,3},1)*1)-MIN(MID(C371,{1,2,3},1)*1)</f>
        <v>6</v>
      </c>
      <c r="M371" s="87">
        <v>0</v>
      </c>
      <c r="N371" s="87">
        <v>1</v>
      </c>
      <c r="O371" s="87">
        <v>2</v>
      </c>
      <c r="P371" s="87">
        <v>3</v>
      </c>
      <c r="Q371" s="87">
        <v>4</v>
      </c>
      <c r="R371" s="87">
        <v>5</v>
      </c>
      <c r="S371" s="87">
        <v>6</v>
      </c>
      <c r="T371" s="87">
        <v>7</v>
      </c>
      <c r="U371" s="87">
        <v>8</v>
      </c>
      <c r="V371" s="87">
        <v>9</v>
      </c>
      <c r="W371" s="88">
        <f t="shared" si="284"/>
        <v>5</v>
      </c>
      <c r="X371" s="88">
        <f t="shared" si="285"/>
        <v>6</v>
      </c>
      <c r="Y371" s="88">
        <f t="shared" si="286"/>
        <v>1</v>
      </c>
      <c r="Z371" s="89">
        <f t="shared" si="279"/>
        <v>12</v>
      </c>
      <c r="AA371" s="17" t="str">
        <f>_xlfn.TEXTJOIN(", ",TRUE,ABS(MID(C371,{1,1,2},1)-MID(C371,{2,3,3},1)))</f>
        <v>5, 6, 1</v>
      </c>
      <c r="AB371" s="90">
        <v>0</v>
      </c>
      <c r="AC371" s="90">
        <v>1</v>
      </c>
      <c r="AD371" s="90">
        <v>2</v>
      </c>
      <c r="AE371" s="90">
        <v>3</v>
      </c>
      <c r="AF371" s="90">
        <v>4</v>
      </c>
      <c r="AG371" s="90">
        <v>5</v>
      </c>
      <c r="AH371" s="90">
        <v>6</v>
      </c>
      <c r="AI371" s="90">
        <v>7</v>
      </c>
      <c r="AJ371" s="90">
        <v>8</v>
      </c>
      <c r="AK371" s="90">
        <v>9</v>
      </c>
      <c r="AL371" s="91">
        <v>0</v>
      </c>
      <c r="AM371" s="91">
        <v>1</v>
      </c>
      <c r="AN371" s="91">
        <v>2</v>
      </c>
      <c r="AO371" s="91">
        <v>3</v>
      </c>
      <c r="AP371" s="91">
        <v>4</v>
      </c>
      <c r="AQ371" s="91">
        <v>5</v>
      </c>
      <c r="AR371" s="91">
        <v>6</v>
      </c>
      <c r="AS371" s="91">
        <v>7</v>
      </c>
      <c r="AT371" s="91">
        <v>8</v>
      </c>
      <c r="AU371" s="91">
        <v>9</v>
      </c>
      <c r="AV371" s="92">
        <v>0</v>
      </c>
      <c r="AW371" s="92">
        <v>1</v>
      </c>
      <c r="AX371" s="92">
        <v>2</v>
      </c>
      <c r="AY371" s="92">
        <v>3</v>
      </c>
      <c r="AZ371" s="92">
        <v>4</v>
      </c>
      <c r="BA371" s="92">
        <v>5</v>
      </c>
      <c r="BB371" s="92">
        <v>6</v>
      </c>
      <c r="BC371" s="92">
        <v>7</v>
      </c>
      <c r="BD371" s="92">
        <v>8</v>
      </c>
      <c r="BE371" s="92">
        <v>9</v>
      </c>
      <c r="BF371" s="93">
        <v>0</v>
      </c>
      <c r="BG371" s="93">
        <v>1</v>
      </c>
      <c r="BH371" s="93">
        <v>2</v>
      </c>
      <c r="BI371" s="93">
        <v>3</v>
      </c>
      <c r="BJ371" s="93">
        <v>4</v>
      </c>
      <c r="BK371" s="93">
        <v>5</v>
      </c>
      <c r="BL371" s="93">
        <v>6</v>
      </c>
      <c r="BM371" s="93">
        <v>7</v>
      </c>
      <c r="BN371" s="93">
        <v>8</v>
      </c>
      <c r="BO371" s="93">
        <v>9</v>
      </c>
      <c r="BP371" s="94" t="str">
        <f t="shared" si="280"/>
        <v>松散型</v>
      </c>
      <c r="BQ371" s="15">
        <f t="shared" si="277"/>
        <v>1</v>
      </c>
      <c r="BR371" s="15">
        <f t="shared" si="278"/>
        <v>6</v>
      </c>
      <c r="BS371" s="20">
        <f t="shared" si="287"/>
        <v>5</v>
      </c>
      <c r="BT371" s="21" t="str">
        <f t="shared" si="288"/>
        <v/>
      </c>
      <c r="BU371" s="21" t="str">
        <f t="array" ref="BU371">_xlfn.TEXTJOIN("",TRUE,IF(ISERROR(FIND(ROW($1:$168)-1,BS371&amp;BT371)),ROW($1:$168)-1,""))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71" s="22" t="str">
        <f t="shared" si="289"/>
        <v>复中中</v>
      </c>
      <c r="BW371" s="23" t="str">
        <f t="shared" si="300"/>
        <v/>
      </c>
      <c r="BX371" s="23" t="str">
        <f t="shared" si="298"/>
        <v/>
      </c>
      <c r="BY371" s="23" t="str">
        <f t="array" ref="BY371">_xlfn.TEXTJOIN("",TRUE,IF(ISERROR(FIND(ROW($1:$168)-1,BW371&amp;BX371)),ROW($1:$168)-1,""))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71" s="22" t="str">
        <f t="shared" si="290"/>
        <v>中中中</v>
      </c>
      <c r="CA371" s="24" t="str">
        <f t="shared" si="291"/>
        <v/>
      </c>
      <c r="CB371" s="24" t="str">
        <f t="shared" si="299"/>
        <v/>
      </c>
      <c r="CC371" s="24" t="str">
        <f t="array" ref="CC371">_xlfn.TEXTJOIN("",TRUE,IF(ISERROR(FIND(ROW($1:$168)-1,CA371&amp;CB371)),ROW($1:$168)-1,""))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71" s="22" t="str">
        <f t="shared" si="292"/>
        <v>中中中</v>
      </c>
      <c r="CE371" s="25" t="str">
        <f t="shared" si="281"/>
        <v>46</v>
      </c>
      <c r="CF371" s="26" t="str">
        <f t="array" ref="CF371">_xlfn.TEXTJOIN("",TRUE,IF(ISNUMBER(FIND(MID(CE370&amp;W370,ROW($1:$162),1),CE371&amp;W371)),MID(CE370&amp;W370,ROW($1:$162),1),""))</f>
        <v>465</v>
      </c>
      <c r="CG371" s="27" t="str">
        <f t="array" ref="CG371">_xlfn.TEXTJOIN("",TRUE,IF(ISERROR(FIND(ROW($1:$168)-1,CE371&amp;CF371)),ROW($1:$168)-1,""))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71" s="28" t="str">
        <f t="shared" si="293"/>
        <v>邻传孤</v>
      </c>
      <c r="CI371" s="29" t="str">
        <f t="shared" si="294"/>
        <v>57</v>
      </c>
      <c r="CJ371" s="29" t="str">
        <f t="array" ref="CJ371">_xlfn.TEXTJOIN("",TRUE,IF(ISNUMBER(FIND(MID(CI370&amp;X370,ROW($1:$162),1),CI371&amp;X371)),MID(CI370&amp;X370,ROW($1:$162),1),""))</f>
        <v>5</v>
      </c>
      <c r="CK371" s="29" t="str">
        <f t="array" ref="CK371">_xlfn.TEXTJOIN("",TRUE,IF(ISERROR(FIND(ROW($1:$168)-1,CI371&amp;CJ371)),ROW($1:$168)-1,""))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71" s="19" t="str">
        <f t="shared" si="295"/>
        <v>邻传孤</v>
      </c>
      <c r="CM371" s="24" t="str">
        <f t="shared" si="296"/>
        <v>02</v>
      </c>
      <c r="CN371" s="24" t="str">
        <f t="array" ref="CN371">_xlfn.TEXTJOIN("",TRUE,IF(ISNUMBER(FIND(MID(CM370&amp;Y370,ROW($1:$162),1),CM371&amp;Y371)),MID(CM370&amp;Y370,ROW($1:$162),1),""))</f>
        <v>0</v>
      </c>
      <c r="CO371" s="24" t="str">
        <f t="array" ref="CO371">_xlfn.TEXTJOIN("",TRUE,IF(ISERROR(FIND(ROW($1:$168)-1,CM371&amp;CN371)),ROW($1:$168)-1,""))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71" s="30" t="str">
        <f t="shared" si="297"/>
        <v>邻传孤</v>
      </c>
    </row>
    <row r="372" spans="1:94">
      <c r="A372" s="15">
        <v>372</v>
      </c>
      <c r="B372" s="80">
        <v>2024341</v>
      </c>
      <c r="C372" s="8" t="s">
        <v>33</v>
      </c>
      <c r="D372" s="81">
        <f t="shared" ref="D372:D390" si="301">LEFT(C372,1)+MID(C372,2,1)+RIGHT(C372,1)</f>
        <v>11</v>
      </c>
      <c r="E372" s="82">
        <f t="shared" ref="E372:E390" si="302">MOD(LEFT(C372,1)+MID(C372,2,1)+RIGHT(C372,1),10)</f>
        <v>1</v>
      </c>
      <c r="F372" s="83">
        <f t="shared" si="270"/>
        <v>1.83333333333333</v>
      </c>
      <c r="G372" s="84" t="str">
        <f t="shared" si="271"/>
        <v>松散</v>
      </c>
      <c r="H372" s="85" t="s">
        <v>10</v>
      </c>
      <c r="I372" s="85" t="s">
        <v>11</v>
      </c>
      <c r="J372" s="85" t="s">
        <v>12</v>
      </c>
      <c r="K372" s="85" t="s">
        <v>13</v>
      </c>
      <c r="L372" s="86">
        <f>MAX(MID(C372,{1,2,3},1)*1)-MIN(MID(C372,{1,2,3},1)*1)</f>
        <v>6</v>
      </c>
      <c r="M372" s="87">
        <v>0</v>
      </c>
      <c r="N372" s="87">
        <v>1</v>
      </c>
      <c r="O372" s="87">
        <v>2</v>
      </c>
      <c r="P372" s="87">
        <v>3</v>
      </c>
      <c r="Q372" s="87">
        <v>4</v>
      </c>
      <c r="R372" s="87">
        <v>5</v>
      </c>
      <c r="S372" s="87">
        <v>6</v>
      </c>
      <c r="T372" s="87">
        <v>7</v>
      </c>
      <c r="U372" s="87">
        <v>8</v>
      </c>
      <c r="V372" s="87">
        <v>9</v>
      </c>
      <c r="W372" s="88">
        <f t="shared" ref="W372:W390" si="303">ABS(LEFT(C372,1)-MID(C372,2,1))</f>
        <v>4</v>
      </c>
      <c r="X372" s="88">
        <f t="shared" ref="X372:X390" si="304">ABS(LEFT(C372,1)-RIGHT(C372,1))</f>
        <v>2</v>
      </c>
      <c r="Y372" s="88">
        <f t="shared" ref="Y372:Y390" si="305">ABS(MID(C372,2,1)-RIGHT(C372,1))</f>
        <v>6</v>
      </c>
      <c r="Z372" s="89">
        <f t="shared" si="279"/>
        <v>12</v>
      </c>
      <c r="AA372" s="17" t="str">
        <f>_xlfn.TEXTJOIN(", ",TRUE,ABS(MID(C372,{1,1,2},1)-MID(C372,{2,3,3},1)))</f>
        <v>4, 2, 6</v>
      </c>
      <c r="AB372" s="90">
        <v>0</v>
      </c>
      <c r="AC372" s="90">
        <v>1</v>
      </c>
      <c r="AD372" s="90">
        <v>2</v>
      </c>
      <c r="AE372" s="90">
        <v>3</v>
      </c>
      <c r="AF372" s="90">
        <v>4</v>
      </c>
      <c r="AG372" s="90">
        <v>5</v>
      </c>
      <c r="AH372" s="90">
        <v>6</v>
      </c>
      <c r="AI372" s="90">
        <v>7</v>
      </c>
      <c r="AJ372" s="90">
        <v>8</v>
      </c>
      <c r="AK372" s="90">
        <v>9</v>
      </c>
      <c r="AL372" s="91">
        <v>0</v>
      </c>
      <c r="AM372" s="91">
        <v>1</v>
      </c>
      <c r="AN372" s="91">
        <v>2</v>
      </c>
      <c r="AO372" s="91">
        <v>3</v>
      </c>
      <c r="AP372" s="91">
        <v>4</v>
      </c>
      <c r="AQ372" s="91">
        <v>5</v>
      </c>
      <c r="AR372" s="91">
        <v>6</v>
      </c>
      <c r="AS372" s="91">
        <v>7</v>
      </c>
      <c r="AT372" s="91">
        <v>8</v>
      </c>
      <c r="AU372" s="91">
        <v>9</v>
      </c>
      <c r="AV372" s="92">
        <v>0</v>
      </c>
      <c r="AW372" s="92">
        <v>1</v>
      </c>
      <c r="AX372" s="92">
        <v>2</v>
      </c>
      <c r="AY372" s="92">
        <v>3</v>
      </c>
      <c r="AZ372" s="92">
        <v>4</v>
      </c>
      <c r="BA372" s="92">
        <v>5</v>
      </c>
      <c r="BB372" s="92">
        <v>6</v>
      </c>
      <c r="BC372" s="92">
        <v>7</v>
      </c>
      <c r="BD372" s="92">
        <v>8</v>
      </c>
      <c r="BE372" s="92">
        <v>9</v>
      </c>
      <c r="BF372" s="93">
        <v>0</v>
      </c>
      <c r="BG372" s="93">
        <v>1</v>
      </c>
      <c r="BH372" s="93">
        <v>2</v>
      </c>
      <c r="BI372" s="93">
        <v>3</v>
      </c>
      <c r="BJ372" s="93">
        <v>4</v>
      </c>
      <c r="BK372" s="93">
        <v>5</v>
      </c>
      <c r="BL372" s="93">
        <v>6</v>
      </c>
      <c r="BM372" s="93">
        <v>7</v>
      </c>
      <c r="BN372" s="93">
        <v>8</v>
      </c>
      <c r="BO372" s="93">
        <v>9</v>
      </c>
      <c r="BP372" s="94" t="str">
        <f t="shared" si="280"/>
        <v>松散型</v>
      </c>
      <c r="BQ372" s="15">
        <f t="shared" si="277"/>
        <v>2</v>
      </c>
      <c r="BR372" s="15">
        <f t="shared" si="278"/>
        <v>6</v>
      </c>
      <c r="BS372" s="20" t="str">
        <f t="shared" si="287"/>
        <v/>
      </c>
      <c r="BT372" s="21">
        <f t="shared" si="288"/>
        <v>4</v>
      </c>
      <c r="BU372" s="21" t="str">
        <f t="array" ref="BU372">_xlfn.TEXTJOIN("",TRUE,IF(ISERROR(FIND(ROW($1:$168)-1,BS372&amp;BT372)),ROW($1:$168)-1,""))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72" s="22" t="str">
        <f t="shared" si="289"/>
        <v>中隔中</v>
      </c>
      <c r="BW372" s="23" t="str">
        <f t="shared" si="300"/>
        <v/>
      </c>
      <c r="BX372" s="23" t="str">
        <f t="shared" si="298"/>
        <v/>
      </c>
      <c r="BY372" s="23" t="str">
        <f t="array" ref="BY372">_xlfn.TEXTJOIN("",TRUE,IF(ISERROR(FIND(ROW($1:$168)-1,BW372&amp;BX372)),ROW($1:$168)-1,""))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72" s="22" t="str">
        <f t="shared" si="290"/>
        <v>中中中</v>
      </c>
      <c r="CA372" s="24">
        <f t="shared" si="291"/>
        <v>6</v>
      </c>
      <c r="CB372" s="24" t="str">
        <f t="shared" si="299"/>
        <v/>
      </c>
      <c r="CC372" s="24" t="str">
        <f t="array" ref="CC372">_xlfn.TEXTJOIN("",TRUE,IF(ISERROR(FIND(ROW($1:$168)-1,CA372&amp;CB372)),ROW($1:$168)-1,""))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72" s="22" t="str">
        <f t="shared" si="292"/>
        <v>复中中</v>
      </c>
      <c r="CE372" s="25" t="str">
        <f t="shared" si="281"/>
        <v>35</v>
      </c>
      <c r="CF372" s="26" t="str">
        <f t="array" ref="CF372">_xlfn.TEXTJOIN("",TRUE,IF(ISNUMBER(FIND(MID(CE371&amp;W371,ROW($1:$162),1),CE372&amp;W372)),MID(CE371&amp;W371,ROW($1:$162),1),""))</f>
        <v>45</v>
      </c>
      <c r="CG372" s="27" t="str">
        <f t="array" ref="CG372">_xlfn.TEXTJOIN("",TRUE,IF(ISERROR(FIND(ROW($1:$168)-1,CE372&amp;CF372)),ROW($1:$168)-1,""))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72" s="28" t="str">
        <f t="shared" si="293"/>
        <v>邻传孤</v>
      </c>
      <c r="CI372" s="29" t="str">
        <f t="shared" si="294"/>
        <v>13</v>
      </c>
      <c r="CJ372" s="29" t="str">
        <f t="array" ref="CJ372">_xlfn.TEXTJOIN("",TRUE,IF(ISNUMBER(FIND(MID(CI371&amp;X371,ROW($1:$162),1),CI372&amp;X372)),MID(CI371&amp;X371,ROW($1:$162),1),""))</f>
        <v/>
      </c>
      <c r="CK372" s="29" t="str">
        <f t="array" ref="CK372">_xlfn.TEXTJOIN("",TRUE,IF(ISERROR(FIND(ROW($1:$168)-1,CI372&amp;CJ372)),ROW($1:$168)-1,""))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72" s="19" t="str">
        <f t="shared" si="295"/>
        <v>邻孤孤</v>
      </c>
      <c r="CM372" s="24" t="str">
        <f t="shared" si="296"/>
        <v>57</v>
      </c>
      <c r="CN372" s="24" t="str">
        <f t="array" ref="CN372">_xlfn.TEXTJOIN("",TRUE,IF(ISNUMBER(FIND(MID(CM371&amp;Y371,ROW($1:$162),1),CM372&amp;Y372)),MID(CM371&amp;Y371,ROW($1:$162),1),""))</f>
        <v/>
      </c>
      <c r="CO372" s="24" t="str">
        <f t="array" ref="CO372">_xlfn.TEXTJOIN("",TRUE,IF(ISERROR(FIND(ROW($1:$168)-1,CM372&amp;CN372)),ROW($1:$168)-1,""))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72" s="30" t="str">
        <f t="shared" si="297"/>
        <v>邻孤孤</v>
      </c>
    </row>
    <row r="373" spans="1:94">
      <c r="A373" s="15">
        <v>373</v>
      </c>
      <c r="B373" s="80">
        <v>2024342</v>
      </c>
      <c r="C373" s="8" t="s">
        <v>249</v>
      </c>
      <c r="D373" s="81">
        <f t="shared" si="301"/>
        <v>15</v>
      </c>
      <c r="E373" s="82">
        <f t="shared" si="302"/>
        <v>5</v>
      </c>
      <c r="F373" s="83">
        <f t="shared" si="270"/>
        <v>3</v>
      </c>
      <c r="G373" s="84" t="str">
        <f t="shared" si="271"/>
        <v>标准</v>
      </c>
      <c r="H373" s="85" t="s">
        <v>10</v>
      </c>
      <c r="I373" s="85" t="s">
        <v>11</v>
      </c>
      <c r="J373" s="85" t="s">
        <v>12</v>
      </c>
      <c r="K373" s="85" t="s">
        <v>13</v>
      </c>
      <c r="L373" s="86">
        <f>MAX(MID(C373,{1,2,3},1)*1)-MIN(MID(C373,{1,2,3},1)*1)</f>
        <v>5</v>
      </c>
      <c r="M373" s="87">
        <v>0</v>
      </c>
      <c r="N373" s="87">
        <v>1</v>
      </c>
      <c r="O373" s="87">
        <v>2</v>
      </c>
      <c r="P373" s="87">
        <v>3</v>
      </c>
      <c r="Q373" s="87">
        <v>4</v>
      </c>
      <c r="R373" s="87">
        <v>5</v>
      </c>
      <c r="S373" s="87">
        <v>6</v>
      </c>
      <c r="T373" s="87">
        <v>7</v>
      </c>
      <c r="U373" s="87">
        <v>8</v>
      </c>
      <c r="V373" s="87">
        <v>9</v>
      </c>
      <c r="W373" s="88">
        <f t="shared" si="303"/>
        <v>4</v>
      </c>
      <c r="X373" s="88">
        <f t="shared" si="304"/>
        <v>1</v>
      </c>
      <c r="Y373" s="88">
        <f t="shared" si="305"/>
        <v>5</v>
      </c>
      <c r="Z373" s="89">
        <f t="shared" si="279"/>
        <v>10</v>
      </c>
      <c r="AA373" s="17" t="str">
        <f>_xlfn.TEXTJOIN(", ",TRUE,ABS(MID(C373,{1,1,2},1)-MID(C373,{2,3,3},1)))</f>
        <v>4, 1, 5</v>
      </c>
      <c r="AB373" s="90">
        <v>0</v>
      </c>
      <c r="AC373" s="90">
        <v>1</v>
      </c>
      <c r="AD373" s="90">
        <v>2</v>
      </c>
      <c r="AE373" s="90">
        <v>3</v>
      </c>
      <c r="AF373" s="90">
        <v>4</v>
      </c>
      <c r="AG373" s="90">
        <v>5</v>
      </c>
      <c r="AH373" s="90">
        <v>6</v>
      </c>
      <c r="AI373" s="90">
        <v>7</v>
      </c>
      <c r="AJ373" s="90">
        <v>8</v>
      </c>
      <c r="AK373" s="90">
        <v>9</v>
      </c>
      <c r="AL373" s="91">
        <v>0</v>
      </c>
      <c r="AM373" s="91">
        <v>1</v>
      </c>
      <c r="AN373" s="91">
        <v>2</v>
      </c>
      <c r="AO373" s="91">
        <v>3</v>
      </c>
      <c r="AP373" s="91">
        <v>4</v>
      </c>
      <c r="AQ373" s="91">
        <v>5</v>
      </c>
      <c r="AR373" s="91">
        <v>6</v>
      </c>
      <c r="AS373" s="91">
        <v>7</v>
      </c>
      <c r="AT373" s="91">
        <v>8</v>
      </c>
      <c r="AU373" s="91">
        <v>9</v>
      </c>
      <c r="AV373" s="92">
        <v>0</v>
      </c>
      <c r="AW373" s="92">
        <v>1</v>
      </c>
      <c r="AX373" s="92">
        <v>2</v>
      </c>
      <c r="AY373" s="92">
        <v>3</v>
      </c>
      <c r="AZ373" s="92">
        <v>4</v>
      </c>
      <c r="BA373" s="92">
        <v>5</v>
      </c>
      <c r="BB373" s="92">
        <v>6</v>
      </c>
      <c r="BC373" s="92">
        <v>7</v>
      </c>
      <c r="BD373" s="92">
        <v>8</v>
      </c>
      <c r="BE373" s="92">
        <v>9</v>
      </c>
      <c r="BF373" s="93">
        <v>0</v>
      </c>
      <c r="BG373" s="93">
        <v>1</v>
      </c>
      <c r="BH373" s="93">
        <v>2</v>
      </c>
      <c r="BI373" s="93">
        <v>3</v>
      </c>
      <c r="BJ373" s="93">
        <v>4</v>
      </c>
      <c r="BK373" s="93">
        <v>5</v>
      </c>
      <c r="BL373" s="93">
        <v>6</v>
      </c>
      <c r="BM373" s="93">
        <v>7</v>
      </c>
      <c r="BN373" s="93">
        <v>8</v>
      </c>
      <c r="BO373" s="93">
        <v>9</v>
      </c>
      <c r="BP373" s="94" t="str">
        <f t="shared" si="280"/>
        <v>标准型</v>
      </c>
      <c r="BQ373" s="15">
        <f t="shared" si="277"/>
        <v>1</v>
      </c>
      <c r="BR373" s="15">
        <f t="shared" si="278"/>
        <v>5</v>
      </c>
      <c r="BS373" s="20">
        <f t="shared" si="287"/>
        <v>4</v>
      </c>
      <c r="BT373" s="21" t="str">
        <f t="shared" si="288"/>
        <v/>
      </c>
      <c r="BU373" s="21" t="str">
        <f t="array" ref="BU373">_xlfn.TEXTJOIN("",TRUE,IF(ISERROR(FIND(ROW($1:$168)-1,BS373&amp;BT373)),ROW($1:$168)-1,""))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73" s="22" t="str">
        <f t="shared" si="289"/>
        <v>复中中</v>
      </c>
      <c r="BW373" s="23" t="str">
        <f t="shared" si="300"/>
        <v/>
      </c>
      <c r="BX373" s="23">
        <f t="shared" si="298"/>
        <v>1</v>
      </c>
      <c r="BY373" s="23" t="str">
        <f t="array" ref="BY373">_xlfn.TEXTJOIN("",TRUE,IF(ISERROR(FIND(ROW($1:$168)-1,BW373&amp;BX373)),ROW($1:$168)-1,""))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73" s="22" t="str">
        <f t="shared" si="290"/>
        <v>中隔中</v>
      </c>
      <c r="CA373" s="24" t="str">
        <f t="shared" si="291"/>
        <v/>
      </c>
      <c r="CB373" s="24">
        <f t="shared" si="299"/>
        <v>5</v>
      </c>
      <c r="CC373" s="24" t="str">
        <f t="array" ref="CC373">_xlfn.TEXTJOIN("",TRUE,IF(ISERROR(FIND(ROW($1:$168)-1,CA373&amp;CB373)),ROW($1:$168)-1,""))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73" s="22" t="str">
        <f t="shared" si="292"/>
        <v>中隔中</v>
      </c>
      <c r="CE373" s="25" t="str">
        <f t="shared" si="281"/>
        <v>35</v>
      </c>
      <c r="CF373" s="26" t="str">
        <f t="array" ref="CF373">_xlfn.TEXTJOIN("",TRUE,IF(ISNUMBER(FIND(MID(CE372&amp;W372,ROW($1:$162),1),CE373&amp;W373)),MID(CE372&amp;W372,ROW($1:$162),1),""))</f>
        <v>354</v>
      </c>
      <c r="CG373" s="27" t="str">
        <f t="array" ref="CG373">_xlfn.TEXTJOIN("",TRUE,IF(ISERROR(FIND(ROW($1:$168)-1,CE373&amp;CF373)),ROW($1:$168)-1,""))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73" s="28" t="str">
        <f t="shared" si="293"/>
        <v>邻传孤</v>
      </c>
      <c r="CI373" s="29" t="str">
        <f t="shared" si="294"/>
        <v>02</v>
      </c>
      <c r="CJ373" s="29" t="str">
        <f t="array" ref="CJ373">_xlfn.TEXTJOIN("",TRUE,IF(ISNUMBER(FIND(MID(CI372&amp;X372,ROW($1:$162),1),CI373&amp;X373)),MID(CI372&amp;X372,ROW($1:$162),1),""))</f>
        <v>12</v>
      </c>
      <c r="CK373" s="29" t="str">
        <f t="array" ref="CK373">_xlfn.TEXTJOIN("",TRUE,IF(ISERROR(FIND(ROW($1:$168)-1,CI373&amp;CJ373)),ROW($1:$168)-1,""))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73" s="19" t="str">
        <f t="shared" si="295"/>
        <v>邻传孤</v>
      </c>
      <c r="CM373" s="24" t="str">
        <f t="shared" si="296"/>
        <v>46</v>
      </c>
      <c r="CN373" s="24" t="str">
        <f t="array" ref="CN373">_xlfn.TEXTJOIN("",TRUE,IF(ISNUMBER(FIND(MID(CM372&amp;Y372,ROW($1:$162),1),CM373&amp;Y373)),MID(CM372&amp;Y372,ROW($1:$162),1),""))</f>
        <v>56</v>
      </c>
      <c r="CO373" s="24" t="str">
        <f t="array" ref="CO373">_xlfn.TEXTJOIN("",TRUE,IF(ISERROR(FIND(ROW($1:$168)-1,CM373&amp;CN373)),ROW($1:$168)-1,""))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73" s="30" t="str">
        <f t="shared" si="297"/>
        <v>邻传孤</v>
      </c>
    </row>
    <row r="374" spans="1:94">
      <c r="A374" s="15">
        <v>374</v>
      </c>
      <c r="B374" s="80">
        <v>2024343</v>
      </c>
      <c r="C374" s="8" t="s">
        <v>177</v>
      </c>
      <c r="D374" s="81">
        <f t="shared" si="301"/>
        <v>7</v>
      </c>
      <c r="E374" s="82">
        <f t="shared" si="302"/>
        <v>7</v>
      </c>
      <c r="F374" s="83">
        <f t="shared" si="270"/>
        <v>2.33333333333333</v>
      </c>
      <c r="G374" s="84" t="str">
        <f t="shared" si="271"/>
        <v>标准</v>
      </c>
      <c r="H374" s="85" t="s">
        <v>10</v>
      </c>
      <c r="I374" s="85" t="s">
        <v>11</v>
      </c>
      <c r="J374" s="85" t="s">
        <v>12</v>
      </c>
      <c r="K374" s="85" t="s">
        <v>13</v>
      </c>
      <c r="L374" s="86">
        <f>MAX(MID(C374,{1,2,3},1)*1)-MIN(MID(C374,{1,2,3},1)*1)</f>
        <v>3</v>
      </c>
      <c r="M374" s="87">
        <v>0</v>
      </c>
      <c r="N374" s="87">
        <v>1</v>
      </c>
      <c r="O374" s="87">
        <v>2</v>
      </c>
      <c r="P374" s="87">
        <v>3</v>
      </c>
      <c r="Q374" s="87">
        <v>4</v>
      </c>
      <c r="R374" s="87">
        <v>5</v>
      </c>
      <c r="S374" s="87">
        <v>6</v>
      </c>
      <c r="T374" s="87">
        <v>7</v>
      </c>
      <c r="U374" s="87">
        <v>8</v>
      </c>
      <c r="V374" s="87">
        <v>9</v>
      </c>
      <c r="W374" s="88">
        <f t="shared" si="303"/>
        <v>1</v>
      </c>
      <c r="X374" s="88">
        <f t="shared" si="304"/>
        <v>2</v>
      </c>
      <c r="Y374" s="88">
        <f t="shared" si="305"/>
        <v>3</v>
      </c>
      <c r="Z374" s="89">
        <f t="shared" si="279"/>
        <v>6</v>
      </c>
      <c r="AA374" s="17" t="str">
        <f>_xlfn.TEXTJOIN(", ",TRUE,ABS(MID(C374,{1,1,2},1)-MID(C374,{2,3,3},1)))</f>
        <v>1, 2, 3</v>
      </c>
      <c r="AB374" s="90">
        <v>0</v>
      </c>
      <c r="AC374" s="90">
        <v>1</v>
      </c>
      <c r="AD374" s="90">
        <v>2</v>
      </c>
      <c r="AE374" s="90">
        <v>3</v>
      </c>
      <c r="AF374" s="90">
        <v>4</v>
      </c>
      <c r="AG374" s="90">
        <v>5</v>
      </c>
      <c r="AH374" s="90">
        <v>6</v>
      </c>
      <c r="AI374" s="90">
        <v>7</v>
      </c>
      <c r="AJ374" s="90">
        <v>8</v>
      </c>
      <c r="AK374" s="90">
        <v>9</v>
      </c>
      <c r="AL374" s="91">
        <v>0</v>
      </c>
      <c r="AM374" s="91">
        <v>1</v>
      </c>
      <c r="AN374" s="91">
        <v>2</v>
      </c>
      <c r="AO374" s="91">
        <v>3</v>
      </c>
      <c r="AP374" s="91">
        <v>4</v>
      </c>
      <c r="AQ374" s="91">
        <v>5</v>
      </c>
      <c r="AR374" s="91">
        <v>6</v>
      </c>
      <c r="AS374" s="91">
        <v>7</v>
      </c>
      <c r="AT374" s="91">
        <v>8</v>
      </c>
      <c r="AU374" s="91">
        <v>9</v>
      </c>
      <c r="AV374" s="92">
        <v>0</v>
      </c>
      <c r="AW374" s="92">
        <v>1</v>
      </c>
      <c r="AX374" s="92">
        <v>2</v>
      </c>
      <c r="AY374" s="92">
        <v>3</v>
      </c>
      <c r="AZ374" s="92">
        <v>4</v>
      </c>
      <c r="BA374" s="92">
        <v>5</v>
      </c>
      <c r="BB374" s="92">
        <v>6</v>
      </c>
      <c r="BC374" s="92">
        <v>7</v>
      </c>
      <c r="BD374" s="92">
        <v>8</v>
      </c>
      <c r="BE374" s="92">
        <v>9</v>
      </c>
      <c r="BF374" s="93">
        <v>0</v>
      </c>
      <c r="BG374" s="93">
        <v>1</v>
      </c>
      <c r="BH374" s="93">
        <v>2</v>
      </c>
      <c r="BI374" s="93">
        <v>3</v>
      </c>
      <c r="BJ374" s="93">
        <v>4</v>
      </c>
      <c r="BK374" s="93">
        <v>5</v>
      </c>
      <c r="BL374" s="93">
        <v>6</v>
      </c>
      <c r="BM374" s="93">
        <v>7</v>
      </c>
      <c r="BN374" s="93">
        <v>8</v>
      </c>
      <c r="BO374" s="93">
        <v>9</v>
      </c>
      <c r="BP374" s="94" t="str">
        <f t="shared" si="280"/>
        <v>紧凑型</v>
      </c>
      <c r="BQ374" s="15">
        <f t="shared" si="277"/>
        <v>1</v>
      </c>
      <c r="BR374" s="15">
        <f t="shared" si="278"/>
        <v>3</v>
      </c>
      <c r="BS374" s="20">
        <f t="shared" si="287"/>
        <v>1</v>
      </c>
      <c r="BT374" s="21" t="str">
        <f t="shared" si="288"/>
        <v/>
      </c>
      <c r="BU374" s="21" t="str">
        <f t="array" ref="BU374">_xlfn.TEXTJOIN("",TRUE,IF(ISERROR(FIND(ROW($1:$168)-1,BS374&amp;BT374)),ROW($1:$168)-1,""))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74" s="22" t="str">
        <f t="shared" si="289"/>
        <v>复中中</v>
      </c>
      <c r="BW374" s="23" t="str">
        <f t="shared" si="300"/>
        <v/>
      </c>
      <c r="BX374" s="23">
        <f t="shared" si="298"/>
        <v>2</v>
      </c>
      <c r="BY374" s="23" t="str">
        <f t="array" ref="BY374">_xlfn.TEXTJOIN("",TRUE,IF(ISERROR(FIND(ROW($1:$168)-1,BW374&amp;BX374)),ROW($1:$168)-1,""))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74" s="22" t="str">
        <f t="shared" si="290"/>
        <v>中隔中</v>
      </c>
      <c r="CA374" s="24" t="str">
        <f t="shared" si="291"/>
        <v/>
      </c>
      <c r="CB374" s="24" t="str">
        <f t="shared" si="299"/>
        <v/>
      </c>
      <c r="CC374" s="24" t="str">
        <f t="array" ref="CC374">_xlfn.TEXTJOIN("",TRUE,IF(ISERROR(FIND(ROW($1:$168)-1,CA374&amp;CB374)),ROW($1:$168)-1,""))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74" s="22" t="str">
        <f t="shared" si="292"/>
        <v>中中中</v>
      </c>
      <c r="CE374" s="25" t="str">
        <f t="shared" si="281"/>
        <v>02</v>
      </c>
      <c r="CF374" s="26" t="str">
        <f t="array" ref="CF374">_xlfn.TEXTJOIN("",TRUE,IF(ISNUMBER(FIND(MID(CE373&amp;W373,ROW($1:$162),1),CE374&amp;W374)),MID(CE373&amp;W373,ROW($1:$162),1),""))</f>
        <v/>
      </c>
      <c r="CG374" s="27" t="str">
        <f t="array" ref="CG374">_xlfn.TEXTJOIN("",TRUE,IF(ISERROR(FIND(ROW($1:$168)-1,CE374&amp;CF374)),ROW($1:$168)-1,""))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74" s="28" t="str">
        <f t="shared" si="293"/>
        <v>邻孤孤</v>
      </c>
      <c r="CI374" s="29" t="str">
        <f t="shared" si="294"/>
        <v>13</v>
      </c>
      <c r="CJ374" s="29" t="str">
        <f t="array" ref="CJ374">_xlfn.TEXTJOIN("",TRUE,IF(ISNUMBER(FIND(MID(CI373&amp;X373,ROW($1:$162),1),CI374&amp;X374)),MID(CI373&amp;X373,ROW($1:$162),1),""))</f>
        <v>21</v>
      </c>
      <c r="CK374" s="29" t="str">
        <f t="array" ref="CK374">_xlfn.TEXTJOIN("",TRUE,IF(ISERROR(FIND(ROW($1:$168)-1,CI374&amp;CJ374)),ROW($1:$168)-1,""))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374" s="19" t="str">
        <f t="shared" si="295"/>
        <v>邻传孤</v>
      </c>
      <c r="CM374" s="24" t="str">
        <f t="shared" si="296"/>
        <v>24</v>
      </c>
      <c r="CN374" s="24" t="str">
        <f t="array" ref="CN374">_xlfn.TEXTJOIN("",TRUE,IF(ISNUMBER(FIND(MID(CM373&amp;Y373,ROW($1:$162),1),CM374&amp;Y374)),MID(CM373&amp;Y373,ROW($1:$162),1),""))</f>
        <v>4</v>
      </c>
      <c r="CO374" s="24" t="str">
        <f t="array" ref="CO374">_xlfn.TEXTJOIN("",TRUE,IF(ISERROR(FIND(ROW($1:$168)-1,CM374&amp;CN374)),ROW($1:$168)-1,""))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74" s="30" t="str">
        <f t="shared" si="297"/>
        <v>邻传孤</v>
      </c>
    </row>
    <row r="375" spans="1:94">
      <c r="A375" s="15">
        <v>375</v>
      </c>
      <c r="B375" s="80">
        <v>2024344</v>
      </c>
      <c r="C375" s="8" t="s">
        <v>253</v>
      </c>
      <c r="D375" s="81">
        <f t="shared" si="301"/>
        <v>8</v>
      </c>
      <c r="E375" s="82">
        <f t="shared" si="302"/>
        <v>8</v>
      </c>
      <c r="F375" s="83">
        <f t="shared" si="270"/>
        <v>1.6</v>
      </c>
      <c r="G375" s="84" t="str">
        <f t="shared" si="271"/>
        <v>松散</v>
      </c>
      <c r="H375" s="85" t="s">
        <v>10</v>
      </c>
      <c r="I375" s="85" t="s">
        <v>11</v>
      </c>
      <c r="J375" s="85" t="s">
        <v>12</v>
      </c>
      <c r="K375" s="85" t="s">
        <v>13</v>
      </c>
      <c r="L375" s="86">
        <f>MAX(MID(C375,{1,2,3},1)*1)-MIN(MID(C375,{1,2,3},1)*1)</f>
        <v>5</v>
      </c>
      <c r="M375" s="87">
        <v>0</v>
      </c>
      <c r="N375" s="87">
        <v>1</v>
      </c>
      <c r="O375" s="87">
        <v>2</v>
      </c>
      <c r="P375" s="87">
        <v>3</v>
      </c>
      <c r="Q375" s="87">
        <v>4</v>
      </c>
      <c r="R375" s="87">
        <v>5</v>
      </c>
      <c r="S375" s="87">
        <v>6</v>
      </c>
      <c r="T375" s="87">
        <v>7</v>
      </c>
      <c r="U375" s="87">
        <v>8</v>
      </c>
      <c r="V375" s="87">
        <v>9</v>
      </c>
      <c r="W375" s="88">
        <f t="shared" si="303"/>
        <v>3</v>
      </c>
      <c r="X375" s="88">
        <f t="shared" si="304"/>
        <v>2</v>
      </c>
      <c r="Y375" s="88">
        <f t="shared" si="305"/>
        <v>5</v>
      </c>
      <c r="Z375" s="89">
        <f t="shared" si="279"/>
        <v>10</v>
      </c>
      <c r="AA375" s="17" t="str">
        <f>_xlfn.TEXTJOIN(", ",TRUE,ABS(MID(C375,{1,1,2},1)-MID(C375,{2,3,3},1)))</f>
        <v>3, 2, 5</v>
      </c>
      <c r="AB375" s="90">
        <v>0</v>
      </c>
      <c r="AC375" s="90">
        <v>1</v>
      </c>
      <c r="AD375" s="90">
        <v>2</v>
      </c>
      <c r="AE375" s="90">
        <v>3</v>
      </c>
      <c r="AF375" s="90">
        <v>4</v>
      </c>
      <c r="AG375" s="90">
        <v>5</v>
      </c>
      <c r="AH375" s="90">
        <v>6</v>
      </c>
      <c r="AI375" s="90">
        <v>7</v>
      </c>
      <c r="AJ375" s="90">
        <v>8</v>
      </c>
      <c r="AK375" s="90">
        <v>9</v>
      </c>
      <c r="AL375" s="91">
        <v>0</v>
      </c>
      <c r="AM375" s="91">
        <v>1</v>
      </c>
      <c r="AN375" s="91">
        <v>2</v>
      </c>
      <c r="AO375" s="91">
        <v>3</v>
      </c>
      <c r="AP375" s="91">
        <v>4</v>
      </c>
      <c r="AQ375" s="91">
        <v>5</v>
      </c>
      <c r="AR375" s="91">
        <v>6</v>
      </c>
      <c r="AS375" s="91">
        <v>7</v>
      </c>
      <c r="AT375" s="91">
        <v>8</v>
      </c>
      <c r="AU375" s="91">
        <v>9</v>
      </c>
      <c r="AV375" s="92">
        <v>0</v>
      </c>
      <c r="AW375" s="92">
        <v>1</v>
      </c>
      <c r="AX375" s="92">
        <v>2</v>
      </c>
      <c r="AY375" s="92">
        <v>3</v>
      </c>
      <c r="AZ375" s="92">
        <v>4</v>
      </c>
      <c r="BA375" s="92">
        <v>5</v>
      </c>
      <c r="BB375" s="92">
        <v>6</v>
      </c>
      <c r="BC375" s="92">
        <v>7</v>
      </c>
      <c r="BD375" s="92">
        <v>8</v>
      </c>
      <c r="BE375" s="92">
        <v>9</v>
      </c>
      <c r="BF375" s="93">
        <v>0</v>
      </c>
      <c r="BG375" s="93">
        <v>1</v>
      </c>
      <c r="BH375" s="93">
        <v>2</v>
      </c>
      <c r="BI375" s="93">
        <v>3</v>
      </c>
      <c r="BJ375" s="93">
        <v>4</v>
      </c>
      <c r="BK375" s="93">
        <v>5</v>
      </c>
      <c r="BL375" s="93">
        <v>6</v>
      </c>
      <c r="BM375" s="93">
        <v>7</v>
      </c>
      <c r="BN375" s="93">
        <v>8</v>
      </c>
      <c r="BO375" s="93">
        <v>9</v>
      </c>
      <c r="BP375" s="94" t="str">
        <f t="shared" si="280"/>
        <v>标准型</v>
      </c>
      <c r="BQ375" s="15">
        <f t="shared" si="277"/>
        <v>2</v>
      </c>
      <c r="BR375" s="15">
        <f t="shared" si="278"/>
        <v>5</v>
      </c>
      <c r="BS375" s="20">
        <f t="shared" si="287"/>
        <v>3</v>
      </c>
      <c r="BT375" s="21" t="str">
        <f t="shared" si="288"/>
        <v/>
      </c>
      <c r="BU375" s="21" t="str">
        <f t="array" ref="BU375">_xlfn.TEXTJOIN("",TRUE,IF(ISERROR(FIND(ROW($1:$168)-1,BS375&amp;BT375)),ROW($1:$168)-1,""))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75" s="22" t="str">
        <f t="shared" si="289"/>
        <v>复中中</v>
      </c>
      <c r="BW375" s="23">
        <f t="shared" si="300"/>
        <v>2</v>
      </c>
      <c r="BX375" s="23" t="str">
        <f t="shared" si="298"/>
        <v/>
      </c>
      <c r="BY375" s="23" t="str">
        <f t="array" ref="BY375">_xlfn.TEXTJOIN("",TRUE,IF(ISERROR(FIND(ROW($1:$168)-1,BW375&amp;BX375)),ROW($1:$168)-1,""))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75" s="22" t="str">
        <f t="shared" si="290"/>
        <v>复中中</v>
      </c>
      <c r="CA375" s="24" t="str">
        <f t="shared" si="291"/>
        <v/>
      </c>
      <c r="CB375" s="24">
        <f t="shared" si="299"/>
        <v>5</v>
      </c>
      <c r="CC375" s="24" t="str">
        <f t="array" ref="CC375">_xlfn.TEXTJOIN("",TRUE,IF(ISERROR(FIND(ROW($1:$168)-1,CA375&amp;CB375)),ROW($1:$168)-1,""))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75" s="22" t="str">
        <f t="shared" si="292"/>
        <v>中隔中</v>
      </c>
      <c r="CE375" s="25" t="str">
        <f t="shared" si="281"/>
        <v>24</v>
      </c>
      <c r="CF375" s="26" t="str">
        <f t="array" ref="CF375">_xlfn.TEXTJOIN("",TRUE,IF(ISNUMBER(FIND(MID(CE374&amp;W374,ROW($1:$162),1),CE375&amp;W375)),MID(CE374&amp;W374,ROW($1:$162),1),""))</f>
        <v>2</v>
      </c>
      <c r="CG375" s="27" t="str">
        <f t="array" ref="CG375">_xlfn.TEXTJOIN("",TRUE,IF(ISERROR(FIND(ROW($1:$168)-1,CE375&amp;CF375)),ROW($1:$168)-1,""))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75" s="28" t="str">
        <f t="shared" si="293"/>
        <v>邻传孤</v>
      </c>
      <c r="CI375" s="29" t="str">
        <f t="shared" si="294"/>
        <v>13</v>
      </c>
      <c r="CJ375" s="29" t="str">
        <f t="array" ref="CJ375">_xlfn.TEXTJOIN("",TRUE,IF(ISNUMBER(FIND(MID(CI374&amp;X374,ROW($1:$162),1),CI375&amp;X375)),MID(CI374&amp;X374,ROW($1:$162),1),""))</f>
        <v>132</v>
      </c>
      <c r="CK375" s="29" t="str">
        <f t="array" ref="CK375">_xlfn.TEXTJOIN("",TRUE,IF(ISERROR(FIND(ROW($1:$168)-1,CI375&amp;CJ375)),ROW($1:$168)-1,""))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375" s="19" t="str">
        <f t="shared" si="295"/>
        <v>邻传孤</v>
      </c>
      <c r="CM375" s="24" t="str">
        <f t="shared" si="296"/>
        <v>46</v>
      </c>
      <c r="CN375" s="24" t="str">
        <f t="array" ref="CN375">_xlfn.TEXTJOIN("",TRUE,IF(ISNUMBER(FIND(MID(CM374&amp;Y374,ROW($1:$162),1),CM375&amp;Y375)),MID(CM374&amp;Y374,ROW($1:$162),1),""))</f>
        <v>4</v>
      </c>
      <c r="CO375" s="24" t="str">
        <f t="array" ref="CO375">_xlfn.TEXTJOIN("",TRUE,IF(ISERROR(FIND(ROW($1:$168)-1,CM375&amp;CN375)),ROW($1:$168)-1,""))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75" s="30" t="str">
        <f t="shared" si="297"/>
        <v>邻传孤</v>
      </c>
    </row>
    <row r="376" spans="1:94">
      <c r="A376" s="15">
        <v>376</v>
      </c>
      <c r="B376" s="80">
        <v>2024345</v>
      </c>
      <c r="C376" s="8" t="s">
        <v>337</v>
      </c>
      <c r="D376" s="81">
        <f t="shared" si="301"/>
        <v>11</v>
      </c>
      <c r="E376" s="82">
        <f t="shared" si="302"/>
        <v>1</v>
      </c>
      <c r="F376" s="83">
        <f t="shared" si="270"/>
        <v>1.83333333333333</v>
      </c>
      <c r="G376" s="84" t="str">
        <f t="shared" si="271"/>
        <v>松散</v>
      </c>
      <c r="H376" s="85" t="s">
        <v>10</v>
      </c>
      <c r="I376" s="85" t="s">
        <v>11</v>
      </c>
      <c r="J376" s="85" t="s">
        <v>12</v>
      </c>
      <c r="K376" s="85" t="s">
        <v>13</v>
      </c>
      <c r="L376" s="86">
        <f>MAX(MID(C376,{1,2,3},1)*1)-MIN(MID(C376,{1,2,3},1)*1)</f>
        <v>6</v>
      </c>
      <c r="M376" s="87">
        <v>0</v>
      </c>
      <c r="N376" s="87">
        <v>1</v>
      </c>
      <c r="O376" s="87">
        <v>2</v>
      </c>
      <c r="P376" s="87">
        <v>3</v>
      </c>
      <c r="Q376" s="87">
        <v>4</v>
      </c>
      <c r="R376" s="87">
        <v>5</v>
      </c>
      <c r="S376" s="87">
        <v>6</v>
      </c>
      <c r="T376" s="87">
        <v>7</v>
      </c>
      <c r="U376" s="87">
        <v>8</v>
      </c>
      <c r="V376" s="87">
        <v>9</v>
      </c>
      <c r="W376" s="88">
        <f t="shared" si="303"/>
        <v>2</v>
      </c>
      <c r="X376" s="88">
        <f t="shared" si="304"/>
        <v>4</v>
      </c>
      <c r="Y376" s="88">
        <f t="shared" si="305"/>
        <v>6</v>
      </c>
      <c r="Z376" s="89">
        <f t="shared" si="279"/>
        <v>12</v>
      </c>
      <c r="AA376" s="17" t="str">
        <f>_xlfn.TEXTJOIN(", ",TRUE,ABS(MID(C376,{1,1,2},1)-MID(C376,{2,3,3},1)))</f>
        <v>2, 4, 6</v>
      </c>
      <c r="AB376" s="90">
        <v>0</v>
      </c>
      <c r="AC376" s="90">
        <v>1</v>
      </c>
      <c r="AD376" s="90">
        <v>2</v>
      </c>
      <c r="AE376" s="90">
        <v>3</v>
      </c>
      <c r="AF376" s="90">
        <v>4</v>
      </c>
      <c r="AG376" s="90">
        <v>5</v>
      </c>
      <c r="AH376" s="90">
        <v>6</v>
      </c>
      <c r="AI376" s="90">
        <v>7</v>
      </c>
      <c r="AJ376" s="90">
        <v>8</v>
      </c>
      <c r="AK376" s="90">
        <v>9</v>
      </c>
      <c r="AL376" s="91">
        <v>0</v>
      </c>
      <c r="AM376" s="91">
        <v>1</v>
      </c>
      <c r="AN376" s="91">
        <v>2</v>
      </c>
      <c r="AO376" s="91">
        <v>3</v>
      </c>
      <c r="AP376" s="91">
        <v>4</v>
      </c>
      <c r="AQ376" s="91">
        <v>5</v>
      </c>
      <c r="AR376" s="91">
        <v>6</v>
      </c>
      <c r="AS376" s="91">
        <v>7</v>
      </c>
      <c r="AT376" s="91">
        <v>8</v>
      </c>
      <c r="AU376" s="91">
        <v>9</v>
      </c>
      <c r="AV376" s="92">
        <v>0</v>
      </c>
      <c r="AW376" s="92">
        <v>1</v>
      </c>
      <c r="AX376" s="92">
        <v>2</v>
      </c>
      <c r="AY376" s="92">
        <v>3</v>
      </c>
      <c r="AZ376" s="92">
        <v>4</v>
      </c>
      <c r="BA376" s="92">
        <v>5</v>
      </c>
      <c r="BB376" s="92">
        <v>6</v>
      </c>
      <c r="BC376" s="92">
        <v>7</v>
      </c>
      <c r="BD376" s="92">
        <v>8</v>
      </c>
      <c r="BE376" s="92">
        <v>9</v>
      </c>
      <c r="BF376" s="93">
        <v>0</v>
      </c>
      <c r="BG376" s="93">
        <v>1</v>
      </c>
      <c r="BH376" s="93">
        <v>2</v>
      </c>
      <c r="BI376" s="93">
        <v>3</v>
      </c>
      <c r="BJ376" s="93">
        <v>4</v>
      </c>
      <c r="BK376" s="93">
        <v>5</v>
      </c>
      <c r="BL376" s="93">
        <v>6</v>
      </c>
      <c r="BM376" s="93">
        <v>7</v>
      </c>
      <c r="BN376" s="93">
        <v>8</v>
      </c>
      <c r="BO376" s="93">
        <v>9</v>
      </c>
      <c r="BP376" s="94" t="str">
        <f t="shared" si="280"/>
        <v>松散型</v>
      </c>
      <c r="BQ376" s="15">
        <f t="shared" si="277"/>
        <v>2</v>
      </c>
      <c r="BR376" s="15">
        <f t="shared" si="278"/>
        <v>6</v>
      </c>
      <c r="BS376" s="20">
        <f t="shared" si="287"/>
        <v>2</v>
      </c>
      <c r="BT376" s="21">
        <f t="shared" si="288"/>
        <v>2</v>
      </c>
      <c r="BU376" s="21" t="str">
        <f t="array" ref="BU376">_xlfn.TEXTJOIN("",TRUE,IF(ISERROR(FIND(ROW($1:$168)-1,BS376&amp;BT376)),ROW($1:$168)-1,""))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76" s="22" t="str">
        <f t="shared" si="289"/>
        <v>复隔中</v>
      </c>
      <c r="BW376" s="23" t="str">
        <f t="shared" si="300"/>
        <v/>
      </c>
      <c r="BX376" s="23" t="str">
        <f t="shared" si="298"/>
        <v/>
      </c>
      <c r="BY376" s="23" t="str">
        <f t="array" ref="BY376">_xlfn.TEXTJOIN("",TRUE,IF(ISERROR(FIND(ROW($1:$168)-1,BW376&amp;BX376)),ROW($1:$168)-1,""))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76" s="22" t="str">
        <f t="shared" si="290"/>
        <v>中中中</v>
      </c>
      <c r="CA376" s="24" t="str">
        <f t="shared" si="291"/>
        <v/>
      </c>
      <c r="CB376" s="24" t="str">
        <f t="shared" si="299"/>
        <v/>
      </c>
      <c r="CC376" s="24" t="str">
        <f t="array" ref="CC376">_xlfn.TEXTJOIN("",TRUE,IF(ISERROR(FIND(ROW($1:$168)-1,CA376&amp;CB376)),ROW($1:$168)-1,""))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76" s="22" t="str">
        <f t="shared" si="292"/>
        <v>中中中</v>
      </c>
      <c r="CE376" s="25" t="str">
        <f t="shared" si="281"/>
        <v>13</v>
      </c>
      <c r="CF376" s="26" t="str">
        <f t="array" ref="CF376">_xlfn.TEXTJOIN("",TRUE,IF(ISNUMBER(FIND(MID(CE375&amp;W375,ROW($1:$162),1),CE376&amp;W376)),MID(CE375&amp;W375,ROW($1:$162),1),""))</f>
        <v>23</v>
      </c>
      <c r="CG376" s="27" t="str">
        <f t="array" ref="CG376">_xlfn.TEXTJOIN("",TRUE,IF(ISERROR(FIND(ROW($1:$168)-1,CE376&amp;CF376)),ROW($1:$168)-1,""))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376" s="28" t="str">
        <f t="shared" si="293"/>
        <v>邻传孤</v>
      </c>
      <c r="CI376" s="29" t="str">
        <f t="shared" si="294"/>
        <v>35</v>
      </c>
      <c r="CJ376" s="29" t="str">
        <f t="array" ref="CJ376">_xlfn.TEXTJOIN("",TRUE,IF(ISNUMBER(FIND(MID(CI375&amp;X375,ROW($1:$162),1),CI376&amp;X376)),MID(CI375&amp;X375,ROW($1:$162),1),""))</f>
        <v>3</v>
      </c>
      <c r="CK376" s="29" t="str">
        <f t="array" ref="CK376">_xlfn.TEXTJOIN("",TRUE,IF(ISERROR(FIND(ROW($1:$168)-1,CI376&amp;CJ376)),ROW($1:$168)-1,""))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76" s="19" t="str">
        <f t="shared" si="295"/>
        <v>邻传孤</v>
      </c>
      <c r="CM376" s="24" t="str">
        <f t="shared" si="296"/>
        <v>57</v>
      </c>
      <c r="CN376" s="24" t="str">
        <f t="array" ref="CN376">_xlfn.TEXTJOIN("",TRUE,IF(ISNUMBER(FIND(MID(CM375&amp;Y375,ROW($1:$162),1),CM376&amp;Y376)),MID(CM375&amp;Y375,ROW($1:$162),1),""))</f>
        <v>65</v>
      </c>
      <c r="CO376" s="24" t="str">
        <f t="array" ref="CO376">_xlfn.TEXTJOIN("",TRUE,IF(ISERROR(FIND(ROW($1:$168)-1,CM376&amp;CN376)),ROW($1:$168)-1,""))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76" s="30" t="str">
        <f t="shared" si="297"/>
        <v>邻传孤</v>
      </c>
    </row>
    <row r="377" spans="1:94">
      <c r="A377" s="15">
        <v>377</v>
      </c>
      <c r="B377" s="80">
        <v>2024346</v>
      </c>
      <c r="C377" s="8" t="s">
        <v>233</v>
      </c>
      <c r="D377" s="81">
        <f t="shared" si="301"/>
        <v>11</v>
      </c>
      <c r="E377" s="82">
        <f t="shared" si="302"/>
        <v>1</v>
      </c>
      <c r="F377" s="83">
        <f t="shared" si="270"/>
        <v>1.83333333333333</v>
      </c>
      <c r="G377" s="84" t="str">
        <f t="shared" si="271"/>
        <v>松散</v>
      </c>
      <c r="H377" s="85" t="s">
        <v>10</v>
      </c>
      <c r="I377" s="85" t="s">
        <v>11</v>
      </c>
      <c r="J377" s="85" t="s">
        <v>12</v>
      </c>
      <c r="K377" s="85" t="s">
        <v>13</v>
      </c>
      <c r="L377" s="86">
        <f>MAX(MID(C377,{1,2,3},1)*1)-MIN(MID(C377,{1,2,3},1)*1)</f>
        <v>6</v>
      </c>
      <c r="M377" s="87">
        <v>0</v>
      </c>
      <c r="N377" s="87">
        <v>1</v>
      </c>
      <c r="O377" s="87">
        <v>2</v>
      </c>
      <c r="P377" s="87">
        <v>3</v>
      </c>
      <c r="Q377" s="87">
        <v>4</v>
      </c>
      <c r="R377" s="87">
        <v>5</v>
      </c>
      <c r="S377" s="87">
        <v>6</v>
      </c>
      <c r="T377" s="87">
        <v>7</v>
      </c>
      <c r="U377" s="87">
        <v>8</v>
      </c>
      <c r="V377" s="87">
        <v>9</v>
      </c>
      <c r="W377" s="88">
        <f t="shared" si="303"/>
        <v>5</v>
      </c>
      <c r="X377" s="88">
        <f t="shared" si="304"/>
        <v>6</v>
      </c>
      <c r="Y377" s="88">
        <f t="shared" si="305"/>
        <v>1</v>
      </c>
      <c r="Z377" s="89">
        <f t="shared" si="279"/>
        <v>12</v>
      </c>
      <c r="AA377" s="17" t="str">
        <f>_xlfn.TEXTJOIN(", ",TRUE,ABS(MID(C377,{1,1,2},1)-MID(C377,{2,3,3},1)))</f>
        <v>5, 6, 1</v>
      </c>
      <c r="AB377" s="90">
        <v>0</v>
      </c>
      <c r="AC377" s="90">
        <v>1</v>
      </c>
      <c r="AD377" s="90">
        <v>2</v>
      </c>
      <c r="AE377" s="90">
        <v>3</v>
      </c>
      <c r="AF377" s="90">
        <v>4</v>
      </c>
      <c r="AG377" s="90">
        <v>5</v>
      </c>
      <c r="AH377" s="90">
        <v>6</v>
      </c>
      <c r="AI377" s="90">
        <v>7</v>
      </c>
      <c r="AJ377" s="90">
        <v>8</v>
      </c>
      <c r="AK377" s="90">
        <v>9</v>
      </c>
      <c r="AL377" s="91">
        <v>0</v>
      </c>
      <c r="AM377" s="91">
        <v>1</v>
      </c>
      <c r="AN377" s="91">
        <v>2</v>
      </c>
      <c r="AO377" s="91">
        <v>3</v>
      </c>
      <c r="AP377" s="91">
        <v>4</v>
      </c>
      <c r="AQ377" s="91">
        <v>5</v>
      </c>
      <c r="AR377" s="91">
        <v>6</v>
      </c>
      <c r="AS377" s="91">
        <v>7</v>
      </c>
      <c r="AT377" s="91">
        <v>8</v>
      </c>
      <c r="AU377" s="91">
        <v>9</v>
      </c>
      <c r="AV377" s="92">
        <v>0</v>
      </c>
      <c r="AW377" s="92">
        <v>1</v>
      </c>
      <c r="AX377" s="92">
        <v>2</v>
      </c>
      <c r="AY377" s="92">
        <v>3</v>
      </c>
      <c r="AZ377" s="92">
        <v>4</v>
      </c>
      <c r="BA377" s="92">
        <v>5</v>
      </c>
      <c r="BB377" s="92">
        <v>6</v>
      </c>
      <c r="BC377" s="92">
        <v>7</v>
      </c>
      <c r="BD377" s="92">
        <v>8</v>
      </c>
      <c r="BE377" s="92">
        <v>9</v>
      </c>
      <c r="BF377" s="93">
        <v>0</v>
      </c>
      <c r="BG377" s="93">
        <v>1</v>
      </c>
      <c r="BH377" s="93">
        <v>2</v>
      </c>
      <c r="BI377" s="93">
        <v>3</v>
      </c>
      <c r="BJ377" s="93">
        <v>4</v>
      </c>
      <c r="BK377" s="93">
        <v>5</v>
      </c>
      <c r="BL377" s="93">
        <v>6</v>
      </c>
      <c r="BM377" s="93">
        <v>7</v>
      </c>
      <c r="BN377" s="93">
        <v>8</v>
      </c>
      <c r="BO377" s="93">
        <v>9</v>
      </c>
      <c r="BP377" s="94" t="str">
        <f t="shared" si="280"/>
        <v>松散型</v>
      </c>
      <c r="BQ377" s="15">
        <f t="shared" si="277"/>
        <v>1</v>
      </c>
      <c r="BR377" s="15">
        <f t="shared" si="278"/>
        <v>6</v>
      </c>
      <c r="BS377" s="20" t="str">
        <f t="shared" si="287"/>
        <v/>
      </c>
      <c r="BT377" s="21">
        <f t="shared" si="288"/>
        <v>5</v>
      </c>
      <c r="BU377" s="21" t="str">
        <f t="array" ref="BU377">_xlfn.TEXTJOIN("",TRUE,IF(ISERROR(FIND(ROW($1:$168)-1,BS377&amp;BT377)),ROW($1:$168)-1,""))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77" s="22" t="str">
        <f t="shared" si="289"/>
        <v>中隔中</v>
      </c>
      <c r="BW377" s="23">
        <f t="shared" si="300"/>
        <v>6</v>
      </c>
      <c r="BX377" s="23" t="str">
        <f t="shared" si="298"/>
        <v/>
      </c>
      <c r="BY377" s="23" t="str">
        <f t="array" ref="BY377">_xlfn.TEXTJOIN("",TRUE,IF(ISERROR(FIND(ROW($1:$168)-1,BW377&amp;BX377)),ROW($1:$168)-1,""))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77" s="22" t="str">
        <f t="shared" si="290"/>
        <v>复中中</v>
      </c>
      <c r="CA377" s="24" t="str">
        <f t="shared" si="291"/>
        <v/>
      </c>
      <c r="CB377" s="24" t="str">
        <f t="shared" si="299"/>
        <v/>
      </c>
      <c r="CC377" s="24" t="str">
        <f t="array" ref="CC377">_xlfn.TEXTJOIN("",TRUE,IF(ISERROR(FIND(ROW($1:$168)-1,CA377&amp;CB377)),ROW($1:$168)-1,""))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77" s="22" t="str">
        <f t="shared" si="292"/>
        <v>中中中</v>
      </c>
      <c r="CE377" s="25" t="str">
        <f t="shared" si="281"/>
        <v>46</v>
      </c>
      <c r="CF377" s="26" t="str">
        <f t="array" ref="CF377">_xlfn.TEXTJOIN("",TRUE,IF(ISNUMBER(FIND(MID(CE376&amp;W376,ROW($1:$162),1),CE377&amp;W377)),MID(CE376&amp;W376,ROW($1:$162),1),""))</f>
        <v/>
      </c>
      <c r="CG377" s="27" t="str">
        <f t="array" ref="CG377">_xlfn.TEXTJOIN("",TRUE,IF(ISERROR(FIND(ROW($1:$168)-1,CE377&amp;CF377)),ROW($1:$168)-1,""))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77" s="28" t="str">
        <f t="shared" si="293"/>
        <v>邻孤孤</v>
      </c>
      <c r="CI377" s="29" t="str">
        <f t="shared" si="294"/>
        <v>57</v>
      </c>
      <c r="CJ377" s="29" t="str">
        <f t="array" ref="CJ377">_xlfn.TEXTJOIN("",TRUE,IF(ISNUMBER(FIND(MID(CI376&amp;X376,ROW($1:$162),1),CI377&amp;X377)),MID(CI376&amp;X376,ROW($1:$162),1),""))</f>
        <v>5</v>
      </c>
      <c r="CK377" s="29" t="str">
        <f t="array" ref="CK377">_xlfn.TEXTJOIN("",TRUE,IF(ISERROR(FIND(ROW($1:$168)-1,CI377&amp;CJ377)),ROW($1:$168)-1,""))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77" s="19" t="str">
        <f t="shared" si="295"/>
        <v>邻传孤</v>
      </c>
      <c r="CM377" s="24" t="str">
        <f t="shared" si="296"/>
        <v>02</v>
      </c>
      <c r="CN377" s="24" t="str">
        <f t="array" ref="CN377">_xlfn.TEXTJOIN("",TRUE,IF(ISNUMBER(FIND(MID(CM376&amp;Y376,ROW($1:$162),1),CM377&amp;Y377)),MID(CM376&amp;Y376,ROW($1:$162),1),""))</f>
        <v/>
      </c>
      <c r="CO377" s="24" t="str">
        <f t="array" ref="CO377">_xlfn.TEXTJOIN("",TRUE,IF(ISERROR(FIND(ROW($1:$168)-1,CM377&amp;CN377)),ROW($1:$168)-1,""))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77" s="30" t="str">
        <f t="shared" si="297"/>
        <v>邻孤孤</v>
      </c>
    </row>
    <row r="378" spans="1:94">
      <c r="A378" s="15">
        <v>378</v>
      </c>
      <c r="B378" s="80">
        <v>2024347</v>
      </c>
      <c r="C378" s="8" t="s">
        <v>338</v>
      </c>
      <c r="D378" s="81">
        <f t="shared" si="301"/>
        <v>14</v>
      </c>
      <c r="E378" s="82">
        <f t="shared" si="302"/>
        <v>4</v>
      </c>
      <c r="F378" s="83">
        <f t="shared" si="270"/>
        <v>2</v>
      </c>
      <c r="G378" s="84" t="str">
        <f t="shared" si="271"/>
        <v>标准</v>
      </c>
      <c r="H378" s="85" t="s">
        <v>10</v>
      </c>
      <c r="I378" s="85" t="s">
        <v>11</v>
      </c>
      <c r="J378" s="85" t="s">
        <v>12</v>
      </c>
      <c r="K378" s="85" t="s">
        <v>13</v>
      </c>
      <c r="L378" s="86">
        <f>MAX(MID(C378,{1,2,3},1)*1)-MIN(MID(C378,{1,2,3},1)*1)</f>
        <v>7</v>
      </c>
      <c r="M378" s="87">
        <v>0</v>
      </c>
      <c r="N378" s="87">
        <v>1</v>
      </c>
      <c r="O378" s="87">
        <v>2</v>
      </c>
      <c r="P378" s="87">
        <v>3</v>
      </c>
      <c r="Q378" s="87">
        <v>4</v>
      </c>
      <c r="R378" s="87">
        <v>5</v>
      </c>
      <c r="S378" s="87">
        <v>6</v>
      </c>
      <c r="T378" s="87">
        <v>7</v>
      </c>
      <c r="U378" s="87">
        <v>8</v>
      </c>
      <c r="V378" s="87">
        <v>9</v>
      </c>
      <c r="W378" s="88">
        <f t="shared" si="303"/>
        <v>6</v>
      </c>
      <c r="X378" s="88">
        <f t="shared" si="304"/>
        <v>1</v>
      </c>
      <c r="Y378" s="88">
        <f t="shared" si="305"/>
        <v>7</v>
      </c>
      <c r="Z378" s="89">
        <f t="shared" si="279"/>
        <v>14</v>
      </c>
      <c r="AA378" s="17" t="str">
        <f>_xlfn.TEXTJOIN(", ",TRUE,ABS(MID(C378,{1,1,2},1)-MID(C378,{2,3,3},1)))</f>
        <v>6, 1, 7</v>
      </c>
      <c r="AB378" s="90">
        <v>0</v>
      </c>
      <c r="AC378" s="90">
        <v>1</v>
      </c>
      <c r="AD378" s="90">
        <v>2</v>
      </c>
      <c r="AE378" s="90">
        <v>3</v>
      </c>
      <c r="AF378" s="90">
        <v>4</v>
      </c>
      <c r="AG378" s="90">
        <v>5</v>
      </c>
      <c r="AH378" s="90">
        <v>6</v>
      </c>
      <c r="AI378" s="90">
        <v>7</v>
      </c>
      <c r="AJ378" s="90">
        <v>8</v>
      </c>
      <c r="AK378" s="90">
        <v>9</v>
      </c>
      <c r="AL378" s="91">
        <v>0</v>
      </c>
      <c r="AM378" s="91">
        <v>1</v>
      </c>
      <c r="AN378" s="91">
        <v>2</v>
      </c>
      <c r="AO378" s="91">
        <v>3</v>
      </c>
      <c r="AP378" s="91">
        <v>4</v>
      </c>
      <c r="AQ378" s="91">
        <v>5</v>
      </c>
      <c r="AR378" s="91">
        <v>6</v>
      </c>
      <c r="AS378" s="91">
        <v>7</v>
      </c>
      <c r="AT378" s="91">
        <v>8</v>
      </c>
      <c r="AU378" s="91">
        <v>9</v>
      </c>
      <c r="AV378" s="92">
        <v>0</v>
      </c>
      <c r="AW378" s="92">
        <v>1</v>
      </c>
      <c r="AX378" s="92">
        <v>2</v>
      </c>
      <c r="AY378" s="92">
        <v>3</v>
      </c>
      <c r="AZ378" s="92">
        <v>4</v>
      </c>
      <c r="BA378" s="92">
        <v>5</v>
      </c>
      <c r="BB378" s="92">
        <v>6</v>
      </c>
      <c r="BC378" s="92">
        <v>7</v>
      </c>
      <c r="BD378" s="92">
        <v>8</v>
      </c>
      <c r="BE378" s="92">
        <v>9</v>
      </c>
      <c r="BF378" s="93">
        <v>0</v>
      </c>
      <c r="BG378" s="93">
        <v>1</v>
      </c>
      <c r="BH378" s="93">
        <v>2</v>
      </c>
      <c r="BI378" s="93">
        <v>3</v>
      </c>
      <c r="BJ378" s="93">
        <v>4</v>
      </c>
      <c r="BK378" s="93">
        <v>5</v>
      </c>
      <c r="BL378" s="93">
        <v>6</v>
      </c>
      <c r="BM378" s="93">
        <v>7</v>
      </c>
      <c r="BN378" s="93">
        <v>8</v>
      </c>
      <c r="BO378" s="93">
        <v>9</v>
      </c>
      <c r="BP378" s="94" t="str">
        <f t="shared" si="280"/>
        <v>松散型</v>
      </c>
      <c r="BQ378" s="15">
        <f t="shared" si="277"/>
        <v>1</v>
      </c>
      <c r="BR378" s="15">
        <f t="shared" si="278"/>
        <v>7</v>
      </c>
      <c r="BS378" s="20">
        <f t="shared" si="287"/>
        <v>6</v>
      </c>
      <c r="BT378" s="21">
        <f t="shared" si="288"/>
        <v>6</v>
      </c>
      <c r="BU378" s="21" t="str">
        <f t="array" ref="BU378">_xlfn.TEXTJOIN("",TRUE,IF(ISERROR(FIND(ROW($1:$168)-1,BS378&amp;BT378)),ROW($1:$168)-1,""))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78" s="22" t="str">
        <f t="shared" si="289"/>
        <v>复隔中</v>
      </c>
      <c r="BW378" s="23">
        <f t="shared" si="300"/>
        <v>1</v>
      </c>
      <c r="BX378" s="23" t="str">
        <f t="shared" si="298"/>
        <v/>
      </c>
      <c r="BY378" s="23" t="str">
        <f t="array" ref="BY378">_xlfn.TEXTJOIN("",TRUE,IF(ISERROR(FIND(ROW($1:$168)-1,BW378&amp;BX378)),ROW($1:$168)-1,""))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78" s="22" t="str">
        <f t="shared" si="290"/>
        <v>复中中</v>
      </c>
      <c r="CA378" s="24" t="str">
        <f t="shared" si="291"/>
        <v/>
      </c>
      <c r="CB378" s="24" t="str">
        <f t="shared" si="299"/>
        <v/>
      </c>
      <c r="CC378" s="24" t="str">
        <f t="array" ref="CC378">_xlfn.TEXTJOIN("",TRUE,IF(ISERROR(FIND(ROW($1:$168)-1,CA378&amp;CB378)),ROW($1:$168)-1,""))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78" s="22" t="str">
        <f t="shared" si="292"/>
        <v>中中中</v>
      </c>
      <c r="CE378" s="25" t="str">
        <f t="shared" si="281"/>
        <v>57</v>
      </c>
      <c r="CF378" s="26" t="str">
        <f t="array" ref="CF378">_xlfn.TEXTJOIN("",TRUE,IF(ISNUMBER(FIND(MID(CE377&amp;W377,ROW($1:$162),1),CE378&amp;W378)),MID(CE377&amp;W377,ROW($1:$162),1),""))</f>
        <v>65</v>
      </c>
      <c r="CG378" s="27" t="str">
        <f t="array" ref="CG378">_xlfn.TEXTJOIN("",TRUE,IF(ISERROR(FIND(ROW($1:$168)-1,CE378&amp;CF378)),ROW($1:$168)-1,""))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78" s="28" t="str">
        <f t="shared" si="293"/>
        <v>邻传孤</v>
      </c>
      <c r="CI378" s="29" t="str">
        <f t="shared" si="294"/>
        <v>02</v>
      </c>
      <c r="CJ378" s="29" t="str">
        <f t="array" ref="CJ378">_xlfn.TEXTJOIN("",TRUE,IF(ISNUMBER(FIND(MID(CI377&amp;X377,ROW($1:$162),1),CI378&amp;X378)),MID(CI377&amp;X377,ROW($1:$162),1),""))</f>
        <v/>
      </c>
      <c r="CK378" s="29" t="str">
        <f t="array" ref="CK378">_xlfn.TEXTJOIN("",TRUE,IF(ISERROR(FIND(ROW($1:$168)-1,CI378&amp;CJ378)),ROW($1:$168)-1,""))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78" s="19" t="str">
        <f t="shared" si="295"/>
        <v>邻孤孤</v>
      </c>
      <c r="CM378" s="24" t="str">
        <f t="shared" si="296"/>
        <v>68</v>
      </c>
      <c r="CN378" s="24" t="str">
        <f t="array" ref="CN378">_xlfn.TEXTJOIN("",TRUE,IF(ISNUMBER(FIND(MID(CM377&amp;Y377,ROW($1:$162),1),CM378&amp;Y378)),MID(CM377&amp;Y377,ROW($1:$162),1),""))</f>
        <v/>
      </c>
      <c r="CO378" s="24" t="str">
        <f t="array" ref="CO378">_xlfn.TEXTJOIN("",TRUE,IF(ISERROR(FIND(ROW($1:$168)-1,CM378&amp;CN378)),ROW($1:$168)-1,""))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78" s="30" t="str">
        <f t="shared" si="297"/>
        <v>邻孤孤</v>
      </c>
    </row>
    <row r="379" spans="1:94">
      <c r="A379" s="15">
        <v>379</v>
      </c>
      <c r="B379" s="80">
        <v>2024348</v>
      </c>
      <c r="C379" s="8" t="s">
        <v>339</v>
      </c>
      <c r="D379" s="81">
        <f t="shared" si="301"/>
        <v>19</v>
      </c>
      <c r="E379" s="82">
        <f t="shared" si="302"/>
        <v>9</v>
      </c>
      <c r="F379" s="83">
        <f t="shared" si="270"/>
        <v>2.71428571428571</v>
      </c>
      <c r="G379" s="84" t="str">
        <f t="shared" si="271"/>
        <v>标准</v>
      </c>
      <c r="H379" s="85" t="s">
        <v>10</v>
      </c>
      <c r="I379" s="85" t="s">
        <v>11</v>
      </c>
      <c r="J379" s="85" t="s">
        <v>12</v>
      </c>
      <c r="K379" s="85" t="s">
        <v>13</v>
      </c>
      <c r="L379" s="86">
        <f>MAX(MID(C379,{1,2,3},1)*1)-MIN(MID(C379,{1,2,3},1)*1)</f>
        <v>7</v>
      </c>
      <c r="M379" s="87">
        <v>0</v>
      </c>
      <c r="N379" s="87">
        <v>1</v>
      </c>
      <c r="O379" s="87">
        <v>2</v>
      </c>
      <c r="P379" s="87">
        <v>3</v>
      </c>
      <c r="Q379" s="87">
        <v>4</v>
      </c>
      <c r="R379" s="87">
        <v>5</v>
      </c>
      <c r="S379" s="87">
        <v>6</v>
      </c>
      <c r="T379" s="87">
        <v>7</v>
      </c>
      <c r="U379" s="87">
        <v>8</v>
      </c>
      <c r="V379" s="87">
        <v>9</v>
      </c>
      <c r="W379" s="88">
        <f t="shared" si="303"/>
        <v>7</v>
      </c>
      <c r="X379" s="88">
        <f t="shared" si="304"/>
        <v>1</v>
      </c>
      <c r="Y379" s="88">
        <f t="shared" si="305"/>
        <v>6</v>
      </c>
      <c r="Z379" s="89">
        <f t="shared" si="279"/>
        <v>14</v>
      </c>
      <c r="AA379" s="17" t="str">
        <f>_xlfn.TEXTJOIN(", ",TRUE,ABS(MID(C379,{1,1,2},1)-MID(C379,{2,3,3},1)))</f>
        <v>7, 1, 6</v>
      </c>
      <c r="AB379" s="90">
        <v>0</v>
      </c>
      <c r="AC379" s="90">
        <v>1</v>
      </c>
      <c r="AD379" s="90">
        <v>2</v>
      </c>
      <c r="AE379" s="90">
        <v>3</v>
      </c>
      <c r="AF379" s="90">
        <v>4</v>
      </c>
      <c r="AG379" s="90">
        <v>5</v>
      </c>
      <c r="AH379" s="90">
        <v>6</v>
      </c>
      <c r="AI379" s="90">
        <v>7</v>
      </c>
      <c r="AJ379" s="90">
        <v>8</v>
      </c>
      <c r="AK379" s="90">
        <v>9</v>
      </c>
      <c r="AL379" s="91">
        <v>0</v>
      </c>
      <c r="AM379" s="91">
        <v>1</v>
      </c>
      <c r="AN379" s="91">
        <v>2</v>
      </c>
      <c r="AO379" s="91">
        <v>3</v>
      </c>
      <c r="AP379" s="91">
        <v>4</v>
      </c>
      <c r="AQ379" s="91">
        <v>5</v>
      </c>
      <c r="AR379" s="91">
        <v>6</v>
      </c>
      <c r="AS379" s="91">
        <v>7</v>
      </c>
      <c r="AT379" s="91">
        <v>8</v>
      </c>
      <c r="AU379" s="91">
        <v>9</v>
      </c>
      <c r="AV379" s="92">
        <v>0</v>
      </c>
      <c r="AW379" s="92">
        <v>1</v>
      </c>
      <c r="AX379" s="92">
        <v>2</v>
      </c>
      <c r="AY379" s="92">
        <v>3</v>
      </c>
      <c r="AZ379" s="92">
        <v>4</v>
      </c>
      <c r="BA379" s="92">
        <v>5</v>
      </c>
      <c r="BB379" s="92">
        <v>6</v>
      </c>
      <c r="BC379" s="92">
        <v>7</v>
      </c>
      <c r="BD379" s="92">
        <v>8</v>
      </c>
      <c r="BE379" s="92">
        <v>9</v>
      </c>
      <c r="BF379" s="93">
        <v>0</v>
      </c>
      <c r="BG379" s="93">
        <v>1</v>
      </c>
      <c r="BH379" s="93">
        <v>2</v>
      </c>
      <c r="BI379" s="93">
        <v>3</v>
      </c>
      <c r="BJ379" s="93">
        <v>4</v>
      </c>
      <c r="BK379" s="93">
        <v>5</v>
      </c>
      <c r="BL379" s="93">
        <v>6</v>
      </c>
      <c r="BM379" s="93">
        <v>7</v>
      </c>
      <c r="BN379" s="93">
        <v>8</v>
      </c>
      <c r="BO379" s="93">
        <v>9</v>
      </c>
      <c r="BP379" s="94" t="str">
        <f t="shared" si="280"/>
        <v>松散型</v>
      </c>
      <c r="BQ379" s="15">
        <f t="shared" si="277"/>
        <v>1</v>
      </c>
      <c r="BR379" s="15">
        <f t="shared" si="278"/>
        <v>7</v>
      </c>
      <c r="BS379" s="20">
        <f t="shared" si="287"/>
        <v>7</v>
      </c>
      <c r="BT379" s="21" t="str">
        <f t="shared" si="288"/>
        <v/>
      </c>
      <c r="BU379" s="21" t="str">
        <f t="array" ref="BU379">_xlfn.TEXTJOIN("",TRUE,IF(ISERROR(FIND(ROW($1:$168)-1,BS379&amp;BT379)),ROW($1:$168)-1,""))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79" s="22" t="str">
        <f t="shared" si="289"/>
        <v>复中中</v>
      </c>
      <c r="BW379" s="23">
        <f t="shared" si="300"/>
        <v>1</v>
      </c>
      <c r="BX379" s="23">
        <f t="shared" si="298"/>
        <v>1</v>
      </c>
      <c r="BY379" s="23" t="str">
        <f t="array" ref="BY379">_xlfn.TEXTJOIN("",TRUE,IF(ISERROR(FIND(ROW($1:$168)-1,BW379&amp;BX379)),ROW($1:$168)-1,""))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79" s="22" t="str">
        <f t="shared" si="290"/>
        <v>复隔中</v>
      </c>
      <c r="CA379" s="24">
        <f t="shared" si="291"/>
        <v>6</v>
      </c>
      <c r="CB379" s="24">
        <f t="shared" si="299"/>
        <v>6</v>
      </c>
      <c r="CC379" s="24" t="str">
        <f t="array" ref="CC379">_xlfn.TEXTJOIN("",TRUE,IF(ISERROR(FIND(ROW($1:$168)-1,CA379&amp;CB379)),ROW($1:$168)-1,""))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79" s="22" t="str">
        <f t="shared" si="292"/>
        <v>复隔中</v>
      </c>
      <c r="CE379" s="25" t="str">
        <f t="shared" si="281"/>
        <v>68</v>
      </c>
      <c r="CF379" s="26" t="str">
        <f t="array" ref="CF379">_xlfn.TEXTJOIN("",TRUE,IF(ISNUMBER(FIND(MID(CE378&amp;W378,ROW($1:$162),1),CE379&amp;W379)),MID(CE378&amp;W378,ROW($1:$162),1),""))</f>
        <v>76</v>
      </c>
      <c r="CG379" s="27" t="str">
        <f t="array" ref="CG379">_xlfn.TEXTJOIN("",TRUE,IF(ISERROR(FIND(ROW($1:$168)-1,CE379&amp;CF379)),ROW($1:$168)-1,""))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H379" s="28" t="str">
        <f t="shared" si="293"/>
        <v>邻传孤</v>
      </c>
      <c r="CI379" s="29" t="str">
        <f t="shared" si="294"/>
        <v>02</v>
      </c>
      <c r="CJ379" s="29" t="str">
        <f t="array" ref="CJ379">_xlfn.TEXTJOIN("",TRUE,IF(ISNUMBER(FIND(MID(CI378&amp;X378,ROW($1:$162),1),CI379&amp;X379)),MID(CI378&amp;X378,ROW($1:$162),1),""))</f>
        <v>021</v>
      </c>
      <c r="CK379" s="29" t="str">
        <f t="array" ref="CK379">_xlfn.TEXTJOIN("",TRUE,IF(ISERROR(FIND(ROW($1:$168)-1,CI379&amp;CJ379)),ROW($1:$168)-1,""))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79" s="19" t="str">
        <f t="shared" si="295"/>
        <v>邻传孤</v>
      </c>
      <c r="CM379" s="24" t="str">
        <f t="shared" si="296"/>
        <v>57</v>
      </c>
      <c r="CN379" s="24" t="str">
        <f t="array" ref="CN379">_xlfn.TEXTJOIN("",TRUE,IF(ISNUMBER(FIND(MID(CM378&amp;Y378,ROW($1:$162),1),CM379&amp;Y379)),MID(CM378&amp;Y378,ROW($1:$162),1),""))</f>
        <v>67</v>
      </c>
      <c r="CO379" s="24" t="str">
        <f t="array" ref="CO379">_xlfn.TEXTJOIN("",TRUE,IF(ISERROR(FIND(ROW($1:$168)-1,CM379&amp;CN379)),ROW($1:$168)-1,""))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79" s="30" t="str">
        <f t="shared" si="297"/>
        <v>邻传孤</v>
      </c>
    </row>
    <row r="380" spans="1:94">
      <c r="A380" s="15">
        <v>380</v>
      </c>
      <c r="B380" s="80">
        <v>2024349</v>
      </c>
      <c r="C380" s="8" t="s">
        <v>134</v>
      </c>
      <c r="D380" s="81">
        <f t="shared" si="301"/>
        <v>9</v>
      </c>
      <c r="E380" s="82">
        <f t="shared" si="302"/>
        <v>9</v>
      </c>
      <c r="F380" s="83">
        <f t="shared" si="270"/>
        <v>1.125</v>
      </c>
      <c r="G380" s="84" t="str">
        <f t="shared" si="271"/>
        <v>松散</v>
      </c>
      <c r="H380" s="85" t="s">
        <v>10</v>
      </c>
      <c r="I380" s="85" t="s">
        <v>11</v>
      </c>
      <c r="J380" s="85" t="s">
        <v>12</v>
      </c>
      <c r="K380" s="85" t="s">
        <v>13</v>
      </c>
      <c r="L380" s="86">
        <f>MAX(MID(C380,{1,2,3},1)*1)-MIN(MID(C380,{1,2,3},1)*1)</f>
        <v>8</v>
      </c>
      <c r="M380" s="87">
        <v>0</v>
      </c>
      <c r="N380" s="87">
        <v>1</v>
      </c>
      <c r="O380" s="87">
        <v>2</v>
      </c>
      <c r="P380" s="87">
        <v>3</v>
      </c>
      <c r="Q380" s="87">
        <v>4</v>
      </c>
      <c r="R380" s="87">
        <v>5</v>
      </c>
      <c r="S380" s="87">
        <v>6</v>
      </c>
      <c r="T380" s="87">
        <v>7</v>
      </c>
      <c r="U380" s="87">
        <v>8</v>
      </c>
      <c r="V380" s="87">
        <v>9</v>
      </c>
      <c r="W380" s="88">
        <f t="shared" si="303"/>
        <v>1</v>
      </c>
      <c r="X380" s="88">
        <f t="shared" si="304"/>
        <v>7</v>
      </c>
      <c r="Y380" s="88">
        <f t="shared" si="305"/>
        <v>8</v>
      </c>
      <c r="Z380" s="89">
        <f t="shared" si="279"/>
        <v>16</v>
      </c>
      <c r="AA380" s="17" t="str">
        <f>_xlfn.TEXTJOIN(", ",TRUE,ABS(MID(C380,{1,1,2},1)-MID(C380,{2,3,3},1)))</f>
        <v>1, 7, 8</v>
      </c>
      <c r="AB380" s="90">
        <v>0</v>
      </c>
      <c r="AC380" s="90">
        <v>1</v>
      </c>
      <c r="AD380" s="90">
        <v>2</v>
      </c>
      <c r="AE380" s="90">
        <v>3</v>
      </c>
      <c r="AF380" s="90">
        <v>4</v>
      </c>
      <c r="AG380" s="90">
        <v>5</v>
      </c>
      <c r="AH380" s="90">
        <v>6</v>
      </c>
      <c r="AI380" s="90">
        <v>7</v>
      </c>
      <c r="AJ380" s="90">
        <v>8</v>
      </c>
      <c r="AK380" s="90">
        <v>9</v>
      </c>
      <c r="AL380" s="91">
        <v>0</v>
      </c>
      <c r="AM380" s="91">
        <v>1</v>
      </c>
      <c r="AN380" s="91">
        <v>2</v>
      </c>
      <c r="AO380" s="91">
        <v>3</v>
      </c>
      <c r="AP380" s="91">
        <v>4</v>
      </c>
      <c r="AQ380" s="91">
        <v>5</v>
      </c>
      <c r="AR380" s="91">
        <v>6</v>
      </c>
      <c r="AS380" s="91">
        <v>7</v>
      </c>
      <c r="AT380" s="91">
        <v>8</v>
      </c>
      <c r="AU380" s="91">
        <v>9</v>
      </c>
      <c r="AV380" s="92">
        <v>0</v>
      </c>
      <c r="AW380" s="92">
        <v>1</v>
      </c>
      <c r="AX380" s="92">
        <v>2</v>
      </c>
      <c r="AY380" s="92">
        <v>3</v>
      </c>
      <c r="AZ380" s="92">
        <v>4</v>
      </c>
      <c r="BA380" s="92">
        <v>5</v>
      </c>
      <c r="BB380" s="92">
        <v>6</v>
      </c>
      <c r="BC380" s="92">
        <v>7</v>
      </c>
      <c r="BD380" s="92">
        <v>8</v>
      </c>
      <c r="BE380" s="92">
        <v>9</v>
      </c>
      <c r="BF380" s="93">
        <v>0</v>
      </c>
      <c r="BG380" s="93">
        <v>1</v>
      </c>
      <c r="BH380" s="93">
        <v>2</v>
      </c>
      <c r="BI380" s="93">
        <v>3</v>
      </c>
      <c r="BJ380" s="93">
        <v>4</v>
      </c>
      <c r="BK380" s="93">
        <v>5</v>
      </c>
      <c r="BL380" s="93">
        <v>6</v>
      </c>
      <c r="BM380" s="93">
        <v>7</v>
      </c>
      <c r="BN380" s="93">
        <v>8</v>
      </c>
      <c r="BO380" s="93">
        <v>9</v>
      </c>
      <c r="BP380" s="94" t="str">
        <f t="shared" si="280"/>
        <v>松散型</v>
      </c>
      <c r="BQ380" s="15">
        <f t="shared" si="277"/>
        <v>1</v>
      </c>
      <c r="BR380" s="15">
        <f t="shared" si="278"/>
        <v>8</v>
      </c>
      <c r="BS380" s="20">
        <f t="shared" si="287"/>
        <v>1</v>
      </c>
      <c r="BT380" s="21">
        <f t="shared" si="288"/>
        <v>1</v>
      </c>
      <c r="BU380" s="21" t="str">
        <f t="array" ref="BU380">_xlfn.TEXTJOIN("",TRUE,IF(ISERROR(FIND(ROW($1:$168)-1,BS380&amp;BT380)),ROW($1:$168)-1,""))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80" s="22" t="str">
        <f t="shared" si="289"/>
        <v>复隔中</v>
      </c>
      <c r="BW380" s="23">
        <f t="shared" si="300"/>
        <v>7</v>
      </c>
      <c r="BX380" s="23">
        <f t="shared" si="298"/>
        <v>7</v>
      </c>
      <c r="BY380" s="23" t="str">
        <f t="array" ref="BY380">_xlfn.TEXTJOIN("",TRUE,IF(ISERROR(FIND(ROW($1:$168)-1,BW380&amp;BX380)),ROW($1:$168)-1,""))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Z380" s="22" t="str">
        <f t="shared" si="290"/>
        <v>复隔中</v>
      </c>
      <c r="CA380" s="24" t="str">
        <f t="shared" si="291"/>
        <v/>
      </c>
      <c r="CB380" s="24" t="str">
        <f t="shared" si="299"/>
        <v/>
      </c>
      <c r="CC380" s="24" t="str">
        <f t="array" ref="CC380">_xlfn.TEXTJOIN("",TRUE,IF(ISERROR(FIND(ROW($1:$168)-1,CA380&amp;CB380)),ROW($1:$168)-1,""))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80" s="22" t="str">
        <f t="shared" si="292"/>
        <v>中中中</v>
      </c>
      <c r="CE380" s="25" t="str">
        <f t="shared" si="281"/>
        <v>02</v>
      </c>
      <c r="CF380" s="26" t="str">
        <f t="array" ref="CF380">_xlfn.TEXTJOIN("",TRUE,IF(ISNUMBER(FIND(MID(CE379&amp;W379,ROW($1:$162),1),CE380&amp;W380)),MID(CE379&amp;W379,ROW($1:$162),1),""))</f>
        <v/>
      </c>
      <c r="CG380" s="27" t="str">
        <f t="array" ref="CG380">_xlfn.TEXTJOIN("",TRUE,IF(ISERROR(FIND(ROW($1:$168)-1,CE380&amp;CF380)),ROW($1:$168)-1,""))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80" s="28" t="str">
        <f t="shared" si="293"/>
        <v>邻孤孤</v>
      </c>
      <c r="CI380" s="29" t="str">
        <f t="shared" si="294"/>
        <v>68</v>
      </c>
      <c r="CJ380" s="29" t="str">
        <f t="array" ref="CJ380">_xlfn.TEXTJOIN("",TRUE,IF(ISNUMBER(FIND(MID(CI379&amp;X379,ROW($1:$162),1),CI380&amp;X380)),MID(CI379&amp;X379,ROW($1:$162),1),""))</f>
        <v/>
      </c>
      <c r="CK380" s="29" t="str">
        <f t="array" ref="CK380">_xlfn.TEXTJOIN("",TRUE,IF(ISERROR(FIND(ROW($1:$168)-1,CI380&amp;CJ380)),ROW($1:$168)-1,""))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80" s="19" t="str">
        <f t="shared" si="295"/>
        <v>邻孤孤</v>
      </c>
      <c r="CM380" s="24" t="str">
        <f t="shared" si="296"/>
        <v>79</v>
      </c>
      <c r="CN380" s="24" t="str">
        <f t="array" ref="CN380">_xlfn.TEXTJOIN("",TRUE,IF(ISNUMBER(FIND(MID(CM379&amp;Y379,ROW($1:$162),1),CM380&amp;Y380)),MID(CM379&amp;Y379,ROW($1:$162),1),""))</f>
        <v>7</v>
      </c>
      <c r="CO380" s="24" t="str">
        <f t="array" ref="CO380">_xlfn.TEXTJOIN("",TRUE,IF(ISERROR(FIND(ROW($1:$168)-1,CM380&amp;CN380)),ROW($1:$168)-1,""))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P380" s="30" t="str">
        <f t="shared" si="297"/>
        <v>邻传孤</v>
      </c>
    </row>
    <row r="381" spans="1:94">
      <c r="A381" s="15">
        <v>381</v>
      </c>
      <c r="B381" s="80">
        <v>2024350</v>
      </c>
      <c r="C381" s="8" t="s">
        <v>318</v>
      </c>
      <c r="D381" s="81">
        <f t="shared" si="301"/>
        <v>15</v>
      </c>
      <c r="E381" s="82">
        <f t="shared" si="302"/>
        <v>5</v>
      </c>
      <c r="F381" s="83">
        <f t="shared" si="270"/>
        <v>3</v>
      </c>
      <c r="G381" s="84" t="str">
        <f t="shared" si="271"/>
        <v>标准</v>
      </c>
      <c r="H381" s="85" t="s">
        <v>10</v>
      </c>
      <c r="I381" s="85" t="s">
        <v>11</v>
      </c>
      <c r="J381" s="85" t="s">
        <v>12</v>
      </c>
      <c r="K381" s="85" t="s">
        <v>13</v>
      </c>
      <c r="L381" s="86">
        <f>MAX(MID(C381,{1,2,3},1)*1)-MIN(MID(C381,{1,2,3},1)*1)</f>
        <v>5</v>
      </c>
      <c r="M381" s="87">
        <v>0</v>
      </c>
      <c r="N381" s="87">
        <v>1</v>
      </c>
      <c r="O381" s="87">
        <v>2</v>
      </c>
      <c r="P381" s="87">
        <v>3</v>
      </c>
      <c r="Q381" s="87">
        <v>4</v>
      </c>
      <c r="R381" s="87">
        <v>5</v>
      </c>
      <c r="S381" s="87">
        <v>6</v>
      </c>
      <c r="T381" s="87">
        <v>7</v>
      </c>
      <c r="U381" s="87">
        <v>8</v>
      </c>
      <c r="V381" s="87">
        <v>9</v>
      </c>
      <c r="W381" s="88">
        <f t="shared" si="303"/>
        <v>1</v>
      </c>
      <c r="X381" s="88">
        <f t="shared" si="304"/>
        <v>4</v>
      </c>
      <c r="Y381" s="88">
        <f t="shared" si="305"/>
        <v>5</v>
      </c>
      <c r="Z381" s="89">
        <f t="shared" si="279"/>
        <v>10</v>
      </c>
      <c r="AA381" s="17" t="str">
        <f>_xlfn.TEXTJOIN(", ",TRUE,ABS(MID(C381,{1,1,2},1)-MID(C381,{2,3,3},1)))</f>
        <v>1, 4, 5</v>
      </c>
      <c r="AB381" s="90">
        <v>0</v>
      </c>
      <c r="AC381" s="90">
        <v>1</v>
      </c>
      <c r="AD381" s="90">
        <v>2</v>
      </c>
      <c r="AE381" s="90">
        <v>3</v>
      </c>
      <c r="AF381" s="90">
        <v>4</v>
      </c>
      <c r="AG381" s="90">
        <v>5</v>
      </c>
      <c r="AH381" s="90">
        <v>6</v>
      </c>
      <c r="AI381" s="90">
        <v>7</v>
      </c>
      <c r="AJ381" s="90">
        <v>8</v>
      </c>
      <c r="AK381" s="90">
        <v>9</v>
      </c>
      <c r="AL381" s="91">
        <v>0</v>
      </c>
      <c r="AM381" s="91">
        <v>1</v>
      </c>
      <c r="AN381" s="91">
        <v>2</v>
      </c>
      <c r="AO381" s="91">
        <v>3</v>
      </c>
      <c r="AP381" s="91">
        <v>4</v>
      </c>
      <c r="AQ381" s="91">
        <v>5</v>
      </c>
      <c r="AR381" s="91">
        <v>6</v>
      </c>
      <c r="AS381" s="91">
        <v>7</v>
      </c>
      <c r="AT381" s="91">
        <v>8</v>
      </c>
      <c r="AU381" s="91">
        <v>9</v>
      </c>
      <c r="AV381" s="92">
        <v>0</v>
      </c>
      <c r="AW381" s="92">
        <v>1</v>
      </c>
      <c r="AX381" s="92">
        <v>2</v>
      </c>
      <c r="AY381" s="92">
        <v>3</v>
      </c>
      <c r="AZ381" s="92">
        <v>4</v>
      </c>
      <c r="BA381" s="92">
        <v>5</v>
      </c>
      <c r="BB381" s="92">
        <v>6</v>
      </c>
      <c r="BC381" s="92">
        <v>7</v>
      </c>
      <c r="BD381" s="92">
        <v>8</v>
      </c>
      <c r="BE381" s="92">
        <v>9</v>
      </c>
      <c r="BF381" s="93">
        <v>0</v>
      </c>
      <c r="BG381" s="93">
        <v>1</v>
      </c>
      <c r="BH381" s="93">
        <v>2</v>
      </c>
      <c r="BI381" s="93">
        <v>3</v>
      </c>
      <c r="BJ381" s="93">
        <v>4</v>
      </c>
      <c r="BK381" s="93">
        <v>5</v>
      </c>
      <c r="BL381" s="93">
        <v>6</v>
      </c>
      <c r="BM381" s="93">
        <v>7</v>
      </c>
      <c r="BN381" s="93">
        <v>8</v>
      </c>
      <c r="BO381" s="93">
        <v>9</v>
      </c>
      <c r="BP381" s="94" t="str">
        <f t="shared" si="280"/>
        <v>标准型</v>
      </c>
      <c r="BQ381" s="15">
        <f t="shared" si="277"/>
        <v>1</v>
      </c>
      <c r="BR381" s="15">
        <f t="shared" si="278"/>
        <v>5</v>
      </c>
      <c r="BS381" s="20">
        <f t="shared" si="287"/>
        <v>1</v>
      </c>
      <c r="BT381" s="21">
        <f t="shared" si="288"/>
        <v>1</v>
      </c>
      <c r="BU381" s="21" t="str">
        <f t="array" ref="BU381">_xlfn.TEXTJOIN("",TRUE,IF(ISERROR(FIND(ROW($1:$168)-1,BS381&amp;BT381)),ROW($1:$168)-1,""))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81" s="22" t="str">
        <f t="shared" si="289"/>
        <v>复隔中</v>
      </c>
      <c r="BW381" s="23" t="str">
        <f t="shared" si="300"/>
        <v/>
      </c>
      <c r="BX381" s="23" t="str">
        <f t="shared" si="298"/>
        <v/>
      </c>
      <c r="BY381" s="23" t="str">
        <f t="array" ref="BY381">_xlfn.TEXTJOIN("",TRUE,IF(ISERROR(FIND(ROW($1:$168)-1,BW381&amp;BX381)),ROW($1:$168)-1,""))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81" s="22" t="str">
        <f t="shared" si="290"/>
        <v>中中中</v>
      </c>
      <c r="CA381" s="24" t="str">
        <f t="shared" si="291"/>
        <v/>
      </c>
      <c r="CB381" s="24" t="str">
        <f t="shared" si="299"/>
        <v/>
      </c>
      <c r="CC381" s="24" t="str">
        <f t="array" ref="CC381">_xlfn.TEXTJOIN("",TRUE,IF(ISERROR(FIND(ROW($1:$168)-1,CA381&amp;CB381)),ROW($1:$168)-1,""))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81" s="22" t="str">
        <f t="shared" si="292"/>
        <v>中中中</v>
      </c>
      <c r="CE381" s="25" t="str">
        <f t="shared" si="281"/>
        <v>02</v>
      </c>
      <c r="CF381" s="26" t="str">
        <f t="array" ref="CF381">_xlfn.TEXTJOIN("",TRUE,IF(ISNUMBER(FIND(MID(CE380&amp;W380,ROW($1:$162),1),CE381&amp;W381)),MID(CE380&amp;W380,ROW($1:$162),1),""))</f>
        <v>021</v>
      </c>
      <c r="CG381" s="27" t="str">
        <f t="array" ref="CG381">_xlfn.TEXTJOIN("",TRUE,IF(ISERROR(FIND(ROW($1:$168)-1,CE381&amp;CF381)),ROW($1:$168)-1,""))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81" s="28" t="str">
        <f t="shared" si="293"/>
        <v>邻传孤</v>
      </c>
      <c r="CI381" s="29" t="str">
        <f t="shared" si="294"/>
        <v>35</v>
      </c>
      <c r="CJ381" s="29" t="str">
        <f t="array" ref="CJ381">_xlfn.TEXTJOIN("",TRUE,IF(ISNUMBER(FIND(MID(CI380&amp;X380,ROW($1:$162),1),CI381&amp;X381)),MID(CI380&amp;X380,ROW($1:$162),1),""))</f>
        <v/>
      </c>
      <c r="CK381" s="29" t="str">
        <f t="array" ref="CK381">_xlfn.TEXTJOIN("",TRUE,IF(ISERROR(FIND(ROW($1:$168)-1,CI381&amp;CJ381)),ROW($1:$168)-1,""))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81" s="19" t="str">
        <f t="shared" si="295"/>
        <v>邻孤孤</v>
      </c>
      <c r="CM381" s="24" t="str">
        <f t="shared" si="296"/>
        <v>46</v>
      </c>
      <c r="CN381" s="24" t="str">
        <f t="array" ref="CN381">_xlfn.TEXTJOIN("",TRUE,IF(ISNUMBER(FIND(MID(CM380&amp;Y380,ROW($1:$162),1),CM381&amp;Y381)),MID(CM380&amp;Y380,ROW($1:$162),1),""))</f>
        <v/>
      </c>
      <c r="CO381" s="24" t="str">
        <f t="array" ref="CO381">_xlfn.TEXTJOIN("",TRUE,IF(ISERROR(FIND(ROW($1:$168)-1,CM381&amp;CN381)),ROW($1:$168)-1,""))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81" s="30" t="str">
        <f t="shared" si="297"/>
        <v>邻孤孤</v>
      </c>
    </row>
    <row r="382" spans="1:94">
      <c r="A382" s="15">
        <v>382</v>
      </c>
      <c r="B382" s="80">
        <v>2024351</v>
      </c>
      <c r="C382" s="8" t="s">
        <v>340</v>
      </c>
      <c r="D382" s="81">
        <f t="shared" si="301"/>
        <v>18</v>
      </c>
      <c r="E382" s="82">
        <f t="shared" si="302"/>
        <v>8</v>
      </c>
      <c r="F382" s="83">
        <f t="shared" si="270"/>
        <v>9</v>
      </c>
      <c r="G382" s="84" t="str">
        <f t="shared" si="271"/>
        <v>紧凑</v>
      </c>
      <c r="H382" s="85" t="s">
        <v>10</v>
      </c>
      <c r="I382" s="85" t="s">
        <v>11</v>
      </c>
      <c r="J382" s="85" t="s">
        <v>12</v>
      </c>
      <c r="K382" s="85" t="s">
        <v>13</v>
      </c>
      <c r="L382" s="86">
        <f>MAX(MID(C382,{1,2,3},1)*1)-MIN(MID(C382,{1,2,3},1)*1)</f>
        <v>2</v>
      </c>
      <c r="M382" s="87">
        <v>0</v>
      </c>
      <c r="N382" s="87">
        <v>1</v>
      </c>
      <c r="O382" s="87">
        <v>2</v>
      </c>
      <c r="P382" s="87">
        <v>3</v>
      </c>
      <c r="Q382" s="87">
        <v>4</v>
      </c>
      <c r="R382" s="87">
        <v>5</v>
      </c>
      <c r="S382" s="87">
        <v>6</v>
      </c>
      <c r="T382" s="87">
        <v>7</v>
      </c>
      <c r="U382" s="87">
        <v>8</v>
      </c>
      <c r="V382" s="87">
        <v>9</v>
      </c>
      <c r="W382" s="88">
        <f t="shared" si="303"/>
        <v>1</v>
      </c>
      <c r="X382" s="88">
        <f t="shared" si="304"/>
        <v>1</v>
      </c>
      <c r="Y382" s="88">
        <f t="shared" si="305"/>
        <v>2</v>
      </c>
      <c r="Z382" s="89">
        <f t="shared" si="279"/>
        <v>4</v>
      </c>
      <c r="AA382" s="17" t="str">
        <f>_xlfn.TEXTJOIN(", ",TRUE,ABS(MID(C382,{1,1,2},1)-MID(C382,{2,3,3},1)))</f>
        <v>1, 1, 2</v>
      </c>
      <c r="AB382" s="90">
        <v>0</v>
      </c>
      <c r="AC382" s="90">
        <v>1</v>
      </c>
      <c r="AD382" s="90">
        <v>2</v>
      </c>
      <c r="AE382" s="90">
        <v>3</v>
      </c>
      <c r="AF382" s="90">
        <v>4</v>
      </c>
      <c r="AG382" s="90">
        <v>5</v>
      </c>
      <c r="AH382" s="90">
        <v>6</v>
      </c>
      <c r="AI382" s="90">
        <v>7</v>
      </c>
      <c r="AJ382" s="90">
        <v>8</v>
      </c>
      <c r="AK382" s="90">
        <v>9</v>
      </c>
      <c r="AL382" s="91">
        <v>0</v>
      </c>
      <c r="AM382" s="91">
        <v>1</v>
      </c>
      <c r="AN382" s="91">
        <v>2</v>
      </c>
      <c r="AO382" s="91">
        <v>3</v>
      </c>
      <c r="AP382" s="91">
        <v>4</v>
      </c>
      <c r="AQ382" s="91">
        <v>5</v>
      </c>
      <c r="AR382" s="91">
        <v>6</v>
      </c>
      <c r="AS382" s="91">
        <v>7</v>
      </c>
      <c r="AT382" s="91">
        <v>8</v>
      </c>
      <c r="AU382" s="91">
        <v>9</v>
      </c>
      <c r="AV382" s="92">
        <v>0</v>
      </c>
      <c r="AW382" s="92">
        <v>1</v>
      </c>
      <c r="AX382" s="92">
        <v>2</v>
      </c>
      <c r="AY382" s="92">
        <v>3</v>
      </c>
      <c r="AZ382" s="92">
        <v>4</v>
      </c>
      <c r="BA382" s="92">
        <v>5</v>
      </c>
      <c r="BB382" s="92">
        <v>6</v>
      </c>
      <c r="BC382" s="92">
        <v>7</v>
      </c>
      <c r="BD382" s="92">
        <v>8</v>
      </c>
      <c r="BE382" s="92">
        <v>9</v>
      </c>
      <c r="BF382" s="93">
        <v>0</v>
      </c>
      <c r="BG382" s="93">
        <v>1</v>
      </c>
      <c r="BH382" s="93">
        <v>2</v>
      </c>
      <c r="BI382" s="93">
        <v>3</v>
      </c>
      <c r="BJ382" s="93">
        <v>4</v>
      </c>
      <c r="BK382" s="93">
        <v>5</v>
      </c>
      <c r="BL382" s="93">
        <v>6</v>
      </c>
      <c r="BM382" s="93">
        <v>7</v>
      </c>
      <c r="BN382" s="93">
        <v>8</v>
      </c>
      <c r="BO382" s="93">
        <v>9</v>
      </c>
      <c r="BP382" s="94" t="str">
        <f t="shared" si="280"/>
        <v>紧凑型</v>
      </c>
      <c r="BQ382" s="15">
        <f t="shared" si="277"/>
        <v>1</v>
      </c>
      <c r="BR382" s="15">
        <f t="shared" si="278"/>
        <v>2</v>
      </c>
      <c r="BS382" s="20">
        <f t="shared" si="287"/>
        <v>1</v>
      </c>
      <c r="BT382" s="21">
        <f t="shared" si="288"/>
        <v>1</v>
      </c>
      <c r="BU382" s="21" t="str">
        <f t="array" ref="BU382">_xlfn.TEXTJOIN("",TRUE,IF(ISERROR(FIND(ROW($1:$168)-1,BS382&amp;BT382)),ROW($1:$168)-1,""))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82" s="22" t="str">
        <f t="shared" si="289"/>
        <v>复隔中</v>
      </c>
      <c r="BW382" s="23">
        <f t="shared" si="300"/>
        <v>1</v>
      </c>
      <c r="BX382" s="23">
        <f t="shared" si="298"/>
        <v>1</v>
      </c>
      <c r="BY382" s="23" t="str">
        <f t="array" ref="BY382">_xlfn.TEXTJOIN("",TRUE,IF(ISERROR(FIND(ROW($1:$168)-1,BW382&amp;BX382)),ROW($1:$168)-1,""))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82" s="22" t="str">
        <f t="shared" si="290"/>
        <v>复隔中</v>
      </c>
      <c r="CA382" s="24" t="str">
        <f t="shared" si="291"/>
        <v/>
      </c>
      <c r="CB382" s="24" t="str">
        <f t="shared" si="299"/>
        <v/>
      </c>
      <c r="CC382" s="24" t="str">
        <f t="array" ref="CC382">_xlfn.TEXTJOIN("",TRUE,IF(ISERROR(FIND(ROW($1:$168)-1,CA382&amp;CB382)),ROW($1:$168)-1,""))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82" s="22" t="str">
        <f t="shared" si="292"/>
        <v>中中中</v>
      </c>
      <c r="CE382" s="25" t="str">
        <f t="shared" si="281"/>
        <v>02</v>
      </c>
      <c r="CF382" s="26" t="str">
        <f t="array" ref="CF382">_xlfn.TEXTJOIN("",TRUE,IF(ISNUMBER(FIND(MID(CE381&amp;W381,ROW($1:$162),1),CE382&amp;W382)),MID(CE381&amp;W381,ROW($1:$162),1),""))</f>
        <v>021</v>
      </c>
      <c r="CG382" s="27" t="str">
        <f t="array" ref="CG382">_xlfn.TEXTJOIN("",TRUE,IF(ISERROR(FIND(ROW($1:$168)-1,CE382&amp;CF382)),ROW($1:$168)-1,""))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82" s="28" t="str">
        <f t="shared" si="293"/>
        <v>邻传孤</v>
      </c>
      <c r="CI382" s="29" t="str">
        <f t="shared" si="294"/>
        <v>02</v>
      </c>
      <c r="CJ382" s="29" t="str">
        <f t="array" ref="CJ382">_xlfn.TEXTJOIN("",TRUE,IF(ISNUMBER(FIND(MID(CI381&amp;X381,ROW($1:$162),1),CI382&amp;X382)),MID(CI381&amp;X381,ROW($1:$162),1),""))</f>
        <v/>
      </c>
      <c r="CK382" s="29" t="str">
        <f t="array" ref="CK382">_xlfn.TEXTJOIN("",TRUE,IF(ISERROR(FIND(ROW($1:$168)-1,CI382&amp;CJ382)),ROW($1:$168)-1,""))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82" s="19" t="str">
        <f t="shared" si="295"/>
        <v>邻孤孤</v>
      </c>
      <c r="CM382" s="24" t="str">
        <f t="shared" si="296"/>
        <v>13</v>
      </c>
      <c r="CN382" s="24" t="str">
        <f t="array" ref="CN382">_xlfn.TEXTJOIN("",TRUE,IF(ISNUMBER(FIND(MID(CM381&amp;Y381,ROW($1:$162),1),CM382&amp;Y382)),MID(CM381&amp;Y381,ROW($1:$162),1),""))</f>
        <v/>
      </c>
      <c r="CO382" s="24" t="str">
        <f t="array" ref="CO382">_xlfn.TEXTJOIN("",TRUE,IF(ISERROR(FIND(ROW($1:$168)-1,CM382&amp;CN382)),ROW($1:$168)-1,""))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82" s="30" t="str">
        <f t="shared" si="297"/>
        <v>邻孤孤</v>
      </c>
    </row>
    <row r="383" spans="1:94">
      <c r="A383" s="15">
        <v>383</v>
      </c>
      <c r="B383" s="80">
        <v>2024352</v>
      </c>
      <c r="C383" s="8" t="s">
        <v>284</v>
      </c>
      <c r="D383" s="81">
        <f t="shared" si="301"/>
        <v>13</v>
      </c>
      <c r="E383" s="82">
        <f t="shared" si="302"/>
        <v>3</v>
      </c>
      <c r="F383" s="83">
        <f t="shared" si="270"/>
        <v>1.85714285714286</v>
      </c>
      <c r="G383" s="84" t="str">
        <f t="shared" si="271"/>
        <v>松散</v>
      </c>
      <c r="H383" s="85" t="s">
        <v>10</v>
      </c>
      <c r="I383" s="85" t="s">
        <v>11</v>
      </c>
      <c r="J383" s="85" t="s">
        <v>12</v>
      </c>
      <c r="K383" s="85" t="s">
        <v>13</v>
      </c>
      <c r="L383" s="86">
        <f>MAX(MID(C383,{1,2,3},1)*1)-MIN(MID(C383,{1,2,3},1)*1)</f>
        <v>7</v>
      </c>
      <c r="M383" s="87">
        <v>0</v>
      </c>
      <c r="N383" s="87">
        <v>1</v>
      </c>
      <c r="O383" s="87">
        <v>2</v>
      </c>
      <c r="P383" s="87">
        <v>3</v>
      </c>
      <c r="Q383" s="87">
        <v>4</v>
      </c>
      <c r="R383" s="87">
        <v>5</v>
      </c>
      <c r="S383" s="87">
        <v>6</v>
      </c>
      <c r="T383" s="87">
        <v>7</v>
      </c>
      <c r="U383" s="87">
        <v>8</v>
      </c>
      <c r="V383" s="87">
        <v>9</v>
      </c>
      <c r="W383" s="88">
        <f t="shared" si="303"/>
        <v>7</v>
      </c>
      <c r="X383" s="88">
        <f t="shared" si="304"/>
        <v>0</v>
      </c>
      <c r="Y383" s="88">
        <f t="shared" si="305"/>
        <v>7</v>
      </c>
      <c r="Z383" s="89">
        <f t="shared" si="279"/>
        <v>14</v>
      </c>
      <c r="AA383" s="17" t="str">
        <f>_xlfn.TEXTJOIN(", ",TRUE,ABS(MID(C383,{1,1,2},1)-MID(C383,{2,3,3},1)))</f>
        <v>7, 0, 7</v>
      </c>
      <c r="AB383" s="90">
        <v>0</v>
      </c>
      <c r="AC383" s="90">
        <v>1</v>
      </c>
      <c r="AD383" s="90">
        <v>2</v>
      </c>
      <c r="AE383" s="90">
        <v>3</v>
      </c>
      <c r="AF383" s="90">
        <v>4</v>
      </c>
      <c r="AG383" s="90">
        <v>5</v>
      </c>
      <c r="AH383" s="90">
        <v>6</v>
      </c>
      <c r="AI383" s="90">
        <v>7</v>
      </c>
      <c r="AJ383" s="90">
        <v>8</v>
      </c>
      <c r="AK383" s="90">
        <v>9</v>
      </c>
      <c r="AL383" s="91">
        <v>0</v>
      </c>
      <c r="AM383" s="91">
        <v>1</v>
      </c>
      <c r="AN383" s="91">
        <v>2</v>
      </c>
      <c r="AO383" s="91">
        <v>3</v>
      </c>
      <c r="AP383" s="91">
        <v>4</v>
      </c>
      <c r="AQ383" s="91">
        <v>5</v>
      </c>
      <c r="AR383" s="91">
        <v>6</v>
      </c>
      <c r="AS383" s="91">
        <v>7</v>
      </c>
      <c r="AT383" s="91">
        <v>8</v>
      </c>
      <c r="AU383" s="91">
        <v>9</v>
      </c>
      <c r="AV383" s="92">
        <v>0</v>
      </c>
      <c r="AW383" s="92">
        <v>1</v>
      </c>
      <c r="AX383" s="92">
        <v>2</v>
      </c>
      <c r="AY383" s="92">
        <v>3</v>
      </c>
      <c r="AZ383" s="92">
        <v>4</v>
      </c>
      <c r="BA383" s="92">
        <v>5</v>
      </c>
      <c r="BB383" s="92">
        <v>6</v>
      </c>
      <c r="BC383" s="92">
        <v>7</v>
      </c>
      <c r="BD383" s="92">
        <v>8</v>
      </c>
      <c r="BE383" s="92">
        <v>9</v>
      </c>
      <c r="BF383" s="93">
        <v>0</v>
      </c>
      <c r="BG383" s="93">
        <v>1</v>
      </c>
      <c r="BH383" s="93">
        <v>2</v>
      </c>
      <c r="BI383" s="93">
        <v>3</v>
      </c>
      <c r="BJ383" s="93">
        <v>4</v>
      </c>
      <c r="BK383" s="93">
        <v>5</v>
      </c>
      <c r="BL383" s="93">
        <v>6</v>
      </c>
      <c r="BM383" s="93">
        <v>7</v>
      </c>
      <c r="BN383" s="93">
        <v>8</v>
      </c>
      <c r="BO383" s="93">
        <v>9</v>
      </c>
      <c r="BP383" s="94" t="str">
        <f t="shared" si="280"/>
        <v>松散型</v>
      </c>
      <c r="BQ383" s="15">
        <f t="shared" si="277"/>
        <v>0</v>
      </c>
      <c r="BR383" s="15">
        <f t="shared" si="278"/>
        <v>7</v>
      </c>
      <c r="BS383" s="20" t="str">
        <f t="shared" si="287"/>
        <v/>
      </c>
      <c r="BT383" s="21" t="str">
        <f t="shared" si="288"/>
        <v/>
      </c>
      <c r="BU383" s="21" t="str">
        <f t="array" ref="BU383">_xlfn.TEXTJOIN("",TRUE,IF(ISERROR(FIND(ROW($1:$168)-1,BS383&amp;BT383)),ROW($1:$168)-1,""))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83" s="22" t="str">
        <f t="shared" si="289"/>
        <v>中中中</v>
      </c>
      <c r="BW383" s="23" t="str">
        <f t="shared" si="300"/>
        <v/>
      </c>
      <c r="BX383" s="23" t="str">
        <f t="shared" si="298"/>
        <v/>
      </c>
      <c r="BY383" s="23" t="str">
        <f t="array" ref="BY383">_xlfn.TEXTJOIN("",TRUE,IF(ISERROR(FIND(ROW($1:$168)-1,BW383&amp;BX383)),ROW($1:$168)-1,""))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83" s="22" t="str">
        <f t="shared" si="290"/>
        <v>中中中</v>
      </c>
      <c r="CA383" s="24" t="str">
        <f t="shared" si="291"/>
        <v/>
      </c>
      <c r="CB383" s="24" t="str">
        <f t="shared" si="299"/>
        <v/>
      </c>
      <c r="CC383" s="24" t="str">
        <f t="array" ref="CC383">_xlfn.TEXTJOIN("",TRUE,IF(ISERROR(FIND(ROW($1:$168)-1,CA383&amp;CB383)),ROW($1:$168)-1,""))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83" s="22" t="str">
        <f t="shared" si="292"/>
        <v>中中中</v>
      </c>
      <c r="CE383" s="25" t="str">
        <f t="shared" si="281"/>
        <v>68</v>
      </c>
      <c r="CF383" s="26" t="str">
        <f t="array" ref="CF383">_xlfn.TEXTJOIN("",TRUE,IF(ISNUMBER(FIND(MID(CE382&amp;W382,ROW($1:$162),1),CE383&amp;W383)),MID(CE382&amp;W382,ROW($1:$162),1),""))</f>
        <v/>
      </c>
      <c r="CG383" s="27" t="str">
        <f t="array" ref="CG383">_xlfn.TEXTJOIN("",TRUE,IF(ISERROR(FIND(ROW($1:$168)-1,CE383&amp;CF383)),ROW($1:$168)-1,""))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83" s="28" t="str">
        <f t="shared" si="293"/>
        <v>邻孤孤</v>
      </c>
      <c r="CI383" s="29" t="str">
        <f t="shared" si="294"/>
        <v>91</v>
      </c>
      <c r="CJ383" s="29" t="str">
        <f t="array" ref="CJ383">_xlfn.TEXTJOIN("",TRUE,IF(ISNUMBER(FIND(MID(CI382&amp;X382,ROW($1:$162),1),CI383&amp;X383)),MID(CI382&amp;X382,ROW($1:$162),1),""))</f>
        <v>01</v>
      </c>
      <c r="CK383" s="29" t="str">
        <f t="array" ref="CK383">_xlfn.TEXTJOIN("",TRUE,IF(ISERROR(FIND(ROW($1:$168)-1,CI383&amp;CJ383)),ROW($1:$168)-1,""))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L383" s="19" t="str">
        <f t="shared" si="295"/>
        <v>邻传孤</v>
      </c>
      <c r="CM383" s="24" t="str">
        <f t="shared" si="296"/>
        <v>68</v>
      </c>
      <c r="CN383" s="24" t="str">
        <f t="array" ref="CN383">_xlfn.TEXTJOIN("",TRUE,IF(ISNUMBER(FIND(MID(CM382&amp;Y382,ROW($1:$162),1),CM383&amp;Y383)),MID(CM382&amp;Y382,ROW($1:$162),1),""))</f>
        <v/>
      </c>
      <c r="CO383" s="24" t="str">
        <f t="array" ref="CO383">_xlfn.TEXTJOIN("",TRUE,IF(ISERROR(FIND(ROW($1:$168)-1,CM383&amp;CN383)),ROW($1:$168)-1,""))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83" s="30" t="str">
        <f t="shared" si="297"/>
        <v>邻孤孤</v>
      </c>
    </row>
    <row r="384" spans="1:94">
      <c r="A384" s="15">
        <v>384</v>
      </c>
      <c r="B384" s="80">
        <v>2025001</v>
      </c>
      <c r="C384" s="8" t="s">
        <v>341</v>
      </c>
      <c r="D384" s="81">
        <f t="shared" si="301"/>
        <v>10</v>
      </c>
      <c r="E384" s="82">
        <f t="shared" si="302"/>
        <v>0</v>
      </c>
      <c r="F384" s="83">
        <f t="shared" si="270"/>
        <v>1.42857142857143</v>
      </c>
      <c r="G384" s="84" t="str">
        <f t="shared" si="271"/>
        <v>松散</v>
      </c>
      <c r="H384" s="85" t="s">
        <v>10</v>
      </c>
      <c r="I384" s="85" t="s">
        <v>11</v>
      </c>
      <c r="J384" s="85" t="s">
        <v>12</v>
      </c>
      <c r="K384" s="85" t="s">
        <v>13</v>
      </c>
      <c r="L384" s="86">
        <f>MAX(MID(C384,{1,2,3},1)*1)-MIN(MID(C384,{1,2,3},1)*1)</f>
        <v>7</v>
      </c>
      <c r="M384" s="87">
        <v>0</v>
      </c>
      <c r="N384" s="87">
        <v>1</v>
      </c>
      <c r="O384" s="87">
        <v>2</v>
      </c>
      <c r="P384" s="87">
        <v>3</v>
      </c>
      <c r="Q384" s="87">
        <v>4</v>
      </c>
      <c r="R384" s="87">
        <v>5</v>
      </c>
      <c r="S384" s="87">
        <v>6</v>
      </c>
      <c r="T384" s="87">
        <v>7</v>
      </c>
      <c r="U384" s="87">
        <v>8</v>
      </c>
      <c r="V384" s="87">
        <v>9</v>
      </c>
      <c r="W384" s="88">
        <f t="shared" si="303"/>
        <v>7</v>
      </c>
      <c r="X384" s="88">
        <f t="shared" si="304"/>
        <v>4</v>
      </c>
      <c r="Y384" s="88">
        <f t="shared" si="305"/>
        <v>3</v>
      </c>
      <c r="Z384" s="89">
        <f t="shared" si="279"/>
        <v>14</v>
      </c>
      <c r="AA384" s="17" t="str">
        <f>_xlfn.TEXTJOIN(", ",TRUE,ABS(MID(C384,{1,1,2},1)-MID(C384,{2,3,3},1)))</f>
        <v>7, 4, 3</v>
      </c>
      <c r="AB384" s="90">
        <v>0</v>
      </c>
      <c r="AC384" s="90">
        <v>1</v>
      </c>
      <c r="AD384" s="90">
        <v>2</v>
      </c>
      <c r="AE384" s="90">
        <v>3</v>
      </c>
      <c r="AF384" s="90">
        <v>4</v>
      </c>
      <c r="AG384" s="90">
        <v>5</v>
      </c>
      <c r="AH384" s="90">
        <v>6</v>
      </c>
      <c r="AI384" s="90">
        <v>7</v>
      </c>
      <c r="AJ384" s="90">
        <v>8</v>
      </c>
      <c r="AK384" s="90">
        <v>9</v>
      </c>
      <c r="AL384" s="91">
        <v>0</v>
      </c>
      <c r="AM384" s="91">
        <v>1</v>
      </c>
      <c r="AN384" s="91">
        <v>2</v>
      </c>
      <c r="AO384" s="91">
        <v>3</v>
      </c>
      <c r="AP384" s="91">
        <v>4</v>
      </c>
      <c r="AQ384" s="91">
        <v>5</v>
      </c>
      <c r="AR384" s="91">
        <v>6</v>
      </c>
      <c r="AS384" s="91">
        <v>7</v>
      </c>
      <c r="AT384" s="91">
        <v>8</v>
      </c>
      <c r="AU384" s="91">
        <v>9</v>
      </c>
      <c r="AV384" s="92">
        <v>0</v>
      </c>
      <c r="AW384" s="92">
        <v>1</v>
      </c>
      <c r="AX384" s="92">
        <v>2</v>
      </c>
      <c r="AY384" s="92">
        <v>3</v>
      </c>
      <c r="AZ384" s="92">
        <v>4</v>
      </c>
      <c r="BA384" s="92">
        <v>5</v>
      </c>
      <c r="BB384" s="92">
        <v>6</v>
      </c>
      <c r="BC384" s="92">
        <v>7</v>
      </c>
      <c r="BD384" s="92">
        <v>8</v>
      </c>
      <c r="BE384" s="92">
        <v>9</v>
      </c>
      <c r="BF384" s="93">
        <v>0</v>
      </c>
      <c r="BG384" s="93">
        <v>1</v>
      </c>
      <c r="BH384" s="93">
        <v>2</v>
      </c>
      <c r="BI384" s="93">
        <v>3</v>
      </c>
      <c r="BJ384" s="93">
        <v>4</v>
      </c>
      <c r="BK384" s="93">
        <v>5</v>
      </c>
      <c r="BL384" s="93">
        <v>6</v>
      </c>
      <c r="BM384" s="93">
        <v>7</v>
      </c>
      <c r="BN384" s="93">
        <v>8</v>
      </c>
      <c r="BO384" s="93">
        <v>9</v>
      </c>
      <c r="BP384" s="94" t="str">
        <f t="shared" si="280"/>
        <v>松散型</v>
      </c>
      <c r="BQ384" s="15">
        <f t="shared" si="277"/>
        <v>3</v>
      </c>
      <c r="BR384" s="15">
        <f t="shared" si="278"/>
        <v>7</v>
      </c>
      <c r="BS384" s="20">
        <f t="shared" si="287"/>
        <v>7</v>
      </c>
      <c r="BT384" s="21" t="str">
        <f t="shared" si="288"/>
        <v/>
      </c>
      <c r="BU384" s="21" t="str">
        <f t="array" ref="BU384">_xlfn.TEXTJOIN("",TRUE,IF(ISERROR(FIND(ROW($1:$168)-1,BS384&amp;BT384)),ROW($1:$168)-1,""))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84" s="22" t="str">
        <f t="shared" si="289"/>
        <v>复中中</v>
      </c>
      <c r="BW384" s="23" t="str">
        <f t="shared" si="300"/>
        <v/>
      </c>
      <c r="BX384" s="23" t="str">
        <f t="shared" si="298"/>
        <v/>
      </c>
      <c r="BY384" s="23" t="str">
        <f t="array" ref="BY384">_xlfn.TEXTJOIN("",TRUE,IF(ISERROR(FIND(ROW($1:$168)-1,BW384&amp;BX384)),ROW($1:$168)-1,""))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84" s="22" t="str">
        <f t="shared" si="290"/>
        <v>中中中</v>
      </c>
      <c r="CA384" s="24" t="str">
        <f t="shared" si="291"/>
        <v/>
      </c>
      <c r="CB384" s="24" t="str">
        <f t="shared" si="299"/>
        <v/>
      </c>
      <c r="CC384" s="24" t="str">
        <f t="array" ref="CC384">_xlfn.TEXTJOIN("",TRUE,IF(ISERROR(FIND(ROW($1:$168)-1,CA384&amp;CB384)),ROW($1:$168)-1,""))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84" s="22" t="str">
        <f t="shared" si="292"/>
        <v>中中中</v>
      </c>
      <c r="CE384" s="25" t="str">
        <f t="shared" si="281"/>
        <v>68</v>
      </c>
      <c r="CF384" s="26" t="str">
        <f t="array" ref="CF384">_xlfn.TEXTJOIN("",TRUE,IF(ISNUMBER(FIND(MID(CE383&amp;W383,ROW($1:$162),1),CE384&amp;W384)),MID(CE383&amp;W383,ROW($1:$162),1),""))</f>
        <v>687</v>
      </c>
      <c r="CG384" s="27" t="str">
        <f t="array" ref="CG384">_xlfn.TEXTJOIN("",TRUE,IF(ISERROR(FIND(ROW($1:$168)-1,CE384&amp;CF384)),ROW($1:$168)-1,""))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H384" s="28" t="str">
        <f t="shared" si="293"/>
        <v>邻传孤</v>
      </c>
      <c r="CI384" s="29" t="str">
        <f t="shared" si="294"/>
        <v>35</v>
      </c>
      <c r="CJ384" s="29" t="str">
        <f t="array" ref="CJ384">_xlfn.TEXTJOIN("",TRUE,IF(ISNUMBER(FIND(MID(CI383&amp;X383,ROW($1:$162),1),CI384&amp;X384)),MID(CI383&amp;X383,ROW($1:$162),1),""))</f>
        <v/>
      </c>
      <c r="CK384" s="29" t="str">
        <f t="array" ref="CK384">_xlfn.TEXTJOIN("",TRUE,IF(ISERROR(FIND(ROW($1:$168)-1,CI384&amp;CJ384)),ROW($1:$168)-1,""))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84" s="19" t="str">
        <f t="shared" si="295"/>
        <v>邻孤孤</v>
      </c>
      <c r="CM384" s="24" t="str">
        <f t="shared" si="296"/>
        <v>24</v>
      </c>
      <c r="CN384" s="24" t="str">
        <f t="array" ref="CN384">_xlfn.TEXTJOIN("",TRUE,IF(ISNUMBER(FIND(MID(CM383&amp;Y383,ROW($1:$162),1),CM384&amp;Y384)),MID(CM383&amp;Y383,ROW($1:$162),1),""))</f>
        <v/>
      </c>
      <c r="CO384" s="24" t="str">
        <f t="array" ref="CO384">_xlfn.TEXTJOIN("",TRUE,IF(ISERROR(FIND(ROW($1:$168)-1,CM384&amp;CN384)),ROW($1:$168)-1,""))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84" s="30" t="str">
        <f t="shared" si="297"/>
        <v>邻孤孤</v>
      </c>
    </row>
    <row r="385" spans="1:94">
      <c r="A385" s="15">
        <v>385</v>
      </c>
      <c r="B385" s="80">
        <v>2025002</v>
      </c>
      <c r="C385" s="8" t="s">
        <v>342</v>
      </c>
      <c r="D385" s="81">
        <f t="shared" si="301"/>
        <v>16</v>
      </c>
      <c r="E385" s="82">
        <f t="shared" si="302"/>
        <v>6</v>
      </c>
      <c r="F385" s="83">
        <f t="shared" si="270"/>
        <v>2</v>
      </c>
      <c r="G385" s="84" t="str">
        <f t="shared" si="271"/>
        <v>标准</v>
      </c>
      <c r="H385" s="85" t="s">
        <v>10</v>
      </c>
      <c r="I385" s="85" t="s">
        <v>11</v>
      </c>
      <c r="J385" s="85" t="s">
        <v>12</v>
      </c>
      <c r="K385" s="85" t="s">
        <v>13</v>
      </c>
      <c r="L385" s="86">
        <f>MAX(MID(C385,{1,2,3},1)*1)-MIN(MID(C385,{1,2,3},1)*1)</f>
        <v>8</v>
      </c>
      <c r="M385" s="87">
        <v>0</v>
      </c>
      <c r="N385" s="87">
        <v>1</v>
      </c>
      <c r="O385" s="87">
        <v>2</v>
      </c>
      <c r="P385" s="87">
        <v>3</v>
      </c>
      <c r="Q385" s="87">
        <v>4</v>
      </c>
      <c r="R385" s="87">
        <v>5</v>
      </c>
      <c r="S385" s="87">
        <v>6</v>
      </c>
      <c r="T385" s="87">
        <v>7</v>
      </c>
      <c r="U385" s="87">
        <v>8</v>
      </c>
      <c r="V385" s="87">
        <v>9</v>
      </c>
      <c r="W385" s="88">
        <f t="shared" si="303"/>
        <v>8</v>
      </c>
      <c r="X385" s="88">
        <f t="shared" si="304"/>
        <v>3</v>
      </c>
      <c r="Y385" s="88">
        <f t="shared" si="305"/>
        <v>5</v>
      </c>
      <c r="Z385" s="89">
        <f t="shared" si="279"/>
        <v>16</v>
      </c>
      <c r="AA385" s="17" t="str">
        <f>_xlfn.TEXTJOIN(", ",TRUE,ABS(MID(C385,{1,1,2},1)-MID(C385,{2,3,3},1)))</f>
        <v>8, 3, 5</v>
      </c>
      <c r="AB385" s="90">
        <v>0</v>
      </c>
      <c r="AC385" s="90">
        <v>1</v>
      </c>
      <c r="AD385" s="90">
        <v>2</v>
      </c>
      <c r="AE385" s="90">
        <v>3</v>
      </c>
      <c r="AF385" s="90">
        <v>4</v>
      </c>
      <c r="AG385" s="90">
        <v>5</v>
      </c>
      <c r="AH385" s="90">
        <v>6</v>
      </c>
      <c r="AI385" s="90">
        <v>7</v>
      </c>
      <c r="AJ385" s="90">
        <v>8</v>
      </c>
      <c r="AK385" s="90">
        <v>9</v>
      </c>
      <c r="AL385" s="91">
        <v>0</v>
      </c>
      <c r="AM385" s="91">
        <v>1</v>
      </c>
      <c r="AN385" s="91">
        <v>2</v>
      </c>
      <c r="AO385" s="91">
        <v>3</v>
      </c>
      <c r="AP385" s="91">
        <v>4</v>
      </c>
      <c r="AQ385" s="91">
        <v>5</v>
      </c>
      <c r="AR385" s="91">
        <v>6</v>
      </c>
      <c r="AS385" s="91">
        <v>7</v>
      </c>
      <c r="AT385" s="91">
        <v>8</v>
      </c>
      <c r="AU385" s="91">
        <v>9</v>
      </c>
      <c r="AV385" s="92">
        <v>0</v>
      </c>
      <c r="AW385" s="92">
        <v>1</v>
      </c>
      <c r="AX385" s="92">
        <v>2</v>
      </c>
      <c r="AY385" s="92">
        <v>3</v>
      </c>
      <c r="AZ385" s="92">
        <v>4</v>
      </c>
      <c r="BA385" s="92">
        <v>5</v>
      </c>
      <c r="BB385" s="92">
        <v>6</v>
      </c>
      <c r="BC385" s="92">
        <v>7</v>
      </c>
      <c r="BD385" s="92">
        <v>8</v>
      </c>
      <c r="BE385" s="92">
        <v>9</v>
      </c>
      <c r="BF385" s="93">
        <v>0</v>
      </c>
      <c r="BG385" s="93">
        <v>1</v>
      </c>
      <c r="BH385" s="93">
        <v>2</v>
      </c>
      <c r="BI385" s="93">
        <v>3</v>
      </c>
      <c r="BJ385" s="93">
        <v>4</v>
      </c>
      <c r="BK385" s="93">
        <v>5</v>
      </c>
      <c r="BL385" s="93">
        <v>6</v>
      </c>
      <c r="BM385" s="93">
        <v>7</v>
      </c>
      <c r="BN385" s="93">
        <v>8</v>
      </c>
      <c r="BO385" s="93">
        <v>9</v>
      </c>
      <c r="BP385" s="94" t="str">
        <f t="shared" si="280"/>
        <v>松散型</v>
      </c>
      <c r="BQ385" s="15">
        <f t="shared" si="277"/>
        <v>3</v>
      </c>
      <c r="BR385" s="15">
        <f t="shared" si="278"/>
        <v>8</v>
      </c>
      <c r="BS385" s="20" t="str">
        <f t="shared" si="287"/>
        <v/>
      </c>
      <c r="BT385" s="21" t="str">
        <f t="shared" si="288"/>
        <v/>
      </c>
      <c r="BU385" s="21" t="str">
        <f t="array" ref="BU385">_xlfn.TEXTJOIN("",TRUE,IF(ISERROR(FIND(ROW($1:$168)-1,BS385&amp;BT385)),ROW($1:$168)-1,""))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85" s="22" t="str">
        <f t="shared" si="289"/>
        <v>中中中</v>
      </c>
      <c r="BW385" s="23">
        <f t="shared" si="300"/>
        <v>3</v>
      </c>
      <c r="BX385" s="23" t="str">
        <f t="shared" si="298"/>
        <v/>
      </c>
      <c r="BY385" s="23" t="str">
        <f t="array" ref="BY385">_xlfn.TEXTJOIN("",TRUE,IF(ISERROR(FIND(ROW($1:$168)-1,BW385&amp;BX385)),ROW($1:$168)-1,""))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85" s="22" t="str">
        <f t="shared" si="290"/>
        <v>复中中</v>
      </c>
      <c r="CA385" s="24" t="str">
        <f t="shared" si="291"/>
        <v/>
      </c>
      <c r="CB385" s="24" t="str">
        <f t="shared" si="299"/>
        <v/>
      </c>
      <c r="CC385" s="24" t="str">
        <f t="array" ref="CC385">_xlfn.TEXTJOIN("",TRUE,IF(ISERROR(FIND(ROW($1:$168)-1,CA385&amp;CB385)),ROW($1:$168)-1,""))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85" s="22" t="str">
        <f t="shared" si="292"/>
        <v>中中中</v>
      </c>
      <c r="CE385" s="25" t="str">
        <f t="shared" si="281"/>
        <v>79</v>
      </c>
      <c r="CF385" s="26" t="str">
        <f t="array" ref="CF385">_xlfn.TEXTJOIN("",TRUE,IF(ISNUMBER(FIND(MID(CE384&amp;W384,ROW($1:$162),1),CE385&amp;W385)),MID(CE384&amp;W384,ROW($1:$162),1),""))</f>
        <v>87</v>
      </c>
      <c r="CG385" s="27" t="str">
        <f t="array" ref="CG385">_xlfn.TEXTJOIN("",TRUE,IF(ISERROR(FIND(ROW($1:$168)-1,CE385&amp;CF385)),ROW($1:$168)-1,""))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H385" s="28" t="str">
        <f t="shared" si="293"/>
        <v>邻传孤</v>
      </c>
      <c r="CI385" s="29" t="str">
        <f t="shared" si="294"/>
        <v>24</v>
      </c>
      <c r="CJ385" s="29" t="str">
        <f t="array" ref="CJ385">_xlfn.TEXTJOIN("",TRUE,IF(ISNUMBER(FIND(MID(CI384&amp;X384,ROW($1:$162),1),CI385&amp;X385)),MID(CI384&amp;X384,ROW($1:$162),1),""))</f>
        <v>34</v>
      </c>
      <c r="CK385" s="29" t="str">
        <f t="array" ref="CK385">_xlfn.TEXTJOIN("",TRUE,IF(ISERROR(FIND(ROW($1:$168)-1,CI385&amp;CJ385)),ROW($1:$168)-1,""))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85" s="19" t="str">
        <f t="shared" si="295"/>
        <v>邻传孤</v>
      </c>
      <c r="CM385" s="24" t="str">
        <f t="shared" si="296"/>
        <v>46</v>
      </c>
      <c r="CN385" s="24" t="str">
        <f t="array" ref="CN385">_xlfn.TEXTJOIN("",TRUE,IF(ISNUMBER(FIND(MID(CM384&amp;Y384,ROW($1:$162),1),CM385&amp;Y385)),MID(CM384&amp;Y384,ROW($1:$162),1),""))</f>
        <v>4</v>
      </c>
      <c r="CO385" s="24" t="str">
        <f t="array" ref="CO385">_xlfn.TEXTJOIN("",TRUE,IF(ISERROR(FIND(ROW($1:$168)-1,CM385&amp;CN385)),ROW($1:$168)-1,""))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85" s="30" t="str">
        <f t="shared" si="297"/>
        <v>邻传孤</v>
      </c>
    </row>
    <row r="386" spans="1:94">
      <c r="A386" s="15">
        <v>386</v>
      </c>
      <c r="B386" s="80">
        <v>2025003</v>
      </c>
      <c r="C386" s="8" t="s">
        <v>177</v>
      </c>
      <c r="D386" s="81">
        <f t="shared" si="301"/>
        <v>7</v>
      </c>
      <c r="E386" s="82">
        <f t="shared" si="302"/>
        <v>7</v>
      </c>
      <c r="F386" s="83">
        <f t="shared" si="270"/>
        <v>2.33333333333333</v>
      </c>
      <c r="G386" s="84" t="str">
        <f t="shared" si="271"/>
        <v>标准</v>
      </c>
      <c r="H386" s="85" t="s">
        <v>10</v>
      </c>
      <c r="I386" s="85" t="s">
        <v>11</v>
      </c>
      <c r="J386" s="85" t="s">
        <v>12</v>
      </c>
      <c r="K386" s="85" t="s">
        <v>13</v>
      </c>
      <c r="L386" s="86">
        <f>MAX(MID(C386,{1,2,3},1)*1)-MIN(MID(C386,{1,2,3},1)*1)</f>
        <v>3</v>
      </c>
      <c r="M386" s="87">
        <v>0</v>
      </c>
      <c r="N386" s="87">
        <v>1</v>
      </c>
      <c r="O386" s="87">
        <v>2</v>
      </c>
      <c r="P386" s="87">
        <v>3</v>
      </c>
      <c r="Q386" s="87">
        <v>4</v>
      </c>
      <c r="R386" s="87">
        <v>5</v>
      </c>
      <c r="S386" s="87">
        <v>6</v>
      </c>
      <c r="T386" s="87">
        <v>7</v>
      </c>
      <c r="U386" s="87">
        <v>8</v>
      </c>
      <c r="V386" s="87">
        <v>9</v>
      </c>
      <c r="W386" s="88">
        <f t="shared" si="303"/>
        <v>1</v>
      </c>
      <c r="X386" s="88">
        <f t="shared" si="304"/>
        <v>2</v>
      </c>
      <c r="Y386" s="88">
        <f t="shared" si="305"/>
        <v>3</v>
      </c>
      <c r="Z386" s="89">
        <f t="shared" si="279"/>
        <v>6</v>
      </c>
      <c r="AA386" s="17" t="str">
        <f>_xlfn.TEXTJOIN(", ",TRUE,ABS(MID(C386,{1,1,2},1)-MID(C386,{2,3,3},1)))</f>
        <v>1, 2, 3</v>
      </c>
      <c r="AB386" s="90">
        <v>0</v>
      </c>
      <c r="AC386" s="90">
        <v>1</v>
      </c>
      <c r="AD386" s="90">
        <v>2</v>
      </c>
      <c r="AE386" s="90">
        <v>3</v>
      </c>
      <c r="AF386" s="90">
        <v>4</v>
      </c>
      <c r="AG386" s="90">
        <v>5</v>
      </c>
      <c r="AH386" s="90">
        <v>6</v>
      </c>
      <c r="AI386" s="90">
        <v>7</v>
      </c>
      <c r="AJ386" s="90">
        <v>8</v>
      </c>
      <c r="AK386" s="90">
        <v>9</v>
      </c>
      <c r="AL386" s="91">
        <v>0</v>
      </c>
      <c r="AM386" s="91">
        <v>1</v>
      </c>
      <c r="AN386" s="91">
        <v>2</v>
      </c>
      <c r="AO386" s="91">
        <v>3</v>
      </c>
      <c r="AP386" s="91">
        <v>4</v>
      </c>
      <c r="AQ386" s="91">
        <v>5</v>
      </c>
      <c r="AR386" s="91">
        <v>6</v>
      </c>
      <c r="AS386" s="91">
        <v>7</v>
      </c>
      <c r="AT386" s="91">
        <v>8</v>
      </c>
      <c r="AU386" s="91">
        <v>9</v>
      </c>
      <c r="AV386" s="92">
        <v>0</v>
      </c>
      <c r="AW386" s="92">
        <v>1</v>
      </c>
      <c r="AX386" s="92">
        <v>2</v>
      </c>
      <c r="AY386" s="92">
        <v>3</v>
      </c>
      <c r="AZ386" s="92">
        <v>4</v>
      </c>
      <c r="BA386" s="92">
        <v>5</v>
      </c>
      <c r="BB386" s="92">
        <v>6</v>
      </c>
      <c r="BC386" s="92">
        <v>7</v>
      </c>
      <c r="BD386" s="92">
        <v>8</v>
      </c>
      <c r="BE386" s="92">
        <v>9</v>
      </c>
      <c r="BF386" s="93">
        <v>0</v>
      </c>
      <c r="BG386" s="93">
        <v>1</v>
      </c>
      <c r="BH386" s="93">
        <v>2</v>
      </c>
      <c r="BI386" s="93">
        <v>3</v>
      </c>
      <c r="BJ386" s="93">
        <v>4</v>
      </c>
      <c r="BK386" s="93">
        <v>5</v>
      </c>
      <c r="BL386" s="93">
        <v>6</v>
      </c>
      <c r="BM386" s="93">
        <v>7</v>
      </c>
      <c r="BN386" s="93">
        <v>8</v>
      </c>
      <c r="BO386" s="93">
        <v>9</v>
      </c>
      <c r="BP386" s="94" t="str">
        <f t="shared" si="280"/>
        <v>紧凑型</v>
      </c>
      <c r="BQ386" s="15">
        <f t="shared" si="277"/>
        <v>1</v>
      </c>
      <c r="BR386" s="15">
        <f t="shared" si="278"/>
        <v>3</v>
      </c>
      <c r="BS386" s="20" t="str">
        <f t="shared" si="287"/>
        <v/>
      </c>
      <c r="BT386" s="21" t="str">
        <f t="shared" si="288"/>
        <v/>
      </c>
      <c r="BU386" s="21" t="str">
        <f t="array" ref="BU386">_xlfn.TEXTJOIN("",TRUE,IF(ISERROR(FIND(ROW($1:$168)-1,BS386&amp;BT386)),ROW($1:$168)-1,""))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86" s="22" t="str">
        <f t="shared" si="289"/>
        <v>中中中</v>
      </c>
      <c r="BW386" s="23" t="str">
        <f t="shared" si="300"/>
        <v/>
      </c>
      <c r="BX386" s="23" t="str">
        <f t="shared" si="298"/>
        <v/>
      </c>
      <c r="BY386" s="23" t="str">
        <f t="array" ref="BY386">_xlfn.TEXTJOIN("",TRUE,IF(ISERROR(FIND(ROW($1:$168)-1,BW386&amp;BX386)),ROW($1:$168)-1,""))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86" s="22" t="str">
        <f t="shared" si="290"/>
        <v>中中中</v>
      </c>
      <c r="CA386" s="24">
        <f t="shared" si="291"/>
        <v>3</v>
      </c>
      <c r="CB386" s="24">
        <f t="shared" si="299"/>
        <v>3</v>
      </c>
      <c r="CC386" s="24" t="str">
        <f t="array" ref="CC386">_xlfn.TEXTJOIN("",TRUE,IF(ISERROR(FIND(ROW($1:$168)-1,CA386&amp;CB386)),ROW($1:$168)-1,""))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86" s="22" t="str">
        <f t="shared" si="292"/>
        <v>复隔中</v>
      </c>
      <c r="CE386" s="25" t="str">
        <f t="shared" si="281"/>
        <v>02</v>
      </c>
      <c r="CF386" s="26" t="str">
        <f t="array" ref="CF386">_xlfn.TEXTJOIN("",TRUE,IF(ISNUMBER(FIND(MID(CE385&amp;W385,ROW($1:$162),1),CE386&amp;W386)),MID(CE385&amp;W385,ROW($1:$162),1),""))</f>
        <v/>
      </c>
      <c r="CG386" s="27" t="str">
        <f t="array" ref="CG386">_xlfn.TEXTJOIN("",TRUE,IF(ISERROR(FIND(ROW($1:$168)-1,CE386&amp;CF386)),ROW($1:$168)-1,""))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86" s="28" t="str">
        <f t="shared" si="293"/>
        <v>邻孤孤</v>
      </c>
      <c r="CI386" s="29" t="str">
        <f t="shared" si="294"/>
        <v>13</v>
      </c>
      <c r="CJ386" s="29" t="str">
        <f t="array" ref="CJ386">_xlfn.TEXTJOIN("",TRUE,IF(ISNUMBER(FIND(MID(CI385&amp;X385,ROW($1:$162),1),CI386&amp;X386)),MID(CI385&amp;X385,ROW($1:$162),1),""))</f>
        <v>23</v>
      </c>
      <c r="CK386" s="29" t="str">
        <f t="array" ref="CK386">_xlfn.TEXTJOIN("",TRUE,IF(ISERROR(FIND(ROW($1:$168)-1,CI386&amp;CJ386)),ROW($1:$168)-1,""))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386" s="19" t="str">
        <f t="shared" si="295"/>
        <v>邻传孤</v>
      </c>
      <c r="CM386" s="24" t="str">
        <f t="shared" si="296"/>
        <v>24</v>
      </c>
      <c r="CN386" s="24" t="str">
        <f t="array" ref="CN386">_xlfn.TEXTJOIN("",TRUE,IF(ISNUMBER(FIND(MID(CM385&amp;Y385,ROW($1:$162),1),CM386&amp;Y386)),MID(CM385&amp;Y385,ROW($1:$162),1),""))</f>
        <v>4</v>
      </c>
      <c r="CO386" s="24" t="str">
        <f t="array" ref="CO386">_xlfn.TEXTJOIN("",TRUE,IF(ISERROR(FIND(ROW($1:$168)-1,CM386&amp;CN386)),ROW($1:$168)-1,""))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86" s="30" t="str">
        <f t="shared" si="297"/>
        <v>邻传孤</v>
      </c>
    </row>
    <row r="387" spans="1:94">
      <c r="A387" s="15">
        <v>387</v>
      </c>
      <c r="B387" s="80">
        <v>2025004</v>
      </c>
      <c r="C387" s="8" t="s">
        <v>105</v>
      </c>
      <c r="D387" s="81">
        <f t="shared" si="301"/>
        <v>13</v>
      </c>
      <c r="E387" s="82">
        <f t="shared" si="302"/>
        <v>3</v>
      </c>
      <c r="F387" s="83">
        <f t="shared" si="270"/>
        <v>4.33333333333333</v>
      </c>
      <c r="G387" s="84" t="str">
        <f t="shared" si="271"/>
        <v>紧凑</v>
      </c>
      <c r="H387" s="85" t="s">
        <v>10</v>
      </c>
      <c r="I387" s="85" t="s">
        <v>11</v>
      </c>
      <c r="J387" s="85" t="s">
        <v>12</v>
      </c>
      <c r="K387" s="85" t="s">
        <v>13</v>
      </c>
      <c r="L387" s="86">
        <f>MAX(MID(C387,{1,2,3},1)*1)-MIN(MID(C387,{1,2,3},1)*1)</f>
        <v>3</v>
      </c>
      <c r="M387" s="87">
        <v>0</v>
      </c>
      <c r="N387" s="87">
        <v>1</v>
      </c>
      <c r="O387" s="87">
        <v>2</v>
      </c>
      <c r="P387" s="87">
        <v>3</v>
      </c>
      <c r="Q387" s="87">
        <v>4</v>
      </c>
      <c r="R387" s="87">
        <v>5</v>
      </c>
      <c r="S387" s="87">
        <v>6</v>
      </c>
      <c r="T387" s="87">
        <v>7</v>
      </c>
      <c r="U387" s="87">
        <v>8</v>
      </c>
      <c r="V387" s="87">
        <v>9</v>
      </c>
      <c r="W387" s="88">
        <f t="shared" si="303"/>
        <v>3</v>
      </c>
      <c r="X387" s="88">
        <f t="shared" si="304"/>
        <v>2</v>
      </c>
      <c r="Y387" s="88">
        <f t="shared" si="305"/>
        <v>1</v>
      </c>
      <c r="Z387" s="89">
        <f t="shared" si="279"/>
        <v>6</v>
      </c>
      <c r="AA387" s="17" t="str">
        <f>_xlfn.TEXTJOIN(", ",TRUE,ABS(MID(C387,{1,1,2},1)-MID(C387,{2,3,3},1)))</f>
        <v>3, 2, 1</v>
      </c>
      <c r="AB387" s="90">
        <v>0</v>
      </c>
      <c r="AC387" s="90">
        <v>1</v>
      </c>
      <c r="AD387" s="90">
        <v>2</v>
      </c>
      <c r="AE387" s="90">
        <v>3</v>
      </c>
      <c r="AF387" s="90">
        <v>4</v>
      </c>
      <c r="AG387" s="90">
        <v>5</v>
      </c>
      <c r="AH387" s="90">
        <v>6</v>
      </c>
      <c r="AI387" s="90">
        <v>7</v>
      </c>
      <c r="AJ387" s="90">
        <v>8</v>
      </c>
      <c r="AK387" s="90">
        <v>9</v>
      </c>
      <c r="AL387" s="91">
        <v>0</v>
      </c>
      <c r="AM387" s="91">
        <v>1</v>
      </c>
      <c r="AN387" s="91">
        <v>2</v>
      </c>
      <c r="AO387" s="91">
        <v>3</v>
      </c>
      <c r="AP387" s="91">
        <v>4</v>
      </c>
      <c r="AQ387" s="91">
        <v>5</v>
      </c>
      <c r="AR387" s="91">
        <v>6</v>
      </c>
      <c r="AS387" s="91">
        <v>7</v>
      </c>
      <c r="AT387" s="91">
        <v>8</v>
      </c>
      <c r="AU387" s="91">
        <v>9</v>
      </c>
      <c r="AV387" s="92">
        <v>0</v>
      </c>
      <c r="AW387" s="92">
        <v>1</v>
      </c>
      <c r="AX387" s="92">
        <v>2</v>
      </c>
      <c r="AY387" s="92">
        <v>3</v>
      </c>
      <c r="AZ387" s="92">
        <v>4</v>
      </c>
      <c r="BA387" s="92">
        <v>5</v>
      </c>
      <c r="BB387" s="92">
        <v>6</v>
      </c>
      <c r="BC387" s="92">
        <v>7</v>
      </c>
      <c r="BD387" s="92">
        <v>8</v>
      </c>
      <c r="BE387" s="92">
        <v>9</v>
      </c>
      <c r="BF387" s="93">
        <v>0</v>
      </c>
      <c r="BG387" s="93">
        <v>1</v>
      </c>
      <c r="BH387" s="93">
        <v>2</v>
      </c>
      <c r="BI387" s="93">
        <v>3</v>
      </c>
      <c r="BJ387" s="93">
        <v>4</v>
      </c>
      <c r="BK387" s="93">
        <v>5</v>
      </c>
      <c r="BL387" s="93">
        <v>6</v>
      </c>
      <c r="BM387" s="93">
        <v>7</v>
      </c>
      <c r="BN387" s="93">
        <v>8</v>
      </c>
      <c r="BO387" s="93">
        <v>9</v>
      </c>
      <c r="BP387" s="94" t="str">
        <f t="shared" si="280"/>
        <v>紧凑型</v>
      </c>
      <c r="BQ387" s="15">
        <f t="shared" si="277"/>
        <v>1</v>
      </c>
      <c r="BR387" s="15">
        <f t="shared" si="278"/>
        <v>3</v>
      </c>
      <c r="BS387" s="20">
        <f t="shared" si="287"/>
        <v>3</v>
      </c>
      <c r="BT387" s="21">
        <f t="shared" si="288"/>
        <v>3</v>
      </c>
      <c r="BU387" s="21" t="str">
        <f t="array" ref="BU387">_xlfn.TEXTJOIN("",TRUE,IF(ISERROR(FIND(ROW($1:$168)-1,BS387&amp;BT387)),ROW($1:$168)-1,""))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87" s="22" t="str">
        <f t="shared" si="289"/>
        <v>复隔中</v>
      </c>
      <c r="BW387" s="23">
        <f t="shared" si="300"/>
        <v>2</v>
      </c>
      <c r="BX387" s="23" t="str">
        <f t="shared" si="298"/>
        <v/>
      </c>
      <c r="BY387" s="23" t="str">
        <f t="array" ref="BY387">_xlfn.TEXTJOIN("",TRUE,IF(ISERROR(FIND(ROW($1:$168)-1,BW387&amp;BX387)),ROW($1:$168)-1,""))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87" s="22" t="str">
        <f t="shared" si="290"/>
        <v>复中中</v>
      </c>
      <c r="CA387" s="24">
        <f t="shared" si="291"/>
        <v>1</v>
      </c>
      <c r="CB387" s="24" t="str">
        <f t="shared" si="299"/>
        <v/>
      </c>
      <c r="CC387" s="24" t="str">
        <f t="array" ref="CC387">_xlfn.TEXTJOIN("",TRUE,IF(ISERROR(FIND(ROW($1:$168)-1,CA387&amp;CB387)),ROW($1:$168)-1,""))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87" s="22" t="str">
        <f t="shared" si="292"/>
        <v>复中中</v>
      </c>
      <c r="CE387" s="25" t="str">
        <f t="shared" si="281"/>
        <v>24</v>
      </c>
      <c r="CF387" s="26" t="str">
        <f t="array" ref="CF387">_xlfn.TEXTJOIN("",TRUE,IF(ISNUMBER(FIND(MID(CE386&amp;W386,ROW($1:$162),1),CE387&amp;W387)),MID(CE386&amp;W386,ROW($1:$162),1),""))</f>
        <v>2</v>
      </c>
      <c r="CG387" s="27" t="str">
        <f t="array" ref="CG387">_xlfn.TEXTJOIN("",TRUE,IF(ISERROR(FIND(ROW($1:$168)-1,CE387&amp;CF387)),ROW($1:$168)-1,""))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87" s="28" t="str">
        <f t="shared" si="293"/>
        <v>邻传孤</v>
      </c>
      <c r="CI387" s="29" t="str">
        <f t="shared" si="294"/>
        <v>13</v>
      </c>
      <c r="CJ387" s="29" t="str">
        <f t="array" ref="CJ387">_xlfn.TEXTJOIN("",TRUE,IF(ISNUMBER(FIND(MID(CI386&amp;X386,ROW($1:$162),1),CI387&amp;X387)),MID(CI386&amp;X386,ROW($1:$162),1),""))</f>
        <v>132</v>
      </c>
      <c r="CK387" s="29" t="str">
        <f t="array" ref="CK387">_xlfn.TEXTJOIN("",TRUE,IF(ISERROR(FIND(ROW($1:$168)-1,CI387&amp;CJ387)),ROW($1:$168)-1,""))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387" s="19" t="str">
        <f t="shared" si="295"/>
        <v>邻传孤</v>
      </c>
      <c r="CM387" s="24" t="str">
        <f t="shared" si="296"/>
        <v>02</v>
      </c>
      <c r="CN387" s="24" t="str">
        <f t="array" ref="CN387">_xlfn.TEXTJOIN("",TRUE,IF(ISNUMBER(FIND(MID(CM386&amp;Y386,ROW($1:$162),1),CM387&amp;Y387)),MID(CM386&amp;Y386,ROW($1:$162),1),""))</f>
        <v>2</v>
      </c>
      <c r="CO387" s="24" t="str">
        <f t="array" ref="CO387">_xlfn.TEXTJOIN("",TRUE,IF(ISERROR(FIND(ROW($1:$168)-1,CM387&amp;CN387)),ROW($1:$168)-1,""))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87" s="30" t="str">
        <f t="shared" si="297"/>
        <v>邻传孤</v>
      </c>
    </row>
    <row r="388" spans="1:94">
      <c r="A388" s="15">
        <v>388</v>
      </c>
      <c r="B388" s="80">
        <v>2025005</v>
      </c>
      <c r="C388" s="8" t="s">
        <v>343</v>
      </c>
      <c r="D388" s="81">
        <f t="shared" si="301"/>
        <v>13</v>
      </c>
      <c r="E388" s="82">
        <f t="shared" si="302"/>
        <v>3</v>
      </c>
      <c r="F388" s="83">
        <f t="shared" ref="F388:F451" si="306">IF(L388=0,0.1,D388/L388)</f>
        <v>1.625</v>
      </c>
      <c r="G388" s="84" t="str">
        <f t="shared" ref="G388:G451" si="307">IF(F388=0.1,"极紧凑",IF(F388&gt;3.5,"紧凑",IF(AND(F388&gt;=2,F388&lt;=3.5),"标准",IF(AND(F388&gt;=1,F388&lt;2),"松散",""))))</f>
        <v>松散</v>
      </c>
      <c r="H388" s="85" t="s">
        <v>10</v>
      </c>
      <c r="I388" s="85" t="s">
        <v>11</v>
      </c>
      <c r="J388" s="85" t="s">
        <v>12</v>
      </c>
      <c r="K388" s="85" t="s">
        <v>13</v>
      </c>
      <c r="L388" s="86">
        <f>MAX(MID(C388,{1,2,3},1)*1)-MIN(MID(C388,{1,2,3},1)*1)</f>
        <v>8</v>
      </c>
      <c r="M388" s="87">
        <v>0</v>
      </c>
      <c r="N388" s="87">
        <v>1</v>
      </c>
      <c r="O388" s="87">
        <v>2</v>
      </c>
      <c r="P388" s="87">
        <v>3</v>
      </c>
      <c r="Q388" s="87">
        <v>4</v>
      </c>
      <c r="R388" s="87">
        <v>5</v>
      </c>
      <c r="S388" s="87">
        <v>6</v>
      </c>
      <c r="T388" s="87">
        <v>7</v>
      </c>
      <c r="U388" s="87">
        <v>8</v>
      </c>
      <c r="V388" s="87">
        <v>9</v>
      </c>
      <c r="W388" s="88">
        <f t="shared" si="303"/>
        <v>8</v>
      </c>
      <c r="X388" s="88">
        <f t="shared" si="304"/>
        <v>5</v>
      </c>
      <c r="Y388" s="88">
        <f t="shared" si="305"/>
        <v>3</v>
      </c>
      <c r="Z388" s="89">
        <f t="shared" si="279"/>
        <v>16</v>
      </c>
      <c r="AA388" s="17" t="str">
        <f>_xlfn.TEXTJOIN(", ",TRUE,ABS(MID(C388,{1,1,2},1)-MID(C388,{2,3,3},1)))</f>
        <v>8, 5, 3</v>
      </c>
      <c r="AB388" s="90">
        <v>0</v>
      </c>
      <c r="AC388" s="90">
        <v>1</v>
      </c>
      <c r="AD388" s="90">
        <v>2</v>
      </c>
      <c r="AE388" s="90">
        <v>3</v>
      </c>
      <c r="AF388" s="90">
        <v>4</v>
      </c>
      <c r="AG388" s="90">
        <v>5</v>
      </c>
      <c r="AH388" s="90">
        <v>6</v>
      </c>
      <c r="AI388" s="90">
        <v>7</v>
      </c>
      <c r="AJ388" s="90">
        <v>8</v>
      </c>
      <c r="AK388" s="90">
        <v>9</v>
      </c>
      <c r="AL388" s="91">
        <v>0</v>
      </c>
      <c r="AM388" s="91">
        <v>1</v>
      </c>
      <c r="AN388" s="91">
        <v>2</v>
      </c>
      <c r="AO388" s="91">
        <v>3</v>
      </c>
      <c r="AP388" s="91">
        <v>4</v>
      </c>
      <c r="AQ388" s="91">
        <v>5</v>
      </c>
      <c r="AR388" s="91">
        <v>6</v>
      </c>
      <c r="AS388" s="91">
        <v>7</v>
      </c>
      <c r="AT388" s="91">
        <v>8</v>
      </c>
      <c r="AU388" s="91">
        <v>9</v>
      </c>
      <c r="AV388" s="92">
        <v>0</v>
      </c>
      <c r="AW388" s="92">
        <v>1</v>
      </c>
      <c r="AX388" s="92">
        <v>2</v>
      </c>
      <c r="AY388" s="92">
        <v>3</v>
      </c>
      <c r="AZ388" s="92">
        <v>4</v>
      </c>
      <c r="BA388" s="92">
        <v>5</v>
      </c>
      <c r="BB388" s="92">
        <v>6</v>
      </c>
      <c r="BC388" s="92">
        <v>7</v>
      </c>
      <c r="BD388" s="92">
        <v>8</v>
      </c>
      <c r="BE388" s="92">
        <v>9</v>
      </c>
      <c r="BF388" s="93">
        <v>0</v>
      </c>
      <c r="BG388" s="93">
        <v>1</v>
      </c>
      <c r="BH388" s="93">
        <v>2</v>
      </c>
      <c r="BI388" s="93">
        <v>3</v>
      </c>
      <c r="BJ388" s="93">
        <v>4</v>
      </c>
      <c r="BK388" s="93">
        <v>5</v>
      </c>
      <c r="BL388" s="93">
        <v>6</v>
      </c>
      <c r="BM388" s="93">
        <v>7</v>
      </c>
      <c r="BN388" s="93">
        <v>8</v>
      </c>
      <c r="BO388" s="93">
        <v>9</v>
      </c>
      <c r="BP388" s="94" t="str">
        <f t="shared" si="280"/>
        <v>松散型</v>
      </c>
      <c r="BQ388" s="15">
        <f t="shared" si="277"/>
        <v>3</v>
      </c>
      <c r="BR388" s="15">
        <f t="shared" si="278"/>
        <v>8</v>
      </c>
      <c r="BS388" s="20" t="str">
        <f t="shared" si="287"/>
        <v/>
      </c>
      <c r="BT388" s="21" t="str">
        <f t="shared" si="288"/>
        <v/>
      </c>
      <c r="BU388" s="21" t="str">
        <f t="array" ref="BU388">_xlfn.TEXTJOIN("",TRUE,IF(ISERROR(FIND(ROW($1:$168)-1,BS388&amp;BT388)),ROW($1:$168)-1,""))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88" s="22" t="str">
        <f t="shared" si="289"/>
        <v>中中中</v>
      </c>
      <c r="BW388" s="23" t="str">
        <f t="shared" si="300"/>
        <v/>
      </c>
      <c r="BX388" s="23" t="str">
        <f t="shared" si="298"/>
        <v/>
      </c>
      <c r="BY388" s="23" t="str">
        <f t="array" ref="BY388">_xlfn.TEXTJOIN("",TRUE,IF(ISERROR(FIND(ROW($1:$168)-1,BW388&amp;BX388)),ROW($1:$168)-1,""))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88" s="22" t="str">
        <f t="shared" si="290"/>
        <v>中中中</v>
      </c>
      <c r="CA388" s="24">
        <f t="shared" si="291"/>
        <v>3</v>
      </c>
      <c r="CB388" s="24">
        <f t="shared" si="299"/>
        <v>3</v>
      </c>
      <c r="CC388" s="24" t="str">
        <f t="array" ref="CC388">_xlfn.TEXTJOIN("",TRUE,IF(ISERROR(FIND(ROW($1:$168)-1,CA388&amp;CB388)),ROW($1:$168)-1,""))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88" s="22" t="str">
        <f t="shared" si="292"/>
        <v>复隔中</v>
      </c>
      <c r="CE388" s="25" t="str">
        <f t="shared" si="281"/>
        <v>79</v>
      </c>
      <c r="CF388" s="26" t="str">
        <f t="array" ref="CF388">_xlfn.TEXTJOIN("",TRUE,IF(ISNUMBER(FIND(MID(CE387&amp;W387,ROW($1:$162),1),CE388&amp;W388)),MID(CE387&amp;W387,ROW($1:$162),1),""))</f>
        <v/>
      </c>
      <c r="CG388" s="27" t="str">
        <f t="array" ref="CG388">_xlfn.TEXTJOIN("",TRUE,IF(ISERROR(FIND(ROW($1:$168)-1,CE388&amp;CF388)),ROW($1:$168)-1,""))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388" s="28" t="str">
        <f t="shared" si="293"/>
        <v>邻孤孤</v>
      </c>
      <c r="CI388" s="29" t="str">
        <f t="shared" si="294"/>
        <v>46</v>
      </c>
      <c r="CJ388" s="29" t="str">
        <f t="array" ref="CJ388">_xlfn.TEXTJOIN("",TRUE,IF(ISNUMBER(FIND(MID(CI387&amp;X387,ROW($1:$162),1),CI388&amp;X388)),MID(CI387&amp;X387,ROW($1:$162),1),""))</f>
        <v/>
      </c>
      <c r="CK388" s="29" t="str">
        <f t="array" ref="CK388">_xlfn.TEXTJOIN("",TRUE,IF(ISERROR(FIND(ROW($1:$168)-1,CI388&amp;CJ388)),ROW($1:$168)-1,""))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88" s="19" t="str">
        <f t="shared" si="295"/>
        <v>邻孤孤</v>
      </c>
      <c r="CM388" s="24" t="str">
        <f t="shared" si="296"/>
        <v>24</v>
      </c>
      <c r="CN388" s="24" t="str">
        <f t="array" ref="CN388">_xlfn.TEXTJOIN("",TRUE,IF(ISNUMBER(FIND(MID(CM387&amp;Y387,ROW($1:$162),1),CM388&amp;Y388)),MID(CM387&amp;Y387,ROW($1:$162),1),""))</f>
        <v>2</v>
      </c>
      <c r="CO388" s="24" t="str">
        <f t="array" ref="CO388">_xlfn.TEXTJOIN("",TRUE,IF(ISERROR(FIND(ROW($1:$168)-1,CM388&amp;CN388)),ROW($1:$168)-1,""))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88" s="30" t="str">
        <f t="shared" si="297"/>
        <v>邻传孤</v>
      </c>
    </row>
    <row r="389" spans="1:94">
      <c r="A389" s="15">
        <v>389</v>
      </c>
      <c r="B389" s="80">
        <v>2025006</v>
      </c>
      <c r="C389" s="8" t="s">
        <v>344</v>
      </c>
      <c r="D389" s="81">
        <f t="shared" si="301"/>
        <v>25</v>
      </c>
      <c r="E389" s="82">
        <f t="shared" si="302"/>
        <v>5</v>
      </c>
      <c r="F389" s="83">
        <f t="shared" si="306"/>
        <v>25</v>
      </c>
      <c r="G389" s="84" t="str">
        <f t="shared" si="307"/>
        <v>紧凑</v>
      </c>
      <c r="H389" s="85" t="s">
        <v>10</v>
      </c>
      <c r="I389" s="85" t="s">
        <v>11</v>
      </c>
      <c r="J389" s="85" t="s">
        <v>12</v>
      </c>
      <c r="K389" s="85" t="s">
        <v>13</v>
      </c>
      <c r="L389" s="86">
        <f>MAX(MID(C389,{1,2,3},1)*1)-MIN(MID(C389,{1,2,3},1)*1)</f>
        <v>1</v>
      </c>
      <c r="M389" s="87">
        <v>0</v>
      </c>
      <c r="N389" s="87">
        <v>1</v>
      </c>
      <c r="O389" s="87">
        <v>2</v>
      </c>
      <c r="P389" s="87">
        <v>3</v>
      </c>
      <c r="Q389" s="87">
        <v>4</v>
      </c>
      <c r="R389" s="87">
        <v>5</v>
      </c>
      <c r="S389" s="87">
        <v>6</v>
      </c>
      <c r="T389" s="87">
        <v>7</v>
      </c>
      <c r="U389" s="87">
        <v>8</v>
      </c>
      <c r="V389" s="87">
        <v>9</v>
      </c>
      <c r="W389" s="88">
        <f t="shared" si="303"/>
        <v>1</v>
      </c>
      <c r="X389" s="88">
        <f t="shared" si="304"/>
        <v>0</v>
      </c>
      <c r="Y389" s="88">
        <f t="shared" si="305"/>
        <v>1</v>
      </c>
      <c r="Z389" s="89">
        <f t="shared" si="279"/>
        <v>2</v>
      </c>
      <c r="AA389" s="17" t="str">
        <f>_xlfn.TEXTJOIN(", ",TRUE,ABS(MID(C389,{1,1,2},1)-MID(C389,{2,3,3},1)))</f>
        <v>1, 0, 1</v>
      </c>
      <c r="AB389" s="90">
        <v>0</v>
      </c>
      <c r="AC389" s="90">
        <v>1</v>
      </c>
      <c r="AD389" s="90">
        <v>2</v>
      </c>
      <c r="AE389" s="90">
        <v>3</v>
      </c>
      <c r="AF389" s="90">
        <v>4</v>
      </c>
      <c r="AG389" s="90">
        <v>5</v>
      </c>
      <c r="AH389" s="90">
        <v>6</v>
      </c>
      <c r="AI389" s="90">
        <v>7</v>
      </c>
      <c r="AJ389" s="90">
        <v>8</v>
      </c>
      <c r="AK389" s="90">
        <v>9</v>
      </c>
      <c r="AL389" s="91">
        <v>0</v>
      </c>
      <c r="AM389" s="91">
        <v>1</v>
      </c>
      <c r="AN389" s="91">
        <v>2</v>
      </c>
      <c r="AO389" s="91">
        <v>3</v>
      </c>
      <c r="AP389" s="91">
        <v>4</v>
      </c>
      <c r="AQ389" s="91">
        <v>5</v>
      </c>
      <c r="AR389" s="91">
        <v>6</v>
      </c>
      <c r="AS389" s="91">
        <v>7</v>
      </c>
      <c r="AT389" s="91">
        <v>8</v>
      </c>
      <c r="AU389" s="91">
        <v>9</v>
      </c>
      <c r="AV389" s="92">
        <v>0</v>
      </c>
      <c r="AW389" s="92">
        <v>1</v>
      </c>
      <c r="AX389" s="92">
        <v>2</v>
      </c>
      <c r="AY389" s="92">
        <v>3</v>
      </c>
      <c r="AZ389" s="92">
        <v>4</v>
      </c>
      <c r="BA389" s="92">
        <v>5</v>
      </c>
      <c r="BB389" s="92">
        <v>6</v>
      </c>
      <c r="BC389" s="92">
        <v>7</v>
      </c>
      <c r="BD389" s="92">
        <v>8</v>
      </c>
      <c r="BE389" s="92">
        <v>9</v>
      </c>
      <c r="BF389" s="93">
        <v>0</v>
      </c>
      <c r="BG389" s="93">
        <v>1</v>
      </c>
      <c r="BH389" s="93">
        <v>2</v>
      </c>
      <c r="BI389" s="93">
        <v>3</v>
      </c>
      <c r="BJ389" s="93">
        <v>4</v>
      </c>
      <c r="BK389" s="93">
        <v>5</v>
      </c>
      <c r="BL389" s="93">
        <v>6</v>
      </c>
      <c r="BM389" s="93">
        <v>7</v>
      </c>
      <c r="BN389" s="93">
        <v>8</v>
      </c>
      <c r="BO389" s="93">
        <v>9</v>
      </c>
      <c r="BP389" s="94" t="str">
        <f t="shared" si="280"/>
        <v>紧凑型</v>
      </c>
      <c r="BQ389" s="15">
        <f t="shared" si="277"/>
        <v>0</v>
      </c>
      <c r="BR389" s="15">
        <f t="shared" si="278"/>
        <v>1</v>
      </c>
      <c r="BS389" s="20" t="str">
        <f t="shared" si="287"/>
        <v/>
      </c>
      <c r="BT389" s="21">
        <f t="shared" si="288"/>
        <v>1</v>
      </c>
      <c r="BU389" s="21" t="str">
        <f t="array" ref="BU389">_xlfn.TEXTJOIN("",TRUE,IF(ISERROR(FIND(ROW($1:$168)-1,BS389&amp;BT389)),ROW($1:$168)-1,""))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89" s="22" t="str">
        <f t="shared" si="289"/>
        <v>中隔中</v>
      </c>
      <c r="BW389" s="23" t="str">
        <f t="shared" si="300"/>
        <v/>
      </c>
      <c r="BX389" s="23" t="str">
        <f t="shared" si="298"/>
        <v/>
      </c>
      <c r="BY389" s="23" t="str">
        <f t="array" ref="BY389">_xlfn.TEXTJOIN("",TRUE,IF(ISERROR(FIND(ROW($1:$168)-1,BW389&amp;BX389)),ROW($1:$168)-1,""))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89" s="22" t="str">
        <f t="shared" si="290"/>
        <v>中中中</v>
      </c>
      <c r="CA389" s="24" t="str">
        <f t="shared" si="291"/>
        <v/>
      </c>
      <c r="CB389" s="24">
        <f t="shared" si="299"/>
        <v>1</v>
      </c>
      <c r="CC389" s="24" t="str">
        <f t="array" ref="CC389">_xlfn.TEXTJOIN("",TRUE,IF(ISERROR(FIND(ROW($1:$168)-1,CA389&amp;CB389)),ROW($1:$168)-1,""))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89" s="22" t="str">
        <f t="shared" si="292"/>
        <v>中隔中</v>
      </c>
      <c r="CE389" s="25" t="str">
        <f t="shared" si="281"/>
        <v>02</v>
      </c>
      <c r="CF389" s="26" t="str">
        <f t="array" ref="CF389">_xlfn.TEXTJOIN("",TRUE,IF(ISNUMBER(FIND(MID(CE388&amp;W388,ROW($1:$162),1),CE389&amp;W389)),MID(CE388&amp;W388,ROW($1:$162),1),""))</f>
        <v/>
      </c>
      <c r="CG389" s="27" t="str">
        <f t="array" ref="CG389">_xlfn.TEXTJOIN("",TRUE,IF(ISERROR(FIND(ROW($1:$168)-1,CE389&amp;CF389)),ROW($1:$168)-1,""))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89" s="28" t="str">
        <f t="shared" si="293"/>
        <v>邻孤孤</v>
      </c>
      <c r="CI389" s="29" t="str">
        <f t="shared" si="294"/>
        <v>91</v>
      </c>
      <c r="CJ389" s="29" t="str">
        <f t="array" ref="CJ389">_xlfn.TEXTJOIN("",TRUE,IF(ISNUMBER(FIND(MID(CI388&amp;X388,ROW($1:$162),1),CI389&amp;X389)),MID(CI388&amp;X388,ROW($1:$162),1),""))</f>
        <v/>
      </c>
      <c r="CK389" s="29" t="str">
        <f t="array" ref="CK389">_xlfn.TEXTJOIN("",TRUE,IF(ISERROR(FIND(ROW($1:$168)-1,CI389&amp;CJ389)),ROW($1:$168)-1,""))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389" s="19" t="str">
        <f t="shared" si="295"/>
        <v>邻孤孤</v>
      </c>
      <c r="CM389" s="24" t="str">
        <f t="shared" si="296"/>
        <v>02</v>
      </c>
      <c r="CN389" s="24" t="str">
        <f t="array" ref="CN389">_xlfn.TEXTJOIN("",TRUE,IF(ISNUMBER(FIND(MID(CM388&amp;Y388,ROW($1:$162),1),CM389&amp;Y389)),MID(CM388&amp;Y388,ROW($1:$162),1),""))</f>
        <v>2</v>
      </c>
      <c r="CO389" s="24" t="str">
        <f t="array" ref="CO389">_xlfn.TEXTJOIN("",TRUE,IF(ISERROR(FIND(ROW($1:$168)-1,CM389&amp;CN389)),ROW($1:$168)-1,""))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89" s="30" t="str">
        <f t="shared" si="297"/>
        <v>邻传孤</v>
      </c>
    </row>
    <row r="390" spans="1:94">
      <c r="A390" s="15">
        <v>390</v>
      </c>
      <c r="B390" s="80">
        <v>2025007</v>
      </c>
      <c r="C390" s="8" t="s">
        <v>345</v>
      </c>
      <c r="D390" s="81">
        <f t="shared" si="301"/>
        <v>6</v>
      </c>
      <c r="E390" s="82">
        <f t="shared" si="302"/>
        <v>6</v>
      </c>
      <c r="F390" s="83">
        <f t="shared" si="306"/>
        <v>2</v>
      </c>
      <c r="G390" s="84" t="str">
        <f t="shared" si="307"/>
        <v>标准</v>
      </c>
      <c r="H390" s="85" t="s">
        <v>10</v>
      </c>
      <c r="I390" s="85" t="s">
        <v>11</v>
      </c>
      <c r="J390" s="85" t="s">
        <v>12</v>
      </c>
      <c r="K390" s="85" t="s">
        <v>13</v>
      </c>
      <c r="L390" s="86">
        <f>MAX(MID(C390,{1,2,3},1)*1)-MIN(MID(C390,{1,2,3},1)*1)</f>
        <v>3</v>
      </c>
      <c r="M390" s="87">
        <v>0</v>
      </c>
      <c r="N390" s="87">
        <v>1</v>
      </c>
      <c r="O390" s="87">
        <v>2</v>
      </c>
      <c r="P390" s="87">
        <v>3</v>
      </c>
      <c r="Q390" s="87">
        <v>4</v>
      </c>
      <c r="R390" s="87">
        <v>5</v>
      </c>
      <c r="S390" s="87">
        <v>6</v>
      </c>
      <c r="T390" s="87">
        <v>7</v>
      </c>
      <c r="U390" s="87">
        <v>8</v>
      </c>
      <c r="V390" s="87">
        <v>9</v>
      </c>
      <c r="W390" s="88">
        <f t="shared" si="303"/>
        <v>3</v>
      </c>
      <c r="X390" s="88">
        <f t="shared" si="304"/>
        <v>0</v>
      </c>
      <c r="Y390" s="88">
        <f t="shared" si="305"/>
        <v>3</v>
      </c>
      <c r="Z390" s="89">
        <f t="shared" si="279"/>
        <v>6</v>
      </c>
      <c r="AA390" s="17" t="str">
        <f>_xlfn.TEXTJOIN(", ",TRUE,ABS(MID(C390,{1,1,2},1)-MID(C390,{2,3,3},1)))</f>
        <v>3, 0, 3</v>
      </c>
      <c r="AB390" s="90">
        <v>0</v>
      </c>
      <c r="AC390" s="90">
        <v>1</v>
      </c>
      <c r="AD390" s="90">
        <v>2</v>
      </c>
      <c r="AE390" s="90">
        <v>3</v>
      </c>
      <c r="AF390" s="90">
        <v>4</v>
      </c>
      <c r="AG390" s="90">
        <v>5</v>
      </c>
      <c r="AH390" s="90">
        <v>6</v>
      </c>
      <c r="AI390" s="90">
        <v>7</v>
      </c>
      <c r="AJ390" s="90">
        <v>8</v>
      </c>
      <c r="AK390" s="90">
        <v>9</v>
      </c>
      <c r="AL390" s="91">
        <v>0</v>
      </c>
      <c r="AM390" s="91">
        <v>1</v>
      </c>
      <c r="AN390" s="91">
        <v>2</v>
      </c>
      <c r="AO390" s="91">
        <v>3</v>
      </c>
      <c r="AP390" s="91">
        <v>4</v>
      </c>
      <c r="AQ390" s="91">
        <v>5</v>
      </c>
      <c r="AR390" s="91">
        <v>6</v>
      </c>
      <c r="AS390" s="91">
        <v>7</v>
      </c>
      <c r="AT390" s="91">
        <v>8</v>
      </c>
      <c r="AU390" s="91">
        <v>9</v>
      </c>
      <c r="AV390" s="92">
        <v>0</v>
      </c>
      <c r="AW390" s="92">
        <v>1</v>
      </c>
      <c r="AX390" s="92">
        <v>2</v>
      </c>
      <c r="AY390" s="92">
        <v>3</v>
      </c>
      <c r="AZ390" s="92">
        <v>4</v>
      </c>
      <c r="BA390" s="92">
        <v>5</v>
      </c>
      <c r="BB390" s="92">
        <v>6</v>
      </c>
      <c r="BC390" s="92">
        <v>7</v>
      </c>
      <c r="BD390" s="92">
        <v>8</v>
      </c>
      <c r="BE390" s="92">
        <v>9</v>
      </c>
      <c r="BF390" s="93">
        <v>0</v>
      </c>
      <c r="BG390" s="93">
        <v>1</v>
      </c>
      <c r="BH390" s="93">
        <v>2</v>
      </c>
      <c r="BI390" s="93">
        <v>3</v>
      </c>
      <c r="BJ390" s="93">
        <v>4</v>
      </c>
      <c r="BK390" s="93">
        <v>5</v>
      </c>
      <c r="BL390" s="93">
        <v>6</v>
      </c>
      <c r="BM390" s="93">
        <v>7</v>
      </c>
      <c r="BN390" s="93">
        <v>8</v>
      </c>
      <c r="BO390" s="93">
        <v>9</v>
      </c>
      <c r="BP390" s="94" t="str">
        <f t="shared" si="280"/>
        <v>紧凑型</v>
      </c>
      <c r="BQ390" s="15">
        <f t="shared" si="277"/>
        <v>0</v>
      </c>
      <c r="BR390" s="15">
        <f t="shared" si="278"/>
        <v>3</v>
      </c>
      <c r="BS390" s="20" t="str">
        <f t="shared" si="287"/>
        <v/>
      </c>
      <c r="BT390" s="21">
        <f t="shared" si="288"/>
        <v>3</v>
      </c>
      <c r="BU390" s="21" t="str">
        <f t="array" ref="BU390">_xlfn.TEXTJOIN("",TRUE,IF(ISERROR(FIND(ROW($1:$168)-1,BS390&amp;BT390)),ROW($1:$168)-1,""))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90" s="22" t="str">
        <f t="shared" si="289"/>
        <v>中隔中</v>
      </c>
      <c r="BW390" s="23">
        <f t="shared" si="300"/>
        <v>0</v>
      </c>
      <c r="BX390" s="23" t="str">
        <f t="shared" si="298"/>
        <v/>
      </c>
      <c r="BY390" s="23" t="str">
        <f t="array" ref="BY390">_xlfn.TEXTJOIN("",TRUE,IF(ISERROR(FIND(ROW($1:$168)-1,BW390&amp;BX390)),ROW($1:$168)-1,""))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90" s="22" t="str">
        <f t="shared" si="290"/>
        <v>复中中</v>
      </c>
      <c r="CA390" s="24" t="str">
        <f t="shared" si="291"/>
        <v/>
      </c>
      <c r="CB390" s="24">
        <f t="shared" si="299"/>
        <v>3</v>
      </c>
      <c r="CC390" s="24" t="str">
        <f t="array" ref="CC390">_xlfn.TEXTJOIN("",TRUE,IF(ISERROR(FIND(ROW($1:$168)-1,CA390&amp;CB390)),ROW($1:$168)-1,""))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90" s="22" t="str">
        <f t="shared" si="292"/>
        <v>中隔中</v>
      </c>
      <c r="CE390" s="25" t="str">
        <f t="shared" si="281"/>
        <v>24</v>
      </c>
      <c r="CF390" s="26" t="str">
        <f t="array" ref="CF390">_xlfn.TEXTJOIN("",TRUE,IF(ISNUMBER(FIND(MID(CE389&amp;W389,ROW($1:$162),1),CE390&amp;W390)),MID(CE389&amp;W389,ROW($1:$162),1),""))</f>
        <v>2</v>
      </c>
      <c r="CG390" s="27" t="str">
        <f t="array" ref="CG390">_xlfn.TEXTJOIN("",TRUE,IF(ISERROR(FIND(ROW($1:$168)-1,CE390&amp;CF390)),ROW($1:$168)-1,""))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90" s="28" t="str">
        <f t="shared" si="293"/>
        <v>邻传孤</v>
      </c>
      <c r="CI390" s="29" t="str">
        <f t="shared" si="294"/>
        <v>91</v>
      </c>
      <c r="CJ390" s="29" t="str">
        <f t="array" ref="CJ390">_xlfn.TEXTJOIN("",TRUE,IF(ISNUMBER(FIND(MID(CI389&amp;X389,ROW($1:$162),1),CI390&amp;X390)),MID(CI389&amp;X389,ROW($1:$162),1),""))</f>
        <v>910</v>
      </c>
      <c r="CK390" s="29" t="str">
        <f t="array" ref="CK390">_xlfn.TEXTJOIN("",TRUE,IF(ISERROR(FIND(ROW($1:$168)-1,CI390&amp;CJ390)),ROW($1:$168)-1,""))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390" s="19" t="str">
        <f t="shared" si="295"/>
        <v>邻传孤</v>
      </c>
      <c r="CM390" s="24" t="str">
        <f t="shared" si="296"/>
        <v>24</v>
      </c>
      <c r="CN390" s="24" t="str">
        <f t="array" ref="CN390">_xlfn.TEXTJOIN("",TRUE,IF(ISNUMBER(FIND(MID(CM389&amp;Y389,ROW($1:$162),1),CM390&amp;Y390)),MID(CM389&amp;Y389,ROW($1:$162),1),""))</f>
        <v>2</v>
      </c>
      <c r="CO390" s="24" t="str">
        <f t="array" ref="CO390">_xlfn.TEXTJOIN("",TRUE,IF(ISERROR(FIND(ROW($1:$168)-1,CM390&amp;CN390)),ROW($1:$168)-1,""))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90" s="30" t="str">
        <f t="shared" si="297"/>
        <v>邻传孤</v>
      </c>
    </row>
    <row r="391" spans="1:94">
      <c r="A391" s="15">
        <v>391</v>
      </c>
      <c r="B391" s="80">
        <v>2025008</v>
      </c>
      <c r="C391" s="8" t="s">
        <v>346</v>
      </c>
      <c r="D391" s="81">
        <f t="shared" ref="D391:D415" si="308">LEFT(C391,1)+MID(C391,2,1)+RIGHT(C391,1)</f>
        <v>8</v>
      </c>
      <c r="E391" s="82">
        <f t="shared" ref="E391:E415" si="309">MOD(LEFT(C391,1)+MID(C391,2,1)+RIGHT(C391,1),10)</f>
        <v>8</v>
      </c>
      <c r="F391" s="83">
        <f t="shared" si="306"/>
        <v>1.33333333333333</v>
      </c>
      <c r="G391" s="84" t="str">
        <f t="shared" si="307"/>
        <v>松散</v>
      </c>
      <c r="H391" s="85" t="s">
        <v>10</v>
      </c>
      <c r="I391" s="85" t="s">
        <v>11</v>
      </c>
      <c r="J391" s="85" t="s">
        <v>12</v>
      </c>
      <c r="K391" s="85" t="s">
        <v>13</v>
      </c>
      <c r="L391" s="86">
        <f>MAX(MID(C391,{1,2,3},1)*1)-MIN(MID(C391,{1,2,3},1)*1)</f>
        <v>6</v>
      </c>
      <c r="M391" s="87">
        <v>0</v>
      </c>
      <c r="N391" s="87">
        <v>1</v>
      </c>
      <c r="O391" s="87">
        <v>2</v>
      </c>
      <c r="P391" s="87">
        <v>3</v>
      </c>
      <c r="Q391" s="87">
        <v>4</v>
      </c>
      <c r="R391" s="87">
        <v>5</v>
      </c>
      <c r="S391" s="87">
        <v>6</v>
      </c>
      <c r="T391" s="87">
        <v>7</v>
      </c>
      <c r="U391" s="87">
        <v>8</v>
      </c>
      <c r="V391" s="87">
        <v>9</v>
      </c>
      <c r="W391" s="88">
        <f t="shared" ref="W391:W415" si="310">ABS(LEFT(C391,1)-MID(C391,2,1))</f>
        <v>4</v>
      </c>
      <c r="X391" s="88">
        <f t="shared" ref="X391:X415" si="311">ABS(LEFT(C391,1)-RIGHT(C391,1))</f>
        <v>2</v>
      </c>
      <c r="Y391" s="88">
        <f t="shared" ref="Y391:Y415" si="312">ABS(MID(C391,2,1)-RIGHT(C391,1))</f>
        <v>6</v>
      </c>
      <c r="Z391" s="89">
        <f t="shared" si="279"/>
        <v>12</v>
      </c>
      <c r="AA391" s="17" t="str">
        <f>_xlfn.TEXTJOIN(", ",TRUE,ABS(MID(C391,{1,1,2},1)-MID(C391,{2,3,3},1)))</f>
        <v>4, 2, 6</v>
      </c>
      <c r="AB391" s="90">
        <v>0</v>
      </c>
      <c r="AC391" s="90">
        <v>1</v>
      </c>
      <c r="AD391" s="90">
        <v>2</v>
      </c>
      <c r="AE391" s="90">
        <v>3</v>
      </c>
      <c r="AF391" s="90">
        <v>4</v>
      </c>
      <c r="AG391" s="90">
        <v>5</v>
      </c>
      <c r="AH391" s="90">
        <v>6</v>
      </c>
      <c r="AI391" s="90">
        <v>7</v>
      </c>
      <c r="AJ391" s="90">
        <v>8</v>
      </c>
      <c r="AK391" s="90">
        <v>9</v>
      </c>
      <c r="AL391" s="91">
        <v>0</v>
      </c>
      <c r="AM391" s="91">
        <v>1</v>
      </c>
      <c r="AN391" s="91">
        <v>2</v>
      </c>
      <c r="AO391" s="91">
        <v>3</v>
      </c>
      <c r="AP391" s="91">
        <v>4</v>
      </c>
      <c r="AQ391" s="91">
        <v>5</v>
      </c>
      <c r="AR391" s="91">
        <v>6</v>
      </c>
      <c r="AS391" s="91">
        <v>7</v>
      </c>
      <c r="AT391" s="91">
        <v>8</v>
      </c>
      <c r="AU391" s="91">
        <v>9</v>
      </c>
      <c r="AV391" s="92">
        <v>0</v>
      </c>
      <c r="AW391" s="92">
        <v>1</v>
      </c>
      <c r="AX391" s="92">
        <v>2</v>
      </c>
      <c r="AY391" s="92">
        <v>3</v>
      </c>
      <c r="AZ391" s="92">
        <v>4</v>
      </c>
      <c r="BA391" s="92">
        <v>5</v>
      </c>
      <c r="BB391" s="92">
        <v>6</v>
      </c>
      <c r="BC391" s="92">
        <v>7</v>
      </c>
      <c r="BD391" s="92">
        <v>8</v>
      </c>
      <c r="BE391" s="92">
        <v>9</v>
      </c>
      <c r="BF391" s="93">
        <v>0</v>
      </c>
      <c r="BG391" s="93">
        <v>1</v>
      </c>
      <c r="BH391" s="93">
        <v>2</v>
      </c>
      <c r="BI391" s="93">
        <v>3</v>
      </c>
      <c r="BJ391" s="93">
        <v>4</v>
      </c>
      <c r="BK391" s="93">
        <v>5</v>
      </c>
      <c r="BL391" s="93">
        <v>6</v>
      </c>
      <c r="BM391" s="93">
        <v>7</v>
      </c>
      <c r="BN391" s="93">
        <v>8</v>
      </c>
      <c r="BO391" s="93">
        <v>9</v>
      </c>
      <c r="BP391" s="94" t="str">
        <f t="shared" si="280"/>
        <v>松散型</v>
      </c>
      <c r="BQ391" s="15">
        <f t="shared" si="277"/>
        <v>2</v>
      </c>
      <c r="BR391" s="15">
        <f t="shared" si="278"/>
        <v>6</v>
      </c>
      <c r="BS391" s="20" t="str">
        <f t="shared" si="287"/>
        <v/>
      </c>
      <c r="BT391" s="21" t="str">
        <f t="shared" si="288"/>
        <v/>
      </c>
      <c r="BU391" s="21" t="str">
        <f t="array" ref="BU391">_xlfn.TEXTJOIN("",TRUE,IF(ISERROR(FIND(ROW($1:$168)-1,BS391&amp;BT391)),ROW($1:$168)-1,""))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91" s="22" t="str">
        <f t="shared" si="289"/>
        <v>中中中</v>
      </c>
      <c r="BW391" s="23" t="str">
        <f t="shared" si="300"/>
        <v/>
      </c>
      <c r="BX391" s="23" t="str">
        <f t="shared" si="298"/>
        <v/>
      </c>
      <c r="BY391" s="23" t="str">
        <f t="array" ref="BY391">_xlfn.TEXTJOIN("",TRUE,IF(ISERROR(FIND(ROW($1:$168)-1,BW391&amp;BX391)),ROW($1:$168)-1,""))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91" s="22" t="str">
        <f t="shared" si="290"/>
        <v>中中中</v>
      </c>
      <c r="CA391" s="24" t="str">
        <f t="shared" si="291"/>
        <v/>
      </c>
      <c r="CB391" s="24" t="str">
        <f t="shared" si="299"/>
        <v/>
      </c>
      <c r="CC391" s="24" t="str">
        <f t="array" ref="CC391">_xlfn.TEXTJOIN("",TRUE,IF(ISERROR(FIND(ROW($1:$168)-1,CA391&amp;CB391)),ROW($1:$168)-1,""))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91" s="22" t="str">
        <f t="shared" si="292"/>
        <v>中中中</v>
      </c>
      <c r="CE391" s="25" t="str">
        <f t="shared" si="281"/>
        <v>35</v>
      </c>
      <c r="CF391" s="26" t="str">
        <f t="array" ref="CF391">_xlfn.TEXTJOIN("",TRUE,IF(ISNUMBER(FIND(MID(CE390&amp;W390,ROW($1:$162),1),CE391&amp;W391)),MID(CE390&amp;W390,ROW($1:$162),1),""))</f>
        <v>43</v>
      </c>
      <c r="CG391" s="27" t="str">
        <f t="array" ref="CG391">_xlfn.TEXTJOIN("",TRUE,IF(ISERROR(FIND(ROW($1:$168)-1,CE391&amp;CF391)),ROW($1:$168)-1,""))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91" s="28" t="str">
        <f t="shared" si="293"/>
        <v>邻传孤</v>
      </c>
      <c r="CI391" s="29" t="str">
        <f t="shared" si="294"/>
        <v>13</v>
      </c>
      <c r="CJ391" s="29" t="str">
        <f t="array" ref="CJ391">_xlfn.TEXTJOIN("",TRUE,IF(ISNUMBER(FIND(MID(CI390&amp;X390,ROW($1:$162),1),CI391&amp;X391)),MID(CI390&amp;X390,ROW($1:$162),1),""))</f>
        <v>1</v>
      </c>
      <c r="CK391" s="29" t="str">
        <f t="array" ref="CK391">_xlfn.TEXTJOIN("",TRUE,IF(ISERROR(FIND(ROW($1:$168)-1,CI391&amp;CJ391)),ROW($1:$168)-1,""))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L391" s="19" t="str">
        <f t="shared" si="295"/>
        <v>邻传孤</v>
      </c>
      <c r="CM391" s="24" t="str">
        <f t="shared" si="296"/>
        <v>57</v>
      </c>
      <c r="CN391" s="24" t="str">
        <f t="array" ref="CN391">_xlfn.TEXTJOIN("",TRUE,IF(ISNUMBER(FIND(MID(CM390&amp;Y390,ROW($1:$162),1),CM391&amp;Y391)),MID(CM390&amp;Y390,ROW($1:$162),1),""))</f>
        <v/>
      </c>
      <c r="CO391" s="24" t="str">
        <f t="array" ref="CO391">_xlfn.TEXTJOIN("",TRUE,IF(ISERROR(FIND(ROW($1:$168)-1,CM391&amp;CN391)),ROW($1:$168)-1,""))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91" s="30" t="str">
        <f t="shared" si="297"/>
        <v>邻孤孤</v>
      </c>
    </row>
    <row r="392" spans="1:94">
      <c r="A392" s="15">
        <v>392</v>
      </c>
      <c r="B392" s="80">
        <v>2025009</v>
      </c>
      <c r="C392" s="8" t="s">
        <v>347</v>
      </c>
      <c r="D392" s="81">
        <f t="shared" si="308"/>
        <v>11</v>
      </c>
      <c r="E392" s="82">
        <f t="shared" si="309"/>
        <v>1</v>
      </c>
      <c r="F392" s="83">
        <f t="shared" si="306"/>
        <v>2.2</v>
      </c>
      <c r="G392" s="84" t="str">
        <f t="shared" si="307"/>
        <v>标准</v>
      </c>
      <c r="H392" s="85" t="s">
        <v>10</v>
      </c>
      <c r="I392" s="85" t="s">
        <v>11</v>
      </c>
      <c r="J392" s="85" t="s">
        <v>12</v>
      </c>
      <c r="K392" s="85" t="s">
        <v>13</v>
      </c>
      <c r="L392" s="86">
        <f>MAX(MID(C392,{1,2,3},1)*1)-MIN(MID(C392,{1,2,3},1)*1)</f>
        <v>5</v>
      </c>
      <c r="M392" s="87">
        <v>0</v>
      </c>
      <c r="N392" s="87">
        <v>1</v>
      </c>
      <c r="O392" s="87">
        <v>2</v>
      </c>
      <c r="P392" s="87">
        <v>3</v>
      </c>
      <c r="Q392" s="87">
        <v>4</v>
      </c>
      <c r="R392" s="87">
        <v>5</v>
      </c>
      <c r="S392" s="87">
        <v>6</v>
      </c>
      <c r="T392" s="87">
        <v>7</v>
      </c>
      <c r="U392" s="87">
        <v>8</v>
      </c>
      <c r="V392" s="87">
        <v>9</v>
      </c>
      <c r="W392" s="88">
        <f t="shared" si="310"/>
        <v>3</v>
      </c>
      <c r="X392" s="88">
        <f t="shared" si="311"/>
        <v>2</v>
      </c>
      <c r="Y392" s="88">
        <f t="shared" si="312"/>
        <v>5</v>
      </c>
      <c r="Z392" s="89">
        <f t="shared" si="279"/>
        <v>10</v>
      </c>
      <c r="AA392" s="17" t="str">
        <f>_xlfn.TEXTJOIN(", ",TRUE,ABS(MID(C392,{1,1,2},1)-MID(C392,{2,3,3},1)))</f>
        <v>3, 2, 5</v>
      </c>
      <c r="AB392" s="90">
        <v>0</v>
      </c>
      <c r="AC392" s="90">
        <v>1</v>
      </c>
      <c r="AD392" s="90">
        <v>2</v>
      </c>
      <c r="AE392" s="90">
        <v>3</v>
      </c>
      <c r="AF392" s="90">
        <v>4</v>
      </c>
      <c r="AG392" s="90">
        <v>5</v>
      </c>
      <c r="AH392" s="90">
        <v>6</v>
      </c>
      <c r="AI392" s="90">
        <v>7</v>
      </c>
      <c r="AJ392" s="90">
        <v>8</v>
      </c>
      <c r="AK392" s="90">
        <v>9</v>
      </c>
      <c r="AL392" s="91">
        <v>0</v>
      </c>
      <c r="AM392" s="91">
        <v>1</v>
      </c>
      <c r="AN392" s="91">
        <v>2</v>
      </c>
      <c r="AO392" s="91">
        <v>3</v>
      </c>
      <c r="AP392" s="91">
        <v>4</v>
      </c>
      <c r="AQ392" s="91">
        <v>5</v>
      </c>
      <c r="AR392" s="91">
        <v>6</v>
      </c>
      <c r="AS392" s="91">
        <v>7</v>
      </c>
      <c r="AT392" s="91">
        <v>8</v>
      </c>
      <c r="AU392" s="91">
        <v>9</v>
      </c>
      <c r="AV392" s="92">
        <v>0</v>
      </c>
      <c r="AW392" s="92">
        <v>1</v>
      </c>
      <c r="AX392" s="92">
        <v>2</v>
      </c>
      <c r="AY392" s="92">
        <v>3</v>
      </c>
      <c r="AZ392" s="92">
        <v>4</v>
      </c>
      <c r="BA392" s="92">
        <v>5</v>
      </c>
      <c r="BB392" s="92">
        <v>6</v>
      </c>
      <c r="BC392" s="92">
        <v>7</v>
      </c>
      <c r="BD392" s="92">
        <v>8</v>
      </c>
      <c r="BE392" s="92">
        <v>9</v>
      </c>
      <c r="BF392" s="93">
        <v>0</v>
      </c>
      <c r="BG392" s="93">
        <v>1</v>
      </c>
      <c r="BH392" s="93">
        <v>2</v>
      </c>
      <c r="BI392" s="93">
        <v>3</v>
      </c>
      <c r="BJ392" s="93">
        <v>4</v>
      </c>
      <c r="BK392" s="93">
        <v>5</v>
      </c>
      <c r="BL392" s="93">
        <v>6</v>
      </c>
      <c r="BM392" s="93">
        <v>7</v>
      </c>
      <c r="BN392" s="93">
        <v>8</v>
      </c>
      <c r="BO392" s="93">
        <v>9</v>
      </c>
      <c r="BP392" s="94" t="str">
        <f t="shared" si="280"/>
        <v>标准型</v>
      </c>
      <c r="BQ392" s="15">
        <f t="shared" si="277"/>
        <v>2</v>
      </c>
      <c r="BR392" s="15">
        <f t="shared" si="278"/>
        <v>5</v>
      </c>
      <c r="BS392" s="20" t="str">
        <f t="shared" si="287"/>
        <v/>
      </c>
      <c r="BT392" s="21">
        <f t="shared" si="288"/>
        <v>3</v>
      </c>
      <c r="BU392" s="21" t="str">
        <f t="array" ref="BU392">_xlfn.TEXTJOIN("",TRUE,IF(ISERROR(FIND(ROW($1:$168)-1,BS392&amp;BT392)),ROW($1:$168)-1,""))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92" s="22" t="str">
        <f t="shared" si="289"/>
        <v>中隔中</v>
      </c>
      <c r="BW392" s="23">
        <f t="shared" si="300"/>
        <v>2</v>
      </c>
      <c r="BX392" s="23" t="str">
        <f t="shared" si="298"/>
        <v/>
      </c>
      <c r="BY392" s="23" t="str">
        <f t="array" ref="BY392">_xlfn.TEXTJOIN("",TRUE,IF(ISERROR(FIND(ROW($1:$168)-1,BW392&amp;BX392)),ROW($1:$168)-1,""))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92" s="22" t="str">
        <f t="shared" si="290"/>
        <v>复中中</v>
      </c>
      <c r="CA392" s="24" t="str">
        <f t="shared" si="291"/>
        <v/>
      </c>
      <c r="CB392" s="24" t="str">
        <f t="shared" si="299"/>
        <v/>
      </c>
      <c r="CC392" s="24" t="str">
        <f t="array" ref="CC392">_xlfn.TEXTJOIN("",TRUE,IF(ISERROR(FIND(ROW($1:$168)-1,CA392&amp;CB392)),ROW($1:$168)-1,""))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92" s="22" t="str">
        <f t="shared" si="292"/>
        <v>中中中</v>
      </c>
      <c r="CE392" s="25" t="str">
        <f t="shared" si="281"/>
        <v>24</v>
      </c>
      <c r="CF392" s="26" t="str">
        <f t="array" ref="CF392">_xlfn.TEXTJOIN("",TRUE,IF(ISNUMBER(FIND(MID(CE391&amp;W391,ROW($1:$162),1),CE392&amp;W392)),MID(CE391&amp;W391,ROW($1:$162),1),""))</f>
        <v>34</v>
      </c>
      <c r="CG392" s="27" t="str">
        <f t="array" ref="CG392">_xlfn.TEXTJOIN("",TRUE,IF(ISERROR(FIND(ROW($1:$168)-1,CE392&amp;CF392)),ROW($1:$168)-1,""))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92" s="28" t="str">
        <f t="shared" si="293"/>
        <v>邻传孤</v>
      </c>
      <c r="CI392" s="29" t="str">
        <f t="shared" si="294"/>
        <v>13</v>
      </c>
      <c r="CJ392" s="29" t="str">
        <f t="array" ref="CJ392">_xlfn.TEXTJOIN("",TRUE,IF(ISNUMBER(FIND(MID(CI391&amp;X391,ROW($1:$162),1),CI392&amp;X392)),MID(CI391&amp;X391,ROW($1:$162),1),""))</f>
        <v>132</v>
      </c>
      <c r="CK392" s="29" t="str">
        <f t="array" ref="CK392">_xlfn.TEXTJOIN("",TRUE,IF(ISERROR(FIND(ROW($1:$168)-1,CI392&amp;CJ392)),ROW($1:$168)-1,""))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392" s="19" t="str">
        <f t="shared" si="295"/>
        <v>邻传孤</v>
      </c>
      <c r="CM392" s="24" t="str">
        <f t="shared" si="296"/>
        <v>46</v>
      </c>
      <c r="CN392" s="24" t="str">
        <f t="array" ref="CN392">_xlfn.TEXTJOIN("",TRUE,IF(ISNUMBER(FIND(MID(CM391&amp;Y391,ROW($1:$162),1),CM392&amp;Y392)),MID(CM391&amp;Y391,ROW($1:$162),1),""))</f>
        <v>56</v>
      </c>
      <c r="CO392" s="24" t="str">
        <f t="array" ref="CO392">_xlfn.TEXTJOIN("",TRUE,IF(ISERROR(FIND(ROW($1:$168)-1,CM392&amp;CN392)),ROW($1:$168)-1,""))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92" s="30" t="str">
        <f t="shared" si="297"/>
        <v>邻传孤</v>
      </c>
    </row>
    <row r="393" spans="1:94">
      <c r="A393" s="15">
        <v>393</v>
      </c>
      <c r="B393" s="80">
        <v>2025010</v>
      </c>
      <c r="C393" s="8" t="s">
        <v>348</v>
      </c>
      <c r="D393" s="81">
        <f t="shared" si="308"/>
        <v>9</v>
      </c>
      <c r="E393" s="82">
        <f t="shared" si="309"/>
        <v>9</v>
      </c>
      <c r="F393" s="83">
        <f t="shared" si="306"/>
        <v>0.1</v>
      </c>
      <c r="G393" s="84" t="str">
        <f t="shared" si="307"/>
        <v>极紧凑</v>
      </c>
      <c r="H393" s="85" t="s">
        <v>10</v>
      </c>
      <c r="I393" s="85" t="s">
        <v>11</v>
      </c>
      <c r="J393" s="85" t="s">
        <v>12</v>
      </c>
      <c r="K393" s="85" t="s">
        <v>13</v>
      </c>
      <c r="L393" s="86">
        <f>MAX(MID(C393,{1,2,3},1)*1)-MIN(MID(C393,{1,2,3},1)*1)</f>
        <v>0</v>
      </c>
      <c r="M393" s="87">
        <v>0</v>
      </c>
      <c r="N393" s="87">
        <v>1</v>
      </c>
      <c r="O393" s="87">
        <v>2</v>
      </c>
      <c r="P393" s="87">
        <v>3</v>
      </c>
      <c r="Q393" s="87">
        <v>4</v>
      </c>
      <c r="R393" s="87">
        <v>5</v>
      </c>
      <c r="S393" s="87">
        <v>6</v>
      </c>
      <c r="T393" s="87">
        <v>7</v>
      </c>
      <c r="U393" s="87">
        <v>8</v>
      </c>
      <c r="V393" s="87">
        <v>9</v>
      </c>
      <c r="W393" s="88">
        <f t="shared" si="310"/>
        <v>0</v>
      </c>
      <c r="X393" s="88">
        <f t="shared" si="311"/>
        <v>0</v>
      </c>
      <c r="Y393" s="88">
        <f t="shared" si="312"/>
        <v>0</v>
      </c>
      <c r="Z393" s="89">
        <f t="shared" si="279"/>
        <v>0</v>
      </c>
      <c r="AA393" s="17" t="str">
        <f>_xlfn.TEXTJOIN(", ",TRUE,ABS(MID(C393,{1,1,2},1)-MID(C393,{2,3,3},1)))</f>
        <v>0, 0, 0</v>
      </c>
      <c r="AB393" s="90">
        <v>0</v>
      </c>
      <c r="AC393" s="90">
        <v>1</v>
      </c>
      <c r="AD393" s="90">
        <v>2</v>
      </c>
      <c r="AE393" s="90">
        <v>3</v>
      </c>
      <c r="AF393" s="90">
        <v>4</v>
      </c>
      <c r="AG393" s="90">
        <v>5</v>
      </c>
      <c r="AH393" s="90">
        <v>6</v>
      </c>
      <c r="AI393" s="90">
        <v>7</v>
      </c>
      <c r="AJ393" s="90">
        <v>8</v>
      </c>
      <c r="AK393" s="90">
        <v>9</v>
      </c>
      <c r="AL393" s="91">
        <v>0</v>
      </c>
      <c r="AM393" s="91">
        <v>1</v>
      </c>
      <c r="AN393" s="91">
        <v>2</v>
      </c>
      <c r="AO393" s="91">
        <v>3</v>
      </c>
      <c r="AP393" s="91">
        <v>4</v>
      </c>
      <c r="AQ393" s="91">
        <v>5</v>
      </c>
      <c r="AR393" s="91">
        <v>6</v>
      </c>
      <c r="AS393" s="91">
        <v>7</v>
      </c>
      <c r="AT393" s="91">
        <v>8</v>
      </c>
      <c r="AU393" s="91">
        <v>9</v>
      </c>
      <c r="AV393" s="92">
        <v>0</v>
      </c>
      <c r="AW393" s="92">
        <v>1</v>
      </c>
      <c r="AX393" s="92">
        <v>2</v>
      </c>
      <c r="AY393" s="92">
        <v>3</v>
      </c>
      <c r="AZ393" s="92">
        <v>4</v>
      </c>
      <c r="BA393" s="92">
        <v>5</v>
      </c>
      <c r="BB393" s="92">
        <v>6</v>
      </c>
      <c r="BC393" s="92">
        <v>7</v>
      </c>
      <c r="BD393" s="92">
        <v>8</v>
      </c>
      <c r="BE393" s="92">
        <v>9</v>
      </c>
      <c r="BF393" s="93">
        <v>0</v>
      </c>
      <c r="BG393" s="93">
        <v>1</v>
      </c>
      <c r="BH393" s="93">
        <v>2</v>
      </c>
      <c r="BI393" s="93">
        <v>3</v>
      </c>
      <c r="BJ393" s="93">
        <v>4</v>
      </c>
      <c r="BK393" s="93">
        <v>5</v>
      </c>
      <c r="BL393" s="93">
        <v>6</v>
      </c>
      <c r="BM393" s="93">
        <v>7</v>
      </c>
      <c r="BN393" s="93">
        <v>8</v>
      </c>
      <c r="BO393" s="93">
        <v>9</v>
      </c>
      <c r="BP393" s="94" t="str">
        <f t="shared" si="280"/>
        <v>紧凑型</v>
      </c>
      <c r="BQ393" s="15">
        <f t="shared" si="277"/>
        <v>0</v>
      </c>
      <c r="BR393" s="15">
        <f t="shared" si="278"/>
        <v>0</v>
      </c>
      <c r="BS393" s="20" t="str">
        <f t="shared" si="287"/>
        <v/>
      </c>
      <c r="BT393" s="21" t="str">
        <f t="shared" si="288"/>
        <v/>
      </c>
      <c r="BU393" s="21" t="str">
        <f t="array" ref="BU393">_xlfn.TEXTJOIN("",TRUE,IF(ISERROR(FIND(ROW($1:$168)-1,BS393&amp;BT393)),ROW($1:$168)-1,""))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93" s="22" t="str">
        <f t="shared" si="289"/>
        <v>中中中</v>
      </c>
      <c r="BW393" s="23" t="str">
        <f t="shared" si="300"/>
        <v/>
      </c>
      <c r="BX393" s="23" t="str">
        <f t="shared" si="298"/>
        <v/>
      </c>
      <c r="BY393" s="23" t="str">
        <f t="array" ref="BY393">_xlfn.TEXTJOIN("",TRUE,IF(ISERROR(FIND(ROW($1:$168)-1,BW393&amp;BX393)),ROW($1:$168)-1,""))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93" s="22" t="str">
        <f t="shared" si="290"/>
        <v>中中中</v>
      </c>
      <c r="CA393" s="24" t="str">
        <f t="shared" si="291"/>
        <v/>
      </c>
      <c r="CB393" s="24" t="str">
        <f t="shared" si="299"/>
        <v/>
      </c>
      <c r="CC393" s="24" t="str">
        <f t="array" ref="CC393">_xlfn.TEXTJOIN("",TRUE,IF(ISERROR(FIND(ROW($1:$168)-1,CA393&amp;CB393)),ROW($1:$168)-1,""))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93" s="22" t="str">
        <f t="shared" si="292"/>
        <v>中中中</v>
      </c>
      <c r="CE393" s="25" t="str">
        <f t="shared" si="281"/>
        <v>91</v>
      </c>
      <c r="CF393" s="26" t="str">
        <f t="array" ref="CF393">_xlfn.TEXTJOIN("",TRUE,IF(ISNUMBER(FIND(MID(CE392&amp;W392,ROW($1:$162),1),CE393&amp;W393)),MID(CE392&amp;W392,ROW($1:$162),1),""))</f>
        <v/>
      </c>
      <c r="CG393" s="27" t="str">
        <f t="array" ref="CG393">_xlfn.TEXTJOIN("",TRUE,IF(ISERROR(FIND(ROW($1:$168)-1,CE393&amp;CF393)),ROW($1:$168)-1,""))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393" s="28" t="str">
        <f t="shared" si="293"/>
        <v>邻孤孤</v>
      </c>
      <c r="CI393" s="29" t="str">
        <f t="shared" si="294"/>
        <v>91</v>
      </c>
      <c r="CJ393" s="29" t="str">
        <f t="array" ref="CJ393">_xlfn.TEXTJOIN("",TRUE,IF(ISNUMBER(FIND(MID(CI392&amp;X392,ROW($1:$162),1),CI393&amp;X393)),MID(CI392&amp;X392,ROW($1:$162),1),""))</f>
        <v>1</v>
      </c>
      <c r="CK393" s="29" t="str">
        <f t="array" ref="CK393">_xlfn.TEXTJOIN("",TRUE,IF(ISERROR(FIND(ROW($1:$168)-1,CI393&amp;CJ393)),ROW($1:$168)-1,""))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393" s="19" t="str">
        <f t="shared" si="295"/>
        <v>邻传孤</v>
      </c>
      <c r="CM393" s="24" t="str">
        <f t="shared" si="296"/>
        <v>91</v>
      </c>
      <c r="CN393" s="24" t="str">
        <f t="array" ref="CN393">_xlfn.TEXTJOIN("",TRUE,IF(ISNUMBER(FIND(MID(CM392&amp;Y392,ROW($1:$162),1),CM393&amp;Y393)),MID(CM392&amp;Y392,ROW($1:$162),1),""))</f>
        <v/>
      </c>
      <c r="CO393" s="24" t="str">
        <f t="array" ref="CO393">_xlfn.TEXTJOIN("",TRUE,IF(ISERROR(FIND(ROW($1:$168)-1,CM393&amp;CN393)),ROW($1:$168)-1,""))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393" s="30" t="str">
        <f t="shared" si="297"/>
        <v>邻孤孤</v>
      </c>
    </row>
    <row r="394" spans="1:94">
      <c r="A394" s="15">
        <v>394</v>
      </c>
      <c r="B394" s="80">
        <v>2025011</v>
      </c>
      <c r="C394" s="8" t="s">
        <v>349</v>
      </c>
      <c r="D394" s="81">
        <f t="shared" si="308"/>
        <v>14</v>
      </c>
      <c r="E394" s="82">
        <f t="shared" si="309"/>
        <v>4</v>
      </c>
      <c r="F394" s="83">
        <f t="shared" si="306"/>
        <v>2</v>
      </c>
      <c r="G394" s="84" t="str">
        <f t="shared" si="307"/>
        <v>标准</v>
      </c>
      <c r="H394" s="85" t="s">
        <v>10</v>
      </c>
      <c r="I394" s="85" t="s">
        <v>11</v>
      </c>
      <c r="J394" s="85" t="s">
        <v>12</v>
      </c>
      <c r="K394" s="85" t="s">
        <v>13</v>
      </c>
      <c r="L394" s="86">
        <f>MAX(MID(C394,{1,2,3},1)*1)-MIN(MID(C394,{1,2,3},1)*1)</f>
        <v>7</v>
      </c>
      <c r="M394" s="87">
        <v>0</v>
      </c>
      <c r="N394" s="87">
        <v>1</v>
      </c>
      <c r="O394" s="87">
        <v>2</v>
      </c>
      <c r="P394" s="87">
        <v>3</v>
      </c>
      <c r="Q394" s="87">
        <v>4</v>
      </c>
      <c r="R394" s="87">
        <v>5</v>
      </c>
      <c r="S394" s="87">
        <v>6</v>
      </c>
      <c r="T394" s="87">
        <v>7</v>
      </c>
      <c r="U394" s="87">
        <v>8</v>
      </c>
      <c r="V394" s="87">
        <v>9</v>
      </c>
      <c r="W394" s="88">
        <f t="shared" si="310"/>
        <v>4</v>
      </c>
      <c r="X394" s="88">
        <f t="shared" si="311"/>
        <v>3</v>
      </c>
      <c r="Y394" s="88">
        <f t="shared" si="312"/>
        <v>7</v>
      </c>
      <c r="Z394" s="89">
        <f t="shared" si="279"/>
        <v>14</v>
      </c>
      <c r="AA394" s="17" t="str">
        <f>_xlfn.TEXTJOIN(", ",TRUE,ABS(MID(C394,{1,1,2},1)-MID(C394,{2,3,3},1)))</f>
        <v>4, 3, 7</v>
      </c>
      <c r="AB394" s="90">
        <v>0</v>
      </c>
      <c r="AC394" s="90">
        <v>1</v>
      </c>
      <c r="AD394" s="90">
        <v>2</v>
      </c>
      <c r="AE394" s="90">
        <v>3</v>
      </c>
      <c r="AF394" s="90">
        <v>4</v>
      </c>
      <c r="AG394" s="90">
        <v>5</v>
      </c>
      <c r="AH394" s="90">
        <v>6</v>
      </c>
      <c r="AI394" s="90">
        <v>7</v>
      </c>
      <c r="AJ394" s="90">
        <v>8</v>
      </c>
      <c r="AK394" s="90">
        <v>9</v>
      </c>
      <c r="AL394" s="91">
        <v>0</v>
      </c>
      <c r="AM394" s="91">
        <v>1</v>
      </c>
      <c r="AN394" s="91">
        <v>2</v>
      </c>
      <c r="AO394" s="91">
        <v>3</v>
      </c>
      <c r="AP394" s="91">
        <v>4</v>
      </c>
      <c r="AQ394" s="91">
        <v>5</v>
      </c>
      <c r="AR394" s="91">
        <v>6</v>
      </c>
      <c r="AS394" s="91">
        <v>7</v>
      </c>
      <c r="AT394" s="91">
        <v>8</v>
      </c>
      <c r="AU394" s="91">
        <v>9</v>
      </c>
      <c r="AV394" s="92">
        <v>0</v>
      </c>
      <c r="AW394" s="92">
        <v>1</v>
      </c>
      <c r="AX394" s="92">
        <v>2</v>
      </c>
      <c r="AY394" s="92">
        <v>3</v>
      </c>
      <c r="AZ394" s="92">
        <v>4</v>
      </c>
      <c r="BA394" s="92">
        <v>5</v>
      </c>
      <c r="BB394" s="92">
        <v>6</v>
      </c>
      <c r="BC394" s="92">
        <v>7</v>
      </c>
      <c r="BD394" s="92">
        <v>8</v>
      </c>
      <c r="BE394" s="92">
        <v>9</v>
      </c>
      <c r="BF394" s="93">
        <v>0</v>
      </c>
      <c r="BG394" s="93">
        <v>1</v>
      </c>
      <c r="BH394" s="93">
        <v>2</v>
      </c>
      <c r="BI394" s="93">
        <v>3</v>
      </c>
      <c r="BJ394" s="93">
        <v>4</v>
      </c>
      <c r="BK394" s="93">
        <v>5</v>
      </c>
      <c r="BL394" s="93">
        <v>6</v>
      </c>
      <c r="BM394" s="93">
        <v>7</v>
      </c>
      <c r="BN394" s="93">
        <v>8</v>
      </c>
      <c r="BO394" s="93">
        <v>9</v>
      </c>
      <c r="BP394" s="94" t="str">
        <f t="shared" si="280"/>
        <v>松散型</v>
      </c>
      <c r="BQ394" s="15">
        <f t="shared" si="277"/>
        <v>3</v>
      </c>
      <c r="BR394" s="15">
        <f t="shared" si="278"/>
        <v>7</v>
      </c>
      <c r="BS394" s="20" t="str">
        <f t="shared" si="287"/>
        <v/>
      </c>
      <c r="BT394" s="21" t="str">
        <f t="shared" si="288"/>
        <v/>
      </c>
      <c r="BU394" s="21" t="str">
        <f t="array" ref="BU394">_xlfn.TEXTJOIN("",TRUE,IF(ISERROR(FIND(ROW($1:$168)-1,BS394&amp;BT394)),ROW($1:$168)-1,""))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94" s="22" t="str">
        <f t="shared" si="289"/>
        <v>中中中</v>
      </c>
      <c r="BW394" s="23" t="str">
        <f t="shared" si="300"/>
        <v/>
      </c>
      <c r="BX394" s="23">
        <f t="shared" si="298"/>
        <v>3</v>
      </c>
      <c r="BY394" s="23" t="str">
        <f t="array" ref="BY394">_xlfn.TEXTJOIN("",TRUE,IF(ISERROR(FIND(ROW($1:$168)-1,BW394&amp;BX394)),ROW($1:$168)-1,""))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94" s="22" t="str">
        <f t="shared" si="290"/>
        <v>中隔中</v>
      </c>
      <c r="CA394" s="24" t="str">
        <f t="shared" si="291"/>
        <v/>
      </c>
      <c r="CB394" s="24" t="str">
        <f t="shared" si="299"/>
        <v/>
      </c>
      <c r="CC394" s="24" t="str">
        <f t="array" ref="CC394">_xlfn.TEXTJOIN("",TRUE,IF(ISERROR(FIND(ROW($1:$168)-1,CA394&amp;CB394)),ROW($1:$168)-1,""))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94" s="22" t="str">
        <f t="shared" si="292"/>
        <v>中中中</v>
      </c>
      <c r="CE394" s="25" t="str">
        <f t="shared" si="281"/>
        <v>35</v>
      </c>
      <c r="CF394" s="26" t="str">
        <f t="array" ref="CF394">_xlfn.TEXTJOIN("",TRUE,IF(ISNUMBER(FIND(MID(CE393&amp;W393,ROW($1:$162),1),CE394&amp;W394)),MID(CE393&amp;W393,ROW($1:$162),1),""))</f>
        <v/>
      </c>
      <c r="CG394" s="27" t="str">
        <f t="array" ref="CG394">_xlfn.TEXTJOIN("",TRUE,IF(ISERROR(FIND(ROW($1:$168)-1,CE394&amp;CF394)),ROW($1:$168)-1,""))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94" s="28" t="str">
        <f t="shared" si="293"/>
        <v>邻孤孤</v>
      </c>
      <c r="CI394" s="29" t="str">
        <f t="shared" si="294"/>
        <v>24</v>
      </c>
      <c r="CJ394" s="29" t="str">
        <f t="array" ref="CJ394">_xlfn.TEXTJOIN("",TRUE,IF(ISNUMBER(FIND(MID(CI393&amp;X393,ROW($1:$162),1),CI394&amp;X394)),MID(CI393&amp;X393,ROW($1:$162),1),""))</f>
        <v/>
      </c>
      <c r="CK394" s="29" t="str">
        <f t="array" ref="CK394">_xlfn.TEXTJOIN("",TRUE,IF(ISERROR(FIND(ROW($1:$168)-1,CI394&amp;CJ394)),ROW($1:$168)-1,""))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94" s="19" t="str">
        <f t="shared" si="295"/>
        <v>邻孤孤</v>
      </c>
      <c r="CM394" s="24" t="str">
        <f t="shared" si="296"/>
        <v>68</v>
      </c>
      <c r="CN394" s="24" t="str">
        <f t="array" ref="CN394">_xlfn.TEXTJOIN("",TRUE,IF(ISNUMBER(FIND(MID(CM393&amp;Y393,ROW($1:$162),1),CM394&amp;Y394)),MID(CM393&amp;Y393,ROW($1:$162),1),""))</f>
        <v/>
      </c>
      <c r="CO394" s="24" t="str">
        <f t="array" ref="CO394">_xlfn.TEXTJOIN("",TRUE,IF(ISERROR(FIND(ROW($1:$168)-1,CM394&amp;CN394)),ROW($1:$168)-1,""))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94" s="30" t="str">
        <f t="shared" si="297"/>
        <v>邻孤孤</v>
      </c>
    </row>
    <row r="395" spans="1:94">
      <c r="A395" s="15">
        <v>395</v>
      </c>
      <c r="B395" s="80">
        <v>2025012</v>
      </c>
      <c r="C395" s="8" t="s">
        <v>350</v>
      </c>
      <c r="D395" s="81">
        <f t="shared" si="308"/>
        <v>19</v>
      </c>
      <c r="E395" s="82">
        <f t="shared" si="309"/>
        <v>9</v>
      </c>
      <c r="F395" s="83">
        <f t="shared" si="306"/>
        <v>4.75</v>
      </c>
      <c r="G395" s="84" t="str">
        <f t="shared" si="307"/>
        <v>紧凑</v>
      </c>
      <c r="H395" s="85" t="s">
        <v>10</v>
      </c>
      <c r="I395" s="85" t="s">
        <v>11</v>
      </c>
      <c r="J395" s="85" t="s">
        <v>12</v>
      </c>
      <c r="K395" s="85" t="s">
        <v>13</v>
      </c>
      <c r="L395" s="86">
        <f>MAX(MID(C395,{1,2,3},1)*1)-MIN(MID(C395,{1,2,3},1)*1)</f>
        <v>4</v>
      </c>
      <c r="M395" s="87">
        <v>0</v>
      </c>
      <c r="N395" s="87">
        <v>1</v>
      </c>
      <c r="O395" s="87">
        <v>2</v>
      </c>
      <c r="P395" s="87">
        <v>3</v>
      </c>
      <c r="Q395" s="87">
        <v>4</v>
      </c>
      <c r="R395" s="87">
        <v>5</v>
      </c>
      <c r="S395" s="87">
        <v>6</v>
      </c>
      <c r="T395" s="87">
        <v>7</v>
      </c>
      <c r="U395" s="87">
        <v>8</v>
      </c>
      <c r="V395" s="87">
        <v>9</v>
      </c>
      <c r="W395" s="88">
        <f t="shared" si="310"/>
        <v>4</v>
      </c>
      <c r="X395" s="88">
        <f t="shared" si="311"/>
        <v>3</v>
      </c>
      <c r="Y395" s="88">
        <f t="shared" si="312"/>
        <v>1</v>
      </c>
      <c r="Z395" s="89">
        <f t="shared" si="279"/>
        <v>8</v>
      </c>
      <c r="AA395" s="17" t="str">
        <f>_xlfn.TEXTJOIN(", ",TRUE,ABS(MID(C395,{1,1,2},1)-MID(C395,{2,3,3},1)))</f>
        <v>4, 3, 1</v>
      </c>
      <c r="AB395" s="90">
        <v>0</v>
      </c>
      <c r="AC395" s="90">
        <v>1</v>
      </c>
      <c r="AD395" s="90">
        <v>2</v>
      </c>
      <c r="AE395" s="90">
        <v>3</v>
      </c>
      <c r="AF395" s="90">
        <v>4</v>
      </c>
      <c r="AG395" s="90">
        <v>5</v>
      </c>
      <c r="AH395" s="90">
        <v>6</v>
      </c>
      <c r="AI395" s="90">
        <v>7</v>
      </c>
      <c r="AJ395" s="90">
        <v>8</v>
      </c>
      <c r="AK395" s="90">
        <v>9</v>
      </c>
      <c r="AL395" s="91">
        <v>0</v>
      </c>
      <c r="AM395" s="91">
        <v>1</v>
      </c>
      <c r="AN395" s="91">
        <v>2</v>
      </c>
      <c r="AO395" s="91">
        <v>3</v>
      </c>
      <c r="AP395" s="91">
        <v>4</v>
      </c>
      <c r="AQ395" s="91">
        <v>5</v>
      </c>
      <c r="AR395" s="91">
        <v>6</v>
      </c>
      <c r="AS395" s="91">
        <v>7</v>
      </c>
      <c r="AT395" s="91">
        <v>8</v>
      </c>
      <c r="AU395" s="91">
        <v>9</v>
      </c>
      <c r="AV395" s="92">
        <v>0</v>
      </c>
      <c r="AW395" s="92">
        <v>1</v>
      </c>
      <c r="AX395" s="92">
        <v>2</v>
      </c>
      <c r="AY395" s="92">
        <v>3</v>
      </c>
      <c r="AZ395" s="92">
        <v>4</v>
      </c>
      <c r="BA395" s="92">
        <v>5</v>
      </c>
      <c r="BB395" s="92">
        <v>6</v>
      </c>
      <c r="BC395" s="92">
        <v>7</v>
      </c>
      <c r="BD395" s="92">
        <v>8</v>
      </c>
      <c r="BE395" s="92">
        <v>9</v>
      </c>
      <c r="BF395" s="93">
        <v>0</v>
      </c>
      <c r="BG395" s="93">
        <v>1</v>
      </c>
      <c r="BH395" s="93">
        <v>2</v>
      </c>
      <c r="BI395" s="93">
        <v>3</v>
      </c>
      <c r="BJ395" s="93">
        <v>4</v>
      </c>
      <c r="BK395" s="93">
        <v>5</v>
      </c>
      <c r="BL395" s="93">
        <v>6</v>
      </c>
      <c r="BM395" s="93">
        <v>7</v>
      </c>
      <c r="BN395" s="93">
        <v>8</v>
      </c>
      <c r="BO395" s="93">
        <v>9</v>
      </c>
      <c r="BP395" s="94" t="str">
        <f t="shared" si="280"/>
        <v>紧凑型</v>
      </c>
      <c r="BQ395" s="15">
        <f t="shared" si="277"/>
        <v>1</v>
      </c>
      <c r="BR395" s="15">
        <f t="shared" si="278"/>
        <v>4</v>
      </c>
      <c r="BS395" s="20">
        <f t="shared" si="287"/>
        <v>4</v>
      </c>
      <c r="BT395" s="21" t="str">
        <f t="shared" si="288"/>
        <v/>
      </c>
      <c r="BU395" s="21" t="str">
        <f t="array" ref="BU395">_xlfn.TEXTJOIN("",TRUE,IF(ISERROR(FIND(ROW($1:$168)-1,BS395&amp;BT395)),ROW($1:$168)-1,""))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95" s="22" t="str">
        <f t="shared" si="289"/>
        <v>复中中</v>
      </c>
      <c r="BW395" s="23">
        <f t="shared" si="300"/>
        <v>3</v>
      </c>
      <c r="BX395" s="23" t="str">
        <f t="shared" si="298"/>
        <v/>
      </c>
      <c r="BY395" s="23" t="str">
        <f t="array" ref="BY395">_xlfn.TEXTJOIN("",TRUE,IF(ISERROR(FIND(ROW($1:$168)-1,BW395&amp;BX395)),ROW($1:$168)-1,""))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95" s="22" t="str">
        <f t="shared" si="290"/>
        <v>复中中</v>
      </c>
      <c r="CA395" s="24" t="str">
        <f t="shared" si="291"/>
        <v/>
      </c>
      <c r="CB395" s="24" t="str">
        <f t="shared" si="299"/>
        <v/>
      </c>
      <c r="CC395" s="24" t="str">
        <f t="array" ref="CC395">_xlfn.TEXTJOIN("",TRUE,IF(ISERROR(FIND(ROW($1:$168)-1,CA395&amp;CB395)),ROW($1:$168)-1,""))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95" s="22" t="str">
        <f t="shared" si="292"/>
        <v>中中中</v>
      </c>
      <c r="CE395" s="25" t="str">
        <f t="shared" si="281"/>
        <v>35</v>
      </c>
      <c r="CF395" s="26" t="str">
        <f t="array" ref="CF395">_xlfn.TEXTJOIN("",TRUE,IF(ISNUMBER(FIND(MID(CE394&amp;W394,ROW($1:$162),1),CE395&amp;W395)),MID(CE394&amp;W394,ROW($1:$162),1),""))</f>
        <v>354</v>
      </c>
      <c r="CG395" s="27" t="str">
        <f t="array" ref="CG395">_xlfn.TEXTJOIN("",TRUE,IF(ISERROR(FIND(ROW($1:$168)-1,CE395&amp;CF395)),ROW($1:$168)-1,""))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95" s="28" t="str">
        <f t="shared" si="293"/>
        <v>邻传孤</v>
      </c>
      <c r="CI395" s="29" t="str">
        <f t="shared" si="294"/>
        <v>24</v>
      </c>
      <c r="CJ395" s="29" t="str">
        <f t="array" ref="CJ395">_xlfn.TEXTJOIN("",TRUE,IF(ISNUMBER(FIND(MID(CI394&amp;X394,ROW($1:$162),1),CI395&amp;X395)),MID(CI394&amp;X394,ROW($1:$162),1),""))</f>
        <v>243</v>
      </c>
      <c r="CK395" s="29" t="str">
        <f t="array" ref="CK395">_xlfn.TEXTJOIN("",TRUE,IF(ISERROR(FIND(ROW($1:$168)-1,CI395&amp;CJ395)),ROW($1:$168)-1,""))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95" s="19" t="str">
        <f t="shared" si="295"/>
        <v>邻传孤</v>
      </c>
      <c r="CM395" s="24" t="str">
        <f t="shared" si="296"/>
        <v>02</v>
      </c>
      <c r="CN395" s="24" t="str">
        <f t="array" ref="CN395">_xlfn.TEXTJOIN("",TRUE,IF(ISNUMBER(FIND(MID(CM394&amp;Y394,ROW($1:$162),1),CM395&amp;Y395)),MID(CM394&amp;Y394,ROW($1:$162),1),""))</f>
        <v/>
      </c>
      <c r="CO395" s="24" t="str">
        <f t="array" ref="CO395">_xlfn.TEXTJOIN("",TRUE,IF(ISERROR(FIND(ROW($1:$168)-1,CM395&amp;CN395)),ROW($1:$168)-1,""))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95" s="30" t="str">
        <f t="shared" si="297"/>
        <v>邻孤孤</v>
      </c>
    </row>
    <row r="396" spans="1:94">
      <c r="A396" s="15">
        <v>396</v>
      </c>
      <c r="B396" s="80">
        <v>2025013</v>
      </c>
      <c r="C396" s="8" t="s">
        <v>351</v>
      </c>
      <c r="D396" s="81">
        <f t="shared" si="308"/>
        <v>12</v>
      </c>
      <c r="E396" s="82">
        <f t="shared" si="309"/>
        <v>2</v>
      </c>
      <c r="F396" s="83">
        <f t="shared" si="306"/>
        <v>2</v>
      </c>
      <c r="G396" s="84" t="str">
        <f t="shared" si="307"/>
        <v>标准</v>
      </c>
      <c r="H396" s="85" t="s">
        <v>10</v>
      </c>
      <c r="I396" s="85" t="s">
        <v>11</v>
      </c>
      <c r="J396" s="85" t="s">
        <v>12</v>
      </c>
      <c r="K396" s="85" t="s">
        <v>13</v>
      </c>
      <c r="L396" s="86">
        <f>MAX(MID(C396,{1,2,3},1)*1)-MIN(MID(C396,{1,2,3},1)*1)</f>
        <v>6</v>
      </c>
      <c r="M396" s="87">
        <v>0</v>
      </c>
      <c r="N396" s="87">
        <v>1</v>
      </c>
      <c r="O396" s="87">
        <v>2</v>
      </c>
      <c r="P396" s="87">
        <v>3</v>
      </c>
      <c r="Q396" s="87">
        <v>4</v>
      </c>
      <c r="R396" s="87">
        <v>5</v>
      </c>
      <c r="S396" s="87">
        <v>6</v>
      </c>
      <c r="T396" s="87">
        <v>7</v>
      </c>
      <c r="U396" s="87">
        <v>8</v>
      </c>
      <c r="V396" s="87">
        <v>9</v>
      </c>
      <c r="W396" s="88">
        <f t="shared" si="310"/>
        <v>6</v>
      </c>
      <c r="X396" s="88">
        <f t="shared" si="311"/>
        <v>0</v>
      </c>
      <c r="Y396" s="88">
        <f t="shared" si="312"/>
        <v>6</v>
      </c>
      <c r="Z396" s="89">
        <f t="shared" si="279"/>
        <v>12</v>
      </c>
      <c r="AA396" s="17" t="str">
        <f>_xlfn.TEXTJOIN(", ",TRUE,ABS(MID(C396,{1,1,2},1)-MID(C396,{2,3,3},1)))</f>
        <v>6, 0, 6</v>
      </c>
      <c r="AB396" s="90">
        <v>0</v>
      </c>
      <c r="AC396" s="90">
        <v>1</v>
      </c>
      <c r="AD396" s="90">
        <v>2</v>
      </c>
      <c r="AE396" s="90">
        <v>3</v>
      </c>
      <c r="AF396" s="90">
        <v>4</v>
      </c>
      <c r="AG396" s="90">
        <v>5</v>
      </c>
      <c r="AH396" s="90">
        <v>6</v>
      </c>
      <c r="AI396" s="90">
        <v>7</v>
      </c>
      <c r="AJ396" s="90">
        <v>8</v>
      </c>
      <c r="AK396" s="90">
        <v>9</v>
      </c>
      <c r="AL396" s="91">
        <v>0</v>
      </c>
      <c r="AM396" s="91">
        <v>1</v>
      </c>
      <c r="AN396" s="91">
        <v>2</v>
      </c>
      <c r="AO396" s="91">
        <v>3</v>
      </c>
      <c r="AP396" s="91">
        <v>4</v>
      </c>
      <c r="AQ396" s="91">
        <v>5</v>
      </c>
      <c r="AR396" s="91">
        <v>6</v>
      </c>
      <c r="AS396" s="91">
        <v>7</v>
      </c>
      <c r="AT396" s="91">
        <v>8</v>
      </c>
      <c r="AU396" s="91">
        <v>9</v>
      </c>
      <c r="AV396" s="92">
        <v>0</v>
      </c>
      <c r="AW396" s="92">
        <v>1</v>
      </c>
      <c r="AX396" s="92">
        <v>2</v>
      </c>
      <c r="AY396" s="92">
        <v>3</v>
      </c>
      <c r="AZ396" s="92">
        <v>4</v>
      </c>
      <c r="BA396" s="92">
        <v>5</v>
      </c>
      <c r="BB396" s="92">
        <v>6</v>
      </c>
      <c r="BC396" s="92">
        <v>7</v>
      </c>
      <c r="BD396" s="92">
        <v>8</v>
      </c>
      <c r="BE396" s="92">
        <v>9</v>
      </c>
      <c r="BF396" s="93">
        <v>0</v>
      </c>
      <c r="BG396" s="93">
        <v>1</v>
      </c>
      <c r="BH396" s="93">
        <v>2</v>
      </c>
      <c r="BI396" s="93">
        <v>3</v>
      </c>
      <c r="BJ396" s="93">
        <v>4</v>
      </c>
      <c r="BK396" s="93">
        <v>5</v>
      </c>
      <c r="BL396" s="93">
        <v>6</v>
      </c>
      <c r="BM396" s="93">
        <v>7</v>
      </c>
      <c r="BN396" s="93">
        <v>8</v>
      </c>
      <c r="BO396" s="93">
        <v>9</v>
      </c>
      <c r="BP396" s="94" t="str">
        <f t="shared" si="280"/>
        <v>松散型</v>
      </c>
      <c r="BQ396" s="15">
        <f t="shared" si="277"/>
        <v>0</v>
      </c>
      <c r="BR396" s="15">
        <f t="shared" si="278"/>
        <v>6</v>
      </c>
      <c r="BS396" s="20" t="str">
        <f t="shared" si="287"/>
        <v/>
      </c>
      <c r="BT396" s="21" t="str">
        <f t="shared" si="288"/>
        <v/>
      </c>
      <c r="BU396" s="21" t="str">
        <f t="array" ref="BU396">_xlfn.TEXTJOIN("",TRUE,IF(ISERROR(FIND(ROW($1:$168)-1,BS396&amp;BT396)),ROW($1:$168)-1,""))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96" s="22" t="str">
        <f t="shared" si="289"/>
        <v>中中中</v>
      </c>
      <c r="BW396" s="23" t="str">
        <f t="shared" si="300"/>
        <v/>
      </c>
      <c r="BX396" s="23" t="str">
        <f t="shared" si="298"/>
        <v/>
      </c>
      <c r="BY396" s="23" t="str">
        <f t="array" ref="BY396">_xlfn.TEXTJOIN("",TRUE,IF(ISERROR(FIND(ROW($1:$168)-1,BW396&amp;BX396)),ROW($1:$168)-1,""))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96" s="22" t="str">
        <f t="shared" si="290"/>
        <v>中中中</v>
      </c>
      <c r="CA396" s="24" t="str">
        <f t="shared" si="291"/>
        <v/>
      </c>
      <c r="CB396" s="24" t="str">
        <f t="shared" si="299"/>
        <v/>
      </c>
      <c r="CC396" s="24" t="str">
        <f t="array" ref="CC396">_xlfn.TEXTJOIN("",TRUE,IF(ISERROR(FIND(ROW($1:$168)-1,CA396&amp;CB396)),ROW($1:$168)-1,""))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96" s="22" t="str">
        <f t="shared" si="292"/>
        <v>中中中</v>
      </c>
      <c r="CE396" s="25" t="str">
        <f t="shared" si="281"/>
        <v>57</v>
      </c>
      <c r="CF396" s="26" t="str">
        <f t="array" ref="CF396">_xlfn.TEXTJOIN("",TRUE,IF(ISNUMBER(FIND(MID(CE395&amp;W395,ROW($1:$162),1),CE396&amp;W396)),MID(CE395&amp;W395,ROW($1:$162),1),""))</f>
        <v>5</v>
      </c>
      <c r="CG396" s="27" t="str">
        <f t="array" ref="CG396">_xlfn.TEXTJOIN("",TRUE,IF(ISERROR(FIND(ROW($1:$168)-1,CE396&amp;CF396)),ROW($1:$168)-1,""))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96" s="28" t="str">
        <f t="shared" si="293"/>
        <v>邻传孤</v>
      </c>
      <c r="CI396" s="29" t="str">
        <f t="shared" si="294"/>
        <v>91</v>
      </c>
      <c r="CJ396" s="29" t="str">
        <f t="array" ref="CJ396">_xlfn.TEXTJOIN("",TRUE,IF(ISNUMBER(FIND(MID(CI395&amp;X395,ROW($1:$162),1),CI396&amp;X396)),MID(CI395&amp;X395,ROW($1:$162),1),""))</f>
        <v/>
      </c>
      <c r="CK396" s="29" t="str">
        <f t="array" ref="CK396">_xlfn.TEXTJOIN("",TRUE,IF(ISERROR(FIND(ROW($1:$168)-1,CI396&amp;CJ396)),ROW($1:$168)-1,""))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396" s="19" t="str">
        <f t="shared" si="295"/>
        <v>邻孤孤</v>
      </c>
      <c r="CM396" s="24" t="str">
        <f t="shared" si="296"/>
        <v>57</v>
      </c>
      <c r="CN396" s="24" t="str">
        <f t="array" ref="CN396">_xlfn.TEXTJOIN("",TRUE,IF(ISNUMBER(FIND(MID(CM395&amp;Y395,ROW($1:$162),1),CM396&amp;Y396)),MID(CM395&amp;Y395,ROW($1:$162),1),""))</f>
        <v/>
      </c>
      <c r="CO396" s="24" t="str">
        <f t="array" ref="CO396">_xlfn.TEXTJOIN("",TRUE,IF(ISERROR(FIND(ROW($1:$168)-1,CM396&amp;CN396)),ROW($1:$168)-1,""))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96" s="30" t="str">
        <f t="shared" si="297"/>
        <v>邻孤孤</v>
      </c>
    </row>
    <row r="397" spans="1:94">
      <c r="A397" s="15">
        <v>397</v>
      </c>
      <c r="B397" s="80">
        <v>2025014</v>
      </c>
      <c r="C397" s="8" t="s">
        <v>146</v>
      </c>
      <c r="D397" s="81">
        <f t="shared" si="308"/>
        <v>22</v>
      </c>
      <c r="E397" s="82">
        <f t="shared" si="309"/>
        <v>2</v>
      </c>
      <c r="F397" s="83">
        <f t="shared" si="306"/>
        <v>7.33333333333333</v>
      </c>
      <c r="G397" s="84" t="str">
        <f t="shared" si="307"/>
        <v>紧凑</v>
      </c>
      <c r="H397" s="85" t="s">
        <v>10</v>
      </c>
      <c r="I397" s="85" t="s">
        <v>11</v>
      </c>
      <c r="J397" s="85" t="s">
        <v>12</v>
      </c>
      <c r="K397" s="85" t="s">
        <v>13</v>
      </c>
      <c r="L397" s="86">
        <f>MAX(MID(C397,{1,2,3},1)*1)-MIN(MID(C397,{1,2,3},1)*1)</f>
        <v>3</v>
      </c>
      <c r="M397" s="87">
        <v>0</v>
      </c>
      <c r="N397" s="87">
        <v>1</v>
      </c>
      <c r="O397" s="87">
        <v>2</v>
      </c>
      <c r="P397" s="87">
        <v>3</v>
      </c>
      <c r="Q397" s="87">
        <v>4</v>
      </c>
      <c r="R397" s="87">
        <v>5</v>
      </c>
      <c r="S397" s="87">
        <v>6</v>
      </c>
      <c r="T397" s="87">
        <v>7</v>
      </c>
      <c r="U397" s="87">
        <v>8</v>
      </c>
      <c r="V397" s="87">
        <v>9</v>
      </c>
      <c r="W397" s="88">
        <f t="shared" si="310"/>
        <v>1</v>
      </c>
      <c r="X397" s="88">
        <f t="shared" si="311"/>
        <v>3</v>
      </c>
      <c r="Y397" s="88">
        <f t="shared" si="312"/>
        <v>2</v>
      </c>
      <c r="Z397" s="89">
        <f t="shared" si="279"/>
        <v>6</v>
      </c>
      <c r="AA397" s="17" t="str">
        <f>_xlfn.TEXTJOIN(", ",TRUE,ABS(MID(C397,{1,1,2},1)-MID(C397,{2,3,3},1)))</f>
        <v>1, 3, 2</v>
      </c>
      <c r="AB397" s="90">
        <v>0</v>
      </c>
      <c r="AC397" s="90">
        <v>1</v>
      </c>
      <c r="AD397" s="90">
        <v>2</v>
      </c>
      <c r="AE397" s="90">
        <v>3</v>
      </c>
      <c r="AF397" s="90">
        <v>4</v>
      </c>
      <c r="AG397" s="90">
        <v>5</v>
      </c>
      <c r="AH397" s="90">
        <v>6</v>
      </c>
      <c r="AI397" s="90">
        <v>7</v>
      </c>
      <c r="AJ397" s="90">
        <v>8</v>
      </c>
      <c r="AK397" s="90">
        <v>9</v>
      </c>
      <c r="AL397" s="91">
        <v>0</v>
      </c>
      <c r="AM397" s="91">
        <v>1</v>
      </c>
      <c r="AN397" s="91">
        <v>2</v>
      </c>
      <c r="AO397" s="91">
        <v>3</v>
      </c>
      <c r="AP397" s="91">
        <v>4</v>
      </c>
      <c r="AQ397" s="91">
        <v>5</v>
      </c>
      <c r="AR397" s="91">
        <v>6</v>
      </c>
      <c r="AS397" s="91">
        <v>7</v>
      </c>
      <c r="AT397" s="91">
        <v>8</v>
      </c>
      <c r="AU397" s="91">
        <v>9</v>
      </c>
      <c r="AV397" s="92">
        <v>0</v>
      </c>
      <c r="AW397" s="92">
        <v>1</v>
      </c>
      <c r="AX397" s="92">
        <v>2</v>
      </c>
      <c r="AY397" s="92">
        <v>3</v>
      </c>
      <c r="AZ397" s="92">
        <v>4</v>
      </c>
      <c r="BA397" s="92">
        <v>5</v>
      </c>
      <c r="BB397" s="92">
        <v>6</v>
      </c>
      <c r="BC397" s="92">
        <v>7</v>
      </c>
      <c r="BD397" s="92">
        <v>8</v>
      </c>
      <c r="BE397" s="92">
        <v>9</v>
      </c>
      <c r="BF397" s="93">
        <v>0</v>
      </c>
      <c r="BG397" s="93">
        <v>1</v>
      </c>
      <c r="BH397" s="93">
        <v>2</v>
      </c>
      <c r="BI397" s="93">
        <v>3</v>
      </c>
      <c r="BJ397" s="93">
        <v>4</v>
      </c>
      <c r="BK397" s="93">
        <v>5</v>
      </c>
      <c r="BL397" s="93">
        <v>6</v>
      </c>
      <c r="BM397" s="93">
        <v>7</v>
      </c>
      <c r="BN397" s="93">
        <v>8</v>
      </c>
      <c r="BO397" s="93">
        <v>9</v>
      </c>
      <c r="BP397" s="94" t="str">
        <f t="shared" si="280"/>
        <v>紧凑型</v>
      </c>
      <c r="BQ397" s="15">
        <f t="shared" si="277"/>
        <v>1</v>
      </c>
      <c r="BR397" s="15">
        <f t="shared" si="278"/>
        <v>3</v>
      </c>
      <c r="BS397" s="20" t="str">
        <f t="shared" si="287"/>
        <v/>
      </c>
      <c r="BT397" s="21">
        <f t="shared" si="288"/>
        <v>1</v>
      </c>
      <c r="BU397" s="21" t="str">
        <f t="array" ref="BU397">_xlfn.TEXTJOIN("",TRUE,IF(ISERROR(FIND(ROW($1:$168)-1,BS397&amp;BT397)),ROW($1:$168)-1,""))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97" s="22" t="str">
        <f t="shared" si="289"/>
        <v>中隔中</v>
      </c>
      <c r="BW397" s="23" t="str">
        <f t="shared" si="300"/>
        <v/>
      </c>
      <c r="BX397" s="23">
        <f t="shared" si="298"/>
        <v>3</v>
      </c>
      <c r="BY397" s="23" t="str">
        <f t="array" ref="BY397">_xlfn.TEXTJOIN("",TRUE,IF(ISERROR(FIND(ROW($1:$168)-1,BW397&amp;BX397)),ROW($1:$168)-1,""))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97" s="22" t="str">
        <f t="shared" si="290"/>
        <v>中隔中</v>
      </c>
      <c r="CA397" s="24" t="str">
        <f t="shared" si="291"/>
        <v/>
      </c>
      <c r="CB397" s="24" t="str">
        <f t="shared" si="299"/>
        <v/>
      </c>
      <c r="CC397" s="24" t="str">
        <f t="array" ref="CC397">_xlfn.TEXTJOIN("",TRUE,IF(ISERROR(FIND(ROW($1:$168)-1,CA397&amp;CB397)),ROW($1:$168)-1,""))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97" s="22" t="str">
        <f t="shared" si="292"/>
        <v>中中中</v>
      </c>
      <c r="CE397" s="25" t="str">
        <f t="shared" si="281"/>
        <v>02</v>
      </c>
      <c r="CF397" s="26" t="str">
        <f t="array" ref="CF397">_xlfn.TEXTJOIN("",TRUE,IF(ISNUMBER(FIND(MID(CE396&amp;W396,ROW($1:$162),1),CE397&amp;W397)),MID(CE396&amp;W396,ROW($1:$162),1),""))</f>
        <v/>
      </c>
      <c r="CG397" s="27" t="str">
        <f t="array" ref="CG397">_xlfn.TEXTJOIN("",TRUE,IF(ISERROR(FIND(ROW($1:$168)-1,CE397&amp;CF397)),ROW($1:$168)-1,""))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97" s="28" t="str">
        <f t="shared" si="293"/>
        <v>邻孤孤</v>
      </c>
      <c r="CI397" s="29" t="str">
        <f t="shared" si="294"/>
        <v>24</v>
      </c>
      <c r="CJ397" s="29" t="str">
        <f t="array" ref="CJ397">_xlfn.TEXTJOIN("",TRUE,IF(ISNUMBER(FIND(MID(CI396&amp;X396,ROW($1:$162),1),CI397&amp;X397)),MID(CI396&amp;X396,ROW($1:$162),1),""))</f>
        <v/>
      </c>
      <c r="CK397" s="29" t="str">
        <f t="array" ref="CK397">_xlfn.TEXTJOIN("",TRUE,IF(ISERROR(FIND(ROW($1:$168)-1,CI397&amp;CJ397)),ROW($1:$168)-1,""))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97" s="19" t="str">
        <f t="shared" si="295"/>
        <v>邻孤孤</v>
      </c>
      <c r="CM397" s="24" t="str">
        <f t="shared" si="296"/>
        <v>13</v>
      </c>
      <c r="CN397" s="24" t="str">
        <f t="array" ref="CN397">_xlfn.TEXTJOIN("",TRUE,IF(ISNUMBER(FIND(MID(CM396&amp;Y396,ROW($1:$162),1),CM397&amp;Y397)),MID(CM396&amp;Y396,ROW($1:$162),1),""))</f>
        <v/>
      </c>
      <c r="CO397" s="24" t="str">
        <f t="array" ref="CO397">_xlfn.TEXTJOIN("",TRUE,IF(ISERROR(FIND(ROW($1:$168)-1,CM397&amp;CN397)),ROW($1:$168)-1,""))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97" s="30" t="str">
        <f t="shared" si="297"/>
        <v>邻孤孤</v>
      </c>
    </row>
    <row r="398" spans="1:94">
      <c r="A398" s="15">
        <v>398</v>
      </c>
      <c r="B398" s="80">
        <v>2025015</v>
      </c>
      <c r="C398" s="8" t="s">
        <v>352</v>
      </c>
      <c r="D398" s="81">
        <f t="shared" si="308"/>
        <v>15</v>
      </c>
      <c r="E398" s="82">
        <f t="shared" si="309"/>
        <v>5</v>
      </c>
      <c r="F398" s="83">
        <f t="shared" si="306"/>
        <v>2.14285714285714</v>
      </c>
      <c r="G398" s="84" t="str">
        <f t="shared" si="307"/>
        <v>标准</v>
      </c>
      <c r="H398" s="85" t="s">
        <v>10</v>
      </c>
      <c r="I398" s="85" t="s">
        <v>11</v>
      </c>
      <c r="J398" s="85" t="s">
        <v>12</v>
      </c>
      <c r="K398" s="85" t="s">
        <v>13</v>
      </c>
      <c r="L398" s="86">
        <f>MAX(MID(C398,{1,2,3},1)*1)-MIN(MID(C398,{1,2,3},1)*1)</f>
        <v>7</v>
      </c>
      <c r="M398" s="87">
        <v>0</v>
      </c>
      <c r="N398" s="87">
        <v>1</v>
      </c>
      <c r="O398" s="87">
        <v>2</v>
      </c>
      <c r="P398" s="87">
        <v>3</v>
      </c>
      <c r="Q398" s="87">
        <v>4</v>
      </c>
      <c r="R398" s="87">
        <v>5</v>
      </c>
      <c r="S398" s="87">
        <v>6</v>
      </c>
      <c r="T398" s="87">
        <v>7</v>
      </c>
      <c r="U398" s="87">
        <v>8</v>
      </c>
      <c r="V398" s="87">
        <v>9</v>
      </c>
      <c r="W398" s="88">
        <f t="shared" si="310"/>
        <v>5</v>
      </c>
      <c r="X398" s="88">
        <f t="shared" si="311"/>
        <v>7</v>
      </c>
      <c r="Y398" s="88">
        <f t="shared" si="312"/>
        <v>2</v>
      </c>
      <c r="Z398" s="89">
        <f t="shared" si="279"/>
        <v>14</v>
      </c>
      <c r="AA398" s="17" t="str">
        <f>_xlfn.TEXTJOIN(", ",TRUE,ABS(MID(C398,{1,1,2},1)-MID(C398,{2,3,3},1)))</f>
        <v>5, 7, 2</v>
      </c>
      <c r="AB398" s="90">
        <v>0</v>
      </c>
      <c r="AC398" s="90">
        <v>1</v>
      </c>
      <c r="AD398" s="90">
        <v>2</v>
      </c>
      <c r="AE398" s="90">
        <v>3</v>
      </c>
      <c r="AF398" s="90">
        <v>4</v>
      </c>
      <c r="AG398" s="90">
        <v>5</v>
      </c>
      <c r="AH398" s="90">
        <v>6</v>
      </c>
      <c r="AI398" s="90">
        <v>7</v>
      </c>
      <c r="AJ398" s="90">
        <v>8</v>
      </c>
      <c r="AK398" s="90">
        <v>9</v>
      </c>
      <c r="AL398" s="91">
        <v>0</v>
      </c>
      <c r="AM398" s="91">
        <v>1</v>
      </c>
      <c r="AN398" s="91">
        <v>2</v>
      </c>
      <c r="AO398" s="91">
        <v>3</v>
      </c>
      <c r="AP398" s="91">
        <v>4</v>
      </c>
      <c r="AQ398" s="91">
        <v>5</v>
      </c>
      <c r="AR398" s="91">
        <v>6</v>
      </c>
      <c r="AS398" s="91">
        <v>7</v>
      </c>
      <c r="AT398" s="91">
        <v>8</v>
      </c>
      <c r="AU398" s="91">
        <v>9</v>
      </c>
      <c r="AV398" s="92">
        <v>0</v>
      </c>
      <c r="AW398" s="92">
        <v>1</v>
      </c>
      <c r="AX398" s="92">
        <v>2</v>
      </c>
      <c r="AY398" s="92">
        <v>3</v>
      </c>
      <c r="AZ398" s="92">
        <v>4</v>
      </c>
      <c r="BA398" s="92">
        <v>5</v>
      </c>
      <c r="BB398" s="92">
        <v>6</v>
      </c>
      <c r="BC398" s="92">
        <v>7</v>
      </c>
      <c r="BD398" s="92">
        <v>8</v>
      </c>
      <c r="BE398" s="92">
        <v>9</v>
      </c>
      <c r="BF398" s="93">
        <v>0</v>
      </c>
      <c r="BG398" s="93">
        <v>1</v>
      </c>
      <c r="BH398" s="93">
        <v>2</v>
      </c>
      <c r="BI398" s="93">
        <v>3</v>
      </c>
      <c r="BJ398" s="93">
        <v>4</v>
      </c>
      <c r="BK398" s="93">
        <v>5</v>
      </c>
      <c r="BL398" s="93">
        <v>6</v>
      </c>
      <c r="BM398" s="93">
        <v>7</v>
      </c>
      <c r="BN398" s="93">
        <v>8</v>
      </c>
      <c r="BO398" s="93">
        <v>9</v>
      </c>
      <c r="BP398" s="94" t="str">
        <f t="shared" si="280"/>
        <v>松散型</v>
      </c>
      <c r="BQ398" s="15">
        <f t="shared" si="277"/>
        <v>2</v>
      </c>
      <c r="BR398" s="15">
        <f t="shared" si="278"/>
        <v>7</v>
      </c>
      <c r="BS398" s="20" t="str">
        <f t="shared" si="287"/>
        <v/>
      </c>
      <c r="BT398" s="21" t="str">
        <f t="shared" si="288"/>
        <v/>
      </c>
      <c r="BU398" s="21" t="str">
        <f t="array" ref="BU398">_xlfn.TEXTJOIN("",TRUE,IF(ISERROR(FIND(ROW($1:$168)-1,BS398&amp;BT398)),ROW($1:$168)-1,""))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98" s="22" t="str">
        <f t="shared" si="289"/>
        <v>中中中</v>
      </c>
      <c r="BW398" s="23" t="str">
        <f t="shared" si="300"/>
        <v/>
      </c>
      <c r="BX398" s="23" t="str">
        <f t="shared" si="298"/>
        <v/>
      </c>
      <c r="BY398" s="23" t="str">
        <f t="array" ref="BY398">_xlfn.TEXTJOIN("",TRUE,IF(ISERROR(FIND(ROW($1:$168)-1,BW398&amp;BX398)),ROW($1:$168)-1,""))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98" s="22" t="str">
        <f t="shared" si="290"/>
        <v>中中中</v>
      </c>
      <c r="CA398" s="24">
        <f t="shared" si="291"/>
        <v>2</v>
      </c>
      <c r="CB398" s="24" t="str">
        <f t="shared" si="299"/>
        <v/>
      </c>
      <c r="CC398" s="24" t="str">
        <f t="array" ref="CC398">_xlfn.TEXTJOIN("",TRUE,IF(ISERROR(FIND(ROW($1:$168)-1,CA398&amp;CB398)),ROW($1:$168)-1,""))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98" s="22" t="str">
        <f t="shared" si="292"/>
        <v>复中中</v>
      </c>
      <c r="CE398" s="25" t="str">
        <f t="shared" si="281"/>
        <v>46</v>
      </c>
      <c r="CF398" s="26" t="str">
        <f t="array" ref="CF398">_xlfn.TEXTJOIN("",TRUE,IF(ISNUMBER(FIND(MID(CE397&amp;W397,ROW($1:$162),1),CE398&amp;W398)),MID(CE397&amp;W397,ROW($1:$162),1),""))</f>
        <v/>
      </c>
      <c r="CG398" s="27" t="str">
        <f t="array" ref="CG398">_xlfn.TEXTJOIN("",TRUE,IF(ISERROR(FIND(ROW($1:$168)-1,CE398&amp;CF398)),ROW($1:$168)-1,""))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98" s="28" t="str">
        <f t="shared" si="293"/>
        <v>邻孤孤</v>
      </c>
      <c r="CI398" s="29" t="str">
        <f t="shared" si="294"/>
        <v>68</v>
      </c>
      <c r="CJ398" s="29" t="str">
        <f t="array" ref="CJ398">_xlfn.TEXTJOIN("",TRUE,IF(ISNUMBER(FIND(MID(CI397&amp;X397,ROW($1:$162),1),CI398&amp;X398)),MID(CI397&amp;X397,ROW($1:$162),1),""))</f>
        <v/>
      </c>
      <c r="CK398" s="29" t="str">
        <f t="array" ref="CK398">_xlfn.TEXTJOIN("",TRUE,IF(ISERROR(FIND(ROW($1:$168)-1,CI398&amp;CJ398)),ROW($1:$168)-1,""))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98" s="19" t="str">
        <f t="shared" si="295"/>
        <v>邻孤孤</v>
      </c>
      <c r="CM398" s="24" t="str">
        <f t="shared" si="296"/>
        <v>13</v>
      </c>
      <c r="CN398" s="24" t="str">
        <f t="array" ref="CN398">_xlfn.TEXTJOIN("",TRUE,IF(ISNUMBER(FIND(MID(CM397&amp;Y397,ROW($1:$162),1),CM398&amp;Y398)),MID(CM397&amp;Y397,ROW($1:$162),1),""))</f>
        <v>132</v>
      </c>
      <c r="CO398" s="24" t="str">
        <f t="array" ref="CO398">_xlfn.TEXTJOIN("",TRUE,IF(ISERROR(FIND(ROW($1:$168)-1,CM398&amp;CN398)),ROW($1:$168)-1,""))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398" s="30" t="str">
        <f t="shared" si="297"/>
        <v>邻传孤</v>
      </c>
    </row>
    <row r="399" spans="1:94">
      <c r="A399" s="15">
        <v>399</v>
      </c>
      <c r="B399" s="80">
        <v>2025016</v>
      </c>
      <c r="C399" s="8" t="s">
        <v>353</v>
      </c>
      <c r="D399" s="81">
        <f t="shared" si="308"/>
        <v>5</v>
      </c>
      <c r="E399" s="82">
        <f t="shared" si="309"/>
        <v>5</v>
      </c>
      <c r="F399" s="83">
        <f t="shared" si="306"/>
        <v>1.25</v>
      </c>
      <c r="G399" s="84" t="str">
        <f t="shared" si="307"/>
        <v>松散</v>
      </c>
      <c r="H399" s="85" t="s">
        <v>10</v>
      </c>
      <c r="I399" s="85" t="s">
        <v>11</v>
      </c>
      <c r="J399" s="85" t="s">
        <v>12</v>
      </c>
      <c r="K399" s="85" t="s">
        <v>13</v>
      </c>
      <c r="L399" s="86">
        <f>MAX(MID(C399,{1,2,3},1)*1)-MIN(MID(C399,{1,2,3},1)*1)</f>
        <v>4</v>
      </c>
      <c r="M399" s="87">
        <v>0</v>
      </c>
      <c r="N399" s="87">
        <v>1</v>
      </c>
      <c r="O399" s="87">
        <v>2</v>
      </c>
      <c r="P399" s="87">
        <v>3</v>
      </c>
      <c r="Q399" s="87">
        <v>4</v>
      </c>
      <c r="R399" s="87">
        <v>5</v>
      </c>
      <c r="S399" s="87">
        <v>6</v>
      </c>
      <c r="T399" s="87">
        <v>7</v>
      </c>
      <c r="U399" s="87">
        <v>8</v>
      </c>
      <c r="V399" s="87">
        <v>9</v>
      </c>
      <c r="W399" s="88">
        <f t="shared" si="310"/>
        <v>1</v>
      </c>
      <c r="X399" s="88">
        <f t="shared" si="311"/>
        <v>3</v>
      </c>
      <c r="Y399" s="88">
        <f t="shared" si="312"/>
        <v>4</v>
      </c>
      <c r="Z399" s="89">
        <f t="shared" si="279"/>
        <v>8</v>
      </c>
      <c r="AA399" s="17" t="str">
        <f>_xlfn.TEXTJOIN(", ",TRUE,ABS(MID(C399,{1,1,2},1)-MID(C399,{2,3,3},1)))</f>
        <v>1, 3, 4</v>
      </c>
      <c r="AB399" s="90">
        <v>0</v>
      </c>
      <c r="AC399" s="90">
        <v>1</v>
      </c>
      <c r="AD399" s="90">
        <v>2</v>
      </c>
      <c r="AE399" s="90">
        <v>3</v>
      </c>
      <c r="AF399" s="90">
        <v>4</v>
      </c>
      <c r="AG399" s="90">
        <v>5</v>
      </c>
      <c r="AH399" s="90">
        <v>6</v>
      </c>
      <c r="AI399" s="90">
        <v>7</v>
      </c>
      <c r="AJ399" s="90">
        <v>8</v>
      </c>
      <c r="AK399" s="90">
        <v>9</v>
      </c>
      <c r="AL399" s="91">
        <v>0</v>
      </c>
      <c r="AM399" s="91">
        <v>1</v>
      </c>
      <c r="AN399" s="91">
        <v>2</v>
      </c>
      <c r="AO399" s="91">
        <v>3</v>
      </c>
      <c r="AP399" s="91">
        <v>4</v>
      </c>
      <c r="AQ399" s="91">
        <v>5</v>
      </c>
      <c r="AR399" s="91">
        <v>6</v>
      </c>
      <c r="AS399" s="91">
        <v>7</v>
      </c>
      <c r="AT399" s="91">
        <v>8</v>
      </c>
      <c r="AU399" s="91">
        <v>9</v>
      </c>
      <c r="AV399" s="92">
        <v>0</v>
      </c>
      <c r="AW399" s="92">
        <v>1</v>
      </c>
      <c r="AX399" s="92">
        <v>2</v>
      </c>
      <c r="AY399" s="92">
        <v>3</v>
      </c>
      <c r="AZ399" s="92">
        <v>4</v>
      </c>
      <c r="BA399" s="92">
        <v>5</v>
      </c>
      <c r="BB399" s="92">
        <v>6</v>
      </c>
      <c r="BC399" s="92">
        <v>7</v>
      </c>
      <c r="BD399" s="92">
        <v>8</v>
      </c>
      <c r="BE399" s="92">
        <v>9</v>
      </c>
      <c r="BF399" s="93">
        <v>0</v>
      </c>
      <c r="BG399" s="93">
        <v>1</v>
      </c>
      <c r="BH399" s="93">
        <v>2</v>
      </c>
      <c r="BI399" s="93">
        <v>3</v>
      </c>
      <c r="BJ399" s="93">
        <v>4</v>
      </c>
      <c r="BK399" s="93">
        <v>5</v>
      </c>
      <c r="BL399" s="93">
        <v>6</v>
      </c>
      <c r="BM399" s="93">
        <v>7</v>
      </c>
      <c r="BN399" s="93">
        <v>8</v>
      </c>
      <c r="BO399" s="93">
        <v>9</v>
      </c>
      <c r="BP399" s="94" t="str">
        <f t="shared" si="280"/>
        <v>紧凑型</v>
      </c>
      <c r="BQ399" s="15">
        <f t="shared" si="277"/>
        <v>1</v>
      </c>
      <c r="BR399" s="15">
        <f t="shared" si="278"/>
        <v>4</v>
      </c>
      <c r="BS399" s="20" t="str">
        <f t="shared" si="287"/>
        <v/>
      </c>
      <c r="BT399" s="21">
        <f t="shared" si="288"/>
        <v>1</v>
      </c>
      <c r="BU399" s="21" t="str">
        <f t="array" ref="BU399">_xlfn.TEXTJOIN("",TRUE,IF(ISERROR(FIND(ROW($1:$168)-1,BS399&amp;BT399)),ROW($1:$168)-1,""))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399" s="22" t="str">
        <f t="shared" si="289"/>
        <v>中隔中</v>
      </c>
      <c r="BW399" s="23" t="str">
        <f t="shared" si="300"/>
        <v/>
      </c>
      <c r="BX399" s="23">
        <f t="shared" si="298"/>
        <v>3</v>
      </c>
      <c r="BY399" s="23" t="str">
        <f t="array" ref="BY399">_xlfn.TEXTJOIN("",TRUE,IF(ISERROR(FIND(ROW($1:$168)-1,BW399&amp;BX399)),ROW($1:$168)-1,""))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399" s="22" t="str">
        <f t="shared" si="290"/>
        <v>中隔中</v>
      </c>
      <c r="CA399" s="24" t="str">
        <f t="shared" si="291"/>
        <v/>
      </c>
      <c r="CB399" s="24" t="str">
        <f t="shared" si="299"/>
        <v/>
      </c>
      <c r="CC399" s="24" t="str">
        <f t="array" ref="CC399">_xlfn.TEXTJOIN("",TRUE,IF(ISERROR(FIND(ROW($1:$168)-1,CA399&amp;CB399)),ROW($1:$168)-1,""))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399" s="22" t="str">
        <f t="shared" si="292"/>
        <v>中中中</v>
      </c>
      <c r="CE399" s="25" t="str">
        <f t="shared" si="281"/>
        <v>02</v>
      </c>
      <c r="CF399" s="26" t="str">
        <f t="array" ref="CF399">_xlfn.TEXTJOIN("",TRUE,IF(ISNUMBER(FIND(MID(CE398&amp;W398,ROW($1:$162),1),CE399&amp;W399)),MID(CE398&amp;W398,ROW($1:$162),1),""))</f>
        <v/>
      </c>
      <c r="CG399" s="27" t="str">
        <f t="array" ref="CG399">_xlfn.TEXTJOIN("",TRUE,IF(ISERROR(FIND(ROW($1:$168)-1,CE399&amp;CF399)),ROW($1:$168)-1,""))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399" s="28" t="str">
        <f t="shared" si="293"/>
        <v>邻孤孤</v>
      </c>
      <c r="CI399" s="29" t="str">
        <f t="shared" si="294"/>
        <v>24</v>
      </c>
      <c r="CJ399" s="29" t="str">
        <f t="array" ref="CJ399">_xlfn.TEXTJOIN("",TRUE,IF(ISNUMBER(FIND(MID(CI398&amp;X398,ROW($1:$162),1),CI399&amp;X399)),MID(CI398&amp;X398,ROW($1:$162),1),""))</f>
        <v/>
      </c>
      <c r="CK399" s="29" t="str">
        <f t="array" ref="CK399">_xlfn.TEXTJOIN("",TRUE,IF(ISERROR(FIND(ROW($1:$168)-1,CI399&amp;CJ399)),ROW($1:$168)-1,""))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399" s="19" t="str">
        <f t="shared" si="295"/>
        <v>邻孤孤</v>
      </c>
      <c r="CM399" s="24" t="str">
        <f t="shared" si="296"/>
        <v>35</v>
      </c>
      <c r="CN399" s="24" t="str">
        <f t="array" ref="CN399">_xlfn.TEXTJOIN("",TRUE,IF(ISNUMBER(FIND(MID(CM398&amp;Y398,ROW($1:$162),1),CM399&amp;Y399)),MID(CM398&amp;Y398,ROW($1:$162),1),""))</f>
        <v>3</v>
      </c>
      <c r="CO399" s="24" t="str">
        <f t="array" ref="CO399">_xlfn.TEXTJOIN("",TRUE,IF(ISERROR(FIND(ROW($1:$168)-1,CM399&amp;CN399)),ROW($1:$168)-1,""))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399" s="30" t="str">
        <f t="shared" si="297"/>
        <v>邻传孤</v>
      </c>
    </row>
    <row r="400" spans="1:94">
      <c r="A400" s="15">
        <v>400</v>
      </c>
      <c r="B400" s="80">
        <v>2025017</v>
      </c>
      <c r="C400" s="8" t="s">
        <v>354</v>
      </c>
      <c r="D400" s="81">
        <f t="shared" si="308"/>
        <v>9</v>
      </c>
      <c r="E400" s="82">
        <f t="shared" si="309"/>
        <v>9</v>
      </c>
      <c r="F400" s="83">
        <f t="shared" si="306"/>
        <v>1.28571428571429</v>
      </c>
      <c r="G400" s="84" t="str">
        <f t="shared" si="307"/>
        <v>松散</v>
      </c>
      <c r="H400" s="85" t="s">
        <v>10</v>
      </c>
      <c r="I400" s="85" t="s">
        <v>11</v>
      </c>
      <c r="J400" s="85" t="s">
        <v>12</v>
      </c>
      <c r="K400" s="85" t="s">
        <v>13</v>
      </c>
      <c r="L400" s="86">
        <f>MAX(MID(C400,{1,2,3},1)*1)-MIN(MID(C400,{1,2,3},1)*1)</f>
        <v>7</v>
      </c>
      <c r="M400" s="87">
        <v>0</v>
      </c>
      <c r="N400" s="87">
        <v>1</v>
      </c>
      <c r="O400" s="87">
        <v>2</v>
      </c>
      <c r="P400" s="87">
        <v>3</v>
      </c>
      <c r="Q400" s="87">
        <v>4</v>
      </c>
      <c r="R400" s="87">
        <v>5</v>
      </c>
      <c r="S400" s="87">
        <v>6</v>
      </c>
      <c r="T400" s="87">
        <v>7</v>
      </c>
      <c r="U400" s="87">
        <v>8</v>
      </c>
      <c r="V400" s="87">
        <v>9</v>
      </c>
      <c r="W400" s="88">
        <f t="shared" si="310"/>
        <v>2</v>
      </c>
      <c r="X400" s="88">
        <f t="shared" si="311"/>
        <v>7</v>
      </c>
      <c r="Y400" s="88">
        <f t="shared" si="312"/>
        <v>5</v>
      </c>
      <c r="Z400" s="89">
        <f t="shared" si="279"/>
        <v>14</v>
      </c>
      <c r="AA400" s="17" t="str">
        <f>_xlfn.TEXTJOIN(", ",TRUE,ABS(MID(C400,{1,1,2},1)-MID(C400,{2,3,3},1)))</f>
        <v>2, 7, 5</v>
      </c>
      <c r="AB400" s="90">
        <v>0</v>
      </c>
      <c r="AC400" s="90">
        <v>1</v>
      </c>
      <c r="AD400" s="90">
        <v>2</v>
      </c>
      <c r="AE400" s="90">
        <v>3</v>
      </c>
      <c r="AF400" s="90">
        <v>4</v>
      </c>
      <c r="AG400" s="90">
        <v>5</v>
      </c>
      <c r="AH400" s="90">
        <v>6</v>
      </c>
      <c r="AI400" s="90">
        <v>7</v>
      </c>
      <c r="AJ400" s="90">
        <v>8</v>
      </c>
      <c r="AK400" s="90">
        <v>9</v>
      </c>
      <c r="AL400" s="91">
        <v>0</v>
      </c>
      <c r="AM400" s="91">
        <v>1</v>
      </c>
      <c r="AN400" s="91">
        <v>2</v>
      </c>
      <c r="AO400" s="91">
        <v>3</v>
      </c>
      <c r="AP400" s="91">
        <v>4</v>
      </c>
      <c r="AQ400" s="91">
        <v>5</v>
      </c>
      <c r="AR400" s="91">
        <v>6</v>
      </c>
      <c r="AS400" s="91">
        <v>7</v>
      </c>
      <c r="AT400" s="91">
        <v>8</v>
      </c>
      <c r="AU400" s="91">
        <v>9</v>
      </c>
      <c r="AV400" s="92">
        <v>0</v>
      </c>
      <c r="AW400" s="92">
        <v>1</v>
      </c>
      <c r="AX400" s="92">
        <v>2</v>
      </c>
      <c r="AY400" s="92">
        <v>3</v>
      </c>
      <c r="AZ400" s="92">
        <v>4</v>
      </c>
      <c r="BA400" s="92">
        <v>5</v>
      </c>
      <c r="BB400" s="92">
        <v>6</v>
      </c>
      <c r="BC400" s="92">
        <v>7</v>
      </c>
      <c r="BD400" s="92">
        <v>8</v>
      </c>
      <c r="BE400" s="92">
        <v>9</v>
      </c>
      <c r="BF400" s="93">
        <v>0</v>
      </c>
      <c r="BG400" s="93">
        <v>1</v>
      </c>
      <c r="BH400" s="93">
        <v>2</v>
      </c>
      <c r="BI400" s="93">
        <v>3</v>
      </c>
      <c r="BJ400" s="93">
        <v>4</v>
      </c>
      <c r="BK400" s="93">
        <v>5</v>
      </c>
      <c r="BL400" s="93">
        <v>6</v>
      </c>
      <c r="BM400" s="93">
        <v>7</v>
      </c>
      <c r="BN400" s="93">
        <v>8</v>
      </c>
      <c r="BO400" s="93">
        <v>9</v>
      </c>
      <c r="BP400" s="94" t="str">
        <f t="shared" si="280"/>
        <v>松散型</v>
      </c>
      <c r="BQ400" s="15">
        <f t="shared" si="277"/>
        <v>2</v>
      </c>
      <c r="BR400" s="15">
        <f t="shared" si="278"/>
        <v>7</v>
      </c>
      <c r="BS400" s="20" t="str">
        <f t="shared" si="287"/>
        <v/>
      </c>
      <c r="BT400" s="21">
        <f t="shared" si="288"/>
        <v>2</v>
      </c>
      <c r="BU400" s="21" t="str">
        <f t="array" ref="BU400">_xlfn.TEXTJOIN("",TRUE,IF(ISERROR(FIND(ROW($1:$168)-1,BS400&amp;BT400)),ROW($1:$168)-1,""))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00" s="22" t="str">
        <f t="shared" si="289"/>
        <v>中隔中</v>
      </c>
      <c r="BW400" s="23" t="str">
        <f t="shared" si="300"/>
        <v/>
      </c>
      <c r="BX400" s="23">
        <f t="shared" si="298"/>
        <v>7</v>
      </c>
      <c r="BY400" s="23" t="str">
        <f t="array" ref="BY400">_xlfn.TEXTJOIN("",TRUE,IF(ISERROR(FIND(ROW($1:$168)-1,BW400&amp;BX400)),ROW($1:$168)-1,""))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00" s="22" t="str">
        <f t="shared" si="290"/>
        <v>中隔中</v>
      </c>
      <c r="CA400" s="24" t="str">
        <f t="shared" si="291"/>
        <v/>
      </c>
      <c r="CB400" s="24">
        <f t="shared" si="299"/>
        <v>5</v>
      </c>
      <c r="CC400" s="24" t="str">
        <f t="array" ref="CC400">_xlfn.TEXTJOIN("",TRUE,IF(ISERROR(FIND(ROW($1:$168)-1,CA400&amp;CB400)),ROW($1:$168)-1,""))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00" s="22" t="str">
        <f t="shared" si="292"/>
        <v>中隔中</v>
      </c>
      <c r="CE400" s="25" t="str">
        <f t="shared" si="281"/>
        <v>13</v>
      </c>
      <c r="CF400" s="26" t="str">
        <f t="array" ref="CF400">_xlfn.TEXTJOIN("",TRUE,IF(ISNUMBER(FIND(MID(CE399&amp;W399,ROW($1:$162),1),CE400&amp;W400)),MID(CE399&amp;W399,ROW($1:$162),1),""))</f>
        <v>21</v>
      </c>
      <c r="CG400" s="27" t="str">
        <f t="array" ref="CG400">_xlfn.TEXTJOIN("",TRUE,IF(ISERROR(FIND(ROW($1:$168)-1,CE400&amp;CF400)),ROW($1:$168)-1,""))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400" s="28" t="str">
        <f t="shared" si="293"/>
        <v>邻传孤</v>
      </c>
      <c r="CI400" s="29" t="str">
        <f t="shared" si="294"/>
        <v>68</v>
      </c>
      <c r="CJ400" s="29" t="str">
        <f t="array" ref="CJ400">_xlfn.TEXTJOIN("",TRUE,IF(ISNUMBER(FIND(MID(CI399&amp;X399,ROW($1:$162),1),CI400&amp;X400)),MID(CI399&amp;X399,ROW($1:$162),1),""))</f>
        <v/>
      </c>
      <c r="CK400" s="29" t="str">
        <f t="array" ref="CK400">_xlfn.TEXTJOIN("",TRUE,IF(ISERROR(FIND(ROW($1:$168)-1,CI400&amp;CJ400)),ROW($1:$168)-1,""))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00" s="19" t="str">
        <f t="shared" si="295"/>
        <v>邻孤孤</v>
      </c>
      <c r="CM400" s="24" t="str">
        <f t="shared" si="296"/>
        <v>46</v>
      </c>
      <c r="CN400" s="24" t="str">
        <f t="array" ref="CN400">_xlfn.TEXTJOIN("",TRUE,IF(ISNUMBER(FIND(MID(CM399&amp;Y399,ROW($1:$162),1),CM400&amp;Y400)),MID(CM399&amp;Y399,ROW($1:$162),1),""))</f>
        <v>54</v>
      </c>
      <c r="CO400" s="24" t="str">
        <f t="array" ref="CO400">_xlfn.TEXTJOIN("",TRUE,IF(ISERROR(FIND(ROW($1:$168)-1,CM400&amp;CN400)),ROW($1:$168)-1,""))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00" s="30" t="str">
        <f t="shared" si="297"/>
        <v>邻传孤</v>
      </c>
    </row>
    <row r="401" spans="1:94">
      <c r="A401" s="15">
        <v>401</v>
      </c>
      <c r="B401" s="80">
        <v>2025018</v>
      </c>
      <c r="C401" s="8" t="s">
        <v>355</v>
      </c>
      <c r="D401" s="81">
        <f t="shared" si="308"/>
        <v>17</v>
      </c>
      <c r="E401" s="82">
        <f t="shared" si="309"/>
        <v>7</v>
      </c>
      <c r="F401" s="83">
        <f t="shared" si="306"/>
        <v>3.4</v>
      </c>
      <c r="G401" s="84" t="str">
        <f t="shared" si="307"/>
        <v>标准</v>
      </c>
      <c r="H401" s="85" t="s">
        <v>10</v>
      </c>
      <c r="I401" s="85" t="s">
        <v>11</v>
      </c>
      <c r="J401" s="85" t="s">
        <v>12</v>
      </c>
      <c r="K401" s="85" t="s">
        <v>13</v>
      </c>
      <c r="L401" s="86">
        <f>MAX(MID(C401,{1,2,3},1)*1)-MIN(MID(C401,{1,2,3},1)*1)</f>
        <v>5</v>
      </c>
      <c r="M401" s="87">
        <v>0</v>
      </c>
      <c r="N401" s="87">
        <v>1</v>
      </c>
      <c r="O401" s="87">
        <v>2</v>
      </c>
      <c r="P401" s="87">
        <v>3</v>
      </c>
      <c r="Q401" s="87">
        <v>4</v>
      </c>
      <c r="R401" s="87">
        <v>5</v>
      </c>
      <c r="S401" s="87">
        <v>6</v>
      </c>
      <c r="T401" s="87">
        <v>7</v>
      </c>
      <c r="U401" s="87">
        <v>8</v>
      </c>
      <c r="V401" s="87">
        <v>9</v>
      </c>
      <c r="W401" s="88">
        <f t="shared" si="310"/>
        <v>5</v>
      </c>
      <c r="X401" s="88">
        <f t="shared" si="311"/>
        <v>2</v>
      </c>
      <c r="Y401" s="88">
        <f t="shared" si="312"/>
        <v>3</v>
      </c>
      <c r="Z401" s="89">
        <f t="shared" si="279"/>
        <v>10</v>
      </c>
      <c r="AA401" s="17" t="str">
        <f>_xlfn.TEXTJOIN(", ",TRUE,ABS(MID(C401,{1,1,2},1)-MID(C401,{2,3,3},1)))</f>
        <v>5, 2, 3</v>
      </c>
      <c r="AB401" s="90">
        <v>0</v>
      </c>
      <c r="AC401" s="90">
        <v>1</v>
      </c>
      <c r="AD401" s="90">
        <v>2</v>
      </c>
      <c r="AE401" s="90">
        <v>3</v>
      </c>
      <c r="AF401" s="90">
        <v>4</v>
      </c>
      <c r="AG401" s="90">
        <v>5</v>
      </c>
      <c r="AH401" s="90">
        <v>6</v>
      </c>
      <c r="AI401" s="90">
        <v>7</v>
      </c>
      <c r="AJ401" s="90">
        <v>8</v>
      </c>
      <c r="AK401" s="90">
        <v>9</v>
      </c>
      <c r="AL401" s="91">
        <v>0</v>
      </c>
      <c r="AM401" s="91">
        <v>1</v>
      </c>
      <c r="AN401" s="91">
        <v>2</v>
      </c>
      <c r="AO401" s="91">
        <v>3</v>
      </c>
      <c r="AP401" s="91">
        <v>4</v>
      </c>
      <c r="AQ401" s="91">
        <v>5</v>
      </c>
      <c r="AR401" s="91">
        <v>6</v>
      </c>
      <c r="AS401" s="91">
        <v>7</v>
      </c>
      <c r="AT401" s="91">
        <v>8</v>
      </c>
      <c r="AU401" s="91">
        <v>9</v>
      </c>
      <c r="AV401" s="92">
        <v>0</v>
      </c>
      <c r="AW401" s="92">
        <v>1</v>
      </c>
      <c r="AX401" s="92">
        <v>2</v>
      </c>
      <c r="AY401" s="92">
        <v>3</v>
      </c>
      <c r="AZ401" s="92">
        <v>4</v>
      </c>
      <c r="BA401" s="92">
        <v>5</v>
      </c>
      <c r="BB401" s="92">
        <v>6</v>
      </c>
      <c r="BC401" s="92">
        <v>7</v>
      </c>
      <c r="BD401" s="92">
        <v>8</v>
      </c>
      <c r="BE401" s="92">
        <v>9</v>
      </c>
      <c r="BF401" s="93">
        <v>0</v>
      </c>
      <c r="BG401" s="93">
        <v>1</v>
      </c>
      <c r="BH401" s="93">
        <v>2</v>
      </c>
      <c r="BI401" s="93">
        <v>3</v>
      </c>
      <c r="BJ401" s="93">
        <v>4</v>
      </c>
      <c r="BK401" s="93">
        <v>5</v>
      </c>
      <c r="BL401" s="93">
        <v>6</v>
      </c>
      <c r="BM401" s="93">
        <v>7</v>
      </c>
      <c r="BN401" s="93">
        <v>8</v>
      </c>
      <c r="BO401" s="93">
        <v>9</v>
      </c>
      <c r="BP401" s="94" t="str">
        <f t="shared" si="280"/>
        <v>标准型</v>
      </c>
      <c r="BQ401" s="15">
        <f t="shared" si="277"/>
        <v>2</v>
      </c>
      <c r="BR401" s="15">
        <f t="shared" si="278"/>
        <v>5</v>
      </c>
      <c r="BS401" s="20">
        <f t="shared" si="287"/>
        <v>5</v>
      </c>
      <c r="BT401" s="21" t="str">
        <f t="shared" si="288"/>
        <v/>
      </c>
      <c r="BU401" s="21" t="str">
        <f t="array" ref="BU401">_xlfn.TEXTJOIN("",TRUE,IF(ISERROR(FIND(ROW($1:$168)-1,BS401&amp;BT401)),ROW($1:$168)-1,""))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01" s="22" t="str">
        <f t="shared" si="289"/>
        <v>复中中</v>
      </c>
      <c r="BW401" s="23">
        <f t="shared" si="300"/>
        <v>2</v>
      </c>
      <c r="BX401" s="23" t="str">
        <f t="shared" si="298"/>
        <v/>
      </c>
      <c r="BY401" s="23" t="str">
        <f t="array" ref="BY401">_xlfn.TEXTJOIN("",TRUE,IF(ISERROR(FIND(ROW($1:$168)-1,BW401&amp;BX401)),ROW($1:$168)-1,""))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01" s="22" t="str">
        <f t="shared" si="290"/>
        <v>复中中</v>
      </c>
      <c r="CA401" s="24" t="str">
        <f t="shared" si="291"/>
        <v/>
      </c>
      <c r="CB401" s="24">
        <f t="shared" si="299"/>
        <v>3</v>
      </c>
      <c r="CC401" s="24" t="str">
        <f t="array" ref="CC401">_xlfn.TEXTJOIN("",TRUE,IF(ISERROR(FIND(ROW($1:$168)-1,CA401&amp;CB401)),ROW($1:$168)-1,""))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01" s="22" t="str">
        <f t="shared" si="292"/>
        <v>中隔中</v>
      </c>
      <c r="CE401" s="25" t="str">
        <f t="shared" si="281"/>
        <v>46</v>
      </c>
      <c r="CF401" s="26" t="str">
        <f t="array" ref="CF401">_xlfn.TEXTJOIN("",TRUE,IF(ISNUMBER(FIND(MID(CE400&amp;W400,ROW($1:$162),1),CE401&amp;W401)),MID(CE400&amp;W400,ROW($1:$162),1),""))</f>
        <v/>
      </c>
      <c r="CG401" s="27" t="str">
        <f t="array" ref="CG401">_xlfn.TEXTJOIN("",TRUE,IF(ISERROR(FIND(ROW($1:$168)-1,CE401&amp;CF401)),ROW($1:$168)-1,""))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01" s="28" t="str">
        <f t="shared" si="293"/>
        <v>邻孤孤</v>
      </c>
      <c r="CI401" s="29" t="str">
        <f t="shared" si="294"/>
        <v>13</v>
      </c>
      <c r="CJ401" s="29" t="str">
        <f t="array" ref="CJ401">_xlfn.TEXTJOIN("",TRUE,IF(ISNUMBER(FIND(MID(CI400&amp;X400,ROW($1:$162),1),CI401&amp;X401)),MID(CI400&amp;X400,ROW($1:$162),1),""))</f>
        <v/>
      </c>
      <c r="CK401" s="29" t="str">
        <f t="array" ref="CK401">_xlfn.TEXTJOIN("",TRUE,IF(ISERROR(FIND(ROW($1:$168)-1,CI401&amp;CJ401)),ROW($1:$168)-1,""))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01" s="19" t="str">
        <f t="shared" si="295"/>
        <v>邻孤孤</v>
      </c>
      <c r="CM401" s="24" t="str">
        <f t="shared" si="296"/>
        <v>24</v>
      </c>
      <c r="CN401" s="24" t="str">
        <f t="array" ref="CN401">_xlfn.TEXTJOIN("",TRUE,IF(ISNUMBER(FIND(MID(CM400&amp;Y400,ROW($1:$162),1),CM401&amp;Y401)),MID(CM400&amp;Y400,ROW($1:$162),1),""))</f>
        <v>4</v>
      </c>
      <c r="CO401" s="24" t="str">
        <f t="array" ref="CO401">_xlfn.TEXTJOIN("",TRUE,IF(ISERROR(FIND(ROW($1:$168)-1,CM401&amp;CN401)),ROW($1:$168)-1,""))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01" s="30" t="str">
        <f t="shared" si="297"/>
        <v>邻传孤</v>
      </c>
    </row>
    <row r="402" spans="1:94">
      <c r="A402" s="15">
        <v>402</v>
      </c>
      <c r="B402" s="80">
        <v>2025019</v>
      </c>
      <c r="C402" s="8" t="s">
        <v>235</v>
      </c>
      <c r="D402" s="81">
        <f t="shared" si="308"/>
        <v>8</v>
      </c>
      <c r="E402" s="82">
        <f t="shared" si="309"/>
        <v>8</v>
      </c>
      <c r="F402" s="83">
        <f t="shared" si="306"/>
        <v>1.14285714285714</v>
      </c>
      <c r="G402" s="84" t="str">
        <f t="shared" si="307"/>
        <v>松散</v>
      </c>
      <c r="H402" s="85" t="s">
        <v>10</v>
      </c>
      <c r="I402" s="85" t="s">
        <v>11</v>
      </c>
      <c r="J402" s="85" t="s">
        <v>12</v>
      </c>
      <c r="K402" s="85" t="s">
        <v>13</v>
      </c>
      <c r="L402" s="86">
        <f>MAX(MID(C402,{1,2,3},1)*1)-MIN(MID(C402,{1,2,3},1)*1)</f>
        <v>7</v>
      </c>
      <c r="M402" s="87">
        <v>0</v>
      </c>
      <c r="N402" s="87">
        <v>1</v>
      </c>
      <c r="O402" s="87">
        <v>2</v>
      </c>
      <c r="P402" s="87">
        <v>3</v>
      </c>
      <c r="Q402" s="87">
        <v>4</v>
      </c>
      <c r="R402" s="87">
        <v>5</v>
      </c>
      <c r="S402" s="87">
        <v>6</v>
      </c>
      <c r="T402" s="87">
        <v>7</v>
      </c>
      <c r="U402" s="87">
        <v>8</v>
      </c>
      <c r="V402" s="87">
        <v>9</v>
      </c>
      <c r="W402" s="88">
        <f t="shared" si="310"/>
        <v>6</v>
      </c>
      <c r="X402" s="88">
        <f t="shared" si="311"/>
        <v>7</v>
      </c>
      <c r="Y402" s="88">
        <f t="shared" si="312"/>
        <v>1</v>
      </c>
      <c r="Z402" s="89">
        <f t="shared" si="279"/>
        <v>14</v>
      </c>
      <c r="AA402" s="17" t="str">
        <f>_xlfn.TEXTJOIN(", ",TRUE,ABS(MID(C402,{1,1,2},1)-MID(C402,{2,3,3},1)))</f>
        <v>6, 7, 1</v>
      </c>
      <c r="AB402" s="90">
        <v>0</v>
      </c>
      <c r="AC402" s="90">
        <v>1</v>
      </c>
      <c r="AD402" s="90">
        <v>2</v>
      </c>
      <c r="AE402" s="90">
        <v>3</v>
      </c>
      <c r="AF402" s="90">
        <v>4</v>
      </c>
      <c r="AG402" s="90">
        <v>5</v>
      </c>
      <c r="AH402" s="90">
        <v>6</v>
      </c>
      <c r="AI402" s="90">
        <v>7</v>
      </c>
      <c r="AJ402" s="90">
        <v>8</v>
      </c>
      <c r="AK402" s="90">
        <v>9</v>
      </c>
      <c r="AL402" s="91">
        <v>0</v>
      </c>
      <c r="AM402" s="91">
        <v>1</v>
      </c>
      <c r="AN402" s="91">
        <v>2</v>
      </c>
      <c r="AO402" s="91">
        <v>3</v>
      </c>
      <c r="AP402" s="91">
        <v>4</v>
      </c>
      <c r="AQ402" s="91">
        <v>5</v>
      </c>
      <c r="AR402" s="91">
        <v>6</v>
      </c>
      <c r="AS402" s="91">
        <v>7</v>
      </c>
      <c r="AT402" s="91">
        <v>8</v>
      </c>
      <c r="AU402" s="91">
        <v>9</v>
      </c>
      <c r="AV402" s="92">
        <v>0</v>
      </c>
      <c r="AW402" s="92">
        <v>1</v>
      </c>
      <c r="AX402" s="92">
        <v>2</v>
      </c>
      <c r="AY402" s="92">
        <v>3</v>
      </c>
      <c r="AZ402" s="92">
        <v>4</v>
      </c>
      <c r="BA402" s="92">
        <v>5</v>
      </c>
      <c r="BB402" s="92">
        <v>6</v>
      </c>
      <c r="BC402" s="92">
        <v>7</v>
      </c>
      <c r="BD402" s="92">
        <v>8</v>
      </c>
      <c r="BE402" s="92">
        <v>9</v>
      </c>
      <c r="BF402" s="93">
        <v>0</v>
      </c>
      <c r="BG402" s="93">
        <v>1</v>
      </c>
      <c r="BH402" s="93">
        <v>2</v>
      </c>
      <c r="BI402" s="93">
        <v>3</v>
      </c>
      <c r="BJ402" s="93">
        <v>4</v>
      </c>
      <c r="BK402" s="93">
        <v>5</v>
      </c>
      <c r="BL402" s="93">
        <v>6</v>
      </c>
      <c r="BM402" s="93">
        <v>7</v>
      </c>
      <c r="BN402" s="93">
        <v>8</v>
      </c>
      <c r="BO402" s="93">
        <v>9</v>
      </c>
      <c r="BP402" s="94" t="str">
        <f t="shared" si="280"/>
        <v>松散型</v>
      </c>
      <c r="BQ402" s="15">
        <f t="shared" si="277"/>
        <v>1</v>
      </c>
      <c r="BR402" s="15">
        <f t="shared" si="278"/>
        <v>7</v>
      </c>
      <c r="BS402" s="20" t="str">
        <f t="shared" si="287"/>
        <v/>
      </c>
      <c r="BT402" s="21" t="str">
        <f t="shared" si="288"/>
        <v/>
      </c>
      <c r="BU402" s="21" t="str">
        <f t="array" ref="BU402">_xlfn.TEXTJOIN("",TRUE,IF(ISERROR(FIND(ROW($1:$168)-1,BS402&amp;BT402)),ROW($1:$168)-1,""))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02" s="22" t="str">
        <f t="shared" si="289"/>
        <v>中中中</v>
      </c>
      <c r="BW402" s="23" t="str">
        <f t="shared" si="300"/>
        <v/>
      </c>
      <c r="BX402" s="23">
        <f t="shared" si="298"/>
        <v>7</v>
      </c>
      <c r="BY402" s="23" t="str">
        <f t="array" ref="BY402">_xlfn.TEXTJOIN("",TRUE,IF(ISERROR(FIND(ROW($1:$168)-1,BW402&amp;BX402)),ROW($1:$168)-1,""))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02" s="22" t="str">
        <f t="shared" si="290"/>
        <v>中隔中</v>
      </c>
      <c r="CA402" s="24" t="str">
        <f t="shared" si="291"/>
        <v/>
      </c>
      <c r="CB402" s="24" t="str">
        <f t="shared" si="299"/>
        <v/>
      </c>
      <c r="CC402" s="24" t="str">
        <f t="array" ref="CC402">_xlfn.TEXTJOIN("",TRUE,IF(ISERROR(FIND(ROW($1:$168)-1,CA402&amp;CB402)),ROW($1:$168)-1,""))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02" s="22" t="str">
        <f t="shared" si="292"/>
        <v>中中中</v>
      </c>
      <c r="CE402" s="25" t="str">
        <f t="shared" si="281"/>
        <v>57</v>
      </c>
      <c r="CF402" s="26" t="str">
        <f t="array" ref="CF402">_xlfn.TEXTJOIN("",TRUE,IF(ISNUMBER(FIND(MID(CE401&amp;W401,ROW($1:$162),1),CE402&amp;W402)),MID(CE401&amp;W401,ROW($1:$162),1),""))</f>
        <v>65</v>
      </c>
      <c r="CG402" s="27" t="str">
        <f t="array" ref="CG402">_xlfn.TEXTJOIN("",TRUE,IF(ISERROR(FIND(ROW($1:$168)-1,CE402&amp;CF402)),ROW($1:$168)-1,""))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02" s="28" t="str">
        <f t="shared" si="293"/>
        <v>邻传孤</v>
      </c>
      <c r="CI402" s="29" t="str">
        <f t="shared" si="294"/>
        <v>68</v>
      </c>
      <c r="CJ402" s="29" t="str">
        <f t="array" ref="CJ402">_xlfn.TEXTJOIN("",TRUE,IF(ISNUMBER(FIND(MID(CI401&amp;X401,ROW($1:$162),1),CI402&amp;X402)),MID(CI401&amp;X401,ROW($1:$162),1),""))</f>
        <v/>
      </c>
      <c r="CK402" s="29" t="str">
        <f t="array" ref="CK402">_xlfn.TEXTJOIN("",TRUE,IF(ISERROR(FIND(ROW($1:$168)-1,CI402&amp;CJ402)),ROW($1:$168)-1,""))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02" s="19" t="str">
        <f t="shared" si="295"/>
        <v>邻孤孤</v>
      </c>
      <c r="CM402" s="24" t="str">
        <f t="shared" si="296"/>
        <v>02</v>
      </c>
      <c r="CN402" s="24" t="str">
        <f t="array" ref="CN402">_xlfn.TEXTJOIN("",TRUE,IF(ISNUMBER(FIND(MID(CM401&amp;Y401,ROW($1:$162),1),CM402&amp;Y402)),MID(CM401&amp;Y401,ROW($1:$162),1),""))</f>
        <v>2</v>
      </c>
      <c r="CO402" s="24" t="str">
        <f t="array" ref="CO402">_xlfn.TEXTJOIN("",TRUE,IF(ISERROR(FIND(ROW($1:$168)-1,CM402&amp;CN402)),ROW($1:$168)-1,""))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02" s="30" t="str">
        <f t="shared" si="297"/>
        <v>邻传孤</v>
      </c>
    </row>
    <row r="403" spans="1:94">
      <c r="A403" s="15">
        <v>403</v>
      </c>
      <c r="B403" s="80">
        <v>2025020</v>
      </c>
      <c r="C403" s="8" t="s">
        <v>233</v>
      </c>
      <c r="D403" s="81">
        <f t="shared" si="308"/>
        <v>11</v>
      </c>
      <c r="E403" s="82">
        <f t="shared" si="309"/>
        <v>1</v>
      </c>
      <c r="F403" s="83">
        <f t="shared" si="306"/>
        <v>1.83333333333333</v>
      </c>
      <c r="G403" s="84" t="str">
        <f t="shared" si="307"/>
        <v>松散</v>
      </c>
      <c r="H403" s="85" t="s">
        <v>10</v>
      </c>
      <c r="I403" s="85" t="s">
        <v>11</v>
      </c>
      <c r="J403" s="85" t="s">
        <v>12</v>
      </c>
      <c r="K403" s="85" t="s">
        <v>13</v>
      </c>
      <c r="L403" s="86">
        <f>MAX(MID(C403,{1,2,3},1)*1)-MIN(MID(C403,{1,2,3},1)*1)</f>
        <v>6</v>
      </c>
      <c r="M403" s="87">
        <v>0</v>
      </c>
      <c r="N403" s="87">
        <v>1</v>
      </c>
      <c r="O403" s="87">
        <v>2</v>
      </c>
      <c r="P403" s="87">
        <v>3</v>
      </c>
      <c r="Q403" s="87">
        <v>4</v>
      </c>
      <c r="R403" s="87">
        <v>5</v>
      </c>
      <c r="S403" s="87">
        <v>6</v>
      </c>
      <c r="T403" s="87">
        <v>7</v>
      </c>
      <c r="U403" s="87">
        <v>8</v>
      </c>
      <c r="V403" s="87">
        <v>9</v>
      </c>
      <c r="W403" s="88">
        <f t="shared" si="310"/>
        <v>5</v>
      </c>
      <c r="X403" s="88">
        <f t="shared" si="311"/>
        <v>6</v>
      </c>
      <c r="Y403" s="88">
        <f t="shared" si="312"/>
        <v>1</v>
      </c>
      <c r="Z403" s="89">
        <f t="shared" si="279"/>
        <v>12</v>
      </c>
      <c r="AA403" s="17" t="str">
        <f>_xlfn.TEXTJOIN(", ",TRUE,ABS(MID(C403,{1,1,2},1)-MID(C403,{2,3,3},1)))</f>
        <v>5, 6, 1</v>
      </c>
      <c r="AB403" s="90">
        <v>0</v>
      </c>
      <c r="AC403" s="90">
        <v>1</v>
      </c>
      <c r="AD403" s="90">
        <v>2</v>
      </c>
      <c r="AE403" s="90">
        <v>3</v>
      </c>
      <c r="AF403" s="90">
        <v>4</v>
      </c>
      <c r="AG403" s="90">
        <v>5</v>
      </c>
      <c r="AH403" s="90">
        <v>6</v>
      </c>
      <c r="AI403" s="90">
        <v>7</v>
      </c>
      <c r="AJ403" s="90">
        <v>8</v>
      </c>
      <c r="AK403" s="90">
        <v>9</v>
      </c>
      <c r="AL403" s="91">
        <v>0</v>
      </c>
      <c r="AM403" s="91">
        <v>1</v>
      </c>
      <c r="AN403" s="91">
        <v>2</v>
      </c>
      <c r="AO403" s="91">
        <v>3</v>
      </c>
      <c r="AP403" s="91">
        <v>4</v>
      </c>
      <c r="AQ403" s="91">
        <v>5</v>
      </c>
      <c r="AR403" s="91">
        <v>6</v>
      </c>
      <c r="AS403" s="91">
        <v>7</v>
      </c>
      <c r="AT403" s="91">
        <v>8</v>
      </c>
      <c r="AU403" s="91">
        <v>9</v>
      </c>
      <c r="AV403" s="92">
        <v>0</v>
      </c>
      <c r="AW403" s="92">
        <v>1</v>
      </c>
      <c r="AX403" s="92">
        <v>2</v>
      </c>
      <c r="AY403" s="92">
        <v>3</v>
      </c>
      <c r="AZ403" s="92">
        <v>4</v>
      </c>
      <c r="BA403" s="92">
        <v>5</v>
      </c>
      <c r="BB403" s="92">
        <v>6</v>
      </c>
      <c r="BC403" s="92">
        <v>7</v>
      </c>
      <c r="BD403" s="92">
        <v>8</v>
      </c>
      <c r="BE403" s="92">
        <v>9</v>
      </c>
      <c r="BF403" s="93">
        <v>0</v>
      </c>
      <c r="BG403" s="93">
        <v>1</v>
      </c>
      <c r="BH403" s="93">
        <v>2</v>
      </c>
      <c r="BI403" s="93">
        <v>3</v>
      </c>
      <c r="BJ403" s="93">
        <v>4</v>
      </c>
      <c r="BK403" s="93">
        <v>5</v>
      </c>
      <c r="BL403" s="93">
        <v>6</v>
      </c>
      <c r="BM403" s="93">
        <v>7</v>
      </c>
      <c r="BN403" s="93">
        <v>8</v>
      </c>
      <c r="BO403" s="93">
        <v>9</v>
      </c>
      <c r="BP403" s="94" t="str">
        <f t="shared" si="280"/>
        <v>松散型</v>
      </c>
      <c r="BQ403" s="15">
        <f t="shared" si="277"/>
        <v>1</v>
      </c>
      <c r="BR403" s="15">
        <f t="shared" si="278"/>
        <v>6</v>
      </c>
      <c r="BS403" s="20" t="str">
        <f t="shared" si="287"/>
        <v/>
      </c>
      <c r="BT403" s="21">
        <f t="shared" si="288"/>
        <v>5</v>
      </c>
      <c r="BU403" s="21" t="str">
        <f t="array" ref="BU403">_xlfn.TEXTJOIN("",TRUE,IF(ISERROR(FIND(ROW($1:$168)-1,BS403&amp;BT403)),ROW($1:$168)-1,""))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03" s="22" t="str">
        <f t="shared" si="289"/>
        <v>中隔中</v>
      </c>
      <c r="BW403" s="23">
        <f t="shared" si="300"/>
        <v>6</v>
      </c>
      <c r="BX403" s="23" t="str">
        <f t="shared" si="298"/>
        <v/>
      </c>
      <c r="BY403" s="23" t="str">
        <f t="array" ref="BY403">_xlfn.TEXTJOIN("",TRUE,IF(ISERROR(FIND(ROW($1:$168)-1,BW403&amp;BX403)),ROW($1:$168)-1,""))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03" s="22" t="str">
        <f t="shared" si="290"/>
        <v>复中中</v>
      </c>
      <c r="CA403" s="24">
        <f t="shared" si="291"/>
        <v>1</v>
      </c>
      <c r="CB403" s="24" t="str">
        <f t="shared" si="299"/>
        <v/>
      </c>
      <c r="CC403" s="24" t="str">
        <f t="array" ref="CC403">_xlfn.TEXTJOIN("",TRUE,IF(ISERROR(FIND(ROW($1:$168)-1,CA403&amp;CB403)),ROW($1:$168)-1,""))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03" s="22" t="str">
        <f t="shared" si="292"/>
        <v>复中中</v>
      </c>
      <c r="CE403" s="25" t="str">
        <f t="shared" si="281"/>
        <v>46</v>
      </c>
      <c r="CF403" s="26" t="str">
        <f t="array" ref="CF403">_xlfn.TEXTJOIN("",TRUE,IF(ISNUMBER(FIND(MID(CE402&amp;W402,ROW($1:$162),1),CE403&amp;W403)),MID(CE402&amp;W402,ROW($1:$162),1),""))</f>
        <v>56</v>
      </c>
      <c r="CG403" s="27" t="str">
        <f t="array" ref="CG403">_xlfn.TEXTJOIN("",TRUE,IF(ISERROR(FIND(ROW($1:$168)-1,CE403&amp;CF403)),ROW($1:$168)-1,""))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03" s="28" t="str">
        <f t="shared" si="293"/>
        <v>邻传孤</v>
      </c>
      <c r="CI403" s="29" t="str">
        <f t="shared" si="294"/>
        <v>57</v>
      </c>
      <c r="CJ403" s="29" t="str">
        <f t="array" ref="CJ403">_xlfn.TEXTJOIN("",TRUE,IF(ISNUMBER(FIND(MID(CI402&amp;X402,ROW($1:$162),1),CI403&amp;X403)),MID(CI402&amp;X402,ROW($1:$162),1),""))</f>
        <v>67</v>
      </c>
      <c r="CK403" s="29" t="str">
        <f t="array" ref="CK403">_xlfn.TEXTJOIN("",TRUE,IF(ISERROR(FIND(ROW($1:$168)-1,CI403&amp;CJ403)),ROW($1:$168)-1,""))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03" s="19" t="str">
        <f t="shared" si="295"/>
        <v>邻传孤</v>
      </c>
      <c r="CM403" s="24" t="str">
        <f t="shared" si="296"/>
        <v>02</v>
      </c>
      <c r="CN403" s="24" t="str">
        <f t="array" ref="CN403">_xlfn.TEXTJOIN("",TRUE,IF(ISNUMBER(FIND(MID(CM402&amp;Y402,ROW($1:$162),1),CM403&amp;Y403)),MID(CM402&amp;Y402,ROW($1:$162),1),""))</f>
        <v>021</v>
      </c>
      <c r="CO403" s="24" t="str">
        <f t="array" ref="CO403">_xlfn.TEXTJOIN("",TRUE,IF(ISERROR(FIND(ROW($1:$168)-1,CM403&amp;CN403)),ROW($1:$168)-1,""))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03" s="30" t="str">
        <f t="shared" si="297"/>
        <v>邻传孤</v>
      </c>
    </row>
    <row r="404" spans="1:94">
      <c r="A404" s="15">
        <v>404</v>
      </c>
      <c r="B404" s="80">
        <v>2025021</v>
      </c>
      <c r="C404" s="8" t="s">
        <v>69</v>
      </c>
      <c r="D404" s="81">
        <f t="shared" si="308"/>
        <v>18</v>
      </c>
      <c r="E404" s="82">
        <f t="shared" si="309"/>
        <v>8</v>
      </c>
      <c r="F404" s="83">
        <f t="shared" si="306"/>
        <v>4.5</v>
      </c>
      <c r="G404" s="84" t="str">
        <f t="shared" si="307"/>
        <v>紧凑</v>
      </c>
      <c r="H404" s="85" t="s">
        <v>10</v>
      </c>
      <c r="I404" s="85" t="s">
        <v>11</v>
      </c>
      <c r="J404" s="85" t="s">
        <v>12</v>
      </c>
      <c r="K404" s="85" t="s">
        <v>13</v>
      </c>
      <c r="L404" s="86">
        <f>MAX(MID(C404,{1,2,3},1)*1)-MIN(MID(C404,{1,2,3},1)*1)</f>
        <v>4</v>
      </c>
      <c r="M404" s="87">
        <v>0</v>
      </c>
      <c r="N404" s="87">
        <v>1</v>
      </c>
      <c r="O404" s="87">
        <v>2</v>
      </c>
      <c r="P404" s="87">
        <v>3</v>
      </c>
      <c r="Q404" s="87">
        <v>4</v>
      </c>
      <c r="R404" s="87">
        <v>5</v>
      </c>
      <c r="S404" s="87">
        <v>6</v>
      </c>
      <c r="T404" s="87">
        <v>7</v>
      </c>
      <c r="U404" s="87">
        <v>8</v>
      </c>
      <c r="V404" s="87">
        <v>9</v>
      </c>
      <c r="W404" s="88">
        <f t="shared" si="310"/>
        <v>2</v>
      </c>
      <c r="X404" s="88">
        <f t="shared" si="311"/>
        <v>4</v>
      </c>
      <c r="Y404" s="88">
        <f t="shared" si="312"/>
        <v>2</v>
      </c>
      <c r="Z404" s="89">
        <f t="shared" si="279"/>
        <v>8</v>
      </c>
      <c r="AA404" s="17" t="str">
        <f>_xlfn.TEXTJOIN(", ",TRUE,ABS(MID(C404,{1,1,2},1)-MID(C404,{2,3,3},1)))</f>
        <v>2, 4, 2</v>
      </c>
      <c r="AB404" s="90">
        <v>0</v>
      </c>
      <c r="AC404" s="90">
        <v>1</v>
      </c>
      <c r="AD404" s="90">
        <v>2</v>
      </c>
      <c r="AE404" s="90">
        <v>3</v>
      </c>
      <c r="AF404" s="90">
        <v>4</v>
      </c>
      <c r="AG404" s="90">
        <v>5</v>
      </c>
      <c r="AH404" s="90">
        <v>6</v>
      </c>
      <c r="AI404" s="90">
        <v>7</v>
      </c>
      <c r="AJ404" s="90">
        <v>8</v>
      </c>
      <c r="AK404" s="90">
        <v>9</v>
      </c>
      <c r="AL404" s="91">
        <v>0</v>
      </c>
      <c r="AM404" s="91">
        <v>1</v>
      </c>
      <c r="AN404" s="91">
        <v>2</v>
      </c>
      <c r="AO404" s="91">
        <v>3</v>
      </c>
      <c r="AP404" s="91">
        <v>4</v>
      </c>
      <c r="AQ404" s="91">
        <v>5</v>
      </c>
      <c r="AR404" s="91">
        <v>6</v>
      </c>
      <c r="AS404" s="91">
        <v>7</v>
      </c>
      <c r="AT404" s="91">
        <v>8</v>
      </c>
      <c r="AU404" s="91">
        <v>9</v>
      </c>
      <c r="AV404" s="92">
        <v>0</v>
      </c>
      <c r="AW404" s="92">
        <v>1</v>
      </c>
      <c r="AX404" s="92">
        <v>2</v>
      </c>
      <c r="AY404" s="92">
        <v>3</v>
      </c>
      <c r="AZ404" s="92">
        <v>4</v>
      </c>
      <c r="BA404" s="92">
        <v>5</v>
      </c>
      <c r="BB404" s="92">
        <v>6</v>
      </c>
      <c r="BC404" s="92">
        <v>7</v>
      </c>
      <c r="BD404" s="92">
        <v>8</v>
      </c>
      <c r="BE404" s="92">
        <v>9</v>
      </c>
      <c r="BF404" s="93">
        <v>0</v>
      </c>
      <c r="BG404" s="93">
        <v>1</v>
      </c>
      <c r="BH404" s="93">
        <v>2</v>
      </c>
      <c r="BI404" s="93">
        <v>3</v>
      </c>
      <c r="BJ404" s="93">
        <v>4</v>
      </c>
      <c r="BK404" s="93">
        <v>5</v>
      </c>
      <c r="BL404" s="93">
        <v>6</v>
      </c>
      <c r="BM404" s="93">
        <v>7</v>
      </c>
      <c r="BN404" s="93">
        <v>8</v>
      </c>
      <c r="BO404" s="93">
        <v>9</v>
      </c>
      <c r="BP404" s="94" t="str">
        <f t="shared" si="280"/>
        <v>标准型</v>
      </c>
      <c r="BQ404" s="15">
        <f t="shared" si="277"/>
        <v>2</v>
      </c>
      <c r="BR404" s="15">
        <f t="shared" si="278"/>
        <v>4</v>
      </c>
      <c r="BS404" s="20" t="str">
        <f t="shared" si="287"/>
        <v/>
      </c>
      <c r="BT404" s="21" t="str">
        <f t="shared" si="288"/>
        <v/>
      </c>
      <c r="BU404" s="21" t="str">
        <f t="array" ref="BU404">_xlfn.TEXTJOIN("",TRUE,IF(ISERROR(FIND(ROW($1:$168)-1,BS404&amp;BT404)),ROW($1:$168)-1,""))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04" s="22" t="str">
        <f t="shared" si="289"/>
        <v>中中中</v>
      </c>
      <c r="BW404" s="23" t="str">
        <f t="shared" si="300"/>
        <v/>
      </c>
      <c r="BX404" s="23" t="str">
        <f t="shared" si="298"/>
        <v/>
      </c>
      <c r="BY404" s="23" t="str">
        <f t="array" ref="BY404">_xlfn.TEXTJOIN("",TRUE,IF(ISERROR(FIND(ROW($1:$168)-1,BW404&amp;BX404)),ROW($1:$168)-1,""))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04" s="22" t="str">
        <f t="shared" si="290"/>
        <v>中中中</v>
      </c>
      <c r="CA404" s="24" t="str">
        <f t="shared" si="291"/>
        <v/>
      </c>
      <c r="CB404" s="24" t="str">
        <f t="shared" si="299"/>
        <v/>
      </c>
      <c r="CC404" s="24" t="str">
        <f t="array" ref="CC404">_xlfn.TEXTJOIN("",TRUE,IF(ISERROR(FIND(ROW($1:$168)-1,CA404&amp;CB404)),ROW($1:$168)-1,""))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04" s="22" t="str">
        <f t="shared" si="292"/>
        <v>中中中</v>
      </c>
      <c r="CE404" s="25" t="str">
        <f t="shared" si="281"/>
        <v>13</v>
      </c>
      <c r="CF404" s="26" t="str">
        <f t="array" ref="CF404">_xlfn.TEXTJOIN("",TRUE,IF(ISNUMBER(FIND(MID(CE403&amp;W403,ROW($1:$162),1),CE404&amp;W404)),MID(CE403&amp;W403,ROW($1:$162),1),""))</f>
        <v/>
      </c>
      <c r="CG404" s="27" t="str">
        <f t="array" ref="CG404">_xlfn.TEXTJOIN("",TRUE,IF(ISERROR(FIND(ROW($1:$168)-1,CE404&amp;CF404)),ROW($1:$168)-1,""))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04" s="28" t="str">
        <f t="shared" si="293"/>
        <v>邻孤孤</v>
      </c>
      <c r="CI404" s="29" t="str">
        <f t="shared" si="294"/>
        <v>35</v>
      </c>
      <c r="CJ404" s="29" t="str">
        <f t="array" ref="CJ404">_xlfn.TEXTJOIN("",TRUE,IF(ISNUMBER(FIND(MID(CI403&amp;X403,ROW($1:$162),1),CI404&amp;X404)),MID(CI403&amp;X403,ROW($1:$162),1),""))</f>
        <v>5</v>
      </c>
      <c r="CK404" s="29" t="str">
        <f t="array" ref="CK404">_xlfn.TEXTJOIN("",TRUE,IF(ISERROR(FIND(ROW($1:$168)-1,CI404&amp;CJ404)),ROW($1:$168)-1,""))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04" s="19" t="str">
        <f t="shared" si="295"/>
        <v>邻传孤</v>
      </c>
      <c r="CM404" s="24" t="str">
        <f t="shared" si="296"/>
        <v>13</v>
      </c>
      <c r="CN404" s="24" t="str">
        <f t="array" ref="CN404">_xlfn.TEXTJOIN("",TRUE,IF(ISNUMBER(FIND(MID(CM403&amp;Y403,ROW($1:$162),1),CM404&amp;Y404)),MID(CM403&amp;Y403,ROW($1:$162),1),""))</f>
        <v>21</v>
      </c>
      <c r="CO404" s="24" t="str">
        <f t="array" ref="CO404">_xlfn.TEXTJOIN("",TRUE,IF(ISERROR(FIND(ROW($1:$168)-1,CM404&amp;CN404)),ROW($1:$168)-1,""))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404" s="30" t="str">
        <f t="shared" si="297"/>
        <v>邻传孤</v>
      </c>
    </row>
    <row r="405" spans="1:94">
      <c r="A405" s="15">
        <v>405</v>
      </c>
      <c r="B405" s="80">
        <v>2025022</v>
      </c>
      <c r="C405" s="8" t="s">
        <v>356</v>
      </c>
      <c r="D405" s="81">
        <f t="shared" si="308"/>
        <v>17</v>
      </c>
      <c r="E405" s="82">
        <f t="shared" si="309"/>
        <v>7</v>
      </c>
      <c r="F405" s="83">
        <f t="shared" si="306"/>
        <v>3.4</v>
      </c>
      <c r="G405" s="84" t="str">
        <f t="shared" si="307"/>
        <v>标准</v>
      </c>
      <c r="H405" s="85" t="s">
        <v>10</v>
      </c>
      <c r="I405" s="85" t="s">
        <v>11</v>
      </c>
      <c r="J405" s="85" t="s">
        <v>12</v>
      </c>
      <c r="K405" s="85" t="s">
        <v>13</v>
      </c>
      <c r="L405" s="86">
        <f>MAX(MID(C405,{1,2,3},1)*1)-MIN(MID(C405,{1,2,3},1)*1)</f>
        <v>5</v>
      </c>
      <c r="M405" s="87">
        <v>0</v>
      </c>
      <c r="N405" s="87">
        <v>1</v>
      </c>
      <c r="O405" s="87">
        <v>2</v>
      </c>
      <c r="P405" s="87">
        <v>3</v>
      </c>
      <c r="Q405" s="87">
        <v>4</v>
      </c>
      <c r="R405" s="87">
        <v>5</v>
      </c>
      <c r="S405" s="87">
        <v>6</v>
      </c>
      <c r="T405" s="87">
        <v>7</v>
      </c>
      <c r="U405" s="87">
        <v>8</v>
      </c>
      <c r="V405" s="87">
        <v>9</v>
      </c>
      <c r="W405" s="88">
        <f t="shared" si="310"/>
        <v>3</v>
      </c>
      <c r="X405" s="88">
        <f t="shared" si="311"/>
        <v>2</v>
      </c>
      <c r="Y405" s="88">
        <f t="shared" si="312"/>
        <v>5</v>
      </c>
      <c r="Z405" s="89">
        <f t="shared" si="279"/>
        <v>10</v>
      </c>
      <c r="AA405" s="17" t="str">
        <f>_xlfn.TEXTJOIN(", ",TRUE,ABS(MID(C405,{1,1,2},1)-MID(C405,{2,3,3},1)))</f>
        <v>3, 2, 5</v>
      </c>
      <c r="AB405" s="90">
        <v>0</v>
      </c>
      <c r="AC405" s="90">
        <v>1</v>
      </c>
      <c r="AD405" s="90">
        <v>2</v>
      </c>
      <c r="AE405" s="90">
        <v>3</v>
      </c>
      <c r="AF405" s="90">
        <v>4</v>
      </c>
      <c r="AG405" s="90">
        <v>5</v>
      </c>
      <c r="AH405" s="90">
        <v>6</v>
      </c>
      <c r="AI405" s="90">
        <v>7</v>
      </c>
      <c r="AJ405" s="90">
        <v>8</v>
      </c>
      <c r="AK405" s="90">
        <v>9</v>
      </c>
      <c r="AL405" s="91">
        <v>0</v>
      </c>
      <c r="AM405" s="91">
        <v>1</v>
      </c>
      <c r="AN405" s="91">
        <v>2</v>
      </c>
      <c r="AO405" s="91">
        <v>3</v>
      </c>
      <c r="AP405" s="91">
        <v>4</v>
      </c>
      <c r="AQ405" s="91">
        <v>5</v>
      </c>
      <c r="AR405" s="91">
        <v>6</v>
      </c>
      <c r="AS405" s="91">
        <v>7</v>
      </c>
      <c r="AT405" s="91">
        <v>8</v>
      </c>
      <c r="AU405" s="91">
        <v>9</v>
      </c>
      <c r="AV405" s="92">
        <v>0</v>
      </c>
      <c r="AW405" s="92">
        <v>1</v>
      </c>
      <c r="AX405" s="92">
        <v>2</v>
      </c>
      <c r="AY405" s="92">
        <v>3</v>
      </c>
      <c r="AZ405" s="92">
        <v>4</v>
      </c>
      <c r="BA405" s="92">
        <v>5</v>
      </c>
      <c r="BB405" s="92">
        <v>6</v>
      </c>
      <c r="BC405" s="92">
        <v>7</v>
      </c>
      <c r="BD405" s="92">
        <v>8</v>
      </c>
      <c r="BE405" s="92">
        <v>9</v>
      </c>
      <c r="BF405" s="93">
        <v>0</v>
      </c>
      <c r="BG405" s="93">
        <v>1</v>
      </c>
      <c r="BH405" s="93">
        <v>2</v>
      </c>
      <c r="BI405" s="93">
        <v>3</v>
      </c>
      <c r="BJ405" s="93">
        <v>4</v>
      </c>
      <c r="BK405" s="93">
        <v>5</v>
      </c>
      <c r="BL405" s="93">
        <v>6</v>
      </c>
      <c r="BM405" s="93">
        <v>7</v>
      </c>
      <c r="BN405" s="93">
        <v>8</v>
      </c>
      <c r="BO405" s="93">
        <v>9</v>
      </c>
      <c r="BP405" s="94" t="str">
        <f t="shared" si="280"/>
        <v>标准型</v>
      </c>
      <c r="BQ405" s="15">
        <f t="shared" si="277"/>
        <v>2</v>
      </c>
      <c r="BR405" s="15">
        <f t="shared" si="278"/>
        <v>5</v>
      </c>
      <c r="BS405" s="20" t="str">
        <f t="shared" si="287"/>
        <v/>
      </c>
      <c r="BT405" s="21" t="str">
        <f t="shared" si="288"/>
        <v/>
      </c>
      <c r="BU405" s="21" t="str">
        <f t="array" ref="BU405">_xlfn.TEXTJOIN("",TRUE,IF(ISERROR(FIND(ROW($1:$168)-1,BS405&amp;BT405)),ROW($1:$168)-1,""))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05" s="22" t="str">
        <f t="shared" si="289"/>
        <v>中中中</v>
      </c>
      <c r="BW405" s="23">
        <f t="shared" si="300"/>
        <v>2</v>
      </c>
      <c r="BX405" s="23" t="str">
        <f t="shared" si="298"/>
        <v/>
      </c>
      <c r="BY405" s="23" t="str">
        <f t="array" ref="BY405">_xlfn.TEXTJOIN("",TRUE,IF(ISERROR(FIND(ROW($1:$168)-1,BW405&amp;BX405)),ROW($1:$168)-1,""))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05" s="22" t="str">
        <f t="shared" si="290"/>
        <v>复中中</v>
      </c>
      <c r="CA405" s="24" t="str">
        <f t="shared" si="291"/>
        <v/>
      </c>
      <c r="CB405" s="24">
        <f t="shared" si="299"/>
        <v>5</v>
      </c>
      <c r="CC405" s="24" t="str">
        <f t="array" ref="CC405">_xlfn.TEXTJOIN("",TRUE,IF(ISERROR(FIND(ROW($1:$168)-1,CA405&amp;CB405)),ROW($1:$168)-1,""))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05" s="22" t="str">
        <f t="shared" si="292"/>
        <v>中隔中</v>
      </c>
      <c r="CE405" s="25" t="str">
        <f t="shared" si="281"/>
        <v>24</v>
      </c>
      <c r="CF405" s="26" t="str">
        <f t="array" ref="CF405">_xlfn.TEXTJOIN("",TRUE,IF(ISNUMBER(FIND(MID(CE404&amp;W404,ROW($1:$162),1),CE405&amp;W405)),MID(CE404&amp;W404,ROW($1:$162),1),""))</f>
        <v>32</v>
      </c>
      <c r="CG405" s="27" t="str">
        <f t="array" ref="CG405">_xlfn.TEXTJOIN("",TRUE,IF(ISERROR(FIND(ROW($1:$168)-1,CE405&amp;CF405)),ROW($1:$168)-1,""))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05" s="28" t="str">
        <f t="shared" si="293"/>
        <v>邻传孤</v>
      </c>
      <c r="CI405" s="29" t="str">
        <f t="shared" si="294"/>
        <v>13</v>
      </c>
      <c r="CJ405" s="29" t="str">
        <f t="array" ref="CJ405">_xlfn.TEXTJOIN("",TRUE,IF(ISNUMBER(FIND(MID(CI404&amp;X404,ROW($1:$162),1),CI405&amp;X405)),MID(CI404&amp;X404,ROW($1:$162),1),""))</f>
        <v>3</v>
      </c>
      <c r="CK405" s="29" t="str">
        <f t="array" ref="CK405">_xlfn.TEXTJOIN("",TRUE,IF(ISERROR(FIND(ROW($1:$168)-1,CI405&amp;CJ405)),ROW($1:$168)-1,""))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405" s="19" t="str">
        <f t="shared" si="295"/>
        <v>邻传孤</v>
      </c>
      <c r="CM405" s="24" t="str">
        <f t="shared" si="296"/>
        <v>46</v>
      </c>
      <c r="CN405" s="24" t="str">
        <f t="array" ref="CN405">_xlfn.TEXTJOIN("",TRUE,IF(ISNUMBER(FIND(MID(CM404&amp;Y404,ROW($1:$162),1),CM405&amp;Y405)),MID(CM404&amp;Y404,ROW($1:$162),1),""))</f>
        <v/>
      </c>
      <c r="CO405" s="24" t="str">
        <f t="array" ref="CO405">_xlfn.TEXTJOIN("",TRUE,IF(ISERROR(FIND(ROW($1:$168)-1,CM405&amp;CN405)),ROW($1:$168)-1,""))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05" s="30" t="str">
        <f t="shared" si="297"/>
        <v>邻孤孤</v>
      </c>
    </row>
    <row r="406" spans="1:94">
      <c r="A406" s="15">
        <v>406</v>
      </c>
      <c r="B406" s="80">
        <v>2025023</v>
      </c>
      <c r="C406" s="8" t="s">
        <v>357</v>
      </c>
      <c r="D406" s="81">
        <f t="shared" si="308"/>
        <v>15</v>
      </c>
      <c r="E406" s="82">
        <f t="shared" si="309"/>
        <v>5</v>
      </c>
      <c r="F406" s="83">
        <f t="shared" si="306"/>
        <v>1.875</v>
      </c>
      <c r="G406" s="84" t="str">
        <f t="shared" si="307"/>
        <v>松散</v>
      </c>
      <c r="H406" s="85" t="s">
        <v>10</v>
      </c>
      <c r="I406" s="85" t="s">
        <v>11</v>
      </c>
      <c r="J406" s="85" t="s">
        <v>12</v>
      </c>
      <c r="K406" s="85" t="s">
        <v>13</v>
      </c>
      <c r="L406" s="86">
        <f>MAX(MID(C406,{1,2,3},1)*1)-MIN(MID(C406,{1,2,3},1)*1)</f>
        <v>8</v>
      </c>
      <c r="M406" s="87">
        <v>0</v>
      </c>
      <c r="N406" s="87">
        <v>1</v>
      </c>
      <c r="O406" s="87">
        <v>2</v>
      </c>
      <c r="P406" s="87">
        <v>3</v>
      </c>
      <c r="Q406" s="87">
        <v>4</v>
      </c>
      <c r="R406" s="87">
        <v>5</v>
      </c>
      <c r="S406" s="87">
        <v>6</v>
      </c>
      <c r="T406" s="87">
        <v>7</v>
      </c>
      <c r="U406" s="87">
        <v>8</v>
      </c>
      <c r="V406" s="87">
        <v>9</v>
      </c>
      <c r="W406" s="88">
        <f t="shared" si="310"/>
        <v>4</v>
      </c>
      <c r="X406" s="88">
        <f t="shared" si="311"/>
        <v>4</v>
      </c>
      <c r="Y406" s="88">
        <f t="shared" si="312"/>
        <v>8</v>
      </c>
      <c r="Z406" s="89">
        <f t="shared" si="279"/>
        <v>16</v>
      </c>
      <c r="AA406" s="17" t="str">
        <f>_xlfn.TEXTJOIN(", ",TRUE,ABS(MID(C406,{1,1,2},1)-MID(C406,{2,3,3},1)))</f>
        <v>4, 4, 8</v>
      </c>
      <c r="AB406" s="90">
        <v>0</v>
      </c>
      <c r="AC406" s="90">
        <v>1</v>
      </c>
      <c r="AD406" s="90">
        <v>2</v>
      </c>
      <c r="AE406" s="90">
        <v>3</v>
      </c>
      <c r="AF406" s="90">
        <v>4</v>
      </c>
      <c r="AG406" s="90">
        <v>5</v>
      </c>
      <c r="AH406" s="90">
        <v>6</v>
      </c>
      <c r="AI406" s="90">
        <v>7</v>
      </c>
      <c r="AJ406" s="90">
        <v>8</v>
      </c>
      <c r="AK406" s="90">
        <v>9</v>
      </c>
      <c r="AL406" s="91">
        <v>0</v>
      </c>
      <c r="AM406" s="91">
        <v>1</v>
      </c>
      <c r="AN406" s="91">
        <v>2</v>
      </c>
      <c r="AO406" s="91">
        <v>3</v>
      </c>
      <c r="AP406" s="91">
        <v>4</v>
      </c>
      <c r="AQ406" s="91">
        <v>5</v>
      </c>
      <c r="AR406" s="91">
        <v>6</v>
      </c>
      <c r="AS406" s="91">
        <v>7</v>
      </c>
      <c r="AT406" s="91">
        <v>8</v>
      </c>
      <c r="AU406" s="91">
        <v>9</v>
      </c>
      <c r="AV406" s="92">
        <v>0</v>
      </c>
      <c r="AW406" s="92">
        <v>1</v>
      </c>
      <c r="AX406" s="92">
        <v>2</v>
      </c>
      <c r="AY406" s="92">
        <v>3</v>
      </c>
      <c r="AZ406" s="92">
        <v>4</v>
      </c>
      <c r="BA406" s="92">
        <v>5</v>
      </c>
      <c r="BB406" s="92">
        <v>6</v>
      </c>
      <c r="BC406" s="92">
        <v>7</v>
      </c>
      <c r="BD406" s="92">
        <v>8</v>
      </c>
      <c r="BE406" s="92">
        <v>9</v>
      </c>
      <c r="BF406" s="93">
        <v>0</v>
      </c>
      <c r="BG406" s="93">
        <v>1</v>
      </c>
      <c r="BH406" s="93">
        <v>2</v>
      </c>
      <c r="BI406" s="93">
        <v>3</v>
      </c>
      <c r="BJ406" s="93">
        <v>4</v>
      </c>
      <c r="BK406" s="93">
        <v>5</v>
      </c>
      <c r="BL406" s="93">
        <v>6</v>
      </c>
      <c r="BM406" s="93">
        <v>7</v>
      </c>
      <c r="BN406" s="93">
        <v>8</v>
      </c>
      <c r="BO406" s="93">
        <v>9</v>
      </c>
      <c r="BP406" s="94" t="str">
        <f t="shared" si="280"/>
        <v>松散型</v>
      </c>
      <c r="BQ406" s="15">
        <f t="shared" si="277"/>
        <v>4</v>
      </c>
      <c r="BR406" s="15">
        <f t="shared" si="278"/>
        <v>8</v>
      </c>
      <c r="BS406" s="20" t="str">
        <f t="shared" si="287"/>
        <v/>
      </c>
      <c r="BT406" s="21">
        <f t="shared" si="288"/>
        <v>4</v>
      </c>
      <c r="BU406" s="21" t="str">
        <f t="array" ref="BU406">_xlfn.TEXTJOIN("",TRUE,IF(ISERROR(FIND(ROW($1:$168)-1,BS406&amp;BT406)),ROW($1:$168)-1,""))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06" s="22" t="str">
        <f t="shared" si="289"/>
        <v>中隔中</v>
      </c>
      <c r="BW406" s="23" t="str">
        <f t="shared" si="300"/>
        <v/>
      </c>
      <c r="BX406" s="23">
        <f t="shared" si="298"/>
        <v>4</v>
      </c>
      <c r="BY406" s="23" t="str">
        <f t="array" ref="BY406">_xlfn.TEXTJOIN("",TRUE,IF(ISERROR(FIND(ROW($1:$168)-1,BW406&amp;BX406)),ROW($1:$168)-1,""))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06" s="22" t="str">
        <f t="shared" si="290"/>
        <v>中隔中</v>
      </c>
      <c r="CA406" s="24" t="str">
        <f t="shared" si="291"/>
        <v/>
      </c>
      <c r="CB406" s="24" t="str">
        <f t="shared" si="299"/>
        <v/>
      </c>
      <c r="CC406" s="24" t="str">
        <f t="array" ref="CC406">_xlfn.TEXTJOIN("",TRUE,IF(ISERROR(FIND(ROW($1:$168)-1,CA406&amp;CB406)),ROW($1:$168)-1,""))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06" s="22" t="str">
        <f t="shared" si="292"/>
        <v>中中中</v>
      </c>
      <c r="CE406" s="25" t="str">
        <f t="shared" si="281"/>
        <v>35</v>
      </c>
      <c r="CF406" s="26" t="str">
        <f t="array" ref="CF406">_xlfn.TEXTJOIN("",TRUE,IF(ISNUMBER(FIND(MID(CE405&amp;W405,ROW($1:$162),1),CE406&amp;W406)),MID(CE405&amp;W405,ROW($1:$162),1),""))</f>
        <v>43</v>
      </c>
      <c r="CG406" s="27" t="str">
        <f t="array" ref="CG406">_xlfn.TEXTJOIN("",TRUE,IF(ISERROR(FIND(ROW($1:$168)-1,CE406&amp;CF406)),ROW($1:$168)-1,""))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06" s="28" t="str">
        <f t="shared" si="293"/>
        <v>邻传孤</v>
      </c>
      <c r="CI406" s="29" t="str">
        <f t="shared" si="294"/>
        <v>35</v>
      </c>
      <c r="CJ406" s="29" t="str">
        <f t="array" ref="CJ406">_xlfn.TEXTJOIN("",TRUE,IF(ISNUMBER(FIND(MID(CI405&amp;X405,ROW($1:$162),1),CI406&amp;X406)),MID(CI405&amp;X405,ROW($1:$162),1),""))</f>
        <v>3</v>
      </c>
      <c r="CK406" s="29" t="str">
        <f t="array" ref="CK406">_xlfn.TEXTJOIN("",TRUE,IF(ISERROR(FIND(ROW($1:$168)-1,CI406&amp;CJ406)),ROW($1:$168)-1,""))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06" s="19" t="str">
        <f t="shared" si="295"/>
        <v>邻传孤</v>
      </c>
      <c r="CM406" s="24" t="str">
        <f t="shared" si="296"/>
        <v>79</v>
      </c>
      <c r="CN406" s="24" t="str">
        <f t="array" ref="CN406">_xlfn.TEXTJOIN("",TRUE,IF(ISNUMBER(FIND(MID(CM405&amp;Y405,ROW($1:$162),1),CM406&amp;Y406)),MID(CM405&amp;Y405,ROW($1:$162),1),""))</f>
        <v/>
      </c>
      <c r="CO406" s="24" t="str">
        <f t="array" ref="CO406">_xlfn.TEXTJOIN("",TRUE,IF(ISERROR(FIND(ROW($1:$168)-1,CM406&amp;CN406)),ROW($1:$168)-1,""))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406" s="30" t="str">
        <f t="shared" si="297"/>
        <v>邻孤孤</v>
      </c>
    </row>
    <row r="407" spans="1:94">
      <c r="A407" s="15">
        <v>407</v>
      </c>
      <c r="B407" s="80">
        <v>2025024</v>
      </c>
      <c r="C407" s="8" t="s">
        <v>358</v>
      </c>
      <c r="D407" s="81">
        <f t="shared" si="308"/>
        <v>15</v>
      </c>
      <c r="E407" s="82">
        <f t="shared" si="309"/>
        <v>5</v>
      </c>
      <c r="F407" s="83">
        <f t="shared" si="306"/>
        <v>3</v>
      </c>
      <c r="G407" s="84" t="str">
        <f t="shared" si="307"/>
        <v>标准</v>
      </c>
      <c r="H407" s="85" t="s">
        <v>10</v>
      </c>
      <c r="I407" s="85" t="s">
        <v>11</v>
      </c>
      <c r="J407" s="85" t="s">
        <v>12</v>
      </c>
      <c r="K407" s="85" t="s">
        <v>13</v>
      </c>
      <c r="L407" s="86">
        <f>MAX(MID(C407,{1,2,3},1)*1)-MIN(MID(C407,{1,2,3},1)*1)</f>
        <v>5</v>
      </c>
      <c r="M407" s="87">
        <v>0</v>
      </c>
      <c r="N407" s="87">
        <v>1</v>
      </c>
      <c r="O407" s="87">
        <v>2</v>
      </c>
      <c r="P407" s="87">
        <v>3</v>
      </c>
      <c r="Q407" s="87">
        <v>4</v>
      </c>
      <c r="R407" s="87">
        <v>5</v>
      </c>
      <c r="S407" s="87">
        <v>6</v>
      </c>
      <c r="T407" s="87">
        <v>7</v>
      </c>
      <c r="U407" s="87">
        <v>8</v>
      </c>
      <c r="V407" s="87">
        <v>9</v>
      </c>
      <c r="W407" s="88">
        <f t="shared" si="310"/>
        <v>1</v>
      </c>
      <c r="X407" s="88">
        <f t="shared" si="311"/>
        <v>5</v>
      </c>
      <c r="Y407" s="88">
        <f t="shared" si="312"/>
        <v>4</v>
      </c>
      <c r="Z407" s="89">
        <f t="shared" si="279"/>
        <v>10</v>
      </c>
      <c r="AA407" s="17" t="str">
        <f>_xlfn.TEXTJOIN(", ",TRUE,ABS(MID(C407,{1,1,2},1)-MID(C407,{2,3,3},1)))</f>
        <v>1, 5, 4</v>
      </c>
      <c r="AB407" s="90">
        <v>0</v>
      </c>
      <c r="AC407" s="90">
        <v>1</v>
      </c>
      <c r="AD407" s="90">
        <v>2</v>
      </c>
      <c r="AE407" s="90">
        <v>3</v>
      </c>
      <c r="AF407" s="90">
        <v>4</v>
      </c>
      <c r="AG407" s="90">
        <v>5</v>
      </c>
      <c r="AH407" s="90">
        <v>6</v>
      </c>
      <c r="AI407" s="90">
        <v>7</v>
      </c>
      <c r="AJ407" s="90">
        <v>8</v>
      </c>
      <c r="AK407" s="90">
        <v>9</v>
      </c>
      <c r="AL407" s="91">
        <v>0</v>
      </c>
      <c r="AM407" s="91">
        <v>1</v>
      </c>
      <c r="AN407" s="91">
        <v>2</v>
      </c>
      <c r="AO407" s="91">
        <v>3</v>
      </c>
      <c r="AP407" s="91">
        <v>4</v>
      </c>
      <c r="AQ407" s="91">
        <v>5</v>
      </c>
      <c r="AR407" s="91">
        <v>6</v>
      </c>
      <c r="AS407" s="91">
        <v>7</v>
      </c>
      <c r="AT407" s="91">
        <v>8</v>
      </c>
      <c r="AU407" s="91">
        <v>9</v>
      </c>
      <c r="AV407" s="92">
        <v>0</v>
      </c>
      <c r="AW407" s="92">
        <v>1</v>
      </c>
      <c r="AX407" s="92">
        <v>2</v>
      </c>
      <c r="AY407" s="92">
        <v>3</v>
      </c>
      <c r="AZ407" s="92">
        <v>4</v>
      </c>
      <c r="BA407" s="92">
        <v>5</v>
      </c>
      <c r="BB407" s="92">
        <v>6</v>
      </c>
      <c r="BC407" s="92">
        <v>7</v>
      </c>
      <c r="BD407" s="92">
        <v>8</v>
      </c>
      <c r="BE407" s="92">
        <v>9</v>
      </c>
      <c r="BF407" s="93">
        <v>0</v>
      </c>
      <c r="BG407" s="93">
        <v>1</v>
      </c>
      <c r="BH407" s="93">
        <v>2</v>
      </c>
      <c r="BI407" s="93">
        <v>3</v>
      </c>
      <c r="BJ407" s="93">
        <v>4</v>
      </c>
      <c r="BK407" s="93">
        <v>5</v>
      </c>
      <c r="BL407" s="93">
        <v>6</v>
      </c>
      <c r="BM407" s="93">
        <v>7</v>
      </c>
      <c r="BN407" s="93">
        <v>8</v>
      </c>
      <c r="BO407" s="93">
        <v>9</v>
      </c>
      <c r="BP407" s="94" t="str">
        <f t="shared" si="280"/>
        <v>标准型</v>
      </c>
      <c r="BQ407" s="15">
        <f t="shared" si="277"/>
        <v>1</v>
      </c>
      <c r="BR407" s="15">
        <f t="shared" si="278"/>
        <v>5</v>
      </c>
      <c r="BS407" s="20" t="str">
        <f t="shared" si="287"/>
        <v/>
      </c>
      <c r="BT407" s="21" t="str">
        <f t="shared" si="288"/>
        <v/>
      </c>
      <c r="BU407" s="21" t="str">
        <f t="array" ref="BU407">_xlfn.TEXTJOIN("",TRUE,IF(ISERROR(FIND(ROW($1:$168)-1,BS407&amp;BT407)),ROW($1:$168)-1,""))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07" s="22" t="str">
        <f t="shared" si="289"/>
        <v>中中中</v>
      </c>
      <c r="BW407" s="23" t="str">
        <f t="shared" si="300"/>
        <v/>
      </c>
      <c r="BX407" s="23">
        <f t="shared" si="298"/>
        <v>5</v>
      </c>
      <c r="BY407" s="23" t="str">
        <f t="array" ref="BY407">_xlfn.TEXTJOIN("",TRUE,IF(ISERROR(FIND(ROW($1:$168)-1,BW407&amp;BX407)),ROW($1:$168)-1,""))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07" s="22" t="str">
        <f t="shared" si="290"/>
        <v>中隔中</v>
      </c>
      <c r="CA407" s="24">
        <f t="shared" si="291"/>
        <v>4</v>
      </c>
      <c r="CB407" s="24" t="str">
        <f t="shared" si="299"/>
        <v/>
      </c>
      <c r="CC407" s="24" t="str">
        <f t="array" ref="CC407">_xlfn.TEXTJOIN("",TRUE,IF(ISERROR(FIND(ROW($1:$168)-1,CA407&amp;CB407)),ROW($1:$168)-1,""))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07" s="22" t="str">
        <f t="shared" si="292"/>
        <v>复中中</v>
      </c>
      <c r="CE407" s="25" t="str">
        <f t="shared" si="281"/>
        <v>02</v>
      </c>
      <c r="CF407" s="26" t="str">
        <f t="array" ref="CF407">_xlfn.TEXTJOIN("",TRUE,IF(ISNUMBER(FIND(MID(CE406&amp;W406,ROW($1:$162),1),CE407&amp;W407)),MID(CE406&amp;W406,ROW($1:$162),1),""))</f>
        <v/>
      </c>
      <c r="CG407" s="27" t="str">
        <f t="array" ref="CG407">_xlfn.TEXTJOIN("",TRUE,IF(ISERROR(FIND(ROW($1:$168)-1,CE407&amp;CF407)),ROW($1:$168)-1,""))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07" s="28" t="str">
        <f t="shared" si="293"/>
        <v>邻孤孤</v>
      </c>
      <c r="CI407" s="29" t="str">
        <f t="shared" si="294"/>
        <v>46</v>
      </c>
      <c r="CJ407" s="29" t="str">
        <f t="array" ref="CJ407">_xlfn.TEXTJOIN("",TRUE,IF(ISNUMBER(FIND(MID(CI406&amp;X406,ROW($1:$162),1),CI407&amp;X407)),MID(CI406&amp;X406,ROW($1:$162),1),""))</f>
        <v>54</v>
      </c>
      <c r="CK407" s="29" t="str">
        <f t="array" ref="CK407">_xlfn.TEXTJOIN("",TRUE,IF(ISERROR(FIND(ROW($1:$168)-1,CI407&amp;CJ407)),ROW($1:$168)-1,""))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07" s="19" t="str">
        <f t="shared" si="295"/>
        <v>邻传孤</v>
      </c>
      <c r="CM407" s="24" t="str">
        <f t="shared" si="296"/>
        <v>35</v>
      </c>
      <c r="CN407" s="24" t="str">
        <f t="array" ref="CN407">_xlfn.TEXTJOIN("",TRUE,IF(ISNUMBER(FIND(MID(CM406&amp;Y406,ROW($1:$162),1),CM407&amp;Y407)),MID(CM406&amp;Y406,ROW($1:$162),1),""))</f>
        <v/>
      </c>
      <c r="CO407" s="24" t="str">
        <f t="array" ref="CO407">_xlfn.TEXTJOIN("",TRUE,IF(ISERROR(FIND(ROW($1:$168)-1,CM407&amp;CN407)),ROW($1:$168)-1,""))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07" s="30" t="str">
        <f t="shared" si="297"/>
        <v>邻孤孤</v>
      </c>
    </row>
    <row r="408" spans="1:94">
      <c r="A408" s="15">
        <v>408</v>
      </c>
      <c r="B408" s="80">
        <v>2025025</v>
      </c>
      <c r="C408" s="8" t="s">
        <v>359</v>
      </c>
      <c r="D408" s="81">
        <f t="shared" si="308"/>
        <v>18</v>
      </c>
      <c r="E408" s="82">
        <f t="shared" si="309"/>
        <v>8</v>
      </c>
      <c r="F408" s="83">
        <f t="shared" si="306"/>
        <v>4.5</v>
      </c>
      <c r="G408" s="84" t="str">
        <f t="shared" si="307"/>
        <v>紧凑</v>
      </c>
      <c r="H408" s="85" t="s">
        <v>10</v>
      </c>
      <c r="I408" s="85" t="s">
        <v>11</v>
      </c>
      <c r="J408" s="85" t="s">
        <v>12</v>
      </c>
      <c r="K408" s="85" t="s">
        <v>13</v>
      </c>
      <c r="L408" s="86">
        <f>MAX(MID(C408,{1,2,3},1)*1)-MIN(MID(C408,{1,2,3},1)*1)</f>
        <v>4</v>
      </c>
      <c r="M408" s="87">
        <v>0</v>
      </c>
      <c r="N408" s="87">
        <v>1</v>
      </c>
      <c r="O408" s="87">
        <v>2</v>
      </c>
      <c r="P408" s="87">
        <v>3</v>
      </c>
      <c r="Q408" s="87">
        <v>4</v>
      </c>
      <c r="R408" s="87">
        <v>5</v>
      </c>
      <c r="S408" s="87">
        <v>6</v>
      </c>
      <c r="T408" s="87">
        <v>7</v>
      </c>
      <c r="U408" s="87">
        <v>8</v>
      </c>
      <c r="V408" s="87">
        <v>9</v>
      </c>
      <c r="W408" s="88">
        <f t="shared" si="310"/>
        <v>4</v>
      </c>
      <c r="X408" s="88">
        <f t="shared" si="311"/>
        <v>2</v>
      </c>
      <c r="Y408" s="88">
        <f t="shared" si="312"/>
        <v>2</v>
      </c>
      <c r="Z408" s="89">
        <f t="shared" si="279"/>
        <v>8</v>
      </c>
      <c r="AA408" s="17" t="str">
        <f>_xlfn.TEXTJOIN(", ",TRUE,ABS(MID(C408,{1,1,2},1)-MID(C408,{2,3,3},1)))</f>
        <v>4, 2, 2</v>
      </c>
      <c r="AB408" s="90">
        <v>0</v>
      </c>
      <c r="AC408" s="90">
        <v>1</v>
      </c>
      <c r="AD408" s="90">
        <v>2</v>
      </c>
      <c r="AE408" s="90">
        <v>3</v>
      </c>
      <c r="AF408" s="90">
        <v>4</v>
      </c>
      <c r="AG408" s="90">
        <v>5</v>
      </c>
      <c r="AH408" s="90">
        <v>6</v>
      </c>
      <c r="AI408" s="90">
        <v>7</v>
      </c>
      <c r="AJ408" s="90">
        <v>8</v>
      </c>
      <c r="AK408" s="90">
        <v>9</v>
      </c>
      <c r="AL408" s="91">
        <v>0</v>
      </c>
      <c r="AM408" s="91">
        <v>1</v>
      </c>
      <c r="AN408" s="91">
        <v>2</v>
      </c>
      <c r="AO408" s="91">
        <v>3</v>
      </c>
      <c r="AP408" s="91">
        <v>4</v>
      </c>
      <c r="AQ408" s="91">
        <v>5</v>
      </c>
      <c r="AR408" s="91">
        <v>6</v>
      </c>
      <c r="AS408" s="91">
        <v>7</v>
      </c>
      <c r="AT408" s="91">
        <v>8</v>
      </c>
      <c r="AU408" s="91">
        <v>9</v>
      </c>
      <c r="AV408" s="92">
        <v>0</v>
      </c>
      <c r="AW408" s="92">
        <v>1</v>
      </c>
      <c r="AX408" s="92">
        <v>2</v>
      </c>
      <c r="AY408" s="92">
        <v>3</v>
      </c>
      <c r="AZ408" s="92">
        <v>4</v>
      </c>
      <c r="BA408" s="92">
        <v>5</v>
      </c>
      <c r="BB408" s="92">
        <v>6</v>
      </c>
      <c r="BC408" s="92">
        <v>7</v>
      </c>
      <c r="BD408" s="92">
        <v>8</v>
      </c>
      <c r="BE408" s="92">
        <v>9</v>
      </c>
      <c r="BF408" s="93">
        <v>0</v>
      </c>
      <c r="BG408" s="93">
        <v>1</v>
      </c>
      <c r="BH408" s="93">
        <v>2</v>
      </c>
      <c r="BI408" s="93">
        <v>3</v>
      </c>
      <c r="BJ408" s="93">
        <v>4</v>
      </c>
      <c r="BK408" s="93">
        <v>5</v>
      </c>
      <c r="BL408" s="93">
        <v>6</v>
      </c>
      <c r="BM408" s="93">
        <v>7</v>
      </c>
      <c r="BN408" s="93">
        <v>8</v>
      </c>
      <c r="BO408" s="93">
        <v>9</v>
      </c>
      <c r="BP408" s="94" t="str">
        <f t="shared" si="280"/>
        <v>标准型</v>
      </c>
      <c r="BQ408" s="15">
        <f t="shared" si="277"/>
        <v>2</v>
      </c>
      <c r="BR408" s="15">
        <f t="shared" si="278"/>
        <v>4</v>
      </c>
      <c r="BS408" s="20">
        <f t="shared" si="287"/>
        <v>4</v>
      </c>
      <c r="BT408" s="21">
        <f t="shared" si="288"/>
        <v>4</v>
      </c>
      <c r="BU408" s="21" t="str">
        <f t="array" ref="BU408">_xlfn.TEXTJOIN("",TRUE,IF(ISERROR(FIND(ROW($1:$168)-1,BS408&amp;BT408)),ROW($1:$168)-1,""))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08" s="22" t="str">
        <f t="shared" si="289"/>
        <v>复隔中</v>
      </c>
      <c r="BW408" s="23" t="str">
        <f t="shared" si="300"/>
        <v/>
      </c>
      <c r="BX408" s="23" t="str">
        <f t="shared" si="298"/>
        <v/>
      </c>
      <c r="BY408" s="23" t="str">
        <f t="array" ref="BY408">_xlfn.TEXTJOIN("",TRUE,IF(ISERROR(FIND(ROW($1:$168)-1,BW408&amp;BX408)),ROW($1:$168)-1,""))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08" s="22" t="str">
        <f t="shared" si="290"/>
        <v>中中中</v>
      </c>
      <c r="CA408" s="24" t="str">
        <f t="shared" si="291"/>
        <v/>
      </c>
      <c r="CB408" s="24" t="str">
        <f t="shared" si="299"/>
        <v/>
      </c>
      <c r="CC408" s="24" t="str">
        <f t="array" ref="CC408">_xlfn.TEXTJOIN("",TRUE,IF(ISERROR(FIND(ROW($1:$168)-1,CA408&amp;CB408)),ROW($1:$168)-1,""))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08" s="22" t="str">
        <f t="shared" si="292"/>
        <v>中中中</v>
      </c>
      <c r="CE408" s="25" t="str">
        <f t="shared" si="281"/>
        <v>35</v>
      </c>
      <c r="CF408" s="26" t="str">
        <f t="array" ref="CF408">_xlfn.TEXTJOIN("",TRUE,IF(ISNUMBER(FIND(MID(CE407&amp;W407,ROW($1:$162),1),CE408&amp;W408)),MID(CE407&amp;W407,ROW($1:$162),1),""))</f>
        <v/>
      </c>
      <c r="CG408" s="27" t="str">
        <f t="array" ref="CG408">_xlfn.TEXTJOIN("",TRUE,IF(ISERROR(FIND(ROW($1:$168)-1,CE408&amp;CF408)),ROW($1:$168)-1,""))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08" s="28" t="str">
        <f t="shared" si="293"/>
        <v>邻孤孤</v>
      </c>
      <c r="CI408" s="29" t="str">
        <f t="shared" si="294"/>
        <v>13</v>
      </c>
      <c r="CJ408" s="29" t="str">
        <f t="array" ref="CJ408">_xlfn.TEXTJOIN("",TRUE,IF(ISNUMBER(FIND(MID(CI407&amp;X407,ROW($1:$162),1),CI408&amp;X408)),MID(CI407&amp;X407,ROW($1:$162),1),""))</f>
        <v/>
      </c>
      <c r="CK408" s="29" t="str">
        <f t="array" ref="CK408">_xlfn.TEXTJOIN("",TRUE,IF(ISERROR(FIND(ROW($1:$168)-1,CI408&amp;CJ408)),ROW($1:$168)-1,""))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08" s="19" t="str">
        <f t="shared" si="295"/>
        <v>邻孤孤</v>
      </c>
      <c r="CM408" s="24" t="str">
        <f t="shared" si="296"/>
        <v>13</v>
      </c>
      <c r="CN408" s="24" t="str">
        <f t="array" ref="CN408">_xlfn.TEXTJOIN("",TRUE,IF(ISNUMBER(FIND(MID(CM407&amp;Y407,ROW($1:$162),1),CM408&amp;Y408)),MID(CM407&amp;Y407,ROW($1:$162),1),""))</f>
        <v>3</v>
      </c>
      <c r="CO408" s="24" t="str">
        <f t="array" ref="CO408">_xlfn.TEXTJOIN("",TRUE,IF(ISERROR(FIND(ROW($1:$168)-1,CM408&amp;CN408)),ROW($1:$168)-1,""))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408" s="30" t="str">
        <f t="shared" si="297"/>
        <v>邻传孤</v>
      </c>
    </row>
    <row r="409" spans="1:94">
      <c r="A409" s="15">
        <v>409</v>
      </c>
      <c r="B409" s="80">
        <v>2025026</v>
      </c>
      <c r="C409" s="8" t="s">
        <v>360</v>
      </c>
      <c r="D409" s="81">
        <f t="shared" si="308"/>
        <v>21</v>
      </c>
      <c r="E409" s="82">
        <f t="shared" si="309"/>
        <v>1</v>
      </c>
      <c r="F409" s="83">
        <f t="shared" si="306"/>
        <v>7</v>
      </c>
      <c r="G409" s="84" t="str">
        <f t="shared" si="307"/>
        <v>紧凑</v>
      </c>
      <c r="H409" s="85" t="s">
        <v>10</v>
      </c>
      <c r="I409" s="85" t="s">
        <v>11</v>
      </c>
      <c r="J409" s="85" t="s">
        <v>12</v>
      </c>
      <c r="K409" s="85" t="s">
        <v>13</v>
      </c>
      <c r="L409" s="86">
        <f>MAX(MID(C409,{1,2,3},1)*1)-MIN(MID(C409,{1,2,3},1)*1)</f>
        <v>3</v>
      </c>
      <c r="M409" s="87">
        <v>0</v>
      </c>
      <c r="N409" s="87">
        <v>1</v>
      </c>
      <c r="O409" s="87">
        <v>2</v>
      </c>
      <c r="P409" s="87">
        <v>3</v>
      </c>
      <c r="Q409" s="87">
        <v>4</v>
      </c>
      <c r="R409" s="87">
        <v>5</v>
      </c>
      <c r="S409" s="87">
        <v>6</v>
      </c>
      <c r="T409" s="87">
        <v>7</v>
      </c>
      <c r="U409" s="87">
        <v>8</v>
      </c>
      <c r="V409" s="87">
        <v>9</v>
      </c>
      <c r="W409" s="88">
        <f t="shared" si="310"/>
        <v>3</v>
      </c>
      <c r="X409" s="88">
        <f t="shared" si="311"/>
        <v>3</v>
      </c>
      <c r="Y409" s="88">
        <f t="shared" si="312"/>
        <v>0</v>
      </c>
      <c r="Z409" s="89">
        <f t="shared" si="279"/>
        <v>6</v>
      </c>
      <c r="AA409" s="17" t="str">
        <f>_xlfn.TEXTJOIN(", ",TRUE,ABS(MID(C409,{1,1,2},1)-MID(C409,{2,3,3},1)))</f>
        <v>3, 3, 0</v>
      </c>
      <c r="AB409" s="90">
        <v>0</v>
      </c>
      <c r="AC409" s="90">
        <v>1</v>
      </c>
      <c r="AD409" s="90">
        <v>2</v>
      </c>
      <c r="AE409" s="90">
        <v>3</v>
      </c>
      <c r="AF409" s="90">
        <v>4</v>
      </c>
      <c r="AG409" s="90">
        <v>5</v>
      </c>
      <c r="AH409" s="90">
        <v>6</v>
      </c>
      <c r="AI409" s="90">
        <v>7</v>
      </c>
      <c r="AJ409" s="90">
        <v>8</v>
      </c>
      <c r="AK409" s="90">
        <v>9</v>
      </c>
      <c r="AL409" s="91">
        <v>0</v>
      </c>
      <c r="AM409" s="91">
        <v>1</v>
      </c>
      <c r="AN409" s="91">
        <v>2</v>
      </c>
      <c r="AO409" s="91">
        <v>3</v>
      </c>
      <c r="AP409" s="91">
        <v>4</v>
      </c>
      <c r="AQ409" s="91">
        <v>5</v>
      </c>
      <c r="AR409" s="91">
        <v>6</v>
      </c>
      <c r="AS409" s="91">
        <v>7</v>
      </c>
      <c r="AT409" s="91">
        <v>8</v>
      </c>
      <c r="AU409" s="91">
        <v>9</v>
      </c>
      <c r="AV409" s="92">
        <v>0</v>
      </c>
      <c r="AW409" s="92">
        <v>1</v>
      </c>
      <c r="AX409" s="92">
        <v>2</v>
      </c>
      <c r="AY409" s="92">
        <v>3</v>
      </c>
      <c r="AZ409" s="92">
        <v>4</v>
      </c>
      <c r="BA409" s="92">
        <v>5</v>
      </c>
      <c r="BB409" s="92">
        <v>6</v>
      </c>
      <c r="BC409" s="92">
        <v>7</v>
      </c>
      <c r="BD409" s="92">
        <v>8</v>
      </c>
      <c r="BE409" s="92">
        <v>9</v>
      </c>
      <c r="BF409" s="93">
        <v>0</v>
      </c>
      <c r="BG409" s="93">
        <v>1</v>
      </c>
      <c r="BH409" s="93">
        <v>2</v>
      </c>
      <c r="BI409" s="93">
        <v>3</v>
      </c>
      <c r="BJ409" s="93">
        <v>4</v>
      </c>
      <c r="BK409" s="93">
        <v>5</v>
      </c>
      <c r="BL409" s="93">
        <v>6</v>
      </c>
      <c r="BM409" s="93">
        <v>7</v>
      </c>
      <c r="BN409" s="93">
        <v>8</v>
      </c>
      <c r="BO409" s="93">
        <v>9</v>
      </c>
      <c r="BP409" s="94" t="str">
        <f t="shared" si="280"/>
        <v>紧凑型</v>
      </c>
      <c r="BQ409" s="15">
        <f t="shared" si="277"/>
        <v>0</v>
      </c>
      <c r="BR409" s="15">
        <f t="shared" si="278"/>
        <v>3</v>
      </c>
      <c r="BS409" s="20" t="str">
        <f t="shared" si="287"/>
        <v/>
      </c>
      <c r="BT409" s="21" t="str">
        <f t="shared" si="288"/>
        <v/>
      </c>
      <c r="BU409" s="21" t="str">
        <f t="array" ref="BU409">_xlfn.TEXTJOIN("",TRUE,IF(ISERROR(FIND(ROW($1:$168)-1,BS409&amp;BT409)),ROW($1:$168)-1,""))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09" s="22" t="str">
        <f t="shared" si="289"/>
        <v>中中中</v>
      </c>
      <c r="BW409" s="23" t="str">
        <f t="shared" si="300"/>
        <v/>
      </c>
      <c r="BX409" s="23" t="str">
        <f t="shared" si="298"/>
        <v/>
      </c>
      <c r="BY409" s="23" t="str">
        <f t="array" ref="BY409">_xlfn.TEXTJOIN("",TRUE,IF(ISERROR(FIND(ROW($1:$168)-1,BW409&amp;BX409)),ROW($1:$168)-1,""))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09" s="22" t="str">
        <f t="shared" si="290"/>
        <v>中中中</v>
      </c>
      <c r="CA409" s="24" t="str">
        <f t="shared" si="291"/>
        <v/>
      </c>
      <c r="CB409" s="24" t="str">
        <f t="shared" si="299"/>
        <v/>
      </c>
      <c r="CC409" s="24" t="str">
        <f t="array" ref="CC409">_xlfn.TEXTJOIN("",TRUE,IF(ISERROR(FIND(ROW($1:$168)-1,CA409&amp;CB409)),ROW($1:$168)-1,""))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09" s="22" t="str">
        <f t="shared" si="292"/>
        <v>中中中</v>
      </c>
      <c r="CE409" s="25" t="str">
        <f t="shared" si="281"/>
        <v>24</v>
      </c>
      <c r="CF409" s="26" t="str">
        <f t="array" ref="CF409">_xlfn.TEXTJOIN("",TRUE,IF(ISNUMBER(FIND(MID(CE408&amp;W408,ROW($1:$162),1),CE409&amp;W409)),MID(CE408&amp;W408,ROW($1:$162),1),""))</f>
        <v>34</v>
      </c>
      <c r="CG409" s="27" t="str">
        <f t="array" ref="CG409">_xlfn.TEXTJOIN("",TRUE,IF(ISERROR(FIND(ROW($1:$168)-1,CE409&amp;CF409)),ROW($1:$168)-1,""))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09" s="28" t="str">
        <f t="shared" si="293"/>
        <v>邻传孤</v>
      </c>
      <c r="CI409" s="29" t="str">
        <f t="shared" si="294"/>
        <v>24</v>
      </c>
      <c r="CJ409" s="29" t="str">
        <f t="array" ref="CJ409">_xlfn.TEXTJOIN("",TRUE,IF(ISNUMBER(FIND(MID(CI408&amp;X408,ROW($1:$162),1),CI409&amp;X409)),MID(CI408&amp;X408,ROW($1:$162),1),""))</f>
        <v>32</v>
      </c>
      <c r="CK409" s="29" t="str">
        <f t="array" ref="CK409">_xlfn.TEXTJOIN("",TRUE,IF(ISERROR(FIND(ROW($1:$168)-1,CI409&amp;CJ409)),ROW($1:$168)-1,""))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09" s="19" t="str">
        <f t="shared" si="295"/>
        <v>邻传孤</v>
      </c>
      <c r="CM409" s="24" t="str">
        <f t="shared" si="296"/>
        <v>91</v>
      </c>
      <c r="CN409" s="24" t="str">
        <f t="array" ref="CN409">_xlfn.TEXTJOIN("",TRUE,IF(ISNUMBER(FIND(MID(CM408&amp;Y408,ROW($1:$162),1),CM409&amp;Y409)),MID(CM408&amp;Y408,ROW($1:$162),1),""))</f>
        <v>1</v>
      </c>
      <c r="CO409" s="24" t="str">
        <f t="array" ref="CO409">_xlfn.TEXTJOIN("",TRUE,IF(ISERROR(FIND(ROW($1:$168)-1,CM409&amp;CN409)),ROW($1:$168)-1,""))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409" s="30" t="str">
        <f t="shared" si="297"/>
        <v>邻传孤</v>
      </c>
    </row>
    <row r="410" spans="1:94">
      <c r="A410" s="15">
        <v>410</v>
      </c>
      <c r="B410" s="80">
        <v>2025027</v>
      </c>
      <c r="C410" s="8" t="s">
        <v>361</v>
      </c>
      <c r="D410" s="81">
        <f t="shared" si="308"/>
        <v>14</v>
      </c>
      <c r="E410" s="82">
        <f t="shared" si="309"/>
        <v>4</v>
      </c>
      <c r="F410" s="83">
        <f t="shared" si="306"/>
        <v>2.8</v>
      </c>
      <c r="G410" s="84" t="str">
        <f t="shared" si="307"/>
        <v>标准</v>
      </c>
      <c r="H410" s="85" t="s">
        <v>10</v>
      </c>
      <c r="I410" s="85" t="s">
        <v>11</v>
      </c>
      <c r="J410" s="85" t="s">
        <v>12</v>
      </c>
      <c r="K410" s="85" t="s">
        <v>13</v>
      </c>
      <c r="L410" s="86">
        <f>MAX(MID(C410,{1,2,3},1)*1)-MIN(MID(C410,{1,2,3},1)*1)</f>
        <v>5</v>
      </c>
      <c r="M410" s="87">
        <v>0</v>
      </c>
      <c r="N410" s="87">
        <v>1</v>
      </c>
      <c r="O410" s="87">
        <v>2</v>
      </c>
      <c r="P410" s="87">
        <v>3</v>
      </c>
      <c r="Q410" s="87">
        <v>4</v>
      </c>
      <c r="R410" s="87">
        <v>5</v>
      </c>
      <c r="S410" s="87">
        <v>6</v>
      </c>
      <c r="T410" s="87">
        <v>7</v>
      </c>
      <c r="U410" s="87">
        <v>8</v>
      </c>
      <c r="V410" s="87">
        <v>9</v>
      </c>
      <c r="W410" s="88">
        <f t="shared" si="310"/>
        <v>5</v>
      </c>
      <c r="X410" s="88">
        <f t="shared" si="311"/>
        <v>0</v>
      </c>
      <c r="Y410" s="88">
        <f t="shared" si="312"/>
        <v>5</v>
      </c>
      <c r="Z410" s="89">
        <f t="shared" si="279"/>
        <v>10</v>
      </c>
      <c r="AA410" s="17" t="str">
        <f>_xlfn.TEXTJOIN(", ",TRUE,ABS(MID(C410,{1,1,2},1)-MID(C410,{2,3,3},1)))</f>
        <v>5, 0, 5</v>
      </c>
      <c r="AB410" s="90">
        <v>0</v>
      </c>
      <c r="AC410" s="90">
        <v>1</v>
      </c>
      <c r="AD410" s="90">
        <v>2</v>
      </c>
      <c r="AE410" s="90">
        <v>3</v>
      </c>
      <c r="AF410" s="90">
        <v>4</v>
      </c>
      <c r="AG410" s="90">
        <v>5</v>
      </c>
      <c r="AH410" s="90">
        <v>6</v>
      </c>
      <c r="AI410" s="90">
        <v>7</v>
      </c>
      <c r="AJ410" s="90">
        <v>8</v>
      </c>
      <c r="AK410" s="90">
        <v>9</v>
      </c>
      <c r="AL410" s="91">
        <v>0</v>
      </c>
      <c r="AM410" s="91">
        <v>1</v>
      </c>
      <c r="AN410" s="91">
        <v>2</v>
      </c>
      <c r="AO410" s="91">
        <v>3</v>
      </c>
      <c r="AP410" s="91">
        <v>4</v>
      </c>
      <c r="AQ410" s="91">
        <v>5</v>
      </c>
      <c r="AR410" s="91">
        <v>6</v>
      </c>
      <c r="AS410" s="91">
        <v>7</v>
      </c>
      <c r="AT410" s="91">
        <v>8</v>
      </c>
      <c r="AU410" s="91">
        <v>9</v>
      </c>
      <c r="AV410" s="92">
        <v>0</v>
      </c>
      <c r="AW410" s="92">
        <v>1</v>
      </c>
      <c r="AX410" s="92">
        <v>2</v>
      </c>
      <c r="AY410" s="92">
        <v>3</v>
      </c>
      <c r="AZ410" s="92">
        <v>4</v>
      </c>
      <c r="BA410" s="92">
        <v>5</v>
      </c>
      <c r="BB410" s="92">
        <v>6</v>
      </c>
      <c r="BC410" s="92">
        <v>7</v>
      </c>
      <c r="BD410" s="92">
        <v>8</v>
      </c>
      <c r="BE410" s="92">
        <v>9</v>
      </c>
      <c r="BF410" s="93">
        <v>0</v>
      </c>
      <c r="BG410" s="93">
        <v>1</v>
      </c>
      <c r="BH410" s="93">
        <v>2</v>
      </c>
      <c r="BI410" s="93">
        <v>3</v>
      </c>
      <c r="BJ410" s="93">
        <v>4</v>
      </c>
      <c r="BK410" s="93">
        <v>5</v>
      </c>
      <c r="BL410" s="93">
        <v>6</v>
      </c>
      <c r="BM410" s="93">
        <v>7</v>
      </c>
      <c r="BN410" s="93">
        <v>8</v>
      </c>
      <c r="BO410" s="93">
        <v>9</v>
      </c>
      <c r="BP410" s="94" t="str">
        <f t="shared" si="280"/>
        <v>对子</v>
      </c>
      <c r="BQ410" s="15">
        <f t="shared" si="277"/>
        <v>0</v>
      </c>
      <c r="BR410" s="15">
        <f t="shared" si="278"/>
        <v>5</v>
      </c>
      <c r="BS410" s="20" t="str">
        <f t="shared" si="287"/>
        <v/>
      </c>
      <c r="BT410" s="21" t="str">
        <f t="shared" si="288"/>
        <v/>
      </c>
      <c r="BU410" s="21" t="str">
        <f t="array" ref="BU410">_xlfn.TEXTJOIN("",TRUE,IF(ISERROR(FIND(ROW($1:$168)-1,BS410&amp;BT410)),ROW($1:$168)-1,""))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10" s="22" t="str">
        <f t="shared" si="289"/>
        <v>中中中</v>
      </c>
      <c r="BW410" s="23">
        <f t="shared" si="300"/>
        <v>0</v>
      </c>
      <c r="BX410" s="23" t="str">
        <f t="shared" si="298"/>
        <v/>
      </c>
      <c r="BY410" s="23" t="str">
        <f t="array" ref="BY410">_xlfn.TEXTJOIN("",TRUE,IF(ISERROR(FIND(ROW($1:$168)-1,BW410&amp;BX410)),ROW($1:$168)-1,""))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10" s="22" t="str">
        <f t="shared" si="290"/>
        <v>复中中</v>
      </c>
      <c r="CA410" s="24" t="str">
        <f t="shared" si="291"/>
        <v/>
      </c>
      <c r="CB410" s="24" t="str">
        <f t="shared" si="299"/>
        <v/>
      </c>
      <c r="CC410" s="24" t="str">
        <f t="array" ref="CC410">_xlfn.TEXTJOIN("",TRUE,IF(ISERROR(FIND(ROW($1:$168)-1,CA410&amp;CB410)),ROW($1:$168)-1,""))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10" s="22" t="str">
        <f t="shared" si="292"/>
        <v>中中中</v>
      </c>
      <c r="CE410" s="25" t="str">
        <f t="shared" si="281"/>
        <v>46</v>
      </c>
      <c r="CF410" s="26" t="str">
        <f t="array" ref="CF410">_xlfn.TEXTJOIN("",TRUE,IF(ISNUMBER(FIND(MID(CE409&amp;W409,ROW($1:$162),1),CE410&amp;W410)),MID(CE409&amp;W409,ROW($1:$162),1),""))</f>
        <v>4</v>
      </c>
      <c r="CG410" s="27" t="str">
        <f t="array" ref="CG410">_xlfn.TEXTJOIN("",TRUE,IF(ISERROR(FIND(ROW($1:$168)-1,CE410&amp;CF410)),ROW($1:$168)-1,""))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10" s="28" t="str">
        <f t="shared" si="293"/>
        <v>邻传孤</v>
      </c>
      <c r="CI410" s="29" t="str">
        <f t="shared" si="294"/>
        <v>91</v>
      </c>
      <c r="CJ410" s="29" t="str">
        <f t="array" ref="CJ410">_xlfn.TEXTJOIN("",TRUE,IF(ISNUMBER(FIND(MID(CI409&amp;X409,ROW($1:$162),1),CI410&amp;X410)),MID(CI409&amp;X409,ROW($1:$162),1),""))</f>
        <v/>
      </c>
      <c r="CK410" s="29" t="str">
        <f t="array" ref="CK410">_xlfn.TEXTJOIN("",TRUE,IF(ISERROR(FIND(ROW($1:$168)-1,CI410&amp;CJ410)),ROW($1:$168)-1,""))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410" s="19" t="str">
        <f t="shared" si="295"/>
        <v>邻孤孤</v>
      </c>
      <c r="CM410" s="24" t="str">
        <f t="shared" si="296"/>
        <v>46</v>
      </c>
      <c r="CN410" s="24" t="str">
        <f t="array" ref="CN410">_xlfn.TEXTJOIN("",TRUE,IF(ISNUMBER(FIND(MID(CM409&amp;Y409,ROW($1:$162),1),CM410&amp;Y410)),MID(CM409&amp;Y409,ROW($1:$162),1),""))</f>
        <v/>
      </c>
      <c r="CO410" s="24" t="str">
        <f t="array" ref="CO410">_xlfn.TEXTJOIN("",TRUE,IF(ISERROR(FIND(ROW($1:$168)-1,CM410&amp;CN410)),ROW($1:$168)-1,""))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10" s="30" t="str">
        <f t="shared" si="297"/>
        <v>邻孤孤</v>
      </c>
    </row>
    <row r="411" spans="1:94">
      <c r="A411" s="15">
        <v>411</v>
      </c>
      <c r="B411" s="80">
        <v>2025028</v>
      </c>
      <c r="C411" s="8" t="s">
        <v>276</v>
      </c>
      <c r="D411" s="81">
        <f t="shared" si="308"/>
        <v>13</v>
      </c>
      <c r="E411" s="82">
        <f t="shared" si="309"/>
        <v>3</v>
      </c>
      <c r="F411" s="83">
        <f t="shared" si="306"/>
        <v>1.44444444444444</v>
      </c>
      <c r="G411" s="84" t="str">
        <f t="shared" si="307"/>
        <v>松散</v>
      </c>
      <c r="H411" s="85" t="s">
        <v>10</v>
      </c>
      <c r="I411" s="85" t="s">
        <v>11</v>
      </c>
      <c r="J411" s="85" t="s">
        <v>12</v>
      </c>
      <c r="K411" s="85" t="s">
        <v>13</v>
      </c>
      <c r="L411" s="86">
        <f>MAX(MID(C411,{1,2,3},1)*1)-MIN(MID(C411,{1,2,3},1)*1)</f>
        <v>9</v>
      </c>
      <c r="M411" s="87">
        <v>0</v>
      </c>
      <c r="N411" s="87">
        <v>1</v>
      </c>
      <c r="O411" s="87">
        <v>2</v>
      </c>
      <c r="P411" s="87">
        <v>3</v>
      </c>
      <c r="Q411" s="87">
        <v>4</v>
      </c>
      <c r="R411" s="87">
        <v>5</v>
      </c>
      <c r="S411" s="87">
        <v>6</v>
      </c>
      <c r="T411" s="87">
        <v>7</v>
      </c>
      <c r="U411" s="87">
        <v>8</v>
      </c>
      <c r="V411" s="87">
        <v>9</v>
      </c>
      <c r="W411" s="88">
        <f t="shared" si="310"/>
        <v>4</v>
      </c>
      <c r="X411" s="88">
        <f t="shared" si="311"/>
        <v>5</v>
      </c>
      <c r="Y411" s="88">
        <f t="shared" si="312"/>
        <v>9</v>
      </c>
      <c r="Z411" s="89">
        <f t="shared" si="279"/>
        <v>18</v>
      </c>
      <c r="AA411" s="17" t="str">
        <f>_xlfn.TEXTJOIN(", ",TRUE,ABS(MID(C411,{1,1,2},1)-MID(C411,{2,3,3},1)))</f>
        <v>4, 5, 9</v>
      </c>
      <c r="AB411" s="90">
        <v>0</v>
      </c>
      <c r="AC411" s="90">
        <v>1</v>
      </c>
      <c r="AD411" s="90">
        <v>2</v>
      </c>
      <c r="AE411" s="90">
        <v>3</v>
      </c>
      <c r="AF411" s="90">
        <v>4</v>
      </c>
      <c r="AG411" s="90">
        <v>5</v>
      </c>
      <c r="AH411" s="90">
        <v>6</v>
      </c>
      <c r="AI411" s="90">
        <v>7</v>
      </c>
      <c r="AJ411" s="90">
        <v>8</v>
      </c>
      <c r="AK411" s="90">
        <v>9</v>
      </c>
      <c r="AL411" s="91">
        <v>0</v>
      </c>
      <c r="AM411" s="91">
        <v>1</v>
      </c>
      <c r="AN411" s="91">
        <v>2</v>
      </c>
      <c r="AO411" s="91">
        <v>3</v>
      </c>
      <c r="AP411" s="91">
        <v>4</v>
      </c>
      <c r="AQ411" s="91">
        <v>5</v>
      </c>
      <c r="AR411" s="91">
        <v>6</v>
      </c>
      <c r="AS411" s="91">
        <v>7</v>
      </c>
      <c r="AT411" s="91">
        <v>8</v>
      </c>
      <c r="AU411" s="91">
        <v>9</v>
      </c>
      <c r="AV411" s="92">
        <v>0</v>
      </c>
      <c r="AW411" s="92">
        <v>1</v>
      </c>
      <c r="AX411" s="92">
        <v>2</v>
      </c>
      <c r="AY411" s="92">
        <v>3</v>
      </c>
      <c r="AZ411" s="92">
        <v>4</v>
      </c>
      <c r="BA411" s="92">
        <v>5</v>
      </c>
      <c r="BB411" s="92">
        <v>6</v>
      </c>
      <c r="BC411" s="92">
        <v>7</v>
      </c>
      <c r="BD411" s="92">
        <v>8</v>
      </c>
      <c r="BE411" s="92">
        <v>9</v>
      </c>
      <c r="BF411" s="93">
        <v>0</v>
      </c>
      <c r="BG411" s="93">
        <v>1</v>
      </c>
      <c r="BH411" s="93">
        <v>2</v>
      </c>
      <c r="BI411" s="93">
        <v>3</v>
      </c>
      <c r="BJ411" s="93">
        <v>4</v>
      </c>
      <c r="BK411" s="93">
        <v>5</v>
      </c>
      <c r="BL411" s="93">
        <v>6</v>
      </c>
      <c r="BM411" s="93">
        <v>7</v>
      </c>
      <c r="BN411" s="93">
        <v>8</v>
      </c>
      <c r="BO411" s="93">
        <v>9</v>
      </c>
      <c r="BP411" s="94" t="str">
        <f t="shared" si="280"/>
        <v>松散型</v>
      </c>
      <c r="BQ411" s="15">
        <f t="shared" si="277"/>
        <v>4</v>
      </c>
      <c r="BR411" s="15">
        <f t="shared" si="278"/>
        <v>9</v>
      </c>
      <c r="BS411" s="20" t="str">
        <f t="shared" si="287"/>
        <v/>
      </c>
      <c r="BT411" s="21" t="str">
        <f t="shared" si="288"/>
        <v/>
      </c>
      <c r="BU411" s="21" t="str">
        <f t="array" ref="BU411">_xlfn.TEXTJOIN("",TRUE,IF(ISERROR(FIND(ROW($1:$168)-1,BS411&amp;BT411)),ROW($1:$168)-1,""))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11" s="22" t="str">
        <f t="shared" si="289"/>
        <v>中中中</v>
      </c>
      <c r="BW411" s="23">
        <f t="shared" si="300"/>
        <v>5</v>
      </c>
      <c r="BX411" s="23" t="str">
        <f t="shared" si="298"/>
        <v/>
      </c>
      <c r="BY411" s="23" t="str">
        <f t="array" ref="BY411">_xlfn.TEXTJOIN("",TRUE,IF(ISERROR(FIND(ROW($1:$168)-1,BW411&amp;BX411)),ROW($1:$168)-1,""))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11" s="22" t="str">
        <f t="shared" si="290"/>
        <v>复中中</v>
      </c>
      <c r="CA411" s="24" t="str">
        <f t="shared" si="291"/>
        <v/>
      </c>
      <c r="CB411" s="24" t="str">
        <f t="shared" si="299"/>
        <v/>
      </c>
      <c r="CC411" s="24" t="str">
        <f t="array" ref="CC411">_xlfn.TEXTJOIN("",TRUE,IF(ISERROR(FIND(ROW($1:$168)-1,CA411&amp;CB411)),ROW($1:$168)-1,""))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11" s="22" t="str">
        <f t="shared" si="292"/>
        <v>中中中</v>
      </c>
      <c r="CE411" s="25" t="str">
        <f t="shared" si="281"/>
        <v>35</v>
      </c>
      <c r="CF411" s="26" t="str">
        <f t="array" ref="CF411">_xlfn.TEXTJOIN("",TRUE,IF(ISNUMBER(FIND(MID(CE410&amp;W410,ROW($1:$162),1),CE411&amp;W411)),MID(CE410&amp;W410,ROW($1:$162),1),""))</f>
        <v>45</v>
      </c>
      <c r="CG411" s="27" t="str">
        <f t="array" ref="CG411">_xlfn.TEXTJOIN("",TRUE,IF(ISERROR(FIND(ROW($1:$168)-1,CE411&amp;CF411)),ROW($1:$168)-1,""))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11" s="28" t="str">
        <f t="shared" si="293"/>
        <v>邻传孤</v>
      </c>
      <c r="CI411" s="29" t="str">
        <f t="shared" si="294"/>
        <v>46</v>
      </c>
      <c r="CJ411" s="29" t="str">
        <f t="array" ref="CJ411">_xlfn.TEXTJOIN("",TRUE,IF(ISNUMBER(FIND(MID(CI410&amp;X410,ROW($1:$162),1),CI411&amp;X411)),MID(CI410&amp;X410,ROW($1:$162),1),""))</f>
        <v/>
      </c>
      <c r="CK411" s="29" t="str">
        <f t="array" ref="CK411">_xlfn.TEXTJOIN("",TRUE,IF(ISERROR(FIND(ROW($1:$168)-1,CI411&amp;CJ411)),ROW($1:$168)-1,""))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11" s="19" t="str">
        <f t="shared" si="295"/>
        <v>邻孤孤</v>
      </c>
      <c r="CM411" s="24" t="str">
        <f t="shared" si="296"/>
        <v>80</v>
      </c>
      <c r="CN411" s="24" t="str">
        <f t="array" ref="CN411">_xlfn.TEXTJOIN("",TRUE,IF(ISNUMBER(FIND(MID(CM410&amp;Y410,ROW($1:$162),1),CM411&amp;Y411)),MID(CM410&amp;Y410,ROW($1:$162),1),""))</f>
        <v/>
      </c>
      <c r="CO411" s="24" t="str">
        <f t="array" ref="CO411">_xlfn.TEXTJOIN("",TRUE,IF(ISERROR(FIND(ROW($1:$168)-1,CM411&amp;CN411)),ROW($1:$168)-1,""))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411" s="30" t="str">
        <f t="shared" si="297"/>
        <v>邻孤孤</v>
      </c>
    </row>
    <row r="412" spans="1:94">
      <c r="A412" s="15">
        <v>412</v>
      </c>
      <c r="B412" s="80">
        <v>2025029</v>
      </c>
      <c r="C412" s="8" t="s">
        <v>277</v>
      </c>
      <c r="D412" s="81">
        <f t="shared" si="308"/>
        <v>15</v>
      </c>
      <c r="E412" s="82">
        <f t="shared" si="309"/>
        <v>5</v>
      </c>
      <c r="F412" s="83">
        <f t="shared" si="306"/>
        <v>1.66666666666667</v>
      </c>
      <c r="G412" s="84" t="str">
        <f t="shared" si="307"/>
        <v>松散</v>
      </c>
      <c r="H412" s="85" t="s">
        <v>10</v>
      </c>
      <c r="I412" s="85" t="s">
        <v>11</v>
      </c>
      <c r="J412" s="85" t="s">
        <v>12</v>
      </c>
      <c r="K412" s="85" t="s">
        <v>13</v>
      </c>
      <c r="L412" s="86">
        <f>MAX(MID(C412,{1,2,3},1)*1)-MIN(MID(C412,{1,2,3},1)*1)</f>
        <v>9</v>
      </c>
      <c r="M412" s="87">
        <v>0</v>
      </c>
      <c r="N412" s="87">
        <v>1</v>
      </c>
      <c r="O412" s="87">
        <v>2</v>
      </c>
      <c r="P412" s="87">
        <v>3</v>
      </c>
      <c r="Q412" s="87">
        <v>4</v>
      </c>
      <c r="R412" s="87">
        <v>5</v>
      </c>
      <c r="S412" s="87">
        <v>6</v>
      </c>
      <c r="T412" s="87">
        <v>7</v>
      </c>
      <c r="U412" s="87">
        <v>8</v>
      </c>
      <c r="V412" s="87">
        <v>9</v>
      </c>
      <c r="W412" s="88">
        <f t="shared" si="310"/>
        <v>9</v>
      </c>
      <c r="X412" s="88">
        <f t="shared" si="311"/>
        <v>6</v>
      </c>
      <c r="Y412" s="88">
        <f t="shared" si="312"/>
        <v>3</v>
      </c>
      <c r="Z412" s="89">
        <f t="shared" si="279"/>
        <v>18</v>
      </c>
      <c r="AA412" s="17" t="str">
        <f>_xlfn.TEXTJOIN(", ",TRUE,ABS(MID(C412,{1,1,2},1)-MID(C412,{2,3,3},1)))</f>
        <v>9, 6, 3</v>
      </c>
      <c r="AB412" s="90">
        <v>0</v>
      </c>
      <c r="AC412" s="90">
        <v>1</v>
      </c>
      <c r="AD412" s="90">
        <v>2</v>
      </c>
      <c r="AE412" s="90">
        <v>3</v>
      </c>
      <c r="AF412" s="90">
        <v>4</v>
      </c>
      <c r="AG412" s="90">
        <v>5</v>
      </c>
      <c r="AH412" s="90">
        <v>6</v>
      </c>
      <c r="AI412" s="90">
        <v>7</v>
      </c>
      <c r="AJ412" s="90">
        <v>8</v>
      </c>
      <c r="AK412" s="90">
        <v>9</v>
      </c>
      <c r="AL412" s="91">
        <v>0</v>
      </c>
      <c r="AM412" s="91">
        <v>1</v>
      </c>
      <c r="AN412" s="91">
        <v>2</v>
      </c>
      <c r="AO412" s="91">
        <v>3</v>
      </c>
      <c r="AP412" s="91">
        <v>4</v>
      </c>
      <c r="AQ412" s="91">
        <v>5</v>
      </c>
      <c r="AR412" s="91">
        <v>6</v>
      </c>
      <c r="AS412" s="91">
        <v>7</v>
      </c>
      <c r="AT412" s="91">
        <v>8</v>
      </c>
      <c r="AU412" s="91">
        <v>9</v>
      </c>
      <c r="AV412" s="92">
        <v>0</v>
      </c>
      <c r="AW412" s="92">
        <v>1</v>
      </c>
      <c r="AX412" s="92">
        <v>2</v>
      </c>
      <c r="AY412" s="92">
        <v>3</v>
      </c>
      <c r="AZ412" s="92">
        <v>4</v>
      </c>
      <c r="BA412" s="92">
        <v>5</v>
      </c>
      <c r="BB412" s="92">
        <v>6</v>
      </c>
      <c r="BC412" s="92">
        <v>7</v>
      </c>
      <c r="BD412" s="92">
        <v>8</v>
      </c>
      <c r="BE412" s="92">
        <v>9</v>
      </c>
      <c r="BF412" s="93">
        <v>0</v>
      </c>
      <c r="BG412" s="93">
        <v>1</v>
      </c>
      <c r="BH412" s="93">
        <v>2</v>
      </c>
      <c r="BI412" s="93">
        <v>3</v>
      </c>
      <c r="BJ412" s="93">
        <v>4</v>
      </c>
      <c r="BK412" s="93">
        <v>5</v>
      </c>
      <c r="BL412" s="93">
        <v>6</v>
      </c>
      <c r="BM412" s="93">
        <v>7</v>
      </c>
      <c r="BN412" s="93">
        <v>8</v>
      </c>
      <c r="BO412" s="93">
        <v>9</v>
      </c>
      <c r="BP412" s="94" t="str">
        <f t="shared" si="280"/>
        <v>松散型</v>
      </c>
      <c r="BQ412" s="15">
        <f t="shared" si="277"/>
        <v>3</v>
      </c>
      <c r="BR412" s="15">
        <f t="shared" si="278"/>
        <v>9</v>
      </c>
      <c r="BS412" s="20">
        <f t="shared" si="287"/>
        <v>9</v>
      </c>
      <c r="BT412" s="21" t="str">
        <f t="shared" si="288"/>
        <v/>
      </c>
      <c r="BU412" s="21" t="str">
        <f t="array" ref="BU412">_xlfn.TEXTJOIN("",TRUE,IF(ISERROR(FIND(ROW($1:$168)-1,BS412&amp;BT412)),ROW($1:$168)-1,""))</f>
        <v>012345678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12" s="22" t="str">
        <f t="shared" si="289"/>
        <v>复中中</v>
      </c>
      <c r="BW412" s="23" t="str">
        <f t="shared" si="300"/>
        <v/>
      </c>
      <c r="BX412" s="23" t="str">
        <f t="shared" si="298"/>
        <v/>
      </c>
      <c r="BY412" s="23" t="str">
        <f t="array" ref="BY412">_xlfn.TEXTJOIN("",TRUE,IF(ISERROR(FIND(ROW($1:$168)-1,BW412&amp;BX412)),ROW($1:$168)-1,""))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12" s="22" t="str">
        <f t="shared" si="290"/>
        <v>中中中</v>
      </c>
      <c r="CA412" s="24" t="str">
        <f t="shared" si="291"/>
        <v/>
      </c>
      <c r="CB412" s="24" t="str">
        <f t="shared" si="299"/>
        <v/>
      </c>
      <c r="CC412" s="24" t="str">
        <f t="array" ref="CC412">_xlfn.TEXTJOIN("",TRUE,IF(ISERROR(FIND(ROW($1:$168)-1,CA412&amp;CB412)),ROW($1:$168)-1,""))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12" s="22" t="str">
        <f t="shared" si="292"/>
        <v>中中中</v>
      </c>
      <c r="CE412" s="25" t="str">
        <f t="shared" si="281"/>
        <v>80</v>
      </c>
      <c r="CF412" s="26" t="str">
        <f t="array" ref="CF412">_xlfn.TEXTJOIN("",TRUE,IF(ISNUMBER(FIND(MID(CE411&amp;W411,ROW($1:$162),1),CE412&amp;W412)),MID(CE411&amp;W411,ROW($1:$162),1),""))</f>
        <v/>
      </c>
      <c r="CG412" s="27" t="str">
        <f t="array" ref="CG412">_xlfn.TEXTJOIN("",TRUE,IF(ISERROR(FIND(ROW($1:$168)-1,CE412&amp;CF412)),ROW($1:$168)-1,""))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H412" s="28" t="str">
        <f t="shared" si="293"/>
        <v>邻孤孤</v>
      </c>
      <c r="CI412" s="29" t="str">
        <f t="shared" si="294"/>
        <v>57</v>
      </c>
      <c r="CJ412" s="29" t="str">
        <f t="array" ref="CJ412">_xlfn.TEXTJOIN("",TRUE,IF(ISNUMBER(FIND(MID(CI411&amp;X411,ROW($1:$162),1),CI412&amp;X412)),MID(CI411&amp;X411,ROW($1:$162),1),""))</f>
        <v>65</v>
      </c>
      <c r="CK412" s="29" t="str">
        <f t="array" ref="CK412">_xlfn.TEXTJOIN("",TRUE,IF(ISERROR(FIND(ROW($1:$168)-1,CI412&amp;CJ412)),ROW($1:$168)-1,""))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12" s="19" t="str">
        <f t="shared" si="295"/>
        <v>邻传孤</v>
      </c>
      <c r="CM412" s="24" t="str">
        <f t="shared" si="296"/>
        <v>24</v>
      </c>
      <c r="CN412" s="24" t="str">
        <f t="array" ref="CN412">_xlfn.TEXTJOIN("",TRUE,IF(ISNUMBER(FIND(MID(CM411&amp;Y411,ROW($1:$162),1),CM412&amp;Y412)),MID(CM411&amp;Y411,ROW($1:$162),1),""))</f>
        <v/>
      </c>
      <c r="CO412" s="24" t="str">
        <f t="array" ref="CO412">_xlfn.TEXTJOIN("",TRUE,IF(ISERROR(FIND(ROW($1:$168)-1,CM412&amp;CN412)),ROW($1:$168)-1,""))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12" s="30" t="str">
        <f t="shared" si="297"/>
        <v>邻孤孤</v>
      </c>
    </row>
    <row r="413" spans="1:94">
      <c r="A413" s="15">
        <v>413</v>
      </c>
      <c r="B413" s="80">
        <v>2025030</v>
      </c>
      <c r="C413" s="8" t="s">
        <v>362</v>
      </c>
      <c r="D413" s="81">
        <f t="shared" si="308"/>
        <v>5</v>
      </c>
      <c r="E413" s="82">
        <f t="shared" si="309"/>
        <v>5</v>
      </c>
      <c r="F413" s="83">
        <f t="shared" si="306"/>
        <v>1.66666666666667</v>
      </c>
      <c r="G413" s="84" t="str">
        <f t="shared" si="307"/>
        <v>松散</v>
      </c>
      <c r="H413" s="85" t="s">
        <v>10</v>
      </c>
      <c r="I413" s="85" t="s">
        <v>11</v>
      </c>
      <c r="J413" s="85" t="s">
        <v>12</v>
      </c>
      <c r="K413" s="85" t="s">
        <v>13</v>
      </c>
      <c r="L413" s="86">
        <f>MAX(MID(C413,{1,2,3},1)*1)-MIN(MID(C413,{1,2,3},1)*1)</f>
        <v>3</v>
      </c>
      <c r="M413" s="87">
        <v>0</v>
      </c>
      <c r="N413" s="87">
        <v>1</v>
      </c>
      <c r="O413" s="87">
        <v>2</v>
      </c>
      <c r="P413" s="87">
        <v>3</v>
      </c>
      <c r="Q413" s="87">
        <v>4</v>
      </c>
      <c r="R413" s="87">
        <v>5</v>
      </c>
      <c r="S413" s="87">
        <v>6</v>
      </c>
      <c r="T413" s="87">
        <v>7</v>
      </c>
      <c r="U413" s="87">
        <v>8</v>
      </c>
      <c r="V413" s="87">
        <v>9</v>
      </c>
      <c r="W413" s="88">
        <f t="shared" si="310"/>
        <v>3</v>
      </c>
      <c r="X413" s="88">
        <f t="shared" si="311"/>
        <v>1</v>
      </c>
      <c r="Y413" s="88">
        <f t="shared" si="312"/>
        <v>2</v>
      </c>
      <c r="Z413" s="89">
        <f t="shared" si="279"/>
        <v>6</v>
      </c>
      <c r="AA413" s="17" t="str">
        <f>_xlfn.TEXTJOIN(", ",TRUE,ABS(MID(C413,{1,1,2},1)-MID(C413,{2,3,3},1)))</f>
        <v>3, 1, 2</v>
      </c>
      <c r="AB413" s="90">
        <v>0</v>
      </c>
      <c r="AC413" s="90">
        <v>1</v>
      </c>
      <c r="AD413" s="90">
        <v>2</v>
      </c>
      <c r="AE413" s="90">
        <v>3</v>
      </c>
      <c r="AF413" s="90">
        <v>4</v>
      </c>
      <c r="AG413" s="90">
        <v>5</v>
      </c>
      <c r="AH413" s="90">
        <v>6</v>
      </c>
      <c r="AI413" s="90">
        <v>7</v>
      </c>
      <c r="AJ413" s="90">
        <v>8</v>
      </c>
      <c r="AK413" s="90">
        <v>9</v>
      </c>
      <c r="AL413" s="91">
        <v>0</v>
      </c>
      <c r="AM413" s="91">
        <v>1</v>
      </c>
      <c r="AN413" s="91">
        <v>2</v>
      </c>
      <c r="AO413" s="91">
        <v>3</v>
      </c>
      <c r="AP413" s="91">
        <v>4</v>
      </c>
      <c r="AQ413" s="91">
        <v>5</v>
      </c>
      <c r="AR413" s="91">
        <v>6</v>
      </c>
      <c r="AS413" s="91">
        <v>7</v>
      </c>
      <c r="AT413" s="91">
        <v>8</v>
      </c>
      <c r="AU413" s="91">
        <v>9</v>
      </c>
      <c r="AV413" s="92">
        <v>0</v>
      </c>
      <c r="AW413" s="92">
        <v>1</v>
      </c>
      <c r="AX413" s="92">
        <v>2</v>
      </c>
      <c r="AY413" s="92">
        <v>3</v>
      </c>
      <c r="AZ413" s="92">
        <v>4</v>
      </c>
      <c r="BA413" s="92">
        <v>5</v>
      </c>
      <c r="BB413" s="92">
        <v>6</v>
      </c>
      <c r="BC413" s="92">
        <v>7</v>
      </c>
      <c r="BD413" s="92">
        <v>8</v>
      </c>
      <c r="BE413" s="92">
        <v>9</v>
      </c>
      <c r="BF413" s="93">
        <v>0</v>
      </c>
      <c r="BG413" s="93">
        <v>1</v>
      </c>
      <c r="BH413" s="93">
        <v>2</v>
      </c>
      <c r="BI413" s="93">
        <v>3</v>
      </c>
      <c r="BJ413" s="93">
        <v>4</v>
      </c>
      <c r="BK413" s="93">
        <v>5</v>
      </c>
      <c r="BL413" s="93">
        <v>6</v>
      </c>
      <c r="BM413" s="93">
        <v>7</v>
      </c>
      <c r="BN413" s="93">
        <v>8</v>
      </c>
      <c r="BO413" s="93">
        <v>9</v>
      </c>
      <c r="BP413" s="94" t="str">
        <f t="shared" si="280"/>
        <v>紧凑型</v>
      </c>
      <c r="BQ413" s="15">
        <f t="shared" si="277"/>
        <v>1</v>
      </c>
      <c r="BR413" s="15">
        <f t="shared" si="278"/>
        <v>3</v>
      </c>
      <c r="BS413" s="20">
        <f t="shared" si="287"/>
        <v>3</v>
      </c>
      <c r="BT413" s="21" t="str">
        <f t="shared" si="288"/>
        <v/>
      </c>
      <c r="BU413" s="21" t="str">
        <f t="array" ref="BU413">_xlfn.TEXTJOIN("",TRUE,IF(ISERROR(FIND(ROW($1:$168)-1,BS413&amp;BT413)),ROW($1:$168)-1,""))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13" s="22" t="str">
        <f t="shared" si="289"/>
        <v>复中中</v>
      </c>
      <c r="BW413" s="23" t="str">
        <f t="shared" si="300"/>
        <v/>
      </c>
      <c r="BX413" s="23" t="str">
        <f t="shared" si="298"/>
        <v/>
      </c>
      <c r="BY413" s="23" t="str">
        <f t="array" ref="BY413">_xlfn.TEXTJOIN("",TRUE,IF(ISERROR(FIND(ROW($1:$168)-1,BW413&amp;BX413)),ROW($1:$168)-1,""))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13" s="22" t="str">
        <f t="shared" si="290"/>
        <v>中中中</v>
      </c>
      <c r="CA413" s="24" t="str">
        <f t="shared" si="291"/>
        <v/>
      </c>
      <c r="CB413" s="24" t="str">
        <f t="shared" si="299"/>
        <v/>
      </c>
      <c r="CC413" s="24" t="str">
        <f t="array" ref="CC413">_xlfn.TEXTJOIN("",TRUE,IF(ISERROR(FIND(ROW($1:$168)-1,CA413&amp;CB413)),ROW($1:$168)-1,""))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13" s="22" t="str">
        <f t="shared" si="292"/>
        <v>中中中</v>
      </c>
      <c r="CE413" s="25" t="str">
        <f t="shared" si="281"/>
        <v>24</v>
      </c>
      <c r="CF413" s="26" t="str">
        <f t="array" ref="CF413">_xlfn.TEXTJOIN("",TRUE,IF(ISNUMBER(FIND(MID(CE412&amp;W412,ROW($1:$162),1),CE413&amp;W413)),MID(CE412&amp;W412,ROW($1:$162),1),""))</f>
        <v/>
      </c>
      <c r="CG413" s="27" t="str">
        <f t="array" ref="CG413">_xlfn.TEXTJOIN("",TRUE,IF(ISERROR(FIND(ROW($1:$168)-1,CE413&amp;CF413)),ROW($1:$168)-1,""))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13" s="28" t="str">
        <f t="shared" si="293"/>
        <v>邻孤孤</v>
      </c>
      <c r="CI413" s="29" t="str">
        <f t="shared" si="294"/>
        <v>02</v>
      </c>
      <c r="CJ413" s="29" t="str">
        <f t="array" ref="CJ413">_xlfn.TEXTJOIN("",TRUE,IF(ISNUMBER(FIND(MID(CI412&amp;X412,ROW($1:$162),1),CI413&amp;X413)),MID(CI412&amp;X412,ROW($1:$162),1),""))</f>
        <v/>
      </c>
      <c r="CK413" s="29" t="str">
        <f t="array" ref="CK413">_xlfn.TEXTJOIN("",TRUE,IF(ISERROR(FIND(ROW($1:$168)-1,CI413&amp;CJ413)),ROW($1:$168)-1,""))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13" s="19" t="str">
        <f t="shared" si="295"/>
        <v>邻孤孤</v>
      </c>
      <c r="CM413" s="24" t="str">
        <f t="shared" si="296"/>
        <v>13</v>
      </c>
      <c r="CN413" s="24" t="str">
        <f t="array" ref="CN413">_xlfn.TEXTJOIN("",TRUE,IF(ISNUMBER(FIND(MID(CM412&amp;Y412,ROW($1:$162),1),CM413&amp;Y413)),MID(CM412&amp;Y412,ROW($1:$162),1),""))</f>
        <v>23</v>
      </c>
      <c r="CO413" s="24" t="str">
        <f t="array" ref="CO413">_xlfn.TEXTJOIN("",TRUE,IF(ISERROR(FIND(ROW($1:$168)-1,CM413&amp;CN413)),ROW($1:$168)-1,""))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413" s="30" t="str">
        <f t="shared" si="297"/>
        <v>邻传孤</v>
      </c>
    </row>
    <row r="414" spans="1:94">
      <c r="A414" s="15">
        <v>414</v>
      </c>
      <c r="B414" s="80">
        <v>2025031</v>
      </c>
      <c r="C414" s="8" t="s">
        <v>363</v>
      </c>
      <c r="D414" s="81">
        <f t="shared" si="308"/>
        <v>19</v>
      </c>
      <c r="E414" s="82">
        <f t="shared" si="309"/>
        <v>9</v>
      </c>
      <c r="F414" s="83">
        <f t="shared" si="306"/>
        <v>3.16666666666667</v>
      </c>
      <c r="G414" s="84" t="str">
        <f t="shared" si="307"/>
        <v>标准</v>
      </c>
      <c r="H414" s="85" t="s">
        <v>10</v>
      </c>
      <c r="I414" s="85" t="s">
        <v>11</v>
      </c>
      <c r="J414" s="85" t="s">
        <v>12</v>
      </c>
      <c r="K414" s="85" t="s">
        <v>13</v>
      </c>
      <c r="L414" s="86">
        <f>MAX(MID(C414,{1,2,3},1)*1)-MIN(MID(C414,{1,2,3},1)*1)</f>
        <v>6</v>
      </c>
      <c r="M414" s="87">
        <v>0</v>
      </c>
      <c r="N414" s="87">
        <v>1</v>
      </c>
      <c r="O414" s="87">
        <v>2</v>
      </c>
      <c r="P414" s="87">
        <v>3</v>
      </c>
      <c r="Q414" s="87">
        <v>4</v>
      </c>
      <c r="R414" s="87">
        <v>5</v>
      </c>
      <c r="S414" s="87">
        <v>6</v>
      </c>
      <c r="T414" s="87">
        <v>7</v>
      </c>
      <c r="U414" s="87">
        <v>8</v>
      </c>
      <c r="V414" s="87">
        <v>9</v>
      </c>
      <c r="W414" s="88">
        <f t="shared" si="310"/>
        <v>4</v>
      </c>
      <c r="X414" s="88">
        <f t="shared" si="311"/>
        <v>6</v>
      </c>
      <c r="Y414" s="88">
        <f t="shared" si="312"/>
        <v>2</v>
      </c>
      <c r="Z414" s="89">
        <f t="shared" si="279"/>
        <v>12</v>
      </c>
      <c r="AA414" s="17" t="str">
        <f>_xlfn.TEXTJOIN(", ",TRUE,ABS(MID(C414,{1,1,2},1)-MID(C414,{2,3,3},1)))</f>
        <v>4, 6, 2</v>
      </c>
      <c r="AB414" s="90">
        <v>0</v>
      </c>
      <c r="AC414" s="90">
        <v>1</v>
      </c>
      <c r="AD414" s="90">
        <v>2</v>
      </c>
      <c r="AE414" s="90">
        <v>3</v>
      </c>
      <c r="AF414" s="90">
        <v>4</v>
      </c>
      <c r="AG414" s="90">
        <v>5</v>
      </c>
      <c r="AH414" s="90">
        <v>6</v>
      </c>
      <c r="AI414" s="90">
        <v>7</v>
      </c>
      <c r="AJ414" s="90">
        <v>8</v>
      </c>
      <c r="AK414" s="90">
        <v>9</v>
      </c>
      <c r="AL414" s="91">
        <v>0</v>
      </c>
      <c r="AM414" s="91">
        <v>1</v>
      </c>
      <c r="AN414" s="91">
        <v>2</v>
      </c>
      <c r="AO414" s="91">
        <v>3</v>
      </c>
      <c r="AP414" s="91">
        <v>4</v>
      </c>
      <c r="AQ414" s="91">
        <v>5</v>
      </c>
      <c r="AR414" s="91">
        <v>6</v>
      </c>
      <c r="AS414" s="91">
        <v>7</v>
      </c>
      <c r="AT414" s="91">
        <v>8</v>
      </c>
      <c r="AU414" s="91">
        <v>9</v>
      </c>
      <c r="AV414" s="92">
        <v>0</v>
      </c>
      <c r="AW414" s="92">
        <v>1</v>
      </c>
      <c r="AX414" s="92">
        <v>2</v>
      </c>
      <c r="AY414" s="92">
        <v>3</v>
      </c>
      <c r="AZ414" s="92">
        <v>4</v>
      </c>
      <c r="BA414" s="92">
        <v>5</v>
      </c>
      <c r="BB414" s="92">
        <v>6</v>
      </c>
      <c r="BC414" s="92">
        <v>7</v>
      </c>
      <c r="BD414" s="92">
        <v>8</v>
      </c>
      <c r="BE414" s="92">
        <v>9</v>
      </c>
      <c r="BF414" s="93">
        <v>0</v>
      </c>
      <c r="BG414" s="93">
        <v>1</v>
      </c>
      <c r="BH414" s="93">
        <v>2</v>
      </c>
      <c r="BI414" s="93">
        <v>3</v>
      </c>
      <c r="BJ414" s="93">
        <v>4</v>
      </c>
      <c r="BK414" s="93">
        <v>5</v>
      </c>
      <c r="BL414" s="93">
        <v>6</v>
      </c>
      <c r="BM414" s="93">
        <v>7</v>
      </c>
      <c r="BN414" s="93">
        <v>8</v>
      </c>
      <c r="BO414" s="93">
        <v>9</v>
      </c>
      <c r="BP414" s="94" t="str">
        <f t="shared" si="280"/>
        <v>松散型</v>
      </c>
      <c r="BQ414" s="15">
        <f t="shared" si="277"/>
        <v>2</v>
      </c>
      <c r="BR414" s="15">
        <f t="shared" si="278"/>
        <v>6</v>
      </c>
      <c r="BS414" s="20" t="str">
        <f t="shared" si="287"/>
        <v/>
      </c>
      <c r="BT414" s="21" t="str">
        <f t="shared" si="288"/>
        <v/>
      </c>
      <c r="BU414" s="21" t="str">
        <f t="array" ref="BU414">_xlfn.TEXTJOIN("",TRUE,IF(ISERROR(FIND(ROW($1:$168)-1,BS414&amp;BT414)),ROW($1:$168)-1,""))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14" s="22" t="str">
        <f t="shared" si="289"/>
        <v>中中中</v>
      </c>
      <c r="BW414" s="23" t="str">
        <f t="shared" si="300"/>
        <v/>
      </c>
      <c r="BX414" s="23">
        <f t="shared" si="298"/>
        <v>6</v>
      </c>
      <c r="BY414" s="23" t="str">
        <f t="array" ref="BY414">_xlfn.TEXTJOIN("",TRUE,IF(ISERROR(FIND(ROW($1:$168)-1,BW414&amp;BX414)),ROW($1:$168)-1,""))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14" s="22" t="str">
        <f t="shared" si="290"/>
        <v>中隔中</v>
      </c>
      <c r="CA414" s="24">
        <f t="shared" si="291"/>
        <v>2</v>
      </c>
      <c r="CB414" s="24" t="str">
        <f t="shared" si="299"/>
        <v/>
      </c>
      <c r="CC414" s="24" t="str">
        <f t="array" ref="CC414">_xlfn.TEXTJOIN("",TRUE,IF(ISERROR(FIND(ROW($1:$168)-1,CA414&amp;CB414)),ROW($1:$168)-1,""))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14" s="22" t="str">
        <f t="shared" si="292"/>
        <v>复中中</v>
      </c>
      <c r="CE414" s="25" t="str">
        <f t="shared" si="281"/>
        <v>35</v>
      </c>
      <c r="CF414" s="26" t="str">
        <f t="array" ref="CF414">_xlfn.TEXTJOIN("",TRUE,IF(ISNUMBER(FIND(MID(CE413&amp;W413,ROW($1:$162),1),CE414&amp;W414)),MID(CE413&amp;W413,ROW($1:$162),1),""))</f>
        <v>43</v>
      </c>
      <c r="CG414" s="27" t="str">
        <f t="array" ref="CG414">_xlfn.TEXTJOIN("",TRUE,IF(ISERROR(FIND(ROW($1:$168)-1,CE414&amp;CF414)),ROW($1:$168)-1,""))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14" s="28" t="str">
        <f t="shared" si="293"/>
        <v>邻传孤</v>
      </c>
      <c r="CI414" s="29" t="str">
        <f t="shared" si="294"/>
        <v>57</v>
      </c>
      <c r="CJ414" s="29" t="str">
        <f t="array" ref="CJ414">_xlfn.TEXTJOIN("",TRUE,IF(ISNUMBER(FIND(MID(CI413&amp;X413,ROW($1:$162),1),CI414&amp;X414)),MID(CI413&amp;X413,ROW($1:$162),1),""))</f>
        <v/>
      </c>
      <c r="CK414" s="29" t="str">
        <f t="array" ref="CK414">_xlfn.TEXTJOIN("",TRUE,IF(ISERROR(FIND(ROW($1:$168)-1,CI414&amp;CJ414)),ROW($1:$168)-1,""))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14" s="19" t="str">
        <f t="shared" si="295"/>
        <v>邻孤孤</v>
      </c>
      <c r="CM414" s="24" t="str">
        <f t="shared" si="296"/>
        <v>13</v>
      </c>
      <c r="CN414" s="24" t="str">
        <f t="array" ref="CN414">_xlfn.TEXTJOIN("",TRUE,IF(ISNUMBER(FIND(MID(CM413&amp;Y413,ROW($1:$162),1),CM414&amp;Y414)),MID(CM413&amp;Y413,ROW($1:$162),1),""))</f>
        <v>132</v>
      </c>
      <c r="CO414" s="24" t="str">
        <f t="array" ref="CO414">_xlfn.TEXTJOIN("",TRUE,IF(ISERROR(FIND(ROW($1:$168)-1,CM414&amp;CN414)),ROW($1:$168)-1,""))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414" s="30" t="str">
        <f t="shared" si="297"/>
        <v>邻传孤</v>
      </c>
    </row>
    <row r="415" spans="1:94">
      <c r="A415" s="15">
        <v>415</v>
      </c>
      <c r="B415" s="80">
        <v>2025032</v>
      </c>
      <c r="C415" s="8" t="s">
        <v>364</v>
      </c>
      <c r="D415" s="81">
        <f t="shared" si="308"/>
        <v>22</v>
      </c>
      <c r="E415" s="82">
        <f t="shared" si="309"/>
        <v>2</v>
      </c>
      <c r="F415" s="83">
        <f t="shared" si="306"/>
        <v>4.4</v>
      </c>
      <c r="G415" s="84" t="str">
        <f t="shared" si="307"/>
        <v>紧凑</v>
      </c>
      <c r="H415" s="85" t="s">
        <v>10</v>
      </c>
      <c r="I415" s="85" t="s">
        <v>11</v>
      </c>
      <c r="J415" s="85" t="s">
        <v>12</v>
      </c>
      <c r="K415" s="85" t="s">
        <v>13</v>
      </c>
      <c r="L415" s="86">
        <f>MAX(MID(C415,{1,2,3},1)*1)-MIN(MID(C415,{1,2,3},1)*1)</f>
        <v>5</v>
      </c>
      <c r="M415" s="87">
        <v>0</v>
      </c>
      <c r="N415" s="87">
        <v>1</v>
      </c>
      <c r="O415" s="87">
        <v>2</v>
      </c>
      <c r="P415" s="87">
        <v>3</v>
      </c>
      <c r="Q415" s="87">
        <v>4</v>
      </c>
      <c r="R415" s="87">
        <v>5</v>
      </c>
      <c r="S415" s="87">
        <v>6</v>
      </c>
      <c r="T415" s="87">
        <v>7</v>
      </c>
      <c r="U415" s="87">
        <v>8</v>
      </c>
      <c r="V415" s="87">
        <v>9</v>
      </c>
      <c r="W415" s="88">
        <f t="shared" si="310"/>
        <v>5</v>
      </c>
      <c r="X415" s="88">
        <f t="shared" si="311"/>
        <v>5</v>
      </c>
      <c r="Y415" s="88">
        <f t="shared" si="312"/>
        <v>0</v>
      </c>
      <c r="Z415" s="89">
        <f t="shared" si="279"/>
        <v>10</v>
      </c>
      <c r="AA415" s="17" t="str">
        <f>_xlfn.TEXTJOIN(", ",TRUE,ABS(MID(C415,{1,1,2},1)-MID(C415,{2,3,3},1)))</f>
        <v>5, 5, 0</v>
      </c>
      <c r="AB415" s="90">
        <v>0</v>
      </c>
      <c r="AC415" s="90">
        <v>1</v>
      </c>
      <c r="AD415" s="90">
        <v>2</v>
      </c>
      <c r="AE415" s="90">
        <v>3</v>
      </c>
      <c r="AF415" s="90">
        <v>4</v>
      </c>
      <c r="AG415" s="90">
        <v>5</v>
      </c>
      <c r="AH415" s="90">
        <v>6</v>
      </c>
      <c r="AI415" s="90">
        <v>7</v>
      </c>
      <c r="AJ415" s="90">
        <v>8</v>
      </c>
      <c r="AK415" s="90">
        <v>9</v>
      </c>
      <c r="AL415" s="91">
        <v>0</v>
      </c>
      <c r="AM415" s="91">
        <v>1</v>
      </c>
      <c r="AN415" s="91">
        <v>2</v>
      </c>
      <c r="AO415" s="91">
        <v>3</v>
      </c>
      <c r="AP415" s="91">
        <v>4</v>
      </c>
      <c r="AQ415" s="91">
        <v>5</v>
      </c>
      <c r="AR415" s="91">
        <v>6</v>
      </c>
      <c r="AS415" s="91">
        <v>7</v>
      </c>
      <c r="AT415" s="91">
        <v>8</v>
      </c>
      <c r="AU415" s="91">
        <v>9</v>
      </c>
      <c r="AV415" s="92">
        <v>0</v>
      </c>
      <c r="AW415" s="92">
        <v>1</v>
      </c>
      <c r="AX415" s="92">
        <v>2</v>
      </c>
      <c r="AY415" s="92">
        <v>3</v>
      </c>
      <c r="AZ415" s="92">
        <v>4</v>
      </c>
      <c r="BA415" s="92">
        <v>5</v>
      </c>
      <c r="BB415" s="92">
        <v>6</v>
      </c>
      <c r="BC415" s="92">
        <v>7</v>
      </c>
      <c r="BD415" s="92">
        <v>8</v>
      </c>
      <c r="BE415" s="92">
        <v>9</v>
      </c>
      <c r="BF415" s="93">
        <v>0</v>
      </c>
      <c r="BG415" s="93">
        <v>1</v>
      </c>
      <c r="BH415" s="93">
        <v>2</v>
      </c>
      <c r="BI415" s="93">
        <v>3</v>
      </c>
      <c r="BJ415" s="93">
        <v>4</v>
      </c>
      <c r="BK415" s="93">
        <v>5</v>
      </c>
      <c r="BL415" s="93">
        <v>6</v>
      </c>
      <c r="BM415" s="93">
        <v>7</v>
      </c>
      <c r="BN415" s="93">
        <v>8</v>
      </c>
      <c r="BO415" s="93">
        <v>9</v>
      </c>
      <c r="BP415" s="94" t="str">
        <f t="shared" si="280"/>
        <v>对子</v>
      </c>
      <c r="BQ415" s="15">
        <f t="shared" si="277"/>
        <v>0</v>
      </c>
      <c r="BR415" s="15">
        <f t="shared" si="278"/>
        <v>5</v>
      </c>
      <c r="BS415" s="20" t="str">
        <f t="shared" si="287"/>
        <v/>
      </c>
      <c r="BT415" s="21" t="str">
        <f t="shared" si="288"/>
        <v/>
      </c>
      <c r="BU415" s="21" t="str">
        <f t="array" ref="BU415">_xlfn.TEXTJOIN("",TRUE,IF(ISERROR(FIND(ROW($1:$168)-1,BS415&amp;BT415)),ROW($1:$168)-1,""))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15" s="22" t="str">
        <f t="shared" si="289"/>
        <v>中中中</v>
      </c>
      <c r="BW415" s="23" t="str">
        <f t="shared" si="300"/>
        <v/>
      </c>
      <c r="BX415" s="23" t="str">
        <f t="shared" si="298"/>
        <v/>
      </c>
      <c r="BY415" s="23" t="str">
        <f t="array" ref="BY415">_xlfn.TEXTJOIN("",TRUE,IF(ISERROR(FIND(ROW($1:$168)-1,BW415&amp;BX415)),ROW($1:$168)-1,""))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15" s="22" t="str">
        <f t="shared" si="290"/>
        <v>中中中</v>
      </c>
      <c r="CA415" s="24" t="str">
        <f t="shared" si="291"/>
        <v/>
      </c>
      <c r="CB415" s="24" t="str">
        <f t="shared" si="299"/>
        <v/>
      </c>
      <c r="CC415" s="24" t="str">
        <f t="array" ref="CC415">_xlfn.TEXTJOIN("",TRUE,IF(ISERROR(FIND(ROW($1:$168)-1,CA415&amp;CB415)),ROW($1:$168)-1,""))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15" s="22" t="str">
        <f t="shared" si="292"/>
        <v>中中中</v>
      </c>
      <c r="CE415" s="25" t="str">
        <f t="shared" si="281"/>
        <v>46</v>
      </c>
      <c r="CF415" s="26" t="str">
        <f t="array" ref="CF415">_xlfn.TEXTJOIN("",TRUE,IF(ISNUMBER(FIND(MID(CE414&amp;W414,ROW($1:$162),1),CE415&amp;W415)),MID(CE414&amp;W414,ROW($1:$162),1),""))</f>
        <v>54</v>
      </c>
      <c r="CG415" s="27" t="str">
        <f t="array" ref="CG415">_xlfn.TEXTJOIN("",TRUE,IF(ISERROR(FIND(ROW($1:$168)-1,CE415&amp;CF415)),ROW($1:$168)-1,""))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15" s="28" t="str">
        <f t="shared" si="293"/>
        <v>邻传孤</v>
      </c>
      <c r="CI415" s="29" t="str">
        <f t="shared" si="294"/>
        <v>46</v>
      </c>
      <c r="CJ415" s="29" t="str">
        <f t="array" ref="CJ415">_xlfn.TEXTJOIN("",TRUE,IF(ISNUMBER(FIND(MID(CI414&amp;X414,ROW($1:$162),1),CI415&amp;X415)),MID(CI414&amp;X414,ROW($1:$162),1),""))</f>
        <v>56</v>
      </c>
      <c r="CK415" s="29" t="str">
        <f t="array" ref="CK415">_xlfn.TEXTJOIN("",TRUE,IF(ISERROR(FIND(ROW($1:$168)-1,CI415&amp;CJ415)),ROW($1:$168)-1,""))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15" s="19" t="str">
        <f t="shared" si="295"/>
        <v>邻传孤</v>
      </c>
      <c r="CM415" s="24" t="str">
        <f t="shared" si="296"/>
        <v>91</v>
      </c>
      <c r="CN415" s="24" t="str">
        <f t="array" ref="CN415">_xlfn.TEXTJOIN("",TRUE,IF(ISNUMBER(FIND(MID(CM414&amp;Y414,ROW($1:$162),1),CM415&amp;Y415)),MID(CM414&amp;Y414,ROW($1:$162),1),""))</f>
        <v>1</v>
      </c>
      <c r="CO415" s="24" t="str">
        <f t="array" ref="CO415">_xlfn.TEXTJOIN("",TRUE,IF(ISERROR(FIND(ROW($1:$168)-1,CM415&amp;CN415)),ROW($1:$168)-1,""))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415" s="30" t="str">
        <f t="shared" si="297"/>
        <v>邻传孤</v>
      </c>
    </row>
    <row r="416" spans="1:94">
      <c r="A416" s="15">
        <v>416</v>
      </c>
      <c r="B416" s="80">
        <v>2025033</v>
      </c>
      <c r="C416" s="8" t="s">
        <v>351</v>
      </c>
      <c r="D416" s="81">
        <f t="shared" ref="D416:D441" si="313">LEFT(C416,1)+MID(C416,2,1)+RIGHT(C416,1)</f>
        <v>12</v>
      </c>
      <c r="E416" s="82">
        <f t="shared" ref="E416:E441" si="314">MOD(LEFT(C416,1)+MID(C416,2,1)+RIGHT(C416,1),10)</f>
        <v>2</v>
      </c>
      <c r="F416" s="83">
        <f t="shared" si="306"/>
        <v>2</v>
      </c>
      <c r="G416" s="84" t="str">
        <f t="shared" si="307"/>
        <v>标准</v>
      </c>
      <c r="H416" s="85" t="s">
        <v>10</v>
      </c>
      <c r="I416" s="85" t="s">
        <v>11</v>
      </c>
      <c r="J416" s="85" t="s">
        <v>12</v>
      </c>
      <c r="K416" s="85" t="s">
        <v>13</v>
      </c>
      <c r="L416" s="86">
        <f>MAX(MID(C416,{1,2,3},1)*1)-MIN(MID(C416,{1,2,3},1)*1)</f>
        <v>6</v>
      </c>
      <c r="M416" s="87">
        <v>0</v>
      </c>
      <c r="N416" s="87">
        <v>1</v>
      </c>
      <c r="O416" s="87">
        <v>2</v>
      </c>
      <c r="P416" s="87">
        <v>3</v>
      </c>
      <c r="Q416" s="87">
        <v>4</v>
      </c>
      <c r="R416" s="87">
        <v>5</v>
      </c>
      <c r="S416" s="87">
        <v>6</v>
      </c>
      <c r="T416" s="87">
        <v>7</v>
      </c>
      <c r="U416" s="87">
        <v>8</v>
      </c>
      <c r="V416" s="87">
        <v>9</v>
      </c>
      <c r="W416" s="88">
        <f t="shared" ref="W416:W441" si="315">ABS(LEFT(C416,1)-MID(C416,2,1))</f>
        <v>6</v>
      </c>
      <c r="X416" s="88">
        <f t="shared" ref="X416:X441" si="316">ABS(LEFT(C416,1)-RIGHT(C416,1))</f>
        <v>0</v>
      </c>
      <c r="Y416" s="88">
        <f t="shared" ref="Y416:Y441" si="317">ABS(MID(C416,2,1)-RIGHT(C416,1))</f>
        <v>6</v>
      </c>
      <c r="Z416" s="89">
        <f t="shared" si="279"/>
        <v>12</v>
      </c>
      <c r="AA416" s="17" t="str">
        <f>_xlfn.TEXTJOIN(", ",TRUE,ABS(MID(C416,{1,1,2},1)-MID(C416,{2,3,3},1)))</f>
        <v>6, 0, 6</v>
      </c>
      <c r="AB416" s="90">
        <v>0</v>
      </c>
      <c r="AC416" s="90">
        <v>1</v>
      </c>
      <c r="AD416" s="90">
        <v>2</v>
      </c>
      <c r="AE416" s="90">
        <v>3</v>
      </c>
      <c r="AF416" s="90">
        <v>4</v>
      </c>
      <c r="AG416" s="90">
        <v>5</v>
      </c>
      <c r="AH416" s="90">
        <v>6</v>
      </c>
      <c r="AI416" s="90">
        <v>7</v>
      </c>
      <c r="AJ416" s="90">
        <v>8</v>
      </c>
      <c r="AK416" s="90">
        <v>9</v>
      </c>
      <c r="AL416" s="91">
        <v>0</v>
      </c>
      <c r="AM416" s="91">
        <v>1</v>
      </c>
      <c r="AN416" s="91">
        <v>2</v>
      </c>
      <c r="AO416" s="91">
        <v>3</v>
      </c>
      <c r="AP416" s="91">
        <v>4</v>
      </c>
      <c r="AQ416" s="91">
        <v>5</v>
      </c>
      <c r="AR416" s="91">
        <v>6</v>
      </c>
      <c r="AS416" s="91">
        <v>7</v>
      </c>
      <c r="AT416" s="91">
        <v>8</v>
      </c>
      <c r="AU416" s="91">
        <v>9</v>
      </c>
      <c r="AV416" s="92">
        <v>0</v>
      </c>
      <c r="AW416" s="92">
        <v>1</v>
      </c>
      <c r="AX416" s="92">
        <v>2</v>
      </c>
      <c r="AY416" s="92">
        <v>3</v>
      </c>
      <c r="AZ416" s="92">
        <v>4</v>
      </c>
      <c r="BA416" s="92">
        <v>5</v>
      </c>
      <c r="BB416" s="92">
        <v>6</v>
      </c>
      <c r="BC416" s="92">
        <v>7</v>
      </c>
      <c r="BD416" s="92">
        <v>8</v>
      </c>
      <c r="BE416" s="92">
        <v>9</v>
      </c>
      <c r="BF416" s="93">
        <v>0</v>
      </c>
      <c r="BG416" s="93">
        <v>1</v>
      </c>
      <c r="BH416" s="93">
        <v>2</v>
      </c>
      <c r="BI416" s="93">
        <v>3</v>
      </c>
      <c r="BJ416" s="93">
        <v>4</v>
      </c>
      <c r="BK416" s="93">
        <v>5</v>
      </c>
      <c r="BL416" s="93">
        <v>6</v>
      </c>
      <c r="BM416" s="93">
        <v>7</v>
      </c>
      <c r="BN416" s="93">
        <v>8</v>
      </c>
      <c r="BO416" s="93">
        <v>9</v>
      </c>
      <c r="BP416" s="94" t="str">
        <f t="shared" si="280"/>
        <v>松散型</v>
      </c>
      <c r="BQ416" s="15">
        <f t="shared" si="277"/>
        <v>0</v>
      </c>
      <c r="BR416" s="15">
        <f t="shared" si="278"/>
        <v>6</v>
      </c>
      <c r="BS416" s="20" t="str">
        <f t="shared" si="287"/>
        <v/>
      </c>
      <c r="BT416" s="21">
        <f t="shared" si="288"/>
        <v>6</v>
      </c>
      <c r="BU416" s="21" t="str">
        <f t="array" ref="BU416">_xlfn.TEXTJOIN("",TRUE,IF(ISERROR(FIND(ROW($1:$168)-1,BS416&amp;BT416)),ROW($1:$168)-1,""))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16" s="22" t="str">
        <f t="shared" si="289"/>
        <v>中隔中</v>
      </c>
      <c r="BW416" s="23">
        <f t="shared" si="300"/>
        <v>0</v>
      </c>
      <c r="BX416" s="23" t="str">
        <f t="shared" si="298"/>
        <v/>
      </c>
      <c r="BY416" s="23" t="str">
        <f t="array" ref="BY416">_xlfn.TEXTJOIN("",TRUE,IF(ISERROR(FIND(ROW($1:$168)-1,BW416&amp;BX416)),ROW($1:$168)-1,""))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16" s="22" t="str">
        <f t="shared" si="290"/>
        <v>复中中</v>
      </c>
      <c r="CA416" s="24" t="str">
        <f t="shared" si="291"/>
        <v/>
      </c>
      <c r="CB416" s="24">
        <f t="shared" si="299"/>
        <v>6</v>
      </c>
      <c r="CC416" s="24" t="str">
        <f t="array" ref="CC416">_xlfn.TEXTJOIN("",TRUE,IF(ISERROR(FIND(ROW($1:$168)-1,CA416&amp;CB416)),ROW($1:$168)-1,""))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16" s="22" t="str">
        <f t="shared" si="292"/>
        <v>中隔中</v>
      </c>
      <c r="CE416" s="25" t="str">
        <f t="shared" si="281"/>
        <v>57</v>
      </c>
      <c r="CF416" s="26" t="str">
        <f t="array" ref="CF416">_xlfn.TEXTJOIN("",TRUE,IF(ISNUMBER(FIND(MID(CE415&amp;W415,ROW($1:$162),1),CE416&amp;W416)),MID(CE415&amp;W415,ROW($1:$162),1),""))</f>
        <v>65</v>
      </c>
      <c r="CG416" s="27" t="str">
        <f t="array" ref="CG416">_xlfn.TEXTJOIN("",TRUE,IF(ISERROR(FIND(ROW($1:$168)-1,CE416&amp;CF416)),ROW($1:$168)-1,""))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16" s="28" t="str">
        <f t="shared" si="293"/>
        <v>邻传孤</v>
      </c>
      <c r="CI416" s="29" t="str">
        <f t="shared" si="294"/>
        <v>91</v>
      </c>
      <c r="CJ416" s="29" t="str">
        <f t="array" ref="CJ416">_xlfn.TEXTJOIN("",TRUE,IF(ISNUMBER(FIND(MID(CI415&amp;X415,ROW($1:$162),1),CI416&amp;X416)),MID(CI415&amp;X415,ROW($1:$162),1),""))</f>
        <v/>
      </c>
      <c r="CK416" s="29" t="str">
        <f t="array" ref="CK416">_xlfn.TEXTJOIN("",TRUE,IF(ISERROR(FIND(ROW($1:$168)-1,CI416&amp;CJ416)),ROW($1:$168)-1,""))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416" s="19" t="str">
        <f t="shared" si="295"/>
        <v>邻孤孤</v>
      </c>
      <c r="CM416" s="24" t="str">
        <f t="shared" si="296"/>
        <v>57</v>
      </c>
      <c r="CN416" s="24" t="str">
        <f t="array" ref="CN416">_xlfn.TEXTJOIN("",TRUE,IF(ISNUMBER(FIND(MID(CM415&amp;Y415,ROW($1:$162),1),CM416&amp;Y416)),MID(CM415&amp;Y415,ROW($1:$162),1),""))</f>
        <v/>
      </c>
      <c r="CO416" s="24" t="str">
        <f t="array" ref="CO416">_xlfn.TEXTJOIN("",TRUE,IF(ISERROR(FIND(ROW($1:$168)-1,CM416&amp;CN416)),ROW($1:$168)-1,""))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16" s="30" t="str">
        <f t="shared" si="297"/>
        <v>邻孤孤</v>
      </c>
    </row>
    <row r="417" spans="1:94">
      <c r="A417" s="15">
        <v>417</v>
      </c>
      <c r="B417" s="80">
        <v>2025034</v>
      </c>
      <c r="C417" s="8" t="s">
        <v>365</v>
      </c>
      <c r="D417" s="81">
        <f t="shared" si="313"/>
        <v>9</v>
      </c>
      <c r="E417" s="82">
        <f t="shared" si="314"/>
        <v>9</v>
      </c>
      <c r="F417" s="83">
        <f t="shared" si="306"/>
        <v>1.8</v>
      </c>
      <c r="G417" s="84" t="str">
        <f t="shared" si="307"/>
        <v>松散</v>
      </c>
      <c r="H417" s="85" t="s">
        <v>10</v>
      </c>
      <c r="I417" s="85" t="s">
        <v>11</v>
      </c>
      <c r="J417" s="85" t="s">
        <v>12</v>
      </c>
      <c r="K417" s="85" t="s">
        <v>13</v>
      </c>
      <c r="L417" s="86">
        <f>MAX(MID(C417,{1,2,3},1)*1)-MIN(MID(C417,{1,2,3},1)*1)</f>
        <v>5</v>
      </c>
      <c r="M417" s="87">
        <v>0</v>
      </c>
      <c r="N417" s="87">
        <v>1</v>
      </c>
      <c r="O417" s="87">
        <v>2</v>
      </c>
      <c r="P417" s="87">
        <v>3</v>
      </c>
      <c r="Q417" s="87">
        <v>4</v>
      </c>
      <c r="R417" s="87">
        <v>5</v>
      </c>
      <c r="S417" s="87">
        <v>6</v>
      </c>
      <c r="T417" s="87">
        <v>7</v>
      </c>
      <c r="U417" s="87">
        <v>8</v>
      </c>
      <c r="V417" s="87">
        <v>9</v>
      </c>
      <c r="W417" s="88">
        <f t="shared" si="315"/>
        <v>4</v>
      </c>
      <c r="X417" s="88">
        <f t="shared" si="316"/>
        <v>1</v>
      </c>
      <c r="Y417" s="88">
        <f t="shared" si="317"/>
        <v>5</v>
      </c>
      <c r="Z417" s="89">
        <f t="shared" si="279"/>
        <v>10</v>
      </c>
      <c r="AA417" s="17" t="str">
        <f>_xlfn.TEXTJOIN(", ",TRUE,ABS(MID(C417,{1,1,2},1)-MID(C417,{2,3,3},1)))</f>
        <v>4, 1, 5</v>
      </c>
      <c r="AB417" s="90">
        <v>0</v>
      </c>
      <c r="AC417" s="90">
        <v>1</v>
      </c>
      <c r="AD417" s="90">
        <v>2</v>
      </c>
      <c r="AE417" s="90">
        <v>3</v>
      </c>
      <c r="AF417" s="90">
        <v>4</v>
      </c>
      <c r="AG417" s="90">
        <v>5</v>
      </c>
      <c r="AH417" s="90">
        <v>6</v>
      </c>
      <c r="AI417" s="90">
        <v>7</v>
      </c>
      <c r="AJ417" s="90">
        <v>8</v>
      </c>
      <c r="AK417" s="90">
        <v>9</v>
      </c>
      <c r="AL417" s="91">
        <v>0</v>
      </c>
      <c r="AM417" s="91">
        <v>1</v>
      </c>
      <c r="AN417" s="91">
        <v>2</v>
      </c>
      <c r="AO417" s="91">
        <v>3</v>
      </c>
      <c r="AP417" s="91">
        <v>4</v>
      </c>
      <c r="AQ417" s="91">
        <v>5</v>
      </c>
      <c r="AR417" s="91">
        <v>6</v>
      </c>
      <c r="AS417" s="91">
        <v>7</v>
      </c>
      <c r="AT417" s="91">
        <v>8</v>
      </c>
      <c r="AU417" s="91">
        <v>9</v>
      </c>
      <c r="AV417" s="92">
        <v>0</v>
      </c>
      <c r="AW417" s="92">
        <v>1</v>
      </c>
      <c r="AX417" s="92">
        <v>2</v>
      </c>
      <c r="AY417" s="92">
        <v>3</v>
      </c>
      <c r="AZ417" s="92">
        <v>4</v>
      </c>
      <c r="BA417" s="92">
        <v>5</v>
      </c>
      <c r="BB417" s="92">
        <v>6</v>
      </c>
      <c r="BC417" s="92">
        <v>7</v>
      </c>
      <c r="BD417" s="92">
        <v>8</v>
      </c>
      <c r="BE417" s="92">
        <v>9</v>
      </c>
      <c r="BF417" s="93">
        <v>0</v>
      </c>
      <c r="BG417" s="93">
        <v>1</v>
      </c>
      <c r="BH417" s="93">
        <v>2</v>
      </c>
      <c r="BI417" s="93">
        <v>3</v>
      </c>
      <c r="BJ417" s="93">
        <v>4</v>
      </c>
      <c r="BK417" s="93">
        <v>5</v>
      </c>
      <c r="BL417" s="93">
        <v>6</v>
      </c>
      <c r="BM417" s="93">
        <v>7</v>
      </c>
      <c r="BN417" s="93">
        <v>8</v>
      </c>
      <c r="BO417" s="93">
        <v>9</v>
      </c>
      <c r="BP417" s="94" t="str">
        <f t="shared" si="280"/>
        <v>标准型</v>
      </c>
      <c r="BQ417" s="15">
        <f t="shared" ref="BQ417:BQ480" si="318">MIN(ABS(INT(C417/100)-INT(MOD(C417,100)/10)),ABS(INT(C417/100)-MOD(C417,10)),ABS(INT(MOD(C417,100)/10)-MOD(C417,10)))</f>
        <v>1</v>
      </c>
      <c r="BR417" s="15">
        <f t="shared" ref="BR417:BR480" si="319">MAX(ABS(INT(C417/100)-INT(MOD(C417,100)/10)),ABS(INT(C417/100)-MOD(C417,10)),ABS(INT(MOD(C417,100)/10)-MOD(C417,10)))</f>
        <v>5</v>
      </c>
      <c r="BS417" s="20" t="str">
        <f t="shared" si="287"/>
        <v/>
      </c>
      <c r="BT417" s="21" t="str">
        <f t="shared" si="288"/>
        <v/>
      </c>
      <c r="BU417" s="21" t="str">
        <f t="array" ref="BU417">_xlfn.TEXTJOIN("",TRUE,IF(ISERROR(FIND(ROW($1:$168)-1,BS417&amp;BT417)),ROW($1:$168)-1,""))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17" s="22" t="str">
        <f t="shared" si="289"/>
        <v>中中中</v>
      </c>
      <c r="BW417" s="23" t="str">
        <f t="shared" si="300"/>
        <v/>
      </c>
      <c r="BX417" s="23" t="str">
        <f t="shared" si="298"/>
        <v/>
      </c>
      <c r="BY417" s="23" t="str">
        <f t="array" ref="BY417">_xlfn.TEXTJOIN("",TRUE,IF(ISERROR(FIND(ROW($1:$168)-1,BW417&amp;BX417)),ROW($1:$168)-1,""))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17" s="22" t="str">
        <f t="shared" si="290"/>
        <v>中中中</v>
      </c>
      <c r="CA417" s="24" t="str">
        <f t="shared" si="291"/>
        <v/>
      </c>
      <c r="CB417" s="24">
        <f t="shared" si="299"/>
        <v>5</v>
      </c>
      <c r="CC417" s="24" t="str">
        <f t="array" ref="CC417">_xlfn.TEXTJOIN("",TRUE,IF(ISERROR(FIND(ROW($1:$168)-1,CA417&amp;CB417)),ROW($1:$168)-1,""))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17" s="22" t="str">
        <f t="shared" si="292"/>
        <v>中隔中</v>
      </c>
      <c r="CE417" s="25" t="str">
        <f t="shared" si="281"/>
        <v>35</v>
      </c>
      <c r="CF417" s="26" t="str">
        <f t="array" ref="CF417">_xlfn.TEXTJOIN("",TRUE,IF(ISNUMBER(FIND(MID(CE416&amp;W416,ROW($1:$162),1),CE417&amp;W417)),MID(CE416&amp;W416,ROW($1:$162),1),""))</f>
        <v>5</v>
      </c>
      <c r="CG417" s="27" t="str">
        <f t="array" ref="CG417">_xlfn.TEXTJOIN("",TRUE,IF(ISERROR(FIND(ROW($1:$168)-1,CE417&amp;CF417)),ROW($1:$168)-1,""))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17" s="28" t="str">
        <f t="shared" si="293"/>
        <v>邻传孤</v>
      </c>
      <c r="CI417" s="29" t="str">
        <f t="shared" si="294"/>
        <v>02</v>
      </c>
      <c r="CJ417" s="29" t="str">
        <f t="array" ref="CJ417">_xlfn.TEXTJOIN("",TRUE,IF(ISNUMBER(FIND(MID(CI416&amp;X416,ROW($1:$162),1),CI417&amp;X417)),MID(CI416&amp;X416,ROW($1:$162),1),""))</f>
        <v>10</v>
      </c>
      <c r="CK417" s="29" t="str">
        <f t="array" ref="CK417">_xlfn.TEXTJOIN("",TRUE,IF(ISERROR(FIND(ROW($1:$168)-1,CI417&amp;CJ417)),ROW($1:$168)-1,""))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17" s="19" t="str">
        <f t="shared" si="295"/>
        <v>邻传孤</v>
      </c>
      <c r="CM417" s="24" t="str">
        <f t="shared" si="296"/>
        <v>46</v>
      </c>
      <c r="CN417" s="24" t="str">
        <f t="array" ref="CN417">_xlfn.TEXTJOIN("",TRUE,IF(ISNUMBER(FIND(MID(CM416&amp;Y416,ROW($1:$162),1),CM417&amp;Y417)),MID(CM416&amp;Y416,ROW($1:$162),1),""))</f>
        <v>56</v>
      </c>
      <c r="CO417" s="24" t="str">
        <f t="array" ref="CO417">_xlfn.TEXTJOIN("",TRUE,IF(ISERROR(FIND(ROW($1:$168)-1,CM417&amp;CN417)),ROW($1:$168)-1,""))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17" s="30" t="str">
        <f t="shared" si="297"/>
        <v>邻传孤</v>
      </c>
    </row>
    <row r="418" spans="1:94">
      <c r="A418" s="15">
        <v>418</v>
      </c>
      <c r="B418" s="80">
        <v>2025035</v>
      </c>
      <c r="C418" s="8" t="s">
        <v>133</v>
      </c>
      <c r="D418" s="81">
        <f t="shared" si="313"/>
        <v>22</v>
      </c>
      <c r="E418" s="82">
        <f t="shared" si="314"/>
        <v>2</v>
      </c>
      <c r="F418" s="83">
        <f t="shared" si="306"/>
        <v>22</v>
      </c>
      <c r="G418" s="84" t="str">
        <f t="shared" si="307"/>
        <v>紧凑</v>
      </c>
      <c r="H418" s="85" t="s">
        <v>10</v>
      </c>
      <c r="I418" s="85" t="s">
        <v>11</v>
      </c>
      <c r="J418" s="85" t="s">
        <v>12</v>
      </c>
      <c r="K418" s="85" t="s">
        <v>13</v>
      </c>
      <c r="L418" s="86">
        <f>MAX(MID(C418,{1,2,3},1)*1)-MIN(MID(C418,{1,2,3},1)*1)</f>
        <v>1</v>
      </c>
      <c r="M418" s="87">
        <v>0</v>
      </c>
      <c r="N418" s="87">
        <v>1</v>
      </c>
      <c r="O418" s="87">
        <v>2</v>
      </c>
      <c r="P418" s="87">
        <v>3</v>
      </c>
      <c r="Q418" s="87">
        <v>4</v>
      </c>
      <c r="R418" s="87">
        <v>5</v>
      </c>
      <c r="S418" s="87">
        <v>6</v>
      </c>
      <c r="T418" s="87">
        <v>7</v>
      </c>
      <c r="U418" s="87">
        <v>8</v>
      </c>
      <c r="V418" s="87">
        <v>9</v>
      </c>
      <c r="W418" s="88">
        <f t="shared" si="315"/>
        <v>0</v>
      </c>
      <c r="X418" s="88">
        <f t="shared" si="316"/>
        <v>1</v>
      </c>
      <c r="Y418" s="88">
        <f t="shared" si="317"/>
        <v>1</v>
      </c>
      <c r="Z418" s="89">
        <f t="shared" ref="Z418:Z481" si="320">W418+X418+Y418</f>
        <v>2</v>
      </c>
      <c r="AA418" s="17" t="str">
        <f>_xlfn.TEXTJOIN(", ",TRUE,ABS(MID(C418,{1,1,2},1)-MID(C418,{2,3,3},1)))</f>
        <v>0, 1, 1</v>
      </c>
      <c r="AB418" s="90">
        <v>0</v>
      </c>
      <c r="AC418" s="90">
        <v>1</v>
      </c>
      <c r="AD418" s="90">
        <v>2</v>
      </c>
      <c r="AE418" s="90">
        <v>3</v>
      </c>
      <c r="AF418" s="90">
        <v>4</v>
      </c>
      <c r="AG418" s="90">
        <v>5</v>
      </c>
      <c r="AH418" s="90">
        <v>6</v>
      </c>
      <c r="AI418" s="90">
        <v>7</v>
      </c>
      <c r="AJ418" s="90">
        <v>8</v>
      </c>
      <c r="AK418" s="90">
        <v>9</v>
      </c>
      <c r="AL418" s="91">
        <v>0</v>
      </c>
      <c r="AM418" s="91">
        <v>1</v>
      </c>
      <c r="AN418" s="91">
        <v>2</v>
      </c>
      <c r="AO418" s="91">
        <v>3</v>
      </c>
      <c r="AP418" s="91">
        <v>4</v>
      </c>
      <c r="AQ418" s="91">
        <v>5</v>
      </c>
      <c r="AR418" s="91">
        <v>6</v>
      </c>
      <c r="AS418" s="91">
        <v>7</v>
      </c>
      <c r="AT418" s="91">
        <v>8</v>
      </c>
      <c r="AU418" s="91">
        <v>9</v>
      </c>
      <c r="AV418" s="92">
        <v>0</v>
      </c>
      <c r="AW418" s="92">
        <v>1</v>
      </c>
      <c r="AX418" s="92">
        <v>2</v>
      </c>
      <c r="AY418" s="92">
        <v>3</v>
      </c>
      <c r="AZ418" s="92">
        <v>4</v>
      </c>
      <c r="BA418" s="92">
        <v>5</v>
      </c>
      <c r="BB418" s="92">
        <v>6</v>
      </c>
      <c r="BC418" s="92">
        <v>7</v>
      </c>
      <c r="BD418" s="92">
        <v>8</v>
      </c>
      <c r="BE418" s="92">
        <v>9</v>
      </c>
      <c r="BF418" s="93">
        <v>0</v>
      </c>
      <c r="BG418" s="93">
        <v>1</v>
      </c>
      <c r="BH418" s="93">
        <v>2</v>
      </c>
      <c r="BI418" s="93">
        <v>3</v>
      </c>
      <c r="BJ418" s="93">
        <v>4</v>
      </c>
      <c r="BK418" s="93">
        <v>5</v>
      </c>
      <c r="BL418" s="93">
        <v>6</v>
      </c>
      <c r="BM418" s="93">
        <v>7</v>
      </c>
      <c r="BN418" s="93">
        <v>8</v>
      </c>
      <c r="BO418" s="93">
        <v>9</v>
      </c>
      <c r="BP418" s="94" t="str">
        <f t="shared" ref="BP418:BP481" si="321">IF(AND(BQ418&lt;=1,BR418&lt;=4),"紧凑型",IF(OR(BQ418&gt;=3,BR418&gt;=6),"松散型",IF(AND(BQ418&gt;=1,BR418&lt;=5),"标准型","对子")))</f>
        <v>紧凑型</v>
      </c>
      <c r="BQ418" s="15">
        <f t="shared" si="318"/>
        <v>0</v>
      </c>
      <c r="BR418" s="15">
        <f t="shared" si="319"/>
        <v>1</v>
      </c>
      <c r="BS418" s="20" t="str">
        <f t="shared" si="287"/>
        <v/>
      </c>
      <c r="BT418" s="21">
        <f t="shared" si="288"/>
        <v>0</v>
      </c>
      <c r="BU418" s="21" t="str">
        <f t="array" ref="BU418">_xlfn.TEXTJOIN("",TRUE,IF(ISERROR(FIND(ROW($1:$168)-1,BS418&amp;BT418)),ROW($1:$168)-1,""))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18" s="22" t="str">
        <f t="shared" si="289"/>
        <v>中隔中</v>
      </c>
      <c r="BW418" s="23">
        <f t="shared" si="300"/>
        <v>1</v>
      </c>
      <c r="BX418" s="23" t="str">
        <f t="shared" si="298"/>
        <v/>
      </c>
      <c r="BY418" s="23" t="str">
        <f t="array" ref="BY418">_xlfn.TEXTJOIN("",TRUE,IF(ISERROR(FIND(ROW($1:$168)-1,BW418&amp;BX418)),ROW($1:$168)-1,""))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18" s="22" t="str">
        <f t="shared" si="290"/>
        <v>复中中</v>
      </c>
      <c r="CA418" s="24">
        <f t="shared" si="291"/>
        <v>1</v>
      </c>
      <c r="CB418" s="24" t="str">
        <f t="shared" si="299"/>
        <v/>
      </c>
      <c r="CC418" s="24" t="str">
        <f t="array" ref="CC418">_xlfn.TEXTJOIN("",TRUE,IF(ISERROR(FIND(ROW($1:$168)-1,CA418&amp;CB418)),ROW($1:$168)-1,""))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18" s="22" t="str">
        <f t="shared" si="292"/>
        <v>复中中</v>
      </c>
      <c r="CE418" s="25" t="str">
        <f t="shared" ref="CE418:CE481" si="322">IF(W418=0,9,W418-1)&amp;""&amp;IF(W418=9,0,W418+1)</f>
        <v>91</v>
      </c>
      <c r="CF418" s="26" t="str">
        <f t="array" ref="CF418">_xlfn.TEXTJOIN("",TRUE,IF(ISNUMBER(FIND(MID(CE417&amp;W417,ROW($1:$162),1),CE418&amp;W418)),MID(CE417&amp;W417,ROW($1:$162),1),""))</f>
        <v/>
      </c>
      <c r="CG418" s="27" t="str">
        <f t="array" ref="CG418">_xlfn.TEXTJOIN("",TRUE,IF(ISERROR(FIND(ROW($1:$168)-1,CE418&amp;CF418)),ROW($1:$168)-1,""))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418" s="28" t="str">
        <f t="shared" si="293"/>
        <v>邻孤孤</v>
      </c>
      <c r="CI418" s="29" t="str">
        <f t="shared" si="294"/>
        <v>02</v>
      </c>
      <c r="CJ418" s="29" t="str">
        <f t="array" ref="CJ418">_xlfn.TEXTJOIN("",TRUE,IF(ISNUMBER(FIND(MID(CI417&amp;X417,ROW($1:$162),1),CI418&amp;X418)),MID(CI417&amp;X417,ROW($1:$162),1),""))</f>
        <v>021</v>
      </c>
      <c r="CK418" s="29" t="str">
        <f t="array" ref="CK418">_xlfn.TEXTJOIN("",TRUE,IF(ISERROR(FIND(ROW($1:$168)-1,CI418&amp;CJ418)),ROW($1:$168)-1,""))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18" s="19" t="str">
        <f t="shared" si="295"/>
        <v>邻传孤</v>
      </c>
      <c r="CM418" s="24" t="str">
        <f t="shared" si="296"/>
        <v>02</v>
      </c>
      <c r="CN418" s="24" t="str">
        <f t="array" ref="CN418">_xlfn.TEXTJOIN("",TRUE,IF(ISNUMBER(FIND(MID(CM417&amp;Y417,ROW($1:$162),1),CM418&amp;Y418)),MID(CM417&amp;Y417,ROW($1:$162),1),""))</f>
        <v/>
      </c>
      <c r="CO418" s="24" t="str">
        <f t="array" ref="CO418">_xlfn.TEXTJOIN("",TRUE,IF(ISERROR(FIND(ROW($1:$168)-1,CM418&amp;CN418)),ROW($1:$168)-1,""))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18" s="30" t="str">
        <f t="shared" si="297"/>
        <v>邻孤孤</v>
      </c>
    </row>
    <row r="419" spans="1:94">
      <c r="A419" s="15">
        <v>419</v>
      </c>
      <c r="B419" s="80">
        <v>2025036</v>
      </c>
      <c r="C419" s="8" t="s">
        <v>123</v>
      </c>
      <c r="D419" s="81">
        <f t="shared" si="313"/>
        <v>14</v>
      </c>
      <c r="E419" s="82">
        <f t="shared" si="314"/>
        <v>4</v>
      </c>
      <c r="F419" s="83">
        <f t="shared" si="306"/>
        <v>2.33333333333333</v>
      </c>
      <c r="G419" s="84" t="str">
        <f t="shared" si="307"/>
        <v>标准</v>
      </c>
      <c r="H419" s="85" t="s">
        <v>10</v>
      </c>
      <c r="I419" s="85" t="s">
        <v>11</v>
      </c>
      <c r="J419" s="85" t="s">
        <v>12</v>
      </c>
      <c r="K419" s="85" t="s">
        <v>13</v>
      </c>
      <c r="L419" s="86">
        <f>MAX(MID(C419,{1,2,3},1)*1)-MIN(MID(C419,{1,2,3},1)*1)</f>
        <v>6</v>
      </c>
      <c r="M419" s="87">
        <v>0</v>
      </c>
      <c r="N419" s="87">
        <v>1</v>
      </c>
      <c r="O419" s="87">
        <v>2</v>
      </c>
      <c r="P419" s="87">
        <v>3</v>
      </c>
      <c r="Q419" s="87">
        <v>4</v>
      </c>
      <c r="R419" s="87">
        <v>5</v>
      </c>
      <c r="S419" s="87">
        <v>6</v>
      </c>
      <c r="T419" s="87">
        <v>7</v>
      </c>
      <c r="U419" s="87">
        <v>8</v>
      </c>
      <c r="V419" s="87">
        <v>9</v>
      </c>
      <c r="W419" s="88">
        <f t="shared" si="315"/>
        <v>5</v>
      </c>
      <c r="X419" s="88">
        <f t="shared" si="316"/>
        <v>1</v>
      </c>
      <c r="Y419" s="88">
        <f t="shared" si="317"/>
        <v>6</v>
      </c>
      <c r="Z419" s="89">
        <f t="shared" si="320"/>
        <v>12</v>
      </c>
      <c r="AA419" s="17" t="str">
        <f>_xlfn.TEXTJOIN(", ",TRUE,ABS(MID(C419,{1,1,2},1)-MID(C419,{2,3,3},1)))</f>
        <v>5, 1, 6</v>
      </c>
      <c r="AB419" s="90">
        <v>0</v>
      </c>
      <c r="AC419" s="90">
        <v>1</v>
      </c>
      <c r="AD419" s="90">
        <v>2</v>
      </c>
      <c r="AE419" s="90">
        <v>3</v>
      </c>
      <c r="AF419" s="90">
        <v>4</v>
      </c>
      <c r="AG419" s="90">
        <v>5</v>
      </c>
      <c r="AH419" s="90">
        <v>6</v>
      </c>
      <c r="AI419" s="90">
        <v>7</v>
      </c>
      <c r="AJ419" s="90">
        <v>8</v>
      </c>
      <c r="AK419" s="90">
        <v>9</v>
      </c>
      <c r="AL419" s="91">
        <v>0</v>
      </c>
      <c r="AM419" s="91">
        <v>1</v>
      </c>
      <c r="AN419" s="91">
        <v>2</v>
      </c>
      <c r="AO419" s="91">
        <v>3</v>
      </c>
      <c r="AP419" s="91">
        <v>4</v>
      </c>
      <c r="AQ419" s="91">
        <v>5</v>
      </c>
      <c r="AR419" s="91">
        <v>6</v>
      </c>
      <c r="AS419" s="91">
        <v>7</v>
      </c>
      <c r="AT419" s="91">
        <v>8</v>
      </c>
      <c r="AU419" s="91">
        <v>9</v>
      </c>
      <c r="AV419" s="92">
        <v>0</v>
      </c>
      <c r="AW419" s="92">
        <v>1</v>
      </c>
      <c r="AX419" s="92">
        <v>2</v>
      </c>
      <c r="AY419" s="92">
        <v>3</v>
      </c>
      <c r="AZ419" s="92">
        <v>4</v>
      </c>
      <c r="BA419" s="92">
        <v>5</v>
      </c>
      <c r="BB419" s="92">
        <v>6</v>
      </c>
      <c r="BC419" s="92">
        <v>7</v>
      </c>
      <c r="BD419" s="92">
        <v>8</v>
      </c>
      <c r="BE419" s="92">
        <v>9</v>
      </c>
      <c r="BF419" s="93">
        <v>0</v>
      </c>
      <c r="BG419" s="93">
        <v>1</v>
      </c>
      <c r="BH419" s="93">
        <v>2</v>
      </c>
      <c r="BI419" s="93">
        <v>3</v>
      </c>
      <c r="BJ419" s="93">
        <v>4</v>
      </c>
      <c r="BK419" s="93">
        <v>5</v>
      </c>
      <c r="BL419" s="93">
        <v>6</v>
      </c>
      <c r="BM419" s="93">
        <v>7</v>
      </c>
      <c r="BN419" s="93">
        <v>8</v>
      </c>
      <c r="BO419" s="93">
        <v>9</v>
      </c>
      <c r="BP419" s="94" t="str">
        <f t="shared" si="321"/>
        <v>松散型</v>
      </c>
      <c r="BQ419" s="15">
        <f t="shared" si="318"/>
        <v>1</v>
      </c>
      <c r="BR419" s="15">
        <f t="shared" si="319"/>
        <v>6</v>
      </c>
      <c r="BS419" s="20" t="str">
        <f t="shared" ref="BS419:BS482" si="323">IF(COUNTIF($W418:$Y418,W419)&gt;0,W419,"")</f>
        <v/>
      </c>
      <c r="BT419" s="21">
        <f t="shared" ref="BT419:BT482" si="324">IF(COUNTIF($W417:$Y417,W419)&gt;0,W419,"")</f>
        <v>5</v>
      </c>
      <c r="BU419" s="21" t="str">
        <f t="array" ref="BU419">_xlfn.TEXTJOIN("",TRUE,IF(ISERROR(FIND(ROW($1:$168)-1,BS419&amp;BT419)),ROW($1:$168)-1,""))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19" s="22" t="str">
        <f t="shared" ref="BV419:BV482" si="325">IF(BS419&lt;&gt;"","复","中")&amp;IF(BT419&lt;&gt;"","隔","中")&amp;"中"</f>
        <v>中隔中</v>
      </c>
      <c r="BW419" s="23">
        <f t="shared" si="300"/>
        <v>1</v>
      </c>
      <c r="BX419" s="23">
        <f t="shared" si="298"/>
        <v>1</v>
      </c>
      <c r="BY419" s="23" t="str">
        <f t="array" ref="BY419">_xlfn.TEXTJOIN("",TRUE,IF(ISERROR(FIND(ROW($1:$168)-1,BW419&amp;BX419)),ROW($1:$168)-1,""))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19" s="22" t="str">
        <f t="shared" ref="BZ419:BZ482" si="326">IF(BW419&lt;&gt;"","复","中")&amp;IF(BX419&lt;&gt;"","隔","中")&amp;"中"</f>
        <v>复隔中</v>
      </c>
      <c r="CA419" s="24" t="str">
        <f t="shared" ref="CA419:CA482" si="327">IF(COUNTIF($W418:$Y418,Y419)&gt;0,Y419,"")</f>
        <v/>
      </c>
      <c r="CB419" s="24" t="str">
        <f t="shared" si="299"/>
        <v/>
      </c>
      <c r="CC419" s="24" t="str">
        <f t="array" ref="CC419">_xlfn.TEXTJOIN("",TRUE,IF(ISERROR(FIND(ROW($1:$168)-1,CA419&amp;CB419)),ROW($1:$168)-1,""))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19" s="22" t="str">
        <f t="shared" ref="CD419:CD482" si="328">IF(CA419&lt;&gt;"","复","中")&amp;IF(CB419&lt;&gt;"","隔","中")&amp;"中"</f>
        <v>中中中</v>
      </c>
      <c r="CE419" s="25" t="str">
        <f t="shared" si="322"/>
        <v>46</v>
      </c>
      <c r="CF419" s="26" t="str">
        <f t="array" ref="CF419">_xlfn.TEXTJOIN("",TRUE,IF(ISNUMBER(FIND(MID(CE418&amp;W418,ROW($1:$162),1),CE419&amp;W419)),MID(CE418&amp;W418,ROW($1:$162),1),""))</f>
        <v/>
      </c>
      <c r="CG419" s="27" t="str">
        <f t="array" ref="CG419">_xlfn.TEXTJOIN("",TRUE,IF(ISERROR(FIND(ROW($1:$168)-1,CE419&amp;CF419)),ROW($1:$168)-1,""))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19" s="28" t="str">
        <f t="shared" ref="CH419:CH482" si="329">IF(CE419&lt;&gt;"","邻","孤")&amp;IF(CF419&lt;&gt;"","传","孤")&amp;"孤"</f>
        <v>邻孤孤</v>
      </c>
      <c r="CI419" s="29" t="str">
        <f t="shared" ref="CI419:CI482" si="330">IF(X419=0,9,X419-1)&amp;""&amp;IF(X419=9,0,X419+1)</f>
        <v>02</v>
      </c>
      <c r="CJ419" s="29" t="str">
        <f t="array" ref="CJ419">_xlfn.TEXTJOIN("",TRUE,IF(ISNUMBER(FIND(MID(CI418&amp;X418,ROW($1:$162),1),CI419&amp;X419)),MID(CI418&amp;X418,ROW($1:$162),1),""))</f>
        <v>021</v>
      </c>
      <c r="CK419" s="29" t="str">
        <f t="array" ref="CK419">_xlfn.TEXTJOIN("",TRUE,IF(ISERROR(FIND(ROW($1:$168)-1,CI419&amp;CJ419)),ROW($1:$168)-1,""))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19" s="19" t="str">
        <f t="shared" ref="CL419:CL482" si="331">IF(CI419&lt;&gt;"","邻","孤")&amp;IF(CJ419&lt;&gt;"","传","孤")&amp;"孤"</f>
        <v>邻传孤</v>
      </c>
      <c r="CM419" s="24" t="str">
        <f t="shared" ref="CM419:CM482" si="332">IF(Y419=0,9,Y419-1)&amp;""&amp;IF(Y419=9,0,Y419+1)</f>
        <v>57</v>
      </c>
      <c r="CN419" s="24" t="str">
        <f t="array" ref="CN419">_xlfn.TEXTJOIN("",TRUE,IF(ISNUMBER(FIND(MID(CM418&amp;Y418,ROW($1:$162),1),CM419&amp;Y419)),MID(CM418&amp;Y418,ROW($1:$162),1),""))</f>
        <v/>
      </c>
      <c r="CO419" s="24" t="str">
        <f t="array" ref="CO419">_xlfn.TEXTJOIN("",TRUE,IF(ISERROR(FIND(ROW($1:$168)-1,CM419&amp;CN419)),ROW($1:$168)-1,""))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19" s="30" t="str">
        <f t="shared" ref="CP419:CP482" si="333">IF(CM419&lt;&gt;"","邻","孤")&amp;IF(CN419&lt;&gt;"","传","孤")&amp;"孤"</f>
        <v>邻孤孤</v>
      </c>
    </row>
    <row r="420" spans="1:94">
      <c r="A420" s="15">
        <v>420</v>
      </c>
      <c r="B420" s="80">
        <v>2025037</v>
      </c>
      <c r="C420" s="8" t="s">
        <v>366</v>
      </c>
      <c r="D420" s="81">
        <f t="shared" si="313"/>
        <v>5</v>
      </c>
      <c r="E420" s="82">
        <f t="shared" si="314"/>
        <v>5</v>
      </c>
      <c r="F420" s="83">
        <f t="shared" si="306"/>
        <v>2.5</v>
      </c>
      <c r="G420" s="84" t="str">
        <f t="shared" si="307"/>
        <v>标准</v>
      </c>
      <c r="H420" s="85" t="s">
        <v>10</v>
      </c>
      <c r="I420" s="85" t="s">
        <v>11</v>
      </c>
      <c r="J420" s="85" t="s">
        <v>12</v>
      </c>
      <c r="K420" s="85" t="s">
        <v>13</v>
      </c>
      <c r="L420" s="86">
        <f>MAX(MID(C420,{1,2,3},1)*1)-MIN(MID(C420,{1,2,3},1)*1)</f>
        <v>2</v>
      </c>
      <c r="M420" s="87">
        <v>0</v>
      </c>
      <c r="N420" s="87">
        <v>1</v>
      </c>
      <c r="O420" s="87">
        <v>2</v>
      </c>
      <c r="P420" s="87">
        <v>3</v>
      </c>
      <c r="Q420" s="87">
        <v>4</v>
      </c>
      <c r="R420" s="87">
        <v>5</v>
      </c>
      <c r="S420" s="87">
        <v>6</v>
      </c>
      <c r="T420" s="87">
        <v>7</v>
      </c>
      <c r="U420" s="87">
        <v>8</v>
      </c>
      <c r="V420" s="87">
        <v>9</v>
      </c>
      <c r="W420" s="88">
        <f t="shared" si="315"/>
        <v>2</v>
      </c>
      <c r="X420" s="88">
        <f t="shared" si="316"/>
        <v>0</v>
      </c>
      <c r="Y420" s="88">
        <f t="shared" si="317"/>
        <v>2</v>
      </c>
      <c r="Z420" s="89">
        <f t="shared" si="320"/>
        <v>4</v>
      </c>
      <c r="AA420" s="17" t="str">
        <f>_xlfn.TEXTJOIN(", ",TRUE,ABS(MID(C420,{1,1,2},1)-MID(C420,{2,3,3},1)))</f>
        <v>2, 0, 2</v>
      </c>
      <c r="AB420" s="90">
        <v>0</v>
      </c>
      <c r="AC420" s="90">
        <v>1</v>
      </c>
      <c r="AD420" s="90">
        <v>2</v>
      </c>
      <c r="AE420" s="90">
        <v>3</v>
      </c>
      <c r="AF420" s="90">
        <v>4</v>
      </c>
      <c r="AG420" s="90">
        <v>5</v>
      </c>
      <c r="AH420" s="90">
        <v>6</v>
      </c>
      <c r="AI420" s="90">
        <v>7</v>
      </c>
      <c r="AJ420" s="90">
        <v>8</v>
      </c>
      <c r="AK420" s="90">
        <v>9</v>
      </c>
      <c r="AL420" s="91">
        <v>0</v>
      </c>
      <c r="AM420" s="91">
        <v>1</v>
      </c>
      <c r="AN420" s="91">
        <v>2</v>
      </c>
      <c r="AO420" s="91">
        <v>3</v>
      </c>
      <c r="AP420" s="91">
        <v>4</v>
      </c>
      <c r="AQ420" s="91">
        <v>5</v>
      </c>
      <c r="AR420" s="91">
        <v>6</v>
      </c>
      <c r="AS420" s="91">
        <v>7</v>
      </c>
      <c r="AT420" s="91">
        <v>8</v>
      </c>
      <c r="AU420" s="91">
        <v>9</v>
      </c>
      <c r="AV420" s="92">
        <v>0</v>
      </c>
      <c r="AW420" s="92">
        <v>1</v>
      </c>
      <c r="AX420" s="92">
        <v>2</v>
      </c>
      <c r="AY420" s="92">
        <v>3</v>
      </c>
      <c r="AZ420" s="92">
        <v>4</v>
      </c>
      <c r="BA420" s="92">
        <v>5</v>
      </c>
      <c r="BB420" s="92">
        <v>6</v>
      </c>
      <c r="BC420" s="92">
        <v>7</v>
      </c>
      <c r="BD420" s="92">
        <v>8</v>
      </c>
      <c r="BE420" s="92">
        <v>9</v>
      </c>
      <c r="BF420" s="93">
        <v>0</v>
      </c>
      <c r="BG420" s="93">
        <v>1</v>
      </c>
      <c r="BH420" s="93">
        <v>2</v>
      </c>
      <c r="BI420" s="93">
        <v>3</v>
      </c>
      <c r="BJ420" s="93">
        <v>4</v>
      </c>
      <c r="BK420" s="93">
        <v>5</v>
      </c>
      <c r="BL420" s="93">
        <v>6</v>
      </c>
      <c r="BM420" s="93">
        <v>7</v>
      </c>
      <c r="BN420" s="93">
        <v>8</v>
      </c>
      <c r="BO420" s="93">
        <v>9</v>
      </c>
      <c r="BP420" s="94" t="str">
        <f t="shared" si="321"/>
        <v>紧凑型</v>
      </c>
      <c r="BQ420" s="15">
        <f t="shared" si="318"/>
        <v>0</v>
      </c>
      <c r="BR420" s="15">
        <f t="shared" si="319"/>
        <v>2</v>
      </c>
      <c r="BS420" s="20" t="str">
        <f t="shared" si="323"/>
        <v/>
      </c>
      <c r="BT420" s="21" t="str">
        <f t="shared" si="324"/>
        <v/>
      </c>
      <c r="BU420" s="21" t="str">
        <f t="array" ref="BU420">_xlfn.TEXTJOIN("",TRUE,IF(ISERROR(FIND(ROW($1:$168)-1,BS420&amp;BT420)),ROW($1:$168)-1,""))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20" s="22" t="str">
        <f t="shared" si="325"/>
        <v>中中中</v>
      </c>
      <c r="BW420" s="23" t="str">
        <f t="shared" si="300"/>
        <v/>
      </c>
      <c r="BX420" s="23">
        <f t="shared" ref="BX420:BX483" si="334">IF(COUNTIF($W418:$Y418,X420)&gt;0,X420,"")</f>
        <v>0</v>
      </c>
      <c r="BY420" s="23" t="str">
        <f t="array" ref="BY420">_xlfn.TEXTJOIN("",TRUE,IF(ISERROR(FIND(ROW($1:$168)-1,BW420&amp;BX420)),ROW($1:$168)-1,""))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20" s="22" t="str">
        <f t="shared" si="326"/>
        <v>中隔中</v>
      </c>
      <c r="CA420" s="24" t="str">
        <f t="shared" si="327"/>
        <v/>
      </c>
      <c r="CB420" s="24" t="str">
        <f t="shared" ref="CB420:CB483" si="335">IF(COUNTIF($W418:$Y418,Y420)&gt;0,Y420,"")</f>
        <v/>
      </c>
      <c r="CC420" s="24" t="str">
        <f t="array" ref="CC420">_xlfn.TEXTJOIN("",TRUE,IF(ISERROR(FIND(ROW($1:$168)-1,CA420&amp;CB420)),ROW($1:$168)-1,""))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20" s="22" t="str">
        <f t="shared" si="328"/>
        <v>中中中</v>
      </c>
      <c r="CE420" s="25" t="str">
        <f t="shared" si="322"/>
        <v>13</v>
      </c>
      <c r="CF420" s="26" t="str">
        <f t="array" ref="CF420">_xlfn.TEXTJOIN("",TRUE,IF(ISNUMBER(FIND(MID(CE419&amp;W419,ROW($1:$162),1),CE420&amp;W420)),MID(CE419&amp;W419,ROW($1:$162),1),""))</f>
        <v/>
      </c>
      <c r="CG420" s="27" t="str">
        <f t="array" ref="CG420">_xlfn.TEXTJOIN("",TRUE,IF(ISERROR(FIND(ROW($1:$168)-1,CE420&amp;CF420)),ROW($1:$168)-1,""))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20" s="28" t="str">
        <f t="shared" si="329"/>
        <v>邻孤孤</v>
      </c>
      <c r="CI420" s="29" t="str">
        <f t="shared" si="330"/>
        <v>91</v>
      </c>
      <c r="CJ420" s="29" t="str">
        <f t="array" ref="CJ420">_xlfn.TEXTJOIN("",TRUE,IF(ISNUMBER(FIND(MID(CI419&amp;X419,ROW($1:$162),1),CI420&amp;X420)),MID(CI419&amp;X419,ROW($1:$162),1),""))</f>
        <v>01</v>
      </c>
      <c r="CK420" s="29" t="str">
        <f t="array" ref="CK420">_xlfn.TEXTJOIN("",TRUE,IF(ISERROR(FIND(ROW($1:$168)-1,CI420&amp;CJ420)),ROW($1:$168)-1,""))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L420" s="19" t="str">
        <f t="shared" si="331"/>
        <v>邻传孤</v>
      </c>
      <c r="CM420" s="24" t="str">
        <f t="shared" si="332"/>
        <v>13</v>
      </c>
      <c r="CN420" s="24" t="str">
        <f t="array" ref="CN420">_xlfn.TEXTJOIN("",TRUE,IF(ISNUMBER(FIND(MID(CM419&amp;Y419,ROW($1:$162),1),CM420&amp;Y420)),MID(CM419&amp;Y419,ROW($1:$162),1),""))</f>
        <v/>
      </c>
      <c r="CO420" s="24" t="str">
        <f t="array" ref="CO420">_xlfn.TEXTJOIN("",TRUE,IF(ISERROR(FIND(ROW($1:$168)-1,CM420&amp;CN420)),ROW($1:$168)-1,""))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20" s="30" t="str">
        <f t="shared" si="333"/>
        <v>邻孤孤</v>
      </c>
    </row>
    <row r="421" spans="1:94">
      <c r="A421" s="15">
        <v>421</v>
      </c>
      <c r="B421" s="80">
        <v>2025038</v>
      </c>
      <c r="C421" s="8" t="s">
        <v>45</v>
      </c>
      <c r="D421" s="81">
        <f t="shared" si="313"/>
        <v>19</v>
      </c>
      <c r="E421" s="82">
        <f t="shared" si="314"/>
        <v>9</v>
      </c>
      <c r="F421" s="83">
        <f t="shared" si="306"/>
        <v>4.75</v>
      </c>
      <c r="G421" s="84" t="str">
        <f t="shared" si="307"/>
        <v>紧凑</v>
      </c>
      <c r="H421" s="85" t="s">
        <v>10</v>
      </c>
      <c r="I421" s="85" t="s">
        <v>11</v>
      </c>
      <c r="J421" s="85" t="s">
        <v>12</v>
      </c>
      <c r="K421" s="85" t="s">
        <v>13</v>
      </c>
      <c r="L421" s="86">
        <f>MAX(MID(C421,{1,2,3},1)*1)-MIN(MID(C421,{1,2,3},1)*1)</f>
        <v>4</v>
      </c>
      <c r="M421" s="87">
        <v>0</v>
      </c>
      <c r="N421" s="87">
        <v>1</v>
      </c>
      <c r="O421" s="87">
        <v>2</v>
      </c>
      <c r="P421" s="87">
        <v>3</v>
      </c>
      <c r="Q421" s="87">
        <v>4</v>
      </c>
      <c r="R421" s="87">
        <v>5</v>
      </c>
      <c r="S421" s="87">
        <v>6</v>
      </c>
      <c r="T421" s="87">
        <v>7</v>
      </c>
      <c r="U421" s="87">
        <v>8</v>
      </c>
      <c r="V421" s="87">
        <v>9</v>
      </c>
      <c r="W421" s="88">
        <f t="shared" si="315"/>
        <v>4</v>
      </c>
      <c r="X421" s="88">
        <f t="shared" si="316"/>
        <v>1</v>
      </c>
      <c r="Y421" s="88">
        <f t="shared" si="317"/>
        <v>3</v>
      </c>
      <c r="Z421" s="89">
        <f t="shared" si="320"/>
        <v>8</v>
      </c>
      <c r="AA421" s="17" t="str">
        <f>_xlfn.TEXTJOIN(", ",TRUE,ABS(MID(C421,{1,1,2},1)-MID(C421,{2,3,3},1)))</f>
        <v>4, 1, 3</v>
      </c>
      <c r="AB421" s="90">
        <v>0</v>
      </c>
      <c r="AC421" s="90">
        <v>1</v>
      </c>
      <c r="AD421" s="90">
        <v>2</v>
      </c>
      <c r="AE421" s="90">
        <v>3</v>
      </c>
      <c r="AF421" s="90">
        <v>4</v>
      </c>
      <c r="AG421" s="90">
        <v>5</v>
      </c>
      <c r="AH421" s="90">
        <v>6</v>
      </c>
      <c r="AI421" s="90">
        <v>7</v>
      </c>
      <c r="AJ421" s="90">
        <v>8</v>
      </c>
      <c r="AK421" s="90">
        <v>9</v>
      </c>
      <c r="AL421" s="91">
        <v>0</v>
      </c>
      <c r="AM421" s="91">
        <v>1</v>
      </c>
      <c r="AN421" s="91">
        <v>2</v>
      </c>
      <c r="AO421" s="91">
        <v>3</v>
      </c>
      <c r="AP421" s="91">
        <v>4</v>
      </c>
      <c r="AQ421" s="91">
        <v>5</v>
      </c>
      <c r="AR421" s="91">
        <v>6</v>
      </c>
      <c r="AS421" s="91">
        <v>7</v>
      </c>
      <c r="AT421" s="91">
        <v>8</v>
      </c>
      <c r="AU421" s="91">
        <v>9</v>
      </c>
      <c r="AV421" s="92">
        <v>0</v>
      </c>
      <c r="AW421" s="92">
        <v>1</v>
      </c>
      <c r="AX421" s="92">
        <v>2</v>
      </c>
      <c r="AY421" s="92">
        <v>3</v>
      </c>
      <c r="AZ421" s="92">
        <v>4</v>
      </c>
      <c r="BA421" s="92">
        <v>5</v>
      </c>
      <c r="BB421" s="92">
        <v>6</v>
      </c>
      <c r="BC421" s="92">
        <v>7</v>
      </c>
      <c r="BD421" s="92">
        <v>8</v>
      </c>
      <c r="BE421" s="92">
        <v>9</v>
      </c>
      <c r="BF421" s="93">
        <v>0</v>
      </c>
      <c r="BG421" s="93">
        <v>1</v>
      </c>
      <c r="BH421" s="93">
        <v>2</v>
      </c>
      <c r="BI421" s="93">
        <v>3</v>
      </c>
      <c r="BJ421" s="93">
        <v>4</v>
      </c>
      <c r="BK421" s="93">
        <v>5</v>
      </c>
      <c r="BL421" s="93">
        <v>6</v>
      </c>
      <c r="BM421" s="93">
        <v>7</v>
      </c>
      <c r="BN421" s="93">
        <v>8</v>
      </c>
      <c r="BO421" s="93">
        <v>9</v>
      </c>
      <c r="BP421" s="94" t="str">
        <f t="shared" si="321"/>
        <v>紧凑型</v>
      </c>
      <c r="BQ421" s="15">
        <f t="shared" si="318"/>
        <v>1</v>
      </c>
      <c r="BR421" s="15">
        <f t="shared" si="319"/>
        <v>4</v>
      </c>
      <c r="BS421" s="20" t="str">
        <f t="shared" si="323"/>
        <v/>
      </c>
      <c r="BT421" s="21" t="str">
        <f t="shared" si="324"/>
        <v/>
      </c>
      <c r="BU421" s="21" t="str">
        <f t="array" ref="BU421">_xlfn.TEXTJOIN("",TRUE,IF(ISERROR(FIND(ROW($1:$168)-1,BS421&amp;BT421)),ROW($1:$168)-1,""))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21" s="22" t="str">
        <f t="shared" si="325"/>
        <v>中中中</v>
      </c>
      <c r="BW421" s="23" t="str">
        <f t="shared" si="300"/>
        <v/>
      </c>
      <c r="BX421" s="23">
        <f t="shared" si="334"/>
        <v>1</v>
      </c>
      <c r="BY421" s="23" t="str">
        <f t="array" ref="BY421">_xlfn.TEXTJOIN("",TRUE,IF(ISERROR(FIND(ROW($1:$168)-1,BW421&amp;BX421)),ROW($1:$168)-1,""))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21" s="22" t="str">
        <f t="shared" si="326"/>
        <v>中隔中</v>
      </c>
      <c r="CA421" s="24" t="str">
        <f t="shared" si="327"/>
        <v/>
      </c>
      <c r="CB421" s="24" t="str">
        <f t="shared" si="335"/>
        <v/>
      </c>
      <c r="CC421" s="24" t="str">
        <f t="array" ref="CC421">_xlfn.TEXTJOIN("",TRUE,IF(ISERROR(FIND(ROW($1:$168)-1,CA421&amp;CB421)),ROW($1:$168)-1,""))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21" s="22" t="str">
        <f t="shared" si="328"/>
        <v>中中中</v>
      </c>
      <c r="CE421" s="25" t="str">
        <f t="shared" si="322"/>
        <v>35</v>
      </c>
      <c r="CF421" s="26" t="str">
        <f t="array" ref="CF421">_xlfn.TEXTJOIN("",TRUE,IF(ISNUMBER(FIND(MID(CE420&amp;W420,ROW($1:$162),1),CE421&amp;W421)),MID(CE420&amp;W420,ROW($1:$162),1),""))</f>
        <v>3</v>
      </c>
      <c r="CG421" s="27" t="str">
        <f t="array" ref="CG421">_xlfn.TEXTJOIN("",TRUE,IF(ISERROR(FIND(ROW($1:$168)-1,CE421&amp;CF421)),ROW($1:$168)-1,""))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21" s="28" t="str">
        <f t="shared" si="329"/>
        <v>邻传孤</v>
      </c>
      <c r="CI421" s="29" t="str">
        <f t="shared" si="330"/>
        <v>02</v>
      </c>
      <c r="CJ421" s="29" t="str">
        <f t="array" ref="CJ421">_xlfn.TEXTJOIN("",TRUE,IF(ISNUMBER(FIND(MID(CI420&amp;X420,ROW($1:$162),1),CI421&amp;X421)),MID(CI420&amp;X420,ROW($1:$162),1),""))</f>
        <v>10</v>
      </c>
      <c r="CK421" s="29" t="str">
        <f t="array" ref="CK421">_xlfn.TEXTJOIN("",TRUE,IF(ISERROR(FIND(ROW($1:$168)-1,CI421&amp;CJ421)),ROW($1:$168)-1,""))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21" s="19" t="str">
        <f t="shared" si="331"/>
        <v>邻传孤</v>
      </c>
      <c r="CM421" s="24" t="str">
        <f t="shared" si="332"/>
        <v>24</v>
      </c>
      <c r="CN421" s="24" t="str">
        <f t="array" ref="CN421">_xlfn.TEXTJOIN("",TRUE,IF(ISNUMBER(FIND(MID(CM420&amp;Y420,ROW($1:$162),1),CM421&amp;Y421)),MID(CM420&amp;Y420,ROW($1:$162),1),""))</f>
        <v>32</v>
      </c>
      <c r="CO421" s="24" t="str">
        <f t="array" ref="CO421">_xlfn.TEXTJOIN("",TRUE,IF(ISERROR(FIND(ROW($1:$168)-1,CM421&amp;CN421)),ROW($1:$168)-1,""))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21" s="30" t="str">
        <f t="shared" si="333"/>
        <v>邻传孤</v>
      </c>
    </row>
    <row r="422" spans="1:94">
      <c r="A422" s="15">
        <v>422</v>
      </c>
      <c r="B422" s="80">
        <v>2025039</v>
      </c>
      <c r="C422" s="8" t="s">
        <v>367</v>
      </c>
      <c r="D422" s="81">
        <f t="shared" si="313"/>
        <v>14</v>
      </c>
      <c r="E422" s="82">
        <f t="shared" si="314"/>
        <v>4</v>
      </c>
      <c r="F422" s="83">
        <f t="shared" si="306"/>
        <v>2</v>
      </c>
      <c r="G422" s="84" t="str">
        <f t="shared" si="307"/>
        <v>标准</v>
      </c>
      <c r="H422" s="85" t="s">
        <v>10</v>
      </c>
      <c r="I422" s="85" t="s">
        <v>11</v>
      </c>
      <c r="J422" s="85" t="s">
        <v>12</v>
      </c>
      <c r="K422" s="85" t="s">
        <v>13</v>
      </c>
      <c r="L422" s="86">
        <f>MAX(MID(C422,{1,2,3},1)*1)-MIN(MID(C422,{1,2,3},1)*1)</f>
        <v>7</v>
      </c>
      <c r="M422" s="87">
        <v>0</v>
      </c>
      <c r="N422" s="87">
        <v>1</v>
      </c>
      <c r="O422" s="87">
        <v>2</v>
      </c>
      <c r="P422" s="87">
        <v>3</v>
      </c>
      <c r="Q422" s="87">
        <v>4</v>
      </c>
      <c r="R422" s="87">
        <v>5</v>
      </c>
      <c r="S422" s="87">
        <v>6</v>
      </c>
      <c r="T422" s="87">
        <v>7</v>
      </c>
      <c r="U422" s="87">
        <v>8</v>
      </c>
      <c r="V422" s="87">
        <v>9</v>
      </c>
      <c r="W422" s="88">
        <f t="shared" si="315"/>
        <v>6</v>
      </c>
      <c r="X422" s="88">
        <f t="shared" si="316"/>
        <v>7</v>
      </c>
      <c r="Y422" s="88">
        <f t="shared" si="317"/>
        <v>1</v>
      </c>
      <c r="Z422" s="89">
        <f t="shared" si="320"/>
        <v>14</v>
      </c>
      <c r="AA422" s="17" t="str">
        <f>_xlfn.TEXTJOIN(", ",TRUE,ABS(MID(C422,{1,1,2},1)-MID(C422,{2,3,3},1)))</f>
        <v>6, 7, 1</v>
      </c>
      <c r="AB422" s="90">
        <v>0</v>
      </c>
      <c r="AC422" s="90">
        <v>1</v>
      </c>
      <c r="AD422" s="90">
        <v>2</v>
      </c>
      <c r="AE422" s="90">
        <v>3</v>
      </c>
      <c r="AF422" s="90">
        <v>4</v>
      </c>
      <c r="AG422" s="90">
        <v>5</v>
      </c>
      <c r="AH422" s="90">
        <v>6</v>
      </c>
      <c r="AI422" s="90">
        <v>7</v>
      </c>
      <c r="AJ422" s="90">
        <v>8</v>
      </c>
      <c r="AK422" s="90">
        <v>9</v>
      </c>
      <c r="AL422" s="91">
        <v>0</v>
      </c>
      <c r="AM422" s="91">
        <v>1</v>
      </c>
      <c r="AN422" s="91">
        <v>2</v>
      </c>
      <c r="AO422" s="91">
        <v>3</v>
      </c>
      <c r="AP422" s="91">
        <v>4</v>
      </c>
      <c r="AQ422" s="91">
        <v>5</v>
      </c>
      <c r="AR422" s="91">
        <v>6</v>
      </c>
      <c r="AS422" s="91">
        <v>7</v>
      </c>
      <c r="AT422" s="91">
        <v>8</v>
      </c>
      <c r="AU422" s="91">
        <v>9</v>
      </c>
      <c r="AV422" s="92">
        <v>0</v>
      </c>
      <c r="AW422" s="92">
        <v>1</v>
      </c>
      <c r="AX422" s="92">
        <v>2</v>
      </c>
      <c r="AY422" s="92">
        <v>3</v>
      </c>
      <c r="AZ422" s="92">
        <v>4</v>
      </c>
      <c r="BA422" s="92">
        <v>5</v>
      </c>
      <c r="BB422" s="92">
        <v>6</v>
      </c>
      <c r="BC422" s="92">
        <v>7</v>
      </c>
      <c r="BD422" s="92">
        <v>8</v>
      </c>
      <c r="BE422" s="92">
        <v>9</v>
      </c>
      <c r="BF422" s="93">
        <v>0</v>
      </c>
      <c r="BG422" s="93">
        <v>1</v>
      </c>
      <c r="BH422" s="93">
        <v>2</v>
      </c>
      <c r="BI422" s="93">
        <v>3</v>
      </c>
      <c r="BJ422" s="93">
        <v>4</v>
      </c>
      <c r="BK422" s="93">
        <v>5</v>
      </c>
      <c r="BL422" s="93">
        <v>6</v>
      </c>
      <c r="BM422" s="93">
        <v>7</v>
      </c>
      <c r="BN422" s="93">
        <v>8</v>
      </c>
      <c r="BO422" s="93">
        <v>9</v>
      </c>
      <c r="BP422" s="94" t="str">
        <f t="shared" si="321"/>
        <v>松散型</v>
      </c>
      <c r="BQ422" s="15">
        <f t="shared" si="318"/>
        <v>1</v>
      </c>
      <c r="BR422" s="15">
        <f t="shared" si="319"/>
        <v>7</v>
      </c>
      <c r="BS422" s="20" t="str">
        <f t="shared" si="323"/>
        <v/>
      </c>
      <c r="BT422" s="21" t="str">
        <f t="shared" si="324"/>
        <v/>
      </c>
      <c r="BU422" s="21" t="str">
        <f t="array" ref="BU422">_xlfn.TEXTJOIN("",TRUE,IF(ISERROR(FIND(ROW($1:$168)-1,BS422&amp;BT422)),ROW($1:$168)-1,""))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22" s="22" t="str">
        <f t="shared" si="325"/>
        <v>中中中</v>
      </c>
      <c r="BW422" s="23" t="str">
        <f t="shared" ref="BW422:BW485" si="336">IF(COUNTIF($W421:$Y421,X422)&gt;0,X422,"")</f>
        <v/>
      </c>
      <c r="BX422" s="23" t="str">
        <f t="shared" si="334"/>
        <v/>
      </c>
      <c r="BY422" s="23" t="str">
        <f t="array" ref="BY422">_xlfn.TEXTJOIN("",TRUE,IF(ISERROR(FIND(ROW($1:$168)-1,BW422&amp;BX422)),ROW($1:$168)-1,""))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22" s="22" t="str">
        <f t="shared" si="326"/>
        <v>中中中</v>
      </c>
      <c r="CA422" s="24">
        <f t="shared" si="327"/>
        <v>1</v>
      </c>
      <c r="CB422" s="24" t="str">
        <f t="shared" si="335"/>
        <v/>
      </c>
      <c r="CC422" s="24" t="str">
        <f t="array" ref="CC422">_xlfn.TEXTJOIN("",TRUE,IF(ISERROR(FIND(ROW($1:$168)-1,CA422&amp;CB422)),ROW($1:$168)-1,""))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22" s="22" t="str">
        <f t="shared" si="328"/>
        <v>复中中</v>
      </c>
      <c r="CE422" s="25" t="str">
        <f t="shared" si="322"/>
        <v>57</v>
      </c>
      <c r="CF422" s="26" t="str">
        <f t="array" ref="CF422">_xlfn.TEXTJOIN("",TRUE,IF(ISNUMBER(FIND(MID(CE421&amp;W421,ROW($1:$162),1),CE422&amp;W422)),MID(CE421&amp;W421,ROW($1:$162),1),""))</f>
        <v>5</v>
      </c>
      <c r="CG422" s="27" t="str">
        <f t="array" ref="CG422">_xlfn.TEXTJOIN("",TRUE,IF(ISERROR(FIND(ROW($1:$168)-1,CE422&amp;CF422)),ROW($1:$168)-1,""))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22" s="28" t="str">
        <f t="shared" si="329"/>
        <v>邻传孤</v>
      </c>
      <c r="CI422" s="29" t="str">
        <f t="shared" si="330"/>
        <v>68</v>
      </c>
      <c r="CJ422" s="29" t="str">
        <f t="array" ref="CJ422">_xlfn.TEXTJOIN("",TRUE,IF(ISNUMBER(FIND(MID(CI421&amp;X421,ROW($1:$162),1),CI422&amp;X422)),MID(CI421&amp;X421,ROW($1:$162),1),""))</f>
        <v/>
      </c>
      <c r="CK422" s="29" t="str">
        <f t="array" ref="CK422">_xlfn.TEXTJOIN("",TRUE,IF(ISERROR(FIND(ROW($1:$168)-1,CI422&amp;CJ422)),ROW($1:$168)-1,""))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22" s="19" t="str">
        <f t="shared" si="331"/>
        <v>邻孤孤</v>
      </c>
      <c r="CM422" s="24" t="str">
        <f t="shared" si="332"/>
        <v>02</v>
      </c>
      <c r="CN422" s="24" t="str">
        <f t="array" ref="CN422">_xlfn.TEXTJOIN("",TRUE,IF(ISNUMBER(FIND(MID(CM421&amp;Y421,ROW($1:$162),1),CM422&amp;Y422)),MID(CM421&amp;Y421,ROW($1:$162),1),""))</f>
        <v>2</v>
      </c>
      <c r="CO422" s="24" t="str">
        <f t="array" ref="CO422">_xlfn.TEXTJOIN("",TRUE,IF(ISERROR(FIND(ROW($1:$168)-1,CM422&amp;CN422)),ROW($1:$168)-1,""))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22" s="30" t="str">
        <f t="shared" si="333"/>
        <v>邻传孤</v>
      </c>
    </row>
    <row r="423" spans="1:94">
      <c r="A423" s="15">
        <v>423</v>
      </c>
      <c r="B423" s="80">
        <v>2025040</v>
      </c>
      <c r="C423" s="8" t="s">
        <v>368</v>
      </c>
      <c r="D423" s="81">
        <f t="shared" si="313"/>
        <v>14</v>
      </c>
      <c r="E423" s="82">
        <f t="shared" si="314"/>
        <v>4</v>
      </c>
      <c r="F423" s="83">
        <f t="shared" si="306"/>
        <v>2.33333333333333</v>
      </c>
      <c r="G423" s="84" t="str">
        <f t="shared" si="307"/>
        <v>标准</v>
      </c>
      <c r="H423" s="85" t="s">
        <v>10</v>
      </c>
      <c r="I423" s="85" t="s">
        <v>11</v>
      </c>
      <c r="J423" s="85" t="s">
        <v>12</v>
      </c>
      <c r="K423" s="85" t="s">
        <v>13</v>
      </c>
      <c r="L423" s="86">
        <f>MAX(MID(C423,{1,2,3},1)*1)-MIN(MID(C423,{1,2,3},1)*1)</f>
        <v>6</v>
      </c>
      <c r="M423" s="87">
        <v>0</v>
      </c>
      <c r="N423" s="87">
        <v>1</v>
      </c>
      <c r="O423" s="87">
        <v>2</v>
      </c>
      <c r="P423" s="87">
        <v>3</v>
      </c>
      <c r="Q423" s="87">
        <v>4</v>
      </c>
      <c r="R423" s="87">
        <v>5</v>
      </c>
      <c r="S423" s="87">
        <v>6</v>
      </c>
      <c r="T423" s="87">
        <v>7</v>
      </c>
      <c r="U423" s="87">
        <v>8</v>
      </c>
      <c r="V423" s="87">
        <v>9</v>
      </c>
      <c r="W423" s="88">
        <f t="shared" si="315"/>
        <v>2</v>
      </c>
      <c r="X423" s="88">
        <f t="shared" si="316"/>
        <v>4</v>
      </c>
      <c r="Y423" s="88">
        <f t="shared" si="317"/>
        <v>6</v>
      </c>
      <c r="Z423" s="89">
        <f t="shared" si="320"/>
        <v>12</v>
      </c>
      <c r="AA423" s="17" t="str">
        <f>_xlfn.TEXTJOIN(", ",TRUE,ABS(MID(C423,{1,1,2},1)-MID(C423,{2,3,3},1)))</f>
        <v>2, 4, 6</v>
      </c>
      <c r="AB423" s="90">
        <v>0</v>
      </c>
      <c r="AC423" s="90">
        <v>1</v>
      </c>
      <c r="AD423" s="90">
        <v>2</v>
      </c>
      <c r="AE423" s="90">
        <v>3</v>
      </c>
      <c r="AF423" s="90">
        <v>4</v>
      </c>
      <c r="AG423" s="90">
        <v>5</v>
      </c>
      <c r="AH423" s="90">
        <v>6</v>
      </c>
      <c r="AI423" s="90">
        <v>7</v>
      </c>
      <c r="AJ423" s="90">
        <v>8</v>
      </c>
      <c r="AK423" s="90">
        <v>9</v>
      </c>
      <c r="AL423" s="91">
        <v>0</v>
      </c>
      <c r="AM423" s="91">
        <v>1</v>
      </c>
      <c r="AN423" s="91">
        <v>2</v>
      </c>
      <c r="AO423" s="91">
        <v>3</v>
      </c>
      <c r="AP423" s="91">
        <v>4</v>
      </c>
      <c r="AQ423" s="91">
        <v>5</v>
      </c>
      <c r="AR423" s="91">
        <v>6</v>
      </c>
      <c r="AS423" s="91">
        <v>7</v>
      </c>
      <c r="AT423" s="91">
        <v>8</v>
      </c>
      <c r="AU423" s="91">
        <v>9</v>
      </c>
      <c r="AV423" s="92">
        <v>0</v>
      </c>
      <c r="AW423" s="92">
        <v>1</v>
      </c>
      <c r="AX423" s="92">
        <v>2</v>
      </c>
      <c r="AY423" s="92">
        <v>3</v>
      </c>
      <c r="AZ423" s="92">
        <v>4</v>
      </c>
      <c r="BA423" s="92">
        <v>5</v>
      </c>
      <c r="BB423" s="92">
        <v>6</v>
      </c>
      <c r="BC423" s="92">
        <v>7</v>
      </c>
      <c r="BD423" s="92">
        <v>8</v>
      </c>
      <c r="BE423" s="92">
        <v>9</v>
      </c>
      <c r="BF423" s="93">
        <v>0</v>
      </c>
      <c r="BG423" s="93">
        <v>1</v>
      </c>
      <c r="BH423" s="93">
        <v>2</v>
      </c>
      <c r="BI423" s="93">
        <v>3</v>
      </c>
      <c r="BJ423" s="93">
        <v>4</v>
      </c>
      <c r="BK423" s="93">
        <v>5</v>
      </c>
      <c r="BL423" s="93">
        <v>6</v>
      </c>
      <c r="BM423" s="93">
        <v>7</v>
      </c>
      <c r="BN423" s="93">
        <v>8</v>
      </c>
      <c r="BO423" s="93">
        <v>9</v>
      </c>
      <c r="BP423" s="94" t="str">
        <f t="shared" si="321"/>
        <v>松散型</v>
      </c>
      <c r="BQ423" s="15">
        <f t="shared" si="318"/>
        <v>2</v>
      </c>
      <c r="BR423" s="15">
        <f t="shared" si="319"/>
        <v>6</v>
      </c>
      <c r="BS423" s="20" t="str">
        <f t="shared" si="323"/>
        <v/>
      </c>
      <c r="BT423" s="21" t="str">
        <f t="shared" si="324"/>
        <v/>
      </c>
      <c r="BU423" s="21" t="str">
        <f t="array" ref="BU423">_xlfn.TEXTJOIN("",TRUE,IF(ISERROR(FIND(ROW($1:$168)-1,BS423&amp;BT423)),ROW($1:$168)-1,""))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23" s="22" t="str">
        <f t="shared" si="325"/>
        <v>中中中</v>
      </c>
      <c r="BW423" s="23" t="str">
        <f t="shared" si="336"/>
        <v/>
      </c>
      <c r="BX423" s="23">
        <f t="shared" si="334"/>
        <v>4</v>
      </c>
      <c r="BY423" s="23" t="str">
        <f t="array" ref="BY423">_xlfn.TEXTJOIN("",TRUE,IF(ISERROR(FIND(ROW($1:$168)-1,BW423&amp;BX423)),ROW($1:$168)-1,""))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23" s="22" t="str">
        <f t="shared" si="326"/>
        <v>中隔中</v>
      </c>
      <c r="CA423" s="24">
        <f t="shared" si="327"/>
        <v>6</v>
      </c>
      <c r="CB423" s="24" t="str">
        <f t="shared" si="335"/>
        <v/>
      </c>
      <c r="CC423" s="24" t="str">
        <f t="array" ref="CC423">_xlfn.TEXTJOIN("",TRUE,IF(ISERROR(FIND(ROW($1:$168)-1,CA423&amp;CB423)),ROW($1:$168)-1,""))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23" s="22" t="str">
        <f t="shared" si="328"/>
        <v>复中中</v>
      </c>
      <c r="CE423" s="25" t="str">
        <f t="shared" si="322"/>
        <v>13</v>
      </c>
      <c r="CF423" s="26" t="str">
        <f t="array" ref="CF423">_xlfn.TEXTJOIN("",TRUE,IF(ISNUMBER(FIND(MID(CE422&amp;W422,ROW($1:$162),1),CE423&amp;W423)),MID(CE422&amp;W422,ROW($1:$162),1),""))</f>
        <v/>
      </c>
      <c r="CG423" s="27" t="str">
        <f t="array" ref="CG423">_xlfn.TEXTJOIN("",TRUE,IF(ISERROR(FIND(ROW($1:$168)-1,CE423&amp;CF423)),ROW($1:$168)-1,""))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23" s="28" t="str">
        <f t="shared" si="329"/>
        <v>邻孤孤</v>
      </c>
      <c r="CI423" s="29" t="str">
        <f t="shared" si="330"/>
        <v>35</v>
      </c>
      <c r="CJ423" s="29" t="str">
        <f t="array" ref="CJ423">_xlfn.TEXTJOIN("",TRUE,IF(ISNUMBER(FIND(MID(CI422&amp;X422,ROW($1:$162),1),CI423&amp;X423)),MID(CI422&amp;X422,ROW($1:$162),1),""))</f>
        <v/>
      </c>
      <c r="CK423" s="29" t="str">
        <f t="array" ref="CK423">_xlfn.TEXTJOIN("",TRUE,IF(ISERROR(FIND(ROW($1:$168)-1,CI423&amp;CJ423)),ROW($1:$168)-1,""))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23" s="19" t="str">
        <f t="shared" si="331"/>
        <v>邻孤孤</v>
      </c>
      <c r="CM423" s="24" t="str">
        <f t="shared" si="332"/>
        <v>57</v>
      </c>
      <c r="CN423" s="24" t="str">
        <f t="array" ref="CN423">_xlfn.TEXTJOIN("",TRUE,IF(ISNUMBER(FIND(MID(CM422&amp;Y422,ROW($1:$162),1),CM423&amp;Y423)),MID(CM422&amp;Y422,ROW($1:$162),1),""))</f>
        <v/>
      </c>
      <c r="CO423" s="24" t="str">
        <f t="array" ref="CO423">_xlfn.TEXTJOIN("",TRUE,IF(ISERROR(FIND(ROW($1:$168)-1,CM423&amp;CN423)),ROW($1:$168)-1,""))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23" s="30" t="str">
        <f t="shared" si="333"/>
        <v>邻孤孤</v>
      </c>
    </row>
    <row r="424" spans="1:94">
      <c r="A424" s="15">
        <v>424</v>
      </c>
      <c r="B424" s="80">
        <v>2025041</v>
      </c>
      <c r="C424" s="8" t="s">
        <v>369</v>
      </c>
      <c r="D424" s="81">
        <f t="shared" si="313"/>
        <v>5</v>
      </c>
      <c r="E424" s="82">
        <f t="shared" si="314"/>
        <v>5</v>
      </c>
      <c r="F424" s="83">
        <f t="shared" si="306"/>
        <v>1.25</v>
      </c>
      <c r="G424" s="84" t="str">
        <f t="shared" si="307"/>
        <v>松散</v>
      </c>
      <c r="H424" s="85" t="s">
        <v>10</v>
      </c>
      <c r="I424" s="85" t="s">
        <v>11</v>
      </c>
      <c r="J424" s="85" t="s">
        <v>12</v>
      </c>
      <c r="K424" s="85" t="s">
        <v>13</v>
      </c>
      <c r="L424" s="86">
        <f>MAX(MID(C424,{1,2,3},1)*1)-MIN(MID(C424,{1,2,3},1)*1)</f>
        <v>4</v>
      </c>
      <c r="M424" s="87">
        <v>0</v>
      </c>
      <c r="N424" s="87">
        <v>1</v>
      </c>
      <c r="O424" s="87">
        <v>2</v>
      </c>
      <c r="P424" s="87">
        <v>3</v>
      </c>
      <c r="Q424" s="87">
        <v>4</v>
      </c>
      <c r="R424" s="87">
        <v>5</v>
      </c>
      <c r="S424" s="87">
        <v>6</v>
      </c>
      <c r="T424" s="87">
        <v>7</v>
      </c>
      <c r="U424" s="87">
        <v>8</v>
      </c>
      <c r="V424" s="87">
        <v>9</v>
      </c>
      <c r="W424" s="88">
        <f t="shared" si="315"/>
        <v>4</v>
      </c>
      <c r="X424" s="88">
        <f t="shared" si="316"/>
        <v>3</v>
      </c>
      <c r="Y424" s="88">
        <f t="shared" si="317"/>
        <v>1</v>
      </c>
      <c r="Z424" s="89">
        <f t="shared" si="320"/>
        <v>8</v>
      </c>
      <c r="AA424" s="17" t="str">
        <f>_xlfn.TEXTJOIN(", ",TRUE,ABS(MID(C424,{1,1,2},1)-MID(C424,{2,3,3},1)))</f>
        <v>4, 3, 1</v>
      </c>
      <c r="AB424" s="90">
        <v>0</v>
      </c>
      <c r="AC424" s="90">
        <v>1</v>
      </c>
      <c r="AD424" s="90">
        <v>2</v>
      </c>
      <c r="AE424" s="90">
        <v>3</v>
      </c>
      <c r="AF424" s="90">
        <v>4</v>
      </c>
      <c r="AG424" s="90">
        <v>5</v>
      </c>
      <c r="AH424" s="90">
        <v>6</v>
      </c>
      <c r="AI424" s="90">
        <v>7</v>
      </c>
      <c r="AJ424" s="90">
        <v>8</v>
      </c>
      <c r="AK424" s="90">
        <v>9</v>
      </c>
      <c r="AL424" s="91">
        <v>0</v>
      </c>
      <c r="AM424" s="91">
        <v>1</v>
      </c>
      <c r="AN424" s="91">
        <v>2</v>
      </c>
      <c r="AO424" s="91">
        <v>3</v>
      </c>
      <c r="AP424" s="91">
        <v>4</v>
      </c>
      <c r="AQ424" s="91">
        <v>5</v>
      </c>
      <c r="AR424" s="91">
        <v>6</v>
      </c>
      <c r="AS424" s="91">
        <v>7</v>
      </c>
      <c r="AT424" s="91">
        <v>8</v>
      </c>
      <c r="AU424" s="91">
        <v>9</v>
      </c>
      <c r="AV424" s="92">
        <v>0</v>
      </c>
      <c r="AW424" s="92">
        <v>1</v>
      </c>
      <c r="AX424" s="92">
        <v>2</v>
      </c>
      <c r="AY424" s="92">
        <v>3</v>
      </c>
      <c r="AZ424" s="92">
        <v>4</v>
      </c>
      <c r="BA424" s="92">
        <v>5</v>
      </c>
      <c r="BB424" s="92">
        <v>6</v>
      </c>
      <c r="BC424" s="92">
        <v>7</v>
      </c>
      <c r="BD424" s="92">
        <v>8</v>
      </c>
      <c r="BE424" s="92">
        <v>9</v>
      </c>
      <c r="BF424" s="93">
        <v>0</v>
      </c>
      <c r="BG424" s="93">
        <v>1</v>
      </c>
      <c r="BH424" s="93">
        <v>2</v>
      </c>
      <c r="BI424" s="93">
        <v>3</v>
      </c>
      <c r="BJ424" s="93">
        <v>4</v>
      </c>
      <c r="BK424" s="93">
        <v>5</v>
      </c>
      <c r="BL424" s="93">
        <v>6</v>
      </c>
      <c r="BM424" s="93">
        <v>7</v>
      </c>
      <c r="BN424" s="93">
        <v>8</v>
      </c>
      <c r="BO424" s="93">
        <v>9</v>
      </c>
      <c r="BP424" s="94" t="str">
        <f t="shared" si="321"/>
        <v>紧凑型</v>
      </c>
      <c r="BQ424" s="15">
        <f t="shared" si="318"/>
        <v>1</v>
      </c>
      <c r="BR424" s="15">
        <f t="shared" si="319"/>
        <v>4</v>
      </c>
      <c r="BS424" s="20">
        <f t="shared" si="323"/>
        <v>4</v>
      </c>
      <c r="BT424" s="21" t="str">
        <f t="shared" si="324"/>
        <v/>
      </c>
      <c r="BU424" s="21" t="str">
        <f t="array" ref="BU424">_xlfn.TEXTJOIN("",TRUE,IF(ISERROR(FIND(ROW($1:$168)-1,BS424&amp;BT424)),ROW($1:$168)-1,""))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24" s="22" t="str">
        <f t="shared" si="325"/>
        <v>复中中</v>
      </c>
      <c r="BW424" s="23" t="str">
        <f t="shared" si="336"/>
        <v/>
      </c>
      <c r="BX424" s="23" t="str">
        <f t="shared" si="334"/>
        <v/>
      </c>
      <c r="BY424" s="23" t="str">
        <f t="array" ref="BY424">_xlfn.TEXTJOIN("",TRUE,IF(ISERROR(FIND(ROW($1:$168)-1,BW424&amp;BX424)),ROW($1:$168)-1,""))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24" s="22" t="str">
        <f t="shared" si="326"/>
        <v>中中中</v>
      </c>
      <c r="CA424" s="24" t="str">
        <f t="shared" si="327"/>
        <v/>
      </c>
      <c r="CB424" s="24">
        <f t="shared" si="335"/>
        <v>1</v>
      </c>
      <c r="CC424" s="24" t="str">
        <f t="array" ref="CC424">_xlfn.TEXTJOIN("",TRUE,IF(ISERROR(FIND(ROW($1:$168)-1,CA424&amp;CB424)),ROW($1:$168)-1,""))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24" s="22" t="str">
        <f t="shared" si="328"/>
        <v>中隔中</v>
      </c>
      <c r="CE424" s="25" t="str">
        <f t="shared" si="322"/>
        <v>35</v>
      </c>
      <c r="CF424" s="26" t="str">
        <f t="array" ref="CF424">_xlfn.TEXTJOIN("",TRUE,IF(ISNUMBER(FIND(MID(CE423&amp;W423,ROW($1:$162),1),CE424&amp;W424)),MID(CE423&amp;W423,ROW($1:$162),1),""))</f>
        <v>3</v>
      </c>
      <c r="CG424" s="27" t="str">
        <f t="array" ref="CG424">_xlfn.TEXTJOIN("",TRUE,IF(ISERROR(FIND(ROW($1:$168)-1,CE424&amp;CF424)),ROW($1:$168)-1,""))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24" s="28" t="str">
        <f t="shared" si="329"/>
        <v>邻传孤</v>
      </c>
      <c r="CI424" s="29" t="str">
        <f t="shared" si="330"/>
        <v>24</v>
      </c>
      <c r="CJ424" s="29" t="str">
        <f t="array" ref="CJ424">_xlfn.TEXTJOIN("",TRUE,IF(ISNUMBER(FIND(MID(CI423&amp;X423,ROW($1:$162),1),CI424&amp;X424)),MID(CI423&amp;X423,ROW($1:$162),1),""))</f>
        <v>34</v>
      </c>
      <c r="CK424" s="29" t="str">
        <f t="array" ref="CK424">_xlfn.TEXTJOIN("",TRUE,IF(ISERROR(FIND(ROW($1:$168)-1,CI424&amp;CJ424)),ROW($1:$168)-1,""))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24" s="19" t="str">
        <f t="shared" si="331"/>
        <v>邻传孤</v>
      </c>
      <c r="CM424" s="24" t="str">
        <f t="shared" si="332"/>
        <v>02</v>
      </c>
      <c r="CN424" s="24" t="str">
        <f t="array" ref="CN424">_xlfn.TEXTJOIN("",TRUE,IF(ISNUMBER(FIND(MID(CM423&amp;Y423,ROW($1:$162),1),CM424&amp;Y424)),MID(CM423&amp;Y423,ROW($1:$162),1),""))</f>
        <v/>
      </c>
      <c r="CO424" s="24" t="str">
        <f t="array" ref="CO424">_xlfn.TEXTJOIN("",TRUE,IF(ISERROR(FIND(ROW($1:$168)-1,CM424&amp;CN424)),ROW($1:$168)-1,""))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24" s="30" t="str">
        <f t="shared" si="333"/>
        <v>邻孤孤</v>
      </c>
    </row>
    <row r="425" spans="1:94">
      <c r="A425" s="15">
        <v>425</v>
      </c>
      <c r="B425" s="80">
        <v>2025042</v>
      </c>
      <c r="C425" s="8" t="s">
        <v>370</v>
      </c>
      <c r="D425" s="81">
        <f t="shared" si="313"/>
        <v>19</v>
      </c>
      <c r="E425" s="82">
        <f t="shared" si="314"/>
        <v>9</v>
      </c>
      <c r="F425" s="83">
        <f t="shared" si="306"/>
        <v>9.5</v>
      </c>
      <c r="G425" s="84" t="str">
        <f t="shared" si="307"/>
        <v>紧凑</v>
      </c>
      <c r="H425" s="85" t="s">
        <v>10</v>
      </c>
      <c r="I425" s="85" t="s">
        <v>11</v>
      </c>
      <c r="J425" s="85" t="s">
        <v>12</v>
      </c>
      <c r="K425" s="85" t="s">
        <v>13</v>
      </c>
      <c r="L425" s="86">
        <f>MAX(MID(C425,{1,2,3},1)*1)-MIN(MID(C425,{1,2,3},1)*1)</f>
        <v>2</v>
      </c>
      <c r="M425" s="87">
        <v>0</v>
      </c>
      <c r="N425" s="87">
        <v>1</v>
      </c>
      <c r="O425" s="87">
        <v>2</v>
      </c>
      <c r="P425" s="87">
        <v>3</v>
      </c>
      <c r="Q425" s="87">
        <v>4</v>
      </c>
      <c r="R425" s="87">
        <v>5</v>
      </c>
      <c r="S425" s="87">
        <v>6</v>
      </c>
      <c r="T425" s="87">
        <v>7</v>
      </c>
      <c r="U425" s="87">
        <v>8</v>
      </c>
      <c r="V425" s="87">
        <v>9</v>
      </c>
      <c r="W425" s="88">
        <f t="shared" si="315"/>
        <v>0</v>
      </c>
      <c r="X425" s="88">
        <f t="shared" si="316"/>
        <v>2</v>
      </c>
      <c r="Y425" s="88">
        <f t="shared" si="317"/>
        <v>2</v>
      </c>
      <c r="Z425" s="89">
        <f t="shared" si="320"/>
        <v>4</v>
      </c>
      <c r="AA425" s="17" t="str">
        <f>_xlfn.TEXTJOIN(", ",TRUE,ABS(MID(C425,{1,1,2},1)-MID(C425,{2,3,3},1)))</f>
        <v>0, 2, 2</v>
      </c>
      <c r="AB425" s="90">
        <v>0</v>
      </c>
      <c r="AC425" s="90">
        <v>1</v>
      </c>
      <c r="AD425" s="90">
        <v>2</v>
      </c>
      <c r="AE425" s="90">
        <v>3</v>
      </c>
      <c r="AF425" s="90">
        <v>4</v>
      </c>
      <c r="AG425" s="90">
        <v>5</v>
      </c>
      <c r="AH425" s="90">
        <v>6</v>
      </c>
      <c r="AI425" s="90">
        <v>7</v>
      </c>
      <c r="AJ425" s="90">
        <v>8</v>
      </c>
      <c r="AK425" s="90">
        <v>9</v>
      </c>
      <c r="AL425" s="91">
        <v>0</v>
      </c>
      <c r="AM425" s="91">
        <v>1</v>
      </c>
      <c r="AN425" s="91">
        <v>2</v>
      </c>
      <c r="AO425" s="91">
        <v>3</v>
      </c>
      <c r="AP425" s="91">
        <v>4</v>
      </c>
      <c r="AQ425" s="91">
        <v>5</v>
      </c>
      <c r="AR425" s="91">
        <v>6</v>
      </c>
      <c r="AS425" s="91">
        <v>7</v>
      </c>
      <c r="AT425" s="91">
        <v>8</v>
      </c>
      <c r="AU425" s="91">
        <v>9</v>
      </c>
      <c r="AV425" s="92">
        <v>0</v>
      </c>
      <c r="AW425" s="92">
        <v>1</v>
      </c>
      <c r="AX425" s="92">
        <v>2</v>
      </c>
      <c r="AY425" s="92">
        <v>3</v>
      </c>
      <c r="AZ425" s="92">
        <v>4</v>
      </c>
      <c r="BA425" s="92">
        <v>5</v>
      </c>
      <c r="BB425" s="92">
        <v>6</v>
      </c>
      <c r="BC425" s="92">
        <v>7</v>
      </c>
      <c r="BD425" s="92">
        <v>8</v>
      </c>
      <c r="BE425" s="92">
        <v>9</v>
      </c>
      <c r="BF425" s="93">
        <v>0</v>
      </c>
      <c r="BG425" s="93">
        <v>1</v>
      </c>
      <c r="BH425" s="93">
        <v>2</v>
      </c>
      <c r="BI425" s="93">
        <v>3</v>
      </c>
      <c r="BJ425" s="93">
        <v>4</v>
      </c>
      <c r="BK425" s="93">
        <v>5</v>
      </c>
      <c r="BL425" s="93">
        <v>6</v>
      </c>
      <c r="BM425" s="93">
        <v>7</v>
      </c>
      <c r="BN425" s="93">
        <v>8</v>
      </c>
      <c r="BO425" s="93">
        <v>9</v>
      </c>
      <c r="BP425" s="94" t="str">
        <f t="shared" si="321"/>
        <v>紧凑型</v>
      </c>
      <c r="BQ425" s="15">
        <f t="shared" si="318"/>
        <v>0</v>
      </c>
      <c r="BR425" s="15">
        <f t="shared" si="319"/>
        <v>2</v>
      </c>
      <c r="BS425" s="20" t="str">
        <f t="shared" si="323"/>
        <v/>
      </c>
      <c r="BT425" s="21" t="str">
        <f t="shared" si="324"/>
        <v/>
      </c>
      <c r="BU425" s="21" t="str">
        <f t="array" ref="BU425">_xlfn.TEXTJOIN("",TRUE,IF(ISERROR(FIND(ROW($1:$168)-1,BS425&amp;BT425)),ROW($1:$168)-1,""))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25" s="22" t="str">
        <f t="shared" si="325"/>
        <v>中中中</v>
      </c>
      <c r="BW425" s="23" t="str">
        <f t="shared" si="336"/>
        <v/>
      </c>
      <c r="BX425" s="23">
        <f t="shared" si="334"/>
        <v>2</v>
      </c>
      <c r="BY425" s="23" t="str">
        <f t="array" ref="BY425">_xlfn.TEXTJOIN("",TRUE,IF(ISERROR(FIND(ROW($1:$168)-1,BW425&amp;BX425)),ROW($1:$168)-1,""))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25" s="22" t="str">
        <f t="shared" si="326"/>
        <v>中隔中</v>
      </c>
      <c r="CA425" s="24" t="str">
        <f t="shared" si="327"/>
        <v/>
      </c>
      <c r="CB425" s="24">
        <f t="shared" si="335"/>
        <v>2</v>
      </c>
      <c r="CC425" s="24" t="str">
        <f t="array" ref="CC425">_xlfn.TEXTJOIN("",TRUE,IF(ISERROR(FIND(ROW($1:$168)-1,CA425&amp;CB425)),ROW($1:$168)-1,""))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25" s="22" t="str">
        <f t="shared" si="328"/>
        <v>中隔中</v>
      </c>
      <c r="CE425" s="25" t="str">
        <f t="shared" si="322"/>
        <v>91</v>
      </c>
      <c r="CF425" s="26" t="str">
        <f t="array" ref="CF425">_xlfn.TEXTJOIN("",TRUE,IF(ISNUMBER(FIND(MID(CE424&amp;W424,ROW($1:$162),1),CE425&amp;W425)),MID(CE424&amp;W424,ROW($1:$162),1),""))</f>
        <v/>
      </c>
      <c r="CG425" s="27" t="str">
        <f t="array" ref="CG425">_xlfn.TEXTJOIN("",TRUE,IF(ISERROR(FIND(ROW($1:$168)-1,CE425&amp;CF425)),ROW($1:$168)-1,""))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425" s="28" t="str">
        <f t="shared" si="329"/>
        <v>邻孤孤</v>
      </c>
      <c r="CI425" s="29" t="str">
        <f t="shared" si="330"/>
        <v>13</v>
      </c>
      <c r="CJ425" s="29" t="str">
        <f t="array" ref="CJ425">_xlfn.TEXTJOIN("",TRUE,IF(ISNUMBER(FIND(MID(CI424&amp;X424,ROW($1:$162),1),CI425&amp;X425)),MID(CI424&amp;X424,ROW($1:$162),1),""))</f>
        <v>23</v>
      </c>
      <c r="CK425" s="29" t="str">
        <f t="array" ref="CK425">_xlfn.TEXTJOIN("",TRUE,IF(ISERROR(FIND(ROW($1:$168)-1,CI425&amp;CJ425)),ROW($1:$168)-1,""))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425" s="19" t="str">
        <f t="shared" si="331"/>
        <v>邻传孤</v>
      </c>
      <c r="CM425" s="24" t="str">
        <f t="shared" si="332"/>
        <v>13</v>
      </c>
      <c r="CN425" s="24" t="str">
        <f t="array" ref="CN425">_xlfn.TEXTJOIN("",TRUE,IF(ISNUMBER(FIND(MID(CM424&amp;Y424,ROW($1:$162),1),CM425&amp;Y425)),MID(CM424&amp;Y424,ROW($1:$162),1),""))</f>
        <v>21</v>
      </c>
      <c r="CO425" s="24" t="str">
        <f t="array" ref="CO425">_xlfn.TEXTJOIN("",TRUE,IF(ISERROR(FIND(ROW($1:$168)-1,CM425&amp;CN425)),ROW($1:$168)-1,""))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425" s="30" t="str">
        <f t="shared" si="333"/>
        <v>邻传孤</v>
      </c>
    </row>
    <row r="426" spans="1:94">
      <c r="A426" s="15">
        <v>426</v>
      </c>
      <c r="B426" s="80">
        <v>2025043</v>
      </c>
      <c r="C426" s="8" t="s">
        <v>371</v>
      </c>
      <c r="D426" s="81">
        <f t="shared" si="313"/>
        <v>16</v>
      </c>
      <c r="E426" s="82">
        <f t="shared" si="314"/>
        <v>6</v>
      </c>
      <c r="F426" s="83">
        <f t="shared" si="306"/>
        <v>5.33333333333333</v>
      </c>
      <c r="G426" s="84" t="str">
        <f t="shared" si="307"/>
        <v>紧凑</v>
      </c>
      <c r="H426" s="85" t="s">
        <v>10</v>
      </c>
      <c r="I426" s="85" t="s">
        <v>11</v>
      </c>
      <c r="J426" s="85" t="s">
        <v>12</v>
      </c>
      <c r="K426" s="85" t="s">
        <v>13</v>
      </c>
      <c r="L426" s="86">
        <f>MAX(MID(C426,{1,2,3},1)*1)-MIN(MID(C426,{1,2,3},1)*1)</f>
        <v>3</v>
      </c>
      <c r="M426" s="87">
        <v>0</v>
      </c>
      <c r="N426" s="87">
        <v>1</v>
      </c>
      <c r="O426" s="87">
        <v>2</v>
      </c>
      <c r="P426" s="87">
        <v>3</v>
      </c>
      <c r="Q426" s="87">
        <v>4</v>
      </c>
      <c r="R426" s="87">
        <v>5</v>
      </c>
      <c r="S426" s="87">
        <v>6</v>
      </c>
      <c r="T426" s="87">
        <v>7</v>
      </c>
      <c r="U426" s="87">
        <v>8</v>
      </c>
      <c r="V426" s="87">
        <v>9</v>
      </c>
      <c r="W426" s="88">
        <f t="shared" si="315"/>
        <v>3</v>
      </c>
      <c r="X426" s="88">
        <f t="shared" si="316"/>
        <v>1</v>
      </c>
      <c r="Y426" s="88">
        <f t="shared" si="317"/>
        <v>2</v>
      </c>
      <c r="Z426" s="89">
        <f t="shared" si="320"/>
        <v>6</v>
      </c>
      <c r="AA426" s="17" t="str">
        <f>_xlfn.TEXTJOIN(", ",TRUE,ABS(MID(C426,{1,1,2},1)-MID(C426,{2,3,3},1)))</f>
        <v>3, 1, 2</v>
      </c>
      <c r="AB426" s="90">
        <v>0</v>
      </c>
      <c r="AC426" s="90">
        <v>1</v>
      </c>
      <c r="AD426" s="90">
        <v>2</v>
      </c>
      <c r="AE426" s="90">
        <v>3</v>
      </c>
      <c r="AF426" s="90">
        <v>4</v>
      </c>
      <c r="AG426" s="90">
        <v>5</v>
      </c>
      <c r="AH426" s="90">
        <v>6</v>
      </c>
      <c r="AI426" s="90">
        <v>7</v>
      </c>
      <c r="AJ426" s="90">
        <v>8</v>
      </c>
      <c r="AK426" s="90">
        <v>9</v>
      </c>
      <c r="AL426" s="91">
        <v>0</v>
      </c>
      <c r="AM426" s="91">
        <v>1</v>
      </c>
      <c r="AN426" s="91">
        <v>2</v>
      </c>
      <c r="AO426" s="91">
        <v>3</v>
      </c>
      <c r="AP426" s="91">
        <v>4</v>
      </c>
      <c r="AQ426" s="91">
        <v>5</v>
      </c>
      <c r="AR426" s="91">
        <v>6</v>
      </c>
      <c r="AS426" s="91">
        <v>7</v>
      </c>
      <c r="AT426" s="91">
        <v>8</v>
      </c>
      <c r="AU426" s="91">
        <v>9</v>
      </c>
      <c r="AV426" s="92">
        <v>0</v>
      </c>
      <c r="AW426" s="92">
        <v>1</v>
      </c>
      <c r="AX426" s="92">
        <v>2</v>
      </c>
      <c r="AY426" s="92">
        <v>3</v>
      </c>
      <c r="AZ426" s="92">
        <v>4</v>
      </c>
      <c r="BA426" s="92">
        <v>5</v>
      </c>
      <c r="BB426" s="92">
        <v>6</v>
      </c>
      <c r="BC426" s="92">
        <v>7</v>
      </c>
      <c r="BD426" s="92">
        <v>8</v>
      </c>
      <c r="BE426" s="92">
        <v>9</v>
      </c>
      <c r="BF426" s="93">
        <v>0</v>
      </c>
      <c r="BG426" s="93">
        <v>1</v>
      </c>
      <c r="BH426" s="93">
        <v>2</v>
      </c>
      <c r="BI426" s="93">
        <v>3</v>
      </c>
      <c r="BJ426" s="93">
        <v>4</v>
      </c>
      <c r="BK426" s="93">
        <v>5</v>
      </c>
      <c r="BL426" s="93">
        <v>6</v>
      </c>
      <c r="BM426" s="93">
        <v>7</v>
      </c>
      <c r="BN426" s="93">
        <v>8</v>
      </c>
      <c r="BO426" s="93">
        <v>9</v>
      </c>
      <c r="BP426" s="94" t="str">
        <f t="shared" si="321"/>
        <v>紧凑型</v>
      </c>
      <c r="BQ426" s="15">
        <f t="shared" si="318"/>
        <v>1</v>
      </c>
      <c r="BR426" s="15">
        <f t="shared" si="319"/>
        <v>3</v>
      </c>
      <c r="BS426" s="20" t="str">
        <f t="shared" si="323"/>
        <v/>
      </c>
      <c r="BT426" s="21">
        <f t="shared" si="324"/>
        <v>3</v>
      </c>
      <c r="BU426" s="21" t="str">
        <f t="array" ref="BU426">_xlfn.TEXTJOIN("",TRUE,IF(ISERROR(FIND(ROW($1:$168)-1,BS426&amp;BT426)),ROW($1:$168)-1,""))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26" s="22" t="str">
        <f t="shared" si="325"/>
        <v>中隔中</v>
      </c>
      <c r="BW426" s="23" t="str">
        <f t="shared" si="336"/>
        <v/>
      </c>
      <c r="BX426" s="23">
        <f t="shared" si="334"/>
        <v>1</v>
      </c>
      <c r="BY426" s="23" t="str">
        <f t="array" ref="BY426">_xlfn.TEXTJOIN("",TRUE,IF(ISERROR(FIND(ROW($1:$168)-1,BW426&amp;BX426)),ROW($1:$168)-1,""))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26" s="22" t="str">
        <f t="shared" si="326"/>
        <v>中隔中</v>
      </c>
      <c r="CA426" s="24">
        <f t="shared" si="327"/>
        <v>2</v>
      </c>
      <c r="CB426" s="24" t="str">
        <f t="shared" si="335"/>
        <v/>
      </c>
      <c r="CC426" s="24" t="str">
        <f t="array" ref="CC426">_xlfn.TEXTJOIN("",TRUE,IF(ISERROR(FIND(ROW($1:$168)-1,CA426&amp;CB426)),ROW($1:$168)-1,""))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26" s="22" t="str">
        <f t="shared" si="328"/>
        <v>复中中</v>
      </c>
      <c r="CE426" s="25" t="str">
        <f t="shared" si="322"/>
        <v>24</v>
      </c>
      <c r="CF426" s="26" t="str">
        <f t="array" ref="CF426">_xlfn.TEXTJOIN("",TRUE,IF(ISNUMBER(FIND(MID(CE425&amp;W425,ROW($1:$162),1),CE426&amp;W426)),MID(CE425&amp;W425,ROW($1:$162),1),""))</f>
        <v/>
      </c>
      <c r="CG426" s="27" t="str">
        <f t="array" ref="CG426">_xlfn.TEXTJOIN("",TRUE,IF(ISERROR(FIND(ROW($1:$168)-1,CE426&amp;CF426)),ROW($1:$168)-1,""))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26" s="28" t="str">
        <f t="shared" si="329"/>
        <v>邻孤孤</v>
      </c>
      <c r="CI426" s="29" t="str">
        <f t="shared" si="330"/>
        <v>02</v>
      </c>
      <c r="CJ426" s="29" t="str">
        <f t="array" ref="CJ426">_xlfn.TEXTJOIN("",TRUE,IF(ISNUMBER(FIND(MID(CI425&amp;X425,ROW($1:$162),1),CI426&amp;X426)),MID(CI425&amp;X425,ROW($1:$162),1),""))</f>
        <v>12</v>
      </c>
      <c r="CK426" s="29" t="str">
        <f t="array" ref="CK426">_xlfn.TEXTJOIN("",TRUE,IF(ISERROR(FIND(ROW($1:$168)-1,CI426&amp;CJ426)),ROW($1:$168)-1,""))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26" s="19" t="str">
        <f t="shared" si="331"/>
        <v>邻传孤</v>
      </c>
      <c r="CM426" s="24" t="str">
        <f t="shared" si="332"/>
        <v>13</v>
      </c>
      <c r="CN426" s="24" t="str">
        <f t="array" ref="CN426">_xlfn.TEXTJOIN("",TRUE,IF(ISNUMBER(FIND(MID(CM425&amp;Y425,ROW($1:$162),1),CM426&amp;Y426)),MID(CM425&amp;Y425,ROW($1:$162),1),""))</f>
        <v>132</v>
      </c>
      <c r="CO426" s="24" t="str">
        <f t="array" ref="CO426">_xlfn.TEXTJOIN("",TRUE,IF(ISERROR(FIND(ROW($1:$168)-1,CM426&amp;CN426)),ROW($1:$168)-1,""))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426" s="30" t="str">
        <f t="shared" si="333"/>
        <v>邻传孤</v>
      </c>
    </row>
    <row r="427" spans="1:94">
      <c r="A427" s="15">
        <v>427</v>
      </c>
      <c r="B427" s="80">
        <v>2025044</v>
      </c>
      <c r="C427" s="8" t="s">
        <v>372</v>
      </c>
      <c r="D427" s="81">
        <f t="shared" si="313"/>
        <v>12</v>
      </c>
      <c r="E427" s="82">
        <f t="shared" si="314"/>
        <v>2</v>
      </c>
      <c r="F427" s="83">
        <f t="shared" si="306"/>
        <v>1.5</v>
      </c>
      <c r="G427" s="84" t="str">
        <f t="shared" si="307"/>
        <v>松散</v>
      </c>
      <c r="H427" s="85" t="s">
        <v>10</v>
      </c>
      <c r="I427" s="85" t="s">
        <v>11</v>
      </c>
      <c r="J427" s="85" t="s">
        <v>12</v>
      </c>
      <c r="K427" s="85" t="s">
        <v>13</v>
      </c>
      <c r="L427" s="86">
        <f>MAX(MID(C427,{1,2,3},1)*1)-MIN(MID(C427,{1,2,3},1)*1)</f>
        <v>8</v>
      </c>
      <c r="M427" s="87">
        <v>0</v>
      </c>
      <c r="N427" s="87">
        <v>1</v>
      </c>
      <c r="O427" s="87">
        <v>2</v>
      </c>
      <c r="P427" s="87">
        <v>3</v>
      </c>
      <c r="Q427" s="87">
        <v>4</v>
      </c>
      <c r="R427" s="87">
        <v>5</v>
      </c>
      <c r="S427" s="87">
        <v>6</v>
      </c>
      <c r="T427" s="87">
        <v>7</v>
      </c>
      <c r="U427" s="87">
        <v>8</v>
      </c>
      <c r="V427" s="87">
        <v>9</v>
      </c>
      <c r="W427" s="88">
        <f t="shared" si="315"/>
        <v>8</v>
      </c>
      <c r="X427" s="88">
        <f t="shared" si="316"/>
        <v>7</v>
      </c>
      <c r="Y427" s="88">
        <f t="shared" si="317"/>
        <v>1</v>
      </c>
      <c r="Z427" s="89">
        <f t="shared" si="320"/>
        <v>16</v>
      </c>
      <c r="AA427" s="17" t="str">
        <f>_xlfn.TEXTJOIN(", ",TRUE,ABS(MID(C427,{1,1,2},1)-MID(C427,{2,3,3},1)))</f>
        <v>8, 7, 1</v>
      </c>
      <c r="AB427" s="90">
        <v>0</v>
      </c>
      <c r="AC427" s="90">
        <v>1</v>
      </c>
      <c r="AD427" s="90">
        <v>2</v>
      </c>
      <c r="AE427" s="90">
        <v>3</v>
      </c>
      <c r="AF427" s="90">
        <v>4</v>
      </c>
      <c r="AG427" s="90">
        <v>5</v>
      </c>
      <c r="AH427" s="90">
        <v>6</v>
      </c>
      <c r="AI427" s="90">
        <v>7</v>
      </c>
      <c r="AJ427" s="90">
        <v>8</v>
      </c>
      <c r="AK427" s="90">
        <v>9</v>
      </c>
      <c r="AL427" s="91">
        <v>0</v>
      </c>
      <c r="AM427" s="91">
        <v>1</v>
      </c>
      <c r="AN427" s="91">
        <v>2</v>
      </c>
      <c r="AO427" s="91">
        <v>3</v>
      </c>
      <c r="AP427" s="91">
        <v>4</v>
      </c>
      <c r="AQ427" s="91">
        <v>5</v>
      </c>
      <c r="AR427" s="91">
        <v>6</v>
      </c>
      <c r="AS427" s="91">
        <v>7</v>
      </c>
      <c r="AT427" s="91">
        <v>8</v>
      </c>
      <c r="AU427" s="91">
        <v>9</v>
      </c>
      <c r="AV427" s="92">
        <v>0</v>
      </c>
      <c r="AW427" s="92">
        <v>1</v>
      </c>
      <c r="AX427" s="92">
        <v>2</v>
      </c>
      <c r="AY427" s="92">
        <v>3</v>
      </c>
      <c r="AZ427" s="92">
        <v>4</v>
      </c>
      <c r="BA427" s="92">
        <v>5</v>
      </c>
      <c r="BB427" s="92">
        <v>6</v>
      </c>
      <c r="BC427" s="92">
        <v>7</v>
      </c>
      <c r="BD427" s="92">
        <v>8</v>
      </c>
      <c r="BE427" s="92">
        <v>9</v>
      </c>
      <c r="BF427" s="93">
        <v>0</v>
      </c>
      <c r="BG427" s="93">
        <v>1</v>
      </c>
      <c r="BH427" s="93">
        <v>2</v>
      </c>
      <c r="BI427" s="93">
        <v>3</v>
      </c>
      <c r="BJ427" s="93">
        <v>4</v>
      </c>
      <c r="BK427" s="93">
        <v>5</v>
      </c>
      <c r="BL427" s="93">
        <v>6</v>
      </c>
      <c r="BM427" s="93">
        <v>7</v>
      </c>
      <c r="BN427" s="93">
        <v>8</v>
      </c>
      <c r="BO427" s="93">
        <v>9</v>
      </c>
      <c r="BP427" s="94" t="str">
        <f t="shared" si="321"/>
        <v>松散型</v>
      </c>
      <c r="BQ427" s="15">
        <f t="shared" si="318"/>
        <v>1</v>
      </c>
      <c r="BR427" s="15">
        <f t="shared" si="319"/>
        <v>8</v>
      </c>
      <c r="BS427" s="20" t="str">
        <f t="shared" si="323"/>
        <v/>
      </c>
      <c r="BT427" s="21" t="str">
        <f t="shared" si="324"/>
        <v/>
      </c>
      <c r="BU427" s="21" t="str">
        <f t="array" ref="BU427">_xlfn.TEXTJOIN("",TRUE,IF(ISERROR(FIND(ROW($1:$168)-1,BS427&amp;BT427)),ROW($1:$168)-1,""))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27" s="22" t="str">
        <f t="shared" si="325"/>
        <v>中中中</v>
      </c>
      <c r="BW427" s="23" t="str">
        <f t="shared" si="336"/>
        <v/>
      </c>
      <c r="BX427" s="23" t="str">
        <f t="shared" si="334"/>
        <v/>
      </c>
      <c r="BY427" s="23" t="str">
        <f t="array" ref="BY427">_xlfn.TEXTJOIN("",TRUE,IF(ISERROR(FIND(ROW($1:$168)-1,BW427&amp;BX427)),ROW($1:$168)-1,""))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27" s="22" t="str">
        <f t="shared" si="326"/>
        <v>中中中</v>
      </c>
      <c r="CA427" s="24">
        <f t="shared" si="327"/>
        <v>1</v>
      </c>
      <c r="CB427" s="24" t="str">
        <f t="shared" si="335"/>
        <v/>
      </c>
      <c r="CC427" s="24" t="str">
        <f t="array" ref="CC427">_xlfn.TEXTJOIN("",TRUE,IF(ISERROR(FIND(ROW($1:$168)-1,CA427&amp;CB427)),ROW($1:$168)-1,""))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27" s="22" t="str">
        <f t="shared" si="328"/>
        <v>复中中</v>
      </c>
      <c r="CE427" s="25" t="str">
        <f t="shared" si="322"/>
        <v>79</v>
      </c>
      <c r="CF427" s="26" t="str">
        <f t="array" ref="CF427">_xlfn.TEXTJOIN("",TRUE,IF(ISNUMBER(FIND(MID(CE426&amp;W426,ROW($1:$162),1),CE427&amp;W427)),MID(CE426&amp;W426,ROW($1:$162),1),""))</f>
        <v/>
      </c>
      <c r="CG427" s="27" t="str">
        <f t="array" ref="CG427">_xlfn.TEXTJOIN("",TRUE,IF(ISERROR(FIND(ROW($1:$168)-1,CE427&amp;CF427)),ROW($1:$168)-1,""))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427" s="28" t="str">
        <f t="shared" si="329"/>
        <v>邻孤孤</v>
      </c>
      <c r="CI427" s="29" t="str">
        <f t="shared" si="330"/>
        <v>68</v>
      </c>
      <c r="CJ427" s="29" t="str">
        <f t="array" ref="CJ427">_xlfn.TEXTJOIN("",TRUE,IF(ISNUMBER(FIND(MID(CI426&amp;X426,ROW($1:$162),1),CI427&amp;X427)),MID(CI426&amp;X426,ROW($1:$162),1),""))</f>
        <v/>
      </c>
      <c r="CK427" s="29" t="str">
        <f t="array" ref="CK427">_xlfn.TEXTJOIN("",TRUE,IF(ISERROR(FIND(ROW($1:$168)-1,CI427&amp;CJ427)),ROW($1:$168)-1,""))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27" s="19" t="str">
        <f t="shared" si="331"/>
        <v>邻孤孤</v>
      </c>
      <c r="CM427" s="24" t="str">
        <f t="shared" si="332"/>
        <v>02</v>
      </c>
      <c r="CN427" s="24" t="str">
        <f t="array" ref="CN427">_xlfn.TEXTJOIN("",TRUE,IF(ISNUMBER(FIND(MID(CM426&amp;Y426,ROW($1:$162),1),CM427&amp;Y427)),MID(CM426&amp;Y426,ROW($1:$162),1),""))</f>
        <v>12</v>
      </c>
      <c r="CO427" s="24" t="str">
        <f t="array" ref="CO427">_xlfn.TEXTJOIN("",TRUE,IF(ISERROR(FIND(ROW($1:$168)-1,CM427&amp;CN427)),ROW($1:$168)-1,""))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27" s="30" t="str">
        <f t="shared" si="333"/>
        <v>邻传孤</v>
      </c>
    </row>
    <row r="428" spans="1:94">
      <c r="A428" s="15">
        <v>428</v>
      </c>
      <c r="B428" s="80">
        <v>2025045</v>
      </c>
      <c r="C428" s="8" t="s">
        <v>373</v>
      </c>
      <c r="D428" s="81">
        <f t="shared" si="313"/>
        <v>14</v>
      </c>
      <c r="E428" s="82">
        <f t="shared" si="314"/>
        <v>4</v>
      </c>
      <c r="F428" s="83">
        <f t="shared" si="306"/>
        <v>14</v>
      </c>
      <c r="G428" s="84" t="str">
        <f t="shared" si="307"/>
        <v>紧凑</v>
      </c>
      <c r="H428" s="85" t="s">
        <v>10</v>
      </c>
      <c r="I428" s="85" t="s">
        <v>11</v>
      </c>
      <c r="J428" s="85" t="s">
        <v>12</v>
      </c>
      <c r="K428" s="85" t="s">
        <v>13</v>
      </c>
      <c r="L428" s="86">
        <f>MAX(MID(C428,{1,2,3},1)*1)-MIN(MID(C428,{1,2,3},1)*1)</f>
        <v>1</v>
      </c>
      <c r="M428" s="87">
        <v>0</v>
      </c>
      <c r="N428" s="87">
        <v>1</v>
      </c>
      <c r="O428" s="87">
        <v>2</v>
      </c>
      <c r="P428" s="87">
        <v>3</v>
      </c>
      <c r="Q428" s="87">
        <v>4</v>
      </c>
      <c r="R428" s="87">
        <v>5</v>
      </c>
      <c r="S428" s="87">
        <v>6</v>
      </c>
      <c r="T428" s="87">
        <v>7</v>
      </c>
      <c r="U428" s="87">
        <v>8</v>
      </c>
      <c r="V428" s="87">
        <v>9</v>
      </c>
      <c r="W428" s="88">
        <f t="shared" si="315"/>
        <v>0</v>
      </c>
      <c r="X428" s="88">
        <f t="shared" si="316"/>
        <v>1</v>
      </c>
      <c r="Y428" s="88">
        <f t="shared" si="317"/>
        <v>1</v>
      </c>
      <c r="Z428" s="89">
        <f t="shared" si="320"/>
        <v>2</v>
      </c>
      <c r="AA428" s="17" t="str">
        <f>_xlfn.TEXTJOIN(", ",TRUE,ABS(MID(C428,{1,1,2},1)-MID(C428,{2,3,3},1)))</f>
        <v>0, 1, 1</v>
      </c>
      <c r="AB428" s="90">
        <v>0</v>
      </c>
      <c r="AC428" s="90">
        <v>1</v>
      </c>
      <c r="AD428" s="90">
        <v>2</v>
      </c>
      <c r="AE428" s="90">
        <v>3</v>
      </c>
      <c r="AF428" s="90">
        <v>4</v>
      </c>
      <c r="AG428" s="90">
        <v>5</v>
      </c>
      <c r="AH428" s="90">
        <v>6</v>
      </c>
      <c r="AI428" s="90">
        <v>7</v>
      </c>
      <c r="AJ428" s="90">
        <v>8</v>
      </c>
      <c r="AK428" s="90">
        <v>9</v>
      </c>
      <c r="AL428" s="91">
        <v>0</v>
      </c>
      <c r="AM428" s="91">
        <v>1</v>
      </c>
      <c r="AN428" s="91">
        <v>2</v>
      </c>
      <c r="AO428" s="91">
        <v>3</v>
      </c>
      <c r="AP428" s="91">
        <v>4</v>
      </c>
      <c r="AQ428" s="91">
        <v>5</v>
      </c>
      <c r="AR428" s="91">
        <v>6</v>
      </c>
      <c r="AS428" s="91">
        <v>7</v>
      </c>
      <c r="AT428" s="91">
        <v>8</v>
      </c>
      <c r="AU428" s="91">
        <v>9</v>
      </c>
      <c r="AV428" s="92">
        <v>0</v>
      </c>
      <c r="AW428" s="92">
        <v>1</v>
      </c>
      <c r="AX428" s="92">
        <v>2</v>
      </c>
      <c r="AY428" s="92">
        <v>3</v>
      </c>
      <c r="AZ428" s="92">
        <v>4</v>
      </c>
      <c r="BA428" s="92">
        <v>5</v>
      </c>
      <c r="BB428" s="92">
        <v>6</v>
      </c>
      <c r="BC428" s="92">
        <v>7</v>
      </c>
      <c r="BD428" s="92">
        <v>8</v>
      </c>
      <c r="BE428" s="92">
        <v>9</v>
      </c>
      <c r="BF428" s="93">
        <v>0</v>
      </c>
      <c r="BG428" s="93">
        <v>1</v>
      </c>
      <c r="BH428" s="93">
        <v>2</v>
      </c>
      <c r="BI428" s="93">
        <v>3</v>
      </c>
      <c r="BJ428" s="93">
        <v>4</v>
      </c>
      <c r="BK428" s="93">
        <v>5</v>
      </c>
      <c r="BL428" s="93">
        <v>6</v>
      </c>
      <c r="BM428" s="93">
        <v>7</v>
      </c>
      <c r="BN428" s="93">
        <v>8</v>
      </c>
      <c r="BO428" s="93">
        <v>9</v>
      </c>
      <c r="BP428" s="94" t="str">
        <f t="shared" si="321"/>
        <v>紧凑型</v>
      </c>
      <c r="BQ428" s="15">
        <f t="shared" si="318"/>
        <v>0</v>
      </c>
      <c r="BR428" s="15">
        <f t="shared" si="319"/>
        <v>1</v>
      </c>
      <c r="BS428" s="20" t="str">
        <f t="shared" si="323"/>
        <v/>
      </c>
      <c r="BT428" s="21" t="str">
        <f t="shared" si="324"/>
        <v/>
      </c>
      <c r="BU428" s="21" t="str">
        <f t="array" ref="BU428">_xlfn.TEXTJOIN("",TRUE,IF(ISERROR(FIND(ROW($1:$168)-1,BS428&amp;BT428)),ROW($1:$168)-1,""))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28" s="22" t="str">
        <f t="shared" si="325"/>
        <v>中中中</v>
      </c>
      <c r="BW428" s="23">
        <f t="shared" si="336"/>
        <v>1</v>
      </c>
      <c r="BX428" s="23">
        <f t="shared" si="334"/>
        <v>1</v>
      </c>
      <c r="BY428" s="23" t="str">
        <f t="array" ref="BY428">_xlfn.TEXTJOIN("",TRUE,IF(ISERROR(FIND(ROW($1:$168)-1,BW428&amp;BX428)),ROW($1:$168)-1,""))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28" s="22" t="str">
        <f t="shared" si="326"/>
        <v>复隔中</v>
      </c>
      <c r="CA428" s="24">
        <f t="shared" si="327"/>
        <v>1</v>
      </c>
      <c r="CB428" s="24">
        <f t="shared" si="335"/>
        <v>1</v>
      </c>
      <c r="CC428" s="24" t="str">
        <f t="array" ref="CC428">_xlfn.TEXTJOIN("",TRUE,IF(ISERROR(FIND(ROW($1:$168)-1,CA428&amp;CB428)),ROW($1:$168)-1,""))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28" s="22" t="str">
        <f t="shared" si="328"/>
        <v>复隔中</v>
      </c>
      <c r="CE428" s="25" t="str">
        <f t="shared" si="322"/>
        <v>91</v>
      </c>
      <c r="CF428" s="26" t="str">
        <f t="array" ref="CF428">_xlfn.TEXTJOIN("",TRUE,IF(ISNUMBER(FIND(MID(CE427&amp;W427,ROW($1:$162),1),CE428&amp;W428)),MID(CE427&amp;W427,ROW($1:$162),1),""))</f>
        <v>9</v>
      </c>
      <c r="CG428" s="27" t="str">
        <f t="array" ref="CG428">_xlfn.TEXTJOIN("",TRUE,IF(ISERROR(FIND(ROW($1:$168)-1,CE428&amp;CF428)),ROW($1:$168)-1,""))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428" s="28" t="str">
        <f t="shared" si="329"/>
        <v>邻传孤</v>
      </c>
      <c r="CI428" s="29" t="str">
        <f t="shared" si="330"/>
        <v>02</v>
      </c>
      <c r="CJ428" s="29" t="str">
        <f t="array" ref="CJ428">_xlfn.TEXTJOIN("",TRUE,IF(ISNUMBER(FIND(MID(CI427&amp;X427,ROW($1:$162),1),CI428&amp;X428)),MID(CI427&amp;X427,ROW($1:$162),1),""))</f>
        <v/>
      </c>
      <c r="CK428" s="29" t="str">
        <f t="array" ref="CK428">_xlfn.TEXTJOIN("",TRUE,IF(ISERROR(FIND(ROW($1:$168)-1,CI428&amp;CJ428)),ROW($1:$168)-1,""))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28" s="19" t="str">
        <f t="shared" si="331"/>
        <v>邻孤孤</v>
      </c>
      <c r="CM428" s="24" t="str">
        <f t="shared" si="332"/>
        <v>02</v>
      </c>
      <c r="CN428" s="24" t="str">
        <f t="array" ref="CN428">_xlfn.TEXTJOIN("",TRUE,IF(ISNUMBER(FIND(MID(CM427&amp;Y427,ROW($1:$162),1),CM428&amp;Y428)),MID(CM427&amp;Y427,ROW($1:$162),1),""))</f>
        <v>021</v>
      </c>
      <c r="CO428" s="24" t="str">
        <f t="array" ref="CO428">_xlfn.TEXTJOIN("",TRUE,IF(ISERROR(FIND(ROW($1:$168)-1,CM428&amp;CN428)),ROW($1:$168)-1,""))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28" s="30" t="str">
        <f t="shared" si="333"/>
        <v>邻传孤</v>
      </c>
    </row>
    <row r="429" spans="1:94">
      <c r="A429" s="15">
        <v>429</v>
      </c>
      <c r="B429" s="80">
        <v>2025046</v>
      </c>
      <c r="C429" s="8" t="s">
        <v>32</v>
      </c>
      <c r="D429" s="81">
        <f t="shared" si="313"/>
        <v>13</v>
      </c>
      <c r="E429" s="82">
        <f t="shared" si="314"/>
        <v>3</v>
      </c>
      <c r="F429" s="83">
        <f t="shared" si="306"/>
        <v>1.44444444444444</v>
      </c>
      <c r="G429" s="84" t="str">
        <f t="shared" si="307"/>
        <v>松散</v>
      </c>
      <c r="H429" s="85" t="s">
        <v>10</v>
      </c>
      <c r="I429" s="85" t="s">
        <v>11</v>
      </c>
      <c r="J429" s="85" t="s">
        <v>12</v>
      </c>
      <c r="K429" s="85" t="s">
        <v>13</v>
      </c>
      <c r="L429" s="86">
        <f>MAX(MID(C429,{1,2,3},1)*1)-MIN(MID(C429,{1,2,3},1)*1)</f>
        <v>9</v>
      </c>
      <c r="M429" s="87">
        <v>0</v>
      </c>
      <c r="N429" s="87">
        <v>1</v>
      </c>
      <c r="O429" s="87">
        <v>2</v>
      </c>
      <c r="P429" s="87">
        <v>3</v>
      </c>
      <c r="Q429" s="87">
        <v>4</v>
      </c>
      <c r="R429" s="87">
        <v>5</v>
      </c>
      <c r="S429" s="87">
        <v>6</v>
      </c>
      <c r="T429" s="87">
        <v>7</v>
      </c>
      <c r="U429" s="87">
        <v>8</v>
      </c>
      <c r="V429" s="87">
        <v>9</v>
      </c>
      <c r="W429" s="88">
        <f t="shared" si="315"/>
        <v>5</v>
      </c>
      <c r="X429" s="88">
        <f t="shared" si="316"/>
        <v>4</v>
      </c>
      <c r="Y429" s="88">
        <f t="shared" si="317"/>
        <v>9</v>
      </c>
      <c r="Z429" s="89">
        <f t="shared" si="320"/>
        <v>18</v>
      </c>
      <c r="AA429" s="17" t="str">
        <f>_xlfn.TEXTJOIN(", ",TRUE,ABS(MID(C429,{1,1,2},1)-MID(C429,{2,3,3},1)))</f>
        <v>5, 4, 9</v>
      </c>
      <c r="AB429" s="90">
        <v>0</v>
      </c>
      <c r="AC429" s="90">
        <v>1</v>
      </c>
      <c r="AD429" s="90">
        <v>2</v>
      </c>
      <c r="AE429" s="90">
        <v>3</v>
      </c>
      <c r="AF429" s="90">
        <v>4</v>
      </c>
      <c r="AG429" s="90">
        <v>5</v>
      </c>
      <c r="AH429" s="90">
        <v>6</v>
      </c>
      <c r="AI429" s="90">
        <v>7</v>
      </c>
      <c r="AJ429" s="90">
        <v>8</v>
      </c>
      <c r="AK429" s="90">
        <v>9</v>
      </c>
      <c r="AL429" s="91">
        <v>0</v>
      </c>
      <c r="AM429" s="91">
        <v>1</v>
      </c>
      <c r="AN429" s="91">
        <v>2</v>
      </c>
      <c r="AO429" s="91">
        <v>3</v>
      </c>
      <c r="AP429" s="91">
        <v>4</v>
      </c>
      <c r="AQ429" s="91">
        <v>5</v>
      </c>
      <c r="AR429" s="91">
        <v>6</v>
      </c>
      <c r="AS429" s="91">
        <v>7</v>
      </c>
      <c r="AT429" s="91">
        <v>8</v>
      </c>
      <c r="AU429" s="91">
        <v>9</v>
      </c>
      <c r="AV429" s="92">
        <v>0</v>
      </c>
      <c r="AW429" s="92">
        <v>1</v>
      </c>
      <c r="AX429" s="92">
        <v>2</v>
      </c>
      <c r="AY429" s="92">
        <v>3</v>
      </c>
      <c r="AZ429" s="92">
        <v>4</v>
      </c>
      <c r="BA429" s="92">
        <v>5</v>
      </c>
      <c r="BB429" s="92">
        <v>6</v>
      </c>
      <c r="BC429" s="92">
        <v>7</v>
      </c>
      <c r="BD429" s="92">
        <v>8</v>
      </c>
      <c r="BE429" s="92">
        <v>9</v>
      </c>
      <c r="BF429" s="93">
        <v>0</v>
      </c>
      <c r="BG429" s="93">
        <v>1</v>
      </c>
      <c r="BH429" s="93">
        <v>2</v>
      </c>
      <c r="BI429" s="93">
        <v>3</v>
      </c>
      <c r="BJ429" s="93">
        <v>4</v>
      </c>
      <c r="BK429" s="93">
        <v>5</v>
      </c>
      <c r="BL429" s="93">
        <v>6</v>
      </c>
      <c r="BM429" s="93">
        <v>7</v>
      </c>
      <c r="BN429" s="93">
        <v>8</v>
      </c>
      <c r="BO429" s="93">
        <v>9</v>
      </c>
      <c r="BP429" s="94" t="str">
        <f t="shared" si="321"/>
        <v>松散型</v>
      </c>
      <c r="BQ429" s="15">
        <f t="shared" si="318"/>
        <v>4</v>
      </c>
      <c r="BR429" s="15">
        <f t="shared" si="319"/>
        <v>9</v>
      </c>
      <c r="BS429" s="20" t="str">
        <f t="shared" si="323"/>
        <v/>
      </c>
      <c r="BT429" s="21" t="str">
        <f t="shared" si="324"/>
        <v/>
      </c>
      <c r="BU429" s="21" t="str">
        <f t="array" ref="BU429">_xlfn.TEXTJOIN("",TRUE,IF(ISERROR(FIND(ROW($1:$168)-1,BS429&amp;BT429)),ROW($1:$168)-1,""))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29" s="22" t="str">
        <f t="shared" si="325"/>
        <v>中中中</v>
      </c>
      <c r="BW429" s="23" t="str">
        <f t="shared" si="336"/>
        <v/>
      </c>
      <c r="BX429" s="23" t="str">
        <f t="shared" si="334"/>
        <v/>
      </c>
      <c r="BY429" s="23" t="str">
        <f t="array" ref="BY429">_xlfn.TEXTJOIN("",TRUE,IF(ISERROR(FIND(ROW($1:$168)-1,BW429&amp;BX429)),ROW($1:$168)-1,""))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29" s="22" t="str">
        <f t="shared" si="326"/>
        <v>中中中</v>
      </c>
      <c r="CA429" s="24" t="str">
        <f t="shared" si="327"/>
        <v/>
      </c>
      <c r="CB429" s="24" t="str">
        <f t="shared" si="335"/>
        <v/>
      </c>
      <c r="CC429" s="24" t="str">
        <f t="array" ref="CC429">_xlfn.TEXTJOIN("",TRUE,IF(ISERROR(FIND(ROW($1:$168)-1,CA429&amp;CB429)),ROW($1:$168)-1,""))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29" s="22" t="str">
        <f t="shared" si="328"/>
        <v>中中中</v>
      </c>
      <c r="CE429" s="25" t="str">
        <f t="shared" si="322"/>
        <v>46</v>
      </c>
      <c r="CF429" s="26" t="str">
        <f t="array" ref="CF429">_xlfn.TEXTJOIN("",TRUE,IF(ISNUMBER(FIND(MID(CE428&amp;W428,ROW($1:$162),1),CE429&amp;W429)),MID(CE428&amp;W428,ROW($1:$162),1),""))</f>
        <v/>
      </c>
      <c r="CG429" s="27" t="str">
        <f t="array" ref="CG429">_xlfn.TEXTJOIN("",TRUE,IF(ISERROR(FIND(ROW($1:$168)-1,CE429&amp;CF429)),ROW($1:$168)-1,""))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29" s="28" t="str">
        <f t="shared" si="329"/>
        <v>邻孤孤</v>
      </c>
      <c r="CI429" s="29" t="str">
        <f t="shared" si="330"/>
        <v>35</v>
      </c>
      <c r="CJ429" s="29" t="str">
        <f t="array" ref="CJ429">_xlfn.TEXTJOIN("",TRUE,IF(ISNUMBER(FIND(MID(CI428&amp;X428,ROW($1:$162),1),CI429&amp;X429)),MID(CI428&amp;X428,ROW($1:$162),1),""))</f>
        <v/>
      </c>
      <c r="CK429" s="29" t="str">
        <f t="array" ref="CK429">_xlfn.TEXTJOIN("",TRUE,IF(ISERROR(FIND(ROW($1:$168)-1,CI429&amp;CJ429)),ROW($1:$168)-1,""))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29" s="19" t="str">
        <f t="shared" si="331"/>
        <v>邻孤孤</v>
      </c>
      <c r="CM429" s="24" t="str">
        <f t="shared" si="332"/>
        <v>80</v>
      </c>
      <c r="CN429" s="24" t="str">
        <f t="array" ref="CN429">_xlfn.TEXTJOIN("",TRUE,IF(ISNUMBER(FIND(MID(CM428&amp;Y428,ROW($1:$162),1),CM429&amp;Y429)),MID(CM428&amp;Y428,ROW($1:$162),1),""))</f>
        <v>0</v>
      </c>
      <c r="CO429" s="24" t="str">
        <f t="array" ref="CO429">_xlfn.TEXTJOIN("",TRUE,IF(ISERROR(FIND(ROW($1:$168)-1,CM429&amp;CN429)),ROW($1:$168)-1,""))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429" s="30" t="str">
        <f t="shared" si="333"/>
        <v>邻传孤</v>
      </c>
    </row>
    <row r="430" spans="1:94">
      <c r="A430" s="15">
        <v>430</v>
      </c>
      <c r="B430" s="80">
        <v>2025047</v>
      </c>
      <c r="C430" s="8" t="s">
        <v>294</v>
      </c>
      <c r="D430" s="81">
        <f t="shared" si="313"/>
        <v>14</v>
      </c>
      <c r="E430" s="82">
        <f t="shared" si="314"/>
        <v>4</v>
      </c>
      <c r="F430" s="83">
        <f t="shared" si="306"/>
        <v>2.33333333333333</v>
      </c>
      <c r="G430" s="84" t="str">
        <f t="shared" si="307"/>
        <v>标准</v>
      </c>
      <c r="H430" s="85" t="s">
        <v>10</v>
      </c>
      <c r="I430" s="85" t="s">
        <v>11</v>
      </c>
      <c r="J430" s="85" t="s">
        <v>12</v>
      </c>
      <c r="K430" s="85" t="s">
        <v>13</v>
      </c>
      <c r="L430" s="86">
        <f>MAX(MID(C430,{1,2,3},1)*1)-MIN(MID(C430,{1,2,3},1)*1)</f>
        <v>6</v>
      </c>
      <c r="M430" s="87">
        <v>0</v>
      </c>
      <c r="N430" s="87">
        <v>1</v>
      </c>
      <c r="O430" s="87">
        <v>2</v>
      </c>
      <c r="P430" s="87">
        <v>3</v>
      </c>
      <c r="Q430" s="87">
        <v>4</v>
      </c>
      <c r="R430" s="87">
        <v>5</v>
      </c>
      <c r="S430" s="87">
        <v>6</v>
      </c>
      <c r="T430" s="87">
        <v>7</v>
      </c>
      <c r="U430" s="87">
        <v>8</v>
      </c>
      <c r="V430" s="87">
        <v>9</v>
      </c>
      <c r="W430" s="88">
        <f t="shared" si="315"/>
        <v>2</v>
      </c>
      <c r="X430" s="88">
        <f t="shared" si="316"/>
        <v>6</v>
      </c>
      <c r="Y430" s="88">
        <f t="shared" si="317"/>
        <v>4</v>
      </c>
      <c r="Z430" s="89">
        <f t="shared" si="320"/>
        <v>12</v>
      </c>
      <c r="AA430" s="17" t="str">
        <f>_xlfn.TEXTJOIN(", ",TRUE,ABS(MID(C430,{1,1,2},1)-MID(C430,{2,3,3},1)))</f>
        <v>2, 6, 4</v>
      </c>
      <c r="AB430" s="90">
        <v>0</v>
      </c>
      <c r="AC430" s="90">
        <v>1</v>
      </c>
      <c r="AD430" s="90">
        <v>2</v>
      </c>
      <c r="AE430" s="90">
        <v>3</v>
      </c>
      <c r="AF430" s="90">
        <v>4</v>
      </c>
      <c r="AG430" s="90">
        <v>5</v>
      </c>
      <c r="AH430" s="90">
        <v>6</v>
      </c>
      <c r="AI430" s="90">
        <v>7</v>
      </c>
      <c r="AJ430" s="90">
        <v>8</v>
      </c>
      <c r="AK430" s="90">
        <v>9</v>
      </c>
      <c r="AL430" s="91">
        <v>0</v>
      </c>
      <c r="AM430" s="91">
        <v>1</v>
      </c>
      <c r="AN430" s="91">
        <v>2</v>
      </c>
      <c r="AO430" s="91">
        <v>3</v>
      </c>
      <c r="AP430" s="91">
        <v>4</v>
      </c>
      <c r="AQ430" s="91">
        <v>5</v>
      </c>
      <c r="AR430" s="91">
        <v>6</v>
      </c>
      <c r="AS430" s="91">
        <v>7</v>
      </c>
      <c r="AT430" s="91">
        <v>8</v>
      </c>
      <c r="AU430" s="91">
        <v>9</v>
      </c>
      <c r="AV430" s="92">
        <v>0</v>
      </c>
      <c r="AW430" s="92">
        <v>1</v>
      </c>
      <c r="AX430" s="92">
        <v>2</v>
      </c>
      <c r="AY430" s="92">
        <v>3</v>
      </c>
      <c r="AZ430" s="92">
        <v>4</v>
      </c>
      <c r="BA430" s="92">
        <v>5</v>
      </c>
      <c r="BB430" s="92">
        <v>6</v>
      </c>
      <c r="BC430" s="92">
        <v>7</v>
      </c>
      <c r="BD430" s="92">
        <v>8</v>
      </c>
      <c r="BE430" s="92">
        <v>9</v>
      </c>
      <c r="BF430" s="93">
        <v>0</v>
      </c>
      <c r="BG430" s="93">
        <v>1</v>
      </c>
      <c r="BH430" s="93">
        <v>2</v>
      </c>
      <c r="BI430" s="93">
        <v>3</v>
      </c>
      <c r="BJ430" s="93">
        <v>4</v>
      </c>
      <c r="BK430" s="93">
        <v>5</v>
      </c>
      <c r="BL430" s="93">
        <v>6</v>
      </c>
      <c r="BM430" s="93">
        <v>7</v>
      </c>
      <c r="BN430" s="93">
        <v>8</v>
      </c>
      <c r="BO430" s="93">
        <v>9</v>
      </c>
      <c r="BP430" s="94" t="str">
        <f t="shared" si="321"/>
        <v>松散型</v>
      </c>
      <c r="BQ430" s="15">
        <f t="shared" si="318"/>
        <v>2</v>
      </c>
      <c r="BR430" s="15">
        <f t="shared" si="319"/>
        <v>6</v>
      </c>
      <c r="BS430" s="20" t="str">
        <f t="shared" si="323"/>
        <v/>
      </c>
      <c r="BT430" s="21" t="str">
        <f t="shared" si="324"/>
        <v/>
      </c>
      <c r="BU430" s="21" t="str">
        <f t="array" ref="BU430">_xlfn.TEXTJOIN("",TRUE,IF(ISERROR(FIND(ROW($1:$168)-1,BS430&amp;BT430)),ROW($1:$168)-1,""))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30" s="22" t="str">
        <f t="shared" si="325"/>
        <v>中中中</v>
      </c>
      <c r="BW430" s="23" t="str">
        <f t="shared" si="336"/>
        <v/>
      </c>
      <c r="BX430" s="23" t="str">
        <f t="shared" si="334"/>
        <v/>
      </c>
      <c r="BY430" s="23" t="str">
        <f t="array" ref="BY430">_xlfn.TEXTJOIN("",TRUE,IF(ISERROR(FIND(ROW($1:$168)-1,BW430&amp;BX430)),ROW($1:$168)-1,""))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30" s="22" t="str">
        <f t="shared" si="326"/>
        <v>中中中</v>
      </c>
      <c r="CA430" s="24">
        <f t="shared" si="327"/>
        <v>4</v>
      </c>
      <c r="CB430" s="24" t="str">
        <f t="shared" si="335"/>
        <v/>
      </c>
      <c r="CC430" s="24" t="str">
        <f t="array" ref="CC430">_xlfn.TEXTJOIN("",TRUE,IF(ISERROR(FIND(ROW($1:$168)-1,CA430&amp;CB430)),ROW($1:$168)-1,""))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30" s="22" t="str">
        <f t="shared" si="328"/>
        <v>复中中</v>
      </c>
      <c r="CE430" s="25" t="str">
        <f t="shared" si="322"/>
        <v>13</v>
      </c>
      <c r="CF430" s="26" t="str">
        <f t="array" ref="CF430">_xlfn.TEXTJOIN("",TRUE,IF(ISNUMBER(FIND(MID(CE429&amp;W429,ROW($1:$162),1),CE430&amp;W430)),MID(CE429&amp;W429,ROW($1:$162),1),""))</f>
        <v/>
      </c>
      <c r="CG430" s="27" t="str">
        <f t="array" ref="CG430">_xlfn.TEXTJOIN("",TRUE,IF(ISERROR(FIND(ROW($1:$168)-1,CE430&amp;CF430)),ROW($1:$168)-1,""))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30" s="28" t="str">
        <f t="shared" si="329"/>
        <v>邻孤孤</v>
      </c>
      <c r="CI430" s="29" t="str">
        <f t="shared" si="330"/>
        <v>57</v>
      </c>
      <c r="CJ430" s="29" t="str">
        <f t="array" ref="CJ430">_xlfn.TEXTJOIN("",TRUE,IF(ISNUMBER(FIND(MID(CI429&amp;X429,ROW($1:$162),1),CI430&amp;X430)),MID(CI429&amp;X429,ROW($1:$162),1),""))</f>
        <v>5</v>
      </c>
      <c r="CK430" s="29" t="str">
        <f t="array" ref="CK430">_xlfn.TEXTJOIN("",TRUE,IF(ISERROR(FIND(ROW($1:$168)-1,CI430&amp;CJ430)),ROW($1:$168)-1,""))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30" s="19" t="str">
        <f t="shared" si="331"/>
        <v>邻传孤</v>
      </c>
      <c r="CM430" s="24" t="str">
        <f t="shared" si="332"/>
        <v>35</v>
      </c>
      <c r="CN430" s="24" t="str">
        <f t="array" ref="CN430">_xlfn.TEXTJOIN("",TRUE,IF(ISNUMBER(FIND(MID(CM429&amp;Y429,ROW($1:$162),1),CM430&amp;Y430)),MID(CM429&amp;Y429,ROW($1:$162),1),""))</f>
        <v/>
      </c>
      <c r="CO430" s="24" t="str">
        <f t="array" ref="CO430">_xlfn.TEXTJOIN("",TRUE,IF(ISERROR(FIND(ROW($1:$168)-1,CM430&amp;CN430)),ROW($1:$168)-1,""))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30" s="30" t="str">
        <f t="shared" si="333"/>
        <v>邻孤孤</v>
      </c>
    </row>
    <row r="431" spans="1:94">
      <c r="A431" s="15">
        <v>431</v>
      </c>
      <c r="B431" s="80">
        <v>2025048</v>
      </c>
      <c r="C431" s="8" t="s">
        <v>183</v>
      </c>
      <c r="D431" s="81">
        <f t="shared" si="313"/>
        <v>10</v>
      </c>
      <c r="E431" s="82">
        <f t="shared" si="314"/>
        <v>0</v>
      </c>
      <c r="F431" s="83">
        <f t="shared" si="306"/>
        <v>1.66666666666667</v>
      </c>
      <c r="G431" s="84" t="str">
        <f t="shared" si="307"/>
        <v>松散</v>
      </c>
      <c r="H431" s="85" t="s">
        <v>10</v>
      </c>
      <c r="I431" s="85" t="s">
        <v>11</v>
      </c>
      <c r="J431" s="85" t="s">
        <v>12</v>
      </c>
      <c r="K431" s="85" t="s">
        <v>13</v>
      </c>
      <c r="L431" s="86">
        <f>MAX(MID(C431,{1,2,3},1)*1)-MIN(MID(C431,{1,2,3},1)*1)</f>
        <v>6</v>
      </c>
      <c r="M431" s="87">
        <v>0</v>
      </c>
      <c r="N431" s="87">
        <v>1</v>
      </c>
      <c r="O431" s="87">
        <v>2</v>
      </c>
      <c r="P431" s="87">
        <v>3</v>
      </c>
      <c r="Q431" s="87">
        <v>4</v>
      </c>
      <c r="R431" s="87">
        <v>5</v>
      </c>
      <c r="S431" s="87">
        <v>6</v>
      </c>
      <c r="T431" s="87">
        <v>7</v>
      </c>
      <c r="U431" s="87">
        <v>8</v>
      </c>
      <c r="V431" s="87">
        <v>9</v>
      </c>
      <c r="W431" s="88">
        <f t="shared" si="315"/>
        <v>2</v>
      </c>
      <c r="X431" s="88">
        <f t="shared" si="316"/>
        <v>6</v>
      </c>
      <c r="Y431" s="88">
        <f t="shared" si="317"/>
        <v>4</v>
      </c>
      <c r="Z431" s="89">
        <f t="shared" si="320"/>
        <v>12</v>
      </c>
      <c r="AA431" s="17" t="str">
        <f>_xlfn.TEXTJOIN(", ",TRUE,ABS(MID(C431,{1,1,2},1)-MID(C431,{2,3,3},1)))</f>
        <v>2, 6, 4</v>
      </c>
      <c r="AB431" s="90">
        <v>0</v>
      </c>
      <c r="AC431" s="90">
        <v>1</v>
      </c>
      <c r="AD431" s="90">
        <v>2</v>
      </c>
      <c r="AE431" s="90">
        <v>3</v>
      </c>
      <c r="AF431" s="90">
        <v>4</v>
      </c>
      <c r="AG431" s="90">
        <v>5</v>
      </c>
      <c r="AH431" s="90">
        <v>6</v>
      </c>
      <c r="AI431" s="90">
        <v>7</v>
      </c>
      <c r="AJ431" s="90">
        <v>8</v>
      </c>
      <c r="AK431" s="90">
        <v>9</v>
      </c>
      <c r="AL431" s="91">
        <v>0</v>
      </c>
      <c r="AM431" s="91">
        <v>1</v>
      </c>
      <c r="AN431" s="91">
        <v>2</v>
      </c>
      <c r="AO431" s="91">
        <v>3</v>
      </c>
      <c r="AP431" s="91">
        <v>4</v>
      </c>
      <c r="AQ431" s="91">
        <v>5</v>
      </c>
      <c r="AR431" s="91">
        <v>6</v>
      </c>
      <c r="AS431" s="91">
        <v>7</v>
      </c>
      <c r="AT431" s="91">
        <v>8</v>
      </c>
      <c r="AU431" s="91">
        <v>9</v>
      </c>
      <c r="AV431" s="92">
        <v>0</v>
      </c>
      <c r="AW431" s="92">
        <v>1</v>
      </c>
      <c r="AX431" s="92">
        <v>2</v>
      </c>
      <c r="AY431" s="92">
        <v>3</v>
      </c>
      <c r="AZ431" s="92">
        <v>4</v>
      </c>
      <c r="BA431" s="92">
        <v>5</v>
      </c>
      <c r="BB431" s="92">
        <v>6</v>
      </c>
      <c r="BC431" s="92">
        <v>7</v>
      </c>
      <c r="BD431" s="92">
        <v>8</v>
      </c>
      <c r="BE431" s="92">
        <v>9</v>
      </c>
      <c r="BF431" s="93">
        <v>0</v>
      </c>
      <c r="BG431" s="93">
        <v>1</v>
      </c>
      <c r="BH431" s="93">
        <v>2</v>
      </c>
      <c r="BI431" s="93">
        <v>3</v>
      </c>
      <c r="BJ431" s="93">
        <v>4</v>
      </c>
      <c r="BK431" s="93">
        <v>5</v>
      </c>
      <c r="BL431" s="93">
        <v>6</v>
      </c>
      <c r="BM431" s="93">
        <v>7</v>
      </c>
      <c r="BN431" s="93">
        <v>8</v>
      </c>
      <c r="BO431" s="93">
        <v>9</v>
      </c>
      <c r="BP431" s="94" t="str">
        <f t="shared" si="321"/>
        <v>松散型</v>
      </c>
      <c r="BQ431" s="15">
        <f t="shared" si="318"/>
        <v>2</v>
      </c>
      <c r="BR431" s="15">
        <f t="shared" si="319"/>
        <v>6</v>
      </c>
      <c r="BS431" s="20">
        <f t="shared" si="323"/>
        <v>2</v>
      </c>
      <c r="BT431" s="21" t="str">
        <f t="shared" si="324"/>
        <v/>
      </c>
      <c r="BU431" s="21" t="str">
        <f t="array" ref="BU431">_xlfn.TEXTJOIN("",TRUE,IF(ISERROR(FIND(ROW($1:$168)-1,BS431&amp;BT431)),ROW($1:$168)-1,""))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31" s="22" t="str">
        <f t="shared" si="325"/>
        <v>复中中</v>
      </c>
      <c r="BW431" s="23">
        <f t="shared" si="336"/>
        <v>6</v>
      </c>
      <c r="BX431" s="23" t="str">
        <f t="shared" si="334"/>
        <v/>
      </c>
      <c r="BY431" s="23" t="str">
        <f t="array" ref="BY431">_xlfn.TEXTJOIN("",TRUE,IF(ISERROR(FIND(ROW($1:$168)-1,BW431&amp;BX431)),ROW($1:$168)-1,""))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31" s="22" t="str">
        <f t="shared" si="326"/>
        <v>复中中</v>
      </c>
      <c r="CA431" s="24">
        <f t="shared" si="327"/>
        <v>4</v>
      </c>
      <c r="CB431" s="24">
        <f t="shared" si="335"/>
        <v>4</v>
      </c>
      <c r="CC431" s="24" t="str">
        <f t="array" ref="CC431">_xlfn.TEXTJOIN("",TRUE,IF(ISERROR(FIND(ROW($1:$168)-1,CA431&amp;CB431)),ROW($1:$168)-1,""))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31" s="22" t="str">
        <f t="shared" si="328"/>
        <v>复隔中</v>
      </c>
      <c r="CE431" s="25" t="str">
        <f t="shared" si="322"/>
        <v>13</v>
      </c>
      <c r="CF431" s="26" t="str">
        <f t="array" ref="CF431">_xlfn.TEXTJOIN("",TRUE,IF(ISNUMBER(FIND(MID(CE430&amp;W430,ROW($1:$162),1),CE431&amp;W431)),MID(CE430&amp;W430,ROW($1:$162),1),""))</f>
        <v>132</v>
      </c>
      <c r="CG431" s="27" t="str">
        <f t="array" ref="CG431">_xlfn.TEXTJOIN("",TRUE,IF(ISERROR(FIND(ROW($1:$168)-1,CE431&amp;CF431)),ROW($1:$168)-1,""))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431" s="28" t="str">
        <f t="shared" si="329"/>
        <v>邻传孤</v>
      </c>
      <c r="CI431" s="29" t="str">
        <f t="shared" si="330"/>
        <v>57</v>
      </c>
      <c r="CJ431" s="29" t="str">
        <f t="array" ref="CJ431">_xlfn.TEXTJOIN("",TRUE,IF(ISNUMBER(FIND(MID(CI430&amp;X430,ROW($1:$162),1),CI431&amp;X431)),MID(CI430&amp;X430,ROW($1:$162),1),""))</f>
        <v>576</v>
      </c>
      <c r="CK431" s="29" t="str">
        <f t="array" ref="CK431">_xlfn.TEXTJOIN("",TRUE,IF(ISERROR(FIND(ROW($1:$168)-1,CI431&amp;CJ431)),ROW($1:$168)-1,""))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31" s="19" t="str">
        <f t="shared" si="331"/>
        <v>邻传孤</v>
      </c>
      <c r="CM431" s="24" t="str">
        <f t="shared" si="332"/>
        <v>35</v>
      </c>
      <c r="CN431" s="24" t="str">
        <f t="array" ref="CN431">_xlfn.TEXTJOIN("",TRUE,IF(ISNUMBER(FIND(MID(CM430&amp;Y430,ROW($1:$162),1),CM431&amp;Y431)),MID(CM430&amp;Y430,ROW($1:$162),1),""))</f>
        <v>354</v>
      </c>
      <c r="CO431" s="24" t="str">
        <f t="array" ref="CO431">_xlfn.TEXTJOIN("",TRUE,IF(ISERROR(FIND(ROW($1:$168)-1,CM431&amp;CN431)),ROW($1:$168)-1,""))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31" s="30" t="str">
        <f t="shared" si="333"/>
        <v>邻传孤</v>
      </c>
    </row>
    <row r="432" spans="1:94">
      <c r="A432" s="15">
        <v>432</v>
      </c>
      <c r="B432" s="80">
        <v>2025049</v>
      </c>
      <c r="C432" s="8" t="s">
        <v>374</v>
      </c>
      <c r="D432" s="81">
        <f t="shared" si="313"/>
        <v>4</v>
      </c>
      <c r="E432" s="82">
        <f t="shared" si="314"/>
        <v>4</v>
      </c>
      <c r="F432" s="83">
        <f t="shared" si="306"/>
        <v>1</v>
      </c>
      <c r="G432" s="84" t="str">
        <f t="shared" si="307"/>
        <v>松散</v>
      </c>
      <c r="H432" s="85" t="s">
        <v>10</v>
      </c>
      <c r="I432" s="85" t="s">
        <v>11</v>
      </c>
      <c r="J432" s="85" t="s">
        <v>12</v>
      </c>
      <c r="K432" s="85" t="s">
        <v>13</v>
      </c>
      <c r="L432" s="86">
        <f>MAX(MID(C432,{1,2,3},1)*1)-MIN(MID(C432,{1,2,3},1)*1)</f>
        <v>4</v>
      </c>
      <c r="M432" s="87">
        <v>0</v>
      </c>
      <c r="N432" s="87">
        <v>1</v>
      </c>
      <c r="O432" s="87">
        <v>2</v>
      </c>
      <c r="P432" s="87">
        <v>3</v>
      </c>
      <c r="Q432" s="87">
        <v>4</v>
      </c>
      <c r="R432" s="87">
        <v>5</v>
      </c>
      <c r="S432" s="87">
        <v>6</v>
      </c>
      <c r="T432" s="87">
        <v>7</v>
      </c>
      <c r="U432" s="87">
        <v>8</v>
      </c>
      <c r="V432" s="87">
        <v>9</v>
      </c>
      <c r="W432" s="88">
        <f t="shared" si="315"/>
        <v>0</v>
      </c>
      <c r="X432" s="88">
        <f t="shared" si="316"/>
        <v>4</v>
      </c>
      <c r="Y432" s="88">
        <f t="shared" si="317"/>
        <v>4</v>
      </c>
      <c r="Z432" s="89">
        <f t="shared" si="320"/>
        <v>8</v>
      </c>
      <c r="AA432" s="17" t="str">
        <f>_xlfn.TEXTJOIN(", ",TRUE,ABS(MID(C432,{1,1,2},1)-MID(C432,{2,3,3},1)))</f>
        <v>0, 4, 4</v>
      </c>
      <c r="AB432" s="90">
        <v>0</v>
      </c>
      <c r="AC432" s="90">
        <v>1</v>
      </c>
      <c r="AD432" s="90">
        <v>2</v>
      </c>
      <c r="AE432" s="90">
        <v>3</v>
      </c>
      <c r="AF432" s="90">
        <v>4</v>
      </c>
      <c r="AG432" s="90">
        <v>5</v>
      </c>
      <c r="AH432" s="90">
        <v>6</v>
      </c>
      <c r="AI432" s="90">
        <v>7</v>
      </c>
      <c r="AJ432" s="90">
        <v>8</v>
      </c>
      <c r="AK432" s="90">
        <v>9</v>
      </c>
      <c r="AL432" s="91">
        <v>0</v>
      </c>
      <c r="AM432" s="91">
        <v>1</v>
      </c>
      <c r="AN432" s="91">
        <v>2</v>
      </c>
      <c r="AO432" s="91">
        <v>3</v>
      </c>
      <c r="AP432" s="91">
        <v>4</v>
      </c>
      <c r="AQ432" s="91">
        <v>5</v>
      </c>
      <c r="AR432" s="91">
        <v>6</v>
      </c>
      <c r="AS432" s="91">
        <v>7</v>
      </c>
      <c r="AT432" s="91">
        <v>8</v>
      </c>
      <c r="AU432" s="91">
        <v>9</v>
      </c>
      <c r="AV432" s="92">
        <v>0</v>
      </c>
      <c r="AW432" s="92">
        <v>1</v>
      </c>
      <c r="AX432" s="92">
        <v>2</v>
      </c>
      <c r="AY432" s="92">
        <v>3</v>
      </c>
      <c r="AZ432" s="92">
        <v>4</v>
      </c>
      <c r="BA432" s="92">
        <v>5</v>
      </c>
      <c r="BB432" s="92">
        <v>6</v>
      </c>
      <c r="BC432" s="92">
        <v>7</v>
      </c>
      <c r="BD432" s="92">
        <v>8</v>
      </c>
      <c r="BE432" s="92">
        <v>9</v>
      </c>
      <c r="BF432" s="93">
        <v>0</v>
      </c>
      <c r="BG432" s="93">
        <v>1</v>
      </c>
      <c r="BH432" s="93">
        <v>2</v>
      </c>
      <c r="BI432" s="93">
        <v>3</v>
      </c>
      <c r="BJ432" s="93">
        <v>4</v>
      </c>
      <c r="BK432" s="93">
        <v>5</v>
      </c>
      <c r="BL432" s="93">
        <v>6</v>
      </c>
      <c r="BM432" s="93">
        <v>7</v>
      </c>
      <c r="BN432" s="93">
        <v>8</v>
      </c>
      <c r="BO432" s="93">
        <v>9</v>
      </c>
      <c r="BP432" s="94" t="str">
        <f t="shared" si="321"/>
        <v>紧凑型</v>
      </c>
      <c r="BQ432" s="15">
        <f t="shared" si="318"/>
        <v>0</v>
      </c>
      <c r="BR432" s="15">
        <f t="shared" si="319"/>
        <v>4</v>
      </c>
      <c r="BS432" s="20" t="str">
        <f t="shared" si="323"/>
        <v/>
      </c>
      <c r="BT432" s="21" t="str">
        <f t="shared" si="324"/>
        <v/>
      </c>
      <c r="BU432" s="21" t="str">
        <f t="array" ref="BU432">_xlfn.TEXTJOIN("",TRUE,IF(ISERROR(FIND(ROW($1:$168)-1,BS432&amp;BT432)),ROW($1:$168)-1,""))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32" s="22" t="str">
        <f t="shared" si="325"/>
        <v>中中中</v>
      </c>
      <c r="BW432" s="23">
        <f t="shared" si="336"/>
        <v>4</v>
      </c>
      <c r="BX432" s="23">
        <f t="shared" si="334"/>
        <v>4</v>
      </c>
      <c r="BY432" s="23" t="str">
        <f t="array" ref="BY432">_xlfn.TEXTJOIN("",TRUE,IF(ISERROR(FIND(ROW($1:$168)-1,BW432&amp;BX432)),ROW($1:$168)-1,""))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32" s="22" t="str">
        <f t="shared" si="326"/>
        <v>复隔中</v>
      </c>
      <c r="CA432" s="24">
        <f t="shared" si="327"/>
        <v>4</v>
      </c>
      <c r="CB432" s="24">
        <f t="shared" si="335"/>
        <v>4</v>
      </c>
      <c r="CC432" s="24" t="str">
        <f t="array" ref="CC432">_xlfn.TEXTJOIN("",TRUE,IF(ISERROR(FIND(ROW($1:$168)-1,CA432&amp;CB432)),ROW($1:$168)-1,""))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32" s="22" t="str">
        <f t="shared" si="328"/>
        <v>复隔中</v>
      </c>
      <c r="CE432" s="25" t="str">
        <f t="shared" si="322"/>
        <v>91</v>
      </c>
      <c r="CF432" s="26" t="str">
        <f t="array" ref="CF432">_xlfn.TEXTJOIN("",TRUE,IF(ISNUMBER(FIND(MID(CE431&amp;W431,ROW($1:$162),1),CE432&amp;W432)),MID(CE431&amp;W431,ROW($1:$162),1),""))</f>
        <v>1</v>
      </c>
      <c r="CG432" s="27" t="str">
        <f t="array" ref="CG432">_xlfn.TEXTJOIN("",TRUE,IF(ISERROR(FIND(ROW($1:$168)-1,CE432&amp;CF432)),ROW($1:$168)-1,""))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432" s="28" t="str">
        <f t="shared" si="329"/>
        <v>邻传孤</v>
      </c>
      <c r="CI432" s="29" t="str">
        <f t="shared" si="330"/>
        <v>35</v>
      </c>
      <c r="CJ432" s="29" t="str">
        <f t="array" ref="CJ432">_xlfn.TEXTJOIN("",TRUE,IF(ISNUMBER(FIND(MID(CI431&amp;X431,ROW($1:$162),1),CI432&amp;X432)),MID(CI431&amp;X431,ROW($1:$162),1),""))</f>
        <v>5</v>
      </c>
      <c r="CK432" s="29" t="str">
        <f t="array" ref="CK432">_xlfn.TEXTJOIN("",TRUE,IF(ISERROR(FIND(ROW($1:$168)-1,CI432&amp;CJ432)),ROW($1:$168)-1,""))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32" s="19" t="str">
        <f t="shared" si="331"/>
        <v>邻传孤</v>
      </c>
      <c r="CM432" s="24" t="str">
        <f t="shared" si="332"/>
        <v>35</v>
      </c>
      <c r="CN432" s="24" t="str">
        <f t="array" ref="CN432">_xlfn.TEXTJOIN("",TRUE,IF(ISNUMBER(FIND(MID(CM431&amp;Y431,ROW($1:$162),1),CM432&amp;Y432)),MID(CM431&amp;Y431,ROW($1:$162),1),""))</f>
        <v>354</v>
      </c>
      <c r="CO432" s="24" t="str">
        <f t="array" ref="CO432">_xlfn.TEXTJOIN("",TRUE,IF(ISERROR(FIND(ROW($1:$168)-1,CM432&amp;CN432)),ROW($1:$168)-1,""))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32" s="30" t="str">
        <f t="shared" si="333"/>
        <v>邻传孤</v>
      </c>
    </row>
    <row r="433" spans="1:94">
      <c r="A433" s="15">
        <v>433</v>
      </c>
      <c r="B433" s="80">
        <v>2025050</v>
      </c>
      <c r="C433" s="8" t="s">
        <v>61</v>
      </c>
      <c r="D433" s="81">
        <f t="shared" si="313"/>
        <v>14</v>
      </c>
      <c r="E433" s="82">
        <f t="shared" si="314"/>
        <v>4</v>
      </c>
      <c r="F433" s="83">
        <f t="shared" si="306"/>
        <v>1.75</v>
      </c>
      <c r="G433" s="84" t="str">
        <f t="shared" si="307"/>
        <v>松散</v>
      </c>
      <c r="H433" s="85" t="s">
        <v>10</v>
      </c>
      <c r="I433" s="85" t="s">
        <v>11</v>
      </c>
      <c r="J433" s="85" t="s">
        <v>12</v>
      </c>
      <c r="K433" s="85" t="s">
        <v>13</v>
      </c>
      <c r="L433" s="86">
        <f>MAX(MID(C433,{1,2,3},1)*1)-MIN(MID(C433,{1,2,3},1)*1)</f>
        <v>8</v>
      </c>
      <c r="M433" s="87">
        <v>0</v>
      </c>
      <c r="N433" s="87">
        <v>1</v>
      </c>
      <c r="O433" s="87">
        <v>2</v>
      </c>
      <c r="P433" s="87">
        <v>3</v>
      </c>
      <c r="Q433" s="87">
        <v>4</v>
      </c>
      <c r="R433" s="87">
        <v>5</v>
      </c>
      <c r="S433" s="87">
        <v>6</v>
      </c>
      <c r="T433" s="87">
        <v>7</v>
      </c>
      <c r="U433" s="87">
        <v>8</v>
      </c>
      <c r="V433" s="87">
        <v>9</v>
      </c>
      <c r="W433" s="88">
        <f t="shared" si="315"/>
        <v>8</v>
      </c>
      <c r="X433" s="88">
        <f t="shared" si="316"/>
        <v>2</v>
      </c>
      <c r="Y433" s="88">
        <f t="shared" si="317"/>
        <v>6</v>
      </c>
      <c r="Z433" s="89">
        <f t="shared" si="320"/>
        <v>16</v>
      </c>
      <c r="AA433" s="17" t="str">
        <f>_xlfn.TEXTJOIN(", ",TRUE,ABS(MID(C433,{1,1,2},1)-MID(C433,{2,3,3},1)))</f>
        <v>8, 2, 6</v>
      </c>
      <c r="AB433" s="90">
        <v>0</v>
      </c>
      <c r="AC433" s="90">
        <v>1</v>
      </c>
      <c r="AD433" s="90">
        <v>2</v>
      </c>
      <c r="AE433" s="90">
        <v>3</v>
      </c>
      <c r="AF433" s="90">
        <v>4</v>
      </c>
      <c r="AG433" s="90">
        <v>5</v>
      </c>
      <c r="AH433" s="90">
        <v>6</v>
      </c>
      <c r="AI433" s="90">
        <v>7</v>
      </c>
      <c r="AJ433" s="90">
        <v>8</v>
      </c>
      <c r="AK433" s="90">
        <v>9</v>
      </c>
      <c r="AL433" s="91">
        <v>0</v>
      </c>
      <c r="AM433" s="91">
        <v>1</v>
      </c>
      <c r="AN433" s="91">
        <v>2</v>
      </c>
      <c r="AO433" s="91">
        <v>3</v>
      </c>
      <c r="AP433" s="91">
        <v>4</v>
      </c>
      <c r="AQ433" s="91">
        <v>5</v>
      </c>
      <c r="AR433" s="91">
        <v>6</v>
      </c>
      <c r="AS433" s="91">
        <v>7</v>
      </c>
      <c r="AT433" s="91">
        <v>8</v>
      </c>
      <c r="AU433" s="91">
        <v>9</v>
      </c>
      <c r="AV433" s="92">
        <v>0</v>
      </c>
      <c r="AW433" s="92">
        <v>1</v>
      </c>
      <c r="AX433" s="92">
        <v>2</v>
      </c>
      <c r="AY433" s="92">
        <v>3</v>
      </c>
      <c r="AZ433" s="92">
        <v>4</v>
      </c>
      <c r="BA433" s="92">
        <v>5</v>
      </c>
      <c r="BB433" s="92">
        <v>6</v>
      </c>
      <c r="BC433" s="92">
        <v>7</v>
      </c>
      <c r="BD433" s="92">
        <v>8</v>
      </c>
      <c r="BE433" s="92">
        <v>9</v>
      </c>
      <c r="BF433" s="93">
        <v>0</v>
      </c>
      <c r="BG433" s="93">
        <v>1</v>
      </c>
      <c r="BH433" s="93">
        <v>2</v>
      </c>
      <c r="BI433" s="93">
        <v>3</v>
      </c>
      <c r="BJ433" s="93">
        <v>4</v>
      </c>
      <c r="BK433" s="93">
        <v>5</v>
      </c>
      <c r="BL433" s="93">
        <v>6</v>
      </c>
      <c r="BM433" s="93">
        <v>7</v>
      </c>
      <c r="BN433" s="93">
        <v>8</v>
      </c>
      <c r="BO433" s="93">
        <v>9</v>
      </c>
      <c r="BP433" s="94" t="str">
        <f t="shared" si="321"/>
        <v>松散型</v>
      </c>
      <c r="BQ433" s="15">
        <f t="shared" si="318"/>
        <v>2</v>
      </c>
      <c r="BR433" s="15">
        <f t="shared" si="319"/>
        <v>8</v>
      </c>
      <c r="BS433" s="20" t="str">
        <f t="shared" si="323"/>
        <v/>
      </c>
      <c r="BT433" s="21" t="str">
        <f t="shared" si="324"/>
        <v/>
      </c>
      <c r="BU433" s="21" t="str">
        <f t="array" ref="BU433">_xlfn.TEXTJOIN("",TRUE,IF(ISERROR(FIND(ROW($1:$168)-1,BS433&amp;BT433)),ROW($1:$168)-1,""))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33" s="22" t="str">
        <f t="shared" si="325"/>
        <v>中中中</v>
      </c>
      <c r="BW433" s="23" t="str">
        <f t="shared" si="336"/>
        <v/>
      </c>
      <c r="BX433" s="23">
        <f t="shared" si="334"/>
        <v>2</v>
      </c>
      <c r="BY433" s="23" t="str">
        <f t="array" ref="BY433">_xlfn.TEXTJOIN("",TRUE,IF(ISERROR(FIND(ROW($1:$168)-1,BW433&amp;BX433)),ROW($1:$168)-1,""))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33" s="22" t="str">
        <f t="shared" si="326"/>
        <v>中隔中</v>
      </c>
      <c r="CA433" s="24" t="str">
        <f t="shared" si="327"/>
        <v/>
      </c>
      <c r="CB433" s="24">
        <f t="shared" si="335"/>
        <v>6</v>
      </c>
      <c r="CC433" s="24" t="str">
        <f t="array" ref="CC433">_xlfn.TEXTJOIN("",TRUE,IF(ISERROR(FIND(ROW($1:$168)-1,CA433&amp;CB433)),ROW($1:$168)-1,""))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33" s="22" t="str">
        <f t="shared" si="328"/>
        <v>中隔中</v>
      </c>
      <c r="CE433" s="25" t="str">
        <f t="shared" si="322"/>
        <v>79</v>
      </c>
      <c r="CF433" s="26" t="str">
        <f t="array" ref="CF433">_xlfn.TEXTJOIN("",TRUE,IF(ISNUMBER(FIND(MID(CE432&amp;W432,ROW($1:$162),1),CE433&amp;W433)),MID(CE432&amp;W432,ROW($1:$162),1),""))</f>
        <v>9</v>
      </c>
      <c r="CG433" s="27" t="str">
        <f t="array" ref="CG433">_xlfn.TEXTJOIN("",TRUE,IF(ISERROR(FIND(ROW($1:$168)-1,CE433&amp;CF433)),ROW($1:$168)-1,""))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H433" s="28" t="str">
        <f t="shared" si="329"/>
        <v>邻传孤</v>
      </c>
      <c r="CI433" s="29" t="str">
        <f t="shared" si="330"/>
        <v>13</v>
      </c>
      <c r="CJ433" s="29" t="str">
        <f t="array" ref="CJ433">_xlfn.TEXTJOIN("",TRUE,IF(ISNUMBER(FIND(MID(CI432&amp;X432,ROW($1:$162),1),CI433&amp;X433)),MID(CI432&amp;X432,ROW($1:$162),1),""))</f>
        <v>3</v>
      </c>
      <c r="CK433" s="29" t="str">
        <f t="array" ref="CK433">_xlfn.TEXTJOIN("",TRUE,IF(ISERROR(FIND(ROW($1:$168)-1,CI433&amp;CJ433)),ROW($1:$168)-1,""))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433" s="19" t="str">
        <f t="shared" si="331"/>
        <v>邻传孤</v>
      </c>
      <c r="CM433" s="24" t="str">
        <f t="shared" si="332"/>
        <v>57</v>
      </c>
      <c r="CN433" s="24" t="str">
        <f t="array" ref="CN433">_xlfn.TEXTJOIN("",TRUE,IF(ISNUMBER(FIND(MID(CM432&amp;Y432,ROW($1:$162),1),CM433&amp;Y433)),MID(CM432&amp;Y432,ROW($1:$162),1),""))</f>
        <v>5</v>
      </c>
      <c r="CO433" s="24" t="str">
        <f t="array" ref="CO433">_xlfn.TEXTJOIN("",TRUE,IF(ISERROR(FIND(ROW($1:$168)-1,CM433&amp;CN433)),ROW($1:$168)-1,""))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33" s="30" t="str">
        <f t="shared" si="333"/>
        <v>邻传孤</v>
      </c>
    </row>
    <row r="434" spans="1:94">
      <c r="A434" s="15">
        <v>434</v>
      </c>
      <c r="B434" s="80">
        <v>2025051</v>
      </c>
      <c r="C434" s="8" t="s">
        <v>375</v>
      </c>
      <c r="D434" s="81">
        <f t="shared" si="313"/>
        <v>14</v>
      </c>
      <c r="E434" s="82">
        <f t="shared" si="314"/>
        <v>4</v>
      </c>
      <c r="F434" s="83">
        <f t="shared" si="306"/>
        <v>1.55555555555556</v>
      </c>
      <c r="G434" s="84" t="str">
        <f t="shared" si="307"/>
        <v>松散</v>
      </c>
      <c r="H434" s="85" t="s">
        <v>10</v>
      </c>
      <c r="I434" s="85" t="s">
        <v>11</v>
      </c>
      <c r="J434" s="85" t="s">
        <v>12</v>
      </c>
      <c r="K434" s="85" t="s">
        <v>13</v>
      </c>
      <c r="L434" s="86">
        <f>MAX(MID(C434,{1,2,3},1)*1)-MIN(MID(C434,{1,2,3},1)*1)</f>
        <v>9</v>
      </c>
      <c r="M434" s="87">
        <v>0</v>
      </c>
      <c r="N434" s="87">
        <v>1</v>
      </c>
      <c r="O434" s="87">
        <v>2</v>
      </c>
      <c r="P434" s="87">
        <v>3</v>
      </c>
      <c r="Q434" s="87">
        <v>4</v>
      </c>
      <c r="R434" s="87">
        <v>5</v>
      </c>
      <c r="S434" s="87">
        <v>6</v>
      </c>
      <c r="T434" s="87">
        <v>7</v>
      </c>
      <c r="U434" s="87">
        <v>8</v>
      </c>
      <c r="V434" s="87">
        <v>9</v>
      </c>
      <c r="W434" s="88">
        <f t="shared" si="315"/>
        <v>9</v>
      </c>
      <c r="X434" s="88">
        <f t="shared" si="316"/>
        <v>4</v>
      </c>
      <c r="Y434" s="88">
        <f t="shared" si="317"/>
        <v>5</v>
      </c>
      <c r="Z434" s="89">
        <f t="shared" si="320"/>
        <v>18</v>
      </c>
      <c r="AA434" s="17" t="str">
        <f>_xlfn.TEXTJOIN(", ",TRUE,ABS(MID(C434,{1,1,2},1)-MID(C434,{2,3,3},1)))</f>
        <v>9, 4, 5</v>
      </c>
      <c r="AB434" s="90">
        <v>0</v>
      </c>
      <c r="AC434" s="90">
        <v>1</v>
      </c>
      <c r="AD434" s="90">
        <v>2</v>
      </c>
      <c r="AE434" s="90">
        <v>3</v>
      </c>
      <c r="AF434" s="90">
        <v>4</v>
      </c>
      <c r="AG434" s="90">
        <v>5</v>
      </c>
      <c r="AH434" s="90">
        <v>6</v>
      </c>
      <c r="AI434" s="90">
        <v>7</v>
      </c>
      <c r="AJ434" s="90">
        <v>8</v>
      </c>
      <c r="AK434" s="90">
        <v>9</v>
      </c>
      <c r="AL434" s="91">
        <v>0</v>
      </c>
      <c r="AM434" s="91">
        <v>1</v>
      </c>
      <c r="AN434" s="91">
        <v>2</v>
      </c>
      <c r="AO434" s="91">
        <v>3</v>
      </c>
      <c r="AP434" s="91">
        <v>4</v>
      </c>
      <c r="AQ434" s="91">
        <v>5</v>
      </c>
      <c r="AR434" s="91">
        <v>6</v>
      </c>
      <c r="AS434" s="91">
        <v>7</v>
      </c>
      <c r="AT434" s="91">
        <v>8</v>
      </c>
      <c r="AU434" s="91">
        <v>9</v>
      </c>
      <c r="AV434" s="92">
        <v>0</v>
      </c>
      <c r="AW434" s="92">
        <v>1</v>
      </c>
      <c r="AX434" s="92">
        <v>2</v>
      </c>
      <c r="AY434" s="92">
        <v>3</v>
      </c>
      <c r="AZ434" s="92">
        <v>4</v>
      </c>
      <c r="BA434" s="92">
        <v>5</v>
      </c>
      <c r="BB434" s="92">
        <v>6</v>
      </c>
      <c r="BC434" s="92">
        <v>7</v>
      </c>
      <c r="BD434" s="92">
        <v>8</v>
      </c>
      <c r="BE434" s="92">
        <v>9</v>
      </c>
      <c r="BF434" s="93">
        <v>0</v>
      </c>
      <c r="BG434" s="93">
        <v>1</v>
      </c>
      <c r="BH434" s="93">
        <v>2</v>
      </c>
      <c r="BI434" s="93">
        <v>3</v>
      </c>
      <c r="BJ434" s="93">
        <v>4</v>
      </c>
      <c r="BK434" s="93">
        <v>5</v>
      </c>
      <c r="BL434" s="93">
        <v>6</v>
      </c>
      <c r="BM434" s="93">
        <v>7</v>
      </c>
      <c r="BN434" s="93">
        <v>8</v>
      </c>
      <c r="BO434" s="93">
        <v>9</v>
      </c>
      <c r="BP434" s="94" t="str">
        <f t="shared" si="321"/>
        <v>松散型</v>
      </c>
      <c r="BQ434" s="15">
        <f t="shared" si="318"/>
        <v>4</v>
      </c>
      <c r="BR434" s="15">
        <f t="shared" si="319"/>
        <v>9</v>
      </c>
      <c r="BS434" s="20" t="str">
        <f t="shared" si="323"/>
        <v/>
      </c>
      <c r="BT434" s="21" t="str">
        <f t="shared" si="324"/>
        <v/>
      </c>
      <c r="BU434" s="21" t="str">
        <f t="array" ref="BU434">_xlfn.TEXTJOIN("",TRUE,IF(ISERROR(FIND(ROW($1:$168)-1,BS434&amp;BT434)),ROW($1:$168)-1,""))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34" s="22" t="str">
        <f t="shared" si="325"/>
        <v>中中中</v>
      </c>
      <c r="BW434" s="23" t="str">
        <f t="shared" si="336"/>
        <v/>
      </c>
      <c r="BX434" s="23">
        <f t="shared" si="334"/>
        <v>4</v>
      </c>
      <c r="BY434" s="23" t="str">
        <f t="array" ref="BY434">_xlfn.TEXTJOIN("",TRUE,IF(ISERROR(FIND(ROW($1:$168)-1,BW434&amp;BX434)),ROW($1:$168)-1,""))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34" s="22" t="str">
        <f t="shared" si="326"/>
        <v>中隔中</v>
      </c>
      <c r="CA434" s="24" t="str">
        <f t="shared" si="327"/>
        <v/>
      </c>
      <c r="CB434" s="24" t="str">
        <f t="shared" si="335"/>
        <v/>
      </c>
      <c r="CC434" s="24" t="str">
        <f t="array" ref="CC434">_xlfn.TEXTJOIN("",TRUE,IF(ISERROR(FIND(ROW($1:$168)-1,CA434&amp;CB434)),ROW($1:$168)-1,""))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34" s="22" t="str">
        <f t="shared" si="328"/>
        <v>中中中</v>
      </c>
      <c r="CE434" s="25" t="str">
        <f t="shared" si="322"/>
        <v>80</v>
      </c>
      <c r="CF434" s="26" t="str">
        <f t="array" ref="CF434">_xlfn.TEXTJOIN("",TRUE,IF(ISNUMBER(FIND(MID(CE433&amp;W433,ROW($1:$162),1),CE434&amp;W434)),MID(CE433&amp;W433,ROW($1:$162),1),""))</f>
        <v>98</v>
      </c>
      <c r="CG434" s="27" t="str">
        <f t="array" ref="CG434">_xlfn.TEXTJOIN("",TRUE,IF(ISERROR(FIND(ROW($1:$168)-1,CE434&amp;CF434)),ROW($1:$168)-1,""))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167</v>
      </c>
      <c r="CH434" s="28" t="str">
        <f t="shared" si="329"/>
        <v>邻传孤</v>
      </c>
      <c r="CI434" s="29" t="str">
        <f t="shared" si="330"/>
        <v>35</v>
      </c>
      <c r="CJ434" s="29" t="str">
        <f t="array" ref="CJ434">_xlfn.TEXTJOIN("",TRUE,IF(ISNUMBER(FIND(MID(CI433&amp;X433,ROW($1:$162),1),CI434&amp;X434)),MID(CI433&amp;X433,ROW($1:$162),1),""))</f>
        <v>3</v>
      </c>
      <c r="CK434" s="29" t="str">
        <f t="array" ref="CK434">_xlfn.TEXTJOIN("",TRUE,IF(ISERROR(FIND(ROW($1:$168)-1,CI434&amp;CJ434)),ROW($1:$168)-1,""))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34" s="19" t="str">
        <f t="shared" si="331"/>
        <v>邻传孤</v>
      </c>
      <c r="CM434" s="24" t="str">
        <f t="shared" si="332"/>
        <v>46</v>
      </c>
      <c r="CN434" s="24" t="str">
        <f t="array" ref="CN434">_xlfn.TEXTJOIN("",TRUE,IF(ISNUMBER(FIND(MID(CM433&amp;Y433,ROW($1:$162),1),CM434&amp;Y434)),MID(CM433&amp;Y433,ROW($1:$162),1),""))</f>
        <v>56</v>
      </c>
      <c r="CO434" s="24" t="str">
        <f t="array" ref="CO434">_xlfn.TEXTJOIN("",TRUE,IF(ISERROR(FIND(ROW($1:$168)-1,CM434&amp;CN434)),ROW($1:$168)-1,""))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34" s="30" t="str">
        <f t="shared" si="333"/>
        <v>邻传孤</v>
      </c>
    </row>
    <row r="435" spans="1:94">
      <c r="A435" s="15">
        <v>435</v>
      </c>
      <c r="B435" s="80">
        <v>2025052</v>
      </c>
      <c r="C435" s="8" t="s">
        <v>376</v>
      </c>
      <c r="D435" s="81">
        <f t="shared" si="313"/>
        <v>18</v>
      </c>
      <c r="E435" s="82">
        <f t="shared" si="314"/>
        <v>8</v>
      </c>
      <c r="F435" s="83">
        <f t="shared" si="306"/>
        <v>6</v>
      </c>
      <c r="G435" s="84" t="str">
        <f t="shared" si="307"/>
        <v>紧凑</v>
      </c>
      <c r="H435" s="85" t="s">
        <v>10</v>
      </c>
      <c r="I435" s="85" t="s">
        <v>11</v>
      </c>
      <c r="J435" s="85" t="s">
        <v>12</v>
      </c>
      <c r="K435" s="85" t="s">
        <v>13</v>
      </c>
      <c r="L435" s="86">
        <f>MAX(MID(C435,{1,2,3},1)*1)-MIN(MID(C435,{1,2,3},1)*1)</f>
        <v>3</v>
      </c>
      <c r="M435" s="87">
        <v>0</v>
      </c>
      <c r="N435" s="87">
        <v>1</v>
      </c>
      <c r="O435" s="87">
        <v>2</v>
      </c>
      <c r="P435" s="87">
        <v>3</v>
      </c>
      <c r="Q435" s="87">
        <v>4</v>
      </c>
      <c r="R435" s="87">
        <v>5</v>
      </c>
      <c r="S435" s="87">
        <v>6</v>
      </c>
      <c r="T435" s="87">
        <v>7</v>
      </c>
      <c r="U435" s="87">
        <v>8</v>
      </c>
      <c r="V435" s="87">
        <v>9</v>
      </c>
      <c r="W435" s="88">
        <f t="shared" si="315"/>
        <v>3</v>
      </c>
      <c r="X435" s="88">
        <f t="shared" si="316"/>
        <v>0</v>
      </c>
      <c r="Y435" s="88">
        <f t="shared" si="317"/>
        <v>3</v>
      </c>
      <c r="Z435" s="89">
        <f t="shared" si="320"/>
        <v>6</v>
      </c>
      <c r="AA435" s="17" t="str">
        <f>_xlfn.TEXTJOIN(", ",TRUE,ABS(MID(C435,{1,1,2},1)-MID(C435,{2,3,3},1)))</f>
        <v>3, 0, 3</v>
      </c>
      <c r="AB435" s="90">
        <v>0</v>
      </c>
      <c r="AC435" s="90">
        <v>1</v>
      </c>
      <c r="AD435" s="90">
        <v>2</v>
      </c>
      <c r="AE435" s="90">
        <v>3</v>
      </c>
      <c r="AF435" s="90">
        <v>4</v>
      </c>
      <c r="AG435" s="90">
        <v>5</v>
      </c>
      <c r="AH435" s="90">
        <v>6</v>
      </c>
      <c r="AI435" s="90">
        <v>7</v>
      </c>
      <c r="AJ435" s="90">
        <v>8</v>
      </c>
      <c r="AK435" s="90">
        <v>9</v>
      </c>
      <c r="AL435" s="91">
        <v>0</v>
      </c>
      <c r="AM435" s="91">
        <v>1</v>
      </c>
      <c r="AN435" s="91">
        <v>2</v>
      </c>
      <c r="AO435" s="91">
        <v>3</v>
      </c>
      <c r="AP435" s="91">
        <v>4</v>
      </c>
      <c r="AQ435" s="91">
        <v>5</v>
      </c>
      <c r="AR435" s="91">
        <v>6</v>
      </c>
      <c r="AS435" s="91">
        <v>7</v>
      </c>
      <c r="AT435" s="91">
        <v>8</v>
      </c>
      <c r="AU435" s="91">
        <v>9</v>
      </c>
      <c r="AV435" s="92">
        <v>0</v>
      </c>
      <c r="AW435" s="92">
        <v>1</v>
      </c>
      <c r="AX435" s="92">
        <v>2</v>
      </c>
      <c r="AY435" s="92">
        <v>3</v>
      </c>
      <c r="AZ435" s="92">
        <v>4</v>
      </c>
      <c r="BA435" s="92">
        <v>5</v>
      </c>
      <c r="BB435" s="92">
        <v>6</v>
      </c>
      <c r="BC435" s="92">
        <v>7</v>
      </c>
      <c r="BD435" s="92">
        <v>8</v>
      </c>
      <c r="BE435" s="92">
        <v>9</v>
      </c>
      <c r="BF435" s="93">
        <v>0</v>
      </c>
      <c r="BG435" s="93">
        <v>1</v>
      </c>
      <c r="BH435" s="93">
        <v>2</v>
      </c>
      <c r="BI435" s="93">
        <v>3</v>
      </c>
      <c r="BJ435" s="93">
        <v>4</v>
      </c>
      <c r="BK435" s="93">
        <v>5</v>
      </c>
      <c r="BL435" s="93">
        <v>6</v>
      </c>
      <c r="BM435" s="93">
        <v>7</v>
      </c>
      <c r="BN435" s="93">
        <v>8</v>
      </c>
      <c r="BO435" s="93">
        <v>9</v>
      </c>
      <c r="BP435" s="94" t="str">
        <f t="shared" si="321"/>
        <v>紧凑型</v>
      </c>
      <c r="BQ435" s="15">
        <f t="shared" si="318"/>
        <v>0</v>
      </c>
      <c r="BR435" s="15">
        <f t="shared" si="319"/>
        <v>3</v>
      </c>
      <c r="BS435" s="20" t="str">
        <f t="shared" si="323"/>
        <v/>
      </c>
      <c r="BT435" s="21" t="str">
        <f t="shared" si="324"/>
        <v/>
      </c>
      <c r="BU435" s="21" t="str">
        <f t="array" ref="BU435">_xlfn.TEXTJOIN("",TRUE,IF(ISERROR(FIND(ROW($1:$168)-1,BS435&amp;BT435)),ROW($1:$168)-1,""))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35" s="22" t="str">
        <f t="shared" si="325"/>
        <v>中中中</v>
      </c>
      <c r="BW435" s="23" t="str">
        <f t="shared" si="336"/>
        <v/>
      </c>
      <c r="BX435" s="23" t="str">
        <f t="shared" si="334"/>
        <v/>
      </c>
      <c r="BY435" s="23" t="str">
        <f t="array" ref="BY435">_xlfn.TEXTJOIN("",TRUE,IF(ISERROR(FIND(ROW($1:$168)-1,BW435&amp;BX435)),ROW($1:$168)-1,""))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35" s="22" t="str">
        <f t="shared" si="326"/>
        <v>中中中</v>
      </c>
      <c r="CA435" s="24" t="str">
        <f t="shared" si="327"/>
        <v/>
      </c>
      <c r="CB435" s="24" t="str">
        <f t="shared" si="335"/>
        <v/>
      </c>
      <c r="CC435" s="24" t="str">
        <f t="array" ref="CC435">_xlfn.TEXTJOIN("",TRUE,IF(ISERROR(FIND(ROW($1:$168)-1,CA435&amp;CB435)),ROW($1:$168)-1,""))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35" s="22" t="str">
        <f t="shared" si="328"/>
        <v>中中中</v>
      </c>
      <c r="CE435" s="25" t="str">
        <f t="shared" si="322"/>
        <v>24</v>
      </c>
      <c r="CF435" s="26" t="str">
        <f t="array" ref="CF435">_xlfn.TEXTJOIN("",TRUE,IF(ISNUMBER(FIND(MID(CE434&amp;W434,ROW($1:$162),1),CE435&amp;W435)),MID(CE434&amp;W434,ROW($1:$162),1),""))</f>
        <v/>
      </c>
      <c r="CG435" s="27" t="str">
        <f t="array" ref="CG435">_xlfn.TEXTJOIN("",TRUE,IF(ISERROR(FIND(ROW($1:$168)-1,CE435&amp;CF435)),ROW($1:$168)-1,""))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35" s="28" t="str">
        <f t="shared" si="329"/>
        <v>邻孤孤</v>
      </c>
      <c r="CI435" s="29" t="str">
        <f t="shared" si="330"/>
        <v>91</v>
      </c>
      <c r="CJ435" s="29" t="str">
        <f t="array" ref="CJ435">_xlfn.TEXTJOIN("",TRUE,IF(ISNUMBER(FIND(MID(CI434&amp;X434,ROW($1:$162),1),CI435&amp;X435)),MID(CI434&amp;X434,ROW($1:$162),1),""))</f>
        <v/>
      </c>
      <c r="CK435" s="29" t="str">
        <f t="array" ref="CK435">_xlfn.TEXTJOIN("",TRUE,IF(ISERROR(FIND(ROW($1:$168)-1,CI435&amp;CJ435)),ROW($1:$168)-1,""))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435" s="19" t="str">
        <f t="shared" si="331"/>
        <v>邻孤孤</v>
      </c>
      <c r="CM435" s="24" t="str">
        <f t="shared" si="332"/>
        <v>24</v>
      </c>
      <c r="CN435" s="24" t="str">
        <f t="array" ref="CN435">_xlfn.TEXTJOIN("",TRUE,IF(ISNUMBER(FIND(MID(CM434&amp;Y434,ROW($1:$162),1),CM435&amp;Y435)),MID(CM434&amp;Y434,ROW($1:$162),1),""))</f>
        <v>4</v>
      </c>
      <c r="CO435" s="24" t="str">
        <f t="array" ref="CO435">_xlfn.TEXTJOIN("",TRUE,IF(ISERROR(FIND(ROW($1:$168)-1,CM435&amp;CN435)),ROW($1:$168)-1,""))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35" s="30" t="str">
        <f t="shared" si="333"/>
        <v>邻传孤</v>
      </c>
    </row>
    <row r="436" spans="1:94">
      <c r="A436" s="15">
        <v>436</v>
      </c>
      <c r="B436" s="80">
        <v>2025053</v>
      </c>
      <c r="C436" s="8" t="s">
        <v>377</v>
      </c>
      <c r="D436" s="81">
        <f t="shared" si="313"/>
        <v>22</v>
      </c>
      <c r="E436" s="82">
        <f t="shared" si="314"/>
        <v>2</v>
      </c>
      <c r="F436" s="83">
        <f t="shared" si="306"/>
        <v>5.5</v>
      </c>
      <c r="G436" s="84" t="str">
        <f t="shared" si="307"/>
        <v>紧凑</v>
      </c>
      <c r="H436" s="85" t="s">
        <v>10</v>
      </c>
      <c r="I436" s="85" t="s">
        <v>11</v>
      </c>
      <c r="J436" s="85" t="s">
        <v>12</v>
      </c>
      <c r="K436" s="85" t="s">
        <v>13</v>
      </c>
      <c r="L436" s="86">
        <f>MAX(MID(C436,{1,2,3},1)*1)-MIN(MID(C436,{1,2,3},1)*1)</f>
        <v>4</v>
      </c>
      <c r="M436" s="87">
        <v>0</v>
      </c>
      <c r="N436" s="87">
        <v>1</v>
      </c>
      <c r="O436" s="87">
        <v>2</v>
      </c>
      <c r="P436" s="87">
        <v>3</v>
      </c>
      <c r="Q436" s="87">
        <v>4</v>
      </c>
      <c r="R436" s="87">
        <v>5</v>
      </c>
      <c r="S436" s="87">
        <v>6</v>
      </c>
      <c r="T436" s="87">
        <v>7</v>
      </c>
      <c r="U436" s="87">
        <v>8</v>
      </c>
      <c r="V436" s="87">
        <v>9</v>
      </c>
      <c r="W436" s="88">
        <f t="shared" si="315"/>
        <v>1</v>
      </c>
      <c r="X436" s="88">
        <f t="shared" si="316"/>
        <v>3</v>
      </c>
      <c r="Y436" s="88">
        <f t="shared" si="317"/>
        <v>4</v>
      </c>
      <c r="Z436" s="89">
        <f t="shared" si="320"/>
        <v>8</v>
      </c>
      <c r="AA436" s="17" t="str">
        <f>_xlfn.TEXTJOIN(", ",TRUE,ABS(MID(C436,{1,1,2},1)-MID(C436,{2,3,3},1)))</f>
        <v>1, 3, 4</v>
      </c>
      <c r="AB436" s="90">
        <v>0</v>
      </c>
      <c r="AC436" s="90">
        <v>1</v>
      </c>
      <c r="AD436" s="90">
        <v>2</v>
      </c>
      <c r="AE436" s="90">
        <v>3</v>
      </c>
      <c r="AF436" s="90">
        <v>4</v>
      </c>
      <c r="AG436" s="90">
        <v>5</v>
      </c>
      <c r="AH436" s="90">
        <v>6</v>
      </c>
      <c r="AI436" s="90">
        <v>7</v>
      </c>
      <c r="AJ436" s="90">
        <v>8</v>
      </c>
      <c r="AK436" s="90">
        <v>9</v>
      </c>
      <c r="AL436" s="91">
        <v>0</v>
      </c>
      <c r="AM436" s="91">
        <v>1</v>
      </c>
      <c r="AN436" s="91">
        <v>2</v>
      </c>
      <c r="AO436" s="91">
        <v>3</v>
      </c>
      <c r="AP436" s="91">
        <v>4</v>
      </c>
      <c r="AQ436" s="91">
        <v>5</v>
      </c>
      <c r="AR436" s="91">
        <v>6</v>
      </c>
      <c r="AS436" s="91">
        <v>7</v>
      </c>
      <c r="AT436" s="91">
        <v>8</v>
      </c>
      <c r="AU436" s="91">
        <v>9</v>
      </c>
      <c r="AV436" s="92">
        <v>0</v>
      </c>
      <c r="AW436" s="92">
        <v>1</v>
      </c>
      <c r="AX436" s="92">
        <v>2</v>
      </c>
      <c r="AY436" s="92">
        <v>3</v>
      </c>
      <c r="AZ436" s="92">
        <v>4</v>
      </c>
      <c r="BA436" s="92">
        <v>5</v>
      </c>
      <c r="BB436" s="92">
        <v>6</v>
      </c>
      <c r="BC436" s="92">
        <v>7</v>
      </c>
      <c r="BD436" s="92">
        <v>8</v>
      </c>
      <c r="BE436" s="92">
        <v>9</v>
      </c>
      <c r="BF436" s="93">
        <v>0</v>
      </c>
      <c r="BG436" s="93">
        <v>1</v>
      </c>
      <c r="BH436" s="93">
        <v>2</v>
      </c>
      <c r="BI436" s="93">
        <v>3</v>
      </c>
      <c r="BJ436" s="93">
        <v>4</v>
      </c>
      <c r="BK436" s="93">
        <v>5</v>
      </c>
      <c r="BL436" s="93">
        <v>6</v>
      </c>
      <c r="BM436" s="93">
        <v>7</v>
      </c>
      <c r="BN436" s="93">
        <v>8</v>
      </c>
      <c r="BO436" s="93">
        <v>9</v>
      </c>
      <c r="BP436" s="94" t="str">
        <f t="shared" si="321"/>
        <v>紧凑型</v>
      </c>
      <c r="BQ436" s="15">
        <f t="shared" si="318"/>
        <v>1</v>
      </c>
      <c r="BR436" s="15">
        <f t="shared" si="319"/>
        <v>4</v>
      </c>
      <c r="BS436" s="20" t="str">
        <f t="shared" si="323"/>
        <v/>
      </c>
      <c r="BT436" s="21" t="str">
        <f t="shared" si="324"/>
        <v/>
      </c>
      <c r="BU436" s="21" t="str">
        <f t="array" ref="BU436">_xlfn.TEXTJOIN("",TRUE,IF(ISERROR(FIND(ROW($1:$168)-1,BS436&amp;BT436)),ROW($1:$168)-1,""))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36" s="22" t="str">
        <f t="shared" si="325"/>
        <v>中中中</v>
      </c>
      <c r="BW436" s="23">
        <f t="shared" si="336"/>
        <v>3</v>
      </c>
      <c r="BX436" s="23" t="str">
        <f t="shared" si="334"/>
        <v/>
      </c>
      <c r="BY436" s="23" t="str">
        <f t="array" ref="BY436">_xlfn.TEXTJOIN("",TRUE,IF(ISERROR(FIND(ROW($1:$168)-1,BW436&amp;BX436)),ROW($1:$168)-1,""))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36" s="22" t="str">
        <f t="shared" si="326"/>
        <v>复中中</v>
      </c>
      <c r="CA436" s="24" t="str">
        <f t="shared" si="327"/>
        <v/>
      </c>
      <c r="CB436" s="24">
        <f t="shared" si="335"/>
        <v>4</v>
      </c>
      <c r="CC436" s="24" t="str">
        <f t="array" ref="CC436">_xlfn.TEXTJOIN("",TRUE,IF(ISERROR(FIND(ROW($1:$168)-1,CA436&amp;CB436)),ROW($1:$168)-1,""))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36" s="22" t="str">
        <f t="shared" si="328"/>
        <v>中隔中</v>
      </c>
      <c r="CE436" s="25" t="str">
        <f t="shared" si="322"/>
        <v>02</v>
      </c>
      <c r="CF436" s="26" t="str">
        <f t="array" ref="CF436">_xlfn.TEXTJOIN("",TRUE,IF(ISNUMBER(FIND(MID(CE435&amp;W435,ROW($1:$162),1),CE436&amp;W436)),MID(CE435&amp;W435,ROW($1:$162),1),""))</f>
        <v>2</v>
      </c>
      <c r="CG436" s="27" t="str">
        <f t="array" ref="CG436">_xlfn.TEXTJOIN("",TRUE,IF(ISERROR(FIND(ROW($1:$168)-1,CE436&amp;CF436)),ROW($1:$168)-1,""))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36" s="28" t="str">
        <f t="shared" si="329"/>
        <v>邻传孤</v>
      </c>
      <c r="CI436" s="29" t="str">
        <f t="shared" si="330"/>
        <v>24</v>
      </c>
      <c r="CJ436" s="29" t="str">
        <f t="array" ref="CJ436">_xlfn.TEXTJOIN("",TRUE,IF(ISNUMBER(FIND(MID(CI435&amp;X435,ROW($1:$162),1),CI436&amp;X436)),MID(CI435&amp;X435,ROW($1:$162),1),""))</f>
        <v/>
      </c>
      <c r="CK436" s="29" t="str">
        <f t="array" ref="CK436">_xlfn.TEXTJOIN("",TRUE,IF(ISERROR(FIND(ROW($1:$168)-1,CI436&amp;CJ436)),ROW($1:$168)-1,""))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36" s="19" t="str">
        <f t="shared" si="331"/>
        <v>邻孤孤</v>
      </c>
      <c r="CM436" s="24" t="str">
        <f t="shared" si="332"/>
        <v>35</v>
      </c>
      <c r="CN436" s="24" t="str">
        <f t="array" ref="CN436">_xlfn.TEXTJOIN("",TRUE,IF(ISNUMBER(FIND(MID(CM435&amp;Y435,ROW($1:$162),1),CM436&amp;Y436)),MID(CM435&amp;Y435,ROW($1:$162),1),""))</f>
        <v>43</v>
      </c>
      <c r="CO436" s="24" t="str">
        <f t="array" ref="CO436">_xlfn.TEXTJOIN("",TRUE,IF(ISERROR(FIND(ROW($1:$168)-1,CM436&amp;CN436)),ROW($1:$168)-1,""))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36" s="30" t="str">
        <f t="shared" si="333"/>
        <v>邻传孤</v>
      </c>
    </row>
    <row r="437" spans="1:94">
      <c r="A437" s="15">
        <v>437</v>
      </c>
      <c r="B437" s="80">
        <v>2025054</v>
      </c>
      <c r="C437" s="8" t="s">
        <v>260</v>
      </c>
      <c r="D437" s="81">
        <f t="shared" si="313"/>
        <v>20</v>
      </c>
      <c r="E437" s="82">
        <f t="shared" si="314"/>
        <v>0</v>
      </c>
      <c r="F437" s="83">
        <f t="shared" si="306"/>
        <v>4</v>
      </c>
      <c r="G437" s="84" t="str">
        <f t="shared" si="307"/>
        <v>紧凑</v>
      </c>
      <c r="H437" s="85" t="s">
        <v>10</v>
      </c>
      <c r="I437" s="85" t="s">
        <v>11</v>
      </c>
      <c r="J437" s="85" t="s">
        <v>12</v>
      </c>
      <c r="K437" s="85" t="s">
        <v>13</v>
      </c>
      <c r="L437" s="86">
        <f>MAX(MID(C437,{1,2,3},1)*1)-MIN(MID(C437,{1,2,3},1)*1)</f>
        <v>5</v>
      </c>
      <c r="M437" s="87">
        <v>0</v>
      </c>
      <c r="N437" s="87">
        <v>1</v>
      </c>
      <c r="O437" s="87">
        <v>2</v>
      </c>
      <c r="P437" s="87">
        <v>3</v>
      </c>
      <c r="Q437" s="87">
        <v>4</v>
      </c>
      <c r="R437" s="87">
        <v>5</v>
      </c>
      <c r="S437" s="87">
        <v>6</v>
      </c>
      <c r="T437" s="87">
        <v>7</v>
      </c>
      <c r="U437" s="87">
        <v>8</v>
      </c>
      <c r="V437" s="87">
        <v>9</v>
      </c>
      <c r="W437" s="88">
        <f t="shared" si="315"/>
        <v>5</v>
      </c>
      <c r="X437" s="88">
        <f t="shared" si="316"/>
        <v>3</v>
      </c>
      <c r="Y437" s="88">
        <f t="shared" si="317"/>
        <v>2</v>
      </c>
      <c r="Z437" s="89">
        <f t="shared" si="320"/>
        <v>10</v>
      </c>
      <c r="AA437" s="17" t="str">
        <f>_xlfn.TEXTJOIN(", ",TRUE,ABS(MID(C437,{1,1,2},1)-MID(C437,{2,3,3},1)))</f>
        <v>5, 3, 2</v>
      </c>
      <c r="AB437" s="90">
        <v>0</v>
      </c>
      <c r="AC437" s="90">
        <v>1</v>
      </c>
      <c r="AD437" s="90">
        <v>2</v>
      </c>
      <c r="AE437" s="90">
        <v>3</v>
      </c>
      <c r="AF437" s="90">
        <v>4</v>
      </c>
      <c r="AG437" s="90">
        <v>5</v>
      </c>
      <c r="AH437" s="90">
        <v>6</v>
      </c>
      <c r="AI437" s="90">
        <v>7</v>
      </c>
      <c r="AJ437" s="90">
        <v>8</v>
      </c>
      <c r="AK437" s="90">
        <v>9</v>
      </c>
      <c r="AL437" s="91">
        <v>0</v>
      </c>
      <c r="AM437" s="91">
        <v>1</v>
      </c>
      <c r="AN437" s="91">
        <v>2</v>
      </c>
      <c r="AO437" s="91">
        <v>3</v>
      </c>
      <c r="AP437" s="91">
        <v>4</v>
      </c>
      <c r="AQ437" s="91">
        <v>5</v>
      </c>
      <c r="AR437" s="91">
        <v>6</v>
      </c>
      <c r="AS437" s="91">
        <v>7</v>
      </c>
      <c r="AT437" s="91">
        <v>8</v>
      </c>
      <c r="AU437" s="91">
        <v>9</v>
      </c>
      <c r="AV437" s="92">
        <v>0</v>
      </c>
      <c r="AW437" s="92">
        <v>1</v>
      </c>
      <c r="AX437" s="92">
        <v>2</v>
      </c>
      <c r="AY437" s="92">
        <v>3</v>
      </c>
      <c r="AZ437" s="92">
        <v>4</v>
      </c>
      <c r="BA437" s="92">
        <v>5</v>
      </c>
      <c r="BB437" s="92">
        <v>6</v>
      </c>
      <c r="BC437" s="92">
        <v>7</v>
      </c>
      <c r="BD437" s="92">
        <v>8</v>
      </c>
      <c r="BE437" s="92">
        <v>9</v>
      </c>
      <c r="BF437" s="93">
        <v>0</v>
      </c>
      <c r="BG437" s="93">
        <v>1</v>
      </c>
      <c r="BH437" s="93">
        <v>2</v>
      </c>
      <c r="BI437" s="93">
        <v>3</v>
      </c>
      <c r="BJ437" s="93">
        <v>4</v>
      </c>
      <c r="BK437" s="93">
        <v>5</v>
      </c>
      <c r="BL437" s="93">
        <v>6</v>
      </c>
      <c r="BM437" s="93">
        <v>7</v>
      </c>
      <c r="BN437" s="93">
        <v>8</v>
      </c>
      <c r="BO437" s="93">
        <v>9</v>
      </c>
      <c r="BP437" s="94" t="str">
        <f t="shared" si="321"/>
        <v>标准型</v>
      </c>
      <c r="BQ437" s="15">
        <f t="shared" si="318"/>
        <v>2</v>
      </c>
      <c r="BR437" s="15">
        <f t="shared" si="319"/>
        <v>5</v>
      </c>
      <c r="BS437" s="20" t="str">
        <f t="shared" si="323"/>
        <v/>
      </c>
      <c r="BT437" s="21" t="str">
        <f t="shared" si="324"/>
        <v/>
      </c>
      <c r="BU437" s="21" t="str">
        <f t="array" ref="BU437">_xlfn.TEXTJOIN("",TRUE,IF(ISERROR(FIND(ROW($1:$168)-1,BS437&amp;BT437)),ROW($1:$168)-1,""))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37" s="22" t="str">
        <f t="shared" si="325"/>
        <v>中中中</v>
      </c>
      <c r="BW437" s="23">
        <f t="shared" si="336"/>
        <v>3</v>
      </c>
      <c r="BX437" s="23">
        <f t="shared" si="334"/>
        <v>3</v>
      </c>
      <c r="BY437" s="23" t="str">
        <f t="array" ref="BY437">_xlfn.TEXTJOIN("",TRUE,IF(ISERROR(FIND(ROW($1:$168)-1,BW437&amp;BX437)),ROW($1:$168)-1,""))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37" s="22" t="str">
        <f t="shared" si="326"/>
        <v>复隔中</v>
      </c>
      <c r="CA437" s="24" t="str">
        <f t="shared" si="327"/>
        <v/>
      </c>
      <c r="CB437" s="24" t="str">
        <f t="shared" si="335"/>
        <v/>
      </c>
      <c r="CC437" s="24" t="str">
        <f t="array" ref="CC437">_xlfn.TEXTJOIN("",TRUE,IF(ISERROR(FIND(ROW($1:$168)-1,CA437&amp;CB437)),ROW($1:$168)-1,""))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37" s="22" t="str">
        <f t="shared" si="328"/>
        <v>中中中</v>
      </c>
      <c r="CE437" s="25" t="str">
        <f t="shared" si="322"/>
        <v>46</v>
      </c>
      <c r="CF437" s="26" t="str">
        <f t="array" ref="CF437">_xlfn.TEXTJOIN("",TRUE,IF(ISNUMBER(FIND(MID(CE436&amp;W436,ROW($1:$162),1),CE437&amp;W437)),MID(CE436&amp;W436,ROW($1:$162),1),""))</f>
        <v/>
      </c>
      <c r="CG437" s="27" t="str">
        <f t="array" ref="CG437">_xlfn.TEXTJOIN("",TRUE,IF(ISERROR(FIND(ROW($1:$168)-1,CE437&amp;CF437)),ROW($1:$168)-1,""))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37" s="28" t="str">
        <f t="shared" si="329"/>
        <v>邻孤孤</v>
      </c>
      <c r="CI437" s="29" t="str">
        <f t="shared" si="330"/>
        <v>24</v>
      </c>
      <c r="CJ437" s="29" t="str">
        <f t="array" ref="CJ437">_xlfn.TEXTJOIN("",TRUE,IF(ISNUMBER(FIND(MID(CI436&amp;X436,ROW($1:$162),1),CI437&amp;X437)),MID(CI436&amp;X436,ROW($1:$162),1),""))</f>
        <v>243</v>
      </c>
      <c r="CK437" s="29" t="str">
        <f t="array" ref="CK437">_xlfn.TEXTJOIN("",TRUE,IF(ISERROR(FIND(ROW($1:$168)-1,CI437&amp;CJ437)),ROW($1:$168)-1,""))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37" s="19" t="str">
        <f t="shared" si="331"/>
        <v>邻传孤</v>
      </c>
      <c r="CM437" s="24" t="str">
        <f t="shared" si="332"/>
        <v>13</v>
      </c>
      <c r="CN437" s="24" t="str">
        <f t="array" ref="CN437">_xlfn.TEXTJOIN("",TRUE,IF(ISNUMBER(FIND(MID(CM436&amp;Y436,ROW($1:$162),1),CM437&amp;Y437)),MID(CM436&amp;Y436,ROW($1:$162),1),""))</f>
        <v>3</v>
      </c>
      <c r="CO437" s="24" t="str">
        <f t="array" ref="CO437">_xlfn.TEXTJOIN("",TRUE,IF(ISERROR(FIND(ROW($1:$168)-1,CM437&amp;CN437)),ROW($1:$168)-1,""))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437" s="30" t="str">
        <f t="shared" si="333"/>
        <v>邻传孤</v>
      </c>
    </row>
    <row r="438" spans="1:94">
      <c r="A438" s="15">
        <v>438</v>
      </c>
      <c r="B438" s="80">
        <v>2025055</v>
      </c>
      <c r="C438" s="8" t="s">
        <v>378</v>
      </c>
      <c r="D438" s="81">
        <f t="shared" si="313"/>
        <v>17</v>
      </c>
      <c r="E438" s="82">
        <f t="shared" si="314"/>
        <v>7</v>
      </c>
      <c r="F438" s="83">
        <f t="shared" si="306"/>
        <v>3.4</v>
      </c>
      <c r="G438" s="84" t="str">
        <f t="shared" si="307"/>
        <v>标准</v>
      </c>
      <c r="H438" s="85" t="s">
        <v>10</v>
      </c>
      <c r="I438" s="85" t="s">
        <v>11</v>
      </c>
      <c r="J438" s="85" t="s">
        <v>12</v>
      </c>
      <c r="K438" s="85" t="s">
        <v>13</v>
      </c>
      <c r="L438" s="86">
        <f>MAX(MID(C438,{1,2,3},1)*1)-MIN(MID(C438,{1,2,3},1)*1)</f>
        <v>5</v>
      </c>
      <c r="M438" s="87">
        <v>0</v>
      </c>
      <c r="N438" s="87">
        <v>1</v>
      </c>
      <c r="O438" s="87">
        <v>2</v>
      </c>
      <c r="P438" s="87">
        <v>3</v>
      </c>
      <c r="Q438" s="87">
        <v>4</v>
      </c>
      <c r="R438" s="87">
        <v>5</v>
      </c>
      <c r="S438" s="87">
        <v>6</v>
      </c>
      <c r="T438" s="87">
        <v>7</v>
      </c>
      <c r="U438" s="87">
        <v>8</v>
      </c>
      <c r="V438" s="87">
        <v>9</v>
      </c>
      <c r="W438" s="88">
        <f t="shared" si="315"/>
        <v>3</v>
      </c>
      <c r="X438" s="88">
        <f t="shared" si="316"/>
        <v>5</v>
      </c>
      <c r="Y438" s="88">
        <f t="shared" si="317"/>
        <v>2</v>
      </c>
      <c r="Z438" s="89">
        <f t="shared" si="320"/>
        <v>10</v>
      </c>
      <c r="AA438" s="17" t="str">
        <f>_xlfn.TEXTJOIN(", ",TRUE,ABS(MID(C438,{1,1,2},1)-MID(C438,{2,3,3},1)))</f>
        <v>3, 5, 2</v>
      </c>
      <c r="AB438" s="90">
        <v>0</v>
      </c>
      <c r="AC438" s="90">
        <v>1</v>
      </c>
      <c r="AD438" s="90">
        <v>2</v>
      </c>
      <c r="AE438" s="90">
        <v>3</v>
      </c>
      <c r="AF438" s="90">
        <v>4</v>
      </c>
      <c r="AG438" s="90">
        <v>5</v>
      </c>
      <c r="AH438" s="90">
        <v>6</v>
      </c>
      <c r="AI438" s="90">
        <v>7</v>
      </c>
      <c r="AJ438" s="90">
        <v>8</v>
      </c>
      <c r="AK438" s="90">
        <v>9</v>
      </c>
      <c r="AL438" s="91">
        <v>0</v>
      </c>
      <c r="AM438" s="91">
        <v>1</v>
      </c>
      <c r="AN438" s="91">
        <v>2</v>
      </c>
      <c r="AO438" s="91">
        <v>3</v>
      </c>
      <c r="AP438" s="91">
        <v>4</v>
      </c>
      <c r="AQ438" s="91">
        <v>5</v>
      </c>
      <c r="AR438" s="91">
        <v>6</v>
      </c>
      <c r="AS438" s="91">
        <v>7</v>
      </c>
      <c r="AT438" s="91">
        <v>8</v>
      </c>
      <c r="AU438" s="91">
        <v>9</v>
      </c>
      <c r="AV438" s="92">
        <v>0</v>
      </c>
      <c r="AW438" s="92">
        <v>1</v>
      </c>
      <c r="AX438" s="92">
        <v>2</v>
      </c>
      <c r="AY438" s="92">
        <v>3</v>
      </c>
      <c r="AZ438" s="92">
        <v>4</v>
      </c>
      <c r="BA438" s="92">
        <v>5</v>
      </c>
      <c r="BB438" s="92">
        <v>6</v>
      </c>
      <c r="BC438" s="92">
        <v>7</v>
      </c>
      <c r="BD438" s="92">
        <v>8</v>
      </c>
      <c r="BE438" s="92">
        <v>9</v>
      </c>
      <c r="BF438" s="93">
        <v>0</v>
      </c>
      <c r="BG438" s="93">
        <v>1</v>
      </c>
      <c r="BH438" s="93">
        <v>2</v>
      </c>
      <c r="BI438" s="93">
        <v>3</v>
      </c>
      <c r="BJ438" s="93">
        <v>4</v>
      </c>
      <c r="BK438" s="93">
        <v>5</v>
      </c>
      <c r="BL438" s="93">
        <v>6</v>
      </c>
      <c r="BM438" s="93">
        <v>7</v>
      </c>
      <c r="BN438" s="93">
        <v>8</v>
      </c>
      <c r="BO438" s="93">
        <v>9</v>
      </c>
      <c r="BP438" s="94" t="str">
        <f t="shared" si="321"/>
        <v>标准型</v>
      </c>
      <c r="BQ438" s="15">
        <f t="shared" si="318"/>
        <v>2</v>
      </c>
      <c r="BR438" s="15">
        <f t="shared" si="319"/>
        <v>5</v>
      </c>
      <c r="BS438" s="20">
        <f t="shared" si="323"/>
        <v>3</v>
      </c>
      <c r="BT438" s="21">
        <f t="shared" si="324"/>
        <v>3</v>
      </c>
      <c r="BU438" s="21" t="str">
        <f t="array" ref="BU438">_xlfn.TEXTJOIN("",TRUE,IF(ISERROR(FIND(ROW($1:$168)-1,BS438&amp;BT438)),ROW($1:$168)-1,""))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38" s="22" t="str">
        <f t="shared" si="325"/>
        <v>复隔中</v>
      </c>
      <c r="BW438" s="23">
        <f t="shared" si="336"/>
        <v>5</v>
      </c>
      <c r="BX438" s="23" t="str">
        <f t="shared" si="334"/>
        <v/>
      </c>
      <c r="BY438" s="23" t="str">
        <f t="array" ref="BY438">_xlfn.TEXTJOIN("",TRUE,IF(ISERROR(FIND(ROW($1:$168)-1,BW438&amp;BX438)),ROW($1:$168)-1,""))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38" s="22" t="str">
        <f t="shared" si="326"/>
        <v>复中中</v>
      </c>
      <c r="CA438" s="24">
        <f t="shared" si="327"/>
        <v>2</v>
      </c>
      <c r="CB438" s="24" t="str">
        <f t="shared" si="335"/>
        <v/>
      </c>
      <c r="CC438" s="24" t="str">
        <f t="array" ref="CC438">_xlfn.TEXTJOIN("",TRUE,IF(ISERROR(FIND(ROW($1:$168)-1,CA438&amp;CB438)),ROW($1:$168)-1,""))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38" s="22" t="str">
        <f t="shared" si="328"/>
        <v>复中中</v>
      </c>
      <c r="CE438" s="25" t="str">
        <f t="shared" si="322"/>
        <v>24</v>
      </c>
      <c r="CF438" s="26" t="str">
        <f t="array" ref="CF438">_xlfn.TEXTJOIN("",TRUE,IF(ISNUMBER(FIND(MID(CE437&amp;W437,ROW($1:$162),1),CE438&amp;W438)),MID(CE437&amp;W437,ROW($1:$162),1),""))</f>
        <v>4</v>
      </c>
      <c r="CG438" s="27" t="str">
        <f t="array" ref="CG438">_xlfn.TEXTJOIN("",TRUE,IF(ISERROR(FIND(ROW($1:$168)-1,CE438&amp;CF438)),ROW($1:$168)-1,""))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38" s="28" t="str">
        <f t="shared" si="329"/>
        <v>邻传孤</v>
      </c>
      <c r="CI438" s="29" t="str">
        <f t="shared" si="330"/>
        <v>46</v>
      </c>
      <c r="CJ438" s="29" t="str">
        <f t="array" ref="CJ438">_xlfn.TEXTJOIN("",TRUE,IF(ISNUMBER(FIND(MID(CI437&amp;X437,ROW($1:$162),1),CI438&amp;X438)),MID(CI437&amp;X437,ROW($1:$162),1),""))</f>
        <v>4</v>
      </c>
      <c r="CK438" s="29" t="str">
        <f t="array" ref="CK438">_xlfn.TEXTJOIN("",TRUE,IF(ISERROR(FIND(ROW($1:$168)-1,CI438&amp;CJ438)),ROW($1:$168)-1,""))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38" s="19" t="str">
        <f t="shared" si="331"/>
        <v>邻传孤</v>
      </c>
      <c r="CM438" s="24" t="str">
        <f t="shared" si="332"/>
        <v>13</v>
      </c>
      <c r="CN438" s="24" t="str">
        <f t="array" ref="CN438">_xlfn.TEXTJOIN("",TRUE,IF(ISNUMBER(FIND(MID(CM437&amp;Y437,ROW($1:$162),1),CM438&amp;Y438)),MID(CM437&amp;Y437,ROW($1:$162),1),""))</f>
        <v>132</v>
      </c>
      <c r="CO438" s="24" t="str">
        <f t="array" ref="CO438">_xlfn.TEXTJOIN("",TRUE,IF(ISERROR(FIND(ROW($1:$168)-1,CM438&amp;CN438)),ROW($1:$168)-1,""))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438" s="30" t="str">
        <f t="shared" si="333"/>
        <v>邻传孤</v>
      </c>
    </row>
    <row r="439" spans="1:94">
      <c r="A439" s="15">
        <v>439</v>
      </c>
      <c r="B439" s="80">
        <v>2025056</v>
      </c>
      <c r="C439" s="8" t="s">
        <v>264</v>
      </c>
      <c r="D439" s="81">
        <f t="shared" si="313"/>
        <v>15</v>
      </c>
      <c r="E439" s="82">
        <f t="shared" si="314"/>
        <v>5</v>
      </c>
      <c r="F439" s="83">
        <f t="shared" si="306"/>
        <v>2.14285714285714</v>
      </c>
      <c r="G439" s="84" t="str">
        <f t="shared" si="307"/>
        <v>标准</v>
      </c>
      <c r="H439" s="85" t="s">
        <v>10</v>
      </c>
      <c r="I439" s="85" t="s">
        <v>11</v>
      </c>
      <c r="J439" s="85" t="s">
        <v>12</v>
      </c>
      <c r="K439" s="85" t="s">
        <v>13</v>
      </c>
      <c r="L439" s="86">
        <f>MAX(MID(C439,{1,2,3},1)*1)-MIN(MID(C439,{1,2,3},1)*1)</f>
        <v>7</v>
      </c>
      <c r="M439" s="87">
        <v>0</v>
      </c>
      <c r="N439" s="87">
        <v>1</v>
      </c>
      <c r="O439" s="87">
        <v>2</v>
      </c>
      <c r="P439" s="87">
        <v>3</v>
      </c>
      <c r="Q439" s="87">
        <v>4</v>
      </c>
      <c r="R439" s="87">
        <v>5</v>
      </c>
      <c r="S439" s="87">
        <v>6</v>
      </c>
      <c r="T439" s="87">
        <v>7</v>
      </c>
      <c r="U439" s="87">
        <v>8</v>
      </c>
      <c r="V439" s="87">
        <v>9</v>
      </c>
      <c r="W439" s="88">
        <f t="shared" si="315"/>
        <v>5</v>
      </c>
      <c r="X439" s="88">
        <f t="shared" si="316"/>
        <v>2</v>
      </c>
      <c r="Y439" s="88">
        <f t="shared" si="317"/>
        <v>7</v>
      </c>
      <c r="Z439" s="89">
        <f t="shared" si="320"/>
        <v>14</v>
      </c>
      <c r="AA439" s="17" t="str">
        <f>_xlfn.TEXTJOIN(", ",TRUE,ABS(MID(C439,{1,1,2},1)-MID(C439,{2,3,3},1)))</f>
        <v>5, 2, 7</v>
      </c>
      <c r="AB439" s="90">
        <v>0</v>
      </c>
      <c r="AC439" s="90">
        <v>1</v>
      </c>
      <c r="AD439" s="90">
        <v>2</v>
      </c>
      <c r="AE439" s="90">
        <v>3</v>
      </c>
      <c r="AF439" s="90">
        <v>4</v>
      </c>
      <c r="AG439" s="90">
        <v>5</v>
      </c>
      <c r="AH439" s="90">
        <v>6</v>
      </c>
      <c r="AI439" s="90">
        <v>7</v>
      </c>
      <c r="AJ439" s="90">
        <v>8</v>
      </c>
      <c r="AK439" s="90">
        <v>9</v>
      </c>
      <c r="AL439" s="91">
        <v>0</v>
      </c>
      <c r="AM439" s="91">
        <v>1</v>
      </c>
      <c r="AN439" s="91">
        <v>2</v>
      </c>
      <c r="AO439" s="91">
        <v>3</v>
      </c>
      <c r="AP439" s="91">
        <v>4</v>
      </c>
      <c r="AQ439" s="91">
        <v>5</v>
      </c>
      <c r="AR439" s="91">
        <v>6</v>
      </c>
      <c r="AS439" s="91">
        <v>7</v>
      </c>
      <c r="AT439" s="91">
        <v>8</v>
      </c>
      <c r="AU439" s="91">
        <v>9</v>
      </c>
      <c r="AV439" s="92">
        <v>0</v>
      </c>
      <c r="AW439" s="92">
        <v>1</v>
      </c>
      <c r="AX439" s="92">
        <v>2</v>
      </c>
      <c r="AY439" s="92">
        <v>3</v>
      </c>
      <c r="AZ439" s="92">
        <v>4</v>
      </c>
      <c r="BA439" s="92">
        <v>5</v>
      </c>
      <c r="BB439" s="92">
        <v>6</v>
      </c>
      <c r="BC439" s="92">
        <v>7</v>
      </c>
      <c r="BD439" s="92">
        <v>8</v>
      </c>
      <c r="BE439" s="92">
        <v>9</v>
      </c>
      <c r="BF439" s="93">
        <v>0</v>
      </c>
      <c r="BG439" s="93">
        <v>1</v>
      </c>
      <c r="BH439" s="93">
        <v>2</v>
      </c>
      <c r="BI439" s="93">
        <v>3</v>
      </c>
      <c r="BJ439" s="93">
        <v>4</v>
      </c>
      <c r="BK439" s="93">
        <v>5</v>
      </c>
      <c r="BL439" s="93">
        <v>6</v>
      </c>
      <c r="BM439" s="93">
        <v>7</v>
      </c>
      <c r="BN439" s="93">
        <v>8</v>
      </c>
      <c r="BO439" s="93">
        <v>9</v>
      </c>
      <c r="BP439" s="94" t="str">
        <f t="shared" si="321"/>
        <v>松散型</v>
      </c>
      <c r="BQ439" s="15">
        <f t="shared" si="318"/>
        <v>2</v>
      </c>
      <c r="BR439" s="15">
        <f t="shared" si="319"/>
        <v>7</v>
      </c>
      <c r="BS439" s="20">
        <f t="shared" si="323"/>
        <v>5</v>
      </c>
      <c r="BT439" s="21">
        <f t="shared" si="324"/>
        <v>5</v>
      </c>
      <c r="BU439" s="21" t="str">
        <f t="array" ref="BU439">_xlfn.TEXTJOIN("",TRUE,IF(ISERROR(FIND(ROW($1:$168)-1,BS439&amp;BT439)),ROW($1:$168)-1,""))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39" s="22" t="str">
        <f t="shared" si="325"/>
        <v>复隔中</v>
      </c>
      <c r="BW439" s="23">
        <f t="shared" si="336"/>
        <v>2</v>
      </c>
      <c r="BX439" s="23">
        <f t="shared" si="334"/>
        <v>2</v>
      </c>
      <c r="BY439" s="23" t="str">
        <f t="array" ref="BY439">_xlfn.TEXTJOIN("",TRUE,IF(ISERROR(FIND(ROW($1:$168)-1,BW439&amp;BX439)),ROW($1:$168)-1,""))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39" s="22" t="str">
        <f t="shared" si="326"/>
        <v>复隔中</v>
      </c>
      <c r="CA439" s="24" t="str">
        <f t="shared" si="327"/>
        <v/>
      </c>
      <c r="CB439" s="24" t="str">
        <f t="shared" si="335"/>
        <v/>
      </c>
      <c r="CC439" s="24" t="str">
        <f t="array" ref="CC439">_xlfn.TEXTJOIN("",TRUE,IF(ISERROR(FIND(ROW($1:$168)-1,CA439&amp;CB439)),ROW($1:$168)-1,""))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39" s="22" t="str">
        <f t="shared" si="328"/>
        <v>中中中</v>
      </c>
      <c r="CE439" s="25" t="str">
        <f t="shared" si="322"/>
        <v>46</v>
      </c>
      <c r="CF439" s="26" t="str">
        <f t="array" ref="CF439">_xlfn.TEXTJOIN("",TRUE,IF(ISNUMBER(FIND(MID(CE438&amp;W438,ROW($1:$162),1),CE439&amp;W439)),MID(CE438&amp;W438,ROW($1:$162),1),""))</f>
        <v>4</v>
      </c>
      <c r="CG439" s="27" t="str">
        <f t="array" ref="CG439">_xlfn.TEXTJOIN("",TRUE,IF(ISERROR(FIND(ROW($1:$168)-1,CE439&amp;CF439)),ROW($1:$168)-1,""))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39" s="28" t="str">
        <f t="shared" si="329"/>
        <v>邻传孤</v>
      </c>
      <c r="CI439" s="29" t="str">
        <f t="shared" si="330"/>
        <v>13</v>
      </c>
      <c r="CJ439" s="29" t="str">
        <f t="array" ref="CJ439">_xlfn.TEXTJOIN("",TRUE,IF(ISNUMBER(FIND(MID(CI438&amp;X438,ROW($1:$162),1),CI439&amp;X439)),MID(CI438&amp;X438,ROW($1:$162),1),""))</f>
        <v/>
      </c>
      <c r="CK439" s="29" t="str">
        <f t="array" ref="CK439">_xlfn.TEXTJOIN("",TRUE,IF(ISERROR(FIND(ROW($1:$168)-1,CI439&amp;CJ439)),ROW($1:$168)-1,""))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39" s="19" t="str">
        <f t="shared" si="331"/>
        <v>邻孤孤</v>
      </c>
      <c r="CM439" s="24" t="str">
        <f t="shared" si="332"/>
        <v>68</v>
      </c>
      <c r="CN439" s="24" t="str">
        <f t="array" ref="CN439">_xlfn.TEXTJOIN("",TRUE,IF(ISNUMBER(FIND(MID(CM438&amp;Y438,ROW($1:$162),1),CM439&amp;Y439)),MID(CM438&amp;Y438,ROW($1:$162),1),""))</f>
        <v/>
      </c>
      <c r="CO439" s="24" t="str">
        <f t="array" ref="CO439">_xlfn.TEXTJOIN("",TRUE,IF(ISERROR(FIND(ROW($1:$168)-1,CM439&amp;CN439)),ROW($1:$168)-1,""))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39" s="30" t="str">
        <f t="shared" si="333"/>
        <v>邻孤孤</v>
      </c>
    </row>
    <row r="440" spans="1:94">
      <c r="A440" s="15">
        <v>440</v>
      </c>
      <c r="B440" s="80">
        <v>2025057</v>
      </c>
      <c r="C440" s="8" t="s">
        <v>131</v>
      </c>
      <c r="D440" s="81">
        <f t="shared" si="313"/>
        <v>19</v>
      </c>
      <c r="E440" s="82">
        <f t="shared" si="314"/>
        <v>9</v>
      </c>
      <c r="F440" s="83">
        <f t="shared" si="306"/>
        <v>3.16666666666667</v>
      </c>
      <c r="G440" s="84" t="str">
        <f t="shared" si="307"/>
        <v>标准</v>
      </c>
      <c r="H440" s="85" t="s">
        <v>10</v>
      </c>
      <c r="I440" s="85" t="s">
        <v>11</v>
      </c>
      <c r="J440" s="85" t="s">
        <v>12</v>
      </c>
      <c r="K440" s="85" t="s">
        <v>13</v>
      </c>
      <c r="L440" s="86">
        <f>MAX(MID(C440,{1,2,3},1)*1)-MIN(MID(C440,{1,2,3},1)*1)</f>
        <v>6</v>
      </c>
      <c r="M440" s="87">
        <v>0</v>
      </c>
      <c r="N440" s="87">
        <v>1</v>
      </c>
      <c r="O440" s="87">
        <v>2</v>
      </c>
      <c r="P440" s="87">
        <v>3</v>
      </c>
      <c r="Q440" s="87">
        <v>4</v>
      </c>
      <c r="R440" s="87">
        <v>5</v>
      </c>
      <c r="S440" s="87">
        <v>6</v>
      </c>
      <c r="T440" s="87">
        <v>7</v>
      </c>
      <c r="U440" s="87">
        <v>8</v>
      </c>
      <c r="V440" s="87">
        <v>9</v>
      </c>
      <c r="W440" s="88">
        <f t="shared" si="315"/>
        <v>6</v>
      </c>
      <c r="X440" s="88">
        <f t="shared" si="316"/>
        <v>4</v>
      </c>
      <c r="Y440" s="88">
        <f t="shared" si="317"/>
        <v>2</v>
      </c>
      <c r="Z440" s="89">
        <f t="shared" si="320"/>
        <v>12</v>
      </c>
      <c r="AA440" s="17" t="str">
        <f>_xlfn.TEXTJOIN(", ",TRUE,ABS(MID(C440,{1,1,2},1)-MID(C440,{2,3,3},1)))</f>
        <v>6, 4, 2</v>
      </c>
      <c r="AB440" s="90">
        <v>0</v>
      </c>
      <c r="AC440" s="90">
        <v>1</v>
      </c>
      <c r="AD440" s="90">
        <v>2</v>
      </c>
      <c r="AE440" s="90">
        <v>3</v>
      </c>
      <c r="AF440" s="90">
        <v>4</v>
      </c>
      <c r="AG440" s="90">
        <v>5</v>
      </c>
      <c r="AH440" s="90">
        <v>6</v>
      </c>
      <c r="AI440" s="90">
        <v>7</v>
      </c>
      <c r="AJ440" s="90">
        <v>8</v>
      </c>
      <c r="AK440" s="90">
        <v>9</v>
      </c>
      <c r="AL440" s="91">
        <v>0</v>
      </c>
      <c r="AM440" s="91">
        <v>1</v>
      </c>
      <c r="AN440" s="91">
        <v>2</v>
      </c>
      <c r="AO440" s="91">
        <v>3</v>
      </c>
      <c r="AP440" s="91">
        <v>4</v>
      </c>
      <c r="AQ440" s="91">
        <v>5</v>
      </c>
      <c r="AR440" s="91">
        <v>6</v>
      </c>
      <c r="AS440" s="91">
        <v>7</v>
      </c>
      <c r="AT440" s="91">
        <v>8</v>
      </c>
      <c r="AU440" s="91">
        <v>9</v>
      </c>
      <c r="AV440" s="92">
        <v>0</v>
      </c>
      <c r="AW440" s="92">
        <v>1</v>
      </c>
      <c r="AX440" s="92">
        <v>2</v>
      </c>
      <c r="AY440" s="92">
        <v>3</v>
      </c>
      <c r="AZ440" s="92">
        <v>4</v>
      </c>
      <c r="BA440" s="92">
        <v>5</v>
      </c>
      <c r="BB440" s="92">
        <v>6</v>
      </c>
      <c r="BC440" s="92">
        <v>7</v>
      </c>
      <c r="BD440" s="92">
        <v>8</v>
      </c>
      <c r="BE440" s="92">
        <v>9</v>
      </c>
      <c r="BF440" s="93">
        <v>0</v>
      </c>
      <c r="BG440" s="93">
        <v>1</v>
      </c>
      <c r="BH440" s="93">
        <v>2</v>
      </c>
      <c r="BI440" s="93">
        <v>3</v>
      </c>
      <c r="BJ440" s="93">
        <v>4</v>
      </c>
      <c r="BK440" s="93">
        <v>5</v>
      </c>
      <c r="BL440" s="93">
        <v>6</v>
      </c>
      <c r="BM440" s="93">
        <v>7</v>
      </c>
      <c r="BN440" s="93">
        <v>8</v>
      </c>
      <c r="BO440" s="93">
        <v>9</v>
      </c>
      <c r="BP440" s="94" t="str">
        <f t="shared" si="321"/>
        <v>松散型</v>
      </c>
      <c r="BQ440" s="15">
        <f t="shared" si="318"/>
        <v>2</v>
      </c>
      <c r="BR440" s="15">
        <f t="shared" si="319"/>
        <v>6</v>
      </c>
      <c r="BS440" s="20" t="str">
        <f t="shared" si="323"/>
        <v/>
      </c>
      <c r="BT440" s="21" t="str">
        <f t="shared" si="324"/>
        <v/>
      </c>
      <c r="BU440" s="21" t="str">
        <f t="array" ref="BU440">_xlfn.TEXTJOIN("",TRUE,IF(ISERROR(FIND(ROW($1:$168)-1,BS440&amp;BT440)),ROW($1:$168)-1,""))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40" s="22" t="str">
        <f t="shared" si="325"/>
        <v>中中中</v>
      </c>
      <c r="BW440" s="23" t="str">
        <f t="shared" si="336"/>
        <v/>
      </c>
      <c r="BX440" s="23" t="str">
        <f t="shared" si="334"/>
        <v/>
      </c>
      <c r="BY440" s="23" t="str">
        <f t="array" ref="BY440">_xlfn.TEXTJOIN("",TRUE,IF(ISERROR(FIND(ROW($1:$168)-1,BW440&amp;BX440)),ROW($1:$168)-1,""))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40" s="22" t="str">
        <f t="shared" si="326"/>
        <v>中中中</v>
      </c>
      <c r="CA440" s="24">
        <f t="shared" si="327"/>
        <v>2</v>
      </c>
      <c r="CB440" s="24">
        <f t="shared" si="335"/>
        <v>2</v>
      </c>
      <c r="CC440" s="24" t="str">
        <f t="array" ref="CC440">_xlfn.TEXTJOIN("",TRUE,IF(ISERROR(FIND(ROW($1:$168)-1,CA440&amp;CB440)),ROW($1:$168)-1,""))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40" s="22" t="str">
        <f t="shared" si="328"/>
        <v>复隔中</v>
      </c>
      <c r="CE440" s="25" t="str">
        <f t="shared" si="322"/>
        <v>57</v>
      </c>
      <c r="CF440" s="26" t="str">
        <f t="array" ref="CF440">_xlfn.TEXTJOIN("",TRUE,IF(ISNUMBER(FIND(MID(CE439&amp;W439,ROW($1:$162),1),CE440&amp;W440)),MID(CE439&amp;W439,ROW($1:$162),1),""))</f>
        <v>65</v>
      </c>
      <c r="CG440" s="27" t="str">
        <f t="array" ref="CG440">_xlfn.TEXTJOIN("",TRUE,IF(ISERROR(FIND(ROW($1:$168)-1,CE440&amp;CF440)),ROW($1:$168)-1,""))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40" s="28" t="str">
        <f t="shared" si="329"/>
        <v>邻传孤</v>
      </c>
      <c r="CI440" s="29" t="str">
        <f t="shared" si="330"/>
        <v>35</v>
      </c>
      <c r="CJ440" s="29" t="str">
        <f t="array" ref="CJ440">_xlfn.TEXTJOIN("",TRUE,IF(ISNUMBER(FIND(MID(CI439&amp;X439,ROW($1:$162),1),CI440&amp;X440)),MID(CI439&amp;X439,ROW($1:$162),1),""))</f>
        <v>3</v>
      </c>
      <c r="CK440" s="29" t="str">
        <f t="array" ref="CK440">_xlfn.TEXTJOIN("",TRUE,IF(ISERROR(FIND(ROW($1:$168)-1,CI440&amp;CJ440)),ROW($1:$168)-1,""))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40" s="19" t="str">
        <f t="shared" si="331"/>
        <v>邻传孤</v>
      </c>
      <c r="CM440" s="24" t="str">
        <f t="shared" si="332"/>
        <v>13</v>
      </c>
      <c r="CN440" s="24" t="str">
        <f t="array" ref="CN440">_xlfn.TEXTJOIN("",TRUE,IF(ISNUMBER(FIND(MID(CM439&amp;Y439,ROW($1:$162),1),CM440&amp;Y440)),MID(CM439&amp;Y439,ROW($1:$162),1),""))</f>
        <v/>
      </c>
      <c r="CO440" s="24" t="str">
        <f t="array" ref="CO440">_xlfn.TEXTJOIN("",TRUE,IF(ISERROR(FIND(ROW($1:$168)-1,CM440&amp;CN440)),ROW($1:$168)-1,""))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40" s="30" t="str">
        <f t="shared" si="333"/>
        <v>邻孤孤</v>
      </c>
    </row>
    <row r="441" spans="1:94">
      <c r="A441" s="15">
        <v>441</v>
      </c>
      <c r="B441" s="80">
        <v>2025058</v>
      </c>
      <c r="C441" s="8" t="s">
        <v>251</v>
      </c>
      <c r="D441" s="81">
        <f t="shared" si="313"/>
        <v>9</v>
      </c>
      <c r="E441" s="82">
        <f t="shared" si="314"/>
        <v>9</v>
      </c>
      <c r="F441" s="83">
        <f t="shared" si="306"/>
        <v>1.8</v>
      </c>
      <c r="G441" s="84" t="str">
        <f t="shared" si="307"/>
        <v>松散</v>
      </c>
      <c r="H441" s="85" t="s">
        <v>10</v>
      </c>
      <c r="I441" s="85" t="s">
        <v>11</v>
      </c>
      <c r="J441" s="85" t="s">
        <v>12</v>
      </c>
      <c r="K441" s="85" t="s">
        <v>13</v>
      </c>
      <c r="L441" s="86">
        <f>MAX(MID(C441,{1,2,3},1)*1)-MIN(MID(C441,{1,2,3},1)*1)</f>
        <v>5</v>
      </c>
      <c r="M441" s="87">
        <v>0</v>
      </c>
      <c r="N441" s="87">
        <v>1</v>
      </c>
      <c r="O441" s="87">
        <v>2</v>
      </c>
      <c r="P441" s="87">
        <v>3</v>
      </c>
      <c r="Q441" s="87">
        <v>4</v>
      </c>
      <c r="R441" s="87">
        <v>5</v>
      </c>
      <c r="S441" s="87">
        <v>6</v>
      </c>
      <c r="T441" s="87">
        <v>7</v>
      </c>
      <c r="U441" s="87">
        <v>8</v>
      </c>
      <c r="V441" s="87">
        <v>9</v>
      </c>
      <c r="W441" s="88">
        <f t="shared" si="315"/>
        <v>4</v>
      </c>
      <c r="X441" s="88">
        <f t="shared" si="316"/>
        <v>1</v>
      </c>
      <c r="Y441" s="88">
        <f t="shared" si="317"/>
        <v>5</v>
      </c>
      <c r="Z441" s="89">
        <f t="shared" si="320"/>
        <v>10</v>
      </c>
      <c r="AA441" s="17" t="str">
        <f>_xlfn.TEXTJOIN(", ",TRUE,ABS(MID(C441,{1,1,2},1)-MID(C441,{2,3,3},1)))</f>
        <v>4, 1, 5</v>
      </c>
      <c r="AB441" s="90">
        <v>0</v>
      </c>
      <c r="AC441" s="90">
        <v>1</v>
      </c>
      <c r="AD441" s="90">
        <v>2</v>
      </c>
      <c r="AE441" s="90">
        <v>3</v>
      </c>
      <c r="AF441" s="90">
        <v>4</v>
      </c>
      <c r="AG441" s="90">
        <v>5</v>
      </c>
      <c r="AH441" s="90">
        <v>6</v>
      </c>
      <c r="AI441" s="90">
        <v>7</v>
      </c>
      <c r="AJ441" s="90">
        <v>8</v>
      </c>
      <c r="AK441" s="90">
        <v>9</v>
      </c>
      <c r="AL441" s="91">
        <v>0</v>
      </c>
      <c r="AM441" s="91">
        <v>1</v>
      </c>
      <c r="AN441" s="91">
        <v>2</v>
      </c>
      <c r="AO441" s="91">
        <v>3</v>
      </c>
      <c r="AP441" s="91">
        <v>4</v>
      </c>
      <c r="AQ441" s="91">
        <v>5</v>
      </c>
      <c r="AR441" s="91">
        <v>6</v>
      </c>
      <c r="AS441" s="91">
        <v>7</v>
      </c>
      <c r="AT441" s="91">
        <v>8</v>
      </c>
      <c r="AU441" s="91">
        <v>9</v>
      </c>
      <c r="AV441" s="92">
        <v>0</v>
      </c>
      <c r="AW441" s="92">
        <v>1</v>
      </c>
      <c r="AX441" s="92">
        <v>2</v>
      </c>
      <c r="AY441" s="92">
        <v>3</v>
      </c>
      <c r="AZ441" s="92">
        <v>4</v>
      </c>
      <c r="BA441" s="92">
        <v>5</v>
      </c>
      <c r="BB441" s="92">
        <v>6</v>
      </c>
      <c r="BC441" s="92">
        <v>7</v>
      </c>
      <c r="BD441" s="92">
        <v>8</v>
      </c>
      <c r="BE441" s="92">
        <v>9</v>
      </c>
      <c r="BF441" s="93">
        <v>0</v>
      </c>
      <c r="BG441" s="93">
        <v>1</v>
      </c>
      <c r="BH441" s="93">
        <v>2</v>
      </c>
      <c r="BI441" s="93">
        <v>3</v>
      </c>
      <c r="BJ441" s="93">
        <v>4</v>
      </c>
      <c r="BK441" s="93">
        <v>5</v>
      </c>
      <c r="BL441" s="93">
        <v>6</v>
      </c>
      <c r="BM441" s="93">
        <v>7</v>
      </c>
      <c r="BN441" s="93">
        <v>8</v>
      </c>
      <c r="BO441" s="93">
        <v>9</v>
      </c>
      <c r="BP441" s="94" t="str">
        <f t="shared" si="321"/>
        <v>标准型</v>
      </c>
      <c r="BQ441" s="15">
        <f t="shared" si="318"/>
        <v>1</v>
      </c>
      <c r="BR441" s="15">
        <f t="shared" si="319"/>
        <v>5</v>
      </c>
      <c r="BS441" s="20">
        <f t="shared" si="323"/>
        <v>4</v>
      </c>
      <c r="BT441" s="21" t="str">
        <f t="shared" si="324"/>
        <v/>
      </c>
      <c r="BU441" s="21" t="str">
        <f t="array" ref="BU441">_xlfn.TEXTJOIN("",TRUE,IF(ISERROR(FIND(ROW($1:$168)-1,BS441&amp;BT441)),ROW($1:$168)-1,""))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41" s="22" t="str">
        <f t="shared" si="325"/>
        <v>复中中</v>
      </c>
      <c r="BW441" s="23" t="str">
        <f t="shared" si="336"/>
        <v/>
      </c>
      <c r="BX441" s="23" t="str">
        <f t="shared" si="334"/>
        <v/>
      </c>
      <c r="BY441" s="23" t="str">
        <f t="array" ref="BY441">_xlfn.TEXTJOIN("",TRUE,IF(ISERROR(FIND(ROW($1:$168)-1,BW441&amp;BX441)),ROW($1:$168)-1,""))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41" s="22" t="str">
        <f t="shared" si="326"/>
        <v>中中中</v>
      </c>
      <c r="CA441" s="24" t="str">
        <f t="shared" si="327"/>
        <v/>
      </c>
      <c r="CB441" s="24">
        <f t="shared" si="335"/>
        <v>5</v>
      </c>
      <c r="CC441" s="24" t="str">
        <f t="array" ref="CC441">_xlfn.TEXTJOIN("",TRUE,IF(ISERROR(FIND(ROW($1:$168)-1,CA441&amp;CB441)),ROW($1:$168)-1,""))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41" s="22" t="str">
        <f t="shared" si="328"/>
        <v>中隔中</v>
      </c>
      <c r="CE441" s="25" t="str">
        <f t="shared" si="322"/>
        <v>35</v>
      </c>
      <c r="CF441" s="26" t="str">
        <f t="array" ref="CF441">_xlfn.TEXTJOIN("",TRUE,IF(ISNUMBER(FIND(MID(CE440&amp;W440,ROW($1:$162),1),CE441&amp;W441)),MID(CE440&amp;W440,ROW($1:$162),1),""))</f>
        <v>5</v>
      </c>
      <c r="CG441" s="27" t="str">
        <f t="array" ref="CG441">_xlfn.TEXTJOIN("",TRUE,IF(ISERROR(FIND(ROW($1:$168)-1,CE441&amp;CF441)),ROW($1:$168)-1,""))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41" s="28" t="str">
        <f t="shared" si="329"/>
        <v>邻传孤</v>
      </c>
      <c r="CI441" s="29" t="str">
        <f t="shared" si="330"/>
        <v>02</v>
      </c>
      <c r="CJ441" s="29" t="str">
        <f t="array" ref="CJ441">_xlfn.TEXTJOIN("",TRUE,IF(ISNUMBER(FIND(MID(CI440&amp;X440,ROW($1:$162),1),CI441&amp;X441)),MID(CI440&amp;X440,ROW($1:$162),1),""))</f>
        <v/>
      </c>
      <c r="CK441" s="29" t="str">
        <f t="array" ref="CK441">_xlfn.TEXTJOIN("",TRUE,IF(ISERROR(FIND(ROW($1:$168)-1,CI441&amp;CJ441)),ROW($1:$168)-1,""))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41" s="19" t="str">
        <f t="shared" si="331"/>
        <v>邻孤孤</v>
      </c>
      <c r="CM441" s="24" t="str">
        <f t="shared" si="332"/>
        <v>46</v>
      </c>
      <c r="CN441" s="24" t="str">
        <f t="array" ref="CN441">_xlfn.TEXTJOIN("",TRUE,IF(ISNUMBER(FIND(MID(CM440&amp;Y440,ROW($1:$162),1),CM441&amp;Y441)),MID(CM440&amp;Y440,ROW($1:$162),1),""))</f>
        <v/>
      </c>
      <c r="CO441" s="24" t="str">
        <f t="array" ref="CO441">_xlfn.TEXTJOIN("",TRUE,IF(ISERROR(FIND(ROW($1:$168)-1,CM441&amp;CN441)),ROW($1:$168)-1,""))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41" s="30" t="str">
        <f t="shared" si="333"/>
        <v>邻孤孤</v>
      </c>
    </row>
    <row r="442" spans="1:94">
      <c r="A442" s="15">
        <v>442</v>
      </c>
      <c r="B442" s="80">
        <v>2025059</v>
      </c>
      <c r="C442" s="8" t="s">
        <v>45</v>
      </c>
      <c r="D442" s="81">
        <f t="shared" ref="D442:D468" si="337">LEFT(C442,1)+MID(C442,2,1)+RIGHT(C442,1)</f>
        <v>19</v>
      </c>
      <c r="E442" s="82">
        <f t="shared" ref="E442:E468" si="338">MOD(LEFT(C442,1)+MID(C442,2,1)+RIGHT(C442,1),10)</f>
        <v>9</v>
      </c>
      <c r="F442" s="83">
        <f t="shared" si="306"/>
        <v>4.75</v>
      </c>
      <c r="G442" s="84" t="str">
        <f t="shared" si="307"/>
        <v>紧凑</v>
      </c>
      <c r="H442" s="85" t="s">
        <v>10</v>
      </c>
      <c r="I442" s="85" t="s">
        <v>11</v>
      </c>
      <c r="J442" s="85" t="s">
        <v>12</v>
      </c>
      <c r="K442" s="85" t="s">
        <v>13</v>
      </c>
      <c r="L442" s="86">
        <f>MAX(MID(C442,{1,2,3},1)*1)-MIN(MID(C442,{1,2,3},1)*1)</f>
        <v>4</v>
      </c>
      <c r="M442" s="87">
        <v>0</v>
      </c>
      <c r="N442" s="87">
        <v>1</v>
      </c>
      <c r="O442" s="87">
        <v>2</v>
      </c>
      <c r="P442" s="87">
        <v>3</v>
      </c>
      <c r="Q442" s="87">
        <v>4</v>
      </c>
      <c r="R442" s="87">
        <v>5</v>
      </c>
      <c r="S442" s="87">
        <v>6</v>
      </c>
      <c r="T442" s="87">
        <v>7</v>
      </c>
      <c r="U442" s="87">
        <v>8</v>
      </c>
      <c r="V442" s="87">
        <v>9</v>
      </c>
      <c r="W442" s="88">
        <f t="shared" ref="W442:W468" si="339">ABS(LEFT(C442,1)-MID(C442,2,1))</f>
        <v>4</v>
      </c>
      <c r="X442" s="88">
        <f t="shared" ref="X442:X468" si="340">ABS(LEFT(C442,1)-RIGHT(C442,1))</f>
        <v>1</v>
      </c>
      <c r="Y442" s="88">
        <f t="shared" ref="Y442:Y468" si="341">ABS(MID(C442,2,1)-RIGHT(C442,1))</f>
        <v>3</v>
      </c>
      <c r="Z442" s="89">
        <f t="shared" si="320"/>
        <v>8</v>
      </c>
      <c r="AA442" s="17" t="str">
        <f>_xlfn.TEXTJOIN(", ",TRUE,ABS(MID(C442,{1,1,2},1)-MID(C442,{2,3,3},1)))</f>
        <v>4, 1, 3</v>
      </c>
      <c r="AB442" s="90">
        <v>0</v>
      </c>
      <c r="AC442" s="90">
        <v>1</v>
      </c>
      <c r="AD442" s="90">
        <v>2</v>
      </c>
      <c r="AE442" s="90">
        <v>3</v>
      </c>
      <c r="AF442" s="90">
        <v>4</v>
      </c>
      <c r="AG442" s="90">
        <v>5</v>
      </c>
      <c r="AH442" s="90">
        <v>6</v>
      </c>
      <c r="AI442" s="90">
        <v>7</v>
      </c>
      <c r="AJ442" s="90">
        <v>8</v>
      </c>
      <c r="AK442" s="90">
        <v>9</v>
      </c>
      <c r="AL442" s="91">
        <v>0</v>
      </c>
      <c r="AM442" s="91">
        <v>1</v>
      </c>
      <c r="AN442" s="91">
        <v>2</v>
      </c>
      <c r="AO442" s="91">
        <v>3</v>
      </c>
      <c r="AP442" s="91">
        <v>4</v>
      </c>
      <c r="AQ442" s="91">
        <v>5</v>
      </c>
      <c r="AR442" s="91">
        <v>6</v>
      </c>
      <c r="AS442" s="91">
        <v>7</v>
      </c>
      <c r="AT442" s="91">
        <v>8</v>
      </c>
      <c r="AU442" s="91">
        <v>9</v>
      </c>
      <c r="AV442" s="92">
        <v>0</v>
      </c>
      <c r="AW442" s="92">
        <v>1</v>
      </c>
      <c r="AX442" s="92">
        <v>2</v>
      </c>
      <c r="AY442" s="92">
        <v>3</v>
      </c>
      <c r="AZ442" s="92">
        <v>4</v>
      </c>
      <c r="BA442" s="92">
        <v>5</v>
      </c>
      <c r="BB442" s="92">
        <v>6</v>
      </c>
      <c r="BC442" s="92">
        <v>7</v>
      </c>
      <c r="BD442" s="92">
        <v>8</v>
      </c>
      <c r="BE442" s="92">
        <v>9</v>
      </c>
      <c r="BF442" s="93">
        <v>0</v>
      </c>
      <c r="BG442" s="93">
        <v>1</v>
      </c>
      <c r="BH442" s="93">
        <v>2</v>
      </c>
      <c r="BI442" s="93">
        <v>3</v>
      </c>
      <c r="BJ442" s="93">
        <v>4</v>
      </c>
      <c r="BK442" s="93">
        <v>5</v>
      </c>
      <c r="BL442" s="93">
        <v>6</v>
      </c>
      <c r="BM442" s="93">
        <v>7</v>
      </c>
      <c r="BN442" s="93">
        <v>8</v>
      </c>
      <c r="BO442" s="93">
        <v>9</v>
      </c>
      <c r="BP442" s="94" t="str">
        <f t="shared" si="321"/>
        <v>紧凑型</v>
      </c>
      <c r="BQ442" s="15">
        <f t="shared" si="318"/>
        <v>1</v>
      </c>
      <c r="BR442" s="15">
        <f t="shared" si="319"/>
        <v>4</v>
      </c>
      <c r="BS442" s="20">
        <f t="shared" si="323"/>
        <v>4</v>
      </c>
      <c r="BT442" s="21">
        <f t="shared" si="324"/>
        <v>4</v>
      </c>
      <c r="BU442" s="21" t="str">
        <f t="array" ref="BU442">_xlfn.TEXTJOIN("",TRUE,IF(ISERROR(FIND(ROW($1:$168)-1,BS442&amp;BT442)),ROW($1:$168)-1,""))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42" s="22" t="str">
        <f t="shared" si="325"/>
        <v>复隔中</v>
      </c>
      <c r="BW442" s="23">
        <f t="shared" si="336"/>
        <v>1</v>
      </c>
      <c r="BX442" s="23" t="str">
        <f t="shared" si="334"/>
        <v/>
      </c>
      <c r="BY442" s="23" t="str">
        <f t="array" ref="BY442">_xlfn.TEXTJOIN("",TRUE,IF(ISERROR(FIND(ROW($1:$168)-1,BW442&amp;BX442)),ROW($1:$168)-1,""))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42" s="22" t="str">
        <f t="shared" si="326"/>
        <v>复中中</v>
      </c>
      <c r="CA442" s="24" t="str">
        <f t="shared" si="327"/>
        <v/>
      </c>
      <c r="CB442" s="24" t="str">
        <f t="shared" si="335"/>
        <v/>
      </c>
      <c r="CC442" s="24" t="str">
        <f t="array" ref="CC442">_xlfn.TEXTJOIN("",TRUE,IF(ISERROR(FIND(ROW($1:$168)-1,CA442&amp;CB442)),ROW($1:$168)-1,""))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42" s="22" t="str">
        <f t="shared" si="328"/>
        <v>中中中</v>
      </c>
      <c r="CE442" s="25" t="str">
        <f t="shared" si="322"/>
        <v>35</v>
      </c>
      <c r="CF442" s="26" t="str">
        <f t="array" ref="CF442">_xlfn.TEXTJOIN("",TRUE,IF(ISNUMBER(FIND(MID(CE441&amp;W441,ROW($1:$162),1),CE442&amp;W442)),MID(CE441&amp;W441,ROW($1:$162),1),""))</f>
        <v>354</v>
      </c>
      <c r="CG442" s="27" t="str">
        <f t="array" ref="CG442">_xlfn.TEXTJOIN("",TRUE,IF(ISERROR(FIND(ROW($1:$168)-1,CE442&amp;CF442)),ROW($1:$168)-1,""))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42" s="28" t="str">
        <f t="shared" si="329"/>
        <v>邻传孤</v>
      </c>
      <c r="CI442" s="29" t="str">
        <f t="shared" si="330"/>
        <v>02</v>
      </c>
      <c r="CJ442" s="29" t="str">
        <f t="array" ref="CJ442">_xlfn.TEXTJOIN("",TRUE,IF(ISNUMBER(FIND(MID(CI441&amp;X441,ROW($1:$162),1),CI442&amp;X442)),MID(CI441&amp;X441,ROW($1:$162),1),""))</f>
        <v>021</v>
      </c>
      <c r="CK442" s="29" t="str">
        <f t="array" ref="CK442">_xlfn.TEXTJOIN("",TRUE,IF(ISERROR(FIND(ROW($1:$168)-1,CI442&amp;CJ442)),ROW($1:$168)-1,""))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42" s="19" t="str">
        <f t="shared" si="331"/>
        <v>邻传孤</v>
      </c>
      <c r="CM442" s="24" t="str">
        <f t="shared" si="332"/>
        <v>24</v>
      </c>
      <c r="CN442" s="24" t="str">
        <f t="array" ref="CN442">_xlfn.TEXTJOIN("",TRUE,IF(ISNUMBER(FIND(MID(CM441&amp;Y441,ROW($1:$162),1),CM442&amp;Y442)),MID(CM441&amp;Y441,ROW($1:$162),1),""))</f>
        <v>4</v>
      </c>
      <c r="CO442" s="24" t="str">
        <f t="array" ref="CO442">_xlfn.TEXTJOIN("",TRUE,IF(ISERROR(FIND(ROW($1:$168)-1,CM442&amp;CN442)),ROW($1:$168)-1,""))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42" s="30" t="str">
        <f t="shared" si="333"/>
        <v>邻传孤</v>
      </c>
    </row>
    <row r="443" spans="1:94">
      <c r="A443" s="15">
        <v>443</v>
      </c>
      <c r="B443" s="80">
        <v>2025060</v>
      </c>
      <c r="C443" s="8" t="s">
        <v>261</v>
      </c>
      <c r="D443" s="81">
        <f t="shared" si="337"/>
        <v>20</v>
      </c>
      <c r="E443" s="82">
        <f t="shared" si="338"/>
        <v>0</v>
      </c>
      <c r="F443" s="83">
        <f t="shared" si="306"/>
        <v>3.33333333333333</v>
      </c>
      <c r="G443" s="84" t="str">
        <f t="shared" si="307"/>
        <v>标准</v>
      </c>
      <c r="H443" s="85" t="s">
        <v>10</v>
      </c>
      <c r="I443" s="85" t="s">
        <v>11</v>
      </c>
      <c r="J443" s="85" t="s">
        <v>12</v>
      </c>
      <c r="K443" s="85" t="s">
        <v>13</v>
      </c>
      <c r="L443" s="86">
        <f>MAX(MID(C443,{1,2,3},1)*1)-MIN(MID(C443,{1,2,3},1)*1)</f>
        <v>6</v>
      </c>
      <c r="M443" s="87">
        <v>0</v>
      </c>
      <c r="N443" s="87">
        <v>1</v>
      </c>
      <c r="O443" s="87">
        <v>2</v>
      </c>
      <c r="P443" s="87">
        <v>3</v>
      </c>
      <c r="Q443" s="87">
        <v>4</v>
      </c>
      <c r="R443" s="87">
        <v>5</v>
      </c>
      <c r="S443" s="87">
        <v>6</v>
      </c>
      <c r="T443" s="87">
        <v>7</v>
      </c>
      <c r="U443" s="87">
        <v>8</v>
      </c>
      <c r="V443" s="87">
        <v>9</v>
      </c>
      <c r="W443" s="88">
        <f t="shared" si="339"/>
        <v>6</v>
      </c>
      <c r="X443" s="88">
        <f t="shared" si="340"/>
        <v>1</v>
      </c>
      <c r="Y443" s="88">
        <f t="shared" si="341"/>
        <v>5</v>
      </c>
      <c r="Z443" s="89">
        <f t="shared" si="320"/>
        <v>12</v>
      </c>
      <c r="AA443" s="17" t="str">
        <f>_xlfn.TEXTJOIN(", ",TRUE,ABS(MID(C443,{1,1,2},1)-MID(C443,{2,3,3},1)))</f>
        <v>6, 1, 5</v>
      </c>
      <c r="AB443" s="90">
        <v>0</v>
      </c>
      <c r="AC443" s="90">
        <v>1</v>
      </c>
      <c r="AD443" s="90">
        <v>2</v>
      </c>
      <c r="AE443" s="90">
        <v>3</v>
      </c>
      <c r="AF443" s="90">
        <v>4</v>
      </c>
      <c r="AG443" s="90">
        <v>5</v>
      </c>
      <c r="AH443" s="90">
        <v>6</v>
      </c>
      <c r="AI443" s="90">
        <v>7</v>
      </c>
      <c r="AJ443" s="90">
        <v>8</v>
      </c>
      <c r="AK443" s="90">
        <v>9</v>
      </c>
      <c r="AL443" s="91">
        <v>0</v>
      </c>
      <c r="AM443" s="91">
        <v>1</v>
      </c>
      <c r="AN443" s="91">
        <v>2</v>
      </c>
      <c r="AO443" s="91">
        <v>3</v>
      </c>
      <c r="AP443" s="91">
        <v>4</v>
      </c>
      <c r="AQ443" s="91">
        <v>5</v>
      </c>
      <c r="AR443" s="91">
        <v>6</v>
      </c>
      <c r="AS443" s="91">
        <v>7</v>
      </c>
      <c r="AT443" s="91">
        <v>8</v>
      </c>
      <c r="AU443" s="91">
        <v>9</v>
      </c>
      <c r="AV443" s="92">
        <v>0</v>
      </c>
      <c r="AW443" s="92">
        <v>1</v>
      </c>
      <c r="AX443" s="92">
        <v>2</v>
      </c>
      <c r="AY443" s="92">
        <v>3</v>
      </c>
      <c r="AZ443" s="92">
        <v>4</v>
      </c>
      <c r="BA443" s="92">
        <v>5</v>
      </c>
      <c r="BB443" s="92">
        <v>6</v>
      </c>
      <c r="BC443" s="92">
        <v>7</v>
      </c>
      <c r="BD443" s="92">
        <v>8</v>
      </c>
      <c r="BE443" s="92">
        <v>9</v>
      </c>
      <c r="BF443" s="93">
        <v>0</v>
      </c>
      <c r="BG443" s="93">
        <v>1</v>
      </c>
      <c r="BH443" s="93">
        <v>2</v>
      </c>
      <c r="BI443" s="93">
        <v>3</v>
      </c>
      <c r="BJ443" s="93">
        <v>4</v>
      </c>
      <c r="BK443" s="93">
        <v>5</v>
      </c>
      <c r="BL443" s="93">
        <v>6</v>
      </c>
      <c r="BM443" s="93">
        <v>7</v>
      </c>
      <c r="BN443" s="93">
        <v>8</v>
      </c>
      <c r="BO443" s="93">
        <v>9</v>
      </c>
      <c r="BP443" s="94" t="str">
        <f t="shared" si="321"/>
        <v>松散型</v>
      </c>
      <c r="BQ443" s="15">
        <f t="shared" si="318"/>
        <v>1</v>
      </c>
      <c r="BR443" s="15">
        <f t="shared" si="319"/>
        <v>6</v>
      </c>
      <c r="BS443" s="20" t="str">
        <f t="shared" si="323"/>
        <v/>
      </c>
      <c r="BT443" s="21" t="str">
        <f t="shared" si="324"/>
        <v/>
      </c>
      <c r="BU443" s="21" t="str">
        <f t="array" ref="BU443">_xlfn.TEXTJOIN("",TRUE,IF(ISERROR(FIND(ROW($1:$168)-1,BS443&amp;BT443)),ROW($1:$168)-1,""))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43" s="22" t="str">
        <f t="shared" si="325"/>
        <v>中中中</v>
      </c>
      <c r="BW443" s="23">
        <f t="shared" si="336"/>
        <v>1</v>
      </c>
      <c r="BX443" s="23">
        <f t="shared" si="334"/>
        <v>1</v>
      </c>
      <c r="BY443" s="23" t="str">
        <f t="array" ref="BY443">_xlfn.TEXTJOIN("",TRUE,IF(ISERROR(FIND(ROW($1:$168)-1,BW443&amp;BX443)),ROW($1:$168)-1,""))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43" s="22" t="str">
        <f t="shared" si="326"/>
        <v>复隔中</v>
      </c>
      <c r="CA443" s="24" t="str">
        <f t="shared" si="327"/>
        <v/>
      </c>
      <c r="CB443" s="24">
        <f t="shared" si="335"/>
        <v>5</v>
      </c>
      <c r="CC443" s="24" t="str">
        <f t="array" ref="CC443">_xlfn.TEXTJOIN("",TRUE,IF(ISERROR(FIND(ROW($1:$168)-1,CA443&amp;CB443)),ROW($1:$168)-1,""))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43" s="22" t="str">
        <f t="shared" si="328"/>
        <v>中隔中</v>
      </c>
      <c r="CE443" s="25" t="str">
        <f t="shared" si="322"/>
        <v>57</v>
      </c>
      <c r="CF443" s="26" t="str">
        <f t="array" ref="CF443">_xlfn.TEXTJOIN("",TRUE,IF(ISNUMBER(FIND(MID(CE442&amp;W442,ROW($1:$162),1),CE443&amp;W443)),MID(CE442&amp;W442,ROW($1:$162),1),""))</f>
        <v>5</v>
      </c>
      <c r="CG443" s="27" t="str">
        <f t="array" ref="CG443">_xlfn.TEXTJOIN("",TRUE,IF(ISERROR(FIND(ROW($1:$168)-1,CE443&amp;CF443)),ROW($1:$168)-1,""))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43" s="28" t="str">
        <f t="shared" si="329"/>
        <v>邻传孤</v>
      </c>
      <c r="CI443" s="29" t="str">
        <f t="shared" si="330"/>
        <v>02</v>
      </c>
      <c r="CJ443" s="29" t="str">
        <f t="array" ref="CJ443">_xlfn.TEXTJOIN("",TRUE,IF(ISNUMBER(FIND(MID(CI442&amp;X442,ROW($1:$162),1),CI443&amp;X443)),MID(CI442&amp;X442,ROW($1:$162),1),""))</f>
        <v>021</v>
      </c>
      <c r="CK443" s="29" t="str">
        <f t="array" ref="CK443">_xlfn.TEXTJOIN("",TRUE,IF(ISERROR(FIND(ROW($1:$168)-1,CI443&amp;CJ443)),ROW($1:$168)-1,""))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43" s="19" t="str">
        <f t="shared" si="331"/>
        <v>邻传孤</v>
      </c>
      <c r="CM443" s="24" t="str">
        <f t="shared" si="332"/>
        <v>46</v>
      </c>
      <c r="CN443" s="24" t="str">
        <f t="array" ref="CN443">_xlfn.TEXTJOIN("",TRUE,IF(ISNUMBER(FIND(MID(CM442&amp;Y442,ROW($1:$162),1),CM443&amp;Y443)),MID(CM442&amp;Y442,ROW($1:$162),1),""))</f>
        <v>4</v>
      </c>
      <c r="CO443" s="24" t="str">
        <f t="array" ref="CO443">_xlfn.TEXTJOIN("",TRUE,IF(ISERROR(FIND(ROW($1:$168)-1,CM443&amp;CN443)),ROW($1:$168)-1,""))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43" s="30" t="str">
        <f t="shared" si="333"/>
        <v>邻传孤</v>
      </c>
    </row>
    <row r="444" spans="1:94">
      <c r="A444" s="15">
        <v>444</v>
      </c>
      <c r="B444" s="80">
        <v>2025061</v>
      </c>
      <c r="C444" s="8" t="s">
        <v>379</v>
      </c>
      <c r="D444" s="81">
        <f t="shared" si="337"/>
        <v>17</v>
      </c>
      <c r="E444" s="82">
        <f t="shared" si="338"/>
        <v>7</v>
      </c>
      <c r="F444" s="83">
        <f t="shared" si="306"/>
        <v>5.66666666666667</v>
      </c>
      <c r="G444" s="84" t="str">
        <f t="shared" si="307"/>
        <v>紧凑</v>
      </c>
      <c r="H444" s="85" t="s">
        <v>10</v>
      </c>
      <c r="I444" s="85" t="s">
        <v>11</v>
      </c>
      <c r="J444" s="85" t="s">
        <v>12</v>
      </c>
      <c r="K444" s="85" t="s">
        <v>13</v>
      </c>
      <c r="L444" s="86">
        <f>MAX(MID(C444,{1,2,3},1)*1)-MIN(MID(C444,{1,2,3},1)*1)</f>
        <v>3</v>
      </c>
      <c r="M444" s="87">
        <v>0</v>
      </c>
      <c r="N444" s="87">
        <v>1</v>
      </c>
      <c r="O444" s="87">
        <v>2</v>
      </c>
      <c r="P444" s="87">
        <v>3</v>
      </c>
      <c r="Q444" s="87">
        <v>4</v>
      </c>
      <c r="R444" s="87">
        <v>5</v>
      </c>
      <c r="S444" s="87">
        <v>6</v>
      </c>
      <c r="T444" s="87">
        <v>7</v>
      </c>
      <c r="U444" s="87">
        <v>8</v>
      </c>
      <c r="V444" s="87">
        <v>9</v>
      </c>
      <c r="W444" s="88">
        <f t="shared" si="339"/>
        <v>3</v>
      </c>
      <c r="X444" s="88">
        <f t="shared" si="340"/>
        <v>2</v>
      </c>
      <c r="Y444" s="88">
        <f t="shared" si="341"/>
        <v>1</v>
      </c>
      <c r="Z444" s="89">
        <f t="shared" si="320"/>
        <v>6</v>
      </c>
      <c r="AA444" s="17" t="str">
        <f>_xlfn.TEXTJOIN(", ",TRUE,ABS(MID(C444,{1,1,2},1)-MID(C444,{2,3,3},1)))</f>
        <v>3, 2, 1</v>
      </c>
      <c r="AB444" s="90">
        <v>0</v>
      </c>
      <c r="AC444" s="90">
        <v>1</v>
      </c>
      <c r="AD444" s="90">
        <v>2</v>
      </c>
      <c r="AE444" s="90">
        <v>3</v>
      </c>
      <c r="AF444" s="90">
        <v>4</v>
      </c>
      <c r="AG444" s="90">
        <v>5</v>
      </c>
      <c r="AH444" s="90">
        <v>6</v>
      </c>
      <c r="AI444" s="90">
        <v>7</v>
      </c>
      <c r="AJ444" s="90">
        <v>8</v>
      </c>
      <c r="AK444" s="90">
        <v>9</v>
      </c>
      <c r="AL444" s="91">
        <v>0</v>
      </c>
      <c r="AM444" s="91">
        <v>1</v>
      </c>
      <c r="AN444" s="91">
        <v>2</v>
      </c>
      <c r="AO444" s="91">
        <v>3</v>
      </c>
      <c r="AP444" s="91">
        <v>4</v>
      </c>
      <c r="AQ444" s="91">
        <v>5</v>
      </c>
      <c r="AR444" s="91">
        <v>6</v>
      </c>
      <c r="AS444" s="91">
        <v>7</v>
      </c>
      <c r="AT444" s="91">
        <v>8</v>
      </c>
      <c r="AU444" s="91">
        <v>9</v>
      </c>
      <c r="AV444" s="92">
        <v>0</v>
      </c>
      <c r="AW444" s="92">
        <v>1</v>
      </c>
      <c r="AX444" s="92">
        <v>2</v>
      </c>
      <c r="AY444" s="92">
        <v>3</v>
      </c>
      <c r="AZ444" s="92">
        <v>4</v>
      </c>
      <c r="BA444" s="92">
        <v>5</v>
      </c>
      <c r="BB444" s="92">
        <v>6</v>
      </c>
      <c r="BC444" s="92">
        <v>7</v>
      </c>
      <c r="BD444" s="92">
        <v>8</v>
      </c>
      <c r="BE444" s="92">
        <v>9</v>
      </c>
      <c r="BF444" s="93">
        <v>0</v>
      </c>
      <c r="BG444" s="93">
        <v>1</v>
      </c>
      <c r="BH444" s="93">
        <v>2</v>
      </c>
      <c r="BI444" s="93">
        <v>3</v>
      </c>
      <c r="BJ444" s="93">
        <v>4</v>
      </c>
      <c r="BK444" s="93">
        <v>5</v>
      </c>
      <c r="BL444" s="93">
        <v>6</v>
      </c>
      <c r="BM444" s="93">
        <v>7</v>
      </c>
      <c r="BN444" s="93">
        <v>8</v>
      </c>
      <c r="BO444" s="93">
        <v>9</v>
      </c>
      <c r="BP444" s="94" t="str">
        <f t="shared" si="321"/>
        <v>紧凑型</v>
      </c>
      <c r="BQ444" s="15">
        <f t="shared" si="318"/>
        <v>1</v>
      </c>
      <c r="BR444" s="15">
        <f t="shared" si="319"/>
        <v>3</v>
      </c>
      <c r="BS444" s="20" t="str">
        <f t="shared" si="323"/>
        <v/>
      </c>
      <c r="BT444" s="21">
        <f t="shared" si="324"/>
        <v>3</v>
      </c>
      <c r="BU444" s="21" t="str">
        <f t="array" ref="BU444">_xlfn.TEXTJOIN("",TRUE,IF(ISERROR(FIND(ROW($1:$168)-1,BS444&amp;BT444)),ROW($1:$168)-1,""))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44" s="22" t="str">
        <f t="shared" si="325"/>
        <v>中隔中</v>
      </c>
      <c r="BW444" s="23" t="str">
        <f t="shared" si="336"/>
        <v/>
      </c>
      <c r="BX444" s="23" t="str">
        <f t="shared" si="334"/>
        <v/>
      </c>
      <c r="BY444" s="23" t="str">
        <f t="array" ref="BY444">_xlfn.TEXTJOIN("",TRUE,IF(ISERROR(FIND(ROW($1:$168)-1,BW444&amp;BX444)),ROW($1:$168)-1,""))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44" s="22" t="str">
        <f t="shared" si="326"/>
        <v>中中中</v>
      </c>
      <c r="CA444" s="24">
        <f t="shared" si="327"/>
        <v>1</v>
      </c>
      <c r="CB444" s="24">
        <f t="shared" si="335"/>
        <v>1</v>
      </c>
      <c r="CC444" s="24" t="str">
        <f t="array" ref="CC444">_xlfn.TEXTJOIN("",TRUE,IF(ISERROR(FIND(ROW($1:$168)-1,CA444&amp;CB444)),ROW($1:$168)-1,""))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44" s="22" t="str">
        <f t="shared" si="328"/>
        <v>复隔中</v>
      </c>
      <c r="CE444" s="25" t="str">
        <f t="shared" si="322"/>
        <v>24</v>
      </c>
      <c r="CF444" s="26" t="str">
        <f t="array" ref="CF444">_xlfn.TEXTJOIN("",TRUE,IF(ISNUMBER(FIND(MID(CE443&amp;W443,ROW($1:$162),1),CE444&amp;W444)),MID(CE443&amp;W443,ROW($1:$162),1),""))</f>
        <v/>
      </c>
      <c r="CG444" s="27" t="str">
        <f t="array" ref="CG444">_xlfn.TEXTJOIN("",TRUE,IF(ISERROR(FIND(ROW($1:$168)-1,CE444&amp;CF444)),ROW($1:$168)-1,""))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44" s="28" t="str">
        <f t="shared" si="329"/>
        <v>邻孤孤</v>
      </c>
      <c r="CI444" s="29" t="str">
        <f t="shared" si="330"/>
        <v>13</v>
      </c>
      <c r="CJ444" s="29" t="str">
        <f t="array" ref="CJ444">_xlfn.TEXTJOIN("",TRUE,IF(ISNUMBER(FIND(MID(CI443&amp;X443,ROW($1:$162),1),CI444&amp;X444)),MID(CI443&amp;X443,ROW($1:$162),1),""))</f>
        <v>21</v>
      </c>
      <c r="CK444" s="29" t="str">
        <f t="array" ref="CK444">_xlfn.TEXTJOIN("",TRUE,IF(ISERROR(FIND(ROW($1:$168)-1,CI444&amp;CJ444)),ROW($1:$168)-1,""))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444" s="19" t="str">
        <f t="shared" si="331"/>
        <v>邻传孤</v>
      </c>
      <c r="CM444" s="24" t="str">
        <f t="shared" si="332"/>
        <v>02</v>
      </c>
      <c r="CN444" s="24" t="str">
        <f t="array" ref="CN444">_xlfn.TEXTJOIN("",TRUE,IF(ISNUMBER(FIND(MID(CM443&amp;Y443,ROW($1:$162),1),CM444&amp;Y444)),MID(CM443&amp;Y443,ROW($1:$162),1),""))</f>
        <v/>
      </c>
      <c r="CO444" s="24" t="str">
        <f t="array" ref="CO444">_xlfn.TEXTJOIN("",TRUE,IF(ISERROR(FIND(ROW($1:$168)-1,CM444&amp;CN444)),ROW($1:$168)-1,""))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44" s="30" t="str">
        <f t="shared" si="333"/>
        <v>邻孤孤</v>
      </c>
    </row>
    <row r="445" spans="1:94">
      <c r="A445" s="15">
        <v>445</v>
      </c>
      <c r="B445" s="80">
        <v>2025062</v>
      </c>
      <c r="C445" s="8" t="s">
        <v>380</v>
      </c>
      <c r="D445" s="81">
        <f t="shared" si="337"/>
        <v>9</v>
      </c>
      <c r="E445" s="82">
        <f t="shared" si="338"/>
        <v>9</v>
      </c>
      <c r="F445" s="83">
        <f t="shared" si="306"/>
        <v>1.125</v>
      </c>
      <c r="G445" s="84" t="str">
        <f t="shared" si="307"/>
        <v>松散</v>
      </c>
      <c r="H445" s="85" t="s">
        <v>10</v>
      </c>
      <c r="I445" s="85" t="s">
        <v>11</v>
      </c>
      <c r="J445" s="85" t="s">
        <v>12</v>
      </c>
      <c r="K445" s="85" t="s">
        <v>13</v>
      </c>
      <c r="L445" s="86">
        <f>MAX(MID(C445,{1,2,3},1)*1)-MIN(MID(C445,{1,2,3},1)*1)</f>
        <v>8</v>
      </c>
      <c r="M445" s="87">
        <v>0</v>
      </c>
      <c r="N445" s="87">
        <v>1</v>
      </c>
      <c r="O445" s="87">
        <v>2</v>
      </c>
      <c r="P445" s="87">
        <v>3</v>
      </c>
      <c r="Q445" s="87">
        <v>4</v>
      </c>
      <c r="R445" s="87">
        <v>5</v>
      </c>
      <c r="S445" s="87">
        <v>6</v>
      </c>
      <c r="T445" s="87">
        <v>7</v>
      </c>
      <c r="U445" s="87">
        <v>8</v>
      </c>
      <c r="V445" s="87">
        <v>9</v>
      </c>
      <c r="W445" s="88">
        <f t="shared" si="339"/>
        <v>7</v>
      </c>
      <c r="X445" s="88">
        <f t="shared" si="340"/>
        <v>8</v>
      </c>
      <c r="Y445" s="88">
        <f t="shared" si="341"/>
        <v>1</v>
      </c>
      <c r="Z445" s="89">
        <f t="shared" si="320"/>
        <v>16</v>
      </c>
      <c r="AA445" s="17" t="str">
        <f>_xlfn.TEXTJOIN(", ",TRUE,ABS(MID(C445,{1,1,2},1)-MID(C445,{2,3,3},1)))</f>
        <v>7, 8, 1</v>
      </c>
      <c r="AB445" s="90">
        <v>0</v>
      </c>
      <c r="AC445" s="90">
        <v>1</v>
      </c>
      <c r="AD445" s="90">
        <v>2</v>
      </c>
      <c r="AE445" s="90">
        <v>3</v>
      </c>
      <c r="AF445" s="90">
        <v>4</v>
      </c>
      <c r="AG445" s="90">
        <v>5</v>
      </c>
      <c r="AH445" s="90">
        <v>6</v>
      </c>
      <c r="AI445" s="90">
        <v>7</v>
      </c>
      <c r="AJ445" s="90">
        <v>8</v>
      </c>
      <c r="AK445" s="90">
        <v>9</v>
      </c>
      <c r="AL445" s="91">
        <v>0</v>
      </c>
      <c r="AM445" s="91">
        <v>1</v>
      </c>
      <c r="AN445" s="91">
        <v>2</v>
      </c>
      <c r="AO445" s="91">
        <v>3</v>
      </c>
      <c r="AP445" s="91">
        <v>4</v>
      </c>
      <c r="AQ445" s="91">
        <v>5</v>
      </c>
      <c r="AR445" s="91">
        <v>6</v>
      </c>
      <c r="AS445" s="91">
        <v>7</v>
      </c>
      <c r="AT445" s="91">
        <v>8</v>
      </c>
      <c r="AU445" s="91">
        <v>9</v>
      </c>
      <c r="AV445" s="92">
        <v>0</v>
      </c>
      <c r="AW445" s="92">
        <v>1</v>
      </c>
      <c r="AX445" s="92">
        <v>2</v>
      </c>
      <c r="AY445" s="92">
        <v>3</v>
      </c>
      <c r="AZ445" s="92">
        <v>4</v>
      </c>
      <c r="BA445" s="92">
        <v>5</v>
      </c>
      <c r="BB445" s="92">
        <v>6</v>
      </c>
      <c r="BC445" s="92">
        <v>7</v>
      </c>
      <c r="BD445" s="92">
        <v>8</v>
      </c>
      <c r="BE445" s="92">
        <v>9</v>
      </c>
      <c r="BF445" s="93">
        <v>0</v>
      </c>
      <c r="BG445" s="93">
        <v>1</v>
      </c>
      <c r="BH445" s="93">
        <v>2</v>
      </c>
      <c r="BI445" s="93">
        <v>3</v>
      </c>
      <c r="BJ445" s="93">
        <v>4</v>
      </c>
      <c r="BK445" s="93">
        <v>5</v>
      </c>
      <c r="BL445" s="93">
        <v>6</v>
      </c>
      <c r="BM445" s="93">
        <v>7</v>
      </c>
      <c r="BN445" s="93">
        <v>8</v>
      </c>
      <c r="BO445" s="93">
        <v>9</v>
      </c>
      <c r="BP445" s="94" t="str">
        <f t="shared" si="321"/>
        <v>松散型</v>
      </c>
      <c r="BQ445" s="15">
        <f t="shared" si="318"/>
        <v>1</v>
      </c>
      <c r="BR445" s="15">
        <f t="shared" si="319"/>
        <v>8</v>
      </c>
      <c r="BS445" s="20" t="str">
        <f t="shared" si="323"/>
        <v/>
      </c>
      <c r="BT445" s="21" t="str">
        <f t="shared" si="324"/>
        <v/>
      </c>
      <c r="BU445" s="21" t="str">
        <f t="array" ref="BU445">_xlfn.TEXTJOIN("",TRUE,IF(ISERROR(FIND(ROW($1:$168)-1,BS445&amp;BT445)),ROW($1:$168)-1,""))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45" s="22" t="str">
        <f t="shared" si="325"/>
        <v>中中中</v>
      </c>
      <c r="BW445" s="23" t="str">
        <f t="shared" si="336"/>
        <v/>
      </c>
      <c r="BX445" s="23" t="str">
        <f t="shared" si="334"/>
        <v/>
      </c>
      <c r="BY445" s="23" t="str">
        <f t="array" ref="BY445">_xlfn.TEXTJOIN("",TRUE,IF(ISERROR(FIND(ROW($1:$168)-1,BW445&amp;BX445)),ROW($1:$168)-1,""))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45" s="22" t="str">
        <f t="shared" si="326"/>
        <v>中中中</v>
      </c>
      <c r="CA445" s="24">
        <f t="shared" si="327"/>
        <v>1</v>
      </c>
      <c r="CB445" s="24">
        <f t="shared" si="335"/>
        <v>1</v>
      </c>
      <c r="CC445" s="24" t="str">
        <f t="array" ref="CC445">_xlfn.TEXTJOIN("",TRUE,IF(ISERROR(FIND(ROW($1:$168)-1,CA445&amp;CB445)),ROW($1:$168)-1,""))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45" s="22" t="str">
        <f t="shared" si="328"/>
        <v>复隔中</v>
      </c>
      <c r="CE445" s="25" t="str">
        <f t="shared" si="322"/>
        <v>68</v>
      </c>
      <c r="CF445" s="26" t="str">
        <f t="array" ref="CF445">_xlfn.TEXTJOIN("",TRUE,IF(ISNUMBER(FIND(MID(CE444&amp;W444,ROW($1:$162),1),CE445&amp;W445)),MID(CE444&amp;W444,ROW($1:$162),1),""))</f>
        <v/>
      </c>
      <c r="CG445" s="27" t="str">
        <f t="array" ref="CG445">_xlfn.TEXTJOIN("",TRUE,IF(ISERROR(FIND(ROW($1:$168)-1,CE445&amp;CF445)),ROW($1:$168)-1,""))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45" s="28" t="str">
        <f t="shared" si="329"/>
        <v>邻孤孤</v>
      </c>
      <c r="CI445" s="29" t="str">
        <f t="shared" si="330"/>
        <v>79</v>
      </c>
      <c r="CJ445" s="29" t="str">
        <f t="array" ref="CJ445">_xlfn.TEXTJOIN("",TRUE,IF(ISNUMBER(FIND(MID(CI444&amp;X444,ROW($1:$162),1),CI445&amp;X445)),MID(CI444&amp;X444,ROW($1:$162),1),""))</f>
        <v/>
      </c>
      <c r="CK445" s="29" t="str">
        <f t="array" ref="CK445">_xlfn.TEXTJOIN("",TRUE,IF(ISERROR(FIND(ROW($1:$168)-1,CI445&amp;CJ445)),ROW($1:$168)-1,""))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445" s="19" t="str">
        <f t="shared" si="331"/>
        <v>邻孤孤</v>
      </c>
      <c r="CM445" s="24" t="str">
        <f t="shared" si="332"/>
        <v>02</v>
      </c>
      <c r="CN445" s="24" t="str">
        <f t="array" ref="CN445">_xlfn.TEXTJOIN("",TRUE,IF(ISNUMBER(FIND(MID(CM444&amp;Y444,ROW($1:$162),1),CM445&amp;Y445)),MID(CM444&amp;Y444,ROW($1:$162),1),""))</f>
        <v>021</v>
      </c>
      <c r="CO445" s="24" t="str">
        <f t="array" ref="CO445">_xlfn.TEXTJOIN("",TRUE,IF(ISERROR(FIND(ROW($1:$168)-1,CM445&amp;CN445)),ROW($1:$168)-1,""))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45" s="30" t="str">
        <f t="shared" si="333"/>
        <v>邻传孤</v>
      </c>
    </row>
    <row r="446" spans="1:94">
      <c r="A446" s="15">
        <v>446</v>
      </c>
      <c r="B446" s="80">
        <v>2025063</v>
      </c>
      <c r="C446" s="8" t="s">
        <v>251</v>
      </c>
      <c r="D446" s="81">
        <f t="shared" si="337"/>
        <v>9</v>
      </c>
      <c r="E446" s="82">
        <f t="shared" si="338"/>
        <v>9</v>
      </c>
      <c r="F446" s="83">
        <f t="shared" si="306"/>
        <v>1.8</v>
      </c>
      <c r="G446" s="84" t="str">
        <f t="shared" si="307"/>
        <v>松散</v>
      </c>
      <c r="H446" s="85" t="s">
        <v>10</v>
      </c>
      <c r="I446" s="85" t="s">
        <v>11</v>
      </c>
      <c r="J446" s="85" t="s">
        <v>12</v>
      </c>
      <c r="K446" s="85" t="s">
        <v>13</v>
      </c>
      <c r="L446" s="86">
        <f>MAX(MID(C446,{1,2,3},1)*1)-MIN(MID(C446,{1,2,3},1)*1)</f>
        <v>5</v>
      </c>
      <c r="M446" s="87">
        <v>0</v>
      </c>
      <c r="N446" s="87">
        <v>1</v>
      </c>
      <c r="O446" s="87">
        <v>2</v>
      </c>
      <c r="P446" s="87">
        <v>3</v>
      </c>
      <c r="Q446" s="87">
        <v>4</v>
      </c>
      <c r="R446" s="87">
        <v>5</v>
      </c>
      <c r="S446" s="87">
        <v>6</v>
      </c>
      <c r="T446" s="87">
        <v>7</v>
      </c>
      <c r="U446" s="87">
        <v>8</v>
      </c>
      <c r="V446" s="87">
        <v>9</v>
      </c>
      <c r="W446" s="88">
        <f t="shared" si="339"/>
        <v>4</v>
      </c>
      <c r="X446" s="88">
        <f t="shared" si="340"/>
        <v>1</v>
      </c>
      <c r="Y446" s="88">
        <f t="shared" si="341"/>
        <v>5</v>
      </c>
      <c r="Z446" s="89">
        <f t="shared" si="320"/>
        <v>10</v>
      </c>
      <c r="AA446" s="17" t="str">
        <f>_xlfn.TEXTJOIN(", ",TRUE,ABS(MID(C446,{1,1,2},1)-MID(C446,{2,3,3},1)))</f>
        <v>4, 1, 5</v>
      </c>
      <c r="AB446" s="90">
        <v>0</v>
      </c>
      <c r="AC446" s="90">
        <v>1</v>
      </c>
      <c r="AD446" s="90">
        <v>2</v>
      </c>
      <c r="AE446" s="90">
        <v>3</v>
      </c>
      <c r="AF446" s="90">
        <v>4</v>
      </c>
      <c r="AG446" s="90">
        <v>5</v>
      </c>
      <c r="AH446" s="90">
        <v>6</v>
      </c>
      <c r="AI446" s="90">
        <v>7</v>
      </c>
      <c r="AJ446" s="90">
        <v>8</v>
      </c>
      <c r="AK446" s="90">
        <v>9</v>
      </c>
      <c r="AL446" s="91">
        <v>0</v>
      </c>
      <c r="AM446" s="91">
        <v>1</v>
      </c>
      <c r="AN446" s="91">
        <v>2</v>
      </c>
      <c r="AO446" s="91">
        <v>3</v>
      </c>
      <c r="AP446" s="91">
        <v>4</v>
      </c>
      <c r="AQ446" s="91">
        <v>5</v>
      </c>
      <c r="AR446" s="91">
        <v>6</v>
      </c>
      <c r="AS446" s="91">
        <v>7</v>
      </c>
      <c r="AT446" s="91">
        <v>8</v>
      </c>
      <c r="AU446" s="91">
        <v>9</v>
      </c>
      <c r="AV446" s="92">
        <v>0</v>
      </c>
      <c r="AW446" s="92">
        <v>1</v>
      </c>
      <c r="AX446" s="92">
        <v>2</v>
      </c>
      <c r="AY446" s="92">
        <v>3</v>
      </c>
      <c r="AZ446" s="92">
        <v>4</v>
      </c>
      <c r="BA446" s="92">
        <v>5</v>
      </c>
      <c r="BB446" s="92">
        <v>6</v>
      </c>
      <c r="BC446" s="92">
        <v>7</v>
      </c>
      <c r="BD446" s="92">
        <v>8</v>
      </c>
      <c r="BE446" s="92">
        <v>9</v>
      </c>
      <c r="BF446" s="93">
        <v>0</v>
      </c>
      <c r="BG446" s="93">
        <v>1</v>
      </c>
      <c r="BH446" s="93">
        <v>2</v>
      </c>
      <c r="BI446" s="93">
        <v>3</v>
      </c>
      <c r="BJ446" s="93">
        <v>4</v>
      </c>
      <c r="BK446" s="93">
        <v>5</v>
      </c>
      <c r="BL446" s="93">
        <v>6</v>
      </c>
      <c r="BM446" s="93">
        <v>7</v>
      </c>
      <c r="BN446" s="93">
        <v>8</v>
      </c>
      <c r="BO446" s="93">
        <v>9</v>
      </c>
      <c r="BP446" s="94" t="str">
        <f t="shared" si="321"/>
        <v>标准型</v>
      </c>
      <c r="BQ446" s="15">
        <f t="shared" si="318"/>
        <v>1</v>
      </c>
      <c r="BR446" s="15">
        <f t="shared" si="319"/>
        <v>5</v>
      </c>
      <c r="BS446" s="20" t="str">
        <f t="shared" si="323"/>
        <v/>
      </c>
      <c r="BT446" s="21" t="str">
        <f t="shared" si="324"/>
        <v/>
      </c>
      <c r="BU446" s="21" t="str">
        <f t="array" ref="BU446">_xlfn.TEXTJOIN("",TRUE,IF(ISERROR(FIND(ROW($1:$168)-1,BS446&amp;BT446)),ROW($1:$168)-1,""))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46" s="22" t="str">
        <f t="shared" si="325"/>
        <v>中中中</v>
      </c>
      <c r="BW446" s="23">
        <f t="shared" si="336"/>
        <v>1</v>
      </c>
      <c r="BX446" s="23">
        <f t="shared" si="334"/>
        <v>1</v>
      </c>
      <c r="BY446" s="23" t="str">
        <f t="array" ref="BY446">_xlfn.TEXTJOIN("",TRUE,IF(ISERROR(FIND(ROW($1:$168)-1,BW446&amp;BX446)),ROW($1:$168)-1,""))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46" s="22" t="str">
        <f t="shared" si="326"/>
        <v>复隔中</v>
      </c>
      <c r="CA446" s="24" t="str">
        <f t="shared" si="327"/>
        <v/>
      </c>
      <c r="CB446" s="24" t="str">
        <f t="shared" si="335"/>
        <v/>
      </c>
      <c r="CC446" s="24" t="str">
        <f t="array" ref="CC446">_xlfn.TEXTJOIN("",TRUE,IF(ISERROR(FIND(ROW($1:$168)-1,CA446&amp;CB446)),ROW($1:$168)-1,""))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46" s="22" t="str">
        <f t="shared" si="328"/>
        <v>中中中</v>
      </c>
      <c r="CE446" s="25" t="str">
        <f t="shared" si="322"/>
        <v>35</v>
      </c>
      <c r="CF446" s="26" t="str">
        <f t="array" ref="CF446">_xlfn.TEXTJOIN("",TRUE,IF(ISNUMBER(FIND(MID(CE445&amp;W445,ROW($1:$162),1),CE446&amp;W446)),MID(CE445&amp;W445,ROW($1:$162),1),""))</f>
        <v/>
      </c>
      <c r="CG446" s="27" t="str">
        <f t="array" ref="CG446">_xlfn.TEXTJOIN("",TRUE,IF(ISERROR(FIND(ROW($1:$168)-1,CE446&amp;CF446)),ROW($1:$168)-1,""))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46" s="28" t="str">
        <f t="shared" si="329"/>
        <v>邻孤孤</v>
      </c>
      <c r="CI446" s="29" t="str">
        <f t="shared" si="330"/>
        <v>02</v>
      </c>
      <c r="CJ446" s="29" t="str">
        <f t="array" ref="CJ446">_xlfn.TEXTJOIN("",TRUE,IF(ISNUMBER(FIND(MID(CI445&amp;X445,ROW($1:$162),1),CI446&amp;X446)),MID(CI445&amp;X445,ROW($1:$162),1),""))</f>
        <v/>
      </c>
      <c r="CK446" s="29" t="str">
        <f t="array" ref="CK446">_xlfn.TEXTJOIN("",TRUE,IF(ISERROR(FIND(ROW($1:$168)-1,CI446&amp;CJ446)),ROW($1:$168)-1,""))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46" s="19" t="str">
        <f t="shared" si="331"/>
        <v>邻孤孤</v>
      </c>
      <c r="CM446" s="24" t="str">
        <f t="shared" si="332"/>
        <v>46</v>
      </c>
      <c r="CN446" s="24" t="str">
        <f t="array" ref="CN446">_xlfn.TEXTJOIN("",TRUE,IF(ISNUMBER(FIND(MID(CM445&amp;Y445,ROW($1:$162),1),CM446&amp;Y446)),MID(CM445&amp;Y445,ROW($1:$162),1),""))</f>
        <v/>
      </c>
      <c r="CO446" s="24" t="str">
        <f t="array" ref="CO446">_xlfn.TEXTJOIN("",TRUE,IF(ISERROR(FIND(ROW($1:$168)-1,CM446&amp;CN446)),ROW($1:$168)-1,""))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46" s="30" t="str">
        <f t="shared" si="333"/>
        <v>邻孤孤</v>
      </c>
    </row>
    <row r="447" spans="1:94">
      <c r="A447" s="15">
        <v>447</v>
      </c>
      <c r="B447" s="80">
        <v>2025064</v>
      </c>
      <c r="C447" s="8" t="s">
        <v>339</v>
      </c>
      <c r="D447" s="81">
        <f t="shared" si="337"/>
        <v>19</v>
      </c>
      <c r="E447" s="82">
        <f t="shared" si="338"/>
        <v>9</v>
      </c>
      <c r="F447" s="83">
        <f t="shared" si="306"/>
        <v>2.71428571428571</v>
      </c>
      <c r="G447" s="84" t="str">
        <f t="shared" si="307"/>
        <v>标准</v>
      </c>
      <c r="H447" s="85" t="s">
        <v>10</v>
      </c>
      <c r="I447" s="85" t="s">
        <v>11</v>
      </c>
      <c r="J447" s="85" t="s">
        <v>12</v>
      </c>
      <c r="K447" s="85" t="s">
        <v>13</v>
      </c>
      <c r="L447" s="86">
        <f>MAX(MID(C447,{1,2,3},1)*1)-MIN(MID(C447,{1,2,3},1)*1)</f>
        <v>7</v>
      </c>
      <c r="M447" s="87">
        <v>0</v>
      </c>
      <c r="N447" s="87">
        <v>1</v>
      </c>
      <c r="O447" s="87">
        <v>2</v>
      </c>
      <c r="P447" s="87">
        <v>3</v>
      </c>
      <c r="Q447" s="87">
        <v>4</v>
      </c>
      <c r="R447" s="87">
        <v>5</v>
      </c>
      <c r="S447" s="87">
        <v>6</v>
      </c>
      <c r="T447" s="87">
        <v>7</v>
      </c>
      <c r="U447" s="87">
        <v>8</v>
      </c>
      <c r="V447" s="87">
        <v>9</v>
      </c>
      <c r="W447" s="88">
        <f t="shared" si="339"/>
        <v>7</v>
      </c>
      <c r="X447" s="88">
        <f t="shared" si="340"/>
        <v>1</v>
      </c>
      <c r="Y447" s="88">
        <f t="shared" si="341"/>
        <v>6</v>
      </c>
      <c r="Z447" s="89">
        <f t="shared" si="320"/>
        <v>14</v>
      </c>
      <c r="AA447" s="17" t="str">
        <f>_xlfn.TEXTJOIN(", ",TRUE,ABS(MID(C447,{1,1,2},1)-MID(C447,{2,3,3},1)))</f>
        <v>7, 1, 6</v>
      </c>
      <c r="AB447" s="90">
        <v>0</v>
      </c>
      <c r="AC447" s="90">
        <v>1</v>
      </c>
      <c r="AD447" s="90">
        <v>2</v>
      </c>
      <c r="AE447" s="90">
        <v>3</v>
      </c>
      <c r="AF447" s="90">
        <v>4</v>
      </c>
      <c r="AG447" s="90">
        <v>5</v>
      </c>
      <c r="AH447" s="90">
        <v>6</v>
      </c>
      <c r="AI447" s="90">
        <v>7</v>
      </c>
      <c r="AJ447" s="90">
        <v>8</v>
      </c>
      <c r="AK447" s="90">
        <v>9</v>
      </c>
      <c r="AL447" s="91">
        <v>0</v>
      </c>
      <c r="AM447" s="91">
        <v>1</v>
      </c>
      <c r="AN447" s="91">
        <v>2</v>
      </c>
      <c r="AO447" s="91">
        <v>3</v>
      </c>
      <c r="AP447" s="91">
        <v>4</v>
      </c>
      <c r="AQ447" s="91">
        <v>5</v>
      </c>
      <c r="AR447" s="91">
        <v>6</v>
      </c>
      <c r="AS447" s="91">
        <v>7</v>
      </c>
      <c r="AT447" s="91">
        <v>8</v>
      </c>
      <c r="AU447" s="91">
        <v>9</v>
      </c>
      <c r="AV447" s="92">
        <v>0</v>
      </c>
      <c r="AW447" s="92">
        <v>1</v>
      </c>
      <c r="AX447" s="92">
        <v>2</v>
      </c>
      <c r="AY447" s="92">
        <v>3</v>
      </c>
      <c r="AZ447" s="92">
        <v>4</v>
      </c>
      <c r="BA447" s="92">
        <v>5</v>
      </c>
      <c r="BB447" s="92">
        <v>6</v>
      </c>
      <c r="BC447" s="92">
        <v>7</v>
      </c>
      <c r="BD447" s="92">
        <v>8</v>
      </c>
      <c r="BE447" s="92">
        <v>9</v>
      </c>
      <c r="BF447" s="93">
        <v>0</v>
      </c>
      <c r="BG447" s="93">
        <v>1</v>
      </c>
      <c r="BH447" s="93">
        <v>2</v>
      </c>
      <c r="BI447" s="93">
        <v>3</v>
      </c>
      <c r="BJ447" s="93">
        <v>4</v>
      </c>
      <c r="BK447" s="93">
        <v>5</v>
      </c>
      <c r="BL447" s="93">
        <v>6</v>
      </c>
      <c r="BM447" s="93">
        <v>7</v>
      </c>
      <c r="BN447" s="93">
        <v>8</v>
      </c>
      <c r="BO447" s="93">
        <v>9</v>
      </c>
      <c r="BP447" s="94" t="str">
        <f t="shared" si="321"/>
        <v>松散型</v>
      </c>
      <c r="BQ447" s="15">
        <f t="shared" si="318"/>
        <v>1</v>
      </c>
      <c r="BR447" s="15">
        <f t="shared" si="319"/>
        <v>7</v>
      </c>
      <c r="BS447" s="20" t="str">
        <f t="shared" si="323"/>
        <v/>
      </c>
      <c r="BT447" s="21">
        <f t="shared" si="324"/>
        <v>7</v>
      </c>
      <c r="BU447" s="21" t="str">
        <f t="array" ref="BU447">_xlfn.TEXTJOIN("",TRUE,IF(ISERROR(FIND(ROW($1:$168)-1,BS447&amp;BT447)),ROW($1:$168)-1,""))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47" s="22" t="str">
        <f t="shared" si="325"/>
        <v>中隔中</v>
      </c>
      <c r="BW447" s="23">
        <f t="shared" si="336"/>
        <v>1</v>
      </c>
      <c r="BX447" s="23">
        <f t="shared" si="334"/>
        <v>1</v>
      </c>
      <c r="BY447" s="23" t="str">
        <f t="array" ref="BY447">_xlfn.TEXTJOIN("",TRUE,IF(ISERROR(FIND(ROW($1:$168)-1,BW447&amp;BX447)),ROW($1:$168)-1,""))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47" s="22" t="str">
        <f t="shared" si="326"/>
        <v>复隔中</v>
      </c>
      <c r="CA447" s="24" t="str">
        <f t="shared" si="327"/>
        <v/>
      </c>
      <c r="CB447" s="24" t="str">
        <f t="shared" si="335"/>
        <v/>
      </c>
      <c r="CC447" s="24" t="str">
        <f t="array" ref="CC447">_xlfn.TEXTJOIN("",TRUE,IF(ISERROR(FIND(ROW($1:$168)-1,CA447&amp;CB447)),ROW($1:$168)-1,""))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47" s="22" t="str">
        <f t="shared" si="328"/>
        <v>中中中</v>
      </c>
      <c r="CE447" s="25" t="str">
        <f t="shared" si="322"/>
        <v>68</v>
      </c>
      <c r="CF447" s="26" t="str">
        <f t="array" ref="CF447">_xlfn.TEXTJOIN("",TRUE,IF(ISNUMBER(FIND(MID(CE446&amp;W446,ROW($1:$162),1),CE447&amp;W447)),MID(CE446&amp;W446,ROW($1:$162),1),""))</f>
        <v/>
      </c>
      <c r="CG447" s="27" t="str">
        <f t="array" ref="CG447">_xlfn.TEXTJOIN("",TRUE,IF(ISERROR(FIND(ROW($1:$168)-1,CE447&amp;CF447)),ROW($1:$168)-1,""))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47" s="28" t="str">
        <f t="shared" si="329"/>
        <v>邻孤孤</v>
      </c>
      <c r="CI447" s="29" t="str">
        <f t="shared" si="330"/>
        <v>02</v>
      </c>
      <c r="CJ447" s="29" t="str">
        <f t="array" ref="CJ447">_xlfn.TEXTJOIN("",TRUE,IF(ISNUMBER(FIND(MID(CI446&amp;X446,ROW($1:$162),1),CI447&amp;X447)),MID(CI446&amp;X446,ROW($1:$162),1),""))</f>
        <v>021</v>
      </c>
      <c r="CK447" s="29" t="str">
        <f t="array" ref="CK447">_xlfn.TEXTJOIN("",TRUE,IF(ISERROR(FIND(ROW($1:$168)-1,CI447&amp;CJ447)),ROW($1:$168)-1,""))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47" s="19" t="str">
        <f t="shared" si="331"/>
        <v>邻传孤</v>
      </c>
      <c r="CM447" s="24" t="str">
        <f t="shared" si="332"/>
        <v>57</v>
      </c>
      <c r="CN447" s="24" t="str">
        <f t="array" ref="CN447">_xlfn.TEXTJOIN("",TRUE,IF(ISNUMBER(FIND(MID(CM446&amp;Y446,ROW($1:$162),1),CM447&amp;Y447)),MID(CM446&amp;Y446,ROW($1:$162),1),""))</f>
        <v>65</v>
      </c>
      <c r="CO447" s="24" t="str">
        <f t="array" ref="CO447">_xlfn.TEXTJOIN("",TRUE,IF(ISERROR(FIND(ROW($1:$168)-1,CM447&amp;CN447)),ROW($1:$168)-1,""))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47" s="30" t="str">
        <f t="shared" si="333"/>
        <v>邻传孤</v>
      </c>
    </row>
    <row r="448" spans="1:94">
      <c r="A448" s="15">
        <v>448</v>
      </c>
      <c r="B448" s="80">
        <v>2025065</v>
      </c>
      <c r="C448" s="8" t="s">
        <v>381</v>
      </c>
      <c r="D448" s="81">
        <f t="shared" si="337"/>
        <v>16</v>
      </c>
      <c r="E448" s="82">
        <f t="shared" si="338"/>
        <v>6</v>
      </c>
      <c r="F448" s="83">
        <f t="shared" si="306"/>
        <v>3.2</v>
      </c>
      <c r="G448" s="84" t="str">
        <f t="shared" si="307"/>
        <v>标准</v>
      </c>
      <c r="H448" s="85" t="s">
        <v>10</v>
      </c>
      <c r="I448" s="85" t="s">
        <v>11</v>
      </c>
      <c r="J448" s="85" t="s">
        <v>12</v>
      </c>
      <c r="K448" s="85" t="s">
        <v>13</v>
      </c>
      <c r="L448" s="86">
        <f>MAX(MID(C448,{1,2,3},1)*1)-MIN(MID(C448,{1,2,3},1)*1)</f>
        <v>5</v>
      </c>
      <c r="M448" s="87">
        <v>0</v>
      </c>
      <c r="N448" s="87">
        <v>1</v>
      </c>
      <c r="O448" s="87">
        <v>2</v>
      </c>
      <c r="P448" s="87">
        <v>3</v>
      </c>
      <c r="Q448" s="87">
        <v>4</v>
      </c>
      <c r="R448" s="87">
        <v>5</v>
      </c>
      <c r="S448" s="87">
        <v>6</v>
      </c>
      <c r="T448" s="87">
        <v>7</v>
      </c>
      <c r="U448" s="87">
        <v>8</v>
      </c>
      <c r="V448" s="87">
        <v>9</v>
      </c>
      <c r="W448" s="88">
        <f t="shared" si="339"/>
        <v>2</v>
      </c>
      <c r="X448" s="88">
        <f t="shared" si="340"/>
        <v>3</v>
      </c>
      <c r="Y448" s="88">
        <f t="shared" si="341"/>
        <v>5</v>
      </c>
      <c r="Z448" s="89">
        <f t="shared" si="320"/>
        <v>10</v>
      </c>
      <c r="AA448" s="17" t="str">
        <f>_xlfn.TEXTJOIN(", ",TRUE,ABS(MID(C448,{1,1,2},1)-MID(C448,{2,3,3},1)))</f>
        <v>2, 3, 5</v>
      </c>
      <c r="AB448" s="90">
        <v>0</v>
      </c>
      <c r="AC448" s="90">
        <v>1</v>
      </c>
      <c r="AD448" s="90">
        <v>2</v>
      </c>
      <c r="AE448" s="90">
        <v>3</v>
      </c>
      <c r="AF448" s="90">
        <v>4</v>
      </c>
      <c r="AG448" s="90">
        <v>5</v>
      </c>
      <c r="AH448" s="90">
        <v>6</v>
      </c>
      <c r="AI448" s="90">
        <v>7</v>
      </c>
      <c r="AJ448" s="90">
        <v>8</v>
      </c>
      <c r="AK448" s="90">
        <v>9</v>
      </c>
      <c r="AL448" s="91">
        <v>0</v>
      </c>
      <c r="AM448" s="91">
        <v>1</v>
      </c>
      <c r="AN448" s="91">
        <v>2</v>
      </c>
      <c r="AO448" s="91">
        <v>3</v>
      </c>
      <c r="AP448" s="91">
        <v>4</v>
      </c>
      <c r="AQ448" s="91">
        <v>5</v>
      </c>
      <c r="AR448" s="91">
        <v>6</v>
      </c>
      <c r="AS448" s="91">
        <v>7</v>
      </c>
      <c r="AT448" s="91">
        <v>8</v>
      </c>
      <c r="AU448" s="91">
        <v>9</v>
      </c>
      <c r="AV448" s="92">
        <v>0</v>
      </c>
      <c r="AW448" s="92">
        <v>1</v>
      </c>
      <c r="AX448" s="92">
        <v>2</v>
      </c>
      <c r="AY448" s="92">
        <v>3</v>
      </c>
      <c r="AZ448" s="92">
        <v>4</v>
      </c>
      <c r="BA448" s="92">
        <v>5</v>
      </c>
      <c r="BB448" s="92">
        <v>6</v>
      </c>
      <c r="BC448" s="92">
        <v>7</v>
      </c>
      <c r="BD448" s="92">
        <v>8</v>
      </c>
      <c r="BE448" s="92">
        <v>9</v>
      </c>
      <c r="BF448" s="93">
        <v>0</v>
      </c>
      <c r="BG448" s="93">
        <v>1</v>
      </c>
      <c r="BH448" s="93">
        <v>2</v>
      </c>
      <c r="BI448" s="93">
        <v>3</v>
      </c>
      <c r="BJ448" s="93">
        <v>4</v>
      </c>
      <c r="BK448" s="93">
        <v>5</v>
      </c>
      <c r="BL448" s="93">
        <v>6</v>
      </c>
      <c r="BM448" s="93">
        <v>7</v>
      </c>
      <c r="BN448" s="93">
        <v>8</v>
      </c>
      <c r="BO448" s="93">
        <v>9</v>
      </c>
      <c r="BP448" s="94" t="str">
        <f t="shared" si="321"/>
        <v>标准型</v>
      </c>
      <c r="BQ448" s="15">
        <f t="shared" si="318"/>
        <v>2</v>
      </c>
      <c r="BR448" s="15">
        <f t="shared" si="319"/>
        <v>5</v>
      </c>
      <c r="BS448" s="20" t="str">
        <f t="shared" si="323"/>
        <v/>
      </c>
      <c r="BT448" s="21" t="str">
        <f t="shared" si="324"/>
        <v/>
      </c>
      <c r="BU448" s="21" t="str">
        <f t="array" ref="BU448">_xlfn.TEXTJOIN("",TRUE,IF(ISERROR(FIND(ROW($1:$168)-1,BS448&amp;BT448)),ROW($1:$168)-1,""))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48" s="22" t="str">
        <f t="shared" si="325"/>
        <v>中中中</v>
      </c>
      <c r="BW448" s="23" t="str">
        <f t="shared" si="336"/>
        <v/>
      </c>
      <c r="BX448" s="23" t="str">
        <f t="shared" si="334"/>
        <v/>
      </c>
      <c r="BY448" s="23" t="str">
        <f t="array" ref="BY448">_xlfn.TEXTJOIN("",TRUE,IF(ISERROR(FIND(ROW($1:$168)-1,BW448&amp;BX448)),ROW($1:$168)-1,""))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48" s="22" t="str">
        <f t="shared" si="326"/>
        <v>中中中</v>
      </c>
      <c r="CA448" s="24" t="str">
        <f t="shared" si="327"/>
        <v/>
      </c>
      <c r="CB448" s="24">
        <f t="shared" si="335"/>
        <v>5</v>
      </c>
      <c r="CC448" s="24" t="str">
        <f t="array" ref="CC448">_xlfn.TEXTJOIN("",TRUE,IF(ISERROR(FIND(ROW($1:$168)-1,CA448&amp;CB448)),ROW($1:$168)-1,""))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48" s="22" t="str">
        <f t="shared" si="328"/>
        <v>中隔中</v>
      </c>
      <c r="CE448" s="25" t="str">
        <f t="shared" si="322"/>
        <v>13</v>
      </c>
      <c r="CF448" s="26" t="str">
        <f t="array" ref="CF448">_xlfn.TEXTJOIN("",TRUE,IF(ISNUMBER(FIND(MID(CE447&amp;W447,ROW($1:$162),1),CE448&amp;W448)),MID(CE447&amp;W447,ROW($1:$162),1),""))</f>
        <v/>
      </c>
      <c r="CG448" s="27" t="str">
        <f t="array" ref="CG448">_xlfn.TEXTJOIN("",TRUE,IF(ISERROR(FIND(ROW($1:$168)-1,CE448&amp;CF448)),ROW($1:$168)-1,""))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48" s="28" t="str">
        <f t="shared" si="329"/>
        <v>邻孤孤</v>
      </c>
      <c r="CI448" s="29" t="str">
        <f t="shared" si="330"/>
        <v>24</v>
      </c>
      <c r="CJ448" s="29" t="str">
        <f t="array" ref="CJ448">_xlfn.TEXTJOIN("",TRUE,IF(ISNUMBER(FIND(MID(CI447&amp;X447,ROW($1:$162),1),CI448&amp;X448)),MID(CI447&amp;X447,ROW($1:$162),1),""))</f>
        <v>2</v>
      </c>
      <c r="CK448" s="29" t="str">
        <f t="array" ref="CK448">_xlfn.TEXTJOIN("",TRUE,IF(ISERROR(FIND(ROW($1:$168)-1,CI448&amp;CJ448)),ROW($1:$168)-1,""))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48" s="19" t="str">
        <f t="shared" si="331"/>
        <v>邻传孤</v>
      </c>
      <c r="CM448" s="24" t="str">
        <f t="shared" si="332"/>
        <v>46</v>
      </c>
      <c r="CN448" s="24" t="str">
        <f t="array" ref="CN448">_xlfn.TEXTJOIN("",TRUE,IF(ISNUMBER(FIND(MID(CM447&amp;Y447,ROW($1:$162),1),CM448&amp;Y448)),MID(CM447&amp;Y447,ROW($1:$162),1),""))</f>
        <v>56</v>
      </c>
      <c r="CO448" s="24" t="str">
        <f t="array" ref="CO448">_xlfn.TEXTJOIN("",TRUE,IF(ISERROR(FIND(ROW($1:$168)-1,CM448&amp;CN448)),ROW($1:$168)-1,""))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48" s="30" t="str">
        <f t="shared" si="333"/>
        <v>邻传孤</v>
      </c>
    </row>
    <row r="449" spans="1:94">
      <c r="A449" s="15">
        <v>449</v>
      </c>
      <c r="B449" s="80">
        <v>2025066</v>
      </c>
      <c r="C449" s="8" t="s">
        <v>382</v>
      </c>
      <c r="D449" s="81">
        <f t="shared" si="337"/>
        <v>9</v>
      </c>
      <c r="E449" s="82">
        <f t="shared" si="338"/>
        <v>9</v>
      </c>
      <c r="F449" s="83">
        <f t="shared" si="306"/>
        <v>1.28571428571429</v>
      </c>
      <c r="G449" s="84" t="str">
        <f t="shared" si="307"/>
        <v>松散</v>
      </c>
      <c r="H449" s="85" t="s">
        <v>10</v>
      </c>
      <c r="I449" s="85" t="s">
        <v>11</v>
      </c>
      <c r="J449" s="85" t="s">
        <v>12</v>
      </c>
      <c r="K449" s="85" t="s">
        <v>13</v>
      </c>
      <c r="L449" s="86">
        <f>MAX(MID(C449,{1,2,3},1)*1)-MIN(MID(C449,{1,2,3},1)*1)</f>
        <v>7</v>
      </c>
      <c r="M449" s="87">
        <v>0</v>
      </c>
      <c r="N449" s="87">
        <v>1</v>
      </c>
      <c r="O449" s="87">
        <v>2</v>
      </c>
      <c r="P449" s="87">
        <v>3</v>
      </c>
      <c r="Q449" s="87">
        <v>4</v>
      </c>
      <c r="R449" s="87">
        <v>5</v>
      </c>
      <c r="S449" s="87">
        <v>6</v>
      </c>
      <c r="T449" s="87">
        <v>7</v>
      </c>
      <c r="U449" s="87">
        <v>8</v>
      </c>
      <c r="V449" s="87">
        <v>9</v>
      </c>
      <c r="W449" s="88">
        <f t="shared" si="339"/>
        <v>5</v>
      </c>
      <c r="X449" s="88">
        <f t="shared" si="340"/>
        <v>7</v>
      </c>
      <c r="Y449" s="88">
        <f t="shared" si="341"/>
        <v>2</v>
      </c>
      <c r="Z449" s="89">
        <f t="shared" si="320"/>
        <v>14</v>
      </c>
      <c r="AA449" s="17" t="str">
        <f>_xlfn.TEXTJOIN(", ",TRUE,ABS(MID(C449,{1,1,2},1)-MID(C449,{2,3,3},1)))</f>
        <v>5, 7, 2</v>
      </c>
      <c r="AB449" s="90">
        <v>0</v>
      </c>
      <c r="AC449" s="90">
        <v>1</v>
      </c>
      <c r="AD449" s="90">
        <v>2</v>
      </c>
      <c r="AE449" s="90">
        <v>3</v>
      </c>
      <c r="AF449" s="90">
        <v>4</v>
      </c>
      <c r="AG449" s="90">
        <v>5</v>
      </c>
      <c r="AH449" s="90">
        <v>6</v>
      </c>
      <c r="AI449" s="90">
        <v>7</v>
      </c>
      <c r="AJ449" s="90">
        <v>8</v>
      </c>
      <c r="AK449" s="90">
        <v>9</v>
      </c>
      <c r="AL449" s="91">
        <v>0</v>
      </c>
      <c r="AM449" s="91">
        <v>1</v>
      </c>
      <c r="AN449" s="91">
        <v>2</v>
      </c>
      <c r="AO449" s="91">
        <v>3</v>
      </c>
      <c r="AP449" s="91">
        <v>4</v>
      </c>
      <c r="AQ449" s="91">
        <v>5</v>
      </c>
      <c r="AR449" s="91">
        <v>6</v>
      </c>
      <c r="AS449" s="91">
        <v>7</v>
      </c>
      <c r="AT449" s="91">
        <v>8</v>
      </c>
      <c r="AU449" s="91">
        <v>9</v>
      </c>
      <c r="AV449" s="92">
        <v>0</v>
      </c>
      <c r="AW449" s="92">
        <v>1</v>
      </c>
      <c r="AX449" s="92">
        <v>2</v>
      </c>
      <c r="AY449" s="92">
        <v>3</v>
      </c>
      <c r="AZ449" s="92">
        <v>4</v>
      </c>
      <c r="BA449" s="92">
        <v>5</v>
      </c>
      <c r="BB449" s="92">
        <v>6</v>
      </c>
      <c r="BC449" s="92">
        <v>7</v>
      </c>
      <c r="BD449" s="92">
        <v>8</v>
      </c>
      <c r="BE449" s="92">
        <v>9</v>
      </c>
      <c r="BF449" s="93">
        <v>0</v>
      </c>
      <c r="BG449" s="93">
        <v>1</v>
      </c>
      <c r="BH449" s="93">
        <v>2</v>
      </c>
      <c r="BI449" s="93">
        <v>3</v>
      </c>
      <c r="BJ449" s="93">
        <v>4</v>
      </c>
      <c r="BK449" s="93">
        <v>5</v>
      </c>
      <c r="BL449" s="93">
        <v>6</v>
      </c>
      <c r="BM449" s="93">
        <v>7</v>
      </c>
      <c r="BN449" s="93">
        <v>8</v>
      </c>
      <c r="BO449" s="93">
        <v>9</v>
      </c>
      <c r="BP449" s="94" t="str">
        <f t="shared" si="321"/>
        <v>松散型</v>
      </c>
      <c r="BQ449" s="15">
        <f t="shared" si="318"/>
        <v>2</v>
      </c>
      <c r="BR449" s="15">
        <f t="shared" si="319"/>
        <v>7</v>
      </c>
      <c r="BS449" s="20">
        <f t="shared" si="323"/>
        <v>5</v>
      </c>
      <c r="BT449" s="21" t="str">
        <f t="shared" si="324"/>
        <v/>
      </c>
      <c r="BU449" s="21" t="str">
        <f t="array" ref="BU449">_xlfn.TEXTJOIN("",TRUE,IF(ISERROR(FIND(ROW($1:$168)-1,BS449&amp;BT449)),ROW($1:$168)-1,""))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49" s="22" t="str">
        <f t="shared" si="325"/>
        <v>复中中</v>
      </c>
      <c r="BW449" s="23" t="str">
        <f t="shared" si="336"/>
        <v/>
      </c>
      <c r="BX449" s="23">
        <f t="shared" si="334"/>
        <v>7</v>
      </c>
      <c r="BY449" s="23" t="str">
        <f t="array" ref="BY449">_xlfn.TEXTJOIN("",TRUE,IF(ISERROR(FIND(ROW($1:$168)-1,BW449&amp;BX449)),ROW($1:$168)-1,""))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49" s="22" t="str">
        <f t="shared" si="326"/>
        <v>中隔中</v>
      </c>
      <c r="CA449" s="24">
        <f t="shared" si="327"/>
        <v>2</v>
      </c>
      <c r="CB449" s="24" t="str">
        <f t="shared" si="335"/>
        <v/>
      </c>
      <c r="CC449" s="24" t="str">
        <f t="array" ref="CC449">_xlfn.TEXTJOIN("",TRUE,IF(ISERROR(FIND(ROW($1:$168)-1,CA449&amp;CB449)),ROW($1:$168)-1,""))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49" s="22" t="str">
        <f t="shared" si="328"/>
        <v>复中中</v>
      </c>
      <c r="CE449" s="25" t="str">
        <f t="shared" si="322"/>
        <v>46</v>
      </c>
      <c r="CF449" s="26" t="str">
        <f t="array" ref="CF449">_xlfn.TEXTJOIN("",TRUE,IF(ISNUMBER(FIND(MID(CE448&amp;W448,ROW($1:$162),1),CE449&amp;W449)),MID(CE448&amp;W448,ROW($1:$162),1),""))</f>
        <v/>
      </c>
      <c r="CG449" s="27" t="str">
        <f t="array" ref="CG449">_xlfn.TEXTJOIN("",TRUE,IF(ISERROR(FIND(ROW($1:$168)-1,CE449&amp;CF449)),ROW($1:$168)-1,""))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49" s="28" t="str">
        <f t="shared" si="329"/>
        <v>邻孤孤</v>
      </c>
      <c r="CI449" s="29" t="str">
        <f t="shared" si="330"/>
        <v>68</v>
      </c>
      <c r="CJ449" s="29" t="str">
        <f t="array" ref="CJ449">_xlfn.TEXTJOIN("",TRUE,IF(ISNUMBER(FIND(MID(CI448&amp;X448,ROW($1:$162),1),CI449&amp;X449)),MID(CI448&amp;X448,ROW($1:$162),1),""))</f>
        <v/>
      </c>
      <c r="CK449" s="29" t="str">
        <f t="array" ref="CK449">_xlfn.TEXTJOIN("",TRUE,IF(ISERROR(FIND(ROW($1:$168)-1,CI449&amp;CJ449)),ROW($1:$168)-1,""))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49" s="19" t="str">
        <f t="shared" si="331"/>
        <v>邻孤孤</v>
      </c>
      <c r="CM449" s="24" t="str">
        <f t="shared" si="332"/>
        <v>13</v>
      </c>
      <c r="CN449" s="24" t="str">
        <f t="array" ref="CN449">_xlfn.TEXTJOIN("",TRUE,IF(ISNUMBER(FIND(MID(CM448&amp;Y448,ROW($1:$162),1),CM449&amp;Y449)),MID(CM448&amp;Y448,ROW($1:$162),1),""))</f>
        <v/>
      </c>
      <c r="CO449" s="24" t="str">
        <f t="array" ref="CO449">_xlfn.TEXTJOIN("",TRUE,IF(ISERROR(FIND(ROW($1:$168)-1,CM449&amp;CN449)),ROW($1:$168)-1,""))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49" s="30" t="str">
        <f t="shared" si="333"/>
        <v>邻孤孤</v>
      </c>
    </row>
    <row r="450" spans="1:94">
      <c r="A450" s="15">
        <v>450</v>
      </c>
      <c r="B450" s="80">
        <v>2025067</v>
      </c>
      <c r="C450" s="8" t="s">
        <v>383</v>
      </c>
      <c r="D450" s="81">
        <f t="shared" si="337"/>
        <v>16</v>
      </c>
      <c r="E450" s="82">
        <f t="shared" si="338"/>
        <v>6</v>
      </c>
      <c r="F450" s="83">
        <f t="shared" si="306"/>
        <v>3.2</v>
      </c>
      <c r="G450" s="84" t="str">
        <f t="shared" si="307"/>
        <v>标准</v>
      </c>
      <c r="H450" s="85" t="s">
        <v>10</v>
      </c>
      <c r="I450" s="85" t="s">
        <v>11</v>
      </c>
      <c r="J450" s="85" t="s">
        <v>12</v>
      </c>
      <c r="K450" s="85" t="s">
        <v>13</v>
      </c>
      <c r="L450" s="86">
        <f>MAX(MID(C450,{1,2,3},1)*1)-MIN(MID(C450,{1,2,3},1)*1)</f>
        <v>5</v>
      </c>
      <c r="M450" s="87">
        <v>0</v>
      </c>
      <c r="N450" s="87">
        <v>1</v>
      </c>
      <c r="O450" s="87">
        <v>2</v>
      </c>
      <c r="P450" s="87">
        <v>3</v>
      </c>
      <c r="Q450" s="87">
        <v>4</v>
      </c>
      <c r="R450" s="87">
        <v>5</v>
      </c>
      <c r="S450" s="87">
        <v>6</v>
      </c>
      <c r="T450" s="87">
        <v>7</v>
      </c>
      <c r="U450" s="87">
        <v>8</v>
      </c>
      <c r="V450" s="87">
        <v>9</v>
      </c>
      <c r="W450" s="88">
        <f t="shared" si="339"/>
        <v>5</v>
      </c>
      <c r="X450" s="88">
        <f t="shared" si="340"/>
        <v>2</v>
      </c>
      <c r="Y450" s="88">
        <f t="shared" si="341"/>
        <v>3</v>
      </c>
      <c r="Z450" s="89">
        <f t="shared" si="320"/>
        <v>10</v>
      </c>
      <c r="AA450" s="17" t="str">
        <f>_xlfn.TEXTJOIN(", ",TRUE,ABS(MID(C450,{1,1,2},1)-MID(C450,{2,3,3},1)))</f>
        <v>5, 2, 3</v>
      </c>
      <c r="AB450" s="90">
        <v>0</v>
      </c>
      <c r="AC450" s="90">
        <v>1</v>
      </c>
      <c r="AD450" s="90">
        <v>2</v>
      </c>
      <c r="AE450" s="90">
        <v>3</v>
      </c>
      <c r="AF450" s="90">
        <v>4</v>
      </c>
      <c r="AG450" s="90">
        <v>5</v>
      </c>
      <c r="AH450" s="90">
        <v>6</v>
      </c>
      <c r="AI450" s="90">
        <v>7</v>
      </c>
      <c r="AJ450" s="90">
        <v>8</v>
      </c>
      <c r="AK450" s="90">
        <v>9</v>
      </c>
      <c r="AL450" s="91">
        <v>0</v>
      </c>
      <c r="AM450" s="91">
        <v>1</v>
      </c>
      <c r="AN450" s="91">
        <v>2</v>
      </c>
      <c r="AO450" s="91">
        <v>3</v>
      </c>
      <c r="AP450" s="91">
        <v>4</v>
      </c>
      <c r="AQ450" s="91">
        <v>5</v>
      </c>
      <c r="AR450" s="91">
        <v>6</v>
      </c>
      <c r="AS450" s="91">
        <v>7</v>
      </c>
      <c r="AT450" s="91">
        <v>8</v>
      </c>
      <c r="AU450" s="91">
        <v>9</v>
      </c>
      <c r="AV450" s="92">
        <v>0</v>
      </c>
      <c r="AW450" s="92">
        <v>1</v>
      </c>
      <c r="AX450" s="92">
        <v>2</v>
      </c>
      <c r="AY450" s="92">
        <v>3</v>
      </c>
      <c r="AZ450" s="92">
        <v>4</v>
      </c>
      <c r="BA450" s="92">
        <v>5</v>
      </c>
      <c r="BB450" s="92">
        <v>6</v>
      </c>
      <c r="BC450" s="92">
        <v>7</v>
      </c>
      <c r="BD450" s="92">
        <v>8</v>
      </c>
      <c r="BE450" s="92">
        <v>9</v>
      </c>
      <c r="BF450" s="93">
        <v>0</v>
      </c>
      <c r="BG450" s="93">
        <v>1</v>
      </c>
      <c r="BH450" s="93">
        <v>2</v>
      </c>
      <c r="BI450" s="93">
        <v>3</v>
      </c>
      <c r="BJ450" s="93">
        <v>4</v>
      </c>
      <c r="BK450" s="93">
        <v>5</v>
      </c>
      <c r="BL450" s="93">
        <v>6</v>
      </c>
      <c r="BM450" s="93">
        <v>7</v>
      </c>
      <c r="BN450" s="93">
        <v>8</v>
      </c>
      <c r="BO450" s="93">
        <v>9</v>
      </c>
      <c r="BP450" s="94" t="str">
        <f t="shared" si="321"/>
        <v>标准型</v>
      </c>
      <c r="BQ450" s="15">
        <f t="shared" si="318"/>
        <v>2</v>
      </c>
      <c r="BR450" s="15">
        <f t="shared" si="319"/>
        <v>5</v>
      </c>
      <c r="BS450" s="20">
        <f t="shared" si="323"/>
        <v>5</v>
      </c>
      <c r="BT450" s="21">
        <f t="shared" si="324"/>
        <v>5</v>
      </c>
      <c r="BU450" s="21" t="str">
        <f t="array" ref="BU450">_xlfn.TEXTJOIN("",TRUE,IF(ISERROR(FIND(ROW($1:$168)-1,BS450&amp;BT450)),ROW($1:$168)-1,""))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50" s="22" t="str">
        <f t="shared" si="325"/>
        <v>复隔中</v>
      </c>
      <c r="BW450" s="23">
        <f t="shared" si="336"/>
        <v>2</v>
      </c>
      <c r="BX450" s="23">
        <f t="shared" si="334"/>
        <v>2</v>
      </c>
      <c r="BY450" s="23" t="str">
        <f t="array" ref="BY450">_xlfn.TEXTJOIN("",TRUE,IF(ISERROR(FIND(ROW($1:$168)-1,BW450&amp;BX450)),ROW($1:$168)-1,""))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50" s="22" t="str">
        <f t="shared" si="326"/>
        <v>复隔中</v>
      </c>
      <c r="CA450" s="24" t="str">
        <f t="shared" si="327"/>
        <v/>
      </c>
      <c r="CB450" s="24">
        <f t="shared" si="335"/>
        <v>3</v>
      </c>
      <c r="CC450" s="24" t="str">
        <f t="array" ref="CC450">_xlfn.TEXTJOIN("",TRUE,IF(ISERROR(FIND(ROW($1:$168)-1,CA450&amp;CB450)),ROW($1:$168)-1,""))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50" s="22" t="str">
        <f t="shared" si="328"/>
        <v>中隔中</v>
      </c>
      <c r="CE450" s="25" t="str">
        <f t="shared" si="322"/>
        <v>46</v>
      </c>
      <c r="CF450" s="26" t="str">
        <f t="array" ref="CF450">_xlfn.TEXTJOIN("",TRUE,IF(ISNUMBER(FIND(MID(CE449&amp;W449,ROW($1:$162),1),CE450&amp;W450)),MID(CE449&amp;W449,ROW($1:$162),1),""))</f>
        <v>465</v>
      </c>
      <c r="CG450" s="27" t="str">
        <f t="array" ref="CG450">_xlfn.TEXTJOIN("",TRUE,IF(ISERROR(FIND(ROW($1:$168)-1,CE450&amp;CF450)),ROW($1:$168)-1,""))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50" s="28" t="str">
        <f t="shared" si="329"/>
        <v>邻传孤</v>
      </c>
      <c r="CI450" s="29" t="str">
        <f t="shared" si="330"/>
        <v>13</v>
      </c>
      <c r="CJ450" s="29" t="str">
        <f t="array" ref="CJ450">_xlfn.TEXTJOIN("",TRUE,IF(ISNUMBER(FIND(MID(CI449&amp;X449,ROW($1:$162),1),CI450&amp;X450)),MID(CI449&amp;X449,ROW($1:$162),1),""))</f>
        <v/>
      </c>
      <c r="CK450" s="29" t="str">
        <f t="array" ref="CK450">_xlfn.TEXTJOIN("",TRUE,IF(ISERROR(FIND(ROW($1:$168)-1,CI450&amp;CJ450)),ROW($1:$168)-1,""))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50" s="19" t="str">
        <f t="shared" si="331"/>
        <v>邻孤孤</v>
      </c>
      <c r="CM450" s="24" t="str">
        <f t="shared" si="332"/>
        <v>24</v>
      </c>
      <c r="CN450" s="24" t="str">
        <f t="array" ref="CN450">_xlfn.TEXTJOIN("",TRUE,IF(ISNUMBER(FIND(MID(CM449&amp;Y449,ROW($1:$162),1),CM450&amp;Y450)),MID(CM449&amp;Y449,ROW($1:$162),1),""))</f>
        <v>32</v>
      </c>
      <c r="CO450" s="24" t="str">
        <f t="array" ref="CO450">_xlfn.TEXTJOIN("",TRUE,IF(ISERROR(FIND(ROW($1:$168)-1,CM450&amp;CN450)),ROW($1:$168)-1,""))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50" s="30" t="str">
        <f t="shared" si="333"/>
        <v>邻传孤</v>
      </c>
    </row>
    <row r="451" spans="1:94">
      <c r="A451" s="15">
        <v>451</v>
      </c>
      <c r="B451" s="80">
        <v>2025068</v>
      </c>
      <c r="C451" s="8" t="s">
        <v>384</v>
      </c>
      <c r="D451" s="81">
        <f t="shared" si="337"/>
        <v>15</v>
      </c>
      <c r="E451" s="82">
        <f t="shared" si="338"/>
        <v>5</v>
      </c>
      <c r="F451" s="83">
        <f t="shared" si="306"/>
        <v>0.1</v>
      </c>
      <c r="G451" s="84" t="str">
        <f t="shared" si="307"/>
        <v>极紧凑</v>
      </c>
      <c r="H451" s="85" t="s">
        <v>10</v>
      </c>
      <c r="I451" s="85" t="s">
        <v>11</v>
      </c>
      <c r="J451" s="85" t="s">
        <v>12</v>
      </c>
      <c r="K451" s="85" t="s">
        <v>13</v>
      </c>
      <c r="L451" s="86">
        <f>MAX(MID(C451,{1,2,3},1)*1)-MIN(MID(C451,{1,2,3},1)*1)</f>
        <v>0</v>
      </c>
      <c r="M451" s="87">
        <v>0</v>
      </c>
      <c r="N451" s="87">
        <v>1</v>
      </c>
      <c r="O451" s="87">
        <v>2</v>
      </c>
      <c r="P451" s="87">
        <v>3</v>
      </c>
      <c r="Q451" s="87">
        <v>4</v>
      </c>
      <c r="R451" s="87">
        <v>5</v>
      </c>
      <c r="S451" s="87">
        <v>6</v>
      </c>
      <c r="T451" s="87">
        <v>7</v>
      </c>
      <c r="U451" s="87">
        <v>8</v>
      </c>
      <c r="V451" s="87">
        <v>9</v>
      </c>
      <c r="W451" s="88">
        <f t="shared" si="339"/>
        <v>0</v>
      </c>
      <c r="X451" s="88">
        <f t="shared" si="340"/>
        <v>0</v>
      </c>
      <c r="Y451" s="88">
        <f t="shared" si="341"/>
        <v>0</v>
      </c>
      <c r="Z451" s="89">
        <f t="shared" si="320"/>
        <v>0</v>
      </c>
      <c r="AA451" s="17" t="str">
        <f>_xlfn.TEXTJOIN(", ",TRUE,ABS(MID(C451,{1,1,2},1)-MID(C451,{2,3,3},1)))</f>
        <v>0, 0, 0</v>
      </c>
      <c r="AB451" s="90">
        <v>0</v>
      </c>
      <c r="AC451" s="90">
        <v>1</v>
      </c>
      <c r="AD451" s="90">
        <v>2</v>
      </c>
      <c r="AE451" s="90">
        <v>3</v>
      </c>
      <c r="AF451" s="90">
        <v>4</v>
      </c>
      <c r="AG451" s="90">
        <v>5</v>
      </c>
      <c r="AH451" s="90">
        <v>6</v>
      </c>
      <c r="AI451" s="90">
        <v>7</v>
      </c>
      <c r="AJ451" s="90">
        <v>8</v>
      </c>
      <c r="AK451" s="90">
        <v>9</v>
      </c>
      <c r="AL451" s="91">
        <v>0</v>
      </c>
      <c r="AM451" s="91">
        <v>1</v>
      </c>
      <c r="AN451" s="91">
        <v>2</v>
      </c>
      <c r="AO451" s="91">
        <v>3</v>
      </c>
      <c r="AP451" s="91">
        <v>4</v>
      </c>
      <c r="AQ451" s="91">
        <v>5</v>
      </c>
      <c r="AR451" s="91">
        <v>6</v>
      </c>
      <c r="AS451" s="91">
        <v>7</v>
      </c>
      <c r="AT451" s="91">
        <v>8</v>
      </c>
      <c r="AU451" s="91">
        <v>9</v>
      </c>
      <c r="AV451" s="92">
        <v>0</v>
      </c>
      <c r="AW451" s="92">
        <v>1</v>
      </c>
      <c r="AX451" s="92">
        <v>2</v>
      </c>
      <c r="AY451" s="92">
        <v>3</v>
      </c>
      <c r="AZ451" s="92">
        <v>4</v>
      </c>
      <c r="BA451" s="92">
        <v>5</v>
      </c>
      <c r="BB451" s="92">
        <v>6</v>
      </c>
      <c r="BC451" s="92">
        <v>7</v>
      </c>
      <c r="BD451" s="92">
        <v>8</v>
      </c>
      <c r="BE451" s="92">
        <v>9</v>
      </c>
      <c r="BF451" s="93">
        <v>0</v>
      </c>
      <c r="BG451" s="93">
        <v>1</v>
      </c>
      <c r="BH451" s="93">
        <v>2</v>
      </c>
      <c r="BI451" s="93">
        <v>3</v>
      </c>
      <c r="BJ451" s="93">
        <v>4</v>
      </c>
      <c r="BK451" s="93">
        <v>5</v>
      </c>
      <c r="BL451" s="93">
        <v>6</v>
      </c>
      <c r="BM451" s="93">
        <v>7</v>
      </c>
      <c r="BN451" s="93">
        <v>8</v>
      </c>
      <c r="BO451" s="93">
        <v>9</v>
      </c>
      <c r="BP451" s="94" t="str">
        <f t="shared" si="321"/>
        <v>紧凑型</v>
      </c>
      <c r="BQ451" s="15">
        <f t="shared" si="318"/>
        <v>0</v>
      </c>
      <c r="BR451" s="15">
        <f t="shared" si="319"/>
        <v>0</v>
      </c>
      <c r="BS451" s="20" t="str">
        <f t="shared" si="323"/>
        <v/>
      </c>
      <c r="BT451" s="21" t="str">
        <f t="shared" si="324"/>
        <v/>
      </c>
      <c r="BU451" s="21" t="str">
        <f t="array" ref="BU451">_xlfn.TEXTJOIN("",TRUE,IF(ISERROR(FIND(ROW($1:$168)-1,BS451&amp;BT451)),ROW($1:$168)-1,""))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51" s="22" t="str">
        <f t="shared" si="325"/>
        <v>中中中</v>
      </c>
      <c r="BW451" s="23" t="str">
        <f t="shared" si="336"/>
        <v/>
      </c>
      <c r="BX451" s="23" t="str">
        <f t="shared" si="334"/>
        <v/>
      </c>
      <c r="BY451" s="23" t="str">
        <f t="array" ref="BY451">_xlfn.TEXTJOIN("",TRUE,IF(ISERROR(FIND(ROW($1:$168)-1,BW451&amp;BX451)),ROW($1:$168)-1,""))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51" s="22" t="str">
        <f t="shared" si="326"/>
        <v>中中中</v>
      </c>
      <c r="CA451" s="24" t="str">
        <f t="shared" si="327"/>
        <v/>
      </c>
      <c r="CB451" s="24" t="str">
        <f t="shared" si="335"/>
        <v/>
      </c>
      <c r="CC451" s="24" t="str">
        <f t="array" ref="CC451">_xlfn.TEXTJOIN("",TRUE,IF(ISERROR(FIND(ROW($1:$168)-1,CA451&amp;CB451)),ROW($1:$168)-1,""))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51" s="22" t="str">
        <f t="shared" si="328"/>
        <v>中中中</v>
      </c>
      <c r="CE451" s="25" t="str">
        <f t="shared" si="322"/>
        <v>91</v>
      </c>
      <c r="CF451" s="26" t="str">
        <f t="array" ref="CF451">_xlfn.TEXTJOIN("",TRUE,IF(ISNUMBER(FIND(MID(CE450&amp;W450,ROW($1:$162),1),CE451&amp;W451)),MID(CE450&amp;W450,ROW($1:$162),1),""))</f>
        <v/>
      </c>
      <c r="CG451" s="27" t="str">
        <f t="array" ref="CG451">_xlfn.TEXTJOIN("",TRUE,IF(ISERROR(FIND(ROW($1:$168)-1,CE451&amp;CF451)),ROW($1:$168)-1,""))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451" s="28" t="str">
        <f t="shared" si="329"/>
        <v>邻孤孤</v>
      </c>
      <c r="CI451" s="29" t="str">
        <f t="shared" si="330"/>
        <v>91</v>
      </c>
      <c r="CJ451" s="29" t="str">
        <f t="array" ref="CJ451">_xlfn.TEXTJOIN("",TRUE,IF(ISNUMBER(FIND(MID(CI450&amp;X450,ROW($1:$162),1),CI451&amp;X451)),MID(CI450&amp;X450,ROW($1:$162),1),""))</f>
        <v>1</v>
      </c>
      <c r="CK451" s="29" t="str">
        <f t="array" ref="CK451">_xlfn.TEXTJOIN("",TRUE,IF(ISERROR(FIND(ROW($1:$168)-1,CI451&amp;CJ451)),ROW($1:$168)-1,""))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451" s="19" t="str">
        <f t="shared" si="331"/>
        <v>邻传孤</v>
      </c>
      <c r="CM451" s="24" t="str">
        <f t="shared" si="332"/>
        <v>91</v>
      </c>
      <c r="CN451" s="24" t="str">
        <f t="array" ref="CN451">_xlfn.TEXTJOIN("",TRUE,IF(ISNUMBER(FIND(MID(CM450&amp;Y450,ROW($1:$162),1),CM451&amp;Y451)),MID(CM450&amp;Y450,ROW($1:$162),1),""))</f>
        <v/>
      </c>
      <c r="CO451" s="24" t="str">
        <f t="array" ref="CO451">_xlfn.TEXTJOIN("",TRUE,IF(ISERROR(FIND(ROW($1:$168)-1,CM451&amp;CN451)),ROW($1:$168)-1,""))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451" s="30" t="str">
        <f t="shared" si="333"/>
        <v>邻孤孤</v>
      </c>
    </row>
    <row r="452" spans="1:94">
      <c r="A452" s="15">
        <v>452</v>
      </c>
      <c r="B452" s="80">
        <v>2025069</v>
      </c>
      <c r="C452" s="8" t="s">
        <v>385</v>
      </c>
      <c r="D452" s="81">
        <f t="shared" si="337"/>
        <v>15</v>
      </c>
      <c r="E452" s="82">
        <f t="shared" si="338"/>
        <v>5</v>
      </c>
      <c r="F452" s="83">
        <f t="shared" ref="F452:F515" si="342">IF(L452=0,0.1,D452/L452)</f>
        <v>1.66666666666667</v>
      </c>
      <c r="G452" s="84" t="str">
        <f t="shared" ref="G452:G515" si="343">IF(F452=0.1,"极紧凑",IF(F452&gt;3.5,"紧凑",IF(AND(F452&gt;=2,F452&lt;=3.5),"标准",IF(AND(F452&gt;=1,F452&lt;2),"松散",""))))</f>
        <v>松散</v>
      </c>
      <c r="H452" s="85" t="s">
        <v>10</v>
      </c>
      <c r="I452" s="85" t="s">
        <v>11</v>
      </c>
      <c r="J452" s="85" t="s">
        <v>12</v>
      </c>
      <c r="K452" s="85" t="s">
        <v>13</v>
      </c>
      <c r="L452" s="86">
        <f>MAX(MID(C452,{1,2,3},1)*1)-MIN(MID(C452,{1,2,3},1)*1)</f>
        <v>9</v>
      </c>
      <c r="M452" s="87">
        <v>0</v>
      </c>
      <c r="N452" s="87">
        <v>1</v>
      </c>
      <c r="O452" s="87">
        <v>2</v>
      </c>
      <c r="P452" s="87">
        <v>3</v>
      </c>
      <c r="Q452" s="87">
        <v>4</v>
      </c>
      <c r="R452" s="87">
        <v>5</v>
      </c>
      <c r="S452" s="87">
        <v>6</v>
      </c>
      <c r="T452" s="87">
        <v>7</v>
      </c>
      <c r="U452" s="87">
        <v>8</v>
      </c>
      <c r="V452" s="87">
        <v>9</v>
      </c>
      <c r="W452" s="88">
        <f t="shared" si="339"/>
        <v>9</v>
      </c>
      <c r="X452" s="88">
        <f t="shared" si="340"/>
        <v>3</v>
      </c>
      <c r="Y452" s="88">
        <f t="shared" si="341"/>
        <v>6</v>
      </c>
      <c r="Z452" s="89">
        <f t="shared" si="320"/>
        <v>18</v>
      </c>
      <c r="AA452" s="17" t="str">
        <f>_xlfn.TEXTJOIN(", ",TRUE,ABS(MID(C452,{1,1,2},1)-MID(C452,{2,3,3},1)))</f>
        <v>9, 3, 6</v>
      </c>
      <c r="AB452" s="90">
        <v>0</v>
      </c>
      <c r="AC452" s="90">
        <v>1</v>
      </c>
      <c r="AD452" s="90">
        <v>2</v>
      </c>
      <c r="AE452" s="90">
        <v>3</v>
      </c>
      <c r="AF452" s="90">
        <v>4</v>
      </c>
      <c r="AG452" s="90">
        <v>5</v>
      </c>
      <c r="AH452" s="90">
        <v>6</v>
      </c>
      <c r="AI452" s="90">
        <v>7</v>
      </c>
      <c r="AJ452" s="90">
        <v>8</v>
      </c>
      <c r="AK452" s="90">
        <v>9</v>
      </c>
      <c r="AL452" s="91">
        <v>0</v>
      </c>
      <c r="AM452" s="91">
        <v>1</v>
      </c>
      <c r="AN452" s="91">
        <v>2</v>
      </c>
      <c r="AO452" s="91">
        <v>3</v>
      </c>
      <c r="AP452" s="91">
        <v>4</v>
      </c>
      <c r="AQ452" s="91">
        <v>5</v>
      </c>
      <c r="AR452" s="91">
        <v>6</v>
      </c>
      <c r="AS452" s="91">
        <v>7</v>
      </c>
      <c r="AT452" s="91">
        <v>8</v>
      </c>
      <c r="AU452" s="91">
        <v>9</v>
      </c>
      <c r="AV452" s="92">
        <v>0</v>
      </c>
      <c r="AW452" s="92">
        <v>1</v>
      </c>
      <c r="AX452" s="92">
        <v>2</v>
      </c>
      <c r="AY452" s="92">
        <v>3</v>
      </c>
      <c r="AZ452" s="92">
        <v>4</v>
      </c>
      <c r="BA452" s="92">
        <v>5</v>
      </c>
      <c r="BB452" s="92">
        <v>6</v>
      </c>
      <c r="BC452" s="92">
        <v>7</v>
      </c>
      <c r="BD452" s="92">
        <v>8</v>
      </c>
      <c r="BE452" s="92">
        <v>9</v>
      </c>
      <c r="BF452" s="93">
        <v>0</v>
      </c>
      <c r="BG452" s="93">
        <v>1</v>
      </c>
      <c r="BH452" s="93">
        <v>2</v>
      </c>
      <c r="BI452" s="93">
        <v>3</v>
      </c>
      <c r="BJ452" s="93">
        <v>4</v>
      </c>
      <c r="BK452" s="93">
        <v>5</v>
      </c>
      <c r="BL452" s="93">
        <v>6</v>
      </c>
      <c r="BM452" s="93">
        <v>7</v>
      </c>
      <c r="BN452" s="93">
        <v>8</v>
      </c>
      <c r="BO452" s="93">
        <v>9</v>
      </c>
      <c r="BP452" s="94" t="str">
        <f t="shared" si="321"/>
        <v>松散型</v>
      </c>
      <c r="BQ452" s="15">
        <f t="shared" si="318"/>
        <v>3</v>
      </c>
      <c r="BR452" s="15">
        <f t="shared" si="319"/>
        <v>9</v>
      </c>
      <c r="BS452" s="20" t="str">
        <f t="shared" si="323"/>
        <v/>
      </c>
      <c r="BT452" s="21" t="str">
        <f t="shared" si="324"/>
        <v/>
      </c>
      <c r="BU452" s="21" t="str">
        <f t="array" ref="BU452">_xlfn.TEXTJOIN("",TRUE,IF(ISERROR(FIND(ROW($1:$168)-1,BS452&amp;BT452)),ROW($1:$168)-1,""))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52" s="22" t="str">
        <f t="shared" si="325"/>
        <v>中中中</v>
      </c>
      <c r="BW452" s="23" t="str">
        <f t="shared" si="336"/>
        <v/>
      </c>
      <c r="BX452" s="23">
        <f t="shared" si="334"/>
        <v>3</v>
      </c>
      <c r="BY452" s="23" t="str">
        <f t="array" ref="BY452">_xlfn.TEXTJOIN("",TRUE,IF(ISERROR(FIND(ROW($1:$168)-1,BW452&amp;BX452)),ROW($1:$168)-1,""))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52" s="22" t="str">
        <f t="shared" si="326"/>
        <v>中隔中</v>
      </c>
      <c r="CA452" s="24" t="str">
        <f t="shared" si="327"/>
        <v/>
      </c>
      <c r="CB452" s="24" t="str">
        <f t="shared" si="335"/>
        <v/>
      </c>
      <c r="CC452" s="24" t="str">
        <f t="array" ref="CC452">_xlfn.TEXTJOIN("",TRUE,IF(ISERROR(FIND(ROW($1:$168)-1,CA452&amp;CB452)),ROW($1:$168)-1,""))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52" s="22" t="str">
        <f t="shared" si="328"/>
        <v>中中中</v>
      </c>
      <c r="CE452" s="25" t="str">
        <f t="shared" si="322"/>
        <v>80</v>
      </c>
      <c r="CF452" s="26" t="str">
        <f t="array" ref="CF452">_xlfn.TEXTJOIN("",TRUE,IF(ISNUMBER(FIND(MID(CE451&amp;W451,ROW($1:$162),1),CE452&amp;W452)),MID(CE451&amp;W451,ROW($1:$162),1),""))</f>
        <v>90</v>
      </c>
      <c r="CG452" s="27" t="str">
        <f t="array" ref="CG452">_xlfn.TEXTJOIN("",TRUE,IF(ISERROR(FIND(ROW($1:$168)-1,CE452&amp;CF452)),ROW($1:$168)-1,""))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H452" s="28" t="str">
        <f t="shared" si="329"/>
        <v>邻传孤</v>
      </c>
      <c r="CI452" s="29" t="str">
        <f t="shared" si="330"/>
        <v>24</v>
      </c>
      <c r="CJ452" s="29" t="str">
        <f t="array" ref="CJ452">_xlfn.TEXTJOIN("",TRUE,IF(ISNUMBER(FIND(MID(CI451&amp;X451,ROW($1:$162),1),CI452&amp;X452)),MID(CI451&amp;X451,ROW($1:$162),1),""))</f>
        <v/>
      </c>
      <c r="CK452" s="29" t="str">
        <f t="array" ref="CK452">_xlfn.TEXTJOIN("",TRUE,IF(ISERROR(FIND(ROW($1:$168)-1,CI452&amp;CJ452)),ROW($1:$168)-1,""))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52" s="19" t="str">
        <f t="shared" si="331"/>
        <v>邻孤孤</v>
      </c>
      <c r="CM452" s="24" t="str">
        <f t="shared" si="332"/>
        <v>57</v>
      </c>
      <c r="CN452" s="24" t="str">
        <f t="array" ref="CN452">_xlfn.TEXTJOIN("",TRUE,IF(ISNUMBER(FIND(MID(CM451&amp;Y451,ROW($1:$162),1),CM452&amp;Y452)),MID(CM451&amp;Y451,ROW($1:$162),1),""))</f>
        <v/>
      </c>
      <c r="CO452" s="24" t="str">
        <f t="array" ref="CO452">_xlfn.TEXTJOIN("",TRUE,IF(ISERROR(FIND(ROW($1:$168)-1,CM452&amp;CN452)),ROW($1:$168)-1,""))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52" s="30" t="str">
        <f t="shared" si="333"/>
        <v>邻孤孤</v>
      </c>
    </row>
    <row r="453" spans="1:94">
      <c r="A453" s="15">
        <v>453</v>
      </c>
      <c r="B453" s="80">
        <v>2025070</v>
      </c>
      <c r="C453" s="8" t="s">
        <v>187</v>
      </c>
      <c r="D453" s="81">
        <f t="shared" si="337"/>
        <v>19</v>
      </c>
      <c r="E453" s="82">
        <f t="shared" si="338"/>
        <v>9</v>
      </c>
      <c r="F453" s="83">
        <f t="shared" si="342"/>
        <v>4.75</v>
      </c>
      <c r="G453" s="84" t="str">
        <f t="shared" si="343"/>
        <v>紧凑</v>
      </c>
      <c r="H453" s="85" t="s">
        <v>10</v>
      </c>
      <c r="I453" s="85" t="s">
        <v>11</v>
      </c>
      <c r="J453" s="85" t="s">
        <v>12</v>
      </c>
      <c r="K453" s="85" t="s">
        <v>13</v>
      </c>
      <c r="L453" s="86">
        <f>MAX(MID(C453,{1,2,3},1)*1)-MIN(MID(C453,{1,2,3},1)*1)</f>
        <v>4</v>
      </c>
      <c r="M453" s="87">
        <v>0</v>
      </c>
      <c r="N453" s="87">
        <v>1</v>
      </c>
      <c r="O453" s="87">
        <v>2</v>
      </c>
      <c r="P453" s="87">
        <v>3</v>
      </c>
      <c r="Q453" s="87">
        <v>4</v>
      </c>
      <c r="R453" s="87">
        <v>5</v>
      </c>
      <c r="S453" s="87">
        <v>6</v>
      </c>
      <c r="T453" s="87">
        <v>7</v>
      </c>
      <c r="U453" s="87">
        <v>8</v>
      </c>
      <c r="V453" s="87">
        <v>9</v>
      </c>
      <c r="W453" s="88">
        <f t="shared" si="339"/>
        <v>3</v>
      </c>
      <c r="X453" s="88">
        <f t="shared" si="340"/>
        <v>1</v>
      </c>
      <c r="Y453" s="88">
        <f t="shared" si="341"/>
        <v>4</v>
      </c>
      <c r="Z453" s="89">
        <f t="shared" si="320"/>
        <v>8</v>
      </c>
      <c r="AA453" s="17" t="str">
        <f>_xlfn.TEXTJOIN(", ",TRUE,ABS(MID(C453,{1,1,2},1)-MID(C453,{2,3,3},1)))</f>
        <v>3, 1, 4</v>
      </c>
      <c r="AB453" s="90">
        <v>0</v>
      </c>
      <c r="AC453" s="90">
        <v>1</v>
      </c>
      <c r="AD453" s="90">
        <v>2</v>
      </c>
      <c r="AE453" s="90">
        <v>3</v>
      </c>
      <c r="AF453" s="90">
        <v>4</v>
      </c>
      <c r="AG453" s="90">
        <v>5</v>
      </c>
      <c r="AH453" s="90">
        <v>6</v>
      </c>
      <c r="AI453" s="90">
        <v>7</v>
      </c>
      <c r="AJ453" s="90">
        <v>8</v>
      </c>
      <c r="AK453" s="90">
        <v>9</v>
      </c>
      <c r="AL453" s="91">
        <v>0</v>
      </c>
      <c r="AM453" s="91">
        <v>1</v>
      </c>
      <c r="AN453" s="91">
        <v>2</v>
      </c>
      <c r="AO453" s="91">
        <v>3</v>
      </c>
      <c r="AP453" s="91">
        <v>4</v>
      </c>
      <c r="AQ453" s="91">
        <v>5</v>
      </c>
      <c r="AR453" s="91">
        <v>6</v>
      </c>
      <c r="AS453" s="91">
        <v>7</v>
      </c>
      <c r="AT453" s="91">
        <v>8</v>
      </c>
      <c r="AU453" s="91">
        <v>9</v>
      </c>
      <c r="AV453" s="92">
        <v>0</v>
      </c>
      <c r="AW453" s="92">
        <v>1</v>
      </c>
      <c r="AX453" s="92">
        <v>2</v>
      </c>
      <c r="AY453" s="92">
        <v>3</v>
      </c>
      <c r="AZ453" s="92">
        <v>4</v>
      </c>
      <c r="BA453" s="92">
        <v>5</v>
      </c>
      <c r="BB453" s="92">
        <v>6</v>
      </c>
      <c r="BC453" s="92">
        <v>7</v>
      </c>
      <c r="BD453" s="92">
        <v>8</v>
      </c>
      <c r="BE453" s="92">
        <v>9</v>
      </c>
      <c r="BF453" s="93">
        <v>0</v>
      </c>
      <c r="BG453" s="93">
        <v>1</v>
      </c>
      <c r="BH453" s="93">
        <v>2</v>
      </c>
      <c r="BI453" s="93">
        <v>3</v>
      </c>
      <c r="BJ453" s="93">
        <v>4</v>
      </c>
      <c r="BK453" s="93">
        <v>5</v>
      </c>
      <c r="BL453" s="93">
        <v>6</v>
      </c>
      <c r="BM453" s="93">
        <v>7</v>
      </c>
      <c r="BN453" s="93">
        <v>8</v>
      </c>
      <c r="BO453" s="93">
        <v>9</v>
      </c>
      <c r="BP453" s="94" t="str">
        <f t="shared" si="321"/>
        <v>紧凑型</v>
      </c>
      <c r="BQ453" s="15">
        <f t="shared" si="318"/>
        <v>1</v>
      </c>
      <c r="BR453" s="15">
        <f t="shared" si="319"/>
        <v>4</v>
      </c>
      <c r="BS453" s="20">
        <f t="shared" si="323"/>
        <v>3</v>
      </c>
      <c r="BT453" s="21" t="str">
        <f t="shared" si="324"/>
        <v/>
      </c>
      <c r="BU453" s="21" t="str">
        <f t="array" ref="BU453">_xlfn.TEXTJOIN("",TRUE,IF(ISERROR(FIND(ROW($1:$168)-1,BS453&amp;BT453)),ROW($1:$168)-1,""))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53" s="22" t="str">
        <f t="shared" si="325"/>
        <v>复中中</v>
      </c>
      <c r="BW453" s="23" t="str">
        <f t="shared" si="336"/>
        <v/>
      </c>
      <c r="BX453" s="23" t="str">
        <f t="shared" si="334"/>
        <v/>
      </c>
      <c r="BY453" s="23" t="str">
        <f t="array" ref="BY453">_xlfn.TEXTJOIN("",TRUE,IF(ISERROR(FIND(ROW($1:$168)-1,BW453&amp;BX453)),ROW($1:$168)-1,""))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53" s="22" t="str">
        <f t="shared" si="326"/>
        <v>中中中</v>
      </c>
      <c r="CA453" s="24" t="str">
        <f t="shared" si="327"/>
        <v/>
      </c>
      <c r="CB453" s="24" t="str">
        <f t="shared" si="335"/>
        <v/>
      </c>
      <c r="CC453" s="24" t="str">
        <f t="array" ref="CC453">_xlfn.TEXTJOIN("",TRUE,IF(ISERROR(FIND(ROW($1:$168)-1,CA453&amp;CB453)),ROW($1:$168)-1,""))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53" s="22" t="str">
        <f t="shared" si="328"/>
        <v>中中中</v>
      </c>
      <c r="CE453" s="25" t="str">
        <f t="shared" si="322"/>
        <v>24</v>
      </c>
      <c r="CF453" s="26" t="str">
        <f t="array" ref="CF453">_xlfn.TEXTJOIN("",TRUE,IF(ISNUMBER(FIND(MID(CE452&amp;W452,ROW($1:$162),1),CE453&amp;W453)),MID(CE452&amp;W452,ROW($1:$162),1),""))</f>
        <v/>
      </c>
      <c r="CG453" s="27" t="str">
        <f t="array" ref="CG453">_xlfn.TEXTJOIN("",TRUE,IF(ISERROR(FIND(ROW($1:$168)-1,CE453&amp;CF453)),ROW($1:$168)-1,""))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53" s="28" t="str">
        <f t="shared" si="329"/>
        <v>邻孤孤</v>
      </c>
      <c r="CI453" s="29" t="str">
        <f t="shared" si="330"/>
        <v>02</v>
      </c>
      <c r="CJ453" s="29" t="str">
        <f t="array" ref="CJ453">_xlfn.TEXTJOIN("",TRUE,IF(ISNUMBER(FIND(MID(CI452&amp;X452,ROW($1:$162),1),CI453&amp;X453)),MID(CI452&amp;X452,ROW($1:$162),1),""))</f>
        <v>2</v>
      </c>
      <c r="CK453" s="29" t="str">
        <f t="array" ref="CK453">_xlfn.TEXTJOIN("",TRUE,IF(ISERROR(FIND(ROW($1:$168)-1,CI453&amp;CJ453)),ROW($1:$168)-1,""))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53" s="19" t="str">
        <f t="shared" si="331"/>
        <v>邻传孤</v>
      </c>
      <c r="CM453" s="24" t="str">
        <f t="shared" si="332"/>
        <v>35</v>
      </c>
      <c r="CN453" s="24" t="str">
        <f t="array" ref="CN453">_xlfn.TEXTJOIN("",TRUE,IF(ISNUMBER(FIND(MID(CM452&amp;Y452,ROW($1:$162),1),CM453&amp;Y453)),MID(CM452&amp;Y452,ROW($1:$162),1),""))</f>
        <v>5</v>
      </c>
      <c r="CO453" s="24" t="str">
        <f t="array" ref="CO453">_xlfn.TEXTJOIN("",TRUE,IF(ISERROR(FIND(ROW($1:$168)-1,CM453&amp;CN453)),ROW($1:$168)-1,""))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53" s="30" t="str">
        <f t="shared" si="333"/>
        <v>邻传孤</v>
      </c>
    </row>
    <row r="454" spans="1:94">
      <c r="A454" s="15">
        <v>454</v>
      </c>
      <c r="B454" s="80">
        <v>2025071</v>
      </c>
      <c r="C454" s="8" t="s">
        <v>386</v>
      </c>
      <c r="D454" s="81">
        <f t="shared" si="337"/>
        <v>11</v>
      </c>
      <c r="E454" s="82">
        <f t="shared" si="338"/>
        <v>1</v>
      </c>
      <c r="F454" s="83">
        <f t="shared" si="342"/>
        <v>11</v>
      </c>
      <c r="G454" s="84" t="str">
        <f t="shared" si="343"/>
        <v>紧凑</v>
      </c>
      <c r="H454" s="85" t="s">
        <v>10</v>
      </c>
      <c r="I454" s="85" t="s">
        <v>11</v>
      </c>
      <c r="J454" s="85" t="s">
        <v>12</v>
      </c>
      <c r="K454" s="85" t="s">
        <v>13</v>
      </c>
      <c r="L454" s="86">
        <f>MAX(MID(C454,{1,2,3},1)*1)-MIN(MID(C454,{1,2,3},1)*1)</f>
        <v>1</v>
      </c>
      <c r="M454" s="87">
        <v>0</v>
      </c>
      <c r="N454" s="87">
        <v>1</v>
      </c>
      <c r="O454" s="87">
        <v>2</v>
      </c>
      <c r="P454" s="87">
        <v>3</v>
      </c>
      <c r="Q454" s="87">
        <v>4</v>
      </c>
      <c r="R454" s="87">
        <v>5</v>
      </c>
      <c r="S454" s="87">
        <v>6</v>
      </c>
      <c r="T454" s="87">
        <v>7</v>
      </c>
      <c r="U454" s="87">
        <v>8</v>
      </c>
      <c r="V454" s="87">
        <v>9</v>
      </c>
      <c r="W454" s="88">
        <f t="shared" si="339"/>
        <v>1</v>
      </c>
      <c r="X454" s="88">
        <f t="shared" si="340"/>
        <v>0</v>
      </c>
      <c r="Y454" s="88">
        <f t="shared" si="341"/>
        <v>1</v>
      </c>
      <c r="Z454" s="89">
        <f t="shared" si="320"/>
        <v>2</v>
      </c>
      <c r="AA454" s="17" t="str">
        <f>_xlfn.TEXTJOIN(", ",TRUE,ABS(MID(C454,{1,1,2},1)-MID(C454,{2,3,3},1)))</f>
        <v>1, 0, 1</v>
      </c>
      <c r="AB454" s="90">
        <v>0</v>
      </c>
      <c r="AC454" s="90">
        <v>1</v>
      </c>
      <c r="AD454" s="90">
        <v>2</v>
      </c>
      <c r="AE454" s="90">
        <v>3</v>
      </c>
      <c r="AF454" s="90">
        <v>4</v>
      </c>
      <c r="AG454" s="90">
        <v>5</v>
      </c>
      <c r="AH454" s="90">
        <v>6</v>
      </c>
      <c r="AI454" s="90">
        <v>7</v>
      </c>
      <c r="AJ454" s="90">
        <v>8</v>
      </c>
      <c r="AK454" s="90">
        <v>9</v>
      </c>
      <c r="AL454" s="91">
        <v>0</v>
      </c>
      <c r="AM454" s="91">
        <v>1</v>
      </c>
      <c r="AN454" s="91">
        <v>2</v>
      </c>
      <c r="AO454" s="91">
        <v>3</v>
      </c>
      <c r="AP454" s="91">
        <v>4</v>
      </c>
      <c r="AQ454" s="91">
        <v>5</v>
      </c>
      <c r="AR454" s="91">
        <v>6</v>
      </c>
      <c r="AS454" s="91">
        <v>7</v>
      </c>
      <c r="AT454" s="91">
        <v>8</v>
      </c>
      <c r="AU454" s="91">
        <v>9</v>
      </c>
      <c r="AV454" s="92">
        <v>0</v>
      </c>
      <c r="AW454" s="92">
        <v>1</v>
      </c>
      <c r="AX454" s="92">
        <v>2</v>
      </c>
      <c r="AY454" s="92">
        <v>3</v>
      </c>
      <c r="AZ454" s="92">
        <v>4</v>
      </c>
      <c r="BA454" s="92">
        <v>5</v>
      </c>
      <c r="BB454" s="92">
        <v>6</v>
      </c>
      <c r="BC454" s="92">
        <v>7</v>
      </c>
      <c r="BD454" s="92">
        <v>8</v>
      </c>
      <c r="BE454" s="92">
        <v>9</v>
      </c>
      <c r="BF454" s="93">
        <v>0</v>
      </c>
      <c r="BG454" s="93">
        <v>1</v>
      </c>
      <c r="BH454" s="93">
        <v>2</v>
      </c>
      <c r="BI454" s="93">
        <v>3</v>
      </c>
      <c r="BJ454" s="93">
        <v>4</v>
      </c>
      <c r="BK454" s="93">
        <v>5</v>
      </c>
      <c r="BL454" s="93">
        <v>6</v>
      </c>
      <c r="BM454" s="93">
        <v>7</v>
      </c>
      <c r="BN454" s="93">
        <v>8</v>
      </c>
      <c r="BO454" s="93">
        <v>9</v>
      </c>
      <c r="BP454" s="94" t="str">
        <f t="shared" si="321"/>
        <v>紧凑型</v>
      </c>
      <c r="BQ454" s="15">
        <f t="shared" si="318"/>
        <v>0</v>
      </c>
      <c r="BR454" s="15">
        <f t="shared" si="319"/>
        <v>1</v>
      </c>
      <c r="BS454" s="20">
        <f t="shared" si="323"/>
        <v>1</v>
      </c>
      <c r="BT454" s="21" t="str">
        <f t="shared" si="324"/>
        <v/>
      </c>
      <c r="BU454" s="21" t="str">
        <f t="array" ref="BU454">_xlfn.TEXTJOIN("",TRUE,IF(ISERROR(FIND(ROW($1:$168)-1,BS454&amp;BT454)),ROW($1:$168)-1,""))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54" s="22" t="str">
        <f t="shared" si="325"/>
        <v>复中中</v>
      </c>
      <c r="BW454" s="23" t="str">
        <f t="shared" si="336"/>
        <v/>
      </c>
      <c r="BX454" s="23" t="str">
        <f t="shared" si="334"/>
        <v/>
      </c>
      <c r="BY454" s="23" t="str">
        <f t="array" ref="BY454">_xlfn.TEXTJOIN("",TRUE,IF(ISERROR(FIND(ROW($1:$168)-1,BW454&amp;BX454)),ROW($1:$168)-1,""))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54" s="22" t="str">
        <f t="shared" si="326"/>
        <v>中中中</v>
      </c>
      <c r="CA454" s="24">
        <f t="shared" si="327"/>
        <v>1</v>
      </c>
      <c r="CB454" s="24" t="str">
        <f t="shared" si="335"/>
        <v/>
      </c>
      <c r="CC454" s="24" t="str">
        <f t="array" ref="CC454">_xlfn.TEXTJOIN("",TRUE,IF(ISERROR(FIND(ROW($1:$168)-1,CA454&amp;CB454)),ROW($1:$168)-1,""))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54" s="22" t="str">
        <f t="shared" si="328"/>
        <v>复中中</v>
      </c>
      <c r="CE454" s="25" t="str">
        <f t="shared" si="322"/>
        <v>02</v>
      </c>
      <c r="CF454" s="26" t="str">
        <f t="array" ref="CF454">_xlfn.TEXTJOIN("",TRUE,IF(ISNUMBER(FIND(MID(CE453&amp;W453,ROW($1:$162),1),CE454&amp;W454)),MID(CE453&amp;W453,ROW($1:$162),1),""))</f>
        <v>2</v>
      </c>
      <c r="CG454" s="27" t="str">
        <f t="array" ref="CG454">_xlfn.TEXTJOIN("",TRUE,IF(ISERROR(FIND(ROW($1:$168)-1,CE454&amp;CF454)),ROW($1:$168)-1,""))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54" s="28" t="str">
        <f t="shared" si="329"/>
        <v>邻传孤</v>
      </c>
      <c r="CI454" s="29" t="str">
        <f t="shared" si="330"/>
        <v>91</v>
      </c>
      <c r="CJ454" s="29" t="str">
        <f t="array" ref="CJ454">_xlfn.TEXTJOIN("",TRUE,IF(ISNUMBER(FIND(MID(CI453&amp;X453,ROW($1:$162),1),CI454&amp;X454)),MID(CI453&amp;X453,ROW($1:$162),1),""))</f>
        <v>01</v>
      </c>
      <c r="CK454" s="29" t="str">
        <f t="array" ref="CK454">_xlfn.TEXTJOIN("",TRUE,IF(ISERROR(FIND(ROW($1:$168)-1,CI454&amp;CJ454)),ROW($1:$168)-1,""))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L454" s="19" t="str">
        <f t="shared" si="331"/>
        <v>邻传孤</v>
      </c>
      <c r="CM454" s="24" t="str">
        <f t="shared" si="332"/>
        <v>02</v>
      </c>
      <c r="CN454" s="24" t="str">
        <f t="array" ref="CN454">_xlfn.TEXTJOIN("",TRUE,IF(ISNUMBER(FIND(MID(CM453&amp;Y453,ROW($1:$162),1),CM454&amp;Y454)),MID(CM453&amp;Y453,ROW($1:$162),1),""))</f>
        <v/>
      </c>
      <c r="CO454" s="24" t="str">
        <f t="array" ref="CO454">_xlfn.TEXTJOIN("",TRUE,IF(ISERROR(FIND(ROW($1:$168)-1,CM454&amp;CN454)),ROW($1:$168)-1,""))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54" s="30" t="str">
        <f t="shared" si="333"/>
        <v>邻孤孤</v>
      </c>
    </row>
    <row r="455" spans="1:94">
      <c r="A455" s="15">
        <v>455</v>
      </c>
      <c r="B455" s="80">
        <v>2025072</v>
      </c>
      <c r="C455" s="8" t="s">
        <v>387</v>
      </c>
      <c r="D455" s="81">
        <f t="shared" si="337"/>
        <v>11</v>
      </c>
      <c r="E455" s="82">
        <f t="shared" si="338"/>
        <v>1</v>
      </c>
      <c r="F455" s="83">
        <f t="shared" si="342"/>
        <v>2.2</v>
      </c>
      <c r="G455" s="84" t="str">
        <f t="shared" si="343"/>
        <v>标准</v>
      </c>
      <c r="H455" s="85" t="s">
        <v>10</v>
      </c>
      <c r="I455" s="85" t="s">
        <v>11</v>
      </c>
      <c r="J455" s="85" t="s">
        <v>12</v>
      </c>
      <c r="K455" s="85" t="s">
        <v>13</v>
      </c>
      <c r="L455" s="86">
        <f>MAX(MID(C455,{1,2,3},1)*1)-MIN(MID(C455,{1,2,3},1)*1)</f>
        <v>5</v>
      </c>
      <c r="M455" s="87">
        <v>0</v>
      </c>
      <c r="N455" s="87">
        <v>1</v>
      </c>
      <c r="O455" s="87">
        <v>2</v>
      </c>
      <c r="P455" s="87">
        <v>3</v>
      </c>
      <c r="Q455" s="87">
        <v>4</v>
      </c>
      <c r="R455" s="87">
        <v>5</v>
      </c>
      <c r="S455" s="87">
        <v>6</v>
      </c>
      <c r="T455" s="87">
        <v>7</v>
      </c>
      <c r="U455" s="87">
        <v>8</v>
      </c>
      <c r="V455" s="87">
        <v>9</v>
      </c>
      <c r="W455" s="88">
        <f t="shared" si="339"/>
        <v>5</v>
      </c>
      <c r="X455" s="88">
        <f t="shared" si="340"/>
        <v>0</v>
      </c>
      <c r="Y455" s="88">
        <f t="shared" si="341"/>
        <v>5</v>
      </c>
      <c r="Z455" s="89">
        <f t="shared" si="320"/>
        <v>10</v>
      </c>
      <c r="AA455" s="17" t="str">
        <f>_xlfn.TEXTJOIN(", ",TRUE,ABS(MID(C455,{1,1,2},1)-MID(C455,{2,3,3},1)))</f>
        <v>5, 0, 5</v>
      </c>
      <c r="AB455" s="90">
        <v>0</v>
      </c>
      <c r="AC455" s="90">
        <v>1</v>
      </c>
      <c r="AD455" s="90">
        <v>2</v>
      </c>
      <c r="AE455" s="90">
        <v>3</v>
      </c>
      <c r="AF455" s="90">
        <v>4</v>
      </c>
      <c r="AG455" s="90">
        <v>5</v>
      </c>
      <c r="AH455" s="90">
        <v>6</v>
      </c>
      <c r="AI455" s="90">
        <v>7</v>
      </c>
      <c r="AJ455" s="90">
        <v>8</v>
      </c>
      <c r="AK455" s="90">
        <v>9</v>
      </c>
      <c r="AL455" s="91">
        <v>0</v>
      </c>
      <c r="AM455" s="91">
        <v>1</v>
      </c>
      <c r="AN455" s="91">
        <v>2</v>
      </c>
      <c r="AO455" s="91">
        <v>3</v>
      </c>
      <c r="AP455" s="91">
        <v>4</v>
      </c>
      <c r="AQ455" s="91">
        <v>5</v>
      </c>
      <c r="AR455" s="91">
        <v>6</v>
      </c>
      <c r="AS455" s="91">
        <v>7</v>
      </c>
      <c r="AT455" s="91">
        <v>8</v>
      </c>
      <c r="AU455" s="91">
        <v>9</v>
      </c>
      <c r="AV455" s="92">
        <v>0</v>
      </c>
      <c r="AW455" s="92">
        <v>1</v>
      </c>
      <c r="AX455" s="92">
        <v>2</v>
      </c>
      <c r="AY455" s="92">
        <v>3</v>
      </c>
      <c r="AZ455" s="92">
        <v>4</v>
      </c>
      <c r="BA455" s="92">
        <v>5</v>
      </c>
      <c r="BB455" s="92">
        <v>6</v>
      </c>
      <c r="BC455" s="92">
        <v>7</v>
      </c>
      <c r="BD455" s="92">
        <v>8</v>
      </c>
      <c r="BE455" s="92">
        <v>9</v>
      </c>
      <c r="BF455" s="93">
        <v>0</v>
      </c>
      <c r="BG455" s="93">
        <v>1</v>
      </c>
      <c r="BH455" s="93">
        <v>2</v>
      </c>
      <c r="BI455" s="93">
        <v>3</v>
      </c>
      <c r="BJ455" s="93">
        <v>4</v>
      </c>
      <c r="BK455" s="93">
        <v>5</v>
      </c>
      <c r="BL455" s="93">
        <v>6</v>
      </c>
      <c r="BM455" s="93">
        <v>7</v>
      </c>
      <c r="BN455" s="93">
        <v>8</v>
      </c>
      <c r="BO455" s="93">
        <v>9</v>
      </c>
      <c r="BP455" s="94" t="str">
        <f t="shared" si="321"/>
        <v>对子</v>
      </c>
      <c r="BQ455" s="15">
        <f t="shared" si="318"/>
        <v>0</v>
      </c>
      <c r="BR455" s="15">
        <f t="shared" si="319"/>
        <v>5</v>
      </c>
      <c r="BS455" s="20" t="str">
        <f t="shared" si="323"/>
        <v/>
      </c>
      <c r="BT455" s="21" t="str">
        <f t="shared" si="324"/>
        <v/>
      </c>
      <c r="BU455" s="21" t="str">
        <f t="array" ref="BU455">_xlfn.TEXTJOIN("",TRUE,IF(ISERROR(FIND(ROW($1:$168)-1,BS455&amp;BT455)),ROW($1:$168)-1,""))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55" s="22" t="str">
        <f t="shared" si="325"/>
        <v>中中中</v>
      </c>
      <c r="BW455" s="23">
        <f t="shared" si="336"/>
        <v>0</v>
      </c>
      <c r="BX455" s="23" t="str">
        <f t="shared" si="334"/>
        <v/>
      </c>
      <c r="BY455" s="23" t="str">
        <f t="array" ref="BY455">_xlfn.TEXTJOIN("",TRUE,IF(ISERROR(FIND(ROW($1:$168)-1,BW455&amp;BX455)),ROW($1:$168)-1,""))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55" s="22" t="str">
        <f t="shared" si="326"/>
        <v>复中中</v>
      </c>
      <c r="CA455" s="24" t="str">
        <f t="shared" si="327"/>
        <v/>
      </c>
      <c r="CB455" s="24" t="str">
        <f t="shared" si="335"/>
        <v/>
      </c>
      <c r="CC455" s="24" t="str">
        <f t="array" ref="CC455">_xlfn.TEXTJOIN("",TRUE,IF(ISERROR(FIND(ROW($1:$168)-1,CA455&amp;CB455)),ROW($1:$168)-1,""))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55" s="22" t="str">
        <f t="shared" si="328"/>
        <v>中中中</v>
      </c>
      <c r="CE455" s="25" t="str">
        <f t="shared" si="322"/>
        <v>46</v>
      </c>
      <c r="CF455" s="26" t="str">
        <f t="array" ref="CF455">_xlfn.TEXTJOIN("",TRUE,IF(ISNUMBER(FIND(MID(CE454&amp;W454,ROW($1:$162),1),CE455&amp;W455)),MID(CE454&amp;W454,ROW($1:$162),1),""))</f>
        <v/>
      </c>
      <c r="CG455" s="27" t="str">
        <f t="array" ref="CG455">_xlfn.TEXTJOIN("",TRUE,IF(ISERROR(FIND(ROW($1:$168)-1,CE455&amp;CF455)),ROW($1:$168)-1,""))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55" s="28" t="str">
        <f t="shared" si="329"/>
        <v>邻孤孤</v>
      </c>
      <c r="CI455" s="29" t="str">
        <f t="shared" si="330"/>
        <v>91</v>
      </c>
      <c r="CJ455" s="29" t="str">
        <f t="array" ref="CJ455">_xlfn.TEXTJOIN("",TRUE,IF(ISNUMBER(FIND(MID(CI454&amp;X454,ROW($1:$162),1),CI455&amp;X455)),MID(CI454&amp;X454,ROW($1:$162),1),""))</f>
        <v>910</v>
      </c>
      <c r="CK455" s="29" t="str">
        <f t="array" ref="CK455">_xlfn.TEXTJOIN("",TRUE,IF(ISERROR(FIND(ROW($1:$168)-1,CI455&amp;CJ455)),ROW($1:$168)-1,""))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455" s="19" t="str">
        <f t="shared" si="331"/>
        <v>邻传孤</v>
      </c>
      <c r="CM455" s="24" t="str">
        <f t="shared" si="332"/>
        <v>46</v>
      </c>
      <c r="CN455" s="24" t="str">
        <f t="array" ref="CN455">_xlfn.TEXTJOIN("",TRUE,IF(ISNUMBER(FIND(MID(CM454&amp;Y454,ROW($1:$162),1),CM455&amp;Y455)),MID(CM454&amp;Y454,ROW($1:$162),1),""))</f>
        <v/>
      </c>
      <c r="CO455" s="24" t="str">
        <f t="array" ref="CO455">_xlfn.TEXTJOIN("",TRUE,IF(ISERROR(FIND(ROW($1:$168)-1,CM455&amp;CN455)),ROW($1:$168)-1,""))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55" s="30" t="str">
        <f t="shared" si="333"/>
        <v>邻孤孤</v>
      </c>
    </row>
    <row r="456" spans="1:94">
      <c r="A456" s="15">
        <v>456</v>
      </c>
      <c r="B456" s="80">
        <v>2025073</v>
      </c>
      <c r="C456" s="8" t="s">
        <v>133</v>
      </c>
      <c r="D456" s="81">
        <f t="shared" si="337"/>
        <v>22</v>
      </c>
      <c r="E456" s="82">
        <f t="shared" si="338"/>
        <v>2</v>
      </c>
      <c r="F456" s="83">
        <f t="shared" si="342"/>
        <v>22</v>
      </c>
      <c r="G456" s="84" t="str">
        <f t="shared" si="343"/>
        <v>紧凑</v>
      </c>
      <c r="H456" s="85" t="s">
        <v>10</v>
      </c>
      <c r="I456" s="85" t="s">
        <v>11</v>
      </c>
      <c r="J456" s="85" t="s">
        <v>12</v>
      </c>
      <c r="K456" s="85" t="s">
        <v>13</v>
      </c>
      <c r="L456" s="86">
        <f>MAX(MID(C456,{1,2,3},1)*1)-MIN(MID(C456,{1,2,3},1)*1)</f>
        <v>1</v>
      </c>
      <c r="M456" s="87">
        <v>0</v>
      </c>
      <c r="N456" s="87">
        <v>1</v>
      </c>
      <c r="O456" s="87">
        <v>2</v>
      </c>
      <c r="P456" s="87">
        <v>3</v>
      </c>
      <c r="Q456" s="87">
        <v>4</v>
      </c>
      <c r="R456" s="87">
        <v>5</v>
      </c>
      <c r="S456" s="87">
        <v>6</v>
      </c>
      <c r="T456" s="87">
        <v>7</v>
      </c>
      <c r="U456" s="87">
        <v>8</v>
      </c>
      <c r="V456" s="87">
        <v>9</v>
      </c>
      <c r="W456" s="88">
        <f t="shared" si="339"/>
        <v>0</v>
      </c>
      <c r="X456" s="88">
        <f t="shared" si="340"/>
        <v>1</v>
      </c>
      <c r="Y456" s="88">
        <f t="shared" si="341"/>
        <v>1</v>
      </c>
      <c r="Z456" s="89">
        <f t="shared" si="320"/>
        <v>2</v>
      </c>
      <c r="AA456" s="17" t="str">
        <f>_xlfn.TEXTJOIN(", ",TRUE,ABS(MID(C456,{1,1,2},1)-MID(C456,{2,3,3},1)))</f>
        <v>0, 1, 1</v>
      </c>
      <c r="AB456" s="90">
        <v>0</v>
      </c>
      <c r="AC456" s="90">
        <v>1</v>
      </c>
      <c r="AD456" s="90">
        <v>2</v>
      </c>
      <c r="AE456" s="90">
        <v>3</v>
      </c>
      <c r="AF456" s="90">
        <v>4</v>
      </c>
      <c r="AG456" s="90">
        <v>5</v>
      </c>
      <c r="AH456" s="90">
        <v>6</v>
      </c>
      <c r="AI456" s="90">
        <v>7</v>
      </c>
      <c r="AJ456" s="90">
        <v>8</v>
      </c>
      <c r="AK456" s="90">
        <v>9</v>
      </c>
      <c r="AL456" s="91">
        <v>0</v>
      </c>
      <c r="AM456" s="91">
        <v>1</v>
      </c>
      <c r="AN456" s="91">
        <v>2</v>
      </c>
      <c r="AO456" s="91">
        <v>3</v>
      </c>
      <c r="AP456" s="91">
        <v>4</v>
      </c>
      <c r="AQ456" s="91">
        <v>5</v>
      </c>
      <c r="AR456" s="91">
        <v>6</v>
      </c>
      <c r="AS456" s="91">
        <v>7</v>
      </c>
      <c r="AT456" s="91">
        <v>8</v>
      </c>
      <c r="AU456" s="91">
        <v>9</v>
      </c>
      <c r="AV456" s="92">
        <v>0</v>
      </c>
      <c r="AW456" s="92">
        <v>1</v>
      </c>
      <c r="AX456" s="92">
        <v>2</v>
      </c>
      <c r="AY456" s="92">
        <v>3</v>
      </c>
      <c r="AZ456" s="92">
        <v>4</v>
      </c>
      <c r="BA456" s="92">
        <v>5</v>
      </c>
      <c r="BB456" s="92">
        <v>6</v>
      </c>
      <c r="BC456" s="92">
        <v>7</v>
      </c>
      <c r="BD456" s="92">
        <v>8</v>
      </c>
      <c r="BE456" s="92">
        <v>9</v>
      </c>
      <c r="BF456" s="93">
        <v>0</v>
      </c>
      <c r="BG456" s="93">
        <v>1</v>
      </c>
      <c r="BH456" s="93">
        <v>2</v>
      </c>
      <c r="BI456" s="93">
        <v>3</v>
      </c>
      <c r="BJ456" s="93">
        <v>4</v>
      </c>
      <c r="BK456" s="93">
        <v>5</v>
      </c>
      <c r="BL456" s="93">
        <v>6</v>
      </c>
      <c r="BM456" s="93">
        <v>7</v>
      </c>
      <c r="BN456" s="93">
        <v>8</v>
      </c>
      <c r="BO456" s="93">
        <v>9</v>
      </c>
      <c r="BP456" s="94" t="str">
        <f t="shared" si="321"/>
        <v>紧凑型</v>
      </c>
      <c r="BQ456" s="15">
        <f t="shared" si="318"/>
        <v>0</v>
      </c>
      <c r="BR456" s="15">
        <f t="shared" si="319"/>
        <v>1</v>
      </c>
      <c r="BS456" s="20">
        <f t="shared" si="323"/>
        <v>0</v>
      </c>
      <c r="BT456" s="21">
        <f t="shared" si="324"/>
        <v>0</v>
      </c>
      <c r="BU456" s="21" t="str">
        <f t="array" ref="BU456">_xlfn.TEXTJOIN("",TRUE,IF(ISERROR(FIND(ROW($1:$168)-1,BS456&amp;BT456)),ROW($1:$168)-1,""))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56" s="22" t="str">
        <f t="shared" si="325"/>
        <v>复隔中</v>
      </c>
      <c r="BW456" s="23" t="str">
        <f t="shared" si="336"/>
        <v/>
      </c>
      <c r="BX456" s="23">
        <f t="shared" si="334"/>
        <v>1</v>
      </c>
      <c r="BY456" s="23" t="str">
        <f t="array" ref="BY456">_xlfn.TEXTJOIN("",TRUE,IF(ISERROR(FIND(ROW($1:$168)-1,BW456&amp;BX456)),ROW($1:$168)-1,""))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56" s="22" t="str">
        <f t="shared" si="326"/>
        <v>中隔中</v>
      </c>
      <c r="CA456" s="24" t="str">
        <f t="shared" si="327"/>
        <v/>
      </c>
      <c r="CB456" s="24">
        <f t="shared" si="335"/>
        <v>1</v>
      </c>
      <c r="CC456" s="24" t="str">
        <f t="array" ref="CC456">_xlfn.TEXTJOIN("",TRUE,IF(ISERROR(FIND(ROW($1:$168)-1,CA456&amp;CB456)),ROW($1:$168)-1,""))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56" s="22" t="str">
        <f t="shared" si="328"/>
        <v>中隔中</v>
      </c>
      <c r="CE456" s="25" t="str">
        <f t="shared" si="322"/>
        <v>91</v>
      </c>
      <c r="CF456" s="26" t="str">
        <f t="array" ref="CF456">_xlfn.TEXTJOIN("",TRUE,IF(ISNUMBER(FIND(MID(CE455&amp;W455,ROW($1:$162),1),CE456&amp;W456)),MID(CE455&amp;W455,ROW($1:$162),1),""))</f>
        <v/>
      </c>
      <c r="CG456" s="27" t="str">
        <f t="array" ref="CG456">_xlfn.TEXTJOIN("",TRUE,IF(ISERROR(FIND(ROW($1:$168)-1,CE456&amp;CF456)),ROW($1:$168)-1,""))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456" s="28" t="str">
        <f t="shared" si="329"/>
        <v>邻孤孤</v>
      </c>
      <c r="CI456" s="29" t="str">
        <f t="shared" si="330"/>
        <v>02</v>
      </c>
      <c r="CJ456" s="29" t="str">
        <f t="array" ref="CJ456">_xlfn.TEXTJOIN("",TRUE,IF(ISNUMBER(FIND(MID(CI455&amp;X455,ROW($1:$162),1),CI456&amp;X456)),MID(CI455&amp;X455,ROW($1:$162),1),""))</f>
        <v>10</v>
      </c>
      <c r="CK456" s="29" t="str">
        <f t="array" ref="CK456">_xlfn.TEXTJOIN("",TRUE,IF(ISERROR(FIND(ROW($1:$168)-1,CI456&amp;CJ456)),ROW($1:$168)-1,""))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56" s="19" t="str">
        <f t="shared" si="331"/>
        <v>邻传孤</v>
      </c>
      <c r="CM456" s="24" t="str">
        <f t="shared" si="332"/>
        <v>02</v>
      </c>
      <c r="CN456" s="24" t="str">
        <f t="array" ref="CN456">_xlfn.TEXTJOIN("",TRUE,IF(ISNUMBER(FIND(MID(CM455&amp;Y455,ROW($1:$162),1),CM456&amp;Y456)),MID(CM455&amp;Y455,ROW($1:$162),1),""))</f>
        <v/>
      </c>
      <c r="CO456" s="24" t="str">
        <f t="array" ref="CO456">_xlfn.TEXTJOIN("",TRUE,IF(ISERROR(FIND(ROW($1:$168)-1,CM456&amp;CN456)),ROW($1:$168)-1,""))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56" s="30" t="str">
        <f t="shared" si="333"/>
        <v>邻孤孤</v>
      </c>
    </row>
    <row r="457" spans="1:94">
      <c r="A457" s="15">
        <v>457</v>
      </c>
      <c r="B457" s="80">
        <v>2025074</v>
      </c>
      <c r="C457" s="8" t="s">
        <v>296</v>
      </c>
      <c r="D457" s="81">
        <f t="shared" si="337"/>
        <v>14</v>
      </c>
      <c r="E457" s="82">
        <f t="shared" si="338"/>
        <v>4</v>
      </c>
      <c r="F457" s="83">
        <f t="shared" si="342"/>
        <v>1.75</v>
      </c>
      <c r="G457" s="84" t="str">
        <f t="shared" si="343"/>
        <v>松散</v>
      </c>
      <c r="H457" s="85" t="s">
        <v>10</v>
      </c>
      <c r="I457" s="85" t="s">
        <v>11</v>
      </c>
      <c r="J457" s="85" t="s">
        <v>12</v>
      </c>
      <c r="K457" s="85" t="s">
        <v>13</v>
      </c>
      <c r="L457" s="86">
        <f>MAX(MID(C457,{1,2,3},1)*1)-MIN(MID(C457,{1,2,3},1)*1)</f>
        <v>8</v>
      </c>
      <c r="M457" s="87">
        <v>0</v>
      </c>
      <c r="N457" s="87">
        <v>1</v>
      </c>
      <c r="O457" s="87">
        <v>2</v>
      </c>
      <c r="P457" s="87">
        <v>3</v>
      </c>
      <c r="Q457" s="87">
        <v>4</v>
      </c>
      <c r="R457" s="87">
        <v>5</v>
      </c>
      <c r="S457" s="87">
        <v>6</v>
      </c>
      <c r="T457" s="87">
        <v>7</v>
      </c>
      <c r="U457" s="87">
        <v>8</v>
      </c>
      <c r="V457" s="87">
        <v>9</v>
      </c>
      <c r="W457" s="88">
        <f t="shared" si="339"/>
        <v>3</v>
      </c>
      <c r="X457" s="88">
        <f t="shared" si="340"/>
        <v>5</v>
      </c>
      <c r="Y457" s="88">
        <f t="shared" si="341"/>
        <v>8</v>
      </c>
      <c r="Z457" s="89">
        <f t="shared" si="320"/>
        <v>16</v>
      </c>
      <c r="AA457" s="17" t="str">
        <f>_xlfn.TEXTJOIN(", ",TRUE,ABS(MID(C457,{1,1,2},1)-MID(C457,{2,3,3},1)))</f>
        <v>3, 5, 8</v>
      </c>
      <c r="AB457" s="90">
        <v>0</v>
      </c>
      <c r="AC457" s="90">
        <v>1</v>
      </c>
      <c r="AD457" s="90">
        <v>2</v>
      </c>
      <c r="AE457" s="90">
        <v>3</v>
      </c>
      <c r="AF457" s="90">
        <v>4</v>
      </c>
      <c r="AG457" s="90">
        <v>5</v>
      </c>
      <c r="AH457" s="90">
        <v>6</v>
      </c>
      <c r="AI457" s="90">
        <v>7</v>
      </c>
      <c r="AJ457" s="90">
        <v>8</v>
      </c>
      <c r="AK457" s="90">
        <v>9</v>
      </c>
      <c r="AL457" s="91">
        <v>0</v>
      </c>
      <c r="AM457" s="91">
        <v>1</v>
      </c>
      <c r="AN457" s="91">
        <v>2</v>
      </c>
      <c r="AO457" s="91">
        <v>3</v>
      </c>
      <c r="AP457" s="91">
        <v>4</v>
      </c>
      <c r="AQ457" s="91">
        <v>5</v>
      </c>
      <c r="AR457" s="91">
        <v>6</v>
      </c>
      <c r="AS457" s="91">
        <v>7</v>
      </c>
      <c r="AT457" s="91">
        <v>8</v>
      </c>
      <c r="AU457" s="91">
        <v>9</v>
      </c>
      <c r="AV457" s="92">
        <v>0</v>
      </c>
      <c r="AW457" s="92">
        <v>1</v>
      </c>
      <c r="AX457" s="92">
        <v>2</v>
      </c>
      <c r="AY457" s="92">
        <v>3</v>
      </c>
      <c r="AZ457" s="92">
        <v>4</v>
      </c>
      <c r="BA457" s="92">
        <v>5</v>
      </c>
      <c r="BB457" s="92">
        <v>6</v>
      </c>
      <c r="BC457" s="92">
        <v>7</v>
      </c>
      <c r="BD457" s="92">
        <v>8</v>
      </c>
      <c r="BE457" s="92">
        <v>9</v>
      </c>
      <c r="BF457" s="93">
        <v>0</v>
      </c>
      <c r="BG457" s="93">
        <v>1</v>
      </c>
      <c r="BH457" s="93">
        <v>2</v>
      </c>
      <c r="BI457" s="93">
        <v>3</v>
      </c>
      <c r="BJ457" s="93">
        <v>4</v>
      </c>
      <c r="BK457" s="93">
        <v>5</v>
      </c>
      <c r="BL457" s="93">
        <v>6</v>
      </c>
      <c r="BM457" s="93">
        <v>7</v>
      </c>
      <c r="BN457" s="93">
        <v>8</v>
      </c>
      <c r="BO457" s="93">
        <v>9</v>
      </c>
      <c r="BP457" s="94" t="str">
        <f t="shared" si="321"/>
        <v>松散型</v>
      </c>
      <c r="BQ457" s="15">
        <f t="shared" si="318"/>
        <v>3</v>
      </c>
      <c r="BR457" s="15">
        <f t="shared" si="319"/>
        <v>8</v>
      </c>
      <c r="BS457" s="20" t="str">
        <f t="shared" si="323"/>
        <v/>
      </c>
      <c r="BT457" s="21" t="str">
        <f t="shared" si="324"/>
        <v/>
      </c>
      <c r="BU457" s="21" t="str">
        <f t="array" ref="BU457">_xlfn.TEXTJOIN("",TRUE,IF(ISERROR(FIND(ROW($1:$168)-1,BS457&amp;BT457)),ROW($1:$168)-1,""))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57" s="22" t="str">
        <f t="shared" si="325"/>
        <v>中中中</v>
      </c>
      <c r="BW457" s="23" t="str">
        <f t="shared" si="336"/>
        <v/>
      </c>
      <c r="BX457" s="23">
        <f t="shared" si="334"/>
        <v>5</v>
      </c>
      <c r="BY457" s="23" t="str">
        <f t="array" ref="BY457">_xlfn.TEXTJOIN("",TRUE,IF(ISERROR(FIND(ROW($1:$168)-1,BW457&amp;BX457)),ROW($1:$168)-1,""))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57" s="22" t="str">
        <f t="shared" si="326"/>
        <v>中隔中</v>
      </c>
      <c r="CA457" s="24" t="str">
        <f t="shared" si="327"/>
        <v/>
      </c>
      <c r="CB457" s="24" t="str">
        <f t="shared" si="335"/>
        <v/>
      </c>
      <c r="CC457" s="24" t="str">
        <f t="array" ref="CC457">_xlfn.TEXTJOIN("",TRUE,IF(ISERROR(FIND(ROW($1:$168)-1,CA457&amp;CB457)),ROW($1:$168)-1,""))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57" s="22" t="str">
        <f t="shared" si="328"/>
        <v>中中中</v>
      </c>
      <c r="CE457" s="25" t="str">
        <f t="shared" si="322"/>
        <v>24</v>
      </c>
      <c r="CF457" s="26" t="str">
        <f t="array" ref="CF457">_xlfn.TEXTJOIN("",TRUE,IF(ISNUMBER(FIND(MID(CE456&amp;W456,ROW($1:$162),1),CE457&amp;W457)),MID(CE456&amp;W456,ROW($1:$162),1),""))</f>
        <v/>
      </c>
      <c r="CG457" s="27" t="str">
        <f t="array" ref="CG457">_xlfn.TEXTJOIN("",TRUE,IF(ISERROR(FIND(ROW($1:$168)-1,CE457&amp;CF457)),ROW($1:$168)-1,""))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57" s="28" t="str">
        <f t="shared" si="329"/>
        <v>邻孤孤</v>
      </c>
      <c r="CI457" s="29" t="str">
        <f t="shared" si="330"/>
        <v>46</v>
      </c>
      <c r="CJ457" s="29" t="str">
        <f t="array" ref="CJ457">_xlfn.TEXTJOIN("",TRUE,IF(ISNUMBER(FIND(MID(CI456&amp;X456,ROW($1:$162),1),CI457&amp;X457)),MID(CI456&amp;X456,ROW($1:$162),1),""))</f>
        <v/>
      </c>
      <c r="CK457" s="29" t="str">
        <f t="array" ref="CK457">_xlfn.TEXTJOIN("",TRUE,IF(ISERROR(FIND(ROW($1:$168)-1,CI457&amp;CJ457)),ROW($1:$168)-1,""))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57" s="19" t="str">
        <f t="shared" si="331"/>
        <v>邻孤孤</v>
      </c>
      <c r="CM457" s="24" t="str">
        <f t="shared" si="332"/>
        <v>79</v>
      </c>
      <c r="CN457" s="24" t="str">
        <f t="array" ref="CN457">_xlfn.TEXTJOIN("",TRUE,IF(ISNUMBER(FIND(MID(CM456&amp;Y456,ROW($1:$162),1),CM457&amp;Y457)),MID(CM456&amp;Y456,ROW($1:$162),1),""))</f>
        <v/>
      </c>
      <c r="CO457" s="24" t="str">
        <f t="array" ref="CO457">_xlfn.TEXTJOIN("",TRUE,IF(ISERROR(FIND(ROW($1:$168)-1,CM457&amp;CN457)),ROW($1:$168)-1,""))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457" s="30" t="str">
        <f t="shared" si="333"/>
        <v>邻孤孤</v>
      </c>
    </row>
    <row r="458" spans="1:94">
      <c r="A458" s="15">
        <v>458</v>
      </c>
      <c r="B458" s="80">
        <v>2025075</v>
      </c>
      <c r="C458" s="8" t="s">
        <v>120</v>
      </c>
      <c r="D458" s="81">
        <f t="shared" si="337"/>
        <v>16</v>
      </c>
      <c r="E458" s="82">
        <f t="shared" si="338"/>
        <v>6</v>
      </c>
      <c r="F458" s="83">
        <f t="shared" si="342"/>
        <v>1.77777777777778</v>
      </c>
      <c r="G458" s="84" t="str">
        <f t="shared" si="343"/>
        <v>松散</v>
      </c>
      <c r="H458" s="85" t="s">
        <v>10</v>
      </c>
      <c r="I458" s="85" t="s">
        <v>11</v>
      </c>
      <c r="J458" s="85" t="s">
        <v>12</v>
      </c>
      <c r="K458" s="85" t="s">
        <v>13</v>
      </c>
      <c r="L458" s="86">
        <f>MAX(MID(C458,{1,2,3},1)*1)-MIN(MID(C458,{1,2,3},1)*1)</f>
        <v>9</v>
      </c>
      <c r="M458" s="87">
        <v>0</v>
      </c>
      <c r="N458" s="87">
        <v>1</v>
      </c>
      <c r="O458" s="87">
        <v>2</v>
      </c>
      <c r="P458" s="87">
        <v>3</v>
      </c>
      <c r="Q458" s="87">
        <v>4</v>
      </c>
      <c r="R458" s="87">
        <v>5</v>
      </c>
      <c r="S458" s="87">
        <v>6</v>
      </c>
      <c r="T458" s="87">
        <v>7</v>
      </c>
      <c r="U458" s="87">
        <v>8</v>
      </c>
      <c r="V458" s="87">
        <v>9</v>
      </c>
      <c r="W458" s="88">
        <f t="shared" si="339"/>
        <v>7</v>
      </c>
      <c r="X458" s="88">
        <f t="shared" si="340"/>
        <v>2</v>
      </c>
      <c r="Y458" s="88">
        <f t="shared" si="341"/>
        <v>9</v>
      </c>
      <c r="Z458" s="89">
        <f t="shared" si="320"/>
        <v>18</v>
      </c>
      <c r="AA458" s="17" t="str">
        <f>_xlfn.TEXTJOIN(", ",TRUE,ABS(MID(C458,{1,1,2},1)-MID(C458,{2,3,3},1)))</f>
        <v>7, 2, 9</v>
      </c>
      <c r="AB458" s="90">
        <v>0</v>
      </c>
      <c r="AC458" s="90">
        <v>1</v>
      </c>
      <c r="AD458" s="90">
        <v>2</v>
      </c>
      <c r="AE458" s="90">
        <v>3</v>
      </c>
      <c r="AF458" s="90">
        <v>4</v>
      </c>
      <c r="AG458" s="90">
        <v>5</v>
      </c>
      <c r="AH458" s="90">
        <v>6</v>
      </c>
      <c r="AI458" s="90">
        <v>7</v>
      </c>
      <c r="AJ458" s="90">
        <v>8</v>
      </c>
      <c r="AK458" s="90">
        <v>9</v>
      </c>
      <c r="AL458" s="91">
        <v>0</v>
      </c>
      <c r="AM458" s="91">
        <v>1</v>
      </c>
      <c r="AN458" s="91">
        <v>2</v>
      </c>
      <c r="AO458" s="91">
        <v>3</v>
      </c>
      <c r="AP458" s="91">
        <v>4</v>
      </c>
      <c r="AQ458" s="91">
        <v>5</v>
      </c>
      <c r="AR458" s="91">
        <v>6</v>
      </c>
      <c r="AS458" s="91">
        <v>7</v>
      </c>
      <c r="AT458" s="91">
        <v>8</v>
      </c>
      <c r="AU458" s="91">
        <v>9</v>
      </c>
      <c r="AV458" s="92">
        <v>0</v>
      </c>
      <c r="AW458" s="92">
        <v>1</v>
      </c>
      <c r="AX458" s="92">
        <v>2</v>
      </c>
      <c r="AY458" s="92">
        <v>3</v>
      </c>
      <c r="AZ458" s="92">
        <v>4</v>
      </c>
      <c r="BA458" s="92">
        <v>5</v>
      </c>
      <c r="BB458" s="92">
        <v>6</v>
      </c>
      <c r="BC458" s="92">
        <v>7</v>
      </c>
      <c r="BD458" s="92">
        <v>8</v>
      </c>
      <c r="BE458" s="92">
        <v>9</v>
      </c>
      <c r="BF458" s="93">
        <v>0</v>
      </c>
      <c r="BG458" s="93">
        <v>1</v>
      </c>
      <c r="BH458" s="93">
        <v>2</v>
      </c>
      <c r="BI458" s="93">
        <v>3</v>
      </c>
      <c r="BJ458" s="93">
        <v>4</v>
      </c>
      <c r="BK458" s="93">
        <v>5</v>
      </c>
      <c r="BL458" s="93">
        <v>6</v>
      </c>
      <c r="BM458" s="93">
        <v>7</v>
      </c>
      <c r="BN458" s="93">
        <v>8</v>
      </c>
      <c r="BO458" s="93">
        <v>9</v>
      </c>
      <c r="BP458" s="94" t="str">
        <f t="shared" si="321"/>
        <v>松散型</v>
      </c>
      <c r="BQ458" s="15">
        <f t="shared" si="318"/>
        <v>2</v>
      </c>
      <c r="BR458" s="15">
        <f t="shared" si="319"/>
        <v>9</v>
      </c>
      <c r="BS458" s="20" t="str">
        <f t="shared" si="323"/>
        <v/>
      </c>
      <c r="BT458" s="21" t="str">
        <f t="shared" si="324"/>
        <v/>
      </c>
      <c r="BU458" s="21" t="str">
        <f t="array" ref="BU458">_xlfn.TEXTJOIN("",TRUE,IF(ISERROR(FIND(ROW($1:$168)-1,BS458&amp;BT458)),ROW($1:$168)-1,""))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58" s="22" t="str">
        <f t="shared" si="325"/>
        <v>中中中</v>
      </c>
      <c r="BW458" s="23" t="str">
        <f t="shared" si="336"/>
        <v/>
      </c>
      <c r="BX458" s="23" t="str">
        <f t="shared" si="334"/>
        <v/>
      </c>
      <c r="BY458" s="23" t="str">
        <f t="array" ref="BY458">_xlfn.TEXTJOIN("",TRUE,IF(ISERROR(FIND(ROW($1:$168)-1,BW458&amp;BX458)),ROW($1:$168)-1,""))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58" s="22" t="str">
        <f t="shared" si="326"/>
        <v>中中中</v>
      </c>
      <c r="CA458" s="24" t="str">
        <f t="shared" si="327"/>
        <v/>
      </c>
      <c r="CB458" s="24" t="str">
        <f t="shared" si="335"/>
        <v/>
      </c>
      <c r="CC458" s="24" t="str">
        <f t="array" ref="CC458">_xlfn.TEXTJOIN("",TRUE,IF(ISERROR(FIND(ROW($1:$168)-1,CA458&amp;CB458)),ROW($1:$168)-1,""))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58" s="22" t="str">
        <f t="shared" si="328"/>
        <v>中中中</v>
      </c>
      <c r="CE458" s="25" t="str">
        <f t="shared" si="322"/>
        <v>68</v>
      </c>
      <c r="CF458" s="26" t="str">
        <f t="array" ref="CF458">_xlfn.TEXTJOIN("",TRUE,IF(ISNUMBER(FIND(MID(CE457&amp;W457,ROW($1:$162),1),CE458&amp;W458)),MID(CE457&amp;W457,ROW($1:$162),1),""))</f>
        <v/>
      </c>
      <c r="CG458" s="27" t="str">
        <f t="array" ref="CG458">_xlfn.TEXTJOIN("",TRUE,IF(ISERROR(FIND(ROW($1:$168)-1,CE458&amp;CF458)),ROW($1:$168)-1,""))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58" s="28" t="str">
        <f t="shared" si="329"/>
        <v>邻孤孤</v>
      </c>
      <c r="CI458" s="29" t="str">
        <f t="shared" si="330"/>
        <v>13</v>
      </c>
      <c r="CJ458" s="29" t="str">
        <f t="array" ref="CJ458">_xlfn.TEXTJOIN("",TRUE,IF(ISNUMBER(FIND(MID(CI457&amp;X457,ROW($1:$162),1),CI458&amp;X458)),MID(CI457&amp;X457,ROW($1:$162),1),""))</f>
        <v/>
      </c>
      <c r="CK458" s="29" t="str">
        <f t="array" ref="CK458">_xlfn.TEXTJOIN("",TRUE,IF(ISERROR(FIND(ROW($1:$168)-1,CI458&amp;CJ458)),ROW($1:$168)-1,""))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58" s="19" t="str">
        <f t="shared" si="331"/>
        <v>邻孤孤</v>
      </c>
      <c r="CM458" s="24" t="str">
        <f t="shared" si="332"/>
        <v>80</v>
      </c>
      <c r="CN458" s="24" t="str">
        <f t="array" ref="CN458">_xlfn.TEXTJOIN("",TRUE,IF(ISNUMBER(FIND(MID(CM457&amp;Y457,ROW($1:$162),1),CM458&amp;Y458)),MID(CM457&amp;Y457,ROW($1:$162),1),""))</f>
        <v>98</v>
      </c>
      <c r="CO458" s="24" t="str">
        <f t="array" ref="CO458">_xlfn.TEXTJOIN("",TRUE,IF(ISERROR(FIND(ROW($1:$168)-1,CM458&amp;CN458)),ROW($1:$168)-1,""))</f>
        <v>123456710111213141516171819202122232425262728293031323334353637383940414243444546474849505152535455565758596061626364656667686970717273747576777879818283848586878889909192939495969799100101102103104105106107108109110111112113114115116117118119120121122123124125126127128129130131132133134135136137138139140141142143144145146147148149150151152153154155156157158159160161162163164165166167</v>
      </c>
      <c r="CP458" s="30" t="str">
        <f t="shared" si="333"/>
        <v>邻传孤</v>
      </c>
    </row>
    <row r="459" spans="1:94">
      <c r="A459" s="15">
        <v>459</v>
      </c>
      <c r="B459" s="80">
        <v>2025076</v>
      </c>
      <c r="C459" s="8" t="s">
        <v>388</v>
      </c>
      <c r="D459" s="81">
        <f t="shared" si="337"/>
        <v>16</v>
      </c>
      <c r="E459" s="82">
        <f t="shared" si="338"/>
        <v>6</v>
      </c>
      <c r="F459" s="83">
        <f t="shared" si="342"/>
        <v>2.28571428571429</v>
      </c>
      <c r="G459" s="84" t="str">
        <f t="shared" si="343"/>
        <v>标准</v>
      </c>
      <c r="H459" s="85" t="s">
        <v>10</v>
      </c>
      <c r="I459" s="85" t="s">
        <v>11</v>
      </c>
      <c r="J459" s="85" t="s">
        <v>12</v>
      </c>
      <c r="K459" s="85" t="s">
        <v>13</v>
      </c>
      <c r="L459" s="86">
        <f>MAX(MID(C459,{1,2,3},1)*1)-MIN(MID(C459,{1,2,3},1)*1)</f>
        <v>7</v>
      </c>
      <c r="M459" s="87">
        <v>0</v>
      </c>
      <c r="N459" s="87">
        <v>1</v>
      </c>
      <c r="O459" s="87">
        <v>2</v>
      </c>
      <c r="P459" s="87">
        <v>3</v>
      </c>
      <c r="Q459" s="87">
        <v>4</v>
      </c>
      <c r="R459" s="87">
        <v>5</v>
      </c>
      <c r="S459" s="87">
        <v>6</v>
      </c>
      <c r="T459" s="87">
        <v>7</v>
      </c>
      <c r="U459" s="87">
        <v>8</v>
      </c>
      <c r="V459" s="87">
        <v>9</v>
      </c>
      <c r="W459" s="88">
        <f t="shared" si="339"/>
        <v>1</v>
      </c>
      <c r="X459" s="88">
        <f t="shared" si="340"/>
        <v>6</v>
      </c>
      <c r="Y459" s="88">
        <f t="shared" si="341"/>
        <v>7</v>
      </c>
      <c r="Z459" s="89">
        <f t="shared" si="320"/>
        <v>14</v>
      </c>
      <c r="AA459" s="17" t="str">
        <f>_xlfn.TEXTJOIN(", ",TRUE,ABS(MID(C459,{1,1,2},1)-MID(C459,{2,3,3},1)))</f>
        <v>1, 6, 7</v>
      </c>
      <c r="AB459" s="90">
        <v>0</v>
      </c>
      <c r="AC459" s="90">
        <v>1</v>
      </c>
      <c r="AD459" s="90">
        <v>2</v>
      </c>
      <c r="AE459" s="90">
        <v>3</v>
      </c>
      <c r="AF459" s="90">
        <v>4</v>
      </c>
      <c r="AG459" s="90">
        <v>5</v>
      </c>
      <c r="AH459" s="90">
        <v>6</v>
      </c>
      <c r="AI459" s="90">
        <v>7</v>
      </c>
      <c r="AJ459" s="90">
        <v>8</v>
      </c>
      <c r="AK459" s="90">
        <v>9</v>
      </c>
      <c r="AL459" s="91">
        <v>0</v>
      </c>
      <c r="AM459" s="91">
        <v>1</v>
      </c>
      <c r="AN459" s="91">
        <v>2</v>
      </c>
      <c r="AO459" s="91">
        <v>3</v>
      </c>
      <c r="AP459" s="91">
        <v>4</v>
      </c>
      <c r="AQ459" s="91">
        <v>5</v>
      </c>
      <c r="AR459" s="91">
        <v>6</v>
      </c>
      <c r="AS459" s="91">
        <v>7</v>
      </c>
      <c r="AT459" s="91">
        <v>8</v>
      </c>
      <c r="AU459" s="91">
        <v>9</v>
      </c>
      <c r="AV459" s="92">
        <v>0</v>
      </c>
      <c r="AW459" s="92">
        <v>1</v>
      </c>
      <c r="AX459" s="92">
        <v>2</v>
      </c>
      <c r="AY459" s="92">
        <v>3</v>
      </c>
      <c r="AZ459" s="92">
        <v>4</v>
      </c>
      <c r="BA459" s="92">
        <v>5</v>
      </c>
      <c r="BB459" s="92">
        <v>6</v>
      </c>
      <c r="BC459" s="92">
        <v>7</v>
      </c>
      <c r="BD459" s="92">
        <v>8</v>
      </c>
      <c r="BE459" s="92">
        <v>9</v>
      </c>
      <c r="BF459" s="93">
        <v>0</v>
      </c>
      <c r="BG459" s="93">
        <v>1</v>
      </c>
      <c r="BH459" s="93">
        <v>2</v>
      </c>
      <c r="BI459" s="93">
        <v>3</v>
      </c>
      <c r="BJ459" s="93">
        <v>4</v>
      </c>
      <c r="BK459" s="93">
        <v>5</v>
      </c>
      <c r="BL459" s="93">
        <v>6</v>
      </c>
      <c r="BM459" s="93">
        <v>7</v>
      </c>
      <c r="BN459" s="93">
        <v>8</v>
      </c>
      <c r="BO459" s="93">
        <v>9</v>
      </c>
      <c r="BP459" s="94" t="str">
        <f t="shared" si="321"/>
        <v>松散型</v>
      </c>
      <c r="BQ459" s="15">
        <f t="shared" si="318"/>
        <v>1</v>
      </c>
      <c r="BR459" s="15">
        <f t="shared" si="319"/>
        <v>7</v>
      </c>
      <c r="BS459" s="20" t="str">
        <f t="shared" si="323"/>
        <v/>
      </c>
      <c r="BT459" s="21" t="str">
        <f t="shared" si="324"/>
        <v/>
      </c>
      <c r="BU459" s="21" t="str">
        <f t="array" ref="BU459">_xlfn.TEXTJOIN("",TRUE,IF(ISERROR(FIND(ROW($1:$168)-1,BS459&amp;BT459)),ROW($1:$168)-1,""))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59" s="22" t="str">
        <f t="shared" si="325"/>
        <v>中中中</v>
      </c>
      <c r="BW459" s="23" t="str">
        <f t="shared" si="336"/>
        <v/>
      </c>
      <c r="BX459" s="23" t="str">
        <f t="shared" si="334"/>
        <v/>
      </c>
      <c r="BY459" s="23" t="str">
        <f t="array" ref="BY459">_xlfn.TEXTJOIN("",TRUE,IF(ISERROR(FIND(ROW($1:$168)-1,BW459&amp;BX459)),ROW($1:$168)-1,""))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59" s="22" t="str">
        <f t="shared" si="326"/>
        <v>中中中</v>
      </c>
      <c r="CA459" s="24">
        <f t="shared" si="327"/>
        <v>7</v>
      </c>
      <c r="CB459" s="24" t="str">
        <f t="shared" si="335"/>
        <v/>
      </c>
      <c r="CC459" s="24" t="str">
        <f t="array" ref="CC459">_xlfn.TEXTJOIN("",TRUE,IF(ISERROR(FIND(ROW($1:$168)-1,CA459&amp;CB459)),ROW($1:$168)-1,""))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59" s="22" t="str">
        <f t="shared" si="328"/>
        <v>复中中</v>
      </c>
      <c r="CE459" s="25" t="str">
        <f t="shared" si="322"/>
        <v>02</v>
      </c>
      <c r="CF459" s="26" t="str">
        <f t="array" ref="CF459">_xlfn.TEXTJOIN("",TRUE,IF(ISNUMBER(FIND(MID(CE458&amp;W458,ROW($1:$162),1),CE459&amp;W459)),MID(CE458&amp;W458,ROW($1:$162),1),""))</f>
        <v/>
      </c>
      <c r="CG459" s="27" t="str">
        <f t="array" ref="CG459">_xlfn.TEXTJOIN("",TRUE,IF(ISERROR(FIND(ROW($1:$168)-1,CE459&amp;CF459)),ROW($1:$168)-1,""))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59" s="28" t="str">
        <f t="shared" si="329"/>
        <v>邻孤孤</v>
      </c>
      <c r="CI459" s="29" t="str">
        <f t="shared" si="330"/>
        <v>57</v>
      </c>
      <c r="CJ459" s="29" t="str">
        <f t="array" ref="CJ459">_xlfn.TEXTJOIN("",TRUE,IF(ISNUMBER(FIND(MID(CI458&amp;X458,ROW($1:$162),1),CI459&amp;X459)),MID(CI458&amp;X458,ROW($1:$162),1),""))</f>
        <v/>
      </c>
      <c r="CK459" s="29" t="str">
        <f t="array" ref="CK459">_xlfn.TEXTJOIN("",TRUE,IF(ISERROR(FIND(ROW($1:$168)-1,CI459&amp;CJ459)),ROW($1:$168)-1,""))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59" s="19" t="str">
        <f t="shared" si="331"/>
        <v>邻孤孤</v>
      </c>
      <c r="CM459" s="24" t="str">
        <f t="shared" si="332"/>
        <v>68</v>
      </c>
      <c r="CN459" s="24" t="str">
        <f t="array" ref="CN459">_xlfn.TEXTJOIN("",TRUE,IF(ISNUMBER(FIND(MID(CM458&amp;Y458,ROW($1:$162),1),CM459&amp;Y459)),MID(CM458&amp;Y458,ROW($1:$162),1),""))</f>
        <v>8</v>
      </c>
      <c r="CO459" s="24" t="str">
        <f t="array" ref="CO459">_xlfn.TEXTJOIN("",TRUE,IF(ISERROR(FIND(ROW($1:$168)-1,CM459&amp;CN459)),ROW($1:$168)-1,""))</f>
        <v>0123457910111213141516171819202122232425262728293031323334353637383940414243444546474849505152535455565758596061626364656667697071727374757677787980818283848586878990919293949596979899100101102103104105106107108109110111112113114115116117118119120121122123124125126127128129130131132133134135136137138139140141142143144145146147148149150151152153154155156157158159160161162163164165166167</v>
      </c>
      <c r="CP459" s="30" t="str">
        <f t="shared" si="333"/>
        <v>邻传孤</v>
      </c>
    </row>
    <row r="460" spans="1:94">
      <c r="A460" s="15">
        <v>460</v>
      </c>
      <c r="B460" s="80">
        <v>2025077</v>
      </c>
      <c r="C460" s="8" t="s">
        <v>389</v>
      </c>
      <c r="D460" s="81">
        <f t="shared" si="337"/>
        <v>13</v>
      </c>
      <c r="E460" s="82">
        <f t="shared" si="338"/>
        <v>3</v>
      </c>
      <c r="F460" s="83">
        <f t="shared" si="342"/>
        <v>3.25</v>
      </c>
      <c r="G460" s="84" t="str">
        <f t="shared" si="343"/>
        <v>标准</v>
      </c>
      <c r="H460" s="85" t="s">
        <v>10</v>
      </c>
      <c r="I460" s="85" t="s">
        <v>11</v>
      </c>
      <c r="J460" s="85" t="s">
        <v>12</v>
      </c>
      <c r="K460" s="85" t="s">
        <v>13</v>
      </c>
      <c r="L460" s="86">
        <f>MAX(MID(C460,{1,2,3},1)*1)-MIN(MID(C460,{1,2,3},1)*1)</f>
        <v>4</v>
      </c>
      <c r="M460" s="87">
        <v>0</v>
      </c>
      <c r="N460" s="87">
        <v>1</v>
      </c>
      <c r="O460" s="87">
        <v>2</v>
      </c>
      <c r="P460" s="87">
        <v>3</v>
      </c>
      <c r="Q460" s="87">
        <v>4</v>
      </c>
      <c r="R460" s="87">
        <v>5</v>
      </c>
      <c r="S460" s="87">
        <v>6</v>
      </c>
      <c r="T460" s="87">
        <v>7</v>
      </c>
      <c r="U460" s="87">
        <v>8</v>
      </c>
      <c r="V460" s="87">
        <v>9</v>
      </c>
      <c r="W460" s="88">
        <f t="shared" si="339"/>
        <v>4</v>
      </c>
      <c r="X460" s="88">
        <f t="shared" si="340"/>
        <v>1</v>
      </c>
      <c r="Y460" s="88">
        <f t="shared" si="341"/>
        <v>3</v>
      </c>
      <c r="Z460" s="89">
        <f t="shared" si="320"/>
        <v>8</v>
      </c>
      <c r="AA460" s="17" t="str">
        <f>_xlfn.TEXTJOIN(", ",TRUE,ABS(MID(C460,{1,1,2},1)-MID(C460,{2,3,3},1)))</f>
        <v>4, 1, 3</v>
      </c>
      <c r="AB460" s="90">
        <v>0</v>
      </c>
      <c r="AC460" s="90">
        <v>1</v>
      </c>
      <c r="AD460" s="90">
        <v>2</v>
      </c>
      <c r="AE460" s="90">
        <v>3</v>
      </c>
      <c r="AF460" s="90">
        <v>4</v>
      </c>
      <c r="AG460" s="90">
        <v>5</v>
      </c>
      <c r="AH460" s="90">
        <v>6</v>
      </c>
      <c r="AI460" s="90">
        <v>7</v>
      </c>
      <c r="AJ460" s="90">
        <v>8</v>
      </c>
      <c r="AK460" s="90">
        <v>9</v>
      </c>
      <c r="AL460" s="91">
        <v>0</v>
      </c>
      <c r="AM460" s="91">
        <v>1</v>
      </c>
      <c r="AN460" s="91">
        <v>2</v>
      </c>
      <c r="AO460" s="91">
        <v>3</v>
      </c>
      <c r="AP460" s="91">
        <v>4</v>
      </c>
      <c r="AQ460" s="91">
        <v>5</v>
      </c>
      <c r="AR460" s="91">
        <v>6</v>
      </c>
      <c r="AS460" s="91">
        <v>7</v>
      </c>
      <c r="AT460" s="91">
        <v>8</v>
      </c>
      <c r="AU460" s="91">
        <v>9</v>
      </c>
      <c r="AV460" s="92">
        <v>0</v>
      </c>
      <c r="AW460" s="92">
        <v>1</v>
      </c>
      <c r="AX460" s="92">
        <v>2</v>
      </c>
      <c r="AY460" s="92">
        <v>3</v>
      </c>
      <c r="AZ460" s="92">
        <v>4</v>
      </c>
      <c r="BA460" s="92">
        <v>5</v>
      </c>
      <c r="BB460" s="92">
        <v>6</v>
      </c>
      <c r="BC460" s="92">
        <v>7</v>
      </c>
      <c r="BD460" s="92">
        <v>8</v>
      </c>
      <c r="BE460" s="92">
        <v>9</v>
      </c>
      <c r="BF460" s="93">
        <v>0</v>
      </c>
      <c r="BG460" s="93">
        <v>1</v>
      </c>
      <c r="BH460" s="93">
        <v>2</v>
      </c>
      <c r="BI460" s="93">
        <v>3</v>
      </c>
      <c r="BJ460" s="93">
        <v>4</v>
      </c>
      <c r="BK460" s="93">
        <v>5</v>
      </c>
      <c r="BL460" s="93">
        <v>6</v>
      </c>
      <c r="BM460" s="93">
        <v>7</v>
      </c>
      <c r="BN460" s="93">
        <v>8</v>
      </c>
      <c r="BO460" s="93">
        <v>9</v>
      </c>
      <c r="BP460" s="94" t="str">
        <f t="shared" si="321"/>
        <v>紧凑型</v>
      </c>
      <c r="BQ460" s="15">
        <f t="shared" si="318"/>
        <v>1</v>
      </c>
      <c r="BR460" s="15">
        <f t="shared" si="319"/>
        <v>4</v>
      </c>
      <c r="BS460" s="20" t="str">
        <f t="shared" si="323"/>
        <v/>
      </c>
      <c r="BT460" s="21" t="str">
        <f t="shared" si="324"/>
        <v/>
      </c>
      <c r="BU460" s="21" t="str">
        <f t="array" ref="BU460">_xlfn.TEXTJOIN("",TRUE,IF(ISERROR(FIND(ROW($1:$168)-1,BS460&amp;BT460)),ROW($1:$168)-1,""))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60" s="22" t="str">
        <f t="shared" si="325"/>
        <v>中中中</v>
      </c>
      <c r="BW460" s="23">
        <f t="shared" si="336"/>
        <v>1</v>
      </c>
      <c r="BX460" s="23" t="str">
        <f t="shared" si="334"/>
        <v/>
      </c>
      <c r="BY460" s="23" t="str">
        <f t="array" ref="BY460">_xlfn.TEXTJOIN("",TRUE,IF(ISERROR(FIND(ROW($1:$168)-1,BW460&amp;BX460)),ROW($1:$168)-1,""))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60" s="22" t="str">
        <f t="shared" si="326"/>
        <v>复中中</v>
      </c>
      <c r="CA460" s="24" t="str">
        <f t="shared" si="327"/>
        <v/>
      </c>
      <c r="CB460" s="24" t="str">
        <f t="shared" si="335"/>
        <v/>
      </c>
      <c r="CC460" s="24" t="str">
        <f t="array" ref="CC460">_xlfn.TEXTJOIN("",TRUE,IF(ISERROR(FIND(ROW($1:$168)-1,CA460&amp;CB460)),ROW($1:$168)-1,""))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60" s="22" t="str">
        <f t="shared" si="328"/>
        <v>中中中</v>
      </c>
      <c r="CE460" s="25" t="str">
        <f t="shared" si="322"/>
        <v>35</v>
      </c>
      <c r="CF460" s="26" t="str">
        <f t="array" ref="CF460">_xlfn.TEXTJOIN("",TRUE,IF(ISNUMBER(FIND(MID(CE459&amp;W459,ROW($1:$162),1),CE460&amp;W460)),MID(CE459&amp;W459,ROW($1:$162),1),""))</f>
        <v/>
      </c>
      <c r="CG460" s="27" t="str">
        <f t="array" ref="CG460">_xlfn.TEXTJOIN("",TRUE,IF(ISERROR(FIND(ROW($1:$168)-1,CE460&amp;CF460)),ROW($1:$168)-1,""))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60" s="28" t="str">
        <f t="shared" si="329"/>
        <v>邻孤孤</v>
      </c>
      <c r="CI460" s="29" t="str">
        <f t="shared" si="330"/>
        <v>02</v>
      </c>
      <c r="CJ460" s="29" t="str">
        <f t="array" ref="CJ460">_xlfn.TEXTJOIN("",TRUE,IF(ISNUMBER(FIND(MID(CI459&amp;X459,ROW($1:$162),1),CI460&amp;X460)),MID(CI459&amp;X459,ROW($1:$162),1),""))</f>
        <v/>
      </c>
      <c r="CK460" s="29" t="str">
        <f t="array" ref="CK460">_xlfn.TEXTJOIN("",TRUE,IF(ISERROR(FIND(ROW($1:$168)-1,CI460&amp;CJ460)),ROW($1:$168)-1,""))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60" s="19" t="str">
        <f t="shared" si="331"/>
        <v>邻孤孤</v>
      </c>
      <c r="CM460" s="24" t="str">
        <f t="shared" si="332"/>
        <v>24</v>
      </c>
      <c r="CN460" s="24" t="str">
        <f t="array" ref="CN460">_xlfn.TEXTJOIN("",TRUE,IF(ISNUMBER(FIND(MID(CM459&amp;Y459,ROW($1:$162),1),CM460&amp;Y460)),MID(CM459&amp;Y459,ROW($1:$162),1),""))</f>
        <v/>
      </c>
      <c r="CO460" s="24" t="str">
        <f t="array" ref="CO460">_xlfn.TEXTJOIN("",TRUE,IF(ISERROR(FIND(ROW($1:$168)-1,CM460&amp;CN460)),ROW($1:$168)-1,""))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60" s="30" t="str">
        <f t="shared" si="333"/>
        <v>邻孤孤</v>
      </c>
    </row>
    <row r="461" spans="1:94">
      <c r="A461" s="15">
        <v>461</v>
      </c>
      <c r="B461" s="80">
        <v>2025078</v>
      </c>
      <c r="C461" s="8" t="s">
        <v>390</v>
      </c>
      <c r="D461" s="81">
        <f t="shared" si="337"/>
        <v>0</v>
      </c>
      <c r="E461" s="82">
        <f t="shared" si="338"/>
        <v>0</v>
      </c>
      <c r="F461" s="83">
        <f t="shared" si="342"/>
        <v>0.1</v>
      </c>
      <c r="G461" s="84" t="str">
        <f t="shared" si="343"/>
        <v>极紧凑</v>
      </c>
      <c r="H461" s="85" t="s">
        <v>10</v>
      </c>
      <c r="I461" s="85" t="s">
        <v>11</v>
      </c>
      <c r="J461" s="85" t="s">
        <v>12</v>
      </c>
      <c r="K461" s="85" t="s">
        <v>13</v>
      </c>
      <c r="L461" s="86">
        <f>MAX(MID(C461,{1,2,3},1)*1)-MIN(MID(C461,{1,2,3},1)*1)</f>
        <v>0</v>
      </c>
      <c r="M461" s="87">
        <v>0</v>
      </c>
      <c r="N461" s="87">
        <v>1</v>
      </c>
      <c r="O461" s="87">
        <v>2</v>
      </c>
      <c r="P461" s="87">
        <v>3</v>
      </c>
      <c r="Q461" s="87">
        <v>4</v>
      </c>
      <c r="R461" s="87">
        <v>5</v>
      </c>
      <c r="S461" s="87">
        <v>6</v>
      </c>
      <c r="T461" s="87">
        <v>7</v>
      </c>
      <c r="U461" s="87">
        <v>8</v>
      </c>
      <c r="V461" s="87">
        <v>9</v>
      </c>
      <c r="W461" s="88">
        <f t="shared" si="339"/>
        <v>0</v>
      </c>
      <c r="X461" s="88">
        <f t="shared" si="340"/>
        <v>0</v>
      </c>
      <c r="Y461" s="88">
        <f t="shared" si="341"/>
        <v>0</v>
      </c>
      <c r="Z461" s="89">
        <f t="shared" si="320"/>
        <v>0</v>
      </c>
      <c r="AA461" s="17" t="str">
        <f>_xlfn.TEXTJOIN(", ",TRUE,ABS(MID(C461,{1,1,2},1)-MID(C461,{2,3,3},1)))</f>
        <v>0, 0, 0</v>
      </c>
      <c r="AB461" s="90">
        <v>0</v>
      </c>
      <c r="AC461" s="90">
        <v>1</v>
      </c>
      <c r="AD461" s="90">
        <v>2</v>
      </c>
      <c r="AE461" s="90">
        <v>3</v>
      </c>
      <c r="AF461" s="90">
        <v>4</v>
      </c>
      <c r="AG461" s="90">
        <v>5</v>
      </c>
      <c r="AH461" s="90">
        <v>6</v>
      </c>
      <c r="AI461" s="90">
        <v>7</v>
      </c>
      <c r="AJ461" s="90">
        <v>8</v>
      </c>
      <c r="AK461" s="90">
        <v>9</v>
      </c>
      <c r="AL461" s="91">
        <v>0</v>
      </c>
      <c r="AM461" s="91">
        <v>1</v>
      </c>
      <c r="AN461" s="91">
        <v>2</v>
      </c>
      <c r="AO461" s="91">
        <v>3</v>
      </c>
      <c r="AP461" s="91">
        <v>4</v>
      </c>
      <c r="AQ461" s="91">
        <v>5</v>
      </c>
      <c r="AR461" s="91">
        <v>6</v>
      </c>
      <c r="AS461" s="91">
        <v>7</v>
      </c>
      <c r="AT461" s="91">
        <v>8</v>
      </c>
      <c r="AU461" s="91">
        <v>9</v>
      </c>
      <c r="AV461" s="92">
        <v>0</v>
      </c>
      <c r="AW461" s="92">
        <v>1</v>
      </c>
      <c r="AX461" s="92">
        <v>2</v>
      </c>
      <c r="AY461" s="92">
        <v>3</v>
      </c>
      <c r="AZ461" s="92">
        <v>4</v>
      </c>
      <c r="BA461" s="92">
        <v>5</v>
      </c>
      <c r="BB461" s="92">
        <v>6</v>
      </c>
      <c r="BC461" s="92">
        <v>7</v>
      </c>
      <c r="BD461" s="92">
        <v>8</v>
      </c>
      <c r="BE461" s="92">
        <v>9</v>
      </c>
      <c r="BF461" s="93">
        <v>0</v>
      </c>
      <c r="BG461" s="93">
        <v>1</v>
      </c>
      <c r="BH461" s="93">
        <v>2</v>
      </c>
      <c r="BI461" s="93">
        <v>3</v>
      </c>
      <c r="BJ461" s="93">
        <v>4</v>
      </c>
      <c r="BK461" s="93">
        <v>5</v>
      </c>
      <c r="BL461" s="93">
        <v>6</v>
      </c>
      <c r="BM461" s="93">
        <v>7</v>
      </c>
      <c r="BN461" s="93">
        <v>8</v>
      </c>
      <c r="BO461" s="93">
        <v>9</v>
      </c>
      <c r="BP461" s="94" t="str">
        <f t="shared" si="321"/>
        <v>紧凑型</v>
      </c>
      <c r="BQ461" s="15">
        <f t="shared" si="318"/>
        <v>0</v>
      </c>
      <c r="BR461" s="15">
        <f t="shared" si="319"/>
        <v>0</v>
      </c>
      <c r="BS461" s="20" t="str">
        <f t="shared" si="323"/>
        <v/>
      </c>
      <c r="BT461" s="21" t="str">
        <f t="shared" si="324"/>
        <v/>
      </c>
      <c r="BU461" s="21" t="str">
        <f t="array" ref="BU461">_xlfn.TEXTJOIN("",TRUE,IF(ISERROR(FIND(ROW($1:$168)-1,BS461&amp;BT461)),ROW($1:$168)-1,""))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61" s="22" t="str">
        <f t="shared" si="325"/>
        <v>中中中</v>
      </c>
      <c r="BW461" s="23" t="str">
        <f t="shared" si="336"/>
        <v/>
      </c>
      <c r="BX461" s="23" t="str">
        <f t="shared" si="334"/>
        <v/>
      </c>
      <c r="BY461" s="23" t="str">
        <f t="array" ref="BY461">_xlfn.TEXTJOIN("",TRUE,IF(ISERROR(FIND(ROW($1:$168)-1,BW461&amp;BX461)),ROW($1:$168)-1,""))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61" s="22" t="str">
        <f t="shared" si="326"/>
        <v>中中中</v>
      </c>
      <c r="CA461" s="24" t="str">
        <f t="shared" si="327"/>
        <v/>
      </c>
      <c r="CB461" s="24" t="str">
        <f t="shared" si="335"/>
        <v/>
      </c>
      <c r="CC461" s="24" t="str">
        <f t="array" ref="CC461">_xlfn.TEXTJOIN("",TRUE,IF(ISERROR(FIND(ROW($1:$168)-1,CA461&amp;CB461)),ROW($1:$168)-1,""))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61" s="22" t="str">
        <f t="shared" si="328"/>
        <v>中中中</v>
      </c>
      <c r="CE461" s="25" t="str">
        <f t="shared" si="322"/>
        <v>91</v>
      </c>
      <c r="CF461" s="26" t="str">
        <f t="array" ref="CF461">_xlfn.TEXTJOIN("",TRUE,IF(ISNUMBER(FIND(MID(CE460&amp;W460,ROW($1:$162),1),CE461&amp;W461)),MID(CE460&amp;W460,ROW($1:$162),1),""))</f>
        <v/>
      </c>
      <c r="CG461" s="27" t="str">
        <f t="array" ref="CG461">_xlfn.TEXTJOIN("",TRUE,IF(ISERROR(FIND(ROW($1:$168)-1,CE461&amp;CF461)),ROW($1:$168)-1,""))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461" s="28" t="str">
        <f t="shared" si="329"/>
        <v>邻孤孤</v>
      </c>
      <c r="CI461" s="29" t="str">
        <f t="shared" si="330"/>
        <v>91</v>
      </c>
      <c r="CJ461" s="29" t="str">
        <f t="array" ref="CJ461">_xlfn.TEXTJOIN("",TRUE,IF(ISNUMBER(FIND(MID(CI460&amp;X460,ROW($1:$162),1),CI461&amp;X461)),MID(CI460&amp;X460,ROW($1:$162),1),""))</f>
        <v>01</v>
      </c>
      <c r="CK461" s="29" t="str">
        <f t="array" ref="CK461">_xlfn.TEXTJOIN("",TRUE,IF(ISERROR(FIND(ROW($1:$168)-1,CI461&amp;CJ461)),ROW($1:$168)-1,""))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L461" s="19" t="str">
        <f t="shared" si="331"/>
        <v>邻传孤</v>
      </c>
      <c r="CM461" s="24" t="str">
        <f t="shared" si="332"/>
        <v>91</v>
      </c>
      <c r="CN461" s="24" t="str">
        <f t="array" ref="CN461">_xlfn.TEXTJOIN("",TRUE,IF(ISNUMBER(FIND(MID(CM460&amp;Y460,ROW($1:$162),1),CM461&amp;Y461)),MID(CM460&amp;Y460,ROW($1:$162),1),""))</f>
        <v/>
      </c>
      <c r="CO461" s="24" t="str">
        <f t="array" ref="CO461">_xlfn.TEXTJOIN("",TRUE,IF(ISERROR(FIND(ROW($1:$168)-1,CM461&amp;CN461)),ROW($1:$168)-1,""))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461" s="30" t="str">
        <f t="shared" si="333"/>
        <v>邻孤孤</v>
      </c>
    </row>
    <row r="462" spans="1:94">
      <c r="A462" s="15">
        <v>462</v>
      </c>
      <c r="B462" s="80">
        <v>2025079</v>
      </c>
      <c r="C462" s="8" t="s">
        <v>340</v>
      </c>
      <c r="D462" s="81">
        <f t="shared" si="337"/>
        <v>18</v>
      </c>
      <c r="E462" s="82">
        <f t="shared" si="338"/>
        <v>8</v>
      </c>
      <c r="F462" s="83">
        <f t="shared" si="342"/>
        <v>9</v>
      </c>
      <c r="G462" s="84" t="str">
        <f t="shared" si="343"/>
        <v>紧凑</v>
      </c>
      <c r="H462" s="85" t="s">
        <v>10</v>
      </c>
      <c r="I462" s="85" t="s">
        <v>11</v>
      </c>
      <c r="J462" s="85" t="s">
        <v>12</v>
      </c>
      <c r="K462" s="85" t="s">
        <v>13</v>
      </c>
      <c r="L462" s="86">
        <f>MAX(MID(C462,{1,2,3},1)*1)-MIN(MID(C462,{1,2,3},1)*1)</f>
        <v>2</v>
      </c>
      <c r="M462" s="87">
        <v>0</v>
      </c>
      <c r="N462" s="87">
        <v>1</v>
      </c>
      <c r="O462" s="87">
        <v>2</v>
      </c>
      <c r="P462" s="87">
        <v>3</v>
      </c>
      <c r="Q462" s="87">
        <v>4</v>
      </c>
      <c r="R462" s="87">
        <v>5</v>
      </c>
      <c r="S462" s="87">
        <v>6</v>
      </c>
      <c r="T462" s="87">
        <v>7</v>
      </c>
      <c r="U462" s="87">
        <v>8</v>
      </c>
      <c r="V462" s="87">
        <v>9</v>
      </c>
      <c r="W462" s="88">
        <f t="shared" si="339"/>
        <v>1</v>
      </c>
      <c r="X462" s="88">
        <f t="shared" si="340"/>
        <v>1</v>
      </c>
      <c r="Y462" s="88">
        <f t="shared" si="341"/>
        <v>2</v>
      </c>
      <c r="Z462" s="89">
        <f t="shared" si="320"/>
        <v>4</v>
      </c>
      <c r="AA462" s="17" t="str">
        <f>_xlfn.TEXTJOIN(", ",TRUE,ABS(MID(C462,{1,1,2},1)-MID(C462,{2,3,3},1)))</f>
        <v>1, 1, 2</v>
      </c>
      <c r="AB462" s="90">
        <v>0</v>
      </c>
      <c r="AC462" s="90">
        <v>1</v>
      </c>
      <c r="AD462" s="90">
        <v>2</v>
      </c>
      <c r="AE462" s="90">
        <v>3</v>
      </c>
      <c r="AF462" s="90">
        <v>4</v>
      </c>
      <c r="AG462" s="90">
        <v>5</v>
      </c>
      <c r="AH462" s="90">
        <v>6</v>
      </c>
      <c r="AI462" s="90">
        <v>7</v>
      </c>
      <c r="AJ462" s="90">
        <v>8</v>
      </c>
      <c r="AK462" s="90">
        <v>9</v>
      </c>
      <c r="AL462" s="91">
        <v>0</v>
      </c>
      <c r="AM462" s="91">
        <v>1</v>
      </c>
      <c r="AN462" s="91">
        <v>2</v>
      </c>
      <c r="AO462" s="91">
        <v>3</v>
      </c>
      <c r="AP462" s="91">
        <v>4</v>
      </c>
      <c r="AQ462" s="91">
        <v>5</v>
      </c>
      <c r="AR462" s="91">
        <v>6</v>
      </c>
      <c r="AS462" s="91">
        <v>7</v>
      </c>
      <c r="AT462" s="91">
        <v>8</v>
      </c>
      <c r="AU462" s="91">
        <v>9</v>
      </c>
      <c r="AV462" s="92">
        <v>0</v>
      </c>
      <c r="AW462" s="92">
        <v>1</v>
      </c>
      <c r="AX462" s="92">
        <v>2</v>
      </c>
      <c r="AY462" s="92">
        <v>3</v>
      </c>
      <c r="AZ462" s="92">
        <v>4</v>
      </c>
      <c r="BA462" s="92">
        <v>5</v>
      </c>
      <c r="BB462" s="92">
        <v>6</v>
      </c>
      <c r="BC462" s="92">
        <v>7</v>
      </c>
      <c r="BD462" s="92">
        <v>8</v>
      </c>
      <c r="BE462" s="92">
        <v>9</v>
      </c>
      <c r="BF462" s="93">
        <v>0</v>
      </c>
      <c r="BG462" s="93">
        <v>1</v>
      </c>
      <c r="BH462" s="93">
        <v>2</v>
      </c>
      <c r="BI462" s="93">
        <v>3</v>
      </c>
      <c r="BJ462" s="93">
        <v>4</v>
      </c>
      <c r="BK462" s="93">
        <v>5</v>
      </c>
      <c r="BL462" s="93">
        <v>6</v>
      </c>
      <c r="BM462" s="93">
        <v>7</v>
      </c>
      <c r="BN462" s="93">
        <v>8</v>
      </c>
      <c r="BO462" s="93">
        <v>9</v>
      </c>
      <c r="BP462" s="94" t="str">
        <f t="shared" si="321"/>
        <v>紧凑型</v>
      </c>
      <c r="BQ462" s="15">
        <f t="shared" si="318"/>
        <v>1</v>
      </c>
      <c r="BR462" s="15">
        <f t="shared" si="319"/>
        <v>2</v>
      </c>
      <c r="BS462" s="20" t="str">
        <f t="shared" si="323"/>
        <v/>
      </c>
      <c r="BT462" s="21">
        <f t="shared" si="324"/>
        <v>1</v>
      </c>
      <c r="BU462" s="21" t="str">
        <f t="array" ref="BU462">_xlfn.TEXTJOIN("",TRUE,IF(ISERROR(FIND(ROW($1:$168)-1,BS462&amp;BT462)),ROW($1:$168)-1,""))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62" s="22" t="str">
        <f t="shared" si="325"/>
        <v>中隔中</v>
      </c>
      <c r="BW462" s="23" t="str">
        <f t="shared" si="336"/>
        <v/>
      </c>
      <c r="BX462" s="23">
        <f t="shared" si="334"/>
        <v>1</v>
      </c>
      <c r="BY462" s="23" t="str">
        <f t="array" ref="BY462">_xlfn.TEXTJOIN("",TRUE,IF(ISERROR(FIND(ROW($1:$168)-1,BW462&amp;BX462)),ROW($1:$168)-1,""))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62" s="22" t="str">
        <f t="shared" si="326"/>
        <v>中隔中</v>
      </c>
      <c r="CA462" s="24" t="str">
        <f t="shared" si="327"/>
        <v/>
      </c>
      <c r="CB462" s="24" t="str">
        <f t="shared" si="335"/>
        <v/>
      </c>
      <c r="CC462" s="24" t="str">
        <f t="array" ref="CC462">_xlfn.TEXTJOIN("",TRUE,IF(ISERROR(FIND(ROW($1:$168)-1,CA462&amp;CB462)),ROW($1:$168)-1,""))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62" s="22" t="str">
        <f t="shared" si="328"/>
        <v>中中中</v>
      </c>
      <c r="CE462" s="25" t="str">
        <f t="shared" si="322"/>
        <v>02</v>
      </c>
      <c r="CF462" s="26" t="str">
        <f t="array" ref="CF462">_xlfn.TEXTJOIN("",TRUE,IF(ISNUMBER(FIND(MID(CE461&amp;W461,ROW($1:$162),1),CE462&amp;W462)),MID(CE461&amp;W461,ROW($1:$162),1),""))</f>
        <v>10</v>
      </c>
      <c r="CG462" s="27" t="str">
        <f t="array" ref="CG462">_xlfn.TEXTJOIN("",TRUE,IF(ISERROR(FIND(ROW($1:$168)-1,CE462&amp;CF462)),ROW($1:$168)-1,""))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62" s="28" t="str">
        <f t="shared" si="329"/>
        <v>邻传孤</v>
      </c>
      <c r="CI462" s="29" t="str">
        <f t="shared" si="330"/>
        <v>02</v>
      </c>
      <c r="CJ462" s="29" t="str">
        <f t="array" ref="CJ462">_xlfn.TEXTJOIN("",TRUE,IF(ISNUMBER(FIND(MID(CI461&amp;X461,ROW($1:$162),1),CI462&amp;X462)),MID(CI461&amp;X461,ROW($1:$162),1),""))</f>
        <v>10</v>
      </c>
      <c r="CK462" s="29" t="str">
        <f t="array" ref="CK462">_xlfn.TEXTJOIN("",TRUE,IF(ISERROR(FIND(ROW($1:$168)-1,CI462&amp;CJ462)),ROW($1:$168)-1,""))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62" s="19" t="str">
        <f t="shared" si="331"/>
        <v>邻传孤</v>
      </c>
      <c r="CM462" s="24" t="str">
        <f t="shared" si="332"/>
        <v>13</v>
      </c>
      <c r="CN462" s="24" t="str">
        <f t="array" ref="CN462">_xlfn.TEXTJOIN("",TRUE,IF(ISNUMBER(FIND(MID(CM461&amp;Y461,ROW($1:$162),1),CM462&amp;Y462)),MID(CM461&amp;Y461,ROW($1:$162),1),""))</f>
        <v>1</v>
      </c>
      <c r="CO462" s="24" t="str">
        <f t="array" ref="CO462">_xlfn.TEXTJOIN("",TRUE,IF(ISERROR(FIND(ROW($1:$168)-1,CM462&amp;CN462)),ROW($1:$168)-1,""))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P462" s="30" t="str">
        <f t="shared" si="333"/>
        <v>邻传孤</v>
      </c>
    </row>
    <row r="463" spans="1:94">
      <c r="A463" s="15">
        <v>463</v>
      </c>
      <c r="B463" s="80">
        <v>2025080</v>
      </c>
      <c r="C463" s="8" t="s">
        <v>391</v>
      </c>
      <c r="D463" s="81">
        <f t="shared" si="337"/>
        <v>5</v>
      </c>
      <c r="E463" s="82">
        <f t="shared" si="338"/>
        <v>5</v>
      </c>
      <c r="F463" s="83">
        <f t="shared" si="342"/>
        <v>1</v>
      </c>
      <c r="G463" s="84" t="str">
        <f t="shared" si="343"/>
        <v>松散</v>
      </c>
      <c r="H463" s="85" t="s">
        <v>10</v>
      </c>
      <c r="I463" s="85" t="s">
        <v>11</v>
      </c>
      <c r="J463" s="85" t="s">
        <v>12</v>
      </c>
      <c r="K463" s="85" t="s">
        <v>13</v>
      </c>
      <c r="L463" s="86">
        <f>MAX(MID(C463,{1,2,3},1)*1)-MIN(MID(C463,{1,2,3},1)*1)</f>
        <v>5</v>
      </c>
      <c r="M463" s="87">
        <v>0</v>
      </c>
      <c r="N463" s="87">
        <v>1</v>
      </c>
      <c r="O463" s="87">
        <v>2</v>
      </c>
      <c r="P463" s="87">
        <v>3</v>
      </c>
      <c r="Q463" s="87">
        <v>4</v>
      </c>
      <c r="R463" s="87">
        <v>5</v>
      </c>
      <c r="S463" s="87">
        <v>6</v>
      </c>
      <c r="T463" s="87">
        <v>7</v>
      </c>
      <c r="U463" s="87">
        <v>8</v>
      </c>
      <c r="V463" s="87">
        <v>9</v>
      </c>
      <c r="W463" s="88">
        <f t="shared" si="339"/>
        <v>5</v>
      </c>
      <c r="X463" s="88">
        <f t="shared" si="340"/>
        <v>5</v>
      </c>
      <c r="Y463" s="88">
        <f t="shared" si="341"/>
        <v>0</v>
      </c>
      <c r="Z463" s="89">
        <f t="shared" si="320"/>
        <v>10</v>
      </c>
      <c r="AA463" s="17" t="str">
        <f>_xlfn.TEXTJOIN(", ",TRUE,ABS(MID(C463,{1,1,2},1)-MID(C463,{2,3,3},1)))</f>
        <v>5, 5, 0</v>
      </c>
      <c r="AB463" s="90">
        <v>0</v>
      </c>
      <c r="AC463" s="90">
        <v>1</v>
      </c>
      <c r="AD463" s="90">
        <v>2</v>
      </c>
      <c r="AE463" s="90">
        <v>3</v>
      </c>
      <c r="AF463" s="90">
        <v>4</v>
      </c>
      <c r="AG463" s="90">
        <v>5</v>
      </c>
      <c r="AH463" s="90">
        <v>6</v>
      </c>
      <c r="AI463" s="90">
        <v>7</v>
      </c>
      <c r="AJ463" s="90">
        <v>8</v>
      </c>
      <c r="AK463" s="90">
        <v>9</v>
      </c>
      <c r="AL463" s="91">
        <v>0</v>
      </c>
      <c r="AM463" s="91">
        <v>1</v>
      </c>
      <c r="AN463" s="91">
        <v>2</v>
      </c>
      <c r="AO463" s="91">
        <v>3</v>
      </c>
      <c r="AP463" s="91">
        <v>4</v>
      </c>
      <c r="AQ463" s="91">
        <v>5</v>
      </c>
      <c r="AR463" s="91">
        <v>6</v>
      </c>
      <c r="AS463" s="91">
        <v>7</v>
      </c>
      <c r="AT463" s="91">
        <v>8</v>
      </c>
      <c r="AU463" s="91">
        <v>9</v>
      </c>
      <c r="AV463" s="92">
        <v>0</v>
      </c>
      <c r="AW463" s="92">
        <v>1</v>
      </c>
      <c r="AX463" s="92">
        <v>2</v>
      </c>
      <c r="AY463" s="92">
        <v>3</v>
      </c>
      <c r="AZ463" s="92">
        <v>4</v>
      </c>
      <c r="BA463" s="92">
        <v>5</v>
      </c>
      <c r="BB463" s="92">
        <v>6</v>
      </c>
      <c r="BC463" s="92">
        <v>7</v>
      </c>
      <c r="BD463" s="92">
        <v>8</v>
      </c>
      <c r="BE463" s="92">
        <v>9</v>
      </c>
      <c r="BF463" s="93">
        <v>0</v>
      </c>
      <c r="BG463" s="93">
        <v>1</v>
      </c>
      <c r="BH463" s="93">
        <v>2</v>
      </c>
      <c r="BI463" s="93">
        <v>3</v>
      </c>
      <c r="BJ463" s="93">
        <v>4</v>
      </c>
      <c r="BK463" s="93">
        <v>5</v>
      </c>
      <c r="BL463" s="93">
        <v>6</v>
      </c>
      <c r="BM463" s="93">
        <v>7</v>
      </c>
      <c r="BN463" s="93">
        <v>8</v>
      </c>
      <c r="BO463" s="93">
        <v>9</v>
      </c>
      <c r="BP463" s="94" t="str">
        <f t="shared" si="321"/>
        <v>对子</v>
      </c>
      <c r="BQ463" s="15">
        <f t="shared" si="318"/>
        <v>0</v>
      </c>
      <c r="BR463" s="15">
        <f t="shared" si="319"/>
        <v>5</v>
      </c>
      <c r="BS463" s="20" t="str">
        <f t="shared" si="323"/>
        <v/>
      </c>
      <c r="BT463" s="21" t="str">
        <f t="shared" si="324"/>
        <v/>
      </c>
      <c r="BU463" s="21" t="str">
        <f t="array" ref="BU463">_xlfn.TEXTJOIN("",TRUE,IF(ISERROR(FIND(ROW($1:$168)-1,BS463&amp;BT463)),ROW($1:$168)-1,""))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63" s="22" t="str">
        <f t="shared" si="325"/>
        <v>中中中</v>
      </c>
      <c r="BW463" s="23" t="str">
        <f t="shared" si="336"/>
        <v/>
      </c>
      <c r="BX463" s="23" t="str">
        <f t="shared" si="334"/>
        <v/>
      </c>
      <c r="BY463" s="23" t="str">
        <f t="array" ref="BY463">_xlfn.TEXTJOIN("",TRUE,IF(ISERROR(FIND(ROW($1:$168)-1,BW463&amp;BX463)),ROW($1:$168)-1,""))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63" s="22" t="str">
        <f t="shared" si="326"/>
        <v>中中中</v>
      </c>
      <c r="CA463" s="24" t="str">
        <f t="shared" si="327"/>
        <v/>
      </c>
      <c r="CB463" s="24">
        <f t="shared" si="335"/>
        <v>0</v>
      </c>
      <c r="CC463" s="24" t="str">
        <f t="array" ref="CC463">_xlfn.TEXTJOIN("",TRUE,IF(ISERROR(FIND(ROW($1:$168)-1,CA463&amp;CB463)),ROW($1:$168)-1,""))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63" s="22" t="str">
        <f t="shared" si="328"/>
        <v>中隔中</v>
      </c>
      <c r="CE463" s="25" t="str">
        <f t="shared" si="322"/>
        <v>46</v>
      </c>
      <c r="CF463" s="26" t="str">
        <f t="array" ref="CF463">_xlfn.TEXTJOIN("",TRUE,IF(ISNUMBER(FIND(MID(CE462&amp;W462,ROW($1:$162),1),CE463&amp;W463)),MID(CE462&amp;W462,ROW($1:$162),1),""))</f>
        <v/>
      </c>
      <c r="CG463" s="27" t="str">
        <f t="array" ref="CG463">_xlfn.TEXTJOIN("",TRUE,IF(ISERROR(FIND(ROW($1:$168)-1,CE463&amp;CF463)),ROW($1:$168)-1,""))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63" s="28" t="str">
        <f t="shared" si="329"/>
        <v>邻孤孤</v>
      </c>
      <c r="CI463" s="29" t="str">
        <f t="shared" si="330"/>
        <v>46</v>
      </c>
      <c r="CJ463" s="29" t="str">
        <f t="array" ref="CJ463">_xlfn.TEXTJOIN("",TRUE,IF(ISNUMBER(FIND(MID(CI462&amp;X462,ROW($1:$162),1),CI463&amp;X463)),MID(CI462&amp;X462,ROW($1:$162),1),""))</f>
        <v/>
      </c>
      <c r="CK463" s="29" t="str">
        <f t="array" ref="CK463">_xlfn.TEXTJOIN("",TRUE,IF(ISERROR(FIND(ROW($1:$168)-1,CI463&amp;CJ463)),ROW($1:$168)-1,""))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63" s="19" t="str">
        <f t="shared" si="331"/>
        <v>邻孤孤</v>
      </c>
      <c r="CM463" s="24" t="str">
        <f t="shared" si="332"/>
        <v>91</v>
      </c>
      <c r="CN463" s="24" t="str">
        <f t="array" ref="CN463">_xlfn.TEXTJOIN("",TRUE,IF(ISNUMBER(FIND(MID(CM462&amp;Y462,ROW($1:$162),1),CM463&amp;Y463)),MID(CM462&amp;Y462,ROW($1:$162),1),""))</f>
        <v>1</v>
      </c>
      <c r="CO463" s="24" t="str">
        <f t="array" ref="CO463">_xlfn.TEXTJOIN("",TRUE,IF(ISERROR(FIND(ROW($1:$168)-1,CM463&amp;CN463)),ROW($1:$168)-1,""))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463" s="30" t="str">
        <f t="shared" si="333"/>
        <v>邻传孤</v>
      </c>
    </row>
    <row r="464" spans="1:94">
      <c r="A464" s="15">
        <v>464</v>
      </c>
      <c r="B464" s="80">
        <v>2025081</v>
      </c>
      <c r="C464" s="8" t="s">
        <v>392</v>
      </c>
      <c r="D464" s="81">
        <f t="shared" si="337"/>
        <v>7</v>
      </c>
      <c r="E464" s="82">
        <f t="shared" si="338"/>
        <v>7</v>
      </c>
      <c r="F464" s="83">
        <f t="shared" si="342"/>
        <v>1.75</v>
      </c>
      <c r="G464" s="84" t="str">
        <f t="shared" si="343"/>
        <v>松散</v>
      </c>
      <c r="H464" s="85" t="s">
        <v>10</v>
      </c>
      <c r="I464" s="85" t="s">
        <v>11</v>
      </c>
      <c r="J464" s="85" t="s">
        <v>12</v>
      </c>
      <c r="K464" s="85" t="s">
        <v>13</v>
      </c>
      <c r="L464" s="86">
        <f>MAX(MID(C464,{1,2,3},1)*1)-MIN(MID(C464,{1,2,3},1)*1)</f>
        <v>4</v>
      </c>
      <c r="M464" s="87">
        <v>0</v>
      </c>
      <c r="N464" s="87">
        <v>1</v>
      </c>
      <c r="O464" s="87">
        <v>2</v>
      </c>
      <c r="P464" s="87">
        <v>3</v>
      </c>
      <c r="Q464" s="87">
        <v>4</v>
      </c>
      <c r="R464" s="87">
        <v>5</v>
      </c>
      <c r="S464" s="87">
        <v>6</v>
      </c>
      <c r="T464" s="87">
        <v>7</v>
      </c>
      <c r="U464" s="87">
        <v>8</v>
      </c>
      <c r="V464" s="87">
        <v>9</v>
      </c>
      <c r="W464" s="88">
        <f t="shared" si="339"/>
        <v>4</v>
      </c>
      <c r="X464" s="88">
        <f t="shared" si="340"/>
        <v>1</v>
      </c>
      <c r="Y464" s="88">
        <f t="shared" si="341"/>
        <v>3</v>
      </c>
      <c r="Z464" s="89">
        <f t="shared" si="320"/>
        <v>8</v>
      </c>
      <c r="AA464" s="17" t="str">
        <f>_xlfn.TEXTJOIN(", ",TRUE,ABS(MID(C464,{1,1,2},1)-MID(C464,{2,3,3},1)))</f>
        <v>4, 1, 3</v>
      </c>
      <c r="AB464" s="90">
        <v>0</v>
      </c>
      <c r="AC464" s="90">
        <v>1</v>
      </c>
      <c r="AD464" s="90">
        <v>2</v>
      </c>
      <c r="AE464" s="90">
        <v>3</v>
      </c>
      <c r="AF464" s="90">
        <v>4</v>
      </c>
      <c r="AG464" s="90">
        <v>5</v>
      </c>
      <c r="AH464" s="90">
        <v>6</v>
      </c>
      <c r="AI464" s="90">
        <v>7</v>
      </c>
      <c r="AJ464" s="90">
        <v>8</v>
      </c>
      <c r="AK464" s="90">
        <v>9</v>
      </c>
      <c r="AL464" s="91">
        <v>0</v>
      </c>
      <c r="AM464" s="91">
        <v>1</v>
      </c>
      <c r="AN464" s="91">
        <v>2</v>
      </c>
      <c r="AO464" s="91">
        <v>3</v>
      </c>
      <c r="AP464" s="91">
        <v>4</v>
      </c>
      <c r="AQ464" s="91">
        <v>5</v>
      </c>
      <c r="AR464" s="91">
        <v>6</v>
      </c>
      <c r="AS464" s="91">
        <v>7</v>
      </c>
      <c r="AT464" s="91">
        <v>8</v>
      </c>
      <c r="AU464" s="91">
        <v>9</v>
      </c>
      <c r="AV464" s="92">
        <v>0</v>
      </c>
      <c r="AW464" s="92">
        <v>1</v>
      </c>
      <c r="AX464" s="92">
        <v>2</v>
      </c>
      <c r="AY464" s="92">
        <v>3</v>
      </c>
      <c r="AZ464" s="92">
        <v>4</v>
      </c>
      <c r="BA464" s="92">
        <v>5</v>
      </c>
      <c r="BB464" s="92">
        <v>6</v>
      </c>
      <c r="BC464" s="92">
        <v>7</v>
      </c>
      <c r="BD464" s="92">
        <v>8</v>
      </c>
      <c r="BE464" s="92">
        <v>9</v>
      </c>
      <c r="BF464" s="93">
        <v>0</v>
      </c>
      <c r="BG464" s="93">
        <v>1</v>
      </c>
      <c r="BH464" s="93">
        <v>2</v>
      </c>
      <c r="BI464" s="93">
        <v>3</v>
      </c>
      <c r="BJ464" s="93">
        <v>4</v>
      </c>
      <c r="BK464" s="93">
        <v>5</v>
      </c>
      <c r="BL464" s="93">
        <v>6</v>
      </c>
      <c r="BM464" s="93">
        <v>7</v>
      </c>
      <c r="BN464" s="93">
        <v>8</v>
      </c>
      <c r="BO464" s="93">
        <v>9</v>
      </c>
      <c r="BP464" s="94" t="str">
        <f t="shared" si="321"/>
        <v>紧凑型</v>
      </c>
      <c r="BQ464" s="15">
        <f t="shared" si="318"/>
        <v>1</v>
      </c>
      <c r="BR464" s="15">
        <f t="shared" si="319"/>
        <v>4</v>
      </c>
      <c r="BS464" s="20" t="str">
        <f t="shared" si="323"/>
        <v/>
      </c>
      <c r="BT464" s="21" t="str">
        <f t="shared" si="324"/>
        <v/>
      </c>
      <c r="BU464" s="21" t="str">
        <f t="array" ref="BU464">_xlfn.TEXTJOIN("",TRUE,IF(ISERROR(FIND(ROW($1:$168)-1,BS464&amp;BT464)),ROW($1:$168)-1,""))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64" s="22" t="str">
        <f t="shared" si="325"/>
        <v>中中中</v>
      </c>
      <c r="BW464" s="23" t="str">
        <f t="shared" si="336"/>
        <v/>
      </c>
      <c r="BX464" s="23">
        <f t="shared" si="334"/>
        <v>1</v>
      </c>
      <c r="BY464" s="23" t="str">
        <f t="array" ref="BY464">_xlfn.TEXTJOIN("",TRUE,IF(ISERROR(FIND(ROW($1:$168)-1,BW464&amp;BX464)),ROW($1:$168)-1,""))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64" s="22" t="str">
        <f t="shared" si="326"/>
        <v>中隔中</v>
      </c>
      <c r="CA464" s="24" t="str">
        <f t="shared" si="327"/>
        <v/>
      </c>
      <c r="CB464" s="24" t="str">
        <f t="shared" si="335"/>
        <v/>
      </c>
      <c r="CC464" s="24" t="str">
        <f t="array" ref="CC464">_xlfn.TEXTJOIN("",TRUE,IF(ISERROR(FIND(ROW($1:$168)-1,CA464&amp;CB464)),ROW($1:$168)-1,""))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64" s="22" t="str">
        <f t="shared" si="328"/>
        <v>中中中</v>
      </c>
      <c r="CE464" s="25" t="str">
        <f t="shared" si="322"/>
        <v>35</v>
      </c>
      <c r="CF464" s="26" t="str">
        <f t="array" ref="CF464">_xlfn.TEXTJOIN("",TRUE,IF(ISNUMBER(FIND(MID(CE463&amp;W463,ROW($1:$162),1),CE464&amp;W464)),MID(CE463&amp;W463,ROW($1:$162),1),""))</f>
        <v>45</v>
      </c>
      <c r="CG464" s="27" t="str">
        <f t="array" ref="CG464">_xlfn.TEXTJOIN("",TRUE,IF(ISERROR(FIND(ROW($1:$168)-1,CE464&amp;CF464)),ROW($1:$168)-1,""))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64" s="28" t="str">
        <f t="shared" si="329"/>
        <v>邻传孤</v>
      </c>
      <c r="CI464" s="29" t="str">
        <f t="shared" si="330"/>
        <v>02</v>
      </c>
      <c r="CJ464" s="29" t="str">
        <f t="array" ref="CJ464">_xlfn.TEXTJOIN("",TRUE,IF(ISNUMBER(FIND(MID(CI463&amp;X463,ROW($1:$162),1),CI464&amp;X464)),MID(CI463&amp;X463,ROW($1:$162),1),""))</f>
        <v/>
      </c>
      <c r="CK464" s="29" t="str">
        <f t="array" ref="CK464">_xlfn.TEXTJOIN("",TRUE,IF(ISERROR(FIND(ROW($1:$168)-1,CI464&amp;CJ464)),ROW($1:$168)-1,""))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64" s="19" t="str">
        <f t="shared" si="331"/>
        <v>邻孤孤</v>
      </c>
      <c r="CM464" s="24" t="str">
        <f t="shared" si="332"/>
        <v>24</v>
      </c>
      <c r="CN464" s="24" t="str">
        <f t="array" ref="CN464">_xlfn.TEXTJOIN("",TRUE,IF(ISNUMBER(FIND(MID(CM463&amp;Y463,ROW($1:$162),1),CM464&amp;Y464)),MID(CM463&amp;Y463,ROW($1:$162),1),""))</f>
        <v/>
      </c>
      <c r="CO464" s="24" t="str">
        <f t="array" ref="CO464">_xlfn.TEXTJOIN("",TRUE,IF(ISERROR(FIND(ROW($1:$168)-1,CM464&amp;CN464)),ROW($1:$168)-1,""))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64" s="30" t="str">
        <f t="shared" si="333"/>
        <v>邻孤孤</v>
      </c>
    </row>
    <row r="465" spans="1:94">
      <c r="A465" s="15">
        <v>465</v>
      </c>
      <c r="B465" s="80">
        <v>2025082</v>
      </c>
      <c r="C465" s="8" t="s">
        <v>393</v>
      </c>
      <c r="D465" s="81">
        <f t="shared" si="337"/>
        <v>12</v>
      </c>
      <c r="E465" s="82">
        <f t="shared" si="338"/>
        <v>2</v>
      </c>
      <c r="F465" s="83">
        <f t="shared" si="342"/>
        <v>2</v>
      </c>
      <c r="G465" s="84" t="str">
        <f t="shared" si="343"/>
        <v>标准</v>
      </c>
      <c r="H465" s="85" t="s">
        <v>10</v>
      </c>
      <c r="I465" s="85" t="s">
        <v>11</v>
      </c>
      <c r="J465" s="85" t="s">
        <v>12</v>
      </c>
      <c r="K465" s="85" t="s">
        <v>13</v>
      </c>
      <c r="L465" s="86">
        <f>MAX(MID(C465,{1,2,3},1)*1)-MIN(MID(C465,{1,2,3},1)*1)</f>
        <v>6</v>
      </c>
      <c r="M465" s="87">
        <v>0</v>
      </c>
      <c r="N465" s="87">
        <v>1</v>
      </c>
      <c r="O465" s="87">
        <v>2</v>
      </c>
      <c r="P465" s="87">
        <v>3</v>
      </c>
      <c r="Q465" s="87">
        <v>4</v>
      </c>
      <c r="R465" s="87">
        <v>5</v>
      </c>
      <c r="S465" s="87">
        <v>6</v>
      </c>
      <c r="T465" s="87">
        <v>7</v>
      </c>
      <c r="U465" s="87">
        <v>8</v>
      </c>
      <c r="V465" s="87">
        <v>9</v>
      </c>
      <c r="W465" s="88">
        <f t="shared" si="339"/>
        <v>3</v>
      </c>
      <c r="X465" s="88">
        <f t="shared" si="340"/>
        <v>3</v>
      </c>
      <c r="Y465" s="88">
        <f t="shared" si="341"/>
        <v>6</v>
      </c>
      <c r="Z465" s="89">
        <f t="shared" si="320"/>
        <v>12</v>
      </c>
      <c r="AA465" s="17" t="str">
        <f>_xlfn.TEXTJOIN(", ",TRUE,ABS(MID(C465,{1,1,2},1)-MID(C465,{2,3,3},1)))</f>
        <v>3, 3, 6</v>
      </c>
      <c r="AB465" s="90">
        <v>0</v>
      </c>
      <c r="AC465" s="90">
        <v>1</v>
      </c>
      <c r="AD465" s="90">
        <v>2</v>
      </c>
      <c r="AE465" s="90">
        <v>3</v>
      </c>
      <c r="AF465" s="90">
        <v>4</v>
      </c>
      <c r="AG465" s="90">
        <v>5</v>
      </c>
      <c r="AH465" s="90">
        <v>6</v>
      </c>
      <c r="AI465" s="90">
        <v>7</v>
      </c>
      <c r="AJ465" s="90">
        <v>8</v>
      </c>
      <c r="AK465" s="90">
        <v>9</v>
      </c>
      <c r="AL465" s="91">
        <v>0</v>
      </c>
      <c r="AM465" s="91">
        <v>1</v>
      </c>
      <c r="AN465" s="91">
        <v>2</v>
      </c>
      <c r="AO465" s="91">
        <v>3</v>
      </c>
      <c r="AP465" s="91">
        <v>4</v>
      </c>
      <c r="AQ465" s="91">
        <v>5</v>
      </c>
      <c r="AR465" s="91">
        <v>6</v>
      </c>
      <c r="AS465" s="91">
        <v>7</v>
      </c>
      <c r="AT465" s="91">
        <v>8</v>
      </c>
      <c r="AU465" s="91">
        <v>9</v>
      </c>
      <c r="AV465" s="92">
        <v>0</v>
      </c>
      <c r="AW465" s="92">
        <v>1</v>
      </c>
      <c r="AX465" s="92">
        <v>2</v>
      </c>
      <c r="AY465" s="92">
        <v>3</v>
      </c>
      <c r="AZ465" s="92">
        <v>4</v>
      </c>
      <c r="BA465" s="92">
        <v>5</v>
      </c>
      <c r="BB465" s="92">
        <v>6</v>
      </c>
      <c r="BC465" s="92">
        <v>7</v>
      </c>
      <c r="BD465" s="92">
        <v>8</v>
      </c>
      <c r="BE465" s="92">
        <v>9</v>
      </c>
      <c r="BF465" s="93">
        <v>0</v>
      </c>
      <c r="BG465" s="93">
        <v>1</v>
      </c>
      <c r="BH465" s="93">
        <v>2</v>
      </c>
      <c r="BI465" s="93">
        <v>3</v>
      </c>
      <c r="BJ465" s="93">
        <v>4</v>
      </c>
      <c r="BK465" s="93">
        <v>5</v>
      </c>
      <c r="BL465" s="93">
        <v>6</v>
      </c>
      <c r="BM465" s="93">
        <v>7</v>
      </c>
      <c r="BN465" s="93">
        <v>8</v>
      </c>
      <c r="BO465" s="93">
        <v>9</v>
      </c>
      <c r="BP465" s="94" t="str">
        <f t="shared" si="321"/>
        <v>松散型</v>
      </c>
      <c r="BQ465" s="15">
        <f t="shared" si="318"/>
        <v>3</v>
      </c>
      <c r="BR465" s="15">
        <f t="shared" si="319"/>
        <v>6</v>
      </c>
      <c r="BS465" s="20">
        <f t="shared" si="323"/>
        <v>3</v>
      </c>
      <c r="BT465" s="21" t="str">
        <f t="shared" si="324"/>
        <v/>
      </c>
      <c r="BU465" s="21" t="str">
        <f t="array" ref="BU465">_xlfn.TEXTJOIN("",TRUE,IF(ISERROR(FIND(ROW($1:$168)-1,BS465&amp;BT465)),ROW($1:$168)-1,""))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65" s="22" t="str">
        <f t="shared" si="325"/>
        <v>复中中</v>
      </c>
      <c r="BW465" s="23">
        <f t="shared" si="336"/>
        <v>3</v>
      </c>
      <c r="BX465" s="23" t="str">
        <f t="shared" si="334"/>
        <v/>
      </c>
      <c r="BY465" s="23" t="str">
        <f t="array" ref="BY465">_xlfn.TEXTJOIN("",TRUE,IF(ISERROR(FIND(ROW($1:$168)-1,BW465&amp;BX465)),ROW($1:$168)-1,""))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65" s="22" t="str">
        <f t="shared" si="326"/>
        <v>复中中</v>
      </c>
      <c r="CA465" s="24" t="str">
        <f t="shared" si="327"/>
        <v/>
      </c>
      <c r="CB465" s="24" t="str">
        <f t="shared" si="335"/>
        <v/>
      </c>
      <c r="CC465" s="24" t="str">
        <f t="array" ref="CC465">_xlfn.TEXTJOIN("",TRUE,IF(ISERROR(FIND(ROW($1:$168)-1,CA465&amp;CB465)),ROW($1:$168)-1,""))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65" s="22" t="str">
        <f t="shared" si="328"/>
        <v>中中中</v>
      </c>
      <c r="CE465" s="25" t="str">
        <f t="shared" si="322"/>
        <v>24</v>
      </c>
      <c r="CF465" s="26" t="str">
        <f t="array" ref="CF465">_xlfn.TEXTJOIN("",TRUE,IF(ISNUMBER(FIND(MID(CE464&amp;W464,ROW($1:$162),1),CE465&amp;W465)),MID(CE464&amp;W464,ROW($1:$162),1),""))</f>
        <v>34</v>
      </c>
      <c r="CG465" s="27" t="str">
        <f t="array" ref="CG465">_xlfn.TEXTJOIN("",TRUE,IF(ISERROR(FIND(ROW($1:$168)-1,CE465&amp;CF465)),ROW($1:$168)-1,""))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65" s="28" t="str">
        <f t="shared" si="329"/>
        <v>邻传孤</v>
      </c>
      <c r="CI465" s="29" t="str">
        <f t="shared" si="330"/>
        <v>24</v>
      </c>
      <c r="CJ465" s="29" t="str">
        <f t="array" ref="CJ465">_xlfn.TEXTJOIN("",TRUE,IF(ISNUMBER(FIND(MID(CI464&amp;X464,ROW($1:$162),1),CI465&amp;X465)),MID(CI464&amp;X464,ROW($1:$162),1),""))</f>
        <v>2</v>
      </c>
      <c r="CK465" s="29" t="str">
        <f t="array" ref="CK465">_xlfn.TEXTJOIN("",TRUE,IF(ISERROR(FIND(ROW($1:$168)-1,CI465&amp;CJ465)),ROW($1:$168)-1,""))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65" s="19" t="str">
        <f t="shared" si="331"/>
        <v>邻传孤</v>
      </c>
      <c r="CM465" s="24" t="str">
        <f t="shared" si="332"/>
        <v>57</v>
      </c>
      <c r="CN465" s="24" t="str">
        <f t="array" ref="CN465">_xlfn.TEXTJOIN("",TRUE,IF(ISNUMBER(FIND(MID(CM464&amp;Y464,ROW($1:$162),1),CM465&amp;Y465)),MID(CM464&amp;Y464,ROW($1:$162),1),""))</f>
        <v/>
      </c>
      <c r="CO465" s="24" t="str">
        <f t="array" ref="CO465">_xlfn.TEXTJOIN("",TRUE,IF(ISERROR(FIND(ROW($1:$168)-1,CM465&amp;CN465)),ROW($1:$168)-1,""))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65" s="30" t="str">
        <f t="shared" si="333"/>
        <v>邻孤孤</v>
      </c>
    </row>
    <row r="466" spans="1:94">
      <c r="A466" s="15">
        <v>466</v>
      </c>
      <c r="B466" s="80">
        <v>2025083</v>
      </c>
      <c r="C466" s="8" t="s">
        <v>394</v>
      </c>
      <c r="D466" s="81">
        <f t="shared" si="337"/>
        <v>15</v>
      </c>
      <c r="E466" s="82">
        <f t="shared" si="338"/>
        <v>5</v>
      </c>
      <c r="F466" s="83">
        <f t="shared" si="342"/>
        <v>1.875</v>
      </c>
      <c r="G466" s="84" t="str">
        <f t="shared" si="343"/>
        <v>松散</v>
      </c>
      <c r="H466" s="85" t="s">
        <v>10</v>
      </c>
      <c r="I466" s="85" t="s">
        <v>11</v>
      </c>
      <c r="J466" s="85" t="s">
        <v>12</v>
      </c>
      <c r="K466" s="85" t="s">
        <v>13</v>
      </c>
      <c r="L466" s="86">
        <f>MAX(MID(C466,{1,2,3},1)*1)-MIN(MID(C466,{1,2,3},1)*1)</f>
        <v>8</v>
      </c>
      <c r="M466" s="87">
        <v>0</v>
      </c>
      <c r="N466" s="87">
        <v>1</v>
      </c>
      <c r="O466" s="87">
        <v>2</v>
      </c>
      <c r="P466" s="87">
        <v>3</v>
      </c>
      <c r="Q466" s="87">
        <v>4</v>
      </c>
      <c r="R466" s="87">
        <v>5</v>
      </c>
      <c r="S466" s="87">
        <v>6</v>
      </c>
      <c r="T466" s="87">
        <v>7</v>
      </c>
      <c r="U466" s="87">
        <v>8</v>
      </c>
      <c r="V466" s="87">
        <v>9</v>
      </c>
      <c r="W466" s="88">
        <f t="shared" si="339"/>
        <v>8</v>
      </c>
      <c r="X466" s="88">
        <f t="shared" si="340"/>
        <v>4</v>
      </c>
      <c r="Y466" s="88">
        <f t="shared" si="341"/>
        <v>4</v>
      </c>
      <c r="Z466" s="89">
        <f t="shared" si="320"/>
        <v>16</v>
      </c>
      <c r="AA466" s="17" t="str">
        <f>_xlfn.TEXTJOIN(", ",TRUE,ABS(MID(C466,{1,1,2},1)-MID(C466,{2,3,3},1)))</f>
        <v>8, 4, 4</v>
      </c>
      <c r="AB466" s="90">
        <v>0</v>
      </c>
      <c r="AC466" s="90">
        <v>1</v>
      </c>
      <c r="AD466" s="90">
        <v>2</v>
      </c>
      <c r="AE466" s="90">
        <v>3</v>
      </c>
      <c r="AF466" s="90">
        <v>4</v>
      </c>
      <c r="AG466" s="90">
        <v>5</v>
      </c>
      <c r="AH466" s="90">
        <v>6</v>
      </c>
      <c r="AI466" s="90">
        <v>7</v>
      </c>
      <c r="AJ466" s="90">
        <v>8</v>
      </c>
      <c r="AK466" s="90">
        <v>9</v>
      </c>
      <c r="AL466" s="91">
        <v>0</v>
      </c>
      <c r="AM466" s="91">
        <v>1</v>
      </c>
      <c r="AN466" s="91">
        <v>2</v>
      </c>
      <c r="AO466" s="91">
        <v>3</v>
      </c>
      <c r="AP466" s="91">
        <v>4</v>
      </c>
      <c r="AQ466" s="91">
        <v>5</v>
      </c>
      <c r="AR466" s="91">
        <v>6</v>
      </c>
      <c r="AS466" s="91">
        <v>7</v>
      </c>
      <c r="AT466" s="91">
        <v>8</v>
      </c>
      <c r="AU466" s="91">
        <v>9</v>
      </c>
      <c r="AV466" s="92">
        <v>0</v>
      </c>
      <c r="AW466" s="92">
        <v>1</v>
      </c>
      <c r="AX466" s="92">
        <v>2</v>
      </c>
      <c r="AY466" s="92">
        <v>3</v>
      </c>
      <c r="AZ466" s="92">
        <v>4</v>
      </c>
      <c r="BA466" s="92">
        <v>5</v>
      </c>
      <c r="BB466" s="92">
        <v>6</v>
      </c>
      <c r="BC466" s="92">
        <v>7</v>
      </c>
      <c r="BD466" s="92">
        <v>8</v>
      </c>
      <c r="BE466" s="92">
        <v>9</v>
      </c>
      <c r="BF466" s="93">
        <v>0</v>
      </c>
      <c r="BG466" s="93">
        <v>1</v>
      </c>
      <c r="BH466" s="93">
        <v>2</v>
      </c>
      <c r="BI466" s="93">
        <v>3</v>
      </c>
      <c r="BJ466" s="93">
        <v>4</v>
      </c>
      <c r="BK466" s="93">
        <v>5</v>
      </c>
      <c r="BL466" s="93">
        <v>6</v>
      </c>
      <c r="BM466" s="93">
        <v>7</v>
      </c>
      <c r="BN466" s="93">
        <v>8</v>
      </c>
      <c r="BO466" s="93">
        <v>9</v>
      </c>
      <c r="BP466" s="94" t="str">
        <f t="shared" si="321"/>
        <v>松散型</v>
      </c>
      <c r="BQ466" s="15">
        <f t="shared" si="318"/>
        <v>4</v>
      </c>
      <c r="BR466" s="15">
        <f t="shared" si="319"/>
        <v>8</v>
      </c>
      <c r="BS466" s="20" t="str">
        <f t="shared" si="323"/>
        <v/>
      </c>
      <c r="BT466" s="21" t="str">
        <f t="shared" si="324"/>
        <v/>
      </c>
      <c r="BU466" s="21" t="str">
        <f t="array" ref="BU466">_xlfn.TEXTJOIN("",TRUE,IF(ISERROR(FIND(ROW($1:$168)-1,BS466&amp;BT466)),ROW($1:$168)-1,""))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66" s="22" t="str">
        <f t="shared" si="325"/>
        <v>中中中</v>
      </c>
      <c r="BW466" s="23" t="str">
        <f t="shared" si="336"/>
        <v/>
      </c>
      <c r="BX466" s="23">
        <f t="shared" si="334"/>
        <v>4</v>
      </c>
      <c r="BY466" s="23" t="str">
        <f t="array" ref="BY466">_xlfn.TEXTJOIN("",TRUE,IF(ISERROR(FIND(ROW($1:$168)-1,BW466&amp;BX466)),ROW($1:$168)-1,""))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66" s="22" t="str">
        <f t="shared" si="326"/>
        <v>中隔中</v>
      </c>
      <c r="CA466" s="24" t="str">
        <f t="shared" si="327"/>
        <v/>
      </c>
      <c r="CB466" s="24">
        <f t="shared" si="335"/>
        <v>4</v>
      </c>
      <c r="CC466" s="24" t="str">
        <f t="array" ref="CC466">_xlfn.TEXTJOIN("",TRUE,IF(ISERROR(FIND(ROW($1:$168)-1,CA466&amp;CB466)),ROW($1:$168)-1,""))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66" s="22" t="str">
        <f t="shared" si="328"/>
        <v>中隔中</v>
      </c>
      <c r="CE466" s="25" t="str">
        <f t="shared" si="322"/>
        <v>79</v>
      </c>
      <c r="CF466" s="26" t="str">
        <f t="array" ref="CF466">_xlfn.TEXTJOIN("",TRUE,IF(ISNUMBER(FIND(MID(CE465&amp;W465,ROW($1:$162),1),CE466&amp;W466)),MID(CE465&amp;W465,ROW($1:$162),1),""))</f>
        <v/>
      </c>
      <c r="CG466" s="27" t="str">
        <f t="array" ref="CG466">_xlfn.TEXTJOIN("",TRUE,IF(ISERROR(FIND(ROW($1:$168)-1,CE466&amp;CF466)),ROW($1:$168)-1,""))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466" s="28" t="str">
        <f t="shared" si="329"/>
        <v>邻孤孤</v>
      </c>
      <c r="CI466" s="29" t="str">
        <f t="shared" si="330"/>
        <v>35</v>
      </c>
      <c r="CJ466" s="29" t="str">
        <f t="array" ref="CJ466">_xlfn.TEXTJOIN("",TRUE,IF(ISNUMBER(FIND(MID(CI465&amp;X465,ROW($1:$162),1),CI466&amp;X466)),MID(CI465&amp;X465,ROW($1:$162),1),""))</f>
        <v>43</v>
      </c>
      <c r="CK466" s="29" t="str">
        <f t="array" ref="CK466">_xlfn.TEXTJOIN("",TRUE,IF(ISERROR(FIND(ROW($1:$168)-1,CI466&amp;CJ466)),ROW($1:$168)-1,""))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66" s="19" t="str">
        <f t="shared" si="331"/>
        <v>邻传孤</v>
      </c>
      <c r="CM466" s="24" t="str">
        <f t="shared" si="332"/>
        <v>35</v>
      </c>
      <c r="CN466" s="24" t="str">
        <f t="array" ref="CN466">_xlfn.TEXTJOIN("",TRUE,IF(ISNUMBER(FIND(MID(CM465&amp;Y465,ROW($1:$162),1),CM466&amp;Y466)),MID(CM465&amp;Y465,ROW($1:$162),1),""))</f>
        <v>5</v>
      </c>
      <c r="CO466" s="24" t="str">
        <f t="array" ref="CO466">_xlfn.TEXTJOIN("",TRUE,IF(ISERROR(FIND(ROW($1:$168)-1,CM466&amp;CN466)),ROW($1:$168)-1,""))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66" s="30" t="str">
        <f t="shared" si="333"/>
        <v>邻传孤</v>
      </c>
    </row>
    <row r="467" spans="1:94">
      <c r="A467" s="15">
        <v>467</v>
      </c>
      <c r="B467" s="80">
        <v>2025084</v>
      </c>
      <c r="C467" s="8" t="s">
        <v>395</v>
      </c>
      <c r="D467" s="81">
        <f t="shared" si="337"/>
        <v>3</v>
      </c>
      <c r="E467" s="82">
        <f t="shared" si="338"/>
        <v>3</v>
      </c>
      <c r="F467" s="83">
        <f t="shared" si="342"/>
        <v>1</v>
      </c>
      <c r="G467" s="84" t="str">
        <f t="shared" si="343"/>
        <v>松散</v>
      </c>
      <c r="H467" s="85" t="s">
        <v>10</v>
      </c>
      <c r="I467" s="85" t="s">
        <v>11</v>
      </c>
      <c r="J467" s="85" t="s">
        <v>12</v>
      </c>
      <c r="K467" s="85" t="s">
        <v>13</v>
      </c>
      <c r="L467" s="86">
        <f>MAX(MID(C467,{1,2,3},1)*1)-MIN(MID(C467,{1,2,3},1)*1)</f>
        <v>3</v>
      </c>
      <c r="M467" s="87">
        <v>0</v>
      </c>
      <c r="N467" s="87">
        <v>1</v>
      </c>
      <c r="O467" s="87">
        <v>2</v>
      </c>
      <c r="P467" s="87">
        <v>3</v>
      </c>
      <c r="Q467" s="87">
        <v>4</v>
      </c>
      <c r="R467" s="87">
        <v>5</v>
      </c>
      <c r="S467" s="87">
        <v>6</v>
      </c>
      <c r="T467" s="87">
        <v>7</v>
      </c>
      <c r="U467" s="87">
        <v>8</v>
      </c>
      <c r="V467" s="87">
        <v>9</v>
      </c>
      <c r="W467" s="88">
        <f t="shared" si="339"/>
        <v>3</v>
      </c>
      <c r="X467" s="88">
        <f t="shared" si="340"/>
        <v>0</v>
      </c>
      <c r="Y467" s="88">
        <f t="shared" si="341"/>
        <v>3</v>
      </c>
      <c r="Z467" s="89">
        <f t="shared" si="320"/>
        <v>6</v>
      </c>
      <c r="AA467" s="17" t="str">
        <f>_xlfn.TEXTJOIN(", ",TRUE,ABS(MID(C467,{1,1,2},1)-MID(C467,{2,3,3},1)))</f>
        <v>3, 0, 3</v>
      </c>
      <c r="AB467" s="90">
        <v>0</v>
      </c>
      <c r="AC467" s="90">
        <v>1</v>
      </c>
      <c r="AD467" s="90">
        <v>2</v>
      </c>
      <c r="AE467" s="90">
        <v>3</v>
      </c>
      <c r="AF467" s="90">
        <v>4</v>
      </c>
      <c r="AG467" s="90">
        <v>5</v>
      </c>
      <c r="AH467" s="90">
        <v>6</v>
      </c>
      <c r="AI467" s="90">
        <v>7</v>
      </c>
      <c r="AJ467" s="90">
        <v>8</v>
      </c>
      <c r="AK467" s="90">
        <v>9</v>
      </c>
      <c r="AL467" s="91">
        <v>0</v>
      </c>
      <c r="AM467" s="91">
        <v>1</v>
      </c>
      <c r="AN467" s="91">
        <v>2</v>
      </c>
      <c r="AO467" s="91">
        <v>3</v>
      </c>
      <c r="AP467" s="91">
        <v>4</v>
      </c>
      <c r="AQ467" s="91">
        <v>5</v>
      </c>
      <c r="AR467" s="91">
        <v>6</v>
      </c>
      <c r="AS467" s="91">
        <v>7</v>
      </c>
      <c r="AT467" s="91">
        <v>8</v>
      </c>
      <c r="AU467" s="91">
        <v>9</v>
      </c>
      <c r="AV467" s="92">
        <v>0</v>
      </c>
      <c r="AW467" s="92">
        <v>1</v>
      </c>
      <c r="AX467" s="92">
        <v>2</v>
      </c>
      <c r="AY467" s="92">
        <v>3</v>
      </c>
      <c r="AZ467" s="92">
        <v>4</v>
      </c>
      <c r="BA467" s="92">
        <v>5</v>
      </c>
      <c r="BB467" s="92">
        <v>6</v>
      </c>
      <c r="BC467" s="92">
        <v>7</v>
      </c>
      <c r="BD467" s="92">
        <v>8</v>
      </c>
      <c r="BE467" s="92">
        <v>9</v>
      </c>
      <c r="BF467" s="93">
        <v>0</v>
      </c>
      <c r="BG467" s="93">
        <v>1</v>
      </c>
      <c r="BH467" s="93">
        <v>2</v>
      </c>
      <c r="BI467" s="93">
        <v>3</v>
      </c>
      <c r="BJ467" s="93">
        <v>4</v>
      </c>
      <c r="BK467" s="93">
        <v>5</v>
      </c>
      <c r="BL467" s="93">
        <v>6</v>
      </c>
      <c r="BM467" s="93">
        <v>7</v>
      </c>
      <c r="BN467" s="93">
        <v>8</v>
      </c>
      <c r="BO467" s="93">
        <v>9</v>
      </c>
      <c r="BP467" s="94" t="str">
        <f t="shared" si="321"/>
        <v>紧凑型</v>
      </c>
      <c r="BQ467" s="15">
        <f t="shared" si="318"/>
        <v>0</v>
      </c>
      <c r="BR467" s="15">
        <f t="shared" si="319"/>
        <v>3</v>
      </c>
      <c r="BS467" s="20" t="str">
        <f t="shared" si="323"/>
        <v/>
      </c>
      <c r="BT467" s="21">
        <f t="shared" si="324"/>
        <v>3</v>
      </c>
      <c r="BU467" s="21" t="str">
        <f t="array" ref="BU467">_xlfn.TEXTJOIN("",TRUE,IF(ISERROR(FIND(ROW($1:$168)-1,BS467&amp;BT467)),ROW($1:$168)-1,""))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67" s="22" t="str">
        <f t="shared" si="325"/>
        <v>中隔中</v>
      </c>
      <c r="BW467" s="23" t="str">
        <f t="shared" si="336"/>
        <v/>
      </c>
      <c r="BX467" s="23" t="str">
        <f t="shared" si="334"/>
        <v/>
      </c>
      <c r="BY467" s="23" t="str">
        <f t="array" ref="BY467">_xlfn.TEXTJOIN("",TRUE,IF(ISERROR(FIND(ROW($1:$168)-1,BW467&amp;BX467)),ROW($1:$168)-1,""))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67" s="22" t="str">
        <f t="shared" si="326"/>
        <v>中中中</v>
      </c>
      <c r="CA467" s="24" t="str">
        <f t="shared" si="327"/>
        <v/>
      </c>
      <c r="CB467" s="24">
        <f t="shared" si="335"/>
        <v>3</v>
      </c>
      <c r="CC467" s="24" t="str">
        <f t="array" ref="CC467">_xlfn.TEXTJOIN("",TRUE,IF(ISERROR(FIND(ROW($1:$168)-1,CA467&amp;CB467)),ROW($1:$168)-1,""))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67" s="22" t="str">
        <f t="shared" si="328"/>
        <v>中隔中</v>
      </c>
      <c r="CE467" s="25" t="str">
        <f t="shared" si="322"/>
        <v>24</v>
      </c>
      <c r="CF467" s="26" t="str">
        <f t="array" ref="CF467">_xlfn.TEXTJOIN("",TRUE,IF(ISNUMBER(FIND(MID(CE466&amp;W466,ROW($1:$162),1),CE467&amp;W467)),MID(CE466&amp;W466,ROW($1:$162),1),""))</f>
        <v/>
      </c>
      <c r="CG467" s="27" t="str">
        <f t="array" ref="CG467">_xlfn.TEXTJOIN("",TRUE,IF(ISERROR(FIND(ROW($1:$168)-1,CE467&amp;CF467)),ROW($1:$168)-1,""))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67" s="28" t="str">
        <f t="shared" si="329"/>
        <v>邻孤孤</v>
      </c>
      <c r="CI467" s="29" t="str">
        <f t="shared" si="330"/>
        <v>91</v>
      </c>
      <c r="CJ467" s="29" t="str">
        <f t="array" ref="CJ467">_xlfn.TEXTJOIN("",TRUE,IF(ISNUMBER(FIND(MID(CI466&amp;X466,ROW($1:$162),1),CI467&amp;X467)),MID(CI466&amp;X466,ROW($1:$162),1),""))</f>
        <v/>
      </c>
      <c r="CK467" s="29" t="str">
        <f t="array" ref="CK467">_xlfn.TEXTJOIN("",TRUE,IF(ISERROR(FIND(ROW($1:$168)-1,CI467&amp;CJ467)),ROW($1:$168)-1,""))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467" s="19" t="str">
        <f t="shared" si="331"/>
        <v>邻孤孤</v>
      </c>
      <c r="CM467" s="24" t="str">
        <f t="shared" si="332"/>
        <v>24</v>
      </c>
      <c r="CN467" s="24" t="str">
        <f t="array" ref="CN467">_xlfn.TEXTJOIN("",TRUE,IF(ISNUMBER(FIND(MID(CM466&amp;Y466,ROW($1:$162),1),CM467&amp;Y467)),MID(CM466&amp;Y466,ROW($1:$162),1),""))</f>
        <v>34</v>
      </c>
      <c r="CO467" s="24" t="str">
        <f t="array" ref="CO467">_xlfn.TEXTJOIN("",TRUE,IF(ISERROR(FIND(ROW($1:$168)-1,CM467&amp;CN467)),ROW($1:$168)-1,""))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67" s="30" t="str">
        <f t="shared" si="333"/>
        <v>邻传孤</v>
      </c>
    </row>
    <row r="468" spans="1:94">
      <c r="A468" s="15">
        <v>468</v>
      </c>
      <c r="B468" s="80">
        <v>2025085</v>
      </c>
      <c r="C468" s="8" t="s">
        <v>396</v>
      </c>
      <c r="D468" s="81">
        <f t="shared" si="337"/>
        <v>14</v>
      </c>
      <c r="E468" s="82">
        <f t="shared" si="338"/>
        <v>4</v>
      </c>
      <c r="F468" s="83">
        <f t="shared" si="342"/>
        <v>2.8</v>
      </c>
      <c r="G468" s="84" t="str">
        <f t="shared" si="343"/>
        <v>标准</v>
      </c>
      <c r="H468" s="85" t="s">
        <v>10</v>
      </c>
      <c r="I468" s="85" t="s">
        <v>11</v>
      </c>
      <c r="J468" s="85" t="s">
        <v>12</v>
      </c>
      <c r="K468" s="85" t="s">
        <v>13</v>
      </c>
      <c r="L468" s="86">
        <f>MAX(MID(C468,{1,2,3},1)*1)-MIN(MID(C468,{1,2,3},1)*1)</f>
        <v>5</v>
      </c>
      <c r="M468" s="87">
        <v>0</v>
      </c>
      <c r="N468" s="87">
        <v>1</v>
      </c>
      <c r="O468" s="87">
        <v>2</v>
      </c>
      <c r="P468" s="87">
        <v>3</v>
      </c>
      <c r="Q468" s="87">
        <v>4</v>
      </c>
      <c r="R468" s="87">
        <v>5</v>
      </c>
      <c r="S468" s="87">
        <v>6</v>
      </c>
      <c r="T468" s="87">
        <v>7</v>
      </c>
      <c r="U468" s="87">
        <v>8</v>
      </c>
      <c r="V468" s="87">
        <v>9</v>
      </c>
      <c r="W468" s="88">
        <f t="shared" si="339"/>
        <v>0</v>
      </c>
      <c r="X468" s="88">
        <f t="shared" si="340"/>
        <v>5</v>
      </c>
      <c r="Y468" s="88">
        <f t="shared" si="341"/>
        <v>5</v>
      </c>
      <c r="Z468" s="89">
        <f t="shared" si="320"/>
        <v>10</v>
      </c>
      <c r="AA468" s="17" t="str">
        <f>_xlfn.TEXTJOIN(", ",TRUE,ABS(MID(C468,{1,1,2},1)-MID(C468,{2,3,3},1)))</f>
        <v>0, 5, 5</v>
      </c>
      <c r="AB468" s="90">
        <v>0</v>
      </c>
      <c r="AC468" s="90">
        <v>1</v>
      </c>
      <c r="AD468" s="90">
        <v>2</v>
      </c>
      <c r="AE468" s="90">
        <v>3</v>
      </c>
      <c r="AF468" s="90">
        <v>4</v>
      </c>
      <c r="AG468" s="90">
        <v>5</v>
      </c>
      <c r="AH468" s="90">
        <v>6</v>
      </c>
      <c r="AI468" s="90">
        <v>7</v>
      </c>
      <c r="AJ468" s="90">
        <v>8</v>
      </c>
      <c r="AK468" s="90">
        <v>9</v>
      </c>
      <c r="AL468" s="91">
        <v>0</v>
      </c>
      <c r="AM468" s="91">
        <v>1</v>
      </c>
      <c r="AN468" s="91">
        <v>2</v>
      </c>
      <c r="AO468" s="91">
        <v>3</v>
      </c>
      <c r="AP468" s="91">
        <v>4</v>
      </c>
      <c r="AQ468" s="91">
        <v>5</v>
      </c>
      <c r="AR468" s="91">
        <v>6</v>
      </c>
      <c r="AS468" s="91">
        <v>7</v>
      </c>
      <c r="AT468" s="91">
        <v>8</v>
      </c>
      <c r="AU468" s="91">
        <v>9</v>
      </c>
      <c r="AV468" s="92">
        <v>0</v>
      </c>
      <c r="AW468" s="92">
        <v>1</v>
      </c>
      <c r="AX468" s="92">
        <v>2</v>
      </c>
      <c r="AY468" s="92">
        <v>3</v>
      </c>
      <c r="AZ468" s="92">
        <v>4</v>
      </c>
      <c r="BA468" s="92">
        <v>5</v>
      </c>
      <c r="BB468" s="92">
        <v>6</v>
      </c>
      <c r="BC468" s="92">
        <v>7</v>
      </c>
      <c r="BD468" s="92">
        <v>8</v>
      </c>
      <c r="BE468" s="92">
        <v>9</v>
      </c>
      <c r="BF468" s="93">
        <v>0</v>
      </c>
      <c r="BG468" s="93">
        <v>1</v>
      </c>
      <c r="BH468" s="93">
        <v>2</v>
      </c>
      <c r="BI468" s="93">
        <v>3</v>
      </c>
      <c r="BJ468" s="93">
        <v>4</v>
      </c>
      <c r="BK468" s="93">
        <v>5</v>
      </c>
      <c r="BL468" s="93">
        <v>6</v>
      </c>
      <c r="BM468" s="93">
        <v>7</v>
      </c>
      <c r="BN468" s="93">
        <v>8</v>
      </c>
      <c r="BO468" s="93">
        <v>9</v>
      </c>
      <c r="BP468" s="94" t="str">
        <f t="shared" si="321"/>
        <v>对子</v>
      </c>
      <c r="BQ468" s="15">
        <f t="shared" si="318"/>
        <v>0</v>
      </c>
      <c r="BR468" s="15">
        <f t="shared" si="319"/>
        <v>5</v>
      </c>
      <c r="BS468" s="20">
        <f t="shared" si="323"/>
        <v>0</v>
      </c>
      <c r="BT468" s="21" t="str">
        <f t="shared" si="324"/>
        <v/>
      </c>
      <c r="BU468" s="21" t="str">
        <f t="array" ref="BU468">_xlfn.TEXTJOIN("",TRUE,IF(ISERROR(FIND(ROW($1:$168)-1,BS468&amp;BT468)),ROW($1:$168)-1,""))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68" s="22" t="str">
        <f t="shared" si="325"/>
        <v>复中中</v>
      </c>
      <c r="BW468" s="23" t="str">
        <f t="shared" si="336"/>
        <v/>
      </c>
      <c r="BX468" s="23" t="str">
        <f t="shared" si="334"/>
        <v/>
      </c>
      <c r="BY468" s="23" t="str">
        <f t="array" ref="BY468">_xlfn.TEXTJOIN("",TRUE,IF(ISERROR(FIND(ROW($1:$168)-1,BW468&amp;BX468)),ROW($1:$168)-1,""))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68" s="22" t="str">
        <f t="shared" si="326"/>
        <v>中中中</v>
      </c>
      <c r="CA468" s="24" t="str">
        <f t="shared" si="327"/>
        <v/>
      </c>
      <c r="CB468" s="24" t="str">
        <f t="shared" si="335"/>
        <v/>
      </c>
      <c r="CC468" s="24" t="str">
        <f t="array" ref="CC468">_xlfn.TEXTJOIN("",TRUE,IF(ISERROR(FIND(ROW($1:$168)-1,CA468&amp;CB468)),ROW($1:$168)-1,""))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68" s="22" t="str">
        <f t="shared" si="328"/>
        <v>中中中</v>
      </c>
      <c r="CE468" s="25" t="str">
        <f t="shared" si="322"/>
        <v>91</v>
      </c>
      <c r="CF468" s="26" t="str">
        <f t="array" ref="CF468">_xlfn.TEXTJOIN("",TRUE,IF(ISNUMBER(FIND(MID(CE467&amp;W467,ROW($1:$162),1),CE468&amp;W468)),MID(CE467&amp;W467,ROW($1:$162),1),""))</f>
        <v/>
      </c>
      <c r="CG468" s="27" t="str">
        <f t="array" ref="CG468">_xlfn.TEXTJOIN("",TRUE,IF(ISERROR(FIND(ROW($1:$168)-1,CE468&amp;CF468)),ROW($1:$168)-1,""))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468" s="28" t="str">
        <f t="shared" si="329"/>
        <v>邻孤孤</v>
      </c>
      <c r="CI468" s="29" t="str">
        <f t="shared" si="330"/>
        <v>46</v>
      </c>
      <c r="CJ468" s="29" t="str">
        <f t="array" ref="CJ468">_xlfn.TEXTJOIN("",TRUE,IF(ISNUMBER(FIND(MID(CI467&amp;X467,ROW($1:$162),1),CI468&amp;X468)),MID(CI467&amp;X467,ROW($1:$162),1),""))</f>
        <v/>
      </c>
      <c r="CK468" s="29" t="str">
        <f t="array" ref="CK468">_xlfn.TEXTJOIN("",TRUE,IF(ISERROR(FIND(ROW($1:$168)-1,CI468&amp;CJ468)),ROW($1:$168)-1,""))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68" s="19" t="str">
        <f t="shared" si="331"/>
        <v>邻孤孤</v>
      </c>
      <c r="CM468" s="24" t="str">
        <f t="shared" si="332"/>
        <v>46</v>
      </c>
      <c r="CN468" s="24" t="str">
        <f t="array" ref="CN468">_xlfn.TEXTJOIN("",TRUE,IF(ISNUMBER(FIND(MID(CM467&amp;Y467,ROW($1:$162),1),CM468&amp;Y468)),MID(CM467&amp;Y467,ROW($1:$162),1),""))</f>
        <v>4</v>
      </c>
      <c r="CO468" s="24" t="str">
        <f t="array" ref="CO468">_xlfn.TEXTJOIN("",TRUE,IF(ISERROR(FIND(ROW($1:$168)-1,CM468&amp;CN468)),ROW($1:$168)-1,""))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68" s="30" t="str">
        <f t="shared" si="333"/>
        <v>邻传孤</v>
      </c>
    </row>
    <row r="469" spans="1:94">
      <c r="A469" s="15">
        <v>469</v>
      </c>
      <c r="B469" s="80">
        <v>2025086</v>
      </c>
      <c r="C469" s="8" t="s">
        <v>286</v>
      </c>
      <c r="D469" s="81">
        <f t="shared" ref="D469:D493" si="344">LEFT(C469,1)+MID(C469,2,1)+RIGHT(C469,1)</f>
        <v>19</v>
      </c>
      <c r="E469" s="82">
        <f t="shared" ref="E469:E493" si="345">MOD(LEFT(C469,1)+MID(C469,2,1)+RIGHT(C469,1),10)</f>
        <v>9</v>
      </c>
      <c r="F469" s="83">
        <f t="shared" si="342"/>
        <v>3.8</v>
      </c>
      <c r="G469" s="84" t="str">
        <f t="shared" si="343"/>
        <v>紧凑</v>
      </c>
      <c r="H469" s="85" t="s">
        <v>10</v>
      </c>
      <c r="I469" s="85" t="s">
        <v>11</v>
      </c>
      <c r="J469" s="85" t="s">
        <v>12</v>
      </c>
      <c r="K469" s="85" t="s">
        <v>13</v>
      </c>
      <c r="L469" s="86">
        <f>MAX(MID(C469,{1,2,3},1)*1)-MIN(MID(C469,{1,2,3},1)*1)</f>
        <v>5</v>
      </c>
      <c r="M469" s="87">
        <v>0</v>
      </c>
      <c r="N469" s="87">
        <v>1</v>
      </c>
      <c r="O469" s="87">
        <v>2</v>
      </c>
      <c r="P469" s="87">
        <v>3</v>
      </c>
      <c r="Q469" s="87">
        <v>4</v>
      </c>
      <c r="R469" s="87">
        <v>5</v>
      </c>
      <c r="S469" s="87">
        <v>6</v>
      </c>
      <c r="T469" s="87">
        <v>7</v>
      </c>
      <c r="U469" s="87">
        <v>8</v>
      </c>
      <c r="V469" s="87">
        <v>9</v>
      </c>
      <c r="W469" s="88">
        <f t="shared" ref="W469:W493" si="346">ABS(LEFT(C469,1)-MID(C469,2,1))</f>
        <v>5</v>
      </c>
      <c r="X469" s="88">
        <f t="shared" ref="X469:X493" si="347">ABS(LEFT(C469,1)-RIGHT(C469,1))</f>
        <v>5</v>
      </c>
      <c r="Y469" s="88">
        <f t="shared" ref="Y469:Y493" si="348">ABS(MID(C469,2,1)-RIGHT(C469,1))</f>
        <v>0</v>
      </c>
      <c r="Z469" s="89">
        <f t="shared" si="320"/>
        <v>10</v>
      </c>
      <c r="AA469" s="17" t="str">
        <f>_xlfn.TEXTJOIN(", ",TRUE,ABS(MID(C469,{1,1,2},1)-MID(C469,{2,3,3},1)))</f>
        <v>5, 5, 0</v>
      </c>
      <c r="AB469" s="90">
        <v>0</v>
      </c>
      <c r="AC469" s="90">
        <v>1</v>
      </c>
      <c r="AD469" s="90">
        <v>2</v>
      </c>
      <c r="AE469" s="90">
        <v>3</v>
      </c>
      <c r="AF469" s="90">
        <v>4</v>
      </c>
      <c r="AG469" s="90">
        <v>5</v>
      </c>
      <c r="AH469" s="90">
        <v>6</v>
      </c>
      <c r="AI469" s="90">
        <v>7</v>
      </c>
      <c r="AJ469" s="90">
        <v>8</v>
      </c>
      <c r="AK469" s="90">
        <v>9</v>
      </c>
      <c r="AL469" s="91">
        <v>0</v>
      </c>
      <c r="AM469" s="91">
        <v>1</v>
      </c>
      <c r="AN469" s="91">
        <v>2</v>
      </c>
      <c r="AO469" s="91">
        <v>3</v>
      </c>
      <c r="AP469" s="91">
        <v>4</v>
      </c>
      <c r="AQ469" s="91">
        <v>5</v>
      </c>
      <c r="AR469" s="91">
        <v>6</v>
      </c>
      <c r="AS469" s="91">
        <v>7</v>
      </c>
      <c r="AT469" s="91">
        <v>8</v>
      </c>
      <c r="AU469" s="91">
        <v>9</v>
      </c>
      <c r="AV469" s="92">
        <v>0</v>
      </c>
      <c r="AW469" s="92">
        <v>1</v>
      </c>
      <c r="AX469" s="92">
        <v>2</v>
      </c>
      <c r="AY469" s="92">
        <v>3</v>
      </c>
      <c r="AZ469" s="92">
        <v>4</v>
      </c>
      <c r="BA469" s="92">
        <v>5</v>
      </c>
      <c r="BB469" s="92">
        <v>6</v>
      </c>
      <c r="BC469" s="92">
        <v>7</v>
      </c>
      <c r="BD469" s="92">
        <v>8</v>
      </c>
      <c r="BE469" s="92">
        <v>9</v>
      </c>
      <c r="BF469" s="93">
        <v>0</v>
      </c>
      <c r="BG469" s="93">
        <v>1</v>
      </c>
      <c r="BH469" s="93">
        <v>2</v>
      </c>
      <c r="BI469" s="93">
        <v>3</v>
      </c>
      <c r="BJ469" s="93">
        <v>4</v>
      </c>
      <c r="BK469" s="93">
        <v>5</v>
      </c>
      <c r="BL469" s="93">
        <v>6</v>
      </c>
      <c r="BM469" s="93">
        <v>7</v>
      </c>
      <c r="BN469" s="93">
        <v>8</v>
      </c>
      <c r="BO469" s="93">
        <v>9</v>
      </c>
      <c r="BP469" s="94" t="str">
        <f t="shared" si="321"/>
        <v>对子</v>
      </c>
      <c r="BQ469" s="15">
        <f t="shared" si="318"/>
        <v>0</v>
      </c>
      <c r="BR469" s="15">
        <f t="shared" si="319"/>
        <v>5</v>
      </c>
      <c r="BS469" s="20">
        <f t="shared" si="323"/>
        <v>5</v>
      </c>
      <c r="BT469" s="21" t="str">
        <f t="shared" si="324"/>
        <v/>
      </c>
      <c r="BU469" s="21" t="str">
        <f t="array" ref="BU469">_xlfn.TEXTJOIN("",TRUE,IF(ISERROR(FIND(ROW($1:$168)-1,BS469&amp;BT469)),ROW($1:$168)-1,""))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69" s="22" t="str">
        <f t="shared" si="325"/>
        <v>复中中</v>
      </c>
      <c r="BW469" s="23">
        <f t="shared" si="336"/>
        <v>5</v>
      </c>
      <c r="BX469" s="23" t="str">
        <f t="shared" si="334"/>
        <v/>
      </c>
      <c r="BY469" s="23" t="str">
        <f t="array" ref="BY469">_xlfn.TEXTJOIN("",TRUE,IF(ISERROR(FIND(ROW($1:$168)-1,BW469&amp;BX469)),ROW($1:$168)-1,""))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69" s="22" t="str">
        <f t="shared" si="326"/>
        <v>复中中</v>
      </c>
      <c r="CA469" s="24">
        <f t="shared" si="327"/>
        <v>0</v>
      </c>
      <c r="CB469" s="24">
        <f t="shared" si="335"/>
        <v>0</v>
      </c>
      <c r="CC469" s="24" t="str">
        <f t="array" ref="CC469">_xlfn.TEXTJOIN("",TRUE,IF(ISERROR(FIND(ROW($1:$168)-1,CA469&amp;CB469)),ROW($1:$168)-1,""))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69" s="22" t="str">
        <f t="shared" si="328"/>
        <v>复隔中</v>
      </c>
      <c r="CE469" s="25" t="str">
        <f t="shared" si="322"/>
        <v>46</v>
      </c>
      <c r="CF469" s="26" t="str">
        <f t="array" ref="CF469">_xlfn.TEXTJOIN("",TRUE,IF(ISNUMBER(FIND(MID(CE468&amp;W468,ROW($1:$162),1),CE469&amp;W469)),MID(CE468&amp;W468,ROW($1:$162),1),""))</f>
        <v/>
      </c>
      <c r="CG469" s="27" t="str">
        <f t="array" ref="CG469">_xlfn.TEXTJOIN("",TRUE,IF(ISERROR(FIND(ROW($1:$168)-1,CE469&amp;CF469)),ROW($1:$168)-1,""))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69" s="28" t="str">
        <f t="shared" si="329"/>
        <v>邻孤孤</v>
      </c>
      <c r="CI469" s="29" t="str">
        <f t="shared" si="330"/>
        <v>46</v>
      </c>
      <c r="CJ469" s="29" t="str">
        <f t="array" ref="CJ469">_xlfn.TEXTJOIN("",TRUE,IF(ISNUMBER(FIND(MID(CI468&amp;X468,ROW($1:$162),1),CI469&amp;X469)),MID(CI468&amp;X468,ROW($1:$162),1),""))</f>
        <v>465</v>
      </c>
      <c r="CK469" s="29" t="str">
        <f t="array" ref="CK469">_xlfn.TEXTJOIN("",TRUE,IF(ISERROR(FIND(ROW($1:$168)-1,CI469&amp;CJ469)),ROW($1:$168)-1,""))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69" s="19" t="str">
        <f t="shared" si="331"/>
        <v>邻传孤</v>
      </c>
      <c r="CM469" s="24" t="str">
        <f t="shared" si="332"/>
        <v>91</v>
      </c>
      <c r="CN469" s="24" t="str">
        <f t="array" ref="CN469">_xlfn.TEXTJOIN("",TRUE,IF(ISNUMBER(FIND(MID(CM468&amp;Y468,ROW($1:$162),1),CM469&amp;Y469)),MID(CM468&amp;Y468,ROW($1:$162),1),""))</f>
        <v/>
      </c>
      <c r="CO469" s="24" t="str">
        <f t="array" ref="CO469">_xlfn.TEXTJOIN("",TRUE,IF(ISERROR(FIND(ROW($1:$168)-1,CM469&amp;CN469)),ROW($1:$168)-1,""))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469" s="30" t="str">
        <f t="shared" si="333"/>
        <v>邻孤孤</v>
      </c>
    </row>
    <row r="470" spans="1:94">
      <c r="A470" s="15">
        <v>470</v>
      </c>
      <c r="B470" s="80">
        <v>2025087</v>
      </c>
      <c r="C470" s="8" t="s">
        <v>397</v>
      </c>
      <c r="D470" s="81">
        <f t="shared" si="344"/>
        <v>16</v>
      </c>
      <c r="E470" s="82">
        <f t="shared" si="345"/>
        <v>6</v>
      </c>
      <c r="F470" s="83">
        <f t="shared" si="342"/>
        <v>2.66666666666667</v>
      </c>
      <c r="G470" s="84" t="str">
        <f t="shared" si="343"/>
        <v>标准</v>
      </c>
      <c r="H470" s="85" t="s">
        <v>10</v>
      </c>
      <c r="I470" s="85" t="s">
        <v>11</v>
      </c>
      <c r="J470" s="85" t="s">
        <v>12</v>
      </c>
      <c r="K470" s="85" t="s">
        <v>13</v>
      </c>
      <c r="L470" s="86">
        <f>MAX(MID(C470,{1,2,3},1)*1)-MIN(MID(C470,{1,2,3},1)*1)</f>
        <v>6</v>
      </c>
      <c r="M470" s="87">
        <v>0</v>
      </c>
      <c r="N470" s="87">
        <v>1</v>
      </c>
      <c r="O470" s="87">
        <v>2</v>
      </c>
      <c r="P470" s="87">
        <v>3</v>
      </c>
      <c r="Q470" s="87">
        <v>4</v>
      </c>
      <c r="R470" s="87">
        <v>5</v>
      </c>
      <c r="S470" s="87">
        <v>6</v>
      </c>
      <c r="T470" s="87">
        <v>7</v>
      </c>
      <c r="U470" s="87">
        <v>8</v>
      </c>
      <c r="V470" s="87">
        <v>9</v>
      </c>
      <c r="W470" s="88">
        <f t="shared" si="346"/>
        <v>6</v>
      </c>
      <c r="X470" s="88">
        <f t="shared" si="347"/>
        <v>2</v>
      </c>
      <c r="Y470" s="88">
        <f t="shared" si="348"/>
        <v>4</v>
      </c>
      <c r="Z470" s="89">
        <f t="shared" si="320"/>
        <v>12</v>
      </c>
      <c r="AA470" s="17" t="str">
        <f>_xlfn.TEXTJOIN(", ",TRUE,ABS(MID(C470,{1,1,2},1)-MID(C470,{2,3,3},1)))</f>
        <v>6, 2, 4</v>
      </c>
      <c r="AB470" s="90">
        <v>0</v>
      </c>
      <c r="AC470" s="90">
        <v>1</v>
      </c>
      <c r="AD470" s="90">
        <v>2</v>
      </c>
      <c r="AE470" s="90">
        <v>3</v>
      </c>
      <c r="AF470" s="90">
        <v>4</v>
      </c>
      <c r="AG470" s="90">
        <v>5</v>
      </c>
      <c r="AH470" s="90">
        <v>6</v>
      </c>
      <c r="AI470" s="90">
        <v>7</v>
      </c>
      <c r="AJ470" s="90">
        <v>8</v>
      </c>
      <c r="AK470" s="90">
        <v>9</v>
      </c>
      <c r="AL470" s="91">
        <v>0</v>
      </c>
      <c r="AM470" s="91">
        <v>1</v>
      </c>
      <c r="AN470" s="91">
        <v>2</v>
      </c>
      <c r="AO470" s="91">
        <v>3</v>
      </c>
      <c r="AP470" s="91">
        <v>4</v>
      </c>
      <c r="AQ470" s="91">
        <v>5</v>
      </c>
      <c r="AR470" s="91">
        <v>6</v>
      </c>
      <c r="AS470" s="91">
        <v>7</v>
      </c>
      <c r="AT470" s="91">
        <v>8</v>
      </c>
      <c r="AU470" s="91">
        <v>9</v>
      </c>
      <c r="AV470" s="92">
        <v>0</v>
      </c>
      <c r="AW470" s="92">
        <v>1</v>
      </c>
      <c r="AX470" s="92">
        <v>2</v>
      </c>
      <c r="AY470" s="92">
        <v>3</v>
      </c>
      <c r="AZ470" s="92">
        <v>4</v>
      </c>
      <c r="BA470" s="92">
        <v>5</v>
      </c>
      <c r="BB470" s="92">
        <v>6</v>
      </c>
      <c r="BC470" s="92">
        <v>7</v>
      </c>
      <c r="BD470" s="92">
        <v>8</v>
      </c>
      <c r="BE470" s="92">
        <v>9</v>
      </c>
      <c r="BF470" s="93">
        <v>0</v>
      </c>
      <c r="BG470" s="93">
        <v>1</v>
      </c>
      <c r="BH470" s="93">
        <v>2</v>
      </c>
      <c r="BI470" s="93">
        <v>3</v>
      </c>
      <c r="BJ470" s="93">
        <v>4</v>
      </c>
      <c r="BK470" s="93">
        <v>5</v>
      </c>
      <c r="BL470" s="93">
        <v>6</v>
      </c>
      <c r="BM470" s="93">
        <v>7</v>
      </c>
      <c r="BN470" s="93">
        <v>8</v>
      </c>
      <c r="BO470" s="93">
        <v>9</v>
      </c>
      <c r="BP470" s="94" t="str">
        <f t="shared" si="321"/>
        <v>松散型</v>
      </c>
      <c r="BQ470" s="15">
        <f t="shared" si="318"/>
        <v>2</v>
      </c>
      <c r="BR470" s="15">
        <f t="shared" si="319"/>
        <v>6</v>
      </c>
      <c r="BS470" s="20" t="str">
        <f t="shared" si="323"/>
        <v/>
      </c>
      <c r="BT470" s="21" t="str">
        <f t="shared" si="324"/>
        <v/>
      </c>
      <c r="BU470" s="21" t="str">
        <f t="array" ref="BU470">_xlfn.TEXTJOIN("",TRUE,IF(ISERROR(FIND(ROW($1:$168)-1,BS470&amp;BT470)),ROW($1:$168)-1,""))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70" s="22" t="str">
        <f t="shared" si="325"/>
        <v>中中中</v>
      </c>
      <c r="BW470" s="23" t="str">
        <f t="shared" si="336"/>
        <v/>
      </c>
      <c r="BX470" s="23" t="str">
        <f t="shared" si="334"/>
        <v/>
      </c>
      <c r="BY470" s="23" t="str">
        <f t="array" ref="BY470">_xlfn.TEXTJOIN("",TRUE,IF(ISERROR(FIND(ROW($1:$168)-1,BW470&amp;BX470)),ROW($1:$168)-1,""))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70" s="22" t="str">
        <f t="shared" si="326"/>
        <v>中中中</v>
      </c>
      <c r="CA470" s="24" t="str">
        <f t="shared" si="327"/>
        <v/>
      </c>
      <c r="CB470" s="24" t="str">
        <f t="shared" si="335"/>
        <v/>
      </c>
      <c r="CC470" s="24" t="str">
        <f t="array" ref="CC470">_xlfn.TEXTJOIN("",TRUE,IF(ISERROR(FIND(ROW($1:$168)-1,CA470&amp;CB470)),ROW($1:$168)-1,""))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70" s="22" t="str">
        <f t="shared" si="328"/>
        <v>中中中</v>
      </c>
      <c r="CE470" s="25" t="str">
        <f t="shared" si="322"/>
        <v>57</v>
      </c>
      <c r="CF470" s="26" t="str">
        <f t="array" ref="CF470">_xlfn.TEXTJOIN("",TRUE,IF(ISNUMBER(FIND(MID(CE469&amp;W469,ROW($1:$162),1),CE470&amp;W470)),MID(CE469&amp;W469,ROW($1:$162),1),""))</f>
        <v>65</v>
      </c>
      <c r="CG470" s="27" t="str">
        <f t="array" ref="CG470">_xlfn.TEXTJOIN("",TRUE,IF(ISERROR(FIND(ROW($1:$168)-1,CE470&amp;CF470)),ROW($1:$168)-1,""))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70" s="28" t="str">
        <f t="shared" si="329"/>
        <v>邻传孤</v>
      </c>
      <c r="CI470" s="29" t="str">
        <f t="shared" si="330"/>
        <v>13</v>
      </c>
      <c r="CJ470" s="29" t="str">
        <f t="array" ref="CJ470">_xlfn.TEXTJOIN("",TRUE,IF(ISNUMBER(FIND(MID(CI469&amp;X469,ROW($1:$162),1),CI470&amp;X470)),MID(CI469&amp;X469,ROW($1:$162),1),""))</f>
        <v/>
      </c>
      <c r="CK470" s="29" t="str">
        <f t="array" ref="CK470">_xlfn.TEXTJOIN("",TRUE,IF(ISERROR(FIND(ROW($1:$168)-1,CI470&amp;CJ470)),ROW($1:$168)-1,""))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70" s="19" t="str">
        <f t="shared" si="331"/>
        <v>邻孤孤</v>
      </c>
      <c r="CM470" s="24" t="str">
        <f t="shared" si="332"/>
        <v>35</v>
      </c>
      <c r="CN470" s="24" t="str">
        <f t="array" ref="CN470">_xlfn.TEXTJOIN("",TRUE,IF(ISNUMBER(FIND(MID(CM469&amp;Y469,ROW($1:$162),1),CM470&amp;Y470)),MID(CM469&amp;Y469,ROW($1:$162),1),""))</f>
        <v/>
      </c>
      <c r="CO470" s="24" t="str">
        <f t="array" ref="CO470">_xlfn.TEXTJOIN("",TRUE,IF(ISERROR(FIND(ROW($1:$168)-1,CM470&amp;CN470)),ROW($1:$168)-1,""))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70" s="30" t="str">
        <f t="shared" si="333"/>
        <v>邻孤孤</v>
      </c>
    </row>
    <row r="471" spans="1:94">
      <c r="A471" s="15">
        <v>471</v>
      </c>
      <c r="B471" s="80">
        <v>2025088</v>
      </c>
      <c r="C471" s="8" t="s">
        <v>398</v>
      </c>
      <c r="D471" s="81">
        <f t="shared" si="344"/>
        <v>4</v>
      </c>
      <c r="E471" s="82">
        <f t="shared" si="345"/>
        <v>4</v>
      </c>
      <c r="F471" s="83">
        <f t="shared" si="342"/>
        <v>2</v>
      </c>
      <c r="G471" s="84" t="str">
        <f t="shared" si="343"/>
        <v>标准</v>
      </c>
      <c r="H471" s="85" t="s">
        <v>10</v>
      </c>
      <c r="I471" s="85" t="s">
        <v>11</v>
      </c>
      <c r="J471" s="85" t="s">
        <v>12</v>
      </c>
      <c r="K471" s="85" t="s">
        <v>13</v>
      </c>
      <c r="L471" s="86">
        <f>MAX(MID(C471,{1,2,3},1)*1)-MIN(MID(C471,{1,2,3},1)*1)</f>
        <v>2</v>
      </c>
      <c r="M471" s="87">
        <v>0</v>
      </c>
      <c r="N471" s="87">
        <v>1</v>
      </c>
      <c r="O471" s="87">
        <v>2</v>
      </c>
      <c r="P471" s="87">
        <v>3</v>
      </c>
      <c r="Q471" s="87">
        <v>4</v>
      </c>
      <c r="R471" s="87">
        <v>5</v>
      </c>
      <c r="S471" s="87">
        <v>6</v>
      </c>
      <c r="T471" s="87">
        <v>7</v>
      </c>
      <c r="U471" s="87">
        <v>8</v>
      </c>
      <c r="V471" s="87">
        <v>9</v>
      </c>
      <c r="W471" s="88">
        <f t="shared" si="346"/>
        <v>2</v>
      </c>
      <c r="X471" s="88">
        <f t="shared" si="347"/>
        <v>2</v>
      </c>
      <c r="Y471" s="88">
        <f t="shared" si="348"/>
        <v>0</v>
      </c>
      <c r="Z471" s="89">
        <f t="shared" si="320"/>
        <v>4</v>
      </c>
      <c r="AA471" s="17" t="str">
        <f>_xlfn.TEXTJOIN(", ",TRUE,ABS(MID(C471,{1,1,2},1)-MID(C471,{2,3,3},1)))</f>
        <v>2, 2, 0</v>
      </c>
      <c r="AB471" s="90">
        <v>0</v>
      </c>
      <c r="AC471" s="90">
        <v>1</v>
      </c>
      <c r="AD471" s="90">
        <v>2</v>
      </c>
      <c r="AE471" s="90">
        <v>3</v>
      </c>
      <c r="AF471" s="90">
        <v>4</v>
      </c>
      <c r="AG471" s="90">
        <v>5</v>
      </c>
      <c r="AH471" s="90">
        <v>6</v>
      </c>
      <c r="AI471" s="90">
        <v>7</v>
      </c>
      <c r="AJ471" s="90">
        <v>8</v>
      </c>
      <c r="AK471" s="90">
        <v>9</v>
      </c>
      <c r="AL471" s="91">
        <v>0</v>
      </c>
      <c r="AM471" s="91">
        <v>1</v>
      </c>
      <c r="AN471" s="91">
        <v>2</v>
      </c>
      <c r="AO471" s="91">
        <v>3</v>
      </c>
      <c r="AP471" s="91">
        <v>4</v>
      </c>
      <c r="AQ471" s="91">
        <v>5</v>
      </c>
      <c r="AR471" s="91">
        <v>6</v>
      </c>
      <c r="AS471" s="91">
        <v>7</v>
      </c>
      <c r="AT471" s="91">
        <v>8</v>
      </c>
      <c r="AU471" s="91">
        <v>9</v>
      </c>
      <c r="AV471" s="92">
        <v>0</v>
      </c>
      <c r="AW471" s="92">
        <v>1</v>
      </c>
      <c r="AX471" s="92">
        <v>2</v>
      </c>
      <c r="AY471" s="92">
        <v>3</v>
      </c>
      <c r="AZ471" s="92">
        <v>4</v>
      </c>
      <c r="BA471" s="92">
        <v>5</v>
      </c>
      <c r="BB471" s="92">
        <v>6</v>
      </c>
      <c r="BC471" s="92">
        <v>7</v>
      </c>
      <c r="BD471" s="92">
        <v>8</v>
      </c>
      <c r="BE471" s="92">
        <v>9</v>
      </c>
      <c r="BF471" s="93">
        <v>0</v>
      </c>
      <c r="BG471" s="93">
        <v>1</v>
      </c>
      <c r="BH471" s="93">
        <v>2</v>
      </c>
      <c r="BI471" s="93">
        <v>3</v>
      </c>
      <c r="BJ471" s="93">
        <v>4</v>
      </c>
      <c r="BK471" s="93">
        <v>5</v>
      </c>
      <c r="BL471" s="93">
        <v>6</v>
      </c>
      <c r="BM471" s="93">
        <v>7</v>
      </c>
      <c r="BN471" s="93">
        <v>8</v>
      </c>
      <c r="BO471" s="93">
        <v>9</v>
      </c>
      <c r="BP471" s="94" t="str">
        <f t="shared" si="321"/>
        <v>紧凑型</v>
      </c>
      <c r="BQ471" s="15">
        <f t="shared" si="318"/>
        <v>0</v>
      </c>
      <c r="BR471" s="15">
        <f t="shared" si="319"/>
        <v>2</v>
      </c>
      <c r="BS471" s="20">
        <f t="shared" si="323"/>
        <v>2</v>
      </c>
      <c r="BT471" s="21" t="str">
        <f t="shared" si="324"/>
        <v/>
      </c>
      <c r="BU471" s="21" t="str">
        <f t="array" ref="BU471">_xlfn.TEXTJOIN("",TRUE,IF(ISERROR(FIND(ROW($1:$168)-1,BS471&amp;BT471)),ROW($1:$168)-1,""))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71" s="22" t="str">
        <f t="shared" si="325"/>
        <v>复中中</v>
      </c>
      <c r="BW471" s="23">
        <f t="shared" si="336"/>
        <v>2</v>
      </c>
      <c r="BX471" s="23" t="str">
        <f t="shared" si="334"/>
        <v/>
      </c>
      <c r="BY471" s="23" t="str">
        <f t="array" ref="BY471">_xlfn.TEXTJOIN("",TRUE,IF(ISERROR(FIND(ROW($1:$168)-1,BW471&amp;BX471)),ROW($1:$168)-1,""))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71" s="22" t="str">
        <f t="shared" si="326"/>
        <v>复中中</v>
      </c>
      <c r="CA471" s="24" t="str">
        <f t="shared" si="327"/>
        <v/>
      </c>
      <c r="CB471" s="24">
        <f t="shared" si="335"/>
        <v>0</v>
      </c>
      <c r="CC471" s="24" t="str">
        <f t="array" ref="CC471">_xlfn.TEXTJOIN("",TRUE,IF(ISERROR(FIND(ROW($1:$168)-1,CA471&amp;CB471)),ROW($1:$168)-1,""))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71" s="22" t="str">
        <f t="shared" si="328"/>
        <v>中隔中</v>
      </c>
      <c r="CE471" s="25" t="str">
        <f t="shared" si="322"/>
        <v>13</v>
      </c>
      <c r="CF471" s="26" t="str">
        <f t="array" ref="CF471">_xlfn.TEXTJOIN("",TRUE,IF(ISNUMBER(FIND(MID(CE470&amp;W470,ROW($1:$162),1),CE471&amp;W471)),MID(CE470&amp;W470,ROW($1:$162),1),""))</f>
        <v/>
      </c>
      <c r="CG471" s="27" t="str">
        <f t="array" ref="CG471">_xlfn.TEXTJOIN("",TRUE,IF(ISERROR(FIND(ROW($1:$168)-1,CE471&amp;CF471)),ROW($1:$168)-1,""))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71" s="28" t="str">
        <f t="shared" si="329"/>
        <v>邻孤孤</v>
      </c>
      <c r="CI471" s="29" t="str">
        <f t="shared" si="330"/>
        <v>13</v>
      </c>
      <c r="CJ471" s="29" t="str">
        <f t="array" ref="CJ471">_xlfn.TEXTJOIN("",TRUE,IF(ISNUMBER(FIND(MID(CI470&amp;X470,ROW($1:$162),1),CI471&amp;X471)),MID(CI470&amp;X470,ROW($1:$162),1),""))</f>
        <v>132</v>
      </c>
      <c r="CK471" s="29" t="str">
        <f t="array" ref="CK471">_xlfn.TEXTJOIN("",TRUE,IF(ISERROR(FIND(ROW($1:$168)-1,CI471&amp;CJ471)),ROW($1:$168)-1,""))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471" s="19" t="str">
        <f t="shared" si="331"/>
        <v>邻传孤</v>
      </c>
      <c r="CM471" s="24" t="str">
        <f t="shared" si="332"/>
        <v>91</v>
      </c>
      <c r="CN471" s="24" t="str">
        <f t="array" ref="CN471">_xlfn.TEXTJOIN("",TRUE,IF(ISNUMBER(FIND(MID(CM470&amp;Y470,ROW($1:$162),1),CM471&amp;Y471)),MID(CM470&amp;Y470,ROW($1:$162),1),""))</f>
        <v/>
      </c>
      <c r="CO471" s="24" t="str">
        <f t="array" ref="CO471">_xlfn.TEXTJOIN("",TRUE,IF(ISERROR(FIND(ROW($1:$168)-1,CM471&amp;CN471)),ROW($1:$168)-1,""))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471" s="30" t="str">
        <f t="shared" si="333"/>
        <v>邻孤孤</v>
      </c>
    </row>
    <row r="472" spans="1:94">
      <c r="A472" s="15">
        <v>472</v>
      </c>
      <c r="B472" s="80">
        <v>2025089</v>
      </c>
      <c r="C472" s="8" t="s">
        <v>399</v>
      </c>
      <c r="D472" s="81">
        <f t="shared" si="344"/>
        <v>19</v>
      </c>
      <c r="E472" s="82">
        <f t="shared" si="345"/>
        <v>9</v>
      </c>
      <c r="F472" s="83">
        <f t="shared" si="342"/>
        <v>6.33333333333333</v>
      </c>
      <c r="G472" s="84" t="str">
        <f t="shared" si="343"/>
        <v>紧凑</v>
      </c>
      <c r="H472" s="85" t="s">
        <v>10</v>
      </c>
      <c r="I472" s="85" t="s">
        <v>11</v>
      </c>
      <c r="J472" s="85" t="s">
        <v>12</v>
      </c>
      <c r="K472" s="85" t="s">
        <v>13</v>
      </c>
      <c r="L472" s="86">
        <f>MAX(MID(C472,{1,2,3},1)*1)-MIN(MID(C472,{1,2,3},1)*1)</f>
        <v>3</v>
      </c>
      <c r="M472" s="87">
        <v>0</v>
      </c>
      <c r="N472" s="87">
        <v>1</v>
      </c>
      <c r="O472" s="87">
        <v>2</v>
      </c>
      <c r="P472" s="87">
        <v>3</v>
      </c>
      <c r="Q472" s="87">
        <v>4</v>
      </c>
      <c r="R472" s="87">
        <v>5</v>
      </c>
      <c r="S472" s="87">
        <v>6</v>
      </c>
      <c r="T472" s="87">
        <v>7</v>
      </c>
      <c r="U472" s="87">
        <v>8</v>
      </c>
      <c r="V472" s="87">
        <v>9</v>
      </c>
      <c r="W472" s="88">
        <f t="shared" si="346"/>
        <v>1</v>
      </c>
      <c r="X472" s="88">
        <f t="shared" si="347"/>
        <v>2</v>
      </c>
      <c r="Y472" s="88">
        <f t="shared" si="348"/>
        <v>3</v>
      </c>
      <c r="Z472" s="89">
        <f t="shared" si="320"/>
        <v>6</v>
      </c>
      <c r="AA472" s="17" t="str">
        <f>_xlfn.TEXTJOIN(", ",TRUE,ABS(MID(C472,{1,1,2},1)-MID(C472,{2,3,3},1)))</f>
        <v>1, 2, 3</v>
      </c>
      <c r="AB472" s="90">
        <v>0</v>
      </c>
      <c r="AC472" s="90">
        <v>1</v>
      </c>
      <c r="AD472" s="90">
        <v>2</v>
      </c>
      <c r="AE472" s="90">
        <v>3</v>
      </c>
      <c r="AF472" s="90">
        <v>4</v>
      </c>
      <c r="AG472" s="90">
        <v>5</v>
      </c>
      <c r="AH472" s="90">
        <v>6</v>
      </c>
      <c r="AI472" s="90">
        <v>7</v>
      </c>
      <c r="AJ472" s="90">
        <v>8</v>
      </c>
      <c r="AK472" s="90">
        <v>9</v>
      </c>
      <c r="AL472" s="91">
        <v>0</v>
      </c>
      <c r="AM472" s="91">
        <v>1</v>
      </c>
      <c r="AN472" s="91">
        <v>2</v>
      </c>
      <c r="AO472" s="91">
        <v>3</v>
      </c>
      <c r="AP472" s="91">
        <v>4</v>
      </c>
      <c r="AQ472" s="91">
        <v>5</v>
      </c>
      <c r="AR472" s="91">
        <v>6</v>
      </c>
      <c r="AS472" s="91">
        <v>7</v>
      </c>
      <c r="AT472" s="91">
        <v>8</v>
      </c>
      <c r="AU472" s="91">
        <v>9</v>
      </c>
      <c r="AV472" s="92">
        <v>0</v>
      </c>
      <c r="AW472" s="92">
        <v>1</v>
      </c>
      <c r="AX472" s="92">
        <v>2</v>
      </c>
      <c r="AY472" s="92">
        <v>3</v>
      </c>
      <c r="AZ472" s="92">
        <v>4</v>
      </c>
      <c r="BA472" s="92">
        <v>5</v>
      </c>
      <c r="BB472" s="92">
        <v>6</v>
      </c>
      <c r="BC472" s="92">
        <v>7</v>
      </c>
      <c r="BD472" s="92">
        <v>8</v>
      </c>
      <c r="BE472" s="92">
        <v>9</v>
      </c>
      <c r="BF472" s="93">
        <v>0</v>
      </c>
      <c r="BG472" s="93">
        <v>1</v>
      </c>
      <c r="BH472" s="93">
        <v>2</v>
      </c>
      <c r="BI472" s="93">
        <v>3</v>
      </c>
      <c r="BJ472" s="93">
        <v>4</v>
      </c>
      <c r="BK472" s="93">
        <v>5</v>
      </c>
      <c r="BL472" s="93">
        <v>6</v>
      </c>
      <c r="BM472" s="93">
        <v>7</v>
      </c>
      <c r="BN472" s="93">
        <v>8</v>
      </c>
      <c r="BO472" s="93">
        <v>9</v>
      </c>
      <c r="BP472" s="94" t="str">
        <f t="shared" si="321"/>
        <v>紧凑型</v>
      </c>
      <c r="BQ472" s="15">
        <f t="shared" si="318"/>
        <v>1</v>
      </c>
      <c r="BR472" s="15">
        <f t="shared" si="319"/>
        <v>3</v>
      </c>
      <c r="BS472" s="20" t="str">
        <f t="shared" si="323"/>
        <v/>
      </c>
      <c r="BT472" s="21" t="str">
        <f t="shared" si="324"/>
        <v/>
      </c>
      <c r="BU472" s="21" t="str">
        <f t="array" ref="BU472">_xlfn.TEXTJOIN("",TRUE,IF(ISERROR(FIND(ROW($1:$168)-1,BS472&amp;BT472)),ROW($1:$168)-1,""))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72" s="22" t="str">
        <f t="shared" si="325"/>
        <v>中中中</v>
      </c>
      <c r="BW472" s="23">
        <f t="shared" si="336"/>
        <v>2</v>
      </c>
      <c r="BX472" s="23">
        <f t="shared" si="334"/>
        <v>2</v>
      </c>
      <c r="BY472" s="23" t="str">
        <f t="array" ref="BY472">_xlfn.TEXTJOIN("",TRUE,IF(ISERROR(FIND(ROW($1:$168)-1,BW472&amp;BX472)),ROW($1:$168)-1,""))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72" s="22" t="str">
        <f t="shared" si="326"/>
        <v>复隔中</v>
      </c>
      <c r="CA472" s="24" t="str">
        <f t="shared" si="327"/>
        <v/>
      </c>
      <c r="CB472" s="24" t="str">
        <f t="shared" si="335"/>
        <v/>
      </c>
      <c r="CC472" s="24" t="str">
        <f t="array" ref="CC472">_xlfn.TEXTJOIN("",TRUE,IF(ISERROR(FIND(ROW($1:$168)-1,CA472&amp;CB472)),ROW($1:$168)-1,""))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72" s="22" t="str">
        <f t="shared" si="328"/>
        <v>中中中</v>
      </c>
      <c r="CE472" s="25" t="str">
        <f t="shared" si="322"/>
        <v>02</v>
      </c>
      <c r="CF472" s="26" t="str">
        <f t="array" ref="CF472">_xlfn.TEXTJOIN("",TRUE,IF(ISNUMBER(FIND(MID(CE471&amp;W471,ROW($1:$162),1),CE472&amp;W472)),MID(CE471&amp;W471,ROW($1:$162),1),""))</f>
        <v>12</v>
      </c>
      <c r="CG472" s="27" t="str">
        <f t="array" ref="CG472">_xlfn.TEXTJOIN("",TRUE,IF(ISERROR(FIND(ROW($1:$168)-1,CE472&amp;CF472)),ROW($1:$168)-1,""))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72" s="28" t="str">
        <f t="shared" si="329"/>
        <v>邻传孤</v>
      </c>
      <c r="CI472" s="29" t="str">
        <f t="shared" si="330"/>
        <v>13</v>
      </c>
      <c r="CJ472" s="29" t="str">
        <f t="array" ref="CJ472">_xlfn.TEXTJOIN("",TRUE,IF(ISNUMBER(FIND(MID(CI471&amp;X471,ROW($1:$162),1),CI472&amp;X472)),MID(CI471&amp;X471,ROW($1:$162),1),""))</f>
        <v>132</v>
      </c>
      <c r="CK472" s="29" t="str">
        <f t="array" ref="CK472">_xlfn.TEXTJOIN("",TRUE,IF(ISERROR(FIND(ROW($1:$168)-1,CI472&amp;CJ472)),ROW($1:$168)-1,""))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472" s="19" t="str">
        <f t="shared" si="331"/>
        <v>邻传孤</v>
      </c>
      <c r="CM472" s="24" t="str">
        <f t="shared" si="332"/>
        <v>24</v>
      </c>
      <c r="CN472" s="24" t="str">
        <f t="array" ref="CN472">_xlfn.TEXTJOIN("",TRUE,IF(ISNUMBER(FIND(MID(CM471&amp;Y471,ROW($1:$162),1),CM472&amp;Y472)),MID(CM471&amp;Y471,ROW($1:$162),1),""))</f>
        <v/>
      </c>
      <c r="CO472" s="24" t="str">
        <f t="array" ref="CO472">_xlfn.TEXTJOIN("",TRUE,IF(ISERROR(FIND(ROW($1:$168)-1,CM472&amp;CN472)),ROW($1:$168)-1,""))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72" s="30" t="str">
        <f t="shared" si="333"/>
        <v>邻孤孤</v>
      </c>
    </row>
    <row r="473" spans="1:94">
      <c r="A473" s="15">
        <v>473</v>
      </c>
      <c r="B473" s="80">
        <v>2025090</v>
      </c>
      <c r="C473" s="8" t="s">
        <v>400</v>
      </c>
      <c r="D473" s="81">
        <f t="shared" si="344"/>
        <v>15</v>
      </c>
      <c r="E473" s="82">
        <f t="shared" si="345"/>
        <v>5</v>
      </c>
      <c r="F473" s="83">
        <f t="shared" si="342"/>
        <v>1.875</v>
      </c>
      <c r="G473" s="84" t="str">
        <f t="shared" si="343"/>
        <v>松散</v>
      </c>
      <c r="H473" s="85" t="s">
        <v>10</v>
      </c>
      <c r="I473" s="85" t="s">
        <v>11</v>
      </c>
      <c r="J473" s="85" t="s">
        <v>12</v>
      </c>
      <c r="K473" s="85" t="s">
        <v>13</v>
      </c>
      <c r="L473" s="86">
        <f>MAX(MID(C473,{1,2,3},1)*1)-MIN(MID(C473,{1,2,3},1)*1)</f>
        <v>8</v>
      </c>
      <c r="M473" s="87">
        <v>0</v>
      </c>
      <c r="N473" s="87">
        <v>1</v>
      </c>
      <c r="O473" s="87">
        <v>2</v>
      </c>
      <c r="P473" s="87">
        <v>3</v>
      </c>
      <c r="Q473" s="87">
        <v>4</v>
      </c>
      <c r="R473" s="87">
        <v>5</v>
      </c>
      <c r="S473" s="87">
        <v>6</v>
      </c>
      <c r="T473" s="87">
        <v>7</v>
      </c>
      <c r="U473" s="87">
        <v>8</v>
      </c>
      <c r="V473" s="87">
        <v>9</v>
      </c>
      <c r="W473" s="88">
        <f t="shared" si="346"/>
        <v>4</v>
      </c>
      <c r="X473" s="88">
        <f t="shared" si="347"/>
        <v>8</v>
      </c>
      <c r="Y473" s="88">
        <f t="shared" si="348"/>
        <v>4</v>
      </c>
      <c r="Z473" s="89">
        <f t="shared" si="320"/>
        <v>16</v>
      </c>
      <c r="AA473" s="17" t="str">
        <f>_xlfn.TEXTJOIN(", ",TRUE,ABS(MID(C473,{1,1,2},1)-MID(C473,{2,3,3},1)))</f>
        <v>4, 8, 4</v>
      </c>
      <c r="AB473" s="90">
        <v>0</v>
      </c>
      <c r="AC473" s="90">
        <v>1</v>
      </c>
      <c r="AD473" s="90">
        <v>2</v>
      </c>
      <c r="AE473" s="90">
        <v>3</v>
      </c>
      <c r="AF473" s="90">
        <v>4</v>
      </c>
      <c r="AG473" s="90">
        <v>5</v>
      </c>
      <c r="AH473" s="90">
        <v>6</v>
      </c>
      <c r="AI473" s="90">
        <v>7</v>
      </c>
      <c r="AJ473" s="90">
        <v>8</v>
      </c>
      <c r="AK473" s="90">
        <v>9</v>
      </c>
      <c r="AL473" s="91">
        <v>0</v>
      </c>
      <c r="AM473" s="91">
        <v>1</v>
      </c>
      <c r="AN473" s="91">
        <v>2</v>
      </c>
      <c r="AO473" s="91">
        <v>3</v>
      </c>
      <c r="AP473" s="91">
        <v>4</v>
      </c>
      <c r="AQ473" s="91">
        <v>5</v>
      </c>
      <c r="AR473" s="91">
        <v>6</v>
      </c>
      <c r="AS473" s="91">
        <v>7</v>
      </c>
      <c r="AT473" s="91">
        <v>8</v>
      </c>
      <c r="AU473" s="91">
        <v>9</v>
      </c>
      <c r="AV473" s="92">
        <v>0</v>
      </c>
      <c r="AW473" s="92">
        <v>1</v>
      </c>
      <c r="AX473" s="92">
        <v>2</v>
      </c>
      <c r="AY473" s="92">
        <v>3</v>
      </c>
      <c r="AZ473" s="92">
        <v>4</v>
      </c>
      <c r="BA473" s="92">
        <v>5</v>
      </c>
      <c r="BB473" s="92">
        <v>6</v>
      </c>
      <c r="BC473" s="92">
        <v>7</v>
      </c>
      <c r="BD473" s="92">
        <v>8</v>
      </c>
      <c r="BE473" s="92">
        <v>9</v>
      </c>
      <c r="BF473" s="93">
        <v>0</v>
      </c>
      <c r="BG473" s="93">
        <v>1</v>
      </c>
      <c r="BH473" s="93">
        <v>2</v>
      </c>
      <c r="BI473" s="93">
        <v>3</v>
      </c>
      <c r="BJ473" s="93">
        <v>4</v>
      </c>
      <c r="BK473" s="93">
        <v>5</v>
      </c>
      <c r="BL473" s="93">
        <v>6</v>
      </c>
      <c r="BM473" s="93">
        <v>7</v>
      </c>
      <c r="BN473" s="93">
        <v>8</v>
      </c>
      <c r="BO473" s="93">
        <v>9</v>
      </c>
      <c r="BP473" s="94" t="str">
        <f t="shared" si="321"/>
        <v>松散型</v>
      </c>
      <c r="BQ473" s="15">
        <f t="shared" si="318"/>
        <v>4</v>
      </c>
      <c r="BR473" s="15">
        <f t="shared" si="319"/>
        <v>8</v>
      </c>
      <c r="BS473" s="20" t="str">
        <f t="shared" si="323"/>
        <v/>
      </c>
      <c r="BT473" s="21" t="str">
        <f t="shared" si="324"/>
        <v/>
      </c>
      <c r="BU473" s="21" t="str">
        <f t="array" ref="BU473">_xlfn.TEXTJOIN("",TRUE,IF(ISERROR(FIND(ROW($1:$168)-1,BS473&amp;BT473)),ROW($1:$168)-1,""))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73" s="22" t="str">
        <f t="shared" si="325"/>
        <v>中中中</v>
      </c>
      <c r="BW473" s="23" t="str">
        <f t="shared" si="336"/>
        <v/>
      </c>
      <c r="BX473" s="23" t="str">
        <f t="shared" si="334"/>
        <v/>
      </c>
      <c r="BY473" s="23" t="str">
        <f t="array" ref="BY473">_xlfn.TEXTJOIN("",TRUE,IF(ISERROR(FIND(ROW($1:$168)-1,BW473&amp;BX473)),ROW($1:$168)-1,""))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73" s="22" t="str">
        <f t="shared" si="326"/>
        <v>中中中</v>
      </c>
      <c r="CA473" s="24" t="str">
        <f t="shared" si="327"/>
        <v/>
      </c>
      <c r="CB473" s="24" t="str">
        <f t="shared" si="335"/>
        <v/>
      </c>
      <c r="CC473" s="24" t="str">
        <f t="array" ref="CC473">_xlfn.TEXTJOIN("",TRUE,IF(ISERROR(FIND(ROW($1:$168)-1,CA473&amp;CB473)),ROW($1:$168)-1,""))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73" s="22" t="str">
        <f t="shared" si="328"/>
        <v>中中中</v>
      </c>
      <c r="CE473" s="25" t="str">
        <f t="shared" si="322"/>
        <v>35</v>
      </c>
      <c r="CF473" s="26" t="str">
        <f t="array" ref="CF473">_xlfn.TEXTJOIN("",TRUE,IF(ISNUMBER(FIND(MID(CE472&amp;W472,ROW($1:$162),1),CE473&amp;W473)),MID(CE472&amp;W472,ROW($1:$162),1),""))</f>
        <v/>
      </c>
      <c r="CG473" s="27" t="str">
        <f t="array" ref="CG473">_xlfn.TEXTJOIN("",TRUE,IF(ISERROR(FIND(ROW($1:$168)-1,CE473&amp;CF473)),ROW($1:$168)-1,""))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73" s="28" t="str">
        <f t="shared" si="329"/>
        <v>邻孤孤</v>
      </c>
      <c r="CI473" s="29" t="str">
        <f t="shared" si="330"/>
        <v>79</v>
      </c>
      <c r="CJ473" s="29" t="str">
        <f t="array" ref="CJ473">_xlfn.TEXTJOIN("",TRUE,IF(ISNUMBER(FIND(MID(CI472&amp;X472,ROW($1:$162),1),CI473&amp;X473)),MID(CI472&amp;X472,ROW($1:$162),1),""))</f>
        <v/>
      </c>
      <c r="CK473" s="29" t="str">
        <f t="array" ref="CK473">_xlfn.TEXTJOIN("",TRUE,IF(ISERROR(FIND(ROW($1:$168)-1,CI473&amp;CJ473)),ROW($1:$168)-1,""))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473" s="19" t="str">
        <f t="shared" si="331"/>
        <v>邻孤孤</v>
      </c>
      <c r="CM473" s="24" t="str">
        <f t="shared" si="332"/>
        <v>35</v>
      </c>
      <c r="CN473" s="24" t="str">
        <f t="array" ref="CN473">_xlfn.TEXTJOIN("",TRUE,IF(ISNUMBER(FIND(MID(CM472&amp;Y472,ROW($1:$162),1),CM473&amp;Y473)),MID(CM472&amp;Y472,ROW($1:$162),1),""))</f>
        <v>43</v>
      </c>
      <c r="CO473" s="24" t="str">
        <f t="array" ref="CO473">_xlfn.TEXTJOIN("",TRUE,IF(ISERROR(FIND(ROW($1:$168)-1,CM473&amp;CN473)),ROW($1:$168)-1,""))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73" s="30" t="str">
        <f t="shared" si="333"/>
        <v>邻传孤</v>
      </c>
    </row>
    <row r="474" spans="1:94">
      <c r="A474" s="15">
        <v>474</v>
      </c>
      <c r="B474" s="80">
        <v>2025091</v>
      </c>
      <c r="C474" s="8" t="s">
        <v>401</v>
      </c>
      <c r="D474" s="81">
        <f t="shared" si="344"/>
        <v>9</v>
      </c>
      <c r="E474" s="82">
        <f t="shared" si="345"/>
        <v>9</v>
      </c>
      <c r="F474" s="83">
        <f t="shared" si="342"/>
        <v>2.25</v>
      </c>
      <c r="G474" s="84" t="str">
        <f t="shared" si="343"/>
        <v>标准</v>
      </c>
      <c r="H474" s="85" t="s">
        <v>10</v>
      </c>
      <c r="I474" s="85" t="s">
        <v>11</v>
      </c>
      <c r="J474" s="85" t="s">
        <v>12</v>
      </c>
      <c r="K474" s="85" t="s">
        <v>13</v>
      </c>
      <c r="L474" s="86">
        <f>MAX(MID(C474,{1,2,3},1)*1)-MIN(MID(C474,{1,2,3},1)*1)</f>
        <v>4</v>
      </c>
      <c r="M474" s="87">
        <v>0</v>
      </c>
      <c r="N474" s="87">
        <v>1</v>
      </c>
      <c r="O474" s="87">
        <v>2</v>
      </c>
      <c r="P474" s="87">
        <v>3</v>
      </c>
      <c r="Q474" s="87">
        <v>4</v>
      </c>
      <c r="R474" s="87">
        <v>5</v>
      </c>
      <c r="S474" s="87">
        <v>6</v>
      </c>
      <c r="T474" s="87">
        <v>7</v>
      </c>
      <c r="U474" s="87">
        <v>8</v>
      </c>
      <c r="V474" s="87">
        <v>9</v>
      </c>
      <c r="W474" s="88">
        <f t="shared" si="346"/>
        <v>2</v>
      </c>
      <c r="X474" s="88">
        <f t="shared" si="347"/>
        <v>4</v>
      </c>
      <c r="Y474" s="88">
        <f t="shared" si="348"/>
        <v>2</v>
      </c>
      <c r="Z474" s="89">
        <f t="shared" si="320"/>
        <v>8</v>
      </c>
      <c r="AA474" s="17" t="str">
        <f>_xlfn.TEXTJOIN(", ",TRUE,ABS(MID(C474,{1,1,2},1)-MID(C474,{2,3,3},1)))</f>
        <v>2, 4, 2</v>
      </c>
      <c r="AB474" s="90">
        <v>0</v>
      </c>
      <c r="AC474" s="90">
        <v>1</v>
      </c>
      <c r="AD474" s="90">
        <v>2</v>
      </c>
      <c r="AE474" s="90">
        <v>3</v>
      </c>
      <c r="AF474" s="90">
        <v>4</v>
      </c>
      <c r="AG474" s="90">
        <v>5</v>
      </c>
      <c r="AH474" s="90">
        <v>6</v>
      </c>
      <c r="AI474" s="90">
        <v>7</v>
      </c>
      <c r="AJ474" s="90">
        <v>8</v>
      </c>
      <c r="AK474" s="90">
        <v>9</v>
      </c>
      <c r="AL474" s="91">
        <v>0</v>
      </c>
      <c r="AM474" s="91">
        <v>1</v>
      </c>
      <c r="AN474" s="91">
        <v>2</v>
      </c>
      <c r="AO474" s="91">
        <v>3</v>
      </c>
      <c r="AP474" s="91">
        <v>4</v>
      </c>
      <c r="AQ474" s="91">
        <v>5</v>
      </c>
      <c r="AR474" s="91">
        <v>6</v>
      </c>
      <c r="AS474" s="91">
        <v>7</v>
      </c>
      <c r="AT474" s="91">
        <v>8</v>
      </c>
      <c r="AU474" s="91">
        <v>9</v>
      </c>
      <c r="AV474" s="92">
        <v>0</v>
      </c>
      <c r="AW474" s="92">
        <v>1</v>
      </c>
      <c r="AX474" s="92">
        <v>2</v>
      </c>
      <c r="AY474" s="92">
        <v>3</v>
      </c>
      <c r="AZ474" s="92">
        <v>4</v>
      </c>
      <c r="BA474" s="92">
        <v>5</v>
      </c>
      <c r="BB474" s="92">
        <v>6</v>
      </c>
      <c r="BC474" s="92">
        <v>7</v>
      </c>
      <c r="BD474" s="92">
        <v>8</v>
      </c>
      <c r="BE474" s="92">
        <v>9</v>
      </c>
      <c r="BF474" s="93">
        <v>0</v>
      </c>
      <c r="BG474" s="93">
        <v>1</v>
      </c>
      <c r="BH474" s="93">
        <v>2</v>
      </c>
      <c r="BI474" s="93">
        <v>3</v>
      </c>
      <c r="BJ474" s="93">
        <v>4</v>
      </c>
      <c r="BK474" s="93">
        <v>5</v>
      </c>
      <c r="BL474" s="93">
        <v>6</v>
      </c>
      <c r="BM474" s="93">
        <v>7</v>
      </c>
      <c r="BN474" s="93">
        <v>8</v>
      </c>
      <c r="BO474" s="93">
        <v>9</v>
      </c>
      <c r="BP474" s="94" t="str">
        <f t="shared" si="321"/>
        <v>标准型</v>
      </c>
      <c r="BQ474" s="15">
        <f t="shared" si="318"/>
        <v>2</v>
      </c>
      <c r="BR474" s="15">
        <f t="shared" si="319"/>
        <v>4</v>
      </c>
      <c r="BS474" s="20" t="str">
        <f t="shared" si="323"/>
        <v/>
      </c>
      <c r="BT474" s="21">
        <f t="shared" si="324"/>
        <v>2</v>
      </c>
      <c r="BU474" s="21" t="str">
        <f t="array" ref="BU474">_xlfn.TEXTJOIN("",TRUE,IF(ISERROR(FIND(ROW($1:$168)-1,BS474&amp;BT474)),ROW($1:$168)-1,""))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74" s="22" t="str">
        <f t="shared" si="325"/>
        <v>中隔中</v>
      </c>
      <c r="BW474" s="23">
        <f t="shared" si="336"/>
        <v>4</v>
      </c>
      <c r="BX474" s="23" t="str">
        <f t="shared" si="334"/>
        <v/>
      </c>
      <c r="BY474" s="23" t="str">
        <f t="array" ref="BY474">_xlfn.TEXTJOIN("",TRUE,IF(ISERROR(FIND(ROW($1:$168)-1,BW474&amp;BX474)),ROW($1:$168)-1,""))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74" s="22" t="str">
        <f t="shared" si="326"/>
        <v>复中中</v>
      </c>
      <c r="CA474" s="24" t="str">
        <f t="shared" si="327"/>
        <v/>
      </c>
      <c r="CB474" s="24">
        <f t="shared" si="335"/>
        <v>2</v>
      </c>
      <c r="CC474" s="24" t="str">
        <f t="array" ref="CC474">_xlfn.TEXTJOIN("",TRUE,IF(ISERROR(FIND(ROW($1:$168)-1,CA474&amp;CB474)),ROW($1:$168)-1,""))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74" s="22" t="str">
        <f t="shared" si="328"/>
        <v>中隔中</v>
      </c>
      <c r="CE474" s="25" t="str">
        <f t="shared" si="322"/>
        <v>13</v>
      </c>
      <c r="CF474" s="26" t="str">
        <f t="array" ref="CF474">_xlfn.TEXTJOIN("",TRUE,IF(ISNUMBER(FIND(MID(CE473&amp;W473,ROW($1:$162),1),CE474&amp;W474)),MID(CE473&amp;W473,ROW($1:$162),1),""))</f>
        <v>3</v>
      </c>
      <c r="CG474" s="27" t="str">
        <f t="array" ref="CG474">_xlfn.TEXTJOIN("",TRUE,IF(ISERROR(FIND(ROW($1:$168)-1,CE474&amp;CF474)),ROW($1:$168)-1,""))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474" s="28" t="str">
        <f t="shared" si="329"/>
        <v>邻传孤</v>
      </c>
      <c r="CI474" s="29" t="str">
        <f t="shared" si="330"/>
        <v>35</v>
      </c>
      <c r="CJ474" s="29" t="str">
        <f t="array" ref="CJ474">_xlfn.TEXTJOIN("",TRUE,IF(ISNUMBER(FIND(MID(CI473&amp;X473,ROW($1:$162),1),CI474&amp;X474)),MID(CI473&amp;X473,ROW($1:$162),1),""))</f>
        <v/>
      </c>
      <c r="CK474" s="29" t="str">
        <f t="array" ref="CK474">_xlfn.TEXTJOIN("",TRUE,IF(ISERROR(FIND(ROW($1:$168)-1,CI474&amp;CJ474)),ROW($1:$168)-1,""))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74" s="19" t="str">
        <f t="shared" si="331"/>
        <v>邻孤孤</v>
      </c>
      <c r="CM474" s="24" t="str">
        <f t="shared" si="332"/>
        <v>13</v>
      </c>
      <c r="CN474" s="24" t="str">
        <f t="array" ref="CN474">_xlfn.TEXTJOIN("",TRUE,IF(ISNUMBER(FIND(MID(CM473&amp;Y473,ROW($1:$162),1),CM474&amp;Y474)),MID(CM473&amp;Y473,ROW($1:$162),1),""))</f>
        <v>3</v>
      </c>
      <c r="CO474" s="24" t="str">
        <f t="array" ref="CO474">_xlfn.TEXTJOIN("",TRUE,IF(ISERROR(FIND(ROW($1:$168)-1,CM474&amp;CN474)),ROW($1:$168)-1,""))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474" s="30" t="str">
        <f t="shared" si="333"/>
        <v>邻传孤</v>
      </c>
    </row>
    <row r="475" spans="1:94">
      <c r="A475" s="15">
        <v>475</v>
      </c>
      <c r="B475" s="80">
        <v>2025092</v>
      </c>
      <c r="C475" s="8" t="s">
        <v>337</v>
      </c>
      <c r="D475" s="81">
        <f t="shared" si="344"/>
        <v>11</v>
      </c>
      <c r="E475" s="82">
        <f t="shared" si="345"/>
        <v>1</v>
      </c>
      <c r="F475" s="83">
        <f t="shared" si="342"/>
        <v>1.83333333333333</v>
      </c>
      <c r="G475" s="84" t="str">
        <f t="shared" si="343"/>
        <v>松散</v>
      </c>
      <c r="H475" s="85" t="s">
        <v>10</v>
      </c>
      <c r="I475" s="85" t="s">
        <v>11</v>
      </c>
      <c r="J475" s="85" t="s">
        <v>12</v>
      </c>
      <c r="K475" s="85" t="s">
        <v>13</v>
      </c>
      <c r="L475" s="86">
        <f>MAX(MID(C475,{1,2,3},1)*1)-MIN(MID(C475,{1,2,3},1)*1)</f>
        <v>6</v>
      </c>
      <c r="M475" s="87">
        <v>0</v>
      </c>
      <c r="N475" s="87">
        <v>1</v>
      </c>
      <c r="O475" s="87">
        <v>2</v>
      </c>
      <c r="P475" s="87">
        <v>3</v>
      </c>
      <c r="Q475" s="87">
        <v>4</v>
      </c>
      <c r="R475" s="87">
        <v>5</v>
      </c>
      <c r="S475" s="87">
        <v>6</v>
      </c>
      <c r="T475" s="87">
        <v>7</v>
      </c>
      <c r="U475" s="87">
        <v>8</v>
      </c>
      <c r="V475" s="87">
        <v>9</v>
      </c>
      <c r="W475" s="88">
        <f t="shared" si="346"/>
        <v>2</v>
      </c>
      <c r="X475" s="88">
        <f t="shared" si="347"/>
        <v>4</v>
      </c>
      <c r="Y475" s="88">
        <f t="shared" si="348"/>
        <v>6</v>
      </c>
      <c r="Z475" s="89">
        <f t="shared" si="320"/>
        <v>12</v>
      </c>
      <c r="AA475" s="17" t="str">
        <f>_xlfn.TEXTJOIN(", ",TRUE,ABS(MID(C475,{1,1,2},1)-MID(C475,{2,3,3},1)))</f>
        <v>2, 4, 6</v>
      </c>
      <c r="AB475" s="90">
        <v>0</v>
      </c>
      <c r="AC475" s="90">
        <v>1</v>
      </c>
      <c r="AD475" s="90">
        <v>2</v>
      </c>
      <c r="AE475" s="90">
        <v>3</v>
      </c>
      <c r="AF475" s="90">
        <v>4</v>
      </c>
      <c r="AG475" s="90">
        <v>5</v>
      </c>
      <c r="AH475" s="90">
        <v>6</v>
      </c>
      <c r="AI475" s="90">
        <v>7</v>
      </c>
      <c r="AJ475" s="90">
        <v>8</v>
      </c>
      <c r="AK475" s="90">
        <v>9</v>
      </c>
      <c r="AL475" s="91">
        <v>0</v>
      </c>
      <c r="AM475" s="91">
        <v>1</v>
      </c>
      <c r="AN475" s="91">
        <v>2</v>
      </c>
      <c r="AO475" s="91">
        <v>3</v>
      </c>
      <c r="AP475" s="91">
        <v>4</v>
      </c>
      <c r="AQ475" s="91">
        <v>5</v>
      </c>
      <c r="AR475" s="91">
        <v>6</v>
      </c>
      <c r="AS475" s="91">
        <v>7</v>
      </c>
      <c r="AT475" s="91">
        <v>8</v>
      </c>
      <c r="AU475" s="91">
        <v>9</v>
      </c>
      <c r="AV475" s="92">
        <v>0</v>
      </c>
      <c r="AW475" s="92">
        <v>1</v>
      </c>
      <c r="AX475" s="92">
        <v>2</v>
      </c>
      <c r="AY475" s="92">
        <v>3</v>
      </c>
      <c r="AZ475" s="92">
        <v>4</v>
      </c>
      <c r="BA475" s="92">
        <v>5</v>
      </c>
      <c r="BB475" s="92">
        <v>6</v>
      </c>
      <c r="BC475" s="92">
        <v>7</v>
      </c>
      <c r="BD475" s="92">
        <v>8</v>
      </c>
      <c r="BE475" s="92">
        <v>9</v>
      </c>
      <c r="BF475" s="93">
        <v>0</v>
      </c>
      <c r="BG475" s="93">
        <v>1</v>
      </c>
      <c r="BH475" s="93">
        <v>2</v>
      </c>
      <c r="BI475" s="93">
        <v>3</v>
      </c>
      <c r="BJ475" s="93">
        <v>4</v>
      </c>
      <c r="BK475" s="93">
        <v>5</v>
      </c>
      <c r="BL475" s="93">
        <v>6</v>
      </c>
      <c r="BM475" s="93">
        <v>7</v>
      </c>
      <c r="BN475" s="93">
        <v>8</v>
      </c>
      <c r="BO475" s="93">
        <v>9</v>
      </c>
      <c r="BP475" s="94" t="str">
        <f t="shared" si="321"/>
        <v>松散型</v>
      </c>
      <c r="BQ475" s="15">
        <f t="shared" si="318"/>
        <v>2</v>
      </c>
      <c r="BR475" s="15">
        <f t="shared" si="319"/>
        <v>6</v>
      </c>
      <c r="BS475" s="20">
        <f t="shared" si="323"/>
        <v>2</v>
      </c>
      <c r="BT475" s="21" t="str">
        <f t="shared" si="324"/>
        <v/>
      </c>
      <c r="BU475" s="21" t="str">
        <f t="array" ref="BU475">_xlfn.TEXTJOIN("",TRUE,IF(ISERROR(FIND(ROW($1:$168)-1,BS475&amp;BT475)),ROW($1:$168)-1,""))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75" s="22" t="str">
        <f t="shared" si="325"/>
        <v>复中中</v>
      </c>
      <c r="BW475" s="23">
        <f t="shared" si="336"/>
        <v>4</v>
      </c>
      <c r="BX475" s="23">
        <f t="shared" si="334"/>
        <v>4</v>
      </c>
      <c r="BY475" s="23" t="str">
        <f t="array" ref="BY475">_xlfn.TEXTJOIN("",TRUE,IF(ISERROR(FIND(ROW($1:$168)-1,BW475&amp;BX475)),ROW($1:$168)-1,""))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75" s="22" t="str">
        <f t="shared" si="326"/>
        <v>复隔中</v>
      </c>
      <c r="CA475" s="24" t="str">
        <f t="shared" si="327"/>
        <v/>
      </c>
      <c r="CB475" s="24" t="str">
        <f t="shared" si="335"/>
        <v/>
      </c>
      <c r="CC475" s="24" t="str">
        <f t="array" ref="CC475">_xlfn.TEXTJOIN("",TRUE,IF(ISERROR(FIND(ROW($1:$168)-1,CA475&amp;CB475)),ROW($1:$168)-1,""))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75" s="22" t="str">
        <f t="shared" si="328"/>
        <v>中中中</v>
      </c>
      <c r="CE475" s="25" t="str">
        <f t="shared" si="322"/>
        <v>13</v>
      </c>
      <c r="CF475" s="26" t="str">
        <f t="array" ref="CF475">_xlfn.TEXTJOIN("",TRUE,IF(ISNUMBER(FIND(MID(CE474&amp;W474,ROW($1:$162),1),CE475&amp;W475)),MID(CE474&amp;W474,ROW($1:$162),1),""))</f>
        <v>132</v>
      </c>
      <c r="CG475" s="27" t="str">
        <f t="array" ref="CG475">_xlfn.TEXTJOIN("",TRUE,IF(ISERROR(FIND(ROW($1:$168)-1,CE475&amp;CF475)),ROW($1:$168)-1,""))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475" s="28" t="str">
        <f t="shared" si="329"/>
        <v>邻传孤</v>
      </c>
      <c r="CI475" s="29" t="str">
        <f t="shared" si="330"/>
        <v>35</v>
      </c>
      <c r="CJ475" s="29" t="str">
        <f t="array" ref="CJ475">_xlfn.TEXTJOIN("",TRUE,IF(ISNUMBER(FIND(MID(CI474&amp;X474,ROW($1:$162),1),CI475&amp;X475)),MID(CI474&amp;X474,ROW($1:$162),1),""))</f>
        <v>354</v>
      </c>
      <c r="CK475" s="29" t="str">
        <f t="array" ref="CK475">_xlfn.TEXTJOIN("",TRUE,IF(ISERROR(FIND(ROW($1:$168)-1,CI475&amp;CJ475)),ROW($1:$168)-1,""))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75" s="19" t="str">
        <f t="shared" si="331"/>
        <v>邻传孤</v>
      </c>
      <c r="CM475" s="24" t="str">
        <f t="shared" si="332"/>
        <v>57</v>
      </c>
      <c r="CN475" s="24" t="str">
        <f t="array" ref="CN475">_xlfn.TEXTJOIN("",TRUE,IF(ISNUMBER(FIND(MID(CM474&amp;Y474,ROW($1:$162),1),CM475&amp;Y475)),MID(CM474&amp;Y474,ROW($1:$162),1),""))</f>
        <v/>
      </c>
      <c r="CO475" s="24" t="str">
        <f t="array" ref="CO475">_xlfn.TEXTJOIN("",TRUE,IF(ISERROR(FIND(ROW($1:$168)-1,CM475&amp;CN475)),ROW($1:$168)-1,""))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75" s="30" t="str">
        <f t="shared" si="333"/>
        <v>邻孤孤</v>
      </c>
    </row>
    <row r="476" spans="1:94">
      <c r="A476" s="15">
        <v>476</v>
      </c>
      <c r="B476" s="80">
        <v>2025093</v>
      </c>
      <c r="C476" s="8" t="s">
        <v>402</v>
      </c>
      <c r="D476" s="81">
        <f t="shared" si="344"/>
        <v>14</v>
      </c>
      <c r="E476" s="82">
        <f t="shared" si="345"/>
        <v>4</v>
      </c>
      <c r="F476" s="83">
        <f t="shared" si="342"/>
        <v>14</v>
      </c>
      <c r="G476" s="84" t="str">
        <f t="shared" si="343"/>
        <v>紧凑</v>
      </c>
      <c r="H476" s="85" t="s">
        <v>10</v>
      </c>
      <c r="I476" s="85" t="s">
        <v>11</v>
      </c>
      <c r="J476" s="85" t="s">
        <v>12</v>
      </c>
      <c r="K476" s="85" t="s">
        <v>13</v>
      </c>
      <c r="L476" s="86">
        <f>MAX(MID(C476,{1,2,3},1)*1)-MIN(MID(C476,{1,2,3},1)*1)</f>
        <v>1</v>
      </c>
      <c r="M476" s="87">
        <v>0</v>
      </c>
      <c r="N476" s="87">
        <v>1</v>
      </c>
      <c r="O476" s="87">
        <v>2</v>
      </c>
      <c r="P476" s="87">
        <v>3</v>
      </c>
      <c r="Q476" s="87">
        <v>4</v>
      </c>
      <c r="R476" s="87">
        <v>5</v>
      </c>
      <c r="S476" s="87">
        <v>6</v>
      </c>
      <c r="T476" s="87">
        <v>7</v>
      </c>
      <c r="U476" s="87">
        <v>8</v>
      </c>
      <c r="V476" s="87">
        <v>9</v>
      </c>
      <c r="W476" s="88">
        <f t="shared" si="346"/>
        <v>1</v>
      </c>
      <c r="X476" s="88">
        <f t="shared" si="347"/>
        <v>0</v>
      </c>
      <c r="Y476" s="88">
        <f t="shared" si="348"/>
        <v>1</v>
      </c>
      <c r="Z476" s="89">
        <f t="shared" si="320"/>
        <v>2</v>
      </c>
      <c r="AA476" s="17" t="str">
        <f>_xlfn.TEXTJOIN(", ",TRUE,ABS(MID(C476,{1,1,2},1)-MID(C476,{2,3,3},1)))</f>
        <v>1, 0, 1</v>
      </c>
      <c r="AB476" s="90">
        <v>0</v>
      </c>
      <c r="AC476" s="90">
        <v>1</v>
      </c>
      <c r="AD476" s="90">
        <v>2</v>
      </c>
      <c r="AE476" s="90">
        <v>3</v>
      </c>
      <c r="AF476" s="90">
        <v>4</v>
      </c>
      <c r="AG476" s="90">
        <v>5</v>
      </c>
      <c r="AH476" s="90">
        <v>6</v>
      </c>
      <c r="AI476" s="90">
        <v>7</v>
      </c>
      <c r="AJ476" s="90">
        <v>8</v>
      </c>
      <c r="AK476" s="90">
        <v>9</v>
      </c>
      <c r="AL476" s="91">
        <v>0</v>
      </c>
      <c r="AM476" s="91">
        <v>1</v>
      </c>
      <c r="AN476" s="91">
        <v>2</v>
      </c>
      <c r="AO476" s="91">
        <v>3</v>
      </c>
      <c r="AP476" s="91">
        <v>4</v>
      </c>
      <c r="AQ476" s="91">
        <v>5</v>
      </c>
      <c r="AR476" s="91">
        <v>6</v>
      </c>
      <c r="AS476" s="91">
        <v>7</v>
      </c>
      <c r="AT476" s="91">
        <v>8</v>
      </c>
      <c r="AU476" s="91">
        <v>9</v>
      </c>
      <c r="AV476" s="92">
        <v>0</v>
      </c>
      <c r="AW476" s="92">
        <v>1</v>
      </c>
      <c r="AX476" s="92">
        <v>2</v>
      </c>
      <c r="AY476" s="92">
        <v>3</v>
      </c>
      <c r="AZ476" s="92">
        <v>4</v>
      </c>
      <c r="BA476" s="92">
        <v>5</v>
      </c>
      <c r="BB476" s="92">
        <v>6</v>
      </c>
      <c r="BC476" s="92">
        <v>7</v>
      </c>
      <c r="BD476" s="92">
        <v>8</v>
      </c>
      <c r="BE476" s="92">
        <v>9</v>
      </c>
      <c r="BF476" s="93">
        <v>0</v>
      </c>
      <c r="BG476" s="93">
        <v>1</v>
      </c>
      <c r="BH476" s="93">
        <v>2</v>
      </c>
      <c r="BI476" s="93">
        <v>3</v>
      </c>
      <c r="BJ476" s="93">
        <v>4</v>
      </c>
      <c r="BK476" s="93">
        <v>5</v>
      </c>
      <c r="BL476" s="93">
        <v>6</v>
      </c>
      <c r="BM476" s="93">
        <v>7</v>
      </c>
      <c r="BN476" s="93">
        <v>8</v>
      </c>
      <c r="BO476" s="93">
        <v>9</v>
      </c>
      <c r="BP476" s="94" t="str">
        <f t="shared" si="321"/>
        <v>紧凑型</v>
      </c>
      <c r="BQ476" s="15">
        <f t="shared" si="318"/>
        <v>0</v>
      </c>
      <c r="BR476" s="15">
        <f t="shared" si="319"/>
        <v>1</v>
      </c>
      <c r="BS476" s="20" t="str">
        <f t="shared" si="323"/>
        <v/>
      </c>
      <c r="BT476" s="21" t="str">
        <f t="shared" si="324"/>
        <v/>
      </c>
      <c r="BU476" s="21" t="str">
        <f t="array" ref="BU476">_xlfn.TEXTJOIN("",TRUE,IF(ISERROR(FIND(ROW($1:$168)-1,BS476&amp;BT476)),ROW($1:$168)-1,""))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76" s="22" t="str">
        <f t="shared" si="325"/>
        <v>中中中</v>
      </c>
      <c r="BW476" s="23" t="str">
        <f t="shared" si="336"/>
        <v/>
      </c>
      <c r="BX476" s="23" t="str">
        <f t="shared" si="334"/>
        <v/>
      </c>
      <c r="BY476" s="23" t="str">
        <f t="array" ref="BY476">_xlfn.TEXTJOIN("",TRUE,IF(ISERROR(FIND(ROW($1:$168)-1,BW476&amp;BX476)),ROW($1:$168)-1,""))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76" s="22" t="str">
        <f t="shared" si="326"/>
        <v>中中中</v>
      </c>
      <c r="CA476" s="24" t="str">
        <f t="shared" si="327"/>
        <v/>
      </c>
      <c r="CB476" s="24" t="str">
        <f t="shared" si="335"/>
        <v/>
      </c>
      <c r="CC476" s="24" t="str">
        <f t="array" ref="CC476">_xlfn.TEXTJOIN("",TRUE,IF(ISERROR(FIND(ROW($1:$168)-1,CA476&amp;CB476)),ROW($1:$168)-1,""))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76" s="22" t="str">
        <f t="shared" si="328"/>
        <v>中中中</v>
      </c>
      <c r="CE476" s="25" t="str">
        <f t="shared" si="322"/>
        <v>02</v>
      </c>
      <c r="CF476" s="26" t="str">
        <f t="array" ref="CF476">_xlfn.TEXTJOIN("",TRUE,IF(ISNUMBER(FIND(MID(CE475&amp;W475,ROW($1:$162),1),CE476&amp;W476)),MID(CE475&amp;W475,ROW($1:$162),1),""))</f>
        <v>12</v>
      </c>
      <c r="CG476" s="27" t="str">
        <f t="array" ref="CG476">_xlfn.TEXTJOIN("",TRUE,IF(ISERROR(FIND(ROW($1:$168)-1,CE476&amp;CF476)),ROW($1:$168)-1,""))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76" s="28" t="str">
        <f t="shared" si="329"/>
        <v>邻传孤</v>
      </c>
      <c r="CI476" s="29" t="str">
        <f t="shared" si="330"/>
        <v>91</v>
      </c>
      <c r="CJ476" s="29" t="str">
        <f t="array" ref="CJ476">_xlfn.TEXTJOIN("",TRUE,IF(ISNUMBER(FIND(MID(CI475&amp;X475,ROW($1:$162),1),CI476&amp;X476)),MID(CI475&amp;X475,ROW($1:$162),1),""))</f>
        <v/>
      </c>
      <c r="CK476" s="29" t="str">
        <f t="array" ref="CK476">_xlfn.TEXTJOIN("",TRUE,IF(ISERROR(FIND(ROW($1:$168)-1,CI476&amp;CJ476)),ROW($1:$168)-1,""))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476" s="19" t="str">
        <f t="shared" si="331"/>
        <v>邻孤孤</v>
      </c>
      <c r="CM476" s="24" t="str">
        <f t="shared" si="332"/>
        <v>02</v>
      </c>
      <c r="CN476" s="24" t="str">
        <f t="array" ref="CN476">_xlfn.TEXTJOIN("",TRUE,IF(ISNUMBER(FIND(MID(CM475&amp;Y475,ROW($1:$162),1),CM476&amp;Y476)),MID(CM475&amp;Y475,ROW($1:$162),1),""))</f>
        <v/>
      </c>
      <c r="CO476" s="24" t="str">
        <f t="array" ref="CO476">_xlfn.TEXTJOIN("",TRUE,IF(ISERROR(FIND(ROW($1:$168)-1,CM476&amp;CN476)),ROW($1:$168)-1,""))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76" s="30" t="str">
        <f t="shared" si="333"/>
        <v>邻孤孤</v>
      </c>
    </row>
    <row r="477" spans="1:94">
      <c r="A477" s="15">
        <v>477</v>
      </c>
      <c r="B477" s="80">
        <v>2025094</v>
      </c>
      <c r="C477" s="8" t="s">
        <v>175</v>
      </c>
      <c r="D477" s="81">
        <f t="shared" si="344"/>
        <v>19</v>
      </c>
      <c r="E477" s="82">
        <f t="shared" si="345"/>
        <v>9</v>
      </c>
      <c r="F477" s="83">
        <f t="shared" si="342"/>
        <v>3.8</v>
      </c>
      <c r="G477" s="84" t="str">
        <f t="shared" si="343"/>
        <v>紧凑</v>
      </c>
      <c r="H477" s="85" t="s">
        <v>10</v>
      </c>
      <c r="I477" s="85" t="s">
        <v>11</v>
      </c>
      <c r="J477" s="85" t="s">
        <v>12</v>
      </c>
      <c r="K477" s="85" t="s">
        <v>13</v>
      </c>
      <c r="L477" s="86">
        <f>MAX(MID(C477,{1,2,3},1)*1)-MIN(MID(C477,{1,2,3},1)*1)</f>
        <v>5</v>
      </c>
      <c r="M477" s="87">
        <v>0</v>
      </c>
      <c r="N477" s="87">
        <v>1</v>
      </c>
      <c r="O477" s="87">
        <v>2</v>
      </c>
      <c r="P477" s="87">
        <v>3</v>
      </c>
      <c r="Q477" s="87">
        <v>4</v>
      </c>
      <c r="R477" s="87">
        <v>5</v>
      </c>
      <c r="S477" s="87">
        <v>6</v>
      </c>
      <c r="T477" s="87">
        <v>7</v>
      </c>
      <c r="U477" s="87">
        <v>8</v>
      </c>
      <c r="V477" s="87">
        <v>9</v>
      </c>
      <c r="W477" s="88">
        <f t="shared" si="346"/>
        <v>2</v>
      </c>
      <c r="X477" s="88">
        <f t="shared" si="347"/>
        <v>3</v>
      </c>
      <c r="Y477" s="88">
        <f t="shared" si="348"/>
        <v>5</v>
      </c>
      <c r="Z477" s="89">
        <f t="shared" si="320"/>
        <v>10</v>
      </c>
      <c r="AA477" s="17" t="str">
        <f>_xlfn.TEXTJOIN(", ",TRUE,ABS(MID(C477,{1,1,2},1)-MID(C477,{2,3,3},1)))</f>
        <v>2, 3, 5</v>
      </c>
      <c r="AB477" s="90">
        <v>0</v>
      </c>
      <c r="AC477" s="90">
        <v>1</v>
      </c>
      <c r="AD477" s="90">
        <v>2</v>
      </c>
      <c r="AE477" s="90">
        <v>3</v>
      </c>
      <c r="AF477" s="90">
        <v>4</v>
      </c>
      <c r="AG477" s="90">
        <v>5</v>
      </c>
      <c r="AH477" s="90">
        <v>6</v>
      </c>
      <c r="AI477" s="90">
        <v>7</v>
      </c>
      <c r="AJ477" s="90">
        <v>8</v>
      </c>
      <c r="AK477" s="90">
        <v>9</v>
      </c>
      <c r="AL477" s="91">
        <v>0</v>
      </c>
      <c r="AM477" s="91">
        <v>1</v>
      </c>
      <c r="AN477" s="91">
        <v>2</v>
      </c>
      <c r="AO477" s="91">
        <v>3</v>
      </c>
      <c r="AP477" s="91">
        <v>4</v>
      </c>
      <c r="AQ477" s="91">
        <v>5</v>
      </c>
      <c r="AR477" s="91">
        <v>6</v>
      </c>
      <c r="AS477" s="91">
        <v>7</v>
      </c>
      <c r="AT477" s="91">
        <v>8</v>
      </c>
      <c r="AU477" s="91">
        <v>9</v>
      </c>
      <c r="AV477" s="92">
        <v>0</v>
      </c>
      <c r="AW477" s="92">
        <v>1</v>
      </c>
      <c r="AX477" s="92">
        <v>2</v>
      </c>
      <c r="AY477" s="92">
        <v>3</v>
      </c>
      <c r="AZ477" s="92">
        <v>4</v>
      </c>
      <c r="BA477" s="92">
        <v>5</v>
      </c>
      <c r="BB477" s="92">
        <v>6</v>
      </c>
      <c r="BC477" s="92">
        <v>7</v>
      </c>
      <c r="BD477" s="92">
        <v>8</v>
      </c>
      <c r="BE477" s="92">
        <v>9</v>
      </c>
      <c r="BF477" s="93">
        <v>0</v>
      </c>
      <c r="BG477" s="93">
        <v>1</v>
      </c>
      <c r="BH477" s="93">
        <v>2</v>
      </c>
      <c r="BI477" s="93">
        <v>3</v>
      </c>
      <c r="BJ477" s="93">
        <v>4</v>
      </c>
      <c r="BK477" s="93">
        <v>5</v>
      </c>
      <c r="BL477" s="93">
        <v>6</v>
      </c>
      <c r="BM477" s="93">
        <v>7</v>
      </c>
      <c r="BN477" s="93">
        <v>8</v>
      </c>
      <c r="BO477" s="93">
        <v>9</v>
      </c>
      <c r="BP477" s="94" t="str">
        <f t="shared" si="321"/>
        <v>标准型</v>
      </c>
      <c r="BQ477" s="15">
        <f t="shared" si="318"/>
        <v>2</v>
      </c>
      <c r="BR477" s="15">
        <f t="shared" si="319"/>
        <v>5</v>
      </c>
      <c r="BS477" s="20" t="str">
        <f t="shared" si="323"/>
        <v/>
      </c>
      <c r="BT477" s="21">
        <f t="shared" si="324"/>
        <v>2</v>
      </c>
      <c r="BU477" s="21" t="str">
        <f t="array" ref="BU477">_xlfn.TEXTJOIN("",TRUE,IF(ISERROR(FIND(ROW($1:$168)-1,BS477&amp;BT477)),ROW($1:$168)-1,""))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77" s="22" t="str">
        <f t="shared" si="325"/>
        <v>中隔中</v>
      </c>
      <c r="BW477" s="23" t="str">
        <f t="shared" si="336"/>
        <v/>
      </c>
      <c r="BX477" s="23" t="str">
        <f t="shared" si="334"/>
        <v/>
      </c>
      <c r="BY477" s="23" t="str">
        <f t="array" ref="BY477">_xlfn.TEXTJOIN("",TRUE,IF(ISERROR(FIND(ROW($1:$168)-1,BW477&amp;BX477)),ROW($1:$168)-1,""))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77" s="22" t="str">
        <f t="shared" si="326"/>
        <v>中中中</v>
      </c>
      <c r="CA477" s="24" t="str">
        <f t="shared" si="327"/>
        <v/>
      </c>
      <c r="CB477" s="24" t="str">
        <f t="shared" si="335"/>
        <v/>
      </c>
      <c r="CC477" s="24" t="str">
        <f t="array" ref="CC477">_xlfn.TEXTJOIN("",TRUE,IF(ISERROR(FIND(ROW($1:$168)-1,CA477&amp;CB477)),ROW($1:$168)-1,""))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77" s="22" t="str">
        <f t="shared" si="328"/>
        <v>中中中</v>
      </c>
      <c r="CE477" s="25" t="str">
        <f t="shared" si="322"/>
        <v>13</v>
      </c>
      <c r="CF477" s="26" t="str">
        <f t="array" ref="CF477">_xlfn.TEXTJOIN("",TRUE,IF(ISNUMBER(FIND(MID(CE476&amp;W476,ROW($1:$162),1),CE477&amp;W477)),MID(CE476&amp;W476,ROW($1:$162),1),""))</f>
        <v>21</v>
      </c>
      <c r="CG477" s="27" t="str">
        <f t="array" ref="CG477">_xlfn.TEXTJOIN("",TRUE,IF(ISERROR(FIND(ROW($1:$168)-1,CE477&amp;CF477)),ROW($1:$168)-1,""))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477" s="28" t="str">
        <f t="shared" si="329"/>
        <v>邻传孤</v>
      </c>
      <c r="CI477" s="29" t="str">
        <f t="shared" si="330"/>
        <v>24</v>
      </c>
      <c r="CJ477" s="29" t="str">
        <f t="array" ref="CJ477">_xlfn.TEXTJOIN("",TRUE,IF(ISNUMBER(FIND(MID(CI476&amp;X476,ROW($1:$162),1),CI477&amp;X477)),MID(CI476&amp;X476,ROW($1:$162),1),""))</f>
        <v/>
      </c>
      <c r="CK477" s="29" t="str">
        <f t="array" ref="CK477">_xlfn.TEXTJOIN("",TRUE,IF(ISERROR(FIND(ROW($1:$168)-1,CI477&amp;CJ477)),ROW($1:$168)-1,""))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77" s="19" t="str">
        <f t="shared" si="331"/>
        <v>邻孤孤</v>
      </c>
      <c r="CM477" s="24" t="str">
        <f t="shared" si="332"/>
        <v>46</v>
      </c>
      <c r="CN477" s="24" t="str">
        <f t="array" ref="CN477">_xlfn.TEXTJOIN("",TRUE,IF(ISNUMBER(FIND(MID(CM476&amp;Y476,ROW($1:$162),1),CM477&amp;Y477)),MID(CM476&amp;Y476,ROW($1:$162),1),""))</f>
        <v/>
      </c>
      <c r="CO477" s="24" t="str">
        <f t="array" ref="CO477">_xlfn.TEXTJOIN("",TRUE,IF(ISERROR(FIND(ROW($1:$168)-1,CM477&amp;CN477)),ROW($1:$168)-1,""))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77" s="30" t="str">
        <f t="shared" si="333"/>
        <v>邻孤孤</v>
      </c>
    </row>
    <row r="478" spans="1:94">
      <c r="A478" s="15">
        <v>478</v>
      </c>
      <c r="B478" s="80">
        <v>2025095</v>
      </c>
      <c r="C478" s="8" t="s">
        <v>403</v>
      </c>
      <c r="D478" s="81">
        <f t="shared" si="344"/>
        <v>14</v>
      </c>
      <c r="E478" s="82">
        <f t="shared" si="345"/>
        <v>4</v>
      </c>
      <c r="F478" s="83">
        <f t="shared" si="342"/>
        <v>1.75</v>
      </c>
      <c r="G478" s="84" t="str">
        <f t="shared" si="343"/>
        <v>松散</v>
      </c>
      <c r="H478" s="85" t="s">
        <v>10</v>
      </c>
      <c r="I478" s="85" t="s">
        <v>11</v>
      </c>
      <c r="J478" s="85" t="s">
        <v>12</v>
      </c>
      <c r="K478" s="85" t="s">
        <v>13</v>
      </c>
      <c r="L478" s="86">
        <f>MAX(MID(C478,{1,2,3},1)*1)-MIN(MID(C478,{1,2,3},1)*1)</f>
        <v>8</v>
      </c>
      <c r="M478" s="87">
        <v>0</v>
      </c>
      <c r="N478" s="87">
        <v>1</v>
      </c>
      <c r="O478" s="87">
        <v>2</v>
      </c>
      <c r="P478" s="87">
        <v>3</v>
      </c>
      <c r="Q478" s="87">
        <v>4</v>
      </c>
      <c r="R478" s="87">
        <v>5</v>
      </c>
      <c r="S478" s="87">
        <v>6</v>
      </c>
      <c r="T478" s="87">
        <v>7</v>
      </c>
      <c r="U478" s="87">
        <v>8</v>
      </c>
      <c r="V478" s="87">
        <v>9</v>
      </c>
      <c r="W478" s="88">
        <f t="shared" si="346"/>
        <v>6</v>
      </c>
      <c r="X478" s="88">
        <f t="shared" si="347"/>
        <v>8</v>
      </c>
      <c r="Y478" s="88">
        <f t="shared" si="348"/>
        <v>2</v>
      </c>
      <c r="Z478" s="89">
        <f t="shared" si="320"/>
        <v>16</v>
      </c>
      <c r="AA478" s="17" t="str">
        <f>_xlfn.TEXTJOIN(", ",TRUE,ABS(MID(C478,{1,1,2},1)-MID(C478,{2,3,3},1)))</f>
        <v>6, 8, 2</v>
      </c>
      <c r="AB478" s="90">
        <v>0</v>
      </c>
      <c r="AC478" s="90">
        <v>1</v>
      </c>
      <c r="AD478" s="90">
        <v>2</v>
      </c>
      <c r="AE478" s="90">
        <v>3</v>
      </c>
      <c r="AF478" s="90">
        <v>4</v>
      </c>
      <c r="AG478" s="90">
        <v>5</v>
      </c>
      <c r="AH478" s="90">
        <v>6</v>
      </c>
      <c r="AI478" s="90">
        <v>7</v>
      </c>
      <c r="AJ478" s="90">
        <v>8</v>
      </c>
      <c r="AK478" s="90">
        <v>9</v>
      </c>
      <c r="AL478" s="91">
        <v>0</v>
      </c>
      <c r="AM478" s="91">
        <v>1</v>
      </c>
      <c r="AN478" s="91">
        <v>2</v>
      </c>
      <c r="AO478" s="91">
        <v>3</v>
      </c>
      <c r="AP478" s="91">
        <v>4</v>
      </c>
      <c r="AQ478" s="91">
        <v>5</v>
      </c>
      <c r="AR478" s="91">
        <v>6</v>
      </c>
      <c r="AS478" s="91">
        <v>7</v>
      </c>
      <c r="AT478" s="91">
        <v>8</v>
      </c>
      <c r="AU478" s="91">
        <v>9</v>
      </c>
      <c r="AV478" s="92">
        <v>0</v>
      </c>
      <c r="AW478" s="92">
        <v>1</v>
      </c>
      <c r="AX478" s="92">
        <v>2</v>
      </c>
      <c r="AY478" s="92">
        <v>3</v>
      </c>
      <c r="AZ478" s="92">
        <v>4</v>
      </c>
      <c r="BA478" s="92">
        <v>5</v>
      </c>
      <c r="BB478" s="92">
        <v>6</v>
      </c>
      <c r="BC478" s="92">
        <v>7</v>
      </c>
      <c r="BD478" s="92">
        <v>8</v>
      </c>
      <c r="BE478" s="92">
        <v>9</v>
      </c>
      <c r="BF478" s="93">
        <v>0</v>
      </c>
      <c r="BG478" s="93">
        <v>1</v>
      </c>
      <c r="BH478" s="93">
        <v>2</v>
      </c>
      <c r="BI478" s="93">
        <v>3</v>
      </c>
      <c r="BJ478" s="93">
        <v>4</v>
      </c>
      <c r="BK478" s="93">
        <v>5</v>
      </c>
      <c r="BL478" s="93">
        <v>6</v>
      </c>
      <c r="BM478" s="93">
        <v>7</v>
      </c>
      <c r="BN478" s="93">
        <v>8</v>
      </c>
      <c r="BO478" s="93">
        <v>9</v>
      </c>
      <c r="BP478" s="94" t="str">
        <f t="shared" si="321"/>
        <v>松散型</v>
      </c>
      <c r="BQ478" s="15">
        <f t="shared" si="318"/>
        <v>2</v>
      </c>
      <c r="BR478" s="15">
        <f t="shared" si="319"/>
        <v>8</v>
      </c>
      <c r="BS478" s="20" t="str">
        <f t="shared" si="323"/>
        <v/>
      </c>
      <c r="BT478" s="21" t="str">
        <f t="shared" si="324"/>
        <v/>
      </c>
      <c r="BU478" s="21" t="str">
        <f t="array" ref="BU478">_xlfn.TEXTJOIN("",TRUE,IF(ISERROR(FIND(ROW($1:$168)-1,BS478&amp;BT478)),ROW($1:$168)-1,""))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78" s="22" t="str">
        <f t="shared" si="325"/>
        <v>中中中</v>
      </c>
      <c r="BW478" s="23" t="str">
        <f t="shared" si="336"/>
        <v/>
      </c>
      <c r="BX478" s="23" t="str">
        <f t="shared" si="334"/>
        <v/>
      </c>
      <c r="BY478" s="23" t="str">
        <f t="array" ref="BY478">_xlfn.TEXTJOIN("",TRUE,IF(ISERROR(FIND(ROW($1:$168)-1,BW478&amp;BX478)),ROW($1:$168)-1,""))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78" s="22" t="str">
        <f t="shared" si="326"/>
        <v>中中中</v>
      </c>
      <c r="CA478" s="24">
        <f t="shared" si="327"/>
        <v>2</v>
      </c>
      <c r="CB478" s="24" t="str">
        <f t="shared" si="335"/>
        <v/>
      </c>
      <c r="CC478" s="24" t="str">
        <f t="array" ref="CC478">_xlfn.TEXTJOIN("",TRUE,IF(ISERROR(FIND(ROW($1:$168)-1,CA478&amp;CB478)),ROW($1:$168)-1,""))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78" s="22" t="str">
        <f t="shared" si="328"/>
        <v>复中中</v>
      </c>
      <c r="CE478" s="25" t="str">
        <f t="shared" si="322"/>
        <v>57</v>
      </c>
      <c r="CF478" s="26" t="str">
        <f t="array" ref="CF478">_xlfn.TEXTJOIN("",TRUE,IF(ISNUMBER(FIND(MID(CE477&amp;W477,ROW($1:$162),1),CE478&amp;W478)),MID(CE477&amp;W477,ROW($1:$162),1),""))</f>
        <v/>
      </c>
      <c r="CG478" s="27" t="str">
        <f t="array" ref="CG478">_xlfn.TEXTJOIN("",TRUE,IF(ISERROR(FIND(ROW($1:$168)-1,CE478&amp;CF478)),ROW($1:$168)-1,""))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78" s="28" t="str">
        <f t="shared" si="329"/>
        <v>邻孤孤</v>
      </c>
      <c r="CI478" s="29" t="str">
        <f t="shared" si="330"/>
        <v>79</v>
      </c>
      <c r="CJ478" s="29" t="str">
        <f t="array" ref="CJ478">_xlfn.TEXTJOIN("",TRUE,IF(ISNUMBER(FIND(MID(CI477&amp;X477,ROW($1:$162),1),CI478&amp;X478)),MID(CI477&amp;X477,ROW($1:$162),1),""))</f>
        <v/>
      </c>
      <c r="CK478" s="29" t="str">
        <f t="array" ref="CK478">_xlfn.TEXTJOIN("",TRUE,IF(ISERROR(FIND(ROW($1:$168)-1,CI478&amp;CJ478)),ROW($1:$168)-1,""))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478" s="19" t="str">
        <f t="shared" si="331"/>
        <v>邻孤孤</v>
      </c>
      <c r="CM478" s="24" t="str">
        <f t="shared" si="332"/>
        <v>13</v>
      </c>
      <c r="CN478" s="24" t="str">
        <f t="array" ref="CN478">_xlfn.TEXTJOIN("",TRUE,IF(ISNUMBER(FIND(MID(CM477&amp;Y477,ROW($1:$162),1),CM478&amp;Y478)),MID(CM477&amp;Y477,ROW($1:$162),1),""))</f>
        <v/>
      </c>
      <c r="CO478" s="24" t="str">
        <f t="array" ref="CO478">_xlfn.TEXTJOIN("",TRUE,IF(ISERROR(FIND(ROW($1:$168)-1,CM478&amp;CN478)),ROW($1:$168)-1,""))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78" s="30" t="str">
        <f t="shared" si="333"/>
        <v>邻孤孤</v>
      </c>
    </row>
    <row r="479" spans="1:94">
      <c r="A479" s="15">
        <v>479</v>
      </c>
      <c r="B479" s="80">
        <v>2025096</v>
      </c>
      <c r="C479" s="8" t="s">
        <v>383</v>
      </c>
      <c r="D479" s="81">
        <f t="shared" si="344"/>
        <v>16</v>
      </c>
      <c r="E479" s="82">
        <f t="shared" si="345"/>
        <v>6</v>
      </c>
      <c r="F479" s="83">
        <f t="shared" si="342"/>
        <v>3.2</v>
      </c>
      <c r="G479" s="84" t="str">
        <f t="shared" si="343"/>
        <v>标准</v>
      </c>
      <c r="H479" s="85" t="s">
        <v>10</v>
      </c>
      <c r="I479" s="85" t="s">
        <v>11</v>
      </c>
      <c r="J479" s="85" t="s">
        <v>12</v>
      </c>
      <c r="K479" s="85" t="s">
        <v>13</v>
      </c>
      <c r="L479" s="86">
        <f>MAX(MID(C479,{1,2,3},1)*1)-MIN(MID(C479,{1,2,3},1)*1)</f>
        <v>5</v>
      </c>
      <c r="M479" s="87">
        <v>0</v>
      </c>
      <c r="N479" s="87">
        <v>1</v>
      </c>
      <c r="O479" s="87">
        <v>2</v>
      </c>
      <c r="P479" s="87">
        <v>3</v>
      </c>
      <c r="Q479" s="87">
        <v>4</v>
      </c>
      <c r="R479" s="87">
        <v>5</v>
      </c>
      <c r="S479" s="87">
        <v>6</v>
      </c>
      <c r="T479" s="87">
        <v>7</v>
      </c>
      <c r="U479" s="87">
        <v>8</v>
      </c>
      <c r="V479" s="87">
        <v>9</v>
      </c>
      <c r="W479" s="88">
        <f t="shared" si="346"/>
        <v>5</v>
      </c>
      <c r="X479" s="88">
        <f t="shared" si="347"/>
        <v>2</v>
      </c>
      <c r="Y479" s="88">
        <f t="shared" si="348"/>
        <v>3</v>
      </c>
      <c r="Z479" s="89">
        <f t="shared" si="320"/>
        <v>10</v>
      </c>
      <c r="AA479" s="17" t="str">
        <f>_xlfn.TEXTJOIN(", ",TRUE,ABS(MID(C479,{1,1,2},1)-MID(C479,{2,3,3},1)))</f>
        <v>5, 2, 3</v>
      </c>
      <c r="AB479" s="90">
        <v>0</v>
      </c>
      <c r="AC479" s="90">
        <v>1</v>
      </c>
      <c r="AD479" s="90">
        <v>2</v>
      </c>
      <c r="AE479" s="90">
        <v>3</v>
      </c>
      <c r="AF479" s="90">
        <v>4</v>
      </c>
      <c r="AG479" s="90">
        <v>5</v>
      </c>
      <c r="AH479" s="90">
        <v>6</v>
      </c>
      <c r="AI479" s="90">
        <v>7</v>
      </c>
      <c r="AJ479" s="90">
        <v>8</v>
      </c>
      <c r="AK479" s="90">
        <v>9</v>
      </c>
      <c r="AL479" s="91">
        <v>0</v>
      </c>
      <c r="AM479" s="91">
        <v>1</v>
      </c>
      <c r="AN479" s="91">
        <v>2</v>
      </c>
      <c r="AO479" s="91">
        <v>3</v>
      </c>
      <c r="AP479" s="91">
        <v>4</v>
      </c>
      <c r="AQ479" s="91">
        <v>5</v>
      </c>
      <c r="AR479" s="91">
        <v>6</v>
      </c>
      <c r="AS479" s="91">
        <v>7</v>
      </c>
      <c r="AT479" s="91">
        <v>8</v>
      </c>
      <c r="AU479" s="91">
        <v>9</v>
      </c>
      <c r="AV479" s="92">
        <v>0</v>
      </c>
      <c r="AW479" s="92">
        <v>1</v>
      </c>
      <c r="AX479" s="92">
        <v>2</v>
      </c>
      <c r="AY479" s="92">
        <v>3</v>
      </c>
      <c r="AZ479" s="92">
        <v>4</v>
      </c>
      <c r="BA479" s="92">
        <v>5</v>
      </c>
      <c r="BB479" s="92">
        <v>6</v>
      </c>
      <c r="BC479" s="92">
        <v>7</v>
      </c>
      <c r="BD479" s="92">
        <v>8</v>
      </c>
      <c r="BE479" s="92">
        <v>9</v>
      </c>
      <c r="BF479" s="93">
        <v>0</v>
      </c>
      <c r="BG479" s="93">
        <v>1</v>
      </c>
      <c r="BH479" s="93">
        <v>2</v>
      </c>
      <c r="BI479" s="93">
        <v>3</v>
      </c>
      <c r="BJ479" s="93">
        <v>4</v>
      </c>
      <c r="BK479" s="93">
        <v>5</v>
      </c>
      <c r="BL479" s="93">
        <v>6</v>
      </c>
      <c r="BM479" s="93">
        <v>7</v>
      </c>
      <c r="BN479" s="93">
        <v>8</v>
      </c>
      <c r="BO479" s="93">
        <v>9</v>
      </c>
      <c r="BP479" s="94" t="str">
        <f t="shared" si="321"/>
        <v>标准型</v>
      </c>
      <c r="BQ479" s="15">
        <f t="shared" si="318"/>
        <v>2</v>
      </c>
      <c r="BR479" s="15">
        <f t="shared" si="319"/>
        <v>5</v>
      </c>
      <c r="BS479" s="20" t="str">
        <f t="shared" si="323"/>
        <v/>
      </c>
      <c r="BT479" s="21">
        <f t="shared" si="324"/>
        <v>5</v>
      </c>
      <c r="BU479" s="21" t="str">
        <f t="array" ref="BU479">_xlfn.TEXTJOIN("",TRUE,IF(ISERROR(FIND(ROW($1:$168)-1,BS479&amp;BT479)),ROW($1:$168)-1,""))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79" s="22" t="str">
        <f t="shared" si="325"/>
        <v>中隔中</v>
      </c>
      <c r="BW479" s="23">
        <f t="shared" si="336"/>
        <v>2</v>
      </c>
      <c r="BX479" s="23">
        <f t="shared" si="334"/>
        <v>2</v>
      </c>
      <c r="BY479" s="23" t="str">
        <f t="array" ref="BY479">_xlfn.TEXTJOIN("",TRUE,IF(ISERROR(FIND(ROW($1:$168)-1,BW479&amp;BX479)),ROW($1:$168)-1,""))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79" s="22" t="str">
        <f t="shared" si="326"/>
        <v>复隔中</v>
      </c>
      <c r="CA479" s="24" t="str">
        <f t="shared" si="327"/>
        <v/>
      </c>
      <c r="CB479" s="24">
        <f t="shared" si="335"/>
        <v>3</v>
      </c>
      <c r="CC479" s="24" t="str">
        <f t="array" ref="CC479">_xlfn.TEXTJOIN("",TRUE,IF(ISERROR(FIND(ROW($1:$168)-1,CA479&amp;CB479)),ROW($1:$168)-1,""))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79" s="22" t="str">
        <f t="shared" si="328"/>
        <v>中隔中</v>
      </c>
      <c r="CE479" s="25" t="str">
        <f t="shared" si="322"/>
        <v>46</v>
      </c>
      <c r="CF479" s="26" t="str">
        <f t="array" ref="CF479">_xlfn.TEXTJOIN("",TRUE,IF(ISNUMBER(FIND(MID(CE478&amp;W478,ROW($1:$162),1),CE479&amp;W479)),MID(CE478&amp;W478,ROW($1:$162),1),""))</f>
        <v>56</v>
      </c>
      <c r="CG479" s="27" t="str">
        <f t="array" ref="CG479">_xlfn.TEXTJOIN("",TRUE,IF(ISERROR(FIND(ROW($1:$168)-1,CE479&amp;CF479)),ROW($1:$168)-1,""))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79" s="28" t="str">
        <f t="shared" si="329"/>
        <v>邻传孤</v>
      </c>
      <c r="CI479" s="29" t="str">
        <f t="shared" si="330"/>
        <v>13</v>
      </c>
      <c r="CJ479" s="29" t="str">
        <f t="array" ref="CJ479">_xlfn.TEXTJOIN("",TRUE,IF(ISNUMBER(FIND(MID(CI478&amp;X478,ROW($1:$162),1),CI479&amp;X479)),MID(CI478&amp;X478,ROW($1:$162),1),""))</f>
        <v/>
      </c>
      <c r="CK479" s="29" t="str">
        <f t="array" ref="CK479">_xlfn.TEXTJOIN("",TRUE,IF(ISERROR(FIND(ROW($1:$168)-1,CI479&amp;CJ479)),ROW($1:$168)-1,""))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79" s="19" t="str">
        <f t="shared" si="331"/>
        <v>邻孤孤</v>
      </c>
      <c r="CM479" s="24" t="str">
        <f t="shared" si="332"/>
        <v>24</v>
      </c>
      <c r="CN479" s="24" t="str">
        <f t="array" ref="CN479">_xlfn.TEXTJOIN("",TRUE,IF(ISNUMBER(FIND(MID(CM478&amp;Y478,ROW($1:$162),1),CM479&amp;Y479)),MID(CM478&amp;Y478,ROW($1:$162),1),""))</f>
        <v>32</v>
      </c>
      <c r="CO479" s="24" t="str">
        <f t="array" ref="CO479">_xlfn.TEXTJOIN("",TRUE,IF(ISERROR(FIND(ROW($1:$168)-1,CM479&amp;CN479)),ROW($1:$168)-1,""))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79" s="30" t="str">
        <f t="shared" si="333"/>
        <v>邻传孤</v>
      </c>
    </row>
    <row r="480" spans="1:94">
      <c r="A480" s="15">
        <v>480</v>
      </c>
      <c r="B480" s="80">
        <v>2025097</v>
      </c>
      <c r="C480" s="8" t="s">
        <v>111</v>
      </c>
      <c r="D480" s="81">
        <f t="shared" si="344"/>
        <v>11</v>
      </c>
      <c r="E480" s="82">
        <f t="shared" si="345"/>
        <v>1</v>
      </c>
      <c r="F480" s="83">
        <f t="shared" si="342"/>
        <v>3.66666666666667</v>
      </c>
      <c r="G480" s="84" t="str">
        <f t="shared" si="343"/>
        <v>紧凑</v>
      </c>
      <c r="H480" s="85" t="s">
        <v>10</v>
      </c>
      <c r="I480" s="85" t="s">
        <v>11</v>
      </c>
      <c r="J480" s="85" t="s">
        <v>12</v>
      </c>
      <c r="K480" s="85" t="s">
        <v>13</v>
      </c>
      <c r="L480" s="86">
        <f>MAX(MID(C480,{1,2,3},1)*1)-MIN(MID(C480,{1,2,3},1)*1)</f>
        <v>3</v>
      </c>
      <c r="M480" s="87">
        <v>0</v>
      </c>
      <c r="N480" s="87">
        <v>1</v>
      </c>
      <c r="O480" s="87">
        <v>2</v>
      </c>
      <c r="P480" s="87">
        <v>3</v>
      </c>
      <c r="Q480" s="87">
        <v>4</v>
      </c>
      <c r="R480" s="87">
        <v>5</v>
      </c>
      <c r="S480" s="87">
        <v>6</v>
      </c>
      <c r="T480" s="87">
        <v>7</v>
      </c>
      <c r="U480" s="87">
        <v>8</v>
      </c>
      <c r="V480" s="87">
        <v>9</v>
      </c>
      <c r="W480" s="88">
        <f t="shared" si="346"/>
        <v>1</v>
      </c>
      <c r="X480" s="88">
        <f t="shared" si="347"/>
        <v>3</v>
      </c>
      <c r="Y480" s="88">
        <f t="shared" si="348"/>
        <v>2</v>
      </c>
      <c r="Z480" s="89">
        <f t="shared" si="320"/>
        <v>6</v>
      </c>
      <c r="AA480" s="17" t="str">
        <f>_xlfn.TEXTJOIN(", ",TRUE,ABS(MID(C480,{1,1,2},1)-MID(C480,{2,3,3},1)))</f>
        <v>1, 3, 2</v>
      </c>
      <c r="AB480" s="90">
        <v>0</v>
      </c>
      <c r="AC480" s="90">
        <v>1</v>
      </c>
      <c r="AD480" s="90">
        <v>2</v>
      </c>
      <c r="AE480" s="90">
        <v>3</v>
      </c>
      <c r="AF480" s="90">
        <v>4</v>
      </c>
      <c r="AG480" s="90">
        <v>5</v>
      </c>
      <c r="AH480" s="90">
        <v>6</v>
      </c>
      <c r="AI480" s="90">
        <v>7</v>
      </c>
      <c r="AJ480" s="90">
        <v>8</v>
      </c>
      <c r="AK480" s="90">
        <v>9</v>
      </c>
      <c r="AL480" s="91">
        <v>0</v>
      </c>
      <c r="AM480" s="91">
        <v>1</v>
      </c>
      <c r="AN480" s="91">
        <v>2</v>
      </c>
      <c r="AO480" s="91">
        <v>3</v>
      </c>
      <c r="AP480" s="91">
        <v>4</v>
      </c>
      <c r="AQ480" s="91">
        <v>5</v>
      </c>
      <c r="AR480" s="91">
        <v>6</v>
      </c>
      <c r="AS480" s="91">
        <v>7</v>
      </c>
      <c r="AT480" s="91">
        <v>8</v>
      </c>
      <c r="AU480" s="91">
        <v>9</v>
      </c>
      <c r="AV480" s="92">
        <v>0</v>
      </c>
      <c r="AW480" s="92">
        <v>1</v>
      </c>
      <c r="AX480" s="92">
        <v>2</v>
      </c>
      <c r="AY480" s="92">
        <v>3</v>
      </c>
      <c r="AZ480" s="92">
        <v>4</v>
      </c>
      <c r="BA480" s="92">
        <v>5</v>
      </c>
      <c r="BB480" s="92">
        <v>6</v>
      </c>
      <c r="BC480" s="92">
        <v>7</v>
      </c>
      <c r="BD480" s="92">
        <v>8</v>
      </c>
      <c r="BE480" s="92">
        <v>9</v>
      </c>
      <c r="BF480" s="93">
        <v>0</v>
      </c>
      <c r="BG480" s="93">
        <v>1</v>
      </c>
      <c r="BH480" s="93">
        <v>2</v>
      </c>
      <c r="BI480" s="93">
        <v>3</v>
      </c>
      <c r="BJ480" s="93">
        <v>4</v>
      </c>
      <c r="BK480" s="93">
        <v>5</v>
      </c>
      <c r="BL480" s="93">
        <v>6</v>
      </c>
      <c r="BM480" s="93">
        <v>7</v>
      </c>
      <c r="BN480" s="93">
        <v>8</v>
      </c>
      <c r="BO480" s="93">
        <v>9</v>
      </c>
      <c r="BP480" s="94" t="str">
        <f t="shared" si="321"/>
        <v>紧凑型</v>
      </c>
      <c r="BQ480" s="15">
        <f t="shared" si="318"/>
        <v>1</v>
      </c>
      <c r="BR480" s="15">
        <f t="shared" si="319"/>
        <v>3</v>
      </c>
      <c r="BS480" s="20" t="str">
        <f t="shared" si="323"/>
        <v/>
      </c>
      <c r="BT480" s="21" t="str">
        <f t="shared" si="324"/>
        <v/>
      </c>
      <c r="BU480" s="21" t="str">
        <f t="array" ref="BU480">_xlfn.TEXTJOIN("",TRUE,IF(ISERROR(FIND(ROW($1:$168)-1,BS480&amp;BT480)),ROW($1:$168)-1,""))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80" s="22" t="str">
        <f t="shared" si="325"/>
        <v>中中中</v>
      </c>
      <c r="BW480" s="23">
        <f t="shared" si="336"/>
        <v>3</v>
      </c>
      <c r="BX480" s="23" t="str">
        <f t="shared" si="334"/>
        <v/>
      </c>
      <c r="BY480" s="23" t="str">
        <f t="array" ref="BY480">_xlfn.TEXTJOIN("",TRUE,IF(ISERROR(FIND(ROW($1:$168)-1,BW480&amp;BX480)),ROW($1:$168)-1,""))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80" s="22" t="str">
        <f t="shared" si="326"/>
        <v>复中中</v>
      </c>
      <c r="CA480" s="24">
        <f t="shared" si="327"/>
        <v>2</v>
      </c>
      <c r="CB480" s="24">
        <f t="shared" si="335"/>
        <v>2</v>
      </c>
      <c r="CC480" s="24" t="str">
        <f t="array" ref="CC480">_xlfn.TEXTJOIN("",TRUE,IF(ISERROR(FIND(ROW($1:$168)-1,CA480&amp;CB480)),ROW($1:$168)-1,""))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80" s="22" t="str">
        <f t="shared" si="328"/>
        <v>复隔中</v>
      </c>
      <c r="CE480" s="25" t="str">
        <f t="shared" si="322"/>
        <v>02</v>
      </c>
      <c r="CF480" s="26" t="str">
        <f t="array" ref="CF480">_xlfn.TEXTJOIN("",TRUE,IF(ISNUMBER(FIND(MID(CE479&amp;W479,ROW($1:$162),1),CE480&amp;W480)),MID(CE479&amp;W479,ROW($1:$162),1),""))</f>
        <v/>
      </c>
      <c r="CG480" s="27" t="str">
        <f t="array" ref="CG480">_xlfn.TEXTJOIN("",TRUE,IF(ISERROR(FIND(ROW($1:$168)-1,CE480&amp;CF480)),ROW($1:$168)-1,""))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80" s="28" t="str">
        <f t="shared" si="329"/>
        <v>邻孤孤</v>
      </c>
      <c r="CI480" s="29" t="str">
        <f t="shared" si="330"/>
        <v>24</v>
      </c>
      <c r="CJ480" s="29" t="str">
        <f t="array" ref="CJ480">_xlfn.TEXTJOIN("",TRUE,IF(ISNUMBER(FIND(MID(CI479&amp;X479,ROW($1:$162),1),CI480&amp;X480)),MID(CI479&amp;X479,ROW($1:$162),1),""))</f>
        <v>32</v>
      </c>
      <c r="CK480" s="29" t="str">
        <f t="array" ref="CK480">_xlfn.TEXTJOIN("",TRUE,IF(ISERROR(FIND(ROW($1:$168)-1,CI480&amp;CJ480)),ROW($1:$168)-1,""))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80" s="19" t="str">
        <f t="shared" si="331"/>
        <v>邻传孤</v>
      </c>
      <c r="CM480" s="24" t="str">
        <f t="shared" si="332"/>
        <v>13</v>
      </c>
      <c r="CN480" s="24" t="str">
        <f t="array" ref="CN480">_xlfn.TEXTJOIN("",TRUE,IF(ISNUMBER(FIND(MID(CM479&amp;Y479,ROW($1:$162),1),CM480&amp;Y480)),MID(CM479&amp;Y479,ROW($1:$162),1),""))</f>
        <v>23</v>
      </c>
      <c r="CO480" s="24" t="str">
        <f t="array" ref="CO480">_xlfn.TEXTJOIN("",TRUE,IF(ISERROR(FIND(ROW($1:$168)-1,CM480&amp;CN480)),ROW($1:$168)-1,""))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480" s="30" t="str">
        <f t="shared" si="333"/>
        <v>邻传孤</v>
      </c>
    </row>
    <row r="481" spans="1:94">
      <c r="A481" s="15">
        <v>481</v>
      </c>
      <c r="B481" s="80">
        <v>2025098</v>
      </c>
      <c r="C481" s="8" t="s">
        <v>404</v>
      </c>
      <c r="D481" s="81">
        <f t="shared" si="344"/>
        <v>12</v>
      </c>
      <c r="E481" s="82">
        <f t="shared" si="345"/>
        <v>2</v>
      </c>
      <c r="F481" s="83">
        <f t="shared" si="342"/>
        <v>2</v>
      </c>
      <c r="G481" s="84" t="str">
        <f t="shared" si="343"/>
        <v>标准</v>
      </c>
      <c r="H481" s="85" t="s">
        <v>10</v>
      </c>
      <c r="I481" s="85" t="s">
        <v>11</v>
      </c>
      <c r="J481" s="85" t="s">
        <v>12</v>
      </c>
      <c r="K481" s="85" t="s">
        <v>13</v>
      </c>
      <c r="L481" s="86">
        <f>MAX(MID(C481,{1,2,3},1)*1)-MIN(MID(C481,{1,2,3},1)*1)</f>
        <v>6</v>
      </c>
      <c r="M481" s="87">
        <v>0</v>
      </c>
      <c r="N481" s="87">
        <v>1</v>
      </c>
      <c r="O481" s="87">
        <v>2</v>
      </c>
      <c r="P481" s="87">
        <v>3</v>
      </c>
      <c r="Q481" s="87">
        <v>4</v>
      </c>
      <c r="R481" s="87">
        <v>5</v>
      </c>
      <c r="S481" s="87">
        <v>6</v>
      </c>
      <c r="T481" s="87">
        <v>7</v>
      </c>
      <c r="U481" s="87">
        <v>8</v>
      </c>
      <c r="V481" s="87">
        <v>9</v>
      </c>
      <c r="W481" s="88">
        <f t="shared" si="346"/>
        <v>6</v>
      </c>
      <c r="X481" s="88">
        <f t="shared" si="347"/>
        <v>3</v>
      </c>
      <c r="Y481" s="88">
        <f t="shared" si="348"/>
        <v>3</v>
      </c>
      <c r="Z481" s="89">
        <f t="shared" si="320"/>
        <v>12</v>
      </c>
      <c r="AA481" s="17" t="str">
        <f>_xlfn.TEXTJOIN(", ",TRUE,ABS(MID(C481,{1,1,2},1)-MID(C481,{2,3,3},1)))</f>
        <v>6, 3, 3</v>
      </c>
      <c r="AB481" s="90">
        <v>0</v>
      </c>
      <c r="AC481" s="90">
        <v>1</v>
      </c>
      <c r="AD481" s="90">
        <v>2</v>
      </c>
      <c r="AE481" s="90">
        <v>3</v>
      </c>
      <c r="AF481" s="90">
        <v>4</v>
      </c>
      <c r="AG481" s="90">
        <v>5</v>
      </c>
      <c r="AH481" s="90">
        <v>6</v>
      </c>
      <c r="AI481" s="90">
        <v>7</v>
      </c>
      <c r="AJ481" s="90">
        <v>8</v>
      </c>
      <c r="AK481" s="90">
        <v>9</v>
      </c>
      <c r="AL481" s="91">
        <v>0</v>
      </c>
      <c r="AM481" s="91">
        <v>1</v>
      </c>
      <c r="AN481" s="91">
        <v>2</v>
      </c>
      <c r="AO481" s="91">
        <v>3</v>
      </c>
      <c r="AP481" s="91">
        <v>4</v>
      </c>
      <c r="AQ481" s="91">
        <v>5</v>
      </c>
      <c r="AR481" s="91">
        <v>6</v>
      </c>
      <c r="AS481" s="91">
        <v>7</v>
      </c>
      <c r="AT481" s="91">
        <v>8</v>
      </c>
      <c r="AU481" s="91">
        <v>9</v>
      </c>
      <c r="AV481" s="92">
        <v>0</v>
      </c>
      <c r="AW481" s="92">
        <v>1</v>
      </c>
      <c r="AX481" s="92">
        <v>2</v>
      </c>
      <c r="AY481" s="92">
        <v>3</v>
      </c>
      <c r="AZ481" s="92">
        <v>4</v>
      </c>
      <c r="BA481" s="92">
        <v>5</v>
      </c>
      <c r="BB481" s="92">
        <v>6</v>
      </c>
      <c r="BC481" s="92">
        <v>7</v>
      </c>
      <c r="BD481" s="92">
        <v>8</v>
      </c>
      <c r="BE481" s="92">
        <v>9</v>
      </c>
      <c r="BF481" s="93">
        <v>0</v>
      </c>
      <c r="BG481" s="93">
        <v>1</v>
      </c>
      <c r="BH481" s="93">
        <v>2</v>
      </c>
      <c r="BI481" s="93">
        <v>3</v>
      </c>
      <c r="BJ481" s="93">
        <v>4</v>
      </c>
      <c r="BK481" s="93">
        <v>5</v>
      </c>
      <c r="BL481" s="93">
        <v>6</v>
      </c>
      <c r="BM481" s="93">
        <v>7</v>
      </c>
      <c r="BN481" s="93">
        <v>8</v>
      </c>
      <c r="BO481" s="93">
        <v>9</v>
      </c>
      <c r="BP481" s="94" t="str">
        <f t="shared" si="321"/>
        <v>松散型</v>
      </c>
      <c r="BQ481" s="15">
        <f t="shared" ref="BQ481:BQ544" si="349">MIN(ABS(INT(C481/100)-INT(MOD(C481,100)/10)),ABS(INT(C481/100)-MOD(C481,10)),ABS(INT(MOD(C481,100)/10)-MOD(C481,10)))</f>
        <v>3</v>
      </c>
      <c r="BR481" s="15">
        <f t="shared" ref="BR481:BR544" si="350">MAX(ABS(INT(C481/100)-INT(MOD(C481,100)/10)),ABS(INT(C481/100)-MOD(C481,10)),ABS(INT(MOD(C481,100)/10)-MOD(C481,10)))</f>
        <v>6</v>
      </c>
      <c r="BS481" s="20" t="str">
        <f t="shared" si="323"/>
        <v/>
      </c>
      <c r="BT481" s="21" t="str">
        <f t="shared" si="324"/>
        <v/>
      </c>
      <c r="BU481" s="21" t="str">
        <f t="array" ref="BU481">_xlfn.TEXTJOIN("",TRUE,IF(ISERROR(FIND(ROW($1:$168)-1,BS481&amp;BT481)),ROW($1:$168)-1,""))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81" s="22" t="str">
        <f t="shared" si="325"/>
        <v>中中中</v>
      </c>
      <c r="BW481" s="23">
        <f t="shared" si="336"/>
        <v>3</v>
      </c>
      <c r="BX481" s="23">
        <f t="shared" si="334"/>
        <v>3</v>
      </c>
      <c r="BY481" s="23" t="str">
        <f t="array" ref="BY481">_xlfn.TEXTJOIN("",TRUE,IF(ISERROR(FIND(ROW($1:$168)-1,BW481&amp;BX481)),ROW($1:$168)-1,""))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81" s="22" t="str">
        <f t="shared" si="326"/>
        <v>复隔中</v>
      </c>
      <c r="CA481" s="24">
        <f t="shared" si="327"/>
        <v>3</v>
      </c>
      <c r="CB481" s="24">
        <f t="shared" si="335"/>
        <v>3</v>
      </c>
      <c r="CC481" s="24" t="str">
        <f t="array" ref="CC481">_xlfn.TEXTJOIN("",TRUE,IF(ISERROR(FIND(ROW($1:$168)-1,CA481&amp;CB481)),ROW($1:$168)-1,""))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81" s="22" t="str">
        <f t="shared" si="328"/>
        <v>复隔中</v>
      </c>
      <c r="CE481" s="25" t="str">
        <f t="shared" si="322"/>
        <v>57</v>
      </c>
      <c r="CF481" s="26" t="str">
        <f t="array" ref="CF481">_xlfn.TEXTJOIN("",TRUE,IF(ISNUMBER(FIND(MID(CE480&amp;W480,ROW($1:$162),1),CE481&amp;W481)),MID(CE480&amp;W480,ROW($1:$162),1),""))</f>
        <v/>
      </c>
      <c r="CG481" s="27" t="str">
        <f t="array" ref="CG481">_xlfn.TEXTJOIN("",TRUE,IF(ISERROR(FIND(ROW($1:$168)-1,CE481&amp;CF481)),ROW($1:$168)-1,""))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81" s="28" t="str">
        <f t="shared" si="329"/>
        <v>邻孤孤</v>
      </c>
      <c r="CI481" s="29" t="str">
        <f t="shared" si="330"/>
        <v>24</v>
      </c>
      <c r="CJ481" s="29" t="str">
        <f t="array" ref="CJ481">_xlfn.TEXTJOIN("",TRUE,IF(ISNUMBER(FIND(MID(CI480&amp;X480,ROW($1:$162),1),CI481&amp;X481)),MID(CI480&amp;X480,ROW($1:$162),1),""))</f>
        <v>243</v>
      </c>
      <c r="CK481" s="29" t="str">
        <f t="array" ref="CK481">_xlfn.TEXTJOIN("",TRUE,IF(ISERROR(FIND(ROW($1:$168)-1,CI481&amp;CJ481)),ROW($1:$168)-1,""))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81" s="19" t="str">
        <f t="shared" si="331"/>
        <v>邻传孤</v>
      </c>
      <c r="CM481" s="24" t="str">
        <f t="shared" si="332"/>
        <v>24</v>
      </c>
      <c r="CN481" s="24" t="str">
        <f t="array" ref="CN481">_xlfn.TEXTJOIN("",TRUE,IF(ISNUMBER(FIND(MID(CM480&amp;Y480,ROW($1:$162),1),CM481&amp;Y481)),MID(CM480&amp;Y480,ROW($1:$162),1),""))</f>
        <v>32</v>
      </c>
      <c r="CO481" s="24" t="str">
        <f t="array" ref="CO481">_xlfn.TEXTJOIN("",TRUE,IF(ISERROR(FIND(ROW($1:$168)-1,CM481&amp;CN481)),ROW($1:$168)-1,""))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81" s="30" t="str">
        <f t="shared" si="333"/>
        <v>邻传孤</v>
      </c>
    </row>
    <row r="482" spans="1:94">
      <c r="A482" s="15">
        <v>482</v>
      </c>
      <c r="B482" s="80">
        <v>2025099</v>
      </c>
      <c r="C482" s="8" t="s">
        <v>405</v>
      </c>
      <c r="D482" s="81">
        <f t="shared" si="344"/>
        <v>14</v>
      </c>
      <c r="E482" s="82">
        <f t="shared" si="345"/>
        <v>4</v>
      </c>
      <c r="F482" s="83">
        <f t="shared" si="342"/>
        <v>2</v>
      </c>
      <c r="G482" s="84" t="str">
        <f t="shared" si="343"/>
        <v>标准</v>
      </c>
      <c r="H482" s="85" t="s">
        <v>10</v>
      </c>
      <c r="I482" s="85" t="s">
        <v>11</v>
      </c>
      <c r="J482" s="85" t="s">
        <v>12</v>
      </c>
      <c r="K482" s="85" t="s">
        <v>13</v>
      </c>
      <c r="L482" s="86">
        <f>MAX(MID(C482,{1,2,3},1)*1)-MIN(MID(C482,{1,2,3},1)*1)</f>
        <v>7</v>
      </c>
      <c r="M482" s="87">
        <v>0</v>
      </c>
      <c r="N482" s="87">
        <v>1</v>
      </c>
      <c r="O482" s="87">
        <v>2</v>
      </c>
      <c r="P482" s="87">
        <v>3</v>
      </c>
      <c r="Q482" s="87">
        <v>4</v>
      </c>
      <c r="R482" s="87">
        <v>5</v>
      </c>
      <c r="S482" s="87">
        <v>6</v>
      </c>
      <c r="T482" s="87">
        <v>7</v>
      </c>
      <c r="U482" s="87">
        <v>8</v>
      </c>
      <c r="V482" s="87">
        <v>9</v>
      </c>
      <c r="W482" s="88">
        <f t="shared" si="346"/>
        <v>7</v>
      </c>
      <c r="X482" s="88">
        <f t="shared" si="347"/>
        <v>0</v>
      </c>
      <c r="Y482" s="88">
        <f t="shared" si="348"/>
        <v>7</v>
      </c>
      <c r="Z482" s="89">
        <f t="shared" ref="Z482:Z545" si="351">W482+X482+Y482</f>
        <v>14</v>
      </c>
      <c r="AA482" s="17" t="str">
        <f>_xlfn.TEXTJOIN(", ",TRUE,ABS(MID(C482,{1,1,2},1)-MID(C482,{2,3,3},1)))</f>
        <v>7, 0, 7</v>
      </c>
      <c r="AB482" s="90">
        <v>0</v>
      </c>
      <c r="AC482" s="90">
        <v>1</v>
      </c>
      <c r="AD482" s="90">
        <v>2</v>
      </c>
      <c r="AE482" s="90">
        <v>3</v>
      </c>
      <c r="AF482" s="90">
        <v>4</v>
      </c>
      <c r="AG482" s="90">
        <v>5</v>
      </c>
      <c r="AH482" s="90">
        <v>6</v>
      </c>
      <c r="AI482" s="90">
        <v>7</v>
      </c>
      <c r="AJ482" s="90">
        <v>8</v>
      </c>
      <c r="AK482" s="90">
        <v>9</v>
      </c>
      <c r="AL482" s="91">
        <v>0</v>
      </c>
      <c r="AM482" s="91">
        <v>1</v>
      </c>
      <c r="AN482" s="91">
        <v>2</v>
      </c>
      <c r="AO482" s="91">
        <v>3</v>
      </c>
      <c r="AP482" s="91">
        <v>4</v>
      </c>
      <c r="AQ482" s="91">
        <v>5</v>
      </c>
      <c r="AR482" s="91">
        <v>6</v>
      </c>
      <c r="AS482" s="91">
        <v>7</v>
      </c>
      <c r="AT482" s="91">
        <v>8</v>
      </c>
      <c r="AU482" s="91">
        <v>9</v>
      </c>
      <c r="AV482" s="92">
        <v>0</v>
      </c>
      <c r="AW482" s="92">
        <v>1</v>
      </c>
      <c r="AX482" s="92">
        <v>2</v>
      </c>
      <c r="AY482" s="92">
        <v>3</v>
      </c>
      <c r="AZ482" s="92">
        <v>4</v>
      </c>
      <c r="BA482" s="92">
        <v>5</v>
      </c>
      <c r="BB482" s="92">
        <v>6</v>
      </c>
      <c r="BC482" s="92">
        <v>7</v>
      </c>
      <c r="BD482" s="92">
        <v>8</v>
      </c>
      <c r="BE482" s="92">
        <v>9</v>
      </c>
      <c r="BF482" s="93">
        <v>0</v>
      </c>
      <c r="BG482" s="93">
        <v>1</v>
      </c>
      <c r="BH482" s="93">
        <v>2</v>
      </c>
      <c r="BI482" s="93">
        <v>3</v>
      </c>
      <c r="BJ482" s="93">
        <v>4</v>
      </c>
      <c r="BK482" s="93">
        <v>5</v>
      </c>
      <c r="BL482" s="93">
        <v>6</v>
      </c>
      <c r="BM482" s="93">
        <v>7</v>
      </c>
      <c r="BN482" s="93">
        <v>8</v>
      </c>
      <c r="BO482" s="93">
        <v>9</v>
      </c>
      <c r="BP482" s="94" t="str">
        <f t="shared" ref="BP482:BP545" si="352">IF(AND(BQ482&lt;=1,BR482&lt;=4),"紧凑型",IF(OR(BQ482&gt;=3,BR482&gt;=6),"松散型",IF(AND(BQ482&gt;=1,BR482&lt;=5),"标准型","对子")))</f>
        <v>松散型</v>
      </c>
      <c r="BQ482" s="15">
        <f t="shared" si="349"/>
        <v>0</v>
      </c>
      <c r="BR482" s="15">
        <f t="shared" si="350"/>
        <v>7</v>
      </c>
      <c r="BS482" s="20" t="str">
        <f t="shared" si="323"/>
        <v/>
      </c>
      <c r="BT482" s="21" t="str">
        <f t="shared" si="324"/>
        <v/>
      </c>
      <c r="BU482" s="21" t="str">
        <f t="array" ref="BU482">_xlfn.TEXTJOIN("",TRUE,IF(ISERROR(FIND(ROW($1:$168)-1,BS482&amp;BT482)),ROW($1:$168)-1,""))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82" s="22" t="str">
        <f t="shared" si="325"/>
        <v>中中中</v>
      </c>
      <c r="BW482" s="23" t="str">
        <f t="shared" si="336"/>
        <v/>
      </c>
      <c r="BX482" s="23" t="str">
        <f t="shared" si="334"/>
        <v/>
      </c>
      <c r="BY482" s="23" t="str">
        <f t="array" ref="BY482">_xlfn.TEXTJOIN("",TRUE,IF(ISERROR(FIND(ROW($1:$168)-1,BW482&amp;BX482)),ROW($1:$168)-1,""))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82" s="22" t="str">
        <f t="shared" si="326"/>
        <v>中中中</v>
      </c>
      <c r="CA482" s="24" t="str">
        <f t="shared" si="327"/>
        <v/>
      </c>
      <c r="CB482" s="24" t="str">
        <f t="shared" si="335"/>
        <v/>
      </c>
      <c r="CC482" s="24" t="str">
        <f t="array" ref="CC482">_xlfn.TEXTJOIN("",TRUE,IF(ISERROR(FIND(ROW($1:$168)-1,CA482&amp;CB482)),ROW($1:$168)-1,""))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82" s="22" t="str">
        <f t="shared" si="328"/>
        <v>中中中</v>
      </c>
      <c r="CE482" s="25" t="str">
        <f t="shared" ref="CE482:CE545" si="353">IF(W482=0,9,W482-1)&amp;""&amp;IF(W482=9,0,W482+1)</f>
        <v>68</v>
      </c>
      <c r="CF482" s="26" t="str">
        <f t="array" ref="CF482">_xlfn.TEXTJOIN("",TRUE,IF(ISNUMBER(FIND(MID(CE481&amp;W481,ROW($1:$162),1),CE482&amp;W482)),MID(CE481&amp;W481,ROW($1:$162),1),""))</f>
        <v>76</v>
      </c>
      <c r="CG482" s="27" t="str">
        <f t="array" ref="CG482">_xlfn.TEXTJOIN("",TRUE,IF(ISERROR(FIND(ROW($1:$168)-1,CE482&amp;CF482)),ROW($1:$168)-1,""))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H482" s="28" t="str">
        <f t="shared" si="329"/>
        <v>邻传孤</v>
      </c>
      <c r="CI482" s="29" t="str">
        <f t="shared" si="330"/>
        <v>91</v>
      </c>
      <c r="CJ482" s="29" t="str">
        <f t="array" ref="CJ482">_xlfn.TEXTJOIN("",TRUE,IF(ISNUMBER(FIND(MID(CI481&amp;X481,ROW($1:$162),1),CI482&amp;X482)),MID(CI481&amp;X481,ROW($1:$162),1),""))</f>
        <v/>
      </c>
      <c r="CK482" s="29" t="str">
        <f t="array" ref="CK482">_xlfn.TEXTJOIN("",TRUE,IF(ISERROR(FIND(ROW($1:$168)-1,CI482&amp;CJ482)),ROW($1:$168)-1,""))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482" s="19" t="str">
        <f t="shared" si="331"/>
        <v>邻孤孤</v>
      </c>
      <c r="CM482" s="24" t="str">
        <f t="shared" si="332"/>
        <v>68</v>
      </c>
      <c r="CN482" s="24" t="str">
        <f t="array" ref="CN482">_xlfn.TEXTJOIN("",TRUE,IF(ISNUMBER(FIND(MID(CM481&amp;Y481,ROW($1:$162),1),CM482&amp;Y482)),MID(CM481&amp;Y481,ROW($1:$162),1),""))</f>
        <v/>
      </c>
      <c r="CO482" s="24" t="str">
        <f t="array" ref="CO482">_xlfn.TEXTJOIN("",TRUE,IF(ISERROR(FIND(ROW($1:$168)-1,CM482&amp;CN482)),ROW($1:$168)-1,""))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82" s="30" t="str">
        <f t="shared" si="333"/>
        <v>邻孤孤</v>
      </c>
    </row>
    <row r="483" spans="1:94">
      <c r="A483" s="15">
        <v>483</v>
      </c>
      <c r="B483" s="80">
        <v>2025100</v>
      </c>
      <c r="C483" s="8" t="s">
        <v>75</v>
      </c>
      <c r="D483" s="81">
        <f t="shared" si="344"/>
        <v>17</v>
      </c>
      <c r="E483" s="82">
        <f t="shared" si="345"/>
        <v>7</v>
      </c>
      <c r="F483" s="83">
        <f t="shared" si="342"/>
        <v>2.83333333333333</v>
      </c>
      <c r="G483" s="84" t="str">
        <f t="shared" si="343"/>
        <v>标准</v>
      </c>
      <c r="H483" s="85" t="s">
        <v>10</v>
      </c>
      <c r="I483" s="85" t="s">
        <v>11</v>
      </c>
      <c r="J483" s="85" t="s">
        <v>12</v>
      </c>
      <c r="K483" s="85" t="s">
        <v>13</v>
      </c>
      <c r="L483" s="86">
        <f>MAX(MID(C483,{1,2,3},1)*1)-MIN(MID(C483,{1,2,3},1)*1)</f>
        <v>6</v>
      </c>
      <c r="M483" s="87">
        <v>0</v>
      </c>
      <c r="N483" s="87">
        <v>1</v>
      </c>
      <c r="O483" s="87">
        <v>2</v>
      </c>
      <c r="P483" s="87">
        <v>3</v>
      </c>
      <c r="Q483" s="87">
        <v>4</v>
      </c>
      <c r="R483" s="87">
        <v>5</v>
      </c>
      <c r="S483" s="87">
        <v>6</v>
      </c>
      <c r="T483" s="87">
        <v>7</v>
      </c>
      <c r="U483" s="87">
        <v>8</v>
      </c>
      <c r="V483" s="87">
        <v>9</v>
      </c>
      <c r="W483" s="88">
        <f t="shared" si="346"/>
        <v>4</v>
      </c>
      <c r="X483" s="88">
        <f t="shared" si="347"/>
        <v>6</v>
      </c>
      <c r="Y483" s="88">
        <f t="shared" si="348"/>
        <v>2</v>
      </c>
      <c r="Z483" s="89">
        <f t="shared" si="351"/>
        <v>12</v>
      </c>
      <c r="AA483" s="17" t="str">
        <f>_xlfn.TEXTJOIN(", ",TRUE,ABS(MID(C483,{1,1,2},1)-MID(C483,{2,3,3},1)))</f>
        <v>4, 6, 2</v>
      </c>
      <c r="AB483" s="90">
        <v>0</v>
      </c>
      <c r="AC483" s="90">
        <v>1</v>
      </c>
      <c r="AD483" s="90">
        <v>2</v>
      </c>
      <c r="AE483" s="90">
        <v>3</v>
      </c>
      <c r="AF483" s="90">
        <v>4</v>
      </c>
      <c r="AG483" s="90">
        <v>5</v>
      </c>
      <c r="AH483" s="90">
        <v>6</v>
      </c>
      <c r="AI483" s="90">
        <v>7</v>
      </c>
      <c r="AJ483" s="90">
        <v>8</v>
      </c>
      <c r="AK483" s="90">
        <v>9</v>
      </c>
      <c r="AL483" s="91">
        <v>0</v>
      </c>
      <c r="AM483" s="91">
        <v>1</v>
      </c>
      <c r="AN483" s="91">
        <v>2</v>
      </c>
      <c r="AO483" s="91">
        <v>3</v>
      </c>
      <c r="AP483" s="91">
        <v>4</v>
      </c>
      <c r="AQ483" s="91">
        <v>5</v>
      </c>
      <c r="AR483" s="91">
        <v>6</v>
      </c>
      <c r="AS483" s="91">
        <v>7</v>
      </c>
      <c r="AT483" s="91">
        <v>8</v>
      </c>
      <c r="AU483" s="91">
        <v>9</v>
      </c>
      <c r="AV483" s="92">
        <v>0</v>
      </c>
      <c r="AW483" s="92">
        <v>1</v>
      </c>
      <c r="AX483" s="92">
        <v>2</v>
      </c>
      <c r="AY483" s="92">
        <v>3</v>
      </c>
      <c r="AZ483" s="92">
        <v>4</v>
      </c>
      <c r="BA483" s="92">
        <v>5</v>
      </c>
      <c r="BB483" s="92">
        <v>6</v>
      </c>
      <c r="BC483" s="92">
        <v>7</v>
      </c>
      <c r="BD483" s="92">
        <v>8</v>
      </c>
      <c r="BE483" s="92">
        <v>9</v>
      </c>
      <c r="BF483" s="93">
        <v>0</v>
      </c>
      <c r="BG483" s="93">
        <v>1</v>
      </c>
      <c r="BH483" s="93">
        <v>2</v>
      </c>
      <c r="BI483" s="93">
        <v>3</v>
      </c>
      <c r="BJ483" s="93">
        <v>4</v>
      </c>
      <c r="BK483" s="93">
        <v>5</v>
      </c>
      <c r="BL483" s="93">
        <v>6</v>
      </c>
      <c r="BM483" s="93">
        <v>7</v>
      </c>
      <c r="BN483" s="93">
        <v>8</v>
      </c>
      <c r="BO483" s="93">
        <v>9</v>
      </c>
      <c r="BP483" s="94" t="str">
        <f t="shared" si="352"/>
        <v>松散型</v>
      </c>
      <c r="BQ483" s="15">
        <f t="shared" si="349"/>
        <v>2</v>
      </c>
      <c r="BR483" s="15">
        <f t="shared" si="350"/>
        <v>6</v>
      </c>
      <c r="BS483" s="20" t="str">
        <f t="shared" ref="BS483:BS546" si="354">IF(COUNTIF($W482:$Y482,W483)&gt;0,W483,"")</f>
        <v/>
      </c>
      <c r="BT483" s="21" t="str">
        <f t="shared" ref="BT483:BT546" si="355">IF(COUNTIF($W481:$Y481,W483)&gt;0,W483,"")</f>
        <v/>
      </c>
      <c r="BU483" s="21" t="str">
        <f t="array" ref="BU483">_xlfn.TEXTJOIN("",TRUE,IF(ISERROR(FIND(ROW($1:$168)-1,BS483&amp;BT483)),ROW($1:$168)-1,""))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83" s="22" t="str">
        <f t="shared" ref="BV483:BV546" si="356">IF(BS483&lt;&gt;"","复","中")&amp;IF(BT483&lt;&gt;"","隔","中")&amp;"中"</f>
        <v>中中中</v>
      </c>
      <c r="BW483" s="23" t="str">
        <f t="shared" si="336"/>
        <v/>
      </c>
      <c r="BX483" s="23">
        <f t="shared" si="334"/>
        <v>6</v>
      </c>
      <c r="BY483" s="23" t="str">
        <f t="array" ref="BY483">_xlfn.TEXTJOIN("",TRUE,IF(ISERROR(FIND(ROW($1:$168)-1,BW483&amp;BX483)),ROW($1:$168)-1,""))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83" s="22" t="str">
        <f t="shared" ref="BZ483:BZ546" si="357">IF(BW483&lt;&gt;"","复","中")&amp;IF(BX483&lt;&gt;"","隔","中")&amp;"中"</f>
        <v>中隔中</v>
      </c>
      <c r="CA483" s="24" t="str">
        <f t="shared" ref="CA483:CA546" si="358">IF(COUNTIF($W482:$Y482,Y483)&gt;0,Y483,"")</f>
        <v/>
      </c>
      <c r="CB483" s="24" t="str">
        <f t="shared" si="335"/>
        <v/>
      </c>
      <c r="CC483" s="24" t="str">
        <f t="array" ref="CC483">_xlfn.TEXTJOIN("",TRUE,IF(ISERROR(FIND(ROW($1:$168)-1,CA483&amp;CB483)),ROW($1:$168)-1,""))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83" s="22" t="str">
        <f t="shared" ref="CD483:CD546" si="359">IF(CA483&lt;&gt;"","复","中")&amp;IF(CB483&lt;&gt;"","隔","中")&amp;"中"</f>
        <v>中中中</v>
      </c>
      <c r="CE483" s="25" t="str">
        <f t="shared" si="353"/>
        <v>35</v>
      </c>
      <c r="CF483" s="26" t="str">
        <f t="array" ref="CF483">_xlfn.TEXTJOIN("",TRUE,IF(ISNUMBER(FIND(MID(CE482&amp;W482,ROW($1:$162),1),CE483&amp;W483)),MID(CE482&amp;W482,ROW($1:$162),1),""))</f>
        <v/>
      </c>
      <c r="CG483" s="27" t="str">
        <f t="array" ref="CG483">_xlfn.TEXTJOIN("",TRUE,IF(ISERROR(FIND(ROW($1:$168)-1,CE483&amp;CF483)),ROW($1:$168)-1,""))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83" s="28" t="str">
        <f t="shared" ref="CH483:CH546" si="360">IF(CE483&lt;&gt;"","邻","孤")&amp;IF(CF483&lt;&gt;"","传","孤")&amp;"孤"</f>
        <v>邻孤孤</v>
      </c>
      <c r="CI483" s="29" t="str">
        <f t="shared" ref="CI483:CI546" si="361">IF(X483=0,9,X483-1)&amp;""&amp;IF(X483=9,0,X483+1)</f>
        <v>57</v>
      </c>
      <c r="CJ483" s="29" t="str">
        <f t="array" ref="CJ483">_xlfn.TEXTJOIN("",TRUE,IF(ISNUMBER(FIND(MID(CI482&amp;X482,ROW($1:$162),1),CI483&amp;X483)),MID(CI482&amp;X482,ROW($1:$162),1),""))</f>
        <v/>
      </c>
      <c r="CK483" s="29" t="str">
        <f t="array" ref="CK483">_xlfn.TEXTJOIN("",TRUE,IF(ISERROR(FIND(ROW($1:$168)-1,CI483&amp;CJ483)),ROW($1:$168)-1,""))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83" s="19" t="str">
        <f t="shared" ref="CL483:CL546" si="362">IF(CI483&lt;&gt;"","邻","孤")&amp;IF(CJ483&lt;&gt;"","传","孤")&amp;"孤"</f>
        <v>邻孤孤</v>
      </c>
      <c r="CM483" s="24" t="str">
        <f t="shared" ref="CM483:CM546" si="363">IF(Y483=0,9,Y483-1)&amp;""&amp;IF(Y483=9,0,Y483+1)</f>
        <v>13</v>
      </c>
      <c r="CN483" s="24" t="str">
        <f t="array" ref="CN483">_xlfn.TEXTJOIN("",TRUE,IF(ISNUMBER(FIND(MID(CM482&amp;Y482,ROW($1:$162),1),CM483&amp;Y483)),MID(CM482&amp;Y482,ROW($1:$162),1),""))</f>
        <v/>
      </c>
      <c r="CO483" s="24" t="str">
        <f t="array" ref="CO483">_xlfn.TEXTJOIN("",TRUE,IF(ISERROR(FIND(ROW($1:$168)-1,CM483&amp;CN483)),ROW($1:$168)-1,""))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83" s="30" t="str">
        <f t="shared" ref="CP483:CP546" si="364">IF(CM483&lt;&gt;"","邻","孤")&amp;IF(CN483&lt;&gt;"","传","孤")&amp;"孤"</f>
        <v>邻孤孤</v>
      </c>
    </row>
    <row r="484" spans="1:94">
      <c r="A484" s="15">
        <v>484</v>
      </c>
      <c r="B484" s="80">
        <v>2025101</v>
      </c>
      <c r="C484" s="8" t="s">
        <v>406</v>
      </c>
      <c r="D484" s="81">
        <f t="shared" si="344"/>
        <v>7</v>
      </c>
      <c r="E484" s="82">
        <f t="shared" si="345"/>
        <v>7</v>
      </c>
      <c r="F484" s="83">
        <f t="shared" si="342"/>
        <v>1.16666666666667</v>
      </c>
      <c r="G484" s="84" t="str">
        <f t="shared" si="343"/>
        <v>松散</v>
      </c>
      <c r="H484" s="85" t="s">
        <v>10</v>
      </c>
      <c r="I484" s="85" t="s">
        <v>11</v>
      </c>
      <c r="J484" s="85" t="s">
        <v>12</v>
      </c>
      <c r="K484" s="85" t="s">
        <v>13</v>
      </c>
      <c r="L484" s="86">
        <f>MAX(MID(C484,{1,2,3},1)*1)-MIN(MID(C484,{1,2,3},1)*1)</f>
        <v>6</v>
      </c>
      <c r="M484" s="87">
        <v>0</v>
      </c>
      <c r="N484" s="87">
        <v>1</v>
      </c>
      <c r="O484" s="87">
        <v>2</v>
      </c>
      <c r="P484" s="87">
        <v>3</v>
      </c>
      <c r="Q484" s="87">
        <v>4</v>
      </c>
      <c r="R484" s="87">
        <v>5</v>
      </c>
      <c r="S484" s="87">
        <v>6</v>
      </c>
      <c r="T484" s="87">
        <v>7</v>
      </c>
      <c r="U484" s="87">
        <v>8</v>
      </c>
      <c r="V484" s="87">
        <v>9</v>
      </c>
      <c r="W484" s="88">
        <f t="shared" si="346"/>
        <v>1</v>
      </c>
      <c r="X484" s="88">
        <f t="shared" si="347"/>
        <v>6</v>
      </c>
      <c r="Y484" s="88">
        <f t="shared" si="348"/>
        <v>5</v>
      </c>
      <c r="Z484" s="89">
        <f t="shared" si="351"/>
        <v>12</v>
      </c>
      <c r="AA484" s="17" t="str">
        <f>_xlfn.TEXTJOIN(", ",TRUE,ABS(MID(C484,{1,1,2},1)-MID(C484,{2,3,3},1)))</f>
        <v>1, 6, 5</v>
      </c>
      <c r="AB484" s="90">
        <v>0</v>
      </c>
      <c r="AC484" s="90">
        <v>1</v>
      </c>
      <c r="AD484" s="90">
        <v>2</v>
      </c>
      <c r="AE484" s="90">
        <v>3</v>
      </c>
      <c r="AF484" s="90">
        <v>4</v>
      </c>
      <c r="AG484" s="90">
        <v>5</v>
      </c>
      <c r="AH484" s="90">
        <v>6</v>
      </c>
      <c r="AI484" s="90">
        <v>7</v>
      </c>
      <c r="AJ484" s="90">
        <v>8</v>
      </c>
      <c r="AK484" s="90">
        <v>9</v>
      </c>
      <c r="AL484" s="91">
        <v>0</v>
      </c>
      <c r="AM484" s="91">
        <v>1</v>
      </c>
      <c r="AN484" s="91">
        <v>2</v>
      </c>
      <c r="AO484" s="91">
        <v>3</v>
      </c>
      <c r="AP484" s="91">
        <v>4</v>
      </c>
      <c r="AQ484" s="91">
        <v>5</v>
      </c>
      <c r="AR484" s="91">
        <v>6</v>
      </c>
      <c r="AS484" s="91">
        <v>7</v>
      </c>
      <c r="AT484" s="91">
        <v>8</v>
      </c>
      <c r="AU484" s="91">
        <v>9</v>
      </c>
      <c r="AV484" s="92">
        <v>0</v>
      </c>
      <c r="AW484" s="92">
        <v>1</v>
      </c>
      <c r="AX484" s="92">
        <v>2</v>
      </c>
      <c r="AY484" s="92">
        <v>3</v>
      </c>
      <c r="AZ484" s="92">
        <v>4</v>
      </c>
      <c r="BA484" s="92">
        <v>5</v>
      </c>
      <c r="BB484" s="92">
        <v>6</v>
      </c>
      <c r="BC484" s="92">
        <v>7</v>
      </c>
      <c r="BD484" s="92">
        <v>8</v>
      </c>
      <c r="BE484" s="92">
        <v>9</v>
      </c>
      <c r="BF484" s="93">
        <v>0</v>
      </c>
      <c r="BG484" s="93">
        <v>1</v>
      </c>
      <c r="BH484" s="93">
        <v>2</v>
      </c>
      <c r="BI484" s="93">
        <v>3</v>
      </c>
      <c r="BJ484" s="93">
        <v>4</v>
      </c>
      <c r="BK484" s="93">
        <v>5</v>
      </c>
      <c r="BL484" s="93">
        <v>6</v>
      </c>
      <c r="BM484" s="93">
        <v>7</v>
      </c>
      <c r="BN484" s="93">
        <v>8</v>
      </c>
      <c r="BO484" s="93">
        <v>9</v>
      </c>
      <c r="BP484" s="94" t="str">
        <f t="shared" si="352"/>
        <v>松散型</v>
      </c>
      <c r="BQ484" s="15">
        <f t="shared" si="349"/>
        <v>1</v>
      </c>
      <c r="BR484" s="15">
        <f t="shared" si="350"/>
        <v>6</v>
      </c>
      <c r="BS484" s="20" t="str">
        <f t="shared" si="354"/>
        <v/>
      </c>
      <c r="BT484" s="21" t="str">
        <f t="shared" si="355"/>
        <v/>
      </c>
      <c r="BU484" s="21" t="str">
        <f t="array" ref="BU484">_xlfn.TEXTJOIN("",TRUE,IF(ISERROR(FIND(ROW($1:$168)-1,BS484&amp;BT484)),ROW($1:$168)-1,""))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84" s="22" t="str">
        <f t="shared" si="356"/>
        <v>中中中</v>
      </c>
      <c r="BW484" s="23">
        <f t="shared" si="336"/>
        <v>6</v>
      </c>
      <c r="BX484" s="23" t="str">
        <f t="shared" ref="BX484:BX547" si="365">IF(COUNTIF($W482:$Y482,X484)&gt;0,X484,"")</f>
        <v/>
      </c>
      <c r="BY484" s="23" t="str">
        <f t="array" ref="BY484">_xlfn.TEXTJOIN("",TRUE,IF(ISERROR(FIND(ROW($1:$168)-1,BW484&amp;BX484)),ROW($1:$168)-1,""))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84" s="22" t="str">
        <f t="shared" si="357"/>
        <v>复中中</v>
      </c>
      <c r="CA484" s="24" t="str">
        <f t="shared" si="358"/>
        <v/>
      </c>
      <c r="CB484" s="24" t="str">
        <f t="shared" ref="CB484:CB547" si="366">IF(COUNTIF($W482:$Y482,Y484)&gt;0,Y484,"")</f>
        <v/>
      </c>
      <c r="CC484" s="24" t="str">
        <f t="array" ref="CC484">_xlfn.TEXTJOIN("",TRUE,IF(ISERROR(FIND(ROW($1:$168)-1,CA484&amp;CB484)),ROW($1:$168)-1,""))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84" s="22" t="str">
        <f t="shared" si="359"/>
        <v>中中中</v>
      </c>
      <c r="CE484" s="25" t="str">
        <f t="shared" si="353"/>
        <v>02</v>
      </c>
      <c r="CF484" s="26" t="str">
        <f t="array" ref="CF484">_xlfn.TEXTJOIN("",TRUE,IF(ISNUMBER(FIND(MID(CE483&amp;W483,ROW($1:$162),1),CE484&amp;W484)),MID(CE483&amp;W483,ROW($1:$162),1),""))</f>
        <v/>
      </c>
      <c r="CG484" s="27" t="str">
        <f t="array" ref="CG484">_xlfn.TEXTJOIN("",TRUE,IF(ISERROR(FIND(ROW($1:$168)-1,CE484&amp;CF484)),ROW($1:$168)-1,""))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84" s="28" t="str">
        <f t="shared" si="360"/>
        <v>邻孤孤</v>
      </c>
      <c r="CI484" s="29" t="str">
        <f t="shared" si="361"/>
        <v>57</v>
      </c>
      <c r="CJ484" s="29" t="str">
        <f t="array" ref="CJ484">_xlfn.TEXTJOIN("",TRUE,IF(ISNUMBER(FIND(MID(CI483&amp;X483,ROW($1:$162),1),CI484&amp;X484)),MID(CI483&amp;X483,ROW($1:$162),1),""))</f>
        <v>576</v>
      </c>
      <c r="CK484" s="29" t="str">
        <f t="array" ref="CK484">_xlfn.TEXTJOIN("",TRUE,IF(ISERROR(FIND(ROW($1:$168)-1,CI484&amp;CJ484)),ROW($1:$168)-1,""))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84" s="19" t="str">
        <f t="shared" si="362"/>
        <v>邻传孤</v>
      </c>
      <c r="CM484" s="24" t="str">
        <f t="shared" si="363"/>
        <v>46</v>
      </c>
      <c r="CN484" s="24" t="str">
        <f t="array" ref="CN484">_xlfn.TEXTJOIN("",TRUE,IF(ISNUMBER(FIND(MID(CM483&amp;Y483,ROW($1:$162),1),CM484&amp;Y484)),MID(CM483&amp;Y483,ROW($1:$162),1),""))</f>
        <v/>
      </c>
      <c r="CO484" s="24" t="str">
        <f t="array" ref="CO484">_xlfn.TEXTJOIN("",TRUE,IF(ISERROR(FIND(ROW($1:$168)-1,CM484&amp;CN484)),ROW($1:$168)-1,""))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84" s="30" t="str">
        <f t="shared" si="364"/>
        <v>邻孤孤</v>
      </c>
    </row>
    <row r="485" spans="1:94">
      <c r="A485" s="15">
        <v>485</v>
      </c>
      <c r="B485" s="80">
        <v>2025102</v>
      </c>
      <c r="C485" s="8" t="s">
        <v>39</v>
      </c>
      <c r="D485" s="81">
        <f t="shared" si="344"/>
        <v>8</v>
      </c>
      <c r="E485" s="82">
        <f t="shared" si="345"/>
        <v>8</v>
      </c>
      <c r="F485" s="83">
        <f t="shared" si="342"/>
        <v>1.6</v>
      </c>
      <c r="G485" s="84" t="str">
        <f t="shared" si="343"/>
        <v>松散</v>
      </c>
      <c r="H485" s="85" t="s">
        <v>10</v>
      </c>
      <c r="I485" s="85" t="s">
        <v>11</v>
      </c>
      <c r="J485" s="85" t="s">
        <v>12</v>
      </c>
      <c r="K485" s="85" t="s">
        <v>13</v>
      </c>
      <c r="L485" s="86">
        <f>MAX(MID(C485,{1,2,3},1)*1)-MIN(MID(C485,{1,2,3},1)*1)</f>
        <v>5</v>
      </c>
      <c r="M485" s="87">
        <v>0</v>
      </c>
      <c r="N485" s="87">
        <v>1</v>
      </c>
      <c r="O485" s="87">
        <v>2</v>
      </c>
      <c r="P485" s="87">
        <v>3</v>
      </c>
      <c r="Q485" s="87">
        <v>4</v>
      </c>
      <c r="R485" s="87">
        <v>5</v>
      </c>
      <c r="S485" s="87">
        <v>6</v>
      </c>
      <c r="T485" s="87">
        <v>7</v>
      </c>
      <c r="U485" s="87">
        <v>8</v>
      </c>
      <c r="V485" s="87">
        <v>9</v>
      </c>
      <c r="W485" s="88">
        <f t="shared" si="346"/>
        <v>5</v>
      </c>
      <c r="X485" s="88">
        <f t="shared" si="347"/>
        <v>0</v>
      </c>
      <c r="Y485" s="88">
        <f t="shared" si="348"/>
        <v>5</v>
      </c>
      <c r="Z485" s="89">
        <f t="shared" si="351"/>
        <v>10</v>
      </c>
      <c r="AA485" s="17" t="str">
        <f>_xlfn.TEXTJOIN(", ",TRUE,ABS(MID(C485,{1,1,2},1)-MID(C485,{2,3,3},1)))</f>
        <v>5, 0, 5</v>
      </c>
      <c r="AB485" s="90">
        <v>0</v>
      </c>
      <c r="AC485" s="90">
        <v>1</v>
      </c>
      <c r="AD485" s="90">
        <v>2</v>
      </c>
      <c r="AE485" s="90">
        <v>3</v>
      </c>
      <c r="AF485" s="90">
        <v>4</v>
      </c>
      <c r="AG485" s="90">
        <v>5</v>
      </c>
      <c r="AH485" s="90">
        <v>6</v>
      </c>
      <c r="AI485" s="90">
        <v>7</v>
      </c>
      <c r="AJ485" s="90">
        <v>8</v>
      </c>
      <c r="AK485" s="90">
        <v>9</v>
      </c>
      <c r="AL485" s="91">
        <v>0</v>
      </c>
      <c r="AM485" s="91">
        <v>1</v>
      </c>
      <c r="AN485" s="91">
        <v>2</v>
      </c>
      <c r="AO485" s="91">
        <v>3</v>
      </c>
      <c r="AP485" s="91">
        <v>4</v>
      </c>
      <c r="AQ485" s="91">
        <v>5</v>
      </c>
      <c r="AR485" s="91">
        <v>6</v>
      </c>
      <c r="AS485" s="91">
        <v>7</v>
      </c>
      <c r="AT485" s="91">
        <v>8</v>
      </c>
      <c r="AU485" s="91">
        <v>9</v>
      </c>
      <c r="AV485" s="92">
        <v>0</v>
      </c>
      <c r="AW485" s="92">
        <v>1</v>
      </c>
      <c r="AX485" s="92">
        <v>2</v>
      </c>
      <c r="AY485" s="92">
        <v>3</v>
      </c>
      <c r="AZ485" s="92">
        <v>4</v>
      </c>
      <c r="BA485" s="92">
        <v>5</v>
      </c>
      <c r="BB485" s="92">
        <v>6</v>
      </c>
      <c r="BC485" s="92">
        <v>7</v>
      </c>
      <c r="BD485" s="92">
        <v>8</v>
      </c>
      <c r="BE485" s="92">
        <v>9</v>
      </c>
      <c r="BF485" s="93">
        <v>0</v>
      </c>
      <c r="BG485" s="93">
        <v>1</v>
      </c>
      <c r="BH485" s="93">
        <v>2</v>
      </c>
      <c r="BI485" s="93">
        <v>3</v>
      </c>
      <c r="BJ485" s="93">
        <v>4</v>
      </c>
      <c r="BK485" s="93">
        <v>5</v>
      </c>
      <c r="BL485" s="93">
        <v>6</v>
      </c>
      <c r="BM485" s="93">
        <v>7</v>
      </c>
      <c r="BN485" s="93">
        <v>8</v>
      </c>
      <c r="BO485" s="93">
        <v>9</v>
      </c>
      <c r="BP485" s="94" t="str">
        <f t="shared" si="352"/>
        <v>对子</v>
      </c>
      <c r="BQ485" s="15">
        <f t="shared" si="349"/>
        <v>0</v>
      </c>
      <c r="BR485" s="15">
        <f t="shared" si="350"/>
        <v>5</v>
      </c>
      <c r="BS485" s="20">
        <f t="shared" si="354"/>
        <v>5</v>
      </c>
      <c r="BT485" s="21" t="str">
        <f t="shared" si="355"/>
        <v/>
      </c>
      <c r="BU485" s="21" t="str">
        <f t="array" ref="BU485">_xlfn.TEXTJOIN("",TRUE,IF(ISERROR(FIND(ROW($1:$168)-1,BS485&amp;BT485)),ROW($1:$168)-1,""))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85" s="22" t="str">
        <f t="shared" si="356"/>
        <v>复中中</v>
      </c>
      <c r="BW485" s="23" t="str">
        <f t="shared" si="336"/>
        <v/>
      </c>
      <c r="BX485" s="23" t="str">
        <f t="shared" si="365"/>
        <v/>
      </c>
      <c r="BY485" s="23" t="str">
        <f t="array" ref="BY485">_xlfn.TEXTJOIN("",TRUE,IF(ISERROR(FIND(ROW($1:$168)-1,BW485&amp;BX485)),ROW($1:$168)-1,""))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85" s="22" t="str">
        <f t="shared" si="357"/>
        <v>中中中</v>
      </c>
      <c r="CA485" s="24">
        <f t="shared" si="358"/>
        <v>5</v>
      </c>
      <c r="CB485" s="24" t="str">
        <f t="shared" si="366"/>
        <v/>
      </c>
      <c r="CC485" s="24" t="str">
        <f t="array" ref="CC485">_xlfn.TEXTJOIN("",TRUE,IF(ISERROR(FIND(ROW($1:$168)-1,CA485&amp;CB485)),ROW($1:$168)-1,""))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85" s="22" t="str">
        <f t="shared" si="359"/>
        <v>复中中</v>
      </c>
      <c r="CE485" s="25" t="str">
        <f t="shared" si="353"/>
        <v>46</v>
      </c>
      <c r="CF485" s="26" t="str">
        <f t="array" ref="CF485">_xlfn.TEXTJOIN("",TRUE,IF(ISNUMBER(FIND(MID(CE484&amp;W484,ROW($1:$162),1),CE485&amp;W485)),MID(CE484&amp;W484,ROW($1:$162),1),""))</f>
        <v/>
      </c>
      <c r="CG485" s="27" t="str">
        <f t="array" ref="CG485">_xlfn.TEXTJOIN("",TRUE,IF(ISERROR(FIND(ROW($1:$168)-1,CE485&amp;CF485)),ROW($1:$168)-1,""))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85" s="28" t="str">
        <f t="shared" si="360"/>
        <v>邻孤孤</v>
      </c>
      <c r="CI485" s="29" t="str">
        <f t="shared" si="361"/>
        <v>91</v>
      </c>
      <c r="CJ485" s="29" t="str">
        <f t="array" ref="CJ485">_xlfn.TEXTJOIN("",TRUE,IF(ISNUMBER(FIND(MID(CI484&amp;X484,ROW($1:$162),1),CI485&amp;X485)),MID(CI484&amp;X484,ROW($1:$162),1),""))</f>
        <v/>
      </c>
      <c r="CK485" s="29" t="str">
        <f t="array" ref="CK485">_xlfn.TEXTJOIN("",TRUE,IF(ISERROR(FIND(ROW($1:$168)-1,CI485&amp;CJ485)),ROW($1:$168)-1,""))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485" s="19" t="str">
        <f t="shared" si="362"/>
        <v>邻孤孤</v>
      </c>
      <c r="CM485" s="24" t="str">
        <f t="shared" si="363"/>
        <v>46</v>
      </c>
      <c r="CN485" s="24" t="str">
        <f t="array" ref="CN485">_xlfn.TEXTJOIN("",TRUE,IF(ISNUMBER(FIND(MID(CM484&amp;Y484,ROW($1:$162),1),CM485&amp;Y485)),MID(CM484&amp;Y484,ROW($1:$162),1),""))</f>
        <v>465</v>
      </c>
      <c r="CO485" s="24" t="str">
        <f t="array" ref="CO485">_xlfn.TEXTJOIN("",TRUE,IF(ISERROR(FIND(ROW($1:$168)-1,CM485&amp;CN485)),ROW($1:$168)-1,""))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85" s="30" t="str">
        <f t="shared" si="364"/>
        <v>邻传孤</v>
      </c>
    </row>
    <row r="486" spans="1:94">
      <c r="A486" s="15">
        <v>486</v>
      </c>
      <c r="B486" s="80">
        <v>2025103</v>
      </c>
      <c r="C486" s="8" t="s">
        <v>407</v>
      </c>
      <c r="D486" s="81">
        <f t="shared" si="344"/>
        <v>10</v>
      </c>
      <c r="E486" s="82">
        <f t="shared" si="345"/>
        <v>0</v>
      </c>
      <c r="F486" s="83">
        <f t="shared" si="342"/>
        <v>1.42857142857143</v>
      </c>
      <c r="G486" s="84" t="str">
        <f t="shared" si="343"/>
        <v>松散</v>
      </c>
      <c r="H486" s="85" t="s">
        <v>10</v>
      </c>
      <c r="I486" s="85" t="s">
        <v>11</v>
      </c>
      <c r="J486" s="85" t="s">
        <v>12</v>
      </c>
      <c r="K486" s="85" t="s">
        <v>13</v>
      </c>
      <c r="L486" s="86">
        <f>MAX(MID(C486,{1,2,3},1)*1)-MIN(MID(C486,{1,2,3},1)*1)</f>
        <v>7</v>
      </c>
      <c r="M486" s="87">
        <v>0</v>
      </c>
      <c r="N486" s="87">
        <v>1</v>
      </c>
      <c r="O486" s="87">
        <v>2</v>
      </c>
      <c r="P486" s="87">
        <v>3</v>
      </c>
      <c r="Q486" s="87">
        <v>4</v>
      </c>
      <c r="R486" s="87">
        <v>5</v>
      </c>
      <c r="S486" s="87">
        <v>6</v>
      </c>
      <c r="T486" s="87">
        <v>7</v>
      </c>
      <c r="U486" s="87">
        <v>8</v>
      </c>
      <c r="V486" s="87">
        <v>9</v>
      </c>
      <c r="W486" s="88">
        <f t="shared" si="346"/>
        <v>4</v>
      </c>
      <c r="X486" s="88">
        <f t="shared" si="347"/>
        <v>3</v>
      </c>
      <c r="Y486" s="88">
        <f t="shared" si="348"/>
        <v>7</v>
      </c>
      <c r="Z486" s="89">
        <f t="shared" si="351"/>
        <v>14</v>
      </c>
      <c r="AA486" s="17" t="str">
        <f>_xlfn.TEXTJOIN(", ",TRUE,ABS(MID(C486,{1,1,2},1)-MID(C486,{2,3,3},1)))</f>
        <v>4, 3, 7</v>
      </c>
      <c r="AB486" s="90">
        <v>0</v>
      </c>
      <c r="AC486" s="90">
        <v>1</v>
      </c>
      <c r="AD486" s="90">
        <v>2</v>
      </c>
      <c r="AE486" s="90">
        <v>3</v>
      </c>
      <c r="AF486" s="90">
        <v>4</v>
      </c>
      <c r="AG486" s="90">
        <v>5</v>
      </c>
      <c r="AH486" s="90">
        <v>6</v>
      </c>
      <c r="AI486" s="90">
        <v>7</v>
      </c>
      <c r="AJ486" s="90">
        <v>8</v>
      </c>
      <c r="AK486" s="90">
        <v>9</v>
      </c>
      <c r="AL486" s="91">
        <v>0</v>
      </c>
      <c r="AM486" s="91">
        <v>1</v>
      </c>
      <c r="AN486" s="91">
        <v>2</v>
      </c>
      <c r="AO486" s="91">
        <v>3</v>
      </c>
      <c r="AP486" s="91">
        <v>4</v>
      </c>
      <c r="AQ486" s="91">
        <v>5</v>
      </c>
      <c r="AR486" s="91">
        <v>6</v>
      </c>
      <c r="AS486" s="91">
        <v>7</v>
      </c>
      <c r="AT486" s="91">
        <v>8</v>
      </c>
      <c r="AU486" s="91">
        <v>9</v>
      </c>
      <c r="AV486" s="92">
        <v>0</v>
      </c>
      <c r="AW486" s="92">
        <v>1</v>
      </c>
      <c r="AX486" s="92">
        <v>2</v>
      </c>
      <c r="AY486" s="92">
        <v>3</v>
      </c>
      <c r="AZ486" s="92">
        <v>4</v>
      </c>
      <c r="BA486" s="92">
        <v>5</v>
      </c>
      <c r="BB486" s="92">
        <v>6</v>
      </c>
      <c r="BC486" s="92">
        <v>7</v>
      </c>
      <c r="BD486" s="92">
        <v>8</v>
      </c>
      <c r="BE486" s="92">
        <v>9</v>
      </c>
      <c r="BF486" s="93">
        <v>0</v>
      </c>
      <c r="BG486" s="93">
        <v>1</v>
      </c>
      <c r="BH486" s="93">
        <v>2</v>
      </c>
      <c r="BI486" s="93">
        <v>3</v>
      </c>
      <c r="BJ486" s="93">
        <v>4</v>
      </c>
      <c r="BK486" s="93">
        <v>5</v>
      </c>
      <c r="BL486" s="93">
        <v>6</v>
      </c>
      <c r="BM486" s="93">
        <v>7</v>
      </c>
      <c r="BN486" s="93">
        <v>8</v>
      </c>
      <c r="BO486" s="93">
        <v>9</v>
      </c>
      <c r="BP486" s="94" t="str">
        <f t="shared" si="352"/>
        <v>松散型</v>
      </c>
      <c r="BQ486" s="15">
        <f t="shared" si="349"/>
        <v>3</v>
      </c>
      <c r="BR486" s="15">
        <f t="shared" si="350"/>
        <v>7</v>
      </c>
      <c r="BS486" s="20" t="str">
        <f t="shared" si="354"/>
        <v/>
      </c>
      <c r="BT486" s="21" t="str">
        <f t="shared" si="355"/>
        <v/>
      </c>
      <c r="BU486" s="21" t="str">
        <f t="array" ref="BU486">_xlfn.TEXTJOIN("",TRUE,IF(ISERROR(FIND(ROW($1:$168)-1,BS486&amp;BT486)),ROW($1:$168)-1,""))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86" s="22" t="str">
        <f t="shared" si="356"/>
        <v>中中中</v>
      </c>
      <c r="BW486" s="23" t="str">
        <f t="shared" ref="BW486:BW549" si="367">IF(COUNTIF($W485:$Y485,X486)&gt;0,X486,"")</f>
        <v/>
      </c>
      <c r="BX486" s="23" t="str">
        <f t="shared" si="365"/>
        <v/>
      </c>
      <c r="BY486" s="23" t="str">
        <f t="array" ref="BY486">_xlfn.TEXTJOIN("",TRUE,IF(ISERROR(FIND(ROW($1:$168)-1,BW486&amp;BX486)),ROW($1:$168)-1,""))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86" s="22" t="str">
        <f t="shared" si="357"/>
        <v>中中中</v>
      </c>
      <c r="CA486" s="24" t="str">
        <f t="shared" si="358"/>
        <v/>
      </c>
      <c r="CB486" s="24" t="str">
        <f t="shared" si="366"/>
        <v/>
      </c>
      <c r="CC486" s="24" t="str">
        <f t="array" ref="CC486">_xlfn.TEXTJOIN("",TRUE,IF(ISERROR(FIND(ROW($1:$168)-1,CA486&amp;CB486)),ROW($1:$168)-1,""))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86" s="22" t="str">
        <f t="shared" si="359"/>
        <v>中中中</v>
      </c>
      <c r="CE486" s="25" t="str">
        <f t="shared" si="353"/>
        <v>35</v>
      </c>
      <c r="CF486" s="26" t="str">
        <f t="array" ref="CF486">_xlfn.TEXTJOIN("",TRUE,IF(ISNUMBER(FIND(MID(CE485&amp;W485,ROW($1:$162),1),CE486&amp;W486)),MID(CE485&amp;W485,ROW($1:$162),1),""))</f>
        <v>45</v>
      </c>
      <c r="CG486" s="27" t="str">
        <f t="array" ref="CG486">_xlfn.TEXTJOIN("",TRUE,IF(ISERROR(FIND(ROW($1:$168)-1,CE486&amp;CF486)),ROW($1:$168)-1,""))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86" s="28" t="str">
        <f t="shared" si="360"/>
        <v>邻传孤</v>
      </c>
      <c r="CI486" s="29" t="str">
        <f t="shared" si="361"/>
        <v>24</v>
      </c>
      <c r="CJ486" s="29" t="str">
        <f t="array" ref="CJ486">_xlfn.TEXTJOIN("",TRUE,IF(ISNUMBER(FIND(MID(CI485&amp;X485,ROW($1:$162),1),CI486&amp;X486)),MID(CI485&amp;X485,ROW($1:$162),1),""))</f>
        <v/>
      </c>
      <c r="CK486" s="29" t="str">
        <f t="array" ref="CK486">_xlfn.TEXTJOIN("",TRUE,IF(ISERROR(FIND(ROW($1:$168)-1,CI486&amp;CJ486)),ROW($1:$168)-1,""))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86" s="19" t="str">
        <f t="shared" si="362"/>
        <v>邻孤孤</v>
      </c>
      <c r="CM486" s="24" t="str">
        <f t="shared" si="363"/>
        <v>68</v>
      </c>
      <c r="CN486" s="24" t="str">
        <f t="array" ref="CN486">_xlfn.TEXTJOIN("",TRUE,IF(ISNUMBER(FIND(MID(CM485&amp;Y485,ROW($1:$162),1),CM486&amp;Y486)),MID(CM485&amp;Y485,ROW($1:$162),1),""))</f>
        <v>6</v>
      </c>
      <c r="CO486" s="24" t="str">
        <f t="array" ref="CO486">_xlfn.TEXTJOIN("",TRUE,IF(ISERROR(FIND(ROW($1:$168)-1,CM486&amp;CN486)),ROW($1:$168)-1,""))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P486" s="30" t="str">
        <f t="shared" si="364"/>
        <v>邻传孤</v>
      </c>
    </row>
    <row r="487" spans="1:94">
      <c r="A487" s="15">
        <v>487</v>
      </c>
      <c r="B487" s="80">
        <v>2025104</v>
      </c>
      <c r="C487" s="8" t="s">
        <v>408</v>
      </c>
      <c r="D487" s="81">
        <f t="shared" si="344"/>
        <v>22</v>
      </c>
      <c r="E487" s="82">
        <f t="shared" si="345"/>
        <v>2</v>
      </c>
      <c r="F487" s="83">
        <f t="shared" si="342"/>
        <v>22</v>
      </c>
      <c r="G487" s="84" t="str">
        <f t="shared" si="343"/>
        <v>紧凑</v>
      </c>
      <c r="H487" s="85" t="s">
        <v>10</v>
      </c>
      <c r="I487" s="85" t="s">
        <v>11</v>
      </c>
      <c r="J487" s="85" t="s">
        <v>12</v>
      </c>
      <c r="K487" s="85" t="s">
        <v>13</v>
      </c>
      <c r="L487" s="86">
        <f>MAX(MID(C487,{1,2,3},1)*1)-MIN(MID(C487,{1,2,3},1)*1)</f>
        <v>1</v>
      </c>
      <c r="M487" s="87">
        <v>0</v>
      </c>
      <c r="N487" s="87">
        <v>1</v>
      </c>
      <c r="O487" s="87">
        <v>2</v>
      </c>
      <c r="P487" s="87">
        <v>3</v>
      </c>
      <c r="Q487" s="87">
        <v>4</v>
      </c>
      <c r="R487" s="87">
        <v>5</v>
      </c>
      <c r="S487" s="87">
        <v>6</v>
      </c>
      <c r="T487" s="87">
        <v>7</v>
      </c>
      <c r="U487" s="87">
        <v>8</v>
      </c>
      <c r="V487" s="87">
        <v>9</v>
      </c>
      <c r="W487" s="88">
        <f t="shared" si="346"/>
        <v>1</v>
      </c>
      <c r="X487" s="88">
        <f t="shared" si="347"/>
        <v>1</v>
      </c>
      <c r="Y487" s="88">
        <f t="shared" si="348"/>
        <v>0</v>
      </c>
      <c r="Z487" s="89">
        <f t="shared" si="351"/>
        <v>2</v>
      </c>
      <c r="AA487" s="17" t="str">
        <f>_xlfn.TEXTJOIN(", ",TRUE,ABS(MID(C487,{1,1,2},1)-MID(C487,{2,3,3},1)))</f>
        <v>1, 1, 0</v>
      </c>
      <c r="AB487" s="90">
        <v>0</v>
      </c>
      <c r="AC487" s="90">
        <v>1</v>
      </c>
      <c r="AD487" s="90">
        <v>2</v>
      </c>
      <c r="AE487" s="90">
        <v>3</v>
      </c>
      <c r="AF487" s="90">
        <v>4</v>
      </c>
      <c r="AG487" s="90">
        <v>5</v>
      </c>
      <c r="AH487" s="90">
        <v>6</v>
      </c>
      <c r="AI487" s="90">
        <v>7</v>
      </c>
      <c r="AJ487" s="90">
        <v>8</v>
      </c>
      <c r="AK487" s="90">
        <v>9</v>
      </c>
      <c r="AL487" s="91">
        <v>0</v>
      </c>
      <c r="AM487" s="91">
        <v>1</v>
      </c>
      <c r="AN487" s="91">
        <v>2</v>
      </c>
      <c r="AO487" s="91">
        <v>3</v>
      </c>
      <c r="AP487" s="91">
        <v>4</v>
      </c>
      <c r="AQ487" s="91">
        <v>5</v>
      </c>
      <c r="AR487" s="91">
        <v>6</v>
      </c>
      <c r="AS487" s="91">
        <v>7</v>
      </c>
      <c r="AT487" s="91">
        <v>8</v>
      </c>
      <c r="AU487" s="91">
        <v>9</v>
      </c>
      <c r="AV487" s="92">
        <v>0</v>
      </c>
      <c r="AW487" s="92">
        <v>1</v>
      </c>
      <c r="AX487" s="92">
        <v>2</v>
      </c>
      <c r="AY487" s="92">
        <v>3</v>
      </c>
      <c r="AZ487" s="92">
        <v>4</v>
      </c>
      <c r="BA487" s="92">
        <v>5</v>
      </c>
      <c r="BB487" s="92">
        <v>6</v>
      </c>
      <c r="BC487" s="92">
        <v>7</v>
      </c>
      <c r="BD487" s="92">
        <v>8</v>
      </c>
      <c r="BE487" s="92">
        <v>9</v>
      </c>
      <c r="BF487" s="93">
        <v>0</v>
      </c>
      <c r="BG487" s="93">
        <v>1</v>
      </c>
      <c r="BH487" s="93">
        <v>2</v>
      </c>
      <c r="BI487" s="93">
        <v>3</v>
      </c>
      <c r="BJ487" s="93">
        <v>4</v>
      </c>
      <c r="BK487" s="93">
        <v>5</v>
      </c>
      <c r="BL487" s="93">
        <v>6</v>
      </c>
      <c r="BM487" s="93">
        <v>7</v>
      </c>
      <c r="BN487" s="93">
        <v>8</v>
      </c>
      <c r="BO487" s="93">
        <v>9</v>
      </c>
      <c r="BP487" s="94" t="str">
        <f t="shared" si="352"/>
        <v>紧凑型</v>
      </c>
      <c r="BQ487" s="15">
        <f t="shared" si="349"/>
        <v>0</v>
      </c>
      <c r="BR487" s="15">
        <f t="shared" si="350"/>
        <v>1</v>
      </c>
      <c r="BS487" s="20" t="str">
        <f t="shared" si="354"/>
        <v/>
      </c>
      <c r="BT487" s="21" t="str">
        <f t="shared" si="355"/>
        <v/>
      </c>
      <c r="BU487" s="21" t="str">
        <f t="array" ref="BU487">_xlfn.TEXTJOIN("",TRUE,IF(ISERROR(FIND(ROW($1:$168)-1,BS487&amp;BT487)),ROW($1:$168)-1,""))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87" s="22" t="str">
        <f t="shared" si="356"/>
        <v>中中中</v>
      </c>
      <c r="BW487" s="23" t="str">
        <f t="shared" si="367"/>
        <v/>
      </c>
      <c r="BX487" s="23" t="str">
        <f t="shared" si="365"/>
        <v/>
      </c>
      <c r="BY487" s="23" t="str">
        <f t="array" ref="BY487">_xlfn.TEXTJOIN("",TRUE,IF(ISERROR(FIND(ROW($1:$168)-1,BW487&amp;BX487)),ROW($1:$168)-1,""))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87" s="22" t="str">
        <f t="shared" si="357"/>
        <v>中中中</v>
      </c>
      <c r="CA487" s="24" t="str">
        <f t="shared" si="358"/>
        <v/>
      </c>
      <c r="CB487" s="24">
        <f t="shared" si="366"/>
        <v>0</v>
      </c>
      <c r="CC487" s="24" t="str">
        <f t="array" ref="CC487">_xlfn.TEXTJOIN("",TRUE,IF(ISERROR(FIND(ROW($1:$168)-1,CA487&amp;CB487)),ROW($1:$168)-1,""))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87" s="22" t="str">
        <f t="shared" si="359"/>
        <v>中隔中</v>
      </c>
      <c r="CE487" s="25" t="str">
        <f t="shared" si="353"/>
        <v>02</v>
      </c>
      <c r="CF487" s="26" t="str">
        <f t="array" ref="CF487">_xlfn.TEXTJOIN("",TRUE,IF(ISNUMBER(FIND(MID(CE486&amp;W486,ROW($1:$162),1),CE487&amp;W487)),MID(CE486&amp;W486,ROW($1:$162),1),""))</f>
        <v/>
      </c>
      <c r="CG487" s="27" t="str">
        <f t="array" ref="CG487">_xlfn.TEXTJOIN("",TRUE,IF(ISERROR(FIND(ROW($1:$168)-1,CE487&amp;CF487)),ROW($1:$168)-1,""))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87" s="28" t="str">
        <f t="shared" si="360"/>
        <v>邻孤孤</v>
      </c>
      <c r="CI487" s="29" t="str">
        <f t="shared" si="361"/>
        <v>02</v>
      </c>
      <c r="CJ487" s="29" t="str">
        <f t="array" ref="CJ487">_xlfn.TEXTJOIN("",TRUE,IF(ISNUMBER(FIND(MID(CI486&amp;X486,ROW($1:$162),1),CI487&amp;X487)),MID(CI486&amp;X486,ROW($1:$162),1),""))</f>
        <v>2</v>
      </c>
      <c r="CK487" s="29" t="str">
        <f t="array" ref="CK487">_xlfn.TEXTJOIN("",TRUE,IF(ISERROR(FIND(ROW($1:$168)-1,CI487&amp;CJ487)),ROW($1:$168)-1,""))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87" s="19" t="str">
        <f t="shared" si="362"/>
        <v>邻传孤</v>
      </c>
      <c r="CM487" s="24" t="str">
        <f t="shared" si="363"/>
        <v>91</v>
      </c>
      <c r="CN487" s="24" t="str">
        <f t="array" ref="CN487">_xlfn.TEXTJOIN("",TRUE,IF(ISNUMBER(FIND(MID(CM486&amp;Y486,ROW($1:$162),1),CM487&amp;Y487)),MID(CM486&amp;Y486,ROW($1:$162),1),""))</f>
        <v/>
      </c>
      <c r="CO487" s="24" t="str">
        <f t="array" ref="CO487">_xlfn.TEXTJOIN("",TRUE,IF(ISERROR(FIND(ROW($1:$168)-1,CM487&amp;CN487)),ROW($1:$168)-1,""))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487" s="30" t="str">
        <f t="shared" si="364"/>
        <v>邻孤孤</v>
      </c>
    </row>
    <row r="488" spans="1:94">
      <c r="A488" s="15">
        <v>488</v>
      </c>
      <c r="B488" s="80">
        <v>2025105</v>
      </c>
      <c r="C488" s="8" t="s">
        <v>409</v>
      </c>
      <c r="D488" s="81">
        <f t="shared" si="344"/>
        <v>6</v>
      </c>
      <c r="E488" s="82">
        <f t="shared" si="345"/>
        <v>6</v>
      </c>
      <c r="F488" s="83">
        <f t="shared" si="342"/>
        <v>1.2</v>
      </c>
      <c r="G488" s="84" t="str">
        <f t="shared" si="343"/>
        <v>松散</v>
      </c>
      <c r="H488" s="85" t="s">
        <v>10</v>
      </c>
      <c r="I488" s="85" t="s">
        <v>11</v>
      </c>
      <c r="J488" s="85" t="s">
        <v>12</v>
      </c>
      <c r="K488" s="85" t="s">
        <v>13</v>
      </c>
      <c r="L488" s="86">
        <f>MAX(MID(C488,{1,2,3},1)*1)-MIN(MID(C488,{1,2,3},1)*1)</f>
        <v>5</v>
      </c>
      <c r="M488" s="87">
        <v>0</v>
      </c>
      <c r="N488" s="87">
        <v>1</v>
      </c>
      <c r="O488" s="87">
        <v>2</v>
      </c>
      <c r="P488" s="87">
        <v>3</v>
      </c>
      <c r="Q488" s="87">
        <v>4</v>
      </c>
      <c r="R488" s="87">
        <v>5</v>
      </c>
      <c r="S488" s="87">
        <v>6</v>
      </c>
      <c r="T488" s="87">
        <v>7</v>
      </c>
      <c r="U488" s="87">
        <v>8</v>
      </c>
      <c r="V488" s="87">
        <v>9</v>
      </c>
      <c r="W488" s="88">
        <f t="shared" si="346"/>
        <v>1</v>
      </c>
      <c r="X488" s="88">
        <f t="shared" si="347"/>
        <v>5</v>
      </c>
      <c r="Y488" s="88">
        <f t="shared" si="348"/>
        <v>4</v>
      </c>
      <c r="Z488" s="89">
        <f t="shared" si="351"/>
        <v>10</v>
      </c>
      <c r="AA488" s="17" t="str">
        <f>_xlfn.TEXTJOIN(", ",TRUE,ABS(MID(C488,{1,1,2},1)-MID(C488,{2,3,3},1)))</f>
        <v>1, 5, 4</v>
      </c>
      <c r="AB488" s="90">
        <v>0</v>
      </c>
      <c r="AC488" s="90">
        <v>1</v>
      </c>
      <c r="AD488" s="90">
        <v>2</v>
      </c>
      <c r="AE488" s="90">
        <v>3</v>
      </c>
      <c r="AF488" s="90">
        <v>4</v>
      </c>
      <c r="AG488" s="90">
        <v>5</v>
      </c>
      <c r="AH488" s="90">
        <v>6</v>
      </c>
      <c r="AI488" s="90">
        <v>7</v>
      </c>
      <c r="AJ488" s="90">
        <v>8</v>
      </c>
      <c r="AK488" s="90">
        <v>9</v>
      </c>
      <c r="AL488" s="91">
        <v>0</v>
      </c>
      <c r="AM488" s="91">
        <v>1</v>
      </c>
      <c r="AN488" s="91">
        <v>2</v>
      </c>
      <c r="AO488" s="91">
        <v>3</v>
      </c>
      <c r="AP488" s="91">
        <v>4</v>
      </c>
      <c r="AQ488" s="91">
        <v>5</v>
      </c>
      <c r="AR488" s="91">
        <v>6</v>
      </c>
      <c r="AS488" s="91">
        <v>7</v>
      </c>
      <c r="AT488" s="91">
        <v>8</v>
      </c>
      <c r="AU488" s="91">
        <v>9</v>
      </c>
      <c r="AV488" s="92">
        <v>0</v>
      </c>
      <c r="AW488" s="92">
        <v>1</v>
      </c>
      <c r="AX488" s="92">
        <v>2</v>
      </c>
      <c r="AY488" s="92">
        <v>3</v>
      </c>
      <c r="AZ488" s="92">
        <v>4</v>
      </c>
      <c r="BA488" s="92">
        <v>5</v>
      </c>
      <c r="BB488" s="92">
        <v>6</v>
      </c>
      <c r="BC488" s="92">
        <v>7</v>
      </c>
      <c r="BD488" s="92">
        <v>8</v>
      </c>
      <c r="BE488" s="92">
        <v>9</v>
      </c>
      <c r="BF488" s="93">
        <v>0</v>
      </c>
      <c r="BG488" s="93">
        <v>1</v>
      </c>
      <c r="BH488" s="93">
        <v>2</v>
      </c>
      <c r="BI488" s="93">
        <v>3</v>
      </c>
      <c r="BJ488" s="93">
        <v>4</v>
      </c>
      <c r="BK488" s="93">
        <v>5</v>
      </c>
      <c r="BL488" s="93">
        <v>6</v>
      </c>
      <c r="BM488" s="93">
        <v>7</v>
      </c>
      <c r="BN488" s="93">
        <v>8</v>
      </c>
      <c r="BO488" s="93">
        <v>9</v>
      </c>
      <c r="BP488" s="94" t="str">
        <f t="shared" si="352"/>
        <v>标准型</v>
      </c>
      <c r="BQ488" s="15">
        <f t="shared" si="349"/>
        <v>1</v>
      </c>
      <c r="BR488" s="15">
        <f t="shared" si="350"/>
        <v>5</v>
      </c>
      <c r="BS488" s="20">
        <f t="shared" si="354"/>
        <v>1</v>
      </c>
      <c r="BT488" s="21" t="str">
        <f t="shared" si="355"/>
        <v/>
      </c>
      <c r="BU488" s="21" t="str">
        <f t="array" ref="BU488">_xlfn.TEXTJOIN("",TRUE,IF(ISERROR(FIND(ROW($1:$168)-1,BS488&amp;BT488)),ROW($1:$168)-1,""))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88" s="22" t="str">
        <f t="shared" si="356"/>
        <v>复中中</v>
      </c>
      <c r="BW488" s="23" t="str">
        <f t="shared" si="367"/>
        <v/>
      </c>
      <c r="BX488" s="23" t="str">
        <f t="shared" si="365"/>
        <v/>
      </c>
      <c r="BY488" s="23" t="str">
        <f t="array" ref="BY488">_xlfn.TEXTJOIN("",TRUE,IF(ISERROR(FIND(ROW($1:$168)-1,BW488&amp;BX488)),ROW($1:$168)-1,""))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88" s="22" t="str">
        <f t="shared" si="357"/>
        <v>中中中</v>
      </c>
      <c r="CA488" s="24" t="str">
        <f t="shared" si="358"/>
        <v/>
      </c>
      <c r="CB488" s="24">
        <f t="shared" si="366"/>
        <v>4</v>
      </c>
      <c r="CC488" s="24" t="str">
        <f t="array" ref="CC488">_xlfn.TEXTJOIN("",TRUE,IF(ISERROR(FIND(ROW($1:$168)-1,CA488&amp;CB488)),ROW($1:$168)-1,""))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88" s="22" t="str">
        <f t="shared" si="359"/>
        <v>中隔中</v>
      </c>
      <c r="CE488" s="25" t="str">
        <f t="shared" si="353"/>
        <v>02</v>
      </c>
      <c r="CF488" s="26" t="str">
        <f t="array" ref="CF488">_xlfn.TEXTJOIN("",TRUE,IF(ISNUMBER(FIND(MID(CE487&amp;W487,ROW($1:$162),1),CE488&amp;W488)),MID(CE487&amp;W487,ROW($1:$162),1),""))</f>
        <v>021</v>
      </c>
      <c r="CG488" s="27" t="str">
        <f t="array" ref="CG488">_xlfn.TEXTJOIN("",TRUE,IF(ISERROR(FIND(ROW($1:$168)-1,CE488&amp;CF488)),ROW($1:$168)-1,""))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88" s="28" t="str">
        <f t="shared" si="360"/>
        <v>邻传孤</v>
      </c>
      <c r="CI488" s="29" t="str">
        <f t="shared" si="361"/>
        <v>46</v>
      </c>
      <c r="CJ488" s="29" t="str">
        <f t="array" ref="CJ488">_xlfn.TEXTJOIN("",TRUE,IF(ISNUMBER(FIND(MID(CI487&amp;X487,ROW($1:$162),1),CI488&amp;X488)),MID(CI487&amp;X487,ROW($1:$162),1),""))</f>
        <v/>
      </c>
      <c r="CK488" s="29" t="str">
        <f t="array" ref="CK488">_xlfn.TEXTJOIN("",TRUE,IF(ISERROR(FIND(ROW($1:$168)-1,CI488&amp;CJ488)),ROW($1:$168)-1,""))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88" s="19" t="str">
        <f t="shared" si="362"/>
        <v>邻孤孤</v>
      </c>
      <c r="CM488" s="24" t="str">
        <f t="shared" si="363"/>
        <v>35</v>
      </c>
      <c r="CN488" s="24" t="str">
        <f t="array" ref="CN488">_xlfn.TEXTJOIN("",TRUE,IF(ISNUMBER(FIND(MID(CM487&amp;Y487,ROW($1:$162),1),CM488&amp;Y488)),MID(CM487&amp;Y487,ROW($1:$162),1),""))</f>
        <v/>
      </c>
      <c r="CO488" s="24" t="str">
        <f t="array" ref="CO488">_xlfn.TEXTJOIN("",TRUE,IF(ISERROR(FIND(ROW($1:$168)-1,CM488&amp;CN488)),ROW($1:$168)-1,""))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88" s="30" t="str">
        <f t="shared" si="364"/>
        <v>邻孤孤</v>
      </c>
    </row>
    <row r="489" spans="1:94">
      <c r="A489" s="15">
        <v>489</v>
      </c>
      <c r="B489" s="80">
        <v>2025106</v>
      </c>
      <c r="C489" s="8" t="s">
        <v>210</v>
      </c>
      <c r="D489" s="81">
        <f t="shared" si="344"/>
        <v>14</v>
      </c>
      <c r="E489" s="82">
        <f t="shared" si="345"/>
        <v>4</v>
      </c>
      <c r="F489" s="83">
        <f t="shared" si="342"/>
        <v>2.8</v>
      </c>
      <c r="G489" s="84" t="str">
        <f t="shared" si="343"/>
        <v>标准</v>
      </c>
      <c r="H489" s="85" t="s">
        <v>10</v>
      </c>
      <c r="I489" s="85" t="s">
        <v>11</v>
      </c>
      <c r="J489" s="85" t="s">
        <v>12</v>
      </c>
      <c r="K489" s="85" t="s">
        <v>13</v>
      </c>
      <c r="L489" s="86">
        <f>MAX(MID(C489,{1,2,3},1)*1)-MIN(MID(C489,{1,2,3},1)*1)</f>
        <v>5</v>
      </c>
      <c r="M489" s="87">
        <v>0</v>
      </c>
      <c r="N489" s="87">
        <v>1</v>
      </c>
      <c r="O489" s="87">
        <v>2</v>
      </c>
      <c r="P489" s="87">
        <v>3</v>
      </c>
      <c r="Q489" s="87">
        <v>4</v>
      </c>
      <c r="R489" s="87">
        <v>5</v>
      </c>
      <c r="S489" s="87">
        <v>6</v>
      </c>
      <c r="T489" s="87">
        <v>7</v>
      </c>
      <c r="U489" s="87">
        <v>8</v>
      </c>
      <c r="V489" s="87">
        <v>9</v>
      </c>
      <c r="W489" s="88">
        <f t="shared" si="346"/>
        <v>2</v>
      </c>
      <c r="X489" s="88">
        <f t="shared" si="347"/>
        <v>5</v>
      </c>
      <c r="Y489" s="88">
        <f t="shared" si="348"/>
        <v>3</v>
      </c>
      <c r="Z489" s="89">
        <f t="shared" si="351"/>
        <v>10</v>
      </c>
      <c r="AA489" s="17" t="str">
        <f>_xlfn.TEXTJOIN(", ",TRUE,ABS(MID(C489,{1,1,2},1)-MID(C489,{2,3,3},1)))</f>
        <v>2, 5, 3</v>
      </c>
      <c r="AB489" s="90">
        <v>0</v>
      </c>
      <c r="AC489" s="90">
        <v>1</v>
      </c>
      <c r="AD489" s="90">
        <v>2</v>
      </c>
      <c r="AE489" s="90">
        <v>3</v>
      </c>
      <c r="AF489" s="90">
        <v>4</v>
      </c>
      <c r="AG489" s="90">
        <v>5</v>
      </c>
      <c r="AH489" s="90">
        <v>6</v>
      </c>
      <c r="AI489" s="90">
        <v>7</v>
      </c>
      <c r="AJ489" s="90">
        <v>8</v>
      </c>
      <c r="AK489" s="90">
        <v>9</v>
      </c>
      <c r="AL489" s="91">
        <v>0</v>
      </c>
      <c r="AM489" s="91">
        <v>1</v>
      </c>
      <c r="AN489" s="91">
        <v>2</v>
      </c>
      <c r="AO489" s="91">
        <v>3</v>
      </c>
      <c r="AP489" s="91">
        <v>4</v>
      </c>
      <c r="AQ489" s="91">
        <v>5</v>
      </c>
      <c r="AR489" s="91">
        <v>6</v>
      </c>
      <c r="AS489" s="91">
        <v>7</v>
      </c>
      <c r="AT489" s="91">
        <v>8</v>
      </c>
      <c r="AU489" s="91">
        <v>9</v>
      </c>
      <c r="AV489" s="92">
        <v>0</v>
      </c>
      <c r="AW489" s="92">
        <v>1</v>
      </c>
      <c r="AX489" s="92">
        <v>2</v>
      </c>
      <c r="AY489" s="92">
        <v>3</v>
      </c>
      <c r="AZ489" s="92">
        <v>4</v>
      </c>
      <c r="BA489" s="92">
        <v>5</v>
      </c>
      <c r="BB489" s="92">
        <v>6</v>
      </c>
      <c r="BC489" s="92">
        <v>7</v>
      </c>
      <c r="BD489" s="92">
        <v>8</v>
      </c>
      <c r="BE489" s="92">
        <v>9</v>
      </c>
      <c r="BF489" s="93">
        <v>0</v>
      </c>
      <c r="BG489" s="93">
        <v>1</v>
      </c>
      <c r="BH489" s="93">
        <v>2</v>
      </c>
      <c r="BI489" s="93">
        <v>3</v>
      </c>
      <c r="BJ489" s="93">
        <v>4</v>
      </c>
      <c r="BK489" s="93">
        <v>5</v>
      </c>
      <c r="BL489" s="93">
        <v>6</v>
      </c>
      <c r="BM489" s="93">
        <v>7</v>
      </c>
      <c r="BN489" s="93">
        <v>8</v>
      </c>
      <c r="BO489" s="93">
        <v>9</v>
      </c>
      <c r="BP489" s="94" t="str">
        <f t="shared" si="352"/>
        <v>标准型</v>
      </c>
      <c r="BQ489" s="15">
        <f t="shared" si="349"/>
        <v>2</v>
      </c>
      <c r="BR489" s="15">
        <f t="shared" si="350"/>
        <v>5</v>
      </c>
      <c r="BS489" s="20" t="str">
        <f t="shared" si="354"/>
        <v/>
      </c>
      <c r="BT489" s="21" t="str">
        <f t="shared" si="355"/>
        <v/>
      </c>
      <c r="BU489" s="21" t="str">
        <f t="array" ref="BU489">_xlfn.TEXTJOIN("",TRUE,IF(ISERROR(FIND(ROW($1:$168)-1,BS489&amp;BT489)),ROW($1:$168)-1,""))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89" s="22" t="str">
        <f t="shared" si="356"/>
        <v>中中中</v>
      </c>
      <c r="BW489" s="23">
        <f t="shared" si="367"/>
        <v>5</v>
      </c>
      <c r="BX489" s="23" t="str">
        <f t="shared" si="365"/>
        <v/>
      </c>
      <c r="BY489" s="23" t="str">
        <f t="array" ref="BY489">_xlfn.TEXTJOIN("",TRUE,IF(ISERROR(FIND(ROW($1:$168)-1,BW489&amp;BX489)),ROW($1:$168)-1,""))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89" s="22" t="str">
        <f t="shared" si="357"/>
        <v>复中中</v>
      </c>
      <c r="CA489" s="24" t="str">
        <f t="shared" si="358"/>
        <v/>
      </c>
      <c r="CB489" s="24" t="str">
        <f t="shared" si="366"/>
        <v/>
      </c>
      <c r="CC489" s="24" t="str">
        <f t="array" ref="CC489">_xlfn.TEXTJOIN("",TRUE,IF(ISERROR(FIND(ROW($1:$168)-1,CA489&amp;CB489)),ROW($1:$168)-1,""))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89" s="22" t="str">
        <f t="shared" si="359"/>
        <v>中中中</v>
      </c>
      <c r="CE489" s="25" t="str">
        <f t="shared" si="353"/>
        <v>13</v>
      </c>
      <c r="CF489" s="26" t="str">
        <f t="array" ref="CF489">_xlfn.TEXTJOIN("",TRUE,IF(ISNUMBER(FIND(MID(CE488&amp;W488,ROW($1:$162),1),CE489&amp;W489)),MID(CE488&amp;W488,ROW($1:$162),1),""))</f>
        <v>21</v>
      </c>
      <c r="CG489" s="27" t="str">
        <f t="array" ref="CG489">_xlfn.TEXTJOIN("",TRUE,IF(ISERROR(FIND(ROW($1:$168)-1,CE489&amp;CF489)),ROW($1:$168)-1,""))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489" s="28" t="str">
        <f t="shared" si="360"/>
        <v>邻传孤</v>
      </c>
      <c r="CI489" s="29" t="str">
        <f t="shared" si="361"/>
        <v>46</v>
      </c>
      <c r="CJ489" s="29" t="str">
        <f t="array" ref="CJ489">_xlfn.TEXTJOIN("",TRUE,IF(ISNUMBER(FIND(MID(CI488&amp;X488,ROW($1:$162),1),CI489&amp;X489)),MID(CI488&amp;X488,ROW($1:$162),1),""))</f>
        <v>465</v>
      </c>
      <c r="CK489" s="29" t="str">
        <f t="array" ref="CK489">_xlfn.TEXTJOIN("",TRUE,IF(ISERROR(FIND(ROW($1:$168)-1,CI489&amp;CJ489)),ROW($1:$168)-1,""))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89" s="19" t="str">
        <f t="shared" si="362"/>
        <v>邻传孤</v>
      </c>
      <c r="CM489" s="24" t="str">
        <f t="shared" si="363"/>
        <v>24</v>
      </c>
      <c r="CN489" s="24" t="str">
        <f t="array" ref="CN489">_xlfn.TEXTJOIN("",TRUE,IF(ISNUMBER(FIND(MID(CM488&amp;Y488,ROW($1:$162),1),CM489&amp;Y489)),MID(CM488&amp;Y488,ROW($1:$162),1),""))</f>
        <v>34</v>
      </c>
      <c r="CO489" s="24" t="str">
        <f t="array" ref="CO489">_xlfn.TEXTJOIN("",TRUE,IF(ISERROR(FIND(ROW($1:$168)-1,CM489&amp;CN489)),ROW($1:$168)-1,""))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89" s="30" t="str">
        <f t="shared" si="364"/>
        <v>邻传孤</v>
      </c>
    </row>
    <row r="490" spans="1:94">
      <c r="A490" s="15">
        <v>490</v>
      </c>
      <c r="B490" s="80">
        <v>2025107</v>
      </c>
      <c r="C490" s="8" t="s">
        <v>354</v>
      </c>
      <c r="D490" s="81">
        <f t="shared" si="344"/>
        <v>9</v>
      </c>
      <c r="E490" s="82">
        <f t="shared" si="345"/>
        <v>9</v>
      </c>
      <c r="F490" s="83">
        <f t="shared" si="342"/>
        <v>1.28571428571429</v>
      </c>
      <c r="G490" s="84" t="str">
        <f t="shared" si="343"/>
        <v>松散</v>
      </c>
      <c r="H490" s="85" t="s">
        <v>10</v>
      </c>
      <c r="I490" s="85" t="s">
        <v>11</v>
      </c>
      <c r="J490" s="85" t="s">
        <v>12</v>
      </c>
      <c r="K490" s="85" t="s">
        <v>13</v>
      </c>
      <c r="L490" s="86">
        <f>MAX(MID(C490,{1,2,3},1)*1)-MIN(MID(C490,{1,2,3},1)*1)</f>
        <v>7</v>
      </c>
      <c r="M490" s="87">
        <v>0</v>
      </c>
      <c r="N490" s="87">
        <v>1</v>
      </c>
      <c r="O490" s="87">
        <v>2</v>
      </c>
      <c r="P490" s="87">
        <v>3</v>
      </c>
      <c r="Q490" s="87">
        <v>4</v>
      </c>
      <c r="R490" s="87">
        <v>5</v>
      </c>
      <c r="S490" s="87">
        <v>6</v>
      </c>
      <c r="T490" s="87">
        <v>7</v>
      </c>
      <c r="U490" s="87">
        <v>8</v>
      </c>
      <c r="V490" s="87">
        <v>9</v>
      </c>
      <c r="W490" s="88">
        <f t="shared" si="346"/>
        <v>2</v>
      </c>
      <c r="X490" s="88">
        <f t="shared" si="347"/>
        <v>7</v>
      </c>
      <c r="Y490" s="88">
        <f t="shared" si="348"/>
        <v>5</v>
      </c>
      <c r="Z490" s="89">
        <f t="shared" si="351"/>
        <v>14</v>
      </c>
      <c r="AA490" s="17" t="str">
        <f>_xlfn.TEXTJOIN(", ",TRUE,ABS(MID(C490,{1,1,2},1)-MID(C490,{2,3,3},1)))</f>
        <v>2, 7, 5</v>
      </c>
      <c r="AB490" s="90">
        <v>0</v>
      </c>
      <c r="AC490" s="90">
        <v>1</v>
      </c>
      <c r="AD490" s="90">
        <v>2</v>
      </c>
      <c r="AE490" s="90">
        <v>3</v>
      </c>
      <c r="AF490" s="90">
        <v>4</v>
      </c>
      <c r="AG490" s="90">
        <v>5</v>
      </c>
      <c r="AH490" s="90">
        <v>6</v>
      </c>
      <c r="AI490" s="90">
        <v>7</v>
      </c>
      <c r="AJ490" s="90">
        <v>8</v>
      </c>
      <c r="AK490" s="90">
        <v>9</v>
      </c>
      <c r="AL490" s="91">
        <v>0</v>
      </c>
      <c r="AM490" s="91">
        <v>1</v>
      </c>
      <c r="AN490" s="91">
        <v>2</v>
      </c>
      <c r="AO490" s="91">
        <v>3</v>
      </c>
      <c r="AP490" s="91">
        <v>4</v>
      </c>
      <c r="AQ490" s="91">
        <v>5</v>
      </c>
      <c r="AR490" s="91">
        <v>6</v>
      </c>
      <c r="AS490" s="91">
        <v>7</v>
      </c>
      <c r="AT490" s="91">
        <v>8</v>
      </c>
      <c r="AU490" s="91">
        <v>9</v>
      </c>
      <c r="AV490" s="92">
        <v>0</v>
      </c>
      <c r="AW490" s="92">
        <v>1</v>
      </c>
      <c r="AX490" s="92">
        <v>2</v>
      </c>
      <c r="AY490" s="92">
        <v>3</v>
      </c>
      <c r="AZ490" s="92">
        <v>4</v>
      </c>
      <c r="BA490" s="92">
        <v>5</v>
      </c>
      <c r="BB490" s="92">
        <v>6</v>
      </c>
      <c r="BC490" s="92">
        <v>7</v>
      </c>
      <c r="BD490" s="92">
        <v>8</v>
      </c>
      <c r="BE490" s="92">
        <v>9</v>
      </c>
      <c r="BF490" s="93">
        <v>0</v>
      </c>
      <c r="BG490" s="93">
        <v>1</v>
      </c>
      <c r="BH490" s="93">
        <v>2</v>
      </c>
      <c r="BI490" s="93">
        <v>3</v>
      </c>
      <c r="BJ490" s="93">
        <v>4</v>
      </c>
      <c r="BK490" s="93">
        <v>5</v>
      </c>
      <c r="BL490" s="93">
        <v>6</v>
      </c>
      <c r="BM490" s="93">
        <v>7</v>
      </c>
      <c r="BN490" s="93">
        <v>8</v>
      </c>
      <c r="BO490" s="93">
        <v>9</v>
      </c>
      <c r="BP490" s="94" t="str">
        <f t="shared" si="352"/>
        <v>松散型</v>
      </c>
      <c r="BQ490" s="15">
        <f t="shared" si="349"/>
        <v>2</v>
      </c>
      <c r="BR490" s="15">
        <f t="shared" si="350"/>
        <v>7</v>
      </c>
      <c r="BS490" s="20">
        <f t="shared" si="354"/>
        <v>2</v>
      </c>
      <c r="BT490" s="21" t="str">
        <f t="shared" si="355"/>
        <v/>
      </c>
      <c r="BU490" s="21" t="str">
        <f t="array" ref="BU490">_xlfn.TEXTJOIN("",TRUE,IF(ISERROR(FIND(ROW($1:$168)-1,BS490&amp;BT490)),ROW($1:$168)-1,""))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90" s="22" t="str">
        <f t="shared" si="356"/>
        <v>复中中</v>
      </c>
      <c r="BW490" s="23" t="str">
        <f t="shared" si="367"/>
        <v/>
      </c>
      <c r="BX490" s="23" t="str">
        <f t="shared" si="365"/>
        <v/>
      </c>
      <c r="BY490" s="23" t="str">
        <f t="array" ref="BY490">_xlfn.TEXTJOIN("",TRUE,IF(ISERROR(FIND(ROW($1:$168)-1,BW490&amp;BX490)),ROW($1:$168)-1,""))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90" s="22" t="str">
        <f t="shared" si="357"/>
        <v>中中中</v>
      </c>
      <c r="CA490" s="24">
        <f t="shared" si="358"/>
        <v>5</v>
      </c>
      <c r="CB490" s="24">
        <f t="shared" si="366"/>
        <v>5</v>
      </c>
      <c r="CC490" s="24" t="str">
        <f t="array" ref="CC490">_xlfn.TEXTJOIN("",TRUE,IF(ISERROR(FIND(ROW($1:$168)-1,CA490&amp;CB490)),ROW($1:$168)-1,""))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90" s="22" t="str">
        <f t="shared" si="359"/>
        <v>复隔中</v>
      </c>
      <c r="CE490" s="25" t="str">
        <f t="shared" si="353"/>
        <v>13</v>
      </c>
      <c r="CF490" s="26" t="str">
        <f t="array" ref="CF490">_xlfn.TEXTJOIN("",TRUE,IF(ISNUMBER(FIND(MID(CE489&amp;W489,ROW($1:$162),1),CE490&amp;W490)),MID(CE489&amp;W489,ROW($1:$162),1),""))</f>
        <v>132</v>
      </c>
      <c r="CG490" s="27" t="str">
        <f t="array" ref="CG490">_xlfn.TEXTJOIN("",TRUE,IF(ISERROR(FIND(ROW($1:$168)-1,CE490&amp;CF490)),ROW($1:$168)-1,""))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490" s="28" t="str">
        <f t="shared" si="360"/>
        <v>邻传孤</v>
      </c>
      <c r="CI490" s="29" t="str">
        <f t="shared" si="361"/>
        <v>68</v>
      </c>
      <c r="CJ490" s="29" t="str">
        <f t="array" ref="CJ490">_xlfn.TEXTJOIN("",TRUE,IF(ISNUMBER(FIND(MID(CI489&amp;X489,ROW($1:$162),1),CI490&amp;X490)),MID(CI489&amp;X489,ROW($1:$162),1),""))</f>
        <v>6</v>
      </c>
      <c r="CK490" s="29" t="str">
        <f t="array" ref="CK490">_xlfn.TEXTJOIN("",TRUE,IF(ISERROR(FIND(ROW($1:$168)-1,CI490&amp;CJ490)),ROW($1:$168)-1,""))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L490" s="19" t="str">
        <f t="shared" si="362"/>
        <v>邻传孤</v>
      </c>
      <c r="CM490" s="24" t="str">
        <f t="shared" si="363"/>
        <v>46</v>
      </c>
      <c r="CN490" s="24" t="str">
        <f t="array" ref="CN490">_xlfn.TEXTJOIN("",TRUE,IF(ISNUMBER(FIND(MID(CM489&amp;Y489,ROW($1:$162),1),CM490&amp;Y490)),MID(CM489&amp;Y489,ROW($1:$162),1),""))</f>
        <v>4</v>
      </c>
      <c r="CO490" s="24" t="str">
        <f t="array" ref="CO490">_xlfn.TEXTJOIN("",TRUE,IF(ISERROR(FIND(ROW($1:$168)-1,CM490&amp;CN490)),ROW($1:$168)-1,""))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90" s="30" t="str">
        <f t="shared" si="364"/>
        <v>邻传孤</v>
      </c>
    </row>
    <row r="491" spans="1:94">
      <c r="A491" s="15">
        <v>491</v>
      </c>
      <c r="B491" s="80">
        <v>2025108</v>
      </c>
      <c r="C491" s="8" t="s">
        <v>410</v>
      </c>
      <c r="D491" s="81">
        <f t="shared" si="344"/>
        <v>11</v>
      </c>
      <c r="E491" s="82">
        <f t="shared" si="345"/>
        <v>1</v>
      </c>
      <c r="F491" s="83">
        <f t="shared" si="342"/>
        <v>1.57142857142857</v>
      </c>
      <c r="G491" s="84" t="str">
        <f t="shared" si="343"/>
        <v>松散</v>
      </c>
      <c r="H491" s="85" t="s">
        <v>10</v>
      </c>
      <c r="I491" s="85" t="s">
        <v>11</v>
      </c>
      <c r="J491" s="85" t="s">
        <v>12</v>
      </c>
      <c r="K491" s="85" t="s">
        <v>13</v>
      </c>
      <c r="L491" s="86">
        <f>MAX(MID(C491,{1,2,3},1)*1)-MIN(MID(C491,{1,2,3},1)*1)</f>
        <v>7</v>
      </c>
      <c r="M491" s="87">
        <v>0</v>
      </c>
      <c r="N491" s="87">
        <v>1</v>
      </c>
      <c r="O491" s="87">
        <v>2</v>
      </c>
      <c r="P491" s="87">
        <v>3</v>
      </c>
      <c r="Q491" s="87">
        <v>4</v>
      </c>
      <c r="R491" s="87">
        <v>5</v>
      </c>
      <c r="S491" s="87">
        <v>6</v>
      </c>
      <c r="T491" s="87">
        <v>7</v>
      </c>
      <c r="U491" s="87">
        <v>8</v>
      </c>
      <c r="V491" s="87">
        <v>9</v>
      </c>
      <c r="W491" s="88">
        <f t="shared" si="346"/>
        <v>4</v>
      </c>
      <c r="X491" s="88">
        <f t="shared" si="347"/>
        <v>3</v>
      </c>
      <c r="Y491" s="88">
        <f t="shared" si="348"/>
        <v>7</v>
      </c>
      <c r="Z491" s="89">
        <f t="shared" si="351"/>
        <v>14</v>
      </c>
      <c r="AA491" s="17" t="str">
        <f>_xlfn.TEXTJOIN(", ",TRUE,ABS(MID(C491,{1,1,2},1)-MID(C491,{2,3,3},1)))</f>
        <v>4, 3, 7</v>
      </c>
      <c r="AB491" s="90">
        <v>0</v>
      </c>
      <c r="AC491" s="90">
        <v>1</v>
      </c>
      <c r="AD491" s="90">
        <v>2</v>
      </c>
      <c r="AE491" s="90">
        <v>3</v>
      </c>
      <c r="AF491" s="90">
        <v>4</v>
      </c>
      <c r="AG491" s="90">
        <v>5</v>
      </c>
      <c r="AH491" s="90">
        <v>6</v>
      </c>
      <c r="AI491" s="90">
        <v>7</v>
      </c>
      <c r="AJ491" s="90">
        <v>8</v>
      </c>
      <c r="AK491" s="90">
        <v>9</v>
      </c>
      <c r="AL491" s="91">
        <v>0</v>
      </c>
      <c r="AM491" s="91">
        <v>1</v>
      </c>
      <c r="AN491" s="91">
        <v>2</v>
      </c>
      <c r="AO491" s="91">
        <v>3</v>
      </c>
      <c r="AP491" s="91">
        <v>4</v>
      </c>
      <c r="AQ491" s="91">
        <v>5</v>
      </c>
      <c r="AR491" s="91">
        <v>6</v>
      </c>
      <c r="AS491" s="91">
        <v>7</v>
      </c>
      <c r="AT491" s="91">
        <v>8</v>
      </c>
      <c r="AU491" s="91">
        <v>9</v>
      </c>
      <c r="AV491" s="92">
        <v>0</v>
      </c>
      <c r="AW491" s="92">
        <v>1</v>
      </c>
      <c r="AX491" s="92">
        <v>2</v>
      </c>
      <c r="AY491" s="92">
        <v>3</v>
      </c>
      <c r="AZ491" s="92">
        <v>4</v>
      </c>
      <c r="BA491" s="92">
        <v>5</v>
      </c>
      <c r="BB491" s="92">
        <v>6</v>
      </c>
      <c r="BC491" s="92">
        <v>7</v>
      </c>
      <c r="BD491" s="92">
        <v>8</v>
      </c>
      <c r="BE491" s="92">
        <v>9</v>
      </c>
      <c r="BF491" s="93">
        <v>0</v>
      </c>
      <c r="BG491" s="93">
        <v>1</v>
      </c>
      <c r="BH491" s="93">
        <v>2</v>
      </c>
      <c r="BI491" s="93">
        <v>3</v>
      </c>
      <c r="BJ491" s="93">
        <v>4</v>
      </c>
      <c r="BK491" s="93">
        <v>5</v>
      </c>
      <c r="BL491" s="93">
        <v>6</v>
      </c>
      <c r="BM491" s="93">
        <v>7</v>
      </c>
      <c r="BN491" s="93">
        <v>8</v>
      </c>
      <c r="BO491" s="93">
        <v>9</v>
      </c>
      <c r="BP491" s="94" t="str">
        <f t="shared" si="352"/>
        <v>松散型</v>
      </c>
      <c r="BQ491" s="15">
        <f t="shared" si="349"/>
        <v>3</v>
      </c>
      <c r="BR491" s="15">
        <f t="shared" si="350"/>
        <v>7</v>
      </c>
      <c r="BS491" s="20" t="str">
        <f t="shared" si="354"/>
        <v/>
      </c>
      <c r="BT491" s="21" t="str">
        <f t="shared" si="355"/>
        <v/>
      </c>
      <c r="BU491" s="21" t="str">
        <f t="array" ref="BU491">_xlfn.TEXTJOIN("",TRUE,IF(ISERROR(FIND(ROW($1:$168)-1,BS491&amp;BT491)),ROW($1:$168)-1,""))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91" s="22" t="str">
        <f t="shared" si="356"/>
        <v>中中中</v>
      </c>
      <c r="BW491" s="23" t="str">
        <f t="shared" si="367"/>
        <v/>
      </c>
      <c r="BX491" s="23">
        <f t="shared" si="365"/>
        <v>3</v>
      </c>
      <c r="BY491" s="23" t="str">
        <f t="array" ref="BY491">_xlfn.TEXTJOIN("",TRUE,IF(ISERROR(FIND(ROW($1:$168)-1,BW491&amp;BX491)),ROW($1:$168)-1,""))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91" s="22" t="str">
        <f t="shared" si="357"/>
        <v>中隔中</v>
      </c>
      <c r="CA491" s="24">
        <f t="shared" si="358"/>
        <v>7</v>
      </c>
      <c r="CB491" s="24" t="str">
        <f t="shared" si="366"/>
        <v/>
      </c>
      <c r="CC491" s="24" t="str">
        <f t="array" ref="CC491">_xlfn.TEXTJOIN("",TRUE,IF(ISERROR(FIND(ROW($1:$168)-1,CA491&amp;CB491)),ROW($1:$168)-1,""))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91" s="22" t="str">
        <f t="shared" si="359"/>
        <v>复中中</v>
      </c>
      <c r="CE491" s="25" t="str">
        <f t="shared" si="353"/>
        <v>35</v>
      </c>
      <c r="CF491" s="26" t="str">
        <f t="array" ref="CF491">_xlfn.TEXTJOIN("",TRUE,IF(ISNUMBER(FIND(MID(CE490&amp;W490,ROW($1:$162),1),CE491&amp;W491)),MID(CE490&amp;W490,ROW($1:$162),1),""))</f>
        <v>3</v>
      </c>
      <c r="CG491" s="27" t="str">
        <f t="array" ref="CG491">_xlfn.TEXTJOIN("",TRUE,IF(ISERROR(FIND(ROW($1:$168)-1,CE491&amp;CF491)),ROW($1:$168)-1,""))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91" s="28" t="str">
        <f t="shared" si="360"/>
        <v>邻传孤</v>
      </c>
      <c r="CI491" s="29" t="str">
        <f t="shared" si="361"/>
        <v>24</v>
      </c>
      <c r="CJ491" s="29" t="str">
        <f t="array" ref="CJ491">_xlfn.TEXTJOIN("",TRUE,IF(ISNUMBER(FIND(MID(CI490&amp;X490,ROW($1:$162),1),CI491&amp;X491)),MID(CI490&amp;X490,ROW($1:$162),1),""))</f>
        <v/>
      </c>
      <c r="CK491" s="29" t="str">
        <f t="array" ref="CK491">_xlfn.TEXTJOIN("",TRUE,IF(ISERROR(FIND(ROW($1:$168)-1,CI491&amp;CJ491)),ROW($1:$168)-1,""))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91" s="19" t="str">
        <f t="shared" si="362"/>
        <v>邻孤孤</v>
      </c>
      <c r="CM491" s="24" t="str">
        <f t="shared" si="363"/>
        <v>68</v>
      </c>
      <c r="CN491" s="24" t="str">
        <f t="array" ref="CN491">_xlfn.TEXTJOIN("",TRUE,IF(ISNUMBER(FIND(MID(CM490&amp;Y490,ROW($1:$162),1),CM491&amp;Y491)),MID(CM490&amp;Y490,ROW($1:$162),1),""))</f>
        <v>6</v>
      </c>
      <c r="CO491" s="24" t="str">
        <f t="array" ref="CO491">_xlfn.TEXTJOIN("",TRUE,IF(ISERROR(FIND(ROW($1:$168)-1,CM491&amp;CN491)),ROW($1:$168)-1,""))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P491" s="30" t="str">
        <f t="shared" si="364"/>
        <v>邻传孤</v>
      </c>
    </row>
    <row r="492" spans="1:94">
      <c r="A492" s="15">
        <v>492</v>
      </c>
      <c r="B492" s="80">
        <v>2025109</v>
      </c>
      <c r="C492" s="8" t="s">
        <v>411</v>
      </c>
      <c r="D492" s="81">
        <f t="shared" si="344"/>
        <v>13</v>
      </c>
      <c r="E492" s="82">
        <f t="shared" si="345"/>
        <v>3</v>
      </c>
      <c r="F492" s="83">
        <f t="shared" si="342"/>
        <v>1.85714285714286</v>
      </c>
      <c r="G492" s="84" t="str">
        <f t="shared" si="343"/>
        <v>松散</v>
      </c>
      <c r="H492" s="85" t="s">
        <v>10</v>
      </c>
      <c r="I492" s="85" t="s">
        <v>11</v>
      </c>
      <c r="J492" s="85" t="s">
        <v>12</v>
      </c>
      <c r="K492" s="85" t="s">
        <v>13</v>
      </c>
      <c r="L492" s="86">
        <f>MAX(MID(C492,{1,2,3},1)*1)-MIN(MID(C492,{1,2,3},1)*1)</f>
        <v>7</v>
      </c>
      <c r="M492" s="87">
        <v>0</v>
      </c>
      <c r="N492" s="87">
        <v>1</v>
      </c>
      <c r="O492" s="87">
        <v>2</v>
      </c>
      <c r="P492" s="87">
        <v>3</v>
      </c>
      <c r="Q492" s="87">
        <v>4</v>
      </c>
      <c r="R492" s="87">
        <v>5</v>
      </c>
      <c r="S492" s="87">
        <v>6</v>
      </c>
      <c r="T492" s="87">
        <v>7</v>
      </c>
      <c r="U492" s="87">
        <v>8</v>
      </c>
      <c r="V492" s="87">
        <v>9</v>
      </c>
      <c r="W492" s="88">
        <f t="shared" si="346"/>
        <v>4</v>
      </c>
      <c r="X492" s="88">
        <f t="shared" si="347"/>
        <v>7</v>
      </c>
      <c r="Y492" s="88">
        <f t="shared" si="348"/>
        <v>3</v>
      </c>
      <c r="Z492" s="89">
        <f t="shared" si="351"/>
        <v>14</v>
      </c>
      <c r="AA492" s="17" t="str">
        <f>_xlfn.TEXTJOIN(", ",TRUE,ABS(MID(C492,{1,1,2},1)-MID(C492,{2,3,3},1)))</f>
        <v>4, 7, 3</v>
      </c>
      <c r="AB492" s="90">
        <v>0</v>
      </c>
      <c r="AC492" s="90">
        <v>1</v>
      </c>
      <c r="AD492" s="90">
        <v>2</v>
      </c>
      <c r="AE492" s="90">
        <v>3</v>
      </c>
      <c r="AF492" s="90">
        <v>4</v>
      </c>
      <c r="AG492" s="90">
        <v>5</v>
      </c>
      <c r="AH492" s="90">
        <v>6</v>
      </c>
      <c r="AI492" s="90">
        <v>7</v>
      </c>
      <c r="AJ492" s="90">
        <v>8</v>
      </c>
      <c r="AK492" s="90">
        <v>9</v>
      </c>
      <c r="AL492" s="91">
        <v>0</v>
      </c>
      <c r="AM492" s="91">
        <v>1</v>
      </c>
      <c r="AN492" s="91">
        <v>2</v>
      </c>
      <c r="AO492" s="91">
        <v>3</v>
      </c>
      <c r="AP492" s="91">
        <v>4</v>
      </c>
      <c r="AQ492" s="91">
        <v>5</v>
      </c>
      <c r="AR492" s="91">
        <v>6</v>
      </c>
      <c r="AS492" s="91">
        <v>7</v>
      </c>
      <c r="AT492" s="91">
        <v>8</v>
      </c>
      <c r="AU492" s="91">
        <v>9</v>
      </c>
      <c r="AV492" s="92">
        <v>0</v>
      </c>
      <c r="AW492" s="92">
        <v>1</v>
      </c>
      <c r="AX492" s="92">
        <v>2</v>
      </c>
      <c r="AY492" s="92">
        <v>3</v>
      </c>
      <c r="AZ492" s="92">
        <v>4</v>
      </c>
      <c r="BA492" s="92">
        <v>5</v>
      </c>
      <c r="BB492" s="92">
        <v>6</v>
      </c>
      <c r="BC492" s="92">
        <v>7</v>
      </c>
      <c r="BD492" s="92">
        <v>8</v>
      </c>
      <c r="BE492" s="92">
        <v>9</v>
      </c>
      <c r="BF492" s="93">
        <v>0</v>
      </c>
      <c r="BG492" s="93">
        <v>1</v>
      </c>
      <c r="BH492" s="93">
        <v>2</v>
      </c>
      <c r="BI492" s="93">
        <v>3</v>
      </c>
      <c r="BJ492" s="93">
        <v>4</v>
      </c>
      <c r="BK492" s="93">
        <v>5</v>
      </c>
      <c r="BL492" s="93">
        <v>6</v>
      </c>
      <c r="BM492" s="93">
        <v>7</v>
      </c>
      <c r="BN492" s="93">
        <v>8</v>
      </c>
      <c r="BO492" s="93">
        <v>9</v>
      </c>
      <c r="BP492" s="94" t="str">
        <f t="shared" si="352"/>
        <v>松散型</v>
      </c>
      <c r="BQ492" s="15">
        <f t="shared" si="349"/>
        <v>3</v>
      </c>
      <c r="BR492" s="15">
        <f t="shared" si="350"/>
        <v>7</v>
      </c>
      <c r="BS492" s="20">
        <f t="shared" si="354"/>
        <v>4</v>
      </c>
      <c r="BT492" s="21" t="str">
        <f t="shared" si="355"/>
        <v/>
      </c>
      <c r="BU492" s="21" t="str">
        <f t="array" ref="BU492">_xlfn.TEXTJOIN("",TRUE,IF(ISERROR(FIND(ROW($1:$168)-1,BS492&amp;BT492)),ROW($1:$168)-1,""))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92" s="22" t="str">
        <f t="shared" si="356"/>
        <v>复中中</v>
      </c>
      <c r="BW492" s="23">
        <f t="shared" si="367"/>
        <v>7</v>
      </c>
      <c r="BX492" s="23">
        <f t="shared" si="365"/>
        <v>7</v>
      </c>
      <c r="BY492" s="23" t="str">
        <f t="array" ref="BY492">_xlfn.TEXTJOIN("",TRUE,IF(ISERROR(FIND(ROW($1:$168)-1,BW492&amp;BX492)),ROW($1:$168)-1,""))</f>
        <v>012345689101112131415161718192021222324252627282930313233343536373839404142434445464748495051525354555657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BZ492" s="22" t="str">
        <f t="shared" si="357"/>
        <v>复隔中</v>
      </c>
      <c r="CA492" s="24">
        <f t="shared" si="358"/>
        <v>3</v>
      </c>
      <c r="CB492" s="24" t="str">
        <f t="shared" si="366"/>
        <v/>
      </c>
      <c r="CC492" s="24" t="str">
        <f t="array" ref="CC492">_xlfn.TEXTJOIN("",TRUE,IF(ISERROR(FIND(ROW($1:$168)-1,CA492&amp;CB492)),ROW($1:$168)-1,""))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92" s="22" t="str">
        <f t="shared" si="359"/>
        <v>复中中</v>
      </c>
      <c r="CE492" s="25" t="str">
        <f t="shared" si="353"/>
        <v>35</v>
      </c>
      <c r="CF492" s="26" t="str">
        <f t="array" ref="CF492">_xlfn.TEXTJOIN("",TRUE,IF(ISNUMBER(FIND(MID(CE491&amp;W491,ROW($1:$162),1),CE492&amp;W492)),MID(CE491&amp;W491,ROW($1:$162),1),""))</f>
        <v>354</v>
      </c>
      <c r="CG492" s="27" t="str">
        <f t="array" ref="CG492">_xlfn.TEXTJOIN("",TRUE,IF(ISERROR(FIND(ROW($1:$168)-1,CE492&amp;CF492)),ROW($1:$168)-1,""))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92" s="28" t="str">
        <f t="shared" si="360"/>
        <v>邻传孤</v>
      </c>
      <c r="CI492" s="29" t="str">
        <f t="shared" si="361"/>
        <v>68</v>
      </c>
      <c r="CJ492" s="29" t="str">
        <f t="array" ref="CJ492">_xlfn.TEXTJOIN("",TRUE,IF(ISNUMBER(FIND(MID(CI491&amp;X491,ROW($1:$162),1),CI492&amp;X492)),MID(CI491&amp;X491,ROW($1:$162),1),""))</f>
        <v/>
      </c>
      <c r="CK492" s="29" t="str">
        <f t="array" ref="CK492">_xlfn.TEXTJOIN("",TRUE,IF(ISERROR(FIND(ROW($1:$168)-1,CI492&amp;CJ492)),ROW($1:$168)-1,""))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92" s="19" t="str">
        <f t="shared" si="362"/>
        <v>邻孤孤</v>
      </c>
      <c r="CM492" s="24" t="str">
        <f t="shared" si="363"/>
        <v>24</v>
      </c>
      <c r="CN492" s="24" t="str">
        <f t="array" ref="CN492">_xlfn.TEXTJOIN("",TRUE,IF(ISNUMBER(FIND(MID(CM491&amp;Y491,ROW($1:$162),1),CM492&amp;Y492)),MID(CM491&amp;Y491,ROW($1:$162),1),""))</f>
        <v/>
      </c>
      <c r="CO492" s="24" t="str">
        <f t="array" ref="CO492">_xlfn.TEXTJOIN("",TRUE,IF(ISERROR(FIND(ROW($1:$168)-1,CM492&amp;CN492)),ROW($1:$168)-1,""))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92" s="30" t="str">
        <f t="shared" si="364"/>
        <v>邻孤孤</v>
      </c>
    </row>
    <row r="493" spans="1:94">
      <c r="A493" s="15">
        <v>493</v>
      </c>
      <c r="B493" s="80">
        <v>2025110</v>
      </c>
      <c r="C493" s="8" t="s">
        <v>412</v>
      </c>
      <c r="D493" s="81">
        <f t="shared" si="344"/>
        <v>14</v>
      </c>
      <c r="E493" s="82">
        <f t="shared" si="345"/>
        <v>4</v>
      </c>
      <c r="F493" s="83">
        <f t="shared" si="342"/>
        <v>1.75</v>
      </c>
      <c r="G493" s="84" t="str">
        <f t="shared" si="343"/>
        <v>松散</v>
      </c>
      <c r="H493" s="85" t="s">
        <v>10</v>
      </c>
      <c r="I493" s="85" t="s">
        <v>11</v>
      </c>
      <c r="J493" s="85" t="s">
        <v>12</v>
      </c>
      <c r="K493" s="85" t="s">
        <v>13</v>
      </c>
      <c r="L493" s="86">
        <f>MAX(MID(C493,{1,2,3},1)*1)-MIN(MID(C493,{1,2,3},1)*1)</f>
        <v>8</v>
      </c>
      <c r="M493" s="87">
        <v>0</v>
      </c>
      <c r="N493" s="87">
        <v>1</v>
      </c>
      <c r="O493" s="87">
        <v>2</v>
      </c>
      <c r="P493" s="87">
        <v>3</v>
      </c>
      <c r="Q493" s="87">
        <v>4</v>
      </c>
      <c r="R493" s="87">
        <v>5</v>
      </c>
      <c r="S493" s="87">
        <v>6</v>
      </c>
      <c r="T493" s="87">
        <v>7</v>
      </c>
      <c r="U493" s="87">
        <v>8</v>
      </c>
      <c r="V493" s="87">
        <v>9</v>
      </c>
      <c r="W493" s="88">
        <f t="shared" si="346"/>
        <v>8</v>
      </c>
      <c r="X493" s="88">
        <f t="shared" si="347"/>
        <v>5</v>
      </c>
      <c r="Y493" s="88">
        <f t="shared" si="348"/>
        <v>3</v>
      </c>
      <c r="Z493" s="89">
        <f t="shared" si="351"/>
        <v>16</v>
      </c>
      <c r="AA493" s="17" t="str">
        <f>_xlfn.TEXTJOIN(", ",TRUE,ABS(MID(C493,{1,1,2},1)-MID(C493,{2,3,3},1)))</f>
        <v>8, 5, 3</v>
      </c>
      <c r="AB493" s="90">
        <v>0</v>
      </c>
      <c r="AC493" s="90">
        <v>1</v>
      </c>
      <c r="AD493" s="90">
        <v>2</v>
      </c>
      <c r="AE493" s="90">
        <v>3</v>
      </c>
      <c r="AF493" s="90">
        <v>4</v>
      </c>
      <c r="AG493" s="90">
        <v>5</v>
      </c>
      <c r="AH493" s="90">
        <v>6</v>
      </c>
      <c r="AI493" s="90">
        <v>7</v>
      </c>
      <c r="AJ493" s="90">
        <v>8</v>
      </c>
      <c r="AK493" s="90">
        <v>9</v>
      </c>
      <c r="AL493" s="91">
        <v>0</v>
      </c>
      <c r="AM493" s="91">
        <v>1</v>
      </c>
      <c r="AN493" s="91">
        <v>2</v>
      </c>
      <c r="AO493" s="91">
        <v>3</v>
      </c>
      <c r="AP493" s="91">
        <v>4</v>
      </c>
      <c r="AQ493" s="91">
        <v>5</v>
      </c>
      <c r="AR493" s="91">
        <v>6</v>
      </c>
      <c r="AS493" s="91">
        <v>7</v>
      </c>
      <c r="AT493" s="91">
        <v>8</v>
      </c>
      <c r="AU493" s="91">
        <v>9</v>
      </c>
      <c r="AV493" s="92">
        <v>0</v>
      </c>
      <c r="AW493" s="92">
        <v>1</v>
      </c>
      <c r="AX493" s="92">
        <v>2</v>
      </c>
      <c r="AY493" s="92">
        <v>3</v>
      </c>
      <c r="AZ493" s="92">
        <v>4</v>
      </c>
      <c r="BA493" s="92">
        <v>5</v>
      </c>
      <c r="BB493" s="92">
        <v>6</v>
      </c>
      <c r="BC493" s="92">
        <v>7</v>
      </c>
      <c r="BD493" s="92">
        <v>8</v>
      </c>
      <c r="BE493" s="92">
        <v>9</v>
      </c>
      <c r="BF493" s="93">
        <v>0</v>
      </c>
      <c r="BG493" s="93">
        <v>1</v>
      </c>
      <c r="BH493" s="93">
        <v>2</v>
      </c>
      <c r="BI493" s="93">
        <v>3</v>
      </c>
      <c r="BJ493" s="93">
        <v>4</v>
      </c>
      <c r="BK493" s="93">
        <v>5</v>
      </c>
      <c r="BL493" s="93">
        <v>6</v>
      </c>
      <c r="BM493" s="93">
        <v>7</v>
      </c>
      <c r="BN493" s="93">
        <v>8</v>
      </c>
      <c r="BO493" s="93">
        <v>9</v>
      </c>
      <c r="BP493" s="94" t="str">
        <f t="shared" si="352"/>
        <v>松散型</v>
      </c>
      <c r="BQ493" s="15">
        <f t="shared" si="349"/>
        <v>3</v>
      </c>
      <c r="BR493" s="15">
        <f t="shared" si="350"/>
        <v>8</v>
      </c>
      <c r="BS493" s="20" t="str">
        <f t="shared" si="354"/>
        <v/>
      </c>
      <c r="BT493" s="21" t="str">
        <f t="shared" si="355"/>
        <v/>
      </c>
      <c r="BU493" s="21" t="str">
        <f t="array" ref="BU493">_xlfn.TEXTJOIN("",TRUE,IF(ISERROR(FIND(ROW($1:$168)-1,BS493&amp;BT493)),ROW($1:$168)-1,""))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93" s="22" t="str">
        <f t="shared" si="356"/>
        <v>中中中</v>
      </c>
      <c r="BW493" s="23" t="str">
        <f t="shared" si="367"/>
        <v/>
      </c>
      <c r="BX493" s="23" t="str">
        <f t="shared" si="365"/>
        <v/>
      </c>
      <c r="BY493" s="23" t="str">
        <f t="array" ref="BY493">_xlfn.TEXTJOIN("",TRUE,IF(ISERROR(FIND(ROW($1:$168)-1,BW493&amp;BX493)),ROW($1:$168)-1,""))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93" s="22" t="str">
        <f t="shared" si="357"/>
        <v>中中中</v>
      </c>
      <c r="CA493" s="24">
        <f t="shared" si="358"/>
        <v>3</v>
      </c>
      <c r="CB493" s="24">
        <f t="shared" si="366"/>
        <v>3</v>
      </c>
      <c r="CC493" s="24" t="str">
        <f t="array" ref="CC493">_xlfn.TEXTJOIN("",TRUE,IF(ISERROR(FIND(ROW($1:$168)-1,CA493&amp;CB493)),ROW($1:$168)-1,""))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93" s="22" t="str">
        <f t="shared" si="359"/>
        <v>复隔中</v>
      </c>
      <c r="CE493" s="25" t="str">
        <f t="shared" si="353"/>
        <v>79</v>
      </c>
      <c r="CF493" s="26" t="str">
        <f t="array" ref="CF493">_xlfn.TEXTJOIN("",TRUE,IF(ISNUMBER(FIND(MID(CE492&amp;W492,ROW($1:$162),1),CE493&amp;W493)),MID(CE492&amp;W492,ROW($1:$162),1),""))</f>
        <v/>
      </c>
      <c r="CG493" s="27" t="str">
        <f t="array" ref="CG493">_xlfn.TEXTJOIN("",TRUE,IF(ISERROR(FIND(ROW($1:$168)-1,CE493&amp;CF493)),ROW($1:$168)-1,""))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493" s="28" t="str">
        <f t="shared" si="360"/>
        <v>邻孤孤</v>
      </c>
      <c r="CI493" s="29" t="str">
        <f t="shared" si="361"/>
        <v>46</v>
      </c>
      <c r="CJ493" s="29" t="str">
        <f t="array" ref="CJ493">_xlfn.TEXTJOIN("",TRUE,IF(ISNUMBER(FIND(MID(CI492&amp;X492,ROW($1:$162),1),CI493&amp;X493)),MID(CI492&amp;X492,ROW($1:$162),1),""))</f>
        <v>6</v>
      </c>
      <c r="CK493" s="29" t="str">
        <f t="array" ref="CK493">_xlfn.TEXTJOIN("",TRUE,IF(ISERROR(FIND(ROW($1:$168)-1,CI493&amp;CJ493)),ROW($1:$168)-1,""))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93" s="19" t="str">
        <f t="shared" si="362"/>
        <v>邻传孤</v>
      </c>
      <c r="CM493" s="24" t="str">
        <f t="shared" si="363"/>
        <v>24</v>
      </c>
      <c r="CN493" s="24" t="str">
        <f t="array" ref="CN493">_xlfn.TEXTJOIN("",TRUE,IF(ISNUMBER(FIND(MID(CM492&amp;Y492,ROW($1:$162),1),CM493&amp;Y493)),MID(CM492&amp;Y492,ROW($1:$162),1),""))</f>
        <v>243</v>
      </c>
      <c r="CO493" s="24" t="str">
        <f t="array" ref="CO493">_xlfn.TEXTJOIN("",TRUE,IF(ISERROR(FIND(ROW($1:$168)-1,CM493&amp;CN493)),ROW($1:$168)-1,""))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93" s="30" t="str">
        <f t="shared" si="364"/>
        <v>邻传孤</v>
      </c>
    </row>
    <row r="494" spans="1:94">
      <c r="A494" s="15">
        <v>494</v>
      </c>
      <c r="B494" s="80">
        <v>2025111</v>
      </c>
      <c r="C494" s="8" t="s">
        <v>413</v>
      </c>
      <c r="D494" s="81">
        <f t="shared" ref="D494:D518" si="368">LEFT(C494,1)+MID(C494,2,1)+RIGHT(C494,1)</f>
        <v>9</v>
      </c>
      <c r="E494" s="82">
        <f t="shared" ref="E494:E518" si="369">MOD(LEFT(C494,1)+MID(C494,2,1)+RIGHT(C494,1),10)</f>
        <v>9</v>
      </c>
      <c r="F494" s="83">
        <f t="shared" si="342"/>
        <v>1.28571428571429</v>
      </c>
      <c r="G494" s="84" t="str">
        <f t="shared" si="343"/>
        <v>松散</v>
      </c>
      <c r="H494" s="85" t="s">
        <v>10</v>
      </c>
      <c r="I494" s="85" t="s">
        <v>11</v>
      </c>
      <c r="J494" s="85" t="s">
        <v>12</v>
      </c>
      <c r="K494" s="85" t="s">
        <v>13</v>
      </c>
      <c r="L494" s="86">
        <f>MAX(MID(C494,{1,2,3},1)*1)-MIN(MID(C494,{1,2,3},1)*1)</f>
        <v>7</v>
      </c>
      <c r="M494" s="87">
        <v>0</v>
      </c>
      <c r="N494" s="87">
        <v>1</v>
      </c>
      <c r="O494" s="87">
        <v>2</v>
      </c>
      <c r="P494" s="87">
        <v>3</v>
      </c>
      <c r="Q494" s="87">
        <v>4</v>
      </c>
      <c r="R494" s="87">
        <v>5</v>
      </c>
      <c r="S494" s="87">
        <v>6</v>
      </c>
      <c r="T494" s="87">
        <v>7</v>
      </c>
      <c r="U494" s="87">
        <v>8</v>
      </c>
      <c r="V494" s="87">
        <v>9</v>
      </c>
      <c r="W494" s="88">
        <f t="shared" ref="W494:W518" si="370">ABS(LEFT(C494,1)-MID(C494,2,1))</f>
        <v>5</v>
      </c>
      <c r="X494" s="88">
        <f t="shared" ref="X494:X518" si="371">ABS(LEFT(C494,1)-RIGHT(C494,1))</f>
        <v>2</v>
      </c>
      <c r="Y494" s="88">
        <f t="shared" ref="Y494:Y518" si="372">ABS(MID(C494,2,1)-RIGHT(C494,1))</f>
        <v>7</v>
      </c>
      <c r="Z494" s="89">
        <f t="shared" si="351"/>
        <v>14</v>
      </c>
      <c r="AA494" s="17" t="str">
        <f>_xlfn.TEXTJOIN(", ",TRUE,ABS(MID(C494,{1,1,2},1)-MID(C494,{2,3,3},1)))</f>
        <v>5, 2, 7</v>
      </c>
      <c r="AB494" s="90">
        <v>0</v>
      </c>
      <c r="AC494" s="90">
        <v>1</v>
      </c>
      <c r="AD494" s="90">
        <v>2</v>
      </c>
      <c r="AE494" s="90">
        <v>3</v>
      </c>
      <c r="AF494" s="90">
        <v>4</v>
      </c>
      <c r="AG494" s="90">
        <v>5</v>
      </c>
      <c r="AH494" s="90">
        <v>6</v>
      </c>
      <c r="AI494" s="90">
        <v>7</v>
      </c>
      <c r="AJ494" s="90">
        <v>8</v>
      </c>
      <c r="AK494" s="90">
        <v>9</v>
      </c>
      <c r="AL494" s="91">
        <v>0</v>
      </c>
      <c r="AM494" s="91">
        <v>1</v>
      </c>
      <c r="AN494" s="91">
        <v>2</v>
      </c>
      <c r="AO494" s="91">
        <v>3</v>
      </c>
      <c r="AP494" s="91">
        <v>4</v>
      </c>
      <c r="AQ494" s="91">
        <v>5</v>
      </c>
      <c r="AR494" s="91">
        <v>6</v>
      </c>
      <c r="AS494" s="91">
        <v>7</v>
      </c>
      <c r="AT494" s="91">
        <v>8</v>
      </c>
      <c r="AU494" s="91">
        <v>9</v>
      </c>
      <c r="AV494" s="92">
        <v>0</v>
      </c>
      <c r="AW494" s="92">
        <v>1</v>
      </c>
      <c r="AX494" s="92">
        <v>2</v>
      </c>
      <c r="AY494" s="92">
        <v>3</v>
      </c>
      <c r="AZ494" s="92">
        <v>4</v>
      </c>
      <c r="BA494" s="92">
        <v>5</v>
      </c>
      <c r="BB494" s="92">
        <v>6</v>
      </c>
      <c r="BC494" s="92">
        <v>7</v>
      </c>
      <c r="BD494" s="92">
        <v>8</v>
      </c>
      <c r="BE494" s="92">
        <v>9</v>
      </c>
      <c r="BF494" s="93">
        <v>0</v>
      </c>
      <c r="BG494" s="93">
        <v>1</v>
      </c>
      <c r="BH494" s="93">
        <v>2</v>
      </c>
      <c r="BI494" s="93">
        <v>3</v>
      </c>
      <c r="BJ494" s="93">
        <v>4</v>
      </c>
      <c r="BK494" s="93">
        <v>5</v>
      </c>
      <c r="BL494" s="93">
        <v>6</v>
      </c>
      <c r="BM494" s="93">
        <v>7</v>
      </c>
      <c r="BN494" s="93">
        <v>8</v>
      </c>
      <c r="BO494" s="93">
        <v>9</v>
      </c>
      <c r="BP494" s="94" t="str">
        <f t="shared" si="352"/>
        <v>松散型</v>
      </c>
      <c r="BQ494" s="15">
        <f t="shared" si="349"/>
        <v>2</v>
      </c>
      <c r="BR494" s="15">
        <f t="shared" si="350"/>
        <v>7</v>
      </c>
      <c r="BS494" s="20">
        <f t="shared" si="354"/>
        <v>5</v>
      </c>
      <c r="BT494" s="21" t="str">
        <f t="shared" si="355"/>
        <v/>
      </c>
      <c r="BU494" s="21" t="str">
        <f t="array" ref="BU494">_xlfn.TEXTJOIN("",TRUE,IF(ISERROR(FIND(ROW($1:$168)-1,BS494&amp;BT494)),ROW($1:$168)-1,""))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94" s="22" t="str">
        <f t="shared" si="356"/>
        <v>复中中</v>
      </c>
      <c r="BW494" s="23" t="str">
        <f t="shared" si="367"/>
        <v/>
      </c>
      <c r="BX494" s="23" t="str">
        <f t="shared" si="365"/>
        <v/>
      </c>
      <c r="BY494" s="23" t="str">
        <f t="array" ref="BY494">_xlfn.TEXTJOIN("",TRUE,IF(ISERROR(FIND(ROW($1:$168)-1,BW494&amp;BX494)),ROW($1:$168)-1,""))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94" s="22" t="str">
        <f t="shared" si="357"/>
        <v>中中中</v>
      </c>
      <c r="CA494" s="24" t="str">
        <f t="shared" si="358"/>
        <v/>
      </c>
      <c r="CB494" s="24">
        <f t="shared" si="366"/>
        <v>7</v>
      </c>
      <c r="CC494" s="24" t="str">
        <f t="array" ref="CC494">_xlfn.TEXTJOIN("",TRUE,IF(ISERROR(FIND(ROW($1:$168)-1,CA494&amp;CB494)),ROW($1:$168)-1,""))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94" s="22" t="str">
        <f t="shared" si="359"/>
        <v>中隔中</v>
      </c>
      <c r="CE494" s="25" t="str">
        <f t="shared" si="353"/>
        <v>46</v>
      </c>
      <c r="CF494" s="26" t="str">
        <f t="array" ref="CF494">_xlfn.TEXTJOIN("",TRUE,IF(ISNUMBER(FIND(MID(CE493&amp;W493,ROW($1:$162),1),CE494&amp;W494)),MID(CE493&amp;W493,ROW($1:$162),1),""))</f>
        <v/>
      </c>
      <c r="CG494" s="27" t="str">
        <f t="array" ref="CG494">_xlfn.TEXTJOIN("",TRUE,IF(ISERROR(FIND(ROW($1:$168)-1,CE494&amp;CF494)),ROW($1:$168)-1,""))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94" s="28" t="str">
        <f t="shared" si="360"/>
        <v>邻孤孤</v>
      </c>
      <c r="CI494" s="29" t="str">
        <f t="shared" si="361"/>
        <v>13</v>
      </c>
      <c r="CJ494" s="29" t="str">
        <f t="array" ref="CJ494">_xlfn.TEXTJOIN("",TRUE,IF(ISNUMBER(FIND(MID(CI493&amp;X493,ROW($1:$162),1),CI494&amp;X494)),MID(CI493&amp;X493,ROW($1:$162),1),""))</f>
        <v/>
      </c>
      <c r="CK494" s="29" t="str">
        <f t="array" ref="CK494">_xlfn.TEXTJOIN("",TRUE,IF(ISERROR(FIND(ROW($1:$168)-1,CI494&amp;CJ494)),ROW($1:$168)-1,""))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94" s="19" t="str">
        <f t="shared" si="362"/>
        <v>邻孤孤</v>
      </c>
      <c r="CM494" s="24" t="str">
        <f t="shared" si="363"/>
        <v>68</v>
      </c>
      <c r="CN494" s="24" t="str">
        <f t="array" ref="CN494">_xlfn.TEXTJOIN("",TRUE,IF(ISNUMBER(FIND(MID(CM493&amp;Y493,ROW($1:$162),1),CM494&amp;Y494)),MID(CM493&amp;Y493,ROW($1:$162),1),""))</f>
        <v/>
      </c>
      <c r="CO494" s="24" t="str">
        <f t="array" ref="CO494">_xlfn.TEXTJOIN("",TRUE,IF(ISERROR(FIND(ROW($1:$168)-1,CM494&amp;CN494)),ROW($1:$168)-1,""))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94" s="30" t="str">
        <f t="shared" si="364"/>
        <v>邻孤孤</v>
      </c>
    </row>
    <row r="495" spans="1:94">
      <c r="A495" s="15">
        <v>495</v>
      </c>
      <c r="B495" s="80">
        <v>2025112</v>
      </c>
      <c r="C495" s="8" t="s">
        <v>414</v>
      </c>
      <c r="D495" s="81">
        <f t="shared" si="368"/>
        <v>18</v>
      </c>
      <c r="E495" s="82">
        <f t="shared" si="369"/>
        <v>8</v>
      </c>
      <c r="F495" s="83">
        <f t="shared" si="342"/>
        <v>3.6</v>
      </c>
      <c r="G495" s="84" t="str">
        <f t="shared" si="343"/>
        <v>紧凑</v>
      </c>
      <c r="H495" s="85" t="s">
        <v>10</v>
      </c>
      <c r="I495" s="85" t="s">
        <v>11</v>
      </c>
      <c r="J495" s="85" t="s">
        <v>12</v>
      </c>
      <c r="K495" s="85" t="s">
        <v>13</v>
      </c>
      <c r="L495" s="86">
        <f>MAX(MID(C495,{1,2,3},1)*1)-MIN(MID(C495,{1,2,3},1)*1)</f>
        <v>5</v>
      </c>
      <c r="M495" s="87">
        <v>0</v>
      </c>
      <c r="N495" s="87">
        <v>1</v>
      </c>
      <c r="O495" s="87">
        <v>2</v>
      </c>
      <c r="P495" s="87">
        <v>3</v>
      </c>
      <c r="Q495" s="87">
        <v>4</v>
      </c>
      <c r="R495" s="87">
        <v>5</v>
      </c>
      <c r="S495" s="87">
        <v>6</v>
      </c>
      <c r="T495" s="87">
        <v>7</v>
      </c>
      <c r="U495" s="87">
        <v>8</v>
      </c>
      <c r="V495" s="87">
        <v>9</v>
      </c>
      <c r="W495" s="88">
        <f t="shared" si="370"/>
        <v>4</v>
      </c>
      <c r="X495" s="88">
        <f t="shared" si="371"/>
        <v>5</v>
      </c>
      <c r="Y495" s="88">
        <f t="shared" si="372"/>
        <v>1</v>
      </c>
      <c r="Z495" s="89">
        <f t="shared" si="351"/>
        <v>10</v>
      </c>
      <c r="AA495" s="17" t="str">
        <f>_xlfn.TEXTJOIN(", ",TRUE,ABS(MID(C495,{1,1,2},1)-MID(C495,{2,3,3},1)))</f>
        <v>4, 5, 1</v>
      </c>
      <c r="AB495" s="90">
        <v>0</v>
      </c>
      <c r="AC495" s="90">
        <v>1</v>
      </c>
      <c r="AD495" s="90">
        <v>2</v>
      </c>
      <c r="AE495" s="90">
        <v>3</v>
      </c>
      <c r="AF495" s="90">
        <v>4</v>
      </c>
      <c r="AG495" s="90">
        <v>5</v>
      </c>
      <c r="AH495" s="90">
        <v>6</v>
      </c>
      <c r="AI495" s="90">
        <v>7</v>
      </c>
      <c r="AJ495" s="90">
        <v>8</v>
      </c>
      <c r="AK495" s="90">
        <v>9</v>
      </c>
      <c r="AL495" s="91">
        <v>0</v>
      </c>
      <c r="AM495" s="91">
        <v>1</v>
      </c>
      <c r="AN495" s="91">
        <v>2</v>
      </c>
      <c r="AO495" s="91">
        <v>3</v>
      </c>
      <c r="AP495" s="91">
        <v>4</v>
      </c>
      <c r="AQ495" s="91">
        <v>5</v>
      </c>
      <c r="AR495" s="91">
        <v>6</v>
      </c>
      <c r="AS495" s="91">
        <v>7</v>
      </c>
      <c r="AT495" s="91">
        <v>8</v>
      </c>
      <c r="AU495" s="91">
        <v>9</v>
      </c>
      <c r="AV495" s="92">
        <v>0</v>
      </c>
      <c r="AW495" s="92">
        <v>1</v>
      </c>
      <c r="AX495" s="92">
        <v>2</v>
      </c>
      <c r="AY495" s="92">
        <v>3</v>
      </c>
      <c r="AZ495" s="92">
        <v>4</v>
      </c>
      <c r="BA495" s="92">
        <v>5</v>
      </c>
      <c r="BB495" s="92">
        <v>6</v>
      </c>
      <c r="BC495" s="92">
        <v>7</v>
      </c>
      <c r="BD495" s="92">
        <v>8</v>
      </c>
      <c r="BE495" s="92">
        <v>9</v>
      </c>
      <c r="BF495" s="93">
        <v>0</v>
      </c>
      <c r="BG495" s="93">
        <v>1</v>
      </c>
      <c r="BH495" s="93">
        <v>2</v>
      </c>
      <c r="BI495" s="93">
        <v>3</v>
      </c>
      <c r="BJ495" s="93">
        <v>4</v>
      </c>
      <c r="BK495" s="93">
        <v>5</v>
      </c>
      <c r="BL495" s="93">
        <v>6</v>
      </c>
      <c r="BM495" s="93">
        <v>7</v>
      </c>
      <c r="BN495" s="93">
        <v>8</v>
      </c>
      <c r="BO495" s="93">
        <v>9</v>
      </c>
      <c r="BP495" s="94" t="str">
        <f t="shared" si="352"/>
        <v>标准型</v>
      </c>
      <c r="BQ495" s="15">
        <f t="shared" si="349"/>
        <v>1</v>
      </c>
      <c r="BR495" s="15">
        <f t="shared" si="350"/>
        <v>5</v>
      </c>
      <c r="BS495" s="20" t="str">
        <f t="shared" si="354"/>
        <v/>
      </c>
      <c r="BT495" s="21" t="str">
        <f t="shared" si="355"/>
        <v/>
      </c>
      <c r="BU495" s="21" t="str">
        <f t="array" ref="BU495">_xlfn.TEXTJOIN("",TRUE,IF(ISERROR(FIND(ROW($1:$168)-1,BS495&amp;BT495)),ROW($1:$168)-1,""))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95" s="22" t="str">
        <f t="shared" si="356"/>
        <v>中中中</v>
      </c>
      <c r="BW495" s="23">
        <f t="shared" si="367"/>
        <v>5</v>
      </c>
      <c r="BX495" s="23">
        <f t="shared" si="365"/>
        <v>5</v>
      </c>
      <c r="BY495" s="23" t="str">
        <f t="array" ref="BY495">_xlfn.TEXTJOIN("",TRUE,IF(ISERROR(FIND(ROW($1:$168)-1,BW495&amp;BX495)),ROW($1:$168)-1,""))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95" s="22" t="str">
        <f t="shared" si="357"/>
        <v>复隔中</v>
      </c>
      <c r="CA495" s="24" t="str">
        <f t="shared" si="358"/>
        <v/>
      </c>
      <c r="CB495" s="24" t="str">
        <f t="shared" si="366"/>
        <v/>
      </c>
      <c r="CC495" s="24" t="str">
        <f t="array" ref="CC495">_xlfn.TEXTJOIN("",TRUE,IF(ISERROR(FIND(ROW($1:$168)-1,CA495&amp;CB495)),ROW($1:$168)-1,""))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95" s="22" t="str">
        <f t="shared" si="359"/>
        <v>中中中</v>
      </c>
      <c r="CE495" s="25" t="str">
        <f t="shared" si="353"/>
        <v>35</v>
      </c>
      <c r="CF495" s="26" t="str">
        <f t="array" ref="CF495">_xlfn.TEXTJOIN("",TRUE,IF(ISNUMBER(FIND(MID(CE494&amp;W494,ROW($1:$162),1),CE495&amp;W495)),MID(CE494&amp;W494,ROW($1:$162),1),""))</f>
        <v>45</v>
      </c>
      <c r="CG495" s="27" t="str">
        <f t="array" ref="CG495">_xlfn.TEXTJOIN("",TRUE,IF(ISERROR(FIND(ROW($1:$168)-1,CE495&amp;CF495)),ROW($1:$168)-1,""))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95" s="28" t="str">
        <f t="shared" si="360"/>
        <v>邻传孤</v>
      </c>
      <c r="CI495" s="29" t="str">
        <f t="shared" si="361"/>
        <v>46</v>
      </c>
      <c r="CJ495" s="29" t="str">
        <f t="array" ref="CJ495">_xlfn.TEXTJOIN("",TRUE,IF(ISNUMBER(FIND(MID(CI494&amp;X494,ROW($1:$162),1),CI495&amp;X495)),MID(CI494&amp;X494,ROW($1:$162),1),""))</f>
        <v/>
      </c>
      <c r="CK495" s="29" t="str">
        <f t="array" ref="CK495">_xlfn.TEXTJOIN("",TRUE,IF(ISERROR(FIND(ROW($1:$168)-1,CI495&amp;CJ495)),ROW($1:$168)-1,""))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95" s="19" t="str">
        <f t="shared" si="362"/>
        <v>邻孤孤</v>
      </c>
      <c r="CM495" s="24" t="str">
        <f t="shared" si="363"/>
        <v>02</v>
      </c>
      <c r="CN495" s="24" t="str">
        <f t="array" ref="CN495">_xlfn.TEXTJOIN("",TRUE,IF(ISNUMBER(FIND(MID(CM494&amp;Y494,ROW($1:$162),1),CM495&amp;Y495)),MID(CM494&amp;Y494,ROW($1:$162),1),""))</f>
        <v/>
      </c>
      <c r="CO495" s="24" t="str">
        <f t="array" ref="CO495">_xlfn.TEXTJOIN("",TRUE,IF(ISERROR(FIND(ROW($1:$168)-1,CM495&amp;CN495)),ROW($1:$168)-1,""))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95" s="30" t="str">
        <f t="shared" si="364"/>
        <v>邻孤孤</v>
      </c>
    </row>
    <row r="496" spans="1:94">
      <c r="A496" s="15">
        <v>496</v>
      </c>
      <c r="B496" s="80">
        <v>2025113</v>
      </c>
      <c r="C496" s="8" t="s">
        <v>415</v>
      </c>
      <c r="D496" s="81">
        <f t="shared" si="368"/>
        <v>14</v>
      </c>
      <c r="E496" s="82">
        <f t="shared" si="369"/>
        <v>4</v>
      </c>
      <c r="F496" s="83">
        <f t="shared" si="342"/>
        <v>4.66666666666667</v>
      </c>
      <c r="G496" s="84" t="str">
        <f t="shared" si="343"/>
        <v>紧凑</v>
      </c>
      <c r="H496" s="85" t="s">
        <v>10</v>
      </c>
      <c r="I496" s="85" t="s">
        <v>11</v>
      </c>
      <c r="J496" s="85" t="s">
        <v>12</v>
      </c>
      <c r="K496" s="85" t="s">
        <v>13</v>
      </c>
      <c r="L496" s="86">
        <f>MAX(MID(C496,{1,2,3},1)*1)-MIN(MID(C496,{1,2,3},1)*1)</f>
        <v>3</v>
      </c>
      <c r="M496" s="87">
        <v>0</v>
      </c>
      <c r="N496" s="87">
        <v>1</v>
      </c>
      <c r="O496" s="87">
        <v>2</v>
      </c>
      <c r="P496" s="87">
        <v>3</v>
      </c>
      <c r="Q496" s="87">
        <v>4</v>
      </c>
      <c r="R496" s="87">
        <v>5</v>
      </c>
      <c r="S496" s="87">
        <v>6</v>
      </c>
      <c r="T496" s="87">
        <v>7</v>
      </c>
      <c r="U496" s="87">
        <v>8</v>
      </c>
      <c r="V496" s="87">
        <v>9</v>
      </c>
      <c r="W496" s="88">
        <f t="shared" si="370"/>
        <v>3</v>
      </c>
      <c r="X496" s="88">
        <f t="shared" si="371"/>
        <v>1</v>
      </c>
      <c r="Y496" s="88">
        <f t="shared" si="372"/>
        <v>2</v>
      </c>
      <c r="Z496" s="89">
        <f t="shared" si="351"/>
        <v>6</v>
      </c>
      <c r="AA496" s="17" t="str">
        <f>_xlfn.TEXTJOIN(", ",TRUE,ABS(MID(C496,{1,1,2},1)-MID(C496,{2,3,3},1)))</f>
        <v>3, 1, 2</v>
      </c>
      <c r="AB496" s="90">
        <v>0</v>
      </c>
      <c r="AC496" s="90">
        <v>1</v>
      </c>
      <c r="AD496" s="90">
        <v>2</v>
      </c>
      <c r="AE496" s="90">
        <v>3</v>
      </c>
      <c r="AF496" s="90">
        <v>4</v>
      </c>
      <c r="AG496" s="90">
        <v>5</v>
      </c>
      <c r="AH496" s="90">
        <v>6</v>
      </c>
      <c r="AI496" s="90">
        <v>7</v>
      </c>
      <c r="AJ496" s="90">
        <v>8</v>
      </c>
      <c r="AK496" s="90">
        <v>9</v>
      </c>
      <c r="AL496" s="91">
        <v>0</v>
      </c>
      <c r="AM496" s="91">
        <v>1</v>
      </c>
      <c r="AN496" s="91">
        <v>2</v>
      </c>
      <c r="AO496" s="91">
        <v>3</v>
      </c>
      <c r="AP496" s="91">
        <v>4</v>
      </c>
      <c r="AQ496" s="91">
        <v>5</v>
      </c>
      <c r="AR496" s="91">
        <v>6</v>
      </c>
      <c r="AS496" s="91">
        <v>7</v>
      </c>
      <c r="AT496" s="91">
        <v>8</v>
      </c>
      <c r="AU496" s="91">
        <v>9</v>
      </c>
      <c r="AV496" s="92">
        <v>0</v>
      </c>
      <c r="AW496" s="92">
        <v>1</v>
      </c>
      <c r="AX496" s="92">
        <v>2</v>
      </c>
      <c r="AY496" s="92">
        <v>3</v>
      </c>
      <c r="AZ496" s="92">
        <v>4</v>
      </c>
      <c r="BA496" s="92">
        <v>5</v>
      </c>
      <c r="BB496" s="92">
        <v>6</v>
      </c>
      <c r="BC496" s="92">
        <v>7</v>
      </c>
      <c r="BD496" s="92">
        <v>8</v>
      </c>
      <c r="BE496" s="92">
        <v>9</v>
      </c>
      <c r="BF496" s="93">
        <v>0</v>
      </c>
      <c r="BG496" s="93">
        <v>1</v>
      </c>
      <c r="BH496" s="93">
        <v>2</v>
      </c>
      <c r="BI496" s="93">
        <v>3</v>
      </c>
      <c r="BJ496" s="93">
        <v>4</v>
      </c>
      <c r="BK496" s="93">
        <v>5</v>
      </c>
      <c r="BL496" s="93">
        <v>6</v>
      </c>
      <c r="BM496" s="93">
        <v>7</v>
      </c>
      <c r="BN496" s="93">
        <v>8</v>
      </c>
      <c r="BO496" s="93">
        <v>9</v>
      </c>
      <c r="BP496" s="94" t="str">
        <f t="shared" si="352"/>
        <v>紧凑型</v>
      </c>
      <c r="BQ496" s="15">
        <f t="shared" si="349"/>
        <v>1</v>
      </c>
      <c r="BR496" s="15">
        <f t="shared" si="350"/>
        <v>3</v>
      </c>
      <c r="BS496" s="20" t="str">
        <f t="shared" si="354"/>
        <v/>
      </c>
      <c r="BT496" s="21" t="str">
        <f t="shared" si="355"/>
        <v/>
      </c>
      <c r="BU496" s="21" t="str">
        <f t="array" ref="BU496">_xlfn.TEXTJOIN("",TRUE,IF(ISERROR(FIND(ROW($1:$168)-1,BS496&amp;BT496)),ROW($1:$168)-1,""))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96" s="22" t="str">
        <f t="shared" si="356"/>
        <v>中中中</v>
      </c>
      <c r="BW496" s="23">
        <f t="shared" si="367"/>
        <v>1</v>
      </c>
      <c r="BX496" s="23" t="str">
        <f t="shared" si="365"/>
        <v/>
      </c>
      <c r="BY496" s="23" t="str">
        <f t="array" ref="BY496">_xlfn.TEXTJOIN("",TRUE,IF(ISERROR(FIND(ROW($1:$168)-1,BW496&amp;BX496)),ROW($1:$168)-1,""))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96" s="22" t="str">
        <f t="shared" si="357"/>
        <v>复中中</v>
      </c>
      <c r="CA496" s="24" t="str">
        <f t="shared" si="358"/>
        <v/>
      </c>
      <c r="CB496" s="24">
        <f t="shared" si="366"/>
        <v>2</v>
      </c>
      <c r="CC496" s="24" t="str">
        <f t="array" ref="CC496">_xlfn.TEXTJOIN("",TRUE,IF(ISERROR(FIND(ROW($1:$168)-1,CA496&amp;CB496)),ROW($1:$168)-1,""))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96" s="22" t="str">
        <f t="shared" si="359"/>
        <v>中隔中</v>
      </c>
      <c r="CE496" s="25" t="str">
        <f t="shared" si="353"/>
        <v>24</v>
      </c>
      <c r="CF496" s="26" t="str">
        <f t="array" ref="CF496">_xlfn.TEXTJOIN("",TRUE,IF(ISNUMBER(FIND(MID(CE495&amp;W495,ROW($1:$162),1),CE496&amp;W496)),MID(CE495&amp;W495,ROW($1:$162),1),""))</f>
        <v>34</v>
      </c>
      <c r="CG496" s="27" t="str">
        <f t="array" ref="CG496">_xlfn.TEXTJOIN("",TRUE,IF(ISERROR(FIND(ROW($1:$168)-1,CE496&amp;CF496)),ROW($1:$168)-1,""))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96" s="28" t="str">
        <f t="shared" si="360"/>
        <v>邻传孤</v>
      </c>
      <c r="CI496" s="29" t="str">
        <f t="shared" si="361"/>
        <v>02</v>
      </c>
      <c r="CJ496" s="29" t="str">
        <f t="array" ref="CJ496">_xlfn.TEXTJOIN("",TRUE,IF(ISNUMBER(FIND(MID(CI495&amp;X495,ROW($1:$162),1),CI496&amp;X496)),MID(CI495&amp;X495,ROW($1:$162),1),""))</f>
        <v/>
      </c>
      <c r="CK496" s="29" t="str">
        <f t="array" ref="CK496">_xlfn.TEXTJOIN("",TRUE,IF(ISERROR(FIND(ROW($1:$168)-1,CI496&amp;CJ496)),ROW($1:$168)-1,""))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96" s="19" t="str">
        <f t="shared" si="362"/>
        <v>邻孤孤</v>
      </c>
      <c r="CM496" s="24" t="str">
        <f t="shared" si="363"/>
        <v>13</v>
      </c>
      <c r="CN496" s="24" t="str">
        <f t="array" ref="CN496">_xlfn.TEXTJOIN("",TRUE,IF(ISNUMBER(FIND(MID(CM495&amp;Y495,ROW($1:$162),1),CM496&amp;Y496)),MID(CM495&amp;Y495,ROW($1:$162),1),""))</f>
        <v>21</v>
      </c>
      <c r="CO496" s="24" t="str">
        <f t="array" ref="CO496">_xlfn.TEXTJOIN("",TRUE,IF(ISERROR(FIND(ROW($1:$168)-1,CM496&amp;CN496)),ROW($1:$168)-1,""))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496" s="30" t="str">
        <f t="shared" si="364"/>
        <v>邻传孤</v>
      </c>
    </row>
    <row r="497" spans="1:94">
      <c r="A497" s="15">
        <v>497</v>
      </c>
      <c r="B497" s="80">
        <v>2025114</v>
      </c>
      <c r="C497" s="8" t="s">
        <v>416</v>
      </c>
      <c r="D497" s="81">
        <f t="shared" si="368"/>
        <v>15</v>
      </c>
      <c r="E497" s="82">
        <f t="shared" si="369"/>
        <v>5</v>
      </c>
      <c r="F497" s="83">
        <f t="shared" si="342"/>
        <v>3.75</v>
      </c>
      <c r="G497" s="84" t="str">
        <f t="shared" si="343"/>
        <v>紧凑</v>
      </c>
      <c r="H497" s="85" t="s">
        <v>10</v>
      </c>
      <c r="I497" s="85" t="s">
        <v>11</v>
      </c>
      <c r="J497" s="85" t="s">
        <v>12</v>
      </c>
      <c r="K497" s="85" t="s">
        <v>13</v>
      </c>
      <c r="L497" s="86">
        <f>MAX(MID(C497,{1,2,3},1)*1)-MIN(MID(C497,{1,2,3},1)*1)</f>
        <v>4</v>
      </c>
      <c r="M497" s="87">
        <v>0</v>
      </c>
      <c r="N497" s="87">
        <v>1</v>
      </c>
      <c r="O497" s="87">
        <v>2</v>
      </c>
      <c r="P497" s="87">
        <v>3</v>
      </c>
      <c r="Q497" s="87">
        <v>4</v>
      </c>
      <c r="R497" s="87">
        <v>5</v>
      </c>
      <c r="S497" s="87">
        <v>6</v>
      </c>
      <c r="T497" s="87">
        <v>7</v>
      </c>
      <c r="U497" s="87">
        <v>8</v>
      </c>
      <c r="V497" s="87">
        <v>9</v>
      </c>
      <c r="W497" s="88">
        <f t="shared" si="370"/>
        <v>4</v>
      </c>
      <c r="X497" s="88">
        <f t="shared" si="371"/>
        <v>2</v>
      </c>
      <c r="Y497" s="88">
        <f t="shared" si="372"/>
        <v>2</v>
      </c>
      <c r="Z497" s="89">
        <f t="shared" si="351"/>
        <v>8</v>
      </c>
      <c r="AA497" s="17" t="str">
        <f>_xlfn.TEXTJOIN(", ",TRUE,ABS(MID(C497,{1,1,2},1)-MID(C497,{2,3,3},1)))</f>
        <v>4, 2, 2</v>
      </c>
      <c r="AB497" s="90">
        <v>0</v>
      </c>
      <c r="AC497" s="90">
        <v>1</v>
      </c>
      <c r="AD497" s="90">
        <v>2</v>
      </c>
      <c r="AE497" s="90">
        <v>3</v>
      </c>
      <c r="AF497" s="90">
        <v>4</v>
      </c>
      <c r="AG497" s="90">
        <v>5</v>
      </c>
      <c r="AH497" s="90">
        <v>6</v>
      </c>
      <c r="AI497" s="90">
        <v>7</v>
      </c>
      <c r="AJ497" s="90">
        <v>8</v>
      </c>
      <c r="AK497" s="90">
        <v>9</v>
      </c>
      <c r="AL497" s="91">
        <v>0</v>
      </c>
      <c r="AM497" s="91">
        <v>1</v>
      </c>
      <c r="AN497" s="91">
        <v>2</v>
      </c>
      <c r="AO497" s="91">
        <v>3</v>
      </c>
      <c r="AP497" s="91">
        <v>4</v>
      </c>
      <c r="AQ497" s="91">
        <v>5</v>
      </c>
      <c r="AR497" s="91">
        <v>6</v>
      </c>
      <c r="AS497" s="91">
        <v>7</v>
      </c>
      <c r="AT497" s="91">
        <v>8</v>
      </c>
      <c r="AU497" s="91">
        <v>9</v>
      </c>
      <c r="AV497" s="92">
        <v>0</v>
      </c>
      <c r="AW497" s="92">
        <v>1</v>
      </c>
      <c r="AX497" s="92">
        <v>2</v>
      </c>
      <c r="AY497" s="92">
        <v>3</v>
      </c>
      <c r="AZ497" s="92">
        <v>4</v>
      </c>
      <c r="BA497" s="92">
        <v>5</v>
      </c>
      <c r="BB497" s="92">
        <v>6</v>
      </c>
      <c r="BC497" s="92">
        <v>7</v>
      </c>
      <c r="BD497" s="92">
        <v>8</v>
      </c>
      <c r="BE497" s="92">
        <v>9</v>
      </c>
      <c r="BF497" s="93">
        <v>0</v>
      </c>
      <c r="BG497" s="93">
        <v>1</v>
      </c>
      <c r="BH497" s="93">
        <v>2</v>
      </c>
      <c r="BI497" s="93">
        <v>3</v>
      </c>
      <c r="BJ497" s="93">
        <v>4</v>
      </c>
      <c r="BK497" s="93">
        <v>5</v>
      </c>
      <c r="BL497" s="93">
        <v>6</v>
      </c>
      <c r="BM497" s="93">
        <v>7</v>
      </c>
      <c r="BN497" s="93">
        <v>8</v>
      </c>
      <c r="BO497" s="93">
        <v>9</v>
      </c>
      <c r="BP497" s="94" t="str">
        <f t="shared" si="352"/>
        <v>标准型</v>
      </c>
      <c r="BQ497" s="15">
        <f t="shared" si="349"/>
        <v>2</v>
      </c>
      <c r="BR497" s="15">
        <f t="shared" si="350"/>
        <v>4</v>
      </c>
      <c r="BS497" s="20" t="str">
        <f t="shared" si="354"/>
        <v/>
      </c>
      <c r="BT497" s="21">
        <f t="shared" si="355"/>
        <v>4</v>
      </c>
      <c r="BU497" s="21" t="str">
        <f t="array" ref="BU497">_xlfn.TEXTJOIN("",TRUE,IF(ISERROR(FIND(ROW($1:$168)-1,BS497&amp;BT497)),ROW($1:$168)-1,""))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97" s="22" t="str">
        <f t="shared" si="356"/>
        <v>中隔中</v>
      </c>
      <c r="BW497" s="23">
        <f t="shared" si="367"/>
        <v>2</v>
      </c>
      <c r="BX497" s="23" t="str">
        <f t="shared" si="365"/>
        <v/>
      </c>
      <c r="BY497" s="23" t="str">
        <f t="array" ref="BY497">_xlfn.TEXTJOIN("",TRUE,IF(ISERROR(FIND(ROW($1:$168)-1,BW497&amp;BX497)),ROW($1:$168)-1,""))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97" s="22" t="str">
        <f t="shared" si="357"/>
        <v>复中中</v>
      </c>
      <c r="CA497" s="24">
        <f t="shared" si="358"/>
        <v>2</v>
      </c>
      <c r="CB497" s="24" t="str">
        <f t="shared" si="366"/>
        <v/>
      </c>
      <c r="CC497" s="24" t="str">
        <f t="array" ref="CC497">_xlfn.TEXTJOIN("",TRUE,IF(ISERROR(FIND(ROW($1:$168)-1,CA497&amp;CB497)),ROW($1:$168)-1,""))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97" s="22" t="str">
        <f t="shared" si="359"/>
        <v>复中中</v>
      </c>
      <c r="CE497" s="25" t="str">
        <f t="shared" si="353"/>
        <v>35</v>
      </c>
      <c r="CF497" s="26" t="str">
        <f t="array" ref="CF497">_xlfn.TEXTJOIN("",TRUE,IF(ISNUMBER(FIND(MID(CE496&amp;W496,ROW($1:$162),1),CE497&amp;W497)),MID(CE496&amp;W496,ROW($1:$162),1),""))</f>
        <v>43</v>
      </c>
      <c r="CG497" s="27" t="str">
        <f t="array" ref="CG497">_xlfn.TEXTJOIN("",TRUE,IF(ISERROR(FIND(ROW($1:$168)-1,CE497&amp;CF497)),ROW($1:$168)-1,""))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97" s="28" t="str">
        <f t="shared" si="360"/>
        <v>邻传孤</v>
      </c>
      <c r="CI497" s="29" t="str">
        <f t="shared" si="361"/>
        <v>13</v>
      </c>
      <c r="CJ497" s="29" t="str">
        <f t="array" ref="CJ497">_xlfn.TEXTJOIN("",TRUE,IF(ISNUMBER(FIND(MID(CI496&amp;X496,ROW($1:$162),1),CI497&amp;X497)),MID(CI496&amp;X496,ROW($1:$162),1),""))</f>
        <v>21</v>
      </c>
      <c r="CK497" s="29" t="str">
        <f t="array" ref="CK497">_xlfn.TEXTJOIN("",TRUE,IF(ISERROR(FIND(ROW($1:$168)-1,CI497&amp;CJ497)),ROW($1:$168)-1,""))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497" s="19" t="str">
        <f t="shared" si="362"/>
        <v>邻传孤</v>
      </c>
      <c r="CM497" s="24" t="str">
        <f t="shared" si="363"/>
        <v>13</v>
      </c>
      <c r="CN497" s="24" t="str">
        <f t="array" ref="CN497">_xlfn.TEXTJOIN("",TRUE,IF(ISNUMBER(FIND(MID(CM496&amp;Y496,ROW($1:$162),1),CM497&amp;Y497)),MID(CM496&amp;Y496,ROW($1:$162),1),""))</f>
        <v>132</v>
      </c>
      <c r="CO497" s="24" t="str">
        <f t="array" ref="CO497">_xlfn.TEXTJOIN("",TRUE,IF(ISERROR(FIND(ROW($1:$168)-1,CM497&amp;CN497)),ROW($1:$168)-1,""))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497" s="30" t="str">
        <f t="shared" si="364"/>
        <v>邻传孤</v>
      </c>
    </row>
    <row r="498" spans="1:94">
      <c r="A498" s="15">
        <v>498</v>
      </c>
      <c r="B498" s="80">
        <v>2025115</v>
      </c>
      <c r="C498" s="8" t="s">
        <v>161</v>
      </c>
      <c r="D498" s="81">
        <f t="shared" si="368"/>
        <v>8</v>
      </c>
      <c r="E498" s="82">
        <f t="shared" si="369"/>
        <v>8</v>
      </c>
      <c r="F498" s="83">
        <f t="shared" si="342"/>
        <v>1.33333333333333</v>
      </c>
      <c r="G498" s="84" t="str">
        <f t="shared" si="343"/>
        <v>松散</v>
      </c>
      <c r="H498" s="85" t="s">
        <v>10</v>
      </c>
      <c r="I498" s="85" t="s">
        <v>11</v>
      </c>
      <c r="J498" s="85" t="s">
        <v>12</v>
      </c>
      <c r="K498" s="85" t="s">
        <v>13</v>
      </c>
      <c r="L498" s="86">
        <f>MAX(MID(C498,{1,2,3},1)*1)-MIN(MID(C498,{1,2,3},1)*1)</f>
        <v>6</v>
      </c>
      <c r="M498" s="87">
        <v>0</v>
      </c>
      <c r="N498" s="87">
        <v>1</v>
      </c>
      <c r="O498" s="87">
        <v>2</v>
      </c>
      <c r="P498" s="87">
        <v>3</v>
      </c>
      <c r="Q498" s="87">
        <v>4</v>
      </c>
      <c r="R498" s="87">
        <v>5</v>
      </c>
      <c r="S498" s="87">
        <v>6</v>
      </c>
      <c r="T498" s="87">
        <v>7</v>
      </c>
      <c r="U498" s="87">
        <v>8</v>
      </c>
      <c r="V498" s="87">
        <v>9</v>
      </c>
      <c r="W498" s="88">
        <f t="shared" si="370"/>
        <v>2</v>
      </c>
      <c r="X498" s="88">
        <f t="shared" si="371"/>
        <v>4</v>
      </c>
      <c r="Y498" s="88">
        <f t="shared" si="372"/>
        <v>6</v>
      </c>
      <c r="Z498" s="89">
        <f t="shared" si="351"/>
        <v>12</v>
      </c>
      <c r="AA498" s="17" t="str">
        <f>_xlfn.TEXTJOIN(", ",TRUE,ABS(MID(C498,{1,1,2},1)-MID(C498,{2,3,3},1)))</f>
        <v>2, 4, 6</v>
      </c>
      <c r="AB498" s="90">
        <v>0</v>
      </c>
      <c r="AC498" s="90">
        <v>1</v>
      </c>
      <c r="AD498" s="90">
        <v>2</v>
      </c>
      <c r="AE498" s="90">
        <v>3</v>
      </c>
      <c r="AF498" s="90">
        <v>4</v>
      </c>
      <c r="AG498" s="90">
        <v>5</v>
      </c>
      <c r="AH498" s="90">
        <v>6</v>
      </c>
      <c r="AI498" s="90">
        <v>7</v>
      </c>
      <c r="AJ498" s="90">
        <v>8</v>
      </c>
      <c r="AK498" s="90">
        <v>9</v>
      </c>
      <c r="AL498" s="91">
        <v>0</v>
      </c>
      <c r="AM498" s="91">
        <v>1</v>
      </c>
      <c r="AN498" s="91">
        <v>2</v>
      </c>
      <c r="AO498" s="91">
        <v>3</v>
      </c>
      <c r="AP498" s="91">
        <v>4</v>
      </c>
      <c r="AQ498" s="91">
        <v>5</v>
      </c>
      <c r="AR498" s="91">
        <v>6</v>
      </c>
      <c r="AS498" s="91">
        <v>7</v>
      </c>
      <c r="AT498" s="91">
        <v>8</v>
      </c>
      <c r="AU498" s="91">
        <v>9</v>
      </c>
      <c r="AV498" s="92">
        <v>0</v>
      </c>
      <c r="AW498" s="92">
        <v>1</v>
      </c>
      <c r="AX498" s="92">
        <v>2</v>
      </c>
      <c r="AY498" s="92">
        <v>3</v>
      </c>
      <c r="AZ498" s="92">
        <v>4</v>
      </c>
      <c r="BA498" s="92">
        <v>5</v>
      </c>
      <c r="BB498" s="92">
        <v>6</v>
      </c>
      <c r="BC498" s="92">
        <v>7</v>
      </c>
      <c r="BD498" s="92">
        <v>8</v>
      </c>
      <c r="BE498" s="92">
        <v>9</v>
      </c>
      <c r="BF498" s="93">
        <v>0</v>
      </c>
      <c r="BG498" s="93">
        <v>1</v>
      </c>
      <c r="BH498" s="93">
        <v>2</v>
      </c>
      <c r="BI498" s="93">
        <v>3</v>
      </c>
      <c r="BJ498" s="93">
        <v>4</v>
      </c>
      <c r="BK498" s="93">
        <v>5</v>
      </c>
      <c r="BL498" s="93">
        <v>6</v>
      </c>
      <c r="BM498" s="93">
        <v>7</v>
      </c>
      <c r="BN498" s="93">
        <v>8</v>
      </c>
      <c r="BO498" s="93">
        <v>9</v>
      </c>
      <c r="BP498" s="94" t="str">
        <f t="shared" si="352"/>
        <v>松散型</v>
      </c>
      <c r="BQ498" s="15">
        <f t="shared" si="349"/>
        <v>2</v>
      </c>
      <c r="BR498" s="15">
        <f t="shared" si="350"/>
        <v>6</v>
      </c>
      <c r="BS498" s="20">
        <f t="shared" si="354"/>
        <v>2</v>
      </c>
      <c r="BT498" s="21">
        <f t="shared" si="355"/>
        <v>2</v>
      </c>
      <c r="BU498" s="21" t="str">
        <f t="array" ref="BU498">_xlfn.TEXTJOIN("",TRUE,IF(ISERROR(FIND(ROW($1:$168)-1,BS498&amp;BT498)),ROW($1:$168)-1,""))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98" s="22" t="str">
        <f t="shared" si="356"/>
        <v>复隔中</v>
      </c>
      <c r="BW498" s="23">
        <f t="shared" si="367"/>
        <v>4</v>
      </c>
      <c r="BX498" s="23" t="str">
        <f t="shared" si="365"/>
        <v/>
      </c>
      <c r="BY498" s="23" t="str">
        <f t="array" ref="BY498">_xlfn.TEXTJOIN("",TRUE,IF(ISERROR(FIND(ROW($1:$168)-1,BW498&amp;BX498)),ROW($1:$168)-1,""))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98" s="22" t="str">
        <f t="shared" si="357"/>
        <v>复中中</v>
      </c>
      <c r="CA498" s="24" t="str">
        <f t="shared" si="358"/>
        <v/>
      </c>
      <c r="CB498" s="24" t="str">
        <f t="shared" si="366"/>
        <v/>
      </c>
      <c r="CC498" s="24" t="str">
        <f t="array" ref="CC498">_xlfn.TEXTJOIN("",TRUE,IF(ISERROR(FIND(ROW($1:$168)-1,CA498&amp;CB498)),ROW($1:$168)-1,""))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98" s="22" t="str">
        <f t="shared" si="359"/>
        <v>中中中</v>
      </c>
      <c r="CE498" s="25" t="str">
        <f t="shared" si="353"/>
        <v>13</v>
      </c>
      <c r="CF498" s="26" t="str">
        <f t="array" ref="CF498">_xlfn.TEXTJOIN("",TRUE,IF(ISNUMBER(FIND(MID(CE497&amp;W497,ROW($1:$162),1),CE498&amp;W498)),MID(CE497&amp;W497,ROW($1:$162),1),""))</f>
        <v>3</v>
      </c>
      <c r="CG498" s="27" t="str">
        <f t="array" ref="CG498">_xlfn.TEXTJOIN("",TRUE,IF(ISERROR(FIND(ROW($1:$168)-1,CE498&amp;CF498)),ROW($1:$168)-1,""))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498" s="28" t="str">
        <f t="shared" si="360"/>
        <v>邻传孤</v>
      </c>
      <c r="CI498" s="29" t="str">
        <f t="shared" si="361"/>
        <v>35</v>
      </c>
      <c r="CJ498" s="29" t="str">
        <f t="array" ref="CJ498">_xlfn.TEXTJOIN("",TRUE,IF(ISNUMBER(FIND(MID(CI497&amp;X497,ROW($1:$162),1),CI498&amp;X498)),MID(CI497&amp;X497,ROW($1:$162),1),""))</f>
        <v>3</v>
      </c>
      <c r="CK498" s="29" t="str">
        <f t="array" ref="CK498">_xlfn.TEXTJOIN("",TRUE,IF(ISERROR(FIND(ROW($1:$168)-1,CI498&amp;CJ498)),ROW($1:$168)-1,""))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98" s="19" t="str">
        <f t="shared" si="362"/>
        <v>邻传孤</v>
      </c>
      <c r="CM498" s="24" t="str">
        <f t="shared" si="363"/>
        <v>57</v>
      </c>
      <c r="CN498" s="24" t="str">
        <f t="array" ref="CN498">_xlfn.TEXTJOIN("",TRUE,IF(ISNUMBER(FIND(MID(CM497&amp;Y497,ROW($1:$162),1),CM498&amp;Y498)),MID(CM497&amp;Y497,ROW($1:$162),1),""))</f>
        <v/>
      </c>
      <c r="CO498" s="24" t="str">
        <f t="array" ref="CO498">_xlfn.TEXTJOIN("",TRUE,IF(ISERROR(FIND(ROW($1:$168)-1,CM498&amp;CN498)),ROW($1:$168)-1,""))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98" s="30" t="str">
        <f t="shared" si="364"/>
        <v>邻孤孤</v>
      </c>
    </row>
    <row r="499" spans="1:94">
      <c r="A499" s="15">
        <v>499</v>
      </c>
      <c r="B499" s="80">
        <v>2025116</v>
      </c>
      <c r="C499" s="8" t="s">
        <v>417</v>
      </c>
      <c r="D499" s="81">
        <f t="shared" si="368"/>
        <v>5</v>
      </c>
      <c r="E499" s="82">
        <f t="shared" si="369"/>
        <v>5</v>
      </c>
      <c r="F499" s="83">
        <f t="shared" si="342"/>
        <v>1.66666666666667</v>
      </c>
      <c r="G499" s="84" t="str">
        <f t="shared" si="343"/>
        <v>松散</v>
      </c>
      <c r="H499" s="85" t="s">
        <v>10</v>
      </c>
      <c r="I499" s="85" t="s">
        <v>11</v>
      </c>
      <c r="J499" s="85" t="s">
        <v>12</v>
      </c>
      <c r="K499" s="85" t="s">
        <v>13</v>
      </c>
      <c r="L499" s="86">
        <f>MAX(MID(C499,{1,2,3},1)*1)-MIN(MID(C499,{1,2,3},1)*1)</f>
        <v>3</v>
      </c>
      <c r="M499" s="87">
        <v>0</v>
      </c>
      <c r="N499" s="87">
        <v>1</v>
      </c>
      <c r="O499" s="87">
        <v>2</v>
      </c>
      <c r="P499" s="87">
        <v>3</v>
      </c>
      <c r="Q499" s="87">
        <v>4</v>
      </c>
      <c r="R499" s="87">
        <v>5</v>
      </c>
      <c r="S499" s="87">
        <v>6</v>
      </c>
      <c r="T499" s="87">
        <v>7</v>
      </c>
      <c r="U499" s="87">
        <v>8</v>
      </c>
      <c r="V499" s="87">
        <v>9</v>
      </c>
      <c r="W499" s="88">
        <f t="shared" si="370"/>
        <v>1</v>
      </c>
      <c r="X499" s="88">
        <f t="shared" si="371"/>
        <v>3</v>
      </c>
      <c r="Y499" s="88">
        <f t="shared" si="372"/>
        <v>2</v>
      </c>
      <c r="Z499" s="89">
        <f t="shared" si="351"/>
        <v>6</v>
      </c>
      <c r="AA499" s="17" t="str">
        <f>_xlfn.TEXTJOIN(", ",TRUE,ABS(MID(C499,{1,1,2},1)-MID(C499,{2,3,3},1)))</f>
        <v>1, 3, 2</v>
      </c>
      <c r="AB499" s="90">
        <v>0</v>
      </c>
      <c r="AC499" s="90">
        <v>1</v>
      </c>
      <c r="AD499" s="90">
        <v>2</v>
      </c>
      <c r="AE499" s="90">
        <v>3</v>
      </c>
      <c r="AF499" s="90">
        <v>4</v>
      </c>
      <c r="AG499" s="90">
        <v>5</v>
      </c>
      <c r="AH499" s="90">
        <v>6</v>
      </c>
      <c r="AI499" s="90">
        <v>7</v>
      </c>
      <c r="AJ499" s="90">
        <v>8</v>
      </c>
      <c r="AK499" s="90">
        <v>9</v>
      </c>
      <c r="AL499" s="91">
        <v>0</v>
      </c>
      <c r="AM499" s="91">
        <v>1</v>
      </c>
      <c r="AN499" s="91">
        <v>2</v>
      </c>
      <c r="AO499" s="91">
        <v>3</v>
      </c>
      <c r="AP499" s="91">
        <v>4</v>
      </c>
      <c r="AQ499" s="91">
        <v>5</v>
      </c>
      <c r="AR499" s="91">
        <v>6</v>
      </c>
      <c r="AS499" s="91">
        <v>7</v>
      </c>
      <c r="AT499" s="91">
        <v>8</v>
      </c>
      <c r="AU499" s="91">
        <v>9</v>
      </c>
      <c r="AV499" s="92">
        <v>0</v>
      </c>
      <c r="AW499" s="92">
        <v>1</v>
      </c>
      <c r="AX499" s="92">
        <v>2</v>
      </c>
      <c r="AY499" s="92">
        <v>3</v>
      </c>
      <c r="AZ499" s="92">
        <v>4</v>
      </c>
      <c r="BA499" s="92">
        <v>5</v>
      </c>
      <c r="BB499" s="92">
        <v>6</v>
      </c>
      <c r="BC499" s="92">
        <v>7</v>
      </c>
      <c r="BD499" s="92">
        <v>8</v>
      </c>
      <c r="BE499" s="92">
        <v>9</v>
      </c>
      <c r="BF499" s="93">
        <v>0</v>
      </c>
      <c r="BG499" s="93">
        <v>1</v>
      </c>
      <c r="BH499" s="93">
        <v>2</v>
      </c>
      <c r="BI499" s="93">
        <v>3</v>
      </c>
      <c r="BJ499" s="93">
        <v>4</v>
      </c>
      <c r="BK499" s="93">
        <v>5</v>
      </c>
      <c r="BL499" s="93">
        <v>6</v>
      </c>
      <c r="BM499" s="93">
        <v>7</v>
      </c>
      <c r="BN499" s="93">
        <v>8</v>
      </c>
      <c r="BO499" s="93">
        <v>9</v>
      </c>
      <c r="BP499" s="94" t="str">
        <f t="shared" si="352"/>
        <v>紧凑型</v>
      </c>
      <c r="BQ499" s="15">
        <f t="shared" si="349"/>
        <v>1</v>
      </c>
      <c r="BR499" s="15">
        <f t="shared" si="350"/>
        <v>3</v>
      </c>
      <c r="BS499" s="20" t="str">
        <f t="shared" si="354"/>
        <v/>
      </c>
      <c r="BT499" s="21" t="str">
        <f t="shared" si="355"/>
        <v/>
      </c>
      <c r="BU499" s="21" t="str">
        <f t="array" ref="BU499">_xlfn.TEXTJOIN("",TRUE,IF(ISERROR(FIND(ROW($1:$168)-1,BS499&amp;BT499)),ROW($1:$168)-1,""))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499" s="22" t="str">
        <f t="shared" si="356"/>
        <v>中中中</v>
      </c>
      <c r="BW499" s="23" t="str">
        <f t="shared" si="367"/>
        <v/>
      </c>
      <c r="BX499" s="23" t="str">
        <f t="shared" si="365"/>
        <v/>
      </c>
      <c r="BY499" s="23" t="str">
        <f t="array" ref="BY499">_xlfn.TEXTJOIN("",TRUE,IF(ISERROR(FIND(ROW($1:$168)-1,BW499&amp;BX499)),ROW($1:$168)-1,""))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499" s="22" t="str">
        <f t="shared" si="357"/>
        <v>中中中</v>
      </c>
      <c r="CA499" s="24">
        <f t="shared" si="358"/>
        <v>2</v>
      </c>
      <c r="CB499" s="24">
        <f t="shared" si="366"/>
        <v>2</v>
      </c>
      <c r="CC499" s="24" t="str">
        <f t="array" ref="CC499">_xlfn.TEXTJOIN("",TRUE,IF(ISERROR(FIND(ROW($1:$168)-1,CA499&amp;CB499)),ROW($1:$168)-1,""))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499" s="22" t="str">
        <f t="shared" si="359"/>
        <v>复隔中</v>
      </c>
      <c r="CE499" s="25" t="str">
        <f t="shared" si="353"/>
        <v>02</v>
      </c>
      <c r="CF499" s="26" t="str">
        <f t="array" ref="CF499">_xlfn.TEXTJOIN("",TRUE,IF(ISNUMBER(FIND(MID(CE498&amp;W498,ROW($1:$162),1),CE499&amp;W499)),MID(CE498&amp;W498,ROW($1:$162),1),""))</f>
        <v>12</v>
      </c>
      <c r="CG499" s="27" t="str">
        <f t="array" ref="CG499">_xlfn.TEXTJOIN("",TRUE,IF(ISERROR(FIND(ROW($1:$168)-1,CE499&amp;CF499)),ROW($1:$168)-1,""))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499" s="28" t="str">
        <f t="shared" si="360"/>
        <v>邻传孤</v>
      </c>
      <c r="CI499" s="29" t="str">
        <f t="shared" si="361"/>
        <v>24</v>
      </c>
      <c r="CJ499" s="29" t="str">
        <f t="array" ref="CJ499">_xlfn.TEXTJOIN("",TRUE,IF(ISNUMBER(FIND(MID(CI498&amp;X498,ROW($1:$162),1),CI499&amp;X499)),MID(CI498&amp;X498,ROW($1:$162),1),""))</f>
        <v>34</v>
      </c>
      <c r="CK499" s="29" t="str">
        <f t="array" ref="CK499">_xlfn.TEXTJOIN("",TRUE,IF(ISERROR(FIND(ROW($1:$168)-1,CI499&amp;CJ499)),ROW($1:$168)-1,""))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499" s="19" t="str">
        <f t="shared" si="362"/>
        <v>邻传孤</v>
      </c>
      <c r="CM499" s="24" t="str">
        <f t="shared" si="363"/>
        <v>13</v>
      </c>
      <c r="CN499" s="24" t="str">
        <f t="array" ref="CN499">_xlfn.TEXTJOIN("",TRUE,IF(ISNUMBER(FIND(MID(CM498&amp;Y498,ROW($1:$162),1),CM499&amp;Y499)),MID(CM498&amp;Y498,ROW($1:$162),1),""))</f>
        <v/>
      </c>
      <c r="CO499" s="24" t="str">
        <f t="array" ref="CO499">_xlfn.TEXTJOIN("",TRUE,IF(ISERROR(FIND(ROW($1:$168)-1,CM499&amp;CN499)),ROW($1:$168)-1,""))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499" s="30" t="str">
        <f t="shared" si="364"/>
        <v>邻孤孤</v>
      </c>
    </row>
    <row r="500" spans="1:94">
      <c r="A500" s="15">
        <v>500</v>
      </c>
      <c r="B500" s="80">
        <v>2025117</v>
      </c>
      <c r="C500" s="8" t="s">
        <v>83</v>
      </c>
      <c r="D500" s="81">
        <f t="shared" si="368"/>
        <v>21</v>
      </c>
      <c r="E500" s="82">
        <f t="shared" si="369"/>
        <v>1</v>
      </c>
      <c r="F500" s="83">
        <f t="shared" si="342"/>
        <v>4.2</v>
      </c>
      <c r="G500" s="84" t="str">
        <f t="shared" si="343"/>
        <v>紧凑</v>
      </c>
      <c r="H500" s="85" t="s">
        <v>10</v>
      </c>
      <c r="I500" s="85" t="s">
        <v>11</v>
      </c>
      <c r="J500" s="85" t="s">
        <v>12</v>
      </c>
      <c r="K500" s="85" t="s">
        <v>13</v>
      </c>
      <c r="L500" s="86">
        <f>MAX(MID(C500,{1,2,3},1)*1)-MIN(MID(C500,{1,2,3},1)*1)</f>
        <v>5</v>
      </c>
      <c r="M500" s="87">
        <v>0</v>
      </c>
      <c r="N500" s="87">
        <v>1</v>
      </c>
      <c r="O500" s="87">
        <v>2</v>
      </c>
      <c r="P500" s="87">
        <v>3</v>
      </c>
      <c r="Q500" s="87">
        <v>4</v>
      </c>
      <c r="R500" s="87">
        <v>5</v>
      </c>
      <c r="S500" s="87">
        <v>6</v>
      </c>
      <c r="T500" s="87">
        <v>7</v>
      </c>
      <c r="U500" s="87">
        <v>8</v>
      </c>
      <c r="V500" s="87">
        <v>9</v>
      </c>
      <c r="W500" s="88">
        <f t="shared" si="370"/>
        <v>4</v>
      </c>
      <c r="X500" s="88">
        <f t="shared" si="371"/>
        <v>1</v>
      </c>
      <c r="Y500" s="88">
        <f t="shared" si="372"/>
        <v>5</v>
      </c>
      <c r="Z500" s="89">
        <f t="shared" si="351"/>
        <v>10</v>
      </c>
      <c r="AA500" s="17" t="str">
        <f>_xlfn.TEXTJOIN(", ",TRUE,ABS(MID(C500,{1,1,2},1)-MID(C500,{2,3,3},1)))</f>
        <v>4, 1, 5</v>
      </c>
      <c r="AB500" s="90">
        <v>0</v>
      </c>
      <c r="AC500" s="90">
        <v>1</v>
      </c>
      <c r="AD500" s="90">
        <v>2</v>
      </c>
      <c r="AE500" s="90">
        <v>3</v>
      </c>
      <c r="AF500" s="90">
        <v>4</v>
      </c>
      <c r="AG500" s="90">
        <v>5</v>
      </c>
      <c r="AH500" s="90">
        <v>6</v>
      </c>
      <c r="AI500" s="90">
        <v>7</v>
      </c>
      <c r="AJ500" s="90">
        <v>8</v>
      </c>
      <c r="AK500" s="90">
        <v>9</v>
      </c>
      <c r="AL500" s="91">
        <v>0</v>
      </c>
      <c r="AM500" s="91">
        <v>1</v>
      </c>
      <c r="AN500" s="91">
        <v>2</v>
      </c>
      <c r="AO500" s="91">
        <v>3</v>
      </c>
      <c r="AP500" s="91">
        <v>4</v>
      </c>
      <c r="AQ500" s="91">
        <v>5</v>
      </c>
      <c r="AR500" s="91">
        <v>6</v>
      </c>
      <c r="AS500" s="91">
        <v>7</v>
      </c>
      <c r="AT500" s="91">
        <v>8</v>
      </c>
      <c r="AU500" s="91">
        <v>9</v>
      </c>
      <c r="AV500" s="92">
        <v>0</v>
      </c>
      <c r="AW500" s="92">
        <v>1</v>
      </c>
      <c r="AX500" s="92">
        <v>2</v>
      </c>
      <c r="AY500" s="92">
        <v>3</v>
      </c>
      <c r="AZ500" s="92">
        <v>4</v>
      </c>
      <c r="BA500" s="92">
        <v>5</v>
      </c>
      <c r="BB500" s="92">
        <v>6</v>
      </c>
      <c r="BC500" s="92">
        <v>7</v>
      </c>
      <c r="BD500" s="92">
        <v>8</v>
      </c>
      <c r="BE500" s="92">
        <v>9</v>
      </c>
      <c r="BF500" s="93">
        <v>0</v>
      </c>
      <c r="BG500" s="93">
        <v>1</v>
      </c>
      <c r="BH500" s="93">
        <v>2</v>
      </c>
      <c r="BI500" s="93">
        <v>3</v>
      </c>
      <c r="BJ500" s="93">
        <v>4</v>
      </c>
      <c r="BK500" s="93">
        <v>5</v>
      </c>
      <c r="BL500" s="93">
        <v>6</v>
      </c>
      <c r="BM500" s="93">
        <v>7</v>
      </c>
      <c r="BN500" s="93">
        <v>8</v>
      </c>
      <c r="BO500" s="93">
        <v>9</v>
      </c>
      <c r="BP500" s="94" t="str">
        <f t="shared" si="352"/>
        <v>标准型</v>
      </c>
      <c r="BQ500" s="15">
        <f t="shared" si="349"/>
        <v>1</v>
      </c>
      <c r="BR500" s="15">
        <f t="shared" si="350"/>
        <v>5</v>
      </c>
      <c r="BS500" s="20" t="str">
        <f t="shared" si="354"/>
        <v/>
      </c>
      <c r="BT500" s="21">
        <f t="shared" si="355"/>
        <v>4</v>
      </c>
      <c r="BU500" s="21" t="str">
        <f t="array" ref="BU500">_xlfn.TEXTJOIN("",TRUE,IF(ISERROR(FIND(ROW($1:$168)-1,BS500&amp;BT500)),ROW($1:$168)-1,""))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00" s="22" t="str">
        <f t="shared" si="356"/>
        <v>中隔中</v>
      </c>
      <c r="BW500" s="23">
        <f t="shared" si="367"/>
        <v>1</v>
      </c>
      <c r="BX500" s="23" t="str">
        <f t="shared" si="365"/>
        <v/>
      </c>
      <c r="BY500" s="23" t="str">
        <f t="array" ref="BY500">_xlfn.TEXTJOIN("",TRUE,IF(ISERROR(FIND(ROW($1:$168)-1,BW500&amp;BX500)),ROW($1:$168)-1,""))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00" s="22" t="str">
        <f t="shared" si="357"/>
        <v>复中中</v>
      </c>
      <c r="CA500" s="24" t="str">
        <f t="shared" si="358"/>
        <v/>
      </c>
      <c r="CB500" s="24" t="str">
        <f t="shared" si="366"/>
        <v/>
      </c>
      <c r="CC500" s="24" t="str">
        <f t="array" ref="CC500">_xlfn.TEXTJOIN("",TRUE,IF(ISERROR(FIND(ROW($1:$168)-1,CA500&amp;CB500)),ROW($1:$168)-1,""))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00" s="22" t="str">
        <f t="shared" si="359"/>
        <v>中中中</v>
      </c>
      <c r="CE500" s="25" t="str">
        <f t="shared" si="353"/>
        <v>35</v>
      </c>
      <c r="CF500" s="26" t="str">
        <f t="array" ref="CF500">_xlfn.TEXTJOIN("",TRUE,IF(ISNUMBER(FIND(MID(CE499&amp;W499,ROW($1:$162),1),CE500&amp;W500)),MID(CE499&amp;W499,ROW($1:$162),1),""))</f>
        <v/>
      </c>
      <c r="CG500" s="27" t="str">
        <f t="array" ref="CG500">_xlfn.TEXTJOIN("",TRUE,IF(ISERROR(FIND(ROW($1:$168)-1,CE500&amp;CF500)),ROW($1:$168)-1,""))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00" s="28" t="str">
        <f t="shared" si="360"/>
        <v>邻孤孤</v>
      </c>
      <c r="CI500" s="29" t="str">
        <f t="shared" si="361"/>
        <v>02</v>
      </c>
      <c r="CJ500" s="29" t="str">
        <f t="array" ref="CJ500">_xlfn.TEXTJOIN("",TRUE,IF(ISNUMBER(FIND(MID(CI499&amp;X499,ROW($1:$162),1),CI500&amp;X500)),MID(CI499&amp;X499,ROW($1:$162),1),""))</f>
        <v>2</v>
      </c>
      <c r="CK500" s="29" t="str">
        <f t="array" ref="CK500">_xlfn.TEXTJOIN("",TRUE,IF(ISERROR(FIND(ROW($1:$168)-1,CI500&amp;CJ500)),ROW($1:$168)-1,""))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00" s="19" t="str">
        <f t="shared" si="362"/>
        <v>邻传孤</v>
      </c>
      <c r="CM500" s="24" t="str">
        <f t="shared" si="363"/>
        <v>46</v>
      </c>
      <c r="CN500" s="24" t="str">
        <f t="array" ref="CN500">_xlfn.TEXTJOIN("",TRUE,IF(ISNUMBER(FIND(MID(CM499&amp;Y499,ROW($1:$162),1),CM500&amp;Y500)),MID(CM499&amp;Y499,ROW($1:$162),1),""))</f>
        <v/>
      </c>
      <c r="CO500" s="24" t="str">
        <f t="array" ref="CO500">_xlfn.TEXTJOIN("",TRUE,IF(ISERROR(FIND(ROW($1:$168)-1,CM500&amp;CN500)),ROW($1:$168)-1,""))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00" s="30" t="str">
        <f t="shared" si="364"/>
        <v>邻孤孤</v>
      </c>
    </row>
    <row r="501" spans="1:94">
      <c r="A501" s="15">
        <v>501</v>
      </c>
      <c r="B501" s="80">
        <v>2025118</v>
      </c>
      <c r="C501" s="8" t="s">
        <v>299</v>
      </c>
      <c r="D501" s="81">
        <f t="shared" si="368"/>
        <v>9</v>
      </c>
      <c r="E501" s="82">
        <f t="shared" si="369"/>
        <v>9</v>
      </c>
      <c r="F501" s="83">
        <f t="shared" si="342"/>
        <v>1.8</v>
      </c>
      <c r="G501" s="84" t="str">
        <f t="shared" si="343"/>
        <v>松散</v>
      </c>
      <c r="H501" s="85" t="s">
        <v>10</v>
      </c>
      <c r="I501" s="85" t="s">
        <v>11</v>
      </c>
      <c r="J501" s="85" t="s">
        <v>12</v>
      </c>
      <c r="K501" s="85" t="s">
        <v>13</v>
      </c>
      <c r="L501" s="86">
        <f>MAX(MID(C501,{1,2,3},1)*1)-MIN(MID(C501,{1,2,3},1)*1)</f>
        <v>5</v>
      </c>
      <c r="M501" s="87">
        <v>0</v>
      </c>
      <c r="N501" s="87">
        <v>1</v>
      </c>
      <c r="O501" s="87">
        <v>2</v>
      </c>
      <c r="P501" s="87">
        <v>3</v>
      </c>
      <c r="Q501" s="87">
        <v>4</v>
      </c>
      <c r="R501" s="87">
        <v>5</v>
      </c>
      <c r="S501" s="87">
        <v>6</v>
      </c>
      <c r="T501" s="87">
        <v>7</v>
      </c>
      <c r="U501" s="87">
        <v>8</v>
      </c>
      <c r="V501" s="87">
        <v>9</v>
      </c>
      <c r="W501" s="88">
        <f t="shared" si="370"/>
        <v>4</v>
      </c>
      <c r="X501" s="88">
        <f t="shared" si="371"/>
        <v>5</v>
      </c>
      <c r="Y501" s="88">
        <f t="shared" si="372"/>
        <v>1</v>
      </c>
      <c r="Z501" s="89">
        <f t="shared" si="351"/>
        <v>10</v>
      </c>
      <c r="AA501" s="17" t="str">
        <f>_xlfn.TEXTJOIN(", ",TRUE,ABS(MID(C501,{1,1,2},1)-MID(C501,{2,3,3},1)))</f>
        <v>4, 5, 1</v>
      </c>
      <c r="AB501" s="90">
        <v>0</v>
      </c>
      <c r="AC501" s="90">
        <v>1</v>
      </c>
      <c r="AD501" s="90">
        <v>2</v>
      </c>
      <c r="AE501" s="90">
        <v>3</v>
      </c>
      <c r="AF501" s="90">
        <v>4</v>
      </c>
      <c r="AG501" s="90">
        <v>5</v>
      </c>
      <c r="AH501" s="90">
        <v>6</v>
      </c>
      <c r="AI501" s="90">
        <v>7</v>
      </c>
      <c r="AJ501" s="90">
        <v>8</v>
      </c>
      <c r="AK501" s="90">
        <v>9</v>
      </c>
      <c r="AL501" s="91">
        <v>0</v>
      </c>
      <c r="AM501" s="91">
        <v>1</v>
      </c>
      <c r="AN501" s="91">
        <v>2</v>
      </c>
      <c r="AO501" s="91">
        <v>3</v>
      </c>
      <c r="AP501" s="91">
        <v>4</v>
      </c>
      <c r="AQ501" s="91">
        <v>5</v>
      </c>
      <c r="AR501" s="91">
        <v>6</v>
      </c>
      <c r="AS501" s="91">
        <v>7</v>
      </c>
      <c r="AT501" s="91">
        <v>8</v>
      </c>
      <c r="AU501" s="91">
        <v>9</v>
      </c>
      <c r="AV501" s="92">
        <v>0</v>
      </c>
      <c r="AW501" s="92">
        <v>1</v>
      </c>
      <c r="AX501" s="92">
        <v>2</v>
      </c>
      <c r="AY501" s="92">
        <v>3</v>
      </c>
      <c r="AZ501" s="92">
        <v>4</v>
      </c>
      <c r="BA501" s="92">
        <v>5</v>
      </c>
      <c r="BB501" s="92">
        <v>6</v>
      </c>
      <c r="BC501" s="92">
        <v>7</v>
      </c>
      <c r="BD501" s="92">
        <v>8</v>
      </c>
      <c r="BE501" s="92">
        <v>9</v>
      </c>
      <c r="BF501" s="93">
        <v>0</v>
      </c>
      <c r="BG501" s="93">
        <v>1</v>
      </c>
      <c r="BH501" s="93">
        <v>2</v>
      </c>
      <c r="BI501" s="93">
        <v>3</v>
      </c>
      <c r="BJ501" s="93">
        <v>4</v>
      </c>
      <c r="BK501" s="93">
        <v>5</v>
      </c>
      <c r="BL501" s="93">
        <v>6</v>
      </c>
      <c r="BM501" s="93">
        <v>7</v>
      </c>
      <c r="BN501" s="93">
        <v>8</v>
      </c>
      <c r="BO501" s="93">
        <v>9</v>
      </c>
      <c r="BP501" s="94" t="str">
        <f t="shared" si="352"/>
        <v>标准型</v>
      </c>
      <c r="BQ501" s="15">
        <f t="shared" si="349"/>
        <v>1</v>
      </c>
      <c r="BR501" s="15">
        <f t="shared" si="350"/>
        <v>5</v>
      </c>
      <c r="BS501" s="20">
        <f t="shared" si="354"/>
        <v>4</v>
      </c>
      <c r="BT501" s="21" t="str">
        <f t="shared" si="355"/>
        <v/>
      </c>
      <c r="BU501" s="21" t="str">
        <f t="array" ref="BU501">_xlfn.TEXTJOIN("",TRUE,IF(ISERROR(FIND(ROW($1:$168)-1,BS501&amp;BT501)),ROW($1:$168)-1,""))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01" s="22" t="str">
        <f t="shared" si="356"/>
        <v>复中中</v>
      </c>
      <c r="BW501" s="23">
        <f t="shared" si="367"/>
        <v>5</v>
      </c>
      <c r="BX501" s="23" t="str">
        <f t="shared" si="365"/>
        <v/>
      </c>
      <c r="BY501" s="23" t="str">
        <f t="array" ref="BY501">_xlfn.TEXTJOIN("",TRUE,IF(ISERROR(FIND(ROW($1:$168)-1,BW501&amp;BX501)),ROW($1:$168)-1,""))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01" s="22" t="str">
        <f t="shared" si="357"/>
        <v>复中中</v>
      </c>
      <c r="CA501" s="24">
        <f t="shared" si="358"/>
        <v>1</v>
      </c>
      <c r="CB501" s="24">
        <f t="shared" si="366"/>
        <v>1</v>
      </c>
      <c r="CC501" s="24" t="str">
        <f t="array" ref="CC501">_xlfn.TEXTJOIN("",TRUE,IF(ISERROR(FIND(ROW($1:$168)-1,CA501&amp;CB501)),ROW($1:$168)-1,""))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01" s="22" t="str">
        <f t="shared" si="359"/>
        <v>复隔中</v>
      </c>
      <c r="CE501" s="25" t="str">
        <f t="shared" si="353"/>
        <v>35</v>
      </c>
      <c r="CF501" s="26" t="str">
        <f t="array" ref="CF501">_xlfn.TEXTJOIN("",TRUE,IF(ISNUMBER(FIND(MID(CE500&amp;W500,ROW($1:$162),1),CE501&amp;W501)),MID(CE500&amp;W500,ROW($1:$162),1),""))</f>
        <v>354</v>
      </c>
      <c r="CG501" s="27" t="str">
        <f t="array" ref="CG501">_xlfn.TEXTJOIN("",TRUE,IF(ISERROR(FIND(ROW($1:$168)-1,CE501&amp;CF501)),ROW($1:$168)-1,""))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01" s="28" t="str">
        <f t="shared" si="360"/>
        <v>邻传孤</v>
      </c>
      <c r="CI501" s="29" t="str">
        <f t="shared" si="361"/>
        <v>46</v>
      </c>
      <c r="CJ501" s="29" t="str">
        <f t="array" ref="CJ501">_xlfn.TEXTJOIN("",TRUE,IF(ISNUMBER(FIND(MID(CI500&amp;X500,ROW($1:$162),1),CI501&amp;X501)),MID(CI500&amp;X500,ROW($1:$162),1),""))</f>
        <v/>
      </c>
      <c r="CK501" s="29" t="str">
        <f t="array" ref="CK501">_xlfn.TEXTJOIN("",TRUE,IF(ISERROR(FIND(ROW($1:$168)-1,CI501&amp;CJ501)),ROW($1:$168)-1,""))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01" s="19" t="str">
        <f t="shared" si="362"/>
        <v>邻孤孤</v>
      </c>
      <c r="CM501" s="24" t="str">
        <f t="shared" si="363"/>
        <v>02</v>
      </c>
      <c r="CN501" s="24" t="str">
        <f t="array" ref="CN501">_xlfn.TEXTJOIN("",TRUE,IF(ISNUMBER(FIND(MID(CM500&amp;Y500,ROW($1:$162),1),CM501&amp;Y501)),MID(CM500&amp;Y500,ROW($1:$162),1),""))</f>
        <v/>
      </c>
      <c r="CO501" s="24" t="str">
        <f t="array" ref="CO501">_xlfn.TEXTJOIN("",TRUE,IF(ISERROR(FIND(ROW($1:$168)-1,CM501&amp;CN501)),ROW($1:$168)-1,""))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01" s="30" t="str">
        <f t="shared" si="364"/>
        <v>邻孤孤</v>
      </c>
    </row>
    <row r="502" spans="1:94">
      <c r="A502" s="15">
        <v>502</v>
      </c>
      <c r="B502" s="80">
        <v>2025119</v>
      </c>
      <c r="C502" s="8" t="s">
        <v>96</v>
      </c>
      <c r="D502" s="81">
        <f t="shared" si="368"/>
        <v>9</v>
      </c>
      <c r="E502" s="82">
        <f t="shared" si="369"/>
        <v>9</v>
      </c>
      <c r="F502" s="83">
        <f t="shared" si="342"/>
        <v>2.25</v>
      </c>
      <c r="G502" s="84" t="str">
        <f t="shared" si="343"/>
        <v>标准</v>
      </c>
      <c r="H502" s="85" t="s">
        <v>10</v>
      </c>
      <c r="I502" s="85" t="s">
        <v>11</v>
      </c>
      <c r="J502" s="85" t="s">
        <v>12</v>
      </c>
      <c r="K502" s="85" t="s">
        <v>13</v>
      </c>
      <c r="L502" s="86">
        <f>MAX(MID(C502,{1,2,3},1)*1)-MIN(MID(C502,{1,2,3},1)*1)</f>
        <v>4</v>
      </c>
      <c r="M502" s="87">
        <v>0</v>
      </c>
      <c r="N502" s="87">
        <v>1</v>
      </c>
      <c r="O502" s="87">
        <v>2</v>
      </c>
      <c r="P502" s="87">
        <v>3</v>
      </c>
      <c r="Q502" s="87">
        <v>4</v>
      </c>
      <c r="R502" s="87">
        <v>5</v>
      </c>
      <c r="S502" s="87">
        <v>6</v>
      </c>
      <c r="T502" s="87">
        <v>7</v>
      </c>
      <c r="U502" s="87">
        <v>8</v>
      </c>
      <c r="V502" s="87">
        <v>9</v>
      </c>
      <c r="W502" s="88">
        <f t="shared" si="370"/>
        <v>2</v>
      </c>
      <c r="X502" s="88">
        <f t="shared" si="371"/>
        <v>2</v>
      </c>
      <c r="Y502" s="88">
        <f t="shared" si="372"/>
        <v>4</v>
      </c>
      <c r="Z502" s="89">
        <f t="shared" si="351"/>
        <v>8</v>
      </c>
      <c r="AA502" s="17" t="str">
        <f>_xlfn.TEXTJOIN(", ",TRUE,ABS(MID(C502,{1,1,2},1)-MID(C502,{2,3,3},1)))</f>
        <v>2, 2, 4</v>
      </c>
      <c r="AB502" s="90">
        <v>0</v>
      </c>
      <c r="AC502" s="90">
        <v>1</v>
      </c>
      <c r="AD502" s="90">
        <v>2</v>
      </c>
      <c r="AE502" s="90">
        <v>3</v>
      </c>
      <c r="AF502" s="90">
        <v>4</v>
      </c>
      <c r="AG502" s="90">
        <v>5</v>
      </c>
      <c r="AH502" s="90">
        <v>6</v>
      </c>
      <c r="AI502" s="90">
        <v>7</v>
      </c>
      <c r="AJ502" s="90">
        <v>8</v>
      </c>
      <c r="AK502" s="90">
        <v>9</v>
      </c>
      <c r="AL502" s="91">
        <v>0</v>
      </c>
      <c r="AM502" s="91">
        <v>1</v>
      </c>
      <c r="AN502" s="91">
        <v>2</v>
      </c>
      <c r="AO502" s="91">
        <v>3</v>
      </c>
      <c r="AP502" s="91">
        <v>4</v>
      </c>
      <c r="AQ502" s="91">
        <v>5</v>
      </c>
      <c r="AR502" s="91">
        <v>6</v>
      </c>
      <c r="AS502" s="91">
        <v>7</v>
      </c>
      <c r="AT502" s="91">
        <v>8</v>
      </c>
      <c r="AU502" s="91">
        <v>9</v>
      </c>
      <c r="AV502" s="92">
        <v>0</v>
      </c>
      <c r="AW502" s="92">
        <v>1</v>
      </c>
      <c r="AX502" s="92">
        <v>2</v>
      </c>
      <c r="AY502" s="92">
        <v>3</v>
      </c>
      <c r="AZ502" s="92">
        <v>4</v>
      </c>
      <c r="BA502" s="92">
        <v>5</v>
      </c>
      <c r="BB502" s="92">
        <v>6</v>
      </c>
      <c r="BC502" s="92">
        <v>7</v>
      </c>
      <c r="BD502" s="92">
        <v>8</v>
      </c>
      <c r="BE502" s="92">
        <v>9</v>
      </c>
      <c r="BF502" s="93">
        <v>0</v>
      </c>
      <c r="BG502" s="93">
        <v>1</v>
      </c>
      <c r="BH502" s="93">
        <v>2</v>
      </c>
      <c r="BI502" s="93">
        <v>3</v>
      </c>
      <c r="BJ502" s="93">
        <v>4</v>
      </c>
      <c r="BK502" s="93">
        <v>5</v>
      </c>
      <c r="BL502" s="93">
        <v>6</v>
      </c>
      <c r="BM502" s="93">
        <v>7</v>
      </c>
      <c r="BN502" s="93">
        <v>8</v>
      </c>
      <c r="BO502" s="93">
        <v>9</v>
      </c>
      <c r="BP502" s="94" t="str">
        <f t="shared" si="352"/>
        <v>标准型</v>
      </c>
      <c r="BQ502" s="15">
        <f t="shared" si="349"/>
        <v>2</v>
      </c>
      <c r="BR502" s="15">
        <f t="shared" si="350"/>
        <v>4</v>
      </c>
      <c r="BS502" s="20" t="str">
        <f t="shared" si="354"/>
        <v/>
      </c>
      <c r="BT502" s="21" t="str">
        <f t="shared" si="355"/>
        <v/>
      </c>
      <c r="BU502" s="21" t="str">
        <f t="array" ref="BU502">_xlfn.TEXTJOIN("",TRUE,IF(ISERROR(FIND(ROW($1:$168)-1,BS502&amp;BT502)),ROW($1:$168)-1,""))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02" s="22" t="str">
        <f t="shared" si="356"/>
        <v>中中中</v>
      </c>
      <c r="BW502" s="23" t="str">
        <f t="shared" si="367"/>
        <v/>
      </c>
      <c r="BX502" s="23" t="str">
        <f t="shared" si="365"/>
        <v/>
      </c>
      <c r="BY502" s="23" t="str">
        <f t="array" ref="BY502">_xlfn.TEXTJOIN("",TRUE,IF(ISERROR(FIND(ROW($1:$168)-1,BW502&amp;BX502)),ROW($1:$168)-1,""))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02" s="22" t="str">
        <f t="shared" si="357"/>
        <v>中中中</v>
      </c>
      <c r="CA502" s="24">
        <f t="shared" si="358"/>
        <v>4</v>
      </c>
      <c r="CB502" s="24">
        <f t="shared" si="366"/>
        <v>4</v>
      </c>
      <c r="CC502" s="24" t="str">
        <f t="array" ref="CC502">_xlfn.TEXTJOIN("",TRUE,IF(ISERROR(FIND(ROW($1:$168)-1,CA502&amp;CB502)),ROW($1:$168)-1,""))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02" s="22" t="str">
        <f t="shared" si="359"/>
        <v>复隔中</v>
      </c>
      <c r="CE502" s="25" t="str">
        <f t="shared" si="353"/>
        <v>13</v>
      </c>
      <c r="CF502" s="26" t="str">
        <f t="array" ref="CF502">_xlfn.TEXTJOIN("",TRUE,IF(ISNUMBER(FIND(MID(CE501&amp;W501,ROW($1:$162),1),CE502&amp;W502)),MID(CE501&amp;W501,ROW($1:$162),1),""))</f>
        <v>3</v>
      </c>
      <c r="CG502" s="27" t="str">
        <f t="array" ref="CG502">_xlfn.TEXTJOIN("",TRUE,IF(ISERROR(FIND(ROW($1:$168)-1,CE502&amp;CF502)),ROW($1:$168)-1,""))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502" s="28" t="str">
        <f t="shared" si="360"/>
        <v>邻传孤</v>
      </c>
      <c r="CI502" s="29" t="str">
        <f t="shared" si="361"/>
        <v>13</v>
      </c>
      <c r="CJ502" s="29" t="str">
        <f t="array" ref="CJ502">_xlfn.TEXTJOIN("",TRUE,IF(ISNUMBER(FIND(MID(CI501&amp;X501,ROW($1:$162),1),CI502&amp;X502)),MID(CI501&amp;X501,ROW($1:$162),1),""))</f>
        <v/>
      </c>
      <c r="CK502" s="29" t="str">
        <f t="array" ref="CK502">_xlfn.TEXTJOIN("",TRUE,IF(ISERROR(FIND(ROW($1:$168)-1,CI502&amp;CJ502)),ROW($1:$168)-1,""))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02" s="19" t="str">
        <f t="shared" si="362"/>
        <v>邻孤孤</v>
      </c>
      <c r="CM502" s="24" t="str">
        <f t="shared" si="363"/>
        <v>35</v>
      </c>
      <c r="CN502" s="24" t="str">
        <f t="array" ref="CN502">_xlfn.TEXTJOIN("",TRUE,IF(ISNUMBER(FIND(MID(CM501&amp;Y501,ROW($1:$162),1),CM502&amp;Y502)),MID(CM501&amp;Y501,ROW($1:$162),1),""))</f>
        <v/>
      </c>
      <c r="CO502" s="24" t="str">
        <f t="array" ref="CO502">_xlfn.TEXTJOIN("",TRUE,IF(ISERROR(FIND(ROW($1:$168)-1,CM502&amp;CN502)),ROW($1:$168)-1,""))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02" s="30" t="str">
        <f t="shared" si="364"/>
        <v>邻孤孤</v>
      </c>
    </row>
    <row r="503" spans="1:94">
      <c r="A503" s="15">
        <v>503</v>
      </c>
      <c r="B503" s="80">
        <v>2025120</v>
      </c>
      <c r="C503" s="8" t="s">
        <v>372</v>
      </c>
      <c r="D503" s="81">
        <f t="shared" si="368"/>
        <v>12</v>
      </c>
      <c r="E503" s="82">
        <f t="shared" si="369"/>
        <v>2</v>
      </c>
      <c r="F503" s="83">
        <f t="shared" si="342"/>
        <v>1.5</v>
      </c>
      <c r="G503" s="84" t="str">
        <f t="shared" si="343"/>
        <v>松散</v>
      </c>
      <c r="H503" s="85" t="s">
        <v>10</v>
      </c>
      <c r="I503" s="85" t="s">
        <v>11</v>
      </c>
      <c r="J503" s="85" t="s">
        <v>12</v>
      </c>
      <c r="K503" s="85" t="s">
        <v>13</v>
      </c>
      <c r="L503" s="86">
        <f>MAX(MID(C503,{1,2,3},1)*1)-MIN(MID(C503,{1,2,3},1)*1)</f>
        <v>8</v>
      </c>
      <c r="M503" s="87">
        <v>0</v>
      </c>
      <c r="N503" s="87">
        <v>1</v>
      </c>
      <c r="O503" s="87">
        <v>2</v>
      </c>
      <c r="P503" s="87">
        <v>3</v>
      </c>
      <c r="Q503" s="87">
        <v>4</v>
      </c>
      <c r="R503" s="87">
        <v>5</v>
      </c>
      <c r="S503" s="87">
        <v>6</v>
      </c>
      <c r="T503" s="87">
        <v>7</v>
      </c>
      <c r="U503" s="87">
        <v>8</v>
      </c>
      <c r="V503" s="87">
        <v>9</v>
      </c>
      <c r="W503" s="88">
        <f t="shared" si="370"/>
        <v>8</v>
      </c>
      <c r="X503" s="88">
        <f t="shared" si="371"/>
        <v>7</v>
      </c>
      <c r="Y503" s="88">
        <f t="shared" si="372"/>
        <v>1</v>
      </c>
      <c r="Z503" s="89">
        <f t="shared" si="351"/>
        <v>16</v>
      </c>
      <c r="AA503" s="17" t="str">
        <f>_xlfn.TEXTJOIN(", ",TRUE,ABS(MID(C503,{1,1,2},1)-MID(C503,{2,3,3},1)))</f>
        <v>8, 7, 1</v>
      </c>
      <c r="AB503" s="90">
        <v>0</v>
      </c>
      <c r="AC503" s="90">
        <v>1</v>
      </c>
      <c r="AD503" s="90">
        <v>2</v>
      </c>
      <c r="AE503" s="90">
        <v>3</v>
      </c>
      <c r="AF503" s="90">
        <v>4</v>
      </c>
      <c r="AG503" s="90">
        <v>5</v>
      </c>
      <c r="AH503" s="90">
        <v>6</v>
      </c>
      <c r="AI503" s="90">
        <v>7</v>
      </c>
      <c r="AJ503" s="90">
        <v>8</v>
      </c>
      <c r="AK503" s="90">
        <v>9</v>
      </c>
      <c r="AL503" s="91">
        <v>0</v>
      </c>
      <c r="AM503" s="91">
        <v>1</v>
      </c>
      <c r="AN503" s="91">
        <v>2</v>
      </c>
      <c r="AO503" s="91">
        <v>3</v>
      </c>
      <c r="AP503" s="91">
        <v>4</v>
      </c>
      <c r="AQ503" s="91">
        <v>5</v>
      </c>
      <c r="AR503" s="91">
        <v>6</v>
      </c>
      <c r="AS503" s="91">
        <v>7</v>
      </c>
      <c r="AT503" s="91">
        <v>8</v>
      </c>
      <c r="AU503" s="91">
        <v>9</v>
      </c>
      <c r="AV503" s="92">
        <v>0</v>
      </c>
      <c r="AW503" s="92">
        <v>1</v>
      </c>
      <c r="AX503" s="92">
        <v>2</v>
      </c>
      <c r="AY503" s="92">
        <v>3</v>
      </c>
      <c r="AZ503" s="92">
        <v>4</v>
      </c>
      <c r="BA503" s="92">
        <v>5</v>
      </c>
      <c r="BB503" s="92">
        <v>6</v>
      </c>
      <c r="BC503" s="92">
        <v>7</v>
      </c>
      <c r="BD503" s="92">
        <v>8</v>
      </c>
      <c r="BE503" s="92">
        <v>9</v>
      </c>
      <c r="BF503" s="93">
        <v>0</v>
      </c>
      <c r="BG503" s="93">
        <v>1</v>
      </c>
      <c r="BH503" s="93">
        <v>2</v>
      </c>
      <c r="BI503" s="93">
        <v>3</v>
      </c>
      <c r="BJ503" s="93">
        <v>4</v>
      </c>
      <c r="BK503" s="93">
        <v>5</v>
      </c>
      <c r="BL503" s="93">
        <v>6</v>
      </c>
      <c r="BM503" s="93">
        <v>7</v>
      </c>
      <c r="BN503" s="93">
        <v>8</v>
      </c>
      <c r="BO503" s="93">
        <v>9</v>
      </c>
      <c r="BP503" s="94" t="str">
        <f t="shared" si="352"/>
        <v>松散型</v>
      </c>
      <c r="BQ503" s="15">
        <f t="shared" si="349"/>
        <v>1</v>
      </c>
      <c r="BR503" s="15">
        <f t="shared" si="350"/>
        <v>8</v>
      </c>
      <c r="BS503" s="20" t="str">
        <f t="shared" si="354"/>
        <v/>
      </c>
      <c r="BT503" s="21" t="str">
        <f t="shared" si="355"/>
        <v/>
      </c>
      <c r="BU503" s="21" t="str">
        <f t="array" ref="BU503">_xlfn.TEXTJOIN("",TRUE,IF(ISERROR(FIND(ROW($1:$168)-1,BS503&amp;BT503)),ROW($1:$168)-1,""))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03" s="22" t="str">
        <f t="shared" si="356"/>
        <v>中中中</v>
      </c>
      <c r="BW503" s="23" t="str">
        <f t="shared" si="367"/>
        <v/>
      </c>
      <c r="BX503" s="23" t="str">
        <f t="shared" si="365"/>
        <v/>
      </c>
      <c r="BY503" s="23" t="str">
        <f t="array" ref="BY503">_xlfn.TEXTJOIN("",TRUE,IF(ISERROR(FIND(ROW($1:$168)-1,BW503&amp;BX503)),ROW($1:$168)-1,""))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03" s="22" t="str">
        <f t="shared" si="357"/>
        <v>中中中</v>
      </c>
      <c r="CA503" s="24" t="str">
        <f t="shared" si="358"/>
        <v/>
      </c>
      <c r="CB503" s="24">
        <f t="shared" si="366"/>
        <v>1</v>
      </c>
      <c r="CC503" s="24" t="str">
        <f t="array" ref="CC503">_xlfn.TEXTJOIN("",TRUE,IF(ISERROR(FIND(ROW($1:$168)-1,CA503&amp;CB503)),ROW($1:$168)-1,""))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03" s="22" t="str">
        <f t="shared" si="359"/>
        <v>中隔中</v>
      </c>
      <c r="CE503" s="25" t="str">
        <f t="shared" si="353"/>
        <v>79</v>
      </c>
      <c r="CF503" s="26" t="str">
        <f t="array" ref="CF503">_xlfn.TEXTJOIN("",TRUE,IF(ISNUMBER(FIND(MID(CE502&amp;W502,ROW($1:$162),1),CE503&amp;W503)),MID(CE502&amp;W502,ROW($1:$162),1),""))</f>
        <v/>
      </c>
      <c r="CG503" s="27" t="str">
        <f t="array" ref="CG503">_xlfn.TEXTJOIN("",TRUE,IF(ISERROR(FIND(ROW($1:$168)-1,CE503&amp;CF503)),ROW($1:$168)-1,""))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503" s="28" t="str">
        <f t="shared" si="360"/>
        <v>邻孤孤</v>
      </c>
      <c r="CI503" s="29" t="str">
        <f t="shared" si="361"/>
        <v>68</v>
      </c>
      <c r="CJ503" s="29" t="str">
        <f t="array" ref="CJ503">_xlfn.TEXTJOIN("",TRUE,IF(ISNUMBER(FIND(MID(CI502&amp;X502,ROW($1:$162),1),CI503&amp;X503)),MID(CI502&amp;X502,ROW($1:$162),1),""))</f>
        <v/>
      </c>
      <c r="CK503" s="29" t="str">
        <f t="array" ref="CK503">_xlfn.TEXTJOIN("",TRUE,IF(ISERROR(FIND(ROW($1:$168)-1,CI503&amp;CJ503)),ROW($1:$168)-1,""))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03" s="19" t="str">
        <f t="shared" si="362"/>
        <v>邻孤孤</v>
      </c>
      <c r="CM503" s="24" t="str">
        <f t="shared" si="363"/>
        <v>02</v>
      </c>
      <c r="CN503" s="24" t="str">
        <f t="array" ref="CN503">_xlfn.TEXTJOIN("",TRUE,IF(ISNUMBER(FIND(MID(CM502&amp;Y502,ROW($1:$162),1),CM503&amp;Y503)),MID(CM502&amp;Y502,ROW($1:$162),1),""))</f>
        <v/>
      </c>
      <c r="CO503" s="24" t="str">
        <f t="array" ref="CO503">_xlfn.TEXTJOIN("",TRUE,IF(ISERROR(FIND(ROW($1:$168)-1,CM503&amp;CN503)),ROW($1:$168)-1,""))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03" s="30" t="str">
        <f t="shared" si="364"/>
        <v>邻孤孤</v>
      </c>
    </row>
    <row r="504" spans="1:94">
      <c r="A504" s="15">
        <v>504</v>
      </c>
      <c r="B504" s="80">
        <v>2025121</v>
      </c>
      <c r="C504" s="8" t="s">
        <v>418</v>
      </c>
      <c r="D504" s="81">
        <f t="shared" si="368"/>
        <v>3</v>
      </c>
      <c r="E504" s="82">
        <f t="shared" si="369"/>
        <v>3</v>
      </c>
      <c r="F504" s="83">
        <f t="shared" si="342"/>
        <v>1.5</v>
      </c>
      <c r="G504" s="84" t="str">
        <f t="shared" si="343"/>
        <v>松散</v>
      </c>
      <c r="H504" s="85" t="s">
        <v>10</v>
      </c>
      <c r="I504" s="85" t="s">
        <v>11</v>
      </c>
      <c r="J504" s="85" t="s">
        <v>12</v>
      </c>
      <c r="K504" s="85" t="s">
        <v>13</v>
      </c>
      <c r="L504" s="86">
        <f>MAX(MID(C504,{1,2,3},1)*1)-MIN(MID(C504,{1,2,3},1)*1)</f>
        <v>2</v>
      </c>
      <c r="M504" s="87">
        <v>0</v>
      </c>
      <c r="N504" s="87">
        <v>1</v>
      </c>
      <c r="O504" s="87">
        <v>2</v>
      </c>
      <c r="P504" s="87">
        <v>3</v>
      </c>
      <c r="Q504" s="87">
        <v>4</v>
      </c>
      <c r="R504" s="87">
        <v>5</v>
      </c>
      <c r="S504" s="87">
        <v>6</v>
      </c>
      <c r="T504" s="87">
        <v>7</v>
      </c>
      <c r="U504" s="87">
        <v>8</v>
      </c>
      <c r="V504" s="87">
        <v>9</v>
      </c>
      <c r="W504" s="88">
        <f t="shared" si="370"/>
        <v>1</v>
      </c>
      <c r="X504" s="88">
        <f t="shared" si="371"/>
        <v>1</v>
      </c>
      <c r="Y504" s="88">
        <f t="shared" si="372"/>
        <v>2</v>
      </c>
      <c r="Z504" s="89">
        <f t="shared" si="351"/>
        <v>4</v>
      </c>
      <c r="AA504" s="17" t="str">
        <f>_xlfn.TEXTJOIN(", ",TRUE,ABS(MID(C504,{1,1,2},1)-MID(C504,{2,3,3},1)))</f>
        <v>1, 1, 2</v>
      </c>
      <c r="AB504" s="90">
        <v>0</v>
      </c>
      <c r="AC504" s="90">
        <v>1</v>
      </c>
      <c r="AD504" s="90">
        <v>2</v>
      </c>
      <c r="AE504" s="90">
        <v>3</v>
      </c>
      <c r="AF504" s="90">
        <v>4</v>
      </c>
      <c r="AG504" s="90">
        <v>5</v>
      </c>
      <c r="AH504" s="90">
        <v>6</v>
      </c>
      <c r="AI504" s="90">
        <v>7</v>
      </c>
      <c r="AJ504" s="90">
        <v>8</v>
      </c>
      <c r="AK504" s="90">
        <v>9</v>
      </c>
      <c r="AL504" s="91">
        <v>0</v>
      </c>
      <c r="AM504" s="91">
        <v>1</v>
      </c>
      <c r="AN504" s="91">
        <v>2</v>
      </c>
      <c r="AO504" s="91">
        <v>3</v>
      </c>
      <c r="AP504" s="91">
        <v>4</v>
      </c>
      <c r="AQ504" s="91">
        <v>5</v>
      </c>
      <c r="AR504" s="91">
        <v>6</v>
      </c>
      <c r="AS504" s="91">
        <v>7</v>
      </c>
      <c r="AT504" s="91">
        <v>8</v>
      </c>
      <c r="AU504" s="91">
        <v>9</v>
      </c>
      <c r="AV504" s="92">
        <v>0</v>
      </c>
      <c r="AW504" s="92">
        <v>1</v>
      </c>
      <c r="AX504" s="92">
        <v>2</v>
      </c>
      <c r="AY504" s="92">
        <v>3</v>
      </c>
      <c r="AZ504" s="92">
        <v>4</v>
      </c>
      <c r="BA504" s="92">
        <v>5</v>
      </c>
      <c r="BB504" s="92">
        <v>6</v>
      </c>
      <c r="BC504" s="92">
        <v>7</v>
      </c>
      <c r="BD504" s="92">
        <v>8</v>
      </c>
      <c r="BE504" s="92">
        <v>9</v>
      </c>
      <c r="BF504" s="93">
        <v>0</v>
      </c>
      <c r="BG504" s="93">
        <v>1</v>
      </c>
      <c r="BH504" s="93">
        <v>2</v>
      </c>
      <c r="BI504" s="93">
        <v>3</v>
      </c>
      <c r="BJ504" s="93">
        <v>4</v>
      </c>
      <c r="BK504" s="93">
        <v>5</v>
      </c>
      <c r="BL504" s="93">
        <v>6</v>
      </c>
      <c r="BM504" s="93">
        <v>7</v>
      </c>
      <c r="BN504" s="93">
        <v>8</v>
      </c>
      <c r="BO504" s="93">
        <v>9</v>
      </c>
      <c r="BP504" s="94" t="str">
        <f t="shared" si="352"/>
        <v>紧凑型</v>
      </c>
      <c r="BQ504" s="15">
        <f t="shared" si="349"/>
        <v>1</v>
      </c>
      <c r="BR504" s="15">
        <f t="shared" si="350"/>
        <v>2</v>
      </c>
      <c r="BS504" s="20">
        <f t="shared" si="354"/>
        <v>1</v>
      </c>
      <c r="BT504" s="21" t="str">
        <f t="shared" si="355"/>
        <v/>
      </c>
      <c r="BU504" s="21" t="str">
        <f t="array" ref="BU504">_xlfn.TEXTJOIN("",TRUE,IF(ISERROR(FIND(ROW($1:$168)-1,BS504&amp;BT504)),ROW($1:$168)-1,""))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04" s="22" t="str">
        <f t="shared" si="356"/>
        <v>复中中</v>
      </c>
      <c r="BW504" s="23">
        <f t="shared" si="367"/>
        <v>1</v>
      </c>
      <c r="BX504" s="23" t="str">
        <f t="shared" si="365"/>
        <v/>
      </c>
      <c r="BY504" s="23" t="str">
        <f t="array" ref="BY504">_xlfn.TEXTJOIN("",TRUE,IF(ISERROR(FIND(ROW($1:$168)-1,BW504&amp;BX504)),ROW($1:$168)-1,""))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04" s="22" t="str">
        <f t="shared" si="357"/>
        <v>复中中</v>
      </c>
      <c r="CA504" s="24" t="str">
        <f t="shared" si="358"/>
        <v/>
      </c>
      <c r="CB504" s="24">
        <f t="shared" si="366"/>
        <v>2</v>
      </c>
      <c r="CC504" s="24" t="str">
        <f t="array" ref="CC504">_xlfn.TEXTJOIN("",TRUE,IF(ISERROR(FIND(ROW($1:$168)-1,CA504&amp;CB504)),ROW($1:$168)-1,""))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04" s="22" t="str">
        <f t="shared" si="359"/>
        <v>中隔中</v>
      </c>
      <c r="CE504" s="25" t="str">
        <f t="shared" si="353"/>
        <v>02</v>
      </c>
      <c r="CF504" s="26" t="str">
        <f t="array" ref="CF504">_xlfn.TEXTJOIN("",TRUE,IF(ISNUMBER(FIND(MID(CE503&amp;W503,ROW($1:$162),1),CE504&amp;W504)),MID(CE503&amp;W503,ROW($1:$162),1),""))</f>
        <v/>
      </c>
      <c r="CG504" s="27" t="str">
        <f t="array" ref="CG504">_xlfn.TEXTJOIN("",TRUE,IF(ISERROR(FIND(ROW($1:$168)-1,CE504&amp;CF504)),ROW($1:$168)-1,""))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04" s="28" t="str">
        <f t="shared" si="360"/>
        <v>邻孤孤</v>
      </c>
      <c r="CI504" s="29" t="str">
        <f t="shared" si="361"/>
        <v>02</v>
      </c>
      <c r="CJ504" s="29" t="str">
        <f t="array" ref="CJ504">_xlfn.TEXTJOIN("",TRUE,IF(ISNUMBER(FIND(MID(CI503&amp;X503,ROW($1:$162),1),CI504&amp;X504)),MID(CI503&amp;X503,ROW($1:$162),1),""))</f>
        <v/>
      </c>
      <c r="CK504" s="29" t="str">
        <f t="array" ref="CK504">_xlfn.TEXTJOIN("",TRUE,IF(ISERROR(FIND(ROW($1:$168)-1,CI504&amp;CJ504)),ROW($1:$168)-1,""))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04" s="19" t="str">
        <f t="shared" si="362"/>
        <v>邻孤孤</v>
      </c>
      <c r="CM504" s="24" t="str">
        <f t="shared" si="363"/>
        <v>13</v>
      </c>
      <c r="CN504" s="24" t="str">
        <f t="array" ref="CN504">_xlfn.TEXTJOIN("",TRUE,IF(ISNUMBER(FIND(MID(CM503&amp;Y503,ROW($1:$162),1),CM504&amp;Y504)),MID(CM503&amp;Y503,ROW($1:$162),1),""))</f>
        <v>21</v>
      </c>
      <c r="CO504" s="24" t="str">
        <f t="array" ref="CO504">_xlfn.TEXTJOIN("",TRUE,IF(ISERROR(FIND(ROW($1:$168)-1,CM504&amp;CN504)),ROW($1:$168)-1,""))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504" s="30" t="str">
        <f t="shared" si="364"/>
        <v>邻传孤</v>
      </c>
    </row>
    <row r="505" spans="1:94">
      <c r="A505" s="15">
        <v>505</v>
      </c>
      <c r="B505" s="80">
        <v>2025122</v>
      </c>
      <c r="C505" s="8" t="s">
        <v>216</v>
      </c>
      <c r="D505" s="81">
        <f t="shared" si="368"/>
        <v>20</v>
      </c>
      <c r="E505" s="82">
        <f t="shared" si="369"/>
        <v>0</v>
      </c>
      <c r="F505" s="83">
        <f t="shared" si="342"/>
        <v>5</v>
      </c>
      <c r="G505" s="84" t="str">
        <f t="shared" si="343"/>
        <v>紧凑</v>
      </c>
      <c r="H505" s="85" t="s">
        <v>10</v>
      </c>
      <c r="I505" s="85" t="s">
        <v>11</v>
      </c>
      <c r="J505" s="85" t="s">
        <v>12</v>
      </c>
      <c r="K505" s="85" t="s">
        <v>13</v>
      </c>
      <c r="L505" s="86">
        <f>MAX(MID(C505,{1,2,3},1)*1)-MIN(MID(C505,{1,2,3},1)*1)</f>
        <v>4</v>
      </c>
      <c r="M505" s="87">
        <v>0</v>
      </c>
      <c r="N505" s="87">
        <v>1</v>
      </c>
      <c r="O505" s="87">
        <v>2</v>
      </c>
      <c r="P505" s="87">
        <v>3</v>
      </c>
      <c r="Q505" s="87">
        <v>4</v>
      </c>
      <c r="R505" s="87">
        <v>5</v>
      </c>
      <c r="S505" s="87">
        <v>6</v>
      </c>
      <c r="T505" s="87">
        <v>7</v>
      </c>
      <c r="U505" s="87">
        <v>8</v>
      </c>
      <c r="V505" s="87">
        <v>9</v>
      </c>
      <c r="W505" s="88">
        <f t="shared" si="370"/>
        <v>4</v>
      </c>
      <c r="X505" s="88">
        <f t="shared" si="371"/>
        <v>4</v>
      </c>
      <c r="Y505" s="88">
        <f t="shared" si="372"/>
        <v>0</v>
      </c>
      <c r="Z505" s="89">
        <f t="shared" si="351"/>
        <v>8</v>
      </c>
      <c r="AA505" s="17" t="str">
        <f>_xlfn.TEXTJOIN(", ",TRUE,ABS(MID(C505,{1,1,2},1)-MID(C505,{2,3,3},1)))</f>
        <v>4, 4, 0</v>
      </c>
      <c r="AB505" s="90">
        <v>0</v>
      </c>
      <c r="AC505" s="90">
        <v>1</v>
      </c>
      <c r="AD505" s="90">
        <v>2</v>
      </c>
      <c r="AE505" s="90">
        <v>3</v>
      </c>
      <c r="AF505" s="90">
        <v>4</v>
      </c>
      <c r="AG505" s="90">
        <v>5</v>
      </c>
      <c r="AH505" s="90">
        <v>6</v>
      </c>
      <c r="AI505" s="90">
        <v>7</v>
      </c>
      <c r="AJ505" s="90">
        <v>8</v>
      </c>
      <c r="AK505" s="90">
        <v>9</v>
      </c>
      <c r="AL505" s="91">
        <v>0</v>
      </c>
      <c r="AM505" s="91">
        <v>1</v>
      </c>
      <c r="AN505" s="91">
        <v>2</v>
      </c>
      <c r="AO505" s="91">
        <v>3</v>
      </c>
      <c r="AP505" s="91">
        <v>4</v>
      </c>
      <c r="AQ505" s="91">
        <v>5</v>
      </c>
      <c r="AR505" s="91">
        <v>6</v>
      </c>
      <c r="AS505" s="91">
        <v>7</v>
      </c>
      <c r="AT505" s="91">
        <v>8</v>
      </c>
      <c r="AU505" s="91">
        <v>9</v>
      </c>
      <c r="AV505" s="92">
        <v>0</v>
      </c>
      <c r="AW505" s="92">
        <v>1</v>
      </c>
      <c r="AX505" s="92">
        <v>2</v>
      </c>
      <c r="AY505" s="92">
        <v>3</v>
      </c>
      <c r="AZ505" s="92">
        <v>4</v>
      </c>
      <c r="BA505" s="92">
        <v>5</v>
      </c>
      <c r="BB505" s="92">
        <v>6</v>
      </c>
      <c r="BC505" s="92">
        <v>7</v>
      </c>
      <c r="BD505" s="92">
        <v>8</v>
      </c>
      <c r="BE505" s="92">
        <v>9</v>
      </c>
      <c r="BF505" s="93">
        <v>0</v>
      </c>
      <c r="BG505" s="93">
        <v>1</v>
      </c>
      <c r="BH505" s="93">
        <v>2</v>
      </c>
      <c r="BI505" s="93">
        <v>3</v>
      </c>
      <c r="BJ505" s="93">
        <v>4</v>
      </c>
      <c r="BK505" s="93">
        <v>5</v>
      </c>
      <c r="BL505" s="93">
        <v>6</v>
      </c>
      <c r="BM505" s="93">
        <v>7</v>
      </c>
      <c r="BN505" s="93">
        <v>8</v>
      </c>
      <c r="BO505" s="93">
        <v>9</v>
      </c>
      <c r="BP505" s="94" t="str">
        <f t="shared" si="352"/>
        <v>紧凑型</v>
      </c>
      <c r="BQ505" s="15">
        <f t="shared" si="349"/>
        <v>0</v>
      </c>
      <c r="BR505" s="15">
        <f t="shared" si="350"/>
        <v>4</v>
      </c>
      <c r="BS505" s="20" t="str">
        <f t="shared" si="354"/>
        <v/>
      </c>
      <c r="BT505" s="21" t="str">
        <f t="shared" si="355"/>
        <v/>
      </c>
      <c r="BU505" s="21" t="str">
        <f t="array" ref="BU505">_xlfn.TEXTJOIN("",TRUE,IF(ISERROR(FIND(ROW($1:$168)-1,BS505&amp;BT505)),ROW($1:$168)-1,""))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05" s="22" t="str">
        <f t="shared" si="356"/>
        <v>中中中</v>
      </c>
      <c r="BW505" s="23" t="str">
        <f t="shared" si="367"/>
        <v/>
      </c>
      <c r="BX505" s="23" t="str">
        <f t="shared" si="365"/>
        <v/>
      </c>
      <c r="BY505" s="23" t="str">
        <f t="array" ref="BY505">_xlfn.TEXTJOIN("",TRUE,IF(ISERROR(FIND(ROW($1:$168)-1,BW505&amp;BX505)),ROW($1:$168)-1,""))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05" s="22" t="str">
        <f t="shared" si="357"/>
        <v>中中中</v>
      </c>
      <c r="CA505" s="24" t="str">
        <f t="shared" si="358"/>
        <v/>
      </c>
      <c r="CB505" s="24" t="str">
        <f t="shared" si="366"/>
        <v/>
      </c>
      <c r="CC505" s="24" t="str">
        <f t="array" ref="CC505">_xlfn.TEXTJOIN("",TRUE,IF(ISERROR(FIND(ROW($1:$168)-1,CA505&amp;CB505)),ROW($1:$168)-1,""))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05" s="22" t="str">
        <f t="shared" si="359"/>
        <v>中中中</v>
      </c>
      <c r="CE505" s="25" t="str">
        <f t="shared" si="353"/>
        <v>35</v>
      </c>
      <c r="CF505" s="26" t="str">
        <f t="array" ref="CF505">_xlfn.TEXTJOIN("",TRUE,IF(ISNUMBER(FIND(MID(CE504&amp;W504,ROW($1:$162),1),CE505&amp;W505)),MID(CE504&amp;W504,ROW($1:$162),1),""))</f>
        <v/>
      </c>
      <c r="CG505" s="27" t="str">
        <f t="array" ref="CG505">_xlfn.TEXTJOIN("",TRUE,IF(ISERROR(FIND(ROW($1:$168)-1,CE505&amp;CF505)),ROW($1:$168)-1,""))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05" s="28" t="str">
        <f t="shared" si="360"/>
        <v>邻孤孤</v>
      </c>
      <c r="CI505" s="29" t="str">
        <f t="shared" si="361"/>
        <v>35</v>
      </c>
      <c r="CJ505" s="29" t="str">
        <f t="array" ref="CJ505">_xlfn.TEXTJOIN("",TRUE,IF(ISNUMBER(FIND(MID(CI504&amp;X504,ROW($1:$162),1),CI505&amp;X505)),MID(CI504&amp;X504,ROW($1:$162),1),""))</f>
        <v/>
      </c>
      <c r="CK505" s="29" t="str">
        <f t="array" ref="CK505">_xlfn.TEXTJOIN("",TRUE,IF(ISERROR(FIND(ROW($1:$168)-1,CI505&amp;CJ505)),ROW($1:$168)-1,""))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05" s="19" t="str">
        <f t="shared" si="362"/>
        <v>邻孤孤</v>
      </c>
      <c r="CM505" s="24" t="str">
        <f t="shared" si="363"/>
        <v>91</v>
      </c>
      <c r="CN505" s="24" t="str">
        <f t="array" ref="CN505">_xlfn.TEXTJOIN("",TRUE,IF(ISNUMBER(FIND(MID(CM504&amp;Y504,ROW($1:$162),1),CM505&amp;Y505)),MID(CM504&amp;Y504,ROW($1:$162),1),""))</f>
        <v>1</v>
      </c>
      <c r="CO505" s="24" t="str">
        <f t="array" ref="CO505">_xlfn.TEXTJOIN("",TRUE,IF(ISERROR(FIND(ROW($1:$168)-1,CM505&amp;CN505)),ROW($1:$168)-1,""))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505" s="30" t="str">
        <f t="shared" si="364"/>
        <v>邻传孤</v>
      </c>
    </row>
    <row r="506" spans="1:94">
      <c r="A506" s="15">
        <v>506</v>
      </c>
      <c r="B506" s="80">
        <v>2025123</v>
      </c>
      <c r="C506" s="8" t="s">
        <v>232</v>
      </c>
      <c r="D506" s="81">
        <f t="shared" si="368"/>
        <v>14</v>
      </c>
      <c r="E506" s="82">
        <f t="shared" si="369"/>
        <v>4</v>
      </c>
      <c r="F506" s="83">
        <f t="shared" si="342"/>
        <v>2.8</v>
      </c>
      <c r="G506" s="84" t="str">
        <f t="shared" si="343"/>
        <v>标准</v>
      </c>
      <c r="H506" s="85" t="s">
        <v>10</v>
      </c>
      <c r="I506" s="85" t="s">
        <v>11</v>
      </c>
      <c r="J506" s="85" t="s">
        <v>12</v>
      </c>
      <c r="K506" s="85" t="s">
        <v>13</v>
      </c>
      <c r="L506" s="86">
        <f>MAX(MID(C506,{1,2,3},1)*1)-MIN(MID(C506,{1,2,3},1)*1)</f>
        <v>5</v>
      </c>
      <c r="M506" s="87">
        <v>0</v>
      </c>
      <c r="N506" s="87">
        <v>1</v>
      </c>
      <c r="O506" s="87">
        <v>2</v>
      </c>
      <c r="P506" s="87">
        <v>3</v>
      </c>
      <c r="Q506" s="87">
        <v>4</v>
      </c>
      <c r="R506" s="87">
        <v>5</v>
      </c>
      <c r="S506" s="87">
        <v>6</v>
      </c>
      <c r="T506" s="87">
        <v>7</v>
      </c>
      <c r="U506" s="87">
        <v>8</v>
      </c>
      <c r="V506" s="87">
        <v>9</v>
      </c>
      <c r="W506" s="88">
        <f t="shared" si="370"/>
        <v>5</v>
      </c>
      <c r="X506" s="88">
        <f t="shared" si="371"/>
        <v>2</v>
      </c>
      <c r="Y506" s="88">
        <f t="shared" si="372"/>
        <v>3</v>
      </c>
      <c r="Z506" s="89">
        <f t="shared" si="351"/>
        <v>10</v>
      </c>
      <c r="AA506" s="17" t="str">
        <f>_xlfn.TEXTJOIN(", ",TRUE,ABS(MID(C506,{1,1,2},1)-MID(C506,{2,3,3},1)))</f>
        <v>5, 2, 3</v>
      </c>
      <c r="AB506" s="90">
        <v>0</v>
      </c>
      <c r="AC506" s="90">
        <v>1</v>
      </c>
      <c r="AD506" s="90">
        <v>2</v>
      </c>
      <c r="AE506" s="90">
        <v>3</v>
      </c>
      <c r="AF506" s="90">
        <v>4</v>
      </c>
      <c r="AG506" s="90">
        <v>5</v>
      </c>
      <c r="AH506" s="90">
        <v>6</v>
      </c>
      <c r="AI506" s="90">
        <v>7</v>
      </c>
      <c r="AJ506" s="90">
        <v>8</v>
      </c>
      <c r="AK506" s="90">
        <v>9</v>
      </c>
      <c r="AL506" s="91">
        <v>0</v>
      </c>
      <c r="AM506" s="91">
        <v>1</v>
      </c>
      <c r="AN506" s="91">
        <v>2</v>
      </c>
      <c r="AO506" s="91">
        <v>3</v>
      </c>
      <c r="AP506" s="91">
        <v>4</v>
      </c>
      <c r="AQ506" s="91">
        <v>5</v>
      </c>
      <c r="AR506" s="91">
        <v>6</v>
      </c>
      <c r="AS506" s="91">
        <v>7</v>
      </c>
      <c r="AT506" s="91">
        <v>8</v>
      </c>
      <c r="AU506" s="91">
        <v>9</v>
      </c>
      <c r="AV506" s="92">
        <v>0</v>
      </c>
      <c r="AW506" s="92">
        <v>1</v>
      </c>
      <c r="AX506" s="92">
        <v>2</v>
      </c>
      <c r="AY506" s="92">
        <v>3</v>
      </c>
      <c r="AZ506" s="92">
        <v>4</v>
      </c>
      <c r="BA506" s="92">
        <v>5</v>
      </c>
      <c r="BB506" s="92">
        <v>6</v>
      </c>
      <c r="BC506" s="92">
        <v>7</v>
      </c>
      <c r="BD506" s="92">
        <v>8</v>
      </c>
      <c r="BE506" s="92">
        <v>9</v>
      </c>
      <c r="BF506" s="93">
        <v>0</v>
      </c>
      <c r="BG506" s="93">
        <v>1</v>
      </c>
      <c r="BH506" s="93">
        <v>2</v>
      </c>
      <c r="BI506" s="93">
        <v>3</v>
      </c>
      <c r="BJ506" s="93">
        <v>4</v>
      </c>
      <c r="BK506" s="93">
        <v>5</v>
      </c>
      <c r="BL506" s="93">
        <v>6</v>
      </c>
      <c r="BM506" s="93">
        <v>7</v>
      </c>
      <c r="BN506" s="93">
        <v>8</v>
      </c>
      <c r="BO506" s="93">
        <v>9</v>
      </c>
      <c r="BP506" s="94" t="str">
        <f t="shared" si="352"/>
        <v>标准型</v>
      </c>
      <c r="BQ506" s="15">
        <f t="shared" si="349"/>
        <v>2</v>
      </c>
      <c r="BR506" s="15">
        <f t="shared" si="350"/>
        <v>5</v>
      </c>
      <c r="BS506" s="20" t="str">
        <f t="shared" si="354"/>
        <v/>
      </c>
      <c r="BT506" s="21" t="str">
        <f t="shared" si="355"/>
        <v/>
      </c>
      <c r="BU506" s="21" t="str">
        <f t="array" ref="BU506">_xlfn.TEXTJOIN("",TRUE,IF(ISERROR(FIND(ROW($1:$168)-1,BS506&amp;BT506)),ROW($1:$168)-1,""))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06" s="22" t="str">
        <f t="shared" si="356"/>
        <v>中中中</v>
      </c>
      <c r="BW506" s="23" t="str">
        <f t="shared" si="367"/>
        <v/>
      </c>
      <c r="BX506" s="23">
        <f t="shared" si="365"/>
        <v>2</v>
      </c>
      <c r="BY506" s="23" t="str">
        <f t="array" ref="BY506">_xlfn.TEXTJOIN("",TRUE,IF(ISERROR(FIND(ROW($1:$168)-1,BW506&amp;BX506)),ROW($1:$168)-1,""))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06" s="22" t="str">
        <f t="shared" si="357"/>
        <v>中隔中</v>
      </c>
      <c r="CA506" s="24" t="str">
        <f t="shared" si="358"/>
        <v/>
      </c>
      <c r="CB506" s="24" t="str">
        <f t="shared" si="366"/>
        <v/>
      </c>
      <c r="CC506" s="24" t="str">
        <f t="array" ref="CC506">_xlfn.TEXTJOIN("",TRUE,IF(ISERROR(FIND(ROW($1:$168)-1,CA506&amp;CB506)),ROW($1:$168)-1,""))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06" s="22" t="str">
        <f t="shared" si="359"/>
        <v>中中中</v>
      </c>
      <c r="CE506" s="25" t="str">
        <f t="shared" si="353"/>
        <v>46</v>
      </c>
      <c r="CF506" s="26" t="str">
        <f t="array" ref="CF506">_xlfn.TEXTJOIN("",TRUE,IF(ISNUMBER(FIND(MID(CE505&amp;W505,ROW($1:$162),1),CE506&amp;W506)),MID(CE505&amp;W505,ROW($1:$162),1),""))</f>
        <v>54</v>
      </c>
      <c r="CG506" s="27" t="str">
        <f t="array" ref="CG506">_xlfn.TEXTJOIN("",TRUE,IF(ISERROR(FIND(ROW($1:$168)-1,CE506&amp;CF506)),ROW($1:$168)-1,""))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06" s="28" t="str">
        <f t="shared" si="360"/>
        <v>邻传孤</v>
      </c>
      <c r="CI506" s="29" t="str">
        <f t="shared" si="361"/>
        <v>13</v>
      </c>
      <c r="CJ506" s="29" t="str">
        <f t="array" ref="CJ506">_xlfn.TEXTJOIN("",TRUE,IF(ISNUMBER(FIND(MID(CI505&amp;X505,ROW($1:$162),1),CI506&amp;X506)),MID(CI505&amp;X505,ROW($1:$162),1),""))</f>
        <v>3</v>
      </c>
      <c r="CK506" s="29" t="str">
        <f t="array" ref="CK506">_xlfn.TEXTJOIN("",TRUE,IF(ISERROR(FIND(ROW($1:$168)-1,CI506&amp;CJ506)),ROW($1:$168)-1,""))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506" s="19" t="str">
        <f t="shared" si="362"/>
        <v>邻传孤</v>
      </c>
      <c r="CM506" s="24" t="str">
        <f t="shared" si="363"/>
        <v>24</v>
      </c>
      <c r="CN506" s="24" t="str">
        <f t="array" ref="CN506">_xlfn.TEXTJOIN("",TRUE,IF(ISNUMBER(FIND(MID(CM505&amp;Y505,ROW($1:$162),1),CM506&amp;Y506)),MID(CM505&amp;Y505,ROW($1:$162),1),""))</f>
        <v/>
      </c>
      <c r="CO506" s="24" t="str">
        <f t="array" ref="CO506">_xlfn.TEXTJOIN("",TRUE,IF(ISERROR(FIND(ROW($1:$168)-1,CM506&amp;CN506)),ROW($1:$168)-1,""))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06" s="30" t="str">
        <f t="shared" si="364"/>
        <v>邻孤孤</v>
      </c>
    </row>
    <row r="507" spans="1:94">
      <c r="A507" s="15">
        <v>507</v>
      </c>
      <c r="B507" s="80">
        <v>2025124</v>
      </c>
      <c r="C507" s="8" t="s">
        <v>419</v>
      </c>
      <c r="D507" s="81">
        <f t="shared" si="368"/>
        <v>17</v>
      </c>
      <c r="E507" s="82">
        <f t="shared" si="369"/>
        <v>7</v>
      </c>
      <c r="F507" s="83">
        <f t="shared" si="342"/>
        <v>1.88888888888889</v>
      </c>
      <c r="G507" s="84" t="str">
        <f t="shared" si="343"/>
        <v>松散</v>
      </c>
      <c r="H507" s="85" t="s">
        <v>10</v>
      </c>
      <c r="I507" s="85" t="s">
        <v>11</v>
      </c>
      <c r="J507" s="85" t="s">
        <v>12</v>
      </c>
      <c r="K507" s="85" t="s">
        <v>13</v>
      </c>
      <c r="L507" s="86">
        <f>MAX(MID(C507,{1,2,3},1)*1)-MIN(MID(C507,{1,2,3},1)*1)</f>
        <v>9</v>
      </c>
      <c r="M507" s="87">
        <v>0</v>
      </c>
      <c r="N507" s="87">
        <v>1</v>
      </c>
      <c r="O507" s="87">
        <v>2</v>
      </c>
      <c r="P507" s="87">
        <v>3</v>
      </c>
      <c r="Q507" s="87">
        <v>4</v>
      </c>
      <c r="R507" s="87">
        <v>5</v>
      </c>
      <c r="S507" s="87">
        <v>6</v>
      </c>
      <c r="T507" s="87">
        <v>7</v>
      </c>
      <c r="U507" s="87">
        <v>8</v>
      </c>
      <c r="V507" s="87">
        <v>9</v>
      </c>
      <c r="W507" s="88">
        <f t="shared" si="370"/>
        <v>8</v>
      </c>
      <c r="X507" s="88">
        <f t="shared" si="371"/>
        <v>1</v>
      </c>
      <c r="Y507" s="88">
        <f t="shared" si="372"/>
        <v>9</v>
      </c>
      <c r="Z507" s="89">
        <f t="shared" si="351"/>
        <v>18</v>
      </c>
      <c r="AA507" s="17" t="str">
        <f>_xlfn.TEXTJOIN(", ",TRUE,ABS(MID(C507,{1,1,2},1)-MID(C507,{2,3,3},1)))</f>
        <v>8, 1, 9</v>
      </c>
      <c r="AB507" s="90">
        <v>0</v>
      </c>
      <c r="AC507" s="90">
        <v>1</v>
      </c>
      <c r="AD507" s="90">
        <v>2</v>
      </c>
      <c r="AE507" s="90">
        <v>3</v>
      </c>
      <c r="AF507" s="90">
        <v>4</v>
      </c>
      <c r="AG507" s="90">
        <v>5</v>
      </c>
      <c r="AH507" s="90">
        <v>6</v>
      </c>
      <c r="AI507" s="90">
        <v>7</v>
      </c>
      <c r="AJ507" s="90">
        <v>8</v>
      </c>
      <c r="AK507" s="90">
        <v>9</v>
      </c>
      <c r="AL507" s="91">
        <v>0</v>
      </c>
      <c r="AM507" s="91">
        <v>1</v>
      </c>
      <c r="AN507" s="91">
        <v>2</v>
      </c>
      <c r="AO507" s="91">
        <v>3</v>
      </c>
      <c r="AP507" s="91">
        <v>4</v>
      </c>
      <c r="AQ507" s="91">
        <v>5</v>
      </c>
      <c r="AR507" s="91">
        <v>6</v>
      </c>
      <c r="AS507" s="91">
        <v>7</v>
      </c>
      <c r="AT507" s="91">
        <v>8</v>
      </c>
      <c r="AU507" s="91">
        <v>9</v>
      </c>
      <c r="AV507" s="92">
        <v>0</v>
      </c>
      <c r="AW507" s="92">
        <v>1</v>
      </c>
      <c r="AX507" s="92">
        <v>2</v>
      </c>
      <c r="AY507" s="92">
        <v>3</v>
      </c>
      <c r="AZ507" s="92">
        <v>4</v>
      </c>
      <c r="BA507" s="92">
        <v>5</v>
      </c>
      <c r="BB507" s="92">
        <v>6</v>
      </c>
      <c r="BC507" s="92">
        <v>7</v>
      </c>
      <c r="BD507" s="92">
        <v>8</v>
      </c>
      <c r="BE507" s="92">
        <v>9</v>
      </c>
      <c r="BF507" s="93">
        <v>0</v>
      </c>
      <c r="BG507" s="93">
        <v>1</v>
      </c>
      <c r="BH507" s="93">
        <v>2</v>
      </c>
      <c r="BI507" s="93">
        <v>3</v>
      </c>
      <c r="BJ507" s="93">
        <v>4</v>
      </c>
      <c r="BK507" s="93">
        <v>5</v>
      </c>
      <c r="BL507" s="93">
        <v>6</v>
      </c>
      <c r="BM507" s="93">
        <v>7</v>
      </c>
      <c r="BN507" s="93">
        <v>8</v>
      </c>
      <c r="BO507" s="93">
        <v>9</v>
      </c>
      <c r="BP507" s="94" t="str">
        <f t="shared" si="352"/>
        <v>松散型</v>
      </c>
      <c r="BQ507" s="15">
        <f t="shared" si="349"/>
        <v>1</v>
      </c>
      <c r="BR507" s="15">
        <f t="shared" si="350"/>
        <v>9</v>
      </c>
      <c r="BS507" s="20" t="str">
        <f t="shared" si="354"/>
        <v/>
      </c>
      <c r="BT507" s="21" t="str">
        <f t="shared" si="355"/>
        <v/>
      </c>
      <c r="BU507" s="21" t="str">
        <f t="array" ref="BU507">_xlfn.TEXTJOIN("",TRUE,IF(ISERROR(FIND(ROW($1:$168)-1,BS507&amp;BT507)),ROW($1:$168)-1,""))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07" s="22" t="str">
        <f t="shared" si="356"/>
        <v>中中中</v>
      </c>
      <c r="BW507" s="23" t="str">
        <f t="shared" si="367"/>
        <v/>
      </c>
      <c r="BX507" s="23" t="str">
        <f t="shared" si="365"/>
        <v/>
      </c>
      <c r="BY507" s="23" t="str">
        <f t="array" ref="BY507">_xlfn.TEXTJOIN("",TRUE,IF(ISERROR(FIND(ROW($1:$168)-1,BW507&amp;BX507)),ROW($1:$168)-1,""))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07" s="22" t="str">
        <f t="shared" si="357"/>
        <v>中中中</v>
      </c>
      <c r="CA507" s="24" t="str">
        <f t="shared" si="358"/>
        <v/>
      </c>
      <c r="CB507" s="24" t="str">
        <f t="shared" si="366"/>
        <v/>
      </c>
      <c r="CC507" s="24" t="str">
        <f t="array" ref="CC507">_xlfn.TEXTJOIN("",TRUE,IF(ISERROR(FIND(ROW($1:$168)-1,CA507&amp;CB507)),ROW($1:$168)-1,""))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07" s="22" t="str">
        <f t="shared" si="359"/>
        <v>中中中</v>
      </c>
      <c r="CE507" s="25" t="str">
        <f t="shared" si="353"/>
        <v>79</v>
      </c>
      <c r="CF507" s="26" t="str">
        <f t="array" ref="CF507">_xlfn.TEXTJOIN("",TRUE,IF(ISNUMBER(FIND(MID(CE506&amp;W506,ROW($1:$162),1),CE507&amp;W507)),MID(CE506&amp;W506,ROW($1:$162),1),""))</f>
        <v/>
      </c>
      <c r="CG507" s="27" t="str">
        <f t="array" ref="CG507">_xlfn.TEXTJOIN("",TRUE,IF(ISERROR(FIND(ROW($1:$168)-1,CE507&amp;CF507)),ROW($1:$168)-1,""))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507" s="28" t="str">
        <f t="shared" si="360"/>
        <v>邻孤孤</v>
      </c>
      <c r="CI507" s="29" t="str">
        <f t="shared" si="361"/>
        <v>02</v>
      </c>
      <c r="CJ507" s="29" t="str">
        <f t="array" ref="CJ507">_xlfn.TEXTJOIN("",TRUE,IF(ISNUMBER(FIND(MID(CI506&amp;X506,ROW($1:$162),1),CI507&amp;X507)),MID(CI506&amp;X506,ROW($1:$162),1),""))</f>
        <v>12</v>
      </c>
      <c r="CK507" s="29" t="str">
        <f t="array" ref="CK507">_xlfn.TEXTJOIN("",TRUE,IF(ISERROR(FIND(ROW($1:$168)-1,CI507&amp;CJ507)),ROW($1:$168)-1,""))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07" s="19" t="str">
        <f t="shared" si="362"/>
        <v>邻传孤</v>
      </c>
      <c r="CM507" s="24" t="str">
        <f t="shared" si="363"/>
        <v>80</v>
      </c>
      <c r="CN507" s="24" t="str">
        <f t="array" ref="CN507">_xlfn.TEXTJOIN("",TRUE,IF(ISNUMBER(FIND(MID(CM506&amp;Y506,ROW($1:$162),1),CM507&amp;Y507)),MID(CM506&amp;Y506,ROW($1:$162),1),""))</f>
        <v/>
      </c>
      <c r="CO507" s="24" t="str">
        <f t="array" ref="CO507">_xlfn.TEXTJOIN("",TRUE,IF(ISERROR(FIND(ROW($1:$168)-1,CM507&amp;CN507)),ROW($1:$168)-1,""))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507" s="30" t="str">
        <f t="shared" si="364"/>
        <v>邻孤孤</v>
      </c>
    </row>
    <row r="508" spans="1:94">
      <c r="A508" s="15">
        <v>508</v>
      </c>
      <c r="B508" s="80">
        <v>2025125</v>
      </c>
      <c r="C508" s="8" t="s">
        <v>420</v>
      </c>
      <c r="D508" s="81">
        <f t="shared" si="368"/>
        <v>9</v>
      </c>
      <c r="E508" s="82">
        <f t="shared" si="369"/>
        <v>9</v>
      </c>
      <c r="F508" s="83">
        <f t="shared" si="342"/>
        <v>2.25</v>
      </c>
      <c r="G508" s="84" t="str">
        <f t="shared" si="343"/>
        <v>标准</v>
      </c>
      <c r="H508" s="85" t="s">
        <v>10</v>
      </c>
      <c r="I508" s="85" t="s">
        <v>11</v>
      </c>
      <c r="J508" s="85" t="s">
        <v>12</v>
      </c>
      <c r="K508" s="85" t="s">
        <v>13</v>
      </c>
      <c r="L508" s="86">
        <f>MAX(MID(C508,{1,2,3},1)*1)-MIN(MID(C508,{1,2,3},1)*1)</f>
        <v>4</v>
      </c>
      <c r="M508" s="87">
        <v>0</v>
      </c>
      <c r="N508" s="87">
        <v>1</v>
      </c>
      <c r="O508" s="87">
        <v>2</v>
      </c>
      <c r="P508" s="87">
        <v>3</v>
      </c>
      <c r="Q508" s="87">
        <v>4</v>
      </c>
      <c r="R508" s="87">
        <v>5</v>
      </c>
      <c r="S508" s="87">
        <v>6</v>
      </c>
      <c r="T508" s="87">
        <v>7</v>
      </c>
      <c r="U508" s="87">
        <v>8</v>
      </c>
      <c r="V508" s="87">
        <v>9</v>
      </c>
      <c r="W508" s="88">
        <f t="shared" si="370"/>
        <v>2</v>
      </c>
      <c r="X508" s="88">
        <f t="shared" si="371"/>
        <v>2</v>
      </c>
      <c r="Y508" s="88">
        <f t="shared" si="372"/>
        <v>4</v>
      </c>
      <c r="Z508" s="89">
        <f t="shared" si="351"/>
        <v>8</v>
      </c>
      <c r="AA508" s="17" t="str">
        <f>_xlfn.TEXTJOIN(", ",TRUE,ABS(MID(C508,{1,1,2},1)-MID(C508,{2,3,3},1)))</f>
        <v>2, 2, 4</v>
      </c>
      <c r="AB508" s="90">
        <v>0</v>
      </c>
      <c r="AC508" s="90">
        <v>1</v>
      </c>
      <c r="AD508" s="90">
        <v>2</v>
      </c>
      <c r="AE508" s="90">
        <v>3</v>
      </c>
      <c r="AF508" s="90">
        <v>4</v>
      </c>
      <c r="AG508" s="90">
        <v>5</v>
      </c>
      <c r="AH508" s="90">
        <v>6</v>
      </c>
      <c r="AI508" s="90">
        <v>7</v>
      </c>
      <c r="AJ508" s="90">
        <v>8</v>
      </c>
      <c r="AK508" s="90">
        <v>9</v>
      </c>
      <c r="AL508" s="91">
        <v>0</v>
      </c>
      <c r="AM508" s="91">
        <v>1</v>
      </c>
      <c r="AN508" s="91">
        <v>2</v>
      </c>
      <c r="AO508" s="91">
        <v>3</v>
      </c>
      <c r="AP508" s="91">
        <v>4</v>
      </c>
      <c r="AQ508" s="91">
        <v>5</v>
      </c>
      <c r="AR508" s="91">
        <v>6</v>
      </c>
      <c r="AS508" s="91">
        <v>7</v>
      </c>
      <c r="AT508" s="91">
        <v>8</v>
      </c>
      <c r="AU508" s="91">
        <v>9</v>
      </c>
      <c r="AV508" s="92">
        <v>0</v>
      </c>
      <c r="AW508" s="92">
        <v>1</v>
      </c>
      <c r="AX508" s="92">
        <v>2</v>
      </c>
      <c r="AY508" s="92">
        <v>3</v>
      </c>
      <c r="AZ508" s="92">
        <v>4</v>
      </c>
      <c r="BA508" s="92">
        <v>5</v>
      </c>
      <c r="BB508" s="92">
        <v>6</v>
      </c>
      <c r="BC508" s="92">
        <v>7</v>
      </c>
      <c r="BD508" s="92">
        <v>8</v>
      </c>
      <c r="BE508" s="92">
        <v>9</v>
      </c>
      <c r="BF508" s="93">
        <v>0</v>
      </c>
      <c r="BG508" s="93">
        <v>1</v>
      </c>
      <c r="BH508" s="93">
        <v>2</v>
      </c>
      <c r="BI508" s="93">
        <v>3</v>
      </c>
      <c r="BJ508" s="93">
        <v>4</v>
      </c>
      <c r="BK508" s="93">
        <v>5</v>
      </c>
      <c r="BL508" s="93">
        <v>6</v>
      </c>
      <c r="BM508" s="93">
        <v>7</v>
      </c>
      <c r="BN508" s="93">
        <v>8</v>
      </c>
      <c r="BO508" s="93">
        <v>9</v>
      </c>
      <c r="BP508" s="94" t="str">
        <f t="shared" si="352"/>
        <v>标准型</v>
      </c>
      <c r="BQ508" s="15">
        <f t="shared" si="349"/>
        <v>2</v>
      </c>
      <c r="BR508" s="15">
        <f t="shared" si="350"/>
        <v>4</v>
      </c>
      <c r="BS508" s="20" t="str">
        <f t="shared" si="354"/>
        <v/>
      </c>
      <c r="BT508" s="21">
        <f t="shared" si="355"/>
        <v>2</v>
      </c>
      <c r="BU508" s="21" t="str">
        <f t="array" ref="BU508">_xlfn.TEXTJOIN("",TRUE,IF(ISERROR(FIND(ROW($1:$168)-1,BS508&amp;BT508)),ROW($1:$168)-1,""))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08" s="22" t="str">
        <f t="shared" si="356"/>
        <v>中隔中</v>
      </c>
      <c r="BW508" s="23" t="str">
        <f t="shared" si="367"/>
        <v/>
      </c>
      <c r="BX508" s="23">
        <f t="shared" si="365"/>
        <v>2</v>
      </c>
      <c r="BY508" s="23" t="str">
        <f t="array" ref="BY508">_xlfn.TEXTJOIN("",TRUE,IF(ISERROR(FIND(ROW($1:$168)-1,BW508&amp;BX508)),ROW($1:$168)-1,""))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08" s="22" t="str">
        <f t="shared" si="357"/>
        <v>中隔中</v>
      </c>
      <c r="CA508" s="24" t="str">
        <f t="shared" si="358"/>
        <v/>
      </c>
      <c r="CB508" s="24" t="str">
        <f t="shared" si="366"/>
        <v/>
      </c>
      <c r="CC508" s="24" t="str">
        <f t="array" ref="CC508">_xlfn.TEXTJOIN("",TRUE,IF(ISERROR(FIND(ROW($1:$168)-1,CA508&amp;CB508)),ROW($1:$168)-1,""))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08" s="22" t="str">
        <f t="shared" si="359"/>
        <v>中中中</v>
      </c>
      <c r="CE508" s="25" t="str">
        <f t="shared" si="353"/>
        <v>13</v>
      </c>
      <c r="CF508" s="26" t="str">
        <f t="array" ref="CF508">_xlfn.TEXTJOIN("",TRUE,IF(ISNUMBER(FIND(MID(CE507&amp;W507,ROW($1:$162),1),CE508&amp;W508)),MID(CE507&amp;W507,ROW($1:$162),1),""))</f>
        <v/>
      </c>
      <c r="CG508" s="27" t="str">
        <f t="array" ref="CG508">_xlfn.TEXTJOIN("",TRUE,IF(ISERROR(FIND(ROW($1:$168)-1,CE508&amp;CF508)),ROW($1:$168)-1,""))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08" s="28" t="str">
        <f t="shared" si="360"/>
        <v>邻孤孤</v>
      </c>
      <c r="CI508" s="29" t="str">
        <f t="shared" si="361"/>
        <v>13</v>
      </c>
      <c r="CJ508" s="29" t="str">
        <f t="array" ref="CJ508">_xlfn.TEXTJOIN("",TRUE,IF(ISNUMBER(FIND(MID(CI507&amp;X507,ROW($1:$162),1),CI508&amp;X508)),MID(CI507&amp;X507,ROW($1:$162),1),""))</f>
        <v>21</v>
      </c>
      <c r="CK508" s="29" t="str">
        <f t="array" ref="CK508">_xlfn.TEXTJOIN("",TRUE,IF(ISERROR(FIND(ROW($1:$168)-1,CI508&amp;CJ508)),ROW($1:$168)-1,""))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508" s="19" t="str">
        <f t="shared" si="362"/>
        <v>邻传孤</v>
      </c>
      <c r="CM508" s="24" t="str">
        <f t="shared" si="363"/>
        <v>35</v>
      </c>
      <c r="CN508" s="24" t="str">
        <f t="array" ref="CN508">_xlfn.TEXTJOIN("",TRUE,IF(ISNUMBER(FIND(MID(CM507&amp;Y507,ROW($1:$162),1),CM508&amp;Y508)),MID(CM507&amp;Y507,ROW($1:$162),1),""))</f>
        <v/>
      </c>
      <c r="CO508" s="24" t="str">
        <f t="array" ref="CO508">_xlfn.TEXTJOIN("",TRUE,IF(ISERROR(FIND(ROW($1:$168)-1,CM508&amp;CN508)),ROW($1:$168)-1,""))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08" s="30" t="str">
        <f t="shared" si="364"/>
        <v>邻孤孤</v>
      </c>
    </row>
    <row r="509" spans="1:94">
      <c r="A509" s="15">
        <v>509</v>
      </c>
      <c r="B509" s="80">
        <v>2025126</v>
      </c>
      <c r="C509" s="8" t="s">
        <v>417</v>
      </c>
      <c r="D509" s="81">
        <f t="shared" si="368"/>
        <v>5</v>
      </c>
      <c r="E509" s="82">
        <f t="shared" si="369"/>
        <v>5</v>
      </c>
      <c r="F509" s="83">
        <f t="shared" si="342"/>
        <v>1.66666666666667</v>
      </c>
      <c r="G509" s="84" t="str">
        <f t="shared" si="343"/>
        <v>松散</v>
      </c>
      <c r="H509" s="85" t="s">
        <v>10</v>
      </c>
      <c r="I509" s="85" t="s">
        <v>11</v>
      </c>
      <c r="J509" s="85" t="s">
        <v>12</v>
      </c>
      <c r="K509" s="85" t="s">
        <v>13</v>
      </c>
      <c r="L509" s="86">
        <f>MAX(MID(C509,{1,2,3},1)*1)-MIN(MID(C509,{1,2,3},1)*1)</f>
        <v>3</v>
      </c>
      <c r="M509" s="87">
        <v>0</v>
      </c>
      <c r="N509" s="87">
        <v>1</v>
      </c>
      <c r="O509" s="87">
        <v>2</v>
      </c>
      <c r="P509" s="87">
        <v>3</v>
      </c>
      <c r="Q509" s="87">
        <v>4</v>
      </c>
      <c r="R509" s="87">
        <v>5</v>
      </c>
      <c r="S509" s="87">
        <v>6</v>
      </c>
      <c r="T509" s="87">
        <v>7</v>
      </c>
      <c r="U509" s="87">
        <v>8</v>
      </c>
      <c r="V509" s="87">
        <v>9</v>
      </c>
      <c r="W509" s="88">
        <f t="shared" si="370"/>
        <v>1</v>
      </c>
      <c r="X509" s="88">
        <f t="shared" si="371"/>
        <v>3</v>
      </c>
      <c r="Y509" s="88">
        <f t="shared" si="372"/>
        <v>2</v>
      </c>
      <c r="Z509" s="89">
        <f t="shared" si="351"/>
        <v>6</v>
      </c>
      <c r="AA509" s="17" t="str">
        <f>_xlfn.TEXTJOIN(", ",TRUE,ABS(MID(C509,{1,1,2},1)-MID(C509,{2,3,3},1)))</f>
        <v>1, 3, 2</v>
      </c>
      <c r="AB509" s="90">
        <v>0</v>
      </c>
      <c r="AC509" s="90">
        <v>1</v>
      </c>
      <c r="AD509" s="90">
        <v>2</v>
      </c>
      <c r="AE509" s="90">
        <v>3</v>
      </c>
      <c r="AF509" s="90">
        <v>4</v>
      </c>
      <c r="AG509" s="90">
        <v>5</v>
      </c>
      <c r="AH509" s="90">
        <v>6</v>
      </c>
      <c r="AI509" s="90">
        <v>7</v>
      </c>
      <c r="AJ509" s="90">
        <v>8</v>
      </c>
      <c r="AK509" s="90">
        <v>9</v>
      </c>
      <c r="AL509" s="91">
        <v>0</v>
      </c>
      <c r="AM509" s="91">
        <v>1</v>
      </c>
      <c r="AN509" s="91">
        <v>2</v>
      </c>
      <c r="AO509" s="91">
        <v>3</v>
      </c>
      <c r="AP509" s="91">
        <v>4</v>
      </c>
      <c r="AQ509" s="91">
        <v>5</v>
      </c>
      <c r="AR509" s="91">
        <v>6</v>
      </c>
      <c r="AS509" s="91">
        <v>7</v>
      </c>
      <c r="AT509" s="91">
        <v>8</v>
      </c>
      <c r="AU509" s="91">
        <v>9</v>
      </c>
      <c r="AV509" s="92">
        <v>0</v>
      </c>
      <c r="AW509" s="92">
        <v>1</v>
      </c>
      <c r="AX509" s="92">
        <v>2</v>
      </c>
      <c r="AY509" s="92">
        <v>3</v>
      </c>
      <c r="AZ509" s="92">
        <v>4</v>
      </c>
      <c r="BA509" s="92">
        <v>5</v>
      </c>
      <c r="BB509" s="92">
        <v>6</v>
      </c>
      <c r="BC509" s="92">
        <v>7</v>
      </c>
      <c r="BD509" s="92">
        <v>8</v>
      </c>
      <c r="BE509" s="92">
        <v>9</v>
      </c>
      <c r="BF509" s="93">
        <v>0</v>
      </c>
      <c r="BG509" s="93">
        <v>1</v>
      </c>
      <c r="BH509" s="93">
        <v>2</v>
      </c>
      <c r="BI509" s="93">
        <v>3</v>
      </c>
      <c r="BJ509" s="93">
        <v>4</v>
      </c>
      <c r="BK509" s="93">
        <v>5</v>
      </c>
      <c r="BL509" s="93">
        <v>6</v>
      </c>
      <c r="BM509" s="93">
        <v>7</v>
      </c>
      <c r="BN509" s="93">
        <v>8</v>
      </c>
      <c r="BO509" s="93">
        <v>9</v>
      </c>
      <c r="BP509" s="94" t="str">
        <f t="shared" si="352"/>
        <v>紧凑型</v>
      </c>
      <c r="BQ509" s="15">
        <f t="shared" si="349"/>
        <v>1</v>
      </c>
      <c r="BR509" s="15">
        <f t="shared" si="350"/>
        <v>3</v>
      </c>
      <c r="BS509" s="20" t="str">
        <f t="shared" si="354"/>
        <v/>
      </c>
      <c r="BT509" s="21">
        <f t="shared" si="355"/>
        <v>1</v>
      </c>
      <c r="BU509" s="21" t="str">
        <f t="array" ref="BU509">_xlfn.TEXTJOIN("",TRUE,IF(ISERROR(FIND(ROW($1:$168)-1,BS509&amp;BT509)),ROW($1:$168)-1,""))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09" s="22" t="str">
        <f t="shared" si="356"/>
        <v>中隔中</v>
      </c>
      <c r="BW509" s="23" t="str">
        <f t="shared" si="367"/>
        <v/>
      </c>
      <c r="BX509" s="23" t="str">
        <f t="shared" si="365"/>
        <v/>
      </c>
      <c r="BY509" s="23" t="str">
        <f t="array" ref="BY509">_xlfn.TEXTJOIN("",TRUE,IF(ISERROR(FIND(ROW($1:$168)-1,BW509&amp;BX509)),ROW($1:$168)-1,""))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09" s="22" t="str">
        <f t="shared" si="357"/>
        <v>中中中</v>
      </c>
      <c r="CA509" s="24">
        <f t="shared" si="358"/>
        <v>2</v>
      </c>
      <c r="CB509" s="24" t="str">
        <f t="shared" si="366"/>
        <v/>
      </c>
      <c r="CC509" s="24" t="str">
        <f t="array" ref="CC509">_xlfn.TEXTJOIN("",TRUE,IF(ISERROR(FIND(ROW($1:$168)-1,CA509&amp;CB509)),ROW($1:$168)-1,""))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09" s="22" t="str">
        <f t="shared" si="359"/>
        <v>复中中</v>
      </c>
      <c r="CE509" s="25" t="str">
        <f t="shared" si="353"/>
        <v>02</v>
      </c>
      <c r="CF509" s="26" t="str">
        <f t="array" ref="CF509">_xlfn.TEXTJOIN("",TRUE,IF(ISNUMBER(FIND(MID(CE508&amp;W508,ROW($1:$162),1),CE509&amp;W509)),MID(CE508&amp;W508,ROW($1:$162),1),""))</f>
        <v>12</v>
      </c>
      <c r="CG509" s="27" t="str">
        <f t="array" ref="CG509">_xlfn.TEXTJOIN("",TRUE,IF(ISERROR(FIND(ROW($1:$168)-1,CE509&amp;CF509)),ROW($1:$168)-1,""))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09" s="28" t="str">
        <f t="shared" si="360"/>
        <v>邻传孤</v>
      </c>
      <c r="CI509" s="29" t="str">
        <f t="shared" si="361"/>
        <v>24</v>
      </c>
      <c r="CJ509" s="29" t="str">
        <f t="array" ref="CJ509">_xlfn.TEXTJOIN("",TRUE,IF(ISNUMBER(FIND(MID(CI508&amp;X508,ROW($1:$162),1),CI509&amp;X509)),MID(CI508&amp;X508,ROW($1:$162),1),""))</f>
        <v>32</v>
      </c>
      <c r="CK509" s="29" t="str">
        <f t="array" ref="CK509">_xlfn.TEXTJOIN("",TRUE,IF(ISERROR(FIND(ROW($1:$168)-1,CI509&amp;CJ509)),ROW($1:$168)-1,""))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09" s="19" t="str">
        <f t="shared" si="362"/>
        <v>邻传孤</v>
      </c>
      <c r="CM509" s="24" t="str">
        <f t="shared" si="363"/>
        <v>13</v>
      </c>
      <c r="CN509" s="24" t="str">
        <f t="array" ref="CN509">_xlfn.TEXTJOIN("",TRUE,IF(ISNUMBER(FIND(MID(CM508&amp;Y508,ROW($1:$162),1),CM509&amp;Y509)),MID(CM508&amp;Y508,ROW($1:$162),1),""))</f>
        <v>3</v>
      </c>
      <c r="CO509" s="24" t="str">
        <f t="array" ref="CO509">_xlfn.TEXTJOIN("",TRUE,IF(ISERROR(FIND(ROW($1:$168)-1,CM509&amp;CN509)),ROW($1:$168)-1,""))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509" s="30" t="str">
        <f t="shared" si="364"/>
        <v>邻传孤</v>
      </c>
    </row>
    <row r="510" spans="1:94">
      <c r="A510" s="15">
        <v>510</v>
      </c>
      <c r="B510" s="80">
        <v>2025127</v>
      </c>
      <c r="C510" s="8" t="s">
        <v>421</v>
      </c>
      <c r="D510" s="81">
        <f t="shared" si="368"/>
        <v>8</v>
      </c>
      <c r="E510" s="82">
        <f t="shared" si="369"/>
        <v>8</v>
      </c>
      <c r="F510" s="83">
        <f t="shared" si="342"/>
        <v>2.66666666666667</v>
      </c>
      <c r="G510" s="84" t="str">
        <f t="shared" si="343"/>
        <v>标准</v>
      </c>
      <c r="H510" s="85" t="s">
        <v>10</v>
      </c>
      <c r="I510" s="85" t="s">
        <v>11</v>
      </c>
      <c r="J510" s="85" t="s">
        <v>12</v>
      </c>
      <c r="K510" s="85" t="s">
        <v>13</v>
      </c>
      <c r="L510" s="86">
        <f>MAX(MID(C510,{1,2,3},1)*1)-MIN(MID(C510,{1,2,3},1)*1)</f>
        <v>3</v>
      </c>
      <c r="M510" s="87">
        <v>0</v>
      </c>
      <c r="N510" s="87">
        <v>1</v>
      </c>
      <c r="O510" s="87">
        <v>2</v>
      </c>
      <c r="P510" s="87">
        <v>3</v>
      </c>
      <c r="Q510" s="87">
        <v>4</v>
      </c>
      <c r="R510" s="87">
        <v>5</v>
      </c>
      <c r="S510" s="87">
        <v>6</v>
      </c>
      <c r="T510" s="87">
        <v>7</v>
      </c>
      <c r="U510" s="87">
        <v>8</v>
      </c>
      <c r="V510" s="87">
        <v>9</v>
      </c>
      <c r="W510" s="88">
        <f t="shared" si="370"/>
        <v>1</v>
      </c>
      <c r="X510" s="88">
        <f t="shared" si="371"/>
        <v>3</v>
      </c>
      <c r="Y510" s="88">
        <f t="shared" si="372"/>
        <v>2</v>
      </c>
      <c r="Z510" s="89">
        <f t="shared" si="351"/>
        <v>6</v>
      </c>
      <c r="AA510" s="17" t="str">
        <f>_xlfn.TEXTJOIN(", ",TRUE,ABS(MID(C510,{1,1,2},1)-MID(C510,{2,3,3},1)))</f>
        <v>1, 3, 2</v>
      </c>
      <c r="AB510" s="90">
        <v>0</v>
      </c>
      <c r="AC510" s="90">
        <v>1</v>
      </c>
      <c r="AD510" s="90">
        <v>2</v>
      </c>
      <c r="AE510" s="90">
        <v>3</v>
      </c>
      <c r="AF510" s="90">
        <v>4</v>
      </c>
      <c r="AG510" s="90">
        <v>5</v>
      </c>
      <c r="AH510" s="90">
        <v>6</v>
      </c>
      <c r="AI510" s="90">
        <v>7</v>
      </c>
      <c r="AJ510" s="90">
        <v>8</v>
      </c>
      <c r="AK510" s="90">
        <v>9</v>
      </c>
      <c r="AL510" s="91">
        <v>0</v>
      </c>
      <c r="AM510" s="91">
        <v>1</v>
      </c>
      <c r="AN510" s="91">
        <v>2</v>
      </c>
      <c r="AO510" s="91">
        <v>3</v>
      </c>
      <c r="AP510" s="91">
        <v>4</v>
      </c>
      <c r="AQ510" s="91">
        <v>5</v>
      </c>
      <c r="AR510" s="91">
        <v>6</v>
      </c>
      <c r="AS510" s="91">
        <v>7</v>
      </c>
      <c r="AT510" s="91">
        <v>8</v>
      </c>
      <c r="AU510" s="91">
        <v>9</v>
      </c>
      <c r="AV510" s="92">
        <v>0</v>
      </c>
      <c r="AW510" s="92">
        <v>1</v>
      </c>
      <c r="AX510" s="92">
        <v>2</v>
      </c>
      <c r="AY510" s="92">
        <v>3</v>
      </c>
      <c r="AZ510" s="92">
        <v>4</v>
      </c>
      <c r="BA510" s="92">
        <v>5</v>
      </c>
      <c r="BB510" s="92">
        <v>6</v>
      </c>
      <c r="BC510" s="92">
        <v>7</v>
      </c>
      <c r="BD510" s="92">
        <v>8</v>
      </c>
      <c r="BE510" s="92">
        <v>9</v>
      </c>
      <c r="BF510" s="93">
        <v>0</v>
      </c>
      <c r="BG510" s="93">
        <v>1</v>
      </c>
      <c r="BH510" s="93">
        <v>2</v>
      </c>
      <c r="BI510" s="93">
        <v>3</v>
      </c>
      <c r="BJ510" s="93">
        <v>4</v>
      </c>
      <c r="BK510" s="93">
        <v>5</v>
      </c>
      <c r="BL510" s="93">
        <v>6</v>
      </c>
      <c r="BM510" s="93">
        <v>7</v>
      </c>
      <c r="BN510" s="93">
        <v>8</v>
      </c>
      <c r="BO510" s="93">
        <v>9</v>
      </c>
      <c r="BP510" s="94" t="str">
        <f t="shared" si="352"/>
        <v>紧凑型</v>
      </c>
      <c r="BQ510" s="15">
        <f t="shared" si="349"/>
        <v>1</v>
      </c>
      <c r="BR510" s="15">
        <f t="shared" si="350"/>
        <v>3</v>
      </c>
      <c r="BS510" s="20">
        <f t="shared" si="354"/>
        <v>1</v>
      </c>
      <c r="BT510" s="21" t="str">
        <f t="shared" si="355"/>
        <v/>
      </c>
      <c r="BU510" s="21" t="str">
        <f t="array" ref="BU510">_xlfn.TEXTJOIN("",TRUE,IF(ISERROR(FIND(ROW($1:$168)-1,BS510&amp;BT510)),ROW($1:$168)-1,""))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10" s="22" t="str">
        <f t="shared" si="356"/>
        <v>复中中</v>
      </c>
      <c r="BW510" s="23">
        <f t="shared" si="367"/>
        <v>3</v>
      </c>
      <c r="BX510" s="23" t="str">
        <f t="shared" si="365"/>
        <v/>
      </c>
      <c r="BY510" s="23" t="str">
        <f t="array" ref="BY510">_xlfn.TEXTJOIN("",TRUE,IF(ISERROR(FIND(ROW($1:$168)-1,BW510&amp;BX510)),ROW($1:$168)-1,""))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10" s="22" t="str">
        <f t="shared" si="357"/>
        <v>复中中</v>
      </c>
      <c r="CA510" s="24">
        <f t="shared" si="358"/>
        <v>2</v>
      </c>
      <c r="CB510" s="24">
        <f t="shared" si="366"/>
        <v>2</v>
      </c>
      <c r="CC510" s="24" t="str">
        <f t="array" ref="CC510">_xlfn.TEXTJOIN("",TRUE,IF(ISERROR(FIND(ROW($1:$168)-1,CA510&amp;CB510)),ROW($1:$168)-1,""))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10" s="22" t="str">
        <f t="shared" si="359"/>
        <v>复隔中</v>
      </c>
      <c r="CE510" s="25" t="str">
        <f t="shared" si="353"/>
        <v>02</v>
      </c>
      <c r="CF510" s="26" t="str">
        <f t="array" ref="CF510">_xlfn.TEXTJOIN("",TRUE,IF(ISNUMBER(FIND(MID(CE509&amp;W509,ROW($1:$162),1),CE510&amp;W510)),MID(CE509&amp;W509,ROW($1:$162),1),""))</f>
        <v>021</v>
      </c>
      <c r="CG510" s="27" t="str">
        <f t="array" ref="CG510">_xlfn.TEXTJOIN("",TRUE,IF(ISERROR(FIND(ROW($1:$168)-1,CE510&amp;CF510)),ROW($1:$168)-1,""))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10" s="28" t="str">
        <f t="shared" si="360"/>
        <v>邻传孤</v>
      </c>
      <c r="CI510" s="29" t="str">
        <f t="shared" si="361"/>
        <v>24</v>
      </c>
      <c r="CJ510" s="29" t="str">
        <f t="array" ref="CJ510">_xlfn.TEXTJOIN("",TRUE,IF(ISNUMBER(FIND(MID(CI509&amp;X509,ROW($1:$162),1),CI510&amp;X510)),MID(CI509&amp;X509,ROW($1:$162),1),""))</f>
        <v>243</v>
      </c>
      <c r="CK510" s="29" t="str">
        <f t="array" ref="CK510">_xlfn.TEXTJOIN("",TRUE,IF(ISERROR(FIND(ROW($1:$168)-1,CI510&amp;CJ510)),ROW($1:$168)-1,""))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10" s="19" t="str">
        <f t="shared" si="362"/>
        <v>邻传孤</v>
      </c>
      <c r="CM510" s="24" t="str">
        <f t="shared" si="363"/>
        <v>13</v>
      </c>
      <c r="CN510" s="24" t="str">
        <f t="array" ref="CN510">_xlfn.TEXTJOIN("",TRUE,IF(ISNUMBER(FIND(MID(CM509&amp;Y509,ROW($1:$162),1),CM510&amp;Y510)),MID(CM509&amp;Y509,ROW($1:$162),1),""))</f>
        <v>132</v>
      </c>
      <c r="CO510" s="24" t="str">
        <f t="array" ref="CO510">_xlfn.TEXTJOIN("",TRUE,IF(ISERROR(FIND(ROW($1:$168)-1,CM510&amp;CN510)),ROW($1:$168)-1,""))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510" s="30" t="str">
        <f t="shared" si="364"/>
        <v>邻传孤</v>
      </c>
    </row>
    <row r="511" spans="1:94">
      <c r="A511" s="15">
        <v>511</v>
      </c>
      <c r="B511" s="80">
        <v>2025128</v>
      </c>
      <c r="C511" s="8" t="s">
        <v>422</v>
      </c>
      <c r="D511" s="81">
        <f t="shared" si="368"/>
        <v>13</v>
      </c>
      <c r="E511" s="82">
        <f t="shared" si="369"/>
        <v>3</v>
      </c>
      <c r="F511" s="83">
        <f t="shared" si="342"/>
        <v>1.85714285714286</v>
      </c>
      <c r="G511" s="84" t="str">
        <f t="shared" si="343"/>
        <v>松散</v>
      </c>
      <c r="H511" s="85" t="s">
        <v>10</v>
      </c>
      <c r="I511" s="85" t="s">
        <v>11</v>
      </c>
      <c r="J511" s="85" t="s">
        <v>12</v>
      </c>
      <c r="K511" s="85" t="s">
        <v>13</v>
      </c>
      <c r="L511" s="86">
        <f>MAX(MID(C511,{1,2,3},1)*1)-MIN(MID(C511,{1,2,3},1)*1)</f>
        <v>7</v>
      </c>
      <c r="M511" s="87">
        <v>0</v>
      </c>
      <c r="N511" s="87">
        <v>1</v>
      </c>
      <c r="O511" s="87">
        <v>2</v>
      </c>
      <c r="P511" s="87">
        <v>3</v>
      </c>
      <c r="Q511" s="87">
        <v>4</v>
      </c>
      <c r="R511" s="87">
        <v>5</v>
      </c>
      <c r="S511" s="87">
        <v>6</v>
      </c>
      <c r="T511" s="87">
        <v>7</v>
      </c>
      <c r="U511" s="87">
        <v>8</v>
      </c>
      <c r="V511" s="87">
        <v>9</v>
      </c>
      <c r="W511" s="88">
        <f t="shared" si="370"/>
        <v>7</v>
      </c>
      <c r="X511" s="88">
        <f t="shared" si="371"/>
        <v>4</v>
      </c>
      <c r="Y511" s="88">
        <f t="shared" si="372"/>
        <v>3</v>
      </c>
      <c r="Z511" s="89">
        <f t="shared" si="351"/>
        <v>14</v>
      </c>
      <c r="AA511" s="17" t="str">
        <f>_xlfn.TEXTJOIN(", ",TRUE,ABS(MID(C511,{1,1,2},1)-MID(C511,{2,3,3},1)))</f>
        <v>7, 4, 3</v>
      </c>
      <c r="AB511" s="90">
        <v>0</v>
      </c>
      <c r="AC511" s="90">
        <v>1</v>
      </c>
      <c r="AD511" s="90">
        <v>2</v>
      </c>
      <c r="AE511" s="90">
        <v>3</v>
      </c>
      <c r="AF511" s="90">
        <v>4</v>
      </c>
      <c r="AG511" s="90">
        <v>5</v>
      </c>
      <c r="AH511" s="90">
        <v>6</v>
      </c>
      <c r="AI511" s="90">
        <v>7</v>
      </c>
      <c r="AJ511" s="90">
        <v>8</v>
      </c>
      <c r="AK511" s="90">
        <v>9</v>
      </c>
      <c r="AL511" s="91">
        <v>0</v>
      </c>
      <c r="AM511" s="91">
        <v>1</v>
      </c>
      <c r="AN511" s="91">
        <v>2</v>
      </c>
      <c r="AO511" s="91">
        <v>3</v>
      </c>
      <c r="AP511" s="91">
        <v>4</v>
      </c>
      <c r="AQ511" s="91">
        <v>5</v>
      </c>
      <c r="AR511" s="91">
        <v>6</v>
      </c>
      <c r="AS511" s="91">
        <v>7</v>
      </c>
      <c r="AT511" s="91">
        <v>8</v>
      </c>
      <c r="AU511" s="91">
        <v>9</v>
      </c>
      <c r="AV511" s="92">
        <v>0</v>
      </c>
      <c r="AW511" s="92">
        <v>1</v>
      </c>
      <c r="AX511" s="92">
        <v>2</v>
      </c>
      <c r="AY511" s="92">
        <v>3</v>
      </c>
      <c r="AZ511" s="92">
        <v>4</v>
      </c>
      <c r="BA511" s="92">
        <v>5</v>
      </c>
      <c r="BB511" s="92">
        <v>6</v>
      </c>
      <c r="BC511" s="92">
        <v>7</v>
      </c>
      <c r="BD511" s="92">
        <v>8</v>
      </c>
      <c r="BE511" s="92">
        <v>9</v>
      </c>
      <c r="BF511" s="93">
        <v>0</v>
      </c>
      <c r="BG511" s="93">
        <v>1</v>
      </c>
      <c r="BH511" s="93">
        <v>2</v>
      </c>
      <c r="BI511" s="93">
        <v>3</v>
      </c>
      <c r="BJ511" s="93">
        <v>4</v>
      </c>
      <c r="BK511" s="93">
        <v>5</v>
      </c>
      <c r="BL511" s="93">
        <v>6</v>
      </c>
      <c r="BM511" s="93">
        <v>7</v>
      </c>
      <c r="BN511" s="93">
        <v>8</v>
      </c>
      <c r="BO511" s="93">
        <v>9</v>
      </c>
      <c r="BP511" s="94" t="str">
        <f t="shared" si="352"/>
        <v>松散型</v>
      </c>
      <c r="BQ511" s="15">
        <f t="shared" si="349"/>
        <v>3</v>
      </c>
      <c r="BR511" s="15">
        <f t="shared" si="350"/>
        <v>7</v>
      </c>
      <c r="BS511" s="20" t="str">
        <f t="shared" si="354"/>
        <v/>
      </c>
      <c r="BT511" s="21" t="str">
        <f t="shared" si="355"/>
        <v/>
      </c>
      <c r="BU511" s="21" t="str">
        <f t="array" ref="BU511">_xlfn.TEXTJOIN("",TRUE,IF(ISERROR(FIND(ROW($1:$168)-1,BS511&amp;BT511)),ROW($1:$168)-1,""))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11" s="22" t="str">
        <f t="shared" si="356"/>
        <v>中中中</v>
      </c>
      <c r="BW511" s="23" t="str">
        <f t="shared" si="367"/>
        <v/>
      </c>
      <c r="BX511" s="23" t="str">
        <f t="shared" si="365"/>
        <v/>
      </c>
      <c r="BY511" s="23" t="str">
        <f t="array" ref="BY511">_xlfn.TEXTJOIN("",TRUE,IF(ISERROR(FIND(ROW($1:$168)-1,BW511&amp;BX511)),ROW($1:$168)-1,""))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11" s="22" t="str">
        <f t="shared" si="357"/>
        <v>中中中</v>
      </c>
      <c r="CA511" s="24">
        <f t="shared" si="358"/>
        <v>3</v>
      </c>
      <c r="CB511" s="24">
        <f t="shared" si="366"/>
        <v>3</v>
      </c>
      <c r="CC511" s="24" t="str">
        <f t="array" ref="CC511">_xlfn.TEXTJOIN("",TRUE,IF(ISERROR(FIND(ROW($1:$168)-1,CA511&amp;CB511)),ROW($1:$168)-1,""))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11" s="22" t="str">
        <f t="shared" si="359"/>
        <v>复隔中</v>
      </c>
      <c r="CE511" s="25" t="str">
        <f t="shared" si="353"/>
        <v>68</v>
      </c>
      <c r="CF511" s="26" t="str">
        <f t="array" ref="CF511">_xlfn.TEXTJOIN("",TRUE,IF(ISNUMBER(FIND(MID(CE510&amp;W510,ROW($1:$162),1),CE511&amp;W511)),MID(CE510&amp;W510,ROW($1:$162),1),""))</f>
        <v/>
      </c>
      <c r="CG511" s="27" t="str">
        <f t="array" ref="CG511">_xlfn.TEXTJOIN("",TRUE,IF(ISERROR(FIND(ROW($1:$168)-1,CE511&amp;CF511)),ROW($1:$168)-1,""))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11" s="28" t="str">
        <f t="shared" si="360"/>
        <v>邻孤孤</v>
      </c>
      <c r="CI511" s="29" t="str">
        <f t="shared" si="361"/>
        <v>35</v>
      </c>
      <c r="CJ511" s="29" t="str">
        <f t="array" ref="CJ511">_xlfn.TEXTJOIN("",TRUE,IF(ISNUMBER(FIND(MID(CI510&amp;X510,ROW($1:$162),1),CI511&amp;X511)),MID(CI510&amp;X510,ROW($1:$162),1),""))</f>
        <v>43</v>
      </c>
      <c r="CK511" s="29" t="str">
        <f t="array" ref="CK511">_xlfn.TEXTJOIN("",TRUE,IF(ISERROR(FIND(ROW($1:$168)-1,CI511&amp;CJ511)),ROW($1:$168)-1,""))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11" s="19" t="str">
        <f t="shared" si="362"/>
        <v>邻传孤</v>
      </c>
      <c r="CM511" s="24" t="str">
        <f t="shared" si="363"/>
        <v>24</v>
      </c>
      <c r="CN511" s="24" t="str">
        <f t="array" ref="CN511">_xlfn.TEXTJOIN("",TRUE,IF(ISNUMBER(FIND(MID(CM510&amp;Y510,ROW($1:$162),1),CM511&amp;Y511)),MID(CM510&amp;Y510,ROW($1:$162),1),""))</f>
        <v>32</v>
      </c>
      <c r="CO511" s="24" t="str">
        <f t="array" ref="CO511">_xlfn.TEXTJOIN("",TRUE,IF(ISERROR(FIND(ROW($1:$168)-1,CM511&amp;CN511)),ROW($1:$168)-1,""))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11" s="30" t="str">
        <f t="shared" si="364"/>
        <v>邻传孤</v>
      </c>
    </row>
    <row r="512" spans="1:94">
      <c r="A512" s="15">
        <v>512</v>
      </c>
      <c r="B512" s="80">
        <v>2025129</v>
      </c>
      <c r="C512" s="8" t="s">
        <v>394</v>
      </c>
      <c r="D512" s="81">
        <f t="shared" si="368"/>
        <v>15</v>
      </c>
      <c r="E512" s="82">
        <f t="shared" si="369"/>
        <v>5</v>
      </c>
      <c r="F512" s="83">
        <f t="shared" si="342"/>
        <v>1.875</v>
      </c>
      <c r="G512" s="84" t="str">
        <f t="shared" si="343"/>
        <v>松散</v>
      </c>
      <c r="H512" s="85" t="s">
        <v>10</v>
      </c>
      <c r="I512" s="85" t="s">
        <v>11</v>
      </c>
      <c r="J512" s="85" t="s">
        <v>12</v>
      </c>
      <c r="K512" s="85" t="s">
        <v>13</v>
      </c>
      <c r="L512" s="86">
        <f>MAX(MID(C512,{1,2,3},1)*1)-MIN(MID(C512,{1,2,3},1)*1)</f>
        <v>8</v>
      </c>
      <c r="M512" s="87">
        <v>0</v>
      </c>
      <c r="N512" s="87">
        <v>1</v>
      </c>
      <c r="O512" s="87">
        <v>2</v>
      </c>
      <c r="P512" s="87">
        <v>3</v>
      </c>
      <c r="Q512" s="87">
        <v>4</v>
      </c>
      <c r="R512" s="87">
        <v>5</v>
      </c>
      <c r="S512" s="87">
        <v>6</v>
      </c>
      <c r="T512" s="87">
        <v>7</v>
      </c>
      <c r="U512" s="87">
        <v>8</v>
      </c>
      <c r="V512" s="87">
        <v>9</v>
      </c>
      <c r="W512" s="88">
        <f t="shared" si="370"/>
        <v>8</v>
      </c>
      <c r="X512" s="88">
        <f t="shared" si="371"/>
        <v>4</v>
      </c>
      <c r="Y512" s="88">
        <f t="shared" si="372"/>
        <v>4</v>
      </c>
      <c r="Z512" s="89">
        <f t="shared" si="351"/>
        <v>16</v>
      </c>
      <c r="AA512" s="17" t="str">
        <f>_xlfn.TEXTJOIN(", ",TRUE,ABS(MID(C512,{1,1,2},1)-MID(C512,{2,3,3},1)))</f>
        <v>8, 4, 4</v>
      </c>
      <c r="AB512" s="90">
        <v>0</v>
      </c>
      <c r="AC512" s="90">
        <v>1</v>
      </c>
      <c r="AD512" s="90">
        <v>2</v>
      </c>
      <c r="AE512" s="90">
        <v>3</v>
      </c>
      <c r="AF512" s="90">
        <v>4</v>
      </c>
      <c r="AG512" s="90">
        <v>5</v>
      </c>
      <c r="AH512" s="90">
        <v>6</v>
      </c>
      <c r="AI512" s="90">
        <v>7</v>
      </c>
      <c r="AJ512" s="90">
        <v>8</v>
      </c>
      <c r="AK512" s="90">
        <v>9</v>
      </c>
      <c r="AL512" s="91">
        <v>0</v>
      </c>
      <c r="AM512" s="91">
        <v>1</v>
      </c>
      <c r="AN512" s="91">
        <v>2</v>
      </c>
      <c r="AO512" s="91">
        <v>3</v>
      </c>
      <c r="AP512" s="91">
        <v>4</v>
      </c>
      <c r="AQ512" s="91">
        <v>5</v>
      </c>
      <c r="AR512" s="91">
        <v>6</v>
      </c>
      <c r="AS512" s="91">
        <v>7</v>
      </c>
      <c r="AT512" s="91">
        <v>8</v>
      </c>
      <c r="AU512" s="91">
        <v>9</v>
      </c>
      <c r="AV512" s="92">
        <v>0</v>
      </c>
      <c r="AW512" s="92">
        <v>1</v>
      </c>
      <c r="AX512" s="92">
        <v>2</v>
      </c>
      <c r="AY512" s="92">
        <v>3</v>
      </c>
      <c r="AZ512" s="92">
        <v>4</v>
      </c>
      <c r="BA512" s="92">
        <v>5</v>
      </c>
      <c r="BB512" s="92">
        <v>6</v>
      </c>
      <c r="BC512" s="92">
        <v>7</v>
      </c>
      <c r="BD512" s="92">
        <v>8</v>
      </c>
      <c r="BE512" s="92">
        <v>9</v>
      </c>
      <c r="BF512" s="93">
        <v>0</v>
      </c>
      <c r="BG512" s="93">
        <v>1</v>
      </c>
      <c r="BH512" s="93">
        <v>2</v>
      </c>
      <c r="BI512" s="93">
        <v>3</v>
      </c>
      <c r="BJ512" s="93">
        <v>4</v>
      </c>
      <c r="BK512" s="93">
        <v>5</v>
      </c>
      <c r="BL512" s="93">
        <v>6</v>
      </c>
      <c r="BM512" s="93">
        <v>7</v>
      </c>
      <c r="BN512" s="93">
        <v>8</v>
      </c>
      <c r="BO512" s="93">
        <v>9</v>
      </c>
      <c r="BP512" s="94" t="str">
        <f t="shared" si="352"/>
        <v>松散型</v>
      </c>
      <c r="BQ512" s="15">
        <f t="shared" si="349"/>
        <v>4</v>
      </c>
      <c r="BR512" s="15">
        <f t="shared" si="350"/>
        <v>8</v>
      </c>
      <c r="BS512" s="20" t="str">
        <f t="shared" si="354"/>
        <v/>
      </c>
      <c r="BT512" s="21" t="str">
        <f t="shared" si="355"/>
        <v/>
      </c>
      <c r="BU512" s="21" t="str">
        <f t="array" ref="BU512">_xlfn.TEXTJOIN("",TRUE,IF(ISERROR(FIND(ROW($1:$168)-1,BS512&amp;BT512)),ROW($1:$168)-1,""))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12" s="22" t="str">
        <f t="shared" si="356"/>
        <v>中中中</v>
      </c>
      <c r="BW512" s="23">
        <f t="shared" si="367"/>
        <v>4</v>
      </c>
      <c r="BX512" s="23" t="str">
        <f t="shared" si="365"/>
        <v/>
      </c>
      <c r="BY512" s="23" t="str">
        <f t="array" ref="BY512">_xlfn.TEXTJOIN("",TRUE,IF(ISERROR(FIND(ROW($1:$168)-1,BW512&amp;BX512)),ROW($1:$168)-1,""))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12" s="22" t="str">
        <f t="shared" si="357"/>
        <v>复中中</v>
      </c>
      <c r="CA512" s="24">
        <f t="shared" si="358"/>
        <v>4</v>
      </c>
      <c r="CB512" s="24" t="str">
        <f t="shared" si="366"/>
        <v/>
      </c>
      <c r="CC512" s="24" t="str">
        <f t="array" ref="CC512">_xlfn.TEXTJOIN("",TRUE,IF(ISERROR(FIND(ROW($1:$168)-1,CA512&amp;CB512)),ROW($1:$168)-1,""))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12" s="22" t="str">
        <f t="shared" si="359"/>
        <v>复中中</v>
      </c>
      <c r="CE512" s="25" t="str">
        <f t="shared" si="353"/>
        <v>79</v>
      </c>
      <c r="CF512" s="26" t="str">
        <f t="array" ref="CF512">_xlfn.TEXTJOIN("",TRUE,IF(ISNUMBER(FIND(MID(CE511&amp;W511,ROW($1:$162),1),CE512&amp;W512)),MID(CE511&amp;W511,ROW($1:$162),1),""))</f>
        <v>87</v>
      </c>
      <c r="CG512" s="27" t="str">
        <f t="array" ref="CG512">_xlfn.TEXTJOIN("",TRUE,IF(ISERROR(FIND(ROW($1:$168)-1,CE512&amp;CF512)),ROW($1:$168)-1,""))</f>
        <v>0123456101112131415161718192021222324252627282930313233343536373839404142434445464748495051525354555657585960616263646566676869707172737475767778808182838485868889909192939495969799100101102103104105106107108109110111112113114115116117118119120121122123124125126127128129130131132133134135136137138139140141142143144145146147148149150151152153154155156157158159160161162163164165166167</v>
      </c>
      <c r="CH512" s="28" t="str">
        <f t="shared" si="360"/>
        <v>邻传孤</v>
      </c>
      <c r="CI512" s="29" t="str">
        <f t="shared" si="361"/>
        <v>35</v>
      </c>
      <c r="CJ512" s="29" t="str">
        <f t="array" ref="CJ512">_xlfn.TEXTJOIN("",TRUE,IF(ISNUMBER(FIND(MID(CI511&amp;X511,ROW($1:$162),1),CI512&amp;X512)),MID(CI511&amp;X511,ROW($1:$162),1),""))</f>
        <v>354</v>
      </c>
      <c r="CK512" s="29" t="str">
        <f t="array" ref="CK512">_xlfn.TEXTJOIN("",TRUE,IF(ISERROR(FIND(ROW($1:$168)-1,CI512&amp;CJ512)),ROW($1:$168)-1,""))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12" s="19" t="str">
        <f t="shared" si="362"/>
        <v>邻传孤</v>
      </c>
      <c r="CM512" s="24" t="str">
        <f t="shared" si="363"/>
        <v>35</v>
      </c>
      <c r="CN512" s="24" t="str">
        <f t="array" ref="CN512">_xlfn.TEXTJOIN("",TRUE,IF(ISNUMBER(FIND(MID(CM511&amp;Y511,ROW($1:$162),1),CM512&amp;Y512)),MID(CM511&amp;Y511,ROW($1:$162),1),""))</f>
        <v>43</v>
      </c>
      <c r="CO512" s="24" t="str">
        <f t="array" ref="CO512">_xlfn.TEXTJOIN("",TRUE,IF(ISERROR(FIND(ROW($1:$168)-1,CM512&amp;CN512)),ROW($1:$168)-1,""))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12" s="30" t="str">
        <f t="shared" si="364"/>
        <v>邻传孤</v>
      </c>
    </row>
    <row r="513" spans="1:94">
      <c r="A513" s="15">
        <v>513</v>
      </c>
      <c r="B513" s="80">
        <v>2025130</v>
      </c>
      <c r="C513" s="8" t="s">
        <v>423</v>
      </c>
      <c r="D513" s="81">
        <f t="shared" si="368"/>
        <v>6</v>
      </c>
      <c r="E513" s="82">
        <f t="shared" si="369"/>
        <v>6</v>
      </c>
      <c r="F513" s="83">
        <f t="shared" si="342"/>
        <v>1.5</v>
      </c>
      <c r="G513" s="84" t="str">
        <f t="shared" si="343"/>
        <v>松散</v>
      </c>
      <c r="H513" s="85" t="s">
        <v>10</v>
      </c>
      <c r="I513" s="85" t="s">
        <v>11</v>
      </c>
      <c r="J513" s="85" t="s">
        <v>12</v>
      </c>
      <c r="K513" s="85" t="s">
        <v>13</v>
      </c>
      <c r="L513" s="86">
        <f>MAX(MID(C513,{1,2,3},1)*1)-MIN(MID(C513,{1,2,3},1)*1)</f>
        <v>4</v>
      </c>
      <c r="M513" s="87">
        <v>0</v>
      </c>
      <c r="N513" s="87">
        <v>1</v>
      </c>
      <c r="O513" s="87">
        <v>2</v>
      </c>
      <c r="P513" s="87">
        <v>3</v>
      </c>
      <c r="Q513" s="87">
        <v>4</v>
      </c>
      <c r="R513" s="87">
        <v>5</v>
      </c>
      <c r="S513" s="87">
        <v>6</v>
      </c>
      <c r="T513" s="87">
        <v>7</v>
      </c>
      <c r="U513" s="87">
        <v>8</v>
      </c>
      <c r="V513" s="87">
        <v>9</v>
      </c>
      <c r="W513" s="88">
        <f t="shared" si="370"/>
        <v>2</v>
      </c>
      <c r="X513" s="88">
        <f t="shared" si="371"/>
        <v>2</v>
      </c>
      <c r="Y513" s="88">
        <f t="shared" si="372"/>
        <v>4</v>
      </c>
      <c r="Z513" s="89">
        <f t="shared" si="351"/>
        <v>8</v>
      </c>
      <c r="AA513" s="17" t="str">
        <f>_xlfn.TEXTJOIN(", ",TRUE,ABS(MID(C513,{1,1,2},1)-MID(C513,{2,3,3},1)))</f>
        <v>2, 2, 4</v>
      </c>
      <c r="AB513" s="90">
        <v>0</v>
      </c>
      <c r="AC513" s="90">
        <v>1</v>
      </c>
      <c r="AD513" s="90">
        <v>2</v>
      </c>
      <c r="AE513" s="90">
        <v>3</v>
      </c>
      <c r="AF513" s="90">
        <v>4</v>
      </c>
      <c r="AG513" s="90">
        <v>5</v>
      </c>
      <c r="AH513" s="90">
        <v>6</v>
      </c>
      <c r="AI513" s="90">
        <v>7</v>
      </c>
      <c r="AJ513" s="90">
        <v>8</v>
      </c>
      <c r="AK513" s="90">
        <v>9</v>
      </c>
      <c r="AL513" s="91">
        <v>0</v>
      </c>
      <c r="AM513" s="91">
        <v>1</v>
      </c>
      <c r="AN513" s="91">
        <v>2</v>
      </c>
      <c r="AO513" s="91">
        <v>3</v>
      </c>
      <c r="AP513" s="91">
        <v>4</v>
      </c>
      <c r="AQ513" s="91">
        <v>5</v>
      </c>
      <c r="AR513" s="91">
        <v>6</v>
      </c>
      <c r="AS513" s="91">
        <v>7</v>
      </c>
      <c r="AT513" s="91">
        <v>8</v>
      </c>
      <c r="AU513" s="91">
        <v>9</v>
      </c>
      <c r="AV513" s="92">
        <v>0</v>
      </c>
      <c r="AW513" s="92">
        <v>1</v>
      </c>
      <c r="AX513" s="92">
        <v>2</v>
      </c>
      <c r="AY513" s="92">
        <v>3</v>
      </c>
      <c r="AZ513" s="92">
        <v>4</v>
      </c>
      <c r="BA513" s="92">
        <v>5</v>
      </c>
      <c r="BB513" s="92">
        <v>6</v>
      </c>
      <c r="BC513" s="92">
        <v>7</v>
      </c>
      <c r="BD513" s="92">
        <v>8</v>
      </c>
      <c r="BE513" s="92">
        <v>9</v>
      </c>
      <c r="BF513" s="93">
        <v>0</v>
      </c>
      <c r="BG513" s="93">
        <v>1</v>
      </c>
      <c r="BH513" s="93">
        <v>2</v>
      </c>
      <c r="BI513" s="93">
        <v>3</v>
      </c>
      <c r="BJ513" s="93">
        <v>4</v>
      </c>
      <c r="BK513" s="93">
        <v>5</v>
      </c>
      <c r="BL513" s="93">
        <v>6</v>
      </c>
      <c r="BM513" s="93">
        <v>7</v>
      </c>
      <c r="BN513" s="93">
        <v>8</v>
      </c>
      <c r="BO513" s="93">
        <v>9</v>
      </c>
      <c r="BP513" s="94" t="str">
        <f t="shared" si="352"/>
        <v>标准型</v>
      </c>
      <c r="BQ513" s="15">
        <f t="shared" si="349"/>
        <v>2</v>
      </c>
      <c r="BR513" s="15">
        <f t="shared" si="350"/>
        <v>4</v>
      </c>
      <c r="BS513" s="20" t="str">
        <f t="shared" si="354"/>
        <v/>
      </c>
      <c r="BT513" s="21" t="str">
        <f t="shared" si="355"/>
        <v/>
      </c>
      <c r="BU513" s="21" t="str">
        <f t="array" ref="BU513">_xlfn.TEXTJOIN("",TRUE,IF(ISERROR(FIND(ROW($1:$168)-1,BS513&amp;BT513)),ROW($1:$168)-1,""))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13" s="22" t="str">
        <f t="shared" si="356"/>
        <v>中中中</v>
      </c>
      <c r="BW513" s="23" t="str">
        <f t="shared" si="367"/>
        <v/>
      </c>
      <c r="BX513" s="23" t="str">
        <f t="shared" si="365"/>
        <v/>
      </c>
      <c r="BY513" s="23" t="str">
        <f t="array" ref="BY513">_xlfn.TEXTJOIN("",TRUE,IF(ISERROR(FIND(ROW($1:$168)-1,BW513&amp;BX513)),ROW($1:$168)-1,""))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13" s="22" t="str">
        <f t="shared" si="357"/>
        <v>中中中</v>
      </c>
      <c r="CA513" s="24">
        <f t="shared" si="358"/>
        <v>4</v>
      </c>
      <c r="CB513" s="24">
        <f t="shared" si="366"/>
        <v>4</v>
      </c>
      <c r="CC513" s="24" t="str">
        <f t="array" ref="CC513">_xlfn.TEXTJOIN("",TRUE,IF(ISERROR(FIND(ROW($1:$168)-1,CA513&amp;CB513)),ROW($1:$168)-1,""))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13" s="22" t="str">
        <f t="shared" si="359"/>
        <v>复隔中</v>
      </c>
      <c r="CE513" s="25" t="str">
        <f t="shared" si="353"/>
        <v>13</v>
      </c>
      <c r="CF513" s="26" t="str">
        <f t="array" ref="CF513">_xlfn.TEXTJOIN("",TRUE,IF(ISNUMBER(FIND(MID(CE512&amp;W512,ROW($1:$162),1),CE513&amp;W513)),MID(CE512&amp;W512,ROW($1:$162),1),""))</f>
        <v/>
      </c>
      <c r="CG513" s="27" t="str">
        <f t="array" ref="CG513">_xlfn.TEXTJOIN("",TRUE,IF(ISERROR(FIND(ROW($1:$168)-1,CE513&amp;CF513)),ROW($1:$168)-1,""))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13" s="28" t="str">
        <f t="shared" si="360"/>
        <v>邻孤孤</v>
      </c>
      <c r="CI513" s="29" t="str">
        <f t="shared" si="361"/>
        <v>13</v>
      </c>
      <c r="CJ513" s="29" t="str">
        <f t="array" ref="CJ513">_xlfn.TEXTJOIN("",TRUE,IF(ISNUMBER(FIND(MID(CI512&amp;X512,ROW($1:$162),1),CI513&amp;X513)),MID(CI512&amp;X512,ROW($1:$162),1),""))</f>
        <v>3</v>
      </c>
      <c r="CK513" s="29" t="str">
        <f t="array" ref="CK513">_xlfn.TEXTJOIN("",TRUE,IF(ISERROR(FIND(ROW($1:$168)-1,CI513&amp;CJ513)),ROW($1:$168)-1,""))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513" s="19" t="str">
        <f t="shared" si="362"/>
        <v>邻传孤</v>
      </c>
      <c r="CM513" s="24" t="str">
        <f t="shared" si="363"/>
        <v>35</v>
      </c>
      <c r="CN513" s="24" t="str">
        <f t="array" ref="CN513">_xlfn.TEXTJOIN("",TRUE,IF(ISNUMBER(FIND(MID(CM512&amp;Y512,ROW($1:$162),1),CM513&amp;Y513)),MID(CM512&amp;Y512,ROW($1:$162),1),""))</f>
        <v>354</v>
      </c>
      <c r="CO513" s="24" t="str">
        <f t="array" ref="CO513">_xlfn.TEXTJOIN("",TRUE,IF(ISERROR(FIND(ROW($1:$168)-1,CM513&amp;CN513)),ROW($1:$168)-1,""))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13" s="30" t="str">
        <f t="shared" si="364"/>
        <v>邻传孤</v>
      </c>
    </row>
    <row r="514" spans="1:94">
      <c r="A514" s="15">
        <v>514</v>
      </c>
      <c r="B514" s="80">
        <v>2025131</v>
      </c>
      <c r="C514" s="8" t="s">
        <v>424</v>
      </c>
      <c r="D514" s="81">
        <f t="shared" si="368"/>
        <v>5</v>
      </c>
      <c r="E514" s="82">
        <f t="shared" si="369"/>
        <v>5</v>
      </c>
      <c r="F514" s="83">
        <f t="shared" si="342"/>
        <v>1.66666666666667</v>
      </c>
      <c r="G514" s="84" t="str">
        <f t="shared" si="343"/>
        <v>松散</v>
      </c>
      <c r="H514" s="85" t="s">
        <v>10</v>
      </c>
      <c r="I514" s="85" t="s">
        <v>11</v>
      </c>
      <c r="J514" s="85" t="s">
        <v>12</v>
      </c>
      <c r="K514" s="85" t="s">
        <v>13</v>
      </c>
      <c r="L514" s="86">
        <f>MAX(MID(C514,{1,2,3},1)*1)-MIN(MID(C514,{1,2,3},1)*1)</f>
        <v>3</v>
      </c>
      <c r="M514" s="87">
        <v>0</v>
      </c>
      <c r="N514" s="87">
        <v>1</v>
      </c>
      <c r="O514" s="87">
        <v>2</v>
      </c>
      <c r="P514" s="87">
        <v>3</v>
      </c>
      <c r="Q514" s="87">
        <v>4</v>
      </c>
      <c r="R514" s="87">
        <v>5</v>
      </c>
      <c r="S514" s="87">
        <v>6</v>
      </c>
      <c r="T514" s="87">
        <v>7</v>
      </c>
      <c r="U514" s="87">
        <v>8</v>
      </c>
      <c r="V514" s="87">
        <v>9</v>
      </c>
      <c r="W514" s="88">
        <f t="shared" si="370"/>
        <v>2</v>
      </c>
      <c r="X514" s="88">
        <f t="shared" si="371"/>
        <v>1</v>
      </c>
      <c r="Y514" s="88">
        <f t="shared" si="372"/>
        <v>3</v>
      </c>
      <c r="Z514" s="89">
        <f t="shared" si="351"/>
        <v>6</v>
      </c>
      <c r="AA514" s="17" t="str">
        <f>_xlfn.TEXTJOIN(", ",TRUE,ABS(MID(C514,{1,1,2},1)-MID(C514,{2,3,3},1)))</f>
        <v>2, 1, 3</v>
      </c>
      <c r="AB514" s="90">
        <v>0</v>
      </c>
      <c r="AC514" s="90">
        <v>1</v>
      </c>
      <c r="AD514" s="90">
        <v>2</v>
      </c>
      <c r="AE514" s="90">
        <v>3</v>
      </c>
      <c r="AF514" s="90">
        <v>4</v>
      </c>
      <c r="AG514" s="90">
        <v>5</v>
      </c>
      <c r="AH514" s="90">
        <v>6</v>
      </c>
      <c r="AI514" s="90">
        <v>7</v>
      </c>
      <c r="AJ514" s="90">
        <v>8</v>
      </c>
      <c r="AK514" s="90">
        <v>9</v>
      </c>
      <c r="AL514" s="91">
        <v>0</v>
      </c>
      <c r="AM514" s="91">
        <v>1</v>
      </c>
      <c r="AN514" s="91">
        <v>2</v>
      </c>
      <c r="AO514" s="91">
        <v>3</v>
      </c>
      <c r="AP514" s="91">
        <v>4</v>
      </c>
      <c r="AQ514" s="91">
        <v>5</v>
      </c>
      <c r="AR514" s="91">
        <v>6</v>
      </c>
      <c r="AS514" s="91">
        <v>7</v>
      </c>
      <c r="AT514" s="91">
        <v>8</v>
      </c>
      <c r="AU514" s="91">
        <v>9</v>
      </c>
      <c r="AV514" s="92">
        <v>0</v>
      </c>
      <c r="AW514" s="92">
        <v>1</v>
      </c>
      <c r="AX514" s="92">
        <v>2</v>
      </c>
      <c r="AY514" s="92">
        <v>3</v>
      </c>
      <c r="AZ514" s="92">
        <v>4</v>
      </c>
      <c r="BA514" s="92">
        <v>5</v>
      </c>
      <c r="BB514" s="92">
        <v>6</v>
      </c>
      <c r="BC514" s="92">
        <v>7</v>
      </c>
      <c r="BD514" s="92">
        <v>8</v>
      </c>
      <c r="BE514" s="92">
        <v>9</v>
      </c>
      <c r="BF514" s="93">
        <v>0</v>
      </c>
      <c r="BG514" s="93">
        <v>1</v>
      </c>
      <c r="BH514" s="93">
        <v>2</v>
      </c>
      <c r="BI514" s="93">
        <v>3</v>
      </c>
      <c r="BJ514" s="93">
        <v>4</v>
      </c>
      <c r="BK514" s="93">
        <v>5</v>
      </c>
      <c r="BL514" s="93">
        <v>6</v>
      </c>
      <c r="BM514" s="93">
        <v>7</v>
      </c>
      <c r="BN514" s="93">
        <v>8</v>
      </c>
      <c r="BO514" s="93">
        <v>9</v>
      </c>
      <c r="BP514" s="94" t="str">
        <f t="shared" si="352"/>
        <v>紧凑型</v>
      </c>
      <c r="BQ514" s="15">
        <f t="shared" si="349"/>
        <v>1</v>
      </c>
      <c r="BR514" s="15">
        <f t="shared" si="350"/>
        <v>3</v>
      </c>
      <c r="BS514" s="20">
        <f t="shared" si="354"/>
        <v>2</v>
      </c>
      <c r="BT514" s="21" t="str">
        <f t="shared" si="355"/>
        <v/>
      </c>
      <c r="BU514" s="21" t="str">
        <f t="array" ref="BU514">_xlfn.TEXTJOIN("",TRUE,IF(ISERROR(FIND(ROW($1:$168)-1,BS514&amp;BT514)),ROW($1:$168)-1,""))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14" s="22" t="str">
        <f t="shared" si="356"/>
        <v>复中中</v>
      </c>
      <c r="BW514" s="23" t="str">
        <f t="shared" si="367"/>
        <v/>
      </c>
      <c r="BX514" s="23" t="str">
        <f t="shared" si="365"/>
        <v/>
      </c>
      <c r="BY514" s="23" t="str">
        <f t="array" ref="BY514">_xlfn.TEXTJOIN("",TRUE,IF(ISERROR(FIND(ROW($1:$168)-1,BW514&amp;BX514)),ROW($1:$168)-1,""))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14" s="22" t="str">
        <f t="shared" si="357"/>
        <v>中中中</v>
      </c>
      <c r="CA514" s="24" t="str">
        <f t="shared" si="358"/>
        <v/>
      </c>
      <c r="CB514" s="24" t="str">
        <f t="shared" si="366"/>
        <v/>
      </c>
      <c r="CC514" s="24" t="str">
        <f t="array" ref="CC514">_xlfn.TEXTJOIN("",TRUE,IF(ISERROR(FIND(ROW($1:$168)-1,CA514&amp;CB514)),ROW($1:$168)-1,""))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14" s="22" t="str">
        <f t="shared" si="359"/>
        <v>中中中</v>
      </c>
      <c r="CE514" s="25" t="str">
        <f t="shared" si="353"/>
        <v>13</v>
      </c>
      <c r="CF514" s="26" t="str">
        <f t="array" ref="CF514">_xlfn.TEXTJOIN("",TRUE,IF(ISNUMBER(FIND(MID(CE513&amp;W513,ROW($1:$162),1),CE514&amp;W514)),MID(CE513&amp;W513,ROW($1:$162),1),""))</f>
        <v>132</v>
      </c>
      <c r="CG514" s="27" t="str">
        <f t="array" ref="CG514">_xlfn.TEXTJOIN("",TRUE,IF(ISERROR(FIND(ROW($1:$168)-1,CE514&amp;CF514)),ROW($1:$168)-1,""))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514" s="28" t="str">
        <f t="shared" si="360"/>
        <v>邻传孤</v>
      </c>
      <c r="CI514" s="29" t="str">
        <f t="shared" si="361"/>
        <v>02</v>
      </c>
      <c r="CJ514" s="29" t="str">
        <f t="array" ref="CJ514">_xlfn.TEXTJOIN("",TRUE,IF(ISNUMBER(FIND(MID(CI513&amp;X513,ROW($1:$162),1),CI514&amp;X514)),MID(CI513&amp;X513,ROW($1:$162),1),""))</f>
        <v>12</v>
      </c>
      <c r="CK514" s="29" t="str">
        <f t="array" ref="CK514">_xlfn.TEXTJOIN("",TRUE,IF(ISERROR(FIND(ROW($1:$168)-1,CI514&amp;CJ514)),ROW($1:$168)-1,""))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14" s="19" t="str">
        <f t="shared" si="362"/>
        <v>邻传孤</v>
      </c>
      <c r="CM514" s="24" t="str">
        <f t="shared" si="363"/>
        <v>24</v>
      </c>
      <c r="CN514" s="24" t="str">
        <f t="array" ref="CN514">_xlfn.TEXTJOIN("",TRUE,IF(ISNUMBER(FIND(MID(CM513&amp;Y513,ROW($1:$162),1),CM514&amp;Y514)),MID(CM513&amp;Y513,ROW($1:$162),1),""))</f>
        <v>34</v>
      </c>
      <c r="CO514" s="24" t="str">
        <f t="array" ref="CO514">_xlfn.TEXTJOIN("",TRUE,IF(ISERROR(FIND(ROW($1:$168)-1,CM514&amp;CN514)),ROW($1:$168)-1,""))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14" s="30" t="str">
        <f t="shared" si="364"/>
        <v>邻传孤</v>
      </c>
    </row>
    <row r="515" spans="1:94">
      <c r="A515" s="15">
        <v>515</v>
      </c>
      <c r="B515" s="80">
        <v>2025132</v>
      </c>
      <c r="C515" s="8" t="s">
        <v>425</v>
      </c>
      <c r="D515" s="81">
        <f t="shared" si="368"/>
        <v>23</v>
      </c>
      <c r="E515" s="82">
        <f t="shared" si="369"/>
        <v>3</v>
      </c>
      <c r="F515" s="83">
        <f t="shared" si="342"/>
        <v>7.66666666666667</v>
      </c>
      <c r="G515" s="84" t="str">
        <f t="shared" si="343"/>
        <v>紧凑</v>
      </c>
      <c r="H515" s="85" t="s">
        <v>10</v>
      </c>
      <c r="I515" s="85" t="s">
        <v>11</v>
      </c>
      <c r="J515" s="85" t="s">
        <v>12</v>
      </c>
      <c r="K515" s="85" t="s">
        <v>13</v>
      </c>
      <c r="L515" s="86">
        <f>MAX(MID(C515,{1,2,3},1)*1)-MIN(MID(C515,{1,2,3},1)*1)</f>
        <v>3</v>
      </c>
      <c r="M515" s="87">
        <v>0</v>
      </c>
      <c r="N515" s="87">
        <v>1</v>
      </c>
      <c r="O515" s="87">
        <v>2</v>
      </c>
      <c r="P515" s="87">
        <v>3</v>
      </c>
      <c r="Q515" s="87">
        <v>4</v>
      </c>
      <c r="R515" s="87">
        <v>5</v>
      </c>
      <c r="S515" s="87">
        <v>6</v>
      </c>
      <c r="T515" s="87">
        <v>7</v>
      </c>
      <c r="U515" s="87">
        <v>8</v>
      </c>
      <c r="V515" s="87">
        <v>9</v>
      </c>
      <c r="W515" s="88">
        <f t="shared" si="370"/>
        <v>2</v>
      </c>
      <c r="X515" s="88">
        <f t="shared" si="371"/>
        <v>3</v>
      </c>
      <c r="Y515" s="88">
        <f t="shared" si="372"/>
        <v>1</v>
      </c>
      <c r="Z515" s="89">
        <f t="shared" si="351"/>
        <v>6</v>
      </c>
      <c r="AA515" s="17" t="str">
        <f>_xlfn.TEXTJOIN(", ",TRUE,ABS(MID(C515,{1,1,2},1)-MID(C515,{2,3,3},1)))</f>
        <v>2, 3, 1</v>
      </c>
      <c r="AB515" s="90">
        <v>0</v>
      </c>
      <c r="AC515" s="90">
        <v>1</v>
      </c>
      <c r="AD515" s="90">
        <v>2</v>
      </c>
      <c r="AE515" s="90">
        <v>3</v>
      </c>
      <c r="AF515" s="90">
        <v>4</v>
      </c>
      <c r="AG515" s="90">
        <v>5</v>
      </c>
      <c r="AH515" s="90">
        <v>6</v>
      </c>
      <c r="AI515" s="90">
        <v>7</v>
      </c>
      <c r="AJ515" s="90">
        <v>8</v>
      </c>
      <c r="AK515" s="90">
        <v>9</v>
      </c>
      <c r="AL515" s="91">
        <v>0</v>
      </c>
      <c r="AM515" s="91">
        <v>1</v>
      </c>
      <c r="AN515" s="91">
        <v>2</v>
      </c>
      <c r="AO515" s="91">
        <v>3</v>
      </c>
      <c r="AP515" s="91">
        <v>4</v>
      </c>
      <c r="AQ515" s="91">
        <v>5</v>
      </c>
      <c r="AR515" s="91">
        <v>6</v>
      </c>
      <c r="AS515" s="91">
        <v>7</v>
      </c>
      <c r="AT515" s="91">
        <v>8</v>
      </c>
      <c r="AU515" s="91">
        <v>9</v>
      </c>
      <c r="AV515" s="92">
        <v>0</v>
      </c>
      <c r="AW515" s="92">
        <v>1</v>
      </c>
      <c r="AX515" s="92">
        <v>2</v>
      </c>
      <c r="AY515" s="92">
        <v>3</v>
      </c>
      <c r="AZ515" s="92">
        <v>4</v>
      </c>
      <c r="BA515" s="92">
        <v>5</v>
      </c>
      <c r="BB515" s="92">
        <v>6</v>
      </c>
      <c r="BC515" s="92">
        <v>7</v>
      </c>
      <c r="BD515" s="92">
        <v>8</v>
      </c>
      <c r="BE515" s="92">
        <v>9</v>
      </c>
      <c r="BF515" s="93">
        <v>0</v>
      </c>
      <c r="BG515" s="93">
        <v>1</v>
      </c>
      <c r="BH515" s="93">
        <v>2</v>
      </c>
      <c r="BI515" s="93">
        <v>3</v>
      </c>
      <c r="BJ515" s="93">
        <v>4</v>
      </c>
      <c r="BK515" s="93">
        <v>5</v>
      </c>
      <c r="BL515" s="93">
        <v>6</v>
      </c>
      <c r="BM515" s="93">
        <v>7</v>
      </c>
      <c r="BN515" s="93">
        <v>8</v>
      </c>
      <c r="BO515" s="93">
        <v>9</v>
      </c>
      <c r="BP515" s="94" t="str">
        <f t="shared" si="352"/>
        <v>紧凑型</v>
      </c>
      <c r="BQ515" s="15">
        <f t="shared" si="349"/>
        <v>1</v>
      </c>
      <c r="BR515" s="15">
        <f t="shared" si="350"/>
        <v>3</v>
      </c>
      <c r="BS515" s="20">
        <f t="shared" si="354"/>
        <v>2</v>
      </c>
      <c r="BT515" s="21">
        <f t="shared" si="355"/>
        <v>2</v>
      </c>
      <c r="BU515" s="21" t="str">
        <f t="array" ref="BU515">_xlfn.TEXTJOIN("",TRUE,IF(ISERROR(FIND(ROW($1:$168)-1,BS515&amp;BT515)),ROW($1:$168)-1,""))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15" s="22" t="str">
        <f t="shared" si="356"/>
        <v>复隔中</v>
      </c>
      <c r="BW515" s="23">
        <f t="shared" si="367"/>
        <v>3</v>
      </c>
      <c r="BX515" s="23" t="str">
        <f t="shared" si="365"/>
        <v/>
      </c>
      <c r="BY515" s="23" t="str">
        <f t="array" ref="BY515">_xlfn.TEXTJOIN("",TRUE,IF(ISERROR(FIND(ROW($1:$168)-1,BW515&amp;BX515)),ROW($1:$168)-1,""))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15" s="22" t="str">
        <f t="shared" si="357"/>
        <v>复中中</v>
      </c>
      <c r="CA515" s="24">
        <f t="shared" si="358"/>
        <v>1</v>
      </c>
      <c r="CB515" s="24" t="str">
        <f t="shared" si="366"/>
        <v/>
      </c>
      <c r="CC515" s="24" t="str">
        <f t="array" ref="CC515">_xlfn.TEXTJOIN("",TRUE,IF(ISERROR(FIND(ROW($1:$168)-1,CA515&amp;CB515)),ROW($1:$168)-1,""))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15" s="22" t="str">
        <f t="shared" si="359"/>
        <v>复中中</v>
      </c>
      <c r="CE515" s="25" t="str">
        <f t="shared" si="353"/>
        <v>13</v>
      </c>
      <c r="CF515" s="26" t="str">
        <f t="array" ref="CF515">_xlfn.TEXTJOIN("",TRUE,IF(ISNUMBER(FIND(MID(CE514&amp;W514,ROW($1:$162),1),CE515&amp;W515)),MID(CE514&amp;W514,ROW($1:$162),1),""))</f>
        <v>132</v>
      </c>
      <c r="CG515" s="27" t="str">
        <f t="array" ref="CG515">_xlfn.TEXTJOIN("",TRUE,IF(ISERROR(FIND(ROW($1:$168)-1,CE515&amp;CF515)),ROW($1:$168)-1,""))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515" s="28" t="str">
        <f t="shared" si="360"/>
        <v>邻传孤</v>
      </c>
      <c r="CI515" s="29" t="str">
        <f t="shared" si="361"/>
        <v>24</v>
      </c>
      <c r="CJ515" s="29" t="str">
        <f t="array" ref="CJ515">_xlfn.TEXTJOIN("",TRUE,IF(ISNUMBER(FIND(MID(CI514&amp;X514,ROW($1:$162),1),CI515&amp;X515)),MID(CI514&amp;X514,ROW($1:$162),1),""))</f>
        <v>2</v>
      </c>
      <c r="CK515" s="29" t="str">
        <f t="array" ref="CK515">_xlfn.TEXTJOIN("",TRUE,IF(ISERROR(FIND(ROW($1:$168)-1,CI515&amp;CJ515)),ROW($1:$168)-1,""))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15" s="19" t="str">
        <f t="shared" si="362"/>
        <v>邻传孤</v>
      </c>
      <c r="CM515" s="24" t="str">
        <f t="shared" si="363"/>
        <v>02</v>
      </c>
      <c r="CN515" s="24" t="str">
        <f t="array" ref="CN515">_xlfn.TEXTJOIN("",TRUE,IF(ISNUMBER(FIND(MID(CM514&amp;Y514,ROW($1:$162),1),CM515&amp;Y515)),MID(CM514&amp;Y514,ROW($1:$162),1),""))</f>
        <v>2</v>
      </c>
      <c r="CO515" s="24" t="str">
        <f t="array" ref="CO515">_xlfn.TEXTJOIN("",TRUE,IF(ISERROR(FIND(ROW($1:$168)-1,CM515&amp;CN515)),ROW($1:$168)-1,""))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15" s="30" t="str">
        <f t="shared" si="364"/>
        <v>邻传孤</v>
      </c>
    </row>
    <row r="516" spans="1:94">
      <c r="A516" s="15">
        <v>516</v>
      </c>
      <c r="B516" s="80">
        <v>2025133</v>
      </c>
      <c r="C516" s="8" t="s">
        <v>426</v>
      </c>
      <c r="D516" s="81">
        <f t="shared" si="368"/>
        <v>15</v>
      </c>
      <c r="E516" s="82">
        <f t="shared" si="369"/>
        <v>5</v>
      </c>
      <c r="F516" s="83">
        <f t="shared" ref="F516:F579" si="373">IF(L516=0,0.1,D516/L516)</f>
        <v>7.5</v>
      </c>
      <c r="G516" s="84" t="str">
        <f t="shared" ref="G516:G579" si="374">IF(F516=0.1,"极紧凑",IF(F516&gt;3.5,"紧凑",IF(AND(F516&gt;=2,F516&lt;=3.5),"标准",IF(AND(F516&gt;=1,F516&lt;2),"松散",""))))</f>
        <v>紧凑</v>
      </c>
      <c r="H516" s="85" t="s">
        <v>10</v>
      </c>
      <c r="I516" s="85" t="s">
        <v>11</v>
      </c>
      <c r="J516" s="85" t="s">
        <v>12</v>
      </c>
      <c r="K516" s="85" t="s">
        <v>13</v>
      </c>
      <c r="L516" s="86">
        <f>MAX(MID(C516,{1,2,3},1)*1)-MIN(MID(C516,{1,2,3},1)*1)</f>
        <v>2</v>
      </c>
      <c r="M516" s="87">
        <v>0</v>
      </c>
      <c r="N516" s="87">
        <v>1</v>
      </c>
      <c r="O516" s="87">
        <v>2</v>
      </c>
      <c r="P516" s="87">
        <v>3</v>
      </c>
      <c r="Q516" s="87">
        <v>4</v>
      </c>
      <c r="R516" s="87">
        <v>5</v>
      </c>
      <c r="S516" s="87">
        <v>6</v>
      </c>
      <c r="T516" s="87">
        <v>7</v>
      </c>
      <c r="U516" s="87">
        <v>8</v>
      </c>
      <c r="V516" s="87">
        <v>9</v>
      </c>
      <c r="W516" s="88">
        <f t="shared" si="370"/>
        <v>2</v>
      </c>
      <c r="X516" s="88">
        <f t="shared" si="371"/>
        <v>1</v>
      </c>
      <c r="Y516" s="88">
        <f t="shared" si="372"/>
        <v>1</v>
      </c>
      <c r="Z516" s="89">
        <f t="shared" si="351"/>
        <v>4</v>
      </c>
      <c r="AA516" s="17" t="str">
        <f>_xlfn.TEXTJOIN(", ",TRUE,ABS(MID(C516,{1,1,2},1)-MID(C516,{2,3,3},1)))</f>
        <v>2, 1, 1</v>
      </c>
      <c r="AB516" s="90">
        <v>0</v>
      </c>
      <c r="AC516" s="90">
        <v>1</v>
      </c>
      <c r="AD516" s="90">
        <v>2</v>
      </c>
      <c r="AE516" s="90">
        <v>3</v>
      </c>
      <c r="AF516" s="90">
        <v>4</v>
      </c>
      <c r="AG516" s="90">
        <v>5</v>
      </c>
      <c r="AH516" s="90">
        <v>6</v>
      </c>
      <c r="AI516" s="90">
        <v>7</v>
      </c>
      <c r="AJ516" s="90">
        <v>8</v>
      </c>
      <c r="AK516" s="90">
        <v>9</v>
      </c>
      <c r="AL516" s="91">
        <v>0</v>
      </c>
      <c r="AM516" s="91">
        <v>1</v>
      </c>
      <c r="AN516" s="91">
        <v>2</v>
      </c>
      <c r="AO516" s="91">
        <v>3</v>
      </c>
      <c r="AP516" s="91">
        <v>4</v>
      </c>
      <c r="AQ516" s="91">
        <v>5</v>
      </c>
      <c r="AR516" s="91">
        <v>6</v>
      </c>
      <c r="AS516" s="91">
        <v>7</v>
      </c>
      <c r="AT516" s="91">
        <v>8</v>
      </c>
      <c r="AU516" s="91">
        <v>9</v>
      </c>
      <c r="AV516" s="92">
        <v>0</v>
      </c>
      <c r="AW516" s="92">
        <v>1</v>
      </c>
      <c r="AX516" s="92">
        <v>2</v>
      </c>
      <c r="AY516" s="92">
        <v>3</v>
      </c>
      <c r="AZ516" s="92">
        <v>4</v>
      </c>
      <c r="BA516" s="92">
        <v>5</v>
      </c>
      <c r="BB516" s="92">
        <v>6</v>
      </c>
      <c r="BC516" s="92">
        <v>7</v>
      </c>
      <c r="BD516" s="92">
        <v>8</v>
      </c>
      <c r="BE516" s="92">
        <v>9</v>
      </c>
      <c r="BF516" s="93">
        <v>0</v>
      </c>
      <c r="BG516" s="93">
        <v>1</v>
      </c>
      <c r="BH516" s="93">
        <v>2</v>
      </c>
      <c r="BI516" s="93">
        <v>3</v>
      </c>
      <c r="BJ516" s="93">
        <v>4</v>
      </c>
      <c r="BK516" s="93">
        <v>5</v>
      </c>
      <c r="BL516" s="93">
        <v>6</v>
      </c>
      <c r="BM516" s="93">
        <v>7</v>
      </c>
      <c r="BN516" s="93">
        <v>8</v>
      </c>
      <c r="BO516" s="93">
        <v>9</v>
      </c>
      <c r="BP516" s="94" t="str">
        <f t="shared" si="352"/>
        <v>紧凑型</v>
      </c>
      <c r="BQ516" s="15">
        <f t="shared" si="349"/>
        <v>1</v>
      </c>
      <c r="BR516" s="15">
        <f t="shared" si="350"/>
        <v>2</v>
      </c>
      <c r="BS516" s="20">
        <f t="shared" si="354"/>
        <v>2</v>
      </c>
      <c r="BT516" s="21">
        <f t="shared" si="355"/>
        <v>2</v>
      </c>
      <c r="BU516" s="21" t="str">
        <f t="array" ref="BU516">_xlfn.TEXTJOIN("",TRUE,IF(ISERROR(FIND(ROW($1:$168)-1,BS516&amp;BT516)),ROW($1:$168)-1,""))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16" s="22" t="str">
        <f t="shared" si="356"/>
        <v>复隔中</v>
      </c>
      <c r="BW516" s="23">
        <f t="shared" si="367"/>
        <v>1</v>
      </c>
      <c r="BX516" s="23">
        <f t="shared" si="365"/>
        <v>1</v>
      </c>
      <c r="BY516" s="23" t="str">
        <f t="array" ref="BY516">_xlfn.TEXTJOIN("",TRUE,IF(ISERROR(FIND(ROW($1:$168)-1,BW516&amp;BX516)),ROW($1:$168)-1,""))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16" s="22" t="str">
        <f t="shared" si="357"/>
        <v>复隔中</v>
      </c>
      <c r="CA516" s="24">
        <f t="shared" si="358"/>
        <v>1</v>
      </c>
      <c r="CB516" s="24">
        <f t="shared" si="366"/>
        <v>1</v>
      </c>
      <c r="CC516" s="24" t="str">
        <f t="array" ref="CC516">_xlfn.TEXTJOIN("",TRUE,IF(ISERROR(FIND(ROW($1:$168)-1,CA516&amp;CB516)),ROW($1:$168)-1,""))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16" s="22" t="str">
        <f t="shared" si="359"/>
        <v>复隔中</v>
      </c>
      <c r="CE516" s="25" t="str">
        <f t="shared" si="353"/>
        <v>13</v>
      </c>
      <c r="CF516" s="26" t="str">
        <f t="array" ref="CF516">_xlfn.TEXTJOIN("",TRUE,IF(ISNUMBER(FIND(MID(CE515&amp;W515,ROW($1:$162),1),CE516&amp;W516)),MID(CE515&amp;W515,ROW($1:$162),1),""))</f>
        <v>132</v>
      </c>
      <c r="CG516" s="27" t="str">
        <f t="array" ref="CG516">_xlfn.TEXTJOIN("",TRUE,IF(ISERROR(FIND(ROW($1:$168)-1,CE516&amp;CF516)),ROW($1:$168)-1,""))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516" s="28" t="str">
        <f t="shared" si="360"/>
        <v>邻传孤</v>
      </c>
      <c r="CI516" s="29" t="str">
        <f t="shared" si="361"/>
        <v>02</v>
      </c>
      <c r="CJ516" s="29" t="str">
        <f t="array" ref="CJ516">_xlfn.TEXTJOIN("",TRUE,IF(ISNUMBER(FIND(MID(CI515&amp;X515,ROW($1:$162),1),CI516&amp;X516)),MID(CI515&amp;X515,ROW($1:$162),1),""))</f>
        <v>2</v>
      </c>
      <c r="CK516" s="29" t="str">
        <f t="array" ref="CK516">_xlfn.TEXTJOIN("",TRUE,IF(ISERROR(FIND(ROW($1:$168)-1,CI516&amp;CJ516)),ROW($1:$168)-1,""))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16" s="19" t="str">
        <f t="shared" si="362"/>
        <v>邻传孤</v>
      </c>
      <c r="CM516" s="24" t="str">
        <f t="shared" si="363"/>
        <v>02</v>
      </c>
      <c r="CN516" s="24" t="str">
        <f t="array" ref="CN516">_xlfn.TEXTJOIN("",TRUE,IF(ISNUMBER(FIND(MID(CM515&amp;Y515,ROW($1:$162),1),CM516&amp;Y516)),MID(CM515&amp;Y515,ROW($1:$162),1),""))</f>
        <v>021</v>
      </c>
      <c r="CO516" s="24" t="str">
        <f t="array" ref="CO516">_xlfn.TEXTJOIN("",TRUE,IF(ISERROR(FIND(ROW($1:$168)-1,CM516&amp;CN516)),ROW($1:$168)-1,""))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16" s="30" t="str">
        <f t="shared" si="364"/>
        <v>邻传孤</v>
      </c>
    </row>
    <row r="517" spans="1:94">
      <c r="A517" s="15">
        <v>517</v>
      </c>
      <c r="B517" s="80">
        <v>2025134</v>
      </c>
      <c r="C517" s="8" t="s">
        <v>187</v>
      </c>
      <c r="D517" s="81">
        <f t="shared" si="368"/>
        <v>19</v>
      </c>
      <c r="E517" s="82">
        <f t="shared" si="369"/>
        <v>9</v>
      </c>
      <c r="F517" s="83">
        <f t="shared" si="373"/>
        <v>4.75</v>
      </c>
      <c r="G517" s="84" t="str">
        <f t="shared" si="374"/>
        <v>紧凑</v>
      </c>
      <c r="H517" s="85" t="s">
        <v>10</v>
      </c>
      <c r="I517" s="85" t="s">
        <v>11</v>
      </c>
      <c r="J517" s="85" t="s">
        <v>12</v>
      </c>
      <c r="K517" s="85" t="s">
        <v>13</v>
      </c>
      <c r="L517" s="86">
        <f>MAX(MID(C517,{1,2,3},1)*1)-MIN(MID(C517,{1,2,3},1)*1)</f>
        <v>4</v>
      </c>
      <c r="M517" s="87">
        <v>0</v>
      </c>
      <c r="N517" s="87">
        <v>1</v>
      </c>
      <c r="O517" s="87">
        <v>2</v>
      </c>
      <c r="P517" s="87">
        <v>3</v>
      </c>
      <c r="Q517" s="87">
        <v>4</v>
      </c>
      <c r="R517" s="87">
        <v>5</v>
      </c>
      <c r="S517" s="87">
        <v>6</v>
      </c>
      <c r="T517" s="87">
        <v>7</v>
      </c>
      <c r="U517" s="87">
        <v>8</v>
      </c>
      <c r="V517" s="87">
        <v>9</v>
      </c>
      <c r="W517" s="88">
        <f t="shared" si="370"/>
        <v>3</v>
      </c>
      <c r="X517" s="88">
        <f t="shared" si="371"/>
        <v>1</v>
      </c>
      <c r="Y517" s="88">
        <f t="shared" si="372"/>
        <v>4</v>
      </c>
      <c r="Z517" s="89">
        <f t="shared" si="351"/>
        <v>8</v>
      </c>
      <c r="AA517" s="17" t="str">
        <f>_xlfn.TEXTJOIN(", ",TRUE,ABS(MID(C517,{1,1,2},1)-MID(C517,{2,3,3},1)))</f>
        <v>3, 1, 4</v>
      </c>
      <c r="AB517" s="90">
        <v>0</v>
      </c>
      <c r="AC517" s="90">
        <v>1</v>
      </c>
      <c r="AD517" s="90">
        <v>2</v>
      </c>
      <c r="AE517" s="90">
        <v>3</v>
      </c>
      <c r="AF517" s="90">
        <v>4</v>
      </c>
      <c r="AG517" s="90">
        <v>5</v>
      </c>
      <c r="AH517" s="90">
        <v>6</v>
      </c>
      <c r="AI517" s="90">
        <v>7</v>
      </c>
      <c r="AJ517" s="90">
        <v>8</v>
      </c>
      <c r="AK517" s="90">
        <v>9</v>
      </c>
      <c r="AL517" s="91">
        <v>0</v>
      </c>
      <c r="AM517" s="91">
        <v>1</v>
      </c>
      <c r="AN517" s="91">
        <v>2</v>
      </c>
      <c r="AO517" s="91">
        <v>3</v>
      </c>
      <c r="AP517" s="91">
        <v>4</v>
      </c>
      <c r="AQ517" s="91">
        <v>5</v>
      </c>
      <c r="AR517" s="91">
        <v>6</v>
      </c>
      <c r="AS517" s="91">
        <v>7</v>
      </c>
      <c r="AT517" s="91">
        <v>8</v>
      </c>
      <c r="AU517" s="91">
        <v>9</v>
      </c>
      <c r="AV517" s="92">
        <v>0</v>
      </c>
      <c r="AW517" s="92">
        <v>1</v>
      </c>
      <c r="AX517" s="92">
        <v>2</v>
      </c>
      <c r="AY517" s="92">
        <v>3</v>
      </c>
      <c r="AZ517" s="92">
        <v>4</v>
      </c>
      <c r="BA517" s="92">
        <v>5</v>
      </c>
      <c r="BB517" s="92">
        <v>6</v>
      </c>
      <c r="BC517" s="92">
        <v>7</v>
      </c>
      <c r="BD517" s="92">
        <v>8</v>
      </c>
      <c r="BE517" s="92">
        <v>9</v>
      </c>
      <c r="BF517" s="93">
        <v>0</v>
      </c>
      <c r="BG517" s="93">
        <v>1</v>
      </c>
      <c r="BH517" s="93">
        <v>2</v>
      </c>
      <c r="BI517" s="93">
        <v>3</v>
      </c>
      <c r="BJ517" s="93">
        <v>4</v>
      </c>
      <c r="BK517" s="93">
        <v>5</v>
      </c>
      <c r="BL517" s="93">
        <v>6</v>
      </c>
      <c r="BM517" s="93">
        <v>7</v>
      </c>
      <c r="BN517" s="93">
        <v>8</v>
      </c>
      <c r="BO517" s="93">
        <v>9</v>
      </c>
      <c r="BP517" s="94" t="str">
        <f t="shared" si="352"/>
        <v>紧凑型</v>
      </c>
      <c r="BQ517" s="15">
        <f t="shared" si="349"/>
        <v>1</v>
      </c>
      <c r="BR517" s="15">
        <f t="shared" si="350"/>
        <v>4</v>
      </c>
      <c r="BS517" s="20" t="str">
        <f t="shared" si="354"/>
        <v/>
      </c>
      <c r="BT517" s="21">
        <f t="shared" si="355"/>
        <v>3</v>
      </c>
      <c r="BU517" s="21" t="str">
        <f t="array" ref="BU517">_xlfn.TEXTJOIN("",TRUE,IF(ISERROR(FIND(ROW($1:$168)-1,BS517&amp;BT517)),ROW($1:$168)-1,""))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17" s="22" t="str">
        <f t="shared" si="356"/>
        <v>中隔中</v>
      </c>
      <c r="BW517" s="23">
        <f t="shared" si="367"/>
        <v>1</v>
      </c>
      <c r="BX517" s="23">
        <f t="shared" si="365"/>
        <v>1</v>
      </c>
      <c r="BY517" s="23" t="str">
        <f t="array" ref="BY517">_xlfn.TEXTJOIN("",TRUE,IF(ISERROR(FIND(ROW($1:$168)-1,BW517&amp;BX517)),ROW($1:$168)-1,""))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17" s="22" t="str">
        <f t="shared" si="357"/>
        <v>复隔中</v>
      </c>
      <c r="CA517" s="24" t="str">
        <f t="shared" si="358"/>
        <v/>
      </c>
      <c r="CB517" s="24" t="str">
        <f t="shared" si="366"/>
        <v/>
      </c>
      <c r="CC517" s="24" t="str">
        <f t="array" ref="CC517">_xlfn.TEXTJOIN("",TRUE,IF(ISERROR(FIND(ROW($1:$168)-1,CA517&amp;CB517)),ROW($1:$168)-1,""))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17" s="22" t="str">
        <f t="shared" si="359"/>
        <v>中中中</v>
      </c>
      <c r="CE517" s="25" t="str">
        <f t="shared" si="353"/>
        <v>24</v>
      </c>
      <c r="CF517" s="26" t="str">
        <f t="array" ref="CF517">_xlfn.TEXTJOIN("",TRUE,IF(ISNUMBER(FIND(MID(CE516&amp;W516,ROW($1:$162),1),CE517&amp;W517)),MID(CE516&amp;W516,ROW($1:$162),1),""))</f>
        <v>32</v>
      </c>
      <c r="CG517" s="27" t="str">
        <f t="array" ref="CG517">_xlfn.TEXTJOIN("",TRUE,IF(ISERROR(FIND(ROW($1:$168)-1,CE517&amp;CF517)),ROW($1:$168)-1,""))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17" s="28" t="str">
        <f t="shared" si="360"/>
        <v>邻传孤</v>
      </c>
      <c r="CI517" s="29" t="str">
        <f t="shared" si="361"/>
        <v>02</v>
      </c>
      <c r="CJ517" s="29" t="str">
        <f t="array" ref="CJ517">_xlfn.TEXTJOIN("",TRUE,IF(ISNUMBER(FIND(MID(CI516&amp;X516,ROW($1:$162),1),CI517&amp;X517)),MID(CI516&amp;X516,ROW($1:$162),1),""))</f>
        <v>021</v>
      </c>
      <c r="CK517" s="29" t="str">
        <f t="array" ref="CK517">_xlfn.TEXTJOIN("",TRUE,IF(ISERROR(FIND(ROW($1:$168)-1,CI517&amp;CJ517)),ROW($1:$168)-1,""))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17" s="19" t="str">
        <f t="shared" si="362"/>
        <v>邻传孤</v>
      </c>
      <c r="CM517" s="24" t="str">
        <f t="shared" si="363"/>
        <v>35</v>
      </c>
      <c r="CN517" s="24" t="str">
        <f t="array" ref="CN517">_xlfn.TEXTJOIN("",TRUE,IF(ISNUMBER(FIND(MID(CM516&amp;Y516,ROW($1:$162),1),CM517&amp;Y517)),MID(CM516&amp;Y516,ROW($1:$162),1),""))</f>
        <v/>
      </c>
      <c r="CO517" s="24" t="str">
        <f t="array" ref="CO517">_xlfn.TEXTJOIN("",TRUE,IF(ISERROR(FIND(ROW($1:$168)-1,CM517&amp;CN517)),ROW($1:$168)-1,""))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17" s="30" t="str">
        <f t="shared" si="364"/>
        <v>邻孤孤</v>
      </c>
    </row>
    <row r="518" spans="1:94">
      <c r="A518" s="15">
        <v>518</v>
      </c>
      <c r="B518" s="80">
        <v>2025135</v>
      </c>
      <c r="C518" s="8" t="s">
        <v>427</v>
      </c>
      <c r="D518" s="81">
        <f t="shared" si="368"/>
        <v>17</v>
      </c>
      <c r="E518" s="82">
        <f t="shared" si="369"/>
        <v>7</v>
      </c>
      <c r="F518" s="83">
        <f t="shared" si="373"/>
        <v>4.25</v>
      </c>
      <c r="G518" s="84" t="str">
        <f t="shared" si="374"/>
        <v>紧凑</v>
      </c>
      <c r="H518" s="85" t="s">
        <v>10</v>
      </c>
      <c r="I518" s="85" t="s">
        <v>11</v>
      </c>
      <c r="J518" s="85" t="s">
        <v>12</v>
      </c>
      <c r="K518" s="85" t="s">
        <v>13</v>
      </c>
      <c r="L518" s="86">
        <f>MAX(MID(C518,{1,2,3},1)*1)-MIN(MID(C518,{1,2,3},1)*1)</f>
        <v>4</v>
      </c>
      <c r="M518" s="87">
        <v>0</v>
      </c>
      <c r="N518" s="87">
        <v>1</v>
      </c>
      <c r="O518" s="87">
        <v>2</v>
      </c>
      <c r="P518" s="87">
        <v>3</v>
      </c>
      <c r="Q518" s="87">
        <v>4</v>
      </c>
      <c r="R518" s="87">
        <v>5</v>
      </c>
      <c r="S518" s="87">
        <v>6</v>
      </c>
      <c r="T518" s="87">
        <v>7</v>
      </c>
      <c r="U518" s="87">
        <v>8</v>
      </c>
      <c r="V518" s="87">
        <v>9</v>
      </c>
      <c r="W518" s="88">
        <f t="shared" si="370"/>
        <v>1</v>
      </c>
      <c r="X518" s="88">
        <f t="shared" si="371"/>
        <v>4</v>
      </c>
      <c r="Y518" s="88">
        <f t="shared" si="372"/>
        <v>3</v>
      </c>
      <c r="Z518" s="89">
        <f t="shared" si="351"/>
        <v>8</v>
      </c>
      <c r="AA518" s="17" t="str">
        <f>_xlfn.TEXTJOIN(", ",TRUE,ABS(MID(C518,{1,1,2},1)-MID(C518,{2,3,3},1)))</f>
        <v>1, 4, 3</v>
      </c>
      <c r="AB518" s="90">
        <v>0</v>
      </c>
      <c r="AC518" s="90">
        <v>1</v>
      </c>
      <c r="AD518" s="90">
        <v>2</v>
      </c>
      <c r="AE518" s="90">
        <v>3</v>
      </c>
      <c r="AF518" s="90">
        <v>4</v>
      </c>
      <c r="AG518" s="90">
        <v>5</v>
      </c>
      <c r="AH518" s="90">
        <v>6</v>
      </c>
      <c r="AI518" s="90">
        <v>7</v>
      </c>
      <c r="AJ518" s="90">
        <v>8</v>
      </c>
      <c r="AK518" s="90">
        <v>9</v>
      </c>
      <c r="AL518" s="91">
        <v>0</v>
      </c>
      <c r="AM518" s="91">
        <v>1</v>
      </c>
      <c r="AN518" s="91">
        <v>2</v>
      </c>
      <c r="AO518" s="91">
        <v>3</v>
      </c>
      <c r="AP518" s="91">
        <v>4</v>
      </c>
      <c r="AQ518" s="91">
        <v>5</v>
      </c>
      <c r="AR518" s="91">
        <v>6</v>
      </c>
      <c r="AS518" s="91">
        <v>7</v>
      </c>
      <c r="AT518" s="91">
        <v>8</v>
      </c>
      <c r="AU518" s="91">
        <v>9</v>
      </c>
      <c r="AV518" s="92">
        <v>0</v>
      </c>
      <c r="AW518" s="92">
        <v>1</v>
      </c>
      <c r="AX518" s="92">
        <v>2</v>
      </c>
      <c r="AY518" s="92">
        <v>3</v>
      </c>
      <c r="AZ518" s="92">
        <v>4</v>
      </c>
      <c r="BA518" s="92">
        <v>5</v>
      </c>
      <c r="BB518" s="92">
        <v>6</v>
      </c>
      <c r="BC518" s="92">
        <v>7</v>
      </c>
      <c r="BD518" s="92">
        <v>8</v>
      </c>
      <c r="BE518" s="92">
        <v>9</v>
      </c>
      <c r="BF518" s="93">
        <v>0</v>
      </c>
      <c r="BG518" s="93">
        <v>1</v>
      </c>
      <c r="BH518" s="93">
        <v>2</v>
      </c>
      <c r="BI518" s="93">
        <v>3</v>
      </c>
      <c r="BJ518" s="93">
        <v>4</v>
      </c>
      <c r="BK518" s="93">
        <v>5</v>
      </c>
      <c r="BL518" s="93">
        <v>6</v>
      </c>
      <c r="BM518" s="93">
        <v>7</v>
      </c>
      <c r="BN518" s="93">
        <v>8</v>
      </c>
      <c r="BO518" s="93">
        <v>9</v>
      </c>
      <c r="BP518" s="94" t="str">
        <f t="shared" si="352"/>
        <v>紧凑型</v>
      </c>
      <c r="BQ518" s="15">
        <f t="shared" si="349"/>
        <v>1</v>
      </c>
      <c r="BR518" s="15">
        <f t="shared" si="350"/>
        <v>4</v>
      </c>
      <c r="BS518" s="20">
        <f t="shared" si="354"/>
        <v>1</v>
      </c>
      <c r="BT518" s="21">
        <f t="shared" si="355"/>
        <v>1</v>
      </c>
      <c r="BU518" s="21" t="str">
        <f t="array" ref="BU518">_xlfn.TEXTJOIN("",TRUE,IF(ISERROR(FIND(ROW($1:$168)-1,BS518&amp;BT518)),ROW($1:$168)-1,""))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18" s="22" t="str">
        <f t="shared" si="356"/>
        <v>复隔中</v>
      </c>
      <c r="BW518" s="23">
        <f t="shared" si="367"/>
        <v>4</v>
      </c>
      <c r="BX518" s="23" t="str">
        <f t="shared" si="365"/>
        <v/>
      </c>
      <c r="BY518" s="23" t="str">
        <f t="array" ref="BY518">_xlfn.TEXTJOIN("",TRUE,IF(ISERROR(FIND(ROW($1:$168)-1,BW518&amp;BX518)),ROW($1:$168)-1,""))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18" s="22" t="str">
        <f t="shared" si="357"/>
        <v>复中中</v>
      </c>
      <c r="CA518" s="24">
        <f t="shared" si="358"/>
        <v>3</v>
      </c>
      <c r="CB518" s="24" t="str">
        <f t="shared" si="366"/>
        <v/>
      </c>
      <c r="CC518" s="24" t="str">
        <f t="array" ref="CC518">_xlfn.TEXTJOIN("",TRUE,IF(ISERROR(FIND(ROW($1:$168)-1,CA518&amp;CB518)),ROW($1:$168)-1,""))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18" s="22" t="str">
        <f t="shared" si="359"/>
        <v>复中中</v>
      </c>
      <c r="CE518" s="25" t="str">
        <f t="shared" si="353"/>
        <v>02</v>
      </c>
      <c r="CF518" s="26" t="str">
        <f t="array" ref="CF518">_xlfn.TEXTJOIN("",TRUE,IF(ISNUMBER(FIND(MID(CE517&amp;W517,ROW($1:$162),1),CE518&amp;W518)),MID(CE517&amp;W517,ROW($1:$162),1),""))</f>
        <v>2</v>
      </c>
      <c r="CG518" s="27" t="str">
        <f t="array" ref="CG518">_xlfn.TEXTJOIN("",TRUE,IF(ISERROR(FIND(ROW($1:$168)-1,CE518&amp;CF518)),ROW($1:$168)-1,""))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18" s="28" t="str">
        <f t="shared" si="360"/>
        <v>邻传孤</v>
      </c>
      <c r="CI518" s="29" t="str">
        <f t="shared" si="361"/>
        <v>35</v>
      </c>
      <c r="CJ518" s="29" t="str">
        <f t="array" ref="CJ518">_xlfn.TEXTJOIN("",TRUE,IF(ISNUMBER(FIND(MID(CI517&amp;X517,ROW($1:$162),1),CI518&amp;X518)),MID(CI517&amp;X517,ROW($1:$162),1),""))</f>
        <v/>
      </c>
      <c r="CK518" s="29" t="str">
        <f t="array" ref="CK518">_xlfn.TEXTJOIN("",TRUE,IF(ISERROR(FIND(ROW($1:$168)-1,CI518&amp;CJ518)),ROW($1:$168)-1,""))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18" s="19" t="str">
        <f t="shared" si="362"/>
        <v>邻孤孤</v>
      </c>
      <c r="CM518" s="24" t="str">
        <f t="shared" si="363"/>
        <v>24</v>
      </c>
      <c r="CN518" s="24" t="str">
        <f t="array" ref="CN518">_xlfn.TEXTJOIN("",TRUE,IF(ISNUMBER(FIND(MID(CM517&amp;Y517,ROW($1:$162),1),CM518&amp;Y518)),MID(CM517&amp;Y517,ROW($1:$162),1),""))</f>
        <v>34</v>
      </c>
      <c r="CO518" s="24" t="str">
        <f t="array" ref="CO518">_xlfn.TEXTJOIN("",TRUE,IF(ISERROR(FIND(ROW($1:$168)-1,CM518&amp;CN518)),ROW($1:$168)-1,""))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18" s="30" t="str">
        <f t="shared" si="364"/>
        <v>邻传孤</v>
      </c>
    </row>
    <row r="519" spans="1:94">
      <c r="A519" s="15">
        <v>519</v>
      </c>
      <c r="B519" s="80">
        <v>2025136</v>
      </c>
      <c r="C519" s="8" t="s">
        <v>428</v>
      </c>
      <c r="D519" s="81">
        <f t="shared" ref="D519:D540" si="375">LEFT(C519,1)+MID(C519,2,1)+RIGHT(C519,1)</f>
        <v>5</v>
      </c>
      <c r="E519" s="82">
        <f t="shared" ref="E519:E540" si="376">MOD(LEFT(C519,1)+MID(C519,2,1)+RIGHT(C519,1),10)</f>
        <v>5</v>
      </c>
      <c r="F519" s="83">
        <f t="shared" si="373"/>
        <v>2.5</v>
      </c>
      <c r="G519" s="84" t="str">
        <f t="shared" si="374"/>
        <v>标准</v>
      </c>
      <c r="H519" s="85" t="s">
        <v>10</v>
      </c>
      <c r="I519" s="85" t="s">
        <v>11</v>
      </c>
      <c r="J519" s="85" t="s">
        <v>12</v>
      </c>
      <c r="K519" s="85" t="s">
        <v>13</v>
      </c>
      <c r="L519" s="86">
        <f>MAX(MID(C519,{1,2,3},1)*1)-MIN(MID(C519,{1,2,3},1)*1)</f>
        <v>2</v>
      </c>
      <c r="M519" s="87">
        <v>0</v>
      </c>
      <c r="N519" s="87">
        <v>1</v>
      </c>
      <c r="O519" s="87">
        <v>2</v>
      </c>
      <c r="P519" s="87">
        <v>3</v>
      </c>
      <c r="Q519" s="87">
        <v>4</v>
      </c>
      <c r="R519" s="87">
        <v>5</v>
      </c>
      <c r="S519" s="87">
        <v>6</v>
      </c>
      <c r="T519" s="87">
        <v>7</v>
      </c>
      <c r="U519" s="87">
        <v>8</v>
      </c>
      <c r="V519" s="87">
        <v>9</v>
      </c>
      <c r="W519" s="88">
        <f t="shared" ref="W519:W540" si="377">ABS(LEFT(C519,1)-MID(C519,2,1))</f>
        <v>0</v>
      </c>
      <c r="X519" s="88">
        <f t="shared" ref="X519:X540" si="378">ABS(LEFT(C519,1)-RIGHT(C519,1))</f>
        <v>2</v>
      </c>
      <c r="Y519" s="88">
        <f t="shared" ref="Y519:Y540" si="379">ABS(MID(C519,2,1)-RIGHT(C519,1))</f>
        <v>2</v>
      </c>
      <c r="Z519" s="89">
        <f t="shared" si="351"/>
        <v>4</v>
      </c>
      <c r="AA519" s="17" t="str">
        <f>_xlfn.TEXTJOIN(", ",TRUE,ABS(MID(C519,{1,1,2},1)-MID(C519,{2,3,3},1)))</f>
        <v>0, 2, 2</v>
      </c>
      <c r="AB519" s="90">
        <v>0</v>
      </c>
      <c r="AC519" s="90">
        <v>1</v>
      </c>
      <c r="AD519" s="90">
        <v>2</v>
      </c>
      <c r="AE519" s="90">
        <v>3</v>
      </c>
      <c r="AF519" s="90">
        <v>4</v>
      </c>
      <c r="AG519" s="90">
        <v>5</v>
      </c>
      <c r="AH519" s="90">
        <v>6</v>
      </c>
      <c r="AI519" s="90">
        <v>7</v>
      </c>
      <c r="AJ519" s="90">
        <v>8</v>
      </c>
      <c r="AK519" s="90">
        <v>9</v>
      </c>
      <c r="AL519" s="91">
        <v>0</v>
      </c>
      <c r="AM519" s="91">
        <v>1</v>
      </c>
      <c r="AN519" s="91">
        <v>2</v>
      </c>
      <c r="AO519" s="91">
        <v>3</v>
      </c>
      <c r="AP519" s="91">
        <v>4</v>
      </c>
      <c r="AQ519" s="91">
        <v>5</v>
      </c>
      <c r="AR519" s="91">
        <v>6</v>
      </c>
      <c r="AS519" s="91">
        <v>7</v>
      </c>
      <c r="AT519" s="91">
        <v>8</v>
      </c>
      <c r="AU519" s="91">
        <v>9</v>
      </c>
      <c r="AV519" s="92">
        <v>0</v>
      </c>
      <c r="AW519" s="92">
        <v>1</v>
      </c>
      <c r="AX519" s="92">
        <v>2</v>
      </c>
      <c r="AY519" s="92">
        <v>3</v>
      </c>
      <c r="AZ519" s="92">
        <v>4</v>
      </c>
      <c r="BA519" s="92">
        <v>5</v>
      </c>
      <c r="BB519" s="92">
        <v>6</v>
      </c>
      <c r="BC519" s="92">
        <v>7</v>
      </c>
      <c r="BD519" s="92">
        <v>8</v>
      </c>
      <c r="BE519" s="92">
        <v>9</v>
      </c>
      <c r="BF519" s="93">
        <v>0</v>
      </c>
      <c r="BG519" s="93">
        <v>1</v>
      </c>
      <c r="BH519" s="93">
        <v>2</v>
      </c>
      <c r="BI519" s="93">
        <v>3</v>
      </c>
      <c r="BJ519" s="93">
        <v>4</v>
      </c>
      <c r="BK519" s="93">
        <v>5</v>
      </c>
      <c r="BL519" s="93">
        <v>6</v>
      </c>
      <c r="BM519" s="93">
        <v>7</v>
      </c>
      <c r="BN519" s="93">
        <v>8</v>
      </c>
      <c r="BO519" s="93">
        <v>9</v>
      </c>
      <c r="BP519" s="94" t="str">
        <f t="shared" si="352"/>
        <v>紧凑型</v>
      </c>
      <c r="BQ519" s="15">
        <f t="shared" si="349"/>
        <v>0</v>
      </c>
      <c r="BR519" s="15">
        <f t="shared" si="350"/>
        <v>2</v>
      </c>
      <c r="BS519" s="20" t="str">
        <f t="shared" si="354"/>
        <v/>
      </c>
      <c r="BT519" s="21" t="str">
        <f t="shared" si="355"/>
        <v/>
      </c>
      <c r="BU519" s="21" t="str">
        <f t="array" ref="BU519">_xlfn.TEXTJOIN("",TRUE,IF(ISERROR(FIND(ROW($1:$168)-1,BS519&amp;BT519)),ROW($1:$168)-1,""))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19" s="22" t="str">
        <f t="shared" si="356"/>
        <v>中中中</v>
      </c>
      <c r="BW519" s="23" t="str">
        <f t="shared" si="367"/>
        <v/>
      </c>
      <c r="BX519" s="23" t="str">
        <f t="shared" si="365"/>
        <v/>
      </c>
      <c r="BY519" s="23" t="str">
        <f t="array" ref="BY519">_xlfn.TEXTJOIN("",TRUE,IF(ISERROR(FIND(ROW($1:$168)-1,BW519&amp;BX519)),ROW($1:$168)-1,""))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19" s="22" t="str">
        <f t="shared" si="357"/>
        <v>中中中</v>
      </c>
      <c r="CA519" s="24" t="str">
        <f t="shared" si="358"/>
        <v/>
      </c>
      <c r="CB519" s="24" t="str">
        <f t="shared" si="366"/>
        <v/>
      </c>
      <c r="CC519" s="24" t="str">
        <f t="array" ref="CC519">_xlfn.TEXTJOIN("",TRUE,IF(ISERROR(FIND(ROW($1:$168)-1,CA519&amp;CB519)),ROW($1:$168)-1,""))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19" s="22" t="str">
        <f t="shared" si="359"/>
        <v>中中中</v>
      </c>
      <c r="CE519" s="25" t="str">
        <f t="shared" si="353"/>
        <v>91</v>
      </c>
      <c r="CF519" s="26" t="str">
        <f t="array" ref="CF519">_xlfn.TEXTJOIN("",TRUE,IF(ISNUMBER(FIND(MID(CE518&amp;W518,ROW($1:$162),1),CE519&amp;W519)),MID(CE518&amp;W518,ROW($1:$162),1),""))</f>
        <v>01</v>
      </c>
      <c r="CG519" s="27" t="str">
        <f t="array" ref="CG519">_xlfn.TEXTJOIN("",TRUE,IF(ISERROR(FIND(ROW($1:$168)-1,CE519&amp;CF519)),ROW($1:$168)-1,""))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H519" s="28" t="str">
        <f t="shared" si="360"/>
        <v>邻传孤</v>
      </c>
      <c r="CI519" s="29" t="str">
        <f t="shared" si="361"/>
        <v>13</v>
      </c>
      <c r="CJ519" s="29" t="str">
        <f t="array" ref="CJ519">_xlfn.TEXTJOIN("",TRUE,IF(ISNUMBER(FIND(MID(CI518&amp;X518,ROW($1:$162),1),CI519&amp;X519)),MID(CI518&amp;X518,ROW($1:$162),1),""))</f>
        <v>3</v>
      </c>
      <c r="CK519" s="29" t="str">
        <f t="array" ref="CK519">_xlfn.TEXTJOIN("",TRUE,IF(ISERROR(FIND(ROW($1:$168)-1,CI519&amp;CJ519)),ROW($1:$168)-1,""))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519" s="19" t="str">
        <f t="shared" si="362"/>
        <v>邻传孤</v>
      </c>
      <c r="CM519" s="24" t="str">
        <f t="shared" si="363"/>
        <v>13</v>
      </c>
      <c r="CN519" s="24" t="str">
        <f t="array" ref="CN519">_xlfn.TEXTJOIN("",TRUE,IF(ISNUMBER(FIND(MID(CM518&amp;Y518,ROW($1:$162),1),CM519&amp;Y519)),MID(CM518&amp;Y518,ROW($1:$162),1),""))</f>
        <v>23</v>
      </c>
      <c r="CO519" s="24" t="str">
        <f t="array" ref="CO519">_xlfn.TEXTJOIN("",TRUE,IF(ISERROR(FIND(ROW($1:$168)-1,CM519&amp;CN519)),ROW($1:$168)-1,""))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519" s="30" t="str">
        <f t="shared" si="364"/>
        <v>邻传孤</v>
      </c>
    </row>
    <row r="520" spans="1:94">
      <c r="A520" s="15">
        <v>520</v>
      </c>
      <c r="B520" s="80">
        <v>2025137</v>
      </c>
      <c r="C520" s="8" t="s">
        <v>429</v>
      </c>
      <c r="D520" s="81">
        <f t="shared" si="375"/>
        <v>19</v>
      </c>
      <c r="E520" s="82">
        <f t="shared" si="376"/>
        <v>9</v>
      </c>
      <c r="F520" s="83">
        <f t="shared" si="373"/>
        <v>3.8</v>
      </c>
      <c r="G520" s="84" t="str">
        <f t="shared" si="374"/>
        <v>紧凑</v>
      </c>
      <c r="H520" s="85" t="s">
        <v>10</v>
      </c>
      <c r="I520" s="85" t="s">
        <v>11</v>
      </c>
      <c r="J520" s="85" t="s">
        <v>12</v>
      </c>
      <c r="K520" s="85" t="s">
        <v>13</v>
      </c>
      <c r="L520" s="86">
        <f>MAX(MID(C520,{1,2,3},1)*1)-MIN(MID(C520,{1,2,3},1)*1)</f>
        <v>5</v>
      </c>
      <c r="M520" s="87">
        <v>0</v>
      </c>
      <c r="N520" s="87">
        <v>1</v>
      </c>
      <c r="O520" s="87">
        <v>2</v>
      </c>
      <c r="P520" s="87">
        <v>3</v>
      </c>
      <c r="Q520" s="87">
        <v>4</v>
      </c>
      <c r="R520" s="87">
        <v>5</v>
      </c>
      <c r="S520" s="87">
        <v>6</v>
      </c>
      <c r="T520" s="87">
        <v>7</v>
      </c>
      <c r="U520" s="87">
        <v>8</v>
      </c>
      <c r="V520" s="87">
        <v>9</v>
      </c>
      <c r="W520" s="88">
        <f t="shared" si="377"/>
        <v>5</v>
      </c>
      <c r="X520" s="88">
        <f t="shared" si="378"/>
        <v>0</v>
      </c>
      <c r="Y520" s="88">
        <f t="shared" si="379"/>
        <v>5</v>
      </c>
      <c r="Z520" s="89">
        <f t="shared" si="351"/>
        <v>10</v>
      </c>
      <c r="AA520" s="17" t="str">
        <f>_xlfn.TEXTJOIN(", ",TRUE,ABS(MID(C520,{1,1,2},1)-MID(C520,{2,3,3},1)))</f>
        <v>5, 0, 5</v>
      </c>
      <c r="AB520" s="90">
        <v>0</v>
      </c>
      <c r="AC520" s="90">
        <v>1</v>
      </c>
      <c r="AD520" s="90">
        <v>2</v>
      </c>
      <c r="AE520" s="90">
        <v>3</v>
      </c>
      <c r="AF520" s="90">
        <v>4</v>
      </c>
      <c r="AG520" s="90">
        <v>5</v>
      </c>
      <c r="AH520" s="90">
        <v>6</v>
      </c>
      <c r="AI520" s="90">
        <v>7</v>
      </c>
      <c r="AJ520" s="90">
        <v>8</v>
      </c>
      <c r="AK520" s="90">
        <v>9</v>
      </c>
      <c r="AL520" s="91">
        <v>0</v>
      </c>
      <c r="AM520" s="91">
        <v>1</v>
      </c>
      <c r="AN520" s="91">
        <v>2</v>
      </c>
      <c r="AO520" s="91">
        <v>3</v>
      </c>
      <c r="AP520" s="91">
        <v>4</v>
      </c>
      <c r="AQ520" s="91">
        <v>5</v>
      </c>
      <c r="AR520" s="91">
        <v>6</v>
      </c>
      <c r="AS520" s="91">
        <v>7</v>
      </c>
      <c r="AT520" s="91">
        <v>8</v>
      </c>
      <c r="AU520" s="91">
        <v>9</v>
      </c>
      <c r="AV520" s="92">
        <v>0</v>
      </c>
      <c r="AW520" s="92">
        <v>1</v>
      </c>
      <c r="AX520" s="92">
        <v>2</v>
      </c>
      <c r="AY520" s="92">
        <v>3</v>
      </c>
      <c r="AZ520" s="92">
        <v>4</v>
      </c>
      <c r="BA520" s="92">
        <v>5</v>
      </c>
      <c r="BB520" s="92">
        <v>6</v>
      </c>
      <c r="BC520" s="92">
        <v>7</v>
      </c>
      <c r="BD520" s="92">
        <v>8</v>
      </c>
      <c r="BE520" s="92">
        <v>9</v>
      </c>
      <c r="BF520" s="93">
        <v>0</v>
      </c>
      <c r="BG520" s="93">
        <v>1</v>
      </c>
      <c r="BH520" s="93">
        <v>2</v>
      </c>
      <c r="BI520" s="93">
        <v>3</v>
      </c>
      <c r="BJ520" s="93">
        <v>4</v>
      </c>
      <c r="BK520" s="93">
        <v>5</v>
      </c>
      <c r="BL520" s="93">
        <v>6</v>
      </c>
      <c r="BM520" s="93">
        <v>7</v>
      </c>
      <c r="BN520" s="93">
        <v>8</v>
      </c>
      <c r="BO520" s="93">
        <v>9</v>
      </c>
      <c r="BP520" s="94" t="str">
        <f t="shared" si="352"/>
        <v>对子</v>
      </c>
      <c r="BQ520" s="15">
        <f t="shared" si="349"/>
        <v>0</v>
      </c>
      <c r="BR520" s="15">
        <f t="shared" si="350"/>
        <v>5</v>
      </c>
      <c r="BS520" s="20" t="str">
        <f t="shared" si="354"/>
        <v/>
      </c>
      <c r="BT520" s="21" t="str">
        <f t="shared" si="355"/>
        <v/>
      </c>
      <c r="BU520" s="21" t="str">
        <f t="array" ref="BU520">_xlfn.TEXTJOIN("",TRUE,IF(ISERROR(FIND(ROW($1:$168)-1,BS520&amp;BT520)),ROW($1:$168)-1,""))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20" s="22" t="str">
        <f t="shared" si="356"/>
        <v>中中中</v>
      </c>
      <c r="BW520" s="23">
        <f t="shared" si="367"/>
        <v>0</v>
      </c>
      <c r="BX520" s="23" t="str">
        <f t="shared" si="365"/>
        <v/>
      </c>
      <c r="BY520" s="23" t="str">
        <f t="array" ref="BY520">_xlfn.TEXTJOIN("",TRUE,IF(ISERROR(FIND(ROW($1:$168)-1,BW520&amp;BX520)),ROW($1:$168)-1,""))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20" s="22" t="str">
        <f t="shared" si="357"/>
        <v>复中中</v>
      </c>
      <c r="CA520" s="24" t="str">
        <f t="shared" si="358"/>
        <v/>
      </c>
      <c r="CB520" s="24" t="str">
        <f t="shared" si="366"/>
        <v/>
      </c>
      <c r="CC520" s="24" t="str">
        <f t="array" ref="CC520">_xlfn.TEXTJOIN("",TRUE,IF(ISERROR(FIND(ROW($1:$168)-1,CA520&amp;CB520)),ROW($1:$168)-1,""))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20" s="22" t="str">
        <f t="shared" si="359"/>
        <v>中中中</v>
      </c>
      <c r="CE520" s="25" t="str">
        <f t="shared" si="353"/>
        <v>46</v>
      </c>
      <c r="CF520" s="26" t="str">
        <f t="array" ref="CF520">_xlfn.TEXTJOIN("",TRUE,IF(ISNUMBER(FIND(MID(CE519&amp;W519,ROW($1:$162),1),CE520&amp;W520)),MID(CE519&amp;W519,ROW($1:$162),1),""))</f>
        <v/>
      </c>
      <c r="CG520" s="27" t="str">
        <f t="array" ref="CG520">_xlfn.TEXTJOIN("",TRUE,IF(ISERROR(FIND(ROW($1:$168)-1,CE520&amp;CF520)),ROW($1:$168)-1,""))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20" s="28" t="str">
        <f t="shared" si="360"/>
        <v>邻孤孤</v>
      </c>
      <c r="CI520" s="29" t="str">
        <f t="shared" si="361"/>
        <v>91</v>
      </c>
      <c r="CJ520" s="29" t="str">
        <f t="array" ref="CJ520">_xlfn.TEXTJOIN("",TRUE,IF(ISNUMBER(FIND(MID(CI519&amp;X519,ROW($1:$162),1),CI520&amp;X520)),MID(CI519&amp;X519,ROW($1:$162),1),""))</f>
        <v>1</v>
      </c>
      <c r="CK520" s="29" t="str">
        <f t="array" ref="CK520">_xlfn.TEXTJOIN("",TRUE,IF(ISERROR(FIND(ROW($1:$168)-1,CI520&amp;CJ520)),ROW($1:$168)-1,""))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520" s="19" t="str">
        <f t="shared" si="362"/>
        <v>邻传孤</v>
      </c>
      <c r="CM520" s="24" t="str">
        <f t="shared" si="363"/>
        <v>46</v>
      </c>
      <c r="CN520" s="24" t="str">
        <f t="array" ref="CN520">_xlfn.TEXTJOIN("",TRUE,IF(ISNUMBER(FIND(MID(CM519&amp;Y519,ROW($1:$162),1),CM520&amp;Y520)),MID(CM519&amp;Y519,ROW($1:$162),1),""))</f>
        <v/>
      </c>
      <c r="CO520" s="24" t="str">
        <f t="array" ref="CO520">_xlfn.TEXTJOIN("",TRUE,IF(ISERROR(FIND(ROW($1:$168)-1,CM520&amp;CN520)),ROW($1:$168)-1,""))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20" s="30" t="str">
        <f t="shared" si="364"/>
        <v>邻孤孤</v>
      </c>
    </row>
    <row r="521" spans="1:94">
      <c r="A521" s="15">
        <v>521</v>
      </c>
      <c r="B521" s="80">
        <v>2025138</v>
      </c>
      <c r="C521" s="8" t="s">
        <v>312</v>
      </c>
      <c r="D521" s="81">
        <f t="shared" si="375"/>
        <v>17</v>
      </c>
      <c r="E521" s="82">
        <f t="shared" si="376"/>
        <v>7</v>
      </c>
      <c r="F521" s="83">
        <f t="shared" si="373"/>
        <v>2.42857142857143</v>
      </c>
      <c r="G521" s="84" t="str">
        <f t="shared" si="374"/>
        <v>标准</v>
      </c>
      <c r="H521" s="85" t="s">
        <v>10</v>
      </c>
      <c r="I521" s="85" t="s">
        <v>11</v>
      </c>
      <c r="J521" s="85" t="s">
        <v>12</v>
      </c>
      <c r="K521" s="85" t="s">
        <v>13</v>
      </c>
      <c r="L521" s="86">
        <f>MAX(MID(C521,{1,2,3},1)*1)-MIN(MID(C521,{1,2,3},1)*1)</f>
        <v>7</v>
      </c>
      <c r="M521" s="87">
        <v>0</v>
      </c>
      <c r="N521" s="87">
        <v>1</v>
      </c>
      <c r="O521" s="87">
        <v>2</v>
      </c>
      <c r="P521" s="87">
        <v>3</v>
      </c>
      <c r="Q521" s="87">
        <v>4</v>
      </c>
      <c r="R521" s="87">
        <v>5</v>
      </c>
      <c r="S521" s="87">
        <v>6</v>
      </c>
      <c r="T521" s="87">
        <v>7</v>
      </c>
      <c r="U521" s="87">
        <v>8</v>
      </c>
      <c r="V521" s="87">
        <v>9</v>
      </c>
      <c r="W521" s="88">
        <f t="shared" si="377"/>
        <v>7</v>
      </c>
      <c r="X521" s="88">
        <f t="shared" si="378"/>
        <v>4</v>
      </c>
      <c r="Y521" s="88">
        <f t="shared" si="379"/>
        <v>3</v>
      </c>
      <c r="Z521" s="89">
        <f t="shared" si="351"/>
        <v>14</v>
      </c>
      <c r="AA521" s="17" t="str">
        <f>_xlfn.TEXTJOIN(", ",TRUE,ABS(MID(C521,{1,1,2},1)-MID(C521,{2,3,3},1)))</f>
        <v>7, 4, 3</v>
      </c>
      <c r="AB521" s="90">
        <v>0</v>
      </c>
      <c r="AC521" s="90">
        <v>1</v>
      </c>
      <c r="AD521" s="90">
        <v>2</v>
      </c>
      <c r="AE521" s="90">
        <v>3</v>
      </c>
      <c r="AF521" s="90">
        <v>4</v>
      </c>
      <c r="AG521" s="90">
        <v>5</v>
      </c>
      <c r="AH521" s="90">
        <v>6</v>
      </c>
      <c r="AI521" s="90">
        <v>7</v>
      </c>
      <c r="AJ521" s="90">
        <v>8</v>
      </c>
      <c r="AK521" s="90">
        <v>9</v>
      </c>
      <c r="AL521" s="91">
        <v>0</v>
      </c>
      <c r="AM521" s="91">
        <v>1</v>
      </c>
      <c r="AN521" s="91">
        <v>2</v>
      </c>
      <c r="AO521" s="91">
        <v>3</v>
      </c>
      <c r="AP521" s="91">
        <v>4</v>
      </c>
      <c r="AQ521" s="91">
        <v>5</v>
      </c>
      <c r="AR521" s="91">
        <v>6</v>
      </c>
      <c r="AS521" s="91">
        <v>7</v>
      </c>
      <c r="AT521" s="91">
        <v>8</v>
      </c>
      <c r="AU521" s="91">
        <v>9</v>
      </c>
      <c r="AV521" s="92">
        <v>0</v>
      </c>
      <c r="AW521" s="92">
        <v>1</v>
      </c>
      <c r="AX521" s="92">
        <v>2</v>
      </c>
      <c r="AY521" s="92">
        <v>3</v>
      </c>
      <c r="AZ521" s="92">
        <v>4</v>
      </c>
      <c r="BA521" s="92">
        <v>5</v>
      </c>
      <c r="BB521" s="92">
        <v>6</v>
      </c>
      <c r="BC521" s="92">
        <v>7</v>
      </c>
      <c r="BD521" s="92">
        <v>8</v>
      </c>
      <c r="BE521" s="92">
        <v>9</v>
      </c>
      <c r="BF521" s="93">
        <v>0</v>
      </c>
      <c r="BG521" s="93">
        <v>1</v>
      </c>
      <c r="BH521" s="93">
        <v>2</v>
      </c>
      <c r="BI521" s="93">
        <v>3</v>
      </c>
      <c r="BJ521" s="93">
        <v>4</v>
      </c>
      <c r="BK521" s="93">
        <v>5</v>
      </c>
      <c r="BL521" s="93">
        <v>6</v>
      </c>
      <c r="BM521" s="93">
        <v>7</v>
      </c>
      <c r="BN521" s="93">
        <v>8</v>
      </c>
      <c r="BO521" s="93">
        <v>9</v>
      </c>
      <c r="BP521" s="94" t="str">
        <f t="shared" si="352"/>
        <v>松散型</v>
      </c>
      <c r="BQ521" s="15">
        <f t="shared" si="349"/>
        <v>3</v>
      </c>
      <c r="BR521" s="15">
        <f t="shared" si="350"/>
        <v>7</v>
      </c>
      <c r="BS521" s="20" t="str">
        <f t="shared" si="354"/>
        <v/>
      </c>
      <c r="BT521" s="21" t="str">
        <f t="shared" si="355"/>
        <v/>
      </c>
      <c r="BU521" s="21" t="str">
        <f t="array" ref="BU521">_xlfn.TEXTJOIN("",TRUE,IF(ISERROR(FIND(ROW($1:$168)-1,BS521&amp;BT521)),ROW($1:$168)-1,""))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21" s="22" t="str">
        <f t="shared" si="356"/>
        <v>中中中</v>
      </c>
      <c r="BW521" s="23" t="str">
        <f t="shared" si="367"/>
        <v/>
      </c>
      <c r="BX521" s="23" t="str">
        <f t="shared" si="365"/>
        <v/>
      </c>
      <c r="BY521" s="23" t="str">
        <f t="array" ref="BY521">_xlfn.TEXTJOIN("",TRUE,IF(ISERROR(FIND(ROW($1:$168)-1,BW521&amp;BX521)),ROW($1:$168)-1,""))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21" s="22" t="str">
        <f t="shared" si="357"/>
        <v>中中中</v>
      </c>
      <c r="CA521" s="24" t="str">
        <f t="shared" si="358"/>
        <v/>
      </c>
      <c r="CB521" s="24" t="str">
        <f t="shared" si="366"/>
        <v/>
      </c>
      <c r="CC521" s="24" t="str">
        <f t="array" ref="CC521">_xlfn.TEXTJOIN("",TRUE,IF(ISERROR(FIND(ROW($1:$168)-1,CA521&amp;CB521)),ROW($1:$168)-1,""))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21" s="22" t="str">
        <f t="shared" si="359"/>
        <v>中中中</v>
      </c>
      <c r="CE521" s="25" t="str">
        <f t="shared" si="353"/>
        <v>68</v>
      </c>
      <c r="CF521" s="26" t="str">
        <f t="array" ref="CF521">_xlfn.TEXTJOIN("",TRUE,IF(ISNUMBER(FIND(MID(CE520&amp;W520,ROW($1:$162),1),CE521&amp;W521)),MID(CE520&amp;W520,ROW($1:$162),1),""))</f>
        <v>6</v>
      </c>
      <c r="CG521" s="27" t="str">
        <f t="array" ref="CG521">_xlfn.TEXTJOIN("",TRUE,IF(ISERROR(FIND(ROW($1:$168)-1,CE521&amp;CF521)),ROW($1:$168)-1,""))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H521" s="28" t="str">
        <f t="shared" si="360"/>
        <v>邻传孤</v>
      </c>
      <c r="CI521" s="29" t="str">
        <f t="shared" si="361"/>
        <v>35</v>
      </c>
      <c r="CJ521" s="29" t="str">
        <f t="array" ref="CJ521">_xlfn.TEXTJOIN("",TRUE,IF(ISNUMBER(FIND(MID(CI520&amp;X520,ROW($1:$162),1),CI521&amp;X521)),MID(CI520&amp;X520,ROW($1:$162),1),""))</f>
        <v/>
      </c>
      <c r="CK521" s="29" t="str">
        <f t="array" ref="CK521">_xlfn.TEXTJOIN("",TRUE,IF(ISERROR(FIND(ROW($1:$168)-1,CI521&amp;CJ521)),ROW($1:$168)-1,""))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21" s="19" t="str">
        <f t="shared" si="362"/>
        <v>邻孤孤</v>
      </c>
      <c r="CM521" s="24" t="str">
        <f t="shared" si="363"/>
        <v>24</v>
      </c>
      <c r="CN521" s="24" t="str">
        <f t="array" ref="CN521">_xlfn.TEXTJOIN("",TRUE,IF(ISNUMBER(FIND(MID(CM520&amp;Y520,ROW($1:$162),1),CM521&amp;Y521)),MID(CM520&amp;Y520,ROW($1:$162),1),""))</f>
        <v>4</v>
      </c>
      <c r="CO521" s="24" t="str">
        <f t="array" ref="CO521">_xlfn.TEXTJOIN("",TRUE,IF(ISERROR(FIND(ROW($1:$168)-1,CM521&amp;CN521)),ROW($1:$168)-1,""))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21" s="30" t="str">
        <f t="shared" si="364"/>
        <v>邻传孤</v>
      </c>
    </row>
    <row r="522" spans="1:94">
      <c r="A522" s="15">
        <v>522</v>
      </c>
      <c r="B522" s="80">
        <v>2025139</v>
      </c>
      <c r="C522" s="8" t="s">
        <v>430</v>
      </c>
      <c r="D522" s="81">
        <f t="shared" si="375"/>
        <v>22</v>
      </c>
      <c r="E522" s="82">
        <f t="shared" si="376"/>
        <v>2</v>
      </c>
      <c r="F522" s="83">
        <f t="shared" si="373"/>
        <v>5.5</v>
      </c>
      <c r="G522" s="84" t="str">
        <f t="shared" si="374"/>
        <v>紧凑</v>
      </c>
      <c r="H522" s="85" t="s">
        <v>10</v>
      </c>
      <c r="I522" s="85" t="s">
        <v>11</v>
      </c>
      <c r="J522" s="85" t="s">
        <v>12</v>
      </c>
      <c r="K522" s="85" t="s">
        <v>13</v>
      </c>
      <c r="L522" s="86">
        <f>MAX(MID(C522,{1,2,3},1)*1)-MIN(MID(C522,{1,2,3},1)*1)</f>
        <v>4</v>
      </c>
      <c r="M522" s="87">
        <v>0</v>
      </c>
      <c r="N522" s="87">
        <v>1</v>
      </c>
      <c r="O522" s="87">
        <v>2</v>
      </c>
      <c r="P522" s="87">
        <v>3</v>
      </c>
      <c r="Q522" s="87">
        <v>4</v>
      </c>
      <c r="R522" s="87">
        <v>5</v>
      </c>
      <c r="S522" s="87">
        <v>6</v>
      </c>
      <c r="T522" s="87">
        <v>7</v>
      </c>
      <c r="U522" s="87">
        <v>8</v>
      </c>
      <c r="V522" s="87">
        <v>9</v>
      </c>
      <c r="W522" s="88">
        <f t="shared" si="377"/>
        <v>4</v>
      </c>
      <c r="X522" s="88">
        <f t="shared" si="378"/>
        <v>3</v>
      </c>
      <c r="Y522" s="88">
        <f t="shared" si="379"/>
        <v>1</v>
      </c>
      <c r="Z522" s="89">
        <f t="shared" si="351"/>
        <v>8</v>
      </c>
      <c r="AA522" s="17" t="str">
        <f>_xlfn.TEXTJOIN(", ",TRUE,ABS(MID(C522,{1,1,2},1)-MID(C522,{2,3,3},1)))</f>
        <v>4, 3, 1</v>
      </c>
      <c r="AB522" s="90">
        <v>0</v>
      </c>
      <c r="AC522" s="90">
        <v>1</v>
      </c>
      <c r="AD522" s="90">
        <v>2</v>
      </c>
      <c r="AE522" s="90">
        <v>3</v>
      </c>
      <c r="AF522" s="90">
        <v>4</v>
      </c>
      <c r="AG522" s="90">
        <v>5</v>
      </c>
      <c r="AH522" s="90">
        <v>6</v>
      </c>
      <c r="AI522" s="90">
        <v>7</v>
      </c>
      <c r="AJ522" s="90">
        <v>8</v>
      </c>
      <c r="AK522" s="90">
        <v>9</v>
      </c>
      <c r="AL522" s="91">
        <v>0</v>
      </c>
      <c r="AM522" s="91">
        <v>1</v>
      </c>
      <c r="AN522" s="91">
        <v>2</v>
      </c>
      <c r="AO522" s="91">
        <v>3</v>
      </c>
      <c r="AP522" s="91">
        <v>4</v>
      </c>
      <c r="AQ522" s="91">
        <v>5</v>
      </c>
      <c r="AR522" s="91">
        <v>6</v>
      </c>
      <c r="AS522" s="91">
        <v>7</v>
      </c>
      <c r="AT522" s="91">
        <v>8</v>
      </c>
      <c r="AU522" s="91">
        <v>9</v>
      </c>
      <c r="AV522" s="92">
        <v>0</v>
      </c>
      <c r="AW522" s="92">
        <v>1</v>
      </c>
      <c r="AX522" s="92">
        <v>2</v>
      </c>
      <c r="AY522" s="92">
        <v>3</v>
      </c>
      <c r="AZ522" s="92">
        <v>4</v>
      </c>
      <c r="BA522" s="92">
        <v>5</v>
      </c>
      <c r="BB522" s="92">
        <v>6</v>
      </c>
      <c r="BC522" s="92">
        <v>7</v>
      </c>
      <c r="BD522" s="92">
        <v>8</v>
      </c>
      <c r="BE522" s="92">
        <v>9</v>
      </c>
      <c r="BF522" s="93">
        <v>0</v>
      </c>
      <c r="BG522" s="93">
        <v>1</v>
      </c>
      <c r="BH522" s="93">
        <v>2</v>
      </c>
      <c r="BI522" s="93">
        <v>3</v>
      </c>
      <c r="BJ522" s="93">
        <v>4</v>
      </c>
      <c r="BK522" s="93">
        <v>5</v>
      </c>
      <c r="BL522" s="93">
        <v>6</v>
      </c>
      <c r="BM522" s="93">
        <v>7</v>
      </c>
      <c r="BN522" s="93">
        <v>8</v>
      </c>
      <c r="BO522" s="93">
        <v>9</v>
      </c>
      <c r="BP522" s="94" t="str">
        <f t="shared" si="352"/>
        <v>紧凑型</v>
      </c>
      <c r="BQ522" s="15">
        <f t="shared" si="349"/>
        <v>1</v>
      </c>
      <c r="BR522" s="15">
        <f t="shared" si="350"/>
        <v>4</v>
      </c>
      <c r="BS522" s="20">
        <f t="shared" si="354"/>
        <v>4</v>
      </c>
      <c r="BT522" s="21" t="str">
        <f t="shared" si="355"/>
        <v/>
      </c>
      <c r="BU522" s="21" t="str">
        <f t="array" ref="BU522">_xlfn.TEXTJOIN("",TRUE,IF(ISERROR(FIND(ROW($1:$168)-1,BS522&amp;BT522)),ROW($1:$168)-1,""))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22" s="22" t="str">
        <f t="shared" si="356"/>
        <v>复中中</v>
      </c>
      <c r="BW522" s="23">
        <f t="shared" si="367"/>
        <v>3</v>
      </c>
      <c r="BX522" s="23" t="str">
        <f t="shared" si="365"/>
        <v/>
      </c>
      <c r="BY522" s="23" t="str">
        <f t="array" ref="BY522">_xlfn.TEXTJOIN("",TRUE,IF(ISERROR(FIND(ROW($1:$168)-1,BW522&amp;BX522)),ROW($1:$168)-1,""))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22" s="22" t="str">
        <f t="shared" si="357"/>
        <v>复中中</v>
      </c>
      <c r="CA522" s="24" t="str">
        <f t="shared" si="358"/>
        <v/>
      </c>
      <c r="CB522" s="24" t="str">
        <f t="shared" si="366"/>
        <v/>
      </c>
      <c r="CC522" s="24" t="str">
        <f t="array" ref="CC522">_xlfn.TEXTJOIN("",TRUE,IF(ISERROR(FIND(ROW($1:$168)-1,CA522&amp;CB522)),ROW($1:$168)-1,""))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22" s="22" t="str">
        <f t="shared" si="359"/>
        <v>中中中</v>
      </c>
      <c r="CE522" s="25" t="str">
        <f t="shared" si="353"/>
        <v>35</v>
      </c>
      <c r="CF522" s="26" t="str">
        <f t="array" ref="CF522">_xlfn.TEXTJOIN("",TRUE,IF(ISNUMBER(FIND(MID(CE521&amp;W521,ROW($1:$162),1),CE522&amp;W522)),MID(CE521&amp;W521,ROW($1:$162),1),""))</f>
        <v/>
      </c>
      <c r="CG522" s="27" t="str">
        <f t="array" ref="CG522">_xlfn.TEXTJOIN("",TRUE,IF(ISERROR(FIND(ROW($1:$168)-1,CE522&amp;CF522)),ROW($1:$168)-1,""))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22" s="28" t="str">
        <f t="shared" si="360"/>
        <v>邻孤孤</v>
      </c>
      <c r="CI522" s="29" t="str">
        <f t="shared" si="361"/>
        <v>24</v>
      </c>
      <c r="CJ522" s="29" t="str">
        <f t="array" ref="CJ522">_xlfn.TEXTJOIN("",TRUE,IF(ISNUMBER(FIND(MID(CI521&amp;X521,ROW($1:$162),1),CI522&amp;X522)),MID(CI521&amp;X521,ROW($1:$162),1),""))</f>
        <v>34</v>
      </c>
      <c r="CK522" s="29" t="str">
        <f t="array" ref="CK522">_xlfn.TEXTJOIN("",TRUE,IF(ISERROR(FIND(ROW($1:$168)-1,CI522&amp;CJ522)),ROW($1:$168)-1,""))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22" s="19" t="str">
        <f t="shared" si="362"/>
        <v>邻传孤</v>
      </c>
      <c r="CM522" s="24" t="str">
        <f t="shared" si="363"/>
        <v>02</v>
      </c>
      <c r="CN522" s="24" t="str">
        <f t="array" ref="CN522">_xlfn.TEXTJOIN("",TRUE,IF(ISNUMBER(FIND(MID(CM521&amp;Y521,ROW($1:$162),1),CM522&amp;Y522)),MID(CM521&amp;Y521,ROW($1:$162),1),""))</f>
        <v>2</v>
      </c>
      <c r="CO522" s="24" t="str">
        <f t="array" ref="CO522">_xlfn.TEXTJOIN("",TRUE,IF(ISERROR(FIND(ROW($1:$168)-1,CM522&amp;CN522)),ROW($1:$168)-1,""))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22" s="30" t="str">
        <f t="shared" si="364"/>
        <v>邻传孤</v>
      </c>
    </row>
    <row r="523" spans="1:94">
      <c r="A523" s="15">
        <v>523</v>
      </c>
      <c r="B523" s="80">
        <v>2025140</v>
      </c>
      <c r="C523" s="8" t="s">
        <v>82</v>
      </c>
      <c r="D523" s="81">
        <f t="shared" si="375"/>
        <v>14</v>
      </c>
      <c r="E523" s="82">
        <f t="shared" si="376"/>
        <v>4</v>
      </c>
      <c r="F523" s="83">
        <f t="shared" si="373"/>
        <v>1.75</v>
      </c>
      <c r="G523" s="84" t="str">
        <f t="shared" si="374"/>
        <v>松散</v>
      </c>
      <c r="H523" s="85" t="s">
        <v>10</v>
      </c>
      <c r="I523" s="85" t="s">
        <v>11</v>
      </c>
      <c r="J523" s="85" t="s">
        <v>12</v>
      </c>
      <c r="K523" s="85" t="s">
        <v>13</v>
      </c>
      <c r="L523" s="86">
        <f>MAX(MID(C523,{1,2,3},1)*1)-MIN(MID(C523,{1,2,3},1)*1)</f>
        <v>8</v>
      </c>
      <c r="M523" s="87">
        <v>0</v>
      </c>
      <c r="N523" s="87">
        <v>1</v>
      </c>
      <c r="O523" s="87">
        <v>2</v>
      </c>
      <c r="P523" s="87">
        <v>3</v>
      </c>
      <c r="Q523" s="87">
        <v>4</v>
      </c>
      <c r="R523" s="87">
        <v>5</v>
      </c>
      <c r="S523" s="87">
        <v>6</v>
      </c>
      <c r="T523" s="87">
        <v>7</v>
      </c>
      <c r="U523" s="87">
        <v>8</v>
      </c>
      <c r="V523" s="87">
        <v>9</v>
      </c>
      <c r="W523" s="88">
        <f t="shared" si="377"/>
        <v>3</v>
      </c>
      <c r="X523" s="88">
        <f t="shared" si="378"/>
        <v>8</v>
      </c>
      <c r="Y523" s="88">
        <f t="shared" si="379"/>
        <v>5</v>
      </c>
      <c r="Z523" s="89">
        <f t="shared" si="351"/>
        <v>16</v>
      </c>
      <c r="AA523" s="17" t="str">
        <f>_xlfn.TEXTJOIN(", ",TRUE,ABS(MID(C523,{1,1,2},1)-MID(C523,{2,3,3},1)))</f>
        <v>3, 8, 5</v>
      </c>
      <c r="AB523" s="90">
        <v>0</v>
      </c>
      <c r="AC523" s="90">
        <v>1</v>
      </c>
      <c r="AD523" s="90">
        <v>2</v>
      </c>
      <c r="AE523" s="90">
        <v>3</v>
      </c>
      <c r="AF523" s="90">
        <v>4</v>
      </c>
      <c r="AG523" s="90">
        <v>5</v>
      </c>
      <c r="AH523" s="90">
        <v>6</v>
      </c>
      <c r="AI523" s="90">
        <v>7</v>
      </c>
      <c r="AJ523" s="90">
        <v>8</v>
      </c>
      <c r="AK523" s="90">
        <v>9</v>
      </c>
      <c r="AL523" s="91">
        <v>0</v>
      </c>
      <c r="AM523" s="91">
        <v>1</v>
      </c>
      <c r="AN523" s="91">
        <v>2</v>
      </c>
      <c r="AO523" s="91">
        <v>3</v>
      </c>
      <c r="AP523" s="91">
        <v>4</v>
      </c>
      <c r="AQ523" s="91">
        <v>5</v>
      </c>
      <c r="AR523" s="91">
        <v>6</v>
      </c>
      <c r="AS523" s="91">
        <v>7</v>
      </c>
      <c r="AT523" s="91">
        <v>8</v>
      </c>
      <c r="AU523" s="91">
        <v>9</v>
      </c>
      <c r="AV523" s="92">
        <v>0</v>
      </c>
      <c r="AW523" s="92">
        <v>1</v>
      </c>
      <c r="AX523" s="92">
        <v>2</v>
      </c>
      <c r="AY523" s="92">
        <v>3</v>
      </c>
      <c r="AZ523" s="92">
        <v>4</v>
      </c>
      <c r="BA523" s="92">
        <v>5</v>
      </c>
      <c r="BB523" s="92">
        <v>6</v>
      </c>
      <c r="BC523" s="92">
        <v>7</v>
      </c>
      <c r="BD523" s="92">
        <v>8</v>
      </c>
      <c r="BE523" s="92">
        <v>9</v>
      </c>
      <c r="BF523" s="93">
        <v>0</v>
      </c>
      <c r="BG523" s="93">
        <v>1</v>
      </c>
      <c r="BH523" s="93">
        <v>2</v>
      </c>
      <c r="BI523" s="93">
        <v>3</v>
      </c>
      <c r="BJ523" s="93">
        <v>4</v>
      </c>
      <c r="BK523" s="93">
        <v>5</v>
      </c>
      <c r="BL523" s="93">
        <v>6</v>
      </c>
      <c r="BM523" s="93">
        <v>7</v>
      </c>
      <c r="BN523" s="93">
        <v>8</v>
      </c>
      <c r="BO523" s="93">
        <v>9</v>
      </c>
      <c r="BP523" s="94" t="str">
        <f t="shared" si="352"/>
        <v>松散型</v>
      </c>
      <c r="BQ523" s="15">
        <f t="shared" si="349"/>
        <v>3</v>
      </c>
      <c r="BR523" s="15">
        <f t="shared" si="350"/>
        <v>8</v>
      </c>
      <c r="BS523" s="20">
        <f t="shared" si="354"/>
        <v>3</v>
      </c>
      <c r="BT523" s="21">
        <f t="shared" si="355"/>
        <v>3</v>
      </c>
      <c r="BU523" s="21" t="str">
        <f t="array" ref="BU523">_xlfn.TEXTJOIN("",TRUE,IF(ISERROR(FIND(ROW($1:$168)-1,BS523&amp;BT523)),ROW($1:$168)-1,""))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23" s="22" t="str">
        <f t="shared" si="356"/>
        <v>复隔中</v>
      </c>
      <c r="BW523" s="23" t="str">
        <f t="shared" si="367"/>
        <v/>
      </c>
      <c r="BX523" s="23" t="str">
        <f t="shared" si="365"/>
        <v/>
      </c>
      <c r="BY523" s="23" t="str">
        <f t="array" ref="BY523">_xlfn.TEXTJOIN("",TRUE,IF(ISERROR(FIND(ROW($1:$168)-1,BW523&amp;BX523)),ROW($1:$168)-1,""))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23" s="22" t="str">
        <f t="shared" si="357"/>
        <v>中中中</v>
      </c>
      <c r="CA523" s="24" t="str">
        <f t="shared" si="358"/>
        <v/>
      </c>
      <c r="CB523" s="24" t="str">
        <f t="shared" si="366"/>
        <v/>
      </c>
      <c r="CC523" s="24" t="str">
        <f t="array" ref="CC523">_xlfn.TEXTJOIN("",TRUE,IF(ISERROR(FIND(ROW($1:$168)-1,CA523&amp;CB523)),ROW($1:$168)-1,""))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23" s="22" t="str">
        <f t="shared" si="359"/>
        <v>中中中</v>
      </c>
      <c r="CE523" s="25" t="str">
        <f t="shared" si="353"/>
        <v>24</v>
      </c>
      <c r="CF523" s="26" t="str">
        <f t="array" ref="CF523">_xlfn.TEXTJOIN("",TRUE,IF(ISNUMBER(FIND(MID(CE522&amp;W522,ROW($1:$162),1),CE523&amp;W523)),MID(CE522&amp;W522,ROW($1:$162),1),""))</f>
        <v>34</v>
      </c>
      <c r="CG523" s="27" t="str">
        <f t="array" ref="CG523">_xlfn.TEXTJOIN("",TRUE,IF(ISERROR(FIND(ROW($1:$168)-1,CE523&amp;CF523)),ROW($1:$168)-1,""))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23" s="28" t="str">
        <f t="shared" si="360"/>
        <v>邻传孤</v>
      </c>
      <c r="CI523" s="29" t="str">
        <f t="shared" si="361"/>
        <v>79</v>
      </c>
      <c r="CJ523" s="29" t="str">
        <f t="array" ref="CJ523">_xlfn.TEXTJOIN("",TRUE,IF(ISNUMBER(FIND(MID(CI522&amp;X522,ROW($1:$162),1),CI523&amp;X523)),MID(CI522&amp;X522,ROW($1:$162),1),""))</f>
        <v/>
      </c>
      <c r="CK523" s="29" t="str">
        <f t="array" ref="CK523">_xlfn.TEXTJOIN("",TRUE,IF(ISERROR(FIND(ROW($1:$168)-1,CI523&amp;CJ523)),ROW($1:$168)-1,""))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523" s="19" t="str">
        <f t="shared" si="362"/>
        <v>邻孤孤</v>
      </c>
      <c r="CM523" s="24" t="str">
        <f t="shared" si="363"/>
        <v>46</v>
      </c>
      <c r="CN523" s="24" t="str">
        <f t="array" ref="CN523">_xlfn.TEXTJOIN("",TRUE,IF(ISNUMBER(FIND(MID(CM522&amp;Y522,ROW($1:$162),1),CM523&amp;Y523)),MID(CM522&amp;Y522,ROW($1:$162),1),""))</f>
        <v/>
      </c>
      <c r="CO523" s="24" t="str">
        <f t="array" ref="CO523">_xlfn.TEXTJOIN("",TRUE,IF(ISERROR(FIND(ROW($1:$168)-1,CM523&amp;CN523)),ROW($1:$168)-1,""))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23" s="30" t="str">
        <f t="shared" si="364"/>
        <v>邻孤孤</v>
      </c>
    </row>
    <row r="524" spans="1:94">
      <c r="A524" s="15">
        <v>524</v>
      </c>
      <c r="B524" s="80">
        <v>2025141</v>
      </c>
      <c r="C524" s="8" t="s">
        <v>431</v>
      </c>
      <c r="D524" s="81">
        <f t="shared" si="375"/>
        <v>4</v>
      </c>
      <c r="E524" s="82">
        <f t="shared" si="376"/>
        <v>4</v>
      </c>
      <c r="F524" s="83">
        <f t="shared" si="373"/>
        <v>2</v>
      </c>
      <c r="G524" s="84" t="str">
        <f t="shared" si="374"/>
        <v>标准</v>
      </c>
      <c r="H524" s="85" t="s">
        <v>10</v>
      </c>
      <c r="I524" s="85" t="s">
        <v>11</v>
      </c>
      <c r="J524" s="85" t="s">
        <v>12</v>
      </c>
      <c r="K524" s="85" t="s">
        <v>13</v>
      </c>
      <c r="L524" s="86">
        <f>MAX(MID(C524,{1,2,3},1)*1)-MIN(MID(C524,{1,2,3},1)*1)</f>
        <v>2</v>
      </c>
      <c r="M524" s="87">
        <v>0</v>
      </c>
      <c r="N524" s="87">
        <v>1</v>
      </c>
      <c r="O524" s="87">
        <v>2</v>
      </c>
      <c r="P524" s="87">
        <v>3</v>
      </c>
      <c r="Q524" s="87">
        <v>4</v>
      </c>
      <c r="R524" s="87">
        <v>5</v>
      </c>
      <c r="S524" s="87">
        <v>6</v>
      </c>
      <c r="T524" s="87">
        <v>7</v>
      </c>
      <c r="U524" s="87">
        <v>8</v>
      </c>
      <c r="V524" s="87">
        <v>9</v>
      </c>
      <c r="W524" s="88">
        <f t="shared" si="377"/>
        <v>2</v>
      </c>
      <c r="X524" s="88">
        <f t="shared" si="378"/>
        <v>0</v>
      </c>
      <c r="Y524" s="88">
        <f t="shared" si="379"/>
        <v>2</v>
      </c>
      <c r="Z524" s="89">
        <f t="shared" si="351"/>
        <v>4</v>
      </c>
      <c r="AA524" s="17" t="str">
        <f>_xlfn.TEXTJOIN(", ",TRUE,ABS(MID(C524,{1,1,2},1)-MID(C524,{2,3,3},1)))</f>
        <v>2, 0, 2</v>
      </c>
      <c r="AB524" s="90">
        <v>0</v>
      </c>
      <c r="AC524" s="90">
        <v>1</v>
      </c>
      <c r="AD524" s="90">
        <v>2</v>
      </c>
      <c r="AE524" s="90">
        <v>3</v>
      </c>
      <c r="AF524" s="90">
        <v>4</v>
      </c>
      <c r="AG524" s="90">
        <v>5</v>
      </c>
      <c r="AH524" s="90">
        <v>6</v>
      </c>
      <c r="AI524" s="90">
        <v>7</v>
      </c>
      <c r="AJ524" s="90">
        <v>8</v>
      </c>
      <c r="AK524" s="90">
        <v>9</v>
      </c>
      <c r="AL524" s="91">
        <v>0</v>
      </c>
      <c r="AM524" s="91">
        <v>1</v>
      </c>
      <c r="AN524" s="91">
        <v>2</v>
      </c>
      <c r="AO524" s="91">
        <v>3</v>
      </c>
      <c r="AP524" s="91">
        <v>4</v>
      </c>
      <c r="AQ524" s="91">
        <v>5</v>
      </c>
      <c r="AR524" s="91">
        <v>6</v>
      </c>
      <c r="AS524" s="91">
        <v>7</v>
      </c>
      <c r="AT524" s="91">
        <v>8</v>
      </c>
      <c r="AU524" s="91">
        <v>9</v>
      </c>
      <c r="AV524" s="92">
        <v>0</v>
      </c>
      <c r="AW524" s="92">
        <v>1</v>
      </c>
      <c r="AX524" s="92">
        <v>2</v>
      </c>
      <c r="AY524" s="92">
        <v>3</v>
      </c>
      <c r="AZ524" s="92">
        <v>4</v>
      </c>
      <c r="BA524" s="92">
        <v>5</v>
      </c>
      <c r="BB524" s="92">
        <v>6</v>
      </c>
      <c r="BC524" s="92">
        <v>7</v>
      </c>
      <c r="BD524" s="92">
        <v>8</v>
      </c>
      <c r="BE524" s="92">
        <v>9</v>
      </c>
      <c r="BF524" s="93">
        <v>0</v>
      </c>
      <c r="BG524" s="93">
        <v>1</v>
      </c>
      <c r="BH524" s="93">
        <v>2</v>
      </c>
      <c r="BI524" s="93">
        <v>3</v>
      </c>
      <c r="BJ524" s="93">
        <v>4</v>
      </c>
      <c r="BK524" s="93">
        <v>5</v>
      </c>
      <c r="BL524" s="93">
        <v>6</v>
      </c>
      <c r="BM524" s="93">
        <v>7</v>
      </c>
      <c r="BN524" s="93">
        <v>8</v>
      </c>
      <c r="BO524" s="93">
        <v>9</v>
      </c>
      <c r="BP524" s="94" t="str">
        <f t="shared" si="352"/>
        <v>紧凑型</v>
      </c>
      <c r="BQ524" s="15">
        <f t="shared" si="349"/>
        <v>0</v>
      </c>
      <c r="BR524" s="15">
        <f t="shared" si="350"/>
        <v>2</v>
      </c>
      <c r="BS524" s="20" t="str">
        <f t="shared" si="354"/>
        <v/>
      </c>
      <c r="BT524" s="21" t="str">
        <f t="shared" si="355"/>
        <v/>
      </c>
      <c r="BU524" s="21" t="str">
        <f t="array" ref="BU524">_xlfn.TEXTJOIN("",TRUE,IF(ISERROR(FIND(ROW($1:$168)-1,BS524&amp;BT524)),ROW($1:$168)-1,""))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24" s="22" t="str">
        <f t="shared" si="356"/>
        <v>中中中</v>
      </c>
      <c r="BW524" s="23" t="str">
        <f t="shared" si="367"/>
        <v/>
      </c>
      <c r="BX524" s="23" t="str">
        <f t="shared" si="365"/>
        <v/>
      </c>
      <c r="BY524" s="23" t="str">
        <f t="array" ref="BY524">_xlfn.TEXTJOIN("",TRUE,IF(ISERROR(FIND(ROW($1:$168)-1,BW524&amp;BX524)),ROW($1:$168)-1,""))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24" s="22" t="str">
        <f t="shared" si="357"/>
        <v>中中中</v>
      </c>
      <c r="CA524" s="24" t="str">
        <f t="shared" si="358"/>
        <v/>
      </c>
      <c r="CB524" s="24" t="str">
        <f t="shared" si="366"/>
        <v/>
      </c>
      <c r="CC524" s="24" t="str">
        <f t="array" ref="CC524">_xlfn.TEXTJOIN("",TRUE,IF(ISERROR(FIND(ROW($1:$168)-1,CA524&amp;CB524)),ROW($1:$168)-1,""))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24" s="22" t="str">
        <f t="shared" si="359"/>
        <v>中中中</v>
      </c>
      <c r="CE524" s="25" t="str">
        <f t="shared" si="353"/>
        <v>13</v>
      </c>
      <c r="CF524" s="26" t="str">
        <f t="array" ref="CF524">_xlfn.TEXTJOIN("",TRUE,IF(ISNUMBER(FIND(MID(CE523&amp;W523,ROW($1:$162),1),CE524&amp;W524)),MID(CE523&amp;W523,ROW($1:$162),1),""))</f>
        <v>23</v>
      </c>
      <c r="CG524" s="27" t="str">
        <f t="array" ref="CG524">_xlfn.TEXTJOIN("",TRUE,IF(ISERROR(FIND(ROW($1:$168)-1,CE524&amp;CF524)),ROW($1:$168)-1,""))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524" s="28" t="str">
        <f t="shared" si="360"/>
        <v>邻传孤</v>
      </c>
      <c r="CI524" s="29" t="str">
        <f t="shared" si="361"/>
        <v>91</v>
      </c>
      <c r="CJ524" s="29" t="str">
        <f t="array" ref="CJ524">_xlfn.TEXTJOIN("",TRUE,IF(ISNUMBER(FIND(MID(CI523&amp;X523,ROW($1:$162),1),CI524&amp;X524)),MID(CI523&amp;X523,ROW($1:$162),1),""))</f>
        <v>9</v>
      </c>
      <c r="CK524" s="29" t="str">
        <f t="array" ref="CK524">_xlfn.TEXTJOIN("",TRUE,IF(ISERROR(FIND(ROW($1:$168)-1,CI524&amp;CJ524)),ROW($1:$168)-1,""))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524" s="19" t="str">
        <f t="shared" si="362"/>
        <v>邻传孤</v>
      </c>
      <c r="CM524" s="24" t="str">
        <f t="shared" si="363"/>
        <v>13</v>
      </c>
      <c r="CN524" s="24" t="str">
        <f t="array" ref="CN524">_xlfn.TEXTJOIN("",TRUE,IF(ISNUMBER(FIND(MID(CM523&amp;Y523,ROW($1:$162),1),CM524&amp;Y524)),MID(CM523&amp;Y523,ROW($1:$162),1),""))</f>
        <v/>
      </c>
      <c r="CO524" s="24" t="str">
        <f t="array" ref="CO524">_xlfn.TEXTJOIN("",TRUE,IF(ISERROR(FIND(ROW($1:$168)-1,CM524&amp;CN524)),ROW($1:$168)-1,""))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24" s="30" t="str">
        <f t="shared" si="364"/>
        <v>邻孤孤</v>
      </c>
    </row>
    <row r="525" spans="1:94">
      <c r="A525" s="15">
        <v>525</v>
      </c>
      <c r="B525" s="80">
        <v>2025142</v>
      </c>
      <c r="C525" s="8" t="s">
        <v>342</v>
      </c>
      <c r="D525" s="81">
        <f t="shared" si="375"/>
        <v>16</v>
      </c>
      <c r="E525" s="82">
        <f t="shared" si="376"/>
        <v>6</v>
      </c>
      <c r="F525" s="83">
        <f t="shared" si="373"/>
        <v>2</v>
      </c>
      <c r="G525" s="84" t="str">
        <f t="shared" si="374"/>
        <v>标准</v>
      </c>
      <c r="H525" s="85" t="s">
        <v>10</v>
      </c>
      <c r="I525" s="85" t="s">
        <v>11</v>
      </c>
      <c r="J525" s="85" t="s">
        <v>12</v>
      </c>
      <c r="K525" s="85" t="s">
        <v>13</v>
      </c>
      <c r="L525" s="86">
        <f>MAX(MID(C525,{1,2,3},1)*1)-MIN(MID(C525,{1,2,3},1)*1)</f>
        <v>8</v>
      </c>
      <c r="M525" s="87">
        <v>0</v>
      </c>
      <c r="N525" s="87">
        <v>1</v>
      </c>
      <c r="O525" s="87">
        <v>2</v>
      </c>
      <c r="P525" s="87">
        <v>3</v>
      </c>
      <c r="Q525" s="87">
        <v>4</v>
      </c>
      <c r="R525" s="87">
        <v>5</v>
      </c>
      <c r="S525" s="87">
        <v>6</v>
      </c>
      <c r="T525" s="87">
        <v>7</v>
      </c>
      <c r="U525" s="87">
        <v>8</v>
      </c>
      <c r="V525" s="87">
        <v>9</v>
      </c>
      <c r="W525" s="88">
        <f t="shared" si="377"/>
        <v>8</v>
      </c>
      <c r="X525" s="88">
        <f t="shared" si="378"/>
        <v>3</v>
      </c>
      <c r="Y525" s="88">
        <f t="shared" si="379"/>
        <v>5</v>
      </c>
      <c r="Z525" s="89">
        <f t="shared" si="351"/>
        <v>16</v>
      </c>
      <c r="AA525" s="17" t="str">
        <f>_xlfn.TEXTJOIN(", ",TRUE,ABS(MID(C525,{1,1,2},1)-MID(C525,{2,3,3},1)))</f>
        <v>8, 3, 5</v>
      </c>
      <c r="AB525" s="90">
        <v>0</v>
      </c>
      <c r="AC525" s="90">
        <v>1</v>
      </c>
      <c r="AD525" s="90">
        <v>2</v>
      </c>
      <c r="AE525" s="90">
        <v>3</v>
      </c>
      <c r="AF525" s="90">
        <v>4</v>
      </c>
      <c r="AG525" s="90">
        <v>5</v>
      </c>
      <c r="AH525" s="90">
        <v>6</v>
      </c>
      <c r="AI525" s="90">
        <v>7</v>
      </c>
      <c r="AJ525" s="90">
        <v>8</v>
      </c>
      <c r="AK525" s="90">
        <v>9</v>
      </c>
      <c r="AL525" s="91">
        <v>0</v>
      </c>
      <c r="AM525" s="91">
        <v>1</v>
      </c>
      <c r="AN525" s="91">
        <v>2</v>
      </c>
      <c r="AO525" s="91">
        <v>3</v>
      </c>
      <c r="AP525" s="91">
        <v>4</v>
      </c>
      <c r="AQ525" s="91">
        <v>5</v>
      </c>
      <c r="AR525" s="91">
        <v>6</v>
      </c>
      <c r="AS525" s="91">
        <v>7</v>
      </c>
      <c r="AT525" s="91">
        <v>8</v>
      </c>
      <c r="AU525" s="91">
        <v>9</v>
      </c>
      <c r="AV525" s="92">
        <v>0</v>
      </c>
      <c r="AW525" s="92">
        <v>1</v>
      </c>
      <c r="AX525" s="92">
        <v>2</v>
      </c>
      <c r="AY525" s="92">
        <v>3</v>
      </c>
      <c r="AZ525" s="92">
        <v>4</v>
      </c>
      <c r="BA525" s="92">
        <v>5</v>
      </c>
      <c r="BB525" s="92">
        <v>6</v>
      </c>
      <c r="BC525" s="92">
        <v>7</v>
      </c>
      <c r="BD525" s="92">
        <v>8</v>
      </c>
      <c r="BE525" s="92">
        <v>9</v>
      </c>
      <c r="BF525" s="93">
        <v>0</v>
      </c>
      <c r="BG525" s="93">
        <v>1</v>
      </c>
      <c r="BH525" s="93">
        <v>2</v>
      </c>
      <c r="BI525" s="93">
        <v>3</v>
      </c>
      <c r="BJ525" s="93">
        <v>4</v>
      </c>
      <c r="BK525" s="93">
        <v>5</v>
      </c>
      <c r="BL525" s="93">
        <v>6</v>
      </c>
      <c r="BM525" s="93">
        <v>7</v>
      </c>
      <c r="BN525" s="93">
        <v>8</v>
      </c>
      <c r="BO525" s="93">
        <v>9</v>
      </c>
      <c r="BP525" s="94" t="str">
        <f t="shared" si="352"/>
        <v>松散型</v>
      </c>
      <c r="BQ525" s="15">
        <f t="shared" si="349"/>
        <v>3</v>
      </c>
      <c r="BR525" s="15">
        <f t="shared" si="350"/>
        <v>8</v>
      </c>
      <c r="BS525" s="20" t="str">
        <f t="shared" si="354"/>
        <v/>
      </c>
      <c r="BT525" s="21">
        <f t="shared" si="355"/>
        <v>8</v>
      </c>
      <c r="BU525" s="21" t="str">
        <f t="array" ref="BU525">_xlfn.TEXTJOIN("",TRUE,IF(ISERROR(FIND(ROW($1:$168)-1,BS525&amp;BT525)),ROW($1:$168)-1,""))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25" s="22" t="str">
        <f t="shared" si="356"/>
        <v>中隔中</v>
      </c>
      <c r="BW525" s="23" t="str">
        <f t="shared" si="367"/>
        <v/>
      </c>
      <c r="BX525" s="23">
        <f t="shared" si="365"/>
        <v>3</v>
      </c>
      <c r="BY525" s="23" t="str">
        <f t="array" ref="BY525">_xlfn.TEXTJOIN("",TRUE,IF(ISERROR(FIND(ROW($1:$168)-1,BW525&amp;BX525)),ROW($1:$168)-1,""))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25" s="22" t="str">
        <f t="shared" si="357"/>
        <v>中隔中</v>
      </c>
      <c r="CA525" s="24" t="str">
        <f t="shared" si="358"/>
        <v/>
      </c>
      <c r="CB525" s="24">
        <f t="shared" si="366"/>
        <v>5</v>
      </c>
      <c r="CC525" s="24" t="str">
        <f t="array" ref="CC525">_xlfn.TEXTJOIN("",TRUE,IF(ISERROR(FIND(ROW($1:$168)-1,CA525&amp;CB525)),ROW($1:$168)-1,""))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25" s="22" t="str">
        <f t="shared" si="359"/>
        <v>中隔中</v>
      </c>
      <c r="CE525" s="25" t="str">
        <f t="shared" si="353"/>
        <v>79</v>
      </c>
      <c r="CF525" s="26" t="str">
        <f t="array" ref="CF525">_xlfn.TEXTJOIN("",TRUE,IF(ISNUMBER(FIND(MID(CE524&amp;W524,ROW($1:$162),1),CE525&amp;W525)),MID(CE524&amp;W524,ROW($1:$162),1),""))</f>
        <v/>
      </c>
      <c r="CG525" s="27" t="str">
        <f t="array" ref="CG525">_xlfn.TEXTJOIN("",TRUE,IF(ISERROR(FIND(ROW($1:$168)-1,CE525&amp;CF525)),ROW($1:$168)-1,""))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525" s="28" t="str">
        <f t="shared" si="360"/>
        <v>邻孤孤</v>
      </c>
      <c r="CI525" s="29" t="str">
        <f t="shared" si="361"/>
        <v>24</v>
      </c>
      <c r="CJ525" s="29" t="str">
        <f t="array" ref="CJ525">_xlfn.TEXTJOIN("",TRUE,IF(ISNUMBER(FIND(MID(CI524&amp;X524,ROW($1:$162),1),CI525&amp;X525)),MID(CI524&amp;X524,ROW($1:$162),1),""))</f>
        <v/>
      </c>
      <c r="CK525" s="29" t="str">
        <f t="array" ref="CK525">_xlfn.TEXTJOIN("",TRUE,IF(ISERROR(FIND(ROW($1:$168)-1,CI525&amp;CJ525)),ROW($1:$168)-1,""))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25" s="19" t="str">
        <f t="shared" si="362"/>
        <v>邻孤孤</v>
      </c>
      <c r="CM525" s="24" t="str">
        <f t="shared" si="363"/>
        <v>46</v>
      </c>
      <c r="CN525" s="24" t="str">
        <f t="array" ref="CN525">_xlfn.TEXTJOIN("",TRUE,IF(ISNUMBER(FIND(MID(CM524&amp;Y524,ROW($1:$162),1),CM525&amp;Y525)),MID(CM524&amp;Y524,ROW($1:$162),1),""))</f>
        <v/>
      </c>
      <c r="CO525" s="24" t="str">
        <f t="array" ref="CO525">_xlfn.TEXTJOIN("",TRUE,IF(ISERROR(FIND(ROW($1:$168)-1,CM525&amp;CN525)),ROW($1:$168)-1,""))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25" s="30" t="str">
        <f t="shared" si="364"/>
        <v>邻孤孤</v>
      </c>
    </row>
    <row r="526" spans="1:94">
      <c r="A526" s="15">
        <v>526</v>
      </c>
      <c r="B526" s="80">
        <v>2025143</v>
      </c>
      <c r="C526" s="8" t="s">
        <v>189</v>
      </c>
      <c r="D526" s="81">
        <f t="shared" si="375"/>
        <v>13</v>
      </c>
      <c r="E526" s="82">
        <f t="shared" si="376"/>
        <v>3</v>
      </c>
      <c r="F526" s="83">
        <f t="shared" si="373"/>
        <v>3.25</v>
      </c>
      <c r="G526" s="84" t="str">
        <f t="shared" si="374"/>
        <v>标准</v>
      </c>
      <c r="H526" s="85" t="s">
        <v>10</v>
      </c>
      <c r="I526" s="85" t="s">
        <v>11</v>
      </c>
      <c r="J526" s="85" t="s">
        <v>12</v>
      </c>
      <c r="K526" s="85" t="s">
        <v>13</v>
      </c>
      <c r="L526" s="86">
        <f>MAX(MID(C526,{1,2,3},1)*1)-MIN(MID(C526,{1,2,3},1)*1)</f>
        <v>4</v>
      </c>
      <c r="M526" s="87">
        <v>0</v>
      </c>
      <c r="N526" s="87">
        <v>1</v>
      </c>
      <c r="O526" s="87">
        <v>2</v>
      </c>
      <c r="P526" s="87">
        <v>3</v>
      </c>
      <c r="Q526" s="87">
        <v>4</v>
      </c>
      <c r="R526" s="87">
        <v>5</v>
      </c>
      <c r="S526" s="87">
        <v>6</v>
      </c>
      <c r="T526" s="87">
        <v>7</v>
      </c>
      <c r="U526" s="87">
        <v>8</v>
      </c>
      <c r="V526" s="87">
        <v>9</v>
      </c>
      <c r="W526" s="88">
        <f t="shared" si="377"/>
        <v>3</v>
      </c>
      <c r="X526" s="88">
        <f t="shared" si="378"/>
        <v>4</v>
      </c>
      <c r="Y526" s="88">
        <f t="shared" si="379"/>
        <v>1</v>
      </c>
      <c r="Z526" s="89">
        <f t="shared" si="351"/>
        <v>8</v>
      </c>
      <c r="AA526" s="17" t="str">
        <f>_xlfn.TEXTJOIN(", ",TRUE,ABS(MID(C526,{1,1,2},1)-MID(C526,{2,3,3},1)))</f>
        <v>3, 4, 1</v>
      </c>
      <c r="AB526" s="90">
        <v>0</v>
      </c>
      <c r="AC526" s="90">
        <v>1</v>
      </c>
      <c r="AD526" s="90">
        <v>2</v>
      </c>
      <c r="AE526" s="90">
        <v>3</v>
      </c>
      <c r="AF526" s="90">
        <v>4</v>
      </c>
      <c r="AG526" s="90">
        <v>5</v>
      </c>
      <c r="AH526" s="90">
        <v>6</v>
      </c>
      <c r="AI526" s="90">
        <v>7</v>
      </c>
      <c r="AJ526" s="90">
        <v>8</v>
      </c>
      <c r="AK526" s="90">
        <v>9</v>
      </c>
      <c r="AL526" s="91">
        <v>0</v>
      </c>
      <c r="AM526" s="91">
        <v>1</v>
      </c>
      <c r="AN526" s="91">
        <v>2</v>
      </c>
      <c r="AO526" s="91">
        <v>3</v>
      </c>
      <c r="AP526" s="91">
        <v>4</v>
      </c>
      <c r="AQ526" s="91">
        <v>5</v>
      </c>
      <c r="AR526" s="91">
        <v>6</v>
      </c>
      <c r="AS526" s="91">
        <v>7</v>
      </c>
      <c r="AT526" s="91">
        <v>8</v>
      </c>
      <c r="AU526" s="91">
        <v>9</v>
      </c>
      <c r="AV526" s="92">
        <v>0</v>
      </c>
      <c r="AW526" s="92">
        <v>1</v>
      </c>
      <c r="AX526" s="92">
        <v>2</v>
      </c>
      <c r="AY526" s="92">
        <v>3</v>
      </c>
      <c r="AZ526" s="92">
        <v>4</v>
      </c>
      <c r="BA526" s="92">
        <v>5</v>
      </c>
      <c r="BB526" s="92">
        <v>6</v>
      </c>
      <c r="BC526" s="92">
        <v>7</v>
      </c>
      <c r="BD526" s="92">
        <v>8</v>
      </c>
      <c r="BE526" s="92">
        <v>9</v>
      </c>
      <c r="BF526" s="93">
        <v>0</v>
      </c>
      <c r="BG526" s="93">
        <v>1</v>
      </c>
      <c r="BH526" s="93">
        <v>2</v>
      </c>
      <c r="BI526" s="93">
        <v>3</v>
      </c>
      <c r="BJ526" s="93">
        <v>4</v>
      </c>
      <c r="BK526" s="93">
        <v>5</v>
      </c>
      <c r="BL526" s="93">
        <v>6</v>
      </c>
      <c r="BM526" s="93">
        <v>7</v>
      </c>
      <c r="BN526" s="93">
        <v>8</v>
      </c>
      <c r="BO526" s="93">
        <v>9</v>
      </c>
      <c r="BP526" s="94" t="str">
        <f t="shared" si="352"/>
        <v>紧凑型</v>
      </c>
      <c r="BQ526" s="15">
        <f t="shared" si="349"/>
        <v>1</v>
      </c>
      <c r="BR526" s="15">
        <f t="shared" si="350"/>
        <v>4</v>
      </c>
      <c r="BS526" s="20">
        <f t="shared" si="354"/>
        <v>3</v>
      </c>
      <c r="BT526" s="21" t="str">
        <f t="shared" si="355"/>
        <v/>
      </c>
      <c r="BU526" s="21" t="str">
        <f t="array" ref="BU526">_xlfn.TEXTJOIN("",TRUE,IF(ISERROR(FIND(ROW($1:$168)-1,BS526&amp;BT526)),ROW($1:$168)-1,""))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26" s="22" t="str">
        <f t="shared" si="356"/>
        <v>复中中</v>
      </c>
      <c r="BW526" s="23" t="str">
        <f t="shared" si="367"/>
        <v/>
      </c>
      <c r="BX526" s="23" t="str">
        <f t="shared" si="365"/>
        <v/>
      </c>
      <c r="BY526" s="23" t="str">
        <f t="array" ref="BY526">_xlfn.TEXTJOIN("",TRUE,IF(ISERROR(FIND(ROW($1:$168)-1,BW526&amp;BX526)),ROW($1:$168)-1,""))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26" s="22" t="str">
        <f t="shared" si="357"/>
        <v>中中中</v>
      </c>
      <c r="CA526" s="24" t="str">
        <f t="shared" si="358"/>
        <v/>
      </c>
      <c r="CB526" s="24" t="str">
        <f t="shared" si="366"/>
        <v/>
      </c>
      <c r="CC526" s="24" t="str">
        <f t="array" ref="CC526">_xlfn.TEXTJOIN("",TRUE,IF(ISERROR(FIND(ROW($1:$168)-1,CA526&amp;CB526)),ROW($1:$168)-1,""))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26" s="22" t="str">
        <f t="shared" si="359"/>
        <v>中中中</v>
      </c>
      <c r="CE526" s="25" t="str">
        <f t="shared" si="353"/>
        <v>24</v>
      </c>
      <c r="CF526" s="26" t="str">
        <f t="array" ref="CF526">_xlfn.TEXTJOIN("",TRUE,IF(ISNUMBER(FIND(MID(CE525&amp;W525,ROW($1:$162),1),CE526&amp;W526)),MID(CE525&amp;W525,ROW($1:$162),1),""))</f>
        <v/>
      </c>
      <c r="CG526" s="27" t="str">
        <f t="array" ref="CG526">_xlfn.TEXTJOIN("",TRUE,IF(ISERROR(FIND(ROW($1:$168)-1,CE526&amp;CF526)),ROW($1:$168)-1,""))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26" s="28" t="str">
        <f t="shared" si="360"/>
        <v>邻孤孤</v>
      </c>
      <c r="CI526" s="29" t="str">
        <f t="shared" si="361"/>
        <v>35</v>
      </c>
      <c r="CJ526" s="29" t="str">
        <f t="array" ref="CJ526">_xlfn.TEXTJOIN("",TRUE,IF(ISNUMBER(FIND(MID(CI525&amp;X525,ROW($1:$162),1),CI526&amp;X526)),MID(CI525&amp;X525,ROW($1:$162),1),""))</f>
        <v>43</v>
      </c>
      <c r="CK526" s="29" t="str">
        <f t="array" ref="CK526">_xlfn.TEXTJOIN("",TRUE,IF(ISERROR(FIND(ROW($1:$168)-1,CI526&amp;CJ526)),ROW($1:$168)-1,""))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26" s="19" t="str">
        <f t="shared" si="362"/>
        <v>邻传孤</v>
      </c>
      <c r="CM526" s="24" t="str">
        <f t="shared" si="363"/>
        <v>02</v>
      </c>
      <c r="CN526" s="24" t="str">
        <f t="array" ref="CN526">_xlfn.TEXTJOIN("",TRUE,IF(ISNUMBER(FIND(MID(CM525&amp;Y525,ROW($1:$162),1),CM526&amp;Y526)),MID(CM525&amp;Y525,ROW($1:$162),1),""))</f>
        <v/>
      </c>
      <c r="CO526" s="24" t="str">
        <f t="array" ref="CO526">_xlfn.TEXTJOIN("",TRUE,IF(ISERROR(FIND(ROW($1:$168)-1,CM526&amp;CN526)),ROW($1:$168)-1,""))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26" s="30" t="str">
        <f t="shared" si="364"/>
        <v>邻孤孤</v>
      </c>
    </row>
    <row r="527" spans="1:94">
      <c r="A527" s="15">
        <v>527</v>
      </c>
      <c r="B527" s="80">
        <v>2025144</v>
      </c>
      <c r="C527" s="8" t="s">
        <v>308</v>
      </c>
      <c r="D527" s="81">
        <f t="shared" si="375"/>
        <v>18</v>
      </c>
      <c r="E527" s="82">
        <f t="shared" si="376"/>
        <v>8</v>
      </c>
      <c r="F527" s="83">
        <f t="shared" si="373"/>
        <v>0.1</v>
      </c>
      <c r="G527" s="84" t="str">
        <f t="shared" si="374"/>
        <v>极紧凑</v>
      </c>
      <c r="H527" s="85" t="s">
        <v>10</v>
      </c>
      <c r="I527" s="85" t="s">
        <v>11</v>
      </c>
      <c r="J527" s="85" t="s">
        <v>12</v>
      </c>
      <c r="K527" s="85" t="s">
        <v>13</v>
      </c>
      <c r="L527" s="86">
        <f>MAX(MID(C527,{1,2,3},1)*1)-MIN(MID(C527,{1,2,3},1)*1)</f>
        <v>0</v>
      </c>
      <c r="M527" s="87">
        <v>0</v>
      </c>
      <c r="N527" s="87">
        <v>1</v>
      </c>
      <c r="O527" s="87">
        <v>2</v>
      </c>
      <c r="P527" s="87">
        <v>3</v>
      </c>
      <c r="Q527" s="87">
        <v>4</v>
      </c>
      <c r="R527" s="87">
        <v>5</v>
      </c>
      <c r="S527" s="87">
        <v>6</v>
      </c>
      <c r="T527" s="87">
        <v>7</v>
      </c>
      <c r="U527" s="87">
        <v>8</v>
      </c>
      <c r="V527" s="87">
        <v>9</v>
      </c>
      <c r="W527" s="88">
        <f t="shared" si="377"/>
        <v>0</v>
      </c>
      <c r="X527" s="88">
        <f t="shared" si="378"/>
        <v>0</v>
      </c>
      <c r="Y527" s="88">
        <f t="shared" si="379"/>
        <v>0</v>
      </c>
      <c r="Z527" s="89">
        <f t="shared" si="351"/>
        <v>0</v>
      </c>
      <c r="AA527" s="17" t="str">
        <f>_xlfn.TEXTJOIN(", ",TRUE,ABS(MID(C527,{1,1,2},1)-MID(C527,{2,3,3},1)))</f>
        <v>0, 0, 0</v>
      </c>
      <c r="AB527" s="90">
        <v>0</v>
      </c>
      <c r="AC527" s="90">
        <v>1</v>
      </c>
      <c r="AD527" s="90">
        <v>2</v>
      </c>
      <c r="AE527" s="90">
        <v>3</v>
      </c>
      <c r="AF527" s="90">
        <v>4</v>
      </c>
      <c r="AG527" s="90">
        <v>5</v>
      </c>
      <c r="AH527" s="90">
        <v>6</v>
      </c>
      <c r="AI527" s="90">
        <v>7</v>
      </c>
      <c r="AJ527" s="90">
        <v>8</v>
      </c>
      <c r="AK527" s="90">
        <v>9</v>
      </c>
      <c r="AL527" s="91">
        <v>0</v>
      </c>
      <c r="AM527" s="91">
        <v>1</v>
      </c>
      <c r="AN527" s="91">
        <v>2</v>
      </c>
      <c r="AO527" s="91">
        <v>3</v>
      </c>
      <c r="AP527" s="91">
        <v>4</v>
      </c>
      <c r="AQ527" s="91">
        <v>5</v>
      </c>
      <c r="AR527" s="91">
        <v>6</v>
      </c>
      <c r="AS527" s="91">
        <v>7</v>
      </c>
      <c r="AT527" s="91">
        <v>8</v>
      </c>
      <c r="AU527" s="91">
        <v>9</v>
      </c>
      <c r="AV527" s="92">
        <v>0</v>
      </c>
      <c r="AW527" s="92">
        <v>1</v>
      </c>
      <c r="AX527" s="92">
        <v>2</v>
      </c>
      <c r="AY527" s="92">
        <v>3</v>
      </c>
      <c r="AZ527" s="92">
        <v>4</v>
      </c>
      <c r="BA527" s="92">
        <v>5</v>
      </c>
      <c r="BB527" s="92">
        <v>6</v>
      </c>
      <c r="BC527" s="92">
        <v>7</v>
      </c>
      <c r="BD527" s="92">
        <v>8</v>
      </c>
      <c r="BE527" s="92">
        <v>9</v>
      </c>
      <c r="BF527" s="93">
        <v>0</v>
      </c>
      <c r="BG527" s="93">
        <v>1</v>
      </c>
      <c r="BH527" s="93">
        <v>2</v>
      </c>
      <c r="BI527" s="93">
        <v>3</v>
      </c>
      <c r="BJ527" s="93">
        <v>4</v>
      </c>
      <c r="BK527" s="93">
        <v>5</v>
      </c>
      <c r="BL527" s="93">
        <v>6</v>
      </c>
      <c r="BM527" s="93">
        <v>7</v>
      </c>
      <c r="BN527" s="93">
        <v>8</v>
      </c>
      <c r="BO527" s="93">
        <v>9</v>
      </c>
      <c r="BP527" s="94" t="str">
        <f t="shared" si="352"/>
        <v>紧凑型</v>
      </c>
      <c r="BQ527" s="15">
        <f t="shared" si="349"/>
        <v>0</v>
      </c>
      <c r="BR527" s="15">
        <f t="shared" si="350"/>
        <v>0</v>
      </c>
      <c r="BS527" s="20" t="str">
        <f t="shared" si="354"/>
        <v/>
      </c>
      <c r="BT527" s="21" t="str">
        <f t="shared" si="355"/>
        <v/>
      </c>
      <c r="BU527" s="21" t="str">
        <f t="array" ref="BU527">_xlfn.TEXTJOIN("",TRUE,IF(ISERROR(FIND(ROW($1:$168)-1,BS527&amp;BT527)),ROW($1:$168)-1,""))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27" s="22" t="str">
        <f t="shared" si="356"/>
        <v>中中中</v>
      </c>
      <c r="BW527" s="23" t="str">
        <f t="shared" si="367"/>
        <v/>
      </c>
      <c r="BX527" s="23" t="str">
        <f t="shared" si="365"/>
        <v/>
      </c>
      <c r="BY527" s="23" t="str">
        <f t="array" ref="BY527">_xlfn.TEXTJOIN("",TRUE,IF(ISERROR(FIND(ROW($1:$168)-1,BW527&amp;BX527)),ROW($1:$168)-1,""))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27" s="22" t="str">
        <f t="shared" si="357"/>
        <v>中中中</v>
      </c>
      <c r="CA527" s="24" t="str">
        <f t="shared" si="358"/>
        <v/>
      </c>
      <c r="CB527" s="24" t="str">
        <f t="shared" si="366"/>
        <v/>
      </c>
      <c r="CC527" s="24" t="str">
        <f t="array" ref="CC527">_xlfn.TEXTJOIN("",TRUE,IF(ISERROR(FIND(ROW($1:$168)-1,CA527&amp;CB527)),ROW($1:$168)-1,""))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27" s="22" t="str">
        <f t="shared" si="359"/>
        <v>中中中</v>
      </c>
      <c r="CE527" s="25" t="str">
        <f t="shared" si="353"/>
        <v>91</v>
      </c>
      <c r="CF527" s="26" t="str">
        <f t="array" ref="CF527">_xlfn.TEXTJOIN("",TRUE,IF(ISNUMBER(FIND(MID(CE526&amp;W526,ROW($1:$162),1),CE527&amp;W527)),MID(CE526&amp;W526,ROW($1:$162),1),""))</f>
        <v/>
      </c>
      <c r="CG527" s="27" t="str">
        <f t="array" ref="CG527">_xlfn.TEXTJOIN("",TRUE,IF(ISERROR(FIND(ROW($1:$168)-1,CE527&amp;CF527)),ROW($1:$168)-1,""))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527" s="28" t="str">
        <f t="shared" si="360"/>
        <v>邻孤孤</v>
      </c>
      <c r="CI527" s="29" t="str">
        <f t="shared" si="361"/>
        <v>91</v>
      </c>
      <c r="CJ527" s="29" t="str">
        <f t="array" ref="CJ527">_xlfn.TEXTJOIN("",TRUE,IF(ISNUMBER(FIND(MID(CI526&amp;X526,ROW($1:$162),1),CI527&amp;X527)),MID(CI526&amp;X526,ROW($1:$162),1),""))</f>
        <v/>
      </c>
      <c r="CK527" s="29" t="str">
        <f t="array" ref="CK527">_xlfn.TEXTJOIN("",TRUE,IF(ISERROR(FIND(ROW($1:$168)-1,CI527&amp;CJ527)),ROW($1:$168)-1,""))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527" s="19" t="str">
        <f t="shared" si="362"/>
        <v>邻孤孤</v>
      </c>
      <c r="CM527" s="24" t="str">
        <f t="shared" si="363"/>
        <v>91</v>
      </c>
      <c r="CN527" s="24" t="str">
        <f t="array" ref="CN527">_xlfn.TEXTJOIN("",TRUE,IF(ISNUMBER(FIND(MID(CM526&amp;Y526,ROW($1:$162),1),CM527&amp;Y527)),MID(CM526&amp;Y526,ROW($1:$162),1),""))</f>
        <v>01</v>
      </c>
      <c r="CO527" s="24" t="str">
        <f t="array" ref="CO527">_xlfn.TEXTJOIN("",TRUE,IF(ISERROR(FIND(ROW($1:$168)-1,CM527&amp;CN527)),ROW($1:$168)-1,""))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527" s="30" t="str">
        <f t="shared" si="364"/>
        <v>邻传孤</v>
      </c>
    </row>
    <row r="528" spans="1:94">
      <c r="A528" s="15">
        <v>528</v>
      </c>
      <c r="B528" s="80">
        <v>2025145</v>
      </c>
      <c r="C528" s="8" t="s">
        <v>432</v>
      </c>
      <c r="D528" s="81">
        <f t="shared" si="375"/>
        <v>15</v>
      </c>
      <c r="E528" s="82">
        <f t="shared" si="376"/>
        <v>5</v>
      </c>
      <c r="F528" s="83">
        <f t="shared" si="373"/>
        <v>3</v>
      </c>
      <c r="G528" s="84" t="str">
        <f t="shared" si="374"/>
        <v>标准</v>
      </c>
      <c r="H528" s="85" t="s">
        <v>10</v>
      </c>
      <c r="I528" s="85" t="s">
        <v>11</v>
      </c>
      <c r="J528" s="85" t="s">
        <v>12</v>
      </c>
      <c r="K528" s="85" t="s">
        <v>13</v>
      </c>
      <c r="L528" s="86">
        <f>MAX(MID(C528,{1,2,3},1)*1)-MIN(MID(C528,{1,2,3},1)*1)</f>
        <v>5</v>
      </c>
      <c r="M528" s="87">
        <v>0</v>
      </c>
      <c r="N528" s="87">
        <v>1</v>
      </c>
      <c r="O528" s="87">
        <v>2</v>
      </c>
      <c r="P528" s="87">
        <v>3</v>
      </c>
      <c r="Q528" s="87">
        <v>4</v>
      </c>
      <c r="R528" s="87">
        <v>5</v>
      </c>
      <c r="S528" s="87">
        <v>6</v>
      </c>
      <c r="T528" s="87">
        <v>7</v>
      </c>
      <c r="U528" s="87">
        <v>8</v>
      </c>
      <c r="V528" s="87">
        <v>9</v>
      </c>
      <c r="W528" s="88">
        <f t="shared" si="377"/>
        <v>4</v>
      </c>
      <c r="X528" s="88">
        <f t="shared" si="378"/>
        <v>5</v>
      </c>
      <c r="Y528" s="88">
        <f t="shared" si="379"/>
        <v>1</v>
      </c>
      <c r="Z528" s="89">
        <f t="shared" si="351"/>
        <v>10</v>
      </c>
      <c r="AA528" s="17" t="str">
        <f>_xlfn.TEXTJOIN(", ",TRUE,ABS(MID(C528,{1,1,2},1)-MID(C528,{2,3,3},1)))</f>
        <v>4, 5, 1</v>
      </c>
      <c r="AB528" s="90">
        <v>0</v>
      </c>
      <c r="AC528" s="90">
        <v>1</v>
      </c>
      <c r="AD528" s="90">
        <v>2</v>
      </c>
      <c r="AE528" s="90">
        <v>3</v>
      </c>
      <c r="AF528" s="90">
        <v>4</v>
      </c>
      <c r="AG528" s="90">
        <v>5</v>
      </c>
      <c r="AH528" s="90">
        <v>6</v>
      </c>
      <c r="AI528" s="90">
        <v>7</v>
      </c>
      <c r="AJ528" s="90">
        <v>8</v>
      </c>
      <c r="AK528" s="90">
        <v>9</v>
      </c>
      <c r="AL528" s="91">
        <v>0</v>
      </c>
      <c r="AM528" s="91">
        <v>1</v>
      </c>
      <c r="AN528" s="91">
        <v>2</v>
      </c>
      <c r="AO528" s="91">
        <v>3</v>
      </c>
      <c r="AP528" s="91">
        <v>4</v>
      </c>
      <c r="AQ528" s="91">
        <v>5</v>
      </c>
      <c r="AR528" s="91">
        <v>6</v>
      </c>
      <c r="AS528" s="91">
        <v>7</v>
      </c>
      <c r="AT528" s="91">
        <v>8</v>
      </c>
      <c r="AU528" s="91">
        <v>9</v>
      </c>
      <c r="AV528" s="92">
        <v>0</v>
      </c>
      <c r="AW528" s="92">
        <v>1</v>
      </c>
      <c r="AX528" s="92">
        <v>2</v>
      </c>
      <c r="AY528" s="92">
        <v>3</v>
      </c>
      <c r="AZ528" s="92">
        <v>4</v>
      </c>
      <c r="BA528" s="92">
        <v>5</v>
      </c>
      <c r="BB528" s="92">
        <v>6</v>
      </c>
      <c r="BC528" s="92">
        <v>7</v>
      </c>
      <c r="BD528" s="92">
        <v>8</v>
      </c>
      <c r="BE528" s="92">
        <v>9</v>
      </c>
      <c r="BF528" s="93">
        <v>0</v>
      </c>
      <c r="BG528" s="93">
        <v>1</v>
      </c>
      <c r="BH528" s="93">
        <v>2</v>
      </c>
      <c r="BI528" s="93">
        <v>3</v>
      </c>
      <c r="BJ528" s="93">
        <v>4</v>
      </c>
      <c r="BK528" s="93">
        <v>5</v>
      </c>
      <c r="BL528" s="93">
        <v>6</v>
      </c>
      <c r="BM528" s="93">
        <v>7</v>
      </c>
      <c r="BN528" s="93">
        <v>8</v>
      </c>
      <c r="BO528" s="93">
        <v>9</v>
      </c>
      <c r="BP528" s="94" t="str">
        <f t="shared" si="352"/>
        <v>标准型</v>
      </c>
      <c r="BQ528" s="15">
        <f t="shared" si="349"/>
        <v>1</v>
      </c>
      <c r="BR528" s="15">
        <f t="shared" si="350"/>
        <v>5</v>
      </c>
      <c r="BS528" s="20" t="str">
        <f t="shared" si="354"/>
        <v/>
      </c>
      <c r="BT528" s="21">
        <f t="shared" si="355"/>
        <v>4</v>
      </c>
      <c r="BU528" s="21" t="str">
        <f t="array" ref="BU528">_xlfn.TEXTJOIN("",TRUE,IF(ISERROR(FIND(ROW($1:$168)-1,BS528&amp;BT528)),ROW($1:$168)-1,""))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28" s="22" t="str">
        <f t="shared" si="356"/>
        <v>中隔中</v>
      </c>
      <c r="BW528" s="23" t="str">
        <f t="shared" si="367"/>
        <v/>
      </c>
      <c r="BX528" s="23" t="str">
        <f t="shared" si="365"/>
        <v/>
      </c>
      <c r="BY528" s="23" t="str">
        <f t="array" ref="BY528">_xlfn.TEXTJOIN("",TRUE,IF(ISERROR(FIND(ROW($1:$168)-1,BW528&amp;BX528)),ROW($1:$168)-1,""))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28" s="22" t="str">
        <f t="shared" si="357"/>
        <v>中中中</v>
      </c>
      <c r="CA528" s="24" t="str">
        <f t="shared" si="358"/>
        <v/>
      </c>
      <c r="CB528" s="24">
        <f t="shared" si="366"/>
        <v>1</v>
      </c>
      <c r="CC528" s="24" t="str">
        <f t="array" ref="CC528">_xlfn.TEXTJOIN("",TRUE,IF(ISERROR(FIND(ROW($1:$168)-1,CA528&amp;CB528)),ROW($1:$168)-1,""))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28" s="22" t="str">
        <f t="shared" si="359"/>
        <v>中隔中</v>
      </c>
      <c r="CE528" s="25" t="str">
        <f t="shared" si="353"/>
        <v>35</v>
      </c>
      <c r="CF528" s="26" t="str">
        <f t="array" ref="CF528">_xlfn.TEXTJOIN("",TRUE,IF(ISNUMBER(FIND(MID(CE527&amp;W527,ROW($1:$162),1),CE528&amp;W528)),MID(CE527&amp;W527,ROW($1:$162),1),""))</f>
        <v/>
      </c>
      <c r="CG528" s="27" t="str">
        <f t="array" ref="CG528">_xlfn.TEXTJOIN("",TRUE,IF(ISERROR(FIND(ROW($1:$168)-1,CE528&amp;CF528)),ROW($1:$168)-1,""))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28" s="28" t="str">
        <f t="shared" si="360"/>
        <v>邻孤孤</v>
      </c>
      <c r="CI528" s="29" t="str">
        <f t="shared" si="361"/>
        <v>46</v>
      </c>
      <c r="CJ528" s="29" t="str">
        <f t="array" ref="CJ528">_xlfn.TEXTJOIN("",TRUE,IF(ISNUMBER(FIND(MID(CI527&amp;X527,ROW($1:$162),1),CI528&amp;X528)),MID(CI527&amp;X527,ROW($1:$162),1),""))</f>
        <v/>
      </c>
      <c r="CK528" s="29" t="str">
        <f t="array" ref="CK528">_xlfn.TEXTJOIN("",TRUE,IF(ISERROR(FIND(ROW($1:$168)-1,CI528&amp;CJ528)),ROW($1:$168)-1,""))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28" s="19" t="str">
        <f t="shared" si="362"/>
        <v>邻孤孤</v>
      </c>
      <c r="CM528" s="24" t="str">
        <f t="shared" si="363"/>
        <v>02</v>
      </c>
      <c r="CN528" s="24" t="str">
        <f t="array" ref="CN528">_xlfn.TEXTJOIN("",TRUE,IF(ISNUMBER(FIND(MID(CM527&amp;Y527,ROW($1:$162),1),CM528&amp;Y528)),MID(CM527&amp;Y527,ROW($1:$162),1),""))</f>
        <v>10</v>
      </c>
      <c r="CO528" s="24" t="str">
        <f t="array" ref="CO528">_xlfn.TEXTJOIN("",TRUE,IF(ISERROR(FIND(ROW($1:$168)-1,CM528&amp;CN528)),ROW($1:$168)-1,""))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28" s="30" t="str">
        <f t="shared" si="364"/>
        <v>邻传孤</v>
      </c>
    </row>
    <row r="529" spans="1:94">
      <c r="A529" s="15">
        <v>529</v>
      </c>
      <c r="B529" s="80">
        <v>2025146</v>
      </c>
      <c r="C529" s="8" t="s">
        <v>115</v>
      </c>
      <c r="D529" s="81">
        <f t="shared" si="375"/>
        <v>24</v>
      </c>
      <c r="E529" s="82">
        <f t="shared" si="376"/>
        <v>4</v>
      </c>
      <c r="F529" s="83">
        <f t="shared" si="373"/>
        <v>12</v>
      </c>
      <c r="G529" s="84" t="str">
        <f t="shared" si="374"/>
        <v>紧凑</v>
      </c>
      <c r="H529" s="85" t="s">
        <v>10</v>
      </c>
      <c r="I529" s="85" t="s">
        <v>11</v>
      </c>
      <c r="J529" s="85" t="s">
        <v>12</v>
      </c>
      <c r="K529" s="85" t="s">
        <v>13</v>
      </c>
      <c r="L529" s="86">
        <f>MAX(MID(C529,{1,2,3},1)*1)-MIN(MID(C529,{1,2,3},1)*1)</f>
        <v>2</v>
      </c>
      <c r="M529" s="87">
        <v>0</v>
      </c>
      <c r="N529" s="87">
        <v>1</v>
      </c>
      <c r="O529" s="87">
        <v>2</v>
      </c>
      <c r="P529" s="87">
        <v>3</v>
      </c>
      <c r="Q529" s="87">
        <v>4</v>
      </c>
      <c r="R529" s="87">
        <v>5</v>
      </c>
      <c r="S529" s="87">
        <v>6</v>
      </c>
      <c r="T529" s="87">
        <v>7</v>
      </c>
      <c r="U529" s="87">
        <v>8</v>
      </c>
      <c r="V529" s="87">
        <v>9</v>
      </c>
      <c r="W529" s="88">
        <f t="shared" si="377"/>
        <v>1</v>
      </c>
      <c r="X529" s="88">
        <f t="shared" si="378"/>
        <v>1</v>
      </c>
      <c r="Y529" s="88">
        <f t="shared" si="379"/>
        <v>2</v>
      </c>
      <c r="Z529" s="89">
        <f t="shared" si="351"/>
        <v>4</v>
      </c>
      <c r="AA529" s="17" t="str">
        <f>_xlfn.TEXTJOIN(", ",TRUE,ABS(MID(C529,{1,1,2},1)-MID(C529,{2,3,3},1)))</f>
        <v>1, 1, 2</v>
      </c>
      <c r="AB529" s="90">
        <v>0</v>
      </c>
      <c r="AC529" s="90">
        <v>1</v>
      </c>
      <c r="AD529" s="90">
        <v>2</v>
      </c>
      <c r="AE529" s="90">
        <v>3</v>
      </c>
      <c r="AF529" s="90">
        <v>4</v>
      </c>
      <c r="AG529" s="90">
        <v>5</v>
      </c>
      <c r="AH529" s="90">
        <v>6</v>
      </c>
      <c r="AI529" s="90">
        <v>7</v>
      </c>
      <c r="AJ529" s="90">
        <v>8</v>
      </c>
      <c r="AK529" s="90">
        <v>9</v>
      </c>
      <c r="AL529" s="91">
        <v>0</v>
      </c>
      <c r="AM529" s="91">
        <v>1</v>
      </c>
      <c r="AN529" s="91">
        <v>2</v>
      </c>
      <c r="AO529" s="91">
        <v>3</v>
      </c>
      <c r="AP529" s="91">
        <v>4</v>
      </c>
      <c r="AQ529" s="91">
        <v>5</v>
      </c>
      <c r="AR529" s="91">
        <v>6</v>
      </c>
      <c r="AS529" s="91">
        <v>7</v>
      </c>
      <c r="AT529" s="91">
        <v>8</v>
      </c>
      <c r="AU529" s="91">
        <v>9</v>
      </c>
      <c r="AV529" s="92">
        <v>0</v>
      </c>
      <c r="AW529" s="92">
        <v>1</v>
      </c>
      <c r="AX529" s="92">
        <v>2</v>
      </c>
      <c r="AY529" s="92">
        <v>3</v>
      </c>
      <c r="AZ529" s="92">
        <v>4</v>
      </c>
      <c r="BA529" s="92">
        <v>5</v>
      </c>
      <c r="BB529" s="92">
        <v>6</v>
      </c>
      <c r="BC529" s="92">
        <v>7</v>
      </c>
      <c r="BD529" s="92">
        <v>8</v>
      </c>
      <c r="BE529" s="92">
        <v>9</v>
      </c>
      <c r="BF529" s="93">
        <v>0</v>
      </c>
      <c r="BG529" s="93">
        <v>1</v>
      </c>
      <c r="BH529" s="93">
        <v>2</v>
      </c>
      <c r="BI529" s="93">
        <v>3</v>
      </c>
      <c r="BJ529" s="93">
        <v>4</v>
      </c>
      <c r="BK529" s="93">
        <v>5</v>
      </c>
      <c r="BL529" s="93">
        <v>6</v>
      </c>
      <c r="BM529" s="93">
        <v>7</v>
      </c>
      <c r="BN529" s="93">
        <v>8</v>
      </c>
      <c r="BO529" s="93">
        <v>9</v>
      </c>
      <c r="BP529" s="94" t="str">
        <f t="shared" si="352"/>
        <v>紧凑型</v>
      </c>
      <c r="BQ529" s="15">
        <f t="shared" si="349"/>
        <v>1</v>
      </c>
      <c r="BR529" s="15">
        <f t="shared" si="350"/>
        <v>2</v>
      </c>
      <c r="BS529" s="20">
        <f t="shared" si="354"/>
        <v>1</v>
      </c>
      <c r="BT529" s="21" t="str">
        <f t="shared" si="355"/>
        <v/>
      </c>
      <c r="BU529" s="21" t="str">
        <f t="array" ref="BU529">_xlfn.TEXTJOIN("",TRUE,IF(ISERROR(FIND(ROW($1:$168)-1,BS529&amp;BT529)),ROW($1:$168)-1,""))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29" s="22" t="str">
        <f t="shared" si="356"/>
        <v>复中中</v>
      </c>
      <c r="BW529" s="23">
        <f t="shared" si="367"/>
        <v>1</v>
      </c>
      <c r="BX529" s="23" t="str">
        <f t="shared" si="365"/>
        <v/>
      </c>
      <c r="BY529" s="23" t="str">
        <f t="array" ref="BY529">_xlfn.TEXTJOIN("",TRUE,IF(ISERROR(FIND(ROW($1:$168)-1,BW529&amp;BX529)),ROW($1:$168)-1,""))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29" s="22" t="str">
        <f t="shared" si="357"/>
        <v>复中中</v>
      </c>
      <c r="CA529" s="24" t="str">
        <f t="shared" si="358"/>
        <v/>
      </c>
      <c r="CB529" s="24" t="str">
        <f t="shared" si="366"/>
        <v/>
      </c>
      <c r="CC529" s="24" t="str">
        <f t="array" ref="CC529">_xlfn.TEXTJOIN("",TRUE,IF(ISERROR(FIND(ROW($1:$168)-1,CA529&amp;CB529)),ROW($1:$168)-1,""))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29" s="22" t="str">
        <f t="shared" si="359"/>
        <v>中中中</v>
      </c>
      <c r="CE529" s="25" t="str">
        <f t="shared" si="353"/>
        <v>02</v>
      </c>
      <c r="CF529" s="26" t="str">
        <f t="array" ref="CF529">_xlfn.TEXTJOIN("",TRUE,IF(ISNUMBER(FIND(MID(CE528&amp;W528,ROW($1:$162),1),CE529&amp;W529)),MID(CE528&amp;W528,ROW($1:$162),1),""))</f>
        <v/>
      </c>
      <c r="CG529" s="27" t="str">
        <f t="array" ref="CG529">_xlfn.TEXTJOIN("",TRUE,IF(ISERROR(FIND(ROW($1:$168)-1,CE529&amp;CF529)),ROW($1:$168)-1,""))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29" s="28" t="str">
        <f t="shared" si="360"/>
        <v>邻孤孤</v>
      </c>
      <c r="CI529" s="29" t="str">
        <f t="shared" si="361"/>
        <v>02</v>
      </c>
      <c r="CJ529" s="29" t="str">
        <f t="array" ref="CJ529">_xlfn.TEXTJOIN("",TRUE,IF(ISNUMBER(FIND(MID(CI528&amp;X528,ROW($1:$162),1),CI529&amp;X529)),MID(CI528&amp;X528,ROW($1:$162),1),""))</f>
        <v/>
      </c>
      <c r="CK529" s="29" t="str">
        <f t="array" ref="CK529">_xlfn.TEXTJOIN("",TRUE,IF(ISERROR(FIND(ROW($1:$168)-1,CI529&amp;CJ529)),ROW($1:$168)-1,""))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29" s="19" t="str">
        <f t="shared" si="362"/>
        <v>邻孤孤</v>
      </c>
      <c r="CM529" s="24" t="str">
        <f t="shared" si="363"/>
        <v>13</v>
      </c>
      <c r="CN529" s="24" t="str">
        <f t="array" ref="CN529">_xlfn.TEXTJOIN("",TRUE,IF(ISNUMBER(FIND(MID(CM528&amp;Y528,ROW($1:$162),1),CM529&amp;Y529)),MID(CM528&amp;Y528,ROW($1:$162),1),""))</f>
        <v>21</v>
      </c>
      <c r="CO529" s="24" t="str">
        <f t="array" ref="CO529">_xlfn.TEXTJOIN("",TRUE,IF(ISERROR(FIND(ROW($1:$168)-1,CM529&amp;CN529)),ROW($1:$168)-1,""))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529" s="30" t="str">
        <f t="shared" si="364"/>
        <v>邻传孤</v>
      </c>
    </row>
    <row r="530" spans="1:94">
      <c r="A530" s="15">
        <v>530</v>
      </c>
      <c r="B530" s="80">
        <v>2025147</v>
      </c>
      <c r="C530" s="8" t="s">
        <v>433</v>
      </c>
      <c r="D530" s="81">
        <f t="shared" si="375"/>
        <v>6</v>
      </c>
      <c r="E530" s="82">
        <f t="shared" si="376"/>
        <v>6</v>
      </c>
      <c r="F530" s="83">
        <f t="shared" si="373"/>
        <v>3</v>
      </c>
      <c r="G530" s="84" t="str">
        <f t="shared" si="374"/>
        <v>标准</v>
      </c>
      <c r="H530" s="85" t="s">
        <v>10</v>
      </c>
      <c r="I530" s="85" t="s">
        <v>11</v>
      </c>
      <c r="J530" s="85" t="s">
        <v>12</v>
      </c>
      <c r="K530" s="85" t="s">
        <v>13</v>
      </c>
      <c r="L530" s="86">
        <f>MAX(MID(C530,{1,2,3},1)*1)-MIN(MID(C530,{1,2,3},1)*1)</f>
        <v>2</v>
      </c>
      <c r="M530" s="87">
        <v>0</v>
      </c>
      <c r="N530" s="87">
        <v>1</v>
      </c>
      <c r="O530" s="87">
        <v>2</v>
      </c>
      <c r="P530" s="87">
        <v>3</v>
      </c>
      <c r="Q530" s="87">
        <v>4</v>
      </c>
      <c r="R530" s="87">
        <v>5</v>
      </c>
      <c r="S530" s="87">
        <v>6</v>
      </c>
      <c r="T530" s="87">
        <v>7</v>
      </c>
      <c r="U530" s="87">
        <v>8</v>
      </c>
      <c r="V530" s="87">
        <v>9</v>
      </c>
      <c r="W530" s="88">
        <f t="shared" si="377"/>
        <v>1</v>
      </c>
      <c r="X530" s="88">
        <f t="shared" si="378"/>
        <v>2</v>
      </c>
      <c r="Y530" s="88">
        <f t="shared" si="379"/>
        <v>1</v>
      </c>
      <c r="Z530" s="89">
        <f t="shared" si="351"/>
        <v>4</v>
      </c>
      <c r="AA530" s="17" t="str">
        <f>_xlfn.TEXTJOIN(", ",TRUE,ABS(MID(C530,{1,1,2},1)-MID(C530,{2,3,3},1)))</f>
        <v>1, 2, 1</v>
      </c>
      <c r="AB530" s="90">
        <v>0</v>
      </c>
      <c r="AC530" s="90">
        <v>1</v>
      </c>
      <c r="AD530" s="90">
        <v>2</v>
      </c>
      <c r="AE530" s="90">
        <v>3</v>
      </c>
      <c r="AF530" s="90">
        <v>4</v>
      </c>
      <c r="AG530" s="90">
        <v>5</v>
      </c>
      <c r="AH530" s="90">
        <v>6</v>
      </c>
      <c r="AI530" s="90">
        <v>7</v>
      </c>
      <c r="AJ530" s="90">
        <v>8</v>
      </c>
      <c r="AK530" s="90">
        <v>9</v>
      </c>
      <c r="AL530" s="91">
        <v>0</v>
      </c>
      <c r="AM530" s="91">
        <v>1</v>
      </c>
      <c r="AN530" s="91">
        <v>2</v>
      </c>
      <c r="AO530" s="91">
        <v>3</v>
      </c>
      <c r="AP530" s="91">
        <v>4</v>
      </c>
      <c r="AQ530" s="91">
        <v>5</v>
      </c>
      <c r="AR530" s="91">
        <v>6</v>
      </c>
      <c r="AS530" s="91">
        <v>7</v>
      </c>
      <c r="AT530" s="91">
        <v>8</v>
      </c>
      <c r="AU530" s="91">
        <v>9</v>
      </c>
      <c r="AV530" s="92">
        <v>0</v>
      </c>
      <c r="AW530" s="92">
        <v>1</v>
      </c>
      <c r="AX530" s="92">
        <v>2</v>
      </c>
      <c r="AY530" s="92">
        <v>3</v>
      </c>
      <c r="AZ530" s="92">
        <v>4</v>
      </c>
      <c r="BA530" s="92">
        <v>5</v>
      </c>
      <c r="BB530" s="92">
        <v>6</v>
      </c>
      <c r="BC530" s="92">
        <v>7</v>
      </c>
      <c r="BD530" s="92">
        <v>8</v>
      </c>
      <c r="BE530" s="92">
        <v>9</v>
      </c>
      <c r="BF530" s="93">
        <v>0</v>
      </c>
      <c r="BG530" s="93">
        <v>1</v>
      </c>
      <c r="BH530" s="93">
        <v>2</v>
      </c>
      <c r="BI530" s="93">
        <v>3</v>
      </c>
      <c r="BJ530" s="93">
        <v>4</v>
      </c>
      <c r="BK530" s="93">
        <v>5</v>
      </c>
      <c r="BL530" s="93">
        <v>6</v>
      </c>
      <c r="BM530" s="93">
        <v>7</v>
      </c>
      <c r="BN530" s="93">
        <v>8</v>
      </c>
      <c r="BO530" s="93">
        <v>9</v>
      </c>
      <c r="BP530" s="94" t="str">
        <f t="shared" si="352"/>
        <v>紧凑型</v>
      </c>
      <c r="BQ530" s="15">
        <f t="shared" si="349"/>
        <v>1</v>
      </c>
      <c r="BR530" s="15">
        <f t="shared" si="350"/>
        <v>2</v>
      </c>
      <c r="BS530" s="20">
        <f t="shared" si="354"/>
        <v>1</v>
      </c>
      <c r="BT530" s="21">
        <f t="shared" si="355"/>
        <v>1</v>
      </c>
      <c r="BU530" s="21" t="str">
        <f t="array" ref="BU530">_xlfn.TEXTJOIN("",TRUE,IF(ISERROR(FIND(ROW($1:$168)-1,BS530&amp;BT530)),ROW($1:$168)-1,""))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30" s="22" t="str">
        <f t="shared" si="356"/>
        <v>复隔中</v>
      </c>
      <c r="BW530" s="23">
        <f t="shared" si="367"/>
        <v>2</v>
      </c>
      <c r="BX530" s="23" t="str">
        <f t="shared" si="365"/>
        <v/>
      </c>
      <c r="BY530" s="23" t="str">
        <f t="array" ref="BY530">_xlfn.TEXTJOIN("",TRUE,IF(ISERROR(FIND(ROW($1:$168)-1,BW530&amp;BX530)),ROW($1:$168)-1,""))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30" s="22" t="str">
        <f t="shared" si="357"/>
        <v>复中中</v>
      </c>
      <c r="CA530" s="24">
        <f t="shared" si="358"/>
        <v>1</v>
      </c>
      <c r="CB530" s="24">
        <f t="shared" si="366"/>
        <v>1</v>
      </c>
      <c r="CC530" s="24" t="str">
        <f t="array" ref="CC530">_xlfn.TEXTJOIN("",TRUE,IF(ISERROR(FIND(ROW($1:$168)-1,CA530&amp;CB530)),ROW($1:$168)-1,""))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30" s="22" t="str">
        <f t="shared" si="359"/>
        <v>复隔中</v>
      </c>
      <c r="CE530" s="25" t="str">
        <f t="shared" si="353"/>
        <v>02</v>
      </c>
      <c r="CF530" s="26" t="str">
        <f t="array" ref="CF530">_xlfn.TEXTJOIN("",TRUE,IF(ISNUMBER(FIND(MID(CE529&amp;W529,ROW($1:$162),1),CE530&amp;W530)),MID(CE529&amp;W529,ROW($1:$162),1),""))</f>
        <v>021</v>
      </c>
      <c r="CG530" s="27" t="str">
        <f t="array" ref="CG530">_xlfn.TEXTJOIN("",TRUE,IF(ISERROR(FIND(ROW($1:$168)-1,CE530&amp;CF530)),ROW($1:$168)-1,""))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30" s="28" t="str">
        <f t="shared" si="360"/>
        <v>邻传孤</v>
      </c>
      <c r="CI530" s="29" t="str">
        <f t="shared" si="361"/>
        <v>13</v>
      </c>
      <c r="CJ530" s="29" t="str">
        <f t="array" ref="CJ530">_xlfn.TEXTJOIN("",TRUE,IF(ISNUMBER(FIND(MID(CI529&amp;X529,ROW($1:$162),1),CI530&amp;X530)),MID(CI529&amp;X529,ROW($1:$162),1),""))</f>
        <v>21</v>
      </c>
      <c r="CK530" s="29" t="str">
        <f t="array" ref="CK530">_xlfn.TEXTJOIN("",TRUE,IF(ISERROR(FIND(ROW($1:$168)-1,CI530&amp;CJ530)),ROW($1:$168)-1,""))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530" s="19" t="str">
        <f t="shared" si="362"/>
        <v>邻传孤</v>
      </c>
      <c r="CM530" s="24" t="str">
        <f t="shared" si="363"/>
        <v>02</v>
      </c>
      <c r="CN530" s="24" t="str">
        <f t="array" ref="CN530">_xlfn.TEXTJOIN("",TRUE,IF(ISNUMBER(FIND(MID(CM529&amp;Y529,ROW($1:$162),1),CM530&amp;Y530)),MID(CM529&amp;Y529,ROW($1:$162),1),""))</f>
        <v>12</v>
      </c>
      <c r="CO530" s="24" t="str">
        <f t="array" ref="CO530">_xlfn.TEXTJOIN("",TRUE,IF(ISERROR(FIND(ROW($1:$168)-1,CM530&amp;CN530)),ROW($1:$168)-1,""))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30" s="30" t="str">
        <f t="shared" si="364"/>
        <v>邻传孤</v>
      </c>
    </row>
    <row r="531" spans="1:94">
      <c r="A531" s="15">
        <v>531</v>
      </c>
      <c r="B531" s="80">
        <v>2025148</v>
      </c>
      <c r="C531" s="8" t="s">
        <v>429</v>
      </c>
      <c r="D531" s="81">
        <f t="shared" si="375"/>
        <v>19</v>
      </c>
      <c r="E531" s="82">
        <f t="shared" si="376"/>
        <v>9</v>
      </c>
      <c r="F531" s="83">
        <f t="shared" si="373"/>
        <v>3.8</v>
      </c>
      <c r="G531" s="84" t="str">
        <f t="shared" si="374"/>
        <v>紧凑</v>
      </c>
      <c r="H531" s="85" t="s">
        <v>10</v>
      </c>
      <c r="I531" s="85" t="s">
        <v>11</v>
      </c>
      <c r="J531" s="85" t="s">
        <v>12</v>
      </c>
      <c r="K531" s="85" t="s">
        <v>13</v>
      </c>
      <c r="L531" s="86">
        <f>MAX(MID(C531,{1,2,3},1)*1)-MIN(MID(C531,{1,2,3},1)*1)</f>
        <v>5</v>
      </c>
      <c r="M531" s="87">
        <v>0</v>
      </c>
      <c r="N531" s="87">
        <v>1</v>
      </c>
      <c r="O531" s="87">
        <v>2</v>
      </c>
      <c r="P531" s="87">
        <v>3</v>
      </c>
      <c r="Q531" s="87">
        <v>4</v>
      </c>
      <c r="R531" s="87">
        <v>5</v>
      </c>
      <c r="S531" s="87">
        <v>6</v>
      </c>
      <c r="T531" s="87">
        <v>7</v>
      </c>
      <c r="U531" s="87">
        <v>8</v>
      </c>
      <c r="V531" s="87">
        <v>9</v>
      </c>
      <c r="W531" s="88">
        <f t="shared" si="377"/>
        <v>5</v>
      </c>
      <c r="X531" s="88">
        <f t="shared" si="378"/>
        <v>0</v>
      </c>
      <c r="Y531" s="88">
        <f t="shared" si="379"/>
        <v>5</v>
      </c>
      <c r="Z531" s="89">
        <f t="shared" si="351"/>
        <v>10</v>
      </c>
      <c r="AA531" s="17" t="str">
        <f>_xlfn.TEXTJOIN(", ",TRUE,ABS(MID(C531,{1,1,2},1)-MID(C531,{2,3,3},1)))</f>
        <v>5, 0, 5</v>
      </c>
      <c r="AB531" s="90">
        <v>0</v>
      </c>
      <c r="AC531" s="90">
        <v>1</v>
      </c>
      <c r="AD531" s="90">
        <v>2</v>
      </c>
      <c r="AE531" s="90">
        <v>3</v>
      </c>
      <c r="AF531" s="90">
        <v>4</v>
      </c>
      <c r="AG531" s="90">
        <v>5</v>
      </c>
      <c r="AH531" s="90">
        <v>6</v>
      </c>
      <c r="AI531" s="90">
        <v>7</v>
      </c>
      <c r="AJ531" s="90">
        <v>8</v>
      </c>
      <c r="AK531" s="90">
        <v>9</v>
      </c>
      <c r="AL531" s="91">
        <v>0</v>
      </c>
      <c r="AM531" s="91">
        <v>1</v>
      </c>
      <c r="AN531" s="91">
        <v>2</v>
      </c>
      <c r="AO531" s="91">
        <v>3</v>
      </c>
      <c r="AP531" s="91">
        <v>4</v>
      </c>
      <c r="AQ531" s="91">
        <v>5</v>
      </c>
      <c r="AR531" s="91">
        <v>6</v>
      </c>
      <c r="AS531" s="91">
        <v>7</v>
      </c>
      <c r="AT531" s="91">
        <v>8</v>
      </c>
      <c r="AU531" s="91">
        <v>9</v>
      </c>
      <c r="AV531" s="92">
        <v>0</v>
      </c>
      <c r="AW531" s="92">
        <v>1</v>
      </c>
      <c r="AX531" s="92">
        <v>2</v>
      </c>
      <c r="AY531" s="92">
        <v>3</v>
      </c>
      <c r="AZ531" s="92">
        <v>4</v>
      </c>
      <c r="BA531" s="92">
        <v>5</v>
      </c>
      <c r="BB531" s="92">
        <v>6</v>
      </c>
      <c r="BC531" s="92">
        <v>7</v>
      </c>
      <c r="BD531" s="92">
        <v>8</v>
      </c>
      <c r="BE531" s="92">
        <v>9</v>
      </c>
      <c r="BF531" s="93">
        <v>0</v>
      </c>
      <c r="BG531" s="93">
        <v>1</v>
      </c>
      <c r="BH531" s="93">
        <v>2</v>
      </c>
      <c r="BI531" s="93">
        <v>3</v>
      </c>
      <c r="BJ531" s="93">
        <v>4</v>
      </c>
      <c r="BK531" s="93">
        <v>5</v>
      </c>
      <c r="BL531" s="93">
        <v>6</v>
      </c>
      <c r="BM531" s="93">
        <v>7</v>
      </c>
      <c r="BN531" s="93">
        <v>8</v>
      </c>
      <c r="BO531" s="93">
        <v>9</v>
      </c>
      <c r="BP531" s="94" t="str">
        <f t="shared" si="352"/>
        <v>对子</v>
      </c>
      <c r="BQ531" s="15">
        <f t="shared" si="349"/>
        <v>0</v>
      </c>
      <c r="BR531" s="15">
        <f t="shared" si="350"/>
        <v>5</v>
      </c>
      <c r="BS531" s="20" t="str">
        <f t="shared" si="354"/>
        <v/>
      </c>
      <c r="BT531" s="21" t="str">
        <f t="shared" si="355"/>
        <v/>
      </c>
      <c r="BU531" s="21" t="str">
        <f t="array" ref="BU531">_xlfn.TEXTJOIN("",TRUE,IF(ISERROR(FIND(ROW($1:$168)-1,BS531&amp;BT531)),ROW($1:$168)-1,""))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31" s="22" t="str">
        <f t="shared" si="356"/>
        <v>中中中</v>
      </c>
      <c r="BW531" s="23" t="str">
        <f t="shared" si="367"/>
        <v/>
      </c>
      <c r="BX531" s="23" t="str">
        <f t="shared" si="365"/>
        <v/>
      </c>
      <c r="BY531" s="23" t="str">
        <f t="array" ref="BY531">_xlfn.TEXTJOIN("",TRUE,IF(ISERROR(FIND(ROW($1:$168)-1,BW531&amp;BX531)),ROW($1:$168)-1,""))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31" s="22" t="str">
        <f t="shared" si="357"/>
        <v>中中中</v>
      </c>
      <c r="CA531" s="24" t="str">
        <f t="shared" si="358"/>
        <v/>
      </c>
      <c r="CB531" s="24" t="str">
        <f t="shared" si="366"/>
        <v/>
      </c>
      <c r="CC531" s="24" t="str">
        <f t="array" ref="CC531">_xlfn.TEXTJOIN("",TRUE,IF(ISERROR(FIND(ROW($1:$168)-1,CA531&amp;CB531)),ROW($1:$168)-1,""))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31" s="22" t="str">
        <f t="shared" si="359"/>
        <v>中中中</v>
      </c>
      <c r="CE531" s="25" t="str">
        <f t="shared" si="353"/>
        <v>46</v>
      </c>
      <c r="CF531" s="26" t="str">
        <f t="array" ref="CF531">_xlfn.TEXTJOIN("",TRUE,IF(ISNUMBER(FIND(MID(CE530&amp;W530,ROW($1:$162),1),CE531&amp;W531)),MID(CE530&amp;W530,ROW($1:$162),1),""))</f>
        <v/>
      </c>
      <c r="CG531" s="27" t="str">
        <f t="array" ref="CG531">_xlfn.TEXTJOIN("",TRUE,IF(ISERROR(FIND(ROW($1:$168)-1,CE531&amp;CF531)),ROW($1:$168)-1,""))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31" s="28" t="str">
        <f t="shared" si="360"/>
        <v>邻孤孤</v>
      </c>
      <c r="CI531" s="29" t="str">
        <f t="shared" si="361"/>
        <v>91</v>
      </c>
      <c r="CJ531" s="29" t="str">
        <f t="array" ref="CJ531">_xlfn.TEXTJOIN("",TRUE,IF(ISNUMBER(FIND(MID(CI530&amp;X530,ROW($1:$162),1),CI531&amp;X531)),MID(CI530&amp;X530,ROW($1:$162),1),""))</f>
        <v>1</v>
      </c>
      <c r="CK531" s="29" t="str">
        <f t="array" ref="CK531">_xlfn.TEXTJOIN("",TRUE,IF(ISERROR(FIND(ROW($1:$168)-1,CI531&amp;CJ531)),ROW($1:$168)-1,""))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531" s="19" t="str">
        <f t="shared" si="362"/>
        <v>邻传孤</v>
      </c>
      <c r="CM531" s="24" t="str">
        <f t="shared" si="363"/>
        <v>46</v>
      </c>
      <c r="CN531" s="24" t="str">
        <f t="array" ref="CN531">_xlfn.TEXTJOIN("",TRUE,IF(ISNUMBER(FIND(MID(CM530&amp;Y530,ROW($1:$162),1),CM531&amp;Y531)),MID(CM530&amp;Y530,ROW($1:$162),1),""))</f>
        <v/>
      </c>
      <c r="CO531" s="24" t="str">
        <f t="array" ref="CO531">_xlfn.TEXTJOIN("",TRUE,IF(ISERROR(FIND(ROW($1:$168)-1,CM531&amp;CN531)),ROW($1:$168)-1,""))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31" s="30" t="str">
        <f t="shared" si="364"/>
        <v>邻孤孤</v>
      </c>
    </row>
    <row r="532" spans="1:94">
      <c r="A532" s="15">
        <v>532</v>
      </c>
      <c r="B532" s="80">
        <v>2025149</v>
      </c>
      <c r="C532" s="8" t="s">
        <v>434</v>
      </c>
      <c r="D532" s="81">
        <f t="shared" si="375"/>
        <v>14</v>
      </c>
      <c r="E532" s="82">
        <f t="shared" si="376"/>
        <v>4</v>
      </c>
      <c r="F532" s="83">
        <f t="shared" si="373"/>
        <v>3.5</v>
      </c>
      <c r="G532" s="84" t="str">
        <f t="shared" si="374"/>
        <v>标准</v>
      </c>
      <c r="H532" s="85" t="s">
        <v>10</v>
      </c>
      <c r="I532" s="85" t="s">
        <v>11</v>
      </c>
      <c r="J532" s="85" t="s">
        <v>12</v>
      </c>
      <c r="K532" s="85" t="s">
        <v>13</v>
      </c>
      <c r="L532" s="86">
        <f>MAX(MID(C532,{1,2,3},1)*1)-MIN(MID(C532,{1,2,3},1)*1)</f>
        <v>4</v>
      </c>
      <c r="M532" s="87">
        <v>0</v>
      </c>
      <c r="N532" s="87">
        <v>1</v>
      </c>
      <c r="O532" s="87">
        <v>2</v>
      </c>
      <c r="P532" s="87">
        <v>3</v>
      </c>
      <c r="Q532" s="87">
        <v>4</v>
      </c>
      <c r="R532" s="87">
        <v>5</v>
      </c>
      <c r="S532" s="87">
        <v>6</v>
      </c>
      <c r="T532" s="87">
        <v>7</v>
      </c>
      <c r="U532" s="87">
        <v>8</v>
      </c>
      <c r="V532" s="87">
        <v>9</v>
      </c>
      <c r="W532" s="88">
        <f t="shared" si="377"/>
        <v>4</v>
      </c>
      <c r="X532" s="88">
        <f t="shared" si="378"/>
        <v>3</v>
      </c>
      <c r="Y532" s="88">
        <f t="shared" si="379"/>
        <v>1</v>
      </c>
      <c r="Z532" s="89">
        <f t="shared" si="351"/>
        <v>8</v>
      </c>
      <c r="AA532" s="17" t="str">
        <f>_xlfn.TEXTJOIN(", ",TRUE,ABS(MID(C532,{1,1,2},1)-MID(C532,{2,3,3},1)))</f>
        <v>4, 3, 1</v>
      </c>
      <c r="AB532" s="90">
        <v>0</v>
      </c>
      <c r="AC532" s="90">
        <v>1</v>
      </c>
      <c r="AD532" s="90">
        <v>2</v>
      </c>
      <c r="AE532" s="90">
        <v>3</v>
      </c>
      <c r="AF532" s="90">
        <v>4</v>
      </c>
      <c r="AG532" s="90">
        <v>5</v>
      </c>
      <c r="AH532" s="90">
        <v>6</v>
      </c>
      <c r="AI532" s="90">
        <v>7</v>
      </c>
      <c r="AJ532" s="90">
        <v>8</v>
      </c>
      <c r="AK532" s="90">
        <v>9</v>
      </c>
      <c r="AL532" s="91">
        <v>0</v>
      </c>
      <c r="AM532" s="91">
        <v>1</v>
      </c>
      <c r="AN532" s="91">
        <v>2</v>
      </c>
      <c r="AO532" s="91">
        <v>3</v>
      </c>
      <c r="AP532" s="91">
        <v>4</v>
      </c>
      <c r="AQ532" s="91">
        <v>5</v>
      </c>
      <c r="AR532" s="91">
        <v>6</v>
      </c>
      <c r="AS532" s="91">
        <v>7</v>
      </c>
      <c r="AT532" s="91">
        <v>8</v>
      </c>
      <c r="AU532" s="91">
        <v>9</v>
      </c>
      <c r="AV532" s="92">
        <v>0</v>
      </c>
      <c r="AW532" s="92">
        <v>1</v>
      </c>
      <c r="AX532" s="92">
        <v>2</v>
      </c>
      <c r="AY532" s="92">
        <v>3</v>
      </c>
      <c r="AZ532" s="92">
        <v>4</v>
      </c>
      <c r="BA532" s="92">
        <v>5</v>
      </c>
      <c r="BB532" s="92">
        <v>6</v>
      </c>
      <c r="BC532" s="92">
        <v>7</v>
      </c>
      <c r="BD532" s="92">
        <v>8</v>
      </c>
      <c r="BE532" s="92">
        <v>9</v>
      </c>
      <c r="BF532" s="93">
        <v>0</v>
      </c>
      <c r="BG532" s="93">
        <v>1</v>
      </c>
      <c r="BH532" s="93">
        <v>2</v>
      </c>
      <c r="BI532" s="93">
        <v>3</v>
      </c>
      <c r="BJ532" s="93">
        <v>4</v>
      </c>
      <c r="BK532" s="93">
        <v>5</v>
      </c>
      <c r="BL532" s="93">
        <v>6</v>
      </c>
      <c r="BM532" s="93">
        <v>7</v>
      </c>
      <c r="BN532" s="93">
        <v>8</v>
      </c>
      <c r="BO532" s="93">
        <v>9</v>
      </c>
      <c r="BP532" s="94" t="str">
        <f t="shared" si="352"/>
        <v>紧凑型</v>
      </c>
      <c r="BQ532" s="15">
        <f t="shared" si="349"/>
        <v>1</v>
      </c>
      <c r="BR532" s="15">
        <f t="shared" si="350"/>
        <v>4</v>
      </c>
      <c r="BS532" s="20" t="str">
        <f t="shared" si="354"/>
        <v/>
      </c>
      <c r="BT532" s="21" t="str">
        <f t="shared" si="355"/>
        <v/>
      </c>
      <c r="BU532" s="21" t="str">
        <f t="array" ref="BU532">_xlfn.TEXTJOIN("",TRUE,IF(ISERROR(FIND(ROW($1:$168)-1,BS532&amp;BT532)),ROW($1:$168)-1,""))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32" s="22" t="str">
        <f t="shared" si="356"/>
        <v>中中中</v>
      </c>
      <c r="BW532" s="23" t="str">
        <f t="shared" si="367"/>
        <v/>
      </c>
      <c r="BX532" s="23" t="str">
        <f t="shared" si="365"/>
        <v/>
      </c>
      <c r="BY532" s="23" t="str">
        <f t="array" ref="BY532">_xlfn.TEXTJOIN("",TRUE,IF(ISERROR(FIND(ROW($1:$168)-1,BW532&amp;BX532)),ROW($1:$168)-1,""))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32" s="22" t="str">
        <f t="shared" si="357"/>
        <v>中中中</v>
      </c>
      <c r="CA532" s="24" t="str">
        <f t="shared" si="358"/>
        <v/>
      </c>
      <c r="CB532" s="24">
        <f t="shared" si="366"/>
        <v>1</v>
      </c>
      <c r="CC532" s="24" t="str">
        <f t="array" ref="CC532">_xlfn.TEXTJOIN("",TRUE,IF(ISERROR(FIND(ROW($1:$168)-1,CA532&amp;CB532)),ROW($1:$168)-1,""))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32" s="22" t="str">
        <f t="shared" si="359"/>
        <v>中隔中</v>
      </c>
      <c r="CE532" s="25" t="str">
        <f t="shared" si="353"/>
        <v>35</v>
      </c>
      <c r="CF532" s="26" t="str">
        <f t="array" ref="CF532">_xlfn.TEXTJOIN("",TRUE,IF(ISNUMBER(FIND(MID(CE531&amp;W531,ROW($1:$162),1),CE532&amp;W532)),MID(CE531&amp;W531,ROW($1:$162),1),""))</f>
        <v>45</v>
      </c>
      <c r="CG532" s="27" t="str">
        <f t="array" ref="CG532">_xlfn.TEXTJOIN("",TRUE,IF(ISERROR(FIND(ROW($1:$168)-1,CE532&amp;CF532)),ROW($1:$168)-1,""))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32" s="28" t="str">
        <f t="shared" si="360"/>
        <v>邻传孤</v>
      </c>
      <c r="CI532" s="29" t="str">
        <f t="shared" si="361"/>
        <v>24</v>
      </c>
      <c r="CJ532" s="29" t="str">
        <f t="array" ref="CJ532">_xlfn.TEXTJOIN("",TRUE,IF(ISNUMBER(FIND(MID(CI531&amp;X531,ROW($1:$162),1),CI532&amp;X532)),MID(CI531&amp;X531,ROW($1:$162),1),""))</f>
        <v/>
      </c>
      <c r="CK532" s="29" t="str">
        <f t="array" ref="CK532">_xlfn.TEXTJOIN("",TRUE,IF(ISERROR(FIND(ROW($1:$168)-1,CI532&amp;CJ532)),ROW($1:$168)-1,""))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32" s="19" t="str">
        <f t="shared" si="362"/>
        <v>邻孤孤</v>
      </c>
      <c r="CM532" s="24" t="str">
        <f t="shared" si="363"/>
        <v>02</v>
      </c>
      <c r="CN532" s="24" t="str">
        <f t="array" ref="CN532">_xlfn.TEXTJOIN("",TRUE,IF(ISNUMBER(FIND(MID(CM531&amp;Y531,ROW($1:$162),1),CM532&amp;Y532)),MID(CM531&amp;Y531,ROW($1:$162),1),""))</f>
        <v/>
      </c>
      <c r="CO532" s="24" t="str">
        <f t="array" ref="CO532">_xlfn.TEXTJOIN("",TRUE,IF(ISERROR(FIND(ROW($1:$168)-1,CM532&amp;CN532)),ROW($1:$168)-1,""))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32" s="30" t="str">
        <f t="shared" si="364"/>
        <v>邻孤孤</v>
      </c>
    </row>
    <row r="533" spans="1:94">
      <c r="A533" s="15">
        <v>533</v>
      </c>
      <c r="B533" s="80">
        <v>2025150</v>
      </c>
      <c r="C533" s="8" t="s">
        <v>433</v>
      </c>
      <c r="D533" s="81">
        <f t="shared" si="375"/>
        <v>6</v>
      </c>
      <c r="E533" s="82">
        <f t="shared" si="376"/>
        <v>6</v>
      </c>
      <c r="F533" s="83">
        <f t="shared" si="373"/>
        <v>3</v>
      </c>
      <c r="G533" s="84" t="str">
        <f t="shared" si="374"/>
        <v>标准</v>
      </c>
      <c r="H533" s="85" t="s">
        <v>10</v>
      </c>
      <c r="I533" s="85" t="s">
        <v>11</v>
      </c>
      <c r="J533" s="85" t="s">
        <v>12</v>
      </c>
      <c r="K533" s="85" t="s">
        <v>13</v>
      </c>
      <c r="L533" s="86">
        <f>MAX(MID(C533,{1,2,3},1)*1)-MIN(MID(C533,{1,2,3},1)*1)</f>
        <v>2</v>
      </c>
      <c r="M533" s="87">
        <v>0</v>
      </c>
      <c r="N533" s="87">
        <v>1</v>
      </c>
      <c r="O533" s="87">
        <v>2</v>
      </c>
      <c r="P533" s="87">
        <v>3</v>
      </c>
      <c r="Q533" s="87">
        <v>4</v>
      </c>
      <c r="R533" s="87">
        <v>5</v>
      </c>
      <c r="S533" s="87">
        <v>6</v>
      </c>
      <c r="T533" s="87">
        <v>7</v>
      </c>
      <c r="U533" s="87">
        <v>8</v>
      </c>
      <c r="V533" s="87">
        <v>9</v>
      </c>
      <c r="W533" s="88">
        <f t="shared" si="377"/>
        <v>1</v>
      </c>
      <c r="X533" s="88">
        <f t="shared" si="378"/>
        <v>2</v>
      </c>
      <c r="Y533" s="88">
        <f t="shared" si="379"/>
        <v>1</v>
      </c>
      <c r="Z533" s="89">
        <f t="shared" si="351"/>
        <v>4</v>
      </c>
      <c r="AA533" s="17" t="str">
        <f>_xlfn.TEXTJOIN(", ",TRUE,ABS(MID(C533,{1,1,2},1)-MID(C533,{2,3,3},1)))</f>
        <v>1, 2, 1</v>
      </c>
      <c r="AB533" s="90">
        <v>0</v>
      </c>
      <c r="AC533" s="90">
        <v>1</v>
      </c>
      <c r="AD533" s="90">
        <v>2</v>
      </c>
      <c r="AE533" s="90">
        <v>3</v>
      </c>
      <c r="AF533" s="90">
        <v>4</v>
      </c>
      <c r="AG533" s="90">
        <v>5</v>
      </c>
      <c r="AH533" s="90">
        <v>6</v>
      </c>
      <c r="AI533" s="90">
        <v>7</v>
      </c>
      <c r="AJ533" s="90">
        <v>8</v>
      </c>
      <c r="AK533" s="90">
        <v>9</v>
      </c>
      <c r="AL533" s="91">
        <v>0</v>
      </c>
      <c r="AM533" s="91">
        <v>1</v>
      </c>
      <c r="AN533" s="91">
        <v>2</v>
      </c>
      <c r="AO533" s="91">
        <v>3</v>
      </c>
      <c r="AP533" s="91">
        <v>4</v>
      </c>
      <c r="AQ533" s="91">
        <v>5</v>
      </c>
      <c r="AR533" s="91">
        <v>6</v>
      </c>
      <c r="AS533" s="91">
        <v>7</v>
      </c>
      <c r="AT533" s="91">
        <v>8</v>
      </c>
      <c r="AU533" s="91">
        <v>9</v>
      </c>
      <c r="AV533" s="92">
        <v>0</v>
      </c>
      <c r="AW533" s="92">
        <v>1</v>
      </c>
      <c r="AX533" s="92">
        <v>2</v>
      </c>
      <c r="AY533" s="92">
        <v>3</v>
      </c>
      <c r="AZ533" s="92">
        <v>4</v>
      </c>
      <c r="BA533" s="92">
        <v>5</v>
      </c>
      <c r="BB533" s="92">
        <v>6</v>
      </c>
      <c r="BC533" s="92">
        <v>7</v>
      </c>
      <c r="BD533" s="92">
        <v>8</v>
      </c>
      <c r="BE533" s="92">
        <v>9</v>
      </c>
      <c r="BF533" s="93">
        <v>0</v>
      </c>
      <c r="BG533" s="93">
        <v>1</v>
      </c>
      <c r="BH533" s="93">
        <v>2</v>
      </c>
      <c r="BI533" s="93">
        <v>3</v>
      </c>
      <c r="BJ533" s="93">
        <v>4</v>
      </c>
      <c r="BK533" s="93">
        <v>5</v>
      </c>
      <c r="BL533" s="93">
        <v>6</v>
      </c>
      <c r="BM533" s="93">
        <v>7</v>
      </c>
      <c r="BN533" s="93">
        <v>8</v>
      </c>
      <c r="BO533" s="93">
        <v>9</v>
      </c>
      <c r="BP533" s="94" t="str">
        <f t="shared" si="352"/>
        <v>紧凑型</v>
      </c>
      <c r="BQ533" s="15">
        <f t="shared" si="349"/>
        <v>1</v>
      </c>
      <c r="BR533" s="15">
        <f t="shared" si="350"/>
        <v>2</v>
      </c>
      <c r="BS533" s="20">
        <f t="shared" si="354"/>
        <v>1</v>
      </c>
      <c r="BT533" s="21" t="str">
        <f t="shared" si="355"/>
        <v/>
      </c>
      <c r="BU533" s="21" t="str">
        <f t="array" ref="BU533">_xlfn.TEXTJOIN("",TRUE,IF(ISERROR(FIND(ROW($1:$168)-1,BS533&amp;BT533)),ROW($1:$168)-1,""))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33" s="22" t="str">
        <f t="shared" si="356"/>
        <v>复中中</v>
      </c>
      <c r="BW533" s="23" t="str">
        <f t="shared" si="367"/>
        <v/>
      </c>
      <c r="BX533" s="23" t="str">
        <f t="shared" si="365"/>
        <v/>
      </c>
      <c r="BY533" s="23" t="str">
        <f t="array" ref="BY533">_xlfn.TEXTJOIN("",TRUE,IF(ISERROR(FIND(ROW($1:$168)-1,BW533&amp;BX533)),ROW($1:$168)-1,""))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33" s="22" t="str">
        <f t="shared" si="357"/>
        <v>中中中</v>
      </c>
      <c r="CA533" s="24">
        <f t="shared" si="358"/>
        <v>1</v>
      </c>
      <c r="CB533" s="24" t="str">
        <f t="shared" si="366"/>
        <v/>
      </c>
      <c r="CC533" s="24" t="str">
        <f t="array" ref="CC533">_xlfn.TEXTJOIN("",TRUE,IF(ISERROR(FIND(ROW($1:$168)-1,CA533&amp;CB533)),ROW($1:$168)-1,""))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33" s="22" t="str">
        <f t="shared" si="359"/>
        <v>复中中</v>
      </c>
      <c r="CE533" s="25" t="str">
        <f t="shared" si="353"/>
        <v>02</v>
      </c>
      <c r="CF533" s="26" t="str">
        <f t="array" ref="CF533">_xlfn.TEXTJOIN("",TRUE,IF(ISNUMBER(FIND(MID(CE532&amp;W532,ROW($1:$162),1),CE533&amp;W533)),MID(CE532&amp;W532,ROW($1:$162),1),""))</f>
        <v/>
      </c>
      <c r="CG533" s="27" t="str">
        <f t="array" ref="CG533">_xlfn.TEXTJOIN("",TRUE,IF(ISERROR(FIND(ROW($1:$168)-1,CE533&amp;CF533)),ROW($1:$168)-1,""))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33" s="28" t="str">
        <f t="shared" si="360"/>
        <v>邻孤孤</v>
      </c>
      <c r="CI533" s="29" t="str">
        <f t="shared" si="361"/>
        <v>13</v>
      </c>
      <c r="CJ533" s="29" t="str">
        <f t="array" ref="CJ533">_xlfn.TEXTJOIN("",TRUE,IF(ISNUMBER(FIND(MID(CI532&amp;X532,ROW($1:$162),1),CI533&amp;X533)),MID(CI532&amp;X532,ROW($1:$162),1),""))</f>
        <v>23</v>
      </c>
      <c r="CK533" s="29" t="str">
        <f t="array" ref="CK533">_xlfn.TEXTJOIN("",TRUE,IF(ISERROR(FIND(ROW($1:$168)-1,CI533&amp;CJ533)),ROW($1:$168)-1,""))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533" s="19" t="str">
        <f t="shared" si="362"/>
        <v>邻传孤</v>
      </c>
      <c r="CM533" s="24" t="str">
        <f t="shared" si="363"/>
        <v>02</v>
      </c>
      <c r="CN533" s="24" t="str">
        <f t="array" ref="CN533">_xlfn.TEXTJOIN("",TRUE,IF(ISNUMBER(FIND(MID(CM532&amp;Y532,ROW($1:$162),1),CM533&amp;Y533)),MID(CM532&amp;Y532,ROW($1:$162),1),""))</f>
        <v>021</v>
      </c>
      <c r="CO533" s="24" t="str">
        <f t="array" ref="CO533">_xlfn.TEXTJOIN("",TRUE,IF(ISERROR(FIND(ROW($1:$168)-1,CM533&amp;CN533)),ROW($1:$168)-1,""))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33" s="30" t="str">
        <f t="shared" si="364"/>
        <v>邻传孤</v>
      </c>
    </row>
    <row r="534" spans="1:94">
      <c r="A534" s="15">
        <v>534</v>
      </c>
      <c r="B534" s="80">
        <v>2025151</v>
      </c>
      <c r="C534" s="8" t="s">
        <v>298</v>
      </c>
      <c r="D534" s="81">
        <f t="shared" si="375"/>
        <v>16</v>
      </c>
      <c r="E534" s="82">
        <f t="shared" si="376"/>
        <v>6</v>
      </c>
      <c r="F534" s="83">
        <f t="shared" si="373"/>
        <v>2.28571428571429</v>
      </c>
      <c r="G534" s="84" t="str">
        <f t="shared" si="374"/>
        <v>标准</v>
      </c>
      <c r="H534" s="85" t="s">
        <v>10</v>
      </c>
      <c r="I534" s="85" t="s">
        <v>11</v>
      </c>
      <c r="J534" s="85" t="s">
        <v>12</v>
      </c>
      <c r="K534" s="85" t="s">
        <v>13</v>
      </c>
      <c r="L534" s="86">
        <f>MAX(MID(C534,{1,2,3},1)*1)-MIN(MID(C534,{1,2,3},1)*1)</f>
        <v>7</v>
      </c>
      <c r="M534" s="87">
        <v>0</v>
      </c>
      <c r="N534" s="87">
        <v>1</v>
      </c>
      <c r="O534" s="87">
        <v>2</v>
      </c>
      <c r="P534" s="87">
        <v>3</v>
      </c>
      <c r="Q534" s="87">
        <v>4</v>
      </c>
      <c r="R534" s="87">
        <v>5</v>
      </c>
      <c r="S534" s="87">
        <v>6</v>
      </c>
      <c r="T534" s="87">
        <v>7</v>
      </c>
      <c r="U534" s="87">
        <v>8</v>
      </c>
      <c r="V534" s="87">
        <v>9</v>
      </c>
      <c r="W534" s="88">
        <f t="shared" si="377"/>
        <v>6</v>
      </c>
      <c r="X534" s="88">
        <f t="shared" si="378"/>
        <v>1</v>
      </c>
      <c r="Y534" s="88">
        <f t="shared" si="379"/>
        <v>7</v>
      </c>
      <c r="Z534" s="89">
        <f t="shared" si="351"/>
        <v>14</v>
      </c>
      <c r="AA534" s="17" t="str">
        <f>_xlfn.TEXTJOIN(", ",TRUE,ABS(MID(C534,{1,1,2},1)-MID(C534,{2,3,3},1)))</f>
        <v>6, 1, 7</v>
      </c>
      <c r="AB534" s="90">
        <v>0</v>
      </c>
      <c r="AC534" s="90">
        <v>1</v>
      </c>
      <c r="AD534" s="90">
        <v>2</v>
      </c>
      <c r="AE534" s="90">
        <v>3</v>
      </c>
      <c r="AF534" s="90">
        <v>4</v>
      </c>
      <c r="AG534" s="90">
        <v>5</v>
      </c>
      <c r="AH534" s="90">
        <v>6</v>
      </c>
      <c r="AI534" s="90">
        <v>7</v>
      </c>
      <c r="AJ534" s="90">
        <v>8</v>
      </c>
      <c r="AK534" s="90">
        <v>9</v>
      </c>
      <c r="AL534" s="91">
        <v>0</v>
      </c>
      <c r="AM534" s="91">
        <v>1</v>
      </c>
      <c r="AN534" s="91">
        <v>2</v>
      </c>
      <c r="AO534" s="91">
        <v>3</v>
      </c>
      <c r="AP534" s="91">
        <v>4</v>
      </c>
      <c r="AQ534" s="91">
        <v>5</v>
      </c>
      <c r="AR534" s="91">
        <v>6</v>
      </c>
      <c r="AS534" s="91">
        <v>7</v>
      </c>
      <c r="AT534" s="91">
        <v>8</v>
      </c>
      <c r="AU534" s="91">
        <v>9</v>
      </c>
      <c r="AV534" s="92">
        <v>0</v>
      </c>
      <c r="AW534" s="92">
        <v>1</v>
      </c>
      <c r="AX534" s="92">
        <v>2</v>
      </c>
      <c r="AY534" s="92">
        <v>3</v>
      </c>
      <c r="AZ534" s="92">
        <v>4</v>
      </c>
      <c r="BA534" s="92">
        <v>5</v>
      </c>
      <c r="BB534" s="92">
        <v>6</v>
      </c>
      <c r="BC534" s="92">
        <v>7</v>
      </c>
      <c r="BD534" s="92">
        <v>8</v>
      </c>
      <c r="BE534" s="92">
        <v>9</v>
      </c>
      <c r="BF534" s="93">
        <v>0</v>
      </c>
      <c r="BG534" s="93">
        <v>1</v>
      </c>
      <c r="BH534" s="93">
        <v>2</v>
      </c>
      <c r="BI534" s="93">
        <v>3</v>
      </c>
      <c r="BJ534" s="93">
        <v>4</v>
      </c>
      <c r="BK534" s="93">
        <v>5</v>
      </c>
      <c r="BL534" s="93">
        <v>6</v>
      </c>
      <c r="BM534" s="93">
        <v>7</v>
      </c>
      <c r="BN534" s="93">
        <v>8</v>
      </c>
      <c r="BO534" s="93">
        <v>9</v>
      </c>
      <c r="BP534" s="94" t="str">
        <f t="shared" si="352"/>
        <v>松散型</v>
      </c>
      <c r="BQ534" s="15">
        <f t="shared" si="349"/>
        <v>1</v>
      </c>
      <c r="BR534" s="15">
        <f t="shared" si="350"/>
        <v>7</v>
      </c>
      <c r="BS534" s="20" t="str">
        <f t="shared" si="354"/>
        <v/>
      </c>
      <c r="BT534" s="21" t="str">
        <f t="shared" si="355"/>
        <v/>
      </c>
      <c r="BU534" s="21" t="str">
        <f t="array" ref="BU534">_xlfn.TEXTJOIN("",TRUE,IF(ISERROR(FIND(ROW($1:$168)-1,BS534&amp;BT534)),ROW($1:$168)-1,""))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34" s="22" t="str">
        <f t="shared" si="356"/>
        <v>中中中</v>
      </c>
      <c r="BW534" s="23">
        <f t="shared" si="367"/>
        <v>1</v>
      </c>
      <c r="BX534" s="23">
        <f t="shared" si="365"/>
        <v>1</v>
      </c>
      <c r="BY534" s="23" t="str">
        <f t="array" ref="BY534">_xlfn.TEXTJOIN("",TRUE,IF(ISERROR(FIND(ROW($1:$168)-1,BW534&amp;BX534)),ROW($1:$168)-1,""))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34" s="22" t="str">
        <f t="shared" si="357"/>
        <v>复隔中</v>
      </c>
      <c r="CA534" s="24" t="str">
        <f t="shared" si="358"/>
        <v/>
      </c>
      <c r="CB534" s="24" t="str">
        <f t="shared" si="366"/>
        <v/>
      </c>
      <c r="CC534" s="24" t="str">
        <f t="array" ref="CC534">_xlfn.TEXTJOIN("",TRUE,IF(ISERROR(FIND(ROW($1:$168)-1,CA534&amp;CB534)),ROW($1:$168)-1,""))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34" s="22" t="str">
        <f t="shared" si="359"/>
        <v>中中中</v>
      </c>
      <c r="CE534" s="25" t="str">
        <f t="shared" si="353"/>
        <v>57</v>
      </c>
      <c r="CF534" s="26" t="str">
        <f t="array" ref="CF534">_xlfn.TEXTJOIN("",TRUE,IF(ISNUMBER(FIND(MID(CE533&amp;W533,ROW($1:$162),1),CE534&amp;W534)),MID(CE533&amp;W533,ROW($1:$162),1),""))</f>
        <v/>
      </c>
      <c r="CG534" s="27" t="str">
        <f t="array" ref="CG534">_xlfn.TEXTJOIN("",TRUE,IF(ISERROR(FIND(ROW($1:$168)-1,CE534&amp;CF534)),ROW($1:$168)-1,""))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34" s="28" t="str">
        <f t="shared" si="360"/>
        <v>邻孤孤</v>
      </c>
      <c r="CI534" s="29" t="str">
        <f t="shared" si="361"/>
        <v>02</v>
      </c>
      <c r="CJ534" s="29" t="str">
        <f t="array" ref="CJ534">_xlfn.TEXTJOIN("",TRUE,IF(ISNUMBER(FIND(MID(CI533&amp;X533,ROW($1:$162),1),CI534&amp;X534)),MID(CI533&amp;X533,ROW($1:$162),1),""))</f>
        <v>12</v>
      </c>
      <c r="CK534" s="29" t="str">
        <f t="array" ref="CK534">_xlfn.TEXTJOIN("",TRUE,IF(ISERROR(FIND(ROW($1:$168)-1,CI534&amp;CJ534)),ROW($1:$168)-1,""))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34" s="19" t="str">
        <f t="shared" si="362"/>
        <v>邻传孤</v>
      </c>
      <c r="CM534" s="24" t="str">
        <f t="shared" si="363"/>
        <v>68</v>
      </c>
      <c r="CN534" s="24" t="str">
        <f t="array" ref="CN534">_xlfn.TEXTJOIN("",TRUE,IF(ISNUMBER(FIND(MID(CM533&amp;Y533,ROW($1:$162),1),CM534&amp;Y534)),MID(CM533&amp;Y533,ROW($1:$162),1),""))</f>
        <v/>
      </c>
      <c r="CO534" s="24" t="str">
        <f t="array" ref="CO534">_xlfn.TEXTJOIN("",TRUE,IF(ISERROR(FIND(ROW($1:$168)-1,CM534&amp;CN534)),ROW($1:$168)-1,""))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34" s="30" t="str">
        <f t="shared" si="364"/>
        <v>邻孤孤</v>
      </c>
    </row>
    <row r="535" spans="1:94">
      <c r="A535" s="15">
        <v>535</v>
      </c>
      <c r="B535" s="80">
        <v>2025152</v>
      </c>
      <c r="C535" s="8" t="s">
        <v>435</v>
      </c>
      <c r="D535" s="81">
        <f t="shared" si="375"/>
        <v>3</v>
      </c>
      <c r="E535" s="82">
        <f t="shared" si="376"/>
        <v>3</v>
      </c>
      <c r="F535" s="83">
        <f t="shared" si="373"/>
        <v>1.5</v>
      </c>
      <c r="G535" s="84" t="str">
        <f t="shared" si="374"/>
        <v>松散</v>
      </c>
      <c r="H535" s="85" t="s">
        <v>10</v>
      </c>
      <c r="I535" s="85" t="s">
        <v>11</v>
      </c>
      <c r="J535" s="85" t="s">
        <v>12</v>
      </c>
      <c r="K535" s="85" t="s">
        <v>13</v>
      </c>
      <c r="L535" s="86">
        <f>MAX(MID(C535,{1,2,3},1)*1)-MIN(MID(C535,{1,2,3},1)*1)</f>
        <v>2</v>
      </c>
      <c r="M535" s="87">
        <v>0</v>
      </c>
      <c r="N535" s="87">
        <v>1</v>
      </c>
      <c r="O535" s="87">
        <v>2</v>
      </c>
      <c r="P535" s="87">
        <v>3</v>
      </c>
      <c r="Q535" s="87">
        <v>4</v>
      </c>
      <c r="R535" s="87">
        <v>5</v>
      </c>
      <c r="S535" s="87">
        <v>6</v>
      </c>
      <c r="T535" s="87">
        <v>7</v>
      </c>
      <c r="U535" s="87">
        <v>8</v>
      </c>
      <c r="V535" s="87">
        <v>9</v>
      </c>
      <c r="W535" s="88">
        <f t="shared" si="377"/>
        <v>1</v>
      </c>
      <c r="X535" s="88">
        <f t="shared" si="378"/>
        <v>2</v>
      </c>
      <c r="Y535" s="88">
        <f t="shared" si="379"/>
        <v>1</v>
      </c>
      <c r="Z535" s="89">
        <f t="shared" si="351"/>
        <v>4</v>
      </c>
      <c r="AA535" s="17" t="str">
        <f>_xlfn.TEXTJOIN(", ",TRUE,ABS(MID(C535,{1,1,2},1)-MID(C535,{2,3,3},1)))</f>
        <v>1, 2, 1</v>
      </c>
      <c r="AB535" s="90">
        <v>0</v>
      </c>
      <c r="AC535" s="90">
        <v>1</v>
      </c>
      <c r="AD535" s="90">
        <v>2</v>
      </c>
      <c r="AE535" s="90">
        <v>3</v>
      </c>
      <c r="AF535" s="90">
        <v>4</v>
      </c>
      <c r="AG535" s="90">
        <v>5</v>
      </c>
      <c r="AH535" s="90">
        <v>6</v>
      </c>
      <c r="AI535" s="90">
        <v>7</v>
      </c>
      <c r="AJ535" s="90">
        <v>8</v>
      </c>
      <c r="AK535" s="90">
        <v>9</v>
      </c>
      <c r="AL535" s="91">
        <v>0</v>
      </c>
      <c r="AM535" s="91">
        <v>1</v>
      </c>
      <c r="AN535" s="91">
        <v>2</v>
      </c>
      <c r="AO535" s="91">
        <v>3</v>
      </c>
      <c r="AP535" s="91">
        <v>4</v>
      </c>
      <c r="AQ535" s="91">
        <v>5</v>
      </c>
      <c r="AR535" s="91">
        <v>6</v>
      </c>
      <c r="AS535" s="91">
        <v>7</v>
      </c>
      <c r="AT535" s="91">
        <v>8</v>
      </c>
      <c r="AU535" s="91">
        <v>9</v>
      </c>
      <c r="AV535" s="92">
        <v>0</v>
      </c>
      <c r="AW535" s="92">
        <v>1</v>
      </c>
      <c r="AX535" s="92">
        <v>2</v>
      </c>
      <c r="AY535" s="92">
        <v>3</v>
      </c>
      <c r="AZ535" s="92">
        <v>4</v>
      </c>
      <c r="BA535" s="92">
        <v>5</v>
      </c>
      <c r="BB535" s="92">
        <v>6</v>
      </c>
      <c r="BC535" s="92">
        <v>7</v>
      </c>
      <c r="BD535" s="92">
        <v>8</v>
      </c>
      <c r="BE535" s="92">
        <v>9</v>
      </c>
      <c r="BF535" s="93">
        <v>0</v>
      </c>
      <c r="BG535" s="93">
        <v>1</v>
      </c>
      <c r="BH535" s="93">
        <v>2</v>
      </c>
      <c r="BI535" s="93">
        <v>3</v>
      </c>
      <c r="BJ535" s="93">
        <v>4</v>
      </c>
      <c r="BK535" s="93">
        <v>5</v>
      </c>
      <c r="BL535" s="93">
        <v>6</v>
      </c>
      <c r="BM535" s="93">
        <v>7</v>
      </c>
      <c r="BN535" s="93">
        <v>8</v>
      </c>
      <c r="BO535" s="93">
        <v>9</v>
      </c>
      <c r="BP535" s="94" t="str">
        <f t="shared" si="352"/>
        <v>紧凑型</v>
      </c>
      <c r="BQ535" s="15">
        <f t="shared" si="349"/>
        <v>1</v>
      </c>
      <c r="BR535" s="15">
        <f t="shared" si="350"/>
        <v>2</v>
      </c>
      <c r="BS535" s="20">
        <f t="shared" si="354"/>
        <v>1</v>
      </c>
      <c r="BT535" s="21">
        <f t="shared" si="355"/>
        <v>1</v>
      </c>
      <c r="BU535" s="21" t="str">
        <f t="array" ref="BU535">_xlfn.TEXTJOIN("",TRUE,IF(ISERROR(FIND(ROW($1:$168)-1,BS535&amp;BT535)),ROW($1:$168)-1,""))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35" s="22" t="str">
        <f t="shared" si="356"/>
        <v>复隔中</v>
      </c>
      <c r="BW535" s="23" t="str">
        <f t="shared" si="367"/>
        <v/>
      </c>
      <c r="BX535" s="23">
        <f t="shared" si="365"/>
        <v>2</v>
      </c>
      <c r="BY535" s="23" t="str">
        <f t="array" ref="BY535">_xlfn.TEXTJOIN("",TRUE,IF(ISERROR(FIND(ROW($1:$168)-1,BW535&amp;BX535)),ROW($1:$168)-1,""))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35" s="22" t="str">
        <f t="shared" si="357"/>
        <v>中隔中</v>
      </c>
      <c r="CA535" s="24">
        <f t="shared" si="358"/>
        <v>1</v>
      </c>
      <c r="CB535" s="24">
        <f t="shared" si="366"/>
        <v>1</v>
      </c>
      <c r="CC535" s="24" t="str">
        <f t="array" ref="CC535">_xlfn.TEXTJOIN("",TRUE,IF(ISERROR(FIND(ROW($1:$168)-1,CA535&amp;CB535)),ROW($1:$168)-1,""))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35" s="22" t="str">
        <f t="shared" si="359"/>
        <v>复隔中</v>
      </c>
      <c r="CE535" s="25" t="str">
        <f t="shared" si="353"/>
        <v>02</v>
      </c>
      <c r="CF535" s="26" t="str">
        <f t="array" ref="CF535">_xlfn.TEXTJOIN("",TRUE,IF(ISNUMBER(FIND(MID(CE534&amp;W534,ROW($1:$162),1),CE535&amp;W535)),MID(CE534&amp;W534,ROW($1:$162),1),""))</f>
        <v/>
      </c>
      <c r="CG535" s="27" t="str">
        <f t="array" ref="CG535">_xlfn.TEXTJOIN("",TRUE,IF(ISERROR(FIND(ROW($1:$168)-1,CE535&amp;CF535)),ROW($1:$168)-1,""))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35" s="28" t="str">
        <f t="shared" si="360"/>
        <v>邻孤孤</v>
      </c>
      <c r="CI535" s="29" t="str">
        <f t="shared" si="361"/>
        <v>13</v>
      </c>
      <c r="CJ535" s="29" t="str">
        <f t="array" ref="CJ535">_xlfn.TEXTJOIN("",TRUE,IF(ISNUMBER(FIND(MID(CI534&amp;X534,ROW($1:$162),1),CI535&amp;X535)),MID(CI534&amp;X534,ROW($1:$162),1),""))</f>
        <v>21</v>
      </c>
      <c r="CK535" s="29" t="str">
        <f t="array" ref="CK535">_xlfn.TEXTJOIN("",TRUE,IF(ISERROR(FIND(ROW($1:$168)-1,CI535&amp;CJ535)),ROW($1:$168)-1,""))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535" s="19" t="str">
        <f t="shared" si="362"/>
        <v>邻传孤</v>
      </c>
      <c r="CM535" s="24" t="str">
        <f t="shared" si="363"/>
        <v>02</v>
      </c>
      <c r="CN535" s="24" t="str">
        <f t="array" ref="CN535">_xlfn.TEXTJOIN("",TRUE,IF(ISNUMBER(FIND(MID(CM534&amp;Y534,ROW($1:$162),1),CM535&amp;Y535)),MID(CM534&amp;Y534,ROW($1:$162),1),""))</f>
        <v/>
      </c>
      <c r="CO535" s="24" t="str">
        <f t="array" ref="CO535">_xlfn.TEXTJOIN("",TRUE,IF(ISERROR(FIND(ROW($1:$168)-1,CM535&amp;CN535)),ROW($1:$168)-1,""))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35" s="30" t="str">
        <f t="shared" si="364"/>
        <v>邻孤孤</v>
      </c>
    </row>
    <row r="536" spans="1:94">
      <c r="A536" s="15">
        <v>536</v>
      </c>
      <c r="B536" s="80">
        <v>2025153</v>
      </c>
      <c r="C536" s="8" t="s">
        <v>180</v>
      </c>
      <c r="D536" s="81">
        <f t="shared" si="375"/>
        <v>15</v>
      </c>
      <c r="E536" s="82">
        <f t="shared" si="376"/>
        <v>5</v>
      </c>
      <c r="F536" s="83">
        <f t="shared" si="373"/>
        <v>1.66666666666667</v>
      </c>
      <c r="G536" s="84" t="str">
        <f t="shared" si="374"/>
        <v>松散</v>
      </c>
      <c r="H536" s="85" t="s">
        <v>10</v>
      </c>
      <c r="I536" s="85" t="s">
        <v>11</v>
      </c>
      <c r="J536" s="85" t="s">
        <v>12</v>
      </c>
      <c r="K536" s="85" t="s">
        <v>13</v>
      </c>
      <c r="L536" s="86">
        <f>MAX(MID(C536,{1,2,3},1)*1)-MIN(MID(C536,{1,2,3},1)*1)</f>
        <v>9</v>
      </c>
      <c r="M536" s="87">
        <v>0</v>
      </c>
      <c r="N536" s="87">
        <v>1</v>
      </c>
      <c r="O536" s="87">
        <v>2</v>
      </c>
      <c r="P536" s="87">
        <v>3</v>
      </c>
      <c r="Q536" s="87">
        <v>4</v>
      </c>
      <c r="R536" s="87">
        <v>5</v>
      </c>
      <c r="S536" s="87">
        <v>6</v>
      </c>
      <c r="T536" s="87">
        <v>7</v>
      </c>
      <c r="U536" s="87">
        <v>8</v>
      </c>
      <c r="V536" s="87">
        <v>9</v>
      </c>
      <c r="W536" s="88">
        <f t="shared" si="377"/>
        <v>6</v>
      </c>
      <c r="X536" s="88">
        <f t="shared" si="378"/>
        <v>9</v>
      </c>
      <c r="Y536" s="88">
        <f t="shared" si="379"/>
        <v>3</v>
      </c>
      <c r="Z536" s="89">
        <f t="shared" si="351"/>
        <v>18</v>
      </c>
      <c r="AA536" s="17" t="str">
        <f>_xlfn.TEXTJOIN(", ",TRUE,ABS(MID(C536,{1,1,2},1)-MID(C536,{2,3,3},1)))</f>
        <v>6, 9, 3</v>
      </c>
      <c r="AB536" s="90">
        <v>0</v>
      </c>
      <c r="AC536" s="90">
        <v>1</v>
      </c>
      <c r="AD536" s="90">
        <v>2</v>
      </c>
      <c r="AE536" s="90">
        <v>3</v>
      </c>
      <c r="AF536" s="90">
        <v>4</v>
      </c>
      <c r="AG536" s="90">
        <v>5</v>
      </c>
      <c r="AH536" s="90">
        <v>6</v>
      </c>
      <c r="AI536" s="90">
        <v>7</v>
      </c>
      <c r="AJ536" s="90">
        <v>8</v>
      </c>
      <c r="AK536" s="90">
        <v>9</v>
      </c>
      <c r="AL536" s="91">
        <v>0</v>
      </c>
      <c r="AM536" s="91">
        <v>1</v>
      </c>
      <c r="AN536" s="91">
        <v>2</v>
      </c>
      <c r="AO536" s="91">
        <v>3</v>
      </c>
      <c r="AP536" s="91">
        <v>4</v>
      </c>
      <c r="AQ536" s="91">
        <v>5</v>
      </c>
      <c r="AR536" s="91">
        <v>6</v>
      </c>
      <c r="AS536" s="91">
        <v>7</v>
      </c>
      <c r="AT536" s="91">
        <v>8</v>
      </c>
      <c r="AU536" s="91">
        <v>9</v>
      </c>
      <c r="AV536" s="92">
        <v>0</v>
      </c>
      <c r="AW536" s="92">
        <v>1</v>
      </c>
      <c r="AX536" s="92">
        <v>2</v>
      </c>
      <c r="AY536" s="92">
        <v>3</v>
      </c>
      <c r="AZ536" s="92">
        <v>4</v>
      </c>
      <c r="BA536" s="92">
        <v>5</v>
      </c>
      <c r="BB536" s="92">
        <v>6</v>
      </c>
      <c r="BC536" s="92">
        <v>7</v>
      </c>
      <c r="BD536" s="92">
        <v>8</v>
      </c>
      <c r="BE536" s="92">
        <v>9</v>
      </c>
      <c r="BF536" s="93">
        <v>0</v>
      </c>
      <c r="BG536" s="93">
        <v>1</v>
      </c>
      <c r="BH536" s="93">
        <v>2</v>
      </c>
      <c r="BI536" s="93">
        <v>3</v>
      </c>
      <c r="BJ536" s="93">
        <v>4</v>
      </c>
      <c r="BK536" s="93">
        <v>5</v>
      </c>
      <c r="BL536" s="93">
        <v>6</v>
      </c>
      <c r="BM536" s="93">
        <v>7</v>
      </c>
      <c r="BN536" s="93">
        <v>8</v>
      </c>
      <c r="BO536" s="93">
        <v>9</v>
      </c>
      <c r="BP536" s="94" t="str">
        <f t="shared" si="352"/>
        <v>松散型</v>
      </c>
      <c r="BQ536" s="15">
        <f t="shared" si="349"/>
        <v>3</v>
      </c>
      <c r="BR536" s="15">
        <f t="shared" si="350"/>
        <v>9</v>
      </c>
      <c r="BS536" s="20" t="str">
        <f t="shared" si="354"/>
        <v/>
      </c>
      <c r="BT536" s="21">
        <f t="shared" si="355"/>
        <v>6</v>
      </c>
      <c r="BU536" s="21" t="str">
        <f t="array" ref="BU536">_xlfn.TEXTJOIN("",TRUE,IF(ISERROR(FIND(ROW($1:$168)-1,BS536&amp;BT536)),ROW($1:$168)-1,""))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36" s="22" t="str">
        <f t="shared" si="356"/>
        <v>中隔中</v>
      </c>
      <c r="BW536" s="23" t="str">
        <f t="shared" si="367"/>
        <v/>
      </c>
      <c r="BX536" s="23" t="str">
        <f t="shared" si="365"/>
        <v/>
      </c>
      <c r="BY536" s="23" t="str">
        <f t="array" ref="BY536">_xlfn.TEXTJOIN("",TRUE,IF(ISERROR(FIND(ROW($1:$168)-1,BW536&amp;BX536)),ROW($1:$168)-1,""))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36" s="22" t="str">
        <f t="shared" si="357"/>
        <v>中中中</v>
      </c>
      <c r="CA536" s="24" t="str">
        <f t="shared" si="358"/>
        <v/>
      </c>
      <c r="CB536" s="24" t="str">
        <f t="shared" si="366"/>
        <v/>
      </c>
      <c r="CC536" s="24" t="str">
        <f t="array" ref="CC536">_xlfn.TEXTJOIN("",TRUE,IF(ISERROR(FIND(ROW($1:$168)-1,CA536&amp;CB536)),ROW($1:$168)-1,""))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36" s="22" t="str">
        <f t="shared" si="359"/>
        <v>中中中</v>
      </c>
      <c r="CE536" s="25" t="str">
        <f t="shared" si="353"/>
        <v>57</v>
      </c>
      <c r="CF536" s="26" t="str">
        <f t="array" ref="CF536">_xlfn.TEXTJOIN("",TRUE,IF(ISNUMBER(FIND(MID(CE535&amp;W535,ROW($1:$162),1),CE536&amp;W536)),MID(CE535&amp;W535,ROW($1:$162),1),""))</f>
        <v/>
      </c>
      <c r="CG536" s="27" t="str">
        <f t="array" ref="CG536">_xlfn.TEXTJOIN("",TRUE,IF(ISERROR(FIND(ROW($1:$168)-1,CE536&amp;CF536)),ROW($1:$168)-1,""))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36" s="28" t="str">
        <f t="shared" si="360"/>
        <v>邻孤孤</v>
      </c>
      <c r="CI536" s="29" t="str">
        <f t="shared" si="361"/>
        <v>80</v>
      </c>
      <c r="CJ536" s="29" t="str">
        <f t="array" ref="CJ536">_xlfn.TEXTJOIN("",TRUE,IF(ISNUMBER(FIND(MID(CI535&amp;X535,ROW($1:$162),1),CI536&amp;X536)),MID(CI535&amp;X535,ROW($1:$162),1),""))</f>
        <v/>
      </c>
      <c r="CK536" s="29" t="str">
        <f t="array" ref="CK536">_xlfn.TEXTJOIN("",TRUE,IF(ISERROR(FIND(ROW($1:$168)-1,CI536&amp;CJ536)),ROW($1:$168)-1,""))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536" s="19" t="str">
        <f t="shared" si="362"/>
        <v>邻孤孤</v>
      </c>
      <c r="CM536" s="24" t="str">
        <f t="shared" si="363"/>
        <v>24</v>
      </c>
      <c r="CN536" s="24" t="str">
        <f t="array" ref="CN536">_xlfn.TEXTJOIN("",TRUE,IF(ISNUMBER(FIND(MID(CM535&amp;Y535,ROW($1:$162),1),CM536&amp;Y536)),MID(CM535&amp;Y535,ROW($1:$162),1),""))</f>
        <v>2</v>
      </c>
      <c r="CO536" s="24" t="str">
        <f t="array" ref="CO536">_xlfn.TEXTJOIN("",TRUE,IF(ISERROR(FIND(ROW($1:$168)-1,CM536&amp;CN536)),ROW($1:$168)-1,""))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36" s="30" t="str">
        <f t="shared" si="364"/>
        <v>邻传孤</v>
      </c>
    </row>
    <row r="537" spans="1:94">
      <c r="A537" s="15">
        <v>537</v>
      </c>
      <c r="B537" s="80">
        <v>2025154</v>
      </c>
      <c r="C537" s="8" t="s">
        <v>436</v>
      </c>
      <c r="D537" s="81">
        <f t="shared" si="375"/>
        <v>14</v>
      </c>
      <c r="E537" s="82">
        <f t="shared" si="376"/>
        <v>4</v>
      </c>
      <c r="F537" s="83">
        <f t="shared" si="373"/>
        <v>2</v>
      </c>
      <c r="G537" s="84" t="str">
        <f t="shared" si="374"/>
        <v>标准</v>
      </c>
      <c r="H537" s="85" t="s">
        <v>10</v>
      </c>
      <c r="I537" s="85" t="s">
        <v>11</v>
      </c>
      <c r="J537" s="85" t="s">
        <v>12</v>
      </c>
      <c r="K537" s="85" t="s">
        <v>13</v>
      </c>
      <c r="L537" s="86">
        <f>MAX(MID(C537,{1,2,3},1)*1)-MIN(MID(C537,{1,2,3},1)*1)</f>
        <v>7</v>
      </c>
      <c r="M537" s="87">
        <v>0</v>
      </c>
      <c r="N537" s="87">
        <v>1</v>
      </c>
      <c r="O537" s="87">
        <v>2</v>
      </c>
      <c r="P537" s="87">
        <v>3</v>
      </c>
      <c r="Q537" s="87">
        <v>4</v>
      </c>
      <c r="R537" s="87">
        <v>5</v>
      </c>
      <c r="S537" s="87">
        <v>6</v>
      </c>
      <c r="T537" s="87">
        <v>7</v>
      </c>
      <c r="U537" s="87">
        <v>8</v>
      </c>
      <c r="V537" s="87">
        <v>9</v>
      </c>
      <c r="W537" s="88">
        <f t="shared" si="377"/>
        <v>7</v>
      </c>
      <c r="X537" s="88">
        <f t="shared" si="378"/>
        <v>6</v>
      </c>
      <c r="Y537" s="88">
        <f t="shared" si="379"/>
        <v>1</v>
      </c>
      <c r="Z537" s="89">
        <f t="shared" si="351"/>
        <v>14</v>
      </c>
      <c r="AA537" s="17" t="str">
        <f>_xlfn.TEXTJOIN(", ",TRUE,ABS(MID(C537,{1,1,2},1)-MID(C537,{2,3,3},1)))</f>
        <v>7, 6, 1</v>
      </c>
      <c r="AB537" s="90">
        <v>0</v>
      </c>
      <c r="AC537" s="90">
        <v>1</v>
      </c>
      <c r="AD537" s="90">
        <v>2</v>
      </c>
      <c r="AE537" s="90">
        <v>3</v>
      </c>
      <c r="AF537" s="90">
        <v>4</v>
      </c>
      <c r="AG537" s="90">
        <v>5</v>
      </c>
      <c r="AH537" s="90">
        <v>6</v>
      </c>
      <c r="AI537" s="90">
        <v>7</v>
      </c>
      <c r="AJ537" s="90">
        <v>8</v>
      </c>
      <c r="AK537" s="90">
        <v>9</v>
      </c>
      <c r="AL537" s="91">
        <v>0</v>
      </c>
      <c r="AM537" s="91">
        <v>1</v>
      </c>
      <c r="AN537" s="91">
        <v>2</v>
      </c>
      <c r="AO537" s="91">
        <v>3</v>
      </c>
      <c r="AP537" s="91">
        <v>4</v>
      </c>
      <c r="AQ537" s="91">
        <v>5</v>
      </c>
      <c r="AR537" s="91">
        <v>6</v>
      </c>
      <c r="AS537" s="91">
        <v>7</v>
      </c>
      <c r="AT537" s="91">
        <v>8</v>
      </c>
      <c r="AU537" s="91">
        <v>9</v>
      </c>
      <c r="AV537" s="92">
        <v>0</v>
      </c>
      <c r="AW537" s="92">
        <v>1</v>
      </c>
      <c r="AX537" s="92">
        <v>2</v>
      </c>
      <c r="AY537" s="92">
        <v>3</v>
      </c>
      <c r="AZ537" s="92">
        <v>4</v>
      </c>
      <c r="BA537" s="92">
        <v>5</v>
      </c>
      <c r="BB537" s="92">
        <v>6</v>
      </c>
      <c r="BC537" s="92">
        <v>7</v>
      </c>
      <c r="BD537" s="92">
        <v>8</v>
      </c>
      <c r="BE537" s="92">
        <v>9</v>
      </c>
      <c r="BF537" s="93">
        <v>0</v>
      </c>
      <c r="BG537" s="93">
        <v>1</v>
      </c>
      <c r="BH537" s="93">
        <v>2</v>
      </c>
      <c r="BI537" s="93">
        <v>3</v>
      </c>
      <c r="BJ537" s="93">
        <v>4</v>
      </c>
      <c r="BK537" s="93">
        <v>5</v>
      </c>
      <c r="BL537" s="93">
        <v>6</v>
      </c>
      <c r="BM537" s="93">
        <v>7</v>
      </c>
      <c r="BN537" s="93">
        <v>8</v>
      </c>
      <c r="BO537" s="93">
        <v>9</v>
      </c>
      <c r="BP537" s="94" t="str">
        <f t="shared" si="352"/>
        <v>松散型</v>
      </c>
      <c r="BQ537" s="15">
        <f t="shared" si="349"/>
        <v>1</v>
      </c>
      <c r="BR537" s="15">
        <f t="shared" si="350"/>
        <v>7</v>
      </c>
      <c r="BS537" s="20" t="str">
        <f t="shared" si="354"/>
        <v/>
      </c>
      <c r="BT537" s="21" t="str">
        <f t="shared" si="355"/>
        <v/>
      </c>
      <c r="BU537" s="21" t="str">
        <f t="array" ref="BU537">_xlfn.TEXTJOIN("",TRUE,IF(ISERROR(FIND(ROW($1:$168)-1,BS537&amp;BT537)),ROW($1:$168)-1,""))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37" s="22" t="str">
        <f t="shared" si="356"/>
        <v>中中中</v>
      </c>
      <c r="BW537" s="23">
        <f t="shared" si="367"/>
        <v>6</v>
      </c>
      <c r="BX537" s="23" t="str">
        <f t="shared" si="365"/>
        <v/>
      </c>
      <c r="BY537" s="23" t="str">
        <f t="array" ref="BY537">_xlfn.TEXTJOIN("",TRUE,IF(ISERROR(FIND(ROW($1:$168)-1,BW537&amp;BX537)),ROW($1:$168)-1,""))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37" s="22" t="str">
        <f t="shared" si="357"/>
        <v>复中中</v>
      </c>
      <c r="CA537" s="24" t="str">
        <f t="shared" si="358"/>
        <v/>
      </c>
      <c r="CB537" s="24">
        <f t="shared" si="366"/>
        <v>1</v>
      </c>
      <c r="CC537" s="24" t="str">
        <f t="array" ref="CC537">_xlfn.TEXTJOIN("",TRUE,IF(ISERROR(FIND(ROW($1:$168)-1,CA537&amp;CB537)),ROW($1:$168)-1,""))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37" s="22" t="str">
        <f t="shared" si="359"/>
        <v>中隔中</v>
      </c>
      <c r="CE537" s="25" t="str">
        <f t="shared" si="353"/>
        <v>68</v>
      </c>
      <c r="CF537" s="26" t="str">
        <f t="array" ref="CF537">_xlfn.TEXTJOIN("",TRUE,IF(ISNUMBER(FIND(MID(CE536&amp;W536,ROW($1:$162),1),CE537&amp;W537)),MID(CE536&amp;W536,ROW($1:$162),1),""))</f>
        <v>76</v>
      </c>
      <c r="CG537" s="27" t="str">
        <f t="array" ref="CG537">_xlfn.TEXTJOIN("",TRUE,IF(ISERROR(FIND(ROW($1:$168)-1,CE537&amp;CF537)),ROW($1:$168)-1,""))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H537" s="28" t="str">
        <f t="shared" si="360"/>
        <v>邻传孤</v>
      </c>
      <c r="CI537" s="29" t="str">
        <f t="shared" si="361"/>
        <v>57</v>
      </c>
      <c r="CJ537" s="29" t="str">
        <f t="array" ref="CJ537">_xlfn.TEXTJOIN("",TRUE,IF(ISNUMBER(FIND(MID(CI536&amp;X536,ROW($1:$162),1),CI537&amp;X537)),MID(CI536&amp;X536,ROW($1:$162),1),""))</f>
        <v/>
      </c>
      <c r="CK537" s="29" t="str">
        <f t="array" ref="CK537">_xlfn.TEXTJOIN("",TRUE,IF(ISERROR(FIND(ROW($1:$168)-1,CI537&amp;CJ537)),ROW($1:$168)-1,""))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37" s="19" t="str">
        <f t="shared" si="362"/>
        <v>邻孤孤</v>
      </c>
      <c r="CM537" s="24" t="str">
        <f t="shared" si="363"/>
        <v>02</v>
      </c>
      <c r="CN537" s="24" t="str">
        <f t="array" ref="CN537">_xlfn.TEXTJOIN("",TRUE,IF(ISNUMBER(FIND(MID(CM536&amp;Y536,ROW($1:$162),1),CM537&amp;Y537)),MID(CM536&amp;Y536,ROW($1:$162),1),""))</f>
        <v>2</v>
      </c>
      <c r="CO537" s="24" t="str">
        <f t="array" ref="CO537">_xlfn.TEXTJOIN("",TRUE,IF(ISERROR(FIND(ROW($1:$168)-1,CM537&amp;CN537)),ROW($1:$168)-1,""))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37" s="30" t="str">
        <f t="shared" si="364"/>
        <v>邻传孤</v>
      </c>
    </row>
    <row r="538" spans="1:94">
      <c r="A538" s="15">
        <v>538</v>
      </c>
      <c r="B538" s="80">
        <v>2025155</v>
      </c>
      <c r="C538" s="8" t="s">
        <v>364</v>
      </c>
      <c r="D538" s="81">
        <f t="shared" si="375"/>
        <v>22</v>
      </c>
      <c r="E538" s="82">
        <f t="shared" si="376"/>
        <v>2</v>
      </c>
      <c r="F538" s="83">
        <f t="shared" si="373"/>
        <v>4.4</v>
      </c>
      <c r="G538" s="84" t="str">
        <f t="shared" si="374"/>
        <v>紧凑</v>
      </c>
      <c r="H538" s="85" t="s">
        <v>10</v>
      </c>
      <c r="I538" s="85" t="s">
        <v>11</v>
      </c>
      <c r="J538" s="85" t="s">
        <v>12</v>
      </c>
      <c r="K538" s="85" t="s">
        <v>13</v>
      </c>
      <c r="L538" s="86">
        <f>MAX(MID(C538,{1,2,3},1)*1)-MIN(MID(C538,{1,2,3},1)*1)</f>
        <v>5</v>
      </c>
      <c r="M538" s="87">
        <v>0</v>
      </c>
      <c r="N538" s="87">
        <v>1</v>
      </c>
      <c r="O538" s="87">
        <v>2</v>
      </c>
      <c r="P538" s="87">
        <v>3</v>
      </c>
      <c r="Q538" s="87">
        <v>4</v>
      </c>
      <c r="R538" s="87">
        <v>5</v>
      </c>
      <c r="S538" s="87">
        <v>6</v>
      </c>
      <c r="T538" s="87">
        <v>7</v>
      </c>
      <c r="U538" s="87">
        <v>8</v>
      </c>
      <c r="V538" s="87">
        <v>9</v>
      </c>
      <c r="W538" s="88">
        <f t="shared" si="377"/>
        <v>5</v>
      </c>
      <c r="X538" s="88">
        <f t="shared" si="378"/>
        <v>5</v>
      </c>
      <c r="Y538" s="88">
        <f t="shared" si="379"/>
        <v>0</v>
      </c>
      <c r="Z538" s="89">
        <f t="shared" si="351"/>
        <v>10</v>
      </c>
      <c r="AA538" s="17" t="str">
        <f>_xlfn.TEXTJOIN(", ",TRUE,ABS(MID(C538,{1,1,2},1)-MID(C538,{2,3,3},1)))</f>
        <v>5, 5, 0</v>
      </c>
      <c r="AB538" s="90">
        <v>0</v>
      </c>
      <c r="AC538" s="90">
        <v>1</v>
      </c>
      <c r="AD538" s="90">
        <v>2</v>
      </c>
      <c r="AE538" s="90">
        <v>3</v>
      </c>
      <c r="AF538" s="90">
        <v>4</v>
      </c>
      <c r="AG538" s="90">
        <v>5</v>
      </c>
      <c r="AH538" s="90">
        <v>6</v>
      </c>
      <c r="AI538" s="90">
        <v>7</v>
      </c>
      <c r="AJ538" s="90">
        <v>8</v>
      </c>
      <c r="AK538" s="90">
        <v>9</v>
      </c>
      <c r="AL538" s="91">
        <v>0</v>
      </c>
      <c r="AM538" s="91">
        <v>1</v>
      </c>
      <c r="AN538" s="91">
        <v>2</v>
      </c>
      <c r="AO538" s="91">
        <v>3</v>
      </c>
      <c r="AP538" s="91">
        <v>4</v>
      </c>
      <c r="AQ538" s="91">
        <v>5</v>
      </c>
      <c r="AR538" s="91">
        <v>6</v>
      </c>
      <c r="AS538" s="91">
        <v>7</v>
      </c>
      <c r="AT538" s="91">
        <v>8</v>
      </c>
      <c r="AU538" s="91">
        <v>9</v>
      </c>
      <c r="AV538" s="92">
        <v>0</v>
      </c>
      <c r="AW538" s="92">
        <v>1</v>
      </c>
      <c r="AX538" s="92">
        <v>2</v>
      </c>
      <c r="AY538" s="92">
        <v>3</v>
      </c>
      <c r="AZ538" s="92">
        <v>4</v>
      </c>
      <c r="BA538" s="92">
        <v>5</v>
      </c>
      <c r="BB538" s="92">
        <v>6</v>
      </c>
      <c r="BC538" s="92">
        <v>7</v>
      </c>
      <c r="BD538" s="92">
        <v>8</v>
      </c>
      <c r="BE538" s="92">
        <v>9</v>
      </c>
      <c r="BF538" s="93">
        <v>0</v>
      </c>
      <c r="BG538" s="93">
        <v>1</v>
      </c>
      <c r="BH538" s="93">
        <v>2</v>
      </c>
      <c r="BI538" s="93">
        <v>3</v>
      </c>
      <c r="BJ538" s="93">
        <v>4</v>
      </c>
      <c r="BK538" s="93">
        <v>5</v>
      </c>
      <c r="BL538" s="93">
        <v>6</v>
      </c>
      <c r="BM538" s="93">
        <v>7</v>
      </c>
      <c r="BN538" s="93">
        <v>8</v>
      </c>
      <c r="BO538" s="93">
        <v>9</v>
      </c>
      <c r="BP538" s="94" t="str">
        <f t="shared" si="352"/>
        <v>对子</v>
      </c>
      <c r="BQ538" s="15">
        <f t="shared" si="349"/>
        <v>0</v>
      </c>
      <c r="BR538" s="15">
        <f t="shared" si="350"/>
        <v>5</v>
      </c>
      <c r="BS538" s="20" t="str">
        <f t="shared" si="354"/>
        <v/>
      </c>
      <c r="BT538" s="21" t="str">
        <f t="shared" si="355"/>
        <v/>
      </c>
      <c r="BU538" s="21" t="str">
        <f t="array" ref="BU538">_xlfn.TEXTJOIN("",TRUE,IF(ISERROR(FIND(ROW($1:$168)-1,BS538&amp;BT538)),ROW($1:$168)-1,""))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38" s="22" t="str">
        <f t="shared" si="356"/>
        <v>中中中</v>
      </c>
      <c r="BW538" s="23" t="str">
        <f t="shared" si="367"/>
        <v/>
      </c>
      <c r="BX538" s="23" t="str">
        <f t="shared" si="365"/>
        <v/>
      </c>
      <c r="BY538" s="23" t="str">
        <f t="array" ref="BY538">_xlfn.TEXTJOIN("",TRUE,IF(ISERROR(FIND(ROW($1:$168)-1,BW538&amp;BX538)),ROW($1:$168)-1,""))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38" s="22" t="str">
        <f t="shared" si="357"/>
        <v>中中中</v>
      </c>
      <c r="CA538" s="24" t="str">
        <f t="shared" si="358"/>
        <v/>
      </c>
      <c r="CB538" s="24" t="str">
        <f t="shared" si="366"/>
        <v/>
      </c>
      <c r="CC538" s="24" t="str">
        <f t="array" ref="CC538">_xlfn.TEXTJOIN("",TRUE,IF(ISERROR(FIND(ROW($1:$168)-1,CA538&amp;CB538)),ROW($1:$168)-1,""))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38" s="22" t="str">
        <f t="shared" si="359"/>
        <v>中中中</v>
      </c>
      <c r="CE538" s="25" t="str">
        <f t="shared" si="353"/>
        <v>46</v>
      </c>
      <c r="CF538" s="26" t="str">
        <f t="array" ref="CF538">_xlfn.TEXTJOIN("",TRUE,IF(ISNUMBER(FIND(MID(CE537&amp;W537,ROW($1:$162),1),CE538&amp;W538)),MID(CE537&amp;W537,ROW($1:$162),1),""))</f>
        <v>6</v>
      </c>
      <c r="CG538" s="27" t="str">
        <f t="array" ref="CG538">_xlfn.TEXTJOIN("",TRUE,IF(ISERROR(FIND(ROW($1:$168)-1,CE538&amp;CF538)),ROW($1:$168)-1,""))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38" s="28" t="str">
        <f t="shared" si="360"/>
        <v>邻传孤</v>
      </c>
      <c r="CI538" s="29" t="str">
        <f t="shared" si="361"/>
        <v>46</v>
      </c>
      <c r="CJ538" s="29" t="str">
        <f t="array" ref="CJ538">_xlfn.TEXTJOIN("",TRUE,IF(ISNUMBER(FIND(MID(CI537&amp;X537,ROW($1:$162),1),CI538&amp;X538)),MID(CI537&amp;X537,ROW($1:$162),1),""))</f>
        <v>56</v>
      </c>
      <c r="CK538" s="29" t="str">
        <f t="array" ref="CK538">_xlfn.TEXTJOIN("",TRUE,IF(ISERROR(FIND(ROW($1:$168)-1,CI538&amp;CJ538)),ROW($1:$168)-1,""))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38" s="19" t="str">
        <f t="shared" si="362"/>
        <v>邻传孤</v>
      </c>
      <c r="CM538" s="24" t="str">
        <f t="shared" si="363"/>
        <v>91</v>
      </c>
      <c r="CN538" s="24" t="str">
        <f t="array" ref="CN538">_xlfn.TEXTJOIN("",TRUE,IF(ISNUMBER(FIND(MID(CM537&amp;Y537,ROW($1:$162),1),CM538&amp;Y538)),MID(CM537&amp;Y537,ROW($1:$162),1),""))</f>
        <v>01</v>
      </c>
      <c r="CO538" s="24" t="str">
        <f t="array" ref="CO538">_xlfn.TEXTJOIN("",TRUE,IF(ISERROR(FIND(ROW($1:$168)-1,CM538&amp;CN538)),ROW($1:$168)-1,""))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538" s="30" t="str">
        <f t="shared" si="364"/>
        <v>邻传孤</v>
      </c>
    </row>
    <row r="539" spans="1:94">
      <c r="A539" s="15">
        <v>539</v>
      </c>
      <c r="B539" s="80">
        <v>2025156</v>
      </c>
      <c r="C539" s="8" t="s">
        <v>370</v>
      </c>
      <c r="D539" s="81">
        <f t="shared" si="375"/>
        <v>19</v>
      </c>
      <c r="E539" s="82">
        <f t="shared" si="376"/>
        <v>9</v>
      </c>
      <c r="F539" s="83">
        <f t="shared" si="373"/>
        <v>9.5</v>
      </c>
      <c r="G539" s="84" t="str">
        <f t="shared" si="374"/>
        <v>紧凑</v>
      </c>
      <c r="H539" s="85" t="s">
        <v>10</v>
      </c>
      <c r="I539" s="85" t="s">
        <v>11</v>
      </c>
      <c r="J539" s="85" t="s">
        <v>12</v>
      </c>
      <c r="K539" s="85" t="s">
        <v>13</v>
      </c>
      <c r="L539" s="86">
        <f>MAX(MID(C539,{1,2,3},1)*1)-MIN(MID(C539,{1,2,3},1)*1)</f>
        <v>2</v>
      </c>
      <c r="M539" s="87">
        <v>0</v>
      </c>
      <c r="N539" s="87">
        <v>1</v>
      </c>
      <c r="O539" s="87">
        <v>2</v>
      </c>
      <c r="P539" s="87">
        <v>3</v>
      </c>
      <c r="Q539" s="87">
        <v>4</v>
      </c>
      <c r="R539" s="87">
        <v>5</v>
      </c>
      <c r="S539" s="87">
        <v>6</v>
      </c>
      <c r="T539" s="87">
        <v>7</v>
      </c>
      <c r="U539" s="87">
        <v>8</v>
      </c>
      <c r="V539" s="87">
        <v>9</v>
      </c>
      <c r="W539" s="88">
        <f t="shared" si="377"/>
        <v>0</v>
      </c>
      <c r="X539" s="88">
        <f t="shared" si="378"/>
        <v>2</v>
      </c>
      <c r="Y539" s="88">
        <f t="shared" si="379"/>
        <v>2</v>
      </c>
      <c r="Z539" s="89">
        <f t="shared" si="351"/>
        <v>4</v>
      </c>
      <c r="AA539" s="17" t="str">
        <f>_xlfn.TEXTJOIN(", ",TRUE,ABS(MID(C539,{1,1,2},1)-MID(C539,{2,3,3},1)))</f>
        <v>0, 2, 2</v>
      </c>
      <c r="AB539" s="90">
        <v>0</v>
      </c>
      <c r="AC539" s="90">
        <v>1</v>
      </c>
      <c r="AD539" s="90">
        <v>2</v>
      </c>
      <c r="AE539" s="90">
        <v>3</v>
      </c>
      <c r="AF539" s="90">
        <v>4</v>
      </c>
      <c r="AG539" s="90">
        <v>5</v>
      </c>
      <c r="AH539" s="90">
        <v>6</v>
      </c>
      <c r="AI539" s="90">
        <v>7</v>
      </c>
      <c r="AJ539" s="90">
        <v>8</v>
      </c>
      <c r="AK539" s="90">
        <v>9</v>
      </c>
      <c r="AL539" s="91">
        <v>0</v>
      </c>
      <c r="AM539" s="91">
        <v>1</v>
      </c>
      <c r="AN539" s="91">
        <v>2</v>
      </c>
      <c r="AO539" s="91">
        <v>3</v>
      </c>
      <c r="AP539" s="91">
        <v>4</v>
      </c>
      <c r="AQ539" s="91">
        <v>5</v>
      </c>
      <c r="AR539" s="91">
        <v>6</v>
      </c>
      <c r="AS539" s="91">
        <v>7</v>
      </c>
      <c r="AT539" s="91">
        <v>8</v>
      </c>
      <c r="AU539" s="91">
        <v>9</v>
      </c>
      <c r="AV539" s="92">
        <v>0</v>
      </c>
      <c r="AW539" s="92">
        <v>1</v>
      </c>
      <c r="AX539" s="92">
        <v>2</v>
      </c>
      <c r="AY539" s="92">
        <v>3</v>
      </c>
      <c r="AZ539" s="92">
        <v>4</v>
      </c>
      <c r="BA539" s="92">
        <v>5</v>
      </c>
      <c r="BB539" s="92">
        <v>6</v>
      </c>
      <c r="BC539" s="92">
        <v>7</v>
      </c>
      <c r="BD539" s="92">
        <v>8</v>
      </c>
      <c r="BE539" s="92">
        <v>9</v>
      </c>
      <c r="BF539" s="93">
        <v>0</v>
      </c>
      <c r="BG539" s="93">
        <v>1</v>
      </c>
      <c r="BH539" s="93">
        <v>2</v>
      </c>
      <c r="BI539" s="93">
        <v>3</v>
      </c>
      <c r="BJ539" s="93">
        <v>4</v>
      </c>
      <c r="BK539" s="93">
        <v>5</v>
      </c>
      <c r="BL539" s="93">
        <v>6</v>
      </c>
      <c r="BM539" s="93">
        <v>7</v>
      </c>
      <c r="BN539" s="93">
        <v>8</v>
      </c>
      <c r="BO539" s="93">
        <v>9</v>
      </c>
      <c r="BP539" s="94" t="str">
        <f t="shared" si="352"/>
        <v>紧凑型</v>
      </c>
      <c r="BQ539" s="15">
        <f t="shared" si="349"/>
        <v>0</v>
      </c>
      <c r="BR539" s="15">
        <f t="shared" si="350"/>
        <v>2</v>
      </c>
      <c r="BS539" s="20">
        <f t="shared" si="354"/>
        <v>0</v>
      </c>
      <c r="BT539" s="21" t="str">
        <f t="shared" si="355"/>
        <v/>
      </c>
      <c r="BU539" s="21" t="str">
        <f t="array" ref="BU539">_xlfn.TEXTJOIN("",TRUE,IF(ISERROR(FIND(ROW($1:$168)-1,BS539&amp;BT539)),ROW($1:$168)-1,""))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39" s="22" t="str">
        <f t="shared" si="356"/>
        <v>复中中</v>
      </c>
      <c r="BW539" s="23" t="str">
        <f t="shared" si="367"/>
        <v/>
      </c>
      <c r="BX539" s="23" t="str">
        <f t="shared" si="365"/>
        <v/>
      </c>
      <c r="BY539" s="23" t="str">
        <f t="array" ref="BY539">_xlfn.TEXTJOIN("",TRUE,IF(ISERROR(FIND(ROW($1:$168)-1,BW539&amp;BX539)),ROW($1:$168)-1,""))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39" s="22" t="str">
        <f t="shared" si="357"/>
        <v>中中中</v>
      </c>
      <c r="CA539" s="24" t="str">
        <f t="shared" si="358"/>
        <v/>
      </c>
      <c r="CB539" s="24" t="str">
        <f t="shared" si="366"/>
        <v/>
      </c>
      <c r="CC539" s="24" t="str">
        <f t="array" ref="CC539">_xlfn.TEXTJOIN("",TRUE,IF(ISERROR(FIND(ROW($1:$168)-1,CA539&amp;CB539)),ROW($1:$168)-1,""))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39" s="22" t="str">
        <f t="shared" si="359"/>
        <v>中中中</v>
      </c>
      <c r="CE539" s="25" t="str">
        <f t="shared" si="353"/>
        <v>91</v>
      </c>
      <c r="CF539" s="26" t="str">
        <f t="array" ref="CF539">_xlfn.TEXTJOIN("",TRUE,IF(ISNUMBER(FIND(MID(CE538&amp;W538,ROW($1:$162),1),CE539&amp;W539)),MID(CE538&amp;W538,ROW($1:$162),1),""))</f>
        <v/>
      </c>
      <c r="CG539" s="27" t="str">
        <f t="array" ref="CG539">_xlfn.TEXTJOIN("",TRUE,IF(ISERROR(FIND(ROW($1:$168)-1,CE539&amp;CF539)),ROW($1:$168)-1,""))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539" s="28" t="str">
        <f t="shared" si="360"/>
        <v>邻孤孤</v>
      </c>
      <c r="CI539" s="29" t="str">
        <f t="shared" si="361"/>
        <v>13</v>
      </c>
      <c r="CJ539" s="29" t="str">
        <f t="array" ref="CJ539">_xlfn.TEXTJOIN("",TRUE,IF(ISNUMBER(FIND(MID(CI538&amp;X538,ROW($1:$162),1),CI539&amp;X539)),MID(CI538&amp;X538,ROW($1:$162),1),""))</f>
        <v/>
      </c>
      <c r="CK539" s="29" t="str">
        <f t="array" ref="CK539">_xlfn.TEXTJOIN("",TRUE,IF(ISERROR(FIND(ROW($1:$168)-1,CI539&amp;CJ539)),ROW($1:$168)-1,""))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39" s="19" t="str">
        <f t="shared" si="362"/>
        <v>邻孤孤</v>
      </c>
      <c r="CM539" s="24" t="str">
        <f t="shared" si="363"/>
        <v>13</v>
      </c>
      <c r="CN539" s="24" t="str">
        <f t="array" ref="CN539">_xlfn.TEXTJOIN("",TRUE,IF(ISNUMBER(FIND(MID(CM538&amp;Y538,ROW($1:$162),1),CM539&amp;Y539)),MID(CM538&amp;Y538,ROW($1:$162),1),""))</f>
        <v>1</v>
      </c>
      <c r="CO539" s="24" t="str">
        <f t="array" ref="CO539">_xlfn.TEXTJOIN("",TRUE,IF(ISERROR(FIND(ROW($1:$168)-1,CM539&amp;CN539)),ROW($1:$168)-1,""))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P539" s="30" t="str">
        <f t="shared" si="364"/>
        <v>邻传孤</v>
      </c>
    </row>
    <row r="540" spans="1:94">
      <c r="A540" s="15">
        <v>540</v>
      </c>
      <c r="B540" s="80">
        <v>2025157</v>
      </c>
      <c r="C540" s="8" t="s">
        <v>437</v>
      </c>
      <c r="D540" s="81">
        <f t="shared" si="375"/>
        <v>24</v>
      </c>
      <c r="E540" s="82">
        <f t="shared" si="376"/>
        <v>4</v>
      </c>
      <c r="F540" s="83">
        <f t="shared" si="373"/>
        <v>8</v>
      </c>
      <c r="G540" s="84" t="str">
        <f t="shared" si="374"/>
        <v>紧凑</v>
      </c>
      <c r="H540" s="85" t="s">
        <v>10</v>
      </c>
      <c r="I540" s="85" t="s">
        <v>11</v>
      </c>
      <c r="J540" s="85" t="s">
        <v>12</v>
      </c>
      <c r="K540" s="85" t="s">
        <v>13</v>
      </c>
      <c r="L540" s="86">
        <f>MAX(MID(C540,{1,2,3},1)*1)-MIN(MID(C540,{1,2,3},1)*1)</f>
        <v>3</v>
      </c>
      <c r="M540" s="87">
        <v>0</v>
      </c>
      <c r="N540" s="87">
        <v>1</v>
      </c>
      <c r="O540" s="87">
        <v>2</v>
      </c>
      <c r="P540" s="87">
        <v>3</v>
      </c>
      <c r="Q540" s="87">
        <v>4</v>
      </c>
      <c r="R540" s="87">
        <v>5</v>
      </c>
      <c r="S540" s="87">
        <v>6</v>
      </c>
      <c r="T540" s="87">
        <v>7</v>
      </c>
      <c r="U540" s="87">
        <v>8</v>
      </c>
      <c r="V540" s="87">
        <v>9</v>
      </c>
      <c r="W540" s="88">
        <f t="shared" si="377"/>
        <v>3</v>
      </c>
      <c r="X540" s="88">
        <f t="shared" si="378"/>
        <v>0</v>
      </c>
      <c r="Y540" s="88">
        <f t="shared" si="379"/>
        <v>3</v>
      </c>
      <c r="Z540" s="89">
        <f t="shared" si="351"/>
        <v>6</v>
      </c>
      <c r="AA540" s="17" t="str">
        <f>_xlfn.TEXTJOIN(", ",TRUE,ABS(MID(C540,{1,1,2},1)-MID(C540,{2,3,3},1)))</f>
        <v>3, 0, 3</v>
      </c>
      <c r="AB540" s="90">
        <v>0</v>
      </c>
      <c r="AC540" s="90">
        <v>1</v>
      </c>
      <c r="AD540" s="90">
        <v>2</v>
      </c>
      <c r="AE540" s="90">
        <v>3</v>
      </c>
      <c r="AF540" s="90">
        <v>4</v>
      </c>
      <c r="AG540" s="90">
        <v>5</v>
      </c>
      <c r="AH540" s="90">
        <v>6</v>
      </c>
      <c r="AI540" s="90">
        <v>7</v>
      </c>
      <c r="AJ540" s="90">
        <v>8</v>
      </c>
      <c r="AK540" s="90">
        <v>9</v>
      </c>
      <c r="AL540" s="91">
        <v>0</v>
      </c>
      <c r="AM540" s="91">
        <v>1</v>
      </c>
      <c r="AN540" s="91">
        <v>2</v>
      </c>
      <c r="AO540" s="91">
        <v>3</v>
      </c>
      <c r="AP540" s="91">
        <v>4</v>
      </c>
      <c r="AQ540" s="91">
        <v>5</v>
      </c>
      <c r="AR540" s="91">
        <v>6</v>
      </c>
      <c r="AS540" s="91">
        <v>7</v>
      </c>
      <c r="AT540" s="91">
        <v>8</v>
      </c>
      <c r="AU540" s="91">
        <v>9</v>
      </c>
      <c r="AV540" s="92">
        <v>0</v>
      </c>
      <c r="AW540" s="92">
        <v>1</v>
      </c>
      <c r="AX540" s="92">
        <v>2</v>
      </c>
      <c r="AY540" s="92">
        <v>3</v>
      </c>
      <c r="AZ540" s="92">
        <v>4</v>
      </c>
      <c r="BA540" s="92">
        <v>5</v>
      </c>
      <c r="BB540" s="92">
        <v>6</v>
      </c>
      <c r="BC540" s="92">
        <v>7</v>
      </c>
      <c r="BD540" s="92">
        <v>8</v>
      </c>
      <c r="BE540" s="92">
        <v>9</v>
      </c>
      <c r="BF540" s="93">
        <v>0</v>
      </c>
      <c r="BG540" s="93">
        <v>1</v>
      </c>
      <c r="BH540" s="93">
        <v>2</v>
      </c>
      <c r="BI540" s="93">
        <v>3</v>
      </c>
      <c r="BJ540" s="93">
        <v>4</v>
      </c>
      <c r="BK540" s="93">
        <v>5</v>
      </c>
      <c r="BL540" s="93">
        <v>6</v>
      </c>
      <c r="BM540" s="93">
        <v>7</v>
      </c>
      <c r="BN540" s="93">
        <v>8</v>
      </c>
      <c r="BO540" s="93">
        <v>9</v>
      </c>
      <c r="BP540" s="94" t="str">
        <f t="shared" si="352"/>
        <v>紧凑型</v>
      </c>
      <c r="BQ540" s="15">
        <f t="shared" si="349"/>
        <v>0</v>
      </c>
      <c r="BR540" s="15">
        <f t="shared" si="350"/>
        <v>3</v>
      </c>
      <c r="BS540" s="20" t="str">
        <f t="shared" si="354"/>
        <v/>
      </c>
      <c r="BT540" s="21" t="str">
        <f t="shared" si="355"/>
        <v/>
      </c>
      <c r="BU540" s="21" t="str">
        <f t="array" ref="BU540">_xlfn.TEXTJOIN("",TRUE,IF(ISERROR(FIND(ROW($1:$168)-1,BS540&amp;BT540)),ROW($1:$168)-1,""))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40" s="22" t="str">
        <f t="shared" si="356"/>
        <v>中中中</v>
      </c>
      <c r="BW540" s="23">
        <f t="shared" si="367"/>
        <v>0</v>
      </c>
      <c r="BX540" s="23">
        <f t="shared" si="365"/>
        <v>0</v>
      </c>
      <c r="BY540" s="23" t="str">
        <f t="array" ref="BY540">_xlfn.TEXTJOIN("",TRUE,IF(ISERROR(FIND(ROW($1:$168)-1,BW540&amp;BX540)),ROW($1:$168)-1,""))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40" s="22" t="str">
        <f t="shared" si="357"/>
        <v>复隔中</v>
      </c>
      <c r="CA540" s="24" t="str">
        <f t="shared" si="358"/>
        <v/>
      </c>
      <c r="CB540" s="24" t="str">
        <f t="shared" si="366"/>
        <v/>
      </c>
      <c r="CC540" s="24" t="str">
        <f t="array" ref="CC540">_xlfn.TEXTJOIN("",TRUE,IF(ISERROR(FIND(ROW($1:$168)-1,CA540&amp;CB540)),ROW($1:$168)-1,""))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40" s="22" t="str">
        <f t="shared" si="359"/>
        <v>中中中</v>
      </c>
      <c r="CE540" s="25" t="str">
        <f t="shared" si="353"/>
        <v>24</v>
      </c>
      <c r="CF540" s="26" t="str">
        <f t="array" ref="CF540">_xlfn.TEXTJOIN("",TRUE,IF(ISNUMBER(FIND(MID(CE539&amp;W539,ROW($1:$162),1),CE540&amp;W540)),MID(CE539&amp;W539,ROW($1:$162),1),""))</f>
        <v/>
      </c>
      <c r="CG540" s="27" t="str">
        <f t="array" ref="CG540">_xlfn.TEXTJOIN("",TRUE,IF(ISERROR(FIND(ROW($1:$168)-1,CE540&amp;CF540)),ROW($1:$168)-1,""))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40" s="28" t="str">
        <f t="shared" si="360"/>
        <v>邻孤孤</v>
      </c>
      <c r="CI540" s="29" t="str">
        <f t="shared" si="361"/>
        <v>91</v>
      </c>
      <c r="CJ540" s="29" t="str">
        <f t="array" ref="CJ540">_xlfn.TEXTJOIN("",TRUE,IF(ISNUMBER(FIND(MID(CI539&amp;X539,ROW($1:$162),1),CI540&amp;X540)),MID(CI539&amp;X539,ROW($1:$162),1),""))</f>
        <v>1</v>
      </c>
      <c r="CK540" s="29" t="str">
        <f t="array" ref="CK540">_xlfn.TEXTJOIN("",TRUE,IF(ISERROR(FIND(ROW($1:$168)-1,CI540&amp;CJ540)),ROW($1:$168)-1,""))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540" s="19" t="str">
        <f t="shared" si="362"/>
        <v>邻传孤</v>
      </c>
      <c r="CM540" s="24" t="str">
        <f t="shared" si="363"/>
        <v>24</v>
      </c>
      <c r="CN540" s="24" t="str">
        <f t="array" ref="CN540">_xlfn.TEXTJOIN("",TRUE,IF(ISNUMBER(FIND(MID(CM539&amp;Y539,ROW($1:$162),1),CM540&amp;Y540)),MID(CM539&amp;Y539,ROW($1:$162),1),""))</f>
        <v>32</v>
      </c>
      <c r="CO540" s="24" t="str">
        <f t="array" ref="CO540">_xlfn.TEXTJOIN("",TRUE,IF(ISERROR(FIND(ROW($1:$168)-1,CM540&amp;CN540)),ROW($1:$168)-1,""))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40" s="30" t="str">
        <f t="shared" si="364"/>
        <v>邻传孤</v>
      </c>
    </row>
    <row r="541" spans="1:94">
      <c r="A541" s="15">
        <v>541</v>
      </c>
      <c r="B541" s="80">
        <v>2025158</v>
      </c>
      <c r="C541" s="8" t="s">
        <v>438</v>
      </c>
      <c r="D541" s="81">
        <f t="shared" ref="D541:D560" si="380">LEFT(C541,1)+MID(C541,2,1)+RIGHT(C541,1)</f>
        <v>8</v>
      </c>
      <c r="E541" s="82">
        <f t="shared" ref="E541:E560" si="381">MOD(LEFT(C541,1)+MID(C541,2,1)+RIGHT(C541,1),10)</f>
        <v>8</v>
      </c>
      <c r="F541" s="83">
        <f t="shared" si="373"/>
        <v>1.14285714285714</v>
      </c>
      <c r="G541" s="84" t="str">
        <f t="shared" si="374"/>
        <v>松散</v>
      </c>
      <c r="H541" s="85" t="s">
        <v>10</v>
      </c>
      <c r="I541" s="85" t="s">
        <v>11</v>
      </c>
      <c r="J541" s="85" t="s">
        <v>12</v>
      </c>
      <c r="K541" s="85" t="s">
        <v>13</v>
      </c>
      <c r="L541" s="86">
        <f>MAX(MID(C541,{1,2,3},1)*1)-MIN(MID(C541,{1,2,3},1)*1)</f>
        <v>7</v>
      </c>
      <c r="M541" s="87">
        <v>0</v>
      </c>
      <c r="N541" s="87">
        <v>1</v>
      </c>
      <c r="O541" s="87">
        <v>2</v>
      </c>
      <c r="P541" s="87">
        <v>3</v>
      </c>
      <c r="Q541" s="87">
        <v>4</v>
      </c>
      <c r="R541" s="87">
        <v>5</v>
      </c>
      <c r="S541" s="87">
        <v>6</v>
      </c>
      <c r="T541" s="87">
        <v>7</v>
      </c>
      <c r="U541" s="87">
        <v>8</v>
      </c>
      <c r="V541" s="87">
        <v>9</v>
      </c>
      <c r="W541" s="88">
        <f t="shared" ref="W541:W560" si="382">ABS(LEFT(C541,1)-MID(C541,2,1))</f>
        <v>7</v>
      </c>
      <c r="X541" s="88">
        <f t="shared" ref="X541:X560" si="383">ABS(LEFT(C541,1)-RIGHT(C541,1))</f>
        <v>6</v>
      </c>
      <c r="Y541" s="88">
        <f t="shared" ref="Y541:Y560" si="384">ABS(MID(C541,2,1)-RIGHT(C541,1))</f>
        <v>1</v>
      </c>
      <c r="Z541" s="89">
        <f t="shared" si="351"/>
        <v>14</v>
      </c>
      <c r="AA541" s="17" t="str">
        <f>_xlfn.TEXTJOIN(", ",TRUE,ABS(MID(C541,{1,1,2},1)-MID(C541,{2,3,3},1)))</f>
        <v>7, 6, 1</v>
      </c>
      <c r="AB541" s="90">
        <v>0</v>
      </c>
      <c r="AC541" s="90">
        <v>1</v>
      </c>
      <c r="AD541" s="90">
        <v>2</v>
      </c>
      <c r="AE541" s="90">
        <v>3</v>
      </c>
      <c r="AF541" s="90">
        <v>4</v>
      </c>
      <c r="AG541" s="90">
        <v>5</v>
      </c>
      <c r="AH541" s="90">
        <v>6</v>
      </c>
      <c r="AI541" s="90">
        <v>7</v>
      </c>
      <c r="AJ541" s="90">
        <v>8</v>
      </c>
      <c r="AK541" s="90">
        <v>9</v>
      </c>
      <c r="AL541" s="91">
        <v>0</v>
      </c>
      <c r="AM541" s="91">
        <v>1</v>
      </c>
      <c r="AN541" s="91">
        <v>2</v>
      </c>
      <c r="AO541" s="91">
        <v>3</v>
      </c>
      <c r="AP541" s="91">
        <v>4</v>
      </c>
      <c r="AQ541" s="91">
        <v>5</v>
      </c>
      <c r="AR541" s="91">
        <v>6</v>
      </c>
      <c r="AS541" s="91">
        <v>7</v>
      </c>
      <c r="AT541" s="91">
        <v>8</v>
      </c>
      <c r="AU541" s="91">
        <v>9</v>
      </c>
      <c r="AV541" s="92">
        <v>0</v>
      </c>
      <c r="AW541" s="92">
        <v>1</v>
      </c>
      <c r="AX541" s="92">
        <v>2</v>
      </c>
      <c r="AY541" s="92">
        <v>3</v>
      </c>
      <c r="AZ541" s="92">
        <v>4</v>
      </c>
      <c r="BA541" s="92">
        <v>5</v>
      </c>
      <c r="BB541" s="92">
        <v>6</v>
      </c>
      <c r="BC541" s="92">
        <v>7</v>
      </c>
      <c r="BD541" s="92">
        <v>8</v>
      </c>
      <c r="BE541" s="92">
        <v>9</v>
      </c>
      <c r="BF541" s="93">
        <v>0</v>
      </c>
      <c r="BG541" s="93">
        <v>1</v>
      </c>
      <c r="BH541" s="93">
        <v>2</v>
      </c>
      <c r="BI541" s="93">
        <v>3</v>
      </c>
      <c r="BJ541" s="93">
        <v>4</v>
      </c>
      <c r="BK541" s="93">
        <v>5</v>
      </c>
      <c r="BL541" s="93">
        <v>6</v>
      </c>
      <c r="BM541" s="93">
        <v>7</v>
      </c>
      <c r="BN541" s="93">
        <v>8</v>
      </c>
      <c r="BO541" s="93">
        <v>9</v>
      </c>
      <c r="BP541" s="94" t="str">
        <f t="shared" si="352"/>
        <v>松散型</v>
      </c>
      <c r="BQ541" s="15">
        <f t="shared" si="349"/>
        <v>1</v>
      </c>
      <c r="BR541" s="15">
        <f t="shared" si="350"/>
        <v>7</v>
      </c>
      <c r="BS541" s="20" t="str">
        <f t="shared" si="354"/>
        <v/>
      </c>
      <c r="BT541" s="21" t="str">
        <f t="shared" si="355"/>
        <v/>
      </c>
      <c r="BU541" s="21" t="str">
        <f t="array" ref="BU541">_xlfn.TEXTJOIN("",TRUE,IF(ISERROR(FIND(ROW($1:$168)-1,BS541&amp;BT541)),ROW($1:$168)-1,""))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41" s="22" t="str">
        <f t="shared" si="356"/>
        <v>中中中</v>
      </c>
      <c r="BW541" s="23" t="str">
        <f t="shared" si="367"/>
        <v/>
      </c>
      <c r="BX541" s="23" t="str">
        <f t="shared" si="365"/>
        <v/>
      </c>
      <c r="BY541" s="23" t="str">
        <f t="array" ref="BY541">_xlfn.TEXTJOIN("",TRUE,IF(ISERROR(FIND(ROW($1:$168)-1,BW541&amp;BX541)),ROW($1:$168)-1,""))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41" s="22" t="str">
        <f t="shared" si="357"/>
        <v>中中中</v>
      </c>
      <c r="CA541" s="24" t="str">
        <f t="shared" si="358"/>
        <v/>
      </c>
      <c r="CB541" s="24" t="str">
        <f t="shared" si="366"/>
        <v/>
      </c>
      <c r="CC541" s="24" t="str">
        <f t="array" ref="CC541">_xlfn.TEXTJOIN("",TRUE,IF(ISERROR(FIND(ROW($1:$168)-1,CA541&amp;CB541)),ROW($1:$168)-1,""))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41" s="22" t="str">
        <f t="shared" si="359"/>
        <v>中中中</v>
      </c>
      <c r="CE541" s="25" t="str">
        <f t="shared" si="353"/>
        <v>68</v>
      </c>
      <c r="CF541" s="26" t="str">
        <f t="array" ref="CF541">_xlfn.TEXTJOIN("",TRUE,IF(ISNUMBER(FIND(MID(CE540&amp;W540,ROW($1:$162),1),CE541&amp;W541)),MID(CE540&amp;W540,ROW($1:$162),1),""))</f>
        <v/>
      </c>
      <c r="CG541" s="27" t="str">
        <f t="array" ref="CG541">_xlfn.TEXTJOIN("",TRUE,IF(ISERROR(FIND(ROW($1:$168)-1,CE541&amp;CF541)),ROW($1:$168)-1,""))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41" s="28" t="str">
        <f t="shared" si="360"/>
        <v>邻孤孤</v>
      </c>
      <c r="CI541" s="29" t="str">
        <f t="shared" si="361"/>
        <v>57</v>
      </c>
      <c r="CJ541" s="29" t="str">
        <f t="array" ref="CJ541">_xlfn.TEXTJOIN("",TRUE,IF(ISNUMBER(FIND(MID(CI540&amp;X540,ROW($1:$162),1),CI541&amp;X541)),MID(CI540&amp;X540,ROW($1:$162),1),""))</f>
        <v/>
      </c>
      <c r="CK541" s="29" t="str">
        <f t="array" ref="CK541">_xlfn.TEXTJOIN("",TRUE,IF(ISERROR(FIND(ROW($1:$168)-1,CI541&amp;CJ541)),ROW($1:$168)-1,""))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41" s="19" t="str">
        <f t="shared" si="362"/>
        <v>邻孤孤</v>
      </c>
      <c r="CM541" s="24" t="str">
        <f t="shared" si="363"/>
        <v>02</v>
      </c>
      <c r="CN541" s="24" t="str">
        <f t="array" ref="CN541">_xlfn.TEXTJOIN("",TRUE,IF(ISNUMBER(FIND(MID(CM540&amp;Y540,ROW($1:$162),1),CM541&amp;Y541)),MID(CM540&amp;Y540,ROW($1:$162),1),""))</f>
        <v>2</v>
      </c>
      <c r="CO541" s="24" t="str">
        <f t="array" ref="CO541">_xlfn.TEXTJOIN("",TRUE,IF(ISERROR(FIND(ROW($1:$168)-1,CM541&amp;CN541)),ROW($1:$168)-1,""))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41" s="30" t="str">
        <f t="shared" si="364"/>
        <v>邻传孤</v>
      </c>
    </row>
    <row r="542" spans="1:94">
      <c r="A542" s="15">
        <v>542</v>
      </c>
      <c r="B542" s="80">
        <v>2025159</v>
      </c>
      <c r="C542" s="8" t="s">
        <v>439</v>
      </c>
      <c r="D542" s="81">
        <f t="shared" si="380"/>
        <v>10</v>
      </c>
      <c r="E542" s="82">
        <f t="shared" si="381"/>
        <v>0</v>
      </c>
      <c r="F542" s="83">
        <f t="shared" si="373"/>
        <v>1.42857142857143</v>
      </c>
      <c r="G542" s="84" t="str">
        <f t="shared" si="374"/>
        <v>松散</v>
      </c>
      <c r="H542" s="85" t="s">
        <v>10</v>
      </c>
      <c r="I542" s="85" t="s">
        <v>11</v>
      </c>
      <c r="J542" s="85" t="s">
        <v>12</v>
      </c>
      <c r="K542" s="85" t="s">
        <v>13</v>
      </c>
      <c r="L542" s="86">
        <f>MAX(MID(C542,{1,2,3},1)*1)-MIN(MID(C542,{1,2,3},1)*1)</f>
        <v>7</v>
      </c>
      <c r="M542" s="87">
        <v>0</v>
      </c>
      <c r="N542" s="87">
        <v>1</v>
      </c>
      <c r="O542" s="87">
        <v>2</v>
      </c>
      <c r="P542" s="87">
        <v>3</v>
      </c>
      <c r="Q542" s="87">
        <v>4</v>
      </c>
      <c r="R542" s="87">
        <v>5</v>
      </c>
      <c r="S542" s="87">
        <v>6</v>
      </c>
      <c r="T542" s="87">
        <v>7</v>
      </c>
      <c r="U542" s="87">
        <v>8</v>
      </c>
      <c r="V542" s="87">
        <v>9</v>
      </c>
      <c r="W542" s="88">
        <f t="shared" si="382"/>
        <v>7</v>
      </c>
      <c r="X542" s="88">
        <f t="shared" si="383"/>
        <v>3</v>
      </c>
      <c r="Y542" s="88">
        <f t="shared" si="384"/>
        <v>4</v>
      </c>
      <c r="Z542" s="89">
        <f t="shared" si="351"/>
        <v>14</v>
      </c>
      <c r="AA542" s="17" t="str">
        <f>_xlfn.TEXTJOIN(", ",TRUE,ABS(MID(C542,{1,1,2},1)-MID(C542,{2,3,3},1)))</f>
        <v>7, 3, 4</v>
      </c>
      <c r="AB542" s="90">
        <v>0</v>
      </c>
      <c r="AC542" s="90">
        <v>1</v>
      </c>
      <c r="AD542" s="90">
        <v>2</v>
      </c>
      <c r="AE542" s="90">
        <v>3</v>
      </c>
      <c r="AF542" s="90">
        <v>4</v>
      </c>
      <c r="AG542" s="90">
        <v>5</v>
      </c>
      <c r="AH542" s="90">
        <v>6</v>
      </c>
      <c r="AI542" s="90">
        <v>7</v>
      </c>
      <c r="AJ542" s="90">
        <v>8</v>
      </c>
      <c r="AK542" s="90">
        <v>9</v>
      </c>
      <c r="AL542" s="91">
        <v>0</v>
      </c>
      <c r="AM542" s="91">
        <v>1</v>
      </c>
      <c r="AN542" s="91">
        <v>2</v>
      </c>
      <c r="AO542" s="91">
        <v>3</v>
      </c>
      <c r="AP542" s="91">
        <v>4</v>
      </c>
      <c r="AQ542" s="91">
        <v>5</v>
      </c>
      <c r="AR542" s="91">
        <v>6</v>
      </c>
      <c r="AS542" s="91">
        <v>7</v>
      </c>
      <c r="AT542" s="91">
        <v>8</v>
      </c>
      <c r="AU542" s="91">
        <v>9</v>
      </c>
      <c r="AV542" s="92">
        <v>0</v>
      </c>
      <c r="AW542" s="92">
        <v>1</v>
      </c>
      <c r="AX542" s="92">
        <v>2</v>
      </c>
      <c r="AY542" s="92">
        <v>3</v>
      </c>
      <c r="AZ542" s="92">
        <v>4</v>
      </c>
      <c r="BA542" s="92">
        <v>5</v>
      </c>
      <c r="BB542" s="92">
        <v>6</v>
      </c>
      <c r="BC542" s="92">
        <v>7</v>
      </c>
      <c r="BD542" s="92">
        <v>8</v>
      </c>
      <c r="BE542" s="92">
        <v>9</v>
      </c>
      <c r="BF542" s="93">
        <v>0</v>
      </c>
      <c r="BG542" s="93">
        <v>1</v>
      </c>
      <c r="BH542" s="93">
        <v>2</v>
      </c>
      <c r="BI542" s="93">
        <v>3</v>
      </c>
      <c r="BJ542" s="93">
        <v>4</v>
      </c>
      <c r="BK542" s="93">
        <v>5</v>
      </c>
      <c r="BL542" s="93">
        <v>6</v>
      </c>
      <c r="BM542" s="93">
        <v>7</v>
      </c>
      <c r="BN542" s="93">
        <v>8</v>
      </c>
      <c r="BO542" s="93">
        <v>9</v>
      </c>
      <c r="BP542" s="94" t="str">
        <f t="shared" si="352"/>
        <v>松散型</v>
      </c>
      <c r="BQ542" s="15">
        <f t="shared" si="349"/>
        <v>3</v>
      </c>
      <c r="BR542" s="15">
        <f t="shared" si="350"/>
        <v>7</v>
      </c>
      <c r="BS542" s="20">
        <f t="shared" si="354"/>
        <v>7</v>
      </c>
      <c r="BT542" s="21" t="str">
        <f t="shared" si="355"/>
        <v/>
      </c>
      <c r="BU542" s="21" t="str">
        <f t="array" ref="BU542">_xlfn.TEXTJOIN("",TRUE,IF(ISERROR(FIND(ROW($1:$168)-1,BS542&amp;BT542)),ROW($1:$168)-1,""))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42" s="22" t="str">
        <f t="shared" si="356"/>
        <v>复中中</v>
      </c>
      <c r="BW542" s="23" t="str">
        <f t="shared" si="367"/>
        <v/>
      </c>
      <c r="BX542" s="23">
        <f t="shared" si="365"/>
        <v>3</v>
      </c>
      <c r="BY542" s="23" t="str">
        <f t="array" ref="BY542">_xlfn.TEXTJOIN("",TRUE,IF(ISERROR(FIND(ROW($1:$168)-1,BW542&amp;BX542)),ROW($1:$168)-1,""))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42" s="22" t="str">
        <f t="shared" si="357"/>
        <v>中隔中</v>
      </c>
      <c r="CA542" s="24" t="str">
        <f t="shared" si="358"/>
        <v/>
      </c>
      <c r="CB542" s="24" t="str">
        <f t="shared" si="366"/>
        <v/>
      </c>
      <c r="CC542" s="24" t="str">
        <f t="array" ref="CC542">_xlfn.TEXTJOIN("",TRUE,IF(ISERROR(FIND(ROW($1:$168)-1,CA542&amp;CB542)),ROW($1:$168)-1,""))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42" s="22" t="str">
        <f t="shared" si="359"/>
        <v>中中中</v>
      </c>
      <c r="CE542" s="25" t="str">
        <f t="shared" si="353"/>
        <v>68</v>
      </c>
      <c r="CF542" s="26" t="str">
        <f t="array" ref="CF542">_xlfn.TEXTJOIN("",TRUE,IF(ISNUMBER(FIND(MID(CE541&amp;W541,ROW($1:$162),1),CE542&amp;W542)),MID(CE541&amp;W541,ROW($1:$162),1),""))</f>
        <v>687</v>
      </c>
      <c r="CG542" s="27" t="str">
        <f t="array" ref="CG542">_xlfn.TEXTJOIN("",TRUE,IF(ISERROR(FIND(ROW($1:$168)-1,CE542&amp;CF542)),ROW($1:$168)-1,""))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H542" s="28" t="str">
        <f t="shared" si="360"/>
        <v>邻传孤</v>
      </c>
      <c r="CI542" s="29" t="str">
        <f t="shared" si="361"/>
        <v>24</v>
      </c>
      <c r="CJ542" s="29" t="str">
        <f t="array" ref="CJ542">_xlfn.TEXTJOIN("",TRUE,IF(ISNUMBER(FIND(MID(CI541&amp;X541,ROW($1:$162),1),CI542&amp;X542)),MID(CI541&amp;X541,ROW($1:$162),1),""))</f>
        <v/>
      </c>
      <c r="CK542" s="29" t="str">
        <f t="array" ref="CK542">_xlfn.TEXTJOIN("",TRUE,IF(ISERROR(FIND(ROW($1:$168)-1,CI542&amp;CJ542)),ROW($1:$168)-1,""))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42" s="19" t="str">
        <f t="shared" si="362"/>
        <v>邻孤孤</v>
      </c>
      <c r="CM542" s="24" t="str">
        <f t="shared" si="363"/>
        <v>35</v>
      </c>
      <c r="CN542" s="24" t="str">
        <f t="array" ref="CN542">_xlfn.TEXTJOIN("",TRUE,IF(ISNUMBER(FIND(MID(CM541&amp;Y541,ROW($1:$162),1),CM542&amp;Y542)),MID(CM541&amp;Y541,ROW($1:$162),1),""))</f>
        <v/>
      </c>
      <c r="CO542" s="24" t="str">
        <f t="array" ref="CO542">_xlfn.TEXTJOIN("",TRUE,IF(ISERROR(FIND(ROW($1:$168)-1,CM542&amp;CN542)),ROW($1:$168)-1,""))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42" s="30" t="str">
        <f t="shared" si="364"/>
        <v>邻孤孤</v>
      </c>
    </row>
    <row r="543" spans="1:94">
      <c r="A543" s="15">
        <v>543</v>
      </c>
      <c r="B543" s="80">
        <v>2025160</v>
      </c>
      <c r="C543" s="8" t="s">
        <v>440</v>
      </c>
      <c r="D543" s="81">
        <f t="shared" si="380"/>
        <v>8</v>
      </c>
      <c r="E543" s="82">
        <f t="shared" si="381"/>
        <v>8</v>
      </c>
      <c r="F543" s="83">
        <f t="shared" si="373"/>
        <v>1.6</v>
      </c>
      <c r="G543" s="84" t="str">
        <f t="shared" si="374"/>
        <v>松散</v>
      </c>
      <c r="H543" s="85" t="s">
        <v>10</v>
      </c>
      <c r="I543" s="85" t="s">
        <v>11</v>
      </c>
      <c r="J543" s="85" t="s">
        <v>12</v>
      </c>
      <c r="K543" s="85" t="s">
        <v>13</v>
      </c>
      <c r="L543" s="86">
        <f>MAX(MID(C543,{1,2,3},1)*1)-MIN(MID(C543,{1,2,3},1)*1)</f>
        <v>5</v>
      </c>
      <c r="M543" s="87">
        <v>0</v>
      </c>
      <c r="N543" s="87">
        <v>1</v>
      </c>
      <c r="O543" s="87">
        <v>2</v>
      </c>
      <c r="P543" s="87">
        <v>3</v>
      </c>
      <c r="Q543" s="87">
        <v>4</v>
      </c>
      <c r="R543" s="87">
        <v>5</v>
      </c>
      <c r="S543" s="87">
        <v>6</v>
      </c>
      <c r="T543" s="87">
        <v>7</v>
      </c>
      <c r="U543" s="87">
        <v>8</v>
      </c>
      <c r="V543" s="87">
        <v>9</v>
      </c>
      <c r="W543" s="88">
        <f t="shared" si="382"/>
        <v>5</v>
      </c>
      <c r="X543" s="88">
        <f t="shared" si="383"/>
        <v>2</v>
      </c>
      <c r="Y543" s="88">
        <f t="shared" si="384"/>
        <v>3</v>
      </c>
      <c r="Z543" s="89">
        <f t="shared" si="351"/>
        <v>10</v>
      </c>
      <c r="AA543" s="17" t="str">
        <f>_xlfn.TEXTJOIN(", ",TRUE,ABS(MID(C543,{1,1,2},1)-MID(C543,{2,3,3},1)))</f>
        <v>5, 2, 3</v>
      </c>
      <c r="AB543" s="90">
        <v>0</v>
      </c>
      <c r="AC543" s="90">
        <v>1</v>
      </c>
      <c r="AD543" s="90">
        <v>2</v>
      </c>
      <c r="AE543" s="90">
        <v>3</v>
      </c>
      <c r="AF543" s="90">
        <v>4</v>
      </c>
      <c r="AG543" s="90">
        <v>5</v>
      </c>
      <c r="AH543" s="90">
        <v>6</v>
      </c>
      <c r="AI543" s="90">
        <v>7</v>
      </c>
      <c r="AJ543" s="90">
        <v>8</v>
      </c>
      <c r="AK543" s="90">
        <v>9</v>
      </c>
      <c r="AL543" s="91">
        <v>0</v>
      </c>
      <c r="AM543" s="91">
        <v>1</v>
      </c>
      <c r="AN543" s="91">
        <v>2</v>
      </c>
      <c r="AO543" s="91">
        <v>3</v>
      </c>
      <c r="AP543" s="91">
        <v>4</v>
      </c>
      <c r="AQ543" s="91">
        <v>5</v>
      </c>
      <c r="AR543" s="91">
        <v>6</v>
      </c>
      <c r="AS543" s="91">
        <v>7</v>
      </c>
      <c r="AT543" s="91">
        <v>8</v>
      </c>
      <c r="AU543" s="91">
        <v>9</v>
      </c>
      <c r="AV543" s="92">
        <v>0</v>
      </c>
      <c r="AW543" s="92">
        <v>1</v>
      </c>
      <c r="AX543" s="92">
        <v>2</v>
      </c>
      <c r="AY543" s="92">
        <v>3</v>
      </c>
      <c r="AZ543" s="92">
        <v>4</v>
      </c>
      <c r="BA543" s="92">
        <v>5</v>
      </c>
      <c r="BB543" s="92">
        <v>6</v>
      </c>
      <c r="BC543" s="92">
        <v>7</v>
      </c>
      <c r="BD543" s="92">
        <v>8</v>
      </c>
      <c r="BE543" s="92">
        <v>9</v>
      </c>
      <c r="BF543" s="93">
        <v>0</v>
      </c>
      <c r="BG543" s="93">
        <v>1</v>
      </c>
      <c r="BH543" s="93">
        <v>2</v>
      </c>
      <c r="BI543" s="93">
        <v>3</v>
      </c>
      <c r="BJ543" s="93">
        <v>4</v>
      </c>
      <c r="BK543" s="93">
        <v>5</v>
      </c>
      <c r="BL543" s="93">
        <v>6</v>
      </c>
      <c r="BM543" s="93">
        <v>7</v>
      </c>
      <c r="BN543" s="93">
        <v>8</v>
      </c>
      <c r="BO543" s="93">
        <v>9</v>
      </c>
      <c r="BP543" s="94" t="str">
        <f t="shared" si="352"/>
        <v>标准型</v>
      </c>
      <c r="BQ543" s="15">
        <f t="shared" si="349"/>
        <v>2</v>
      </c>
      <c r="BR543" s="15">
        <f t="shared" si="350"/>
        <v>5</v>
      </c>
      <c r="BS543" s="20" t="str">
        <f t="shared" si="354"/>
        <v/>
      </c>
      <c r="BT543" s="21" t="str">
        <f t="shared" si="355"/>
        <v/>
      </c>
      <c r="BU543" s="21" t="str">
        <f t="array" ref="BU543">_xlfn.TEXTJOIN("",TRUE,IF(ISERROR(FIND(ROW($1:$168)-1,BS543&amp;BT543)),ROW($1:$168)-1,""))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43" s="22" t="str">
        <f t="shared" si="356"/>
        <v>中中中</v>
      </c>
      <c r="BW543" s="23" t="str">
        <f t="shared" si="367"/>
        <v/>
      </c>
      <c r="BX543" s="23" t="str">
        <f t="shared" si="365"/>
        <v/>
      </c>
      <c r="BY543" s="23" t="str">
        <f t="array" ref="BY543">_xlfn.TEXTJOIN("",TRUE,IF(ISERROR(FIND(ROW($1:$168)-1,BW543&amp;BX543)),ROW($1:$168)-1,""))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43" s="22" t="str">
        <f t="shared" si="357"/>
        <v>中中中</v>
      </c>
      <c r="CA543" s="24">
        <f t="shared" si="358"/>
        <v>3</v>
      </c>
      <c r="CB543" s="24" t="str">
        <f t="shared" si="366"/>
        <v/>
      </c>
      <c r="CC543" s="24" t="str">
        <f t="array" ref="CC543">_xlfn.TEXTJOIN("",TRUE,IF(ISERROR(FIND(ROW($1:$168)-1,CA543&amp;CB543)),ROW($1:$168)-1,""))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43" s="22" t="str">
        <f t="shared" si="359"/>
        <v>复中中</v>
      </c>
      <c r="CE543" s="25" t="str">
        <f t="shared" si="353"/>
        <v>46</v>
      </c>
      <c r="CF543" s="26" t="str">
        <f t="array" ref="CF543">_xlfn.TEXTJOIN("",TRUE,IF(ISNUMBER(FIND(MID(CE542&amp;W542,ROW($1:$162),1),CE543&amp;W543)),MID(CE542&amp;W542,ROW($1:$162),1),""))</f>
        <v>6</v>
      </c>
      <c r="CG543" s="27" t="str">
        <f t="array" ref="CG543">_xlfn.TEXTJOIN("",TRUE,IF(ISERROR(FIND(ROW($1:$168)-1,CE543&amp;CF543)),ROW($1:$168)-1,""))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43" s="28" t="str">
        <f t="shared" si="360"/>
        <v>邻传孤</v>
      </c>
      <c r="CI543" s="29" t="str">
        <f t="shared" si="361"/>
        <v>13</v>
      </c>
      <c r="CJ543" s="29" t="str">
        <f t="array" ref="CJ543">_xlfn.TEXTJOIN("",TRUE,IF(ISNUMBER(FIND(MID(CI542&amp;X542,ROW($1:$162),1),CI543&amp;X543)),MID(CI542&amp;X542,ROW($1:$162),1),""))</f>
        <v>23</v>
      </c>
      <c r="CK543" s="29" t="str">
        <f t="array" ref="CK543">_xlfn.TEXTJOIN("",TRUE,IF(ISERROR(FIND(ROW($1:$168)-1,CI543&amp;CJ543)),ROW($1:$168)-1,""))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543" s="19" t="str">
        <f t="shared" si="362"/>
        <v>邻传孤</v>
      </c>
      <c r="CM543" s="24" t="str">
        <f t="shared" si="363"/>
        <v>24</v>
      </c>
      <c r="CN543" s="24" t="str">
        <f t="array" ref="CN543">_xlfn.TEXTJOIN("",TRUE,IF(ISNUMBER(FIND(MID(CM542&amp;Y542,ROW($1:$162),1),CM543&amp;Y543)),MID(CM542&amp;Y542,ROW($1:$162),1),""))</f>
        <v>34</v>
      </c>
      <c r="CO543" s="24" t="str">
        <f t="array" ref="CO543">_xlfn.TEXTJOIN("",TRUE,IF(ISERROR(FIND(ROW($1:$168)-1,CM543&amp;CN543)),ROW($1:$168)-1,""))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43" s="30" t="str">
        <f t="shared" si="364"/>
        <v>邻传孤</v>
      </c>
    </row>
    <row r="544" spans="1:94">
      <c r="A544" s="15">
        <v>544</v>
      </c>
      <c r="B544" s="80">
        <v>2025161</v>
      </c>
      <c r="C544" s="8" t="s">
        <v>187</v>
      </c>
      <c r="D544" s="81">
        <f t="shared" si="380"/>
        <v>19</v>
      </c>
      <c r="E544" s="82">
        <f t="shared" si="381"/>
        <v>9</v>
      </c>
      <c r="F544" s="83">
        <f t="shared" si="373"/>
        <v>4.75</v>
      </c>
      <c r="G544" s="84" t="str">
        <f t="shared" si="374"/>
        <v>紧凑</v>
      </c>
      <c r="H544" s="85" t="s">
        <v>10</v>
      </c>
      <c r="I544" s="85" t="s">
        <v>11</v>
      </c>
      <c r="J544" s="85" t="s">
        <v>12</v>
      </c>
      <c r="K544" s="85" t="s">
        <v>13</v>
      </c>
      <c r="L544" s="86">
        <f>MAX(MID(C544,{1,2,3},1)*1)-MIN(MID(C544,{1,2,3},1)*1)</f>
        <v>4</v>
      </c>
      <c r="M544" s="87">
        <v>0</v>
      </c>
      <c r="N544" s="87">
        <v>1</v>
      </c>
      <c r="O544" s="87">
        <v>2</v>
      </c>
      <c r="P544" s="87">
        <v>3</v>
      </c>
      <c r="Q544" s="87">
        <v>4</v>
      </c>
      <c r="R544" s="87">
        <v>5</v>
      </c>
      <c r="S544" s="87">
        <v>6</v>
      </c>
      <c r="T544" s="87">
        <v>7</v>
      </c>
      <c r="U544" s="87">
        <v>8</v>
      </c>
      <c r="V544" s="87">
        <v>9</v>
      </c>
      <c r="W544" s="88">
        <f t="shared" si="382"/>
        <v>3</v>
      </c>
      <c r="X544" s="88">
        <f t="shared" si="383"/>
        <v>1</v>
      </c>
      <c r="Y544" s="88">
        <f t="shared" si="384"/>
        <v>4</v>
      </c>
      <c r="Z544" s="89">
        <f t="shared" si="351"/>
        <v>8</v>
      </c>
      <c r="AA544" s="17" t="str">
        <f>_xlfn.TEXTJOIN(", ",TRUE,ABS(MID(C544,{1,1,2},1)-MID(C544,{2,3,3},1)))</f>
        <v>3, 1, 4</v>
      </c>
      <c r="AB544" s="90">
        <v>0</v>
      </c>
      <c r="AC544" s="90">
        <v>1</v>
      </c>
      <c r="AD544" s="90">
        <v>2</v>
      </c>
      <c r="AE544" s="90">
        <v>3</v>
      </c>
      <c r="AF544" s="90">
        <v>4</v>
      </c>
      <c r="AG544" s="90">
        <v>5</v>
      </c>
      <c r="AH544" s="90">
        <v>6</v>
      </c>
      <c r="AI544" s="90">
        <v>7</v>
      </c>
      <c r="AJ544" s="90">
        <v>8</v>
      </c>
      <c r="AK544" s="90">
        <v>9</v>
      </c>
      <c r="AL544" s="91">
        <v>0</v>
      </c>
      <c r="AM544" s="91">
        <v>1</v>
      </c>
      <c r="AN544" s="91">
        <v>2</v>
      </c>
      <c r="AO544" s="91">
        <v>3</v>
      </c>
      <c r="AP544" s="91">
        <v>4</v>
      </c>
      <c r="AQ544" s="91">
        <v>5</v>
      </c>
      <c r="AR544" s="91">
        <v>6</v>
      </c>
      <c r="AS544" s="91">
        <v>7</v>
      </c>
      <c r="AT544" s="91">
        <v>8</v>
      </c>
      <c r="AU544" s="91">
        <v>9</v>
      </c>
      <c r="AV544" s="92">
        <v>0</v>
      </c>
      <c r="AW544" s="92">
        <v>1</v>
      </c>
      <c r="AX544" s="92">
        <v>2</v>
      </c>
      <c r="AY544" s="92">
        <v>3</v>
      </c>
      <c r="AZ544" s="92">
        <v>4</v>
      </c>
      <c r="BA544" s="92">
        <v>5</v>
      </c>
      <c r="BB544" s="92">
        <v>6</v>
      </c>
      <c r="BC544" s="92">
        <v>7</v>
      </c>
      <c r="BD544" s="92">
        <v>8</v>
      </c>
      <c r="BE544" s="92">
        <v>9</v>
      </c>
      <c r="BF544" s="93">
        <v>0</v>
      </c>
      <c r="BG544" s="93">
        <v>1</v>
      </c>
      <c r="BH544" s="93">
        <v>2</v>
      </c>
      <c r="BI544" s="93">
        <v>3</v>
      </c>
      <c r="BJ544" s="93">
        <v>4</v>
      </c>
      <c r="BK544" s="93">
        <v>5</v>
      </c>
      <c r="BL544" s="93">
        <v>6</v>
      </c>
      <c r="BM544" s="93">
        <v>7</v>
      </c>
      <c r="BN544" s="93">
        <v>8</v>
      </c>
      <c r="BO544" s="93">
        <v>9</v>
      </c>
      <c r="BP544" s="94" t="str">
        <f t="shared" si="352"/>
        <v>紧凑型</v>
      </c>
      <c r="BQ544" s="15">
        <f t="shared" si="349"/>
        <v>1</v>
      </c>
      <c r="BR544" s="15">
        <f t="shared" si="350"/>
        <v>4</v>
      </c>
      <c r="BS544" s="20">
        <f t="shared" si="354"/>
        <v>3</v>
      </c>
      <c r="BT544" s="21">
        <f t="shared" si="355"/>
        <v>3</v>
      </c>
      <c r="BU544" s="21" t="str">
        <f t="array" ref="BU544">_xlfn.TEXTJOIN("",TRUE,IF(ISERROR(FIND(ROW($1:$168)-1,BS544&amp;BT544)),ROW($1:$168)-1,""))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44" s="22" t="str">
        <f t="shared" si="356"/>
        <v>复隔中</v>
      </c>
      <c r="BW544" s="23" t="str">
        <f t="shared" si="367"/>
        <v/>
      </c>
      <c r="BX544" s="23" t="str">
        <f t="shared" si="365"/>
        <v/>
      </c>
      <c r="BY544" s="23" t="str">
        <f t="array" ref="BY544">_xlfn.TEXTJOIN("",TRUE,IF(ISERROR(FIND(ROW($1:$168)-1,BW544&amp;BX544)),ROW($1:$168)-1,""))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44" s="22" t="str">
        <f t="shared" si="357"/>
        <v>中中中</v>
      </c>
      <c r="CA544" s="24" t="str">
        <f t="shared" si="358"/>
        <v/>
      </c>
      <c r="CB544" s="24">
        <f t="shared" si="366"/>
        <v>4</v>
      </c>
      <c r="CC544" s="24" t="str">
        <f t="array" ref="CC544">_xlfn.TEXTJOIN("",TRUE,IF(ISERROR(FIND(ROW($1:$168)-1,CA544&amp;CB544)),ROW($1:$168)-1,""))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44" s="22" t="str">
        <f t="shared" si="359"/>
        <v>中隔中</v>
      </c>
      <c r="CE544" s="25" t="str">
        <f t="shared" si="353"/>
        <v>24</v>
      </c>
      <c r="CF544" s="26" t="str">
        <f t="array" ref="CF544">_xlfn.TEXTJOIN("",TRUE,IF(ISNUMBER(FIND(MID(CE543&amp;W543,ROW($1:$162),1),CE544&amp;W544)),MID(CE543&amp;W543,ROW($1:$162),1),""))</f>
        <v>4</v>
      </c>
      <c r="CG544" s="27" t="str">
        <f t="array" ref="CG544">_xlfn.TEXTJOIN("",TRUE,IF(ISERROR(FIND(ROW($1:$168)-1,CE544&amp;CF544)),ROW($1:$168)-1,""))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44" s="28" t="str">
        <f t="shared" si="360"/>
        <v>邻传孤</v>
      </c>
      <c r="CI544" s="29" t="str">
        <f t="shared" si="361"/>
        <v>02</v>
      </c>
      <c r="CJ544" s="29" t="str">
        <f t="array" ref="CJ544">_xlfn.TEXTJOIN("",TRUE,IF(ISNUMBER(FIND(MID(CI543&amp;X543,ROW($1:$162),1),CI544&amp;X544)),MID(CI543&amp;X543,ROW($1:$162),1),""))</f>
        <v>12</v>
      </c>
      <c r="CK544" s="29" t="str">
        <f t="array" ref="CK544">_xlfn.TEXTJOIN("",TRUE,IF(ISERROR(FIND(ROW($1:$168)-1,CI544&amp;CJ544)),ROW($1:$168)-1,""))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44" s="19" t="str">
        <f t="shared" si="362"/>
        <v>邻传孤</v>
      </c>
      <c r="CM544" s="24" t="str">
        <f t="shared" si="363"/>
        <v>35</v>
      </c>
      <c r="CN544" s="24" t="str">
        <f t="array" ref="CN544">_xlfn.TEXTJOIN("",TRUE,IF(ISNUMBER(FIND(MID(CM543&amp;Y543,ROW($1:$162),1),CM544&amp;Y544)),MID(CM543&amp;Y543,ROW($1:$162),1),""))</f>
        <v>43</v>
      </c>
      <c r="CO544" s="24" t="str">
        <f t="array" ref="CO544">_xlfn.TEXTJOIN("",TRUE,IF(ISERROR(FIND(ROW($1:$168)-1,CM544&amp;CN544)),ROW($1:$168)-1,""))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44" s="30" t="str">
        <f t="shared" si="364"/>
        <v>邻传孤</v>
      </c>
    </row>
    <row r="545" spans="1:94">
      <c r="A545" s="15">
        <v>545</v>
      </c>
      <c r="B545" s="80">
        <v>2025162</v>
      </c>
      <c r="C545" s="8" t="s">
        <v>289</v>
      </c>
      <c r="D545" s="81">
        <f t="shared" si="380"/>
        <v>14</v>
      </c>
      <c r="E545" s="82">
        <f t="shared" si="381"/>
        <v>4</v>
      </c>
      <c r="F545" s="83">
        <f t="shared" si="373"/>
        <v>2.8</v>
      </c>
      <c r="G545" s="84" t="str">
        <f t="shared" si="374"/>
        <v>标准</v>
      </c>
      <c r="H545" s="85" t="s">
        <v>10</v>
      </c>
      <c r="I545" s="85" t="s">
        <v>11</v>
      </c>
      <c r="J545" s="85" t="s">
        <v>12</v>
      </c>
      <c r="K545" s="85" t="s">
        <v>13</v>
      </c>
      <c r="L545" s="86">
        <f>MAX(MID(C545,{1,2,3},1)*1)-MIN(MID(C545,{1,2,3},1)*1)</f>
        <v>5</v>
      </c>
      <c r="M545" s="87">
        <v>0</v>
      </c>
      <c r="N545" s="87">
        <v>1</v>
      </c>
      <c r="O545" s="87">
        <v>2</v>
      </c>
      <c r="P545" s="87">
        <v>3</v>
      </c>
      <c r="Q545" s="87">
        <v>4</v>
      </c>
      <c r="R545" s="87">
        <v>5</v>
      </c>
      <c r="S545" s="87">
        <v>6</v>
      </c>
      <c r="T545" s="87">
        <v>7</v>
      </c>
      <c r="U545" s="87">
        <v>8</v>
      </c>
      <c r="V545" s="87">
        <v>9</v>
      </c>
      <c r="W545" s="88">
        <f t="shared" si="382"/>
        <v>5</v>
      </c>
      <c r="X545" s="88">
        <f t="shared" si="383"/>
        <v>3</v>
      </c>
      <c r="Y545" s="88">
        <f t="shared" si="384"/>
        <v>2</v>
      </c>
      <c r="Z545" s="89">
        <f t="shared" si="351"/>
        <v>10</v>
      </c>
      <c r="AA545" s="17" t="str">
        <f>_xlfn.TEXTJOIN(", ",TRUE,ABS(MID(C545,{1,1,2},1)-MID(C545,{2,3,3},1)))</f>
        <v>5, 3, 2</v>
      </c>
      <c r="AB545" s="90">
        <v>0</v>
      </c>
      <c r="AC545" s="90">
        <v>1</v>
      </c>
      <c r="AD545" s="90">
        <v>2</v>
      </c>
      <c r="AE545" s="90">
        <v>3</v>
      </c>
      <c r="AF545" s="90">
        <v>4</v>
      </c>
      <c r="AG545" s="90">
        <v>5</v>
      </c>
      <c r="AH545" s="90">
        <v>6</v>
      </c>
      <c r="AI545" s="90">
        <v>7</v>
      </c>
      <c r="AJ545" s="90">
        <v>8</v>
      </c>
      <c r="AK545" s="90">
        <v>9</v>
      </c>
      <c r="AL545" s="91">
        <v>0</v>
      </c>
      <c r="AM545" s="91">
        <v>1</v>
      </c>
      <c r="AN545" s="91">
        <v>2</v>
      </c>
      <c r="AO545" s="91">
        <v>3</v>
      </c>
      <c r="AP545" s="91">
        <v>4</v>
      </c>
      <c r="AQ545" s="91">
        <v>5</v>
      </c>
      <c r="AR545" s="91">
        <v>6</v>
      </c>
      <c r="AS545" s="91">
        <v>7</v>
      </c>
      <c r="AT545" s="91">
        <v>8</v>
      </c>
      <c r="AU545" s="91">
        <v>9</v>
      </c>
      <c r="AV545" s="92">
        <v>0</v>
      </c>
      <c r="AW545" s="92">
        <v>1</v>
      </c>
      <c r="AX545" s="92">
        <v>2</v>
      </c>
      <c r="AY545" s="92">
        <v>3</v>
      </c>
      <c r="AZ545" s="92">
        <v>4</v>
      </c>
      <c r="BA545" s="92">
        <v>5</v>
      </c>
      <c r="BB545" s="92">
        <v>6</v>
      </c>
      <c r="BC545" s="92">
        <v>7</v>
      </c>
      <c r="BD545" s="92">
        <v>8</v>
      </c>
      <c r="BE545" s="92">
        <v>9</v>
      </c>
      <c r="BF545" s="93">
        <v>0</v>
      </c>
      <c r="BG545" s="93">
        <v>1</v>
      </c>
      <c r="BH545" s="93">
        <v>2</v>
      </c>
      <c r="BI545" s="93">
        <v>3</v>
      </c>
      <c r="BJ545" s="93">
        <v>4</v>
      </c>
      <c r="BK545" s="93">
        <v>5</v>
      </c>
      <c r="BL545" s="93">
        <v>6</v>
      </c>
      <c r="BM545" s="93">
        <v>7</v>
      </c>
      <c r="BN545" s="93">
        <v>8</v>
      </c>
      <c r="BO545" s="93">
        <v>9</v>
      </c>
      <c r="BP545" s="94" t="str">
        <f t="shared" si="352"/>
        <v>标准型</v>
      </c>
      <c r="BQ545" s="15">
        <f t="shared" ref="BQ545:BQ608" si="385">MIN(ABS(INT(C545/100)-INT(MOD(C545,100)/10)),ABS(INT(C545/100)-MOD(C545,10)),ABS(INT(MOD(C545,100)/10)-MOD(C545,10)))</f>
        <v>2</v>
      </c>
      <c r="BR545" s="15">
        <f t="shared" ref="BR545:BR608" si="386">MAX(ABS(INT(C545/100)-INT(MOD(C545,100)/10)),ABS(INT(C545/100)-MOD(C545,10)),ABS(INT(MOD(C545,100)/10)-MOD(C545,10)))</f>
        <v>5</v>
      </c>
      <c r="BS545" s="20" t="str">
        <f t="shared" si="354"/>
        <v/>
      </c>
      <c r="BT545" s="21">
        <f t="shared" si="355"/>
        <v>5</v>
      </c>
      <c r="BU545" s="21" t="str">
        <f t="array" ref="BU545">_xlfn.TEXTJOIN("",TRUE,IF(ISERROR(FIND(ROW($1:$168)-1,BS545&amp;BT545)),ROW($1:$168)-1,""))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45" s="22" t="str">
        <f t="shared" si="356"/>
        <v>中隔中</v>
      </c>
      <c r="BW545" s="23">
        <f t="shared" si="367"/>
        <v>3</v>
      </c>
      <c r="BX545" s="23">
        <f t="shared" si="365"/>
        <v>3</v>
      </c>
      <c r="BY545" s="23" t="str">
        <f t="array" ref="BY545">_xlfn.TEXTJOIN("",TRUE,IF(ISERROR(FIND(ROW($1:$168)-1,BW545&amp;BX545)),ROW($1:$168)-1,""))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45" s="22" t="str">
        <f t="shared" si="357"/>
        <v>复隔中</v>
      </c>
      <c r="CA545" s="24" t="str">
        <f t="shared" si="358"/>
        <v/>
      </c>
      <c r="CB545" s="24">
        <f t="shared" si="366"/>
        <v>2</v>
      </c>
      <c r="CC545" s="24" t="str">
        <f t="array" ref="CC545">_xlfn.TEXTJOIN("",TRUE,IF(ISERROR(FIND(ROW($1:$168)-1,CA545&amp;CB545)),ROW($1:$168)-1,""))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45" s="22" t="str">
        <f t="shared" si="359"/>
        <v>中隔中</v>
      </c>
      <c r="CE545" s="25" t="str">
        <f t="shared" si="353"/>
        <v>46</v>
      </c>
      <c r="CF545" s="26" t="str">
        <f t="array" ref="CF545">_xlfn.TEXTJOIN("",TRUE,IF(ISNUMBER(FIND(MID(CE544&amp;W544,ROW($1:$162),1),CE545&amp;W545)),MID(CE544&amp;W544,ROW($1:$162),1),""))</f>
        <v>4</v>
      </c>
      <c r="CG545" s="27" t="str">
        <f t="array" ref="CG545">_xlfn.TEXTJOIN("",TRUE,IF(ISERROR(FIND(ROW($1:$168)-1,CE545&amp;CF545)),ROW($1:$168)-1,""))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45" s="28" t="str">
        <f t="shared" si="360"/>
        <v>邻传孤</v>
      </c>
      <c r="CI545" s="29" t="str">
        <f t="shared" si="361"/>
        <v>24</v>
      </c>
      <c r="CJ545" s="29" t="str">
        <f t="array" ref="CJ545">_xlfn.TEXTJOIN("",TRUE,IF(ISNUMBER(FIND(MID(CI544&amp;X544,ROW($1:$162),1),CI545&amp;X545)),MID(CI544&amp;X544,ROW($1:$162),1),""))</f>
        <v>2</v>
      </c>
      <c r="CK545" s="29" t="str">
        <f t="array" ref="CK545">_xlfn.TEXTJOIN("",TRUE,IF(ISERROR(FIND(ROW($1:$168)-1,CI545&amp;CJ545)),ROW($1:$168)-1,""))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45" s="19" t="str">
        <f t="shared" si="362"/>
        <v>邻传孤</v>
      </c>
      <c r="CM545" s="24" t="str">
        <f t="shared" si="363"/>
        <v>13</v>
      </c>
      <c r="CN545" s="24" t="str">
        <f t="array" ref="CN545">_xlfn.TEXTJOIN("",TRUE,IF(ISNUMBER(FIND(MID(CM544&amp;Y544,ROW($1:$162),1),CM545&amp;Y545)),MID(CM544&amp;Y544,ROW($1:$162),1),""))</f>
        <v>3</v>
      </c>
      <c r="CO545" s="24" t="str">
        <f t="array" ref="CO545">_xlfn.TEXTJOIN("",TRUE,IF(ISERROR(FIND(ROW($1:$168)-1,CM545&amp;CN545)),ROW($1:$168)-1,""))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545" s="30" t="str">
        <f t="shared" si="364"/>
        <v>邻传孤</v>
      </c>
    </row>
    <row r="546" spans="1:94">
      <c r="A546" s="15">
        <v>546</v>
      </c>
      <c r="B546" s="80">
        <v>2025163</v>
      </c>
      <c r="C546" s="8" t="s">
        <v>441</v>
      </c>
      <c r="D546" s="81">
        <f t="shared" si="380"/>
        <v>15</v>
      </c>
      <c r="E546" s="82">
        <f t="shared" si="381"/>
        <v>5</v>
      </c>
      <c r="F546" s="83">
        <f t="shared" si="373"/>
        <v>5</v>
      </c>
      <c r="G546" s="84" t="str">
        <f t="shared" si="374"/>
        <v>紧凑</v>
      </c>
      <c r="H546" s="85" t="s">
        <v>10</v>
      </c>
      <c r="I546" s="85" t="s">
        <v>11</v>
      </c>
      <c r="J546" s="85" t="s">
        <v>12</v>
      </c>
      <c r="K546" s="85" t="s">
        <v>13</v>
      </c>
      <c r="L546" s="86">
        <f>MAX(MID(C546,{1,2,3},1)*1)-MIN(MID(C546,{1,2,3},1)*1)</f>
        <v>3</v>
      </c>
      <c r="M546" s="87">
        <v>0</v>
      </c>
      <c r="N546" s="87">
        <v>1</v>
      </c>
      <c r="O546" s="87">
        <v>2</v>
      </c>
      <c r="P546" s="87">
        <v>3</v>
      </c>
      <c r="Q546" s="87">
        <v>4</v>
      </c>
      <c r="R546" s="87">
        <v>5</v>
      </c>
      <c r="S546" s="87">
        <v>6</v>
      </c>
      <c r="T546" s="87">
        <v>7</v>
      </c>
      <c r="U546" s="87">
        <v>8</v>
      </c>
      <c r="V546" s="87">
        <v>9</v>
      </c>
      <c r="W546" s="88">
        <f t="shared" si="382"/>
        <v>3</v>
      </c>
      <c r="X546" s="88">
        <f t="shared" si="383"/>
        <v>0</v>
      </c>
      <c r="Y546" s="88">
        <f t="shared" si="384"/>
        <v>3</v>
      </c>
      <c r="Z546" s="89">
        <f t="shared" ref="Z546:Z609" si="387">W546+X546+Y546</f>
        <v>6</v>
      </c>
      <c r="AA546" s="17" t="str">
        <f>_xlfn.TEXTJOIN(", ",TRUE,ABS(MID(C546,{1,1,2},1)-MID(C546,{2,3,3},1)))</f>
        <v>3, 0, 3</v>
      </c>
      <c r="AB546" s="90">
        <v>0</v>
      </c>
      <c r="AC546" s="90">
        <v>1</v>
      </c>
      <c r="AD546" s="90">
        <v>2</v>
      </c>
      <c r="AE546" s="90">
        <v>3</v>
      </c>
      <c r="AF546" s="90">
        <v>4</v>
      </c>
      <c r="AG546" s="90">
        <v>5</v>
      </c>
      <c r="AH546" s="90">
        <v>6</v>
      </c>
      <c r="AI546" s="90">
        <v>7</v>
      </c>
      <c r="AJ546" s="90">
        <v>8</v>
      </c>
      <c r="AK546" s="90">
        <v>9</v>
      </c>
      <c r="AL546" s="91">
        <v>0</v>
      </c>
      <c r="AM546" s="91">
        <v>1</v>
      </c>
      <c r="AN546" s="91">
        <v>2</v>
      </c>
      <c r="AO546" s="91">
        <v>3</v>
      </c>
      <c r="AP546" s="91">
        <v>4</v>
      </c>
      <c r="AQ546" s="91">
        <v>5</v>
      </c>
      <c r="AR546" s="91">
        <v>6</v>
      </c>
      <c r="AS546" s="91">
        <v>7</v>
      </c>
      <c r="AT546" s="91">
        <v>8</v>
      </c>
      <c r="AU546" s="91">
        <v>9</v>
      </c>
      <c r="AV546" s="92">
        <v>0</v>
      </c>
      <c r="AW546" s="92">
        <v>1</v>
      </c>
      <c r="AX546" s="92">
        <v>2</v>
      </c>
      <c r="AY546" s="92">
        <v>3</v>
      </c>
      <c r="AZ546" s="92">
        <v>4</v>
      </c>
      <c r="BA546" s="92">
        <v>5</v>
      </c>
      <c r="BB546" s="92">
        <v>6</v>
      </c>
      <c r="BC546" s="92">
        <v>7</v>
      </c>
      <c r="BD546" s="92">
        <v>8</v>
      </c>
      <c r="BE546" s="92">
        <v>9</v>
      </c>
      <c r="BF546" s="93">
        <v>0</v>
      </c>
      <c r="BG546" s="93">
        <v>1</v>
      </c>
      <c r="BH546" s="93">
        <v>2</v>
      </c>
      <c r="BI546" s="93">
        <v>3</v>
      </c>
      <c r="BJ546" s="93">
        <v>4</v>
      </c>
      <c r="BK546" s="93">
        <v>5</v>
      </c>
      <c r="BL546" s="93">
        <v>6</v>
      </c>
      <c r="BM546" s="93">
        <v>7</v>
      </c>
      <c r="BN546" s="93">
        <v>8</v>
      </c>
      <c r="BO546" s="93">
        <v>9</v>
      </c>
      <c r="BP546" s="94" t="str">
        <f t="shared" ref="BP546:BP609" si="388">IF(AND(BQ546&lt;=1,BR546&lt;=4),"紧凑型",IF(OR(BQ546&gt;=3,BR546&gt;=6),"松散型",IF(AND(BQ546&gt;=1,BR546&lt;=5),"标准型","对子")))</f>
        <v>紧凑型</v>
      </c>
      <c r="BQ546" s="15">
        <f t="shared" si="385"/>
        <v>0</v>
      </c>
      <c r="BR546" s="15">
        <f t="shared" si="386"/>
        <v>3</v>
      </c>
      <c r="BS546" s="20">
        <f t="shared" si="354"/>
        <v>3</v>
      </c>
      <c r="BT546" s="21">
        <f t="shared" si="355"/>
        <v>3</v>
      </c>
      <c r="BU546" s="21" t="str">
        <f t="array" ref="BU546">_xlfn.TEXTJOIN("",TRUE,IF(ISERROR(FIND(ROW($1:$168)-1,BS546&amp;BT546)),ROW($1:$168)-1,""))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46" s="22" t="str">
        <f t="shared" si="356"/>
        <v>复隔中</v>
      </c>
      <c r="BW546" s="23" t="str">
        <f t="shared" si="367"/>
        <v/>
      </c>
      <c r="BX546" s="23" t="str">
        <f t="shared" si="365"/>
        <v/>
      </c>
      <c r="BY546" s="23" t="str">
        <f t="array" ref="BY546">_xlfn.TEXTJOIN("",TRUE,IF(ISERROR(FIND(ROW($1:$168)-1,BW546&amp;BX546)),ROW($1:$168)-1,""))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46" s="22" t="str">
        <f t="shared" si="357"/>
        <v>中中中</v>
      </c>
      <c r="CA546" s="24">
        <f t="shared" si="358"/>
        <v>3</v>
      </c>
      <c r="CB546" s="24">
        <f t="shared" si="366"/>
        <v>3</v>
      </c>
      <c r="CC546" s="24" t="str">
        <f t="array" ref="CC546">_xlfn.TEXTJOIN("",TRUE,IF(ISERROR(FIND(ROW($1:$168)-1,CA546&amp;CB546)),ROW($1:$168)-1,""))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46" s="22" t="str">
        <f t="shared" si="359"/>
        <v>复隔中</v>
      </c>
      <c r="CE546" s="25" t="str">
        <f t="shared" ref="CE546:CE609" si="389">IF(W546=0,9,W546-1)&amp;""&amp;IF(W546=9,0,W546+1)</f>
        <v>24</v>
      </c>
      <c r="CF546" s="26" t="str">
        <f t="array" ref="CF546">_xlfn.TEXTJOIN("",TRUE,IF(ISNUMBER(FIND(MID(CE545&amp;W545,ROW($1:$162),1),CE546&amp;W546)),MID(CE545&amp;W545,ROW($1:$162),1),""))</f>
        <v>4</v>
      </c>
      <c r="CG546" s="27" t="str">
        <f t="array" ref="CG546">_xlfn.TEXTJOIN("",TRUE,IF(ISERROR(FIND(ROW($1:$168)-1,CE546&amp;CF546)),ROW($1:$168)-1,""))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46" s="28" t="str">
        <f t="shared" si="360"/>
        <v>邻传孤</v>
      </c>
      <c r="CI546" s="29" t="str">
        <f t="shared" si="361"/>
        <v>91</v>
      </c>
      <c r="CJ546" s="29" t="str">
        <f t="array" ref="CJ546">_xlfn.TEXTJOIN("",TRUE,IF(ISNUMBER(FIND(MID(CI545&amp;X545,ROW($1:$162),1),CI546&amp;X546)),MID(CI545&amp;X545,ROW($1:$162),1),""))</f>
        <v/>
      </c>
      <c r="CK546" s="29" t="str">
        <f t="array" ref="CK546">_xlfn.TEXTJOIN("",TRUE,IF(ISERROR(FIND(ROW($1:$168)-1,CI546&amp;CJ546)),ROW($1:$168)-1,""))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546" s="19" t="str">
        <f t="shared" si="362"/>
        <v>邻孤孤</v>
      </c>
      <c r="CM546" s="24" t="str">
        <f t="shared" si="363"/>
        <v>24</v>
      </c>
      <c r="CN546" s="24" t="str">
        <f t="array" ref="CN546">_xlfn.TEXTJOIN("",TRUE,IF(ISNUMBER(FIND(MID(CM545&amp;Y545,ROW($1:$162),1),CM546&amp;Y546)),MID(CM545&amp;Y545,ROW($1:$162),1),""))</f>
        <v>32</v>
      </c>
      <c r="CO546" s="24" t="str">
        <f t="array" ref="CO546">_xlfn.TEXTJOIN("",TRUE,IF(ISERROR(FIND(ROW($1:$168)-1,CM546&amp;CN546)),ROW($1:$168)-1,""))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46" s="30" t="str">
        <f t="shared" si="364"/>
        <v>邻传孤</v>
      </c>
    </row>
    <row r="547" spans="1:94">
      <c r="A547" s="15">
        <v>547</v>
      </c>
      <c r="B547" s="80">
        <v>2025164</v>
      </c>
      <c r="C547" s="8" t="s">
        <v>442</v>
      </c>
      <c r="D547" s="81">
        <f t="shared" si="380"/>
        <v>13</v>
      </c>
      <c r="E547" s="82">
        <f t="shared" si="381"/>
        <v>3</v>
      </c>
      <c r="F547" s="83">
        <f t="shared" si="373"/>
        <v>3.25</v>
      </c>
      <c r="G547" s="84" t="str">
        <f t="shared" si="374"/>
        <v>标准</v>
      </c>
      <c r="H547" s="85" t="s">
        <v>10</v>
      </c>
      <c r="I547" s="85" t="s">
        <v>11</v>
      </c>
      <c r="J547" s="85" t="s">
        <v>12</v>
      </c>
      <c r="K547" s="85" t="s">
        <v>13</v>
      </c>
      <c r="L547" s="86">
        <f>MAX(MID(C547,{1,2,3},1)*1)-MIN(MID(C547,{1,2,3},1)*1)</f>
        <v>4</v>
      </c>
      <c r="M547" s="87">
        <v>0</v>
      </c>
      <c r="N547" s="87">
        <v>1</v>
      </c>
      <c r="O547" s="87">
        <v>2</v>
      </c>
      <c r="P547" s="87">
        <v>3</v>
      </c>
      <c r="Q547" s="87">
        <v>4</v>
      </c>
      <c r="R547" s="87">
        <v>5</v>
      </c>
      <c r="S547" s="87">
        <v>6</v>
      </c>
      <c r="T547" s="87">
        <v>7</v>
      </c>
      <c r="U547" s="87">
        <v>8</v>
      </c>
      <c r="V547" s="87">
        <v>9</v>
      </c>
      <c r="W547" s="88">
        <f t="shared" si="382"/>
        <v>0</v>
      </c>
      <c r="X547" s="88">
        <f t="shared" si="383"/>
        <v>4</v>
      </c>
      <c r="Y547" s="88">
        <f t="shared" si="384"/>
        <v>4</v>
      </c>
      <c r="Z547" s="89">
        <f t="shared" si="387"/>
        <v>8</v>
      </c>
      <c r="AA547" s="17" t="str">
        <f>_xlfn.TEXTJOIN(", ",TRUE,ABS(MID(C547,{1,1,2},1)-MID(C547,{2,3,3},1)))</f>
        <v>0, 4, 4</v>
      </c>
      <c r="AB547" s="90">
        <v>0</v>
      </c>
      <c r="AC547" s="90">
        <v>1</v>
      </c>
      <c r="AD547" s="90">
        <v>2</v>
      </c>
      <c r="AE547" s="90">
        <v>3</v>
      </c>
      <c r="AF547" s="90">
        <v>4</v>
      </c>
      <c r="AG547" s="90">
        <v>5</v>
      </c>
      <c r="AH547" s="90">
        <v>6</v>
      </c>
      <c r="AI547" s="90">
        <v>7</v>
      </c>
      <c r="AJ547" s="90">
        <v>8</v>
      </c>
      <c r="AK547" s="90">
        <v>9</v>
      </c>
      <c r="AL547" s="91">
        <v>0</v>
      </c>
      <c r="AM547" s="91">
        <v>1</v>
      </c>
      <c r="AN547" s="91">
        <v>2</v>
      </c>
      <c r="AO547" s="91">
        <v>3</v>
      </c>
      <c r="AP547" s="91">
        <v>4</v>
      </c>
      <c r="AQ547" s="91">
        <v>5</v>
      </c>
      <c r="AR547" s="91">
        <v>6</v>
      </c>
      <c r="AS547" s="91">
        <v>7</v>
      </c>
      <c r="AT547" s="91">
        <v>8</v>
      </c>
      <c r="AU547" s="91">
        <v>9</v>
      </c>
      <c r="AV547" s="92">
        <v>0</v>
      </c>
      <c r="AW547" s="92">
        <v>1</v>
      </c>
      <c r="AX547" s="92">
        <v>2</v>
      </c>
      <c r="AY547" s="92">
        <v>3</v>
      </c>
      <c r="AZ547" s="92">
        <v>4</v>
      </c>
      <c r="BA547" s="92">
        <v>5</v>
      </c>
      <c r="BB547" s="92">
        <v>6</v>
      </c>
      <c r="BC547" s="92">
        <v>7</v>
      </c>
      <c r="BD547" s="92">
        <v>8</v>
      </c>
      <c r="BE547" s="92">
        <v>9</v>
      </c>
      <c r="BF547" s="93">
        <v>0</v>
      </c>
      <c r="BG547" s="93">
        <v>1</v>
      </c>
      <c r="BH547" s="93">
        <v>2</v>
      </c>
      <c r="BI547" s="93">
        <v>3</v>
      </c>
      <c r="BJ547" s="93">
        <v>4</v>
      </c>
      <c r="BK547" s="93">
        <v>5</v>
      </c>
      <c r="BL547" s="93">
        <v>6</v>
      </c>
      <c r="BM547" s="93">
        <v>7</v>
      </c>
      <c r="BN547" s="93">
        <v>8</v>
      </c>
      <c r="BO547" s="93">
        <v>9</v>
      </c>
      <c r="BP547" s="94" t="str">
        <f t="shared" si="388"/>
        <v>紧凑型</v>
      </c>
      <c r="BQ547" s="15">
        <f t="shared" si="385"/>
        <v>0</v>
      </c>
      <c r="BR547" s="15">
        <f t="shared" si="386"/>
        <v>4</v>
      </c>
      <c r="BS547" s="20">
        <f t="shared" ref="BS547:BS610" si="390">IF(COUNTIF($W546:$Y546,W547)&gt;0,W547,"")</f>
        <v>0</v>
      </c>
      <c r="BT547" s="21" t="str">
        <f t="shared" ref="BT547:BT610" si="391">IF(COUNTIF($W545:$Y545,W547)&gt;0,W547,"")</f>
        <v/>
      </c>
      <c r="BU547" s="21" t="str">
        <f t="array" ref="BU547">_xlfn.TEXTJOIN("",TRUE,IF(ISERROR(FIND(ROW($1:$168)-1,BS547&amp;BT547)),ROW($1:$168)-1,""))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47" s="22" t="str">
        <f t="shared" ref="BV547:BV610" si="392">IF(BS547&lt;&gt;"","复","中")&amp;IF(BT547&lt;&gt;"","隔","中")&amp;"中"</f>
        <v>复中中</v>
      </c>
      <c r="BW547" s="23" t="str">
        <f t="shared" si="367"/>
        <v/>
      </c>
      <c r="BX547" s="23" t="str">
        <f t="shared" si="365"/>
        <v/>
      </c>
      <c r="BY547" s="23" t="str">
        <f t="array" ref="BY547">_xlfn.TEXTJOIN("",TRUE,IF(ISERROR(FIND(ROW($1:$168)-1,BW547&amp;BX547)),ROW($1:$168)-1,""))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47" s="22" t="str">
        <f t="shared" ref="BZ547:BZ610" si="393">IF(BW547&lt;&gt;"","复","中")&amp;IF(BX547&lt;&gt;"","隔","中")&amp;"中"</f>
        <v>中中中</v>
      </c>
      <c r="CA547" s="24" t="str">
        <f t="shared" ref="CA547:CA610" si="394">IF(COUNTIF($W546:$Y546,Y547)&gt;0,Y547,"")</f>
        <v/>
      </c>
      <c r="CB547" s="24" t="str">
        <f t="shared" si="366"/>
        <v/>
      </c>
      <c r="CC547" s="24" t="str">
        <f t="array" ref="CC547">_xlfn.TEXTJOIN("",TRUE,IF(ISERROR(FIND(ROW($1:$168)-1,CA547&amp;CB547)),ROW($1:$168)-1,""))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47" s="22" t="str">
        <f t="shared" ref="CD547:CD610" si="395">IF(CA547&lt;&gt;"","复","中")&amp;IF(CB547&lt;&gt;"","隔","中")&amp;"中"</f>
        <v>中中中</v>
      </c>
      <c r="CE547" s="25" t="str">
        <f t="shared" si="389"/>
        <v>91</v>
      </c>
      <c r="CF547" s="26" t="str">
        <f t="array" ref="CF547">_xlfn.TEXTJOIN("",TRUE,IF(ISNUMBER(FIND(MID(CE546&amp;W546,ROW($1:$162),1),CE547&amp;W547)),MID(CE546&amp;W546,ROW($1:$162),1),""))</f>
        <v/>
      </c>
      <c r="CG547" s="27" t="str">
        <f t="array" ref="CG547">_xlfn.TEXTJOIN("",TRUE,IF(ISERROR(FIND(ROW($1:$168)-1,CE547&amp;CF547)),ROW($1:$168)-1,""))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547" s="28" t="str">
        <f t="shared" ref="CH547:CH610" si="396">IF(CE547&lt;&gt;"","邻","孤")&amp;IF(CF547&lt;&gt;"","传","孤")&amp;"孤"</f>
        <v>邻孤孤</v>
      </c>
      <c r="CI547" s="29" t="str">
        <f t="shared" ref="CI547:CI610" si="397">IF(X547=0,9,X547-1)&amp;""&amp;IF(X547=9,0,X547+1)</f>
        <v>35</v>
      </c>
      <c r="CJ547" s="29" t="str">
        <f t="array" ref="CJ547">_xlfn.TEXTJOIN("",TRUE,IF(ISNUMBER(FIND(MID(CI546&amp;X546,ROW($1:$162),1),CI547&amp;X547)),MID(CI546&amp;X546,ROW($1:$162),1),""))</f>
        <v/>
      </c>
      <c r="CK547" s="29" t="str">
        <f t="array" ref="CK547">_xlfn.TEXTJOIN("",TRUE,IF(ISERROR(FIND(ROW($1:$168)-1,CI547&amp;CJ547)),ROW($1:$168)-1,""))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47" s="19" t="str">
        <f t="shared" ref="CL547:CL610" si="398">IF(CI547&lt;&gt;"","邻","孤")&amp;IF(CJ547&lt;&gt;"","传","孤")&amp;"孤"</f>
        <v>邻孤孤</v>
      </c>
      <c r="CM547" s="24" t="str">
        <f t="shared" ref="CM547:CM610" si="399">IF(Y547=0,9,Y547-1)&amp;""&amp;IF(Y547=9,0,Y547+1)</f>
        <v>35</v>
      </c>
      <c r="CN547" s="24" t="str">
        <f t="array" ref="CN547">_xlfn.TEXTJOIN("",TRUE,IF(ISNUMBER(FIND(MID(CM546&amp;Y546,ROW($1:$162),1),CM547&amp;Y547)),MID(CM546&amp;Y546,ROW($1:$162),1),""))</f>
        <v>43</v>
      </c>
      <c r="CO547" s="24" t="str">
        <f t="array" ref="CO547">_xlfn.TEXTJOIN("",TRUE,IF(ISERROR(FIND(ROW($1:$168)-1,CM547&amp;CN547)),ROW($1:$168)-1,""))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47" s="30" t="str">
        <f t="shared" ref="CP547:CP610" si="400">IF(CM547&lt;&gt;"","邻","孤")&amp;IF(CN547&lt;&gt;"","传","孤")&amp;"孤"</f>
        <v>邻传孤</v>
      </c>
    </row>
    <row r="548" spans="1:94">
      <c r="A548" s="15">
        <v>548</v>
      </c>
      <c r="B548" s="80">
        <v>2025165</v>
      </c>
      <c r="C548" s="8" t="s">
        <v>443</v>
      </c>
      <c r="D548" s="81">
        <f t="shared" si="380"/>
        <v>15</v>
      </c>
      <c r="E548" s="82">
        <f t="shared" si="381"/>
        <v>5</v>
      </c>
      <c r="F548" s="83">
        <f t="shared" si="373"/>
        <v>1.66666666666667</v>
      </c>
      <c r="G548" s="84" t="str">
        <f t="shared" si="374"/>
        <v>松散</v>
      </c>
      <c r="H548" s="85" t="s">
        <v>10</v>
      </c>
      <c r="I548" s="85" t="s">
        <v>11</v>
      </c>
      <c r="J548" s="85" t="s">
        <v>12</v>
      </c>
      <c r="K548" s="85" t="s">
        <v>13</v>
      </c>
      <c r="L548" s="86">
        <f>MAX(MID(C548,{1,2,3},1)*1)-MIN(MID(C548,{1,2,3},1)*1)</f>
        <v>9</v>
      </c>
      <c r="M548" s="87">
        <v>0</v>
      </c>
      <c r="N548" s="87">
        <v>1</v>
      </c>
      <c r="O548" s="87">
        <v>2</v>
      </c>
      <c r="P548" s="87">
        <v>3</v>
      </c>
      <c r="Q548" s="87">
        <v>4</v>
      </c>
      <c r="R548" s="87">
        <v>5</v>
      </c>
      <c r="S548" s="87">
        <v>6</v>
      </c>
      <c r="T548" s="87">
        <v>7</v>
      </c>
      <c r="U548" s="87">
        <v>8</v>
      </c>
      <c r="V548" s="87">
        <v>9</v>
      </c>
      <c r="W548" s="88">
        <f t="shared" si="382"/>
        <v>6</v>
      </c>
      <c r="X548" s="88">
        <f t="shared" si="383"/>
        <v>3</v>
      </c>
      <c r="Y548" s="88">
        <f t="shared" si="384"/>
        <v>9</v>
      </c>
      <c r="Z548" s="89">
        <f t="shared" si="387"/>
        <v>18</v>
      </c>
      <c r="AA548" s="17" t="str">
        <f>_xlfn.TEXTJOIN(", ",TRUE,ABS(MID(C548,{1,1,2},1)-MID(C548,{2,3,3},1)))</f>
        <v>6, 3, 9</v>
      </c>
      <c r="AB548" s="90">
        <v>0</v>
      </c>
      <c r="AC548" s="90">
        <v>1</v>
      </c>
      <c r="AD548" s="90">
        <v>2</v>
      </c>
      <c r="AE548" s="90">
        <v>3</v>
      </c>
      <c r="AF548" s="90">
        <v>4</v>
      </c>
      <c r="AG548" s="90">
        <v>5</v>
      </c>
      <c r="AH548" s="90">
        <v>6</v>
      </c>
      <c r="AI548" s="90">
        <v>7</v>
      </c>
      <c r="AJ548" s="90">
        <v>8</v>
      </c>
      <c r="AK548" s="90">
        <v>9</v>
      </c>
      <c r="AL548" s="91">
        <v>0</v>
      </c>
      <c r="AM548" s="91">
        <v>1</v>
      </c>
      <c r="AN548" s="91">
        <v>2</v>
      </c>
      <c r="AO548" s="91">
        <v>3</v>
      </c>
      <c r="AP548" s="91">
        <v>4</v>
      </c>
      <c r="AQ548" s="91">
        <v>5</v>
      </c>
      <c r="AR548" s="91">
        <v>6</v>
      </c>
      <c r="AS548" s="91">
        <v>7</v>
      </c>
      <c r="AT548" s="91">
        <v>8</v>
      </c>
      <c r="AU548" s="91">
        <v>9</v>
      </c>
      <c r="AV548" s="92">
        <v>0</v>
      </c>
      <c r="AW548" s="92">
        <v>1</v>
      </c>
      <c r="AX548" s="92">
        <v>2</v>
      </c>
      <c r="AY548" s="92">
        <v>3</v>
      </c>
      <c r="AZ548" s="92">
        <v>4</v>
      </c>
      <c r="BA548" s="92">
        <v>5</v>
      </c>
      <c r="BB548" s="92">
        <v>6</v>
      </c>
      <c r="BC548" s="92">
        <v>7</v>
      </c>
      <c r="BD548" s="92">
        <v>8</v>
      </c>
      <c r="BE548" s="92">
        <v>9</v>
      </c>
      <c r="BF548" s="93">
        <v>0</v>
      </c>
      <c r="BG548" s="93">
        <v>1</v>
      </c>
      <c r="BH548" s="93">
        <v>2</v>
      </c>
      <c r="BI548" s="93">
        <v>3</v>
      </c>
      <c r="BJ548" s="93">
        <v>4</v>
      </c>
      <c r="BK548" s="93">
        <v>5</v>
      </c>
      <c r="BL548" s="93">
        <v>6</v>
      </c>
      <c r="BM548" s="93">
        <v>7</v>
      </c>
      <c r="BN548" s="93">
        <v>8</v>
      </c>
      <c r="BO548" s="93">
        <v>9</v>
      </c>
      <c r="BP548" s="94" t="str">
        <f t="shared" si="388"/>
        <v>松散型</v>
      </c>
      <c r="BQ548" s="15">
        <f t="shared" si="385"/>
        <v>3</v>
      </c>
      <c r="BR548" s="15">
        <f t="shared" si="386"/>
        <v>9</v>
      </c>
      <c r="BS548" s="20" t="str">
        <f t="shared" si="390"/>
        <v/>
      </c>
      <c r="BT548" s="21" t="str">
        <f t="shared" si="391"/>
        <v/>
      </c>
      <c r="BU548" s="21" t="str">
        <f t="array" ref="BU548">_xlfn.TEXTJOIN("",TRUE,IF(ISERROR(FIND(ROW($1:$168)-1,BS548&amp;BT548)),ROW($1:$168)-1,""))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48" s="22" t="str">
        <f t="shared" si="392"/>
        <v>中中中</v>
      </c>
      <c r="BW548" s="23" t="str">
        <f t="shared" si="367"/>
        <v/>
      </c>
      <c r="BX548" s="23">
        <f t="shared" ref="BX548:BX611" si="401">IF(COUNTIF($W546:$Y546,X548)&gt;0,X548,"")</f>
        <v>3</v>
      </c>
      <c r="BY548" s="23" t="str">
        <f t="array" ref="BY548">_xlfn.TEXTJOIN("",TRUE,IF(ISERROR(FIND(ROW($1:$168)-1,BW548&amp;BX548)),ROW($1:$168)-1,""))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48" s="22" t="str">
        <f t="shared" si="393"/>
        <v>中隔中</v>
      </c>
      <c r="CA548" s="24" t="str">
        <f t="shared" si="394"/>
        <v/>
      </c>
      <c r="CB548" s="24" t="str">
        <f t="shared" ref="CB548:CB611" si="402">IF(COUNTIF($W546:$Y546,Y548)&gt;0,Y548,"")</f>
        <v/>
      </c>
      <c r="CC548" s="24" t="str">
        <f t="array" ref="CC548">_xlfn.TEXTJOIN("",TRUE,IF(ISERROR(FIND(ROW($1:$168)-1,CA548&amp;CB548)),ROW($1:$168)-1,""))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48" s="22" t="str">
        <f t="shared" si="395"/>
        <v>中中中</v>
      </c>
      <c r="CE548" s="25" t="str">
        <f t="shared" si="389"/>
        <v>57</v>
      </c>
      <c r="CF548" s="26" t="str">
        <f t="array" ref="CF548">_xlfn.TEXTJOIN("",TRUE,IF(ISNUMBER(FIND(MID(CE547&amp;W547,ROW($1:$162),1),CE548&amp;W548)),MID(CE547&amp;W547,ROW($1:$162),1),""))</f>
        <v/>
      </c>
      <c r="CG548" s="27" t="str">
        <f t="array" ref="CG548">_xlfn.TEXTJOIN("",TRUE,IF(ISERROR(FIND(ROW($1:$168)-1,CE548&amp;CF548)),ROW($1:$168)-1,""))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48" s="28" t="str">
        <f t="shared" si="396"/>
        <v>邻孤孤</v>
      </c>
      <c r="CI548" s="29" t="str">
        <f t="shared" si="397"/>
        <v>24</v>
      </c>
      <c r="CJ548" s="29" t="str">
        <f t="array" ref="CJ548">_xlfn.TEXTJOIN("",TRUE,IF(ISNUMBER(FIND(MID(CI547&amp;X547,ROW($1:$162),1),CI548&amp;X548)),MID(CI547&amp;X547,ROW($1:$162),1),""))</f>
        <v>34</v>
      </c>
      <c r="CK548" s="29" t="str">
        <f t="array" ref="CK548">_xlfn.TEXTJOIN("",TRUE,IF(ISERROR(FIND(ROW($1:$168)-1,CI548&amp;CJ548)),ROW($1:$168)-1,""))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48" s="19" t="str">
        <f t="shared" si="398"/>
        <v>邻传孤</v>
      </c>
      <c r="CM548" s="24" t="str">
        <f t="shared" si="399"/>
        <v>80</v>
      </c>
      <c r="CN548" s="24" t="str">
        <f t="array" ref="CN548">_xlfn.TEXTJOIN("",TRUE,IF(ISNUMBER(FIND(MID(CM547&amp;Y547,ROW($1:$162),1),CM548&amp;Y548)),MID(CM547&amp;Y547,ROW($1:$162),1),""))</f>
        <v/>
      </c>
      <c r="CO548" s="24" t="str">
        <f t="array" ref="CO548">_xlfn.TEXTJOIN("",TRUE,IF(ISERROR(FIND(ROW($1:$168)-1,CM548&amp;CN548)),ROW($1:$168)-1,""))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548" s="30" t="str">
        <f t="shared" si="400"/>
        <v>邻孤孤</v>
      </c>
    </row>
    <row r="549" spans="1:94">
      <c r="A549" s="15">
        <v>549</v>
      </c>
      <c r="B549" s="80">
        <v>2025166</v>
      </c>
      <c r="C549" s="8" t="s">
        <v>444</v>
      </c>
      <c r="D549" s="81">
        <f t="shared" si="380"/>
        <v>16</v>
      </c>
      <c r="E549" s="82">
        <f t="shared" si="381"/>
        <v>6</v>
      </c>
      <c r="F549" s="83">
        <f t="shared" si="373"/>
        <v>2</v>
      </c>
      <c r="G549" s="84" t="str">
        <f t="shared" si="374"/>
        <v>标准</v>
      </c>
      <c r="H549" s="85" t="s">
        <v>10</v>
      </c>
      <c r="I549" s="85" t="s">
        <v>11</v>
      </c>
      <c r="J549" s="85" t="s">
        <v>12</v>
      </c>
      <c r="K549" s="85" t="s">
        <v>13</v>
      </c>
      <c r="L549" s="86">
        <f>MAX(MID(C549,{1,2,3},1)*1)-MIN(MID(C549,{1,2,3},1)*1)</f>
        <v>8</v>
      </c>
      <c r="M549" s="87">
        <v>0</v>
      </c>
      <c r="N549" s="87">
        <v>1</v>
      </c>
      <c r="O549" s="87">
        <v>2</v>
      </c>
      <c r="P549" s="87">
        <v>3</v>
      </c>
      <c r="Q549" s="87">
        <v>4</v>
      </c>
      <c r="R549" s="87">
        <v>5</v>
      </c>
      <c r="S549" s="87">
        <v>6</v>
      </c>
      <c r="T549" s="87">
        <v>7</v>
      </c>
      <c r="U549" s="87">
        <v>8</v>
      </c>
      <c r="V549" s="87">
        <v>9</v>
      </c>
      <c r="W549" s="88">
        <f t="shared" si="382"/>
        <v>8</v>
      </c>
      <c r="X549" s="88">
        <f t="shared" si="383"/>
        <v>0</v>
      </c>
      <c r="Y549" s="88">
        <f t="shared" si="384"/>
        <v>8</v>
      </c>
      <c r="Z549" s="89">
        <f t="shared" si="387"/>
        <v>16</v>
      </c>
      <c r="AA549" s="17" t="str">
        <f>_xlfn.TEXTJOIN(", ",TRUE,ABS(MID(C549,{1,1,2},1)-MID(C549,{2,3,3},1)))</f>
        <v>8, 0, 8</v>
      </c>
      <c r="AB549" s="90">
        <v>0</v>
      </c>
      <c r="AC549" s="90">
        <v>1</v>
      </c>
      <c r="AD549" s="90">
        <v>2</v>
      </c>
      <c r="AE549" s="90">
        <v>3</v>
      </c>
      <c r="AF549" s="90">
        <v>4</v>
      </c>
      <c r="AG549" s="90">
        <v>5</v>
      </c>
      <c r="AH549" s="90">
        <v>6</v>
      </c>
      <c r="AI549" s="90">
        <v>7</v>
      </c>
      <c r="AJ549" s="90">
        <v>8</v>
      </c>
      <c r="AK549" s="90">
        <v>9</v>
      </c>
      <c r="AL549" s="91">
        <v>0</v>
      </c>
      <c r="AM549" s="91">
        <v>1</v>
      </c>
      <c r="AN549" s="91">
        <v>2</v>
      </c>
      <c r="AO549" s="91">
        <v>3</v>
      </c>
      <c r="AP549" s="91">
        <v>4</v>
      </c>
      <c r="AQ549" s="91">
        <v>5</v>
      </c>
      <c r="AR549" s="91">
        <v>6</v>
      </c>
      <c r="AS549" s="91">
        <v>7</v>
      </c>
      <c r="AT549" s="91">
        <v>8</v>
      </c>
      <c r="AU549" s="91">
        <v>9</v>
      </c>
      <c r="AV549" s="92">
        <v>0</v>
      </c>
      <c r="AW549" s="92">
        <v>1</v>
      </c>
      <c r="AX549" s="92">
        <v>2</v>
      </c>
      <c r="AY549" s="92">
        <v>3</v>
      </c>
      <c r="AZ549" s="92">
        <v>4</v>
      </c>
      <c r="BA549" s="92">
        <v>5</v>
      </c>
      <c r="BB549" s="92">
        <v>6</v>
      </c>
      <c r="BC549" s="92">
        <v>7</v>
      </c>
      <c r="BD549" s="92">
        <v>8</v>
      </c>
      <c r="BE549" s="92">
        <v>9</v>
      </c>
      <c r="BF549" s="93">
        <v>0</v>
      </c>
      <c r="BG549" s="93">
        <v>1</v>
      </c>
      <c r="BH549" s="93">
        <v>2</v>
      </c>
      <c r="BI549" s="93">
        <v>3</v>
      </c>
      <c r="BJ549" s="93">
        <v>4</v>
      </c>
      <c r="BK549" s="93">
        <v>5</v>
      </c>
      <c r="BL549" s="93">
        <v>6</v>
      </c>
      <c r="BM549" s="93">
        <v>7</v>
      </c>
      <c r="BN549" s="93">
        <v>8</v>
      </c>
      <c r="BO549" s="93">
        <v>9</v>
      </c>
      <c r="BP549" s="94" t="str">
        <f t="shared" si="388"/>
        <v>松散型</v>
      </c>
      <c r="BQ549" s="15">
        <f t="shared" si="385"/>
        <v>0</v>
      </c>
      <c r="BR549" s="15">
        <f t="shared" si="386"/>
        <v>8</v>
      </c>
      <c r="BS549" s="20" t="str">
        <f t="shared" si="390"/>
        <v/>
      </c>
      <c r="BT549" s="21" t="str">
        <f t="shared" si="391"/>
        <v/>
      </c>
      <c r="BU549" s="21" t="str">
        <f t="array" ref="BU549">_xlfn.TEXTJOIN("",TRUE,IF(ISERROR(FIND(ROW($1:$168)-1,BS549&amp;BT549)),ROW($1:$168)-1,""))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49" s="22" t="str">
        <f t="shared" si="392"/>
        <v>中中中</v>
      </c>
      <c r="BW549" s="23" t="str">
        <f t="shared" si="367"/>
        <v/>
      </c>
      <c r="BX549" s="23">
        <f t="shared" si="401"/>
        <v>0</v>
      </c>
      <c r="BY549" s="23" t="str">
        <f t="array" ref="BY549">_xlfn.TEXTJOIN("",TRUE,IF(ISERROR(FIND(ROW($1:$168)-1,BW549&amp;BX549)),ROW($1:$168)-1,""))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49" s="22" t="str">
        <f t="shared" si="393"/>
        <v>中隔中</v>
      </c>
      <c r="CA549" s="24" t="str">
        <f t="shared" si="394"/>
        <v/>
      </c>
      <c r="CB549" s="24" t="str">
        <f t="shared" si="402"/>
        <v/>
      </c>
      <c r="CC549" s="24" t="str">
        <f t="array" ref="CC549">_xlfn.TEXTJOIN("",TRUE,IF(ISERROR(FIND(ROW($1:$168)-1,CA549&amp;CB549)),ROW($1:$168)-1,""))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49" s="22" t="str">
        <f t="shared" si="395"/>
        <v>中中中</v>
      </c>
      <c r="CE549" s="25" t="str">
        <f t="shared" si="389"/>
        <v>79</v>
      </c>
      <c r="CF549" s="26" t="str">
        <f t="array" ref="CF549">_xlfn.TEXTJOIN("",TRUE,IF(ISNUMBER(FIND(MID(CE548&amp;W548,ROW($1:$162),1),CE549&amp;W549)),MID(CE548&amp;W548,ROW($1:$162),1),""))</f>
        <v>7</v>
      </c>
      <c r="CG549" s="27" t="str">
        <f t="array" ref="CG549">_xlfn.TEXTJOIN("",TRUE,IF(ISERROR(FIND(ROW($1:$168)-1,CE549&amp;CF549)),ROW($1:$168)-1,""))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H549" s="28" t="str">
        <f t="shared" si="396"/>
        <v>邻传孤</v>
      </c>
      <c r="CI549" s="29" t="str">
        <f t="shared" si="397"/>
        <v>91</v>
      </c>
      <c r="CJ549" s="29" t="str">
        <f t="array" ref="CJ549">_xlfn.TEXTJOIN("",TRUE,IF(ISNUMBER(FIND(MID(CI548&amp;X548,ROW($1:$162),1),CI549&amp;X549)),MID(CI548&amp;X548,ROW($1:$162),1),""))</f>
        <v/>
      </c>
      <c r="CK549" s="29" t="str">
        <f t="array" ref="CK549">_xlfn.TEXTJOIN("",TRUE,IF(ISERROR(FIND(ROW($1:$168)-1,CI549&amp;CJ549)),ROW($1:$168)-1,""))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549" s="19" t="str">
        <f t="shared" si="398"/>
        <v>邻孤孤</v>
      </c>
      <c r="CM549" s="24" t="str">
        <f t="shared" si="399"/>
        <v>79</v>
      </c>
      <c r="CN549" s="24" t="str">
        <f t="array" ref="CN549">_xlfn.TEXTJOIN("",TRUE,IF(ISNUMBER(FIND(MID(CM548&amp;Y548,ROW($1:$162),1),CM549&amp;Y549)),MID(CM548&amp;Y548,ROW($1:$162),1),""))</f>
        <v>89</v>
      </c>
      <c r="CO549" s="24" t="str">
        <f t="array" ref="CO549">_xlfn.TEXTJOIN("",TRUE,IF(ISERROR(FIND(ROW($1:$168)-1,CM549&amp;CN549)),ROW($1:$168)-1,""))</f>
        <v>0123456101112131415161718192021222324252627282930313233343536373839404142434445464748495051525354555657585960616263646566676869707172737475767778808182838485868788909192939495969799100101102103104105106107108109110111112113114115116117118119120121122123124125126127128129130131132133134135136137138139140141142143144145146147148149150151152153154155156157158159160161162163164165166167</v>
      </c>
      <c r="CP549" s="30" t="str">
        <f t="shared" si="400"/>
        <v>邻传孤</v>
      </c>
    </row>
    <row r="550" spans="1:94">
      <c r="A550" s="15">
        <v>550</v>
      </c>
      <c r="B550" s="80">
        <v>2025167</v>
      </c>
      <c r="C550" s="8" t="s">
        <v>445</v>
      </c>
      <c r="D550" s="81">
        <f t="shared" si="380"/>
        <v>9</v>
      </c>
      <c r="E550" s="82">
        <f t="shared" si="381"/>
        <v>9</v>
      </c>
      <c r="F550" s="83">
        <f t="shared" si="373"/>
        <v>1.28571428571429</v>
      </c>
      <c r="G550" s="84" t="str">
        <f t="shared" si="374"/>
        <v>松散</v>
      </c>
      <c r="H550" s="85" t="s">
        <v>10</v>
      </c>
      <c r="I550" s="85" t="s">
        <v>11</v>
      </c>
      <c r="J550" s="85" t="s">
        <v>12</v>
      </c>
      <c r="K550" s="85" t="s">
        <v>13</v>
      </c>
      <c r="L550" s="86">
        <f>MAX(MID(C550,{1,2,3},1)*1)-MIN(MID(C550,{1,2,3},1)*1)</f>
        <v>7</v>
      </c>
      <c r="M550" s="87">
        <v>0</v>
      </c>
      <c r="N550" s="87">
        <v>1</v>
      </c>
      <c r="O550" s="87">
        <v>2</v>
      </c>
      <c r="P550" s="87">
        <v>3</v>
      </c>
      <c r="Q550" s="87">
        <v>4</v>
      </c>
      <c r="R550" s="87">
        <v>5</v>
      </c>
      <c r="S550" s="87">
        <v>6</v>
      </c>
      <c r="T550" s="87">
        <v>7</v>
      </c>
      <c r="U550" s="87">
        <v>8</v>
      </c>
      <c r="V550" s="87">
        <v>9</v>
      </c>
      <c r="W550" s="88">
        <f t="shared" si="382"/>
        <v>7</v>
      </c>
      <c r="X550" s="88">
        <f t="shared" si="383"/>
        <v>5</v>
      </c>
      <c r="Y550" s="88">
        <f t="shared" si="384"/>
        <v>2</v>
      </c>
      <c r="Z550" s="89">
        <f t="shared" si="387"/>
        <v>14</v>
      </c>
      <c r="AA550" s="17" t="str">
        <f>_xlfn.TEXTJOIN(", ",TRUE,ABS(MID(C550,{1,1,2},1)-MID(C550,{2,3,3},1)))</f>
        <v>7, 5, 2</v>
      </c>
      <c r="AB550" s="90">
        <v>0</v>
      </c>
      <c r="AC550" s="90">
        <v>1</v>
      </c>
      <c r="AD550" s="90">
        <v>2</v>
      </c>
      <c r="AE550" s="90">
        <v>3</v>
      </c>
      <c r="AF550" s="90">
        <v>4</v>
      </c>
      <c r="AG550" s="90">
        <v>5</v>
      </c>
      <c r="AH550" s="90">
        <v>6</v>
      </c>
      <c r="AI550" s="90">
        <v>7</v>
      </c>
      <c r="AJ550" s="90">
        <v>8</v>
      </c>
      <c r="AK550" s="90">
        <v>9</v>
      </c>
      <c r="AL550" s="91">
        <v>0</v>
      </c>
      <c r="AM550" s="91">
        <v>1</v>
      </c>
      <c r="AN550" s="91">
        <v>2</v>
      </c>
      <c r="AO550" s="91">
        <v>3</v>
      </c>
      <c r="AP550" s="91">
        <v>4</v>
      </c>
      <c r="AQ550" s="91">
        <v>5</v>
      </c>
      <c r="AR550" s="91">
        <v>6</v>
      </c>
      <c r="AS550" s="91">
        <v>7</v>
      </c>
      <c r="AT550" s="91">
        <v>8</v>
      </c>
      <c r="AU550" s="91">
        <v>9</v>
      </c>
      <c r="AV550" s="92">
        <v>0</v>
      </c>
      <c r="AW550" s="92">
        <v>1</v>
      </c>
      <c r="AX550" s="92">
        <v>2</v>
      </c>
      <c r="AY550" s="92">
        <v>3</v>
      </c>
      <c r="AZ550" s="92">
        <v>4</v>
      </c>
      <c r="BA550" s="92">
        <v>5</v>
      </c>
      <c r="BB550" s="92">
        <v>6</v>
      </c>
      <c r="BC550" s="92">
        <v>7</v>
      </c>
      <c r="BD550" s="92">
        <v>8</v>
      </c>
      <c r="BE550" s="92">
        <v>9</v>
      </c>
      <c r="BF550" s="93">
        <v>0</v>
      </c>
      <c r="BG550" s="93">
        <v>1</v>
      </c>
      <c r="BH550" s="93">
        <v>2</v>
      </c>
      <c r="BI550" s="93">
        <v>3</v>
      </c>
      <c r="BJ550" s="93">
        <v>4</v>
      </c>
      <c r="BK550" s="93">
        <v>5</v>
      </c>
      <c r="BL550" s="93">
        <v>6</v>
      </c>
      <c r="BM550" s="93">
        <v>7</v>
      </c>
      <c r="BN550" s="93">
        <v>8</v>
      </c>
      <c r="BO550" s="93">
        <v>9</v>
      </c>
      <c r="BP550" s="94" t="str">
        <f t="shared" si="388"/>
        <v>松散型</v>
      </c>
      <c r="BQ550" s="15">
        <f t="shared" si="385"/>
        <v>2</v>
      </c>
      <c r="BR550" s="15">
        <f t="shared" si="386"/>
        <v>7</v>
      </c>
      <c r="BS550" s="20" t="str">
        <f t="shared" si="390"/>
        <v/>
      </c>
      <c r="BT550" s="21" t="str">
        <f t="shared" si="391"/>
        <v/>
      </c>
      <c r="BU550" s="21" t="str">
        <f t="array" ref="BU550">_xlfn.TEXTJOIN("",TRUE,IF(ISERROR(FIND(ROW($1:$168)-1,BS550&amp;BT550)),ROW($1:$168)-1,""))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50" s="22" t="str">
        <f t="shared" si="392"/>
        <v>中中中</v>
      </c>
      <c r="BW550" s="23" t="str">
        <f t="shared" ref="BW550:BW613" si="403">IF(COUNTIF($W549:$Y549,X550)&gt;0,X550,"")</f>
        <v/>
      </c>
      <c r="BX550" s="23" t="str">
        <f t="shared" si="401"/>
        <v/>
      </c>
      <c r="BY550" s="23" t="str">
        <f t="array" ref="BY550">_xlfn.TEXTJOIN("",TRUE,IF(ISERROR(FIND(ROW($1:$168)-1,BW550&amp;BX550)),ROW($1:$168)-1,""))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50" s="22" t="str">
        <f t="shared" si="393"/>
        <v>中中中</v>
      </c>
      <c r="CA550" s="24" t="str">
        <f t="shared" si="394"/>
        <v/>
      </c>
      <c r="CB550" s="24" t="str">
        <f t="shared" si="402"/>
        <v/>
      </c>
      <c r="CC550" s="24" t="str">
        <f t="array" ref="CC550">_xlfn.TEXTJOIN("",TRUE,IF(ISERROR(FIND(ROW($1:$168)-1,CA550&amp;CB550)),ROW($1:$168)-1,""))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50" s="22" t="str">
        <f t="shared" si="395"/>
        <v>中中中</v>
      </c>
      <c r="CE550" s="25" t="str">
        <f t="shared" si="389"/>
        <v>68</v>
      </c>
      <c r="CF550" s="26" t="str">
        <f t="array" ref="CF550">_xlfn.TEXTJOIN("",TRUE,IF(ISNUMBER(FIND(MID(CE549&amp;W549,ROW($1:$162),1),CE550&amp;W550)),MID(CE549&amp;W549,ROW($1:$162),1),""))</f>
        <v>78</v>
      </c>
      <c r="CG550" s="27" t="str">
        <f t="array" ref="CG550">_xlfn.TEXTJOIN("",TRUE,IF(ISERROR(FIND(ROW($1:$168)-1,CE550&amp;CF550)),ROW($1:$168)-1,""))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H550" s="28" t="str">
        <f t="shared" si="396"/>
        <v>邻传孤</v>
      </c>
      <c r="CI550" s="29" t="str">
        <f t="shared" si="397"/>
        <v>46</v>
      </c>
      <c r="CJ550" s="29" t="str">
        <f t="array" ref="CJ550">_xlfn.TEXTJOIN("",TRUE,IF(ISNUMBER(FIND(MID(CI549&amp;X549,ROW($1:$162),1),CI550&amp;X550)),MID(CI549&amp;X549,ROW($1:$162),1),""))</f>
        <v/>
      </c>
      <c r="CK550" s="29" t="str">
        <f t="array" ref="CK550">_xlfn.TEXTJOIN("",TRUE,IF(ISERROR(FIND(ROW($1:$168)-1,CI550&amp;CJ550)),ROW($1:$168)-1,""))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50" s="19" t="str">
        <f t="shared" si="398"/>
        <v>邻孤孤</v>
      </c>
      <c r="CM550" s="24" t="str">
        <f t="shared" si="399"/>
        <v>13</v>
      </c>
      <c r="CN550" s="24" t="str">
        <f t="array" ref="CN550">_xlfn.TEXTJOIN("",TRUE,IF(ISNUMBER(FIND(MID(CM549&amp;Y549,ROW($1:$162),1),CM550&amp;Y550)),MID(CM549&amp;Y549,ROW($1:$162),1),""))</f>
        <v/>
      </c>
      <c r="CO550" s="24" t="str">
        <f t="array" ref="CO550">_xlfn.TEXTJOIN("",TRUE,IF(ISERROR(FIND(ROW($1:$168)-1,CM550&amp;CN550)),ROW($1:$168)-1,""))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50" s="30" t="str">
        <f t="shared" si="400"/>
        <v>邻孤孤</v>
      </c>
    </row>
    <row r="551" spans="1:94">
      <c r="A551" s="15">
        <v>551</v>
      </c>
      <c r="B551" s="80">
        <v>2025168</v>
      </c>
      <c r="C551" s="8" t="s">
        <v>55</v>
      </c>
      <c r="D551" s="81">
        <f t="shared" si="380"/>
        <v>10</v>
      </c>
      <c r="E551" s="82">
        <f t="shared" si="381"/>
        <v>0</v>
      </c>
      <c r="F551" s="83">
        <f t="shared" si="373"/>
        <v>2.5</v>
      </c>
      <c r="G551" s="84" t="str">
        <f t="shared" si="374"/>
        <v>标准</v>
      </c>
      <c r="H551" s="85" t="s">
        <v>10</v>
      </c>
      <c r="I551" s="85" t="s">
        <v>11</v>
      </c>
      <c r="J551" s="85" t="s">
        <v>12</v>
      </c>
      <c r="K551" s="85" t="s">
        <v>13</v>
      </c>
      <c r="L551" s="86">
        <f>MAX(MID(C551,{1,2,3},1)*1)-MIN(MID(C551,{1,2,3},1)*1)</f>
        <v>4</v>
      </c>
      <c r="M551" s="87">
        <v>0</v>
      </c>
      <c r="N551" s="87">
        <v>1</v>
      </c>
      <c r="O551" s="87">
        <v>2</v>
      </c>
      <c r="P551" s="87">
        <v>3</v>
      </c>
      <c r="Q551" s="87">
        <v>4</v>
      </c>
      <c r="R551" s="87">
        <v>5</v>
      </c>
      <c r="S551" s="87">
        <v>6</v>
      </c>
      <c r="T551" s="87">
        <v>7</v>
      </c>
      <c r="U551" s="87">
        <v>8</v>
      </c>
      <c r="V551" s="87">
        <v>9</v>
      </c>
      <c r="W551" s="88">
        <f t="shared" si="382"/>
        <v>4</v>
      </c>
      <c r="X551" s="88">
        <f t="shared" si="383"/>
        <v>1</v>
      </c>
      <c r="Y551" s="88">
        <f t="shared" si="384"/>
        <v>3</v>
      </c>
      <c r="Z551" s="89">
        <f t="shared" si="387"/>
        <v>8</v>
      </c>
      <c r="AA551" s="17" t="str">
        <f>_xlfn.TEXTJOIN(", ",TRUE,ABS(MID(C551,{1,1,2},1)-MID(C551,{2,3,3},1)))</f>
        <v>4, 1, 3</v>
      </c>
      <c r="AB551" s="90">
        <v>0</v>
      </c>
      <c r="AC551" s="90">
        <v>1</v>
      </c>
      <c r="AD551" s="90">
        <v>2</v>
      </c>
      <c r="AE551" s="90">
        <v>3</v>
      </c>
      <c r="AF551" s="90">
        <v>4</v>
      </c>
      <c r="AG551" s="90">
        <v>5</v>
      </c>
      <c r="AH551" s="90">
        <v>6</v>
      </c>
      <c r="AI551" s="90">
        <v>7</v>
      </c>
      <c r="AJ551" s="90">
        <v>8</v>
      </c>
      <c r="AK551" s="90">
        <v>9</v>
      </c>
      <c r="AL551" s="91">
        <v>0</v>
      </c>
      <c r="AM551" s="91">
        <v>1</v>
      </c>
      <c r="AN551" s="91">
        <v>2</v>
      </c>
      <c r="AO551" s="91">
        <v>3</v>
      </c>
      <c r="AP551" s="91">
        <v>4</v>
      </c>
      <c r="AQ551" s="91">
        <v>5</v>
      </c>
      <c r="AR551" s="91">
        <v>6</v>
      </c>
      <c r="AS551" s="91">
        <v>7</v>
      </c>
      <c r="AT551" s="91">
        <v>8</v>
      </c>
      <c r="AU551" s="91">
        <v>9</v>
      </c>
      <c r="AV551" s="92">
        <v>0</v>
      </c>
      <c r="AW551" s="92">
        <v>1</v>
      </c>
      <c r="AX551" s="92">
        <v>2</v>
      </c>
      <c r="AY551" s="92">
        <v>3</v>
      </c>
      <c r="AZ551" s="92">
        <v>4</v>
      </c>
      <c r="BA551" s="92">
        <v>5</v>
      </c>
      <c r="BB551" s="92">
        <v>6</v>
      </c>
      <c r="BC551" s="92">
        <v>7</v>
      </c>
      <c r="BD551" s="92">
        <v>8</v>
      </c>
      <c r="BE551" s="92">
        <v>9</v>
      </c>
      <c r="BF551" s="93">
        <v>0</v>
      </c>
      <c r="BG551" s="93">
        <v>1</v>
      </c>
      <c r="BH551" s="93">
        <v>2</v>
      </c>
      <c r="BI551" s="93">
        <v>3</v>
      </c>
      <c r="BJ551" s="93">
        <v>4</v>
      </c>
      <c r="BK551" s="93">
        <v>5</v>
      </c>
      <c r="BL551" s="93">
        <v>6</v>
      </c>
      <c r="BM551" s="93">
        <v>7</v>
      </c>
      <c r="BN551" s="93">
        <v>8</v>
      </c>
      <c r="BO551" s="93">
        <v>9</v>
      </c>
      <c r="BP551" s="94" t="str">
        <f t="shared" si="388"/>
        <v>紧凑型</v>
      </c>
      <c r="BQ551" s="15">
        <f t="shared" si="385"/>
        <v>1</v>
      </c>
      <c r="BR551" s="15">
        <f t="shared" si="386"/>
        <v>4</v>
      </c>
      <c r="BS551" s="20" t="str">
        <f t="shared" si="390"/>
        <v/>
      </c>
      <c r="BT551" s="21" t="str">
        <f t="shared" si="391"/>
        <v/>
      </c>
      <c r="BU551" s="21" t="str">
        <f t="array" ref="BU551">_xlfn.TEXTJOIN("",TRUE,IF(ISERROR(FIND(ROW($1:$168)-1,BS551&amp;BT551)),ROW($1:$168)-1,""))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51" s="22" t="str">
        <f t="shared" si="392"/>
        <v>中中中</v>
      </c>
      <c r="BW551" s="23" t="str">
        <f t="shared" si="403"/>
        <v/>
      </c>
      <c r="BX551" s="23" t="str">
        <f t="shared" si="401"/>
        <v/>
      </c>
      <c r="BY551" s="23" t="str">
        <f t="array" ref="BY551">_xlfn.TEXTJOIN("",TRUE,IF(ISERROR(FIND(ROW($1:$168)-1,BW551&amp;BX551)),ROW($1:$168)-1,""))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51" s="22" t="str">
        <f t="shared" si="393"/>
        <v>中中中</v>
      </c>
      <c r="CA551" s="24" t="str">
        <f t="shared" si="394"/>
        <v/>
      </c>
      <c r="CB551" s="24" t="str">
        <f t="shared" si="402"/>
        <v/>
      </c>
      <c r="CC551" s="24" t="str">
        <f t="array" ref="CC551">_xlfn.TEXTJOIN("",TRUE,IF(ISERROR(FIND(ROW($1:$168)-1,CA551&amp;CB551)),ROW($1:$168)-1,""))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51" s="22" t="str">
        <f t="shared" si="395"/>
        <v>中中中</v>
      </c>
      <c r="CE551" s="25" t="str">
        <f t="shared" si="389"/>
        <v>35</v>
      </c>
      <c r="CF551" s="26" t="str">
        <f t="array" ref="CF551">_xlfn.TEXTJOIN("",TRUE,IF(ISNUMBER(FIND(MID(CE550&amp;W550,ROW($1:$162),1),CE551&amp;W551)),MID(CE550&amp;W550,ROW($1:$162),1),""))</f>
        <v/>
      </c>
      <c r="CG551" s="27" t="str">
        <f t="array" ref="CG551">_xlfn.TEXTJOIN("",TRUE,IF(ISERROR(FIND(ROW($1:$168)-1,CE551&amp;CF551)),ROW($1:$168)-1,""))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51" s="28" t="str">
        <f t="shared" si="396"/>
        <v>邻孤孤</v>
      </c>
      <c r="CI551" s="29" t="str">
        <f t="shared" si="397"/>
        <v>02</v>
      </c>
      <c r="CJ551" s="29" t="str">
        <f t="array" ref="CJ551">_xlfn.TEXTJOIN("",TRUE,IF(ISNUMBER(FIND(MID(CI550&amp;X550,ROW($1:$162),1),CI551&amp;X551)),MID(CI550&amp;X550,ROW($1:$162),1),""))</f>
        <v/>
      </c>
      <c r="CK551" s="29" t="str">
        <f t="array" ref="CK551">_xlfn.TEXTJOIN("",TRUE,IF(ISERROR(FIND(ROW($1:$168)-1,CI551&amp;CJ551)),ROW($1:$168)-1,""))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51" s="19" t="str">
        <f t="shared" si="398"/>
        <v>邻孤孤</v>
      </c>
      <c r="CM551" s="24" t="str">
        <f t="shared" si="399"/>
        <v>24</v>
      </c>
      <c r="CN551" s="24" t="str">
        <f t="array" ref="CN551">_xlfn.TEXTJOIN("",TRUE,IF(ISNUMBER(FIND(MID(CM550&amp;Y550,ROW($1:$162),1),CM551&amp;Y551)),MID(CM550&amp;Y550,ROW($1:$162),1),""))</f>
        <v>32</v>
      </c>
      <c r="CO551" s="24" t="str">
        <f t="array" ref="CO551">_xlfn.TEXTJOIN("",TRUE,IF(ISERROR(FIND(ROW($1:$168)-1,CM551&amp;CN551)),ROW($1:$168)-1,""))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51" s="30" t="str">
        <f t="shared" si="400"/>
        <v>邻传孤</v>
      </c>
    </row>
    <row r="552" spans="1:94">
      <c r="A552" s="15">
        <v>552</v>
      </c>
      <c r="B552" s="80">
        <v>2025169</v>
      </c>
      <c r="C552" s="8" t="s">
        <v>446</v>
      </c>
      <c r="D552" s="81">
        <f t="shared" si="380"/>
        <v>24</v>
      </c>
      <c r="E552" s="82">
        <f t="shared" si="381"/>
        <v>4</v>
      </c>
      <c r="F552" s="83">
        <f t="shared" si="373"/>
        <v>12</v>
      </c>
      <c r="G552" s="84" t="str">
        <f t="shared" si="374"/>
        <v>紧凑</v>
      </c>
      <c r="H552" s="85" t="s">
        <v>10</v>
      </c>
      <c r="I552" s="85" t="s">
        <v>11</v>
      </c>
      <c r="J552" s="85" t="s">
        <v>12</v>
      </c>
      <c r="K552" s="85" t="s">
        <v>13</v>
      </c>
      <c r="L552" s="86">
        <f>MAX(MID(C552,{1,2,3},1)*1)-MIN(MID(C552,{1,2,3},1)*1)</f>
        <v>2</v>
      </c>
      <c r="M552" s="87">
        <v>0</v>
      </c>
      <c r="N552" s="87">
        <v>1</v>
      </c>
      <c r="O552" s="87">
        <v>2</v>
      </c>
      <c r="P552" s="87">
        <v>3</v>
      </c>
      <c r="Q552" s="87">
        <v>4</v>
      </c>
      <c r="R552" s="87">
        <v>5</v>
      </c>
      <c r="S552" s="87">
        <v>6</v>
      </c>
      <c r="T552" s="87">
        <v>7</v>
      </c>
      <c r="U552" s="87">
        <v>8</v>
      </c>
      <c r="V552" s="87">
        <v>9</v>
      </c>
      <c r="W552" s="88">
        <f t="shared" si="382"/>
        <v>2</v>
      </c>
      <c r="X552" s="88">
        <f t="shared" si="383"/>
        <v>1</v>
      </c>
      <c r="Y552" s="88">
        <f t="shared" si="384"/>
        <v>1</v>
      </c>
      <c r="Z552" s="89">
        <f t="shared" si="387"/>
        <v>4</v>
      </c>
      <c r="AA552" s="17" t="str">
        <f>_xlfn.TEXTJOIN(", ",TRUE,ABS(MID(C552,{1,1,2},1)-MID(C552,{2,3,3},1)))</f>
        <v>2, 1, 1</v>
      </c>
      <c r="AB552" s="90">
        <v>0</v>
      </c>
      <c r="AC552" s="90">
        <v>1</v>
      </c>
      <c r="AD552" s="90">
        <v>2</v>
      </c>
      <c r="AE552" s="90">
        <v>3</v>
      </c>
      <c r="AF552" s="90">
        <v>4</v>
      </c>
      <c r="AG552" s="90">
        <v>5</v>
      </c>
      <c r="AH552" s="90">
        <v>6</v>
      </c>
      <c r="AI552" s="90">
        <v>7</v>
      </c>
      <c r="AJ552" s="90">
        <v>8</v>
      </c>
      <c r="AK552" s="90">
        <v>9</v>
      </c>
      <c r="AL552" s="91">
        <v>0</v>
      </c>
      <c r="AM552" s="91">
        <v>1</v>
      </c>
      <c r="AN552" s="91">
        <v>2</v>
      </c>
      <c r="AO552" s="91">
        <v>3</v>
      </c>
      <c r="AP552" s="91">
        <v>4</v>
      </c>
      <c r="AQ552" s="91">
        <v>5</v>
      </c>
      <c r="AR552" s="91">
        <v>6</v>
      </c>
      <c r="AS552" s="91">
        <v>7</v>
      </c>
      <c r="AT552" s="91">
        <v>8</v>
      </c>
      <c r="AU552" s="91">
        <v>9</v>
      </c>
      <c r="AV552" s="92">
        <v>0</v>
      </c>
      <c r="AW552" s="92">
        <v>1</v>
      </c>
      <c r="AX552" s="92">
        <v>2</v>
      </c>
      <c r="AY552" s="92">
        <v>3</v>
      </c>
      <c r="AZ552" s="92">
        <v>4</v>
      </c>
      <c r="BA552" s="92">
        <v>5</v>
      </c>
      <c r="BB552" s="92">
        <v>6</v>
      </c>
      <c r="BC552" s="92">
        <v>7</v>
      </c>
      <c r="BD552" s="92">
        <v>8</v>
      </c>
      <c r="BE552" s="92">
        <v>9</v>
      </c>
      <c r="BF552" s="93">
        <v>0</v>
      </c>
      <c r="BG552" s="93">
        <v>1</v>
      </c>
      <c r="BH552" s="93">
        <v>2</v>
      </c>
      <c r="BI552" s="93">
        <v>3</v>
      </c>
      <c r="BJ552" s="93">
        <v>4</v>
      </c>
      <c r="BK552" s="93">
        <v>5</v>
      </c>
      <c r="BL552" s="93">
        <v>6</v>
      </c>
      <c r="BM552" s="93">
        <v>7</v>
      </c>
      <c r="BN552" s="93">
        <v>8</v>
      </c>
      <c r="BO552" s="93">
        <v>9</v>
      </c>
      <c r="BP552" s="94" t="str">
        <f t="shared" si="388"/>
        <v>紧凑型</v>
      </c>
      <c r="BQ552" s="15">
        <f t="shared" si="385"/>
        <v>1</v>
      </c>
      <c r="BR552" s="15">
        <f t="shared" si="386"/>
        <v>2</v>
      </c>
      <c r="BS552" s="20" t="str">
        <f t="shared" si="390"/>
        <v/>
      </c>
      <c r="BT552" s="21">
        <f t="shared" si="391"/>
        <v>2</v>
      </c>
      <c r="BU552" s="21" t="str">
        <f t="array" ref="BU552">_xlfn.TEXTJOIN("",TRUE,IF(ISERROR(FIND(ROW($1:$168)-1,BS552&amp;BT552)),ROW($1:$168)-1,""))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52" s="22" t="str">
        <f t="shared" si="392"/>
        <v>中隔中</v>
      </c>
      <c r="BW552" s="23">
        <f t="shared" si="403"/>
        <v>1</v>
      </c>
      <c r="BX552" s="23" t="str">
        <f t="shared" si="401"/>
        <v/>
      </c>
      <c r="BY552" s="23" t="str">
        <f t="array" ref="BY552">_xlfn.TEXTJOIN("",TRUE,IF(ISERROR(FIND(ROW($1:$168)-1,BW552&amp;BX552)),ROW($1:$168)-1,""))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52" s="22" t="str">
        <f t="shared" si="393"/>
        <v>复中中</v>
      </c>
      <c r="CA552" s="24">
        <f t="shared" si="394"/>
        <v>1</v>
      </c>
      <c r="CB552" s="24" t="str">
        <f t="shared" si="402"/>
        <v/>
      </c>
      <c r="CC552" s="24" t="str">
        <f t="array" ref="CC552">_xlfn.TEXTJOIN("",TRUE,IF(ISERROR(FIND(ROW($1:$168)-1,CA552&amp;CB552)),ROW($1:$168)-1,""))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52" s="22" t="str">
        <f t="shared" si="395"/>
        <v>复中中</v>
      </c>
      <c r="CE552" s="25" t="str">
        <f t="shared" si="389"/>
        <v>13</v>
      </c>
      <c r="CF552" s="26" t="str">
        <f t="array" ref="CF552">_xlfn.TEXTJOIN("",TRUE,IF(ISNUMBER(FIND(MID(CE551&amp;W551,ROW($1:$162),1),CE552&amp;W552)),MID(CE551&amp;W551,ROW($1:$162),1),""))</f>
        <v>3</v>
      </c>
      <c r="CG552" s="27" t="str">
        <f t="array" ref="CG552">_xlfn.TEXTJOIN("",TRUE,IF(ISERROR(FIND(ROW($1:$168)-1,CE552&amp;CF552)),ROW($1:$168)-1,""))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552" s="28" t="str">
        <f t="shared" si="396"/>
        <v>邻传孤</v>
      </c>
      <c r="CI552" s="29" t="str">
        <f t="shared" si="397"/>
        <v>02</v>
      </c>
      <c r="CJ552" s="29" t="str">
        <f t="array" ref="CJ552">_xlfn.TEXTJOIN("",TRUE,IF(ISNUMBER(FIND(MID(CI551&amp;X551,ROW($1:$162),1),CI552&amp;X552)),MID(CI551&amp;X551,ROW($1:$162),1),""))</f>
        <v>021</v>
      </c>
      <c r="CK552" s="29" t="str">
        <f t="array" ref="CK552">_xlfn.TEXTJOIN("",TRUE,IF(ISERROR(FIND(ROW($1:$168)-1,CI552&amp;CJ552)),ROW($1:$168)-1,""))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52" s="19" t="str">
        <f t="shared" si="398"/>
        <v>邻传孤</v>
      </c>
      <c r="CM552" s="24" t="str">
        <f t="shared" si="399"/>
        <v>02</v>
      </c>
      <c r="CN552" s="24" t="str">
        <f t="array" ref="CN552">_xlfn.TEXTJOIN("",TRUE,IF(ISNUMBER(FIND(MID(CM551&amp;Y551,ROW($1:$162),1),CM552&amp;Y552)),MID(CM551&amp;Y551,ROW($1:$162),1),""))</f>
        <v>2</v>
      </c>
      <c r="CO552" s="24" t="str">
        <f t="array" ref="CO552">_xlfn.TEXTJOIN("",TRUE,IF(ISERROR(FIND(ROW($1:$168)-1,CM552&amp;CN552)),ROW($1:$168)-1,""))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52" s="30" t="str">
        <f t="shared" si="400"/>
        <v>邻传孤</v>
      </c>
    </row>
    <row r="553" spans="1:94">
      <c r="A553" s="15">
        <v>553</v>
      </c>
      <c r="B553" s="80">
        <v>2025170</v>
      </c>
      <c r="C553" s="8" t="s">
        <v>371</v>
      </c>
      <c r="D553" s="81">
        <f t="shared" si="380"/>
        <v>16</v>
      </c>
      <c r="E553" s="82">
        <f t="shared" si="381"/>
        <v>6</v>
      </c>
      <c r="F553" s="83">
        <f t="shared" si="373"/>
        <v>5.33333333333333</v>
      </c>
      <c r="G553" s="84" t="str">
        <f t="shared" si="374"/>
        <v>紧凑</v>
      </c>
      <c r="H553" s="85" t="s">
        <v>10</v>
      </c>
      <c r="I553" s="85" t="s">
        <v>11</v>
      </c>
      <c r="J553" s="85" t="s">
        <v>12</v>
      </c>
      <c r="K553" s="85" t="s">
        <v>13</v>
      </c>
      <c r="L553" s="86">
        <f>MAX(MID(C553,{1,2,3},1)*1)-MIN(MID(C553,{1,2,3},1)*1)</f>
        <v>3</v>
      </c>
      <c r="M553" s="87">
        <v>0</v>
      </c>
      <c r="N553" s="87">
        <v>1</v>
      </c>
      <c r="O553" s="87">
        <v>2</v>
      </c>
      <c r="P553" s="87">
        <v>3</v>
      </c>
      <c r="Q553" s="87">
        <v>4</v>
      </c>
      <c r="R553" s="87">
        <v>5</v>
      </c>
      <c r="S553" s="87">
        <v>6</v>
      </c>
      <c r="T553" s="87">
        <v>7</v>
      </c>
      <c r="U553" s="87">
        <v>8</v>
      </c>
      <c r="V553" s="87">
        <v>9</v>
      </c>
      <c r="W553" s="88">
        <f t="shared" si="382"/>
        <v>3</v>
      </c>
      <c r="X553" s="88">
        <f t="shared" si="383"/>
        <v>1</v>
      </c>
      <c r="Y553" s="88">
        <f t="shared" si="384"/>
        <v>2</v>
      </c>
      <c r="Z553" s="89">
        <f t="shared" si="387"/>
        <v>6</v>
      </c>
      <c r="AA553" s="17" t="str">
        <f>_xlfn.TEXTJOIN(", ",TRUE,ABS(MID(C553,{1,1,2},1)-MID(C553,{2,3,3},1)))</f>
        <v>3, 1, 2</v>
      </c>
      <c r="AB553" s="90">
        <v>0</v>
      </c>
      <c r="AC553" s="90">
        <v>1</v>
      </c>
      <c r="AD553" s="90">
        <v>2</v>
      </c>
      <c r="AE553" s="90">
        <v>3</v>
      </c>
      <c r="AF553" s="90">
        <v>4</v>
      </c>
      <c r="AG553" s="90">
        <v>5</v>
      </c>
      <c r="AH553" s="90">
        <v>6</v>
      </c>
      <c r="AI553" s="90">
        <v>7</v>
      </c>
      <c r="AJ553" s="90">
        <v>8</v>
      </c>
      <c r="AK553" s="90">
        <v>9</v>
      </c>
      <c r="AL553" s="91">
        <v>0</v>
      </c>
      <c r="AM553" s="91">
        <v>1</v>
      </c>
      <c r="AN553" s="91">
        <v>2</v>
      </c>
      <c r="AO553" s="91">
        <v>3</v>
      </c>
      <c r="AP553" s="91">
        <v>4</v>
      </c>
      <c r="AQ553" s="91">
        <v>5</v>
      </c>
      <c r="AR553" s="91">
        <v>6</v>
      </c>
      <c r="AS553" s="91">
        <v>7</v>
      </c>
      <c r="AT553" s="91">
        <v>8</v>
      </c>
      <c r="AU553" s="91">
        <v>9</v>
      </c>
      <c r="AV553" s="92">
        <v>0</v>
      </c>
      <c r="AW553" s="92">
        <v>1</v>
      </c>
      <c r="AX553" s="92">
        <v>2</v>
      </c>
      <c r="AY553" s="92">
        <v>3</v>
      </c>
      <c r="AZ553" s="92">
        <v>4</v>
      </c>
      <c r="BA553" s="92">
        <v>5</v>
      </c>
      <c r="BB553" s="92">
        <v>6</v>
      </c>
      <c r="BC553" s="92">
        <v>7</v>
      </c>
      <c r="BD553" s="92">
        <v>8</v>
      </c>
      <c r="BE553" s="92">
        <v>9</v>
      </c>
      <c r="BF553" s="93">
        <v>0</v>
      </c>
      <c r="BG553" s="93">
        <v>1</v>
      </c>
      <c r="BH553" s="93">
        <v>2</v>
      </c>
      <c r="BI553" s="93">
        <v>3</v>
      </c>
      <c r="BJ553" s="93">
        <v>4</v>
      </c>
      <c r="BK553" s="93">
        <v>5</v>
      </c>
      <c r="BL553" s="93">
        <v>6</v>
      </c>
      <c r="BM553" s="93">
        <v>7</v>
      </c>
      <c r="BN553" s="93">
        <v>8</v>
      </c>
      <c r="BO553" s="93">
        <v>9</v>
      </c>
      <c r="BP553" s="94" t="str">
        <f t="shared" si="388"/>
        <v>紧凑型</v>
      </c>
      <c r="BQ553" s="15">
        <f t="shared" si="385"/>
        <v>1</v>
      </c>
      <c r="BR553" s="15">
        <f t="shared" si="386"/>
        <v>3</v>
      </c>
      <c r="BS553" s="20" t="str">
        <f t="shared" si="390"/>
        <v/>
      </c>
      <c r="BT553" s="21">
        <f t="shared" si="391"/>
        <v>3</v>
      </c>
      <c r="BU553" s="21" t="str">
        <f t="array" ref="BU553">_xlfn.TEXTJOIN("",TRUE,IF(ISERROR(FIND(ROW($1:$168)-1,BS553&amp;BT553)),ROW($1:$168)-1,""))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53" s="22" t="str">
        <f t="shared" si="392"/>
        <v>中隔中</v>
      </c>
      <c r="BW553" s="23">
        <f t="shared" si="403"/>
        <v>1</v>
      </c>
      <c r="BX553" s="23">
        <f t="shared" si="401"/>
        <v>1</v>
      </c>
      <c r="BY553" s="23" t="str">
        <f t="array" ref="BY553">_xlfn.TEXTJOIN("",TRUE,IF(ISERROR(FIND(ROW($1:$168)-1,BW553&amp;BX553)),ROW($1:$168)-1,""))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53" s="22" t="str">
        <f t="shared" si="393"/>
        <v>复隔中</v>
      </c>
      <c r="CA553" s="24">
        <f t="shared" si="394"/>
        <v>2</v>
      </c>
      <c r="CB553" s="24" t="str">
        <f t="shared" si="402"/>
        <v/>
      </c>
      <c r="CC553" s="24" t="str">
        <f t="array" ref="CC553">_xlfn.TEXTJOIN("",TRUE,IF(ISERROR(FIND(ROW($1:$168)-1,CA553&amp;CB553)),ROW($1:$168)-1,""))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53" s="22" t="str">
        <f t="shared" si="395"/>
        <v>复中中</v>
      </c>
      <c r="CE553" s="25" t="str">
        <f t="shared" si="389"/>
        <v>24</v>
      </c>
      <c r="CF553" s="26" t="str">
        <f t="array" ref="CF553">_xlfn.TEXTJOIN("",TRUE,IF(ISNUMBER(FIND(MID(CE552&amp;W552,ROW($1:$162),1),CE553&amp;W553)),MID(CE552&amp;W552,ROW($1:$162),1),""))</f>
        <v>32</v>
      </c>
      <c r="CG553" s="27" t="str">
        <f t="array" ref="CG553">_xlfn.TEXTJOIN("",TRUE,IF(ISERROR(FIND(ROW($1:$168)-1,CE553&amp;CF553)),ROW($1:$168)-1,""))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53" s="28" t="str">
        <f t="shared" si="396"/>
        <v>邻传孤</v>
      </c>
      <c r="CI553" s="29" t="str">
        <f t="shared" si="397"/>
        <v>02</v>
      </c>
      <c r="CJ553" s="29" t="str">
        <f t="array" ref="CJ553">_xlfn.TEXTJOIN("",TRUE,IF(ISNUMBER(FIND(MID(CI552&amp;X552,ROW($1:$162),1),CI553&amp;X553)),MID(CI552&amp;X552,ROW($1:$162),1),""))</f>
        <v>021</v>
      </c>
      <c r="CK553" s="29" t="str">
        <f t="array" ref="CK553">_xlfn.TEXTJOIN("",TRUE,IF(ISERROR(FIND(ROW($1:$168)-1,CI553&amp;CJ553)),ROW($1:$168)-1,""))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53" s="19" t="str">
        <f t="shared" si="398"/>
        <v>邻传孤</v>
      </c>
      <c r="CM553" s="24" t="str">
        <f t="shared" si="399"/>
        <v>13</v>
      </c>
      <c r="CN553" s="24" t="str">
        <f t="array" ref="CN553">_xlfn.TEXTJOIN("",TRUE,IF(ISNUMBER(FIND(MID(CM552&amp;Y552,ROW($1:$162),1),CM553&amp;Y553)),MID(CM552&amp;Y552,ROW($1:$162),1),""))</f>
        <v>21</v>
      </c>
      <c r="CO553" s="24" t="str">
        <f t="array" ref="CO553">_xlfn.TEXTJOIN("",TRUE,IF(ISERROR(FIND(ROW($1:$168)-1,CM553&amp;CN553)),ROW($1:$168)-1,""))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553" s="30" t="str">
        <f t="shared" si="400"/>
        <v>邻传孤</v>
      </c>
    </row>
    <row r="554" spans="1:94">
      <c r="A554" s="15">
        <v>554</v>
      </c>
      <c r="B554" s="80">
        <v>2025171</v>
      </c>
      <c r="C554" s="8" t="s">
        <v>428</v>
      </c>
      <c r="D554" s="81">
        <f t="shared" si="380"/>
        <v>5</v>
      </c>
      <c r="E554" s="82">
        <f t="shared" si="381"/>
        <v>5</v>
      </c>
      <c r="F554" s="83">
        <f t="shared" si="373"/>
        <v>2.5</v>
      </c>
      <c r="G554" s="84" t="str">
        <f t="shared" si="374"/>
        <v>标准</v>
      </c>
      <c r="H554" s="85" t="s">
        <v>10</v>
      </c>
      <c r="I554" s="85" t="s">
        <v>11</v>
      </c>
      <c r="J554" s="85" t="s">
        <v>12</v>
      </c>
      <c r="K554" s="85" t="s">
        <v>13</v>
      </c>
      <c r="L554" s="86">
        <f>MAX(MID(C554,{1,2,3},1)*1)-MIN(MID(C554,{1,2,3},1)*1)</f>
        <v>2</v>
      </c>
      <c r="M554" s="87">
        <v>0</v>
      </c>
      <c r="N554" s="87">
        <v>1</v>
      </c>
      <c r="O554" s="87">
        <v>2</v>
      </c>
      <c r="P554" s="87">
        <v>3</v>
      </c>
      <c r="Q554" s="87">
        <v>4</v>
      </c>
      <c r="R554" s="87">
        <v>5</v>
      </c>
      <c r="S554" s="87">
        <v>6</v>
      </c>
      <c r="T554" s="87">
        <v>7</v>
      </c>
      <c r="U554" s="87">
        <v>8</v>
      </c>
      <c r="V554" s="87">
        <v>9</v>
      </c>
      <c r="W554" s="88">
        <f t="shared" si="382"/>
        <v>0</v>
      </c>
      <c r="X554" s="88">
        <f t="shared" si="383"/>
        <v>2</v>
      </c>
      <c r="Y554" s="88">
        <f t="shared" si="384"/>
        <v>2</v>
      </c>
      <c r="Z554" s="89">
        <f t="shared" si="387"/>
        <v>4</v>
      </c>
      <c r="AA554" s="17" t="str">
        <f>_xlfn.TEXTJOIN(", ",TRUE,ABS(MID(C554,{1,1,2},1)-MID(C554,{2,3,3},1)))</f>
        <v>0, 2, 2</v>
      </c>
      <c r="AB554" s="90">
        <v>0</v>
      </c>
      <c r="AC554" s="90">
        <v>1</v>
      </c>
      <c r="AD554" s="90">
        <v>2</v>
      </c>
      <c r="AE554" s="90">
        <v>3</v>
      </c>
      <c r="AF554" s="90">
        <v>4</v>
      </c>
      <c r="AG554" s="90">
        <v>5</v>
      </c>
      <c r="AH554" s="90">
        <v>6</v>
      </c>
      <c r="AI554" s="90">
        <v>7</v>
      </c>
      <c r="AJ554" s="90">
        <v>8</v>
      </c>
      <c r="AK554" s="90">
        <v>9</v>
      </c>
      <c r="AL554" s="91">
        <v>0</v>
      </c>
      <c r="AM554" s="91">
        <v>1</v>
      </c>
      <c r="AN554" s="91">
        <v>2</v>
      </c>
      <c r="AO554" s="91">
        <v>3</v>
      </c>
      <c r="AP554" s="91">
        <v>4</v>
      </c>
      <c r="AQ554" s="91">
        <v>5</v>
      </c>
      <c r="AR554" s="91">
        <v>6</v>
      </c>
      <c r="AS554" s="91">
        <v>7</v>
      </c>
      <c r="AT554" s="91">
        <v>8</v>
      </c>
      <c r="AU554" s="91">
        <v>9</v>
      </c>
      <c r="AV554" s="92">
        <v>0</v>
      </c>
      <c r="AW554" s="92">
        <v>1</v>
      </c>
      <c r="AX554" s="92">
        <v>2</v>
      </c>
      <c r="AY554" s="92">
        <v>3</v>
      </c>
      <c r="AZ554" s="92">
        <v>4</v>
      </c>
      <c r="BA554" s="92">
        <v>5</v>
      </c>
      <c r="BB554" s="92">
        <v>6</v>
      </c>
      <c r="BC554" s="92">
        <v>7</v>
      </c>
      <c r="BD554" s="92">
        <v>8</v>
      </c>
      <c r="BE554" s="92">
        <v>9</v>
      </c>
      <c r="BF554" s="93">
        <v>0</v>
      </c>
      <c r="BG554" s="93">
        <v>1</v>
      </c>
      <c r="BH554" s="93">
        <v>2</v>
      </c>
      <c r="BI554" s="93">
        <v>3</v>
      </c>
      <c r="BJ554" s="93">
        <v>4</v>
      </c>
      <c r="BK554" s="93">
        <v>5</v>
      </c>
      <c r="BL554" s="93">
        <v>6</v>
      </c>
      <c r="BM554" s="93">
        <v>7</v>
      </c>
      <c r="BN554" s="93">
        <v>8</v>
      </c>
      <c r="BO554" s="93">
        <v>9</v>
      </c>
      <c r="BP554" s="94" t="str">
        <f t="shared" si="388"/>
        <v>紧凑型</v>
      </c>
      <c r="BQ554" s="15">
        <f t="shared" si="385"/>
        <v>0</v>
      </c>
      <c r="BR554" s="15">
        <f t="shared" si="386"/>
        <v>2</v>
      </c>
      <c r="BS554" s="20" t="str">
        <f t="shared" si="390"/>
        <v/>
      </c>
      <c r="BT554" s="21" t="str">
        <f t="shared" si="391"/>
        <v/>
      </c>
      <c r="BU554" s="21" t="str">
        <f t="array" ref="BU554">_xlfn.TEXTJOIN("",TRUE,IF(ISERROR(FIND(ROW($1:$168)-1,BS554&amp;BT554)),ROW($1:$168)-1,""))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54" s="22" t="str">
        <f t="shared" si="392"/>
        <v>中中中</v>
      </c>
      <c r="BW554" s="23">
        <f t="shared" si="403"/>
        <v>2</v>
      </c>
      <c r="BX554" s="23">
        <f t="shared" si="401"/>
        <v>2</v>
      </c>
      <c r="BY554" s="23" t="str">
        <f t="array" ref="BY554">_xlfn.TEXTJOIN("",TRUE,IF(ISERROR(FIND(ROW($1:$168)-1,BW554&amp;BX554)),ROW($1:$168)-1,""))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54" s="22" t="str">
        <f t="shared" si="393"/>
        <v>复隔中</v>
      </c>
      <c r="CA554" s="24">
        <f t="shared" si="394"/>
        <v>2</v>
      </c>
      <c r="CB554" s="24">
        <f t="shared" si="402"/>
        <v>2</v>
      </c>
      <c r="CC554" s="24" t="str">
        <f t="array" ref="CC554">_xlfn.TEXTJOIN("",TRUE,IF(ISERROR(FIND(ROW($1:$168)-1,CA554&amp;CB554)),ROW($1:$168)-1,""))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54" s="22" t="str">
        <f t="shared" si="395"/>
        <v>复隔中</v>
      </c>
      <c r="CE554" s="25" t="str">
        <f t="shared" si="389"/>
        <v>91</v>
      </c>
      <c r="CF554" s="26" t="str">
        <f t="array" ref="CF554">_xlfn.TEXTJOIN("",TRUE,IF(ISNUMBER(FIND(MID(CE553&amp;W553,ROW($1:$162),1),CE554&amp;W554)),MID(CE553&amp;W553,ROW($1:$162),1),""))</f>
        <v/>
      </c>
      <c r="CG554" s="27" t="str">
        <f t="array" ref="CG554">_xlfn.TEXTJOIN("",TRUE,IF(ISERROR(FIND(ROW($1:$168)-1,CE554&amp;CF554)),ROW($1:$168)-1,""))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554" s="28" t="str">
        <f t="shared" si="396"/>
        <v>邻孤孤</v>
      </c>
      <c r="CI554" s="29" t="str">
        <f t="shared" si="397"/>
        <v>13</v>
      </c>
      <c r="CJ554" s="29" t="str">
        <f t="array" ref="CJ554">_xlfn.TEXTJOIN("",TRUE,IF(ISNUMBER(FIND(MID(CI553&amp;X553,ROW($1:$162),1),CI554&amp;X554)),MID(CI553&amp;X553,ROW($1:$162),1),""))</f>
        <v>21</v>
      </c>
      <c r="CK554" s="29" t="str">
        <f t="array" ref="CK554">_xlfn.TEXTJOIN("",TRUE,IF(ISERROR(FIND(ROW($1:$168)-1,CI554&amp;CJ554)),ROW($1:$168)-1,""))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554" s="19" t="str">
        <f t="shared" si="398"/>
        <v>邻传孤</v>
      </c>
      <c r="CM554" s="24" t="str">
        <f t="shared" si="399"/>
        <v>13</v>
      </c>
      <c r="CN554" s="24" t="str">
        <f t="array" ref="CN554">_xlfn.TEXTJOIN("",TRUE,IF(ISNUMBER(FIND(MID(CM553&amp;Y553,ROW($1:$162),1),CM554&amp;Y554)),MID(CM553&amp;Y553,ROW($1:$162),1),""))</f>
        <v>132</v>
      </c>
      <c r="CO554" s="24" t="str">
        <f t="array" ref="CO554">_xlfn.TEXTJOIN("",TRUE,IF(ISERROR(FIND(ROW($1:$168)-1,CM554&amp;CN554)),ROW($1:$168)-1,""))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554" s="30" t="str">
        <f t="shared" si="400"/>
        <v>邻传孤</v>
      </c>
    </row>
    <row r="555" spans="1:94">
      <c r="A555" s="15">
        <v>555</v>
      </c>
      <c r="B555" s="80">
        <v>2025172</v>
      </c>
      <c r="C555" s="8" t="s">
        <v>100</v>
      </c>
      <c r="D555" s="81">
        <f t="shared" si="380"/>
        <v>10</v>
      </c>
      <c r="E555" s="82">
        <f t="shared" si="381"/>
        <v>0</v>
      </c>
      <c r="F555" s="83">
        <f t="shared" si="373"/>
        <v>1.66666666666667</v>
      </c>
      <c r="G555" s="84" t="str">
        <f t="shared" si="374"/>
        <v>松散</v>
      </c>
      <c r="H555" s="85" t="s">
        <v>10</v>
      </c>
      <c r="I555" s="85" t="s">
        <v>11</v>
      </c>
      <c r="J555" s="85" t="s">
        <v>12</v>
      </c>
      <c r="K555" s="85" t="s">
        <v>13</v>
      </c>
      <c r="L555" s="86">
        <f>MAX(MID(C555,{1,2,3},1)*1)-MIN(MID(C555,{1,2,3},1)*1)</f>
        <v>6</v>
      </c>
      <c r="M555" s="87">
        <v>0</v>
      </c>
      <c r="N555" s="87">
        <v>1</v>
      </c>
      <c r="O555" s="87">
        <v>2</v>
      </c>
      <c r="P555" s="87">
        <v>3</v>
      </c>
      <c r="Q555" s="87">
        <v>4</v>
      </c>
      <c r="R555" s="87">
        <v>5</v>
      </c>
      <c r="S555" s="87">
        <v>6</v>
      </c>
      <c r="T555" s="87">
        <v>7</v>
      </c>
      <c r="U555" s="87">
        <v>8</v>
      </c>
      <c r="V555" s="87">
        <v>9</v>
      </c>
      <c r="W555" s="88">
        <f t="shared" si="382"/>
        <v>4</v>
      </c>
      <c r="X555" s="88">
        <f t="shared" si="383"/>
        <v>2</v>
      </c>
      <c r="Y555" s="88">
        <f t="shared" si="384"/>
        <v>6</v>
      </c>
      <c r="Z555" s="89">
        <f t="shared" si="387"/>
        <v>12</v>
      </c>
      <c r="AA555" s="17" t="str">
        <f>_xlfn.TEXTJOIN(", ",TRUE,ABS(MID(C555,{1,1,2},1)-MID(C555,{2,3,3},1)))</f>
        <v>4, 2, 6</v>
      </c>
      <c r="AB555" s="90">
        <v>0</v>
      </c>
      <c r="AC555" s="90">
        <v>1</v>
      </c>
      <c r="AD555" s="90">
        <v>2</v>
      </c>
      <c r="AE555" s="90">
        <v>3</v>
      </c>
      <c r="AF555" s="90">
        <v>4</v>
      </c>
      <c r="AG555" s="90">
        <v>5</v>
      </c>
      <c r="AH555" s="90">
        <v>6</v>
      </c>
      <c r="AI555" s="90">
        <v>7</v>
      </c>
      <c r="AJ555" s="90">
        <v>8</v>
      </c>
      <c r="AK555" s="90">
        <v>9</v>
      </c>
      <c r="AL555" s="91">
        <v>0</v>
      </c>
      <c r="AM555" s="91">
        <v>1</v>
      </c>
      <c r="AN555" s="91">
        <v>2</v>
      </c>
      <c r="AO555" s="91">
        <v>3</v>
      </c>
      <c r="AP555" s="91">
        <v>4</v>
      </c>
      <c r="AQ555" s="91">
        <v>5</v>
      </c>
      <c r="AR555" s="91">
        <v>6</v>
      </c>
      <c r="AS555" s="91">
        <v>7</v>
      </c>
      <c r="AT555" s="91">
        <v>8</v>
      </c>
      <c r="AU555" s="91">
        <v>9</v>
      </c>
      <c r="AV555" s="92">
        <v>0</v>
      </c>
      <c r="AW555" s="92">
        <v>1</v>
      </c>
      <c r="AX555" s="92">
        <v>2</v>
      </c>
      <c r="AY555" s="92">
        <v>3</v>
      </c>
      <c r="AZ555" s="92">
        <v>4</v>
      </c>
      <c r="BA555" s="92">
        <v>5</v>
      </c>
      <c r="BB555" s="92">
        <v>6</v>
      </c>
      <c r="BC555" s="92">
        <v>7</v>
      </c>
      <c r="BD555" s="92">
        <v>8</v>
      </c>
      <c r="BE555" s="92">
        <v>9</v>
      </c>
      <c r="BF555" s="93">
        <v>0</v>
      </c>
      <c r="BG555" s="93">
        <v>1</v>
      </c>
      <c r="BH555" s="93">
        <v>2</v>
      </c>
      <c r="BI555" s="93">
        <v>3</v>
      </c>
      <c r="BJ555" s="93">
        <v>4</v>
      </c>
      <c r="BK555" s="93">
        <v>5</v>
      </c>
      <c r="BL555" s="93">
        <v>6</v>
      </c>
      <c r="BM555" s="93">
        <v>7</v>
      </c>
      <c r="BN555" s="93">
        <v>8</v>
      </c>
      <c r="BO555" s="93">
        <v>9</v>
      </c>
      <c r="BP555" s="94" t="str">
        <f t="shared" si="388"/>
        <v>松散型</v>
      </c>
      <c r="BQ555" s="15">
        <f t="shared" si="385"/>
        <v>2</v>
      </c>
      <c r="BR555" s="15">
        <f t="shared" si="386"/>
        <v>6</v>
      </c>
      <c r="BS555" s="20" t="str">
        <f t="shared" si="390"/>
        <v/>
      </c>
      <c r="BT555" s="21" t="str">
        <f t="shared" si="391"/>
        <v/>
      </c>
      <c r="BU555" s="21" t="str">
        <f t="array" ref="BU555">_xlfn.TEXTJOIN("",TRUE,IF(ISERROR(FIND(ROW($1:$168)-1,BS555&amp;BT555)),ROW($1:$168)-1,""))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55" s="22" t="str">
        <f t="shared" si="392"/>
        <v>中中中</v>
      </c>
      <c r="BW555" s="23">
        <f t="shared" si="403"/>
        <v>2</v>
      </c>
      <c r="BX555" s="23">
        <f t="shared" si="401"/>
        <v>2</v>
      </c>
      <c r="BY555" s="23" t="str">
        <f t="array" ref="BY555">_xlfn.TEXTJOIN("",TRUE,IF(ISERROR(FIND(ROW($1:$168)-1,BW555&amp;BX555)),ROW($1:$168)-1,""))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55" s="22" t="str">
        <f t="shared" si="393"/>
        <v>复隔中</v>
      </c>
      <c r="CA555" s="24" t="str">
        <f t="shared" si="394"/>
        <v/>
      </c>
      <c r="CB555" s="24" t="str">
        <f t="shared" si="402"/>
        <v/>
      </c>
      <c r="CC555" s="24" t="str">
        <f t="array" ref="CC555">_xlfn.TEXTJOIN("",TRUE,IF(ISERROR(FIND(ROW($1:$168)-1,CA555&amp;CB555)),ROW($1:$168)-1,""))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55" s="22" t="str">
        <f t="shared" si="395"/>
        <v>中中中</v>
      </c>
      <c r="CE555" s="25" t="str">
        <f t="shared" si="389"/>
        <v>35</v>
      </c>
      <c r="CF555" s="26" t="str">
        <f t="array" ref="CF555">_xlfn.TEXTJOIN("",TRUE,IF(ISNUMBER(FIND(MID(CE554&amp;W554,ROW($1:$162),1),CE555&amp;W555)),MID(CE554&amp;W554,ROW($1:$162),1),""))</f>
        <v/>
      </c>
      <c r="CG555" s="27" t="str">
        <f t="array" ref="CG555">_xlfn.TEXTJOIN("",TRUE,IF(ISERROR(FIND(ROW($1:$168)-1,CE555&amp;CF555)),ROW($1:$168)-1,""))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55" s="28" t="str">
        <f t="shared" si="396"/>
        <v>邻孤孤</v>
      </c>
      <c r="CI555" s="29" t="str">
        <f t="shared" si="397"/>
        <v>13</v>
      </c>
      <c r="CJ555" s="29" t="str">
        <f t="array" ref="CJ555">_xlfn.TEXTJOIN("",TRUE,IF(ISNUMBER(FIND(MID(CI554&amp;X554,ROW($1:$162),1),CI555&amp;X555)),MID(CI554&amp;X554,ROW($1:$162),1),""))</f>
        <v>132</v>
      </c>
      <c r="CK555" s="29" t="str">
        <f t="array" ref="CK555">_xlfn.TEXTJOIN("",TRUE,IF(ISERROR(FIND(ROW($1:$168)-1,CI555&amp;CJ555)),ROW($1:$168)-1,""))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555" s="19" t="str">
        <f t="shared" si="398"/>
        <v>邻传孤</v>
      </c>
      <c r="CM555" s="24" t="str">
        <f t="shared" si="399"/>
        <v>57</v>
      </c>
      <c r="CN555" s="24" t="str">
        <f t="array" ref="CN555">_xlfn.TEXTJOIN("",TRUE,IF(ISNUMBER(FIND(MID(CM554&amp;Y554,ROW($1:$162),1),CM555&amp;Y555)),MID(CM554&amp;Y554,ROW($1:$162),1),""))</f>
        <v/>
      </c>
      <c r="CO555" s="24" t="str">
        <f t="array" ref="CO555">_xlfn.TEXTJOIN("",TRUE,IF(ISERROR(FIND(ROW($1:$168)-1,CM555&amp;CN555)),ROW($1:$168)-1,""))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55" s="30" t="str">
        <f t="shared" si="400"/>
        <v>邻孤孤</v>
      </c>
    </row>
    <row r="556" spans="1:94">
      <c r="A556" s="15">
        <v>556</v>
      </c>
      <c r="B556" s="80">
        <v>2025173</v>
      </c>
      <c r="C556" s="8" t="s">
        <v>447</v>
      </c>
      <c r="D556" s="81">
        <f t="shared" si="380"/>
        <v>11</v>
      </c>
      <c r="E556" s="82">
        <f t="shared" si="381"/>
        <v>1</v>
      </c>
      <c r="F556" s="83">
        <f t="shared" si="373"/>
        <v>1.22222222222222</v>
      </c>
      <c r="G556" s="84" t="str">
        <f t="shared" si="374"/>
        <v>松散</v>
      </c>
      <c r="H556" s="85" t="s">
        <v>10</v>
      </c>
      <c r="I556" s="85" t="s">
        <v>11</v>
      </c>
      <c r="J556" s="85" t="s">
        <v>12</v>
      </c>
      <c r="K556" s="85" t="s">
        <v>13</v>
      </c>
      <c r="L556" s="86">
        <f>MAX(MID(C556,{1,2,3},1)*1)-MIN(MID(C556,{1,2,3},1)*1)</f>
        <v>9</v>
      </c>
      <c r="M556" s="87">
        <v>0</v>
      </c>
      <c r="N556" s="87">
        <v>1</v>
      </c>
      <c r="O556" s="87">
        <v>2</v>
      </c>
      <c r="P556" s="87">
        <v>3</v>
      </c>
      <c r="Q556" s="87">
        <v>4</v>
      </c>
      <c r="R556" s="87">
        <v>5</v>
      </c>
      <c r="S556" s="87">
        <v>6</v>
      </c>
      <c r="T556" s="87">
        <v>7</v>
      </c>
      <c r="U556" s="87">
        <v>8</v>
      </c>
      <c r="V556" s="87">
        <v>9</v>
      </c>
      <c r="W556" s="88">
        <f t="shared" si="382"/>
        <v>9</v>
      </c>
      <c r="X556" s="88">
        <f t="shared" si="383"/>
        <v>2</v>
      </c>
      <c r="Y556" s="88">
        <f t="shared" si="384"/>
        <v>7</v>
      </c>
      <c r="Z556" s="89">
        <f t="shared" si="387"/>
        <v>18</v>
      </c>
      <c r="AA556" s="17" t="str">
        <f>_xlfn.TEXTJOIN(", ",TRUE,ABS(MID(C556,{1,1,2},1)-MID(C556,{2,3,3},1)))</f>
        <v>9, 2, 7</v>
      </c>
      <c r="AB556" s="90">
        <v>0</v>
      </c>
      <c r="AC556" s="90">
        <v>1</v>
      </c>
      <c r="AD556" s="90">
        <v>2</v>
      </c>
      <c r="AE556" s="90">
        <v>3</v>
      </c>
      <c r="AF556" s="90">
        <v>4</v>
      </c>
      <c r="AG556" s="90">
        <v>5</v>
      </c>
      <c r="AH556" s="90">
        <v>6</v>
      </c>
      <c r="AI556" s="90">
        <v>7</v>
      </c>
      <c r="AJ556" s="90">
        <v>8</v>
      </c>
      <c r="AK556" s="90">
        <v>9</v>
      </c>
      <c r="AL556" s="91">
        <v>0</v>
      </c>
      <c r="AM556" s="91">
        <v>1</v>
      </c>
      <c r="AN556" s="91">
        <v>2</v>
      </c>
      <c r="AO556" s="91">
        <v>3</v>
      </c>
      <c r="AP556" s="91">
        <v>4</v>
      </c>
      <c r="AQ556" s="91">
        <v>5</v>
      </c>
      <c r="AR556" s="91">
        <v>6</v>
      </c>
      <c r="AS556" s="91">
        <v>7</v>
      </c>
      <c r="AT556" s="91">
        <v>8</v>
      </c>
      <c r="AU556" s="91">
        <v>9</v>
      </c>
      <c r="AV556" s="92">
        <v>0</v>
      </c>
      <c r="AW556" s="92">
        <v>1</v>
      </c>
      <c r="AX556" s="92">
        <v>2</v>
      </c>
      <c r="AY556" s="92">
        <v>3</v>
      </c>
      <c r="AZ556" s="92">
        <v>4</v>
      </c>
      <c r="BA556" s="92">
        <v>5</v>
      </c>
      <c r="BB556" s="92">
        <v>6</v>
      </c>
      <c r="BC556" s="92">
        <v>7</v>
      </c>
      <c r="BD556" s="92">
        <v>8</v>
      </c>
      <c r="BE556" s="92">
        <v>9</v>
      </c>
      <c r="BF556" s="93">
        <v>0</v>
      </c>
      <c r="BG556" s="93">
        <v>1</v>
      </c>
      <c r="BH556" s="93">
        <v>2</v>
      </c>
      <c r="BI556" s="93">
        <v>3</v>
      </c>
      <c r="BJ556" s="93">
        <v>4</v>
      </c>
      <c r="BK556" s="93">
        <v>5</v>
      </c>
      <c r="BL556" s="93">
        <v>6</v>
      </c>
      <c r="BM556" s="93">
        <v>7</v>
      </c>
      <c r="BN556" s="93">
        <v>8</v>
      </c>
      <c r="BO556" s="93">
        <v>9</v>
      </c>
      <c r="BP556" s="94" t="str">
        <f t="shared" si="388"/>
        <v>松散型</v>
      </c>
      <c r="BQ556" s="15">
        <f t="shared" si="385"/>
        <v>2</v>
      </c>
      <c r="BR556" s="15">
        <f t="shared" si="386"/>
        <v>9</v>
      </c>
      <c r="BS556" s="20" t="str">
        <f t="shared" si="390"/>
        <v/>
      </c>
      <c r="BT556" s="21" t="str">
        <f t="shared" si="391"/>
        <v/>
      </c>
      <c r="BU556" s="21" t="str">
        <f t="array" ref="BU556">_xlfn.TEXTJOIN("",TRUE,IF(ISERROR(FIND(ROW($1:$168)-1,BS556&amp;BT556)),ROW($1:$168)-1,""))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56" s="22" t="str">
        <f t="shared" si="392"/>
        <v>中中中</v>
      </c>
      <c r="BW556" s="23">
        <f t="shared" si="403"/>
        <v>2</v>
      </c>
      <c r="BX556" s="23">
        <f t="shared" si="401"/>
        <v>2</v>
      </c>
      <c r="BY556" s="23" t="str">
        <f t="array" ref="BY556">_xlfn.TEXTJOIN("",TRUE,IF(ISERROR(FIND(ROW($1:$168)-1,BW556&amp;BX556)),ROW($1:$168)-1,""))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56" s="22" t="str">
        <f t="shared" si="393"/>
        <v>复隔中</v>
      </c>
      <c r="CA556" s="24" t="str">
        <f t="shared" si="394"/>
        <v/>
      </c>
      <c r="CB556" s="24" t="str">
        <f t="shared" si="402"/>
        <v/>
      </c>
      <c r="CC556" s="24" t="str">
        <f t="array" ref="CC556">_xlfn.TEXTJOIN("",TRUE,IF(ISERROR(FIND(ROW($1:$168)-1,CA556&amp;CB556)),ROW($1:$168)-1,""))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56" s="22" t="str">
        <f t="shared" si="395"/>
        <v>中中中</v>
      </c>
      <c r="CE556" s="25" t="str">
        <f t="shared" si="389"/>
        <v>80</v>
      </c>
      <c r="CF556" s="26" t="str">
        <f t="array" ref="CF556">_xlfn.TEXTJOIN("",TRUE,IF(ISNUMBER(FIND(MID(CE555&amp;W555,ROW($1:$162),1),CE556&amp;W556)),MID(CE555&amp;W555,ROW($1:$162),1),""))</f>
        <v/>
      </c>
      <c r="CG556" s="27" t="str">
        <f t="array" ref="CG556">_xlfn.TEXTJOIN("",TRUE,IF(ISERROR(FIND(ROW($1:$168)-1,CE556&amp;CF556)),ROW($1:$168)-1,""))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H556" s="28" t="str">
        <f t="shared" si="396"/>
        <v>邻孤孤</v>
      </c>
      <c r="CI556" s="29" t="str">
        <f t="shared" si="397"/>
        <v>13</v>
      </c>
      <c r="CJ556" s="29" t="str">
        <f t="array" ref="CJ556">_xlfn.TEXTJOIN("",TRUE,IF(ISNUMBER(FIND(MID(CI555&amp;X555,ROW($1:$162),1),CI556&amp;X556)),MID(CI555&amp;X555,ROW($1:$162),1),""))</f>
        <v>132</v>
      </c>
      <c r="CK556" s="29" t="str">
        <f t="array" ref="CK556">_xlfn.TEXTJOIN("",TRUE,IF(ISERROR(FIND(ROW($1:$168)-1,CI556&amp;CJ556)),ROW($1:$168)-1,""))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556" s="19" t="str">
        <f t="shared" si="398"/>
        <v>邻传孤</v>
      </c>
      <c r="CM556" s="24" t="str">
        <f t="shared" si="399"/>
        <v>68</v>
      </c>
      <c r="CN556" s="24" t="str">
        <f t="array" ref="CN556">_xlfn.TEXTJOIN("",TRUE,IF(ISNUMBER(FIND(MID(CM555&amp;Y555,ROW($1:$162),1),CM556&amp;Y556)),MID(CM555&amp;Y555,ROW($1:$162),1),""))</f>
        <v>76</v>
      </c>
      <c r="CO556" s="24" t="str">
        <f t="array" ref="CO556">_xlfn.TEXTJOIN("",TRUE,IF(ISERROR(FIND(ROW($1:$168)-1,CM556&amp;CN556)),ROW($1:$168)-1,""))</f>
        <v>0123459101112131415161718192021222324252627282930313233343536373839404142434445464748495051525354555657585960616263646566676970717273747577787980818283848586888990919293949596979899100101102103104105106107108109110111112113114115116117118119120121122123124125126127128129130131132133134135136137138139140141142143144145146147148149150151152153154155156157158159160161162163164165166167</v>
      </c>
      <c r="CP556" s="30" t="str">
        <f t="shared" si="400"/>
        <v>邻传孤</v>
      </c>
    </row>
    <row r="557" spans="1:94">
      <c r="A557" s="15">
        <v>557</v>
      </c>
      <c r="B557" s="80">
        <v>2025174</v>
      </c>
      <c r="C557" s="8" t="s">
        <v>448</v>
      </c>
      <c r="D557" s="81">
        <f t="shared" si="380"/>
        <v>11</v>
      </c>
      <c r="E557" s="82">
        <f t="shared" si="381"/>
        <v>1</v>
      </c>
      <c r="F557" s="83">
        <f t="shared" si="373"/>
        <v>5.5</v>
      </c>
      <c r="G557" s="84" t="str">
        <f t="shared" si="374"/>
        <v>紧凑</v>
      </c>
      <c r="H557" s="85" t="s">
        <v>10</v>
      </c>
      <c r="I557" s="85" t="s">
        <v>11</v>
      </c>
      <c r="J557" s="85" t="s">
        <v>12</v>
      </c>
      <c r="K557" s="85" t="s">
        <v>13</v>
      </c>
      <c r="L557" s="86">
        <f>MAX(MID(C557,{1,2,3},1)*1)-MIN(MID(C557,{1,2,3},1)*1)</f>
        <v>2</v>
      </c>
      <c r="M557" s="87">
        <v>0</v>
      </c>
      <c r="N557" s="87">
        <v>1</v>
      </c>
      <c r="O557" s="87">
        <v>2</v>
      </c>
      <c r="P557" s="87">
        <v>3</v>
      </c>
      <c r="Q557" s="87">
        <v>4</v>
      </c>
      <c r="R557" s="87">
        <v>5</v>
      </c>
      <c r="S557" s="87">
        <v>6</v>
      </c>
      <c r="T557" s="87">
        <v>7</v>
      </c>
      <c r="U557" s="87">
        <v>8</v>
      </c>
      <c r="V557" s="87">
        <v>9</v>
      </c>
      <c r="W557" s="88">
        <f t="shared" si="382"/>
        <v>2</v>
      </c>
      <c r="X557" s="88">
        <f t="shared" si="383"/>
        <v>2</v>
      </c>
      <c r="Y557" s="88">
        <f t="shared" si="384"/>
        <v>0</v>
      </c>
      <c r="Z557" s="89">
        <f t="shared" si="387"/>
        <v>4</v>
      </c>
      <c r="AA557" s="17" t="str">
        <f>_xlfn.TEXTJOIN(", ",TRUE,ABS(MID(C557,{1,1,2},1)-MID(C557,{2,3,3},1)))</f>
        <v>2, 2, 0</v>
      </c>
      <c r="AB557" s="90">
        <v>0</v>
      </c>
      <c r="AC557" s="90">
        <v>1</v>
      </c>
      <c r="AD557" s="90">
        <v>2</v>
      </c>
      <c r="AE557" s="90">
        <v>3</v>
      </c>
      <c r="AF557" s="90">
        <v>4</v>
      </c>
      <c r="AG557" s="90">
        <v>5</v>
      </c>
      <c r="AH557" s="90">
        <v>6</v>
      </c>
      <c r="AI557" s="90">
        <v>7</v>
      </c>
      <c r="AJ557" s="90">
        <v>8</v>
      </c>
      <c r="AK557" s="90">
        <v>9</v>
      </c>
      <c r="AL557" s="91">
        <v>0</v>
      </c>
      <c r="AM557" s="91">
        <v>1</v>
      </c>
      <c r="AN557" s="91">
        <v>2</v>
      </c>
      <c r="AO557" s="91">
        <v>3</v>
      </c>
      <c r="AP557" s="91">
        <v>4</v>
      </c>
      <c r="AQ557" s="91">
        <v>5</v>
      </c>
      <c r="AR557" s="91">
        <v>6</v>
      </c>
      <c r="AS557" s="91">
        <v>7</v>
      </c>
      <c r="AT557" s="91">
        <v>8</v>
      </c>
      <c r="AU557" s="91">
        <v>9</v>
      </c>
      <c r="AV557" s="92">
        <v>0</v>
      </c>
      <c r="AW557" s="92">
        <v>1</v>
      </c>
      <c r="AX557" s="92">
        <v>2</v>
      </c>
      <c r="AY557" s="92">
        <v>3</v>
      </c>
      <c r="AZ557" s="92">
        <v>4</v>
      </c>
      <c r="BA557" s="92">
        <v>5</v>
      </c>
      <c r="BB557" s="92">
        <v>6</v>
      </c>
      <c r="BC557" s="92">
        <v>7</v>
      </c>
      <c r="BD557" s="92">
        <v>8</v>
      </c>
      <c r="BE557" s="92">
        <v>9</v>
      </c>
      <c r="BF557" s="93">
        <v>0</v>
      </c>
      <c r="BG557" s="93">
        <v>1</v>
      </c>
      <c r="BH557" s="93">
        <v>2</v>
      </c>
      <c r="BI557" s="93">
        <v>3</v>
      </c>
      <c r="BJ557" s="93">
        <v>4</v>
      </c>
      <c r="BK557" s="93">
        <v>5</v>
      </c>
      <c r="BL557" s="93">
        <v>6</v>
      </c>
      <c r="BM557" s="93">
        <v>7</v>
      </c>
      <c r="BN557" s="93">
        <v>8</v>
      </c>
      <c r="BO557" s="93">
        <v>9</v>
      </c>
      <c r="BP557" s="94" t="str">
        <f t="shared" si="388"/>
        <v>紧凑型</v>
      </c>
      <c r="BQ557" s="15">
        <f t="shared" si="385"/>
        <v>0</v>
      </c>
      <c r="BR557" s="15">
        <f t="shared" si="386"/>
        <v>2</v>
      </c>
      <c r="BS557" s="20">
        <f t="shared" si="390"/>
        <v>2</v>
      </c>
      <c r="BT557" s="21">
        <f t="shared" si="391"/>
        <v>2</v>
      </c>
      <c r="BU557" s="21" t="str">
        <f t="array" ref="BU557">_xlfn.TEXTJOIN("",TRUE,IF(ISERROR(FIND(ROW($1:$168)-1,BS557&amp;BT557)),ROW($1:$168)-1,""))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57" s="22" t="str">
        <f t="shared" si="392"/>
        <v>复隔中</v>
      </c>
      <c r="BW557" s="23">
        <f t="shared" si="403"/>
        <v>2</v>
      </c>
      <c r="BX557" s="23">
        <f t="shared" si="401"/>
        <v>2</v>
      </c>
      <c r="BY557" s="23" t="str">
        <f t="array" ref="BY557">_xlfn.TEXTJOIN("",TRUE,IF(ISERROR(FIND(ROW($1:$168)-1,BW557&amp;BX557)),ROW($1:$168)-1,""))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57" s="22" t="str">
        <f t="shared" si="393"/>
        <v>复隔中</v>
      </c>
      <c r="CA557" s="24" t="str">
        <f t="shared" si="394"/>
        <v/>
      </c>
      <c r="CB557" s="24" t="str">
        <f t="shared" si="402"/>
        <v/>
      </c>
      <c r="CC557" s="24" t="str">
        <f t="array" ref="CC557">_xlfn.TEXTJOIN("",TRUE,IF(ISERROR(FIND(ROW($1:$168)-1,CA557&amp;CB557)),ROW($1:$168)-1,""))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57" s="22" t="str">
        <f t="shared" si="395"/>
        <v>中中中</v>
      </c>
      <c r="CE557" s="25" t="str">
        <f t="shared" si="389"/>
        <v>13</v>
      </c>
      <c r="CF557" s="26" t="str">
        <f t="array" ref="CF557">_xlfn.TEXTJOIN("",TRUE,IF(ISNUMBER(FIND(MID(CE556&amp;W556,ROW($1:$162),1),CE557&amp;W557)),MID(CE556&amp;W556,ROW($1:$162),1),""))</f>
        <v/>
      </c>
      <c r="CG557" s="27" t="str">
        <f t="array" ref="CG557">_xlfn.TEXTJOIN("",TRUE,IF(ISERROR(FIND(ROW($1:$168)-1,CE557&amp;CF557)),ROW($1:$168)-1,""))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57" s="28" t="str">
        <f t="shared" si="396"/>
        <v>邻孤孤</v>
      </c>
      <c r="CI557" s="29" t="str">
        <f t="shared" si="397"/>
        <v>13</v>
      </c>
      <c r="CJ557" s="29" t="str">
        <f t="array" ref="CJ557">_xlfn.TEXTJOIN("",TRUE,IF(ISNUMBER(FIND(MID(CI556&amp;X556,ROW($1:$162),1),CI557&amp;X557)),MID(CI556&amp;X556,ROW($1:$162),1),""))</f>
        <v>132</v>
      </c>
      <c r="CK557" s="29" t="str">
        <f t="array" ref="CK557">_xlfn.TEXTJOIN("",TRUE,IF(ISERROR(FIND(ROW($1:$168)-1,CI557&amp;CJ557)),ROW($1:$168)-1,""))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557" s="19" t="str">
        <f t="shared" si="398"/>
        <v>邻传孤</v>
      </c>
      <c r="CM557" s="24" t="str">
        <f t="shared" si="399"/>
        <v>91</v>
      </c>
      <c r="CN557" s="24" t="str">
        <f t="array" ref="CN557">_xlfn.TEXTJOIN("",TRUE,IF(ISNUMBER(FIND(MID(CM556&amp;Y556,ROW($1:$162),1),CM557&amp;Y557)),MID(CM556&amp;Y556,ROW($1:$162),1),""))</f>
        <v/>
      </c>
      <c r="CO557" s="24" t="str">
        <f t="array" ref="CO557">_xlfn.TEXTJOIN("",TRUE,IF(ISERROR(FIND(ROW($1:$168)-1,CM557&amp;CN557)),ROW($1:$168)-1,""))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557" s="30" t="str">
        <f t="shared" si="400"/>
        <v>邻孤孤</v>
      </c>
    </row>
    <row r="558" spans="1:94">
      <c r="A558" s="15">
        <v>558</v>
      </c>
      <c r="B558" s="80">
        <v>2025175</v>
      </c>
      <c r="C558" s="8" t="s">
        <v>449</v>
      </c>
      <c r="D558" s="81">
        <f t="shared" si="380"/>
        <v>13</v>
      </c>
      <c r="E558" s="82">
        <f t="shared" si="381"/>
        <v>3</v>
      </c>
      <c r="F558" s="83">
        <f t="shared" si="373"/>
        <v>2.6</v>
      </c>
      <c r="G558" s="84" t="str">
        <f t="shared" si="374"/>
        <v>标准</v>
      </c>
      <c r="H558" s="85" t="s">
        <v>10</v>
      </c>
      <c r="I558" s="85" t="s">
        <v>11</v>
      </c>
      <c r="J558" s="85" t="s">
        <v>12</v>
      </c>
      <c r="K558" s="85" t="s">
        <v>13</v>
      </c>
      <c r="L558" s="86">
        <f>MAX(MID(C558,{1,2,3},1)*1)-MIN(MID(C558,{1,2,3},1)*1)</f>
        <v>5</v>
      </c>
      <c r="M558" s="87">
        <v>0</v>
      </c>
      <c r="N558" s="87">
        <v>1</v>
      </c>
      <c r="O558" s="87">
        <v>2</v>
      </c>
      <c r="P558" s="87">
        <v>3</v>
      </c>
      <c r="Q558" s="87">
        <v>4</v>
      </c>
      <c r="R558" s="87">
        <v>5</v>
      </c>
      <c r="S558" s="87">
        <v>6</v>
      </c>
      <c r="T558" s="87">
        <v>7</v>
      </c>
      <c r="U558" s="87">
        <v>8</v>
      </c>
      <c r="V558" s="87">
        <v>9</v>
      </c>
      <c r="W558" s="88">
        <f t="shared" si="382"/>
        <v>5</v>
      </c>
      <c r="X558" s="88">
        <f t="shared" si="383"/>
        <v>0</v>
      </c>
      <c r="Y558" s="88">
        <f t="shared" si="384"/>
        <v>5</v>
      </c>
      <c r="Z558" s="89">
        <f t="shared" si="387"/>
        <v>10</v>
      </c>
      <c r="AA558" s="17" t="str">
        <f>_xlfn.TEXTJOIN(", ",TRUE,ABS(MID(C558,{1,1,2},1)-MID(C558,{2,3,3},1)))</f>
        <v>5, 0, 5</v>
      </c>
      <c r="AB558" s="90">
        <v>0</v>
      </c>
      <c r="AC558" s="90">
        <v>1</v>
      </c>
      <c r="AD558" s="90">
        <v>2</v>
      </c>
      <c r="AE558" s="90">
        <v>3</v>
      </c>
      <c r="AF558" s="90">
        <v>4</v>
      </c>
      <c r="AG558" s="90">
        <v>5</v>
      </c>
      <c r="AH558" s="90">
        <v>6</v>
      </c>
      <c r="AI558" s="90">
        <v>7</v>
      </c>
      <c r="AJ558" s="90">
        <v>8</v>
      </c>
      <c r="AK558" s="90">
        <v>9</v>
      </c>
      <c r="AL558" s="91">
        <v>0</v>
      </c>
      <c r="AM558" s="91">
        <v>1</v>
      </c>
      <c r="AN558" s="91">
        <v>2</v>
      </c>
      <c r="AO558" s="91">
        <v>3</v>
      </c>
      <c r="AP558" s="91">
        <v>4</v>
      </c>
      <c r="AQ558" s="91">
        <v>5</v>
      </c>
      <c r="AR558" s="91">
        <v>6</v>
      </c>
      <c r="AS558" s="91">
        <v>7</v>
      </c>
      <c r="AT558" s="91">
        <v>8</v>
      </c>
      <c r="AU558" s="91">
        <v>9</v>
      </c>
      <c r="AV558" s="92">
        <v>0</v>
      </c>
      <c r="AW558" s="92">
        <v>1</v>
      </c>
      <c r="AX558" s="92">
        <v>2</v>
      </c>
      <c r="AY558" s="92">
        <v>3</v>
      </c>
      <c r="AZ558" s="92">
        <v>4</v>
      </c>
      <c r="BA558" s="92">
        <v>5</v>
      </c>
      <c r="BB558" s="92">
        <v>6</v>
      </c>
      <c r="BC558" s="92">
        <v>7</v>
      </c>
      <c r="BD558" s="92">
        <v>8</v>
      </c>
      <c r="BE558" s="92">
        <v>9</v>
      </c>
      <c r="BF558" s="93">
        <v>0</v>
      </c>
      <c r="BG558" s="93">
        <v>1</v>
      </c>
      <c r="BH558" s="93">
        <v>2</v>
      </c>
      <c r="BI558" s="93">
        <v>3</v>
      </c>
      <c r="BJ558" s="93">
        <v>4</v>
      </c>
      <c r="BK558" s="93">
        <v>5</v>
      </c>
      <c r="BL558" s="93">
        <v>6</v>
      </c>
      <c r="BM558" s="93">
        <v>7</v>
      </c>
      <c r="BN558" s="93">
        <v>8</v>
      </c>
      <c r="BO558" s="93">
        <v>9</v>
      </c>
      <c r="BP558" s="94" t="str">
        <f t="shared" si="388"/>
        <v>对子</v>
      </c>
      <c r="BQ558" s="15">
        <f t="shared" si="385"/>
        <v>0</v>
      </c>
      <c r="BR558" s="15">
        <f t="shared" si="386"/>
        <v>5</v>
      </c>
      <c r="BS558" s="20" t="str">
        <f t="shared" si="390"/>
        <v/>
      </c>
      <c r="BT558" s="21" t="str">
        <f t="shared" si="391"/>
        <v/>
      </c>
      <c r="BU558" s="21" t="str">
        <f t="array" ref="BU558">_xlfn.TEXTJOIN("",TRUE,IF(ISERROR(FIND(ROW($1:$168)-1,BS558&amp;BT558)),ROW($1:$168)-1,""))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58" s="22" t="str">
        <f t="shared" si="392"/>
        <v>中中中</v>
      </c>
      <c r="BW558" s="23">
        <f t="shared" si="403"/>
        <v>0</v>
      </c>
      <c r="BX558" s="23" t="str">
        <f t="shared" si="401"/>
        <v/>
      </c>
      <c r="BY558" s="23" t="str">
        <f t="array" ref="BY558">_xlfn.TEXTJOIN("",TRUE,IF(ISERROR(FIND(ROW($1:$168)-1,BW558&amp;BX558)),ROW($1:$168)-1,""))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58" s="22" t="str">
        <f t="shared" si="393"/>
        <v>复中中</v>
      </c>
      <c r="CA558" s="24" t="str">
        <f t="shared" si="394"/>
        <v/>
      </c>
      <c r="CB558" s="24" t="str">
        <f t="shared" si="402"/>
        <v/>
      </c>
      <c r="CC558" s="24" t="str">
        <f t="array" ref="CC558">_xlfn.TEXTJOIN("",TRUE,IF(ISERROR(FIND(ROW($1:$168)-1,CA558&amp;CB558)),ROW($1:$168)-1,""))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58" s="22" t="str">
        <f t="shared" si="395"/>
        <v>中中中</v>
      </c>
      <c r="CE558" s="25" t="str">
        <f t="shared" si="389"/>
        <v>46</v>
      </c>
      <c r="CF558" s="26" t="str">
        <f t="array" ref="CF558">_xlfn.TEXTJOIN("",TRUE,IF(ISNUMBER(FIND(MID(CE557&amp;W557,ROW($1:$162),1),CE558&amp;W558)),MID(CE557&amp;W557,ROW($1:$162),1),""))</f>
        <v/>
      </c>
      <c r="CG558" s="27" t="str">
        <f t="array" ref="CG558">_xlfn.TEXTJOIN("",TRUE,IF(ISERROR(FIND(ROW($1:$168)-1,CE558&amp;CF558)),ROW($1:$168)-1,""))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58" s="28" t="str">
        <f t="shared" si="396"/>
        <v>邻孤孤</v>
      </c>
      <c r="CI558" s="29" t="str">
        <f t="shared" si="397"/>
        <v>91</v>
      </c>
      <c r="CJ558" s="29" t="str">
        <f t="array" ref="CJ558">_xlfn.TEXTJOIN("",TRUE,IF(ISNUMBER(FIND(MID(CI557&amp;X557,ROW($1:$162),1),CI558&amp;X558)),MID(CI557&amp;X557,ROW($1:$162),1),""))</f>
        <v>1</v>
      </c>
      <c r="CK558" s="29" t="str">
        <f t="array" ref="CK558">_xlfn.TEXTJOIN("",TRUE,IF(ISERROR(FIND(ROW($1:$168)-1,CI558&amp;CJ558)),ROW($1:$168)-1,""))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558" s="19" t="str">
        <f t="shared" si="398"/>
        <v>邻传孤</v>
      </c>
      <c r="CM558" s="24" t="str">
        <f t="shared" si="399"/>
        <v>46</v>
      </c>
      <c r="CN558" s="24" t="str">
        <f t="array" ref="CN558">_xlfn.TEXTJOIN("",TRUE,IF(ISNUMBER(FIND(MID(CM557&amp;Y557,ROW($1:$162),1),CM558&amp;Y558)),MID(CM557&amp;Y557,ROW($1:$162),1),""))</f>
        <v/>
      </c>
      <c r="CO558" s="24" t="str">
        <f t="array" ref="CO558">_xlfn.TEXTJOIN("",TRUE,IF(ISERROR(FIND(ROW($1:$168)-1,CM558&amp;CN558)),ROW($1:$168)-1,""))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58" s="30" t="str">
        <f t="shared" si="400"/>
        <v>邻孤孤</v>
      </c>
    </row>
    <row r="559" spans="1:94">
      <c r="A559" s="15">
        <v>559</v>
      </c>
      <c r="B559" s="80">
        <v>2025176</v>
      </c>
      <c r="C559" s="8" t="s">
        <v>450</v>
      </c>
      <c r="D559" s="81">
        <f t="shared" si="380"/>
        <v>5</v>
      </c>
      <c r="E559" s="82">
        <f t="shared" si="381"/>
        <v>5</v>
      </c>
      <c r="F559" s="83">
        <f t="shared" si="373"/>
        <v>5</v>
      </c>
      <c r="G559" s="84" t="str">
        <f t="shared" si="374"/>
        <v>紧凑</v>
      </c>
      <c r="H559" s="85" t="s">
        <v>10</v>
      </c>
      <c r="I559" s="85" t="s">
        <v>11</v>
      </c>
      <c r="J559" s="85" t="s">
        <v>12</v>
      </c>
      <c r="K559" s="85" t="s">
        <v>13</v>
      </c>
      <c r="L559" s="86">
        <f>MAX(MID(C559,{1,2,3},1)*1)-MIN(MID(C559,{1,2,3},1)*1)</f>
        <v>1</v>
      </c>
      <c r="M559" s="87">
        <v>0</v>
      </c>
      <c r="N559" s="87">
        <v>1</v>
      </c>
      <c r="O559" s="87">
        <v>2</v>
      </c>
      <c r="P559" s="87">
        <v>3</v>
      </c>
      <c r="Q559" s="87">
        <v>4</v>
      </c>
      <c r="R559" s="87">
        <v>5</v>
      </c>
      <c r="S559" s="87">
        <v>6</v>
      </c>
      <c r="T559" s="87">
        <v>7</v>
      </c>
      <c r="U559" s="87">
        <v>8</v>
      </c>
      <c r="V559" s="87">
        <v>9</v>
      </c>
      <c r="W559" s="88">
        <f t="shared" si="382"/>
        <v>1</v>
      </c>
      <c r="X559" s="88">
        <f t="shared" si="383"/>
        <v>1</v>
      </c>
      <c r="Y559" s="88">
        <f t="shared" si="384"/>
        <v>0</v>
      </c>
      <c r="Z559" s="89">
        <f t="shared" si="387"/>
        <v>2</v>
      </c>
      <c r="AA559" s="17" t="str">
        <f>_xlfn.TEXTJOIN(", ",TRUE,ABS(MID(C559,{1,1,2},1)-MID(C559,{2,3,3},1)))</f>
        <v>1, 1, 0</v>
      </c>
      <c r="AB559" s="90">
        <v>0</v>
      </c>
      <c r="AC559" s="90">
        <v>1</v>
      </c>
      <c r="AD559" s="90">
        <v>2</v>
      </c>
      <c r="AE559" s="90">
        <v>3</v>
      </c>
      <c r="AF559" s="90">
        <v>4</v>
      </c>
      <c r="AG559" s="90">
        <v>5</v>
      </c>
      <c r="AH559" s="90">
        <v>6</v>
      </c>
      <c r="AI559" s="90">
        <v>7</v>
      </c>
      <c r="AJ559" s="90">
        <v>8</v>
      </c>
      <c r="AK559" s="90">
        <v>9</v>
      </c>
      <c r="AL559" s="91">
        <v>0</v>
      </c>
      <c r="AM559" s="91">
        <v>1</v>
      </c>
      <c r="AN559" s="91">
        <v>2</v>
      </c>
      <c r="AO559" s="91">
        <v>3</v>
      </c>
      <c r="AP559" s="91">
        <v>4</v>
      </c>
      <c r="AQ559" s="91">
        <v>5</v>
      </c>
      <c r="AR559" s="91">
        <v>6</v>
      </c>
      <c r="AS559" s="91">
        <v>7</v>
      </c>
      <c r="AT559" s="91">
        <v>8</v>
      </c>
      <c r="AU559" s="91">
        <v>9</v>
      </c>
      <c r="AV559" s="92">
        <v>0</v>
      </c>
      <c r="AW559" s="92">
        <v>1</v>
      </c>
      <c r="AX559" s="92">
        <v>2</v>
      </c>
      <c r="AY559" s="92">
        <v>3</v>
      </c>
      <c r="AZ559" s="92">
        <v>4</v>
      </c>
      <c r="BA559" s="92">
        <v>5</v>
      </c>
      <c r="BB559" s="92">
        <v>6</v>
      </c>
      <c r="BC559" s="92">
        <v>7</v>
      </c>
      <c r="BD559" s="92">
        <v>8</v>
      </c>
      <c r="BE559" s="92">
        <v>9</v>
      </c>
      <c r="BF559" s="93">
        <v>0</v>
      </c>
      <c r="BG559" s="93">
        <v>1</v>
      </c>
      <c r="BH559" s="93">
        <v>2</v>
      </c>
      <c r="BI559" s="93">
        <v>3</v>
      </c>
      <c r="BJ559" s="93">
        <v>4</v>
      </c>
      <c r="BK559" s="93">
        <v>5</v>
      </c>
      <c r="BL559" s="93">
        <v>6</v>
      </c>
      <c r="BM559" s="93">
        <v>7</v>
      </c>
      <c r="BN559" s="93">
        <v>8</v>
      </c>
      <c r="BO559" s="93">
        <v>9</v>
      </c>
      <c r="BP559" s="94" t="str">
        <f t="shared" si="388"/>
        <v>紧凑型</v>
      </c>
      <c r="BQ559" s="15">
        <f t="shared" si="385"/>
        <v>0</v>
      </c>
      <c r="BR559" s="15">
        <f t="shared" si="386"/>
        <v>1</v>
      </c>
      <c r="BS559" s="20" t="str">
        <f t="shared" si="390"/>
        <v/>
      </c>
      <c r="BT559" s="21" t="str">
        <f t="shared" si="391"/>
        <v/>
      </c>
      <c r="BU559" s="21" t="str">
        <f t="array" ref="BU559">_xlfn.TEXTJOIN("",TRUE,IF(ISERROR(FIND(ROW($1:$168)-1,BS559&amp;BT559)),ROW($1:$168)-1,""))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59" s="22" t="str">
        <f t="shared" si="392"/>
        <v>中中中</v>
      </c>
      <c r="BW559" s="23" t="str">
        <f t="shared" si="403"/>
        <v/>
      </c>
      <c r="BX559" s="23" t="str">
        <f t="shared" si="401"/>
        <v/>
      </c>
      <c r="BY559" s="23" t="str">
        <f t="array" ref="BY559">_xlfn.TEXTJOIN("",TRUE,IF(ISERROR(FIND(ROW($1:$168)-1,BW559&amp;BX559)),ROW($1:$168)-1,""))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59" s="22" t="str">
        <f t="shared" si="393"/>
        <v>中中中</v>
      </c>
      <c r="CA559" s="24">
        <f t="shared" si="394"/>
        <v>0</v>
      </c>
      <c r="CB559" s="24">
        <f t="shared" si="402"/>
        <v>0</v>
      </c>
      <c r="CC559" s="24" t="str">
        <f t="array" ref="CC559">_xlfn.TEXTJOIN("",TRUE,IF(ISERROR(FIND(ROW($1:$168)-1,CA559&amp;CB559)),ROW($1:$168)-1,""))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59" s="22" t="str">
        <f t="shared" si="395"/>
        <v>复隔中</v>
      </c>
      <c r="CE559" s="25" t="str">
        <f t="shared" si="389"/>
        <v>02</v>
      </c>
      <c r="CF559" s="26" t="str">
        <f t="array" ref="CF559">_xlfn.TEXTJOIN("",TRUE,IF(ISNUMBER(FIND(MID(CE558&amp;W558,ROW($1:$162),1),CE559&amp;W559)),MID(CE558&amp;W558,ROW($1:$162),1),""))</f>
        <v/>
      </c>
      <c r="CG559" s="27" t="str">
        <f t="array" ref="CG559">_xlfn.TEXTJOIN("",TRUE,IF(ISERROR(FIND(ROW($1:$168)-1,CE559&amp;CF559)),ROW($1:$168)-1,""))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59" s="28" t="str">
        <f t="shared" si="396"/>
        <v>邻孤孤</v>
      </c>
      <c r="CI559" s="29" t="str">
        <f t="shared" si="397"/>
        <v>02</v>
      </c>
      <c r="CJ559" s="29" t="str">
        <f t="array" ref="CJ559">_xlfn.TEXTJOIN("",TRUE,IF(ISNUMBER(FIND(MID(CI558&amp;X558,ROW($1:$162),1),CI559&amp;X559)),MID(CI558&amp;X558,ROW($1:$162),1),""))</f>
        <v>10</v>
      </c>
      <c r="CK559" s="29" t="str">
        <f t="array" ref="CK559">_xlfn.TEXTJOIN("",TRUE,IF(ISERROR(FIND(ROW($1:$168)-1,CI559&amp;CJ559)),ROW($1:$168)-1,""))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59" s="19" t="str">
        <f t="shared" si="398"/>
        <v>邻传孤</v>
      </c>
      <c r="CM559" s="24" t="str">
        <f t="shared" si="399"/>
        <v>91</v>
      </c>
      <c r="CN559" s="24" t="str">
        <f t="array" ref="CN559">_xlfn.TEXTJOIN("",TRUE,IF(ISNUMBER(FIND(MID(CM558&amp;Y558,ROW($1:$162),1),CM559&amp;Y559)),MID(CM558&amp;Y558,ROW($1:$162),1),""))</f>
        <v/>
      </c>
      <c r="CO559" s="24" t="str">
        <f t="array" ref="CO559">_xlfn.TEXTJOIN("",TRUE,IF(ISERROR(FIND(ROW($1:$168)-1,CM559&amp;CN559)),ROW($1:$168)-1,""))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559" s="30" t="str">
        <f t="shared" si="400"/>
        <v>邻孤孤</v>
      </c>
    </row>
    <row r="560" spans="1:94">
      <c r="A560" s="15">
        <v>560</v>
      </c>
      <c r="B560" s="80">
        <v>2025177</v>
      </c>
      <c r="C560" s="8" t="s">
        <v>260</v>
      </c>
      <c r="D560" s="81">
        <f t="shared" si="380"/>
        <v>20</v>
      </c>
      <c r="E560" s="82">
        <f t="shared" si="381"/>
        <v>0</v>
      </c>
      <c r="F560" s="83">
        <f t="shared" si="373"/>
        <v>4</v>
      </c>
      <c r="G560" s="84" t="str">
        <f t="shared" si="374"/>
        <v>紧凑</v>
      </c>
      <c r="H560" s="85" t="s">
        <v>10</v>
      </c>
      <c r="I560" s="85" t="s">
        <v>11</v>
      </c>
      <c r="J560" s="85" t="s">
        <v>12</v>
      </c>
      <c r="K560" s="85" t="s">
        <v>13</v>
      </c>
      <c r="L560" s="86">
        <f>MAX(MID(C560,{1,2,3},1)*1)-MIN(MID(C560,{1,2,3},1)*1)</f>
        <v>5</v>
      </c>
      <c r="M560" s="87">
        <v>0</v>
      </c>
      <c r="N560" s="87">
        <v>1</v>
      </c>
      <c r="O560" s="87">
        <v>2</v>
      </c>
      <c r="P560" s="87">
        <v>3</v>
      </c>
      <c r="Q560" s="87">
        <v>4</v>
      </c>
      <c r="R560" s="87">
        <v>5</v>
      </c>
      <c r="S560" s="87">
        <v>6</v>
      </c>
      <c r="T560" s="87">
        <v>7</v>
      </c>
      <c r="U560" s="87">
        <v>8</v>
      </c>
      <c r="V560" s="87">
        <v>9</v>
      </c>
      <c r="W560" s="88">
        <f t="shared" si="382"/>
        <v>5</v>
      </c>
      <c r="X560" s="88">
        <f t="shared" si="383"/>
        <v>3</v>
      </c>
      <c r="Y560" s="88">
        <f t="shared" si="384"/>
        <v>2</v>
      </c>
      <c r="Z560" s="89">
        <f t="shared" si="387"/>
        <v>10</v>
      </c>
      <c r="AA560" s="17" t="str">
        <f>_xlfn.TEXTJOIN(", ",TRUE,ABS(MID(C560,{1,1,2},1)-MID(C560,{2,3,3},1)))</f>
        <v>5, 3, 2</v>
      </c>
      <c r="AB560" s="90">
        <v>0</v>
      </c>
      <c r="AC560" s="90">
        <v>1</v>
      </c>
      <c r="AD560" s="90">
        <v>2</v>
      </c>
      <c r="AE560" s="90">
        <v>3</v>
      </c>
      <c r="AF560" s="90">
        <v>4</v>
      </c>
      <c r="AG560" s="90">
        <v>5</v>
      </c>
      <c r="AH560" s="90">
        <v>6</v>
      </c>
      <c r="AI560" s="90">
        <v>7</v>
      </c>
      <c r="AJ560" s="90">
        <v>8</v>
      </c>
      <c r="AK560" s="90">
        <v>9</v>
      </c>
      <c r="AL560" s="91">
        <v>0</v>
      </c>
      <c r="AM560" s="91">
        <v>1</v>
      </c>
      <c r="AN560" s="91">
        <v>2</v>
      </c>
      <c r="AO560" s="91">
        <v>3</v>
      </c>
      <c r="AP560" s="91">
        <v>4</v>
      </c>
      <c r="AQ560" s="91">
        <v>5</v>
      </c>
      <c r="AR560" s="91">
        <v>6</v>
      </c>
      <c r="AS560" s="91">
        <v>7</v>
      </c>
      <c r="AT560" s="91">
        <v>8</v>
      </c>
      <c r="AU560" s="91">
        <v>9</v>
      </c>
      <c r="AV560" s="92">
        <v>0</v>
      </c>
      <c r="AW560" s="92">
        <v>1</v>
      </c>
      <c r="AX560" s="92">
        <v>2</v>
      </c>
      <c r="AY560" s="92">
        <v>3</v>
      </c>
      <c r="AZ560" s="92">
        <v>4</v>
      </c>
      <c r="BA560" s="92">
        <v>5</v>
      </c>
      <c r="BB560" s="92">
        <v>6</v>
      </c>
      <c r="BC560" s="92">
        <v>7</v>
      </c>
      <c r="BD560" s="92">
        <v>8</v>
      </c>
      <c r="BE560" s="92">
        <v>9</v>
      </c>
      <c r="BF560" s="93">
        <v>0</v>
      </c>
      <c r="BG560" s="93">
        <v>1</v>
      </c>
      <c r="BH560" s="93">
        <v>2</v>
      </c>
      <c r="BI560" s="93">
        <v>3</v>
      </c>
      <c r="BJ560" s="93">
        <v>4</v>
      </c>
      <c r="BK560" s="93">
        <v>5</v>
      </c>
      <c r="BL560" s="93">
        <v>6</v>
      </c>
      <c r="BM560" s="93">
        <v>7</v>
      </c>
      <c r="BN560" s="93">
        <v>8</v>
      </c>
      <c r="BO560" s="93">
        <v>9</v>
      </c>
      <c r="BP560" s="94" t="str">
        <f t="shared" si="388"/>
        <v>标准型</v>
      </c>
      <c r="BQ560" s="15">
        <f t="shared" si="385"/>
        <v>2</v>
      </c>
      <c r="BR560" s="15">
        <f t="shared" si="386"/>
        <v>5</v>
      </c>
      <c r="BS560" s="20" t="str">
        <f t="shared" si="390"/>
        <v/>
      </c>
      <c r="BT560" s="21">
        <f t="shared" si="391"/>
        <v>5</v>
      </c>
      <c r="BU560" s="21" t="str">
        <f t="array" ref="BU560">_xlfn.TEXTJOIN("",TRUE,IF(ISERROR(FIND(ROW($1:$168)-1,BS560&amp;BT560)),ROW($1:$168)-1,""))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60" s="22" t="str">
        <f t="shared" si="392"/>
        <v>中隔中</v>
      </c>
      <c r="BW560" s="23" t="str">
        <f t="shared" si="403"/>
        <v/>
      </c>
      <c r="BX560" s="23" t="str">
        <f t="shared" si="401"/>
        <v/>
      </c>
      <c r="BY560" s="23" t="str">
        <f t="array" ref="BY560">_xlfn.TEXTJOIN("",TRUE,IF(ISERROR(FIND(ROW($1:$168)-1,BW560&amp;BX560)),ROW($1:$168)-1,""))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60" s="22" t="str">
        <f t="shared" si="393"/>
        <v>中中中</v>
      </c>
      <c r="CA560" s="24" t="str">
        <f t="shared" si="394"/>
        <v/>
      </c>
      <c r="CB560" s="24" t="str">
        <f t="shared" si="402"/>
        <v/>
      </c>
      <c r="CC560" s="24" t="str">
        <f t="array" ref="CC560">_xlfn.TEXTJOIN("",TRUE,IF(ISERROR(FIND(ROW($1:$168)-1,CA560&amp;CB560)),ROW($1:$168)-1,""))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60" s="22" t="str">
        <f t="shared" si="395"/>
        <v>中中中</v>
      </c>
      <c r="CE560" s="25" t="str">
        <f t="shared" si="389"/>
        <v>46</v>
      </c>
      <c r="CF560" s="26" t="str">
        <f t="array" ref="CF560">_xlfn.TEXTJOIN("",TRUE,IF(ISNUMBER(FIND(MID(CE559&amp;W559,ROW($1:$162),1),CE560&amp;W560)),MID(CE559&amp;W559,ROW($1:$162),1),""))</f>
        <v/>
      </c>
      <c r="CG560" s="27" t="str">
        <f t="array" ref="CG560">_xlfn.TEXTJOIN("",TRUE,IF(ISERROR(FIND(ROW($1:$168)-1,CE560&amp;CF560)),ROW($1:$168)-1,""))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60" s="28" t="str">
        <f t="shared" si="396"/>
        <v>邻孤孤</v>
      </c>
      <c r="CI560" s="29" t="str">
        <f t="shared" si="397"/>
        <v>24</v>
      </c>
      <c r="CJ560" s="29" t="str">
        <f t="array" ref="CJ560">_xlfn.TEXTJOIN("",TRUE,IF(ISNUMBER(FIND(MID(CI559&amp;X559,ROW($1:$162),1),CI560&amp;X560)),MID(CI559&amp;X559,ROW($1:$162),1),""))</f>
        <v>2</v>
      </c>
      <c r="CK560" s="29" t="str">
        <f t="array" ref="CK560">_xlfn.TEXTJOIN("",TRUE,IF(ISERROR(FIND(ROW($1:$168)-1,CI560&amp;CJ560)),ROW($1:$168)-1,""))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60" s="19" t="str">
        <f t="shared" si="398"/>
        <v>邻传孤</v>
      </c>
      <c r="CM560" s="24" t="str">
        <f t="shared" si="399"/>
        <v>13</v>
      </c>
      <c r="CN560" s="24" t="str">
        <f t="array" ref="CN560">_xlfn.TEXTJOIN("",TRUE,IF(ISNUMBER(FIND(MID(CM559&amp;Y559,ROW($1:$162),1),CM560&amp;Y560)),MID(CM559&amp;Y559,ROW($1:$162),1),""))</f>
        <v>1</v>
      </c>
      <c r="CO560" s="24" t="str">
        <f t="array" ref="CO560">_xlfn.TEXTJOIN("",TRUE,IF(ISERROR(FIND(ROW($1:$168)-1,CM560&amp;CN560)),ROW($1:$168)-1,""))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P560" s="30" t="str">
        <f t="shared" si="400"/>
        <v>邻传孤</v>
      </c>
    </row>
    <row r="561" spans="1:94">
      <c r="A561" s="15">
        <v>561</v>
      </c>
      <c r="B561" s="80">
        <v>2025178</v>
      </c>
      <c r="C561" s="8" t="s">
        <v>451</v>
      </c>
      <c r="D561" s="81">
        <f t="shared" ref="D561:D581" si="404">LEFT(C561,1)+MID(C561,2,1)+RIGHT(C561,1)</f>
        <v>17</v>
      </c>
      <c r="E561" s="82">
        <f t="shared" ref="E561:E581" si="405">MOD(LEFT(C561,1)+MID(C561,2,1)+RIGHT(C561,1),10)</f>
        <v>7</v>
      </c>
      <c r="F561" s="83">
        <f t="shared" si="373"/>
        <v>2.83333333333333</v>
      </c>
      <c r="G561" s="84" t="str">
        <f t="shared" si="374"/>
        <v>标准</v>
      </c>
      <c r="H561" s="85" t="s">
        <v>10</v>
      </c>
      <c r="I561" s="85" t="s">
        <v>11</v>
      </c>
      <c r="J561" s="85" t="s">
        <v>12</v>
      </c>
      <c r="K561" s="85" t="s">
        <v>13</v>
      </c>
      <c r="L561" s="86">
        <f>MAX(MID(C561,{1,2,3},1)*1)-MIN(MID(C561,{1,2,3},1)*1)</f>
        <v>6</v>
      </c>
      <c r="M561" s="87">
        <v>0</v>
      </c>
      <c r="N561" s="87">
        <v>1</v>
      </c>
      <c r="O561" s="87">
        <v>2</v>
      </c>
      <c r="P561" s="87">
        <v>3</v>
      </c>
      <c r="Q561" s="87">
        <v>4</v>
      </c>
      <c r="R561" s="87">
        <v>5</v>
      </c>
      <c r="S561" s="87">
        <v>6</v>
      </c>
      <c r="T561" s="87">
        <v>7</v>
      </c>
      <c r="U561" s="87">
        <v>8</v>
      </c>
      <c r="V561" s="87">
        <v>9</v>
      </c>
      <c r="W561" s="88">
        <f t="shared" ref="W561:W581" si="406">ABS(LEFT(C561,1)-MID(C561,2,1))</f>
        <v>5</v>
      </c>
      <c r="X561" s="88">
        <f t="shared" ref="X561:X581" si="407">ABS(LEFT(C561,1)-RIGHT(C561,1))</f>
        <v>1</v>
      </c>
      <c r="Y561" s="88">
        <f t="shared" ref="Y561:Y581" si="408">ABS(MID(C561,2,1)-RIGHT(C561,1))</f>
        <v>6</v>
      </c>
      <c r="Z561" s="89">
        <f t="shared" si="387"/>
        <v>12</v>
      </c>
      <c r="AA561" s="17" t="str">
        <f>_xlfn.TEXTJOIN(", ",TRUE,ABS(MID(C561,{1,1,2},1)-MID(C561,{2,3,3},1)))</f>
        <v>5, 1, 6</v>
      </c>
      <c r="AB561" s="90">
        <v>0</v>
      </c>
      <c r="AC561" s="90">
        <v>1</v>
      </c>
      <c r="AD561" s="90">
        <v>2</v>
      </c>
      <c r="AE561" s="90">
        <v>3</v>
      </c>
      <c r="AF561" s="90">
        <v>4</v>
      </c>
      <c r="AG561" s="90">
        <v>5</v>
      </c>
      <c r="AH561" s="90">
        <v>6</v>
      </c>
      <c r="AI561" s="90">
        <v>7</v>
      </c>
      <c r="AJ561" s="90">
        <v>8</v>
      </c>
      <c r="AK561" s="90">
        <v>9</v>
      </c>
      <c r="AL561" s="91">
        <v>0</v>
      </c>
      <c r="AM561" s="91">
        <v>1</v>
      </c>
      <c r="AN561" s="91">
        <v>2</v>
      </c>
      <c r="AO561" s="91">
        <v>3</v>
      </c>
      <c r="AP561" s="91">
        <v>4</v>
      </c>
      <c r="AQ561" s="91">
        <v>5</v>
      </c>
      <c r="AR561" s="91">
        <v>6</v>
      </c>
      <c r="AS561" s="91">
        <v>7</v>
      </c>
      <c r="AT561" s="91">
        <v>8</v>
      </c>
      <c r="AU561" s="91">
        <v>9</v>
      </c>
      <c r="AV561" s="92">
        <v>0</v>
      </c>
      <c r="AW561" s="92">
        <v>1</v>
      </c>
      <c r="AX561" s="92">
        <v>2</v>
      </c>
      <c r="AY561" s="92">
        <v>3</v>
      </c>
      <c r="AZ561" s="92">
        <v>4</v>
      </c>
      <c r="BA561" s="92">
        <v>5</v>
      </c>
      <c r="BB561" s="92">
        <v>6</v>
      </c>
      <c r="BC561" s="92">
        <v>7</v>
      </c>
      <c r="BD561" s="92">
        <v>8</v>
      </c>
      <c r="BE561" s="92">
        <v>9</v>
      </c>
      <c r="BF561" s="93">
        <v>0</v>
      </c>
      <c r="BG561" s="93">
        <v>1</v>
      </c>
      <c r="BH561" s="93">
        <v>2</v>
      </c>
      <c r="BI561" s="93">
        <v>3</v>
      </c>
      <c r="BJ561" s="93">
        <v>4</v>
      </c>
      <c r="BK561" s="93">
        <v>5</v>
      </c>
      <c r="BL561" s="93">
        <v>6</v>
      </c>
      <c r="BM561" s="93">
        <v>7</v>
      </c>
      <c r="BN561" s="93">
        <v>8</v>
      </c>
      <c r="BO561" s="93">
        <v>9</v>
      </c>
      <c r="BP561" s="94" t="str">
        <f t="shared" si="388"/>
        <v>松散型</v>
      </c>
      <c r="BQ561" s="15">
        <f t="shared" si="385"/>
        <v>1</v>
      </c>
      <c r="BR561" s="15">
        <f t="shared" si="386"/>
        <v>6</v>
      </c>
      <c r="BS561" s="20">
        <f t="shared" si="390"/>
        <v>5</v>
      </c>
      <c r="BT561" s="21" t="str">
        <f t="shared" si="391"/>
        <v/>
      </c>
      <c r="BU561" s="21" t="str">
        <f t="array" ref="BU561">_xlfn.TEXTJOIN("",TRUE,IF(ISERROR(FIND(ROW($1:$168)-1,BS561&amp;BT561)),ROW($1:$168)-1,""))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61" s="22" t="str">
        <f t="shared" si="392"/>
        <v>复中中</v>
      </c>
      <c r="BW561" s="23" t="str">
        <f t="shared" si="403"/>
        <v/>
      </c>
      <c r="BX561" s="23">
        <f t="shared" si="401"/>
        <v>1</v>
      </c>
      <c r="BY561" s="23" t="str">
        <f t="array" ref="BY561">_xlfn.TEXTJOIN("",TRUE,IF(ISERROR(FIND(ROW($1:$168)-1,BW561&amp;BX561)),ROW($1:$168)-1,""))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61" s="22" t="str">
        <f t="shared" si="393"/>
        <v>中隔中</v>
      </c>
      <c r="CA561" s="24" t="str">
        <f t="shared" si="394"/>
        <v/>
      </c>
      <c r="CB561" s="24" t="str">
        <f t="shared" si="402"/>
        <v/>
      </c>
      <c r="CC561" s="24" t="str">
        <f t="array" ref="CC561">_xlfn.TEXTJOIN("",TRUE,IF(ISERROR(FIND(ROW($1:$168)-1,CA561&amp;CB561)),ROW($1:$168)-1,""))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61" s="22" t="str">
        <f t="shared" si="395"/>
        <v>中中中</v>
      </c>
      <c r="CE561" s="25" t="str">
        <f t="shared" si="389"/>
        <v>46</v>
      </c>
      <c r="CF561" s="26" t="str">
        <f t="array" ref="CF561">_xlfn.TEXTJOIN("",TRUE,IF(ISNUMBER(FIND(MID(CE560&amp;W560,ROW($1:$162),1),CE561&amp;W561)),MID(CE560&amp;W560,ROW($1:$162),1),""))</f>
        <v>465</v>
      </c>
      <c r="CG561" s="27" t="str">
        <f t="array" ref="CG561">_xlfn.TEXTJOIN("",TRUE,IF(ISERROR(FIND(ROW($1:$168)-1,CE561&amp;CF561)),ROW($1:$168)-1,""))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61" s="28" t="str">
        <f t="shared" si="396"/>
        <v>邻传孤</v>
      </c>
      <c r="CI561" s="29" t="str">
        <f t="shared" si="397"/>
        <v>02</v>
      </c>
      <c r="CJ561" s="29" t="str">
        <f t="array" ref="CJ561">_xlfn.TEXTJOIN("",TRUE,IF(ISNUMBER(FIND(MID(CI560&amp;X560,ROW($1:$162),1),CI561&amp;X561)),MID(CI560&amp;X560,ROW($1:$162),1),""))</f>
        <v>2</v>
      </c>
      <c r="CK561" s="29" t="str">
        <f t="array" ref="CK561">_xlfn.TEXTJOIN("",TRUE,IF(ISERROR(FIND(ROW($1:$168)-1,CI561&amp;CJ561)),ROW($1:$168)-1,""))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61" s="19" t="str">
        <f t="shared" si="398"/>
        <v>邻传孤</v>
      </c>
      <c r="CM561" s="24" t="str">
        <f t="shared" si="399"/>
        <v>57</v>
      </c>
      <c r="CN561" s="24" t="str">
        <f t="array" ref="CN561">_xlfn.TEXTJOIN("",TRUE,IF(ISNUMBER(FIND(MID(CM560&amp;Y560,ROW($1:$162),1),CM561&amp;Y561)),MID(CM560&amp;Y560,ROW($1:$162),1),""))</f>
        <v/>
      </c>
      <c r="CO561" s="24" t="str">
        <f t="array" ref="CO561">_xlfn.TEXTJOIN("",TRUE,IF(ISERROR(FIND(ROW($1:$168)-1,CM561&amp;CN561)),ROW($1:$168)-1,""))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61" s="30" t="str">
        <f t="shared" si="400"/>
        <v>邻孤孤</v>
      </c>
    </row>
    <row r="562" spans="1:94">
      <c r="A562" s="15">
        <v>562</v>
      </c>
      <c r="B562" s="80">
        <v>2025179</v>
      </c>
      <c r="C562" s="8" t="s">
        <v>328</v>
      </c>
      <c r="D562" s="81">
        <f t="shared" si="404"/>
        <v>10</v>
      </c>
      <c r="E562" s="82">
        <f t="shared" si="405"/>
        <v>0</v>
      </c>
      <c r="F562" s="83">
        <f t="shared" si="373"/>
        <v>1.25</v>
      </c>
      <c r="G562" s="84" t="str">
        <f t="shared" si="374"/>
        <v>松散</v>
      </c>
      <c r="H562" s="85" t="s">
        <v>10</v>
      </c>
      <c r="I562" s="85" t="s">
        <v>11</v>
      </c>
      <c r="J562" s="85" t="s">
        <v>12</v>
      </c>
      <c r="K562" s="85" t="s">
        <v>13</v>
      </c>
      <c r="L562" s="86">
        <f>MAX(MID(C562,{1,2,3},1)*1)-MIN(MID(C562,{1,2,3},1)*1)</f>
        <v>8</v>
      </c>
      <c r="M562" s="87">
        <v>0</v>
      </c>
      <c r="N562" s="87">
        <v>1</v>
      </c>
      <c r="O562" s="87">
        <v>2</v>
      </c>
      <c r="P562" s="87">
        <v>3</v>
      </c>
      <c r="Q562" s="87">
        <v>4</v>
      </c>
      <c r="R562" s="87">
        <v>5</v>
      </c>
      <c r="S562" s="87">
        <v>6</v>
      </c>
      <c r="T562" s="87">
        <v>7</v>
      </c>
      <c r="U562" s="87">
        <v>8</v>
      </c>
      <c r="V562" s="87">
        <v>9</v>
      </c>
      <c r="W562" s="88">
        <f t="shared" si="406"/>
        <v>6</v>
      </c>
      <c r="X562" s="88">
        <f t="shared" si="407"/>
        <v>2</v>
      </c>
      <c r="Y562" s="88">
        <f t="shared" si="408"/>
        <v>8</v>
      </c>
      <c r="Z562" s="89">
        <f t="shared" si="387"/>
        <v>16</v>
      </c>
      <c r="AA562" s="17" t="str">
        <f>_xlfn.TEXTJOIN(", ",TRUE,ABS(MID(C562,{1,1,2},1)-MID(C562,{2,3,3},1)))</f>
        <v>6, 2, 8</v>
      </c>
      <c r="AB562" s="90">
        <v>0</v>
      </c>
      <c r="AC562" s="90">
        <v>1</v>
      </c>
      <c r="AD562" s="90">
        <v>2</v>
      </c>
      <c r="AE562" s="90">
        <v>3</v>
      </c>
      <c r="AF562" s="90">
        <v>4</v>
      </c>
      <c r="AG562" s="90">
        <v>5</v>
      </c>
      <c r="AH562" s="90">
        <v>6</v>
      </c>
      <c r="AI562" s="90">
        <v>7</v>
      </c>
      <c r="AJ562" s="90">
        <v>8</v>
      </c>
      <c r="AK562" s="90">
        <v>9</v>
      </c>
      <c r="AL562" s="91">
        <v>0</v>
      </c>
      <c r="AM562" s="91">
        <v>1</v>
      </c>
      <c r="AN562" s="91">
        <v>2</v>
      </c>
      <c r="AO562" s="91">
        <v>3</v>
      </c>
      <c r="AP562" s="91">
        <v>4</v>
      </c>
      <c r="AQ562" s="91">
        <v>5</v>
      </c>
      <c r="AR562" s="91">
        <v>6</v>
      </c>
      <c r="AS562" s="91">
        <v>7</v>
      </c>
      <c r="AT562" s="91">
        <v>8</v>
      </c>
      <c r="AU562" s="91">
        <v>9</v>
      </c>
      <c r="AV562" s="92">
        <v>0</v>
      </c>
      <c r="AW562" s="92">
        <v>1</v>
      </c>
      <c r="AX562" s="92">
        <v>2</v>
      </c>
      <c r="AY562" s="92">
        <v>3</v>
      </c>
      <c r="AZ562" s="92">
        <v>4</v>
      </c>
      <c r="BA562" s="92">
        <v>5</v>
      </c>
      <c r="BB562" s="92">
        <v>6</v>
      </c>
      <c r="BC562" s="92">
        <v>7</v>
      </c>
      <c r="BD562" s="92">
        <v>8</v>
      </c>
      <c r="BE562" s="92">
        <v>9</v>
      </c>
      <c r="BF562" s="93">
        <v>0</v>
      </c>
      <c r="BG562" s="93">
        <v>1</v>
      </c>
      <c r="BH562" s="93">
        <v>2</v>
      </c>
      <c r="BI562" s="93">
        <v>3</v>
      </c>
      <c r="BJ562" s="93">
        <v>4</v>
      </c>
      <c r="BK562" s="93">
        <v>5</v>
      </c>
      <c r="BL562" s="93">
        <v>6</v>
      </c>
      <c r="BM562" s="93">
        <v>7</v>
      </c>
      <c r="BN562" s="93">
        <v>8</v>
      </c>
      <c r="BO562" s="93">
        <v>9</v>
      </c>
      <c r="BP562" s="94" t="str">
        <f t="shared" si="388"/>
        <v>松散型</v>
      </c>
      <c r="BQ562" s="15">
        <f t="shared" si="385"/>
        <v>2</v>
      </c>
      <c r="BR562" s="15">
        <f t="shared" si="386"/>
        <v>8</v>
      </c>
      <c r="BS562" s="20">
        <f t="shared" si="390"/>
        <v>6</v>
      </c>
      <c r="BT562" s="21" t="str">
        <f t="shared" si="391"/>
        <v/>
      </c>
      <c r="BU562" s="21" t="str">
        <f t="array" ref="BU562">_xlfn.TEXTJOIN("",TRUE,IF(ISERROR(FIND(ROW($1:$168)-1,BS562&amp;BT562)),ROW($1:$168)-1,""))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62" s="22" t="str">
        <f t="shared" si="392"/>
        <v>复中中</v>
      </c>
      <c r="BW562" s="23" t="str">
        <f t="shared" si="403"/>
        <v/>
      </c>
      <c r="BX562" s="23">
        <f t="shared" si="401"/>
        <v>2</v>
      </c>
      <c r="BY562" s="23" t="str">
        <f t="array" ref="BY562">_xlfn.TEXTJOIN("",TRUE,IF(ISERROR(FIND(ROW($1:$168)-1,BW562&amp;BX562)),ROW($1:$168)-1,""))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62" s="22" t="str">
        <f t="shared" si="393"/>
        <v>中隔中</v>
      </c>
      <c r="CA562" s="24" t="str">
        <f t="shared" si="394"/>
        <v/>
      </c>
      <c r="CB562" s="24" t="str">
        <f t="shared" si="402"/>
        <v/>
      </c>
      <c r="CC562" s="24" t="str">
        <f t="array" ref="CC562">_xlfn.TEXTJOIN("",TRUE,IF(ISERROR(FIND(ROW($1:$168)-1,CA562&amp;CB562)),ROW($1:$168)-1,""))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62" s="22" t="str">
        <f t="shared" si="395"/>
        <v>中中中</v>
      </c>
      <c r="CE562" s="25" t="str">
        <f t="shared" si="389"/>
        <v>57</v>
      </c>
      <c r="CF562" s="26" t="str">
        <f t="array" ref="CF562">_xlfn.TEXTJOIN("",TRUE,IF(ISNUMBER(FIND(MID(CE561&amp;W561,ROW($1:$162),1),CE562&amp;W562)),MID(CE561&amp;W561,ROW($1:$162),1),""))</f>
        <v>65</v>
      </c>
      <c r="CG562" s="27" t="str">
        <f t="array" ref="CG562">_xlfn.TEXTJOIN("",TRUE,IF(ISERROR(FIND(ROW($1:$168)-1,CE562&amp;CF562)),ROW($1:$168)-1,""))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62" s="28" t="str">
        <f t="shared" si="396"/>
        <v>邻传孤</v>
      </c>
      <c r="CI562" s="29" t="str">
        <f t="shared" si="397"/>
        <v>13</v>
      </c>
      <c r="CJ562" s="29" t="str">
        <f t="array" ref="CJ562">_xlfn.TEXTJOIN("",TRUE,IF(ISNUMBER(FIND(MID(CI561&amp;X561,ROW($1:$162),1),CI562&amp;X562)),MID(CI561&amp;X561,ROW($1:$162),1),""))</f>
        <v>21</v>
      </c>
      <c r="CK562" s="29" t="str">
        <f t="array" ref="CK562">_xlfn.TEXTJOIN("",TRUE,IF(ISERROR(FIND(ROW($1:$168)-1,CI562&amp;CJ562)),ROW($1:$168)-1,""))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562" s="19" t="str">
        <f t="shared" si="398"/>
        <v>邻传孤</v>
      </c>
      <c r="CM562" s="24" t="str">
        <f t="shared" si="399"/>
        <v>79</v>
      </c>
      <c r="CN562" s="24" t="str">
        <f t="array" ref="CN562">_xlfn.TEXTJOIN("",TRUE,IF(ISNUMBER(FIND(MID(CM561&amp;Y561,ROW($1:$162),1),CM562&amp;Y562)),MID(CM561&amp;Y561,ROW($1:$162),1),""))</f>
        <v>7</v>
      </c>
      <c r="CO562" s="24" t="str">
        <f t="array" ref="CO562">_xlfn.TEXTJOIN("",TRUE,IF(ISERROR(FIND(ROW($1:$168)-1,CM562&amp;CN562)),ROW($1:$168)-1,""))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P562" s="30" t="str">
        <f t="shared" si="400"/>
        <v>邻传孤</v>
      </c>
    </row>
    <row r="563" spans="1:94">
      <c r="A563" s="15">
        <v>563</v>
      </c>
      <c r="B563" s="80">
        <v>2025180</v>
      </c>
      <c r="C563" s="8" t="s">
        <v>346</v>
      </c>
      <c r="D563" s="81">
        <f t="shared" si="404"/>
        <v>8</v>
      </c>
      <c r="E563" s="82">
        <f t="shared" si="405"/>
        <v>8</v>
      </c>
      <c r="F563" s="83">
        <f t="shared" si="373"/>
        <v>1.33333333333333</v>
      </c>
      <c r="G563" s="84" t="str">
        <f t="shared" si="374"/>
        <v>松散</v>
      </c>
      <c r="H563" s="85" t="s">
        <v>10</v>
      </c>
      <c r="I563" s="85" t="s">
        <v>11</v>
      </c>
      <c r="J563" s="85" t="s">
        <v>12</v>
      </c>
      <c r="K563" s="85" t="s">
        <v>13</v>
      </c>
      <c r="L563" s="86">
        <f>MAX(MID(C563,{1,2,3},1)*1)-MIN(MID(C563,{1,2,3},1)*1)</f>
        <v>6</v>
      </c>
      <c r="M563" s="87">
        <v>0</v>
      </c>
      <c r="N563" s="87">
        <v>1</v>
      </c>
      <c r="O563" s="87">
        <v>2</v>
      </c>
      <c r="P563" s="87">
        <v>3</v>
      </c>
      <c r="Q563" s="87">
        <v>4</v>
      </c>
      <c r="R563" s="87">
        <v>5</v>
      </c>
      <c r="S563" s="87">
        <v>6</v>
      </c>
      <c r="T563" s="87">
        <v>7</v>
      </c>
      <c r="U563" s="87">
        <v>8</v>
      </c>
      <c r="V563" s="87">
        <v>9</v>
      </c>
      <c r="W563" s="88">
        <f t="shared" si="406"/>
        <v>4</v>
      </c>
      <c r="X563" s="88">
        <f t="shared" si="407"/>
        <v>2</v>
      </c>
      <c r="Y563" s="88">
        <f t="shared" si="408"/>
        <v>6</v>
      </c>
      <c r="Z563" s="89">
        <f t="shared" si="387"/>
        <v>12</v>
      </c>
      <c r="AA563" s="17" t="str">
        <f>_xlfn.TEXTJOIN(", ",TRUE,ABS(MID(C563,{1,1,2},1)-MID(C563,{2,3,3},1)))</f>
        <v>4, 2, 6</v>
      </c>
      <c r="AB563" s="90">
        <v>0</v>
      </c>
      <c r="AC563" s="90">
        <v>1</v>
      </c>
      <c r="AD563" s="90">
        <v>2</v>
      </c>
      <c r="AE563" s="90">
        <v>3</v>
      </c>
      <c r="AF563" s="90">
        <v>4</v>
      </c>
      <c r="AG563" s="90">
        <v>5</v>
      </c>
      <c r="AH563" s="90">
        <v>6</v>
      </c>
      <c r="AI563" s="90">
        <v>7</v>
      </c>
      <c r="AJ563" s="90">
        <v>8</v>
      </c>
      <c r="AK563" s="90">
        <v>9</v>
      </c>
      <c r="AL563" s="91">
        <v>0</v>
      </c>
      <c r="AM563" s="91">
        <v>1</v>
      </c>
      <c r="AN563" s="91">
        <v>2</v>
      </c>
      <c r="AO563" s="91">
        <v>3</v>
      </c>
      <c r="AP563" s="91">
        <v>4</v>
      </c>
      <c r="AQ563" s="91">
        <v>5</v>
      </c>
      <c r="AR563" s="91">
        <v>6</v>
      </c>
      <c r="AS563" s="91">
        <v>7</v>
      </c>
      <c r="AT563" s="91">
        <v>8</v>
      </c>
      <c r="AU563" s="91">
        <v>9</v>
      </c>
      <c r="AV563" s="92">
        <v>0</v>
      </c>
      <c r="AW563" s="92">
        <v>1</v>
      </c>
      <c r="AX563" s="92">
        <v>2</v>
      </c>
      <c r="AY563" s="92">
        <v>3</v>
      </c>
      <c r="AZ563" s="92">
        <v>4</v>
      </c>
      <c r="BA563" s="92">
        <v>5</v>
      </c>
      <c r="BB563" s="92">
        <v>6</v>
      </c>
      <c r="BC563" s="92">
        <v>7</v>
      </c>
      <c r="BD563" s="92">
        <v>8</v>
      </c>
      <c r="BE563" s="92">
        <v>9</v>
      </c>
      <c r="BF563" s="93">
        <v>0</v>
      </c>
      <c r="BG563" s="93">
        <v>1</v>
      </c>
      <c r="BH563" s="93">
        <v>2</v>
      </c>
      <c r="BI563" s="93">
        <v>3</v>
      </c>
      <c r="BJ563" s="93">
        <v>4</v>
      </c>
      <c r="BK563" s="93">
        <v>5</v>
      </c>
      <c r="BL563" s="93">
        <v>6</v>
      </c>
      <c r="BM563" s="93">
        <v>7</v>
      </c>
      <c r="BN563" s="93">
        <v>8</v>
      </c>
      <c r="BO563" s="93">
        <v>9</v>
      </c>
      <c r="BP563" s="94" t="str">
        <f t="shared" si="388"/>
        <v>松散型</v>
      </c>
      <c r="BQ563" s="15">
        <f t="shared" si="385"/>
        <v>2</v>
      </c>
      <c r="BR563" s="15">
        <f t="shared" si="386"/>
        <v>6</v>
      </c>
      <c r="BS563" s="20" t="str">
        <f t="shared" si="390"/>
        <v/>
      </c>
      <c r="BT563" s="21" t="str">
        <f t="shared" si="391"/>
        <v/>
      </c>
      <c r="BU563" s="21" t="str">
        <f t="array" ref="BU563">_xlfn.TEXTJOIN("",TRUE,IF(ISERROR(FIND(ROW($1:$168)-1,BS563&amp;BT563)),ROW($1:$168)-1,""))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63" s="22" t="str">
        <f t="shared" si="392"/>
        <v>中中中</v>
      </c>
      <c r="BW563" s="23">
        <f t="shared" si="403"/>
        <v>2</v>
      </c>
      <c r="BX563" s="23" t="str">
        <f t="shared" si="401"/>
        <v/>
      </c>
      <c r="BY563" s="23" t="str">
        <f t="array" ref="BY563">_xlfn.TEXTJOIN("",TRUE,IF(ISERROR(FIND(ROW($1:$168)-1,BW563&amp;BX563)),ROW($1:$168)-1,""))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63" s="22" t="str">
        <f t="shared" si="393"/>
        <v>复中中</v>
      </c>
      <c r="CA563" s="24">
        <f t="shared" si="394"/>
        <v>6</v>
      </c>
      <c r="CB563" s="24">
        <f t="shared" si="402"/>
        <v>6</v>
      </c>
      <c r="CC563" s="24" t="str">
        <f t="array" ref="CC563">_xlfn.TEXTJOIN("",TRUE,IF(ISERROR(FIND(ROW($1:$168)-1,CA563&amp;CB563)),ROW($1:$168)-1,""))</f>
        <v>01234578910111213141516171819202122232425262728293031323334353637383940414243444546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63" s="22" t="str">
        <f t="shared" si="395"/>
        <v>复隔中</v>
      </c>
      <c r="CE563" s="25" t="str">
        <f t="shared" si="389"/>
        <v>35</v>
      </c>
      <c r="CF563" s="26" t="str">
        <f t="array" ref="CF563">_xlfn.TEXTJOIN("",TRUE,IF(ISNUMBER(FIND(MID(CE562&amp;W562,ROW($1:$162),1),CE563&amp;W563)),MID(CE562&amp;W562,ROW($1:$162),1),""))</f>
        <v>5</v>
      </c>
      <c r="CG563" s="27" t="str">
        <f t="array" ref="CG563">_xlfn.TEXTJOIN("",TRUE,IF(ISERROR(FIND(ROW($1:$168)-1,CE563&amp;CF563)),ROW($1:$168)-1,""))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63" s="28" t="str">
        <f t="shared" si="396"/>
        <v>邻传孤</v>
      </c>
      <c r="CI563" s="29" t="str">
        <f t="shared" si="397"/>
        <v>13</v>
      </c>
      <c r="CJ563" s="29" t="str">
        <f t="array" ref="CJ563">_xlfn.TEXTJOIN("",TRUE,IF(ISNUMBER(FIND(MID(CI562&amp;X562,ROW($1:$162),1),CI563&amp;X563)),MID(CI562&amp;X562,ROW($1:$162),1),""))</f>
        <v>132</v>
      </c>
      <c r="CK563" s="29" t="str">
        <f t="array" ref="CK563">_xlfn.TEXTJOIN("",TRUE,IF(ISERROR(FIND(ROW($1:$168)-1,CI563&amp;CJ563)),ROW($1:$168)-1,""))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563" s="19" t="str">
        <f t="shared" si="398"/>
        <v>邻传孤</v>
      </c>
      <c r="CM563" s="24" t="str">
        <f t="shared" si="399"/>
        <v>57</v>
      </c>
      <c r="CN563" s="24" t="str">
        <f t="array" ref="CN563">_xlfn.TEXTJOIN("",TRUE,IF(ISNUMBER(FIND(MID(CM562&amp;Y562,ROW($1:$162),1),CM563&amp;Y563)),MID(CM562&amp;Y562,ROW($1:$162),1),""))</f>
        <v>7</v>
      </c>
      <c r="CO563" s="24" t="str">
        <f t="array" ref="CO563">_xlfn.TEXTJOIN("",TRUE,IF(ISERROR(FIND(ROW($1:$168)-1,CM563&amp;CN563)),ROW($1:$168)-1,""))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P563" s="30" t="str">
        <f t="shared" si="400"/>
        <v>邻传孤</v>
      </c>
    </row>
    <row r="564" spans="1:94">
      <c r="A564" s="15">
        <v>564</v>
      </c>
      <c r="B564" s="80">
        <v>2025181</v>
      </c>
      <c r="C564" s="8" t="s">
        <v>452</v>
      </c>
      <c r="D564" s="81">
        <f t="shared" si="404"/>
        <v>22</v>
      </c>
      <c r="E564" s="82">
        <f t="shared" si="405"/>
        <v>2</v>
      </c>
      <c r="F564" s="83">
        <f t="shared" si="373"/>
        <v>11</v>
      </c>
      <c r="G564" s="84" t="str">
        <f t="shared" si="374"/>
        <v>紧凑</v>
      </c>
      <c r="H564" s="85" t="s">
        <v>10</v>
      </c>
      <c r="I564" s="85" t="s">
        <v>11</v>
      </c>
      <c r="J564" s="85" t="s">
        <v>12</v>
      </c>
      <c r="K564" s="85" t="s">
        <v>13</v>
      </c>
      <c r="L564" s="86">
        <f>MAX(MID(C564,{1,2,3},1)*1)-MIN(MID(C564,{1,2,3},1)*1)</f>
        <v>2</v>
      </c>
      <c r="M564" s="87">
        <v>0</v>
      </c>
      <c r="N564" s="87">
        <v>1</v>
      </c>
      <c r="O564" s="87">
        <v>2</v>
      </c>
      <c r="P564" s="87">
        <v>3</v>
      </c>
      <c r="Q564" s="87">
        <v>4</v>
      </c>
      <c r="R564" s="87">
        <v>5</v>
      </c>
      <c r="S564" s="87">
        <v>6</v>
      </c>
      <c r="T564" s="87">
        <v>7</v>
      </c>
      <c r="U564" s="87">
        <v>8</v>
      </c>
      <c r="V564" s="87">
        <v>9</v>
      </c>
      <c r="W564" s="88">
        <f t="shared" si="406"/>
        <v>0</v>
      </c>
      <c r="X564" s="88">
        <f t="shared" si="407"/>
        <v>2</v>
      </c>
      <c r="Y564" s="88">
        <f t="shared" si="408"/>
        <v>2</v>
      </c>
      <c r="Z564" s="89">
        <f t="shared" si="387"/>
        <v>4</v>
      </c>
      <c r="AA564" s="17" t="str">
        <f>_xlfn.TEXTJOIN(", ",TRUE,ABS(MID(C564,{1,1,2},1)-MID(C564,{2,3,3},1)))</f>
        <v>0, 2, 2</v>
      </c>
      <c r="AB564" s="90">
        <v>0</v>
      </c>
      <c r="AC564" s="90">
        <v>1</v>
      </c>
      <c r="AD564" s="90">
        <v>2</v>
      </c>
      <c r="AE564" s="90">
        <v>3</v>
      </c>
      <c r="AF564" s="90">
        <v>4</v>
      </c>
      <c r="AG564" s="90">
        <v>5</v>
      </c>
      <c r="AH564" s="90">
        <v>6</v>
      </c>
      <c r="AI564" s="90">
        <v>7</v>
      </c>
      <c r="AJ564" s="90">
        <v>8</v>
      </c>
      <c r="AK564" s="90">
        <v>9</v>
      </c>
      <c r="AL564" s="91">
        <v>0</v>
      </c>
      <c r="AM564" s="91">
        <v>1</v>
      </c>
      <c r="AN564" s="91">
        <v>2</v>
      </c>
      <c r="AO564" s="91">
        <v>3</v>
      </c>
      <c r="AP564" s="91">
        <v>4</v>
      </c>
      <c r="AQ564" s="91">
        <v>5</v>
      </c>
      <c r="AR564" s="91">
        <v>6</v>
      </c>
      <c r="AS564" s="91">
        <v>7</v>
      </c>
      <c r="AT564" s="91">
        <v>8</v>
      </c>
      <c r="AU564" s="91">
        <v>9</v>
      </c>
      <c r="AV564" s="92">
        <v>0</v>
      </c>
      <c r="AW564" s="92">
        <v>1</v>
      </c>
      <c r="AX564" s="92">
        <v>2</v>
      </c>
      <c r="AY564" s="92">
        <v>3</v>
      </c>
      <c r="AZ564" s="92">
        <v>4</v>
      </c>
      <c r="BA564" s="92">
        <v>5</v>
      </c>
      <c r="BB564" s="92">
        <v>6</v>
      </c>
      <c r="BC564" s="92">
        <v>7</v>
      </c>
      <c r="BD564" s="92">
        <v>8</v>
      </c>
      <c r="BE564" s="92">
        <v>9</v>
      </c>
      <c r="BF564" s="93">
        <v>0</v>
      </c>
      <c r="BG564" s="93">
        <v>1</v>
      </c>
      <c r="BH564" s="93">
        <v>2</v>
      </c>
      <c r="BI564" s="93">
        <v>3</v>
      </c>
      <c r="BJ564" s="93">
        <v>4</v>
      </c>
      <c r="BK564" s="93">
        <v>5</v>
      </c>
      <c r="BL564" s="93">
        <v>6</v>
      </c>
      <c r="BM564" s="93">
        <v>7</v>
      </c>
      <c r="BN564" s="93">
        <v>8</v>
      </c>
      <c r="BO564" s="93">
        <v>9</v>
      </c>
      <c r="BP564" s="94" t="str">
        <f t="shared" si="388"/>
        <v>紧凑型</v>
      </c>
      <c r="BQ564" s="15">
        <f t="shared" si="385"/>
        <v>0</v>
      </c>
      <c r="BR564" s="15">
        <f t="shared" si="386"/>
        <v>2</v>
      </c>
      <c r="BS564" s="20" t="str">
        <f t="shared" si="390"/>
        <v/>
      </c>
      <c r="BT564" s="21" t="str">
        <f t="shared" si="391"/>
        <v/>
      </c>
      <c r="BU564" s="21" t="str">
        <f t="array" ref="BU564">_xlfn.TEXTJOIN("",TRUE,IF(ISERROR(FIND(ROW($1:$168)-1,BS564&amp;BT564)),ROW($1:$168)-1,""))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64" s="22" t="str">
        <f t="shared" si="392"/>
        <v>中中中</v>
      </c>
      <c r="BW564" s="23">
        <f t="shared" si="403"/>
        <v>2</v>
      </c>
      <c r="BX564" s="23">
        <f t="shared" si="401"/>
        <v>2</v>
      </c>
      <c r="BY564" s="23" t="str">
        <f t="array" ref="BY564">_xlfn.TEXTJOIN("",TRUE,IF(ISERROR(FIND(ROW($1:$168)-1,BW564&amp;BX564)),ROW($1:$168)-1,""))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64" s="22" t="str">
        <f t="shared" si="393"/>
        <v>复隔中</v>
      </c>
      <c r="CA564" s="24">
        <f t="shared" si="394"/>
        <v>2</v>
      </c>
      <c r="CB564" s="24">
        <f t="shared" si="402"/>
        <v>2</v>
      </c>
      <c r="CC564" s="24" t="str">
        <f t="array" ref="CC564">_xlfn.TEXTJOIN("",TRUE,IF(ISERROR(FIND(ROW($1:$168)-1,CA564&amp;CB564)),ROW($1:$168)-1,""))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64" s="22" t="str">
        <f t="shared" si="395"/>
        <v>复隔中</v>
      </c>
      <c r="CE564" s="25" t="str">
        <f t="shared" si="389"/>
        <v>91</v>
      </c>
      <c r="CF564" s="26" t="str">
        <f t="array" ref="CF564">_xlfn.TEXTJOIN("",TRUE,IF(ISNUMBER(FIND(MID(CE563&amp;W563,ROW($1:$162),1),CE564&amp;W564)),MID(CE563&amp;W563,ROW($1:$162),1),""))</f>
        <v/>
      </c>
      <c r="CG564" s="27" t="str">
        <f t="array" ref="CG564">_xlfn.TEXTJOIN("",TRUE,IF(ISERROR(FIND(ROW($1:$168)-1,CE564&amp;CF564)),ROW($1:$168)-1,""))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564" s="28" t="str">
        <f t="shared" si="396"/>
        <v>邻孤孤</v>
      </c>
      <c r="CI564" s="29" t="str">
        <f t="shared" si="397"/>
        <v>13</v>
      </c>
      <c r="CJ564" s="29" t="str">
        <f t="array" ref="CJ564">_xlfn.TEXTJOIN("",TRUE,IF(ISNUMBER(FIND(MID(CI563&amp;X563,ROW($1:$162),1),CI564&amp;X564)),MID(CI563&amp;X563,ROW($1:$162),1),""))</f>
        <v>132</v>
      </c>
      <c r="CK564" s="29" t="str">
        <f t="array" ref="CK564">_xlfn.TEXTJOIN("",TRUE,IF(ISERROR(FIND(ROW($1:$168)-1,CI564&amp;CJ564)),ROW($1:$168)-1,""))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564" s="19" t="str">
        <f t="shared" si="398"/>
        <v>邻传孤</v>
      </c>
      <c r="CM564" s="24" t="str">
        <f t="shared" si="399"/>
        <v>13</v>
      </c>
      <c r="CN564" s="24" t="str">
        <f t="array" ref="CN564">_xlfn.TEXTJOIN("",TRUE,IF(ISNUMBER(FIND(MID(CM563&amp;Y563,ROW($1:$162),1),CM564&amp;Y564)),MID(CM563&amp;Y563,ROW($1:$162),1),""))</f>
        <v/>
      </c>
      <c r="CO564" s="24" t="str">
        <f t="array" ref="CO564">_xlfn.TEXTJOIN("",TRUE,IF(ISERROR(FIND(ROW($1:$168)-1,CM564&amp;CN564)),ROW($1:$168)-1,""))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64" s="30" t="str">
        <f t="shared" si="400"/>
        <v>邻孤孤</v>
      </c>
    </row>
    <row r="565" spans="1:94">
      <c r="A565" s="15">
        <v>565</v>
      </c>
      <c r="B565" s="80">
        <v>2025182</v>
      </c>
      <c r="C565" s="8" t="s">
        <v>172</v>
      </c>
      <c r="D565" s="81">
        <f t="shared" si="404"/>
        <v>15</v>
      </c>
      <c r="E565" s="82">
        <f t="shared" si="405"/>
        <v>5</v>
      </c>
      <c r="F565" s="83">
        <f t="shared" si="373"/>
        <v>1.875</v>
      </c>
      <c r="G565" s="84" t="str">
        <f t="shared" si="374"/>
        <v>松散</v>
      </c>
      <c r="H565" s="85" t="s">
        <v>10</v>
      </c>
      <c r="I565" s="85" t="s">
        <v>11</v>
      </c>
      <c r="J565" s="85" t="s">
        <v>12</v>
      </c>
      <c r="K565" s="85" t="s">
        <v>13</v>
      </c>
      <c r="L565" s="86">
        <f>MAX(MID(C565,{1,2,3},1)*1)-MIN(MID(C565,{1,2,3},1)*1)</f>
        <v>8</v>
      </c>
      <c r="M565" s="87">
        <v>0</v>
      </c>
      <c r="N565" s="87">
        <v>1</v>
      </c>
      <c r="O565" s="87">
        <v>2</v>
      </c>
      <c r="P565" s="87">
        <v>3</v>
      </c>
      <c r="Q565" s="87">
        <v>4</v>
      </c>
      <c r="R565" s="87">
        <v>5</v>
      </c>
      <c r="S565" s="87">
        <v>6</v>
      </c>
      <c r="T565" s="87">
        <v>7</v>
      </c>
      <c r="U565" s="87">
        <v>8</v>
      </c>
      <c r="V565" s="87">
        <v>9</v>
      </c>
      <c r="W565" s="88">
        <f t="shared" si="406"/>
        <v>7</v>
      </c>
      <c r="X565" s="88">
        <f t="shared" si="407"/>
        <v>1</v>
      </c>
      <c r="Y565" s="88">
        <f t="shared" si="408"/>
        <v>8</v>
      </c>
      <c r="Z565" s="89">
        <f t="shared" si="387"/>
        <v>16</v>
      </c>
      <c r="AA565" s="17" t="str">
        <f>_xlfn.TEXTJOIN(", ",TRUE,ABS(MID(C565,{1,1,2},1)-MID(C565,{2,3,3},1)))</f>
        <v>7, 1, 8</v>
      </c>
      <c r="AB565" s="90">
        <v>0</v>
      </c>
      <c r="AC565" s="90">
        <v>1</v>
      </c>
      <c r="AD565" s="90">
        <v>2</v>
      </c>
      <c r="AE565" s="90">
        <v>3</v>
      </c>
      <c r="AF565" s="90">
        <v>4</v>
      </c>
      <c r="AG565" s="90">
        <v>5</v>
      </c>
      <c r="AH565" s="90">
        <v>6</v>
      </c>
      <c r="AI565" s="90">
        <v>7</v>
      </c>
      <c r="AJ565" s="90">
        <v>8</v>
      </c>
      <c r="AK565" s="90">
        <v>9</v>
      </c>
      <c r="AL565" s="91">
        <v>0</v>
      </c>
      <c r="AM565" s="91">
        <v>1</v>
      </c>
      <c r="AN565" s="91">
        <v>2</v>
      </c>
      <c r="AO565" s="91">
        <v>3</v>
      </c>
      <c r="AP565" s="91">
        <v>4</v>
      </c>
      <c r="AQ565" s="91">
        <v>5</v>
      </c>
      <c r="AR565" s="91">
        <v>6</v>
      </c>
      <c r="AS565" s="91">
        <v>7</v>
      </c>
      <c r="AT565" s="91">
        <v>8</v>
      </c>
      <c r="AU565" s="91">
        <v>9</v>
      </c>
      <c r="AV565" s="92">
        <v>0</v>
      </c>
      <c r="AW565" s="92">
        <v>1</v>
      </c>
      <c r="AX565" s="92">
        <v>2</v>
      </c>
      <c r="AY565" s="92">
        <v>3</v>
      </c>
      <c r="AZ565" s="92">
        <v>4</v>
      </c>
      <c r="BA565" s="92">
        <v>5</v>
      </c>
      <c r="BB565" s="92">
        <v>6</v>
      </c>
      <c r="BC565" s="92">
        <v>7</v>
      </c>
      <c r="BD565" s="92">
        <v>8</v>
      </c>
      <c r="BE565" s="92">
        <v>9</v>
      </c>
      <c r="BF565" s="93">
        <v>0</v>
      </c>
      <c r="BG565" s="93">
        <v>1</v>
      </c>
      <c r="BH565" s="93">
        <v>2</v>
      </c>
      <c r="BI565" s="93">
        <v>3</v>
      </c>
      <c r="BJ565" s="93">
        <v>4</v>
      </c>
      <c r="BK565" s="93">
        <v>5</v>
      </c>
      <c r="BL565" s="93">
        <v>6</v>
      </c>
      <c r="BM565" s="93">
        <v>7</v>
      </c>
      <c r="BN565" s="93">
        <v>8</v>
      </c>
      <c r="BO565" s="93">
        <v>9</v>
      </c>
      <c r="BP565" s="94" t="str">
        <f t="shared" si="388"/>
        <v>松散型</v>
      </c>
      <c r="BQ565" s="15">
        <f t="shared" si="385"/>
        <v>1</v>
      </c>
      <c r="BR565" s="15">
        <f t="shared" si="386"/>
        <v>8</v>
      </c>
      <c r="BS565" s="20" t="str">
        <f t="shared" si="390"/>
        <v/>
      </c>
      <c r="BT565" s="21" t="str">
        <f t="shared" si="391"/>
        <v/>
      </c>
      <c r="BU565" s="21" t="str">
        <f t="array" ref="BU565">_xlfn.TEXTJOIN("",TRUE,IF(ISERROR(FIND(ROW($1:$168)-1,BS565&amp;BT565)),ROW($1:$168)-1,""))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65" s="22" t="str">
        <f t="shared" si="392"/>
        <v>中中中</v>
      </c>
      <c r="BW565" s="23" t="str">
        <f t="shared" si="403"/>
        <v/>
      </c>
      <c r="BX565" s="23" t="str">
        <f t="shared" si="401"/>
        <v/>
      </c>
      <c r="BY565" s="23" t="str">
        <f t="array" ref="BY565">_xlfn.TEXTJOIN("",TRUE,IF(ISERROR(FIND(ROW($1:$168)-1,BW565&amp;BX565)),ROW($1:$168)-1,""))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65" s="22" t="str">
        <f t="shared" si="393"/>
        <v>中中中</v>
      </c>
      <c r="CA565" s="24" t="str">
        <f t="shared" si="394"/>
        <v/>
      </c>
      <c r="CB565" s="24" t="str">
        <f t="shared" si="402"/>
        <v/>
      </c>
      <c r="CC565" s="24" t="str">
        <f t="array" ref="CC565">_xlfn.TEXTJOIN("",TRUE,IF(ISERROR(FIND(ROW($1:$168)-1,CA565&amp;CB565)),ROW($1:$168)-1,""))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65" s="22" t="str">
        <f t="shared" si="395"/>
        <v>中中中</v>
      </c>
      <c r="CE565" s="25" t="str">
        <f t="shared" si="389"/>
        <v>68</v>
      </c>
      <c r="CF565" s="26" t="str">
        <f t="array" ref="CF565">_xlfn.TEXTJOIN("",TRUE,IF(ISNUMBER(FIND(MID(CE564&amp;W564,ROW($1:$162),1),CE565&amp;W565)),MID(CE564&amp;W564,ROW($1:$162),1),""))</f>
        <v/>
      </c>
      <c r="CG565" s="27" t="str">
        <f t="array" ref="CG565">_xlfn.TEXTJOIN("",TRUE,IF(ISERROR(FIND(ROW($1:$168)-1,CE565&amp;CF565)),ROW($1:$168)-1,""))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65" s="28" t="str">
        <f t="shared" si="396"/>
        <v>邻孤孤</v>
      </c>
      <c r="CI565" s="29" t="str">
        <f t="shared" si="397"/>
        <v>02</v>
      </c>
      <c r="CJ565" s="29" t="str">
        <f t="array" ref="CJ565">_xlfn.TEXTJOIN("",TRUE,IF(ISNUMBER(FIND(MID(CI564&amp;X564,ROW($1:$162),1),CI565&amp;X565)),MID(CI564&amp;X564,ROW($1:$162),1),""))</f>
        <v>12</v>
      </c>
      <c r="CK565" s="29" t="str">
        <f t="array" ref="CK565">_xlfn.TEXTJOIN("",TRUE,IF(ISERROR(FIND(ROW($1:$168)-1,CI565&amp;CJ565)),ROW($1:$168)-1,""))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65" s="19" t="str">
        <f t="shared" si="398"/>
        <v>邻传孤</v>
      </c>
      <c r="CM565" s="24" t="str">
        <f t="shared" si="399"/>
        <v>79</v>
      </c>
      <c r="CN565" s="24" t="str">
        <f t="array" ref="CN565">_xlfn.TEXTJOIN("",TRUE,IF(ISNUMBER(FIND(MID(CM564&amp;Y564,ROW($1:$162),1),CM565&amp;Y565)),MID(CM564&amp;Y564,ROW($1:$162),1),""))</f>
        <v/>
      </c>
      <c r="CO565" s="24" t="str">
        <f t="array" ref="CO565">_xlfn.TEXTJOIN("",TRUE,IF(ISERROR(FIND(ROW($1:$168)-1,CM565&amp;CN565)),ROW($1:$168)-1,""))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565" s="30" t="str">
        <f t="shared" si="400"/>
        <v>邻孤孤</v>
      </c>
    </row>
    <row r="566" spans="1:94">
      <c r="A566" s="15">
        <v>566</v>
      </c>
      <c r="B566" s="80">
        <v>2025183</v>
      </c>
      <c r="C566" s="8" t="s">
        <v>453</v>
      </c>
      <c r="D566" s="81">
        <f t="shared" si="404"/>
        <v>15</v>
      </c>
      <c r="E566" s="82">
        <f t="shared" si="405"/>
        <v>5</v>
      </c>
      <c r="F566" s="83">
        <f t="shared" si="373"/>
        <v>5</v>
      </c>
      <c r="G566" s="84" t="str">
        <f t="shared" si="374"/>
        <v>紧凑</v>
      </c>
      <c r="H566" s="85" t="s">
        <v>10</v>
      </c>
      <c r="I566" s="85" t="s">
        <v>11</v>
      </c>
      <c r="J566" s="85" t="s">
        <v>12</v>
      </c>
      <c r="K566" s="85" t="s">
        <v>13</v>
      </c>
      <c r="L566" s="86">
        <f>MAX(MID(C566,{1,2,3},1)*1)-MIN(MID(C566,{1,2,3},1)*1)</f>
        <v>3</v>
      </c>
      <c r="M566" s="87">
        <v>0</v>
      </c>
      <c r="N566" s="87">
        <v>1</v>
      </c>
      <c r="O566" s="87">
        <v>2</v>
      </c>
      <c r="P566" s="87">
        <v>3</v>
      </c>
      <c r="Q566" s="87">
        <v>4</v>
      </c>
      <c r="R566" s="87">
        <v>5</v>
      </c>
      <c r="S566" s="87">
        <v>6</v>
      </c>
      <c r="T566" s="87">
        <v>7</v>
      </c>
      <c r="U566" s="87">
        <v>8</v>
      </c>
      <c r="V566" s="87">
        <v>9</v>
      </c>
      <c r="W566" s="88">
        <f t="shared" si="406"/>
        <v>3</v>
      </c>
      <c r="X566" s="88">
        <f t="shared" si="407"/>
        <v>3</v>
      </c>
      <c r="Y566" s="88">
        <f t="shared" si="408"/>
        <v>0</v>
      </c>
      <c r="Z566" s="89">
        <f t="shared" si="387"/>
        <v>6</v>
      </c>
      <c r="AA566" s="17" t="str">
        <f>_xlfn.TEXTJOIN(", ",TRUE,ABS(MID(C566,{1,1,2},1)-MID(C566,{2,3,3},1)))</f>
        <v>3, 3, 0</v>
      </c>
      <c r="AB566" s="90">
        <v>0</v>
      </c>
      <c r="AC566" s="90">
        <v>1</v>
      </c>
      <c r="AD566" s="90">
        <v>2</v>
      </c>
      <c r="AE566" s="90">
        <v>3</v>
      </c>
      <c r="AF566" s="90">
        <v>4</v>
      </c>
      <c r="AG566" s="90">
        <v>5</v>
      </c>
      <c r="AH566" s="90">
        <v>6</v>
      </c>
      <c r="AI566" s="90">
        <v>7</v>
      </c>
      <c r="AJ566" s="90">
        <v>8</v>
      </c>
      <c r="AK566" s="90">
        <v>9</v>
      </c>
      <c r="AL566" s="91">
        <v>0</v>
      </c>
      <c r="AM566" s="91">
        <v>1</v>
      </c>
      <c r="AN566" s="91">
        <v>2</v>
      </c>
      <c r="AO566" s="91">
        <v>3</v>
      </c>
      <c r="AP566" s="91">
        <v>4</v>
      </c>
      <c r="AQ566" s="91">
        <v>5</v>
      </c>
      <c r="AR566" s="91">
        <v>6</v>
      </c>
      <c r="AS566" s="91">
        <v>7</v>
      </c>
      <c r="AT566" s="91">
        <v>8</v>
      </c>
      <c r="AU566" s="91">
        <v>9</v>
      </c>
      <c r="AV566" s="92">
        <v>0</v>
      </c>
      <c r="AW566" s="92">
        <v>1</v>
      </c>
      <c r="AX566" s="92">
        <v>2</v>
      </c>
      <c r="AY566" s="92">
        <v>3</v>
      </c>
      <c r="AZ566" s="92">
        <v>4</v>
      </c>
      <c r="BA566" s="92">
        <v>5</v>
      </c>
      <c r="BB566" s="92">
        <v>6</v>
      </c>
      <c r="BC566" s="92">
        <v>7</v>
      </c>
      <c r="BD566" s="92">
        <v>8</v>
      </c>
      <c r="BE566" s="92">
        <v>9</v>
      </c>
      <c r="BF566" s="93">
        <v>0</v>
      </c>
      <c r="BG566" s="93">
        <v>1</v>
      </c>
      <c r="BH566" s="93">
        <v>2</v>
      </c>
      <c r="BI566" s="93">
        <v>3</v>
      </c>
      <c r="BJ566" s="93">
        <v>4</v>
      </c>
      <c r="BK566" s="93">
        <v>5</v>
      </c>
      <c r="BL566" s="93">
        <v>6</v>
      </c>
      <c r="BM566" s="93">
        <v>7</v>
      </c>
      <c r="BN566" s="93">
        <v>8</v>
      </c>
      <c r="BO566" s="93">
        <v>9</v>
      </c>
      <c r="BP566" s="94" t="str">
        <f t="shared" si="388"/>
        <v>紧凑型</v>
      </c>
      <c r="BQ566" s="15">
        <f t="shared" si="385"/>
        <v>0</v>
      </c>
      <c r="BR566" s="15">
        <f t="shared" si="386"/>
        <v>3</v>
      </c>
      <c r="BS566" s="20" t="str">
        <f t="shared" si="390"/>
        <v/>
      </c>
      <c r="BT566" s="21" t="str">
        <f t="shared" si="391"/>
        <v/>
      </c>
      <c r="BU566" s="21" t="str">
        <f t="array" ref="BU566">_xlfn.TEXTJOIN("",TRUE,IF(ISERROR(FIND(ROW($1:$168)-1,BS566&amp;BT566)),ROW($1:$168)-1,""))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66" s="22" t="str">
        <f t="shared" si="392"/>
        <v>中中中</v>
      </c>
      <c r="BW566" s="23" t="str">
        <f t="shared" si="403"/>
        <v/>
      </c>
      <c r="BX566" s="23" t="str">
        <f t="shared" si="401"/>
        <v/>
      </c>
      <c r="BY566" s="23" t="str">
        <f t="array" ref="BY566">_xlfn.TEXTJOIN("",TRUE,IF(ISERROR(FIND(ROW($1:$168)-1,BW566&amp;BX566)),ROW($1:$168)-1,""))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66" s="22" t="str">
        <f t="shared" si="393"/>
        <v>中中中</v>
      </c>
      <c r="CA566" s="24" t="str">
        <f t="shared" si="394"/>
        <v/>
      </c>
      <c r="CB566" s="24">
        <f t="shared" si="402"/>
        <v>0</v>
      </c>
      <c r="CC566" s="24" t="str">
        <f t="array" ref="CC566">_xlfn.TEXTJOIN("",TRUE,IF(ISERROR(FIND(ROW($1:$168)-1,CA566&amp;CB566)),ROW($1:$168)-1,""))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66" s="22" t="str">
        <f t="shared" si="395"/>
        <v>中隔中</v>
      </c>
      <c r="CE566" s="25" t="str">
        <f t="shared" si="389"/>
        <v>24</v>
      </c>
      <c r="CF566" s="26" t="str">
        <f t="array" ref="CF566">_xlfn.TEXTJOIN("",TRUE,IF(ISNUMBER(FIND(MID(CE565&amp;W565,ROW($1:$162),1),CE566&amp;W566)),MID(CE565&amp;W565,ROW($1:$162),1),""))</f>
        <v/>
      </c>
      <c r="CG566" s="27" t="str">
        <f t="array" ref="CG566">_xlfn.TEXTJOIN("",TRUE,IF(ISERROR(FIND(ROW($1:$168)-1,CE566&amp;CF566)),ROW($1:$168)-1,""))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66" s="28" t="str">
        <f t="shared" si="396"/>
        <v>邻孤孤</v>
      </c>
      <c r="CI566" s="29" t="str">
        <f t="shared" si="397"/>
        <v>24</v>
      </c>
      <c r="CJ566" s="29" t="str">
        <f t="array" ref="CJ566">_xlfn.TEXTJOIN("",TRUE,IF(ISNUMBER(FIND(MID(CI565&amp;X565,ROW($1:$162),1),CI566&amp;X566)),MID(CI565&amp;X565,ROW($1:$162),1),""))</f>
        <v>2</v>
      </c>
      <c r="CK566" s="29" t="str">
        <f t="array" ref="CK566">_xlfn.TEXTJOIN("",TRUE,IF(ISERROR(FIND(ROW($1:$168)-1,CI566&amp;CJ566)),ROW($1:$168)-1,""))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66" s="19" t="str">
        <f t="shared" si="398"/>
        <v>邻传孤</v>
      </c>
      <c r="CM566" s="24" t="str">
        <f t="shared" si="399"/>
        <v>91</v>
      </c>
      <c r="CN566" s="24" t="str">
        <f t="array" ref="CN566">_xlfn.TEXTJOIN("",TRUE,IF(ISNUMBER(FIND(MID(CM565&amp;Y565,ROW($1:$162),1),CM566&amp;Y566)),MID(CM565&amp;Y565,ROW($1:$162),1),""))</f>
        <v>9</v>
      </c>
      <c r="CO566" s="24" t="str">
        <f t="array" ref="CO566">_xlfn.TEXTJOIN("",TRUE,IF(ISERROR(FIND(ROW($1:$168)-1,CM566&amp;CN566)),ROW($1:$168)-1,""))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566" s="30" t="str">
        <f t="shared" si="400"/>
        <v>邻传孤</v>
      </c>
    </row>
    <row r="567" spans="1:94">
      <c r="A567" s="15">
        <v>567</v>
      </c>
      <c r="B567" s="80">
        <v>2025184</v>
      </c>
      <c r="C567" s="8" t="s">
        <v>454</v>
      </c>
      <c r="D567" s="81">
        <f t="shared" si="404"/>
        <v>25</v>
      </c>
      <c r="E567" s="82">
        <f t="shared" si="405"/>
        <v>5</v>
      </c>
      <c r="F567" s="83">
        <f t="shared" si="373"/>
        <v>12.5</v>
      </c>
      <c r="G567" s="84" t="str">
        <f t="shared" si="374"/>
        <v>紧凑</v>
      </c>
      <c r="H567" s="85" t="s">
        <v>10</v>
      </c>
      <c r="I567" s="85" t="s">
        <v>11</v>
      </c>
      <c r="J567" s="85" t="s">
        <v>12</v>
      </c>
      <c r="K567" s="85" t="s">
        <v>13</v>
      </c>
      <c r="L567" s="86">
        <f>MAX(MID(C567,{1,2,3},1)*1)-MIN(MID(C567,{1,2,3},1)*1)</f>
        <v>2</v>
      </c>
      <c r="M567" s="87">
        <v>0</v>
      </c>
      <c r="N567" s="87">
        <v>1</v>
      </c>
      <c r="O567" s="87">
        <v>2</v>
      </c>
      <c r="P567" s="87">
        <v>3</v>
      </c>
      <c r="Q567" s="87">
        <v>4</v>
      </c>
      <c r="R567" s="87">
        <v>5</v>
      </c>
      <c r="S567" s="87">
        <v>6</v>
      </c>
      <c r="T567" s="87">
        <v>7</v>
      </c>
      <c r="U567" s="87">
        <v>8</v>
      </c>
      <c r="V567" s="87">
        <v>9</v>
      </c>
      <c r="W567" s="88">
        <f t="shared" si="406"/>
        <v>2</v>
      </c>
      <c r="X567" s="88">
        <f t="shared" si="407"/>
        <v>2</v>
      </c>
      <c r="Y567" s="88">
        <f t="shared" si="408"/>
        <v>0</v>
      </c>
      <c r="Z567" s="89">
        <f t="shared" si="387"/>
        <v>4</v>
      </c>
      <c r="AA567" s="17" t="str">
        <f>_xlfn.TEXTJOIN(", ",TRUE,ABS(MID(C567,{1,1,2},1)-MID(C567,{2,3,3},1)))</f>
        <v>2, 2, 0</v>
      </c>
      <c r="AB567" s="90">
        <v>0</v>
      </c>
      <c r="AC567" s="90">
        <v>1</v>
      </c>
      <c r="AD567" s="90">
        <v>2</v>
      </c>
      <c r="AE567" s="90">
        <v>3</v>
      </c>
      <c r="AF567" s="90">
        <v>4</v>
      </c>
      <c r="AG567" s="90">
        <v>5</v>
      </c>
      <c r="AH567" s="90">
        <v>6</v>
      </c>
      <c r="AI567" s="90">
        <v>7</v>
      </c>
      <c r="AJ567" s="90">
        <v>8</v>
      </c>
      <c r="AK567" s="90">
        <v>9</v>
      </c>
      <c r="AL567" s="91">
        <v>0</v>
      </c>
      <c r="AM567" s="91">
        <v>1</v>
      </c>
      <c r="AN567" s="91">
        <v>2</v>
      </c>
      <c r="AO567" s="91">
        <v>3</v>
      </c>
      <c r="AP567" s="91">
        <v>4</v>
      </c>
      <c r="AQ567" s="91">
        <v>5</v>
      </c>
      <c r="AR567" s="91">
        <v>6</v>
      </c>
      <c r="AS567" s="91">
        <v>7</v>
      </c>
      <c r="AT567" s="91">
        <v>8</v>
      </c>
      <c r="AU567" s="91">
        <v>9</v>
      </c>
      <c r="AV567" s="92">
        <v>0</v>
      </c>
      <c r="AW567" s="92">
        <v>1</v>
      </c>
      <c r="AX567" s="92">
        <v>2</v>
      </c>
      <c r="AY567" s="92">
        <v>3</v>
      </c>
      <c r="AZ567" s="92">
        <v>4</v>
      </c>
      <c r="BA567" s="92">
        <v>5</v>
      </c>
      <c r="BB567" s="92">
        <v>6</v>
      </c>
      <c r="BC567" s="92">
        <v>7</v>
      </c>
      <c r="BD567" s="92">
        <v>8</v>
      </c>
      <c r="BE567" s="92">
        <v>9</v>
      </c>
      <c r="BF567" s="93">
        <v>0</v>
      </c>
      <c r="BG567" s="93">
        <v>1</v>
      </c>
      <c r="BH567" s="93">
        <v>2</v>
      </c>
      <c r="BI567" s="93">
        <v>3</v>
      </c>
      <c r="BJ567" s="93">
        <v>4</v>
      </c>
      <c r="BK567" s="93">
        <v>5</v>
      </c>
      <c r="BL567" s="93">
        <v>6</v>
      </c>
      <c r="BM567" s="93">
        <v>7</v>
      </c>
      <c r="BN567" s="93">
        <v>8</v>
      </c>
      <c r="BO567" s="93">
        <v>9</v>
      </c>
      <c r="BP567" s="94" t="str">
        <f t="shared" si="388"/>
        <v>紧凑型</v>
      </c>
      <c r="BQ567" s="15">
        <f t="shared" si="385"/>
        <v>0</v>
      </c>
      <c r="BR567" s="15">
        <f t="shared" si="386"/>
        <v>2</v>
      </c>
      <c r="BS567" s="20" t="str">
        <f t="shared" si="390"/>
        <v/>
      </c>
      <c r="BT567" s="21" t="str">
        <f t="shared" si="391"/>
        <v/>
      </c>
      <c r="BU567" s="21" t="str">
        <f t="array" ref="BU567">_xlfn.TEXTJOIN("",TRUE,IF(ISERROR(FIND(ROW($1:$168)-1,BS567&amp;BT567)),ROW($1:$168)-1,""))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67" s="22" t="str">
        <f t="shared" si="392"/>
        <v>中中中</v>
      </c>
      <c r="BW567" s="23" t="str">
        <f t="shared" si="403"/>
        <v/>
      </c>
      <c r="BX567" s="23" t="str">
        <f t="shared" si="401"/>
        <v/>
      </c>
      <c r="BY567" s="23" t="str">
        <f t="array" ref="BY567">_xlfn.TEXTJOIN("",TRUE,IF(ISERROR(FIND(ROW($1:$168)-1,BW567&amp;BX567)),ROW($1:$168)-1,""))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67" s="22" t="str">
        <f t="shared" si="393"/>
        <v>中中中</v>
      </c>
      <c r="CA567" s="24">
        <f t="shared" si="394"/>
        <v>0</v>
      </c>
      <c r="CB567" s="24" t="str">
        <f t="shared" si="402"/>
        <v/>
      </c>
      <c r="CC567" s="24" t="str">
        <f t="array" ref="CC567">_xlfn.TEXTJOIN("",TRUE,IF(ISERROR(FIND(ROW($1:$168)-1,CA567&amp;CB567)),ROW($1:$168)-1,""))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67" s="22" t="str">
        <f t="shared" si="395"/>
        <v>复中中</v>
      </c>
      <c r="CE567" s="25" t="str">
        <f t="shared" si="389"/>
        <v>13</v>
      </c>
      <c r="CF567" s="26" t="str">
        <f t="array" ref="CF567">_xlfn.TEXTJOIN("",TRUE,IF(ISNUMBER(FIND(MID(CE566&amp;W566,ROW($1:$162),1),CE567&amp;W567)),MID(CE566&amp;W566,ROW($1:$162),1),""))</f>
        <v>23</v>
      </c>
      <c r="CG567" s="27" t="str">
        <f t="array" ref="CG567">_xlfn.TEXTJOIN("",TRUE,IF(ISERROR(FIND(ROW($1:$168)-1,CE567&amp;CF567)),ROW($1:$168)-1,""))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567" s="28" t="str">
        <f t="shared" si="396"/>
        <v>邻传孤</v>
      </c>
      <c r="CI567" s="29" t="str">
        <f t="shared" si="397"/>
        <v>13</v>
      </c>
      <c r="CJ567" s="29" t="str">
        <f t="array" ref="CJ567">_xlfn.TEXTJOIN("",TRUE,IF(ISNUMBER(FIND(MID(CI566&amp;X566,ROW($1:$162),1),CI567&amp;X567)),MID(CI566&amp;X566,ROW($1:$162),1),""))</f>
        <v>23</v>
      </c>
      <c r="CK567" s="29" t="str">
        <f t="array" ref="CK567">_xlfn.TEXTJOIN("",TRUE,IF(ISERROR(FIND(ROW($1:$168)-1,CI567&amp;CJ567)),ROW($1:$168)-1,""))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567" s="19" t="str">
        <f t="shared" si="398"/>
        <v>邻传孤</v>
      </c>
      <c r="CM567" s="24" t="str">
        <f t="shared" si="399"/>
        <v>91</v>
      </c>
      <c r="CN567" s="24" t="str">
        <f t="array" ref="CN567">_xlfn.TEXTJOIN("",TRUE,IF(ISNUMBER(FIND(MID(CM566&amp;Y566,ROW($1:$162),1),CM567&amp;Y567)),MID(CM566&amp;Y566,ROW($1:$162),1),""))</f>
        <v>910</v>
      </c>
      <c r="CO567" s="24" t="str">
        <f t="array" ref="CO567">_xlfn.TEXTJOIN("",TRUE,IF(ISERROR(FIND(ROW($1:$168)-1,CM567&amp;CN567)),ROW($1:$168)-1,""))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567" s="30" t="str">
        <f t="shared" si="400"/>
        <v>邻传孤</v>
      </c>
    </row>
    <row r="568" spans="1:94">
      <c r="A568" s="15">
        <v>568</v>
      </c>
      <c r="B568" s="80">
        <v>2025185</v>
      </c>
      <c r="C568" s="8" t="s">
        <v>205</v>
      </c>
      <c r="D568" s="81">
        <f t="shared" si="404"/>
        <v>11</v>
      </c>
      <c r="E568" s="82">
        <f t="shared" si="405"/>
        <v>1</v>
      </c>
      <c r="F568" s="83">
        <f t="shared" si="373"/>
        <v>2.2</v>
      </c>
      <c r="G568" s="84" t="str">
        <f t="shared" si="374"/>
        <v>标准</v>
      </c>
      <c r="H568" s="85" t="s">
        <v>10</v>
      </c>
      <c r="I568" s="85" t="s">
        <v>11</v>
      </c>
      <c r="J568" s="85" t="s">
        <v>12</v>
      </c>
      <c r="K568" s="85" t="s">
        <v>13</v>
      </c>
      <c r="L568" s="86">
        <f>MAX(MID(C568,{1,2,3},1)*1)-MIN(MID(C568,{1,2,3},1)*1)</f>
        <v>5</v>
      </c>
      <c r="M568" s="87">
        <v>0</v>
      </c>
      <c r="N568" s="87">
        <v>1</v>
      </c>
      <c r="O568" s="87">
        <v>2</v>
      </c>
      <c r="P568" s="87">
        <v>3</v>
      </c>
      <c r="Q568" s="87">
        <v>4</v>
      </c>
      <c r="R568" s="87">
        <v>5</v>
      </c>
      <c r="S568" s="87">
        <v>6</v>
      </c>
      <c r="T568" s="87">
        <v>7</v>
      </c>
      <c r="U568" s="87">
        <v>8</v>
      </c>
      <c r="V568" s="87">
        <v>9</v>
      </c>
      <c r="W568" s="88">
        <f t="shared" si="406"/>
        <v>5</v>
      </c>
      <c r="X568" s="88">
        <f t="shared" si="407"/>
        <v>3</v>
      </c>
      <c r="Y568" s="88">
        <f t="shared" si="408"/>
        <v>2</v>
      </c>
      <c r="Z568" s="89">
        <f t="shared" si="387"/>
        <v>10</v>
      </c>
      <c r="AA568" s="17" t="str">
        <f>_xlfn.TEXTJOIN(", ",TRUE,ABS(MID(C568,{1,1,2},1)-MID(C568,{2,3,3},1)))</f>
        <v>5, 3, 2</v>
      </c>
      <c r="AB568" s="90">
        <v>0</v>
      </c>
      <c r="AC568" s="90">
        <v>1</v>
      </c>
      <c r="AD568" s="90">
        <v>2</v>
      </c>
      <c r="AE568" s="90">
        <v>3</v>
      </c>
      <c r="AF568" s="90">
        <v>4</v>
      </c>
      <c r="AG568" s="90">
        <v>5</v>
      </c>
      <c r="AH568" s="90">
        <v>6</v>
      </c>
      <c r="AI568" s="90">
        <v>7</v>
      </c>
      <c r="AJ568" s="90">
        <v>8</v>
      </c>
      <c r="AK568" s="90">
        <v>9</v>
      </c>
      <c r="AL568" s="91">
        <v>0</v>
      </c>
      <c r="AM568" s="91">
        <v>1</v>
      </c>
      <c r="AN568" s="91">
        <v>2</v>
      </c>
      <c r="AO568" s="91">
        <v>3</v>
      </c>
      <c r="AP568" s="91">
        <v>4</v>
      </c>
      <c r="AQ568" s="91">
        <v>5</v>
      </c>
      <c r="AR568" s="91">
        <v>6</v>
      </c>
      <c r="AS568" s="91">
        <v>7</v>
      </c>
      <c r="AT568" s="91">
        <v>8</v>
      </c>
      <c r="AU568" s="91">
        <v>9</v>
      </c>
      <c r="AV568" s="92">
        <v>0</v>
      </c>
      <c r="AW568" s="92">
        <v>1</v>
      </c>
      <c r="AX568" s="92">
        <v>2</v>
      </c>
      <c r="AY568" s="92">
        <v>3</v>
      </c>
      <c r="AZ568" s="92">
        <v>4</v>
      </c>
      <c r="BA568" s="92">
        <v>5</v>
      </c>
      <c r="BB568" s="92">
        <v>6</v>
      </c>
      <c r="BC568" s="92">
        <v>7</v>
      </c>
      <c r="BD568" s="92">
        <v>8</v>
      </c>
      <c r="BE568" s="92">
        <v>9</v>
      </c>
      <c r="BF568" s="93">
        <v>0</v>
      </c>
      <c r="BG568" s="93">
        <v>1</v>
      </c>
      <c r="BH568" s="93">
        <v>2</v>
      </c>
      <c r="BI568" s="93">
        <v>3</v>
      </c>
      <c r="BJ568" s="93">
        <v>4</v>
      </c>
      <c r="BK568" s="93">
        <v>5</v>
      </c>
      <c r="BL568" s="93">
        <v>6</v>
      </c>
      <c r="BM568" s="93">
        <v>7</v>
      </c>
      <c r="BN568" s="93">
        <v>8</v>
      </c>
      <c r="BO568" s="93">
        <v>9</v>
      </c>
      <c r="BP568" s="94" t="str">
        <f t="shared" si="388"/>
        <v>标准型</v>
      </c>
      <c r="BQ568" s="15">
        <f t="shared" si="385"/>
        <v>2</v>
      </c>
      <c r="BR568" s="15">
        <f t="shared" si="386"/>
        <v>5</v>
      </c>
      <c r="BS568" s="20" t="str">
        <f t="shared" si="390"/>
        <v/>
      </c>
      <c r="BT568" s="21" t="str">
        <f t="shared" si="391"/>
        <v/>
      </c>
      <c r="BU568" s="21" t="str">
        <f t="array" ref="BU568">_xlfn.TEXTJOIN("",TRUE,IF(ISERROR(FIND(ROW($1:$168)-1,BS568&amp;BT568)),ROW($1:$168)-1,""))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68" s="22" t="str">
        <f t="shared" si="392"/>
        <v>中中中</v>
      </c>
      <c r="BW568" s="23" t="str">
        <f t="shared" si="403"/>
        <v/>
      </c>
      <c r="BX568" s="23">
        <f t="shared" si="401"/>
        <v>3</v>
      </c>
      <c r="BY568" s="23" t="str">
        <f t="array" ref="BY568">_xlfn.TEXTJOIN("",TRUE,IF(ISERROR(FIND(ROW($1:$168)-1,BW568&amp;BX568)),ROW($1:$168)-1,""))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68" s="22" t="str">
        <f t="shared" si="393"/>
        <v>中隔中</v>
      </c>
      <c r="CA568" s="24">
        <f t="shared" si="394"/>
        <v>2</v>
      </c>
      <c r="CB568" s="24" t="str">
        <f t="shared" si="402"/>
        <v/>
      </c>
      <c r="CC568" s="24" t="str">
        <f t="array" ref="CC568">_xlfn.TEXTJOIN("",TRUE,IF(ISERROR(FIND(ROW($1:$168)-1,CA568&amp;CB568)),ROW($1:$168)-1,""))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68" s="22" t="str">
        <f t="shared" si="395"/>
        <v>复中中</v>
      </c>
      <c r="CE568" s="25" t="str">
        <f t="shared" si="389"/>
        <v>46</v>
      </c>
      <c r="CF568" s="26" t="str">
        <f t="array" ref="CF568">_xlfn.TEXTJOIN("",TRUE,IF(ISNUMBER(FIND(MID(CE567&amp;W567,ROW($1:$162),1),CE568&amp;W568)),MID(CE567&amp;W567,ROW($1:$162),1),""))</f>
        <v/>
      </c>
      <c r="CG568" s="27" t="str">
        <f t="array" ref="CG568">_xlfn.TEXTJOIN("",TRUE,IF(ISERROR(FIND(ROW($1:$168)-1,CE568&amp;CF568)),ROW($1:$168)-1,""))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68" s="28" t="str">
        <f t="shared" si="396"/>
        <v>邻孤孤</v>
      </c>
      <c r="CI568" s="29" t="str">
        <f t="shared" si="397"/>
        <v>24</v>
      </c>
      <c r="CJ568" s="29" t="str">
        <f t="array" ref="CJ568">_xlfn.TEXTJOIN("",TRUE,IF(ISNUMBER(FIND(MID(CI567&amp;X567,ROW($1:$162),1),CI568&amp;X568)),MID(CI567&amp;X567,ROW($1:$162),1),""))</f>
        <v>32</v>
      </c>
      <c r="CK568" s="29" t="str">
        <f t="array" ref="CK568">_xlfn.TEXTJOIN("",TRUE,IF(ISERROR(FIND(ROW($1:$168)-1,CI568&amp;CJ568)),ROW($1:$168)-1,""))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68" s="19" t="str">
        <f t="shared" si="398"/>
        <v>邻传孤</v>
      </c>
      <c r="CM568" s="24" t="str">
        <f t="shared" si="399"/>
        <v>13</v>
      </c>
      <c r="CN568" s="24" t="str">
        <f t="array" ref="CN568">_xlfn.TEXTJOIN("",TRUE,IF(ISNUMBER(FIND(MID(CM567&amp;Y567,ROW($1:$162),1),CM568&amp;Y568)),MID(CM567&amp;Y567,ROW($1:$162),1),""))</f>
        <v>1</v>
      </c>
      <c r="CO568" s="24" t="str">
        <f t="array" ref="CO568">_xlfn.TEXTJOIN("",TRUE,IF(ISERROR(FIND(ROW($1:$168)-1,CM568&amp;CN568)),ROW($1:$168)-1,""))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P568" s="30" t="str">
        <f t="shared" si="400"/>
        <v>邻传孤</v>
      </c>
    </row>
    <row r="569" spans="1:94">
      <c r="A569" s="15">
        <v>569</v>
      </c>
      <c r="B569" s="80">
        <v>2025186</v>
      </c>
      <c r="C569" s="8" t="s">
        <v>47</v>
      </c>
      <c r="D569" s="81">
        <f t="shared" si="404"/>
        <v>11</v>
      </c>
      <c r="E569" s="82">
        <f t="shared" si="405"/>
        <v>1</v>
      </c>
      <c r="F569" s="83">
        <f t="shared" si="373"/>
        <v>2.2</v>
      </c>
      <c r="G569" s="84" t="str">
        <f t="shared" si="374"/>
        <v>标准</v>
      </c>
      <c r="H569" s="85" t="s">
        <v>10</v>
      </c>
      <c r="I569" s="85" t="s">
        <v>11</v>
      </c>
      <c r="J569" s="85" t="s">
        <v>12</v>
      </c>
      <c r="K569" s="85" t="s">
        <v>13</v>
      </c>
      <c r="L569" s="86">
        <f>MAX(MID(C569,{1,2,3},1)*1)-MIN(MID(C569,{1,2,3},1)*1)</f>
        <v>5</v>
      </c>
      <c r="M569" s="87">
        <v>0</v>
      </c>
      <c r="N569" s="87">
        <v>1</v>
      </c>
      <c r="O569" s="87">
        <v>2</v>
      </c>
      <c r="P569" s="87">
        <v>3</v>
      </c>
      <c r="Q569" s="87">
        <v>4</v>
      </c>
      <c r="R569" s="87">
        <v>5</v>
      </c>
      <c r="S569" s="87">
        <v>6</v>
      </c>
      <c r="T569" s="87">
        <v>7</v>
      </c>
      <c r="U569" s="87">
        <v>8</v>
      </c>
      <c r="V569" s="87">
        <v>9</v>
      </c>
      <c r="W569" s="88">
        <f t="shared" si="406"/>
        <v>0</v>
      </c>
      <c r="X569" s="88">
        <f t="shared" si="407"/>
        <v>5</v>
      </c>
      <c r="Y569" s="88">
        <f t="shared" si="408"/>
        <v>5</v>
      </c>
      <c r="Z569" s="89">
        <f t="shared" si="387"/>
        <v>10</v>
      </c>
      <c r="AA569" s="17" t="str">
        <f>_xlfn.TEXTJOIN(", ",TRUE,ABS(MID(C569,{1,1,2},1)-MID(C569,{2,3,3},1)))</f>
        <v>0, 5, 5</v>
      </c>
      <c r="AB569" s="90">
        <v>0</v>
      </c>
      <c r="AC569" s="90">
        <v>1</v>
      </c>
      <c r="AD569" s="90">
        <v>2</v>
      </c>
      <c r="AE569" s="90">
        <v>3</v>
      </c>
      <c r="AF569" s="90">
        <v>4</v>
      </c>
      <c r="AG569" s="90">
        <v>5</v>
      </c>
      <c r="AH569" s="90">
        <v>6</v>
      </c>
      <c r="AI569" s="90">
        <v>7</v>
      </c>
      <c r="AJ569" s="90">
        <v>8</v>
      </c>
      <c r="AK569" s="90">
        <v>9</v>
      </c>
      <c r="AL569" s="91">
        <v>0</v>
      </c>
      <c r="AM569" s="91">
        <v>1</v>
      </c>
      <c r="AN569" s="91">
        <v>2</v>
      </c>
      <c r="AO569" s="91">
        <v>3</v>
      </c>
      <c r="AP569" s="91">
        <v>4</v>
      </c>
      <c r="AQ569" s="91">
        <v>5</v>
      </c>
      <c r="AR569" s="91">
        <v>6</v>
      </c>
      <c r="AS569" s="91">
        <v>7</v>
      </c>
      <c r="AT569" s="91">
        <v>8</v>
      </c>
      <c r="AU569" s="91">
        <v>9</v>
      </c>
      <c r="AV569" s="92">
        <v>0</v>
      </c>
      <c r="AW569" s="92">
        <v>1</v>
      </c>
      <c r="AX569" s="92">
        <v>2</v>
      </c>
      <c r="AY569" s="92">
        <v>3</v>
      </c>
      <c r="AZ569" s="92">
        <v>4</v>
      </c>
      <c r="BA569" s="92">
        <v>5</v>
      </c>
      <c r="BB569" s="92">
        <v>6</v>
      </c>
      <c r="BC569" s="92">
        <v>7</v>
      </c>
      <c r="BD569" s="92">
        <v>8</v>
      </c>
      <c r="BE569" s="92">
        <v>9</v>
      </c>
      <c r="BF569" s="93">
        <v>0</v>
      </c>
      <c r="BG569" s="93">
        <v>1</v>
      </c>
      <c r="BH569" s="93">
        <v>2</v>
      </c>
      <c r="BI569" s="93">
        <v>3</v>
      </c>
      <c r="BJ569" s="93">
        <v>4</v>
      </c>
      <c r="BK569" s="93">
        <v>5</v>
      </c>
      <c r="BL569" s="93">
        <v>6</v>
      </c>
      <c r="BM569" s="93">
        <v>7</v>
      </c>
      <c r="BN569" s="93">
        <v>8</v>
      </c>
      <c r="BO569" s="93">
        <v>9</v>
      </c>
      <c r="BP569" s="94" t="str">
        <f t="shared" si="388"/>
        <v>对子</v>
      </c>
      <c r="BQ569" s="15">
        <f t="shared" si="385"/>
        <v>0</v>
      </c>
      <c r="BR569" s="15">
        <f t="shared" si="386"/>
        <v>5</v>
      </c>
      <c r="BS569" s="20" t="str">
        <f t="shared" si="390"/>
        <v/>
      </c>
      <c r="BT569" s="21">
        <f t="shared" si="391"/>
        <v>0</v>
      </c>
      <c r="BU569" s="21" t="str">
        <f t="array" ref="BU569">_xlfn.TEXTJOIN("",TRUE,IF(ISERROR(FIND(ROW($1:$168)-1,BS569&amp;BT569)),ROW($1:$168)-1,""))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69" s="22" t="str">
        <f t="shared" si="392"/>
        <v>中隔中</v>
      </c>
      <c r="BW569" s="23">
        <f t="shared" si="403"/>
        <v>5</v>
      </c>
      <c r="BX569" s="23" t="str">
        <f t="shared" si="401"/>
        <v/>
      </c>
      <c r="BY569" s="23" t="str">
        <f t="array" ref="BY569">_xlfn.TEXTJOIN("",TRUE,IF(ISERROR(FIND(ROW($1:$168)-1,BW569&amp;BX569)),ROW($1:$168)-1,""))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69" s="22" t="str">
        <f t="shared" si="393"/>
        <v>复中中</v>
      </c>
      <c r="CA569" s="24">
        <f t="shared" si="394"/>
        <v>5</v>
      </c>
      <c r="CB569" s="24" t="str">
        <f t="shared" si="402"/>
        <v/>
      </c>
      <c r="CC569" s="24" t="str">
        <f t="array" ref="CC569">_xlfn.TEXTJOIN("",TRUE,IF(ISERROR(FIND(ROW($1:$168)-1,CA569&amp;CB569)),ROW($1:$168)-1,""))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69" s="22" t="str">
        <f t="shared" si="395"/>
        <v>复中中</v>
      </c>
      <c r="CE569" s="25" t="str">
        <f t="shared" si="389"/>
        <v>91</v>
      </c>
      <c r="CF569" s="26" t="str">
        <f t="array" ref="CF569">_xlfn.TEXTJOIN("",TRUE,IF(ISNUMBER(FIND(MID(CE568&amp;W568,ROW($1:$162),1),CE569&amp;W569)),MID(CE568&amp;W568,ROW($1:$162),1),""))</f>
        <v/>
      </c>
      <c r="CG569" s="27" t="str">
        <f t="array" ref="CG569">_xlfn.TEXTJOIN("",TRUE,IF(ISERROR(FIND(ROW($1:$168)-1,CE569&amp;CF569)),ROW($1:$168)-1,""))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569" s="28" t="str">
        <f t="shared" si="396"/>
        <v>邻孤孤</v>
      </c>
      <c r="CI569" s="29" t="str">
        <f t="shared" si="397"/>
        <v>46</v>
      </c>
      <c r="CJ569" s="29" t="str">
        <f t="array" ref="CJ569">_xlfn.TEXTJOIN("",TRUE,IF(ISNUMBER(FIND(MID(CI568&amp;X568,ROW($1:$162),1),CI569&amp;X569)),MID(CI568&amp;X568,ROW($1:$162),1),""))</f>
        <v>4</v>
      </c>
      <c r="CK569" s="29" t="str">
        <f t="array" ref="CK569">_xlfn.TEXTJOIN("",TRUE,IF(ISERROR(FIND(ROW($1:$168)-1,CI569&amp;CJ569)),ROW($1:$168)-1,""))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69" s="19" t="str">
        <f t="shared" si="398"/>
        <v>邻传孤</v>
      </c>
      <c r="CM569" s="24" t="str">
        <f t="shared" si="399"/>
        <v>46</v>
      </c>
      <c r="CN569" s="24" t="str">
        <f t="array" ref="CN569">_xlfn.TEXTJOIN("",TRUE,IF(ISNUMBER(FIND(MID(CM568&amp;Y568,ROW($1:$162),1),CM569&amp;Y569)),MID(CM568&amp;Y568,ROW($1:$162),1),""))</f>
        <v/>
      </c>
      <c r="CO569" s="24" t="str">
        <f t="array" ref="CO569">_xlfn.TEXTJOIN("",TRUE,IF(ISERROR(FIND(ROW($1:$168)-1,CM569&amp;CN569)),ROW($1:$168)-1,""))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69" s="30" t="str">
        <f t="shared" si="400"/>
        <v>邻孤孤</v>
      </c>
    </row>
    <row r="570" spans="1:94">
      <c r="A570" s="15">
        <v>570</v>
      </c>
      <c r="B570" s="80">
        <v>2025187</v>
      </c>
      <c r="C570" s="8" t="s">
        <v>140</v>
      </c>
      <c r="D570" s="81">
        <f t="shared" si="404"/>
        <v>14</v>
      </c>
      <c r="E570" s="82">
        <f t="shared" si="405"/>
        <v>4</v>
      </c>
      <c r="F570" s="83">
        <f t="shared" si="373"/>
        <v>2.33333333333333</v>
      </c>
      <c r="G570" s="84" t="str">
        <f t="shared" si="374"/>
        <v>标准</v>
      </c>
      <c r="H570" s="85" t="s">
        <v>10</v>
      </c>
      <c r="I570" s="85" t="s">
        <v>11</v>
      </c>
      <c r="J570" s="85" t="s">
        <v>12</v>
      </c>
      <c r="K570" s="85" t="s">
        <v>13</v>
      </c>
      <c r="L570" s="86">
        <f>MAX(MID(C570,{1,2,3},1)*1)-MIN(MID(C570,{1,2,3},1)*1)</f>
        <v>6</v>
      </c>
      <c r="M570" s="87">
        <v>0</v>
      </c>
      <c r="N570" s="87">
        <v>1</v>
      </c>
      <c r="O570" s="87">
        <v>2</v>
      </c>
      <c r="P570" s="87">
        <v>3</v>
      </c>
      <c r="Q570" s="87">
        <v>4</v>
      </c>
      <c r="R570" s="87">
        <v>5</v>
      </c>
      <c r="S570" s="87">
        <v>6</v>
      </c>
      <c r="T570" s="87">
        <v>7</v>
      </c>
      <c r="U570" s="87">
        <v>8</v>
      </c>
      <c r="V570" s="87">
        <v>9</v>
      </c>
      <c r="W570" s="88">
        <f t="shared" si="406"/>
        <v>1</v>
      </c>
      <c r="X570" s="88">
        <f t="shared" si="407"/>
        <v>6</v>
      </c>
      <c r="Y570" s="88">
        <f t="shared" si="408"/>
        <v>5</v>
      </c>
      <c r="Z570" s="89">
        <f t="shared" si="387"/>
        <v>12</v>
      </c>
      <c r="AA570" s="17" t="str">
        <f>_xlfn.TEXTJOIN(", ",TRUE,ABS(MID(C570,{1,1,2},1)-MID(C570,{2,3,3},1)))</f>
        <v>1, 6, 5</v>
      </c>
      <c r="AB570" s="90">
        <v>0</v>
      </c>
      <c r="AC570" s="90">
        <v>1</v>
      </c>
      <c r="AD570" s="90">
        <v>2</v>
      </c>
      <c r="AE570" s="90">
        <v>3</v>
      </c>
      <c r="AF570" s="90">
        <v>4</v>
      </c>
      <c r="AG570" s="90">
        <v>5</v>
      </c>
      <c r="AH570" s="90">
        <v>6</v>
      </c>
      <c r="AI570" s="90">
        <v>7</v>
      </c>
      <c r="AJ570" s="90">
        <v>8</v>
      </c>
      <c r="AK570" s="90">
        <v>9</v>
      </c>
      <c r="AL570" s="91">
        <v>0</v>
      </c>
      <c r="AM570" s="91">
        <v>1</v>
      </c>
      <c r="AN570" s="91">
        <v>2</v>
      </c>
      <c r="AO570" s="91">
        <v>3</v>
      </c>
      <c r="AP570" s="91">
        <v>4</v>
      </c>
      <c r="AQ570" s="91">
        <v>5</v>
      </c>
      <c r="AR570" s="91">
        <v>6</v>
      </c>
      <c r="AS570" s="91">
        <v>7</v>
      </c>
      <c r="AT570" s="91">
        <v>8</v>
      </c>
      <c r="AU570" s="91">
        <v>9</v>
      </c>
      <c r="AV570" s="92">
        <v>0</v>
      </c>
      <c r="AW570" s="92">
        <v>1</v>
      </c>
      <c r="AX570" s="92">
        <v>2</v>
      </c>
      <c r="AY570" s="92">
        <v>3</v>
      </c>
      <c r="AZ570" s="92">
        <v>4</v>
      </c>
      <c r="BA570" s="92">
        <v>5</v>
      </c>
      <c r="BB570" s="92">
        <v>6</v>
      </c>
      <c r="BC570" s="92">
        <v>7</v>
      </c>
      <c r="BD570" s="92">
        <v>8</v>
      </c>
      <c r="BE570" s="92">
        <v>9</v>
      </c>
      <c r="BF570" s="93">
        <v>0</v>
      </c>
      <c r="BG570" s="93">
        <v>1</v>
      </c>
      <c r="BH570" s="93">
        <v>2</v>
      </c>
      <c r="BI570" s="93">
        <v>3</v>
      </c>
      <c r="BJ570" s="93">
        <v>4</v>
      </c>
      <c r="BK570" s="93">
        <v>5</v>
      </c>
      <c r="BL570" s="93">
        <v>6</v>
      </c>
      <c r="BM570" s="93">
        <v>7</v>
      </c>
      <c r="BN570" s="93">
        <v>8</v>
      </c>
      <c r="BO570" s="93">
        <v>9</v>
      </c>
      <c r="BP570" s="94" t="str">
        <f t="shared" si="388"/>
        <v>松散型</v>
      </c>
      <c r="BQ570" s="15">
        <f t="shared" si="385"/>
        <v>1</v>
      </c>
      <c r="BR570" s="15">
        <f t="shared" si="386"/>
        <v>6</v>
      </c>
      <c r="BS570" s="20" t="str">
        <f t="shared" si="390"/>
        <v/>
      </c>
      <c r="BT570" s="21" t="str">
        <f t="shared" si="391"/>
        <v/>
      </c>
      <c r="BU570" s="21" t="str">
        <f t="array" ref="BU570">_xlfn.TEXTJOIN("",TRUE,IF(ISERROR(FIND(ROW($1:$168)-1,BS570&amp;BT570)),ROW($1:$168)-1,""))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70" s="22" t="str">
        <f t="shared" si="392"/>
        <v>中中中</v>
      </c>
      <c r="BW570" s="23" t="str">
        <f t="shared" si="403"/>
        <v/>
      </c>
      <c r="BX570" s="23" t="str">
        <f t="shared" si="401"/>
        <v/>
      </c>
      <c r="BY570" s="23" t="str">
        <f t="array" ref="BY570">_xlfn.TEXTJOIN("",TRUE,IF(ISERROR(FIND(ROW($1:$168)-1,BW570&amp;BX570)),ROW($1:$168)-1,""))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70" s="22" t="str">
        <f t="shared" si="393"/>
        <v>中中中</v>
      </c>
      <c r="CA570" s="24">
        <f t="shared" si="394"/>
        <v>5</v>
      </c>
      <c r="CB570" s="24">
        <f t="shared" si="402"/>
        <v>5</v>
      </c>
      <c r="CC570" s="24" t="str">
        <f t="array" ref="CC570">_xlfn.TEXTJOIN("",TRUE,IF(ISERROR(FIND(ROW($1:$168)-1,CA570&amp;CB570)),ROW($1:$168)-1,""))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70" s="22" t="str">
        <f t="shared" si="395"/>
        <v>复隔中</v>
      </c>
      <c r="CE570" s="25" t="str">
        <f t="shared" si="389"/>
        <v>02</v>
      </c>
      <c r="CF570" s="26" t="str">
        <f t="array" ref="CF570">_xlfn.TEXTJOIN("",TRUE,IF(ISNUMBER(FIND(MID(CE569&amp;W569,ROW($1:$162),1),CE570&amp;W570)),MID(CE569&amp;W569,ROW($1:$162),1),""))</f>
        <v>10</v>
      </c>
      <c r="CG570" s="27" t="str">
        <f t="array" ref="CG570">_xlfn.TEXTJOIN("",TRUE,IF(ISERROR(FIND(ROW($1:$168)-1,CE570&amp;CF570)),ROW($1:$168)-1,""))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70" s="28" t="str">
        <f t="shared" si="396"/>
        <v>邻传孤</v>
      </c>
      <c r="CI570" s="29" t="str">
        <f t="shared" si="397"/>
        <v>57</v>
      </c>
      <c r="CJ570" s="29" t="str">
        <f t="array" ref="CJ570">_xlfn.TEXTJOIN("",TRUE,IF(ISNUMBER(FIND(MID(CI569&amp;X569,ROW($1:$162),1),CI570&amp;X570)),MID(CI569&amp;X569,ROW($1:$162),1),""))</f>
        <v>65</v>
      </c>
      <c r="CK570" s="29" t="str">
        <f t="array" ref="CK570">_xlfn.TEXTJOIN("",TRUE,IF(ISERROR(FIND(ROW($1:$168)-1,CI570&amp;CJ570)),ROW($1:$168)-1,""))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70" s="19" t="str">
        <f t="shared" si="398"/>
        <v>邻传孤</v>
      </c>
      <c r="CM570" s="24" t="str">
        <f t="shared" si="399"/>
        <v>46</v>
      </c>
      <c r="CN570" s="24" t="str">
        <f t="array" ref="CN570">_xlfn.TEXTJOIN("",TRUE,IF(ISNUMBER(FIND(MID(CM569&amp;Y569,ROW($1:$162),1),CM570&amp;Y570)),MID(CM569&amp;Y569,ROW($1:$162),1),""))</f>
        <v>465</v>
      </c>
      <c r="CO570" s="24" t="str">
        <f t="array" ref="CO570">_xlfn.TEXTJOIN("",TRUE,IF(ISERROR(FIND(ROW($1:$168)-1,CM570&amp;CN570)),ROW($1:$168)-1,""))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70" s="30" t="str">
        <f t="shared" si="400"/>
        <v>邻传孤</v>
      </c>
    </row>
    <row r="571" spans="1:94">
      <c r="A571" s="15">
        <v>571</v>
      </c>
      <c r="B571" s="80">
        <v>2025188</v>
      </c>
      <c r="C571" s="8" t="s">
        <v>455</v>
      </c>
      <c r="D571" s="81">
        <f t="shared" si="404"/>
        <v>9</v>
      </c>
      <c r="E571" s="82">
        <f t="shared" si="405"/>
        <v>9</v>
      </c>
      <c r="F571" s="83">
        <f t="shared" si="373"/>
        <v>1.125</v>
      </c>
      <c r="G571" s="84" t="str">
        <f t="shared" si="374"/>
        <v>松散</v>
      </c>
      <c r="H571" s="85" t="s">
        <v>10</v>
      </c>
      <c r="I571" s="85" t="s">
        <v>11</v>
      </c>
      <c r="J571" s="85" t="s">
        <v>12</v>
      </c>
      <c r="K571" s="85" t="s">
        <v>13</v>
      </c>
      <c r="L571" s="86">
        <f>MAX(MID(C571,{1,2,3},1)*1)-MIN(MID(C571,{1,2,3},1)*1)</f>
        <v>8</v>
      </c>
      <c r="M571" s="87">
        <v>0</v>
      </c>
      <c r="N571" s="87">
        <v>1</v>
      </c>
      <c r="O571" s="87">
        <v>2</v>
      </c>
      <c r="P571" s="87">
        <v>3</v>
      </c>
      <c r="Q571" s="87">
        <v>4</v>
      </c>
      <c r="R571" s="87">
        <v>5</v>
      </c>
      <c r="S571" s="87">
        <v>6</v>
      </c>
      <c r="T571" s="87">
        <v>7</v>
      </c>
      <c r="U571" s="87">
        <v>8</v>
      </c>
      <c r="V571" s="87">
        <v>9</v>
      </c>
      <c r="W571" s="88">
        <f t="shared" si="406"/>
        <v>1</v>
      </c>
      <c r="X571" s="88">
        <f t="shared" si="407"/>
        <v>8</v>
      </c>
      <c r="Y571" s="88">
        <f t="shared" si="408"/>
        <v>7</v>
      </c>
      <c r="Z571" s="89">
        <f t="shared" si="387"/>
        <v>16</v>
      </c>
      <c r="AA571" s="17" t="str">
        <f>_xlfn.TEXTJOIN(", ",TRUE,ABS(MID(C571,{1,1,2},1)-MID(C571,{2,3,3},1)))</f>
        <v>1, 8, 7</v>
      </c>
      <c r="AB571" s="90">
        <v>0</v>
      </c>
      <c r="AC571" s="90">
        <v>1</v>
      </c>
      <c r="AD571" s="90">
        <v>2</v>
      </c>
      <c r="AE571" s="90">
        <v>3</v>
      </c>
      <c r="AF571" s="90">
        <v>4</v>
      </c>
      <c r="AG571" s="90">
        <v>5</v>
      </c>
      <c r="AH571" s="90">
        <v>6</v>
      </c>
      <c r="AI571" s="90">
        <v>7</v>
      </c>
      <c r="AJ571" s="90">
        <v>8</v>
      </c>
      <c r="AK571" s="90">
        <v>9</v>
      </c>
      <c r="AL571" s="91">
        <v>0</v>
      </c>
      <c r="AM571" s="91">
        <v>1</v>
      </c>
      <c r="AN571" s="91">
        <v>2</v>
      </c>
      <c r="AO571" s="91">
        <v>3</v>
      </c>
      <c r="AP571" s="91">
        <v>4</v>
      </c>
      <c r="AQ571" s="91">
        <v>5</v>
      </c>
      <c r="AR571" s="91">
        <v>6</v>
      </c>
      <c r="AS571" s="91">
        <v>7</v>
      </c>
      <c r="AT571" s="91">
        <v>8</v>
      </c>
      <c r="AU571" s="91">
        <v>9</v>
      </c>
      <c r="AV571" s="92">
        <v>0</v>
      </c>
      <c r="AW571" s="92">
        <v>1</v>
      </c>
      <c r="AX571" s="92">
        <v>2</v>
      </c>
      <c r="AY571" s="92">
        <v>3</v>
      </c>
      <c r="AZ571" s="92">
        <v>4</v>
      </c>
      <c r="BA571" s="92">
        <v>5</v>
      </c>
      <c r="BB571" s="92">
        <v>6</v>
      </c>
      <c r="BC571" s="92">
        <v>7</v>
      </c>
      <c r="BD571" s="92">
        <v>8</v>
      </c>
      <c r="BE571" s="92">
        <v>9</v>
      </c>
      <c r="BF571" s="93">
        <v>0</v>
      </c>
      <c r="BG571" s="93">
        <v>1</v>
      </c>
      <c r="BH571" s="93">
        <v>2</v>
      </c>
      <c r="BI571" s="93">
        <v>3</v>
      </c>
      <c r="BJ571" s="93">
        <v>4</v>
      </c>
      <c r="BK571" s="93">
        <v>5</v>
      </c>
      <c r="BL571" s="93">
        <v>6</v>
      </c>
      <c r="BM571" s="93">
        <v>7</v>
      </c>
      <c r="BN571" s="93">
        <v>8</v>
      </c>
      <c r="BO571" s="93">
        <v>9</v>
      </c>
      <c r="BP571" s="94" t="str">
        <f t="shared" si="388"/>
        <v>松散型</v>
      </c>
      <c r="BQ571" s="15">
        <f t="shared" si="385"/>
        <v>1</v>
      </c>
      <c r="BR571" s="15">
        <f t="shared" si="386"/>
        <v>8</v>
      </c>
      <c r="BS571" s="20">
        <f t="shared" si="390"/>
        <v>1</v>
      </c>
      <c r="BT571" s="21" t="str">
        <f t="shared" si="391"/>
        <v/>
      </c>
      <c r="BU571" s="21" t="str">
        <f t="array" ref="BU571">_xlfn.TEXTJOIN("",TRUE,IF(ISERROR(FIND(ROW($1:$168)-1,BS571&amp;BT571)),ROW($1:$168)-1,""))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71" s="22" t="str">
        <f t="shared" si="392"/>
        <v>复中中</v>
      </c>
      <c r="BW571" s="23" t="str">
        <f t="shared" si="403"/>
        <v/>
      </c>
      <c r="BX571" s="23" t="str">
        <f t="shared" si="401"/>
        <v/>
      </c>
      <c r="BY571" s="23" t="str">
        <f t="array" ref="BY571">_xlfn.TEXTJOIN("",TRUE,IF(ISERROR(FIND(ROW($1:$168)-1,BW571&amp;BX571)),ROW($1:$168)-1,""))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71" s="22" t="str">
        <f t="shared" si="393"/>
        <v>中中中</v>
      </c>
      <c r="CA571" s="24" t="str">
        <f t="shared" si="394"/>
        <v/>
      </c>
      <c r="CB571" s="24" t="str">
        <f t="shared" si="402"/>
        <v/>
      </c>
      <c r="CC571" s="24" t="str">
        <f t="array" ref="CC571">_xlfn.TEXTJOIN("",TRUE,IF(ISERROR(FIND(ROW($1:$168)-1,CA571&amp;CB571)),ROW($1:$168)-1,""))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71" s="22" t="str">
        <f t="shared" si="395"/>
        <v>中中中</v>
      </c>
      <c r="CE571" s="25" t="str">
        <f t="shared" si="389"/>
        <v>02</v>
      </c>
      <c r="CF571" s="26" t="str">
        <f t="array" ref="CF571">_xlfn.TEXTJOIN("",TRUE,IF(ISNUMBER(FIND(MID(CE570&amp;W570,ROW($1:$162),1),CE571&amp;W571)),MID(CE570&amp;W570,ROW($1:$162),1),""))</f>
        <v>021</v>
      </c>
      <c r="CG571" s="27" t="str">
        <f t="array" ref="CG571">_xlfn.TEXTJOIN("",TRUE,IF(ISERROR(FIND(ROW($1:$168)-1,CE571&amp;CF571)),ROW($1:$168)-1,""))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71" s="28" t="str">
        <f t="shared" si="396"/>
        <v>邻传孤</v>
      </c>
      <c r="CI571" s="29" t="str">
        <f t="shared" si="397"/>
        <v>79</v>
      </c>
      <c r="CJ571" s="29" t="str">
        <f t="array" ref="CJ571">_xlfn.TEXTJOIN("",TRUE,IF(ISNUMBER(FIND(MID(CI570&amp;X570,ROW($1:$162),1),CI571&amp;X571)),MID(CI570&amp;X570,ROW($1:$162),1),""))</f>
        <v>7</v>
      </c>
      <c r="CK571" s="29" t="str">
        <f t="array" ref="CK571">_xlfn.TEXTJOIN("",TRUE,IF(ISERROR(FIND(ROW($1:$168)-1,CI571&amp;CJ571)),ROW($1:$168)-1,""))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L571" s="19" t="str">
        <f t="shared" si="398"/>
        <v>邻传孤</v>
      </c>
      <c r="CM571" s="24" t="str">
        <f t="shared" si="399"/>
        <v>68</v>
      </c>
      <c r="CN571" s="24" t="str">
        <f t="array" ref="CN571">_xlfn.TEXTJOIN("",TRUE,IF(ISNUMBER(FIND(MID(CM570&amp;Y570,ROW($1:$162),1),CM571&amp;Y571)),MID(CM570&amp;Y570,ROW($1:$162),1),""))</f>
        <v>6</v>
      </c>
      <c r="CO571" s="24" t="str">
        <f t="array" ref="CO571">_xlfn.TEXTJOIN("",TRUE,IF(ISERROR(FIND(ROW($1:$168)-1,CM571&amp;CN571)),ROW($1:$168)-1,""))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P571" s="30" t="str">
        <f t="shared" si="400"/>
        <v>邻传孤</v>
      </c>
    </row>
    <row r="572" spans="1:94">
      <c r="A572" s="15">
        <v>572</v>
      </c>
      <c r="B572" s="80">
        <v>2025189</v>
      </c>
      <c r="C572" s="8" t="s">
        <v>456</v>
      </c>
      <c r="D572" s="81">
        <f t="shared" si="404"/>
        <v>16</v>
      </c>
      <c r="E572" s="82">
        <f t="shared" si="405"/>
        <v>6</v>
      </c>
      <c r="F572" s="83">
        <f t="shared" si="373"/>
        <v>1.77777777777778</v>
      </c>
      <c r="G572" s="84" t="str">
        <f t="shared" si="374"/>
        <v>松散</v>
      </c>
      <c r="H572" s="85" t="s">
        <v>10</v>
      </c>
      <c r="I572" s="85" t="s">
        <v>11</v>
      </c>
      <c r="J572" s="85" t="s">
        <v>12</v>
      </c>
      <c r="K572" s="85" t="s">
        <v>13</v>
      </c>
      <c r="L572" s="86">
        <f>MAX(MID(C572,{1,2,3},1)*1)-MIN(MID(C572,{1,2,3},1)*1)</f>
        <v>9</v>
      </c>
      <c r="M572" s="87">
        <v>0</v>
      </c>
      <c r="N572" s="87">
        <v>1</v>
      </c>
      <c r="O572" s="87">
        <v>2</v>
      </c>
      <c r="P572" s="87">
        <v>3</v>
      </c>
      <c r="Q572" s="87">
        <v>4</v>
      </c>
      <c r="R572" s="87">
        <v>5</v>
      </c>
      <c r="S572" s="87">
        <v>6</v>
      </c>
      <c r="T572" s="87">
        <v>7</v>
      </c>
      <c r="U572" s="87">
        <v>8</v>
      </c>
      <c r="V572" s="87">
        <v>9</v>
      </c>
      <c r="W572" s="88">
        <f t="shared" si="406"/>
        <v>9</v>
      </c>
      <c r="X572" s="88">
        <f t="shared" si="407"/>
        <v>2</v>
      </c>
      <c r="Y572" s="88">
        <f t="shared" si="408"/>
        <v>7</v>
      </c>
      <c r="Z572" s="89">
        <f t="shared" si="387"/>
        <v>18</v>
      </c>
      <c r="AA572" s="17" t="str">
        <f>_xlfn.TEXTJOIN(", ",TRUE,ABS(MID(C572,{1,1,2},1)-MID(C572,{2,3,3},1)))</f>
        <v>9, 2, 7</v>
      </c>
      <c r="AB572" s="90">
        <v>0</v>
      </c>
      <c r="AC572" s="90">
        <v>1</v>
      </c>
      <c r="AD572" s="90">
        <v>2</v>
      </c>
      <c r="AE572" s="90">
        <v>3</v>
      </c>
      <c r="AF572" s="90">
        <v>4</v>
      </c>
      <c r="AG572" s="90">
        <v>5</v>
      </c>
      <c r="AH572" s="90">
        <v>6</v>
      </c>
      <c r="AI572" s="90">
        <v>7</v>
      </c>
      <c r="AJ572" s="90">
        <v>8</v>
      </c>
      <c r="AK572" s="90">
        <v>9</v>
      </c>
      <c r="AL572" s="91">
        <v>0</v>
      </c>
      <c r="AM572" s="91">
        <v>1</v>
      </c>
      <c r="AN572" s="91">
        <v>2</v>
      </c>
      <c r="AO572" s="91">
        <v>3</v>
      </c>
      <c r="AP572" s="91">
        <v>4</v>
      </c>
      <c r="AQ572" s="91">
        <v>5</v>
      </c>
      <c r="AR572" s="91">
        <v>6</v>
      </c>
      <c r="AS572" s="91">
        <v>7</v>
      </c>
      <c r="AT572" s="91">
        <v>8</v>
      </c>
      <c r="AU572" s="91">
        <v>9</v>
      </c>
      <c r="AV572" s="92">
        <v>0</v>
      </c>
      <c r="AW572" s="92">
        <v>1</v>
      </c>
      <c r="AX572" s="92">
        <v>2</v>
      </c>
      <c r="AY572" s="92">
        <v>3</v>
      </c>
      <c r="AZ572" s="92">
        <v>4</v>
      </c>
      <c r="BA572" s="92">
        <v>5</v>
      </c>
      <c r="BB572" s="92">
        <v>6</v>
      </c>
      <c r="BC572" s="92">
        <v>7</v>
      </c>
      <c r="BD572" s="92">
        <v>8</v>
      </c>
      <c r="BE572" s="92">
        <v>9</v>
      </c>
      <c r="BF572" s="93">
        <v>0</v>
      </c>
      <c r="BG572" s="93">
        <v>1</v>
      </c>
      <c r="BH572" s="93">
        <v>2</v>
      </c>
      <c r="BI572" s="93">
        <v>3</v>
      </c>
      <c r="BJ572" s="93">
        <v>4</v>
      </c>
      <c r="BK572" s="93">
        <v>5</v>
      </c>
      <c r="BL572" s="93">
        <v>6</v>
      </c>
      <c r="BM572" s="93">
        <v>7</v>
      </c>
      <c r="BN572" s="93">
        <v>8</v>
      </c>
      <c r="BO572" s="93">
        <v>9</v>
      </c>
      <c r="BP572" s="94" t="str">
        <f t="shared" si="388"/>
        <v>松散型</v>
      </c>
      <c r="BQ572" s="15">
        <f t="shared" si="385"/>
        <v>2</v>
      </c>
      <c r="BR572" s="15">
        <f t="shared" si="386"/>
        <v>9</v>
      </c>
      <c r="BS572" s="20" t="str">
        <f t="shared" si="390"/>
        <v/>
      </c>
      <c r="BT572" s="21" t="str">
        <f t="shared" si="391"/>
        <v/>
      </c>
      <c r="BU572" s="21" t="str">
        <f t="array" ref="BU572">_xlfn.TEXTJOIN("",TRUE,IF(ISERROR(FIND(ROW($1:$168)-1,BS572&amp;BT572)),ROW($1:$168)-1,""))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72" s="22" t="str">
        <f t="shared" si="392"/>
        <v>中中中</v>
      </c>
      <c r="BW572" s="23" t="str">
        <f t="shared" si="403"/>
        <v/>
      </c>
      <c r="BX572" s="23" t="str">
        <f t="shared" si="401"/>
        <v/>
      </c>
      <c r="BY572" s="23" t="str">
        <f t="array" ref="BY572">_xlfn.TEXTJOIN("",TRUE,IF(ISERROR(FIND(ROW($1:$168)-1,BW572&amp;BX572)),ROW($1:$168)-1,""))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72" s="22" t="str">
        <f t="shared" si="393"/>
        <v>中中中</v>
      </c>
      <c r="CA572" s="24">
        <f t="shared" si="394"/>
        <v>7</v>
      </c>
      <c r="CB572" s="24" t="str">
        <f t="shared" si="402"/>
        <v/>
      </c>
      <c r="CC572" s="24" t="str">
        <f t="array" ref="CC572">_xlfn.TEXTJOIN("",TRUE,IF(ISERROR(FIND(ROW($1:$168)-1,CA572&amp;CB572)),ROW($1:$168)-1,""))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72" s="22" t="str">
        <f t="shared" si="395"/>
        <v>复中中</v>
      </c>
      <c r="CE572" s="25" t="str">
        <f t="shared" si="389"/>
        <v>80</v>
      </c>
      <c r="CF572" s="26" t="str">
        <f t="array" ref="CF572">_xlfn.TEXTJOIN("",TRUE,IF(ISNUMBER(FIND(MID(CE571&amp;W571,ROW($1:$162),1),CE572&amp;W572)),MID(CE571&amp;W571,ROW($1:$162),1),""))</f>
        <v>0</v>
      </c>
      <c r="CG572" s="27" t="str">
        <f t="array" ref="CG572">_xlfn.TEXTJOIN("",TRUE,IF(ISERROR(FIND(ROW($1:$168)-1,CE572&amp;CF572)),ROW($1:$168)-1,""))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H572" s="28" t="str">
        <f t="shared" si="396"/>
        <v>邻传孤</v>
      </c>
      <c r="CI572" s="29" t="str">
        <f t="shared" si="397"/>
        <v>13</v>
      </c>
      <c r="CJ572" s="29" t="str">
        <f t="array" ref="CJ572">_xlfn.TEXTJOIN("",TRUE,IF(ISNUMBER(FIND(MID(CI571&amp;X571,ROW($1:$162),1),CI572&amp;X572)),MID(CI571&amp;X571,ROW($1:$162),1),""))</f>
        <v/>
      </c>
      <c r="CK572" s="29" t="str">
        <f t="array" ref="CK572">_xlfn.TEXTJOIN("",TRUE,IF(ISERROR(FIND(ROW($1:$168)-1,CI572&amp;CJ572)),ROW($1:$168)-1,""))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72" s="19" t="str">
        <f t="shared" si="398"/>
        <v>邻孤孤</v>
      </c>
      <c r="CM572" s="24" t="str">
        <f t="shared" si="399"/>
        <v>68</v>
      </c>
      <c r="CN572" s="24" t="str">
        <f t="array" ref="CN572">_xlfn.TEXTJOIN("",TRUE,IF(ISNUMBER(FIND(MID(CM571&amp;Y571,ROW($1:$162),1),CM572&amp;Y572)),MID(CM571&amp;Y571,ROW($1:$162),1),""))</f>
        <v>687</v>
      </c>
      <c r="CO572" s="24" t="str">
        <f t="array" ref="CO572">_xlfn.TEXTJOIN("",TRUE,IF(ISERROR(FIND(ROW($1:$168)-1,CM572&amp;CN572)),ROW($1:$168)-1,""))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P572" s="30" t="str">
        <f t="shared" si="400"/>
        <v>邻传孤</v>
      </c>
    </row>
    <row r="573" spans="1:94">
      <c r="A573" s="15">
        <v>573</v>
      </c>
      <c r="B573" s="80">
        <v>2025190</v>
      </c>
      <c r="C573" s="8" t="s">
        <v>211</v>
      </c>
      <c r="D573" s="81">
        <f t="shared" si="404"/>
        <v>6</v>
      </c>
      <c r="E573" s="82">
        <f t="shared" si="405"/>
        <v>6</v>
      </c>
      <c r="F573" s="83">
        <f t="shared" si="373"/>
        <v>1.5</v>
      </c>
      <c r="G573" s="84" t="str">
        <f t="shared" si="374"/>
        <v>松散</v>
      </c>
      <c r="H573" s="85" t="s">
        <v>10</v>
      </c>
      <c r="I573" s="85" t="s">
        <v>11</v>
      </c>
      <c r="J573" s="85" t="s">
        <v>12</v>
      </c>
      <c r="K573" s="85" t="s">
        <v>13</v>
      </c>
      <c r="L573" s="86">
        <f>MAX(MID(C573,{1,2,3},1)*1)-MIN(MID(C573,{1,2,3},1)*1)</f>
        <v>4</v>
      </c>
      <c r="M573" s="87">
        <v>0</v>
      </c>
      <c r="N573" s="87">
        <v>1</v>
      </c>
      <c r="O573" s="87">
        <v>2</v>
      </c>
      <c r="P573" s="87">
        <v>3</v>
      </c>
      <c r="Q573" s="87">
        <v>4</v>
      </c>
      <c r="R573" s="87">
        <v>5</v>
      </c>
      <c r="S573" s="87">
        <v>6</v>
      </c>
      <c r="T573" s="87">
        <v>7</v>
      </c>
      <c r="U573" s="87">
        <v>8</v>
      </c>
      <c r="V573" s="87">
        <v>9</v>
      </c>
      <c r="W573" s="88">
        <f t="shared" si="406"/>
        <v>4</v>
      </c>
      <c r="X573" s="88">
        <f t="shared" si="407"/>
        <v>2</v>
      </c>
      <c r="Y573" s="88">
        <f t="shared" si="408"/>
        <v>2</v>
      </c>
      <c r="Z573" s="89">
        <f t="shared" si="387"/>
        <v>8</v>
      </c>
      <c r="AA573" s="17" t="str">
        <f>_xlfn.TEXTJOIN(", ",TRUE,ABS(MID(C573,{1,1,2},1)-MID(C573,{2,3,3},1)))</f>
        <v>4, 2, 2</v>
      </c>
      <c r="AB573" s="90">
        <v>0</v>
      </c>
      <c r="AC573" s="90">
        <v>1</v>
      </c>
      <c r="AD573" s="90">
        <v>2</v>
      </c>
      <c r="AE573" s="90">
        <v>3</v>
      </c>
      <c r="AF573" s="90">
        <v>4</v>
      </c>
      <c r="AG573" s="90">
        <v>5</v>
      </c>
      <c r="AH573" s="90">
        <v>6</v>
      </c>
      <c r="AI573" s="90">
        <v>7</v>
      </c>
      <c r="AJ573" s="90">
        <v>8</v>
      </c>
      <c r="AK573" s="90">
        <v>9</v>
      </c>
      <c r="AL573" s="91">
        <v>0</v>
      </c>
      <c r="AM573" s="91">
        <v>1</v>
      </c>
      <c r="AN573" s="91">
        <v>2</v>
      </c>
      <c r="AO573" s="91">
        <v>3</v>
      </c>
      <c r="AP573" s="91">
        <v>4</v>
      </c>
      <c r="AQ573" s="91">
        <v>5</v>
      </c>
      <c r="AR573" s="91">
        <v>6</v>
      </c>
      <c r="AS573" s="91">
        <v>7</v>
      </c>
      <c r="AT573" s="91">
        <v>8</v>
      </c>
      <c r="AU573" s="91">
        <v>9</v>
      </c>
      <c r="AV573" s="92">
        <v>0</v>
      </c>
      <c r="AW573" s="92">
        <v>1</v>
      </c>
      <c r="AX573" s="92">
        <v>2</v>
      </c>
      <c r="AY573" s="92">
        <v>3</v>
      </c>
      <c r="AZ573" s="92">
        <v>4</v>
      </c>
      <c r="BA573" s="92">
        <v>5</v>
      </c>
      <c r="BB573" s="92">
        <v>6</v>
      </c>
      <c r="BC573" s="92">
        <v>7</v>
      </c>
      <c r="BD573" s="92">
        <v>8</v>
      </c>
      <c r="BE573" s="92">
        <v>9</v>
      </c>
      <c r="BF573" s="93">
        <v>0</v>
      </c>
      <c r="BG573" s="93">
        <v>1</v>
      </c>
      <c r="BH573" s="93">
        <v>2</v>
      </c>
      <c r="BI573" s="93">
        <v>3</v>
      </c>
      <c r="BJ573" s="93">
        <v>4</v>
      </c>
      <c r="BK573" s="93">
        <v>5</v>
      </c>
      <c r="BL573" s="93">
        <v>6</v>
      </c>
      <c r="BM573" s="93">
        <v>7</v>
      </c>
      <c r="BN573" s="93">
        <v>8</v>
      </c>
      <c r="BO573" s="93">
        <v>9</v>
      </c>
      <c r="BP573" s="94" t="str">
        <f t="shared" si="388"/>
        <v>标准型</v>
      </c>
      <c r="BQ573" s="15">
        <f t="shared" si="385"/>
        <v>2</v>
      </c>
      <c r="BR573" s="15">
        <f t="shared" si="386"/>
        <v>4</v>
      </c>
      <c r="BS573" s="20" t="str">
        <f t="shared" si="390"/>
        <v/>
      </c>
      <c r="BT573" s="21" t="str">
        <f t="shared" si="391"/>
        <v/>
      </c>
      <c r="BU573" s="21" t="str">
        <f t="array" ref="BU573">_xlfn.TEXTJOIN("",TRUE,IF(ISERROR(FIND(ROW($1:$168)-1,BS573&amp;BT573)),ROW($1:$168)-1,""))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73" s="22" t="str">
        <f t="shared" si="392"/>
        <v>中中中</v>
      </c>
      <c r="BW573" s="23">
        <f t="shared" si="403"/>
        <v>2</v>
      </c>
      <c r="BX573" s="23" t="str">
        <f t="shared" si="401"/>
        <v/>
      </c>
      <c r="BY573" s="23" t="str">
        <f t="array" ref="BY573">_xlfn.TEXTJOIN("",TRUE,IF(ISERROR(FIND(ROW($1:$168)-1,BW573&amp;BX573)),ROW($1:$168)-1,""))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73" s="22" t="str">
        <f t="shared" si="393"/>
        <v>复中中</v>
      </c>
      <c r="CA573" s="24">
        <f t="shared" si="394"/>
        <v>2</v>
      </c>
      <c r="CB573" s="24" t="str">
        <f t="shared" si="402"/>
        <v/>
      </c>
      <c r="CC573" s="24" t="str">
        <f t="array" ref="CC573">_xlfn.TEXTJOIN("",TRUE,IF(ISERROR(FIND(ROW($1:$168)-1,CA573&amp;CB573)),ROW($1:$168)-1,""))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73" s="22" t="str">
        <f t="shared" si="395"/>
        <v>复中中</v>
      </c>
      <c r="CE573" s="25" t="str">
        <f t="shared" si="389"/>
        <v>35</v>
      </c>
      <c r="CF573" s="26" t="str">
        <f t="array" ref="CF573">_xlfn.TEXTJOIN("",TRUE,IF(ISNUMBER(FIND(MID(CE572&amp;W572,ROW($1:$162),1),CE573&amp;W573)),MID(CE572&amp;W572,ROW($1:$162),1),""))</f>
        <v/>
      </c>
      <c r="CG573" s="27" t="str">
        <f t="array" ref="CG573">_xlfn.TEXTJOIN("",TRUE,IF(ISERROR(FIND(ROW($1:$168)-1,CE573&amp;CF573)),ROW($1:$168)-1,""))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73" s="28" t="str">
        <f t="shared" si="396"/>
        <v>邻孤孤</v>
      </c>
      <c r="CI573" s="29" t="str">
        <f t="shared" si="397"/>
        <v>13</v>
      </c>
      <c r="CJ573" s="29" t="str">
        <f t="array" ref="CJ573">_xlfn.TEXTJOIN("",TRUE,IF(ISNUMBER(FIND(MID(CI572&amp;X572,ROW($1:$162),1),CI573&amp;X573)),MID(CI572&amp;X572,ROW($1:$162),1),""))</f>
        <v>132</v>
      </c>
      <c r="CK573" s="29" t="str">
        <f t="array" ref="CK573">_xlfn.TEXTJOIN("",TRUE,IF(ISERROR(FIND(ROW($1:$168)-1,CI573&amp;CJ573)),ROW($1:$168)-1,""))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573" s="19" t="str">
        <f t="shared" si="398"/>
        <v>邻传孤</v>
      </c>
      <c r="CM573" s="24" t="str">
        <f t="shared" si="399"/>
        <v>13</v>
      </c>
      <c r="CN573" s="24" t="str">
        <f t="array" ref="CN573">_xlfn.TEXTJOIN("",TRUE,IF(ISNUMBER(FIND(MID(CM572&amp;Y572,ROW($1:$162),1),CM573&amp;Y573)),MID(CM572&amp;Y572,ROW($1:$162),1),""))</f>
        <v/>
      </c>
      <c r="CO573" s="24" t="str">
        <f t="array" ref="CO573">_xlfn.TEXTJOIN("",TRUE,IF(ISERROR(FIND(ROW($1:$168)-1,CM573&amp;CN573)),ROW($1:$168)-1,""))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73" s="30" t="str">
        <f t="shared" si="400"/>
        <v>邻孤孤</v>
      </c>
    </row>
    <row r="574" spans="1:94">
      <c r="A574" s="15">
        <v>574</v>
      </c>
      <c r="B574" s="80">
        <v>2025191</v>
      </c>
      <c r="C574" s="8" t="s">
        <v>431</v>
      </c>
      <c r="D574" s="81">
        <f t="shared" si="404"/>
        <v>4</v>
      </c>
      <c r="E574" s="82">
        <f t="shared" si="405"/>
        <v>4</v>
      </c>
      <c r="F574" s="83">
        <f t="shared" si="373"/>
        <v>2</v>
      </c>
      <c r="G574" s="84" t="str">
        <f t="shared" si="374"/>
        <v>标准</v>
      </c>
      <c r="H574" s="85" t="s">
        <v>10</v>
      </c>
      <c r="I574" s="85" t="s">
        <v>11</v>
      </c>
      <c r="J574" s="85" t="s">
        <v>12</v>
      </c>
      <c r="K574" s="85" t="s">
        <v>13</v>
      </c>
      <c r="L574" s="86">
        <f>MAX(MID(C574,{1,2,3},1)*1)-MIN(MID(C574,{1,2,3},1)*1)</f>
        <v>2</v>
      </c>
      <c r="M574" s="87">
        <v>0</v>
      </c>
      <c r="N574" s="87">
        <v>1</v>
      </c>
      <c r="O574" s="87">
        <v>2</v>
      </c>
      <c r="P574" s="87">
        <v>3</v>
      </c>
      <c r="Q574" s="87">
        <v>4</v>
      </c>
      <c r="R574" s="87">
        <v>5</v>
      </c>
      <c r="S574" s="87">
        <v>6</v>
      </c>
      <c r="T574" s="87">
        <v>7</v>
      </c>
      <c r="U574" s="87">
        <v>8</v>
      </c>
      <c r="V574" s="87">
        <v>9</v>
      </c>
      <c r="W574" s="88">
        <f t="shared" si="406"/>
        <v>2</v>
      </c>
      <c r="X574" s="88">
        <f t="shared" si="407"/>
        <v>0</v>
      </c>
      <c r="Y574" s="88">
        <f t="shared" si="408"/>
        <v>2</v>
      </c>
      <c r="Z574" s="89">
        <f t="shared" si="387"/>
        <v>4</v>
      </c>
      <c r="AA574" s="17" t="str">
        <f>_xlfn.TEXTJOIN(", ",TRUE,ABS(MID(C574,{1,1,2},1)-MID(C574,{2,3,3},1)))</f>
        <v>2, 0, 2</v>
      </c>
      <c r="AB574" s="90">
        <v>0</v>
      </c>
      <c r="AC574" s="90">
        <v>1</v>
      </c>
      <c r="AD574" s="90">
        <v>2</v>
      </c>
      <c r="AE574" s="90">
        <v>3</v>
      </c>
      <c r="AF574" s="90">
        <v>4</v>
      </c>
      <c r="AG574" s="90">
        <v>5</v>
      </c>
      <c r="AH574" s="90">
        <v>6</v>
      </c>
      <c r="AI574" s="90">
        <v>7</v>
      </c>
      <c r="AJ574" s="90">
        <v>8</v>
      </c>
      <c r="AK574" s="90">
        <v>9</v>
      </c>
      <c r="AL574" s="91">
        <v>0</v>
      </c>
      <c r="AM574" s="91">
        <v>1</v>
      </c>
      <c r="AN574" s="91">
        <v>2</v>
      </c>
      <c r="AO574" s="91">
        <v>3</v>
      </c>
      <c r="AP574" s="91">
        <v>4</v>
      </c>
      <c r="AQ574" s="91">
        <v>5</v>
      </c>
      <c r="AR574" s="91">
        <v>6</v>
      </c>
      <c r="AS574" s="91">
        <v>7</v>
      </c>
      <c r="AT574" s="91">
        <v>8</v>
      </c>
      <c r="AU574" s="91">
        <v>9</v>
      </c>
      <c r="AV574" s="92">
        <v>0</v>
      </c>
      <c r="AW574" s="92">
        <v>1</v>
      </c>
      <c r="AX574" s="92">
        <v>2</v>
      </c>
      <c r="AY574" s="92">
        <v>3</v>
      </c>
      <c r="AZ574" s="92">
        <v>4</v>
      </c>
      <c r="BA574" s="92">
        <v>5</v>
      </c>
      <c r="BB574" s="92">
        <v>6</v>
      </c>
      <c r="BC574" s="92">
        <v>7</v>
      </c>
      <c r="BD574" s="92">
        <v>8</v>
      </c>
      <c r="BE574" s="92">
        <v>9</v>
      </c>
      <c r="BF574" s="93">
        <v>0</v>
      </c>
      <c r="BG574" s="93">
        <v>1</v>
      </c>
      <c r="BH574" s="93">
        <v>2</v>
      </c>
      <c r="BI574" s="93">
        <v>3</v>
      </c>
      <c r="BJ574" s="93">
        <v>4</v>
      </c>
      <c r="BK574" s="93">
        <v>5</v>
      </c>
      <c r="BL574" s="93">
        <v>6</v>
      </c>
      <c r="BM574" s="93">
        <v>7</v>
      </c>
      <c r="BN574" s="93">
        <v>8</v>
      </c>
      <c r="BO574" s="93">
        <v>9</v>
      </c>
      <c r="BP574" s="94" t="str">
        <f t="shared" si="388"/>
        <v>紧凑型</v>
      </c>
      <c r="BQ574" s="15">
        <f t="shared" si="385"/>
        <v>0</v>
      </c>
      <c r="BR574" s="15">
        <f t="shared" si="386"/>
        <v>2</v>
      </c>
      <c r="BS574" s="20">
        <f t="shared" si="390"/>
        <v>2</v>
      </c>
      <c r="BT574" s="21">
        <f t="shared" si="391"/>
        <v>2</v>
      </c>
      <c r="BU574" s="21" t="str">
        <f t="array" ref="BU574">_xlfn.TEXTJOIN("",TRUE,IF(ISERROR(FIND(ROW($1:$168)-1,BS574&amp;BT574)),ROW($1:$168)-1,""))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74" s="22" t="str">
        <f t="shared" si="392"/>
        <v>复隔中</v>
      </c>
      <c r="BW574" s="23" t="str">
        <f t="shared" si="403"/>
        <v/>
      </c>
      <c r="BX574" s="23" t="str">
        <f t="shared" si="401"/>
        <v/>
      </c>
      <c r="BY574" s="23" t="str">
        <f t="array" ref="BY574">_xlfn.TEXTJOIN("",TRUE,IF(ISERROR(FIND(ROW($1:$168)-1,BW574&amp;BX574)),ROW($1:$168)-1,""))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74" s="22" t="str">
        <f t="shared" si="393"/>
        <v>中中中</v>
      </c>
      <c r="CA574" s="24">
        <f t="shared" si="394"/>
        <v>2</v>
      </c>
      <c r="CB574" s="24">
        <f t="shared" si="402"/>
        <v>2</v>
      </c>
      <c r="CC574" s="24" t="str">
        <f t="array" ref="CC574">_xlfn.TEXTJOIN("",TRUE,IF(ISERROR(FIND(ROW($1:$168)-1,CA574&amp;CB574)),ROW($1:$168)-1,""))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74" s="22" t="str">
        <f t="shared" si="395"/>
        <v>复隔中</v>
      </c>
      <c r="CE574" s="25" t="str">
        <f t="shared" si="389"/>
        <v>13</v>
      </c>
      <c r="CF574" s="26" t="str">
        <f t="array" ref="CF574">_xlfn.TEXTJOIN("",TRUE,IF(ISNUMBER(FIND(MID(CE573&amp;W573,ROW($1:$162),1),CE574&amp;W574)),MID(CE573&amp;W573,ROW($1:$162),1),""))</f>
        <v>3</v>
      </c>
      <c r="CG574" s="27" t="str">
        <f t="array" ref="CG574">_xlfn.TEXTJOIN("",TRUE,IF(ISERROR(FIND(ROW($1:$168)-1,CE574&amp;CF574)),ROW($1:$168)-1,""))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574" s="28" t="str">
        <f t="shared" si="396"/>
        <v>邻传孤</v>
      </c>
      <c r="CI574" s="29" t="str">
        <f t="shared" si="397"/>
        <v>91</v>
      </c>
      <c r="CJ574" s="29" t="str">
        <f t="array" ref="CJ574">_xlfn.TEXTJOIN("",TRUE,IF(ISNUMBER(FIND(MID(CI573&amp;X573,ROW($1:$162),1),CI574&amp;X574)),MID(CI573&amp;X573,ROW($1:$162),1),""))</f>
        <v>1</v>
      </c>
      <c r="CK574" s="29" t="str">
        <f t="array" ref="CK574">_xlfn.TEXTJOIN("",TRUE,IF(ISERROR(FIND(ROW($1:$168)-1,CI574&amp;CJ574)),ROW($1:$168)-1,""))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574" s="19" t="str">
        <f t="shared" si="398"/>
        <v>邻传孤</v>
      </c>
      <c r="CM574" s="24" t="str">
        <f t="shared" si="399"/>
        <v>13</v>
      </c>
      <c r="CN574" s="24" t="str">
        <f t="array" ref="CN574">_xlfn.TEXTJOIN("",TRUE,IF(ISNUMBER(FIND(MID(CM573&amp;Y573,ROW($1:$162),1),CM574&amp;Y574)),MID(CM573&amp;Y573,ROW($1:$162),1),""))</f>
        <v>132</v>
      </c>
      <c r="CO574" s="24" t="str">
        <f t="array" ref="CO574">_xlfn.TEXTJOIN("",TRUE,IF(ISERROR(FIND(ROW($1:$168)-1,CM574&amp;CN574)),ROW($1:$168)-1,""))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574" s="30" t="str">
        <f t="shared" si="400"/>
        <v>邻传孤</v>
      </c>
    </row>
    <row r="575" spans="1:94">
      <c r="A575" s="15">
        <v>575</v>
      </c>
      <c r="B575" s="80">
        <v>2025192</v>
      </c>
      <c r="C575" s="8" t="s">
        <v>457</v>
      </c>
      <c r="D575" s="81">
        <f t="shared" si="404"/>
        <v>16</v>
      </c>
      <c r="E575" s="82">
        <f t="shared" si="405"/>
        <v>6</v>
      </c>
      <c r="F575" s="83">
        <f t="shared" si="373"/>
        <v>2</v>
      </c>
      <c r="G575" s="84" t="str">
        <f t="shared" si="374"/>
        <v>标准</v>
      </c>
      <c r="H575" s="85" t="s">
        <v>10</v>
      </c>
      <c r="I575" s="85" t="s">
        <v>11</v>
      </c>
      <c r="J575" s="85" t="s">
        <v>12</v>
      </c>
      <c r="K575" s="85" t="s">
        <v>13</v>
      </c>
      <c r="L575" s="86">
        <f>MAX(MID(C575,{1,2,3},1)*1)-MIN(MID(C575,{1,2,3},1)*1)</f>
        <v>8</v>
      </c>
      <c r="M575" s="87">
        <v>0</v>
      </c>
      <c r="N575" s="87">
        <v>1</v>
      </c>
      <c r="O575" s="87">
        <v>2</v>
      </c>
      <c r="P575" s="87">
        <v>3</v>
      </c>
      <c r="Q575" s="87">
        <v>4</v>
      </c>
      <c r="R575" s="87">
        <v>5</v>
      </c>
      <c r="S575" s="87">
        <v>6</v>
      </c>
      <c r="T575" s="87">
        <v>7</v>
      </c>
      <c r="U575" s="87">
        <v>8</v>
      </c>
      <c r="V575" s="87">
        <v>9</v>
      </c>
      <c r="W575" s="88">
        <f t="shared" si="406"/>
        <v>3</v>
      </c>
      <c r="X575" s="88">
        <f t="shared" si="407"/>
        <v>5</v>
      </c>
      <c r="Y575" s="88">
        <f t="shared" si="408"/>
        <v>8</v>
      </c>
      <c r="Z575" s="89">
        <f t="shared" si="387"/>
        <v>16</v>
      </c>
      <c r="AA575" s="17" t="str">
        <f>_xlfn.TEXTJOIN(", ",TRUE,ABS(MID(C575,{1,1,2},1)-MID(C575,{2,3,3},1)))</f>
        <v>3, 5, 8</v>
      </c>
      <c r="AB575" s="90">
        <v>0</v>
      </c>
      <c r="AC575" s="90">
        <v>1</v>
      </c>
      <c r="AD575" s="90">
        <v>2</v>
      </c>
      <c r="AE575" s="90">
        <v>3</v>
      </c>
      <c r="AF575" s="90">
        <v>4</v>
      </c>
      <c r="AG575" s="90">
        <v>5</v>
      </c>
      <c r="AH575" s="90">
        <v>6</v>
      </c>
      <c r="AI575" s="90">
        <v>7</v>
      </c>
      <c r="AJ575" s="90">
        <v>8</v>
      </c>
      <c r="AK575" s="90">
        <v>9</v>
      </c>
      <c r="AL575" s="91">
        <v>0</v>
      </c>
      <c r="AM575" s="91">
        <v>1</v>
      </c>
      <c r="AN575" s="91">
        <v>2</v>
      </c>
      <c r="AO575" s="91">
        <v>3</v>
      </c>
      <c r="AP575" s="91">
        <v>4</v>
      </c>
      <c r="AQ575" s="91">
        <v>5</v>
      </c>
      <c r="AR575" s="91">
        <v>6</v>
      </c>
      <c r="AS575" s="91">
        <v>7</v>
      </c>
      <c r="AT575" s="91">
        <v>8</v>
      </c>
      <c r="AU575" s="91">
        <v>9</v>
      </c>
      <c r="AV575" s="92">
        <v>0</v>
      </c>
      <c r="AW575" s="92">
        <v>1</v>
      </c>
      <c r="AX575" s="92">
        <v>2</v>
      </c>
      <c r="AY575" s="92">
        <v>3</v>
      </c>
      <c r="AZ575" s="92">
        <v>4</v>
      </c>
      <c r="BA575" s="92">
        <v>5</v>
      </c>
      <c r="BB575" s="92">
        <v>6</v>
      </c>
      <c r="BC575" s="92">
        <v>7</v>
      </c>
      <c r="BD575" s="92">
        <v>8</v>
      </c>
      <c r="BE575" s="92">
        <v>9</v>
      </c>
      <c r="BF575" s="93">
        <v>0</v>
      </c>
      <c r="BG575" s="93">
        <v>1</v>
      </c>
      <c r="BH575" s="93">
        <v>2</v>
      </c>
      <c r="BI575" s="93">
        <v>3</v>
      </c>
      <c r="BJ575" s="93">
        <v>4</v>
      </c>
      <c r="BK575" s="93">
        <v>5</v>
      </c>
      <c r="BL575" s="93">
        <v>6</v>
      </c>
      <c r="BM575" s="93">
        <v>7</v>
      </c>
      <c r="BN575" s="93">
        <v>8</v>
      </c>
      <c r="BO575" s="93">
        <v>9</v>
      </c>
      <c r="BP575" s="94" t="str">
        <f t="shared" si="388"/>
        <v>松散型</v>
      </c>
      <c r="BQ575" s="15">
        <f t="shared" si="385"/>
        <v>3</v>
      </c>
      <c r="BR575" s="15">
        <f t="shared" si="386"/>
        <v>8</v>
      </c>
      <c r="BS575" s="20" t="str">
        <f t="shared" si="390"/>
        <v/>
      </c>
      <c r="BT575" s="21" t="str">
        <f t="shared" si="391"/>
        <v/>
      </c>
      <c r="BU575" s="21" t="str">
        <f t="array" ref="BU575">_xlfn.TEXTJOIN("",TRUE,IF(ISERROR(FIND(ROW($1:$168)-1,BS575&amp;BT575)),ROW($1:$168)-1,""))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75" s="22" t="str">
        <f t="shared" si="392"/>
        <v>中中中</v>
      </c>
      <c r="BW575" s="23" t="str">
        <f t="shared" si="403"/>
        <v/>
      </c>
      <c r="BX575" s="23" t="str">
        <f t="shared" si="401"/>
        <v/>
      </c>
      <c r="BY575" s="23" t="str">
        <f t="array" ref="BY575">_xlfn.TEXTJOIN("",TRUE,IF(ISERROR(FIND(ROW($1:$168)-1,BW575&amp;BX575)),ROW($1:$168)-1,""))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75" s="22" t="str">
        <f t="shared" si="393"/>
        <v>中中中</v>
      </c>
      <c r="CA575" s="24" t="str">
        <f t="shared" si="394"/>
        <v/>
      </c>
      <c r="CB575" s="24" t="str">
        <f t="shared" si="402"/>
        <v/>
      </c>
      <c r="CC575" s="24" t="str">
        <f t="array" ref="CC575">_xlfn.TEXTJOIN("",TRUE,IF(ISERROR(FIND(ROW($1:$168)-1,CA575&amp;CB575)),ROW($1:$168)-1,""))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75" s="22" t="str">
        <f t="shared" si="395"/>
        <v>中中中</v>
      </c>
      <c r="CE575" s="25" t="str">
        <f t="shared" si="389"/>
        <v>24</v>
      </c>
      <c r="CF575" s="26" t="str">
        <f t="array" ref="CF575">_xlfn.TEXTJOIN("",TRUE,IF(ISNUMBER(FIND(MID(CE574&amp;W574,ROW($1:$162),1),CE575&amp;W575)),MID(CE574&amp;W574,ROW($1:$162),1),""))</f>
        <v>32</v>
      </c>
      <c r="CG575" s="27" t="str">
        <f t="array" ref="CG575">_xlfn.TEXTJOIN("",TRUE,IF(ISERROR(FIND(ROW($1:$168)-1,CE575&amp;CF575)),ROW($1:$168)-1,""))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75" s="28" t="str">
        <f t="shared" si="396"/>
        <v>邻传孤</v>
      </c>
      <c r="CI575" s="29" t="str">
        <f t="shared" si="397"/>
        <v>46</v>
      </c>
      <c r="CJ575" s="29" t="str">
        <f t="array" ref="CJ575">_xlfn.TEXTJOIN("",TRUE,IF(ISNUMBER(FIND(MID(CI574&amp;X574,ROW($1:$162),1),CI575&amp;X575)),MID(CI574&amp;X574,ROW($1:$162),1),""))</f>
        <v/>
      </c>
      <c r="CK575" s="29" t="str">
        <f t="array" ref="CK575">_xlfn.TEXTJOIN("",TRUE,IF(ISERROR(FIND(ROW($1:$168)-1,CI575&amp;CJ575)),ROW($1:$168)-1,""))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75" s="19" t="str">
        <f t="shared" si="398"/>
        <v>邻孤孤</v>
      </c>
      <c r="CM575" s="24" t="str">
        <f t="shared" si="399"/>
        <v>79</v>
      </c>
      <c r="CN575" s="24" t="str">
        <f t="array" ref="CN575">_xlfn.TEXTJOIN("",TRUE,IF(ISNUMBER(FIND(MID(CM574&amp;Y574,ROW($1:$162),1),CM575&amp;Y575)),MID(CM574&amp;Y574,ROW($1:$162),1),""))</f>
        <v/>
      </c>
      <c r="CO575" s="24" t="str">
        <f t="array" ref="CO575">_xlfn.TEXTJOIN("",TRUE,IF(ISERROR(FIND(ROW($1:$168)-1,CM575&amp;CN575)),ROW($1:$168)-1,""))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575" s="30" t="str">
        <f t="shared" si="400"/>
        <v>邻孤孤</v>
      </c>
    </row>
    <row r="576" spans="1:94">
      <c r="A576" s="15">
        <v>576</v>
      </c>
      <c r="B576" s="80">
        <v>2025193</v>
      </c>
      <c r="C576" s="8" t="s">
        <v>458</v>
      </c>
      <c r="D576" s="81">
        <f t="shared" si="404"/>
        <v>21</v>
      </c>
      <c r="E576" s="82">
        <f t="shared" si="405"/>
        <v>1</v>
      </c>
      <c r="F576" s="83">
        <f t="shared" si="373"/>
        <v>10.5</v>
      </c>
      <c r="G576" s="84" t="str">
        <f t="shared" si="374"/>
        <v>紧凑</v>
      </c>
      <c r="H576" s="85" t="s">
        <v>10</v>
      </c>
      <c r="I576" s="85" t="s">
        <v>11</v>
      </c>
      <c r="J576" s="85" t="s">
        <v>12</v>
      </c>
      <c r="K576" s="85" t="s">
        <v>13</v>
      </c>
      <c r="L576" s="86">
        <f>MAX(MID(C576,{1,2,3},1)*1)-MIN(MID(C576,{1,2,3},1)*1)</f>
        <v>2</v>
      </c>
      <c r="M576" s="87">
        <v>0</v>
      </c>
      <c r="N576" s="87">
        <v>1</v>
      </c>
      <c r="O576" s="87">
        <v>2</v>
      </c>
      <c r="P576" s="87">
        <v>3</v>
      </c>
      <c r="Q576" s="87">
        <v>4</v>
      </c>
      <c r="R576" s="87">
        <v>5</v>
      </c>
      <c r="S576" s="87">
        <v>6</v>
      </c>
      <c r="T576" s="87">
        <v>7</v>
      </c>
      <c r="U576" s="87">
        <v>8</v>
      </c>
      <c r="V576" s="87">
        <v>9</v>
      </c>
      <c r="W576" s="88">
        <f t="shared" si="406"/>
        <v>1</v>
      </c>
      <c r="X576" s="88">
        <f t="shared" si="407"/>
        <v>2</v>
      </c>
      <c r="Y576" s="88">
        <f t="shared" si="408"/>
        <v>1</v>
      </c>
      <c r="Z576" s="89">
        <f t="shared" si="387"/>
        <v>4</v>
      </c>
      <c r="AA576" s="17" t="str">
        <f>_xlfn.TEXTJOIN(", ",TRUE,ABS(MID(C576,{1,1,2},1)-MID(C576,{2,3,3},1)))</f>
        <v>1, 2, 1</v>
      </c>
      <c r="AB576" s="90">
        <v>0</v>
      </c>
      <c r="AC576" s="90">
        <v>1</v>
      </c>
      <c r="AD576" s="90">
        <v>2</v>
      </c>
      <c r="AE576" s="90">
        <v>3</v>
      </c>
      <c r="AF576" s="90">
        <v>4</v>
      </c>
      <c r="AG576" s="90">
        <v>5</v>
      </c>
      <c r="AH576" s="90">
        <v>6</v>
      </c>
      <c r="AI576" s="90">
        <v>7</v>
      </c>
      <c r="AJ576" s="90">
        <v>8</v>
      </c>
      <c r="AK576" s="90">
        <v>9</v>
      </c>
      <c r="AL576" s="91">
        <v>0</v>
      </c>
      <c r="AM576" s="91">
        <v>1</v>
      </c>
      <c r="AN576" s="91">
        <v>2</v>
      </c>
      <c r="AO576" s="91">
        <v>3</v>
      </c>
      <c r="AP576" s="91">
        <v>4</v>
      </c>
      <c r="AQ576" s="91">
        <v>5</v>
      </c>
      <c r="AR576" s="91">
        <v>6</v>
      </c>
      <c r="AS576" s="91">
        <v>7</v>
      </c>
      <c r="AT576" s="91">
        <v>8</v>
      </c>
      <c r="AU576" s="91">
        <v>9</v>
      </c>
      <c r="AV576" s="92">
        <v>0</v>
      </c>
      <c r="AW576" s="92">
        <v>1</v>
      </c>
      <c r="AX576" s="92">
        <v>2</v>
      </c>
      <c r="AY576" s="92">
        <v>3</v>
      </c>
      <c r="AZ576" s="92">
        <v>4</v>
      </c>
      <c r="BA576" s="92">
        <v>5</v>
      </c>
      <c r="BB576" s="92">
        <v>6</v>
      </c>
      <c r="BC576" s="92">
        <v>7</v>
      </c>
      <c r="BD576" s="92">
        <v>8</v>
      </c>
      <c r="BE576" s="92">
        <v>9</v>
      </c>
      <c r="BF576" s="93">
        <v>0</v>
      </c>
      <c r="BG576" s="93">
        <v>1</v>
      </c>
      <c r="BH576" s="93">
        <v>2</v>
      </c>
      <c r="BI576" s="93">
        <v>3</v>
      </c>
      <c r="BJ576" s="93">
        <v>4</v>
      </c>
      <c r="BK576" s="93">
        <v>5</v>
      </c>
      <c r="BL576" s="93">
        <v>6</v>
      </c>
      <c r="BM576" s="93">
        <v>7</v>
      </c>
      <c r="BN576" s="93">
        <v>8</v>
      </c>
      <c r="BO576" s="93">
        <v>9</v>
      </c>
      <c r="BP576" s="94" t="str">
        <f t="shared" si="388"/>
        <v>紧凑型</v>
      </c>
      <c r="BQ576" s="15">
        <f t="shared" si="385"/>
        <v>1</v>
      </c>
      <c r="BR576" s="15">
        <f t="shared" si="386"/>
        <v>2</v>
      </c>
      <c r="BS576" s="20" t="str">
        <f t="shared" si="390"/>
        <v/>
      </c>
      <c r="BT576" s="21" t="str">
        <f t="shared" si="391"/>
        <v/>
      </c>
      <c r="BU576" s="21" t="str">
        <f t="array" ref="BU576">_xlfn.TEXTJOIN("",TRUE,IF(ISERROR(FIND(ROW($1:$168)-1,BS576&amp;BT576)),ROW($1:$168)-1,""))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76" s="22" t="str">
        <f t="shared" si="392"/>
        <v>中中中</v>
      </c>
      <c r="BW576" s="23" t="str">
        <f t="shared" si="403"/>
        <v/>
      </c>
      <c r="BX576" s="23">
        <f t="shared" si="401"/>
        <v>2</v>
      </c>
      <c r="BY576" s="23" t="str">
        <f t="array" ref="BY576">_xlfn.TEXTJOIN("",TRUE,IF(ISERROR(FIND(ROW($1:$168)-1,BW576&amp;BX576)),ROW($1:$168)-1,""))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76" s="22" t="str">
        <f t="shared" si="393"/>
        <v>中隔中</v>
      </c>
      <c r="CA576" s="24" t="str">
        <f t="shared" si="394"/>
        <v/>
      </c>
      <c r="CB576" s="24" t="str">
        <f t="shared" si="402"/>
        <v/>
      </c>
      <c r="CC576" s="24" t="str">
        <f t="array" ref="CC576">_xlfn.TEXTJOIN("",TRUE,IF(ISERROR(FIND(ROW($1:$168)-1,CA576&amp;CB576)),ROW($1:$168)-1,""))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76" s="22" t="str">
        <f t="shared" si="395"/>
        <v>中中中</v>
      </c>
      <c r="CE576" s="25" t="str">
        <f t="shared" si="389"/>
        <v>02</v>
      </c>
      <c r="CF576" s="26" t="str">
        <f t="array" ref="CF576">_xlfn.TEXTJOIN("",TRUE,IF(ISNUMBER(FIND(MID(CE575&amp;W575,ROW($1:$162),1),CE576&amp;W576)),MID(CE575&amp;W575,ROW($1:$162),1),""))</f>
        <v>2</v>
      </c>
      <c r="CG576" s="27" t="str">
        <f t="array" ref="CG576">_xlfn.TEXTJOIN("",TRUE,IF(ISERROR(FIND(ROW($1:$168)-1,CE576&amp;CF576)),ROW($1:$168)-1,""))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76" s="28" t="str">
        <f t="shared" si="396"/>
        <v>邻传孤</v>
      </c>
      <c r="CI576" s="29" t="str">
        <f t="shared" si="397"/>
        <v>13</v>
      </c>
      <c r="CJ576" s="29" t="str">
        <f t="array" ref="CJ576">_xlfn.TEXTJOIN("",TRUE,IF(ISNUMBER(FIND(MID(CI575&amp;X575,ROW($1:$162),1),CI576&amp;X576)),MID(CI575&amp;X575,ROW($1:$162),1),""))</f>
        <v/>
      </c>
      <c r="CK576" s="29" t="str">
        <f t="array" ref="CK576">_xlfn.TEXTJOIN("",TRUE,IF(ISERROR(FIND(ROW($1:$168)-1,CI576&amp;CJ576)),ROW($1:$168)-1,""))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76" s="19" t="str">
        <f t="shared" si="398"/>
        <v>邻孤孤</v>
      </c>
      <c r="CM576" s="24" t="str">
        <f t="shared" si="399"/>
        <v>02</v>
      </c>
      <c r="CN576" s="24" t="str">
        <f t="array" ref="CN576">_xlfn.TEXTJOIN("",TRUE,IF(ISNUMBER(FIND(MID(CM575&amp;Y575,ROW($1:$162),1),CM576&amp;Y576)),MID(CM575&amp;Y575,ROW($1:$162),1),""))</f>
        <v/>
      </c>
      <c r="CO576" s="24" t="str">
        <f t="array" ref="CO576">_xlfn.TEXTJOIN("",TRUE,IF(ISERROR(FIND(ROW($1:$168)-1,CM576&amp;CN576)),ROW($1:$168)-1,""))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76" s="30" t="str">
        <f t="shared" si="400"/>
        <v>邻孤孤</v>
      </c>
    </row>
    <row r="577" spans="1:94">
      <c r="A577" s="15">
        <v>577</v>
      </c>
      <c r="B577" s="80">
        <v>2025194</v>
      </c>
      <c r="C577" s="8" t="s">
        <v>323</v>
      </c>
      <c r="D577" s="81">
        <f t="shared" si="404"/>
        <v>15</v>
      </c>
      <c r="E577" s="82">
        <f t="shared" si="405"/>
        <v>5</v>
      </c>
      <c r="F577" s="83">
        <f t="shared" si="373"/>
        <v>3</v>
      </c>
      <c r="G577" s="84" t="str">
        <f t="shared" si="374"/>
        <v>标准</v>
      </c>
      <c r="H577" s="85" t="s">
        <v>10</v>
      </c>
      <c r="I577" s="85" t="s">
        <v>11</v>
      </c>
      <c r="J577" s="85" t="s">
        <v>12</v>
      </c>
      <c r="K577" s="85" t="s">
        <v>13</v>
      </c>
      <c r="L577" s="86">
        <f>MAX(MID(C577,{1,2,3},1)*1)-MIN(MID(C577,{1,2,3},1)*1)</f>
        <v>5</v>
      </c>
      <c r="M577" s="87">
        <v>0</v>
      </c>
      <c r="N577" s="87">
        <v>1</v>
      </c>
      <c r="O577" s="87">
        <v>2</v>
      </c>
      <c r="P577" s="87">
        <v>3</v>
      </c>
      <c r="Q577" s="87">
        <v>4</v>
      </c>
      <c r="R577" s="87">
        <v>5</v>
      </c>
      <c r="S577" s="87">
        <v>6</v>
      </c>
      <c r="T577" s="87">
        <v>7</v>
      </c>
      <c r="U577" s="87">
        <v>8</v>
      </c>
      <c r="V577" s="87">
        <v>9</v>
      </c>
      <c r="W577" s="88">
        <f t="shared" si="406"/>
        <v>5</v>
      </c>
      <c r="X577" s="88">
        <f t="shared" si="407"/>
        <v>1</v>
      </c>
      <c r="Y577" s="88">
        <f t="shared" si="408"/>
        <v>4</v>
      </c>
      <c r="Z577" s="89">
        <f t="shared" si="387"/>
        <v>10</v>
      </c>
      <c r="AA577" s="17" t="str">
        <f>_xlfn.TEXTJOIN(", ",TRUE,ABS(MID(C577,{1,1,2},1)-MID(C577,{2,3,3},1)))</f>
        <v>5, 1, 4</v>
      </c>
      <c r="AB577" s="90">
        <v>0</v>
      </c>
      <c r="AC577" s="90">
        <v>1</v>
      </c>
      <c r="AD577" s="90">
        <v>2</v>
      </c>
      <c r="AE577" s="90">
        <v>3</v>
      </c>
      <c r="AF577" s="90">
        <v>4</v>
      </c>
      <c r="AG577" s="90">
        <v>5</v>
      </c>
      <c r="AH577" s="90">
        <v>6</v>
      </c>
      <c r="AI577" s="90">
        <v>7</v>
      </c>
      <c r="AJ577" s="90">
        <v>8</v>
      </c>
      <c r="AK577" s="90">
        <v>9</v>
      </c>
      <c r="AL577" s="91">
        <v>0</v>
      </c>
      <c r="AM577" s="91">
        <v>1</v>
      </c>
      <c r="AN577" s="91">
        <v>2</v>
      </c>
      <c r="AO577" s="91">
        <v>3</v>
      </c>
      <c r="AP577" s="91">
        <v>4</v>
      </c>
      <c r="AQ577" s="91">
        <v>5</v>
      </c>
      <c r="AR577" s="91">
        <v>6</v>
      </c>
      <c r="AS577" s="91">
        <v>7</v>
      </c>
      <c r="AT577" s="91">
        <v>8</v>
      </c>
      <c r="AU577" s="91">
        <v>9</v>
      </c>
      <c r="AV577" s="92">
        <v>0</v>
      </c>
      <c r="AW577" s="92">
        <v>1</v>
      </c>
      <c r="AX577" s="92">
        <v>2</v>
      </c>
      <c r="AY577" s="92">
        <v>3</v>
      </c>
      <c r="AZ577" s="92">
        <v>4</v>
      </c>
      <c r="BA577" s="92">
        <v>5</v>
      </c>
      <c r="BB577" s="92">
        <v>6</v>
      </c>
      <c r="BC577" s="92">
        <v>7</v>
      </c>
      <c r="BD577" s="92">
        <v>8</v>
      </c>
      <c r="BE577" s="92">
        <v>9</v>
      </c>
      <c r="BF577" s="93">
        <v>0</v>
      </c>
      <c r="BG577" s="93">
        <v>1</v>
      </c>
      <c r="BH577" s="93">
        <v>2</v>
      </c>
      <c r="BI577" s="93">
        <v>3</v>
      </c>
      <c r="BJ577" s="93">
        <v>4</v>
      </c>
      <c r="BK577" s="93">
        <v>5</v>
      </c>
      <c r="BL577" s="93">
        <v>6</v>
      </c>
      <c r="BM577" s="93">
        <v>7</v>
      </c>
      <c r="BN577" s="93">
        <v>8</v>
      </c>
      <c r="BO577" s="93">
        <v>9</v>
      </c>
      <c r="BP577" s="94" t="str">
        <f t="shared" si="388"/>
        <v>标准型</v>
      </c>
      <c r="BQ577" s="15">
        <f t="shared" si="385"/>
        <v>1</v>
      </c>
      <c r="BR577" s="15">
        <f t="shared" si="386"/>
        <v>5</v>
      </c>
      <c r="BS577" s="20" t="str">
        <f t="shared" si="390"/>
        <v/>
      </c>
      <c r="BT577" s="21">
        <f t="shared" si="391"/>
        <v>5</v>
      </c>
      <c r="BU577" s="21" t="str">
        <f t="array" ref="BU577">_xlfn.TEXTJOIN("",TRUE,IF(ISERROR(FIND(ROW($1:$168)-1,BS577&amp;BT577)),ROW($1:$168)-1,""))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77" s="22" t="str">
        <f t="shared" si="392"/>
        <v>中隔中</v>
      </c>
      <c r="BW577" s="23">
        <f t="shared" si="403"/>
        <v>1</v>
      </c>
      <c r="BX577" s="23" t="str">
        <f t="shared" si="401"/>
        <v/>
      </c>
      <c r="BY577" s="23" t="str">
        <f t="array" ref="BY577">_xlfn.TEXTJOIN("",TRUE,IF(ISERROR(FIND(ROW($1:$168)-1,BW577&amp;BX577)),ROW($1:$168)-1,""))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77" s="22" t="str">
        <f t="shared" si="393"/>
        <v>复中中</v>
      </c>
      <c r="CA577" s="24" t="str">
        <f t="shared" si="394"/>
        <v/>
      </c>
      <c r="CB577" s="24" t="str">
        <f t="shared" si="402"/>
        <v/>
      </c>
      <c r="CC577" s="24" t="str">
        <f t="array" ref="CC577">_xlfn.TEXTJOIN("",TRUE,IF(ISERROR(FIND(ROW($1:$168)-1,CA577&amp;CB577)),ROW($1:$168)-1,""))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77" s="22" t="str">
        <f t="shared" si="395"/>
        <v>中中中</v>
      </c>
      <c r="CE577" s="25" t="str">
        <f t="shared" si="389"/>
        <v>46</v>
      </c>
      <c r="CF577" s="26" t="str">
        <f t="array" ref="CF577">_xlfn.TEXTJOIN("",TRUE,IF(ISNUMBER(FIND(MID(CE576&amp;W576,ROW($1:$162),1),CE577&amp;W577)),MID(CE576&amp;W576,ROW($1:$162),1),""))</f>
        <v/>
      </c>
      <c r="CG577" s="27" t="str">
        <f t="array" ref="CG577">_xlfn.TEXTJOIN("",TRUE,IF(ISERROR(FIND(ROW($1:$168)-1,CE577&amp;CF577)),ROW($1:$168)-1,""))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77" s="28" t="str">
        <f t="shared" si="396"/>
        <v>邻孤孤</v>
      </c>
      <c r="CI577" s="29" t="str">
        <f t="shared" si="397"/>
        <v>02</v>
      </c>
      <c r="CJ577" s="29" t="str">
        <f t="array" ref="CJ577">_xlfn.TEXTJOIN("",TRUE,IF(ISNUMBER(FIND(MID(CI576&amp;X576,ROW($1:$162),1),CI577&amp;X577)),MID(CI576&amp;X576,ROW($1:$162),1),""))</f>
        <v>12</v>
      </c>
      <c r="CK577" s="29" t="str">
        <f t="array" ref="CK577">_xlfn.TEXTJOIN("",TRUE,IF(ISERROR(FIND(ROW($1:$168)-1,CI577&amp;CJ577)),ROW($1:$168)-1,""))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77" s="19" t="str">
        <f t="shared" si="398"/>
        <v>邻传孤</v>
      </c>
      <c r="CM577" s="24" t="str">
        <f t="shared" si="399"/>
        <v>35</v>
      </c>
      <c r="CN577" s="24" t="str">
        <f t="array" ref="CN577">_xlfn.TEXTJOIN("",TRUE,IF(ISNUMBER(FIND(MID(CM576&amp;Y576,ROW($1:$162),1),CM577&amp;Y577)),MID(CM576&amp;Y576,ROW($1:$162),1),""))</f>
        <v/>
      </c>
      <c r="CO577" s="24" t="str">
        <f t="array" ref="CO577">_xlfn.TEXTJOIN("",TRUE,IF(ISERROR(FIND(ROW($1:$168)-1,CM577&amp;CN577)),ROW($1:$168)-1,""))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77" s="30" t="str">
        <f t="shared" si="400"/>
        <v>邻孤孤</v>
      </c>
    </row>
    <row r="578" spans="1:94">
      <c r="A578" s="15">
        <v>578</v>
      </c>
      <c r="B578" s="80">
        <v>2025195</v>
      </c>
      <c r="C578" s="8" t="s">
        <v>459</v>
      </c>
      <c r="D578" s="81">
        <f t="shared" si="404"/>
        <v>17</v>
      </c>
      <c r="E578" s="82">
        <f t="shared" si="405"/>
        <v>7</v>
      </c>
      <c r="F578" s="83">
        <f t="shared" si="373"/>
        <v>1.88888888888889</v>
      </c>
      <c r="G578" s="84" t="str">
        <f t="shared" si="374"/>
        <v>松散</v>
      </c>
      <c r="H578" s="85" t="s">
        <v>10</v>
      </c>
      <c r="I578" s="85" t="s">
        <v>11</v>
      </c>
      <c r="J578" s="85" t="s">
        <v>12</v>
      </c>
      <c r="K578" s="85" t="s">
        <v>13</v>
      </c>
      <c r="L578" s="86">
        <f>MAX(MID(C578,{1,2,3},1)*1)-MIN(MID(C578,{1,2,3},1)*1)</f>
        <v>9</v>
      </c>
      <c r="M578" s="87">
        <v>0</v>
      </c>
      <c r="N578" s="87">
        <v>1</v>
      </c>
      <c r="O578" s="87">
        <v>2</v>
      </c>
      <c r="P578" s="87">
        <v>3</v>
      </c>
      <c r="Q578" s="87">
        <v>4</v>
      </c>
      <c r="R578" s="87">
        <v>5</v>
      </c>
      <c r="S578" s="87">
        <v>6</v>
      </c>
      <c r="T578" s="87">
        <v>7</v>
      </c>
      <c r="U578" s="87">
        <v>8</v>
      </c>
      <c r="V578" s="87">
        <v>9</v>
      </c>
      <c r="W578" s="88">
        <f t="shared" si="406"/>
        <v>1</v>
      </c>
      <c r="X578" s="88">
        <f t="shared" si="407"/>
        <v>9</v>
      </c>
      <c r="Y578" s="88">
        <f t="shared" si="408"/>
        <v>8</v>
      </c>
      <c r="Z578" s="89">
        <f t="shared" si="387"/>
        <v>18</v>
      </c>
      <c r="AA578" s="17" t="str">
        <f>_xlfn.TEXTJOIN(", ",TRUE,ABS(MID(C578,{1,1,2},1)-MID(C578,{2,3,3},1)))</f>
        <v>1, 9, 8</v>
      </c>
      <c r="AB578" s="90">
        <v>0</v>
      </c>
      <c r="AC578" s="90">
        <v>1</v>
      </c>
      <c r="AD578" s="90">
        <v>2</v>
      </c>
      <c r="AE578" s="90">
        <v>3</v>
      </c>
      <c r="AF578" s="90">
        <v>4</v>
      </c>
      <c r="AG578" s="90">
        <v>5</v>
      </c>
      <c r="AH578" s="90">
        <v>6</v>
      </c>
      <c r="AI578" s="90">
        <v>7</v>
      </c>
      <c r="AJ578" s="90">
        <v>8</v>
      </c>
      <c r="AK578" s="90">
        <v>9</v>
      </c>
      <c r="AL578" s="91">
        <v>0</v>
      </c>
      <c r="AM578" s="91">
        <v>1</v>
      </c>
      <c r="AN578" s="91">
        <v>2</v>
      </c>
      <c r="AO578" s="91">
        <v>3</v>
      </c>
      <c r="AP578" s="91">
        <v>4</v>
      </c>
      <c r="AQ578" s="91">
        <v>5</v>
      </c>
      <c r="AR578" s="91">
        <v>6</v>
      </c>
      <c r="AS578" s="91">
        <v>7</v>
      </c>
      <c r="AT578" s="91">
        <v>8</v>
      </c>
      <c r="AU578" s="91">
        <v>9</v>
      </c>
      <c r="AV578" s="92">
        <v>0</v>
      </c>
      <c r="AW578" s="92">
        <v>1</v>
      </c>
      <c r="AX578" s="92">
        <v>2</v>
      </c>
      <c r="AY578" s="92">
        <v>3</v>
      </c>
      <c r="AZ578" s="92">
        <v>4</v>
      </c>
      <c r="BA578" s="92">
        <v>5</v>
      </c>
      <c r="BB578" s="92">
        <v>6</v>
      </c>
      <c r="BC578" s="92">
        <v>7</v>
      </c>
      <c r="BD578" s="92">
        <v>8</v>
      </c>
      <c r="BE578" s="92">
        <v>9</v>
      </c>
      <c r="BF578" s="93">
        <v>0</v>
      </c>
      <c r="BG578" s="93">
        <v>1</v>
      </c>
      <c r="BH578" s="93">
        <v>2</v>
      </c>
      <c r="BI578" s="93">
        <v>3</v>
      </c>
      <c r="BJ578" s="93">
        <v>4</v>
      </c>
      <c r="BK578" s="93">
        <v>5</v>
      </c>
      <c r="BL578" s="93">
        <v>6</v>
      </c>
      <c r="BM578" s="93">
        <v>7</v>
      </c>
      <c r="BN578" s="93">
        <v>8</v>
      </c>
      <c r="BO578" s="93">
        <v>9</v>
      </c>
      <c r="BP578" s="94" t="str">
        <f t="shared" si="388"/>
        <v>松散型</v>
      </c>
      <c r="BQ578" s="15">
        <f t="shared" si="385"/>
        <v>1</v>
      </c>
      <c r="BR578" s="15">
        <f t="shared" si="386"/>
        <v>9</v>
      </c>
      <c r="BS578" s="20">
        <f t="shared" si="390"/>
        <v>1</v>
      </c>
      <c r="BT578" s="21">
        <f t="shared" si="391"/>
        <v>1</v>
      </c>
      <c r="BU578" s="21" t="str">
        <f t="array" ref="BU578">_xlfn.TEXTJOIN("",TRUE,IF(ISERROR(FIND(ROW($1:$168)-1,BS578&amp;BT578)),ROW($1:$168)-1,""))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78" s="22" t="str">
        <f t="shared" si="392"/>
        <v>复隔中</v>
      </c>
      <c r="BW578" s="23" t="str">
        <f t="shared" si="403"/>
        <v/>
      </c>
      <c r="BX578" s="23" t="str">
        <f t="shared" si="401"/>
        <v/>
      </c>
      <c r="BY578" s="23" t="str">
        <f t="array" ref="BY578">_xlfn.TEXTJOIN("",TRUE,IF(ISERROR(FIND(ROW($1:$168)-1,BW578&amp;BX578)),ROW($1:$168)-1,""))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78" s="22" t="str">
        <f t="shared" si="393"/>
        <v>中中中</v>
      </c>
      <c r="CA578" s="24" t="str">
        <f t="shared" si="394"/>
        <v/>
      </c>
      <c r="CB578" s="24" t="str">
        <f t="shared" si="402"/>
        <v/>
      </c>
      <c r="CC578" s="24" t="str">
        <f t="array" ref="CC578">_xlfn.TEXTJOIN("",TRUE,IF(ISERROR(FIND(ROW($1:$168)-1,CA578&amp;CB578)),ROW($1:$168)-1,""))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78" s="22" t="str">
        <f t="shared" si="395"/>
        <v>中中中</v>
      </c>
      <c r="CE578" s="25" t="str">
        <f t="shared" si="389"/>
        <v>02</v>
      </c>
      <c r="CF578" s="26" t="str">
        <f t="array" ref="CF578">_xlfn.TEXTJOIN("",TRUE,IF(ISNUMBER(FIND(MID(CE577&amp;W577,ROW($1:$162),1),CE578&amp;W578)),MID(CE577&amp;W577,ROW($1:$162),1),""))</f>
        <v/>
      </c>
      <c r="CG578" s="27" t="str">
        <f t="array" ref="CG578">_xlfn.TEXTJOIN("",TRUE,IF(ISERROR(FIND(ROW($1:$168)-1,CE578&amp;CF578)),ROW($1:$168)-1,""))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78" s="28" t="str">
        <f t="shared" si="396"/>
        <v>邻孤孤</v>
      </c>
      <c r="CI578" s="29" t="str">
        <f t="shared" si="397"/>
        <v>80</v>
      </c>
      <c r="CJ578" s="29" t="str">
        <f t="array" ref="CJ578">_xlfn.TEXTJOIN("",TRUE,IF(ISNUMBER(FIND(MID(CI577&amp;X577,ROW($1:$162),1),CI578&amp;X578)),MID(CI577&amp;X577,ROW($1:$162),1),""))</f>
        <v>0</v>
      </c>
      <c r="CK578" s="29" t="str">
        <f t="array" ref="CK578">_xlfn.TEXTJOIN("",TRUE,IF(ISERROR(FIND(ROW($1:$168)-1,CI578&amp;CJ578)),ROW($1:$168)-1,""))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578" s="19" t="str">
        <f t="shared" si="398"/>
        <v>邻传孤</v>
      </c>
      <c r="CM578" s="24" t="str">
        <f t="shared" si="399"/>
        <v>79</v>
      </c>
      <c r="CN578" s="24" t="str">
        <f t="array" ref="CN578">_xlfn.TEXTJOIN("",TRUE,IF(ISNUMBER(FIND(MID(CM577&amp;Y577,ROW($1:$162),1),CM578&amp;Y578)),MID(CM577&amp;Y577,ROW($1:$162),1),""))</f>
        <v/>
      </c>
      <c r="CO578" s="24" t="str">
        <f t="array" ref="CO578">_xlfn.TEXTJOIN("",TRUE,IF(ISERROR(FIND(ROW($1:$168)-1,CM578&amp;CN578)),ROW($1:$168)-1,""))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578" s="30" t="str">
        <f t="shared" si="400"/>
        <v>邻孤孤</v>
      </c>
    </row>
    <row r="579" spans="1:94">
      <c r="A579" s="15">
        <v>579</v>
      </c>
      <c r="B579" s="80">
        <v>2025196</v>
      </c>
      <c r="C579" s="8" t="s">
        <v>434</v>
      </c>
      <c r="D579" s="81">
        <f t="shared" si="404"/>
        <v>14</v>
      </c>
      <c r="E579" s="82">
        <f t="shared" si="405"/>
        <v>4</v>
      </c>
      <c r="F579" s="83">
        <f t="shared" si="373"/>
        <v>3.5</v>
      </c>
      <c r="G579" s="84" t="str">
        <f t="shared" si="374"/>
        <v>标准</v>
      </c>
      <c r="H579" s="85" t="s">
        <v>10</v>
      </c>
      <c r="I579" s="85" t="s">
        <v>11</v>
      </c>
      <c r="J579" s="85" t="s">
        <v>12</v>
      </c>
      <c r="K579" s="85" t="s">
        <v>13</v>
      </c>
      <c r="L579" s="86">
        <f>MAX(MID(C579,{1,2,3},1)*1)-MIN(MID(C579,{1,2,3},1)*1)</f>
        <v>4</v>
      </c>
      <c r="M579" s="87">
        <v>0</v>
      </c>
      <c r="N579" s="87">
        <v>1</v>
      </c>
      <c r="O579" s="87">
        <v>2</v>
      </c>
      <c r="P579" s="87">
        <v>3</v>
      </c>
      <c r="Q579" s="87">
        <v>4</v>
      </c>
      <c r="R579" s="87">
        <v>5</v>
      </c>
      <c r="S579" s="87">
        <v>6</v>
      </c>
      <c r="T579" s="87">
        <v>7</v>
      </c>
      <c r="U579" s="87">
        <v>8</v>
      </c>
      <c r="V579" s="87">
        <v>9</v>
      </c>
      <c r="W579" s="88">
        <f t="shared" si="406"/>
        <v>4</v>
      </c>
      <c r="X579" s="88">
        <f t="shared" si="407"/>
        <v>3</v>
      </c>
      <c r="Y579" s="88">
        <f t="shared" si="408"/>
        <v>1</v>
      </c>
      <c r="Z579" s="89">
        <f t="shared" si="387"/>
        <v>8</v>
      </c>
      <c r="AA579" s="17" t="str">
        <f>_xlfn.TEXTJOIN(", ",TRUE,ABS(MID(C579,{1,1,2},1)-MID(C579,{2,3,3},1)))</f>
        <v>4, 3, 1</v>
      </c>
      <c r="AB579" s="90">
        <v>0</v>
      </c>
      <c r="AC579" s="90">
        <v>1</v>
      </c>
      <c r="AD579" s="90">
        <v>2</v>
      </c>
      <c r="AE579" s="90">
        <v>3</v>
      </c>
      <c r="AF579" s="90">
        <v>4</v>
      </c>
      <c r="AG579" s="90">
        <v>5</v>
      </c>
      <c r="AH579" s="90">
        <v>6</v>
      </c>
      <c r="AI579" s="90">
        <v>7</v>
      </c>
      <c r="AJ579" s="90">
        <v>8</v>
      </c>
      <c r="AK579" s="90">
        <v>9</v>
      </c>
      <c r="AL579" s="91">
        <v>0</v>
      </c>
      <c r="AM579" s="91">
        <v>1</v>
      </c>
      <c r="AN579" s="91">
        <v>2</v>
      </c>
      <c r="AO579" s="91">
        <v>3</v>
      </c>
      <c r="AP579" s="91">
        <v>4</v>
      </c>
      <c r="AQ579" s="91">
        <v>5</v>
      </c>
      <c r="AR579" s="91">
        <v>6</v>
      </c>
      <c r="AS579" s="91">
        <v>7</v>
      </c>
      <c r="AT579" s="91">
        <v>8</v>
      </c>
      <c r="AU579" s="91">
        <v>9</v>
      </c>
      <c r="AV579" s="92">
        <v>0</v>
      </c>
      <c r="AW579" s="92">
        <v>1</v>
      </c>
      <c r="AX579" s="92">
        <v>2</v>
      </c>
      <c r="AY579" s="92">
        <v>3</v>
      </c>
      <c r="AZ579" s="92">
        <v>4</v>
      </c>
      <c r="BA579" s="92">
        <v>5</v>
      </c>
      <c r="BB579" s="92">
        <v>6</v>
      </c>
      <c r="BC579" s="92">
        <v>7</v>
      </c>
      <c r="BD579" s="92">
        <v>8</v>
      </c>
      <c r="BE579" s="92">
        <v>9</v>
      </c>
      <c r="BF579" s="93">
        <v>0</v>
      </c>
      <c r="BG579" s="93">
        <v>1</v>
      </c>
      <c r="BH579" s="93">
        <v>2</v>
      </c>
      <c r="BI579" s="93">
        <v>3</v>
      </c>
      <c r="BJ579" s="93">
        <v>4</v>
      </c>
      <c r="BK579" s="93">
        <v>5</v>
      </c>
      <c r="BL579" s="93">
        <v>6</v>
      </c>
      <c r="BM579" s="93">
        <v>7</v>
      </c>
      <c r="BN579" s="93">
        <v>8</v>
      </c>
      <c r="BO579" s="93">
        <v>9</v>
      </c>
      <c r="BP579" s="94" t="str">
        <f t="shared" si="388"/>
        <v>紧凑型</v>
      </c>
      <c r="BQ579" s="15">
        <f t="shared" si="385"/>
        <v>1</v>
      </c>
      <c r="BR579" s="15">
        <f t="shared" si="386"/>
        <v>4</v>
      </c>
      <c r="BS579" s="20" t="str">
        <f t="shared" si="390"/>
        <v/>
      </c>
      <c r="BT579" s="21">
        <f t="shared" si="391"/>
        <v>4</v>
      </c>
      <c r="BU579" s="21" t="str">
        <f t="array" ref="BU579">_xlfn.TEXTJOIN("",TRUE,IF(ISERROR(FIND(ROW($1:$168)-1,BS579&amp;BT579)),ROW($1:$168)-1,""))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79" s="22" t="str">
        <f t="shared" si="392"/>
        <v>中隔中</v>
      </c>
      <c r="BW579" s="23" t="str">
        <f t="shared" si="403"/>
        <v/>
      </c>
      <c r="BX579" s="23" t="str">
        <f t="shared" si="401"/>
        <v/>
      </c>
      <c r="BY579" s="23" t="str">
        <f t="array" ref="BY579">_xlfn.TEXTJOIN("",TRUE,IF(ISERROR(FIND(ROW($1:$168)-1,BW579&amp;BX579)),ROW($1:$168)-1,""))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79" s="22" t="str">
        <f t="shared" si="393"/>
        <v>中中中</v>
      </c>
      <c r="CA579" s="24">
        <f t="shared" si="394"/>
        <v>1</v>
      </c>
      <c r="CB579" s="24">
        <f t="shared" si="402"/>
        <v>1</v>
      </c>
      <c r="CC579" s="24" t="str">
        <f t="array" ref="CC579">_xlfn.TEXTJOIN("",TRUE,IF(ISERROR(FIND(ROW($1:$168)-1,CA579&amp;CB579)),ROW($1:$168)-1,""))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79" s="22" t="str">
        <f t="shared" si="395"/>
        <v>复隔中</v>
      </c>
      <c r="CE579" s="25" t="str">
        <f t="shared" si="389"/>
        <v>35</v>
      </c>
      <c r="CF579" s="26" t="str">
        <f t="array" ref="CF579">_xlfn.TEXTJOIN("",TRUE,IF(ISNUMBER(FIND(MID(CE578&amp;W578,ROW($1:$162),1),CE579&amp;W579)),MID(CE578&amp;W578,ROW($1:$162),1),""))</f>
        <v/>
      </c>
      <c r="CG579" s="27" t="str">
        <f t="array" ref="CG579">_xlfn.TEXTJOIN("",TRUE,IF(ISERROR(FIND(ROW($1:$168)-1,CE579&amp;CF579)),ROW($1:$168)-1,""))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79" s="28" t="str">
        <f t="shared" si="396"/>
        <v>邻孤孤</v>
      </c>
      <c r="CI579" s="29" t="str">
        <f t="shared" si="397"/>
        <v>24</v>
      </c>
      <c r="CJ579" s="29" t="str">
        <f t="array" ref="CJ579">_xlfn.TEXTJOIN("",TRUE,IF(ISNUMBER(FIND(MID(CI578&amp;X578,ROW($1:$162),1),CI579&amp;X579)),MID(CI578&amp;X578,ROW($1:$162),1),""))</f>
        <v/>
      </c>
      <c r="CK579" s="29" t="str">
        <f t="array" ref="CK579">_xlfn.TEXTJOIN("",TRUE,IF(ISERROR(FIND(ROW($1:$168)-1,CI579&amp;CJ579)),ROW($1:$168)-1,""))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79" s="19" t="str">
        <f t="shared" si="398"/>
        <v>邻孤孤</v>
      </c>
      <c r="CM579" s="24" t="str">
        <f t="shared" si="399"/>
        <v>02</v>
      </c>
      <c r="CN579" s="24" t="str">
        <f t="array" ref="CN579">_xlfn.TEXTJOIN("",TRUE,IF(ISNUMBER(FIND(MID(CM578&amp;Y578,ROW($1:$162),1),CM579&amp;Y579)),MID(CM578&amp;Y578,ROW($1:$162),1),""))</f>
        <v/>
      </c>
      <c r="CO579" s="24" t="str">
        <f t="array" ref="CO579">_xlfn.TEXTJOIN("",TRUE,IF(ISERROR(FIND(ROW($1:$168)-1,CM579&amp;CN579)),ROW($1:$168)-1,""))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79" s="30" t="str">
        <f t="shared" si="400"/>
        <v>邻孤孤</v>
      </c>
    </row>
    <row r="580" spans="1:94">
      <c r="A580" s="15">
        <v>580</v>
      </c>
      <c r="B580" s="80">
        <v>2025197</v>
      </c>
      <c r="C580" s="8" t="s">
        <v>460</v>
      </c>
      <c r="D580" s="81">
        <f t="shared" si="404"/>
        <v>12</v>
      </c>
      <c r="E580" s="82">
        <f t="shared" si="405"/>
        <v>2</v>
      </c>
      <c r="F580" s="83">
        <f t="shared" ref="F580:F643" si="409">IF(L580=0,0.1,D580/L580)</f>
        <v>1.71428571428571</v>
      </c>
      <c r="G580" s="84" t="str">
        <f t="shared" ref="G580:G643" si="410">IF(F580=0.1,"极紧凑",IF(F580&gt;3.5,"紧凑",IF(AND(F580&gt;=2,F580&lt;=3.5),"标准",IF(AND(F580&gt;=1,F580&lt;2),"松散",""))))</f>
        <v>松散</v>
      </c>
      <c r="H580" s="85" t="s">
        <v>10</v>
      </c>
      <c r="I580" s="85" t="s">
        <v>11</v>
      </c>
      <c r="J580" s="85" t="s">
        <v>12</v>
      </c>
      <c r="K580" s="85" t="s">
        <v>13</v>
      </c>
      <c r="L580" s="86">
        <f>MAX(MID(C580,{1,2,3},1)*1)-MIN(MID(C580,{1,2,3},1)*1)</f>
        <v>7</v>
      </c>
      <c r="M580" s="87">
        <v>0</v>
      </c>
      <c r="N580" s="87">
        <v>1</v>
      </c>
      <c r="O580" s="87">
        <v>2</v>
      </c>
      <c r="P580" s="87">
        <v>3</v>
      </c>
      <c r="Q580" s="87">
        <v>4</v>
      </c>
      <c r="R580" s="87">
        <v>5</v>
      </c>
      <c r="S580" s="87">
        <v>6</v>
      </c>
      <c r="T580" s="87">
        <v>7</v>
      </c>
      <c r="U580" s="87">
        <v>8</v>
      </c>
      <c r="V580" s="87">
        <v>9</v>
      </c>
      <c r="W580" s="88">
        <f t="shared" si="406"/>
        <v>5</v>
      </c>
      <c r="X580" s="88">
        <f t="shared" si="407"/>
        <v>7</v>
      </c>
      <c r="Y580" s="88">
        <f t="shared" si="408"/>
        <v>2</v>
      </c>
      <c r="Z580" s="89">
        <f t="shared" si="387"/>
        <v>14</v>
      </c>
      <c r="AA580" s="17" t="str">
        <f>_xlfn.TEXTJOIN(", ",TRUE,ABS(MID(C580,{1,1,2},1)-MID(C580,{2,3,3},1)))</f>
        <v>5, 7, 2</v>
      </c>
      <c r="AB580" s="90">
        <v>0</v>
      </c>
      <c r="AC580" s="90">
        <v>1</v>
      </c>
      <c r="AD580" s="90">
        <v>2</v>
      </c>
      <c r="AE580" s="90">
        <v>3</v>
      </c>
      <c r="AF580" s="90">
        <v>4</v>
      </c>
      <c r="AG580" s="90">
        <v>5</v>
      </c>
      <c r="AH580" s="90">
        <v>6</v>
      </c>
      <c r="AI580" s="90">
        <v>7</v>
      </c>
      <c r="AJ580" s="90">
        <v>8</v>
      </c>
      <c r="AK580" s="90">
        <v>9</v>
      </c>
      <c r="AL580" s="91">
        <v>0</v>
      </c>
      <c r="AM580" s="91">
        <v>1</v>
      </c>
      <c r="AN580" s="91">
        <v>2</v>
      </c>
      <c r="AO580" s="91">
        <v>3</v>
      </c>
      <c r="AP580" s="91">
        <v>4</v>
      </c>
      <c r="AQ580" s="91">
        <v>5</v>
      </c>
      <c r="AR580" s="91">
        <v>6</v>
      </c>
      <c r="AS580" s="91">
        <v>7</v>
      </c>
      <c r="AT580" s="91">
        <v>8</v>
      </c>
      <c r="AU580" s="91">
        <v>9</v>
      </c>
      <c r="AV580" s="92">
        <v>0</v>
      </c>
      <c r="AW580" s="92">
        <v>1</v>
      </c>
      <c r="AX580" s="92">
        <v>2</v>
      </c>
      <c r="AY580" s="92">
        <v>3</v>
      </c>
      <c r="AZ580" s="92">
        <v>4</v>
      </c>
      <c r="BA580" s="92">
        <v>5</v>
      </c>
      <c r="BB580" s="92">
        <v>6</v>
      </c>
      <c r="BC580" s="92">
        <v>7</v>
      </c>
      <c r="BD580" s="92">
        <v>8</v>
      </c>
      <c r="BE580" s="92">
        <v>9</v>
      </c>
      <c r="BF580" s="93">
        <v>0</v>
      </c>
      <c r="BG580" s="93">
        <v>1</v>
      </c>
      <c r="BH580" s="93">
        <v>2</v>
      </c>
      <c r="BI580" s="93">
        <v>3</v>
      </c>
      <c r="BJ580" s="93">
        <v>4</v>
      </c>
      <c r="BK580" s="93">
        <v>5</v>
      </c>
      <c r="BL580" s="93">
        <v>6</v>
      </c>
      <c r="BM580" s="93">
        <v>7</v>
      </c>
      <c r="BN580" s="93">
        <v>8</v>
      </c>
      <c r="BO580" s="93">
        <v>9</v>
      </c>
      <c r="BP580" s="94" t="str">
        <f t="shared" si="388"/>
        <v>松散型</v>
      </c>
      <c r="BQ580" s="15">
        <f t="shared" si="385"/>
        <v>2</v>
      </c>
      <c r="BR580" s="15">
        <f t="shared" si="386"/>
        <v>7</v>
      </c>
      <c r="BS580" s="20" t="str">
        <f t="shared" si="390"/>
        <v/>
      </c>
      <c r="BT580" s="21" t="str">
        <f t="shared" si="391"/>
        <v/>
      </c>
      <c r="BU580" s="21" t="str">
        <f t="array" ref="BU580">_xlfn.TEXTJOIN("",TRUE,IF(ISERROR(FIND(ROW($1:$168)-1,BS580&amp;BT580)),ROW($1:$168)-1,""))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80" s="22" t="str">
        <f t="shared" si="392"/>
        <v>中中中</v>
      </c>
      <c r="BW580" s="23" t="str">
        <f t="shared" si="403"/>
        <v/>
      </c>
      <c r="BX580" s="23" t="str">
        <f t="shared" si="401"/>
        <v/>
      </c>
      <c r="BY580" s="23" t="str">
        <f t="array" ref="BY580">_xlfn.TEXTJOIN("",TRUE,IF(ISERROR(FIND(ROW($1:$168)-1,BW580&amp;BX580)),ROW($1:$168)-1,""))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80" s="22" t="str">
        <f t="shared" si="393"/>
        <v>中中中</v>
      </c>
      <c r="CA580" s="24" t="str">
        <f t="shared" si="394"/>
        <v/>
      </c>
      <c r="CB580" s="24" t="str">
        <f t="shared" si="402"/>
        <v/>
      </c>
      <c r="CC580" s="24" t="str">
        <f t="array" ref="CC580">_xlfn.TEXTJOIN("",TRUE,IF(ISERROR(FIND(ROW($1:$168)-1,CA580&amp;CB580)),ROW($1:$168)-1,""))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80" s="22" t="str">
        <f t="shared" si="395"/>
        <v>中中中</v>
      </c>
      <c r="CE580" s="25" t="str">
        <f t="shared" si="389"/>
        <v>46</v>
      </c>
      <c r="CF580" s="26" t="str">
        <f t="array" ref="CF580">_xlfn.TEXTJOIN("",TRUE,IF(ISNUMBER(FIND(MID(CE579&amp;W579,ROW($1:$162),1),CE580&amp;W580)),MID(CE579&amp;W579,ROW($1:$162),1),""))</f>
        <v>54</v>
      </c>
      <c r="CG580" s="27" t="str">
        <f t="array" ref="CG580">_xlfn.TEXTJOIN("",TRUE,IF(ISERROR(FIND(ROW($1:$168)-1,CE580&amp;CF580)),ROW($1:$168)-1,""))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80" s="28" t="str">
        <f t="shared" si="396"/>
        <v>邻传孤</v>
      </c>
      <c r="CI580" s="29" t="str">
        <f t="shared" si="397"/>
        <v>68</v>
      </c>
      <c r="CJ580" s="29" t="str">
        <f t="array" ref="CJ580">_xlfn.TEXTJOIN("",TRUE,IF(ISNUMBER(FIND(MID(CI579&amp;X579,ROW($1:$162),1),CI580&amp;X580)),MID(CI579&amp;X579,ROW($1:$162),1),""))</f>
        <v/>
      </c>
      <c r="CK580" s="29" t="str">
        <f t="array" ref="CK580">_xlfn.TEXTJOIN("",TRUE,IF(ISERROR(FIND(ROW($1:$168)-1,CI580&amp;CJ580)),ROW($1:$168)-1,""))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80" s="19" t="str">
        <f t="shared" si="398"/>
        <v>邻孤孤</v>
      </c>
      <c r="CM580" s="24" t="str">
        <f t="shared" si="399"/>
        <v>13</v>
      </c>
      <c r="CN580" s="24" t="str">
        <f t="array" ref="CN580">_xlfn.TEXTJOIN("",TRUE,IF(ISNUMBER(FIND(MID(CM579&amp;Y579,ROW($1:$162),1),CM580&amp;Y580)),MID(CM579&amp;Y579,ROW($1:$162),1),""))</f>
        <v>21</v>
      </c>
      <c r="CO580" s="24" t="str">
        <f t="array" ref="CO580">_xlfn.TEXTJOIN("",TRUE,IF(ISERROR(FIND(ROW($1:$168)-1,CM580&amp;CN580)),ROW($1:$168)-1,""))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580" s="30" t="str">
        <f t="shared" si="400"/>
        <v>邻传孤</v>
      </c>
    </row>
    <row r="581" spans="1:94">
      <c r="A581" s="15">
        <v>581</v>
      </c>
      <c r="B581" s="80">
        <v>2025198</v>
      </c>
      <c r="C581" s="8" t="s">
        <v>344</v>
      </c>
      <c r="D581" s="81">
        <f t="shared" si="404"/>
        <v>25</v>
      </c>
      <c r="E581" s="82">
        <f t="shared" si="405"/>
        <v>5</v>
      </c>
      <c r="F581" s="83">
        <f t="shared" si="409"/>
        <v>25</v>
      </c>
      <c r="G581" s="84" t="str">
        <f t="shared" si="410"/>
        <v>紧凑</v>
      </c>
      <c r="H581" s="85" t="s">
        <v>10</v>
      </c>
      <c r="I581" s="85" t="s">
        <v>11</v>
      </c>
      <c r="J581" s="85" t="s">
        <v>12</v>
      </c>
      <c r="K581" s="85" t="s">
        <v>13</v>
      </c>
      <c r="L581" s="86">
        <f>MAX(MID(C581,{1,2,3},1)*1)-MIN(MID(C581,{1,2,3},1)*1)</f>
        <v>1</v>
      </c>
      <c r="M581" s="87">
        <v>0</v>
      </c>
      <c r="N581" s="87">
        <v>1</v>
      </c>
      <c r="O581" s="87">
        <v>2</v>
      </c>
      <c r="P581" s="87">
        <v>3</v>
      </c>
      <c r="Q581" s="87">
        <v>4</v>
      </c>
      <c r="R581" s="87">
        <v>5</v>
      </c>
      <c r="S581" s="87">
        <v>6</v>
      </c>
      <c r="T581" s="87">
        <v>7</v>
      </c>
      <c r="U581" s="87">
        <v>8</v>
      </c>
      <c r="V581" s="87">
        <v>9</v>
      </c>
      <c r="W581" s="88">
        <f t="shared" si="406"/>
        <v>1</v>
      </c>
      <c r="X581" s="88">
        <f t="shared" si="407"/>
        <v>0</v>
      </c>
      <c r="Y581" s="88">
        <f t="shared" si="408"/>
        <v>1</v>
      </c>
      <c r="Z581" s="89">
        <f t="shared" si="387"/>
        <v>2</v>
      </c>
      <c r="AA581" s="17" t="str">
        <f>_xlfn.TEXTJOIN(", ",TRUE,ABS(MID(C581,{1,1,2},1)-MID(C581,{2,3,3},1)))</f>
        <v>1, 0, 1</v>
      </c>
      <c r="AB581" s="90">
        <v>0</v>
      </c>
      <c r="AC581" s="90">
        <v>1</v>
      </c>
      <c r="AD581" s="90">
        <v>2</v>
      </c>
      <c r="AE581" s="90">
        <v>3</v>
      </c>
      <c r="AF581" s="90">
        <v>4</v>
      </c>
      <c r="AG581" s="90">
        <v>5</v>
      </c>
      <c r="AH581" s="90">
        <v>6</v>
      </c>
      <c r="AI581" s="90">
        <v>7</v>
      </c>
      <c r="AJ581" s="90">
        <v>8</v>
      </c>
      <c r="AK581" s="90">
        <v>9</v>
      </c>
      <c r="AL581" s="91">
        <v>0</v>
      </c>
      <c r="AM581" s="91">
        <v>1</v>
      </c>
      <c r="AN581" s="91">
        <v>2</v>
      </c>
      <c r="AO581" s="91">
        <v>3</v>
      </c>
      <c r="AP581" s="91">
        <v>4</v>
      </c>
      <c r="AQ581" s="91">
        <v>5</v>
      </c>
      <c r="AR581" s="91">
        <v>6</v>
      </c>
      <c r="AS581" s="91">
        <v>7</v>
      </c>
      <c r="AT581" s="91">
        <v>8</v>
      </c>
      <c r="AU581" s="91">
        <v>9</v>
      </c>
      <c r="AV581" s="92">
        <v>0</v>
      </c>
      <c r="AW581" s="92">
        <v>1</v>
      </c>
      <c r="AX581" s="92">
        <v>2</v>
      </c>
      <c r="AY581" s="92">
        <v>3</v>
      </c>
      <c r="AZ581" s="92">
        <v>4</v>
      </c>
      <c r="BA581" s="92">
        <v>5</v>
      </c>
      <c r="BB581" s="92">
        <v>6</v>
      </c>
      <c r="BC581" s="92">
        <v>7</v>
      </c>
      <c r="BD581" s="92">
        <v>8</v>
      </c>
      <c r="BE581" s="92">
        <v>9</v>
      </c>
      <c r="BF581" s="93">
        <v>0</v>
      </c>
      <c r="BG581" s="93">
        <v>1</v>
      </c>
      <c r="BH581" s="93">
        <v>2</v>
      </c>
      <c r="BI581" s="93">
        <v>3</v>
      </c>
      <c r="BJ581" s="93">
        <v>4</v>
      </c>
      <c r="BK581" s="93">
        <v>5</v>
      </c>
      <c r="BL581" s="93">
        <v>6</v>
      </c>
      <c r="BM581" s="93">
        <v>7</v>
      </c>
      <c r="BN581" s="93">
        <v>8</v>
      </c>
      <c r="BO581" s="93">
        <v>9</v>
      </c>
      <c r="BP581" s="94" t="str">
        <f t="shared" si="388"/>
        <v>紧凑型</v>
      </c>
      <c r="BQ581" s="15">
        <f t="shared" si="385"/>
        <v>0</v>
      </c>
      <c r="BR581" s="15">
        <f t="shared" si="386"/>
        <v>1</v>
      </c>
      <c r="BS581" s="20" t="str">
        <f t="shared" si="390"/>
        <v/>
      </c>
      <c r="BT581" s="21">
        <f t="shared" si="391"/>
        <v>1</v>
      </c>
      <c r="BU581" s="21" t="str">
        <f t="array" ref="BU581">_xlfn.TEXTJOIN("",TRUE,IF(ISERROR(FIND(ROW($1:$168)-1,BS581&amp;BT581)),ROW($1:$168)-1,""))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81" s="22" t="str">
        <f t="shared" si="392"/>
        <v>中隔中</v>
      </c>
      <c r="BW581" s="23" t="str">
        <f t="shared" si="403"/>
        <v/>
      </c>
      <c r="BX581" s="23" t="str">
        <f t="shared" si="401"/>
        <v/>
      </c>
      <c r="BY581" s="23" t="str">
        <f t="array" ref="BY581">_xlfn.TEXTJOIN("",TRUE,IF(ISERROR(FIND(ROW($1:$168)-1,BW581&amp;BX581)),ROW($1:$168)-1,""))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81" s="22" t="str">
        <f t="shared" si="393"/>
        <v>中中中</v>
      </c>
      <c r="CA581" s="24" t="str">
        <f t="shared" si="394"/>
        <v/>
      </c>
      <c r="CB581" s="24">
        <f t="shared" si="402"/>
        <v>1</v>
      </c>
      <c r="CC581" s="24" t="str">
        <f t="array" ref="CC581">_xlfn.TEXTJOIN("",TRUE,IF(ISERROR(FIND(ROW($1:$168)-1,CA581&amp;CB581)),ROW($1:$168)-1,""))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81" s="22" t="str">
        <f t="shared" si="395"/>
        <v>中隔中</v>
      </c>
      <c r="CE581" s="25" t="str">
        <f t="shared" si="389"/>
        <v>02</v>
      </c>
      <c r="CF581" s="26" t="str">
        <f t="array" ref="CF581">_xlfn.TEXTJOIN("",TRUE,IF(ISNUMBER(FIND(MID(CE580&amp;W580,ROW($1:$162),1),CE581&amp;W581)),MID(CE580&amp;W580,ROW($1:$162),1),""))</f>
        <v/>
      </c>
      <c r="CG581" s="27" t="str">
        <f t="array" ref="CG581">_xlfn.TEXTJOIN("",TRUE,IF(ISERROR(FIND(ROW($1:$168)-1,CE581&amp;CF581)),ROW($1:$168)-1,""))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81" s="28" t="str">
        <f t="shared" si="396"/>
        <v>邻孤孤</v>
      </c>
      <c r="CI581" s="29" t="str">
        <f t="shared" si="397"/>
        <v>91</v>
      </c>
      <c r="CJ581" s="29" t="str">
        <f t="array" ref="CJ581">_xlfn.TEXTJOIN("",TRUE,IF(ISNUMBER(FIND(MID(CI580&amp;X580,ROW($1:$162),1),CI581&amp;X581)),MID(CI580&amp;X580,ROW($1:$162),1),""))</f>
        <v/>
      </c>
      <c r="CK581" s="29" t="str">
        <f t="array" ref="CK581">_xlfn.TEXTJOIN("",TRUE,IF(ISERROR(FIND(ROW($1:$168)-1,CI581&amp;CJ581)),ROW($1:$168)-1,""))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581" s="19" t="str">
        <f t="shared" si="398"/>
        <v>邻孤孤</v>
      </c>
      <c r="CM581" s="24" t="str">
        <f t="shared" si="399"/>
        <v>02</v>
      </c>
      <c r="CN581" s="24" t="str">
        <f t="array" ref="CN581">_xlfn.TEXTJOIN("",TRUE,IF(ISNUMBER(FIND(MID(CM580&amp;Y580,ROW($1:$162),1),CM581&amp;Y581)),MID(CM580&amp;Y580,ROW($1:$162),1),""))</f>
        <v>12</v>
      </c>
      <c r="CO581" s="24" t="str">
        <f t="array" ref="CO581">_xlfn.TEXTJOIN("",TRUE,IF(ISERROR(FIND(ROW($1:$168)-1,CM581&amp;CN581)),ROW($1:$168)-1,""))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81" s="30" t="str">
        <f t="shared" si="400"/>
        <v>邻传孤</v>
      </c>
    </row>
    <row r="582" spans="1:94">
      <c r="A582" s="15">
        <v>582</v>
      </c>
      <c r="B582" s="80">
        <v>2025199</v>
      </c>
      <c r="C582" s="8" t="s">
        <v>461</v>
      </c>
      <c r="D582" s="81">
        <f t="shared" ref="D582:D645" si="411">LEFT(C582,1)+MID(C582,2,1)+RIGHT(C582,1)</f>
        <v>16</v>
      </c>
      <c r="E582" s="82">
        <f t="shared" ref="E582:E645" si="412">MOD(LEFT(C582,1)+MID(C582,2,1)+RIGHT(C582,1),10)</f>
        <v>6</v>
      </c>
      <c r="F582" s="83">
        <f t="shared" si="409"/>
        <v>2.66666666666667</v>
      </c>
      <c r="G582" s="84" t="str">
        <f t="shared" si="410"/>
        <v>标准</v>
      </c>
      <c r="H582" s="85" t="s">
        <v>10</v>
      </c>
      <c r="I582" s="85" t="s">
        <v>11</v>
      </c>
      <c r="J582" s="85" t="s">
        <v>12</v>
      </c>
      <c r="K582" s="85" t="s">
        <v>13</v>
      </c>
      <c r="L582" s="86">
        <f>MAX(MID(C582,{1,2,3},1)*1)-MIN(MID(C582,{1,2,3},1)*1)</f>
        <v>6</v>
      </c>
      <c r="M582" s="87">
        <v>0</v>
      </c>
      <c r="N582" s="87">
        <v>1</v>
      </c>
      <c r="O582" s="87">
        <v>2</v>
      </c>
      <c r="P582" s="87">
        <v>3</v>
      </c>
      <c r="Q582" s="87">
        <v>4</v>
      </c>
      <c r="R582" s="87">
        <v>5</v>
      </c>
      <c r="S582" s="87">
        <v>6</v>
      </c>
      <c r="T582" s="87">
        <v>7</v>
      </c>
      <c r="U582" s="87">
        <v>8</v>
      </c>
      <c r="V582" s="87">
        <v>9</v>
      </c>
      <c r="W582" s="88">
        <f t="shared" ref="W582:W645" si="413">ABS(LEFT(C582,1)-MID(C582,2,1))</f>
        <v>5</v>
      </c>
      <c r="X582" s="88">
        <f t="shared" ref="X582:X645" si="414">ABS(LEFT(C582,1)-RIGHT(C582,1))</f>
        <v>6</v>
      </c>
      <c r="Y582" s="88">
        <f t="shared" ref="Y582:Y645" si="415">ABS(MID(C582,2,1)-RIGHT(C582,1))</f>
        <v>1</v>
      </c>
      <c r="Z582" s="89">
        <f t="shared" si="387"/>
        <v>12</v>
      </c>
      <c r="AA582" s="17" t="str">
        <f>_xlfn.TEXTJOIN(", ",TRUE,ABS(MID(C582,{1,1,2},1)-MID(C582,{2,3,3},1)))</f>
        <v>5, 6, 1</v>
      </c>
      <c r="AB582" s="90">
        <v>0</v>
      </c>
      <c r="AC582" s="90">
        <v>1</v>
      </c>
      <c r="AD582" s="90">
        <v>2</v>
      </c>
      <c r="AE582" s="90">
        <v>3</v>
      </c>
      <c r="AF582" s="90">
        <v>4</v>
      </c>
      <c r="AG582" s="90">
        <v>5</v>
      </c>
      <c r="AH582" s="90">
        <v>6</v>
      </c>
      <c r="AI582" s="90">
        <v>7</v>
      </c>
      <c r="AJ582" s="90">
        <v>8</v>
      </c>
      <c r="AK582" s="90">
        <v>9</v>
      </c>
      <c r="AL582" s="91">
        <v>0</v>
      </c>
      <c r="AM582" s="91">
        <v>1</v>
      </c>
      <c r="AN582" s="91">
        <v>2</v>
      </c>
      <c r="AO582" s="91">
        <v>3</v>
      </c>
      <c r="AP582" s="91">
        <v>4</v>
      </c>
      <c r="AQ582" s="91">
        <v>5</v>
      </c>
      <c r="AR582" s="91">
        <v>6</v>
      </c>
      <c r="AS582" s="91">
        <v>7</v>
      </c>
      <c r="AT582" s="91">
        <v>8</v>
      </c>
      <c r="AU582" s="91">
        <v>9</v>
      </c>
      <c r="AV582" s="92">
        <v>0</v>
      </c>
      <c r="AW582" s="92">
        <v>1</v>
      </c>
      <c r="AX582" s="92">
        <v>2</v>
      </c>
      <c r="AY582" s="92">
        <v>3</v>
      </c>
      <c r="AZ582" s="92">
        <v>4</v>
      </c>
      <c r="BA582" s="92">
        <v>5</v>
      </c>
      <c r="BB582" s="92">
        <v>6</v>
      </c>
      <c r="BC582" s="92">
        <v>7</v>
      </c>
      <c r="BD582" s="92">
        <v>8</v>
      </c>
      <c r="BE582" s="92">
        <v>9</v>
      </c>
      <c r="BF582" s="93">
        <v>0</v>
      </c>
      <c r="BG582" s="93">
        <v>1</v>
      </c>
      <c r="BH582" s="93">
        <v>2</v>
      </c>
      <c r="BI582" s="93">
        <v>3</v>
      </c>
      <c r="BJ582" s="93">
        <v>4</v>
      </c>
      <c r="BK582" s="93">
        <v>5</v>
      </c>
      <c r="BL582" s="93">
        <v>6</v>
      </c>
      <c r="BM582" s="93">
        <v>7</v>
      </c>
      <c r="BN582" s="93">
        <v>8</v>
      </c>
      <c r="BO582" s="93">
        <v>9</v>
      </c>
      <c r="BP582" s="94" t="str">
        <f t="shared" si="388"/>
        <v>松散型</v>
      </c>
      <c r="BQ582" s="15">
        <f t="shared" si="385"/>
        <v>1</v>
      </c>
      <c r="BR582" s="15">
        <f t="shared" si="386"/>
        <v>6</v>
      </c>
      <c r="BS582" s="20" t="str">
        <f t="shared" si="390"/>
        <v/>
      </c>
      <c r="BT582" s="21">
        <f t="shared" si="391"/>
        <v>5</v>
      </c>
      <c r="BU582" s="21" t="str">
        <f t="array" ref="BU582">_xlfn.TEXTJOIN("",TRUE,IF(ISERROR(FIND(ROW($1:$168)-1,BS582&amp;BT582)),ROW($1:$168)-1,""))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82" s="22" t="str">
        <f t="shared" si="392"/>
        <v>中隔中</v>
      </c>
      <c r="BW582" s="23" t="str">
        <f t="shared" si="403"/>
        <v/>
      </c>
      <c r="BX582" s="23" t="str">
        <f t="shared" si="401"/>
        <v/>
      </c>
      <c r="BY582" s="23" t="str">
        <f t="array" ref="BY582">_xlfn.TEXTJOIN("",TRUE,IF(ISERROR(FIND(ROW($1:$168)-1,BW582&amp;BX582)),ROW($1:$168)-1,""))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82" s="22" t="str">
        <f t="shared" si="393"/>
        <v>中中中</v>
      </c>
      <c r="CA582" s="24">
        <f t="shared" si="394"/>
        <v>1</v>
      </c>
      <c r="CB582" s="24" t="str">
        <f t="shared" si="402"/>
        <v/>
      </c>
      <c r="CC582" s="24" t="str">
        <f t="array" ref="CC582">_xlfn.TEXTJOIN("",TRUE,IF(ISERROR(FIND(ROW($1:$168)-1,CA582&amp;CB582)),ROW($1:$168)-1,""))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82" s="22" t="str">
        <f t="shared" si="395"/>
        <v>复中中</v>
      </c>
      <c r="CE582" s="25" t="str">
        <f t="shared" si="389"/>
        <v>46</v>
      </c>
      <c r="CF582" s="26" t="str">
        <f t="array" ref="CF582">_xlfn.TEXTJOIN("",TRUE,IF(ISNUMBER(FIND(MID(CE581&amp;W581,ROW($1:$162),1),CE582&amp;W582)),MID(CE581&amp;W581,ROW($1:$162),1),""))</f>
        <v/>
      </c>
      <c r="CG582" s="27" t="str">
        <f t="array" ref="CG582">_xlfn.TEXTJOIN("",TRUE,IF(ISERROR(FIND(ROW($1:$168)-1,CE582&amp;CF582)),ROW($1:$168)-1,""))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82" s="28" t="str">
        <f t="shared" si="396"/>
        <v>邻孤孤</v>
      </c>
      <c r="CI582" s="29" t="str">
        <f t="shared" si="397"/>
        <v>57</v>
      </c>
      <c r="CJ582" s="29" t="str">
        <f t="array" ref="CJ582">_xlfn.TEXTJOIN("",TRUE,IF(ISNUMBER(FIND(MID(CI581&amp;X581,ROW($1:$162),1),CI582&amp;X582)),MID(CI581&amp;X581,ROW($1:$162),1),""))</f>
        <v/>
      </c>
      <c r="CK582" s="29" t="str">
        <f t="array" ref="CK582">_xlfn.TEXTJOIN("",TRUE,IF(ISERROR(FIND(ROW($1:$168)-1,CI582&amp;CJ582)),ROW($1:$168)-1,""))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82" s="19" t="str">
        <f t="shared" si="398"/>
        <v>邻孤孤</v>
      </c>
      <c r="CM582" s="24" t="str">
        <f t="shared" si="399"/>
        <v>02</v>
      </c>
      <c r="CN582" s="24" t="str">
        <f t="array" ref="CN582">_xlfn.TEXTJOIN("",TRUE,IF(ISNUMBER(FIND(MID(CM581&amp;Y581,ROW($1:$162),1),CM582&amp;Y582)),MID(CM581&amp;Y581,ROW($1:$162),1),""))</f>
        <v>021</v>
      </c>
      <c r="CO582" s="24" t="str">
        <f t="array" ref="CO582">_xlfn.TEXTJOIN("",TRUE,IF(ISERROR(FIND(ROW($1:$168)-1,CM582&amp;CN582)),ROW($1:$168)-1,""))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82" s="30" t="str">
        <f t="shared" si="400"/>
        <v>邻传孤</v>
      </c>
    </row>
    <row r="583" spans="1:94">
      <c r="A583" s="15">
        <v>583</v>
      </c>
      <c r="B583" s="80">
        <v>2025200</v>
      </c>
      <c r="C583" s="8" t="s">
        <v>409</v>
      </c>
      <c r="D583" s="81">
        <f t="shared" si="411"/>
        <v>6</v>
      </c>
      <c r="E583" s="82">
        <f t="shared" si="412"/>
        <v>6</v>
      </c>
      <c r="F583" s="83">
        <f t="shared" si="409"/>
        <v>1.2</v>
      </c>
      <c r="G583" s="84" t="str">
        <f t="shared" si="410"/>
        <v>松散</v>
      </c>
      <c r="H583" s="85" t="s">
        <v>10</v>
      </c>
      <c r="I583" s="85" t="s">
        <v>11</v>
      </c>
      <c r="J583" s="85" t="s">
        <v>12</v>
      </c>
      <c r="K583" s="85" t="s">
        <v>13</v>
      </c>
      <c r="L583" s="86">
        <f>MAX(MID(C583,{1,2,3},1)*1)-MIN(MID(C583,{1,2,3},1)*1)</f>
        <v>5</v>
      </c>
      <c r="M583" s="87">
        <v>0</v>
      </c>
      <c r="N583" s="87">
        <v>1</v>
      </c>
      <c r="O583" s="87">
        <v>2</v>
      </c>
      <c r="P583" s="87">
        <v>3</v>
      </c>
      <c r="Q583" s="87">
        <v>4</v>
      </c>
      <c r="R583" s="87">
        <v>5</v>
      </c>
      <c r="S583" s="87">
        <v>6</v>
      </c>
      <c r="T583" s="87">
        <v>7</v>
      </c>
      <c r="U583" s="87">
        <v>8</v>
      </c>
      <c r="V583" s="87">
        <v>9</v>
      </c>
      <c r="W583" s="88">
        <f t="shared" si="413"/>
        <v>1</v>
      </c>
      <c r="X583" s="88">
        <f t="shared" si="414"/>
        <v>5</v>
      </c>
      <c r="Y583" s="88">
        <f t="shared" si="415"/>
        <v>4</v>
      </c>
      <c r="Z583" s="89">
        <f t="shared" si="387"/>
        <v>10</v>
      </c>
      <c r="AA583" s="17" t="str">
        <f>_xlfn.TEXTJOIN(", ",TRUE,ABS(MID(C583,{1,1,2},1)-MID(C583,{2,3,3},1)))</f>
        <v>1, 5, 4</v>
      </c>
      <c r="AB583" s="90">
        <v>0</v>
      </c>
      <c r="AC583" s="90">
        <v>1</v>
      </c>
      <c r="AD583" s="90">
        <v>2</v>
      </c>
      <c r="AE583" s="90">
        <v>3</v>
      </c>
      <c r="AF583" s="90">
        <v>4</v>
      </c>
      <c r="AG583" s="90">
        <v>5</v>
      </c>
      <c r="AH583" s="90">
        <v>6</v>
      </c>
      <c r="AI583" s="90">
        <v>7</v>
      </c>
      <c r="AJ583" s="90">
        <v>8</v>
      </c>
      <c r="AK583" s="90">
        <v>9</v>
      </c>
      <c r="AL583" s="91">
        <v>0</v>
      </c>
      <c r="AM583" s="91">
        <v>1</v>
      </c>
      <c r="AN583" s="91">
        <v>2</v>
      </c>
      <c r="AO583" s="91">
        <v>3</v>
      </c>
      <c r="AP583" s="91">
        <v>4</v>
      </c>
      <c r="AQ583" s="91">
        <v>5</v>
      </c>
      <c r="AR583" s="91">
        <v>6</v>
      </c>
      <c r="AS583" s="91">
        <v>7</v>
      </c>
      <c r="AT583" s="91">
        <v>8</v>
      </c>
      <c r="AU583" s="91">
        <v>9</v>
      </c>
      <c r="AV583" s="92">
        <v>0</v>
      </c>
      <c r="AW583" s="92">
        <v>1</v>
      </c>
      <c r="AX583" s="92">
        <v>2</v>
      </c>
      <c r="AY583" s="92">
        <v>3</v>
      </c>
      <c r="AZ583" s="92">
        <v>4</v>
      </c>
      <c r="BA583" s="92">
        <v>5</v>
      </c>
      <c r="BB583" s="92">
        <v>6</v>
      </c>
      <c r="BC583" s="92">
        <v>7</v>
      </c>
      <c r="BD583" s="92">
        <v>8</v>
      </c>
      <c r="BE583" s="92">
        <v>9</v>
      </c>
      <c r="BF583" s="93">
        <v>0</v>
      </c>
      <c r="BG583" s="93">
        <v>1</v>
      </c>
      <c r="BH583" s="93">
        <v>2</v>
      </c>
      <c r="BI583" s="93">
        <v>3</v>
      </c>
      <c r="BJ583" s="93">
        <v>4</v>
      </c>
      <c r="BK583" s="93">
        <v>5</v>
      </c>
      <c r="BL583" s="93">
        <v>6</v>
      </c>
      <c r="BM583" s="93">
        <v>7</v>
      </c>
      <c r="BN583" s="93">
        <v>8</v>
      </c>
      <c r="BO583" s="93">
        <v>9</v>
      </c>
      <c r="BP583" s="94" t="str">
        <f t="shared" si="388"/>
        <v>标准型</v>
      </c>
      <c r="BQ583" s="15">
        <f t="shared" si="385"/>
        <v>1</v>
      </c>
      <c r="BR583" s="15">
        <f t="shared" si="386"/>
        <v>5</v>
      </c>
      <c r="BS583" s="20">
        <f t="shared" si="390"/>
        <v>1</v>
      </c>
      <c r="BT583" s="21">
        <f t="shared" si="391"/>
        <v>1</v>
      </c>
      <c r="BU583" s="21" t="str">
        <f t="array" ref="BU583">_xlfn.TEXTJOIN("",TRUE,IF(ISERROR(FIND(ROW($1:$168)-1,BS583&amp;BT583)),ROW($1:$168)-1,""))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83" s="22" t="str">
        <f t="shared" si="392"/>
        <v>复隔中</v>
      </c>
      <c r="BW583" s="23">
        <f t="shared" si="403"/>
        <v>5</v>
      </c>
      <c r="BX583" s="23" t="str">
        <f t="shared" si="401"/>
        <v/>
      </c>
      <c r="BY583" s="23" t="str">
        <f t="array" ref="BY583">_xlfn.TEXTJOIN("",TRUE,IF(ISERROR(FIND(ROW($1:$168)-1,BW583&amp;BX583)),ROW($1:$168)-1,""))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83" s="22" t="str">
        <f t="shared" si="393"/>
        <v>复中中</v>
      </c>
      <c r="CA583" s="24" t="str">
        <f t="shared" si="394"/>
        <v/>
      </c>
      <c r="CB583" s="24" t="str">
        <f t="shared" si="402"/>
        <v/>
      </c>
      <c r="CC583" s="24" t="str">
        <f t="array" ref="CC583">_xlfn.TEXTJOIN("",TRUE,IF(ISERROR(FIND(ROW($1:$168)-1,CA583&amp;CB583)),ROW($1:$168)-1,""))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83" s="22" t="str">
        <f t="shared" si="395"/>
        <v>中中中</v>
      </c>
      <c r="CE583" s="25" t="str">
        <f t="shared" si="389"/>
        <v>02</v>
      </c>
      <c r="CF583" s="26" t="str">
        <f t="array" ref="CF583">_xlfn.TEXTJOIN("",TRUE,IF(ISNUMBER(FIND(MID(CE582&amp;W582,ROW($1:$162),1),CE583&amp;W583)),MID(CE582&amp;W582,ROW($1:$162),1),""))</f>
        <v/>
      </c>
      <c r="CG583" s="27" t="str">
        <f t="array" ref="CG583">_xlfn.TEXTJOIN("",TRUE,IF(ISERROR(FIND(ROW($1:$168)-1,CE583&amp;CF583)),ROW($1:$168)-1,""))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83" s="28" t="str">
        <f t="shared" si="396"/>
        <v>邻孤孤</v>
      </c>
      <c r="CI583" s="29" t="str">
        <f t="shared" si="397"/>
        <v>46</v>
      </c>
      <c r="CJ583" s="29" t="str">
        <f t="array" ref="CJ583">_xlfn.TEXTJOIN("",TRUE,IF(ISNUMBER(FIND(MID(CI582&amp;X582,ROW($1:$162),1),CI583&amp;X583)),MID(CI582&amp;X582,ROW($1:$162),1),""))</f>
        <v>56</v>
      </c>
      <c r="CK583" s="29" t="str">
        <f t="array" ref="CK583">_xlfn.TEXTJOIN("",TRUE,IF(ISERROR(FIND(ROW($1:$168)-1,CI583&amp;CJ583)),ROW($1:$168)-1,""))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83" s="19" t="str">
        <f t="shared" si="398"/>
        <v>邻传孤</v>
      </c>
      <c r="CM583" s="24" t="str">
        <f t="shared" si="399"/>
        <v>35</v>
      </c>
      <c r="CN583" s="24" t="str">
        <f t="array" ref="CN583">_xlfn.TEXTJOIN("",TRUE,IF(ISNUMBER(FIND(MID(CM582&amp;Y582,ROW($1:$162),1),CM583&amp;Y583)),MID(CM582&amp;Y582,ROW($1:$162),1),""))</f>
        <v/>
      </c>
      <c r="CO583" s="24" t="str">
        <f t="array" ref="CO583">_xlfn.TEXTJOIN("",TRUE,IF(ISERROR(FIND(ROW($1:$168)-1,CM583&amp;CN583)),ROW($1:$168)-1,""))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83" s="30" t="str">
        <f t="shared" si="400"/>
        <v>邻孤孤</v>
      </c>
    </row>
    <row r="584" spans="1:94">
      <c r="A584" s="15">
        <v>584</v>
      </c>
      <c r="B584" s="80">
        <v>2025201</v>
      </c>
      <c r="C584" s="8" t="s">
        <v>462</v>
      </c>
      <c r="D584" s="81">
        <f t="shared" si="411"/>
        <v>18</v>
      </c>
      <c r="E584" s="82">
        <f t="shared" si="412"/>
        <v>8</v>
      </c>
      <c r="F584" s="83">
        <f t="shared" si="409"/>
        <v>4.5</v>
      </c>
      <c r="G584" s="84" t="str">
        <f t="shared" si="410"/>
        <v>紧凑</v>
      </c>
      <c r="H584" s="85" t="s">
        <v>10</v>
      </c>
      <c r="I584" s="85" t="s">
        <v>11</v>
      </c>
      <c r="J584" s="85" t="s">
        <v>12</v>
      </c>
      <c r="K584" s="85" t="s">
        <v>13</v>
      </c>
      <c r="L584" s="86">
        <f>MAX(MID(C584,{1,2,3},1)*1)-MIN(MID(C584,{1,2,3},1)*1)</f>
        <v>4</v>
      </c>
      <c r="M584" s="87">
        <v>0</v>
      </c>
      <c r="N584" s="87">
        <v>1</v>
      </c>
      <c r="O584" s="87">
        <v>2</v>
      </c>
      <c r="P584" s="87">
        <v>3</v>
      </c>
      <c r="Q584" s="87">
        <v>4</v>
      </c>
      <c r="R584" s="87">
        <v>5</v>
      </c>
      <c r="S584" s="87">
        <v>6</v>
      </c>
      <c r="T584" s="87">
        <v>7</v>
      </c>
      <c r="U584" s="87">
        <v>8</v>
      </c>
      <c r="V584" s="87">
        <v>9</v>
      </c>
      <c r="W584" s="88">
        <f t="shared" si="413"/>
        <v>4</v>
      </c>
      <c r="X584" s="88">
        <f t="shared" si="414"/>
        <v>2</v>
      </c>
      <c r="Y584" s="88">
        <f t="shared" si="415"/>
        <v>2</v>
      </c>
      <c r="Z584" s="89">
        <f t="shared" si="387"/>
        <v>8</v>
      </c>
      <c r="AA584" s="17" t="str">
        <f>_xlfn.TEXTJOIN(", ",TRUE,ABS(MID(C584,{1,1,2},1)-MID(C584,{2,3,3},1)))</f>
        <v>4, 2, 2</v>
      </c>
      <c r="AB584" s="90">
        <v>0</v>
      </c>
      <c r="AC584" s="90">
        <v>1</v>
      </c>
      <c r="AD584" s="90">
        <v>2</v>
      </c>
      <c r="AE584" s="90">
        <v>3</v>
      </c>
      <c r="AF584" s="90">
        <v>4</v>
      </c>
      <c r="AG584" s="90">
        <v>5</v>
      </c>
      <c r="AH584" s="90">
        <v>6</v>
      </c>
      <c r="AI584" s="90">
        <v>7</v>
      </c>
      <c r="AJ584" s="90">
        <v>8</v>
      </c>
      <c r="AK584" s="90">
        <v>9</v>
      </c>
      <c r="AL584" s="91">
        <v>0</v>
      </c>
      <c r="AM584" s="91">
        <v>1</v>
      </c>
      <c r="AN584" s="91">
        <v>2</v>
      </c>
      <c r="AO584" s="91">
        <v>3</v>
      </c>
      <c r="AP584" s="91">
        <v>4</v>
      </c>
      <c r="AQ584" s="91">
        <v>5</v>
      </c>
      <c r="AR584" s="91">
        <v>6</v>
      </c>
      <c r="AS584" s="91">
        <v>7</v>
      </c>
      <c r="AT584" s="91">
        <v>8</v>
      </c>
      <c r="AU584" s="91">
        <v>9</v>
      </c>
      <c r="AV584" s="92">
        <v>0</v>
      </c>
      <c r="AW584" s="92">
        <v>1</v>
      </c>
      <c r="AX584" s="92">
        <v>2</v>
      </c>
      <c r="AY584" s="92">
        <v>3</v>
      </c>
      <c r="AZ584" s="92">
        <v>4</v>
      </c>
      <c r="BA584" s="92">
        <v>5</v>
      </c>
      <c r="BB584" s="92">
        <v>6</v>
      </c>
      <c r="BC584" s="92">
        <v>7</v>
      </c>
      <c r="BD584" s="92">
        <v>8</v>
      </c>
      <c r="BE584" s="92">
        <v>9</v>
      </c>
      <c r="BF584" s="93">
        <v>0</v>
      </c>
      <c r="BG584" s="93">
        <v>1</v>
      </c>
      <c r="BH584" s="93">
        <v>2</v>
      </c>
      <c r="BI584" s="93">
        <v>3</v>
      </c>
      <c r="BJ584" s="93">
        <v>4</v>
      </c>
      <c r="BK584" s="93">
        <v>5</v>
      </c>
      <c r="BL584" s="93">
        <v>6</v>
      </c>
      <c r="BM584" s="93">
        <v>7</v>
      </c>
      <c r="BN584" s="93">
        <v>8</v>
      </c>
      <c r="BO584" s="93">
        <v>9</v>
      </c>
      <c r="BP584" s="94" t="str">
        <f t="shared" si="388"/>
        <v>标准型</v>
      </c>
      <c r="BQ584" s="15">
        <f t="shared" si="385"/>
        <v>2</v>
      </c>
      <c r="BR584" s="15">
        <f t="shared" si="386"/>
        <v>4</v>
      </c>
      <c r="BS584" s="20">
        <f t="shared" si="390"/>
        <v>4</v>
      </c>
      <c r="BT584" s="21" t="str">
        <f t="shared" si="391"/>
        <v/>
      </c>
      <c r="BU584" s="21" t="str">
        <f t="array" ref="BU584">_xlfn.TEXTJOIN("",TRUE,IF(ISERROR(FIND(ROW($1:$168)-1,BS584&amp;BT584)),ROW($1:$168)-1,""))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84" s="22" t="str">
        <f t="shared" si="392"/>
        <v>复中中</v>
      </c>
      <c r="BW584" s="23" t="str">
        <f t="shared" si="403"/>
        <v/>
      </c>
      <c r="BX584" s="23" t="str">
        <f t="shared" si="401"/>
        <v/>
      </c>
      <c r="BY584" s="23" t="str">
        <f t="array" ref="BY584">_xlfn.TEXTJOIN("",TRUE,IF(ISERROR(FIND(ROW($1:$168)-1,BW584&amp;BX584)),ROW($1:$168)-1,""))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84" s="22" t="str">
        <f t="shared" si="393"/>
        <v>中中中</v>
      </c>
      <c r="CA584" s="24" t="str">
        <f t="shared" si="394"/>
        <v/>
      </c>
      <c r="CB584" s="24" t="str">
        <f t="shared" si="402"/>
        <v/>
      </c>
      <c r="CC584" s="24" t="str">
        <f t="array" ref="CC584">_xlfn.TEXTJOIN("",TRUE,IF(ISERROR(FIND(ROW($1:$168)-1,CA584&amp;CB584)),ROW($1:$168)-1,""))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84" s="22" t="str">
        <f t="shared" si="395"/>
        <v>中中中</v>
      </c>
      <c r="CE584" s="25" t="str">
        <f t="shared" si="389"/>
        <v>35</v>
      </c>
      <c r="CF584" s="26" t="str">
        <f t="array" ref="CF584">_xlfn.TEXTJOIN("",TRUE,IF(ISNUMBER(FIND(MID(CE583&amp;W583,ROW($1:$162),1),CE584&amp;W584)),MID(CE583&amp;W583,ROW($1:$162),1),""))</f>
        <v/>
      </c>
      <c r="CG584" s="27" t="str">
        <f t="array" ref="CG584">_xlfn.TEXTJOIN("",TRUE,IF(ISERROR(FIND(ROW($1:$168)-1,CE584&amp;CF584)),ROW($1:$168)-1,""))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84" s="28" t="str">
        <f t="shared" si="396"/>
        <v>邻孤孤</v>
      </c>
      <c r="CI584" s="29" t="str">
        <f t="shared" si="397"/>
        <v>13</v>
      </c>
      <c r="CJ584" s="29" t="str">
        <f t="array" ref="CJ584">_xlfn.TEXTJOIN("",TRUE,IF(ISNUMBER(FIND(MID(CI583&amp;X583,ROW($1:$162),1),CI584&amp;X584)),MID(CI583&amp;X583,ROW($1:$162),1),""))</f>
        <v/>
      </c>
      <c r="CK584" s="29" t="str">
        <f t="array" ref="CK584">_xlfn.TEXTJOIN("",TRUE,IF(ISERROR(FIND(ROW($1:$168)-1,CI584&amp;CJ584)),ROW($1:$168)-1,""))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84" s="19" t="str">
        <f t="shared" si="398"/>
        <v>邻孤孤</v>
      </c>
      <c r="CM584" s="24" t="str">
        <f t="shared" si="399"/>
        <v>13</v>
      </c>
      <c r="CN584" s="24" t="str">
        <f t="array" ref="CN584">_xlfn.TEXTJOIN("",TRUE,IF(ISNUMBER(FIND(MID(CM583&amp;Y583,ROW($1:$162),1),CM584&amp;Y584)),MID(CM583&amp;Y583,ROW($1:$162),1),""))</f>
        <v>3</v>
      </c>
      <c r="CO584" s="24" t="str">
        <f t="array" ref="CO584">_xlfn.TEXTJOIN("",TRUE,IF(ISERROR(FIND(ROW($1:$168)-1,CM584&amp;CN584)),ROW($1:$168)-1,""))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584" s="30" t="str">
        <f t="shared" si="400"/>
        <v>邻传孤</v>
      </c>
    </row>
    <row r="585" spans="1:94">
      <c r="A585" s="15">
        <v>585</v>
      </c>
      <c r="B585" s="80">
        <v>2025202</v>
      </c>
      <c r="C585" s="8" t="s">
        <v>75</v>
      </c>
      <c r="D585" s="81">
        <f t="shared" si="411"/>
        <v>17</v>
      </c>
      <c r="E585" s="82">
        <f t="shared" si="412"/>
        <v>7</v>
      </c>
      <c r="F585" s="83">
        <f t="shared" si="409"/>
        <v>2.83333333333333</v>
      </c>
      <c r="G585" s="84" t="str">
        <f t="shared" si="410"/>
        <v>标准</v>
      </c>
      <c r="H585" s="85" t="s">
        <v>10</v>
      </c>
      <c r="I585" s="85" t="s">
        <v>11</v>
      </c>
      <c r="J585" s="85" t="s">
        <v>12</v>
      </c>
      <c r="K585" s="85" t="s">
        <v>13</v>
      </c>
      <c r="L585" s="86">
        <f>MAX(MID(C585,{1,2,3},1)*1)-MIN(MID(C585,{1,2,3},1)*1)</f>
        <v>6</v>
      </c>
      <c r="M585" s="87">
        <v>0</v>
      </c>
      <c r="N585" s="87">
        <v>1</v>
      </c>
      <c r="O585" s="87">
        <v>2</v>
      </c>
      <c r="P585" s="87">
        <v>3</v>
      </c>
      <c r="Q585" s="87">
        <v>4</v>
      </c>
      <c r="R585" s="87">
        <v>5</v>
      </c>
      <c r="S585" s="87">
        <v>6</v>
      </c>
      <c r="T585" s="87">
        <v>7</v>
      </c>
      <c r="U585" s="87">
        <v>8</v>
      </c>
      <c r="V585" s="87">
        <v>9</v>
      </c>
      <c r="W585" s="88">
        <f t="shared" si="413"/>
        <v>4</v>
      </c>
      <c r="X585" s="88">
        <f t="shared" si="414"/>
        <v>6</v>
      </c>
      <c r="Y585" s="88">
        <f t="shared" si="415"/>
        <v>2</v>
      </c>
      <c r="Z585" s="89">
        <f t="shared" si="387"/>
        <v>12</v>
      </c>
      <c r="AA585" s="17" t="str">
        <f>_xlfn.TEXTJOIN(", ",TRUE,ABS(MID(C585,{1,1,2},1)-MID(C585,{2,3,3},1)))</f>
        <v>4, 6, 2</v>
      </c>
      <c r="AB585" s="90">
        <v>0</v>
      </c>
      <c r="AC585" s="90">
        <v>1</v>
      </c>
      <c r="AD585" s="90">
        <v>2</v>
      </c>
      <c r="AE585" s="90">
        <v>3</v>
      </c>
      <c r="AF585" s="90">
        <v>4</v>
      </c>
      <c r="AG585" s="90">
        <v>5</v>
      </c>
      <c r="AH585" s="90">
        <v>6</v>
      </c>
      <c r="AI585" s="90">
        <v>7</v>
      </c>
      <c r="AJ585" s="90">
        <v>8</v>
      </c>
      <c r="AK585" s="90">
        <v>9</v>
      </c>
      <c r="AL585" s="91">
        <v>0</v>
      </c>
      <c r="AM585" s="91">
        <v>1</v>
      </c>
      <c r="AN585" s="91">
        <v>2</v>
      </c>
      <c r="AO585" s="91">
        <v>3</v>
      </c>
      <c r="AP585" s="91">
        <v>4</v>
      </c>
      <c r="AQ585" s="91">
        <v>5</v>
      </c>
      <c r="AR585" s="91">
        <v>6</v>
      </c>
      <c r="AS585" s="91">
        <v>7</v>
      </c>
      <c r="AT585" s="91">
        <v>8</v>
      </c>
      <c r="AU585" s="91">
        <v>9</v>
      </c>
      <c r="AV585" s="92">
        <v>0</v>
      </c>
      <c r="AW585" s="92">
        <v>1</v>
      </c>
      <c r="AX585" s="92">
        <v>2</v>
      </c>
      <c r="AY585" s="92">
        <v>3</v>
      </c>
      <c r="AZ585" s="92">
        <v>4</v>
      </c>
      <c r="BA585" s="92">
        <v>5</v>
      </c>
      <c r="BB585" s="92">
        <v>6</v>
      </c>
      <c r="BC585" s="92">
        <v>7</v>
      </c>
      <c r="BD585" s="92">
        <v>8</v>
      </c>
      <c r="BE585" s="92">
        <v>9</v>
      </c>
      <c r="BF585" s="93">
        <v>0</v>
      </c>
      <c r="BG585" s="93">
        <v>1</v>
      </c>
      <c r="BH585" s="93">
        <v>2</v>
      </c>
      <c r="BI585" s="93">
        <v>3</v>
      </c>
      <c r="BJ585" s="93">
        <v>4</v>
      </c>
      <c r="BK585" s="93">
        <v>5</v>
      </c>
      <c r="BL585" s="93">
        <v>6</v>
      </c>
      <c r="BM585" s="93">
        <v>7</v>
      </c>
      <c r="BN585" s="93">
        <v>8</v>
      </c>
      <c r="BO585" s="93">
        <v>9</v>
      </c>
      <c r="BP585" s="94" t="str">
        <f t="shared" si="388"/>
        <v>松散型</v>
      </c>
      <c r="BQ585" s="15">
        <f t="shared" si="385"/>
        <v>2</v>
      </c>
      <c r="BR585" s="15">
        <f t="shared" si="386"/>
        <v>6</v>
      </c>
      <c r="BS585" s="20">
        <f t="shared" si="390"/>
        <v>4</v>
      </c>
      <c r="BT585" s="21">
        <f t="shared" si="391"/>
        <v>4</v>
      </c>
      <c r="BU585" s="21" t="str">
        <f t="array" ref="BU585">_xlfn.TEXTJOIN("",TRUE,IF(ISERROR(FIND(ROW($1:$168)-1,BS585&amp;BT585)),ROW($1:$168)-1,""))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85" s="22" t="str">
        <f t="shared" si="392"/>
        <v>复隔中</v>
      </c>
      <c r="BW585" s="23" t="str">
        <f t="shared" si="403"/>
        <v/>
      </c>
      <c r="BX585" s="23" t="str">
        <f t="shared" si="401"/>
        <v/>
      </c>
      <c r="BY585" s="23" t="str">
        <f t="array" ref="BY585">_xlfn.TEXTJOIN("",TRUE,IF(ISERROR(FIND(ROW($1:$168)-1,BW585&amp;BX585)),ROW($1:$168)-1,""))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85" s="22" t="str">
        <f t="shared" si="393"/>
        <v>中中中</v>
      </c>
      <c r="CA585" s="24">
        <f t="shared" si="394"/>
        <v>2</v>
      </c>
      <c r="CB585" s="24" t="str">
        <f t="shared" si="402"/>
        <v/>
      </c>
      <c r="CC585" s="24" t="str">
        <f t="array" ref="CC585">_xlfn.TEXTJOIN("",TRUE,IF(ISERROR(FIND(ROW($1:$168)-1,CA585&amp;CB585)),ROW($1:$168)-1,""))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85" s="22" t="str">
        <f t="shared" si="395"/>
        <v>复中中</v>
      </c>
      <c r="CE585" s="25" t="str">
        <f t="shared" si="389"/>
        <v>35</v>
      </c>
      <c r="CF585" s="26" t="str">
        <f t="array" ref="CF585">_xlfn.TEXTJOIN("",TRUE,IF(ISNUMBER(FIND(MID(CE584&amp;W584,ROW($1:$162),1),CE585&amp;W585)),MID(CE584&amp;W584,ROW($1:$162),1),""))</f>
        <v>354</v>
      </c>
      <c r="CG585" s="27" t="str">
        <f t="array" ref="CG585">_xlfn.TEXTJOIN("",TRUE,IF(ISERROR(FIND(ROW($1:$168)-1,CE585&amp;CF585)),ROW($1:$168)-1,""))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85" s="28" t="str">
        <f t="shared" si="396"/>
        <v>邻传孤</v>
      </c>
      <c r="CI585" s="29" t="str">
        <f t="shared" si="397"/>
        <v>57</v>
      </c>
      <c r="CJ585" s="29" t="str">
        <f t="array" ref="CJ585">_xlfn.TEXTJOIN("",TRUE,IF(ISNUMBER(FIND(MID(CI584&amp;X584,ROW($1:$162),1),CI585&amp;X585)),MID(CI584&amp;X584,ROW($1:$162),1),""))</f>
        <v/>
      </c>
      <c r="CK585" s="29" t="str">
        <f t="array" ref="CK585">_xlfn.TEXTJOIN("",TRUE,IF(ISERROR(FIND(ROW($1:$168)-1,CI585&amp;CJ585)),ROW($1:$168)-1,""))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85" s="19" t="str">
        <f t="shared" si="398"/>
        <v>邻孤孤</v>
      </c>
      <c r="CM585" s="24" t="str">
        <f t="shared" si="399"/>
        <v>13</v>
      </c>
      <c r="CN585" s="24" t="str">
        <f t="array" ref="CN585">_xlfn.TEXTJOIN("",TRUE,IF(ISNUMBER(FIND(MID(CM584&amp;Y584,ROW($1:$162),1),CM585&amp;Y585)),MID(CM584&amp;Y584,ROW($1:$162),1),""))</f>
        <v>132</v>
      </c>
      <c r="CO585" s="24" t="str">
        <f t="array" ref="CO585">_xlfn.TEXTJOIN("",TRUE,IF(ISERROR(FIND(ROW($1:$168)-1,CM585&amp;CN585)),ROW($1:$168)-1,""))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585" s="30" t="str">
        <f t="shared" si="400"/>
        <v>邻传孤</v>
      </c>
    </row>
    <row r="586" spans="1:94">
      <c r="A586" s="15">
        <v>586</v>
      </c>
      <c r="B586" s="80">
        <v>2025203</v>
      </c>
      <c r="C586" s="8" t="s">
        <v>463</v>
      </c>
      <c r="D586" s="81">
        <f t="shared" si="411"/>
        <v>4</v>
      </c>
      <c r="E586" s="82">
        <f t="shared" si="412"/>
        <v>4</v>
      </c>
      <c r="F586" s="83">
        <f t="shared" si="409"/>
        <v>1.33333333333333</v>
      </c>
      <c r="G586" s="84" t="str">
        <f t="shared" si="410"/>
        <v>松散</v>
      </c>
      <c r="H586" s="85" t="s">
        <v>10</v>
      </c>
      <c r="I586" s="85" t="s">
        <v>11</v>
      </c>
      <c r="J586" s="85" t="s">
        <v>12</v>
      </c>
      <c r="K586" s="85" t="s">
        <v>13</v>
      </c>
      <c r="L586" s="86">
        <f>MAX(MID(C586,{1,2,3},1)*1)-MIN(MID(C586,{1,2,3},1)*1)</f>
        <v>3</v>
      </c>
      <c r="M586" s="87">
        <v>0</v>
      </c>
      <c r="N586" s="87">
        <v>1</v>
      </c>
      <c r="O586" s="87">
        <v>2</v>
      </c>
      <c r="P586" s="87">
        <v>3</v>
      </c>
      <c r="Q586" s="87">
        <v>4</v>
      </c>
      <c r="R586" s="87">
        <v>5</v>
      </c>
      <c r="S586" s="87">
        <v>6</v>
      </c>
      <c r="T586" s="87">
        <v>7</v>
      </c>
      <c r="U586" s="87">
        <v>8</v>
      </c>
      <c r="V586" s="87">
        <v>9</v>
      </c>
      <c r="W586" s="88">
        <f t="shared" si="413"/>
        <v>1</v>
      </c>
      <c r="X586" s="88">
        <f t="shared" si="414"/>
        <v>3</v>
      </c>
      <c r="Y586" s="88">
        <f t="shared" si="415"/>
        <v>2</v>
      </c>
      <c r="Z586" s="89">
        <f t="shared" si="387"/>
        <v>6</v>
      </c>
      <c r="AA586" s="17" t="str">
        <f>_xlfn.TEXTJOIN(", ",TRUE,ABS(MID(C586,{1,1,2},1)-MID(C586,{2,3,3},1)))</f>
        <v>1, 3, 2</v>
      </c>
      <c r="AB586" s="90">
        <v>0</v>
      </c>
      <c r="AC586" s="90">
        <v>1</v>
      </c>
      <c r="AD586" s="90">
        <v>2</v>
      </c>
      <c r="AE586" s="90">
        <v>3</v>
      </c>
      <c r="AF586" s="90">
        <v>4</v>
      </c>
      <c r="AG586" s="90">
        <v>5</v>
      </c>
      <c r="AH586" s="90">
        <v>6</v>
      </c>
      <c r="AI586" s="90">
        <v>7</v>
      </c>
      <c r="AJ586" s="90">
        <v>8</v>
      </c>
      <c r="AK586" s="90">
        <v>9</v>
      </c>
      <c r="AL586" s="91">
        <v>0</v>
      </c>
      <c r="AM586" s="91">
        <v>1</v>
      </c>
      <c r="AN586" s="91">
        <v>2</v>
      </c>
      <c r="AO586" s="91">
        <v>3</v>
      </c>
      <c r="AP586" s="91">
        <v>4</v>
      </c>
      <c r="AQ586" s="91">
        <v>5</v>
      </c>
      <c r="AR586" s="91">
        <v>6</v>
      </c>
      <c r="AS586" s="91">
        <v>7</v>
      </c>
      <c r="AT586" s="91">
        <v>8</v>
      </c>
      <c r="AU586" s="91">
        <v>9</v>
      </c>
      <c r="AV586" s="92">
        <v>0</v>
      </c>
      <c r="AW586" s="92">
        <v>1</v>
      </c>
      <c r="AX586" s="92">
        <v>2</v>
      </c>
      <c r="AY586" s="92">
        <v>3</v>
      </c>
      <c r="AZ586" s="92">
        <v>4</v>
      </c>
      <c r="BA586" s="92">
        <v>5</v>
      </c>
      <c r="BB586" s="92">
        <v>6</v>
      </c>
      <c r="BC586" s="92">
        <v>7</v>
      </c>
      <c r="BD586" s="92">
        <v>8</v>
      </c>
      <c r="BE586" s="92">
        <v>9</v>
      </c>
      <c r="BF586" s="93">
        <v>0</v>
      </c>
      <c r="BG586" s="93">
        <v>1</v>
      </c>
      <c r="BH586" s="93">
        <v>2</v>
      </c>
      <c r="BI586" s="93">
        <v>3</v>
      </c>
      <c r="BJ586" s="93">
        <v>4</v>
      </c>
      <c r="BK586" s="93">
        <v>5</v>
      </c>
      <c r="BL586" s="93">
        <v>6</v>
      </c>
      <c r="BM586" s="93">
        <v>7</v>
      </c>
      <c r="BN586" s="93">
        <v>8</v>
      </c>
      <c r="BO586" s="93">
        <v>9</v>
      </c>
      <c r="BP586" s="94" t="str">
        <f t="shared" si="388"/>
        <v>紧凑型</v>
      </c>
      <c r="BQ586" s="15">
        <f t="shared" si="385"/>
        <v>1</v>
      </c>
      <c r="BR586" s="15">
        <f t="shared" si="386"/>
        <v>3</v>
      </c>
      <c r="BS586" s="20" t="str">
        <f t="shared" si="390"/>
        <v/>
      </c>
      <c r="BT586" s="21" t="str">
        <f t="shared" si="391"/>
        <v/>
      </c>
      <c r="BU586" s="21" t="str">
        <f t="array" ref="BU586">_xlfn.TEXTJOIN("",TRUE,IF(ISERROR(FIND(ROW($1:$168)-1,BS586&amp;BT586)),ROW($1:$168)-1,""))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86" s="22" t="str">
        <f t="shared" si="392"/>
        <v>中中中</v>
      </c>
      <c r="BW586" s="23" t="str">
        <f t="shared" si="403"/>
        <v/>
      </c>
      <c r="BX586" s="23" t="str">
        <f t="shared" si="401"/>
        <v/>
      </c>
      <c r="BY586" s="23" t="str">
        <f t="array" ref="BY586">_xlfn.TEXTJOIN("",TRUE,IF(ISERROR(FIND(ROW($1:$168)-1,BW586&amp;BX586)),ROW($1:$168)-1,""))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86" s="22" t="str">
        <f t="shared" si="393"/>
        <v>中中中</v>
      </c>
      <c r="CA586" s="24">
        <f t="shared" si="394"/>
        <v>2</v>
      </c>
      <c r="CB586" s="24">
        <f t="shared" si="402"/>
        <v>2</v>
      </c>
      <c r="CC586" s="24" t="str">
        <f t="array" ref="CC586">_xlfn.TEXTJOIN("",TRUE,IF(ISERROR(FIND(ROW($1:$168)-1,CA586&amp;CB586)),ROW($1:$168)-1,""))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86" s="22" t="str">
        <f t="shared" si="395"/>
        <v>复隔中</v>
      </c>
      <c r="CE586" s="25" t="str">
        <f t="shared" si="389"/>
        <v>02</v>
      </c>
      <c r="CF586" s="26" t="str">
        <f t="array" ref="CF586">_xlfn.TEXTJOIN("",TRUE,IF(ISNUMBER(FIND(MID(CE585&amp;W585,ROW($1:$162),1),CE586&amp;W586)),MID(CE585&amp;W585,ROW($1:$162),1),""))</f>
        <v/>
      </c>
      <c r="CG586" s="27" t="str">
        <f t="array" ref="CG586">_xlfn.TEXTJOIN("",TRUE,IF(ISERROR(FIND(ROW($1:$168)-1,CE586&amp;CF586)),ROW($1:$168)-1,""))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86" s="28" t="str">
        <f t="shared" si="396"/>
        <v>邻孤孤</v>
      </c>
      <c r="CI586" s="29" t="str">
        <f t="shared" si="397"/>
        <v>24</v>
      </c>
      <c r="CJ586" s="29" t="str">
        <f t="array" ref="CJ586">_xlfn.TEXTJOIN("",TRUE,IF(ISNUMBER(FIND(MID(CI585&amp;X585,ROW($1:$162),1),CI586&amp;X586)),MID(CI585&amp;X585,ROW($1:$162),1),""))</f>
        <v/>
      </c>
      <c r="CK586" s="29" t="str">
        <f t="array" ref="CK586">_xlfn.TEXTJOIN("",TRUE,IF(ISERROR(FIND(ROW($1:$168)-1,CI586&amp;CJ586)),ROW($1:$168)-1,""))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86" s="19" t="str">
        <f t="shared" si="398"/>
        <v>邻孤孤</v>
      </c>
      <c r="CM586" s="24" t="str">
        <f t="shared" si="399"/>
        <v>13</v>
      </c>
      <c r="CN586" s="24" t="str">
        <f t="array" ref="CN586">_xlfn.TEXTJOIN("",TRUE,IF(ISNUMBER(FIND(MID(CM585&amp;Y585,ROW($1:$162),1),CM586&amp;Y586)),MID(CM585&amp;Y585,ROW($1:$162),1),""))</f>
        <v>132</v>
      </c>
      <c r="CO586" s="24" t="str">
        <f t="array" ref="CO586">_xlfn.TEXTJOIN("",TRUE,IF(ISERROR(FIND(ROW($1:$168)-1,CM586&amp;CN586)),ROW($1:$168)-1,""))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586" s="30" t="str">
        <f t="shared" si="400"/>
        <v>邻传孤</v>
      </c>
    </row>
    <row r="587" spans="1:94">
      <c r="A587" s="15">
        <v>587</v>
      </c>
      <c r="B587" s="80">
        <v>2025204</v>
      </c>
      <c r="C587" s="8" t="s">
        <v>464</v>
      </c>
      <c r="D587" s="81">
        <f t="shared" si="411"/>
        <v>7</v>
      </c>
      <c r="E587" s="82">
        <f t="shared" si="412"/>
        <v>7</v>
      </c>
      <c r="F587" s="83">
        <f t="shared" si="409"/>
        <v>1</v>
      </c>
      <c r="G587" s="84" t="str">
        <f t="shared" si="410"/>
        <v>松散</v>
      </c>
      <c r="H587" s="85" t="s">
        <v>10</v>
      </c>
      <c r="I587" s="85" t="s">
        <v>11</v>
      </c>
      <c r="J587" s="85" t="s">
        <v>12</v>
      </c>
      <c r="K587" s="85" t="s">
        <v>13</v>
      </c>
      <c r="L587" s="86">
        <f>MAX(MID(C587,{1,2,3},1)*1)-MIN(MID(C587,{1,2,3},1)*1)</f>
        <v>7</v>
      </c>
      <c r="M587" s="87">
        <v>0</v>
      </c>
      <c r="N587" s="87">
        <v>1</v>
      </c>
      <c r="O587" s="87">
        <v>2</v>
      </c>
      <c r="P587" s="87">
        <v>3</v>
      </c>
      <c r="Q587" s="87">
        <v>4</v>
      </c>
      <c r="R587" s="87">
        <v>5</v>
      </c>
      <c r="S587" s="87">
        <v>6</v>
      </c>
      <c r="T587" s="87">
        <v>7</v>
      </c>
      <c r="U587" s="87">
        <v>8</v>
      </c>
      <c r="V587" s="87">
        <v>9</v>
      </c>
      <c r="W587" s="88">
        <f t="shared" si="413"/>
        <v>0</v>
      </c>
      <c r="X587" s="88">
        <f t="shared" si="414"/>
        <v>7</v>
      </c>
      <c r="Y587" s="88">
        <f t="shared" si="415"/>
        <v>7</v>
      </c>
      <c r="Z587" s="89">
        <f t="shared" si="387"/>
        <v>14</v>
      </c>
      <c r="AA587" s="17" t="str">
        <f>_xlfn.TEXTJOIN(", ",TRUE,ABS(MID(C587,{1,1,2},1)-MID(C587,{2,3,3},1)))</f>
        <v>0, 7, 7</v>
      </c>
      <c r="AB587" s="90">
        <v>0</v>
      </c>
      <c r="AC587" s="90">
        <v>1</v>
      </c>
      <c r="AD587" s="90">
        <v>2</v>
      </c>
      <c r="AE587" s="90">
        <v>3</v>
      </c>
      <c r="AF587" s="90">
        <v>4</v>
      </c>
      <c r="AG587" s="90">
        <v>5</v>
      </c>
      <c r="AH587" s="90">
        <v>6</v>
      </c>
      <c r="AI587" s="90">
        <v>7</v>
      </c>
      <c r="AJ587" s="90">
        <v>8</v>
      </c>
      <c r="AK587" s="90">
        <v>9</v>
      </c>
      <c r="AL587" s="91">
        <v>0</v>
      </c>
      <c r="AM587" s="91">
        <v>1</v>
      </c>
      <c r="AN587" s="91">
        <v>2</v>
      </c>
      <c r="AO587" s="91">
        <v>3</v>
      </c>
      <c r="AP587" s="91">
        <v>4</v>
      </c>
      <c r="AQ587" s="91">
        <v>5</v>
      </c>
      <c r="AR587" s="91">
        <v>6</v>
      </c>
      <c r="AS587" s="91">
        <v>7</v>
      </c>
      <c r="AT587" s="91">
        <v>8</v>
      </c>
      <c r="AU587" s="91">
        <v>9</v>
      </c>
      <c r="AV587" s="92">
        <v>0</v>
      </c>
      <c r="AW587" s="92">
        <v>1</v>
      </c>
      <c r="AX587" s="92">
        <v>2</v>
      </c>
      <c r="AY587" s="92">
        <v>3</v>
      </c>
      <c r="AZ587" s="92">
        <v>4</v>
      </c>
      <c r="BA587" s="92">
        <v>5</v>
      </c>
      <c r="BB587" s="92">
        <v>6</v>
      </c>
      <c r="BC587" s="92">
        <v>7</v>
      </c>
      <c r="BD587" s="92">
        <v>8</v>
      </c>
      <c r="BE587" s="92">
        <v>9</v>
      </c>
      <c r="BF587" s="93">
        <v>0</v>
      </c>
      <c r="BG587" s="93">
        <v>1</v>
      </c>
      <c r="BH587" s="93">
        <v>2</v>
      </c>
      <c r="BI587" s="93">
        <v>3</v>
      </c>
      <c r="BJ587" s="93">
        <v>4</v>
      </c>
      <c r="BK587" s="93">
        <v>5</v>
      </c>
      <c r="BL587" s="93">
        <v>6</v>
      </c>
      <c r="BM587" s="93">
        <v>7</v>
      </c>
      <c r="BN587" s="93">
        <v>8</v>
      </c>
      <c r="BO587" s="93">
        <v>9</v>
      </c>
      <c r="BP587" s="94" t="str">
        <f t="shared" si="388"/>
        <v>松散型</v>
      </c>
      <c r="BQ587" s="15">
        <f t="shared" si="385"/>
        <v>0</v>
      </c>
      <c r="BR587" s="15">
        <f t="shared" si="386"/>
        <v>7</v>
      </c>
      <c r="BS587" s="20" t="str">
        <f t="shared" si="390"/>
        <v/>
      </c>
      <c r="BT587" s="21" t="str">
        <f t="shared" si="391"/>
        <v/>
      </c>
      <c r="BU587" s="21" t="str">
        <f t="array" ref="BU587">_xlfn.TEXTJOIN("",TRUE,IF(ISERROR(FIND(ROW($1:$168)-1,BS587&amp;BT587)),ROW($1:$168)-1,""))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87" s="22" t="str">
        <f t="shared" si="392"/>
        <v>中中中</v>
      </c>
      <c r="BW587" s="23" t="str">
        <f t="shared" si="403"/>
        <v/>
      </c>
      <c r="BX587" s="23" t="str">
        <f t="shared" si="401"/>
        <v/>
      </c>
      <c r="BY587" s="23" t="str">
        <f t="array" ref="BY587">_xlfn.TEXTJOIN("",TRUE,IF(ISERROR(FIND(ROW($1:$168)-1,BW587&amp;BX587)),ROW($1:$168)-1,""))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87" s="22" t="str">
        <f t="shared" si="393"/>
        <v>中中中</v>
      </c>
      <c r="CA587" s="24" t="str">
        <f t="shared" si="394"/>
        <v/>
      </c>
      <c r="CB587" s="24" t="str">
        <f t="shared" si="402"/>
        <v/>
      </c>
      <c r="CC587" s="24" t="str">
        <f t="array" ref="CC587">_xlfn.TEXTJOIN("",TRUE,IF(ISERROR(FIND(ROW($1:$168)-1,CA587&amp;CB587)),ROW($1:$168)-1,""))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87" s="22" t="str">
        <f t="shared" si="395"/>
        <v>中中中</v>
      </c>
      <c r="CE587" s="25" t="str">
        <f t="shared" si="389"/>
        <v>91</v>
      </c>
      <c r="CF587" s="26" t="str">
        <f t="array" ref="CF587">_xlfn.TEXTJOIN("",TRUE,IF(ISNUMBER(FIND(MID(CE586&amp;W586,ROW($1:$162),1),CE587&amp;W587)),MID(CE586&amp;W586,ROW($1:$162),1),""))</f>
        <v>01</v>
      </c>
      <c r="CG587" s="27" t="str">
        <f t="array" ref="CG587">_xlfn.TEXTJOIN("",TRUE,IF(ISERROR(FIND(ROW($1:$168)-1,CE587&amp;CF587)),ROW($1:$168)-1,""))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H587" s="28" t="str">
        <f t="shared" si="396"/>
        <v>邻传孤</v>
      </c>
      <c r="CI587" s="29" t="str">
        <f t="shared" si="397"/>
        <v>68</v>
      </c>
      <c r="CJ587" s="29" t="str">
        <f t="array" ref="CJ587">_xlfn.TEXTJOIN("",TRUE,IF(ISNUMBER(FIND(MID(CI586&amp;X586,ROW($1:$162),1),CI587&amp;X587)),MID(CI586&amp;X586,ROW($1:$162),1),""))</f>
        <v/>
      </c>
      <c r="CK587" s="29" t="str">
        <f t="array" ref="CK587">_xlfn.TEXTJOIN("",TRUE,IF(ISERROR(FIND(ROW($1:$168)-1,CI587&amp;CJ587)),ROW($1:$168)-1,""))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87" s="19" t="str">
        <f t="shared" si="398"/>
        <v>邻孤孤</v>
      </c>
      <c r="CM587" s="24" t="str">
        <f t="shared" si="399"/>
        <v>68</v>
      </c>
      <c r="CN587" s="24" t="str">
        <f t="array" ref="CN587">_xlfn.TEXTJOIN("",TRUE,IF(ISNUMBER(FIND(MID(CM586&amp;Y586,ROW($1:$162),1),CM587&amp;Y587)),MID(CM586&amp;Y586,ROW($1:$162),1),""))</f>
        <v/>
      </c>
      <c r="CO587" s="24" t="str">
        <f t="array" ref="CO587">_xlfn.TEXTJOIN("",TRUE,IF(ISERROR(FIND(ROW($1:$168)-1,CM587&amp;CN587)),ROW($1:$168)-1,""))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87" s="30" t="str">
        <f t="shared" si="400"/>
        <v>邻孤孤</v>
      </c>
    </row>
    <row r="588" spans="1:94">
      <c r="A588" s="15">
        <v>588</v>
      </c>
      <c r="B588" s="80">
        <v>2025205</v>
      </c>
      <c r="C588" s="8" t="s">
        <v>135</v>
      </c>
      <c r="D588" s="81">
        <f t="shared" si="411"/>
        <v>11</v>
      </c>
      <c r="E588" s="82">
        <f t="shared" si="412"/>
        <v>1</v>
      </c>
      <c r="F588" s="83">
        <f t="shared" si="409"/>
        <v>1.22222222222222</v>
      </c>
      <c r="G588" s="84" t="str">
        <f t="shared" si="410"/>
        <v>松散</v>
      </c>
      <c r="H588" s="85" t="s">
        <v>10</v>
      </c>
      <c r="I588" s="85" t="s">
        <v>11</v>
      </c>
      <c r="J588" s="85" t="s">
        <v>12</v>
      </c>
      <c r="K588" s="85" t="s">
        <v>13</v>
      </c>
      <c r="L588" s="86">
        <f>MAX(MID(C588,{1,2,3},1)*1)-MIN(MID(C588,{1,2,3},1)*1)</f>
        <v>9</v>
      </c>
      <c r="M588" s="87">
        <v>0</v>
      </c>
      <c r="N588" s="87">
        <v>1</v>
      </c>
      <c r="O588" s="87">
        <v>2</v>
      </c>
      <c r="P588" s="87">
        <v>3</v>
      </c>
      <c r="Q588" s="87">
        <v>4</v>
      </c>
      <c r="R588" s="87">
        <v>5</v>
      </c>
      <c r="S588" s="87">
        <v>6</v>
      </c>
      <c r="T588" s="87">
        <v>7</v>
      </c>
      <c r="U588" s="87">
        <v>8</v>
      </c>
      <c r="V588" s="87">
        <v>9</v>
      </c>
      <c r="W588" s="88">
        <f t="shared" si="413"/>
        <v>7</v>
      </c>
      <c r="X588" s="88">
        <f t="shared" si="414"/>
        <v>9</v>
      </c>
      <c r="Y588" s="88">
        <f t="shared" si="415"/>
        <v>2</v>
      </c>
      <c r="Z588" s="89">
        <f t="shared" si="387"/>
        <v>18</v>
      </c>
      <c r="AA588" s="17" t="str">
        <f>_xlfn.TEXTJOIN(", ",TRUE,ABS(MID(C588,{1,1,2},1)-MID(C588,{2,3,3},1)))</f>
        <v>7, 9, 2</v>
      </c>
      <c r="AB588" s="90">
        <v>0</v>
      </c>
      <c r="AC588" s="90">
        <v>1</v>
      </c>
      <c r="AD588" s="90">
        <v>2</v>
      </c>
      <c r="AE588" s="90">
        <v>3</v>
      </c>
      <c r="AF588" s="90">
        <v>4</v>
      </c>
      <c r="AG588" s="90">
        <v>5</v>
      </c>
      <c r="AH588" s="90">
        <v>6</v>
      </c>
      <c r="AI588" s="90">
        <v>7</v>
      </c>
      <c r="AJ588" s="90">
        <v>8</v>
      </c>
      <c r="AK588" s="90">
        <v>9</v>
      </c>
      <c r="AL588" s="91">
        <v>0</v>
      </c>
      <c r="AM588" s="91">
        <v>1</v>
      </c>
      <c r="AN588" s="91">
        <v>2</v>
      </c>
      <c r="AO588" s="91">
        <v>3</v>
      </c>
      <c r="AP588" s="91">
        <v>4</v>
      </c>
      <c r="AQ588" s="91">
        <v>5</v>
      </c>
      <c r="AR588" s="91">
        <v>6</v>
      </c>
      <c r="AS588" s="91">
        <v>7</v>
      </c>
      <c r="AT588" s="91">
        <v>8</v>
      </c>
      <c r="AU588" s="91">
        <v>9</v>
      </c>
      <c r="AV588" s="92">
        <v>0</v>
      </c>
      <c r="AW588" s="92">
        <v>1</v>
      </c>
      <c r="AX588" s="92">
        <v>2</v>
      </c>
      <c r="AY588" s="92">
        <v>3</v>
      </c>
      <c r="AZ588" s="92">
        <v>4</v>
      </c>
      <c r="BA588" s="92">
        <v>5</v>
      </c>
      <c r="BB588" s="92">
        <v>6</v>
      </c>
      <c r="BC588" s="92">
        <v>7</v>
      </c>
      <c r="BD588" s="92">
        <v>8</v>
      </c>
      <c r="BE588" s="92">
        <v>9</v>
      </c>
      <c r="BF588" s="93">
        <v>0</v>
      </c>
      <c r="BG588" s="93">
        <v>1</v>
      </c>
      <c r="BH588" s="93">
        <v>2</v>
      </c>
      <c r="BI588" s="93">
        <v>3</v>
      </c>
      <c r="BJ588" s="93">
        <v>4</v>
      </c>
      <c r="BK588" s="93">
        <v>5</v>
      </c>
      <c r="BL588" s="93">
        <v>6</v>
      </c>
      <c r="BM588" s="93">
        <v>7</v>
      </c>
      <c r="BN588" s="93">
        <v>8</v>
      </c>
      <c r="BO588" s="93">
        <v>9</v>
      </c>
      <c r="BP588" s="94" t="str">
        <f t="shared" si="388"/>
        <v>松散型</v>
      </c>
      <c r="BQ588" s="15">
        <f t="shared" si="385"/>
        <v>2</v>
      </c>
      <c r="BR588" s="15">
        <f t="shared" si="386"/>
        <v>9</v>
      </c>
      <c r="BS588" s="20">
        <f t="shared" si="390"/>
        <v>7</v>
      </c>
      <c r="BT588" s="21" t="str">
        <f t="shared" si="391"/>
        <v/>
      </c>
      <c r="BU588" s="21" t="str">
        <f t="array" ref="BU588">_xlfn.TEXTJOIN("",TRUE,IF(ISERROR(FIND(ROW($1:$168)-1,BS588&amp;BT588)),ROW($1:$168)-1,""))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88" s="22" t="str">
        <f t="shared" si="392"/>
        <v>复中中</v>
      </c>
      <c r="BW588" s="23" t="str">
        <f t="shared" si="403"/>
        <v/>
      </c>
      <c r="BX588" s="23" t="str">
        <f t="shared" si="401"/>
        <v/>
      </c>
      <c r="BY588" s="23" t="str">
        <f t="array" ref="BY588">_xlfn.TEXTJOIN("",TRUE,IF(ISERROR(FIND(ROW($1:$168)-1,BW588&amp;BX588)),ROW($1:$168)-1,""))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88" s="22" t="str">
        <f t="shared" si="393"/>
        <v>中中中</v>
      </c>
      <c r="CA588" s="24" t="str">
        <f t="shared" si="394"/>
        <v/>
      </c>
      <c r="CB588" s="24">
        <f t="shared" si="402"/>
        <v>2</v>
      </c>
      <c r="CC588" s="24" t="str">
        <f t="array" ref="CC588">_xlfn.TEXTJOIN("",TRUE,IF(ISERROR(FIND(ROW($1:$168)-1,CA588&amp;CB588)),ROW($1:$168)-1,""))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88" s="22" t="str">
        <f t="shared" si="395"/>
        <v>中隔中</v>
      </c>
      <c r="CE588" s="25" t="str">
        <f t="shared" si="389"/>
        <v>68</v>
      </c>
      <c r="CF588" s="26" t="str">
        <f t="array" ref="CF588">_xlfn.TEXTJOIN("",TRUE,IF(ISNUMBER(FIND(MID(CE587&amp;W587,ROW($1:$162),1),CE588&amp;W588)),MID(CE587&amp;W587,ROW($1:$162),1),""))</f>
        <v/>
      </c>
      <c r="CG588" s="27" t="str">
        <f t="array" ref="CG588">_xlfn.TEXTJOIN("",TRUE,IF(ISERROR(FIND(ROW($1:$168)-1,CE588&amp;CF588)),ROW($1:$168)-1,""))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88" s="28" t="str">
        <f t="shared" si="396"/>
        <v>邻孤孤</v>
      </c>
      <c r="CI588" s="29" t="str">
        <f t="shared" si="397"/>
        <v>80</v>
      </c>
      <c r="CJ588" s="29" t="str">
        <f t="array" ref="CJ588">_xlfn.TEXTJOIN("",TRUE,IF(ISNUMBER(FIND(MID(CI587&amp;X587,ROW($1:$162),1),CI588&amp;X588)),MID(CI587&amp;X587,ROW($1:$162),1),""))</f>
        <v>8</v>
      </c>
      <c r="CK588" s="29" t="str">
        <f t="array" ref="CK588">_xlfn.TEXTJOIN("",TRUE,IF(ISERROR(FIND(ROW($1:$168)-1,CI588&amp;CJ588)),ROW($1:$168)-1,""))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588" s="19" t="str">
        <f t="shared" si="398"/>
        <v>邻传孤</v>
      </c>
      <c r="CM588" s="24" t="str">
        <f t="shared" si="399"/>
        <v>13</v>
      </c>
      <c r="CN588" s="24" t="str">
        <f t="array" ref="CN588">_xlfn.TEXTJOIN("",TRUE,IF(ISNUMBER(FIND(MID(CM587&amp;Y587,ROW($1:$162),1),CM588&amp;Y588)),MID(CM587&amp;Y587,ROW($1:$162),1),""))</f>
        <v/>
      </c>
      <c r="CO588" s="24" t="str">
        <f t="array" ref="CO588">_xlfn.TEXTJOIN("",TRUE,IF(ISERROR(FIND(ROW($1:$168)-1,CM588&amp;CN588)),ROW($1:$168)-1,""))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88" s="30" t="str">
        <f t="shared" si="400"/>
        <v>邻孤孤</v>
      </c>
    </row>
    <row r="589" spans="1:94">
      <c r="A589" s="15">
        <v>589</v>
      </c>
      <c r="B589" s="80">
        <v>2025206</v>
      </c>
      <c r="C589" s="8" t="s">
        <v>250</v>
      </c>
      <c r="D589" s="81">
        <f t="shared" si="411"/>
        <v>12</v>
      </c>
      <c r="E589" s="82">
        <f t="shared" si="412"/>
        <v>2</v>
      </c>
      <c r="F589" s="83">
        <f t="shared" si="409"/>
        <v>0.1</v>
      </c>
      <c r="G589" s="84" t="str">
        <f t="shared" si="410"/>
        <v>极紧凑</v>
      </c>
      <c r="H589" s="85" t="s">
        <v>10</v>
      </c>
      <c r="I589" s="85" t="s">
        <v>11</v>
      </c>
      <c r="J589" s="85" t="s">
        <v>12</v>
      </c>
      <c r="K589" s="85" t="s">
        <v>13</v>
      </c>
      <c r="L589" s="86">
        <f>MAX(MID(C589,{1,2,3},1)*1)-MIN(MID(C589,{1,2,3},1)*1)</f>
        <v>0</v>
      </c>
      <c r="M589" s="87">
        <v>0</v>
      </c>
      <c r="N589" s="87">
        <v>1</v>
      </c>
      <c r="O589" s="87">
        <v>2</v>
      </c>
      <c r="P589" s="87">
        <v>3</v>
      </c>
      <c r="Q589" s="87">
        <v>4</v>
      </c>
      <c r="R589" s="87">
        <v>5</v>
      </c>
      <c r="S589" s="87">
        <v>6</v>
      </c>
      <c r="T589" s="87">
        <v>7</v>
      </c>
      <c r="U589" s="87">
        <v>8</v>
      </c>
      <c r="V589" s="87">
        <v>9</v>
      </c>
      <c r="W589" s="88">
        <f t="shared" si="413"/>
        <v>0</v>
      </c>
      <c r="X589" s="88">
        <f t="shared" si="414"/>
        <v>0</v>
      </c>
      <c r="Y589" s="88">
        <f t="shared" si="415"/>
        <v>0</v>
      </c>
      <c r="Z589" s="89">
        <f t="shared" si="387"/>
        <v>0</v>
      </c>
      <c r="AA589" s="17" t="str">
        <f>_xlfn.TEXTJOIN(", ",TRUE,ABS(MID(C589,{1,1,2},1)-MID(C589,{2,3,3},1)))</f>
        <v>0, 0, 0</v>
      </c>
      <c r="AB589" s="90">
        <v>0</v>
      </c>
      <c r="AC589" s="90">
        <v>1</v>
      </c>
      <c r="AD589" s="90">
        <v>2</v>
      </c>
      <c r="AE589" s="90">
        <v>3</v>
      </c>
      <c r="AF589" s="90">
        <v>4</v>
      </c>
      <c r="AG589" s="90">
        <v>5</v>
      </c>
      <c r="AH589" s="90">
        <v>6</v>
      </c>
      <c r="AI589" s="90">
        <v>7</v>
      </c>
      <c r="AJ589" s="90">
        <v>8</v>
      </c>
      <c r="AK589" s="90">
        <v>9</v>
      </c>
      <c r="AL589" s="91">
        <v>0</v>
      </c>
      <c r="AM589" s="91">
        <v>1</v>
      </c>
      <c r="AN589" s="91">
        <v>2</v>
      </c>
      <c r="AO589" s="91">
        <v>3</v>
      </c>
      <c r="AP589" s="91">
        <v>4</v>
      </c>
      <c r="AQ589" s="91">
        <v>5</v>
      </c>
      <c r="AR589" s="91">
        <v>6</v>
      </c>
      <c r="AS589" s="91">
        <v>7</v>
      </c>
      <c r="AT589" s="91">
        <v>8</v>
      </c>
      <c r="AU589" s="91">
        <v>9</v>
      </c>
      <c r="AV589" s="92">
        <v>0</v>
      </c>
      <c r="AW589" s="92">
        <v>1</v>
      </c>
      <c r="AX589" s="92">
        <v>2</v>
      </c>
      <c r="AY589" s="92">
        <v>3</v>
      </c>
      <c r="AZ589" s="92">
        <v>4</v>
      </c>
      <c r="BA589" s="92">
        <v>5</v>
      </c>
      <c r="BB589" s="92">
        <v>6</v>
      </c>
      <c r="BC589" s="92">
        <v>7</v>
      </c>
      <c r="BD589" s="92">
        <v>8</v>
      </c>
      <c r="BE589" s="92">
        <v>9</v>
      </c>
      <c r="BF589" s="93">
        <v>0</v>
      </c>
      <c r="BG589" s="93">
        <v>1</v>
      </c>
      <c r="BH589" s="93">
        <v>2</v>
      </c>
      <c r="BI589" s="93">
        <v>3</v>
      </c>
      <c r="BJ589" s="93">
        <v>4</v>
      </c>
      <c r="BK589" s="93">
        <v>5</v>
      </c>
      <c r="BL589" s="93">
        <v>6</v>
      </c>
      <c r="BM589" s="93">
        <v>7</v>
      </c>
      <c r="BN589" s="93">
        <v>8</v>
      </c>
      <c r="BO589" s="93">
        <v>9</v>
      </c>
      <c r="BP589" s="94" t="str">
        <f t="shared" si="388"/>
        <v>紧凑型</v>
      </c>
      <c r="BQ589" s="15">
        <f t="shared" si="385"/>
        <v>0</v>
      </c>
      <c r="BR589" s="15">
        <f t="shared" si="386"/>
        <v>0</v>
      </c>
      <c r="BS589" s="20" t="str">
        <f t="shared" si="390"/>
        <v/>
      </c>
      <c r="BT589" s="21">
        <f t="shared" si="391"/>
        <v>0</v>
      </c>
      <c r="BU589" s="21" t="str">
        <f t="array" ref="BU589">_xlfn.TEXTJOIN("",TRUE,IF(ISERROR(FIND(ROW($1:$168)-1,BS589&amp;BT589)),ROW($1:$168)-1,""))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89" s="22" t="str">
        <f t="shared" si="392"/>
        <v>中隔中</v>
      </c>
      <c r="BW589" s="23" t="str">
        <f t="shared" si="403"/>
        <v/>
      </c>
      <c r="BX589" s="23">
        <f t="shared" si="401"/>
        <v>0</v>
      </c>
      <c r="BY589" s="23" t="str">
        <f t="array" ref="BY589">_xlfn.TEXTJOIN("",TRUE,IF(ISERROR(FIND(ROW($1:$168)-1,BW589&amp;BX589)),ROW($1:$168)-1,""))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89" s="22" t="str">
        <f t="shared" si="393"/>
        <v>中隔中</v>
      </c>
      <c r="CA589" s="24" t="str">
        <f t="shared" si="394"/>
        <v/>
      </c>
      <c r="CB589" s="24">
        <f t="shared" si="402"/>
        <v>0</v>
      </c>
      <c r="CC589" s="24" t="str">
        <f t="array" ref="CC589">_xlfn.TEXTJOIN("",TRUE,IF(ISERROR(FIND(ROW($1:$168)-1,CA589&amp;CB589)),ROW($1:$168)-1,""))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89" s="22" t="str">
        <f t="shared" si="395"/>
        <v>中隔中</v>
      </c>
      <c r="CE589" s="25" t="str">
        <f t="shared" si="389"/>
        <v>91</v>
      </c>
      <c r="CF589" s="26" t="str">
        <f t="array" ref="CF589">_xlfn.TEXTJOIN("",TRUE,IF(ISNUMBER(FIND(MID(CE588&amp;W588,ROW($1:$162),1),CE589&amp;W589)),MID(CE588&amp;W588,ROW($1:$162),1),""))</f>
        <v/>
      </c>
      <c r="CG589" s="27" t="str">
        <f t="array" ref="CG589">_xlfn.TEXTJOIN("",TRUE,IF(ISERROR(FIND(ROW($1:$168)-1,CE589&amp;CF589)),ROW($1:$168)-1,""))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589" s="28" t="str">
        <f t="shared" si="396"/>
        <v>邻孤孤</v>
      </c>
      <c r="CI589" s="29" t="str">
        <f t="shared" si="397"/>
        <v>91</v>
      </c>
      <c r="CJ589" s="29" t="str">
        <f t="array" ref="CJ589">_xlfn.TEXTJOIN("",TRUE,IF(ISNUMBER(FIND(MID(CI588&amp;X588,ROW($1:$162),1),CI589&amp;X589)),MID(CI588&amp;X588,ROW($1:$162),1),""))</f>
        <v>09</v>
      </c>
      <c r="CK589" s="29" t="str">
        <f t="array" ref="CK589">_xlfn.TEXTJOIN("",TRUE,IF(ISERROR(FIND(ROW($1:$168)-1,CI589&amp;CJ589)),ROW($1:$168)-1,""))</f>
        <v>234567811121314151617181920212223242526272829303132333435363738394041424344454647484950515253545556575859606162636465666768697071727374757677787980818283848586878889909293949596979899100101102103104105106107108110111112113114115116117118119120121122123124125126127128129130131132133134135136137138139140141142143144145146147148149150151152153154155156157158159160161162163164165166167</v>
      </c>
      <c r="CL589" s="19" t="str">
        <f t="shared" si="398"/>
        <v>邻传孤</v>
      </c>
      <c r="CM589" s="24" t="str">
        <f t="shared" si="399"/>
        <v>91</v>
      </c>
      <c r="CN589" s="24" t="str">
        <f t="array" ref="CN589">_xlfn.TEXTJOIN("",TRUE,IF(ISNUMBER(FIND(MID(CM588&amp;Y588,ROW($1:$162),1),CM589&amp;Y589)),MID(CM588&amp;Y588,ROW($1:$162),1),""))</f>
        <v>1</v>
      </c>
      <c r="CO589" s="24" t="str">
        <f t="array" ref="CO589">_xlfn.TEXTJOIN("",TRUE,IF(ISERROR(FIND(ROW($1:$168)-1,CM589&amp;CN589)),ROW($1:$168)-1,""))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589" s="30" t="str">
        <f t="shared" si="400"/>
        <v>邻传孤</v>
      </c>
    </row>
    <row r="590" spans="1:94">
      <c r="A590" s="15">
        <v>590</v>
      </c>
      <c r="B590" s="80">
        <v>2025207</v>
      </c>
      <c r="C590" s="8" t="s">
        <v>465</v>
      </c>
      <c r="D590" s="81">
        <f t="shared" si="411"/>
        <v>12</v>
      </c>
      <c r="E590" s="82">
        <f t="shared" si="412"/>
        <v>2</v>
      </c>
      <c r="F590" s="83">
        <f t="shared" si="409"/>
        <v>4</v>
      </c>
      <c r="G590" s="84" t="str">
        <f t="shared" si="410"/>
        <v>紧凑</v>
      </c>
      <c r="H590" s="85" t="s">
        <v>10</v>
      </c>
      <c r="I590" s="85" t="s">
        <v>11</v>
      </c>
      <c r="J590" s="85" t="s">
        <v>12</v>
      </c>
      <c r="K590" s="85" t="s">
        <v>13</v>
      </c>
      <c r="L590" s="86">
        <f>MAX(MID(C590,{1,2,3},1)*1)-MIN(MID(C590,{1,2,3},1)*1)</f>
        <v>3</v>
      </c>
      <c r="M590" s="87">
        <v>0</v>
      </c>
      <c r="N590" s="87">
        <v>1</v>
      </c>
      <c r="O590" s="87">
        <v>2</v>
      </c>
      <c r="P590" s="87">
        <v>3</v>
      </c>
      <c r="Q590" s="87">
        <v>4</v>
      </c>
      <c r="R590" s="87">
        <v>5</v>
      </c>
      <c r="S590" s="87">
        <v>6</v>
      </c>
      <c r="T590" s="87">
        <v>7</v>
      </c>
      <c r="U590" s="87">
        <v>8</v>
      </c>
      <c r="V590" s="87">
        <v>9</v>
      </c>
      <c r="W590" s="88">
        <f t="shared" si="413"/>
        <v>3</v>
      </c>
      <c r="X590" s="88">
        <f t="shared" si="414"/>
        <v>3</v>
      </c>
      <c r="Y590" s="88">
        <f t="shared" si="415"/>
        <v>0</v>
      </c>
      <c r="Z590" s="89">
        <f t="shared" si="387"/>
        <v>6</v>
      </c>
      <c r="AA590" s="17" t="str">
        <f>_xlfn.TEXTJOIN(", ",TRUE,ABS(MID(C590,{1,1,2},1)-MID(C590,{2,3,3},1)))</f>
        <v>3, 3, 0</v>
      </c>
      <c r="AB590" s="90">
        <v>0</v>
      </c>
      <c r="AC590" s="90">
        <v>1</v>
      </c>
      <c r="AD590" s="90">
        <v>2</v>
      </c>
      <c r="AE590" s="90">
        <v>3</v>
      </c>
      <c r="AF590" s="90">
        <v>4</v>
      </c>
      <c r="AG590" s="90">
        <v>5</v>
      </c>
      <c r="AH590" s="90">
        <v>6</v>
      </c>
      <c r="AI590" s="90">
        <v>7</v>
      </c>
      <c r="AJ590" s="90">
        <v>8</v>
      </c>
      <c r="AK590" s="90">
        <v>9</v>
      </c>
      <c r="AL590" s="91">
        <v>0</v>
      </c>
      <c r="AM590" s="91">
        <v>1</v>
      </c>
      <c r="AN590" s="91">
        <v>2</v>
      </c>
      <c r="AO590" s="91">
        <v>3</v>
      </c>
      <c r="AP590" s="91">
        <v>4</v>
      </c>
      <c r="AQ590" s="91">
        <v>5</v>
      </c>
      <c r="AR590" s="91">
        <v>6</v>
      </c>
      <c r="AS590" s="91">
        <v>7</v>
      </c>
      <c r="AT590" s="91">
        <v>8</v>
      </c>
      <c r="AU590" s="91">
        <v>9</v>
      </c>
      <c r="AV590" s="92">
        <v>0</v>
      </c>
      <c r="AW590" s="92">
        <v>1</v>
      </c>
      <c r="AX590" s="92">
        <v>2</v>
      </c>
      <c r="AY590" s="92">
        <v>3</v>
      </c>
      <c r="AZ590" s="92">
        <v>4</v>
      </c>
      <c r="BA590" s="92">
        <v>5</v>
      </c>
      <c r="BB590" s="92">
        <v>6</v>
      </c>
      <c r="BC590" s="92">
        <v>7</v>
      </c>
      <c r="BD590" s="92">
        <v>8</v>
      </c>
      <c r="BE590" s="92">
        <v>9</v>
      </c>
      <c r="BF590" s="93">
        <v>0</v>
      </c>
      <c r="BG590" s="93">
        <v>1</v>
      </c>
      <c r="BH590" s="93">
        <v>2</v>
      </c>
      <c r="BI590" s="93">
        <v>3</v>
      </c>
      <c r="BJ590" s="93">
        <v>4</v>
      </c>
      <c r="BK590" s="93">
        <v>5</v>
      </c>
      <c r="BL590" s="93">
        <v>6</v>
      </c>
      <c r="BM590" s="93">
        <v>7</v>
      </c>
      <c r="BN590" s="93">
        <v>8</v>
      </c>
      <c r="BO590" s="93">
        <v>9</v>
      </c>
      <c r="BP590" s="94" t="str">
        <f t="shared" si="388"/>
        <v>紧凑型</v>
      </c>
      <c r="BQ590" s="15">
        <f t="shared" si="385"/>
        <v>0</v>
      </c>
      <c r="BR590" s="15">
        <f t="shared" si="386"/>
        <v>3</v>
      </c>
      <c r="BS590" s="20" t="str">
        <f t="shared" si="390"/>
        <v/>
      </c>
      <c r="BT590" s="21" t="str">
        <f t="shared" si="391"/>
        <v/>
      </c>
      <c r="BU590" s="21" t="str">
        <f t="array" ref="BU590">_xlfn.TEXTJOIN("",TRUE,IF(ISERROR(FIND(ROW($1:$168)-1,BS590&amp;BT590)),ROW($1:$168)-1,""))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90" s="22" t="str">
        <f t="shared" si="392"/>
        <v>中中中</v>
      </c>
      <c r="BW590" s="23" t="str">
        <f t="shared" si="403"/>
        <v/>
      </c>
      <c r="BX590" s="23" t="str">
        <f t="shared" si="401"/>
        <v/>
      </c>
      <c r="BY590" s="23" t="str">
        <f t="array" ref="BY590">_xlfn.TEXTJOIN("",TRUE,IF(ISERROR(FIND(ROW($1:$168)-1,BW590&amp;BX590)),ROW($1:$168)-1,""))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90" s="22" t="str">
        <f t="shared" si="393"/>
        <v>中中中</v>
      </c>
      <c r="CA590" s="24">
        <f t="shared" si="394"/>
        <v>0</v>
      </c>
      <c r="CB590" s="24" t="str">
        <f t="shared" si="402"/>
        <v/>
      </c>
      <c r="CC590" s="24" t="str">
        <f t="array" ref="CC590">_xlfn.TEXTJOIN("",TRUE,IF(ISERROR(FIND(ROW($1:$168)-1,CA590&amp;CB590)),ROW($1:$168)-1,""))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90" s="22" t="str">
        <f t="shared" si="395"/>
        <v>复中中</v>
      </c>
      <c r="CE590" s="25" t="str">
        <f t="shared" si="389"/>
        <v>24</v>
      </c>
      <c r="CF590" s="26" t="str">
        <f t="array" ref="CF590">_xlfn.TEXTJOIN("",TRUE,IF(ISNUMBER(FIND(MID(CE589&amp;W589,ROW($1:$162),1),CE590&amp;W590)),MID(CE589&amp;W589,ROW($1:$162),1),""))</f>
        <v/>
      </c>
      <c r="CG590" s="27" t="str">
        <f t="array" ref="CG590">_xlfn.TEXTJOIN("",TRUE,IF(ISERROR(FIND(ROW($1:$168)-1,CE590&amp;CF590)),ROW($1:$168)-1,""))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90" s="28" t="str">
        <f t="shared" si="396"/>
        <v>邻孤孤</v>
      </c>
      <c r="CI590" s="29" t="str">
        <f t="shared" si="397"/>
        <v>24</v>
      </c>
      <c r="CJ590" s="29" t="str">
        <f t="array" ref="CJ590">_xlfn.TEXTJOIN("",TRUE,IF(ISNUMBER(FIND(MID(CI589&amp;X589,ROW($1:$162),1),CI590&amp;X590)),MID(CI589&amp;X589,ROW($1:$162),1),""))</f>
        <v/>
      </c>
      <c r="CK590" s="29" t="str">
        <f t="array" ref="CK590">_xlfn.TEXTJOIN("",TRUE,IF(ISERROR(FIND(ROW($1:$168)-1,CI590&amp;CJ590)),ROW($1:$168)-1,""))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90" s="19" t="str">
        <f t="shared" si="398"/>
        <v>邻孤孤</v>
      </c>
      <c r="CM590" s="24" t="str">
        <f t="shared" si="399"/>
        <v>91</v>
      </c>
      <c r="CN590" s="24" t="str">
        <f t="array" ref="CN590">_xlfn.TEXTJOIN("",TRUE,IF(ISNUMBER(FIND(MID(CM589&amp;Y589,ROW($1:$162),1),CM590&amp;Y590)),MID(CM589&amp;Y589,ROW($1:$162),1),""))</f>
        <v>910</v>
      </c>
      <c r="CO590" s="24" t="str">
        <f t="array" ref="CO590">_xlfn.TEXTJOIN("",TRUE,IF(ISERROR(FIND(ROW($1:$168)-1,CM590&amp;CN590)),ROW($1:$168)-1,""))</f>
        <v>2345678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590" s="30" t="str">
        <f t="shared" si="400"/>
        <v>邻传孤</v>
      </c>
    </row>
    <row r="591" spans="1:94">
      <c r="A591" s="15">
        <v>591</v>
      </c>
      <c r="B591" s="80">
        <v>2025208</v>
      </c>
      <c r="C591" s="8" t="s">
        <v>158</v>
      </c>
      <c r="D591" s="81">
        <f t="shared" si="411"/>
        <v>9</v>
      </c>
      <c r="E591" s="82">
        <f t="shared" si="412"/>
        <v>9</v>
      </c>
      <c r="F591" s="83">
        <f t="shared" si="409"/>
        <v>4.5</v>
      </c>
      <c r="G591" s="84" t="str">
        <f t="shared" si="410"/>
        <v>紧凑</v>
      </c>
      <c r="H591" s="85" t="s">
        <v>10</v>
      </c>
      <c r="I591" s="85" t="s">
        <v>11</v>
      </c>
      <c r="J591" s="85" t="s">
        <v>12</v>
      </c>
      <c r="K591" s="85" t="s">
        <v>13</v>
      </c>
      <c r="L591" s="86">
        <f>MAX(MID(C591,{1,2,3},1)*1)-MIN(MID(C591,{1,2,3},1)*1)</f>
        <v>2</v>
      </c>
      <c r="M591" s="87">
        <v>0</v>
      </c>
      <c r="N591" s="87">
        <v>1</v>
      </c>
      <c r="O591" s="87">
        <v>2</v>
      </c>
      <c r="P591" s="87">
        <v>3</v>
      </c>
      <c r="Q591" s="87">
        <v>4</v>
      </c>
      <c r="R591" s="87">
        <v>5</v>
      </c>
      <c r="S591" s="87">
        <v>6</v>
      </c>
      <c r="T591" s="87">
        <v>7</v>
      </c>
      <c r="U591" s="87">
        <v>8</v>
      </c>
      <c r="V591" s="87">
        <v>9</v>
      </c>
      <c r="W591" s="88">
        <f t="shared" si="413"/>
        <v>1</v>
      </c>
      <c r="X591" s="88">
        <f t="shared" si="414"/>
        <v>2</v>
      </c>
      <c r="Y591" s="88">
        <f t="shared" si="415"/>
        <v>1</v>
      </c>
      <c r="Z591" s="89">
        <f t="shared" si="387"/>
        <v>4</v>
      </c>
      <c r="AA591" s="17" t="str">
        <f>_xlfn.TEXTJOIN(", ",TRUE,ABS(MID(C591,{1,1,2},1)-MID(C591,{2,3,3},1)))</f>
        <v>1, 2, 1</v>
      </c>
      <c r="AB591" s="90">
        <v>0</v>
      </c>
      <c r="AC591" s="90">
        <v>1</v>
      </c>
      <c r="AD591" s="90">
        <v>2</v>
      </c>
      <c r="AE591" s="90">
        <v>3</v>
      </c>
      <c r="AF591" s="90">
        <v>4</v>
      </c>
      <c r="AG591" s="90">
        <v>5</v>
      </c>
      <c r="AH591" s="90">
        <v>6</v>
      </c>
      <c r="AI591" s="90">
        <v>7</v>
      </c>
      <c r="AJ591" s="90">
        <v>8</v>
      </c>
      <c r="AK591" s="90">
        <v>9</v>
      </c>
      <c r="AL591" s="91">
        <v>0</v>
      </c>
      <c r="AM591" s="91">
        <v>1</v>
      </c>
      <c r="AN591" s="91">
        <v>2</v>
      </c>
      <c r="AO591" s="91">
        <v>3</v>
      </c>
      <c r="AP591" s="91">
        <v>4</v>
      </c>
      <c r="AQ591" s="91">
        <v>5</v>
      </c>
      <c r="AR591" s="91">
        <v>6</v>
      </c>
      <c r="AS591" s="91">
        <v>7</v>
      </c>
      <c r="AT591" s="91">
        <v>8</v>
      </c>
      <c r="AU591" s="91">
        <v>9</v>
      </c>
      <c r="AV591" s="92">
        <v>0</v>
      </c>
      <c r="AW591" s="92">
        <v>1</v>
      </c>
      <c r="AX591" s="92">
        <v>2</v>
      </c>
      <c r="AY591" s="92">
        <v>3</v>
      </c>
      <c r="AZ591" s="92">
        <v>4</v>
      </c>
      <c r="BA591" s="92">
        <v>5</v>
      </c>
      <c r="BB591" s="92">
        <v>6</v>
      </c>
      <c r="BC591" s="92">
        <v>7</v>
      </c>
      <c r="BD591" s="92">
        <v>8</v>
      </c>
      <c r="BE591" s="92">
        <v>9</v>
      </c>
      <c r="BF591" s="93">
        <v>0</v>
      </c>
      <c r="BG591" s="93">
        <v>1</v>
      </c>
      <c r="BH591" s="93">
        <v>2</v>
      </c>
      <c r="BI591" s="93">
        <v>3</v>
      </c>
      <c r="BJ591" s="93">
        <v>4</v>
      </c>
      <c r="BK591" s="93">
        <v>5</v>
      </c>
      <c r="BL591" s="93">
        <v>6</v>
      </c>
      <c r="BM591" s="93">
        <v>7</v>
      </c>
      <c r="BN591" s="93">
        <v>8</v>
      </c>
      <c r="BO591" s="93">
        <v>9</v>
      </c>
      <c r="BP591" s="94" t="str">
        <f t="shared" si="388"/>
        <v>紧凑型</v>
      </c>
      <c r="BQ591" s="15">
        <f t="shared" si="385"/>
        <v>1</v>
      </c>
      <c r="BR591" s="15">
        <f t="shared" si="386"/>
        <v>2</v>
      </c>
      <c r="BS591" s="20" t="str">
        <f t="shared" si="390"/>
        <v/>
      </c>
      <c r="BT591" s="21" t="str">
        <f t="shared" si="391"/>
        <v/>
      </c>
      <c r="BU591" s="21" t="str">
        <f t="array" ref="BU591">_xlfn.TEXTJOIN("",TRUE,IF(ISERROR(FIND(ROW($1:$168)-1,BS591&amp;BT591)),ROW($1:$168)-1,""))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91" s="22" t="str">
        <f t="shared" si="392"/>
        <v>中中中</v>
      </c>
      <c r="BW591" s="23" t="str">
        <f t="shared" si="403"/>
        <v/>
      </c>
      <c r="BX591" s="23" t="str">
        <f t="shared" si="401"/>
        <v/>
      </c>
      <c r="BY591" s="23" t="str">
        <f t="array" ref="BY591">_xlfn.TEXTJOIN("",TRUE,IF(ISERROR(FIND(ROW($1:$168)-1,BW591&amp;BX591)),ROW($1:$168)-1,""))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91" s="22" t="str">
        <f t="shared" si="393"/>
        <v>中中中</v>
      </c>
      <c r="CA591" s="24" t="str">
        <f t="shared" si="394"/>
        <v/>
      </c>
      <c r="CB591" s="24" t="str">
        <f t="shared" si="402"/>
        <v/>
      </c>
      <c r="CC591" s="24" t="str">
        <f t="array" ref="CC591">_xlfn.TEXTJOIN("",TRUE,IF(ISERROR(FIND(ROW($1:$168)-1,CA591&amp;CB591)),ROW($1:$168)-1,""))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91" s="22" t="str">
        <f t="shared" si="395"/>
        <v>中中中</v>
      </c>
      <c r="CE591" s="25" t="str">
        <f t="shared" si="389"/>
        <v>02</v>
      </c>
      <c r="CF591" s="26" t="str">
        <f t="array" ref="CF591">_xlfn.TEXTJOIN("",TRUE,IF(ISNUMBER(FIND(MID(CE590&amp;W590,ROW($1:$162),1),CE591&amp;W591)),MID(CE590&amp;W590,ROW($1:$162),1),""))</f>
        <v>2</v>
      </c>
      <c r="CG591" s="27" t="str">
        <f t="array" ref="CG591">_xlfn.TEXTJOIN("",TRUE,IF(ISERROR(FIND(ROW($1:$168)-1,CE591&amp;CF591)),ROW($1:$168)-1,""))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91" s="28" t="str">
        <f t="shared" si="396"/>
        <v>邻传孤</v>
      </c>
      <c r="CI591" s="29" t="str">
        <f t="shared" si="397"/>
        <v>13</v>
      </c>
      <c r="CJ591" s="29" t="str">
        <f t="array" ref="CJ591">_xlfn.TEXTJOIN("",TRUE,IF(ISNUMBER(FIND(MID(CI590&amp;X590,ROW($1:$162),1),CI591&amp;X591)),MID(CI590&amp;X590,ROW($1:$162),1),""))</f>
        <v>23</v>
      </c>
      <c r="CK591" s="29" t="str">
        <f t="array" ref="CK591">_xlfn.TEXTJOIN("",TRUE,IF(ISERROR(FIND(ROW($1:$168)-1,CI591&amp;CJ591)),ROW($1:$168)-1,""))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591" s="19" t="str">
        <f t="shared" si="398"/>
        <v>邻传孤</v>
      </c>
      <c r="CM591" s="24" t="str">
        <f t="shared" si="399"/>
        <v>02</v>
      </c>
      <c r="CN591" s="24" t="str">
        <f t="array" ref="CN591">_xlfn.TEXTJOIN("",TRUE,IF(ISNUMBER(FIND(MID(CM590&amp;Y590,ROW($1:$162),1),CM591&amp;Y591)),MID(CM590&amp;Y590,ROW($1:$162),1),""))</f>
        <v>10</v>
      </c>
      <c r="CO591" s="24" t="str">
        <f t="array" ref="CO591">_xlfn.TEXTJOIN("",TRUE,IF(ISERROR(FIND(ROW($1:$168)-1,CM591&amp;CN591)),ROW($1:$168)-1,""))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91" s="30" t="str">
        <f t="shared" si="400"/>
        <v>邻传孤</v>
      </c>
    </row>
    <row r="592" spans="1:94">
      <c r="A592" s="15">
        <v>592</v>
      </c>
      <c r="B592" s="80">
        <v>2025209</v>
      </c>
      <c r="C592" s="8" t="s">
        <v>466</v>
      </c>
      <c r="D592" s="81">
        <f t="shared" si="411"/>
        <v>18</v>
      </c>
      <c r="E592" s="82">
        <f t="shared" si="412"/>
        <v>8</v>
      </c>
      <c r="F592" s="83">
        <f t="shared" si="409"/>
        <v>3.6</v>
      </c>
      <c r="G592" s="84" t="str">
        <f t="shared" si="410"/>
        <v>紧凑</v>
      </c>
      <c r="H592" s="85" t="s">
        <v>10</v>
      </c>
      <c r="I592" s="85" t="s">
        <v>11</v>
      </c>
      <c r="J592" s="85" t="s">
        <v>12</v>
      </c>
      <c r="K592" s="85" t="s">
        <v>13</v>
      </c>
      <c r="L592" s="86">
        <f>MAX(MID(C592,{1,2,3},1)*1)-MIN(MID(C592,{1,2,3},1)*1)</f>
        <v>5</v>
      </c>
      <c r="M592" s="87">
        <v>0</v>
      </c>
      <c r="N592" s="87">
        <v>1</v>
      </c>
      <c r="O592" s="87">
        <v>2</v>
      </c>
      <c r="P592" s="87">
        <v>3</v>
      </c>
      <c r="Q592" s="87">
        <v>4</v>
      </c>
      <c r="R592" s="87">
        <v>5</v>
      </c>
      <c r="S592" s="87">
        <v>6</v>
      </c>
      <c r="T592" s="87">
        <v>7</v>
      </c>
      <c r="U592" s="87">
        <v>8</v>
      </c>
      <c r="V592" s="87">
        <v>9</v>
      </c>
      <c r="W592" s="88">
        <f t="shared" si="413"/>
        <v>5</v>
      </c>
      <c r="X592" s="88">
        <f t="shared" si="414"/>
        <v>4</v>
      </c>
      <c r="Y592" s="88">
        <f t="shared" si="415"/>
        <v>1</v>
      </c>
      <c r="Z592" s="89">
        <f t="shared" si="387"/>
        <v>10</v>
      </c>
      <c r="AA592" s="17" t="str">
        <f>_xlfn.TEXTJOIN(", ",TRUE,ABS(MID(C592,{1,1,2},1)-MID(C592,{2,3,3},1)))</f>
        <v>5, 4, 1</v>
      </c>
      <c r="AB592" s="90">
        <v>0</v>
      </c>
      <c r="AC592" s="90">
        <v>1</v>
      </c>
      <c r="AD592" s="90">
        <v>2</v>
      </c>
      <c r="AE592" s="90">
        <v>3</v>
      </c>
      <c r="AF592" s="90">
        <v>4</v>
      </c>
      <c r="AG592" s="90">
        <v>5</v>
      </c>
      <c r="AH592" s="90">
        <v>6</v>
      </c>
      <c r="AI592" s="90">
        <v>7</v>
      </c>
      <c r="AJ592" s="90">
        <v>8</v>
      </c>
      <c r="AK592" s="90">
        <v>9</v>
      </c>
      <c r="AL592" s="91">
        <v>0</v>
      </c>
      <c r="AM592" s="91">
        <v>1</v>
      </c>
      <c r="AN592" s="91">
        <v>2</v>
      </c>
      <c r="AO592" s="91">
        <v>3</v>
      </c>
      <c r="AP592" s="91">
        <v>4</v>
      </c>
      <c r="AQ592" s="91">
        <v>5</v>
      </c>
      <c r="AR592" s="91">
        <v>6</v>
      </c>
      <c r="AS592" s="91">
        <v>7</v>
      </c>
      <c r="AT592" s="91">
        <v>8</v>
      </c>
      <c r="AU592" s="91">
        <v>9</v>
      </c>
      <c r="AV592" s="92">
        <v>0</v>
      </c>
      <c r="AW592" s="92">
        <v>1</v>
      </c>
      <c r="AX592" s="92">
        <v>2</v>
      </c>
      <c r="AY592" s="92">
        <v>3</v>
      </c>
      <c r="AZ592" s="92">
        <v>4</v>
      </c>
      <c r="BA592" s="92">
        <v>5</v>
      </c>
      <c r="BB592" s="92">
        <v>6</v>
      </c>
      <c r="BC592" s="92">
        <v>7</v>
      </c>
      <c r="BD592" s="92">
        <v>8</v>
      </c>
      <c r="BE592" s="92">
        <v>9</v>
      </c>
      <c r="BF592" s="93">
        <v>0</v>
      </c>
      <c r="BG592" s="93">
        <v>1</v>
      </c>
      <c r="BH592" s="93">
        <v>2</v>
      </c>
      <c r="BI592" s="93">
        <v>3</v>
      </c>
      <c r="BJ592" s="93">
        <v>4</v>
      </c>
      <c r="BK592" s="93">
        <v>5</v>
      </c>
      <c r="BL592" s="93">
        <v>6</v>
      </c>
      <c r="BM592" s="93">
        <v>7</v>
      </c>
      <c r="BN592" s="93">
        <v>8</v>
      </c>
      <c r="BO592" s="93">
        <v>9</v>
      </c>
      <c r="BP592" s="94" t="str">
        <f t="shared" si="388"/>
        <v>标准型</v>
      </c>
      <c r="BQ592" s="15">
        <f t="shared" si="385"/>
        <v>1</v>
      </c>
      <c r="BR592" s="15">
        <f t="shared" si="386"/>
        <v>5</v>
      </c>
      <c r="BS592" s="20" t="str">
        <f t="shared" si="390"/>
        <v/>
      </c>
      <c r="BT592" s="21" t="str">
        <f t="shared" si="391"/>
        <v/>
      </c>
      <c r="BU592" s="21" t="str">
        <f t="array" ref="BU592">_xlfn.TEXTJOIN("",TRUE,IF(ISERROR(FIND(ROW($1:$168)-1,BS592&amp;BT592)),ROW($1:$168)-1,""))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92" s="22" t="str">
        <f t="shared" si="392"/>
        <v>中中中</v>
      </c>
      <c r="BW592" s="23" t="str">
        <f t="shared" si="403"/>
        <v/>
      </c>
      <c r="BX592" s="23" t="str">
        <f t="shared" si="401"/>
        <v/>
      </c>
      <c r="BY592" s="23" t="str">
        <f t="array" ref="BY592">_xlfn.TEXTJOIN("",TRUE,IF(ISERROR(FIND(ROW($1:$168)-1,BW592&amp;BX592)),ROW($1:$168)-1,""))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92" s="22" t="str">
        <f t="shared" si="393"/>
        <v>中中中</v>
      </c>
      <c r="CA592" s="24">
        <f t="shared" si="394"/>
        <v>1</v>
      </c>
      <c r="CB592" s="24" t="str">
        <f t="shared" si="402"/>
        <v/>
      </c>
      <c r="CC592" s="24" t="str">
        <f t="array" ref="CC592">_xlfn.TEXTJOIN("",TRUE,IF(ISERROR(FIND(ROW($1:$168)-1,CA592&amp;CB592)),ROW($1:$168)-1,""))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92" s="22" t="str">
        <f t="shared" si="395"/>
        <v>复中中</v>
      </c>
      <c r="CE592" s="25" t="str">
        <f t="shared" si="389"/>
        <v>46</v>
      </c>
      <c r="CF592" s="26" t="str">
        <f t="array" ref="CF592">_xlfn.TEXTJOIN("",TRUE,IF(ISNUMBER(FIND(MID(CE591&amp;W591,ROW($1:$162),1),CE592&amp;W592)),MID(CE591&amp;W591,ROW($1:$162),1),""))</f>
        <v/>
      </c>
      <c r="CG592" s="27" t="str">
        <f t="array" ref="CG592">_xlfn.TEXTJOIN("",TRUE,IF(ISERROR(FIND(ROW($1:$168)-1,CE592&amp;CF592)),ROW($1:$168)-1,""))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92" s="28" t="str">
        <f t="shared" si="396"/>
        <v>邻孤孤</v>
      </c>
      <c r="CI592" s="29" t="str">
        <f t="shared" si="397"/>
        <v>35</v>
      </c>
      <c r="CJ592" s="29" t="str">
        <f t="array" ref="CJ592">_xlfn.TEXTJOIN("",TRUE,IF(ISNUMBER(FIND(MID(CI591&amp;X591,ROW($1:$162),1),CI592&amp;X592)),MID(CI591&amp;X591,ROW($1:$162),1),""))</f>
        <v>3</v>
      </c>
      <c r="CK592" s="29" t="str">
        <f t="array" ref="CK592">_xlfn.TEXTJOIN("",TRUE,IF(ISERROR(FIND(ROW($1:$168)-1,CI592&amp;CJ592)),ROW($1:$168)-1,""))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92" s="19" t="str">
        <f t="shared" si="398"/>
        <v>邻传孤</v>
      </c>
      <c r="CM592" s="24" t="str">
        <f t="shared" si="399"/>
        <v>02</v>
      </c>
      <c r="CN592" s="24" t="str">
        <f t="array" ref="CN592">_xlfn.TEXTJOIN("",TRUE,IF(ISNUMBER(FIND(MID(CM591&amp;Y591,ROW($1:$162),1),CM592&amp;Y592)),MID(CM591&amp;Y591,ROW($1:$162),1),""))</f>
        <v>021</v>
      </c>
      <c r="CO592" s="24" t="str">
        <f t="array" ref="CO592">_xlfn.TEXTJOIN("",TRUE,IF(ISERROR(FIND(ROW($1:$168)-1,CM592&amp;CN592)),ROW($1:$168)-1,""))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92" s="30" t="str">
        <f t="shared" si="400"/>
        <v>邻传孤</v>
      </c>
    </row>
    <row r="593" spans="1:94">
      <c r="A593" s="15">
        <v>593</v>
      </c>
      <c r="B593" s="80">
        <v>2025210</v>
      </c>
      <c r="C593" s="8" t="s">
        <v>467</v>
      </c>
      <c r="D593" s="81">
        <f t="shared" si="411"/>
        <v>7</v>
      </c>
      <c r="E593" s="82">
        <f t="shared" si="412"/>
        <v>7</v>
      </c>
      <c r="F593" s="83">
        <f t="shared" si="409"/>
        <v>1.4</v>
      </c>
      <c r="G593" s="84" t="str">
        <f t="shared" si="410"/>
        <v>松散</v>
      </c>
      <c r="H593" s="85" t="s">
        <v>10</v>
      </c>
      <c r="I593" s="85" t="s">
        <v>11</v>
      </c>
      <c r="J593" s="85" t="s">
        <v>12</v>
      </c>
      <c r="K593" s="85" t="s">
        <v>13</v>
      </c>
      <c r="L593" s="86">
        <f>MAX(MID(C593,{1,2,3},1)*1)-MIN(MID(C593,{1,2,3},1)*1)</f>
        <v>5</v>
      </c>
      <c r="M593" s="87">
        <v>0</v>
      </c>
      <c r="N593" s="87">
        <v>1</v>
      </c>
      <c r="O593" s="87">
        <v>2</v>
      </c>
      <c r="P593" s="87">
        <v>3</v>
      </c>
      <c r="Q593" s="87">
        <v>4</v>
      </c>
      <c r="R593" s="87">
        <v>5</v>
      </c>
      <c r="S593" s="87">
        <v>6</v>
      </c>
      <c r="T593" s="87">
        <v>7</v>
      </c>
      <c r="U593" s="87">
        <v>8</v>
      </c>
      <c r="V593" s="87">
        <v>9</v>
      </c>
      <c r="W593" s="88">
        <f t="shared" si="413"/>
        <v>3</v>
      </c>
      <c r="X593" s="88">
        <f t="shared" si="414"/>
        <v>5</v>
      </c>
      <c r="Y593" s="88">
        <f t="shared" si="415"/>
        <v>2</v>
      </c>
      <c r="Z593" s="89">
        <f t="shared" si="387"/>
        <v>10</v>
      </c>
      <c r="AA593" s="17" t="str">
        <f>_xlfn.TEXTJOIN(", ",TRUE,ABS(MID(C593,{1,1,2},1)-MID(C593,{2,3,3},1)))</f>
        <v>3, 5, 2</v>
      </c>
      <c r="AB593" s="90">
        <v>0</v>
      </c>
      <c r="AC593" s="90">
        <v>1</v>
      </c>
      <c r="AD593" s="90">
        <v>2</v>
      </c>
      <c r="AE593" s="90">
        <v>3</v>
      </c>
      <c r="AF593" s="90">
        <v>4</v>
      </c>
      <c r="AG593" s="90">
        <v>5</v>
      </c>
      <c r="AH593" s="90">
        <v>6</v>
      </c>
      <c r="AI593" s="90">
        <v>7</v>
      </c>
      <c r="AJ593" s="90">
        <v>8</v>
      </c>
      <c r="AK593" s="90">
        <v>9</v>
      </c>
      <c r="AL593" s="91">
        <v>0</v>
      </c>
      <c r="AM593" s="91">
        <v>1</v>
      </c>
      <c r="AN593" s="91">
        <v>2</v>
      </c>
      <c r="AO593" s="91">
        <v>3</v>
      </c>
      <c r="AP593" s="91">
        <v>4</v>
      </c>
      <c r="AQ593" s="91">
        <v>5</v>
      </c>
      <c r="AR593" s="91">
        <v>6</v>
      </c>
      <c r="AS593" s="91">
        <v>7</v>
      </c>
      <c r="AT593" s="91">
        <v>8</v>
      </c>
      <c r="AU593" s="91">
        <v>9</v>
      </c>
      <c r="AV593" s="92">
        <v>0</v>
      </c>
      <c r="AW593" s="92">
        <v>1</v>
      </c>
      <c r="AX593" s="92">
        <v>2</v>
      </c>
      <c r="AY593" s="92">
        <v>3</v>
      </c>
      <c r="AZ593" s="92">
        <v>4</v>
      </c>
      <c r="BA593" s="92">
        <v>5</v>
      </c>
      <c r="BB593" s="92">
        <v>6</v>
      </c>
      <c r="BC593" s="92">
        <v>7</v>
      </c>
      <c r="BD593" s="92">
        <v>8</v>
      </c>
      <c r="BE593" s="92">
        <v>9</v>
      </c>
      <c r="BF593" s="93">
        <v>0</v>
      </c>
      <c r="BG593" s="93">
        <v>1</v>
      </c>
      <c r="BH593" s="93">
        <v>2</v>
      </c>
      <c r="BI593" s="93">
        <v>3</v>
      </c>
      <c r="BJ593" s="93">
        <v>4</v>
      </c>
      <c r="BK593" s="93">
        <v>5</v>
      </c>
      <c r="BL593" s="93">
        <v>6</v>
      </c>
      <c r="BM593" s="93">
        <v>7</v>
      </c>
      <c r="BN593" s="93">
        <v>8</v>
      </c>
      <c r="BO593" s="93">
        <v>9</v>
      </c>
      <c r="BP593" s="94" t="str">
        <f t="shared" si="388"/>
        <v>标准型</v>
      </c>
      <c r="BQ593" s="15">
        <f t="shared" si="385"/>
        <v>2</v>
      </c>
      <c r="BR593" s="15">
        <f t="shared" si="386"/>
        <v>5</v>
      </c>
      <c r="BS593" s="20" t="str">
        <f t="shared" si="390"/>
        <v/>
      </c>
      <c r="BT593" s="21" t="str">
        <f t="shared" si="391"/>
        <v/>
      </c>
      <c r="BU593" s="21" t="str">
        <f t="array" ref="BU593">_xlfn.TEXTJOIN("",TRUE,IF(ISERROR(FIND(ROW($1:$168)-1,BS593&amp;BT593)),ROW($1:$168)-1,""))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93" s="22" t="str">
        <f t="shared" si="392"/>
        <v>中中中</v>
      </c>
      <c r="BW593" s="23">
        <f t="shared" si="403"/>
        <v>5</v>
      </c>
      <c r="BX593" s="23" t="str">
        <f t="shared" si="401"/>
        <v/>
      </c>
      <c r="BY593" s="23" t="str">
        <f t="array" ref="BY593">_xlfn.TEXTJOIN("",TRUE,IF(ISERROR(FIND(ROW($1:$168)-1,BW593&amp;BX593)),ROW($1:$168)-1,""))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93" s="22" t="str">
        <f t="shared" si="393"/>
        <v>复中中</v>
      </c>
      <c r="CA593" s="24" t="str">
        <f t="shared" si="394"/>
        <v/>
      </c>
      <c r="CB593" s="24">
        <f t="shared" si="402"/>
        <v>2</v>
      </c>
      <c r="CC593" s="24" t="str">
        <f t="array" ref="CC593">_xlfn.TEXTJOIN("",TRUE,IF(ISERROR(FIND(ROW($1:$168)-1,CA593&amp;CB593)),ROW($1:$168)-1,""))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93" s="22" t="str">
        <f t="shared" si="395"/>
        <v>中隔中</v>
      </c>
      <c r="CE593" s="25" t="str">
        <f t="shared" si="389"/>
        <v>24</v>
      </c>
      <c r="CF593" s="26" t="str">
        <f t="array" ref="CF593">_xlfn.TEXTJOIN("",TRUE,IF(ISNUMBER(FIND(MID(CE592&amp;W592,ROW($1:$162),1),CE593&amp;W593)),MID(CE592&amp;W592,ROW($1:$162),1),""))</f>
        <v>4</v>
      </c>
      <c r="CG593" s="27" t="str">
        <f t="array" ref="CG593">_xlfn.TEXTJOIN("",TRUE,IF(ISERROR(FIND(ROW($1:$168)-1,CE593&amp;CF593)),ROW($1:$168)-1,""))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93" s="28" t="str">
        <f t="shared" si="396"/>
        <v>邻传孤</v>
      </c>
      <c r="CI593" s="29" t="str">
        <f t="shared" si="397"/>
        <v>46</v>
      </c>
      <c r="CJ593" s="29" t="str">
        <f t="array" ref="CJ593">_xlfn.TEXTJOIN("",TRUE,IF(ISNUMBER(FIND(MID(CI592&amp;X592,ROW($1:$162),1),CI593&amp;X593)),MID(CI592&amp;X592,ROW($1:$162),1),""))</f>
        <v>54</v>
      </c>
      <c r="CK593" s="29" t="str">
        <f t="array" ref="CK593">_xlfn.TEXTJOIN("",TRUE,IF(ISERROR(FIND(ROW($1:$168)-1,CI593&amp;CJ593)),ROW($1:$168)-1,""))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93" s="19" t="str">
        <f t="shared" si="398"/>
        <v>邻传孤</v>
      </c>
      <c r="CM593" s="24" t="str">
        <f t="shared" si="399"/>
        <v>13</v>
      </c>
      <c r="CN593" s="24" t="str">
        <f t="array" ref="CN593">_xlfn.TEXTJOIN("",TRUE,IF(ISNUMBER(FIND(MID(CM592&amp;Y592,ROW($1:$162),1),CM593&amp;Y593)),MID(CM592&amp;Y592,ROW($1:$162),1),""))</f>
        <v>21</v>
      </c>
      <c r="CO593" s="24" t="str">
        <f t="array" ref="CO593">_xlfn.TEXTJOIN("",TRUE,IF(ISERROR(FIND(ROW($1:$168)-1,CM593&amp;CN593)),ROW($1:$168)-1,""))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593" s="30" t="str">
        <f t="shared" si="400"/>
        <v>邻传孤</v>
      </c>
    </row>
    <row r="594" spans="1:94">
      <c r="A594" s="15">
        <v>594</v>
      </c>
      <c r="B594" s="80">
        <v>2025211</v>
      </c>
      <c r="C594" s="8" t="s">
        <v>115</v>
      </c>
      <c r="D594" s="81">
        <f t="shared" si="411"/>
        <v>24</v>
      </c>
      <c r="E594" s="82">
        <f t="shared" si="412"/>
        <v>4</v>
      </c>
      <c r="F594" s="83">
        <f t="shared" si="409"/>
        <v>12</v>
      </c>
      <c r="G594" s="84" t="str">
        <f t="shared" si="410"/>
        <v>紧凑</v>
      </c>
      <c r="H594" s="85" t="s">
        <v>10</v>
      </c>
      <c r="I594" s="85" t="s">
        <v>11</v>
      </c>
      <c r="J594" s="85" t="s">
        <v>12</v>
      </c>
      <c r="K594" s="85" t="s">
        <v>13</v>
      </c>
      <c r="L594" s="86">
        <f>MAX(MID(C594,{1,2,3},1)*1)-MIN(MID(C594,{1,2,3},1)*1)</f>
        <v>2</v>
      </c>
      <c r="M594" s="87">
        <v>0</v>
      </c>
      <c r="N594" s="87">
        <v>1</v>
      </c>
      <c r="O594" s="87">
        <v>2</v>
      </c>
      <c r="P594" s="87">
        <v>3</v>
      </c>
      <c r="Q594" s="87">
        <v>4</v>
      </c>
      <c r="R594" s="87">
        <v>5</v>
      </c>
      <c r="S594" s="87">
        <v>6</v>
      </c>
      <c r="T594" s="87">
        <v>7</v>
      </c>
      <c r="U594" s="87">
        <v>8</v>
      </c>
      <c r="V594" s="87">
        <v>9</v>
      </c>
      <c r="W594" s="88">
        <f t="shared" si="413"/>
        <v>1</v>
      </c>
      <c r="X594" s="88">
        <f t="shared" si="414"/>
        <v>1</v>
      </c>
      <c r="Y594" s="88">
        <f t="shared" si="415"/>
        <v>2</v>
      </c>
      <c r="Z594" s="89">
        <f t="shared" si="387"/>
        <v>4</v>
      </c>
      <c r="AA594" s="17" t="str">
        <f>_xlfn.TEXTJOIN(", ",TRUE,ABS(MID(C594,{1,1,2},1)-MID(C594,{2,3,3},1)))</f>
        <v>1, 1, 2</v>
      </c>
      <c r="AB594" s="90">
        <v>0</v>
      </c>
      <c r="AC594" s="90">
        <v>1</v>
      </c>
      <c r="AD594" s="90">
        <v>2</v>
      </c>
      <c r="AE594" s="90">
        <v>3</v>
      </c>
      <c r="AF594" s="90">
        <v>4</v>
      </c>
      <c r="AG594" s="90">
        <v>5</v>
      </c>
      <c r="AH594" s="90">
        <v>6</v>
      </c>
      <c r="AI594" s="90">
        <v>7</v>
      </c>
      <c r="AJ594" s="90">
        <v>8</v>
      </c>
      <c r="AK594" s="90">
        <v>9</v>
      </c>
      <c r="AL594" s="91">
        <v>0</v>
      </c>
      <c r="AM594" s="91">
        <v>1</v>
      </c>
      <c r="AN594" s="91">
        <v>2</v>
      </c>
      <c r="AO594" s="91">
        <v>3</v>
      </c>
      <c r="AP594" s="91">
        <v>4</v>
      </c>
      <c r="AQ594" s="91">
        <v>5</v>
      </c>
      <c r="AR594" s="91">
        <v>6</v>
      </c>
      <c r="AS594" s="91">
        <v>7</v>
      </c>
      <c r="AT594" s="91">
        <v>8</v>
      </c>
      <c r="AU594" s="91">
        <v>9</v>
      </c>
      <c r="AV594" s="92">
        <v>0</v>
      </c>
      <c r="AW594" s="92">
        <v>1</v>
      </c>
      <c r="AX594" s="92">
        <v>2</v>
      </c>
      <c r="AY594" s="92">
        <v>3</v>
      </c>
      <c r="AZ594" s="92">
        <v>4</v>
      </c>
      <c r="BA594" s="92">
        <v>5</v>
      </c>
      <c r="BB594" s="92">
        <v>6</v>
      </c>
      <c r="BC594" s="92">
        <v>7</v>
      </c>
      <c r="BD594" s="92">
        <v>8</v>
      </c>
      <c r="BE594" s="92">
        <v>9</v>
      </c>
      <c r="BF594" s="93">
        <v>0</v>
      </c>
      <c r="BG594" s="93">
        <v>1</v>
      </c>
      <c r="BH594" s="93">
        <v>2</v>
      </c>
      <c r="BI594" s="93">
        <v>3</v>
      </c>
      <c r="BJ594" s="93">
        <v>4</v>
      </c>
      <c r="BK594" s="93">
        <v>5</v>
      </c>
      <c r="BL594" s="93">
        <v>6</v>
      </c>
      <c r="BM594" s="93">
        <v>7</v>
      </c>
      <c r="BN594" s="93">
        <v>8</v>
      </c>
      <c r="BO594" s="93">
        <v>9</v>
      </c>
      <c r="BP594" s="94" t="str">
        <f t="shared" si="388"/>
        <v>紧凑型</v>
      </c>
      <c r="BQ594" s="15">
        <f t="shared" si="385"/>
        <v>1</v>
      </c>
      <c r="BR594" s="15">
        <f t="shared" si="386"/>
        <v>2</v>
      </c>
      <c r="BS594" s="20" t="str">
        <f t="shared" si="390"/>
        <v/>
      </c>
      <c r="BT594" s="21">
        <f t="shared" si="391"/>
        <v>1</v>
      </c>
      <c r="BU594" s="21" t="str">
        <f t="array" ref="BU594">_xlfn.TEXTJOIN("",TRUE,IF(ISERROR(FIND(ROW($1:$168)-1,BS594&amp;BT594)),ROW($1:$168)-1,""))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94" s="22" t="str">
        <f t="shared" si="392"/>
        <v>中隔中</v>
      </c>
      <c r="BW594" s="23" t="str">
        <f t="shared" si="403"/>
        <v/>
      </c>
      <c r="BX594" s="23">
        <f t="shared" si="401"/>
        <v>1</v>
      </c>
      <c r="BY594" s="23" t="str">
        <f t="array" ref="BY594">_xlfn.TEXTJOIN("",TRUE,IF(ISERROR(FIND(ROW($1:$168)-1,BW594&amp;BX594)),ROW($1:$168)-1,""))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94" s="22" t="str">
        <f t="shared" si="393"/>
        <v>中隔中</v>
      </c>
      <c r="CA594" s="24">
        <f t="shared" si="394"/>
        <v>2</v>
      </c>
      <c r="CB594" s="24" t="str">
        <f t="shared" si="402"/>
        <v/>
      </c>
      <c r="CC594" s="24" t="str">
        <f t="array" ref="CC594">_xlfn.TEXTJOIN("",TRUE,IF(ISERROR(FIND(ROW($1:$168)-1,CA594&amp;CB594)),ROW($1:$168)-1,""))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94" s="22" t="str">
        <f t="shared" si="395"/>
        <v>复中中</v>
      </c>
      <c r="CE594" s="25" t="str">
        <f t="shared" si="389"/>
        <v>02</v>
      </c>
      <c r="CF594" s="26" t="str">
        <f t="array" ref="CF594">_xlfn.TEXTJOIN("",TRUE,IF(ISNUMBER(FIND(MID(CE593&amp;W593,ROW($1:$162),1),CE594&amp;W594)),MID(CE593&amp;W593,ROW($1:$162),1),""))</f>
        <v>2</v>
      </c>
      <c r="CG594" s="27" t="str">
        <f t="array" ref="CG594">_xlfn.TEXTJOIN("",TRUE,IF(ISERROR(FIND(ROW($1:$168)-1,CE594&amp;CF594)),ROW($1:$168)-1,""))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94" s="28" t="str">
        <f t="shared" si="396"/>
        <v>邻传孤</v>
      </c>
      <c r="CI594" s="29" t="str">
        <f t="shared" si="397"/>
        <v>02</v>
      </c>
      <c r="CJ594" s="29" t="str">
        <f t="array" ref="CJ594">_xlfn.TEXTJOIN("",TRUE,IF(ISNUMBER(FIND(MID(CI593&amp;X593,ROW($1:$162),1),CI594&amp;X594)),MID(CI593&amp;X593,ROW($1:$162),1),""))</f>
        <v/>
      </c>
      <c r="CK594" s="29" t="str">
        <f t="array" ref="CK594">_xlfn.TEXTJOIN("",TRUE,IF(ISERROR(FIND(ROW($1:$168)-1,CI594&amp;CJ594)),ROW($1:$168)-1,""))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94" s="19" t="str">
        <f t="shared" si="398"/>
        <v>邻孤孤</v>
      </c>
      <c r="CM594" s="24" t="str">
        <f t="shared" si="399"/>
        <v>13</v>
      </c>
      <c r="CN594" s="24" t="str">
        <f t="array" ref="CN594">_xlfn.TEXTJOIN("",TRUE,IF(ISNUMBER(FIND(MID(CM593&amp;Y593,ROW($1:$162),1),CM594&amp;Y594)),MID(CM593&amp;Y593,ROW($1:$162),1),""))</f>
        <v>132</v>
      </c>
      <c r="CO594" s="24" t="str">
        <f t="array" ref="CO594">_xlfn.TEXTJOIN("",TRUE,IF(ISERROR(FIND(ROW($1:$168)-1,CM594&amp;CN594)),ROW($1:$168)-1,""))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594" s="30" t="str">
        <f t="shared" si="400"/>
        <v>邻传孤</v>
      </c>
    </row>
    <row r="595" spans="1:94">
      <c r="A595" s="15">
        <v>595</v>
      </c>
      <c r="B595" s="80">
        <v>2025212</v>
      </c>
      <c r="C595" s="8" t="s">
        <v>468</v>
      </c>
      <c r="D595" s="81">
        <f t="shared" si="411"/>
        <v>15</v>
      </c>
      <c r="E595" s="82">
        <f t="shared" si="412"/>
        <v>5</v>
      </c>
      <c r="F595" s="83">
        <f t="shared" si="409"/>
        <v>7.5</v>
      </c>
      <c r="G595" s="84" t="str">
        <f t="shared" si="410"/>
        <v>紧凑</v>
      </c>
      <c r="H595" s="85" t="s">
        <v>10</v>
      </c>
      <c r="I595" s="85" t="s">
        <v>11</v>
      </c>
      <c r="J595" s="85" t="s">
        <v>12</v>
      </c>
      <c r="K595" s="85" t="s">
        <v>13</v>
      </c>
      <c r="L595" s="86">
        <f>MAX(MID(C595,{1,2,3},1)*1)-MIN(MID(C595,{1,2,3},1)*1)</f>
        <v>2</v>
      </c>
      <c r="M595" s="87">
        <v>0</v>
      </c>
      <c r="N595" s="87">
        <v>1</v>
      </c>
      <c r="O595" s="87">
        <v>2</v>
      </c>
      <c r="P595" s="87">
        <v>3</v>
      </c>
      <c r="Q595" s="87">
        <v>4</v>
      </c>
      <c r="R595" s="87">
        <v>5</v>
      </c>
      <c r="S595" s="87">
        <v>6</v>
      </c>
      <c r="T595" s="87">
        <v>7</v>
      </c>
      <c r="U595" s="87">
        <v>8</v>
      </c>
      <c r="V595" s="87">
        <v>9</v>
      </c>
      <c r="W595" s="88">
        <f t="shared" si="413"/>
        <v>1</v>
      </c>
      <c r="X595" s="88">
        <f t="shared" si="414"/>
        <v>2</v>
      </c>
      <c r="Y595" s="88">
        <f t="shared" si="415"/>
        <v>1</v>
      </c>
      <c r="Z595" s="89">
        <f t="shared" si="387"/>
        <v>4</v>
      </c>
      <c r="AA595" s="17" t="str">
        <f>_xlfn.TEXTJOIN(", ",TRUE,ABS(MID(C595,{1,1,2},1)-MID(C595,{2,3,3},1)))</f>
        <v>1, 2, 1</v>
      </c>
      <c r="AB595" s="90">
        <v>0</v>
      </c>
      <c r="AC595" s="90">
        <v>1</v>
      </c>
      <c r="AD595" s="90">
        <v>2</v>
      </c>
      <c r="AE595" s="90">
        <v>3</v>
      </c>
      <c r="AF595" s="90">
        <v>4</v>
      </c>
      <c r="AG595" s="90">
        <v>5</v>
      </c>
      <c r="AH595" s="90">
        <v>6</v>
      </c>
      <c r="AI595" s="90">
        <v>7</v>
      </c>
      <c r="AJ595" s="90">
        <v>8</v>
      </c>
      <c r="AK595" s="90">
        <v>9</v>
      </c>
      <c r="AL595" s="91">
        <v>0</v>
      </c>
      <c r="AM595" s="91">
        <v>1</v>
      </c>
      <c r="AN595" s="91">
        <v>2</v>
      </c>
      <c r="AO595" s="91">
        <v>3</v>
      </c>
      <c r="AP595" s="91">
        <v>4</v>
      </c>
      <c r="AQ595" s="91">
        <v>5</v>
      </c>
      <c r="AR595" s="91">
        <v>6</v>
      </c>
      <c r="AS595" s="91">
        <v>7</v>
      </c>
      <c r="AT595" s="91">
        <v>8</v>
      </c>
      <c r="AU595" s="91">
        <v>9</v>
      </c>
      <c r="AV595" s="92">
        <v>0</v>
      </c>
      <c r="AW595" s="92">
        <v>1</v>
      </c>
      <c r="AX595" s="92">
        <v>2</v>
      </c>
      <c r="AY595" s="92">
        <v>3</v>
      </c>
      <c r="AZ595" s="92">
        <v>4</v>
      </c>
      <c r="BA595" s="92">
        <v>5</v>
      </c>
      <c r="BB595" s="92">
        <v>6</v>
      </c>
      <c r="BC595" s="92">
        <v>7</v>
      </c>
      <c r="BD595" s="92">
        <v>8</v>
      </c>
      <c r="BE595" s="92">
        <v>9</v>
      </c>
      <c r="BF595" s="93">
        <v>0</v>
      </c>
      <c r="BG595" s="93">
        <v>1</v>
      </c>
      <c r="BH595" s="93">
        <v>2</v>
      </c>
      <c r="BI595" s="93">
        <v>3</v>
      </c>
      <c r="BJ595" s="93">
        <v>4</v>
      </c>
      <c r="BK595" s="93">
        <v>5</v>
      </c>
      <c r="BL595" s="93">
        <v>6</v>
      </c>
      <c r="BM595" s="93">
        <v>7</v>
      </c>
      <c r="BN595" s="93">
        <v>8</v>
      </c>
      <c r="BO595" s="93">
        <v>9</v>
      </c>
      <c r="BP595" s="94" t="str">
        <f t="shared" si="388"/>
        <v>紧凑型</v>
      </c>
      <c r="BQ595" s="15">
        <f t="shared" si="385"/>
        <v>1</v>
      </c>
      <c r="BR595" s="15">
        <f t="shared" si="386"/>
        <v>2</v>
      </c>
      <c r="BS595" s="20">
        <f t="shared" si="390"/>
        <v>1</v>
      </c>
      <c r="BT595" s="21" t="str">
        <f t="shared" si="391"/>
        <v/>
      </c>
      <c r="BU595" s="21" t="str">
        <f t="array" ref="BU595">_xlfn.TEXTJOIN("",TRUE,IF(ISERROR(FIND(ROW($1:$168)-1,BS595&amp;BT595)),ROW($1:$168)-1,""))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95" s="22" t="str">
        <f t="shared" si="392"/>
        <v>复中中</v>
      </c>
      <c r="BW595" s="23">
        <f t="shared" si="403"/>
        <v>2</v>
      </c>
      <c r="BX595" s="23">
        <f t="shared" si="401"/>
        <v>2</v>
      </c>
      <c r="BY595" s="23" t="str">
        <f t="array" ref="BY595">_xlfn.TEXTJOIN("",TRUE,IF(ISERROR(FIND(ROW($1:$168)-1,BW595&amp;BX595)),ROW($1:$168)-1,""))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95" s="22" t="str">
        <f t="shared" si="393"/>
        <v>复隔中</v>
      </c>
      <c r="CA595" s="24">
        <f t="shared" si="394"/>
        <v>1</v>
      </c>
      <c r="CB595" s="24" t="str">
        <f t="shared" si="402"/>
        <v/>
      </c>
      <c r="CC595" s="24" t="str">
        <f t="array" ref="CC595">_xlfn.TEXTJOIN("",TRUE,IF(ISERROR(FIND(ROW($1:$168)-1,CA595&amp;CB595)),ROW($1:$168)-1,""))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95" s="22" t="str">
        <f t="shared" si="395"/>
        <v>复中中</v>
      </c>
      <c r="CE595" s="25" t="str">
        <f t="shared" si="389"/>
        <v>02</v>
      </c>
      <c r="CF595" s="26" t="str">
        <f t="array" ref="CF595">_xlfn.TEXTJOIN("",TRUE,IF(ISNUMBER(FIND(MID(CE594&amp;W594,ROW($1:$162),1),CE595&amp;W595)),MID(CE594&amp;W594,ROW($1:$162),1),""))</f>
        <v>021</v>
      </c>
      <c r="CG595" s="27" t="str">
        <f t="array" ref="CG595">_xlfn.TEXTJOIN("",TRUE,IF(ISERROR(FIND(ROW($1:$168)-1,CE595&amp;CF595)),ROW($1:$168)-1,""))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95" s="28" t="str">
        <f t="shared" si="396"/>
        <v>邻传孤</v>
      </c>
      <c r="CI595" s="29" t="str">
        <f t="shared" si="397"/>
        <v>13</v>
      </c>
      <c r="CJ595" s="29" t="str">
        <f t="array" ref="CJ595">_xlfn.TEXTJOIN("",TRUE,IF(ISNUMBER(FIND(MID(CI594&amp;X594,ROW($1:$162),1),CI595&amp;X595)),MID(CI594&amp;X594,ROW($1:$162),1),""))</f>
        <v>21</v>
      </c>
      <c r="CK595" s="29" t="str">
        <f t="array" ref="CK595">_xlfn.TEXTJOIN("",TRUE,IF(ISERROR(FIND(ROW($1:$168)-1,CI595&amp;CJ595)),ROW($1:$168)-1,""))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595" s="19" t="str">
        <f t="shared" si="398"/>
        <v>邻传孤</v>
      </c>
      <c r="CM595" s="24" t="str">
        <f t="shared" si="399"/>
        <v>02</v>
      </c>
      <c r="CN595" s="24" t="str">
        <f t="array" ref="CN595">_xlfn.TEXTJOIN("",TRUE,IF(ISNUMBER(FIND(MID(CM594&amp;Y594,ROW($1:$162),1),CM595&amp;Y595)),MID(CM594&amp;Y594,ROW($1:$162),1),""))</f>
        <v>12</v>
      </c>
      <c r="CO595" s="24" t="str">
        <f t="array" ref="CO595">_xlfn.TEXTJOIN("",TRUE,IF(ISERROR(FIND(ROW($1:$168)-1,CM595&amp;CN595)),ROW($1:$168)-1,""))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95" s="30" t="str">
        <f t="shared" si="400"/>
        <v>邻传孤</v>
      </c>
    </row>
    <row r="596" spans="1:94">
      <c r="A596" s="15">
        <v>596</v>
      </c>
      <c r="B596" s="80">
        <v>2025213</v>
      </c>
      <c r="C596" s="8" t="s">
        <v>469</v>
      </c>
      <c r="D596" s="81">
        <f t="shared" si="411"/>
        <v>12</v>
      </c>
      <c r="E596" s="82">
        <f t="shared" si="412"/>
        <v>2</v>
      </c>
      <c r="F596" s="83">
        <f t="shared" si="409"/>
        <v>1.71428571428571</v>
      </c>
      <c r="G596" s="84" t="str">
        <f t="shared" si="410"/>
        <v>松散</v>
      </c>
      <c r="H596" s="85" t="s">
        <v>10</v>
      </c>
      <c r="I596" s="85" t="s">
        <v>11</v>
      </c>
      <c r="J596" s="85" t="s">
        <v>12</v>
      </c>
      <c r="K596" s="85" t="s">
        <v>13</v>
      </c>
      <c r="L596" s="86">
        <f>MAX(MID(C596,{1,2,3},1)*1)-MIN(MID(C596,{1,2,3},1)*1)</f>
        <v>7</v>
      </c>
      <c r="M596" s="87">
        <v>0</v>
      </c>
      <c r="N596" s="87">
        <v>1</v>
      </c>
      <c r="O596" s="87">
        <v>2</v>
      </c>
      <c r="P596" s="87">
        <v>3</v>
      </c>
      <c r="Q596" s="87">
        <v>4</v>
      </c>
      <c r="R596" s="87">
        <v>5</v>
      </c>
      <c r="S596" s="87">
        <v>6</v>
      </c>
      <c r="T596" s="87">
        <v>7</v>
      </c>
      <c r="U596" s="87">
        <v>8</v>
      </c>
      <c r="V596" s="87">
        <v>9</v>
      </c>
      <c r="W596" s="88">
        <f t="shared" si="413"/>
        <v>5</v>
      </c>
      <c r="X596" s="88">
        <f t="shared" si="414"/>
        <v>2</v>
      </c>
      <c r="Y596" s="88">
        <f t="shared" si="415"/>
        <v>7</v>
      </c>
      <c r="Z596" s="89">
        <f t="shared" si="387"/>
        <v>14</v>
      </c>
      <c r="AA596" s="17" t="str">
        <f>_xlfn.TEXTJOIN(", ",TRUE,ABS(MID(C596,{1,1,2},1)-MID(C596,{2,3,3},1)))</f>
        <v>5, 2, 7</v>
      </c>
      <c r="AB596" s="90">
        <v>0</v>
      </c>
      <c r="AC596" s="90">
        <v>1</v>
      </c>
      <c r="AD596" s="90">
        <v>2</v>
      </c>
      <c r="AE596" s="90">
        <v>3</v>
      </c>
      <c r="AF596" s="90">
        <v>4</v>
      </c>
      <c r="AG596" s="90">
        <v>5</v>
      </c>
      <c r="AH596" s="90">
        <v>6</v>
      </c>
      <c r="AI596" s="90">
        <v>7</v>
      </c>
      <c r="AJ596" s="90">
        <v>8</v>
      </c>
      <c r="AK596" s="90">
        <v>9</v>
      </c>
      <c r="AL596" s="91">
        <v>0</v>
      </c>
      <c r="AM596" s="91">
        <v>1</v>
      </c>
      <c r="AN596" s="91">
        <v>2</v>
      </c>
      <c r="AO596" s="91">
        <v>3</v>
      </c>
      <c r="AP596" s="91">
        <v>4</v>
      </c>
      <c r="AQ596" s="91">
        <v>5</v>
      </c>
      <c r="AR596" s="91">
        <v>6</v>
      </c>
      <c r="AS596" s="91">
        <v>7</v>
      </c>
      <c r="AT596" s="91">
        <v>8</v>
      </c>
      <c r="AU596" s="91">
        <v>9</v>
      </c>
      <c r="AV596" s="92">
        <v>0</v>
      </c>
      <c r="AW596" s="92">
        <v>1</v>
      </c>
      <c r="AX596" s="92">
        <v>2</v>
      </c>
      <c r="AY596" s="92">
        <v>3</v>
      </c>
      <c r="AZ596" s="92">
        <v>4</v>
      </c>
      <c r="BA596" s="92">
        <v>5</v>
      </c>
      <c r="BB596" s="92">
        <v>6</v>
      </c>
      <c r="BC596" s="92">
        <v>7</v>
      </c>
      <c r="BD596" s="92">
        <v>8</v>
      </c>
      <c r="BE596" s="92">
        <v>9</v>
      </c>
      <c r="BF596" s="93">
        <v>0</v>
      </c>
      <c r="BG596" s="93">
        <v>1</v>
      </c>
      <c r="BH596" s="93">
        <v>2</v>
      </c>
      <c r="BI596" s="93">
        <v>3</v>
      </c>
      <c r="BJ596" s="93">
        <v>4</v>
      </c>
      <c r="BK596" s="93">
        <v>5</v>
      </c>
      <c r="BL596" s="93">
        <v>6</v>
      </c>
      <c r="BM596" s="93">
        <v>7</v>
      </c>
      <c r="BN596" s="93">
        <v>8</v>
      </c>
      <c r="BO596" s="93">
        <v>9</v>
      </c>
      <c r="BP596" s="94" t="str">
        <f t="shared" si="388"/>
        <v>松散型</v>
      </c>
      <c r="BQ596" s="15">
        <f t="shared" si="385"/>
        <v>2</v>
      </c>
      <c r="BR596" s="15">
        <f t="shared" si="386"/>
        <v>7</v>
      </c>
      <c r="BS596" s="20" t="str">
        <f t="shared" si="390"/>
        <v/>
      </c>
      <c r="BT596" s="21" t="str">
        <f t="shared" si="391"/>
        <v/>
      </c>
      <c r="BU596" s="21" t="str">
        <f t="array" ref="BU596">_xlfn.TEXTJOIN("",TRUE,IF(ISERROR(FIND(ROW($1:$168)-1,BS596&amp;BT596)),ROW($1:$168)-1,""))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96" s="22" t="str">
        <f t="shared" si="392"/>
        <v>中中中</v>
      </c>
      <c r="BW596" s="23">
        <f t="shared" si="403"/>
        <v>2</v>
      </c>
      <c r="BX596" s="23">
        <f t="shared" si="401"/>
        <v>2</v>
      </c>
      <c r="BY596" s="23" t="str">
        <f t="array" ref="BY596">_xlfn.TEXTJOIN("",TRUE,IF(ISERROR(FIND(ROW($1:$168)-1,BW596&amp;BX596)),ROW($1:$168)-1,""))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96" s="22" t="str">
        <f t="shared" si="393"/>
        <v>复隔中</v>
      </c>
      <c r="CA596" s="24" t="str">
        <f t="shared" si="394"/>
        <v/>
      </c>
      <c r="CB596" s="24" t="str">
        <f t="shared" si="402"/>
        <v/>
      </c>
      <c r="CC596" s="24" t="str">
        <f t="array" ref="CC596">_xlfn.TEXTJOIN("",TRUE,IF(ISERROR(FIND(ROW($1:$168)-1,CA596&amp;CB596)),ROW($1:$168)-1,""))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96" s="22" t="str">
        <f t="shared" si="395"/>
        <v>中中中</v>
      </c>
      <c r="CE596" s="25" t="str">
        <f t="shared" si="389"/>
        <v>46</v>
      </c>
      <c r="CF596" s="26" t="str">
        <f t="array" ref="CF596">_xlfn.TEXTJOIN("",TRUE,IF(ISNUMBER(FIND(MID(CE595&amp;W595,ROW($1:$162),1),CE596&amp;W596)),MID(CE595&amp;W595,ROW($1:$162),1),""))</f>
        <v/>
      </c>
      <c r="CG596" s="27" t="str">
        <f t="array" ref="CG596">_xlfn.TEXTJOIN("",TRUE,IF(ISERROR(FIND(ROW($1:$168)-1,CE596&amp;CF596)),ROW($1:$168)-1,""))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96" s="28" t="str">
        <f t="shared" si="396"/>
        <v>邻孤孤</v>
      </c>
      <c r="CI596" s="29" t="str">
        <f t="shared" si="397"/>
        <v>13</v>
      </c>
      <c r="CJ596" s="29" t="str">
        <f t="array" ref="CJ596">_xlfn.TEXTJOIN("",TRUE,IF(ISNUMBER(FIND(MID(CI595&amp;X595,ROW($1:$162),1),CI596&amp;X596)),MID(CI595&amp;X595,ROW($1:$162),1),""))</f>
        <v>132</v>
      </c>
      <c r="CK596" s="29" t="str">
        <f t="array" ref="CK596">_xlfn.TEXTJOIN("",TRUE,IF(ISERROR(FIND(ROW($1:$168)-1,CI596&amp;CJ596)),ROW($1:$168)-1,""))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596" s="19" t="str">
        <f t="shared" si="398"/>
        <v>邻传孤</v>
      </c>
      <c r="CM596" s="24" t="str">
        <f t="shared" si="399"/>
        <v>68</v>
      </c>
      <c r="CN596" s="24" t="str">
        <f t="array" ref="CN596">_xlfn.TEXTJOIN("",TRUE,IF(ISNUMBER(FIND(MID(CM595&amp;Y595,ROW($1:$162),1),CM596&amp;Y596)),MID(CM595&amp;Y595,ROW($1:$162),1),""))</f>
        <v/>
      </c>
      <c r="CO596" s="24" t="str">
        <f t="array" ref="CO596">_xlfn.TEXTJOIN("",TRUE,IF(ISERROR(FIND(ROW($1:$168)-1,CM596&amp;CN596)),ROW($1:$168)-1,""))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96" s="30" t="str">
        <f t="shared" si="400"/>
        <v>邻孤孤</v>
      </c>
    </row>
    <row r="597" spans="1:94">
      <c r="A597" s="15">
        <v>597</v>
      </c>
      <c r="B597" s="80">
        <v>2025214</v>
      </c>
      <c r="C597" s="8" t="s">
        <v>135</v>
      </c>
      <c r="D597" s="81">
        <f t="shared" si="411"/>
        <v>11</v>
      </c>
      <c r="E597" s="82">
        <f t="shared" si="412"/>
        <v>1</v>
      </c>
      <c r="F597" s="83">
        <f t="shared" si="409"/>
        <v>1.22222222222222</v>
      </c>
      <c r="G597" s="84" t="str">
        <f t="shared" si="410"/>
        <v>松散</v>
      </c>
      <c r="H597" s="85" t="s">
        <v>10</v>
      </c>
      <c r="I597" s="85" t="s">
        <v>11</v>
      </c>
      <c r="J597" s="85" t="s">
        <v>12</v>
      </c>
      <c r="K597" s="85" t="s">
        <v>13</v>
      </c>
      <c r="L597" s="86">
        <f>MAX(MID(C597,{1,2,3},1)*1)-MIN(MID(C597,{1,2,3},1)*1)</f>
        <v>9</v>
      </c>
      <c r="M597" s="87">
        <v>0</v>
      </c>
      <c r="N597" s="87">
        <v>1</v>
      </c>
      <c r="O597" s="87">
        <v>2</v>
      </c>
      <c r="P597" s="87">
        <v>3</v>
      </c>
      <c r="Q597" s="87">
        <v>4</v>
      </c>
      <c r="R597" s="87">
        <v>5</v>
      </c>
      <c r="S597" s="87">
        <v>6</v>
      </c>
      <c r="T597" s="87">
        <v>7</v>
      </c>
      <c r="U597" s="87">
        <v>8</v>
      </c>
      <c r="V597" s="87">
        <v>9</v>
      </c>
      <c r="W597" s="88">
        <f t="shared" si="413"/>
        <v>7</v>
      </c>
      <c r="X597" s="88">
        <f t="shared" si="414"/>
        <v>9</v>
      </c>
      <c r="Y597" s="88">
        <f t="shared" si="415"/>
        <v>2</v>
      </c>
      <c r="Z597" s="89">
        <f t="shared" si="387"/>
        <v>18</v>
      </c>
      <c r="AA597" s="17" t="str">
        <f>_xlfn.TEXTJOIN(", ",TRUE,ABS(MID(C597,{1,1,2},1)-MID(C597,{2,3,3},1)))</f>
        <v>7, 9, 2</v>
      </c>
      <c r="AB597" s="90">
        <v>0</v>
      </c>
      <c r="AC597" s="90">
        <v>1</v>
      </c>
      <c r="AD597" s="90">
        <v>2</v>
      </c>
      <c r="AE597" s="90">
        <v>3</v>
      </c>
      <c r="AF597" s="90">
        <v>4</v>
      </c>
      <c r="AG597" s="90">
        <v>5</v>
      </c>
      <c r="AH597" s="90">
        <v>6</v>
      </c>
      <c r="AI597" s="90">
        <v>7</v>
      </c>
      <c r="AJ597" s="90">
        <v>8</v>
      </c>
      <c r="AK597" s="90">
        <v>9</v>
      </c>
      <c r="AL597" s="91">
        <v>0</v>
      </c>
      <c r="AM597" s="91">
        <v>1</v>
      </c>
      <c r="AN597" s="91">
        <v>2</v>
      </c>
      <c r="AO597" s="91">
        <v>3</v>
      </c>
      <c r="AP597" s="91">
        <v>4</v>
      </c>
      <c r="AQ597" s="91">
        <v>5</v>
      </c>
      <c r="AR597" s="91">
        <v>6</v>
      </c>
      <c r="AS597" s="91">
        <v>7</v>
      </c>
      <c r="AT597" s="91">
        <v>8</v>
      </c>
      <c r="AU597" s="91">
        <v>9</v>
      </c>
      <c r="AV597" s="92">
        <v>0</v>
      </c>
      <c r="AW597" s="92">
        <v>1</v>
      </c>
      <c r="AX597" s="92">
        <v>2</v>
      </c>
      <c r="AY597" s="92">
        <v>3</v>
      </c>
      <c r="AZ597" s="92">
        <v>4</v>
      </c>
      <c r="BA597" s="92">
        <v>5</v>
      </c>
      <c r="BB597" s="92">
        <v>6</v>
      </c>
      <c r="BC597" s="92">
        <v>7</v>
      </c>
      <c r="BD597" s="92">
        <v>8</v>
      </c>
      <c r="BE597" s="92">
        <v>9</v>
      </c>
      <c r="BF597" s="93">
        <v>0</v>
      </c>
      <c r="BG597" s="93">
        <v>1</v>
      </c>
      <c r="BH597" s="93">
        <v>2</v>
      </c>
      <c r="BI597" s="93">
        <v>3</v>
      </c>
      <c r="BJ597" s="93">
        <v>4</v>
      </c>
      <c r="BK597" s="93">
        <v>5</v>
      </c>
      <c r="BL597" s="93">
        <v>6</v>
      </c>
      <c r="BM597" s="93">
        <v>7</v>
      </c>
      <c r="BN597" s="93">
        <v>8</v>
      </c>
      <c r="BO597" s="93">
        <v>9</v>
      </c>
      <c r="BP597" s="94" t="str">
        <f t="shared" si="388"/>
        <v>松散型</v>
      </c>
      <c r="BQ597" s="15">
        <f t="shared" si="385"/>
        <v>2</v>
      </c>
      <c r="BR597" s="15">
        <f t="shared" si="386"/>
        <v>9</v>
      </c>
      <c r="BS597" s="20">
        <f t="shared" si="390"/>
        <v>7</v>
      </c>
      <c r="BT597" s="21" t="str">
        <f t="shared" si="391"/>
        <v/>
      </c>
      <c r="BU597" s="21" t="str">
        <f t="array" ref="BU597">_xlfn.TEXTJOIN("",TRUE,IF(ISERROR(FIND(ROW($1:$168)-1,BS597&amp;BT597)),ROW($1:$168)-1,""))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97" s="22" t="str">
        <f t="shared" si="392"/>
        <v>复中中</v>
      </c>
      <c r="BW597" s="23" t="str">
        <f t="shared" si="403"/>
        <v/>
      </c>
      <c r="BX597" s="23" t="str">
        <f t="shared" si="401"/>
        <v/>
      </c>
      <c r="BY597" s="23" t="str">
        <f t="array" ref="BY597">_xlfn.TEXTJOIN("",TRUE,IF(ISERROR(FIND(ROW($1:$168)-1,BW597&amp;BX597)),ROW($1:$168)-1,""))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97" s="22" t="str">
        <f t="shared" si="393"/>
        <v>中中中</v>
      </c>
      <c r="CA597" s="24">
        <f t="shared" si="394"/>
        <v>2</v>
      </c>
      <c r="CB597" s="24">
        <f t="shared" si="402"/>
        <v>2</v>
      </c>
      <c r="CC597" s="24" t="str">
        <f t="array" ref="CC597">_xlfn.TEXTJOIN("",TRUE,IF(ISERROR(FIND(ROW($1:$168)-1,CA597&amp;CB597)),ROW($1:$168)-1,""))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97" s="22" t="str">
        <f t="shared" si="395"/>
        <v>复隔中</v>
      </c>
      <c r="CE597" s="25" t="str">
        <f t="shared" si="389"/>
        <v>68</v>
      </c>
      <c r="CF597" s="26" t="str">
        <f t="array" ref="CF597">_xlfn.TEXTJOIN("",TRUE,IF(ISNUMBER(FIND(MID(CE596&amp;W596,ROW($1:$162),1),CE597&amp;W597)),MID(CE596&amp;W596,ROW($1:$162),1),""))</f>
        <v>6</v>
      </c>
      <c r="CG597" s="27" t="str">
        <f t="array" ref="CG597">_xlfn.TEXTJOIN("",TRUE,IF(ISERROR(FIND(ROW($1:$168)-1,CE597&amp;CF597)),ROW($1:$168)-1,""))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H597" s="28" t="str">
        <f t="shared" si="396"/>
        <v>邻传孤</v>
      </c>
      <c r="CI597" s="29" t="str">
        <f t="shared" si="397"/>
        <v>80</v>
      </c>
      <c r="CJ597" s="29" t="str">
        <f t="array" ref="CJ597">_xlfn.TEXTJOIN("",TRUE,IF(ISNUMBER(FIND(MID(CI596&amp;X596,ROW($1:$162),1),CI597&amp;X597)),MID(CI596&amp;X596,ROW($1:$162),1),""))</f>
        <v/>
      </c>
      <c r="CK597" s="29" t="str">
        <f t="array" ref="CK597">_xlfn.TEXTJOIN("",TRUE,IF(ISERROR(FIND(ROW($1:$168)-1,CI597&amp;CJ597)),ROW($1:$168)-1,""))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597" s="19" t="str">
        <f t="shared" si="398"/>
        <v>邻孤孤</v>
      </c>
      <c r="CM597" s="24" t="str">
        <f t="shared" si="399"/>
        <v>13</v>
      </c>
      <c r="CN597" s="24" t="str">
        <f t="array" ref="CN597">_xlfn.TEXTJOIN("",TRUE,IF(ISNUMBER(FIND(MID(CM596&amp;Y596,ROW($1:$162),1),CM597&amp;Y597)),MID(CM596&amp;Y596,ROW($1:$162),1),""))</f>
        <v/>
      </c>
      <c r="CO597" s="24" t="str">
        <f t="array" ref="CO597">_xlfn.TEXTJOIN("",TRUE,IF(ISERROR(FIND(ROW($1:$168)-1,CM597&amp;CN597)),ROW($1:$168)-1,""))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97" s="30" t="str">
        <f t="shared" si="400"/>
        <v>邻孤孤</v>
      </c>
    </row>
    <row r="598" spans="1:94">
      <c r="A598" s="15">
        <v>598</v>
      </c>
      <c r="B598" s="80">
        <v>2025215</v>
      </c>
      <c r="C598" s="8" t="s">
        <v>470</v>
      </c>
      <c r="D598" s="81">
        <f t="shared" si="411"/>
        <v>16</v>
      </c>
      <c r="E598" s="82">
        <f t="shared" si="412"/>
        <v>6</v>
      </c>
      <c r="F598" s="83">
        <f t="shared" si="409"/>
        <v>3.2</v>
      </c>
      <c r="G598" s="84" t="str">
        <f t="shared" si="410"/>
        <v>标准</v>
      </c>
      <c r="H598" s="85" t="s">
        <v>10</v>
      </c>
      <c r="I598" s="85" t="s">
        <v>11</v>
      </c>
      <c r="J598" s="85" t="s">
        <v>12</v>
      </c>
      <c r="K598" s="85" t="s">
        <v>13</v>
      </c>
      <c r="L598" s="86">
        <f>MAX(MID(C598,{1,2,3},1)*1)-MIN(MID(C598,{1,2,3},1)*1)</f>
        <v>5</v>
      </c>
      <c r="M598" s="87">
        <v>0</v>
      </c>
      <c r="N598" s="87">
        <v>1</v>
      </c>
      <c r="O598" s="87">
        <v>2</v>
      </c>
      <c r="P598" s="87">
        <v>3</v>
      </c>
      <c r="Q598" s="87">
        <v>4</v>
      </c>
      <c r="R598" s="87">
        <v>5</v>
      </c>
      <c r="S598" s="87">
        <v>6</v>
      </c>
      <c r="T598" s="87">
        <v>7</v>
      </c>
      <c r="U598" s="87">
        <v>8</v>
      </c>
      <c r="V598" s="87">
        <v>9</v>
      </c>
      <c r="W598" s="88">
        <f t="shared" si="413"/>
        <v>3</v>
      </c>
      <c r="X598" s="88">
        <f t="shared" si="414"/>
        <v>5</v>
      </c>
      <c r="Y598" s="88">
        <f t="shared" si="415"/>
        <v>2</v>
      </c>
      <c r="Z598" s="89">
        <f t="shared" si="387"/>
        <v>10</v>
      </c>
      <c r="AA598" s="17" t="str">
        <f>_xlfn.TEXTJOIN(", ",TRUE,ABS(MID(C598,{1,1,2},1)-MID(C598,{2,3,3},1)))</f>
        <v>3, 5, 2</v>
      </c>
      <c r="AB598" s="90">
        <v>0</v>
      </c>
      <c r="AC598" s="90">
        <v>1</v>
      </c>
      <c r="AD598" s="90">
        <v>2</v>
      </c>
      <c r="AE598" s="90">
        <v>3</v>
      </c>
      <c r="AF598" s="90">
        <v>4</v>
      </c>
      <c r="AG598" s="90">
        <v>5</v>
      </c>
      <c r="AH598" s="90">
        <v>6</v>
      </c>
      <c r="AI598" s="90">
        <v>7</v>
      </c>
      <c r="AJ598" s="90">
        <v>8</v>
      </c>
      <c r="AK598" s="90">
        <v>9</v>
      </c>
      <c r="AL598" s="91">
        <v>0</v>
      </c>
      <c r="AM598" s="91">
        <v>1</v>
      </c>
      <c r="AN598" s="91">
        <v>2</v>
      </c>
      <c r="AO598" s="91">
        <v>3</v>
      </c>
      <c r="AP598" s="91">
        <v>4</v>
      </c>
      <c r="AQ598" s="91">
        <v>5</v>
      </c>
      <c r="AR598" s="91">
        <v>6</v>
      </c>
      <c r="AS598" s="91">
        <v>7</v>
      </c>
      <c r="AT598" s="91">
        <v>8</v>
      </c>
      <c r="AU598" s="91">
        <v>9</v>
      </c>
      <c r="AV598" s="92">
        <v>0</v>
      </c>
      <c r="AW598" s="92">
        <v>1</v>
      </c>
      <c r="AX598" s="92">
        <v>2</v>
      </c>
      <c r="AY598" s="92">
        <v>3</v>
      </c>
      <c r="AZ598" s="92">
        <v>4</v>
      </c>
      <c r="BA598" s="92">
        <v>5</v>
      </c>
      <c r="BB598" s="92">
        <v>6</v>
      </c>
      <c r="BC598" s="92">
        <v>7</v>
      </c>
      <c r="BD598" s="92">
        <v>8</v>
      </c>
      <c r="BE598" s="92">
        <v>9</v>
      </c>
      <c r="BF598" s="93">
        <v>0</v>
      </c>
      <c r="BG598" s="93">
        <v>1</v>
      </c>
      <c r="BH598" s="93">
        <v>2</v>
      </c>
      <c r="BI598" s="93">
        <v>3</v>
      </c>
      <c r="BJ598" s="93">
        <v>4</v>
      </c>
      <c r="BK598" s="93">
        <v>5</v>
      </c>
      <c r="BL598" s="93">
        <v>6</v>
      </c>
      <c r="BM598" s="93">
        <v>7</v>
      </c>
      <c r="BN598" s="93">
        <v>8</v>
      </c>
      <c r="BO598" s="93">
        <v>9</v>
      </c>
      <c r="BP598" s="94" t="str">
        <f t="shared" si="388"/>
        <v>标准型</v>
      </c>
      <c r="BQ598" s="15">
        <f t="shared" si="385"/>
        <v>2</v>
      </c>
      <c r="BR598" s="15">
        <f t="shared" si="386"/>
        <v>5</v>
      </c>
      <c r="BS598" s="20" t="str">
        <f t="shared" si="390"/>
        <v/>
      </c>
      <c r="BT598" s="21" t="str">
        <f t="shared" si="391"/>
        <v/>
      </c>
      <c r="BU598" s="21" t="str">
        <f t="array" ref="BU598">_xlfn.TEXTJOIN("",TRUE,IF(ISERROR(FIND(ROW($1:$168)-1,BS598&amp;BT598)),ROW($1:$168)-1,""))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98" s="22" t="str">
        <f t="shared" si="392"/>
        <v>中中中</v>
      </c>
      <c r="BW598" s="23" t="str">
        <f t="shared" si="403"/>
        <v/>
      </c>
      <c r="BX598" s="23">
        <f t="shared" si="401"/>
        <v>5</v>
      </c>
      <c r="BY598" s="23" t="str">
        <f t="array" ref="BY598">_xlfn.TEXTJOIN("",TRUE,IF(ISERROR(FIND(ROW($1:$168)-1,BW598&amp;BX598)),ROW($1:$168)-1,""))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98" s="22" t="str">
        <f t="shared" si="393"/>
        <v>中隔中</v>
      </c>
      <c r="CA598" s="24">
        <f t="shared" si="394"/>
        <v>2</v>
      </c>
      <c r="CB598" s="24">
        <f t="shared" si="402"/>
        <v>2</v>
      </c>
      <c r="CC598" s="24" t="str">
        <f t="array" ref="CC598">_xlfn.TEXTJOIN("",TRUE,IF(ISERROR(FIND(ROW($1:$168)-1,CA598&amp;CB598)),ROW($1:$168)-1,""))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98" s="22" t="str">
        <f t="shared" si="395"/>
        <v>复隔中</v>
      </c>
      <c r="CE598" s="25" t="str">
        <f t="shared" si="389"/>
        <v>24</v>
      </c>
      <c r="CF598" s="26" t="str">
        <f t="array" ref="CF598">_xlfn.TEXTJOIN("",TRUE,IF(ISNUMBER(FIND(MID(CE597&amp;W597,ROW($1:$162),1),CE598&amp;W598)),MID(CE597&amp;W597,ROW($1:$162),1),""))</f>
        <v/>
      </c>
      <c r="CG598" s="27" t="str">
        <f t="array" ref="CG598">_xlfn.TEXTJOIN("",TRUE,IF(ISERROR(FIND(ROW($1:$168)-1,CE598&amp;CF598)),ROW($1:$168)-1,""))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98" s="28" t="str">
        <f t="shared" si="396"/>
        <v>邻孤孤</v>
      </c>
      <c r="CI598" s="29" t="str">
        <f t="shared" si="397"/>
        <v>46</v>
      </c>
      <c r="CJ598" s="29" t="str">
        <f t="array" ref="CJ598">_xlfn.TEXTJOIN("",TRUE,IF(ISNUMBER(FIND(MID(CI597&amp;X597,ROW($1:$162),1),CI598&amp;X598)),MID(CI597&amp;X597,ROW($1:$162),1),""))</f>
        <v/>
      </c>
      <c r="CK598" s="29" t="str">
        <f t="array" ref="CK598">_xlfn.TEXTJOIN("",TRUE,IF(ISERROR(FIND(ROW($1:$168)-1,CI598&amp;CJ598)),ROW($1:$168)-1,""))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98" s="19" t="str">
        <f t="shared" si="398"/>
        <v>邻孤孤</v>
      </c>
      <c r="CM598" s="24" t="str">
        <f t="shared" si="399"/>
        <v>13</v>
      </c>
      <c r="CN598" s="24" t="str">
        <f t="array" ref="CN598">_xlfn.TEXTJOIN("",TRUE,IF(ISNUMBER(FIND(MID(CM597&amp;Y597,ROW($1:$162),1),CM598&amp;Y598)),MID(CM597&amp;Y597,ROW($1:$162),1),""))</f>
        <v>132</v>
      </c>
      <c r="CO598" s="24" t="str">
        <f t="array" ref="CO598">_xlfn.TEXTJOIN("",TRUE,IF(ISERROR(FIND(ROW($1:$168)-1,CM598&amp;CN598)),ROW($1:$168)-1,""))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598" s="30" t="str">
        <f t="shared" si="400"/>
        <v>邻传孤</v>
      </c>
    </row>
    <row r="599" spans="1:94">
      <c r="A599" s="15">
        <v>599</v>
      </c>
      <c r="B599" s="80">
        <v>2025216</v>
      </c>
      <c r="C599" s="8" t="s">
        <v>389</v>
      </c>
      <c r="D599" s="81">
        <f t="shared" si="411"/>
        <v>13</v>
      </c>
      <c r="E599" s="82">
        <f t="shared" si="412"/>
        <v>3</v>
      </c>
      <c r="F599" s="83">
        <f t="shared" si="409"/>
        <v>3.25</v>
      </c>
      <c r="G599" s="84" t="str">
        <f t="shared" si="410"/>
        <v>标准</v>
      </c>
      <c r="H599" s="85" t="s">
        <v>10</v>
      </c>
      <c r="I599" s="85" t="s">
        <v>11</v>
      </c>
      <c r="J599" s="85" t="s">
        <v>12</v>
      </c>
      <c r="K599" s="85" t="s">
        <v>13</v>
      </c>
      <c r="L599" s="86">
        <f>MAX(MID(C599,{1,2,3},1)*1)-MIN(MID(C599,{1,2,3},1)*1)</f>
        <v>4</v>
      </c>
      <c r="M599" s="87">
        <v>0</v>
      </c>
      <c r="N599" s="87">
        <v>1</v>
      </c>
      <c r="O599" s="87">
        <v>2</v>
      </c>
      <c r="P599" s="87">
        <v>3</v>
      </c>
      <c r="Q599" s="87">
        <v>4</v>
      </c>
      <c r="R599" s="87">
        <v>5</v>
      </c>
      <c r="S599" s="87">
        <v>6</v>
      </c>
      <c r="T599" s="87">
        <v>7</v>
      </c>
      <c r="U599" s="87">
        <v>8</v>
      </c>
      <c r="V599" s="87">
        <v>9</v>
      </c>
      <c r="W599" s="88">
        <f t="shared" si="413"/>
        <v>4</v>
      </c>
      <c r="X599" s="88">
        <f t="shared" si="414"/>
        <v>1</v>
      </c>
      <c r="Y599" s="88">
        <f t="shared" si="415"/>
        <v>3</v>
      </c>
      <c r="Z599" s="89">
        <f t="shared" si="387"/>
        <v>8</v>
      </c>
      <c r="AA599" s="17" t="str">
        <f>_xlfn.TEXTJOIN(", ",TRUE,ABS(MID(C599,{1,1,2},1)-MID(C599,{2,3,3},1)))</f>
        <v>4, 1, 3</v>
      </c>
      <c r="AB599" s="90">
        <v>0</v>
      </c>
      <c r="AC599" s="90">
        <v>1</v>
      </c>
      <c r="AD599" s="90">
        <v>2</v>
      </c>
      <c r="AE599" s="90">
        <v>3</v>
      </c>
      <c r="AF599" s="90">
        <v>4</v>
      </c>
      <c r="AG599" s="90">
        <v>5</v>
      </c>
      <c r="AH599" s="90">
        <v>6</v>
      </c>
      <c r="AI599" s="90">
        <v>7</v>
      </c>
      <c r="AJ599" s="90">
        <v>8</v>
      </c>
      <c r="AK599" s="90">
        <v>9</v>
      </c>
      <c r="AL599" s="91">
        <v>0</v>
      </c>
      <c r="AM599" s="91">
        <v>1</v>
      </c>
      <c r="AN599" s="91">
        <v>2</v>
      </c>
      <c r="AO599" s="91">
        <v>3</v>
      </c>
      <c r="AP599" s="91">
        <v>4</v>
      </c>
      <c r="AQ599" s="91">
        <v>5</v>
      </c>
      <c r="AR599" s="91">
        <v>6</v>
      </c>
      <c r="AS599" s="91">
        <v>7</v>
      </c>
      <c r="AT599" s="91">
        <v>8</v>
      </c>
      <c r="AU599" s="91">
        <v>9</v>
      </c>
      <c r="AV599" s="92">
        <v>0</v>
      </c>
      <c r="AW599" s="92">
        <v>1</v>
      </c>
      <c r="AX599" s="92">
        <v>2</v>
      </c>
      <c r="AY599" s="92">
        <v>3</v>
      </c>
      <c r="AZ599" s="92">
        <v>4</v>
      </c>
      <c r="BA599" s="92">
        <v>5</v>
      </c>
      <c r="BB599" s="92">
        <v>6</v>
      </c>
      <c r="BC599" s="92">
        <v>7</v>
      </c>
      <c r="BD599" s="92">
        <v>8</v>
      </c>
      <c r="BE599" s="92">
        <v>9</v>
      </c>
      <c r="BF599" s="93">
        <v>0</v>
      </c>
      <c r="BG599" s="93">
        <v>1</v>
      </c>
      <c r="BH599" s="93">
        <v>2</v>
      </c>
      <c r="BI599" s="93">
        <v>3</v>
      </c>
      <c r="BJ599" s="93">
        <v>4</v>
      </c>
      <c r="BK599" s="93">
        <v>5</v>
      </c>
      <c r="BL599" s="93">
        <v>6</v>
      </c>
      <c r="BM599" s="93">
        <v>7</v>
      </c>
      <c r="BN599" s="93">
        <v>8</v>
      </c>
      <c r="BO599" s="93">
        <v>9</v>
      </c>
      <c r="BP599" s="94" t="str">
        <f t="shared" si="388"/>
        <v>紧凑型</v>
      </c>
      <c r="BQ599" s="15">
        <f t="shared" si="385"/>
        <v>1</v>
      </c>
      <c r="BR599" s="15">
        <f t="shared" si="386"/>
        <v>4</v>
      </c>
      <c r="BS599" s="20" t="str">
        <f t="shared" si="390"/>
        <v/>
      </c>
      <c r="BT599" s="21" t="str">
        <f t="shared" si="391"/>
        <v/>
      </c>
      <c r="BU599" s="21" t="str">
        <f t="array" ref="BU599">_xlfn.TEXTJOIN("",TRUE,IF(ISERROR(FIND(ROW($1:$168)-1,BS599&amp;BT599)),ROW($1:$168)-1,""))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599" s="22" t="str">
        <f t="shared" si="392"/>
        <v>中中中</v>
      </c>
      <c r="BW599" s="23" t="str">
        <f t="shared" si="403"/>
        <v/>
      </c>
      <c r="BX599" s="23" t="str">
        <f t="shared" si="401"/>
        <v/>
      </c>
      <c r="BY599" s="23" t="str">
        <f t="array" ref="BY599">_xlfn.TEXTJOIN("",TRUE,IF(ISERROR(FIND(ROW($1:$168)-1,BW599&amp;BX599)),ROW($1:$168)-1,""))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599" s="22" t="str">
        <f t="shared" si="393"/>
        <v>中中中</v>
      </c>
      <c r="CA599" s="24">
        <f t="shared" si="394"/>
        <v>3</v>
      </c>
      <c r="CB599" s="24" t="str">
        <f t="shared" si="402"/>
        <v/>
      </c>
      <c r="CC599" s="24" t="str">
        <f t="array" ref="CC599">_xlfn.TEXTJOIN("",TRUE,IF(ISERROR(FIND(ROW($1:$168)-1,CA599&amp;CB599)),ROW($1:$168)-1,""))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599" s="22" t="str">
        <f t="shared" si="395"/>
        <v>复中中</v>
      </c>
      <c r="CE599" s="25" t="str">
        <f t="shared" si="389"/>
        <v>35</v>
      </c>
      <c r="CF599" s="26" t="str">
        <f t="array" ref="CF599">_xlfn.TEXTJOIN("",TRUE,IF(ISNUMBER(FIND(MID(CE598&amp;W598,ROW($1:$162),1),CE599&amp;W599)),MID(CE598&amp;W598,ROW($1:$162),1),""))</f>
        <v>43</v>
      </c>
      <c r="CG599" s="27" t="str">
        <f t="array" ref="CG599">_xlfn.TEXTJOIN("",TRUE,IF(ISERROR(FIND(ROW($1:$168)-1,CE599&amp;CF599)),ROW($1:$168)-1,""))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599" s="28" t="str">
        <f t="shared" si="396"/>
        <v>邻传孤</v>
      </c>
      <c r="CI599" s="29" t="str">
        <f t="shared" si="397"/>
        <v>02</v>
      </c>
      <c r="CJ599" s="29" t="str">
        <f t="array" ref="CJ599">_xlfn.TEXTJOIN("",TRUE,IF(ISNUMBER(FIND(MID(CI598&amp;X598,ROW($1:$162),1),CI599&amp;X599)),MID(CI598&amp;X598,ROW($1:$162),1),""))</f>
        <v/>
      </c>
      <c r="CK599" s="29" t="str">
        <f t="array" ref="CK599">_xlfn.TEXTJOIN("",TRUE,IF(ISERROR(FIND(ROW($1:$168)-1,CI599&amp;CJ599)),ROW($1:$168)-1,""))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599" s="19" t="str">
        <f t="shared" si="398"/>
        <v>邻孤孤</v>
      </c>
      <c r="CM599" s="24" t="str">
        <f t="shared" si="399"/>
        <v>24</v>
      </c>
      <c r="CN599" s="24" t="str">
        <f t="array" ref="CN599">_xlfn.TEXTJOIN("",TRUE,IF(ISNUMBER(FIND(MID(CM598&amp;Y598,ROW($1:$162),1),CM599&amp;Y599)),MID(CM598&amp;Y598,ROW($1:$162),1),""))</f>
        <v>32</v>
      </c>
      <c r="CO599" s="24" t="str">
        <f t="array" ref="CO599">_xlfn.TEXTJOIN("",TRUE,IF(ISERROR(FIND(ROW($1:$168)-1,CM599&amp;CN599)),ROW($1:$168)-1,""))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599" s="30" t="str">
        <f t="shared" si="400"/>
        <v>邻传孤</v>
      </c>
    </row>
    <row r="600" spans="1:94">
      <c r="A600" s="15">
        <v>600</v>
      </c>
      <c r="B600" s="80">
        <v>2025217</v>
      </c>
      <c r="C600" s="8" t="s">
        <v>471</v>
      </c>
      <c r="D600" s="81">
        <f t="shared" si="411"/>
        <v>21</v>
      </c>
      <c r="E600" s="82">
        <f t="shared" si="412"/>
        <v>1</v>
      </c>
      <c r="F600" s="83">
        <f t="shared" si="409"/>
        <v>4.2</v>
      </c>
      <c r="G600" s="84" t="str">
        <f t="shared" si="410"/>
        <v>紧凑</v>
      </c>
      <c r="H600" s="85" t="s">
        <v>10</v>
      </c>
      <c r="I600" s="85" t="s">
        <v>11</v>
      </c>
      <c r="J600" s="85" t="s">
        <v>12</v>
      </c>
      <c r="K600" s="85" t="s">
        <v>13</v>
      </c>
      <c r="L600" s="86">
        <f>MAX(MID(C600,{1,2,3},1)*1)-MIN(MID(C600,{1,2,3},1)*1)</f>
        <v>5</v>
      </c>
      <c r="M600" s="87">
        <v>0</v>
      </c>
      <c r="N600" s="87">
        <v>1</v>
      </c>
      <c r="O600" s="87">
        <v>2</v>
      </c>
      <c r="P600" s="87">
        <v>3</v>
      </c>
      <c r="Q600" s="87">
        <v>4</v>
      </c>
      <c r="R600" s="87">
        <v>5</v>
      </c>
      <c r="S600" s="87">
        <v>6</v>
      </c>
      <c r="T600" s="87">
        <v>7</v>
      </c>
      <c r="U600" s="87">
        <v>8</v>
      </c>
      <c r="V600" s="87">
        <v>9</v>
      </c>
      <c r="W600" s="88">
        <f t="shared" si="413"/>
        <v>1</v>
      </c>
      <c r="X600" s="88">
        <f t="shared" si="414"/>
        <v>4</v>
      </c>
      <c r="Y600" s="88">
        <f t="shared" si="415"/>
        <v>5</v>
      </c>
      <c r="Z600" s="89">
        <f t="shared" si="387"/>
        <v>10</v>
      </c>
      <c r="AA600" s="17" t="str">
        <f>_xlfn.TEXTJOIN(", ",TRUE,ABS(MID(C600,{1,1,2},1)-MID(C600,{2,3,3},1)))</f>
        <v>1, 4, 5</v>
      </c>
      <c r="AB600" s="90">
        <v>0</v>
      </c>
      <c r="AC600" s="90">
        <v>1</v>
      </c>
      <c r="AD600" s="90">
        <v>2</v>
      </c>
      <c r="AE600" s="90">
        <v>3</v>
      </c>
      <c r="AF600" s="90">
        <v>4</v>
      </c>
      <c r="AG600" s="90">
        <v>5</v>
      </c>
      <c r="AH600" s="90">
        <v>6</v>
      </c>
      <c r="AI600" s="90">
        <v>7</v>
      </c>
      <c r="AJ600" s="90">
        <v>8</v>
      </c>
      <c r="AK600" s="90">
        <v>9</v>
      </c>
      <c r="AL600" s="91">
        <v>0</v>
      </c>
      <c r="AM600" s="91">
        <v>1</v>
      </c>
      <c r="AN600" s="91">
        <v>2</v>
      </c>
      <c r="AO600" s="91">
        <v>3</v>
      </c>
      <c r="AP600" s="91">
        <v>4</v>
      </c>
      <c r="AQ600" s="91">
        <v>5</v>
      </c>
      <c r="AR600" s="91">
        <v>6</v>
      </c>
      <c r="AS600" s="91">
        <v>7</v>
      </c>
      <c r="AT600" s="91">
        <v>8</v>
      </c>
      <c r="AU600" s="91">
        <v>9</v>
      </c>
      <c r="AV600" s="92">
        <v>0</v>
      </c>
      <c r="AW600" s="92">
        <v>1</v>
      </c>
      <c r="AX600" s="92">
        <v>2</v>
      </c>
      <c r="AY600" s="92">
        <v>3</v>
      </c>
      <c r="AZ600" s="92">
        <v>4</v>
      </c>
      <c r="BA600" s="92">
        <v>5</v>
      </c>
      <c r="BB600" s="92">
        <v>6</v>
      </c>
      <c r="BC600" s="92">
        <v>7</v>
      </c>
      <c r="BD600" s="92">
        <v>8</v>
      </c>
      <c r="BE600" s="92">
        <v>9</v>
      </c>
      <c r="BF600" s="93">
        <v>0</v>
      </c>
      <c r="BG600" s="93">
        <v>1</v>
      </c>
      <c r="BH600" s="93">
        <v>2</v>
      </c>
      <c r="BI600" s="93">
        <v>3</v>
      </c>
      <c r="BJ600" s="93">
        <v>4</v>
      </c>
      <c r="BK600" s="93">
        <v>5</v>
      </c>
      <c r="BL600" s="93">
        <v>6</v>
      </c>
      <c r="BM600" s="93">
        <v>7</v>
      </c>
      <c r="BN600" s="93">
        <v>8</v>
      </c>
      <c r="BO600" s="93">
        <v>9</v>
      </c>
      <c r="BP600" s="94" t="str">
        <f t="shared" si="388"/>
        <v>标准型</v>
      </c>
      <c r="BQ600" s="15">
        <f t="shared" si="385"/>
        <v>1</v>
      </c>
      <c r="BR600" s="15">
        <f t="shared" si="386"/>
        <v>5</v>
      </c>
      <c r="BS600" s="20">
        <f t="shared" si="390"/>
        <v>1</v>
      </c>
      <c r="BT600" s="21" t="str">
        <f t="shared" si="391"/>
        <v/>
      </c>
      <c r="BU600" s="21" t="str">
        <f t="array" ref="BU600">_xlfn.TEXTJOIN("",TRUE,IF(ISERROR(FIND(ROW($1:$168)-1,BS600&amp;BT600)),ROW($1:$168)-1,""))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00" s="22" t="str">
        <f t="shared" si="392"/>
        <v>复中中</v>
      </c>
      <c r="BW600" s="23">
        <f t="shared" si="403"/>
        <v>4</v>
      </c>
      <c r="BX600" s="23" t="str">
        <f t="shared" si="401"/>
        <v/>
      </c>
      <c r="BY600" s="23" t="str">
        <f t="array" ref="BY600">_xlfn.TEXTJOIN("",TRUE,IF(ISERROR(FIND(ROW($1:$168)-1,BW600&amp;BX600)),ROW($1:$168)-1,""))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00" s="22" t="str">
        <f t="shared" si="393"/>
        <v>复中中</v>
      </c>
      <c r="CA600" s="24" t="str">
        <f t="shared" si="394"/>
        <v/>
      </c>
      <c r="CB600" s="24">
        <f t="shared" si="402"/>
        <v>5</v>
      </c>
      <c r="CC600" s="24" t="str">
        <f t="array" ref="CC600">_xlfn.TEXTJOIN("",TRUE,IF(ISERROR(FIND(ROW($1:$168)-1,CA600&amp;CB600)),ROW($1:$168)-1,""))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00" s="22" t="str">
        <f t="shared" si="395"/>
        <v>中隔中</v>
      </c>
      <c r="CE600" s="25" t="str">
        <f t="shared" si="389"/>
        <v>02</v>
      </c>
      <c r="CF600" s="26" t="str">
        <f t="array" ref="CF600">_xlfn.TEXTJOIN("",TRUE,IF(ISNUMBER(FIND(MID(CE599&amp;W599,ROW($1:$162),1),CE600&amp;W600)),MID(CE599&amp;W599,ROW($1:$162),1),""))</f>
        <v/>
      </c>
      <c r="CG600" s="27" t="str">
        <f t="array" ref="CG600">_xlfn.TEXTJOIN("",TRUE,IF(ISERROR(FIND(ROW($1:$168)-1,CE600&amp;CF600)),ROW($1:$168)-1,""))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00" s="28" t="str">
        <f t="shared" si="396"/>
        <v>邻孤孤</v>
      </c>
      <c r="CI600" s="29" t="str">
        <f t="shared" si="397"/>
        <v>35</v>
      </c>
      <c r="CJ600" s="29" t="str">
        <f t="array" ref="CJ600">_xlfn.TEXTJOIN("",TRUE,IF(ISNUMBER(FIND(MID(CI599&amp;X599,ROW($1:$162),1),CI600&amp;X600)),MID(CI599&amp;X599,ROW($1:$162),1),""))</f>
        <v/>
      </c>
      <c r="CK600" s="29" t="str">
        <f t="array" ref="CK600">_xlfn.TEXTJOIN("",TRUE,IF(ISERROR(FIND(ROW($1:$168)-1,CI600&amp;CJ600)),ROW($1:$168)-1,""))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00" s="19" t="str">
        <f t="shared" si="398"/>
        <v>邻孤孤</v>
      </c>
      <c r="CM600" s="24" t="str">
        <f t="shared" si="399"/>
        <v>46</v>
      </c>
      <c r="CN600" s="24" t="str">
        <f t="array" ref="CN600">_xlfn.TEXTJOIN("",TRUE,IF(ISNUMBER(FIND(MID(CM599&amp;Y599,ROW($1:$162),1),CM600&amp;Y600)),MID(CM599&amp;Y599,ROW($1:$162),1),""))</f>
        <v>4</v>
      </c>
      <c r="CO600" s="24" t="str">
        <f t="array" ref="CO600">_xlfn.TEXTJOIN("",TRUE,IF(ISERROR(FIND(ROW($1:$168)-1,CM600&amp;CN600)),ROW($1:$168)-1,""))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00" s="30" t="str">
        <f t="shared" si="400"/>
        <v>邻传孤</v>
      </c>
    </row>
    <row r="601" spans="1:94">
      <c r="A601" s="15">
        <v>601</v>
      </c>
      <c r="B601" s="80">
        <v>2025218</v>
      </c>
      <c r="C601" s="8" t="s">
        <v>472</v>
      </c>
      <c r="D601" s="81">
        <f t="shared" si="411"/>
        <v>13</v>
      </c>
      <c r="E601" s="82">
        <f t="shared" si="412"/>
        <v>3</v>
      </c>
      <c r="F601" s="83">
        <f t="shared" si="409"/>
        <v>3.25</v>
      </c>
      <c r="G601" s="84" t="str">
        <f t="shared" si="410"/>
        <v>标准</v>
      </c>
      <c r="H601" s="85" t="s">
        <v>10</v>
      </c>
      <c r="I601" s="85" t="s">
        <v>11</v>
      </c>
      <c r="J601" s="85" t="s">
        <v>12</v>
      </c>
      <c r="K601" s="85" t="s">
        <v>13</v>
      </c>
      <c r="L601" s="86">
        <f>MAX(MID(C601,{1,2,3},1)*1)-MIN(MID(C601,{1,2,3},1)*1)</f>
        <v>4</v>
      </c>
      <c r="M601" s="87">
        <v>0</v>
      </c>
      <c r="N601" s="87">
        <v>1</v>
      </c>
      <c r="O601" s="87">
        <v>2</v>
      </c>
      <c r="P601" s="87">
        <v>3</v>
      </c>
      <c r="Q601" s="87">
        <v>4</v>
      </c>
      <c r="R601" s="87">
        <v>5</v>
      </c>
      <c r="S601" s="87">
        <v>6</v>
      </c>
      <c r="T601" s="87">
        <v>7</v>
      </c>
      <c r="U601" s="87">
        <v>8</v>
      </c>
      <c r="V601" s="87">
        <v>9</v>
      </c>
      <c r="W601" s="88">
        <f t="shared" si="413"/>
        <v>3</v>
      </c>
      <c r="X601" s="88">
        <f t="shared" si="414"/>
        <v>1</v>
      </c>
      <c r="Y601" s="88">
        <f t="shared" si="415"/>
        <v>4</v>
      </c>
      <c r="Z601" s="89">
        <f t="shared" si="387"/>
        <v>8</v>
      </c>
      <c r="AA601" s="17" t="str">
        <f>_xlfn.TEXTJOIN(", ",TRUE,ABS(MID(C601,{1,1,2},1)-MID(C601,{2,3,3},1)))</f>
        <v>3, 1, 4</v>
      </c>
      <c r="AB601" s="90">
        <v>0</v>
      </c>
      <c r="AC601" s="90">
        <v>1</v>
      </c>
      <c r="AD601" s="90">
        <v>2</v>
      </c>
      <c r="AE601" s="90">
        <v>3</v>
      </c>
      <c r="AF601" s="90">
        <v>4</v>
      </c>
      <c r="AG601" s="90">
        <v>5</v>
      </c>
      <c r="AH601" s="90">
        <v>6</v>
      </c>
      <c r="AI601" s="90">
        <v>7</v>
      </c>
      <c r="AJ601" s="90">
        <v>8</v>
      </c>
      <c r="AK601" s="90">
        <v>9</v>
      </c>
      <c r="AL601" s="91">
        <v>0</v>
      </c>
      <c r="AM601" s="91">
        <v>1</v>
      </c>
      <c r="AN601" s="91">
        <v>2</v>
      </c>
      <c r="AO601" s="91">
        <v>3</v>
      </c>
      <c r="AP601" s="91">
        <v>4</v>
      </c>
      <c r="AQ601" s="91">
        <v>5</v>
      </c>
      <c r="AR601" s="91">
        <v>6</v>
      </c>
      <c r="AS601" s="91">
        <v>7</v>
      </c>
      <c r="AT601" s="91">
        <v>8</v>
      </c>
      <c r="AU601" s="91">
        <v>9</v>
      </c>
      <c r="AV601" s="92">
        <v>0</v>
      </c>
      <c r="AW601" s="92">
        <v>1</v>
      </c>
      <c r="AX601" s="92">
        <v>2</v>
      </c>
      <c r="AY601" s="92">
        <v>3</v>
      </c>
      <c r="AZ601" s="92">
        <v>4</v>
      </c>
      <c r="BA601" s="92">
        <v>5</v>
      </c>
      <c r="BB601" s="92">
        <v>6</v>
      </c>
      <c r="BC601" s="92">
        <v>7</v>
      </c>
      <c r="BD601" s="92">
        <v>8</v>
      </c>
      <c r="BE601" s="92">
        <v>9</v>
      </c>
      <c r="BF601" s="93">
        <v>0</v>
      </c>
      <c r="BG601" s="93">
        <v>1</v>
      </c>
      <c r="BH601" s="93">
        <v>2</v>
      </c>
      <c r="BI601" s="93">
        <v>3</v>
      </c>
      <c r="BJ601" s="93">
        <v>4</v>
      </c>
      <c r="BK601" s="93">
        <v>5</v>
      </c>
      <c r="BL601" s="93">
        <v>6</v>
      </c>
      <c r="BM601" s="93">
        <v>7</v>
      </c>
      <c r="BN601" s="93">
        <v>8</v>
      </c>
      <c r="BO601" s="93">
        <v>9</v>
      </c>
      <c r="BP601" s="94" t="str">
        <f t="shared" si="388"/>
        <v>紧凑型</v>
      </c>
      <c r="BQ601" s="15">
        <f t="shared" si="385"/>
        <v>1</v>
      </c>
      <c r="BR601" s="15">
        <f t="shared" si="386"/>
        <v>4</v>
      </c>
      <c r="BS601" s="20" t="str">
        <f t="shared" si="390"/>
        <v/>
      </c>
      <c r="BT601" s="21">
        <f t="shared" si="391"/>
        <v>3</v>
      </c>
      <c r="BU601" s="21" t="str">
        <f t="array" ref="BU601">_xlfn.TEXTJOIN("",TRUE,IF(ISERROR(FIND(ROW($1:$168)-1,BS601&amp;BT601)),ROW($1:$168)-1,""))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01" s="22" t="str">
        <f t="shared" si="392"/>
        <v>中隔中</v>
      </c>
      <c r="BW601" s="23">
        <f t="shared" si="403"/>
        <v>1</v>
      </c>
      <c r="BX601" s="23">
        <f t="shared" si="401"/>
        <v>1</v>
      </c>
      <c r="BY601" s="23" t="str">
        <f t="array" ref="BY601">_xlfn.TEXTJOIN("",TRUE,IF(ISERROR(FIND(ROW($1:$168)-1,BW601&amp;BX601)),ROW($1:$168)-1,""))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01" s="22" t="str">
        <f t="shared" si="393"/>
        <v>复隔中</v>
      </c>
      <c r="CA601" s="24">
        <f t="shared" si="394"/>
        <v>4</v>
      </c>
      <c r="CB601" s="24">
        <f t="shared" si="402"/>
        <v>4</v>
      </c>
      <c r="CC601" s="24" t="str">
        <f t="array" ref="CC601">_xlfn.TEXTJOIN("",TRUE,IF(ISERROR(FIND(ROW($1:$168)-1,CA601&amp;CB601)),ROW($1:$168)-1,""))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01" s="22" t="str">
        <f t="shared" si="395"/>
        <v>复隔中</v>
      </c>
      <c r="CE601" s="25" t="str">
        <f t="shared" si="389"/>
        <v>24</v>
      </c>
      <c r="CF601" s="26" t="str">
        <f t="array" ref="CF601">_xlfn.TEXTJOIN("",TRUE,IF(ISNUMBER(FIND(MID(CE600&amp;W600,ROW($1:$162),1),CE601&amp;W601)),MID(CE600&amp;W600,ROW($1:$162),1),""))</f>
        <v>2</v>
      </c>
      <c r="CG601" s="27" t="str">
        <f t="array" ref="CG601">_xlfn.TEXTJOIN("",TRUE,IF(ISERROR(FIND(ROW($1:$168)-1,CE601&amp;CF601)),ROW($1:$168)-1,""))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01" s="28" t="str">
        <f t="shared" si="396"/>
        <v>邻传孤</v>
      </c>
      <c r="CI601" s="29" t="str">
        <f t="shared" si="397"/>
        <v>02</v>
      </c>
      <c r="CJ601" s="29" t="str">
        <f t="array" ref="CJ601">_xlfn.TEXTJOIN("",TRUE,IF(ISNUMBER(FIND(MID(CI600&amp;X600,ROW($1:$162),1),CI601&amp;X601)),MID(CI600&amp;X600,ROW($1:$162),1),""))</f>
        <v/>
      </c>
      <c r="CK601" s="29" t="str">
        <f t="array" ref="CK601">_xlfn.TEXTJOIN("",TRUE,IF(ISERROR(FIND(ROW($1:$168)-1,CI601&amp;CJ601)),ROW($1:$168)-1,""))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01" s="19" t="str">
        <f t="shared" si="398"/>
        <v>邻孤孤</v>
      </c>
      <c r="CM601" s="24" t="str">
        <f t="shared" si="399"/>
        <v>35</v>
      </c>
      <c r="CN601" s="24" t="str">
        <f t="array" ref="CN601">_xlfn.TEXTJOIN("",TRUE,IF(ISNUMBER(FIND(MID(CM600&amp;Y600,ROW($1:$162),1),CM601&amp;Y601)),MID(CM600&amp;Y600,ROW($1:$162),1),""))</f>
        <v>45</v>
      </c>
      <c r="CO601" s="24" t="str">
        <f t="array" ref="CO601">_xlfn.TEXTJOIN("",TRUE,IF(ISERROR(FIND(ROW($1:$168)-1,CM601&amp;CN601)),ROW($1:$168)-1,""))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01" s="30" t="str">
        <f t="shared" si="400"/>
        <v>邻传孤</v>
      </c>
    </row>
    <row r="602" spans="1:94">
      <c r="A602" s="15">
        <v>602</v>
      </c>
      <c r="B602" s="80">
        <v>2025219</v>
      </c>
      <c r="C602" s="8" t="s">
        <v>41</v>
      </c>
      <c r="D602" s="81">
        <f t="shared" si="411"/>
        <v>9</v>
      </c>
      <c r="E602" s="82">
        <f t="shared" si="412"/>
        <v>9</v>
      </c>
      <c r="F602" s="83">
        <f t="shared" si="409"/>
        <v>1</v>
      </c>
      <c r="G602" s="84" t="str">
        <f t="shared" si="410"/>
        <v>松散</v>
      </c>
      <c r="H602" s="85" t="s">
        <v>10</v>
      </c>
      <c r="I602" s="85" t="s">
        <v>11</v>
      </c>
      <c r="J602" s="85" t="s">
        <v>12</v>
      </c>
      <c r="K602" s="85" t="s">
        <v>13</v>
      </c>
      <c r="L602" s="86">
        <f>MAX(MID(C602,{1,2,3},1)*1)-MIN(MID(C602,{1,2,3},1)*1)</f>
        <v>9</v>
      </c>
      <c r="M602" s="87">
        <v>0</v>
      </c>
      <c r="N602" s="87">
        <v>1</v>
      </c>
      <c r="O602" s="87">
        <v>2</v>
      </c>
      <c r="P602" s="87">
        <v>3</v>
      </c>
      <c r="Q602" s="87">
        <v>4</v>
      </c>
      <c r="R602" s="87">
        <v>5</v>
      </c>
      <c r="S602" s="87">
        <v>6</v>
      </c>
      <c r="T602" s="87">
        <v>7</v>
      </c>
      <c r="U602" s="87">
        <v>8</v>
      </c>
      <c r="V602" s="87">
        <v>9</v>
      </c>
      <c r="W602" s="88">
        <f t="shared" si="413"/>
        <v>9</v>
      </c>
      <c r="X602" s="88">
        <f t="shared" si="414"/>
        <v>9</v>
      </c>
      <c r="Y602" s="88">
        <f t="shared" si="415"/>
        <v>0</v>
      </c>
      <c r="Z602" s="89">
        <f t="shared" si="387"/>
        <v>18</v>
      </c>
      <c r="AA602" s="17" t="str">
        <f>_xlfn.TEXTJOIN(", ",TRUE,ABS(MID(C602,{1,1,2},1)-MID(C602,{2,3,3},1)))</f>
        <v>9, 9, 0</v>
      </c>
      <c r="AB602" s="90">
        <v>0</v>
      </c>
      <c r="AC602" s="90">
        <v>1</v>
      </c>
      <c r="AD602" s="90">
        <v>2</v>
      </c>
      <c r="AE602" s="90">
        <v>3</v>
      </c>
      <c r="AF602" s="90">
        <v>4</v>
      </c>
      <c r="AG602" s="90">
        <v>5</v>
      </c>
      <c r="AH602" s="90">
        <v>6</v>
      </c>
      <c r="AI602" s="90">
        <v>7</v>
      </c>
      <c r="AJ602" s="90">
        <v>8</v>
      </c>
      <c r="AK602" s="90">
        <v>9</v>
      </c>
      <c r="AL602" s="91">
        <v>0</v>
      </c>
      <c r="AM602" s="91">
        <v>1</v>
      </c>
      <c r="AN602" s="91">
        <v>2</v>
      </c>
      <c r="AO602" s="91">
        <v>3</v>
      </c>
      <c r="AP602" s="91">
        <v>4</v>
      </c>
      <c r="AQ602" s="91">
        <v>5</v>
      </c>
      <c r="AR602" s="91">
        <v>6</v>
      </c>
      <c r="AS602" s="91">
        <v>7</v>
      </c>
      <c r="AT602" s="91">
        <v>8</v>
      </c>
      <c r="AU602" s="91">
        <v>9</v>
      </c>
      <c r="AV602" s="92">
        <v>0</v>
      </c>
      <c r="AW602" s="92">
        <v>1</v>
      </c>
      <c r="AX602" s="92">
        <v>2</v>
      </c>
      <c r="AY602" s="92">
        <v>3</v>
      </c>
      <c r="AZ602" s="92">
        <v>4</v>
      </c>
      <c r="BA602" s="92">
        <v>5</v>
      </c>
      <c r="BB602" s="92">
        <v>6</v>
      </c>
      <c r="BC602" s="92">
        <v>7</v>
      </c>
      <c r="BD602" s="92">
        <v>8</v>
      </c>
      <c r="BE602" s="92">
        <v>9</v>
      </c>
      <c r="BF602" s="93">
        <v>0</v>
      </c>
      <c r="BG602" s="93">
        <v>1</v>
      </c>
      <c r="BH602" s="93">
        <v>2</v>
      </c>
      <c r="BI602" s="93">
        <v>3</v>
      </c>
      <c r="BJ602" s="93">
        <v>4</v>
      </c>
      <c r="BK602" s="93">
        <v>5</v>
      </c>
      <c r="BL602" s="93">
        <v>6</v>
      </c>
      <c r="BM602" s="93">
        <v>7</v>
      </c>
      <c r="BN602" s="93">
        <v>8</v>
      </c>
      <c r="BO602" s="93">
        <v>9</v>
      </c>
      <c r="BP602" s="94" t="str">
        <f t="shared" si="388"/>
        <v>松散型</v>
      </c>
      <c r="BQ602" s="15">
        <f t="shared" si="385"/>
        <v>0</v>
      </c>
      <c r="BR602" s="15">
        <f t="shared" si="386"/>
        <v>9</v>
      </c>
      <c r="BS602" s="20" t="str">
        <f t="shared" si="390"/>
        <v/>
      </c>
      <c r="BT602" s="21" t="str">
        <f t="shared" si="391"/>
        <v/>
      </c>
      <c r="BU602" s="21" t="str">
        <f t="array" ref="BU602">_xlfn.TEXTJOIN("",TRUE,IF(ISERROR(FIND(ROW($1:$168)-1,BS602&amp;BT602)),ROW($1:$168)-1,""))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02" s="22" t="str">
        <f t="shared" si="392"/>
        <v>中中中</v>
      </c>
      <c r="BW602" s="23" t="str">
        <f t="shared" si="403"/>
        <v/>
      </c>
      <c r="BX602" s="23" t="str">
        <f t="shared" si="401"/>
        <v/>
      </c>
      <c r="BY602" s="23" t="str">
        <f t="array" ref="BY602">_xlfn.TEXTJOIN("",TRUE,IF(ISERROR(FIND(ROW($1:$168)-1,BW602&amp;BX602)),ROW($1:$168)-1,""))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02" s="22" t="str">
        <f t="shared" si="393"/>
        <v>中中中</v>
      </c>
      <c r="CA602" s="24" t="str">
        <f t="shared" si="394"/>
        <v/>
      </c>
      <c r="CB602" s="24" t="str">
        <f t="shared" si="402"/>
        <v/>
      </c>
      <c r="CC602" s="24" t="str">
        <f t="array" ref="CC602">_xlfn.TEXTJOIN("",TRUE,IF(ISERROR(FIND(ROW($1:$168)-1,CA602&amp;CB602)),ROW($1:$168)-1,""))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02" s="22" t="str">
        <f t="shared" si="395"/>
        <v>中中中</v>
      </c>
      <c r="CE602" s="25" t="str">
        <f t="shared" si="389"/>
        <v>80</v>
      </c>
      <c r="CF602" s="26" t="str">
        <f t="array" ref="CF602">_xlfn.TEXTJOIN("",TRUE,IF(ISNUMBER(FIND(MID(CE601&amp;W601,ROW($1:$162),1),CE602&amp;W602)),MID(CE601&amp;W601,ROW($1:$162),1),""))</f>
        <v/>
      </c>
      <c r="CG602" s="27" t="str">
        <f t="array" ref="CG602">_xlfn.TEXTJOIN("",TRUE,IF(ISERROR(FIND(ROW($1:$168)-1,CE602&amp;CF602)),ROW($1:$168)-1,""))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H602" s="28" t="str">
        <f t="shared" si="396"/>
        <v>邻孤孤</v>
      </c>
      <c r="CI602" s="29" t="str">
        <f t="shared" si="397"/>
        <v>80</v>
      </c>
      <c r="CJ602" s="29" t="str">
        <f t="array" ref="CJ602">_xlfn.TEXTJOIN("",TRUE,IF(ISNUMBER(FIND(MID(CI601&amp;X601,ROW($1:$162),1),CI602&amp;X602)),MID(CI601&amp;X601,ROW($1:$162),1),""))</f>
        <v>0</v>
      </c>
      <c r="CK602" s="29" t="str">
        <f t="array" ref="CK602">_xlfn.TEXTJOIN("",TRUE,IF(ISERROR(FIND(ROW($1:$168)-1,CI602&amp;CJ602)),ROW($1:$168)-1,""))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602" s="19" t="str">
        <f t="shared" si="398"/>
        <v>邻传孤</v>
      </c>
      <c r="CM602" s="24" t="str">
        <f t="shared" si="399"/>
        <v>91</v>
      </c>
      <c r="CN602" s="24" t="str">
        <f t="array" ref="CN602">_xlfn.TEXTJOIN("",TRUE,IF(ISNUMBER(FIND(MID(CM601&amp;Y601,ROW($1:$162),1),CM602&amp;Y602)),MID(CM601&amp;Y601,ROW($1:$162),1),""))</f>
        <v/>
      </c>
      <c r="CO602" s="24" t="str">
        <f t="array" ref="CO602">_xlfn.TEXTJOIN("",TRUE,IF(ISERROR(FIND(ROW($1:$168)-1,CM602&amp;CN602)),ROW($1:$168)-1,""))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602" s="30" t="str">
        <f t="shared" si="400"/>
        <v>邻孤孤</v>
      </c>
    </row>
    <row r="603" spans="1:94">
      <c r="A603" s="15">
        <v>603</v>
      </c>
      <c r="B603" s="80">
        <v>2025220</v>
      </c>
      <c r="C603" s="8" t="s">
        <v>188</v>
      </c>
      <c r="D603" s="81">
        <f t="shared" si="411"/>
        <v>14</v>
      </c>
      <c r="E603" s="82">
        <f t="shared" si="412"/>
        <v>4</v>
      </c>
      <c r="F603" s="83">
        <f t="shared" si="409"/>
        <v>4.66666666666667</v>
      </c>
      <c r="G603" s="84" t="str">
        <f t="shared" si="410"/>
        <v>紧凑</v>
      </c>
      <c r="H603" s="85" t="s">
        <v>10</v>
      </c>
      <c r="I603" s="85" t="s">
        <v>11</v>
      </c>
      <c r="J603" s="85" t="s">
        <v>12</v>
      </c>
      <c r="K603" s="85" t="s">
        <v>13</v>
      </c>
      <c r="L603" s="86">
        <f>MAX(MID(C603,{1,2,3},1)*1)-MIN(MID(C603,{1,2,3},1)*1)</f>
        <v>3</v>
      </c>
      <c r="M603" s="87">
        <v>0</v>
      </c>
      <c r="N603" s="87">
        <v>1</v>
      </c>
      <c r="O603" s="87">
        <v>2</v>
      </c>
      <c r="P603" s="87">
        <v>3</v>
      </c>
      <c r="Q603" s="87">
        <v>4</v>
      </c>
      <c r="R603" s="87">
        <v>5</v>
      </c>
      <c r="S603" s="87">
        <v>6</v>
      </c>
      <c r="T603" s="87">
        <v>7</v>
      </c>
      <c r="U603" s="87">
        <v>8</v>
      </c>
      <c r="V603" s="87">
        <v>9</v>
      </c>
      <c r="W603" s="88">
        <f t="shared" si="413"/>
        <v>2</v>
      </c>
      <c r="X603" s="88">
        <f t="shared" si="414"/>
        <v>1</v>
      </c>
      <c r="Y603" s="88">
        <f t="shared" si="415"/>
        <v>3</v>
      </c>
      <c r="Z603" s="89">
        <f t="shared" si="387"/>
        <v>6</v>
      </c>
      <c r="AA603" s="17" t="str">
        <f>_xlfn.TEXTJOIN(", ",TRUE,ABS(MID(C603,{1,1,2},1)-MID(C603,{2,3,3},1)))</f>
        <v>2, 1, 3</v>
      </c>
      <c r="AB603" s="90">
        <v>0</v>
      </c>
      <c r="AC603" s="90">
        <v>1</v>
      </c>
      <c r="AD603" s="90">
        <v>2</v>
      </c>
      <c r="AE603" s="90">
        <v>3</v>
      </c>
      <c r="AF603" s="90">
        <v>4</v>
      </c>
      <c r="AG603" s="90">
        <v>5</v>
      </c>
      <c r="AH603" s="90">
        <v>6</v>
      </c>
      <c r="AI603" s="90">
        <v>7</v>
      </c>
      <c r="AJ603" s="90">
        <v>8</v>
      </c>
      <c r="AK603" s="90">
        <v>9</v>
      </c>
      <c r="AL603" s="91">
        <v>0</v>
      </c>
      <c r="AM603" s="91">
        <v>1</v>
      </c>
      <c r="AN603" s="91">
        <v>2</v>
      </c>
      <c r="AO603" s="91">
        <v>3</v>
      </c>
      <c r="AP603" s="91">
        <v>4</v>
      </c>
      <c r="AQ603" s="91">
        <v>5</v>
      </c>
      <c r="AR603" s="91">
        <v>6</v>
      </c>
      <c r="AS603" s="91">
        <v>7</v>
      </c>
      <c r="AT603" s="91">
        <v>8</v>
      </c>
      <c r="AU603" s="91">
        <v>9</v>
      </c>
      <c r="AV603" s="92">
        <v>0</v>
      </c>
      <c r="AW603" s="92">
        <v>1</v>
      </c>
      <c r="AX603" s="92">
        <v>2</v>
      </c>
      <c r="AY603" s="92">
        <v>3</v>
      </c>
      <c r="AZ603" s="92">
        <v>4</v>
      </c>
      <c r="BA603" s="92">
        <v>5</v>
      </c>
      <c r="BB603" s="92">
        <v>6</v>
      </c>
      <c r="BC603" s="92">
        <v>7</v>
      </c>
      <c r="BD603" s="92">
        <v>8</v>
      </c>
      <c r="BE603" s="92">
        <v>9</v>
      </c>
      <c r="BF603" s="93">
        <v>0</v>
      </c>
      <c r="BG603" s="93">
        <v>1</v>
      </c>
      <c r="BH603" s="93">
        <v>2</v>
      </c>
      <c r="BI603" s="93">
        <v>3</v>
      </c>
      <c r="BJ603" s="93">
        <v>4</v>
      </c>
      <c r="BK603" s="93">
        <v>5</v>
      </c>
      <c r="BL603" s="93">
        <v>6</v>
      </c>
      <c r="BM603" s="93">
        <v>7</v>
      </c>
      <c r="BN603" s="93">
        <v>8</v>
      </c>
      <c r="BO603" s="93">
        <v>9</v>
      </c>
      <c r="BP603" s="94" t="str">
        <f t="shared" si="388"/>
        <v>紧凑型</v>
      </c>
      <c r="BQ603" s="15">
        <f t="shared" si="385"/>
        <v>1</v>
      </c>
      <c r="BR603" s="15">
        <f t="shared" si="386"/>
        <v>3</v>
      </c>
      <c r="BS603" s="20" t="str">
        <f t="shared" si="390"/>
        <v/>
      </c>
      <c r="BT603" s="21" t="str">
        <f t="shared" si="391"/>
        <v/>
      </c>
      <c r="BU603" s="21" t="str">
        <f t="array" ref="BU603">_xlfn.TEXTJOIN("",TRUE,IF(ISERROR(FIND(ROW($1:$168)-1,BS603&amp;BT603)),ROW($1:$168)-1,""))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03" s="22" t="str">
        <f t="shared" si="392"/>
        <v>中中中</v>
      </c>
      <c r="BW603" s="23" t="str">
        <f t="shared" si="403"/>
        <v/>
      </c>
      <c r="BX603" s="23">
        <f t="shared" si="401"/>
        <v>1</v>
      </c>
      <c r="BY603" s="23" t="str">
        <f t="array" ref="BY603">_xlfn.TEXTJOIN("",TRUE,IF(ISERROR(FIND(ROW($1:$168)-1,BW603&amp;BX603)),ROW($1:$168)-1,""))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03" s="22" t="str">
        <f t="shared" si="393"/>
        <v>中隔中</v>
      </c>
      <c r="CA603" s="24" t="str">
        <f t="shared" si="394"/>
        <v/>
      </c>
      <c r="CB603" s="24">
        <f t="shared" si="402"/>
        <v>3</v>
      </c>
      <c r="CC603" s="24" t="str">
        <f t="array" ref="CC603">_xlfn.TEXTJOIN("",TRUE,IF(ISERROR(FIND(ROW($1:$168)-1,CA603&amp;CB603)),ROW($1:$168)-1,""))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03" s="22" t="str">
        <f t="shared" si="395"/>
        <v>中隔中</v>
      </c>
      <c r="CE603" s="25" t="str">
        <f t="shared" si="389"/>
        <v>13</v>
      </c>
      <c r="CF603" s="26" t="str">
        <f t="array" ref="CF603">_xlfn.TEXTJOIN("",TRUE,IF(ISNUMBER(FIND(MID(CE602&amp;W602,ROW($1:$162),1),CE603&amp;W603)),MID(CE602&amp;W602,ROW($1:$162),1),""))</f>
        <v/>
      </c>
      <c r="CG603" s="27" t="str">
        <f t="array" ref="CG603">_xlfn.TEXTJOIN("",TRUE,IF(ISERROR(FIND(ROW($1:$168)-1,CE603&amp;CF603)),ROW($1:$168)-1,""))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03" s="28" t="str">
        <f t="shared" si="396"/>
        <v>邻孤孤</v>
      </c>
      <c r="CI603" s="29" t="str">
        <f t="shared" si="397"/>
        <v>02</v>
      </c>
      <c r="CJ603" s="29" t="str">
        <f t="array" ref="CJ603">_xlfn.TEXTJOIN("",TRUE,IF(ISNUMBER(FIND(MID(CI602&amp;X602,ROW($1:$162),1),CI603&amp;X603)),MID(CI602&amp;X602,ROW($1:$162),1),""))</f>
        <v>0</v>
      </c>
      <c r="CK603" s="29" t="str">
        <f t="array" ref="CK603">_xlfn.TEXTJOIN("",TRUE,IF(ISERROR(FIND(ROW($1:$168)-1,CI603&amp;CJ603)),ROW($1:$168)-1,""))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03" s="19" t="str">
        <f t="shared" si="398"/>
        <v>邻传孤</v>
      </c>
      <c r="CM603" s="24" t="str">
        <f t="shared" si="399"/>
        <v>24</v>
      </c>
      <c r="CN603" s="24" t="str">
        <f t="array" ref="CN603">_xlfn.TEXTJOIN("",TRUE,IF(ISNUMBER(FIND(MID(CM602&amp;Y602,ROW($1:$162),1),CM603&amp;Y603)),MID(CM602&amp;Y602,ROW($1:$162),1),""))</f>
        <v/>
      </c>
      <c r="CO603" s="24" t="str">
        <f t="array" ref="CO603">_xlfn.TEXTJOIN("",TRUE,IF(ISERROR(FIND(ROW($1:$168)-1,CM603&amp;CN603)),ROW($1:$168)-1,""))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03" s="30" t="str">
        <f t="shared" si="400"/>
        <v>邻孤孤</v>
      </c>
    </row>
    <row r="604" spans="1:94">
      <c r="A604" s="15">
        <v>604</v>
      </c>
      <c r="B604" s="80">
        <v>2025221</v>
      </c>
      <c r="C604" s="8" t="s">
        <v>312</v>
      </c>
      <c r="D604" s="81">
        <f t="shared" si="411"/>
        <v>17</v>
      </c>
      <c r="E604" s="82">
        <f t="shared" si="412"/>
        <v>7</v>
      </c>
      <c r="F604" s="83">
        <f t="shared" si="409"/>
        <v>2.42857142857143</v>
      </c>
      <c r="G604" s="84" t="str">
        <f t="shared" si="410"/>
        <v>标准</v>
      </c>
      <c r="H604" s="85" t="s">
        <v>10</v>
      </c>
      <c r="I604" s="85" t="s">
        <v>11</v>
      </c>
      <c r="J604" s="85" t="s">
        <v>12</v>
      </c>
      <c r="K604" s="85" t="s">
        <v>13</v>
      </c>
      <c r="L604" s="86">
        <f>MAX(MID(C604,{1,2,3},1)*1)-MIN(MID(C604,{1,2,3},1)*1)</f>
        <v>7</v>
      </c>
      <c r="M604" s="87">
        <v>0</v>
      </c>
      <c r="N604" s="87">
        <v>1</v>
      </c>
      <c r="O604" s="87">
        <v>2</v>
      </c>
      <c r="P604" s="87">
        <v>3</v>
      </c>
      <c r="Q604" s="87">
        <v>4</v>
      </c>
      <c r="R604" s="87">
        <v>5</v>
      </c>
      <c r="S604" s="87">
        <v>6</v>
      </c>
      <c r="T604" s="87">
        <v>7</v>
      </c>
      <c r="U604" s="87">
        <v>8</v>
      </c>
      <c r="V604" s="87">
        <v>9</v>
      </c>
      <c r="W604" s="88">
        <f t="shared" si="413"/>
        <v>7</v>
      </c>
      <c r="X604" s="88">
        <f t="shared" si="414"/>
        <v>4</v>
      </c>
      <c r="Y604" s="88">
        <f t="shared" si="415"/>
        <v>3</v>
      </c>
      <c r="Z604" s="89">
        <f t="shared" si="387"/>
        <v>14</v>
      </c>
      <c r="AA604" s="17" t="str">
        <f>_xlfn.TEXTJOIN(", ",TRUE,ABS(MID(C604,{1,1,2},1)-MID(C604,{2,3,3},1)))</f>
        <v>7, 4, 3</v>
      </c>
      <c r="AB604" s="90">
        <v>0</v>
      </c>
      <c r="AC604" s="90">
        <v>1</v>
      </c>
      <c r="AD604" s="90">
        <v>2</v>
      </c>
      <c r="AE604" s="90">
        <v>3</v>
      </c>
      <c r="AF604" s="90">
        <v>4</v>
      </c>
      <c r="AG604" s="90">
        <v>5</v>
      </c>
      <c r="AH604" s="90">
        <v>6</v>
      </c>
      <c r="AI604" s="90">
        <v>7</v>
      </c>
      <c r="AJ604" s="90">
        <v>8</v>
      </c>
      <c r="AK604" s="90">
        <v>9</v>
      </c>
      <c r="AL604" s="91">
        <v>0</v>
      </c>
      <c r="AM604" s="91">
        <v>1</v>
      </c>
      <c r="AN604" s="91">
        <v>2</v>
      </c>
      <c r="AO604" s="91">
        <v>3</v>
      </c>
      <c r="AP604" s="91">
        <v>4</v>
      </c>
      <c r="AQ604" s="91">
        <v>5</v>
      </c>
      <c r="AR604" s="91">
        <v>6</v>
      </c>
      <c r="AS604" s="91">
        <v>7</v>
      </c>
      <c r="AT604" s="91">
        <v>8</v>
      </c>
      <c r="AU604" s="91">
        <v>9</v>
      </c>
      <c r="AV604" s="92">
        <v>0</v>
      </c>
      <c r="AW604" s="92">
        <v>1</v>
      </c>
      <c r="AX604" s="92">
        <v>2</v>
      </c>
      <c r="AY604" s="92">
        <v>3</v>
      </c>
      <c r="AZ604" s="92">
        <v>4</v>
      </c>
      <c r="BA604" s="92">
        <v>5</v>
      </c>
      <c r="BB604" s="92">
        <v>6</v>
      </c>
      <c r="BC604" s="92">
        <v>7</v>
      </c>
      <c r="BD604" s="92">
        <v>8</v>
      </c>
      <c r="BE604" s="92">
        <v>9</v>
      </c>
      <c r="BF604" s="93">
        <v>0</v>
      </c>
      <c r="BG604" s="93">
        <v>1</v>
      </c>
      <c r="BH604" s="93">
        <v>2</v>
      </c>
      <c r="BI604" s="93">
        <v>3</v>
      </c>
      <c r="BJ604" s="93">
        <v>4</v>
      </c>
      <c r="BK604" s="93">
        <v>5</v>
      </c>
      <c r="BL604" s="93">
        <v>6</v>
      </c>
      <c r="BM604" s="93">
        <v>7</v>
      </c>
      <c r="BN604" s="93">
        <v>8</v>
      </c>
      <c r="BO604" s="93">
        <v>9</v>
      </c>
      <c r="BP604" s="94" t="str">
        <f t="shared" si="388"/>
        <v>松散型</v>
      </c>
      <c r="BQ604" s="15">
        <f t="shared" si="385"/>
        <v>3</v>
      </c>
      <c r="BR604" s="15">
        <f t="shared" si="386"/>
        <v>7</v>
      </c>
      <c r="BS604" s="20" t="str">
        <f t="shared" si="390"/>
        <v/>
      </c>
      <c r="BT604" s="21" t="str">
        <f t="shared" si="391"/>
        <v/>
      </c>
      <c r="BU604" s="21" t="str">
        <f t="array" ref="BU604">_xlfn.TEXTJOIN("",TRUE,IF(ISERROR(FIND(ROW($1:$168)-1,BS604&amp;BT604)),ROW($1:$168)-1,""))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04" s="22" t="str">
        <f t="shared" si="392"/>
        <v>中中中</v>
      </c>
      <c r="BW604" s="23" t="str">
        <f t="shared" si="403"/>
        <v/>
      </c>
      <c r="BX604" s="23" t="str">
        <f t="shared" si="401"/>
        <v/>
      </c>
      <c r="BY604" s="23" t="str">
        <f t="array" ref="BY604">_xlfn.TEXTJOIN("",TRUE,IF(ISERROR(FIND(ROW($1:$168)-1,BW604&amp;BX604)),ROW($1:$168)-1,""))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04" s="22" t="str">
        <f t="shared" si="393"/>
        <v>中中中</v>
      </c>
      <c r="CA604" s="24">
        <f t="shared" si="394"/>
        <v>3</v>
      </c>
      <c r="CB604" s="24" t="str">
        <f t="shared" si="402"/>
        <v/>
      </c>
      <c r="CC604" s="24" t="str">
        <f t="array" ref="CC604">_xlfn.TEXTJOIN("",TRUE,IF(ISERROR(FIND(ROW($1:$168)-1,CA604&amp;CB604)),ROW($1:$168)-1,""))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04" s="22" t="str">
        <f t="shared" si="395"/>
        <v>复中中</v>
      </c>
      <c r="CE604" s="25" t="str">
        <f t="shared" si="389"/>
        <v>68</v>
      </c>
      <c r="CF604" s="26" t="str">
        <f t="array" ref="CF604">_xlfn.TEXTJOIN("",TRUE,IF(ISNUMBER(FIND(MID(CE603&amp;W603,ROW($1:$162),1),CE604&amp;W604)),MID(CE603&amp;W603,ROW($1:$162),1),""))</f>
        <v/>
      </c>
      <c r="CG604" s="27" t="str">
        <f t="array" ref="CG604">_xlfn.TEXTJOIN("",TRUE,IF(ISERROR(FIND(ROW($1:$168)-1,CE604&amp;CF604)),ROW($1:$168)-1,""))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04" s="28" t="str">
        <f t="shared" si="396"/>
        <v>邻孤孤</v>
      </c>
      <c r="CI604" s="29" t="str">
        <f t="shared" si="397"/>
        <v>35</v>
      </c>
      <c r="CJ604" s="29" t="str">
        <f t="array" ref="CJ604">_xlfn.TEXTJOIN("",TRUE,IF(ISNUMBER(FIND(MID(CI603&amp;X603,ROW($1:$162),1),CI604&amp;X604)),MID(CI603&amp;X603,ROW($1:$162),1),""))</f>
        <v/>
      </c>
      <c r="CK604" s="29" t="str">
        <f t="array" ref="CK604">_xlfn.TEXTJOIN("",TRUE,IF(ISERROR(FIND(ROW($1:$168)-1,CI604&amp;CJ604)),ROW($1:$168)-1,""))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04" s="19" t="str">
        <f t="shared" si="398"/>
        <v>邻孤孤</v>
      </c>
      <c r="CM604" s="24" t="str">
        <f t="shared" si="399"/>
        <v>24</v>
      </c>
      <c r="CN604" s="24" t="str">
        <f t="array" ref="CN604">_xlfn.TEXTJOIN("",TRUE,IF(ISNUMBER(FIND(MID(CM603&amp;Y603,ROW($1:$162),1),CM604&amp;Y604)),MID(CM603&amp;Y603,ROW($1:$162),1),""))</f>
        <v>243</v>
      </c>
      <c r="CO604" s="24" t="str">
        <f t="array" ref="CO604">_xlfn.TEXTJOIN("",TRUE,IF(ISERROR(FIND(ROW($1:$168)-1,CM604&amp;CN604)),ROW($1:$168)-1,""))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04" s="30" t="str">
        <f t="shared" si="400"/>
        <v>邻传孤</v>
      </c>
    </row>
    <row r="605" spans="1:94">
      <c r="A605" s="15">
        <v>605</v>
      </c>
      <c r="B605" s="80">
        <v>2025222</v>
      </c>
      <c r="C605" s="8" t="s">
        <v>473</v>
      </c>
      <c r="D605" s="81">
        <f t="shared" si="411"/>
        <v>1</v>
      </c>
      <c r="E605" s="82">
        <f t="shared" si="412"/>
        <v>1</v>
      </c>
      <c r="F605" s="83">
        <f t="shared" si="409"/>
        <v>1</v>
      </c>
      <c r="G605" s="84" t="str">
        <f t="shared" si="410"/>
        <v>松散</v>
      </c>
      <c r="H605" s="85" t="s">
        <v>10</v>
      </c>
      <c r="I605" s="85" t="s">
        <v>11</v>
      </c>
      <c r="J605" s="85" t="s">
        <v>12</v>
      </c>
      <c r="K605" s="85" t="s">
        <v>13</v>
      </c>
      <c r="L605" s="86">
        <f>MAX(MID(C605,{1,2,3},1)*1)-MIN(MID(C605,{1,2,3},1)*1)</f>
        <v>1</v>
      </c>
      <c r="M605" s="87">
        <v>0</v>
      </c>
      <c r="N605" s="87">
        <v>1</v>
      </c>
      <c r="O605" s="87">
        <v>2</v>
      </c>
      <c r="P605" s="87">
        <v>3</v>
      </c>
      <c r="Q605" s="87">
        <v>4</v>
      </c>
      <c r="R605" s="87">
        <v>5</v>
      </c>
      <c r="S605" s="87">
        <v>6</v>
      </c>
      <c r="T605" s="87">
        <v>7</v>
      </c>
      <c r="U605" s="87">
        <v>8</v>
      </c>
      <c r="V605" s="87">
        <v>9</v>
      </c>
      <c r="W605" s="88">
        <f t="shared" si="413"/>
        <v>1</v>
      </c>
      <c r="X605" s="88">
        <f t="shared" si="414"/>
        <v>0</v>
      </c>
      <c r="Y605" s="88">
        <f t="shared" si="415"/>
        <v>1</v>
      </c>
      <c r="Z605" s="89">
        <f t="shared" si="387"/>
        <v>2</v>
      </c>
      <c r="AA605" s="17" t="str">
        <f>_xlfn.TEXTJOIN(", ",TRUE,ABS(MID(C605,{1,1,2},1)-MID(C605,{2,3,3},1)))</f>
        <v>1, 0, 1</v>
      </c>
      <c r="AB605" s="90">
        <v>0</v>
      </c>
      <c r="AC605" s="90">
        <v>1</v>
      </c>
      <c r="AD605" s="90">
        <v>2</v>
      </c>
      <c r="AE605" s="90">
        <v>3</v>
      </c>
      <c r="AF605" s="90">
        <v>4</v>
      </c>
      <c r="AG605" s="90">
        <v>5</v>
      </c>
      <c r="AH605" s="90">
        <v>6</v>
      </c>
      <c r="AI605" s="90">
        <v>7</v>
      </c>
      <c r="AJ605" s="90">
        <v>8</v>
      </c>
      <c r="AK605" s="90">
        <v>9</v>
      </c>
      <c r="AL605" s="91">
        <v>0</v>
      </c>
      <c r="AM605" s="91">
        <v>1</v>
      </c>
      <c r="AN605" s="91">
        <v>2</v>
      </c>
      <c r="AO605" s="91">
        <v>3</v>
      </c>
      <c r="AP605" s="91">
        <v>4</v>
      </c>
      <c r="AQ605" s="91">
        <v>5</v>
      </c>
      <c r="AR605" s="91">
        <v>6</v>
      </c>
      <c r="AS605" s="91">
        <v>7</v>
      </c>
      <c r="AT605" s="91">
        <v>8</v>
      </c>
      <c r="AU605" s="91">
        <v>9</v>
      </c>
      <c r="AV605" s="92">
        <v>0</v>
      </c>
      <c r="AW605" s="92">
        <v>1</v>
      </c>
      <c r="AX605" s="92">
        <v>2</v>
      </c>
      <c r="AY605" s="92">
        <v>3</v>
      </c>
      <c r="AZ605" s="92">
        <v>4</v>
      </c>
      <c r="BA605" s="92">
        <v>5</v>
      </c>
      <c r="BB605" s="92">
        <v>6</v>
      </c>
      <c r="BC605" s="92">
        <v>7</v>
      </c>
      <c r="BD605" s="92">
        <v>8</v>
      </c>
      <c r="BE605" s="92">
        <v>9</v>
      </c>
      <c r="BF605" s="93">
        <v>0</v>
      </c>
      <c r="BG605" s="93">
        <v>1</v>
      </c>
      <c r="BH605" s="93">
        <v>2</v>
      </c>
      <c r="BI605" s="93">
        <v>3</v>
      </c>
      <c r="BJ605" s="93">
        <v>4</v>
      </c>
      <c r="BK605" s="93">
        <v>5</v>
      </c>
      <c r="BL605" s="93">
        <v>6</v>
      </c>
      <c r="BM605" s="93">
        <v>7</v>
      </c>
      <c r="BN605" s="93">
        <v>8</v>
      </c>
      <c r="BO605" s="93">
        <v>9</v>
      </c>
      <c r="BP605" s="94" t="str">
        <f t="shared" si="388"/>
        <v>紧凑型</v>
      </c>
      <c r="BQ605" s="15">
        <f t="shared" si="385"/>
        <v>0</v>
      </c>
      <c r="BR605" s="15">
        <f t="shared" si="386"/>
        <v>1</v>
      </c>
      <c r="BS605" s="20" t="str">
        <f t="shared" si="390"/>
        <v/>
      </c>
      <c r="BT605" s="21">
        <f t="shared" si="391"/>
        <v>1</v>
      </c>
      <c r="BU605" s="21" t="str">
        <f t="array" ref="BU605">_xlfn.TEXTJOIN("",TRUE,IF(ISERROR(FIND(ROW($1:$168)-1,BS605&amp;BT605)),ROW($1:$168)-1,""))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05" s="22" t="str">
        <f t="shared" si="392"/>
        <v>中隔中</v>
      </c>
      <c r="BW605" s="23" t="str">
        <f t="shared" si="403"/>
        <v/>
      </c>
      <c r="BX605" s="23" t="str">
        <f t="shared" si="401"/>
        <v/>
      </c>
      <c r="BY605" s="23" t="str">
        <f t="array" ref="BY605">_xlfn.TEXTJOIN("",TRUE,IF(ISERROR(FIND(ROW($1:$168)-1,BW605&amp;BX605)),ROW($1:$168)-1,""))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05" s="22" t="str">
        <f t="shared" si="393"/>
        <v>中中中</v>
      </c>
      <c r="CA605" s="24" t="str">
        <f t="shared" si="394"/>
        <v/>
      </c>
      <c r="CB605" s="24">
        <f t="shared" si="402"/>
        <v>1</v>
      </c>
      <c r="CC605" s="24" t="str">
        <f t="array" ref="CC605">_xlfn.TEXTJOIN("",TRUE,IF(ISERROR(FIND(ROW($1:$168)-1,CA605&amp;CB605)),ROW($1:$168)-1,""))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05" s="22" t="str">
        <f t="shared" si="395"/>
        <v>中隔中</v>
      </c>
      <c r="CE605" s="25" t="str">
        <f t="shared" si="389"/>
        <v>02</v>
      </c>
      <c r="CF605" s="26" t="str">
        <f t="array" ref="CF605">_xlfn.TEXTJOIN("",TRUE,IF(ISNUMBER(FIND(MID(CE604&amp;W604,ROW($1:$162),1),CE605&amp;W605)),MID(CE604&amp;W604,ROW($1:$162),1),""))</f>
        <v/>
      </c>
      <c r="CG605" s="27" t="str">
        <f t="array" ref="CG605">_xlfn.TEXTJOIN("",TRUE,IF(ISERROR(FIND(ROW($1:$168)-1,CE605&amp;CF605)),ROW($1:$168)-1,""))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05" s="28" t="str">
        <f t="shared" si="396"/>
        <v>邻孤孤</v>
      </c>
      <c r="CI605" s="29" t="str">
        <f t="shared" si="397"/>
        <v>91</v>
      </c>
      <c r="CJ605" s="29" t="str">
        <f t="array" ref="CJ605">_xlfn.TEXTJOIN("",TRUE,IF(ISNUMBER(FIND(MID(CI604&amp;X604,ROW($1:$162),1),CI605&amp;X605)),MID(CI604&amp;X604,ROW($1:$162),1),""))</f>
        <v/>
      </c>
      <c r="CK605" s="29" t="str">
        <f t="array" ref="CK605">_xlfn.TEXTJOIN("",TRUE,IF(ISERROR(FIND(ROW($1:$168)-1,CI605&amp;CJ605)),ROW($1:$168)-1,""))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605" s="19" t="str">
        <f t="shared" si="398"/>
        <v>邻孤孤</v>
      </c>
      <c r="CM605" s="24" t="str">
        <f t="shared" si="399"/>
        <v>02</v>
      </c>
      <c r="CN605" s="24" t="str">
        <f t="array" ref="CN605">_xlfn.TEXTJOIN("",TRUE,IF(ISNUMBER(FIND(MID(CM604&amp;Y604,ROW($1:$162),1),CM605&amp;Y605)),MID(CM604&amp;Y604,ROW($1:$162),1),""))</f>
        <v>2</v>
      </c>
      <c r="CO605" s="24" t="str">
        <f t="array" ref="CO605">_xlfn.TEXTJOIN("",TRUE,IF(ISERROR(FIND(ROW($1:$168)-1,CM605&amp;CN605)),ROW($1:$168)-1,""))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05" s="30" t="str">
        <f t="shared" si="400"/>
        <v>邻传孤</v>
      </c>
    </row>
    <row r="606" spans="1:94">
      <c r="A606" s="15">
        <v>606</v>
      </c>
      <c r="B606" s="80">
        <v>2025223</v>
      </c>
      <c r="C606" s="8" t="s">
        <v>95</v>
      </c>
      <c r="D606" s="81">
        <f t="shared" si="411"/>
        <v>16</v>
      </c>
      <c r="E606" s="82">
        <f t="shared" si="412"/>
        <v>6</v>
      </c>
      <c r="F606" s="83">
        <f t="shared" si="409"/>
        <v>4</v>
      </c>
      <c r="G606" s="84" t="str">
        <f t="shared" si="410"/>
        <v>紧凑</v>
      </c>
      <c r="H606" s="85" t="s">
        <v>10</v>
      </c>
      <c r="I606" s="85" t="s">
        <v>11</v>
      </c>
      <c r="J606" s="85" t="s">
        <v>12</v>
      </c>
      <c r="K606" s="85" t="s">
        <v>13</v>
      </c>
      <c r="L606" s="86">
        <f>MAX(MID(C606,{1,2,3},1)*1)-MIN(MID(C606,{1,2,3},1)*1)</f>
        <v>4</v>
      </c>
      <c r="M606" s="87">
        <v>0</v>
      </c>
      <c r="N606" s="87">
        <v>1</v>
      </c>
      <c r="O606" s="87">
        <v>2</v>
      </c>
      <c r="P606" s="87">
        <v>3</v>
      </c>
      <c r="Q606" s="87">
        <v>4</v>
      </c>
      <c r="R606" s="87">
        <v>5</v>
      </c>
      <c r="S606" s="87">
        <v>6</v>
      </c>
      <c r="T606" s="87">
        <v>7</v>
      </c>
      <c r="U606" s="87">
        <v>8</v>
      </c>
      <c r="V606" s="87">
        <v>9</v>
      </c>
      <c r="W606" s="88">
        <f t="shared" si="413"/>
        <v>4</v>
      </c>
      <c r="X606" s="88">
        <f t="shared" si="414"/>
        <v>1</v>
      </c>
      <c r="Y606" s="88">
        <f t="shared" si="415"/>
        <v>3</v>
      </c>
      <c r="Z606" s="89">
        <f t="shared" si="387"/>
        <v>8</v>
      </c>
      <c r="AA606" s="17" t="str">
        <f>_xlfn.TEXTJOIN(", ",TRUE,ABS(MID(C606,{1,1,2},1)-MID(C606,{2,3,3},1)))</f>
        <v>4, 1, 3</v>
      </c>
      <c r="AB606" s="90">
        <v>0</v>
      </c>
      <c r="AC606" s="90">
        <v>1</v>
      </c>
      <c r="AD606" s="90">
        <v>2</v>
      </c>
      <c r="AE606" s="90">
        <v>3</v>
      </c>
      <c r="AF606" s="90">
        <v>4</v>
      </c>
      <c r="AG606" s="90">
        <v>5</v>
      </c>
      <c r="AH606" s="90">
        <v>6</v>
      </c>
      <c r="AI606" s="90">
        <v>7</v>
      </c>
      <c r="AJ606" s="90">
        <v>8</v>
      </c>
      <c r="AK606" s="90">
        <v>9</v>
      </c>
      <c r="AL606" s="91">
        <v>0</v>
      </c>
      <c r="AM606" s="91">
        <v>1</v>
      </c>
      <c r="AN606" s="91">
        <v>2</v>
      </c>
      <c r="AO606" s="91">
        <v>3</v>
      </c>
      <c r="AP606" s="91">
        <v>4</v>
      </c>
      <c r="AQ606" s="91">
        <v>5</v>
      </c>
      <c r="AR606" s="91">
        <v>6</v>
      </c>
      <c r="AS606" s="91">
        <v>7</v>
      </c>
      <c r="AT606" s="91">
        <v>8</v>
      </c>
      <c r="AU606" s="91">
        <v>9</v>
      </c>
      <c r="AV606" s="92">
        <v>0</v>
      </c>
      <c r="AW606" s="92">
        <v>1</v>
      </c>
      <c r="AX606" s="92">
        <v>2</v>
      </c>
      <c r="AY606" s="92">
        <v>3</v>
      </c>
      <c r="AZ606" s="92">
        <v>4</v>
      </c>
      <c r="BA606" s="92">
        <v>5</v>
      </c>
      <c r="BB606" s="92">
        <v>6</v>
      </c>
      <c r="BC606" s="92">
        <v>7</v>
      </c>
      <c r="BD606" s="92">
        <v>8</v>
      </c>
      <c r="BE606" s="92">
        <v>9</v>
      </c>
      <c r="BF606" s="93">
        <v>0</v>
      </c>
      <c r="BG606" s="93">
        <v>1</v>
      </c>
      <c r="BH606" s="93">
        <v>2</v>
      </c>
      <c r="BI606" s="93">
        <v>3</v>
      </c>
      <c r="BJ606" s="93">
        <v>4</v>
      </c>
      <c r="BK606" s="93">
        <v>5</v>
      </c>
      <c r="BL606" s="93">
        <v>6</v>
      </c>
      <c r="BM606" s="93">
        <v>7</v>
      </c>
      <c r="BN606" s="93">
        <v>8</v>
      </c>
      <c r="BO606" s="93">
        <v>9</v>
      </c>
      <c r="BP606" s="94" t="str">
        <f t="shared" si="388"/>
        <v>紧凑型</v>
      </c>
      <c r="BQ606" s="15">
        <f t="shared" si="385"/>
        <v>1</v>
      </c>
      <c r="BR606" s="15">
        <f t="shared" si="386"/>
        <v>4</v>
      </c>
      <c r="BS606" s="20" t="str">
        <f t="shared" si="390"/>
        <v/>
      </c>
      <c r="BT606" s="21">
        <f t="shared" si="391"/>
        <v>4</v>
      </c>
      <c r="BU606" s="21" t="str">
        <f t="array" ref="BU606">_xlfn.TEXTJOIN("",TRUE,IF(ISERROR(FIND(ROW($1:$168)-1,BS606&amp;BT606)),ROW($1:$168)-1,""))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06" s="22" t="str">
        <f t="shared" si="392"/>
        <v>中隔中</v>
      </c>
      <c r="BW606" s="23">
        <f t="shared" si="403"/>
        <v>1</v>
      </c>
      <c r="BX606" s="23" t="str">
        <f t="shared" si="401"/>
        <v/>
      </c>
      <c r="BY606" s="23" t="str">
        <f t="array" ref="BY606">_xlfn.TEXTJOIN("",TRUE,IF(ISERROR(FIND(ROW($1:$168)-1,BW606&amp;BX606)),ROW($1:$168)-1,""))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06" s="22" t="str">
        <f t="shared" si="393"/>
        <v>复中中</v>
      </c>
      <c r="CA606" s="24" t="str">
        <f t="shared" si="394"/>
        <v/>
      </c>
      <c r="CB606" s="24">
        <f t="shared" si="402"/>
        <v>3</v>
      </c>
      <c r="CC606" s="24" t="str">
        <f t="array" ref="CC606">_xlfn.TEXTJOIN("",TRUE,IF(ISERROR(FIND(ROW($1:$168)-1,CA606&amp;CB606)),ROW($1:$168)-1,""))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06" s="22" t="str">
        <f t="shared" si="395"/>
        <v>中隔中</v>
      </c>
      <c r="CE606" s="25" t="str">
        <f t="shared" si="389"/>
        <v>35</v>
      </c>
      <c r="CF606" s="26" t="str">
        <f t="array" ref="CF606">_xlfn.TEXTJOIN("",TRUE,IF(ISNUMBER(FIND(MID(CE605&amp;W605,ROW($1:$162),1),CE606&amp;W606)),MID(CE605&amp;W605,ROW($1:$162),1),""))</f>
        <v/>
      </c>
      <c r="CG606" s="27" t="str">
        <f t="array" ref="CG606">_xlfn.TEXTJOIN("",TRUE,IF(ISERROR(FIND(ROW($1:$168)-1,CE606&amp;CF606)),ROW($1:$168)-1,""))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06" s="28" t="str">
        <f t="shared" si="396"/>
        <v>邻孤孤</v>
      </c>
      <c r="CI606" s="29" t="str">
        <f t="shared" si="397"/>
        <v>02</v>
      </c>
      <c r="CJ606" s="29" t="str">
        <f t="array" ref="CJ606">_xlfn.TEXTJOIN("",TRUE,IF(ISNUMBER(FIND(MID(CI605&amp;X605,ROW($1:$162),1),CI606&amp;X606)),MID(CI605&amp;X605,ROW($1:$162),1),""))</f>
        <v>10</v>
      </c>
      <c r="CK606" s="29" t="str">
        <f t="array" ref="CK606">_xlfn.TEXTJOIN("",TRUE,IF(ISERROR(FIND(ROW($1:$168)-1,CI606&amp;CJ606)),ROW($1:$168)-1,""))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06" s="19" t="str">
        <f t="shared" si="398"/>
        <v>邻传孤</v>
      </c>
      <c r="CM606" s="24" t="str">
        <f t="shared" si="399"/>
        <v>24</v>
      </c>
      <c r="CN606" s="24" t="str">
        <f t="array" ref="CN606">_xlfn.TEXTJOIN("",TRUE,IF(ISNUMBER(FIND(MID(CM605&amp;Y605,ROW($1:$162),1),CM606&amp;Y606)),MID(CM605&amp;Y605,ROW($1:$162),1),""))</f>
        <v>2</v>
      </c>
      <c r="CO606" s="24" t="str">
        <f t="array" ref="CO606">_xlfn.TEXTJOIN("",TRUE,IF(ISERROR(FIND(ROW($1:$168)-1,CM606&amp;CN606)),ROW($1:$168)-1,""))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06" s="30" t="str">
        <f t="shared" si="400"/>
        <v>邻传孤</v>
      </c>
    </row>
    <row r="607" spans="1:94">
      <c r="A607" s="15">
        <v>607</v>
      </c>
      <c r="B607" s="80">
        <v>2025224</v>
      </c>
      <c r="C607" s="8" t="s">
        <v>474</v>
      </c>
      <c r="D607" s="81">
        <f t="shared" si="411"/>
        <v>18</v>
      </c>
      <c r="E607" s="82">
        <f t="shared" si="412"/>
        <v>8</v>
      </c>
      <c r="F607" s="83">
        <f t="shared" si="409"/>
        <v>2</v>
      </c>
      <c r="G607" s="84" t="str">
        <f t="shared" si="410"/>
        <v>标准</v>
      </c>
      <c r="H607" s="85" t="s">
        <v>10</v>
      </c>
      <c r="I607" s="85" t="s">
        <v>11</v>
      </c>
      <c r="J607" s="85" t="s">
        <v>12</v>
      </c>
      <c r="K607" s="85" t="s">
        <v>13</v>
      </c>
      <c r="L607" s="86">
        <f>MAX(MID(C607,{1,2,3},1)*1)-MIN(MID(C607,{1,2,3},1)*1)</f>
        <v>9</v>
      </c>
      <c r="M607" s="87">
        <v>0</v>
      </c>
      <c r="N607" s="87">
        <v>1</v>
      </c>
      <c r="O607" s="87">
        <v>2</v>
      </c>
      <c r="P607" s="87">
        <v>3</v>
      </c>
      <c r="Q607" s="87">
        <v>4</v>
      </c>
      <c r="R607" s="87">
        <v>5</v>
      </c>
      <c r="S607" s="87">
        <v>6</v>
      </c>
      <c r="T607" s="87">
        <v>7</v>
      </c>
      <c r="U607" s="87">
        <v>8</v>
      </c>
      <c r="V607" s="87">
        <v>9</v>
      </c>
      <c r="W607" s="88">
        <f t="shared" si="413"/>
        <v>0</v>
      </c>
      <c r="X607" s="88">
        <f t="shared" si="414"/>
        <v>9</v>
      </c>
      <c r="Y607" s="88">
        <f t="shared" si="415"/>
        <v>9</v>
      </c>
      <c r="Z607" s="89">
        <f t="shared" si="387"/>
        <v>18</v>
      </c>
      <c r="AA607" s="17" t="str">
        <f>_xlfn.TEXTJOIN(", ",TRUE,ABS(MID(C607,{1,1,2},1)-MID(C607,{2,3,3},1)))</f>
        <v>0, 9, 9</v>
      </c>
      <c r="AB607" s="90">
        <v>0</v>
      </c>
      <c r="AC607" s="90">
        <v>1</v>
      </c>
      <c r="AD607" s="90">
        <v>2</v>
      </c>
      <c r="AE607" s="90">
        <v>3</v>
      </c>
      <c r="AF607" s="90">
        <v>4</v>
      </c>
      <c r="AG607" s="90">
        <v>5</v>
      </c>
      <c r="AH607" s="90">
        <v>6</v>
      </c>
      <c r="AI607" s="90">
        <v>7</v>
      </c>
      <c r="AJ607" s="90">
        <v>8</v>
      </c>
      <c r="AK607" s="90">
        <v>9</v>
      </c>
      <c r="AL607" s="91">
        <v>0</v>
      </c>
      <c r="AM607" s="91">
        <v>1</v>
      </c>
      <c r="AN607" s="91">
        <v>2</v>
      </c>
      <c r="AO607" s="91">
        <v>3</v>
      </c>
      <c r="AP607" s="91">
        <v>4</v>
      </c>
      <c r="AQ607" s="91">
        <v>5</v>
      </c>
      <c r="AR607" s="91">
        <v>6</v>
      </c>
      <c r="AS607" s="91">
        <v>7</v>
      </c>
      <c r="AT607" s="91">
        <v>8</v>
      </c>
      <c r="AU607" s="91">
        <v>9</v>
      </c>
      <c r="AV607" s="92">
        <v>0</v>
      </c>
      <c r="AW607" s="92">
        <v>1</v>
      </c>
      <c r="AX607" s="92">
        <v>2</v>
      </c>
      <c r="AY607" s="92">
        <v>3</v>
      </c>
      <c r="AZ607" s="92">
        <v>4</v>
      </c>
      <c r="BA607" s="92">
        <v>5</v>
      </c>
      <c r="BB607" s="92">
        <v>6</v>
      </c>
      <c r="BC607" s="92">
        <v>7</v>
      </c>
      <c r="BD607" s="92">
        <v>8</v>
      </c>
      <c r="BE607" s="92">
        <v>9</v>
      </c>
      <c r="BF607" s="93">
        <v>0</v>
      </c>
      <c r="BG607" s="93">
        <v>1</v>
      </c>
      <c r="BH607" s="93">
        <v>2</v>
      </c>
      <c r="BI607" s="93">
        <v>3</v>
      </c>
      <c r="BJ607" s="93">
        <v>4</v>
      </c>
      <c r="BK607" s="93">
        <v>5</v>
      </c>
      <c r="BL607" s="93">
        <v>6</v>
      </c>
      <c r="BM607" s="93">
        <v>7</v>
      </c>
      <c r="BN607" s="93">
        <v>8</v>
      </c>
      <c r="BO607" s="93">
        <v>9</v>
      </c>
      <c r="BP607" s="94" t="str">
        <f t="shared" si="388"/>
        <v>松散型</v>
      </c>
      <c r="BQ607" s="15">
        <f t="shared" si="385"/>
        <v>0</v>
      </c>
      <c r="BR607" s="15">
        <f t="shared" si="386"/>
        <v>9</v>
      </c>
      <c r="BS607" s="20" t="str">
        <f t="shared" si="390"/>
        <v/>
      </c>
      <c r="BT607" s="21">
        <f t="shared" si="391"/>
        <v>0</v>
      </c>
      <c r="BU607" s="21" t="str">
        <f t="array" ref="BU607">_xlfn.TEXTJOIN("",TRUE,IF(ISERROR(FIND(ROW($1:$168)-1,BS607&amp;BT607)),ROW($1:$168)-1,""))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07" s="22" t="str">
        <f t="shared" si="392"/>
        <v>中隔中</v>
      </c>
      <c r="BW607" s="23" t="str">
        <f t="shared" si="403"/>
        <v/>
      </c>
      <c r="BX607" s="23" t="str">
        <f t="shared" si="401"/>
        <v/>
      </c>
      <c r="BY607" s="23" t="str">
        <f t="array" ref="BY607">_xlfn.TEXTJOIN("",TRUE,IF(ISERROR(FIND(ROW($1:$168)-1,BW607&amp;BX607)),ROW($1:$168)-1,""))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07" s="22" t="str">
        <f t="shared" si="393"/>
        <v>中中中</v>
      </c>
      <c r="CA607" s="24" t="str">
        <f t="shared" si="394"/>
        <v/>
      </c>
      <c r="CB607" s="24" t="str">
        <f t="shared" si="402"/>
        <v/>
      </c>
      <c r="CC607" s="24" t="str">
        <f t="array" ref="CC607">_xlfn.TEXTJOIN("",TRUE,IF(ISERROR(FIND(ROW($1:$168)-1,CA607&amp;CB607)),ROW($1:$168)-1,""))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07" s="22" t="str">
        <f t="shared" si="395"/>
        <v>中中中</v>
      </c>
      <c r="CE607" s="25" t="str">
        <f t="shared" si="389"/>
        <v>91</v>
      </c>
      <c r="CF607" s="26" t="str">
        <f t="array" ref="CF607">_xlfn.TEXTJOIN("",TRUE,IF(ISNUMBER(FIND(MID(CE606&amp;W606,ROW($1:$162),1),CE607&amp;W607)),MID(CE606&amp;W606,ROW($1:$162),1),""))</f>
        <v/>
      </c>
      <c r="CG607" s="27" t="str">
        <f t="array" ref="CG607">_xlfn.TEXTJOIN("",TRUE,IF(ISERROR(FIND(ROW($1:$168)-1,CE607&amp;CF607)),ROW($1:$168)-1,""))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607" s="28" t="str">
        <f t="shared" si="396"/>
        <v>邻孤孤</v>
      </c>
      <c r="CI607" s="29" t="str">
        <f t="shared" si="397"/>
        <v>80</v>
      </c>
      <c r="CJ607" s="29" t="str">
        <f t="array" ref="CJ607">_xlfn.TEXTJOIN("",TRUE,IF(ISNUMBER(FIND(MID(CI606&amp;X606,ROW($1:$162),1),CI607&amp;X607)),MID(CI606&amp;X606,ROW($1:$162),1),""))</f>
        <v>0</v>
      </c>
      <c r="CK607" s="29" t="str">
        <f t="array" ref="CK607">_xlfn.TEXTJOIN("",TRUE,IF(ISERROR(FIND(ROW($1:$168)-1,CI607&amp;CJ607)),ROW($1:$168)-1,""))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607" s="19" t="str">
        <f t="shared" si="398"/>
        <v>邻传孤</v>
      </c>
      <c r="CM607" s="24" t="str">
        <f t="shared" si="399"/>
        <v>80</v>
      </c>
      <c r="CN607" s="24" t="str">
        <f t="array" ref="CN607">_xlfn.TEXTJOIN("",TRUE,IF(ISNUMBER(FIND(MID(CM606&amp;Y606,ROW($1:$162),1),CM607&amp;Y607)),MID(CM606&amp;Y606,ROW($1:$162),1),""))</f>
        <v/>
      </c>
      <c r="CO607" s="24" t="str">
        <f t="array" ref="CO607">_xlfn.TEXTJOIN("",TRUE,IF(ISERROR(FIND(ROW($1:$168)-1,CM607&amp;CN607)),ROW($1:$168)-1,""))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607" s="30" t="str">
        <f t="shared" si="400"/>
        <v>邻孤孤</v>
      </c>
    </row>
    <row r="608" spans="1:94">
      <c r="A608" s="15">
        <v>608</v>
      </c>
      <c r="B608" s="80">
        <v>2025225</v>
      </c>
      <c r="C608" s="8" t="s">
        <v>61</v>
      </c>
      <c r="D608" s="81">
        <f t="shared" si="411"/>
        <v>14</v>
      </c>
      <c r="E608" s="82">
        <f t="shared" si="412"/>
        <v>4</v>
      </c>
      <c r="F608" s="83">
        <f t="shared" si="409"/>
        <v>1.75</v>
      </c>
      <c r="G608" s="84" t="str">
        <f t="shared" si="410"/>
        <v>松散</v>
      </c>
      <c r="H608" s="85" t="s">
        <v>10</v>
      </c>
      <c r="I608" s="85" t="s">
        <v>11</v>
      </c>
      <c r="J608" s="85" t="s">
        <v>12</v>
      </c>
      <c r="K608" s="85" t="s">
        <v>13</v>
      </c>
      <c r="L608" s="86">
        <f>MAX(MID(C608,{1,2,3},1)*1)-MIN(MID(C608,{1,2,3},1)*1)</f>
        <v>8</v>
      </c>
      <c r="M608" s="87">
        <v>0</v>
      </c>
      <c r="N608" s="87">
        <v>1</v>
      </c>
      <c r="O608" s="87">
        <v>2</v>
      </c>
      <c r="P608" s="87">
        <v>3</v>
      </c>
      <c r="Q608" s="87">
        <v>4</v>
      </c>
      <c r="R608" s="87">
        <v>5</v>
      </c>
      <c r="S608" s="87">
        <v>6</v>
      </c>
      <c r="T608" s="87">
        <v>7</v>
      </c>
      <c r="U608" s="87">
        <v>8</v>
      </c>
      <c r="V608" s="87">
        <v>9</v>
      </c>
      <c r="W608" s="88">
        <f t="shared" si="413"/>
        <v>8</v>
      </c>
      <c r="X608" s="88">
        <f t="shared" si="414"/>
        <v>2</v>
      </c>
      <c r="Y608" s="88">
        <f t="shared" si="415"/>
        <v>6</v>
      </c>
      <c r="Z608" s="89">
        <f t="shared" si="387"/>
        <v>16</v>
      </c>
      <c r="AA608" s="17" t="str">
        <f>_xlfn.TEXTJOIN(", ",TRUE,ABS(MID(C608,{1,1,2},1)-MID(C608,{2,3,3},1)))</f>
        <v>8, 2, 6</v>
      </c>
      <c r="AB608" s="90">
        <v>0</v>
      </c>
      <c r="AC608" s="90">
        <v>1</v>
      </c>
      <c r="AD608" s="90">
        <v>2</v>
      </c>
      <c r="AE608" s="90">
        <v>3</v>
      </c>
      <c r="AF608" s="90">
        <v>4</v>
      </c>
      <c r="AG608" s="90">
        <v>5</v>
      </c>
      <c r="AH608" s="90">
        <v>6</v>
      </c>
      <c r="AI608" s="90">
        <v>7</v>
      </c>
      <c r="AJ608" s="90">
        <v>8</v>
      </c>
      <c r="AK608" s="90">
        <v>9</v>
      </c>
      <c r="AL608" s="91">
        <v>0</v>
      </c>
      <c r="AM608" s="91">
        <v>1</v>
      </c>
      <c r="AN608" s="91">
        <v>2</v>
      </c>
      <c r="AO608" s="91">
        <v>3</v>
      </c>
      <c r="AP608" s="91">
        <v>4</v>
      </c>
      <c r="AQ608" s="91">
        <v>5</v>
      </c>
      <c r="AR608" s="91">
        <v>6</v>
      </c>
      <c r="AS608" s="91">
        <v>7</v>
      </c>
      <c r="AT608" s="91">
        <v>8</v>
      </c>
      <c r="AU608" s="91">
        <v>9</v>
      </c>
      <c r="AV608" s="92">
        <v>0</v>
      </c>
      <c r="AW608" s="92">
        <v>1</v>
      </c>
      <c r="AX608" s="92">
        <v>2</v>
      </c>
      <c r="AY608" s="92">
        <v>3</v>
      </c>
      <c r="AZ608" s="92">
        <v>4</v>
      </c>
      <c r="BA608" s="92">
        <v>5</v>
      </c>
      <c r="BB608" s="92">
        <v>6</v>
      </c>
      <c r="BC608" s="92">
        <v>7</v>
      </c>
      <c r="BD608" s="92">
        <v>8</v>
      </c>
      <c r="BE608" s="92">
        <v>9</v>
      </c>
      <c r="BF608" s="93">
        <v>0</v>
      </c>
      <c r="BG608" s="93">
        <v>1</v>
      </c>
      <c r="BH608" s="93">
        <v>2</v>
      </c>
      <c r="BI608" s="93">
        <v>3</v>
      </c>
      <c r="BJ608" s="93">
        <v>4</v>
      </c>
      <c r="BK608" s="93">
        <v>5</v>
      </c>
      <c r="BL608" s="93">
        <v>6</v>
      </c>
      <c r="BM608" s="93">
        <v>7</v>
      </c>
      <c r="BN608" s="93">
        <v>8</v>
      </c>
      <c r="BO608" s="93">
        <v>9</v>
      </c>
      <c r="BP608" s="94" t="str">
        <f t="shared" si="388"/>
        <v>松散型</v>
      </c>
      <c r="BQ608" s="15">
        <f t="shared" si="385"/>
        <v>2</v>
      </c>
      <c r="BR608" s="15">
        <f t="shared" si="386"/>
        <v>8</v>
      </c>
      <c r="BS608" s="20" t="str">
        <f t="shared" si="390"/>
        <v/>
      </c>
      <c r="BT608" s="21" t="str">
        <f t="shared" si="391"/>
        <v/>
      </c>
      <c r="BU608" s="21" t="str">
        <f t="array" ref="BU608">_xlfn.TEXTJOIN("",TRUE,IF(ISERROR(FIND(ROW($1:$168)-1,BS608&amp;BT608)),ROW($1:$168)-1,""))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08" s="22" t="str">
        <f t="shared" si="392"/>
        <v>中中中</v>
      </c>
      <c r="BW608" s="23" t="str">
        <f t="shared" si="403"/>
        <v/>
      </c>
      <c r="BX608" s="23" t="str">
        <f t="shared" si="401"/>
        <v/>
      </c>
      <c r="BY608" s="23" t="str">
        <f t="array" ref="BY608">_xlfn.TEXTJOIN("",TRUE,IF(ISERROR(FIND(ROW($1:$168)-1,BW608&amp;BX608)),ROW($1:$168)-1,""))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08" s="22" t="str">
        <f t="shared" si="393"/>
        <v>中中中</v>
      </c>
      <c r="CA608" s="24" t="str">
        <f t="shared" si="394"/>
        <v/>
      </c>
      <c r="CB608" s="24" t="str">
        <f t="shared" si="402"/>
        <v/>
      </c>
      <c r="CC608" s="24" t="str">
        <f t="array" ref="CC608">_xlfn.TEXTJOIN("",TRUE,IF(ISERROR(FIND(ROW($1:$168)-1,CA608&amp;CB608)),ROW($1:$168)-1,""))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08" s="22" t="str">
        <f t="shared" si="395"/>
        <v>中中中</v>
      </c>
      <c r="CE608" s="25" t="str">
        <f t="shared" si="389"/>
        <v>79</v>
      </c>
      <c r="CF608" s="26" t="str">
        <f t="array" ref="CF608">_xlfn.TEXTJOIN("",TRUE,IF(ISNUMBER(FIND(MID(CE607&amp;W607,ROW($1:$162),1),CE608&amp;W608)),MID(CE607&amp;W607,ROW($1:$162),1),""))</f>
        <v>9</v>
      </c>
      <c r="CG608" s="27" t="str">
        <f t="array" ref="CG608">_xlfn.TEXTJOIN("",TRUE,IF(ISERROR(FIND(ROW($1:$168)-1,CE608&amp;CF608)),ROW($1:$168)-1,""))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H608" s="28" t="str">
        <f t="shared" si="396"/>
        <v>邻传孤</v>
      </c>
      <c r="CI608" s="29" t="str">
        <f t="shared" si="397"/>
        <v>13</v>
      </c>
      <c r="CJ608" s="29" t="str">
        <f t="array" ref="CJ608">_xlfn.TEXTJOIN("",TRUE,IF(ISNUMBER(FIND(MID(CI607&amp;X607,ROW($1:$162),1),CI608&amp;X608)),MID(CI607&amp;X607,ROW($1:$162),1),""))</f>
        <v/>
      </c>
      <c r="CK608" s="29" t="str">
        <f t="array" ref="CK608">_xlfn.TEXTJOIN("",TRUE,IF(ISERROR(FIND(ROW($1:$168)-1,CI608&amp;CJ608)),ROW($1:$168)-1,""))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08" s="19" t="str">
        <f t="shared" si="398"/>
        <v>邻孤孤</v>
      </c>
      <c r="CM608" s="24" t="str">
        <f t="shared" si="399"/>
        <v>57</v>
      </c>
      <c r="CN608" s="24" t="str">
        <f t="array" ref="CN608">_xlfn.TEXTJOIN("",TRUE,IF(ISNUMBER(FIND(MID(CM607&amp;Y607,ROW($1:$162),1),CM608&amp;Y608)),MID(CM607&amp;Y607,ROW($1:$162),1),""))</f>
        <v/>
      </c>
      <c r="CO608" s="24" t="str">
        <f t="array" ref="CO608">_xlfn.TEXTJOIN("",TRUE,IF(ISERROR(FIND(ROW($1:$168)-1,CM608&amp;CN608)),ROW($1:$168)-1,""))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08" s="30" t="str">
        <f t="shared" si="400"/>
        <v>邻孤孤</v>
      </c>
    </row>
    <row r="609" spans="1:94">
      <c r="A609" s="15">
        <v>609</v>
      </c>
      <c r="B609" s="80">
        <v>2025226</v>
      </c>
      <c r="C609" s="8" t="s">
        <v>193</v>
      </c>
      <c r="D609" s="81">
        <f t="shared" si="411"/>
        <v>9</v>
      </c>
      <c r="E609" s="82">
        <f t="shared" si="412"/>
        <v>9</v>
      </c>
      <c r="F609" s="83">
        <f t="shared" si="409"/>
        <v>1.125</v>
      </c>
      <c r="G609" s="84" t="str">
        <f t="shared" si="410"/>
        <v>松散</v>
      </c>
      <c r="H609" s="85" t="s">
        <v>10</v>
      </c>
      <c r="I609" s="85" t="s">
        <v>11</v>
      </c>
      <c r="J609" s="85" t="s">
        <v>12</v>
      </c>
      <c r="K609" s="85" t="s">
        <v>13</v>
      </c>
      <c r="L609" s="86">
        <f>MAX(MID(C609,{1,2,3},1)*1)-MIN(MID(C609,{1,2,3},1)*1)</f>
        <v>8</v>
      </c>
      <c r="M609" s="87">
        <v>0</v>
      </c>
      <c r="N609" s="87">
        <v>1</v>
      </c>
      <c r="O609" s="87">
        <v>2</v>
      </c>
      <c r="P609" s="87">
        <v>3</v>
      </c>
      <c r="Q609" s="87">
        <v>4</v>
      </c>
      <c r="R609" s="87">
        <v>5</v>
      </c>
      <c r="S609" s="87">
        <v>6</v>
      </c>
      <c r="T609" s="87">
        <v>7</v>
      </c>
      <c r="U609" s="87">
        <v>8</v>
      </c>
      <c r="V609" s="87">
        <v>9</v>
      </c>
      <c r="W609" s="88">
        <f t="shared" si="413"/>
        <v>7</v>
      </c>
      <c r="X609" s="88">
        <f t="shared" si="414"/>
        <v>1</v>
      </c>
      <c r="Y609" s="88">
        <f t="shared" si="415"/>
        <v>8</v>
      </c>
      <c r="Z609" s="89">
        <f t="shared" si="387"/>
        <v>16</v>
      </c>
      <c r="AA609" s="17" t="str">
        <f>_xlfn.TEXTJOIN(", ",TRUE,ABS(MID(C609,{1,1,2},1)-MID(C609,{2,3,3},1)))</f>
        <v>7, 1, 8</v>
      </c>
      <c r="AB609" s="90">
        <v>0</v>
      </c>
      <c r="AC609" s="90">
        <v>1</v>
      </c>
      <c r="AD609" s="90">
        <v>2</v>
      </c>
      <c r="AE609" s="90">
        <v>3</v>
      </c>
      <c r="AF609" s="90">
        <v>4</v>
      </c>
      <c r="AG609" s="90">
        <v>5</v>
      </c>
      <c r="AH609" s="90">
        <v>6</v>
      </c>
      <c r="AI609" s="90">
        <v>7</v>
      </c>
      <c r="AJ609" s="90">
        <v>8</v>
      </c>
      <c r="AK609" s="90">
        <v>9</v>
      </c>
      <c r="AL609" s="91">
        <v>0</v>
      </c>
      <c r="AM609" s="91">
        <v>1</v>
      </c>
      <c r="AN609" s="91">
        <v>2</v>
      </c>
      <c r="AO609" s="91">
        <v>3</v>
      </c>
      <c r="AP609" s="91">
        <v>4</v>
      </c>
      <c r="AQ609" s="91">
        <v>5</v>
      </c>
      <c r="AR609" s="91">
        <v>6</v>
      </c>
      <c r="AS609" s="91">
        <v>7</v>
      </c>
      <c r="AT609" s="91">
        <v>8</v>
      </c>
      <c r="AU609" s="91">
        <v>9</v>
      </c>
      <c r="AV609" s="92">
        <v>0</v>
      </c>
      <c r="AW609" s="92">
        <v>1</v>
      </c>
      <c r="AX609" s="92">
        <v>2</v>
      </c>
      <c r="AY609" s="92">
        <v>3</v>
      </c>
      <c r="AZ609" s="92">
        <v>4</v>
      </c>
      <c r="BA609" s="92">
        <v>5</v>
      </c>
      <c r="BB609" s="92">
        <v>6</v>
      </c>
      <c r="BC609" s="92">
        <v>7</v>
      </c>
      <c r="BD609" s="92">
        <v>8</v>
      </c>
      <c r="BE609" s="92">
        <v>9</v>
      </c>
      <c r="BF609" s="93">
        <v>0</v>
      </c>
      <c r="BG609" s="93">
        <v>1</v>
      </c>
      <c r="BH609" s="93">
        <v>2</v>
      </c>
      <c r="BI609" s="93">
        <v>3</v>
      </c>
      <c r="BJ609" s="93">
        <v>4</v>
      </c>
      <c r="BK609" s="93">
        <v>5</v>
      </c>
      <c r="BL609" s="93">
        <v>6</v>
      </c>
      <c r="BM609" s="93">
        <v>7</v>
      </c>
      <c r="BN609" s="93">
        <v>8</v>
      </c>
      <c r="BO609" s="93">
        <v>9</v>
      </c>
      <c r="BP609" s="94" t="str">
        <f t="shared" si="388"/>
        <v>松散型</v>
      </c>
      <c r="BQ609" s="15">
        <f t="shared" ref="BQ609:BQ672" si="416">MIN(ABS(INT(C609/100)-INT(MOD(C609,100)/10)),ABS(INT(C609/100)-MOD(C609,10)),ABS(INT(MOD(C609,100)/10)-MOD(C609,10)))</f>
        <v>1</v>
      </c>
      <c r="BR609" s="15">
        <f t="shared" ref="BR609:BR672" si="417">MAX(ABS(INT(C609/100)-INT(MOD(C609,100)/10)),ABS(INT(C609/100)-MOD(C609,10)),ABS(INT(MOD(C609,100)/10)-MOD(C609,10)))</f>
        <v>8</v>
      </c>
      <c r="BS609" s="20" t="str">
        <f t="shared" si="390"/>
        <v/>
      </c>
      <c r="BT609" s="21" t="str">
        <f t="shared" si="391"/>
        <v/>
      </c>
      <c r="BU609" s="21" t="str">
        <f t="array" ref="BU609">_xlfn.TEXTJOIN("",TRUE,IF(ISERROR(FIND(ROW($1:$168)-1,BS609&amp;BT609)),ROW($1:$168)-1,""))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09" s="22" t="str">
        <f t="shared" si="392"/>
        <v>中中中</v>
      </c>
      <c r="BW609" s="23" t="str">
        <f t="shared" si="403"/>
        <v/>
      </c>
      <c r="BX609" s="23" t="str">
        <f t="shared" si="401"/>
        <v/>
      </c>
      <c r="BY609" s="23" t="str">
        <f t="array" ref="BY609">_xlfn.TEXTJOIN("",TRUE,IF(ISERROR(FIND(ROW($1:$168)-1,BW609&amp;BX609)),ROW($1:$168)-1,""))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09" s="22" t="str">
        <f t="shared" si="393"/>
        <v>中中中</v>
      </c>
      <c r="CA609" s="24">
        <f t="shared" si="394"/>
        <v>8</v>
      </c>
      <c r="CB609" s="24" t="str">
        <f t="shared" si="402"/>
        <v/>
      </c>
      <c r="CC609" s="24" t="str">
        <f t="array" ref="CC609">_xlfn.TEXTJOIN("",TRUE,IF(ISERROR(FIND(ROW($1:$168)-1,CA609&amp;CB609)),ROW($1:$168)-1,""))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09" s="22" t="str">
        <f t="shared" si="395"/>
        <v>复中中</v>
      </c>
      <c r="CE609" s="25" t="str">
        <f t="shared" si="389"/>
        <v>68</v>
      </c>
      <c r="CF609" s="26" t="str">
        <f t="array" ref="CF609">_xlfn.TEXTJOIN("",TRUE,IF(ISNUMBER(FIND(MID(CE608&amp;W608,ROW($1:$162),1),CE609&amp;W609)),MID(CE608&amp;W608,ROW($1:$162),1),""))</f>
        <v>78</v>
      </c>
      <c r="CG609" s="27" t="str">
        <f t="array" ref="CG609">_xlfn.TEXTJOIN("",TRUE,IF(ISERROR(FIND(ROW($1:$168)-1,CE609&amp;CF609)),ROW($1:$168)-1,""))</f>
        <v>0123459101112131415161718192021222324252627282930313233343536373839404142434445464748495051525354555657585960616263646566676970717273747576777980818283848586888990919293949596979899100101102103104105106107108109110111112113114115116117118119120121122123124125126127128129130131132133134135136137138139140141142143144145146147148149150151152153154155156157158159160161162163164165166167</v>
      </c>
      <c r="CH609" s="28" t="str">
        <f t="shared" si="396"/>
        <v>邻传孤</v>
      </c>
      <c r="CI609" s="29" t="str">
        <f t="shared" si="397"/>
        <v>02</v>
      </c>
      <c r="CJ609" s="29" t="str">
        <f t="array" ref="CJ609">_xlfn.TEXTJOIN("",TRUE,IF(ISNUMBER(FIND(MID(CI608&amp;X608,ROW($1:$162),1),CI609&amp;X609)),MID(CI608&amp;X608,ROW($1:$162),1),""))</f>
        <v>12</v>
      </c>
      <c r="CK609" s="29" t="str">
        <f t="array" ref="CK609">_xlfn.TEXTJOIN("",TRUE,IF(ISERROR(FIND(ROW($1:$168)-1,CI609&amp;CJ609)),ROW($1:$168)-1,""))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09" s="19" t="str">
        <f t="shared" si="398"/>
        <v>邻传孤</v>
      </c>
      <c r="CM609" s="24" t="str">
        <f t="shared" si="399"/>
        <v>79</v>
      </c>
      <c r="CN609" s="24" t="str">
        <f t="array" ref="CN609">_xlfn.TEXTJOIN("",TRUE,IF(ISNUMBER(FIND(MID(CM608&amp;Y608,ROW($1:$162),1),CM609&amp;Y609)),MID(CM608&amp;Y608,ROW($1:$162),1),""))</f>
        <v>7</v>
      </c>
      <c r="CO609" s="24" t="str">
        <f t="array" ref="CO609">_xlfn.TEXTJOIN("",TRUE,IF(ISERROR(FIND(ROW($1:$168)-1,CM609&amp;CN609)),ROW($1:$168)-1,""))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P609" s="30" t="str">
        <f t="shared" si="400"/>
        <v>邻传孤</v>
      </c>
    </row>
    <row r="610" spans="1:94">
      <c r="A610" s="15">
        <v>610</v>
      </c>
      <c r="B610" s="80">
        <v>2025227</v>
      </c>
      <c r="C610" s="8" t="s">
        <v>475</v>
      </c>
      <c r="D610" s="81">
        <f t="shared" si="411"/>
        <v>8</v>
      </c>
      <c r="E610" s="82">
        <f t="shared" si="412"/>
        <v>8</v>
      </c>
      <c r="F610" s="83">
        <f t="shared" si="409"/>
        <v>1.6</v>
      </c>
      <c r="G610" s="84" t="str">
        <f t="shared" si="410"/>
        <v>松散</v>
      </c>
      <c r="H610" s="85" t="s">
        <v>10</v>
      </c>
      <c r="I610" s="85" t="s">
        <v>11</v>
      </c>
      <c r="J610" s="85" t="s">
        <v>12</v>
      </c>
      <c r="K610" s="85" t="s">
        <v>13</v>
      </c>
      <c r="L610" s="86">
        <f>MAX(MID(C610,{1,2,3},1)*1)-MIN(MID(C610,{1,2,3},1)*1)</f>
        <v>5</v>
      </c>
      <c r="M610" s="87">
        <v>0</v>
      </c>
      <c r="N610" s="87">
        <v>1</v>
      </c>
      <c r="O610" s="87">
        <v>2</v>
      </c>
      <c r="P610" s="87">
        <v>3</v>
      </c>
      <c r="Q610" s="87">
        <v>4</v>
      </c>
      <c r="R610" s="87">
        <v>5</v>
      </c>
      <c r="S610" s="87">
        <v>6</v>
      </c>
      <c r="T610" s="87">
        <v>7</v>
      </c>
      <c r="U610" s="87">
        <v>8</v>
      </c>
      <c r="V610" s="87">
        <v>9</v>
      </c>
      <c r="W610" s="88">
        <f t="shared" si="413"/>
        <v>5</v>
      </c>
      <c r="X610" s="88">
        <f t="shared" si="414"/>
        <v>5</v>
      </c>
      <c r="Y610" s="88">
        <f t="shared" si="415"/>
        <v>0</v>
      </c>
      <c r="Z610" s="89">
        <f t="shared" ref="Z610:Z673" si="418">W610+X610+Y610</f>
        <v>10</v>
      </c>
      <c r="AA610" s="17" t="str">
        <f>_xlfn.TEXTJOIN(", ",TRUE,ABS(MID(C610,{1,1,2},1)-MID(C610,{2,3,3},1)))</f>
        <v>5, 5, 0</v>
      </c>
      <c r="AB610" s="90">
        <v>0</v>
      </c>
      <c r="AC610" s="90">
        <v>1</v>
      </c>
      <c r="AD610" s="90">
        <v>2</v>
      </c>
      <c r="AE610" s="90">
        <v>3</v>
      </c>
      <c r="AF610" s="90">
        <v>4</v>
      </c>
      <c r="AG610" s="90">
        <v>5</v>
      </c>
      <c r="AH610" s="90">
        <v>6</v>
      </c>
      <c r="AI610" s="90">
        <v>7</v>
      </c>
      <c r="AJ610" s="90">
        <v>8</v>
      </c>
      <c r="AK610" s="90">
        <v>9</v>
      </c>
      <c r="AL610" s="91">
        <v>0</v>
      </c>
      <c r="AM610" s="91">
        <v>1</v>
      </c>
      <c r="AN610" s="91">
        <v>2</v>
      </c>
      <c r="AO610" s="91">
        <v>3</v>
      </c>
      <c r="AP610" s="91">
        <v>4</v>
      </c>
      <c r="AQ610" s="91">
        <v>5</v>
      </c>
      <c r="AR610" s="91">
        <v>6</v>
      </c>
      <c r="AS610" s="91">
        <v>7</v>
      </c>
      <c r="AT610" s="91">
        <v>8</v>
      </c>
      <c r="AU610" s="91">
        <v>9</v>
      </c>
      <c r="AV610" s="92">
        <v>0</v>
      </c>
      <c r="AW610" s="92">
        <v>1</v>
      </c>
      <c r="AX610" s="92">
        <v>2</v>
      </c>
      <c r="AY610" s="92">
        <v>3</v>
      </c>
      <c r="AZ610" s="92">
        <v>4</v>
      </c>
      <c r="BA610" s="92">
        <v>5</v>
      </c>
      <c r="BB610" s="92">
        <v>6</v>
      </c>
      <c r="BC610" s="92">
        <v>7</v>
      </c>
      <c r="BD610" s="92">
        <v>8</v>
      </c>
      <c r="BE610" s="92">
        <v>9</v>
      </c>
      <c r="BF610" s="93">
        <v>0</v>
      </c>
      <c r="BG610" s="93">
        <v>1</v>
      </c>
      <c r="BH610" s="93">
        <v>2</v>
      </c>
      <c r="BI610" s="93">
        <v>3</v>
      </c>
      <c r="BJ610" s="93">
        <v>4</v>
      </c>
      <c r="BK610" s="93">
        <v>5</v>
      </c>
      <c r="BL610" s="93">
        <v>6</v>
      </c>
      <c r="BM610" s="93">
        <v>7</v>
      </c>
      <c r="BN610" s="93">
        <v>8</v>
      </c>
      <c r="BO610" s="93">
        <v>9</v>
      </c>
      <c r="BP610" s="94" t="str">
        <f t="shared" ref="BP610:BP673" si="419">IF(AND(BQ610&lt;=1,BR610&lt;=4),"紧凑型",IF(OR(BQ610&gt;=3,BR610&gt;=6),"松散型",IF(AND(BQ610&gt;=1,BR610&lt;=5),"标准型","对子")))</f>
        <v>对子</v>
      </c>
      <c r="BQ610" s="15">
        <f t="shared" si="416"/>
        <v>0</v>
      </c>
      <c r="BR610" s="15">
        <f t="shared" si="417"/>
        <v>5</v>
      </c>
      <c r="BS610" s="20" t="str">
        <f t="shared" si="390"/>
        <v/>
      </c>
      <c r="BT610" s="21" t="str">
        <f t="shared" si="391"/>
        <v/>
      </c>
      <c r="BU610" s="21" t="str">
        <f t="array" ref="BU610">_xlfn.TEXTJOIN("",TRUE,IF(ISERROR(FIND(ROW($1:$168)-1,BS610&amp;BT610)),ROW($1:$168)-1,""))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10" s="22" t="str">
        <f t="shared" si="392"/>
        <v>中中中</v>
      </c>
      <c r="BW610" s="23" t="str">
        <f t="shared" si="403"/>
        <v/>
      </c>
      <c r="BX610" s="23" t="str">
        <f t="shared" si="401"/>
        <v/>
      </c>
      <c r="BY610" s="23" t="str">
        <f t="array" ref="BY610">_xlfn.TEXTJOIN("",TRUE,IF(ISERROR(FIND(ROW($1:$168)-1,BW610&amp;BX610)),ROW($1:$168)-1,""))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10" s="22" t="str">
        <f t="shared" si="393"/>
        <v>中中中</v>
      </c>
      <c r="CA610" s="24" t="str">
        <f t="shared" si="394"/>
        <v/>
      </c>
      <c r="CB610" s="24" t="str">
        <f t="shared" si="402"/>
        <v/>
      </c>
      <c r="CC610" s="24" t="str">
        <f t="array" ref="CC610">_xlfn.TEXTJOIN("",TRUE,IF(ISERROR(FIND(ROW($1:$168)-1,CA610&amp;CB610)),ROW($1:$168)-1,""))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10" s="22" t="str">
        <f t="shared" si="395"/>
        <v>中中中</v>
      </c>
      <c r="CE610" s="25" t="str">
        <f t="shared" ref="CE610:CE673" si="420">IF(W610=0,9,W610-1)&amp;""&amp;IF(W610=9,0,W610+1)</f>
        <v>46</v>
      </c>
      <c r="CF610" s="26" t="str">
        <f t="array" ref="CF610">_xlfn.TEXTJOIN("",TRUE,IF(ISNUMBER(FIND(MID(CE609&amp;W609,ROW($1:$162),1),CE610&amp;W610)),MID(CE609&amp;W609,ROW($1:$162),1),""))</f>
        <v>6</v>
      </c>
      <c r="CG610" s="27" t="str">
        <f t="array" ref="CG610">_xlfn.TEXTJOIN("",TRUE,IF(ISERROR(FIND(ROW($1:$168)-1,CE610&amp;CF610)),ROW($1:$168)-1,""))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10" s="28" t="str">
        <f t="shared" si="396"/>
        <v>邻传孤</v>
      </c>
      <c r="CI610" s="29" t="str">
        <f t="shared" si="397"/>
        <v>46</v>
      </c>
      <c r="CJ610" s="29" t="str">
        <f t="array" ref="CJ610">_xlfn.TEXTJOIN("",TRUE,IF(ISNUMBER(FIND(MID(CI609&amp;X609,ROW($1:$162),1),CI610&amp;X610)),MID(CI609&amp;X609,ROW($1:$162),1),""))</f>
        <v/>
      </c>
      <c r="CK610" s="29" t="str">
        <f t="array" ref="CK610">_xlfn.TEXTJOIN("",TRUE,IF(ISERROR(FIND(ROW($1:$168)-1,CI610&amp;CJ610)),ROW($1:$168)-1,""))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10" s="19" t="str">
        <f t="shared" si="398"/>
        <v>邻孤孤</v>
      </c>
      <c r="CM610" s="24" t="str">
        <f t="shared" si="399"/>
        <v>91</v>
      </c>
      <c r="CN610" s="24" t="str">
        <f t="array" ref="CN610">_xlfn.TEXTJOIN("",TRUE,IF(ISNUMBER(FIND(MID(CM609&amp;Y609,ROW($1:$162),1),CM610&amp;Y610)),MID(CM609&amp;Y609,ROW($1:$162),1),""))</f>
        <v>9</v>
      </c>
      <c r="CO610" s="24" t="str">
        <f t="array" ref="CO610">_xlfn.TEXTJOIN("",TRUE,IF(ISERROR(FIND(ROW($1:$168)-1,CM610&amp;CN610)),ROW($1:$168)-1,""))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610" s="30" t="str">
        <f t="shared" si="400"/>
        <v>邻传孤</v>
      </c>
    </row>
    <row r="611" spans="1:94">
      <c r="A611" s="15">
        <v>611</v>
      </c>
      <c r="B611" s="80">
        <v>2025228</v>
      </c>
      <c r="C611" s="8" t="s">
        <v>283</v>
      </c>
      <c r="D611" s="81">
        <f t="shared" si="411"/>
        <v>15</v>
      </c>
      <c r="E611" s="82">
        <f t="shared" si="412"/>
        <v>5</v>
      </c>
      <c r="F611" s="83">
        <f t="shared" si="409"/>
        <v>7.5</v>
      </c>
      <c r="G611" s="84" t="str">
        <f t="shared" si="410"/>
        <v>紧凑</v>
      </c>
      <c r="H611" s="85" t="s">
        <v>10</v>
      </c>
      <c r="I611" s="85" t="s">
        <v>11</v>
      </c>
      <c r="J611" s="85" t="s">
        <v>12</v>
      </c>
      <c r="K611" s="85" t="s">
        <v>13</v>
      </c>
      <c r="L611" s="86">
        <f>MAX(MID(C611,{1,2,3},1)*1)-MIN(MID(C611,{1,2,3},1)*1)</f>
        <v>2</v>
      </c>
      <c r="M611" s="87">
        <v>0</v>
      </c>
      <c r="N611" s="87">
        <v>1</v>
      </c>
      <c r="O611" s="87">
        <v>2</v>
      </c>
      <c r="P611" s="87">
        <v>3</v>
      </c>
      <c r="Q611" s="87">
        <v>4</v>
      </c>
      <c r="R611" s="87">
        <v>5</v>
      </c>
      <c r="S611" s="87">
        <v>6</v>
      </c>
      <c r="T611" s="87">
        <v>7</v>
      </c>
      <c r="U611" s="87">
        <v>8</v>
      </c>
      <c r="V611" s="87">
        <v>9</v>
      </c>
      <c r="W611" s="88">
        <f t="shared" si="413"/>
        <v>2</v>
      </c>
      <c r="X611" s="88">
        <f t="shared" si="414"/>
        <v>1</v>
      </c>
      <c r="Y611" s="88">
        <f t="shared" si="415"/>
        <v>1</v>
      </c>
      <c r="Z611" s="89">
        <f t="shared" si="418"/>
        <v>4</v>
      </c>
      <c r="AA611" s="17" t="str">
        <f>_xlfn.TEXTJOIN(", ",TRUE,ABS(MID(C611,{1,1,2},1)-MID(C611,{2,3,3},1)))</f>
        <v>2, 1, 1</v>
      </c>
      <c r="AB611" s="90">
        <v>0</v>
      </c>
      <c r="AC611" s="90">
        <v>1</v>
      </c>
      <c r="AD611" s="90">
        <v>2</v>
      </c>
      <c r="AE611" s="90">
        <v>3</v>
      </c>
      <c r="AF611" s="90">
        <v>4</v>
      </c>
      <c r="AG611" s="90">
        <v>5</v>
      </c>
      <c r="AH611" s="90">
        <v>6</v>
      </c>
      <c r="AI611" s="90">
        <v>7</v>
      </c>
      <c r="AJ611" s="90">
        <v>8</v>
      </c>
      <c r="AK611" s="90">
        <v>9</v>
      </c>
      <c r="AL611" s="91">
        <v>0</v>
      </c>
      <c r="AM611" s="91">
        <v>1</v>
      </c>
      <c r="AN611" s="91">
        <v>2</v>
      </c>
      <c r="AO611" s="91">
        <v>3</v>
      </c>
      <c r="AP611" s="91">
        <v>4</v>
      </c>
      <c r="AQ611" s="91">
        <v>5</v>
      </c>
      <c r="AR611" s="91">
        <v>6</v>
      </c>
      <c r="AS611" s="91">
        <v>7</v>
      </c>
      <c r="AT611" s="91">
        <v>8</v>
      </c>
      <c r="AU611" s="91">
        <v>9</v>
      </c>
      <c r="AV611" s="92">
        <v>0</v>
      </c>
      <c r="AW611" s="92">
        <v>1</v>
      </c>
      <c r="AX611" s="92">
        <v>2</v>
      </c>
      <c r="AY611" s="92">
        <v>3</v>
      </c>
      <c r="AZ611" s="92">
        <v>4</v>
      </c>
      <c r="BA611" s="92">
        <v>5</v>
      </c>
      <c r="BB611" s="92">
        <v>6</v>
      </c>
      <c r="BC611" s="92">
        <v>7</v>
      </c>
      <c r="BD611" s="92">
        <v>8</v>
      </c>
      <c r="BE611" s="92">
        <v>9</v>
      </c>
      <c r="BF611" s="93">
        <v>0</v>
      </c>
      <c r="BG611" s="93">
        <v>1</v>
      </c>
      <c r="BH611" s="93">
        <v>2</v>
      </c>
      <c r="BI611" s="93">
        <v>3</v>
      </c>
      <c r="BJ611" s="93">
        <v>4</v>
      </c>
      <c r="BK611" s="93">
        <v>5</v>
      </c>
      <c r="BL611" s="93">
        <v>6</v>
      </c>
      <c r="BM611" s="93">
        <v>7</v>
      </c>
      <c r="BN611" s="93">
        <v>8</v>
      </c>
      <c r="BO611" s="93">
        <v>9</v>
      </c>
      <c r="BP611" s="94" t="str">
        <f t="shared" si="419"/>
        <v>紧凑型</v>
      </c>
      <c r="BQ611" s="15">
        <f t="shared" si="416"/>
        <v>1</v>
      </c>
      <c r="BR611" s="15">
        <f t="shared" si="417"/>
        <v>2</v>
      </c>
      <c r="BS611" s="20" t="str">
        <f t="shared" ref="BS611:BS674" si="421">IF(COUNTIF($W610:$Y610,W611)&gt;0,W611,"")</f>
        <v/>
      </c>
      <c r="BT611" s="21" t="str">
        <f t="shared" ref="BT611:BT674" si="422">IF(COUNTIF($W609:$Y609,W611)&gt;0,W611,"")</f>
        <v/>
      </c>
      <c r="BU611" s="21" t="str">
        <f t="array" ref="BU611">_xlfn.TEXTJOIN("",TRUE,IF(ISERROR(FIND(ROW($1:$168)-1,BS611&amp;BT611)),ROW($1:$168)-1,""))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11" s="22" t="str">
        <f t="shared" ref="BV611:BV674" si="423">IF(BS611&lt;&gt;"","复","中")&amp;IF(BT611&lt;&gt;"","隔","中")&amp;"中"</f>
        <v>中中中</v>
      </c>
      <c r="BW611" s="23" t="str">
        <f t="shared" si="403"/>
        <v/>
      </c>
      <c r="BX611" s="23">
        <f t="shared" si="401"/>
        <v>1</v>
      </c>
      <c r="BY611" s="23" t="str">
        <f t="array" ref="BY611">_xlfn.TEXTJOIN("",TRUE,IF(ISERROR(FIND(ROW($1:$168)-1,BW611&amp;BX611)),ROW($1:$168)-1,""))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11" s="22" t="str">
        <f t="shared" ref="BZ611:BZ674" si="424">IF(BW611&lt;&gt;"","复","中")&amp;IF(BX611&lt;&gt;"","隔","中")&amp;"中"</f>
        <v>中隔中</v>
      </c>
      <c r="CA611" s="24" t="str">
        <f t="shared" ref="CA611:CA674" si="425">IF(COUNTIF($W610:$Y610,Y611)&gt;0,Y611,"")</f>
        <v/>
      </c>
      <c r="CB611" s="24">
        <f t="shared" si="402"/>
        <v>1</v>
      </c>
      <c r="CC611" s="24" t="str">
        <f t="array" ref="CC611">_xlfn.TEXTJOIN("",TRUE,IF(ISERROR(FIND(ROW($1:$168)-1,CA611&amp;CB611)),ROW($1:$168)-1,""))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11" s="22" t="str">
        <f t="shared" ref="CD611:CD674" si="426">IF(CA611&lt;&gt;"","复","中")&amp;IF(CB611&lt;&gt;"","隔","中")&amp;"中"</f>
        <v>中隔中</v>
      </c>
      <c r="CE611" s="25" t="str">
        <f t="shared" si="420"/>
        <v>13</v>
      </c>
      <c r="CF611" s="26" t="str">
        <f t="array" ref="CF611">_xlfn.TEXTJOIN("",TRUE,IF(ISNUMBER(FIND(MID(CE610&amp;W610,ROW($1:$162),1),CE611&amp;W611)),MID(CE610&amp;W610,ROW($1:$162),1),""))</f>
        <v/>
      </c>
      <c r="CG611" s="27" t="str">
        <f t="array" ref="CG611">_xlfn.TEXTJOIN("",TRUE,IF(ISERROR(FIND(ROW($1:$168)-1,CE611&amp;CF611)),ROW($1:$168)-1,""))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11" s="28" t="str">
        <f t="shared" ref="CH611:CH674" si="427">IF(CE611&lt;&gt;"","邻","孤")&amp;IF(CF611&lt;&gt;"","传","孤")&amp;"孤"</f>
        <v>邻孤孤</v>
      </c>
      <c r="CI611" s="29" t="str">
        <f t="shared" ref="CI611:CI674" si="428">IF(X611=0,9,X611-1)&amp;""&amp;IF(X611=9,0,X611+1)</f>
        <v>02</v>
      </c>
      <c r="CJ611" s="29" t="str">
        <f t="array" ref="CJ611">_xlfn.TEXTJOIN("",TRUE,IF(ISNUMBER(FIND(MID(CI610&amp;X610,ROW($1:$162),1),CI611&amp;X611)),MID(CI610&amp;X610,ROW($1:$162),1),""))</f>
        <v/>
      </c>
      <c r="CK611" s="29" t="str">
        <f t="array" ref="CK611">_xlfn.TEXTJOIN("",TRUE,IF(ISERROR(FIND(ROW($1:$168)-1,CI611&amp;CJ611)),ROW($1:$168)-1,""))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11" s="19" t="str">
        <f t="shared" ref="CL611:CL674" si="429">IF(CI611&lt;&gt;"","邻","孤")&amp;IF(CJ611&lt;&gt;"","传","孤")&amp;"孤"</f>
        <v>邻孤孤</v>
      </c>
      <c r="CM611" s="24" t="str">
        <f t="shared" ref="CM611:CM674" si="430">IF(Y611=0,9,Y611-1)&amp;""&amp;IF(Y611=9,0,Y611+1)</f>
        <v>02</v>
      </c>
      <c r="CN611" s="24" t="str">
        <f t="array" ref="CN611">_xlfn.TEXTJOIN("",TRUE,IF(ISNUMBER(FIND(MID(CM610&amp;Y610,ROW($1:$162),1),CM611&amp;Y611)),MID(CM610&amp;Y610,ROW($1:$162),1),""))</f>
        <v>10</v>
      </c>
      <c r="CO611" s="24" t="str">
        <f t="array" ref="CO611">_xlfn.TEXTJOIN("",TRUE,IF(ISERROR(FIND(ROW($1:$168)-1,CM611&amp;CN611)),ROW($1:$168)-1,""))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11" s="30" t="str">
        <f t="shared" ref="CP611:CP674" si="431">IF(CM611&lt;&gt;"","邻","孤")&amp;IF(CN611&lt;&gt;"","传","孤")&amp;"孤"</f>
        <v>邻传孤</v>
      </c>
    </row>
    <row r="612" spans="1:94">
      <c r="A612" s="15">
        <v>612</v>
      </c>
      <c r="B612" s="80">
        <v>2025229</v>
      </c>
      <c r="C612" s="8" t="s">
        <v>134</v>
      </c>
      <c r="D612" s="81">
        <f t="shared" si="411"/>
        <v>9</v>
      </c>
      <c r="E612" s="82">
        <f t="shared" si="412"/>
        <v>9</v>
      </c>
      <c r="F612" s="83">
        <f t="shared" si="409"/>
        <v>1.125</v>
      </c>
      <c r="G612" s="84" t="str">
        <f t="shared" si="410"/>
        <v>松散</v>
      </c>
      <c r="H612" s="85" t="s">
        <v>10</v>
      </c>
      <c r="I612" s="85" t="s">
        <v>11</v>
      </c>
      <c r="J612" s="85" t="s">
        <v>12</v>
      </c>
      <c r="K612" s="85" t="s">
        <v>13</v>
      </c>
      <c r="L612" s="86">
        <f>MAX(MID(C612,{1,2,3},1)*1)-MIN(MID(C612,{1,2,3},1)*1)</f>
        <v>8</v>
      </c>
      <c r="M612" s="87">
        <v>0</v>
      </c>
      <c r="N612" s="87">
        <v>1</v>
      </c>
      <c r="O612" s="87">
        <v>2</v>
      </c>
      <c r="P612" s="87">
        <v>3</v>
      </c>
      <c r="Q612" s="87">
        <v>4</v>
      </c>
      <c r="R612" s="87">
        <v>5</v>
      </c>
      <c r="S612" s="87">
        <v>6</v>
      </c>
      <c r="T612" s="87">
        <v>7</v>
      </c>
      <c r="U612" s="87">
        <v>8</v>
      </c>
      <c r="V612" s="87">
        <v>9</v>
      </c>
      <c r="W612" s="88">
        <f t="shared" si="413"/>
        <v>1</v>
      </c>
      <c r="X612" s="88">
        <f t="shared" si="414"/>
        <v>7</v>
      </c>
      <c r="Y612" s="88">
        <f t="shared" si="415"/>
        <v>8</v>
      </c>
      <c r="Z612" s="89">
        <f t="shared" si="418"/>
        <v>16</v>
      </c>
      <c r="AA612" s="17" t="str">
        <f>_xlfn.TEXTJOIN(", ",TRUE,ABS(MID(C612,{1,1,2},1)-MID(C612,{2,3,3},1)))</f>
        <v>1, 7, 8</v>
      </c>
      <c r="AB612" s="90">
        <v>0</v>
      </c>
      <c r="AC612" s="90">
        <v>1</v>
      </c>
      <c r="AD612" s="90">
        <v>2</v>
      </c>
      <c r="AE612" s="90">
        <v>3</v>
      </c>
      <c r="AF612" s="90">
        <v>4</v>
      </c>
      <c r="AG612" s="90">
        <v>5</v>
      </c>
      <c r="AH612" s="90">
        <v>6</v>
      </c>
      <c r="AI612" s="90">
        <v>7</v>
      </c>
      <c r="AJ612" s="90">
        <v>8</v>
      </c>
      <c r="AK612" s="90">
        <v>9</v>
      </c>
      <c r="AL612" s="91">
        <v>0</v>
      </c>
      <c r="AM612" s="91">
        <v>1</v>
      </c>
      <c r="AN612" s="91">
        <v>2</v>
      </c>
      <c r="AO612" s="91">
        <v>3</v>
      </c>
      <c r="AP612" s="91">
        <v>4</v>
      </c>
      <c r="AQ612" s="91">
        <v>5</v>
      </c>
      <c r="AR612" s="91">
        <v>6</v>
      </c>
      <c r="AS612" s="91">
        <v>7</v>
      </c>
      <c r="AT612" s="91">
        <v>8</v>
      </c>
      <c r="AU612" s="91">
        <v>9</v>
      </c>
      <c r="AV612" s="92">
        <v>0</v>
      </c>
      <c r="AW612" s="92">
        <v>1</v>
      </c>
      <c r="AX612" s="92">
        <v>2</v>
      </c>
      <c r="AY612" s="92">
        <v>3</v>
      </c>
      <c r="AZ612" s="92">
        <v>4</v>
      </c>
      <c r="BA612" s="92">
        <v>5</v>
      </c>
      <c r="BB612" s="92">
        <v>6</v>
      </c>
      <c r="BC612" s="92">
        <v>7</v>
      </c>
      <c r="BD612" s="92">
        <v>8</v>
      </c>
      <c r="BE612" s="92">
        <v>9</v>
      </c>
      <c r="BF612" s="93">
        <v>0</v>
      </c>
      <c r="BG612" s="93">
        <v>1</v>
      </c>
      <c r="BH612" s="93">
        <v>2</v>
      </c>
      <c r="BI612" s="93">
        <v>3</v>
      </c>
      <c r="BJ612" s="93">
        <v>4</v>
      </c>
      <c r="BK612" s="93">
        <v>5</v>
      </c>
      <c r="BL612" s="93">
        <v>6</v>
      </c>
      <c r="BM612" s="93">
        <v>7</v>
      </c>
      <c r="BN612" s="93">
        <v>8</v>
      </c>
      <c r="BO612" s="93">
        <v>9</v>
      </c>
      <c r="BP612" s="94" t="str">
        <f t="shared" si="419"/>
        <v>松散型</v>
      </c>
      <c r="BQ612" s="15">
        <f t="shared" si="416"/>
        <v>1</v>
      </c>
      <c r="BR612" s="15">
        <f t="shared" si="417"/>
        <v>8</v>
      </c>
      <c r="BS612" s="20">
        <f t="shared" si="421"/>
        <v>1</v>
      </c>
      <c r="BT612" s="21" t="str">
        <f t="shared" si="422"/>
        <v/>
      </c>
      <c r="BU612" s="21" t="str">
        <f t="array" ref="BU612">_xlfn.TEXTJOIN("",TRUE,IF(ISERROR(FIND(ROW($1:$168)-1,BS612&amp;BT612)),ROW($1:$168)-1,""))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12" s="22" t="str">
        <f t="shared" si="423"/>
        <v>复中中</v>
      </c>
      <c r="BW612" s="23" t="str">
        <f t="shared" si="403"/>
        <v/>
      </c>
      <c r="BX612" s="23" t="str">
        <f t="shared" ref="BX612:BX675" si="432">IF(COUNTIF($W610:$Y610,X612)&gt;0,X612,"")</f>
        <v/>
      </c>
      <c r="BY612" s="23" t="str">
        <f t="array" ref="BY612">_xlfn.TEXTJOIN("",TRUE,IF(ISERROR(FIND(ROW($1:$168)-1,BW612&amp;BX612)),ROW($1:$168)-1,""))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12" s="22" t="str">
        <f t="shared" si="424"/>
        <v>中中中</v>
      </c>
      <c r="CA612" s="24" t="str">
        <f t="shared" si="425"/>
        <v/>
      </c>
      <c r="CB612" s="24" t="str">
        <f t="shared" ref="CB612:CB675" si="433">IF(COUNTIF($W610:$Y610,Y612)&gt;0,Y612,"")</f>
        <v/>
      </c>
      <c r="CC612" s="24" t="str">
        <f t="array" ref="CC612">_xlfn.TEXTJOIN("",TRUE,IF(ISERROR(FIND(ROW($1:$168)-1,CA612&amp;CB612)),ROW($1:$168)-1,""))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12" s="22" t="str">
        <f t="shared" si="426"/>
        <v>中中中</v>
      </c>
      <c r="CE612" s="25" t="str">
        <f t="shared" si="420"/>
        <v>02</v>
      </c>
      <c r="CF612" s="26" t="str">
        <f t="array" ref="CF612">_xlfn.TEXTJOIN("",TRUE,IF(ISNUMBER(FIND(MID(CE611&amp;W611,ROW($1:$162),1),CE612&amp;W612)),MID(CE611&amp;W611,ROW($1:$162),1),""))</f>
        <v>12</v>
      </c>
      <c r="CG612" s="27" t="str">
        <f t="array" ref="CG612">_xlfn.TEXTJOIN("",TRUE,IF(ISERROR(FIND(ROW($1:$168)-1,CE612&amp;CF612)),ROW($1:$168)-1,""))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12" s="28" t="str">
        <f t="shared" si="427"/>
        <v>邻传孤</v>
      </c>
      <c r="CI612" s="29" t="str">
        <f t="shared" si="428"/>
        <v>68</v>
      </c>
      <c r="CJ612" s="29" t="str">
        <f t="array" ref="CJ612">_xlfn.TEXTJOIN("",TRUE,IF(ISNUMBER(FIND(MID(CI611&amp;X611,ROW($1:$162),1),CI612&amp;X612)),MID(CI611&amp;X611,ROW($1:$162),1),""))</f>
        <v/>
      </c>
      <c r="CK612" s="29" t="str">
        <f t="array" ref="CK612">_xlfn.TEXTJOIN("",TRUE,IF(ISERROR(FIND(ROW($1:$168)-1,CI612&amp;CJ612)),ROW($1:$168)-1,""))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12" s="19" t="str">
        <f t="shared" si="429"/>
        <v>邻孤孤</v>
      </c>
      <c r="CM612" s="24" t="str">
        <f t="shared" si="430"/>
        <v>79</v>
      </c>
      <c r="CN612" s="24" t="str">
        <f t="array" ref="CN612">_xlfn.TEXTJOIN("",TRUE,IF(ISNUMBER(FIND(MID(CM611&amp;Y611,ROW($1:$162),1),CM612&amp;Y612)),MID(CM611&amp;Y611,ROW($1:$162),1),""))</f>
        <v/>
      </c>
      <c r="CO612" s="24" t="str">
        <f t="array" ref="CO612">_xlfn.TEXTJOIN("",TRUE,IF(ISERROR(FIND(ROW($1:$168)-1,CM612&amp;CN612)),ROW($1:$168)-1,""))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612" s="30" t="str">
        <f t="shared" si="431"/>
        <v>邻孤孤</v>
      </c>
    </row>
    <row r="613" spans="1:94">
      <c r="A613" s="15">
        <v>613</v>
      </c>
      <c r="B613" s="80">
        <v>2025230</v>
      </c>
      <c r="C613" s="8" t="s">
        <v>476</v>
      </c>
      <c r="D613" s="81">
        <f t="shared" si="411"/>
        <v>16</v>
      </c>
      <c r="E613" s="82">
        <f t="shared" si="412"/>
        <v>6</v>
      </c>
      <c r="F613" s="83">
        <f t="shared" si="409"/>
        <v>2.66666666666667</v>
      </c>
      <c r="G613" s="84" t="str">
        <f t="shared" si="410"/>
        <v>标准</v>
      </c>
      <c r="H613" s="85" t="s">
        <v>10</v>
      </c>
      <c r="I613" s="85" t="s">
        <v>11</v>
      </c>
      <c r="J613" s="85" t="s">
        <v>12</v>
      </c>
      <c r="K613" s="85" t="s">
        <v>13</v>
      </c>
      <c r="L613" s="86">
        <f>MAX(MID(C613,{1,2,3},1)*1)-MIN(MID(C613,{1,2,3},1)*1)</f>
        <v>6</v>
      </c>
      <c r="M613" s="87">
        <v>0</v>
      </c>
      <c r="N613" s="87">
        <v>1</v>
      </c>
      <c r="O613" s="87">
        <v>2</v>
      </c>
      <c r="P613" s="87">
        <v>3</v>
      </c>
      <c r="Q613" s="87">
        <v>4</v>
      </c>
      <c r="R613" s="87">
        <v>5</v>
      </c>
      <c r="S613" s="87">
        <v>6</v>
      </c>
      <c r="T613" s="87">
        <v>7</v>
      </c>
      <c r="U613" s="87">
        <v>8</v>
      </c>
      <c r="V613" s="87">
        <v>9</v>
      </c>
      <c r="W613" s="88">
        <f t="shared" si="413"/>
        <v>1</v>
      </c>
      <c r="X613" s="88">
        <f t="shared" si="414"/>
        <v>5</v>
      </c>
      <c r="Y613" s="88">
        <f t="shared" si="415"/>
        <v>6</v>
      </c>
      <c r="Z613" s="89">
        <f t="shared" si="418"/>
        <v>12</v>
      </c>
      <c r="AA613" s="17" t="str">
        <f>_xlfn.TEXTJOIN(", ",TRUE,ABS(MID(C613,{1,1,2},1)-MID(C613,{2,3,3},1)))</f>
        <v>1, 5, 6</v>
      </c>
      <c r="AB613" s="90">
        <v>0</v>
      </c>
      <c r="AC613" s="90">
        <v>1</v>
      </c>
      <c r="AD613" s="90">
        <v>2</v>
      </c>
      <c r="AE613" s="90">
        <v>3</v>
      </c>
      <c r="AF613" s="90">
        <v>4</v>
      </c>
      <c r="AG613" s="90">
        <v>5</v>
      </c>
      <c r="AH613" s="90">
        <v>6</v>
      </c>
      <c r="AI613" s="90">
        <v>7</v>
      </c>
      <c r="AJ613" s="90">
        <v>8</v>
      </c>
      <c r="AK613" s="90">
        <v>9</v>
      </c>
      <c r="AL613" s="91">
        <v>0</v>
      </c>
      <c r="AM613" s="91">
        <v>1</v>
      </c>
      <c r="AN613" s="91">
        <v>2</v>
      </c>
      <c r="AO613" s="91">
        <v>3</v>
      </c>
      <c r="AP613" s="91">
        <v>4</v>
      </c>
      <c r="AQ613" s="91">
        <v>5</v>
      </c>
      <c r="AR613" s="91">
        <v>6</v>
      </c>
      <c r="AS613" s="91">
        <v>7</v>
      </c>
      <c r="AT613" s="91">
        <v>8</v>
      </c>
      <c r="AU613" s="91">
        <v>9</v>
      </c>
      <c r="AV613" s="92">
        <v>0</v>
      </c>
      <c r="AW613" s="92">
        <v>1</v>
      </c>
      <c r="AX613" s="92">
        <v>2</v>
      </c>
      <c r="AY613" s="92">
        <v>3</v>
      </c>
      <c r="AZ613" s="92">
        <v>4</v>
      </c>
      <c r="BA613" s="92">
        <v>5</v>
      </c>
      <c r="BB613" s="92">
        <v>6</v>
      </c>
      <c r="BC613" s="92">
        <v>7</v>
      </c>
      <c r="BD613" s="92">
        <v>8</v>
      </c>
      <c r="BE613" s="92">
        <v>9</v>
      </c>
      <c r="BF613" s="93">
        <v>0</v>
      </c>
      <c r="BG613" s="93">
        <v>1</v>
      </c>
      <c r="BH613" s="93">
        <v>2</v>
      </c>
      <c r="BI613" s="93">
        <v>3</v>
      </c>
      <c r="BJ613" s="93">
        <v>4</v>
      </c>
      <c r="BK613" s="93">
        <v>5</v>
      </c>
      <c r="BL613" s="93">
        <v>6</v>
      </c>
      <c r="BM613" s="93">
        <v>7</v>
      </c>
      <c r="BN613" s="93">
        <v>8</v>
      </c>
      <c r="BO613" s="93">
        <v>9</v>
      </c>
      <c r="BP613" s="94" t="str">
        <f t="shared" si="419"/>
        <v>松散型</v>
      </c>
      <c r="BQ613" s="15">
        <f t="shared" si="416"/>
        <v>1</v>
      </c>
      <c r="BR613" s="15">
        <f t="shared" si="417"/>
        <v>6</v>
      </c>
      <c r="BS613" s="20">
        <f t="shared" si="421"/>
        <v>1</v>
      </c>
      <c r="BT613" s="21">
        <f t="shared" si="422"/>
        <v>1</v>
      </c>
      <c r="BU613" s="21" t="str">
        <f t="array" ref="BU613">_xlfn.TEXTJOIN("",TRUE,IF(ISERROR(FIND(ROW($1:$168)-1,BS613&amp;BT613)),ROW($1:$168)-1,""))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13" s="22" t="str">
        <f t="shared" si="423"/>
        <v>复隔中</v>
      </c>
      <c r="BW613" s="23" t="str">
        <f t="shared" si="403"/>
        <v/>
      </c>
      <c r="BX613" s="23" t="str">
        <f t="shared" si="432"/>
        <v/>
      </c>
      <c r="BY613" s="23" t="str">
        <f t="array" ref="BY613">_xlfn.TEXTJOIN("",TRUE,IF(ISERROR(FIND(ROW($1:$168)-1,BW613&amp;BX613)),ROW($1:$168)-1,""))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13" s="22" t="str">
        <f t="shared" si="424"/>
        <v>中中中</v>
      </c>
      <c r="CA613" s="24" t="str">
        <f t="shared" si="425"/>
        <v/>
      </c>
      <c r="CB613" s="24" t="str">
        <f t="shared" si="433"/>
        <v/>
      </c>
      <c r="CC613" s="24" t="str">
        <f t="array" ref="CC613">_xlfn.TEXTJOIN("",TRUE,IF(ISERROR(FIND(ROW($1:$168)-1,CA613&amp;CB613)),ROW($1:$168)-1,""))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13" s="22" t="str">
        <f t="shared" si="426"/>
        <v>中中中</v>
      </c>
      <c r="CE613" s="25" t="str">
        <f t="shared" si="420"/>
        <v>02</v>
      </c>
      <c r="CF613" s="26" t="str">
        <f t="array" ref="CF613">_xlfn.TEXTJOIN("",TRUE,IF(ISNUMBER(FIND(MID(CE612&amp;W612,ROW($1:$162),1),CE613&amp;W613)),MID(CE612&amp;W612,ROW($1:$162),1),""))</f>
        <v>021</v>
      </c>
      <c r="CG613" s="27" t="str">
        <f t="array" ref="CG613">_xlfn.TEXTJOIN("",TRUE,IF(ISERROR(FIND(ROW($1:$168)-1,CE613&amp;CF613)),ROW($1:$168)-1,""))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13" s="28" t="str">
        <f t="shared" si="427"/>
        <v>邻传孤</v>
      </c>
      <c r="CI613" s="29" t="str">
        <f t="shared" si="428"/>
        <v>46</v>
      </c>
      <c r="CJ613" s="29" t="str">
        <f t="array" ref="CJ613">_xlfn.TEXTJOIN("",TRUE,IF(ISNUMBER(FIND(MID(CI612&amp;X612,ROW($1:$162),1),CI613&amp;X613)),MID(CI612&amp;X612,ROW($1:$162),1),""))</f>
        <v>6</v>
      </c>
      <c r="CK613" s="29" t="str">
        <f t="array" ref="CK613">_xlfn.TEXTJOIN("",TRUE,IF(ISERROR(FIND(ROW($1:$168)-1,CI613&amp;CJ613)),ROW($1:$168)-1,""))</f>
        <v>0123578910111213141516171819202122232425262728293031323334353637383940414243444547484950515253545556575859606162636465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13" s="19" t="str">
        <f t="shared" si="429"/>
        <v>邻传孤</v>
      </c>
      <c r="CM613" s="24" t="str">
        <f t="shared" si="430"/>
        <v>57</v>
      </c>
      <c r="CN613" s="24" t="str">
        <f t="array" ref="CN613">_xlfn.TEXTJOIN("",TRUE,IF(ISNUMBER(FIND(MID(CM612&amp;Y612,ROW($1:$162),1),CM613&amp;Y613)),MID(CM612&amp;Y612,ROW($1:$162),1),""))</f>
        <v>7</v>
      </c>
      <c r="CO613" s="24" t="str">
        <f t="array" ref="CO613">_xlfn.TEXTJOIN("",TRUE,IF(ISERROR(FIND(ROW($1:$168)-1,CM613&amp;CN613)),ROW($1:$168)-1,""))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P613" s="30" t="str">
        <f t="shared" si="431"/>
        <v>邻传孤</v>
      </c>
    </row>
    <row r="614" spans="1:94">
      <c r="A614" s="15">
        <v>614</v>
      </c>
      <c r="B614" s="80">
        <v>2025231</v>
      </c>
      <c r="C614" s="8" t="s">
        <v>477</v>
      </c>
      <c r="D614" s="81">
        <f t="shared" si="411"/>
        <v>12</v>
      </c>
      <c r="E614" s="82">
        <f t="shared" si="412"/>
        <v>2</v>
      </c>
      <c r="F614" s="83">
        <f t="shared" si="409"/>
        <v>2.4</v>
      </c>
      <c r="G614" s="84" t="str">
        <f t="shared" si="410"/>
        <v>标准</v>
      </c>
      <c r="H614" s="85" t="s">
        <v>10</v>
      </c>
      <c r="I614" s="85" t="s">
        <v>11</v>
      </c>
      <c r="J614" s="85" t="s">
        <v>12</v>
      </c>
      <c r="K614" s="85" t="s">
        <v>13</v>
      </c>
      <c r="L614" s="86">
        <f>MAX(MID(C614,{1,2,3},1)*1)-MIN(MID(C614,{1,2,3},1)*1)</f>
        <v>5</v>
      </c>
      <c r="M614" s="87">
        <v>0</v>
      </c>
      <c r="N614" s="87">
        <v>1</v>
      </c>
      <c r="O614" s="87">
        <v>2</v>
      </c>
      <c r="P614" s="87">
        <v>3</v>
      </c>
      <c r="Q614" s="87">
        <v>4</v>
      </c>
      <c r="R614" s="87">
        <v>5</v>
      </c>
      <c r="S614" s="87">
        <v>6</v>
      </c>
      <c r="T614" s="87">
        <v>7</v>
      </c>
      <c r="U614" s="87">
        <v>8</v>
      </c>
      <c r="V614" s="87">
        <v>9</v>
      </c>
      <c r="W614" s="88">
        <f t="shared" si="413"/>
        <v>4</v>
      </c>
      <c r="X614" s="88">
        <f t="shared" si="414"/>
        <v>5</v>
      </c>
      <c r="Y614" s="88">
        <f t="shared" si="415"/>
        <v>1</v>
      </c>
      <c r="Z614" s="89">
        <f t="shared" si="418"/>
        <v>10</v>
      </c>
      <c r="AA614" s="17" t="str">
        <f>_xlfn.TEXTJOIN(", ",TRUE,ABS(MID(C614,{1,1,2},1)-MID(C614,{2,3,3},1)))</f>
        <v>4, 5, 1</v>
      </c>
      <c r="AB614" s="90">
        <v>0</v>
      </c>
      <c r="AC614" s="90">
        <v>1</v>
      </c>
      <c r="AD614" s="90">
        <v>2</v>
      </c>
      <c r="AE614" s="90">
        <v>3</v>
      </c>
      <c r="AF614" s="90">
        <v>4</v>
      </c>
      <c r="AG614" s="90">
        <v>5</v>
      </c>
      <c r="AH614" s="90">
        <v>6</v>
      </c>
      <c r="AI614" s="90">
        <v>7</v>
      </c>
      <c r="AJ614" s="90">
        <v>8</v>
      </c>
      <c r="AK614" s="90">
        <v>9</v>
      </c>
      <c r="AL614" s="91">
        <v>0</v>
      </c>
      <c r="AM614" s="91">
        <v>1</v>
      </c>
      <c r="AN614" s="91">
        <v>2</v>
      </c>
      <c r="AO614" s="91">
        <v>3</v>
      </c>
      <c r="AP614" s="91">
        <v>4</v>
      </c>
      <c r="AQ614" s="91">
        <v>5</v>
      </c>
      <c r="AR614" s="91">
        <v>6</v>
      </c>
      <c r="AS614" s="91">
        <v>7</v>
      </c>
      <c r="AT614" s="91">
        <v>8</v>
      </c>
      <c r="AU614" s="91">
        <v>9</v>
      </c>
      <c r="AV614" s="92">
        <v>0</v>
      </c>
      <c r="AW614" s="92">
        <v>1</v>
      </c>
      <c r="AX614" s="92">
        <v>2</v>
      </c>
      <c r="AY614" s="92">
        <v>3</v>
      </c>
      <c r="AZ614" s="92">
        <v>4</v>
      </c>
      <c r="BA614" s="92">
        <v>5</v>
      </c>
      <c r="BB614" s="92">
        <v>6</v>
      </c>
      <c r="BC614" s="92">
        <v>7</v>
      </c>
      <c r="BD614" s="92">
        <v>8</v>
      </c>
      <c r="BE614" s="92">
        <v>9</v>
      </c>
      <c r="BF614" s="93">
        <v>0</v>
      </c>
      <c r="BG614" s="93">
        <v>1</v>
      </c>
      <c r="BH614" s="93">
        <v>2</v>
      </c>
      <c r="BI614" s="93">
        <v>3</v>
      </c>
      <c r="BJ614" s="93">
        <v>4</v>
      </c>
      <c r="BK614" s="93">
        <v>5</v>
      </c>
      <c r="BL614" s="93">
        <v>6</v>
      </c>
      <c r="BM614" s="93">
        <v>7</v>
      </c>
      <c r="BN614" s="93">
        <v>8</v>
      </c>
      <c r="BO614" s="93">
        <v>9</v>
      </c>
      <c r="BP614" s="94" t="str">
        <f t="shared" si="419"/>
        <v>标准型</v>
      </c>
      <c r="BQ614" s="15">
        <f t="shared" si="416"/>
        <v>1</v>
      </c>
      <c r="BR614" s="15">
        <f t="shared" si="417"/>
        <v>5</v>
      </c>
      <c r="BS614" s="20" t="str">
        <f t="shared" si="421"/>
        <v/>
      </c>
      <c r="BT614" s="21" t="str">
        <f t="shared" si="422"/>
        <v/>
      </c>
      <c r="BU614" s="21" t="str">
        <f t="array" ref="BU614">_xlfn.TEXTJOIN("",TRUE,IF(ISERROR(FIND(ROW($1:$168)-1,BS614&amp;BT614)),ROW($1:$168)-1,""))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14" s="22" t="str">
        <f t="shared" si="423"/>
        <v>中中中</v>
      </c>
      <c r="BW614" s="23">
        <f t="shared" ref="BW614:BW677" si="434">IF(COUNTIF($W613:$Y613,X614)&gt;0,X614,"")</f>
        <v>5</v>
      </c>
      <c r="BX614" s="23" t="str">
        <f t="shared" si="432"/>
        <v/>
      </c>
      <c r="BY614" s="23" t="str">
        <f t="array" ref="BY614">_xlfn.TEXTJOIN("",TRUE,IF(ISERROR(FIND(ROW($1:$168)-1,BW614&amp;BX614)),ROW($1:$168)-1,""))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14" s="22" t="str">
        <f t="shared" si="424"/>
        <v>复中中</v>
      </c>
      <c r="CA614" s="24">
        <f t="shared" si="425"/>
        <v>1</v>
      </c>
      <c r="CB614" s="24">
        <f t="shared" si="433"/>
        <v>1</v>
      </c>
      <c r="CC614" s="24" t="str">
        <f t="array" ref="CC614">_xlfn.TEXTJOIN("",TRUE,IF(ISERROR(FIND(ROW($1:$168)-1,CA614&amp;CB614)),ROW($1:$168)-1,""))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14" s="22" t="str">
        <f t="shared" si="426"/>
        <v>复隔中</v>
      </c>
      <c r="CE614" s="25" t="str">
        <f t="shared" si="420"/>
        <v>35</v>
      </c>
      <c r="CF614" s="26" t="str">
        <f t="array" ref="CF614">_xlfn.TEXTJOIN("",TRUE,IF(ISNUMBER(FIND(MID(CE613&amp;W613,ROW($1:$162),1),CE614&amp;W614)),MID(CE613&amp;W613,ROW($1:$162),1),""))</f>
        <v/>
      </c>
      <c r="CG614" s="27" t="str">
        <f t="array" ref="CG614">_xlfn.TEXTJOIN("",TRUE,IF(ISERROR(FIND(ROW($1:$168)-1,CE614&amp;CF614)),ROW($1:$168)-1,""))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14" s="28" t="str">
        <f t="shared" si="427"/>
        <v>邻孤孤</v>
      </c>
      <c r="CI614" s="29" t="str">
        <f t="shared" si="428"/>
        <v>46</v>
      </c>
      <c r="CJ614" s="29" t="str">
        <f t="array" ref="CJ614">_xlfn.TEXTJOIN("",TRUE,IF(ISNUMBER(FIND(MID(CI613&amp;X613,ROW($1:$162),1),CI614&amp;X614)),MID(CI613&amp;X613,ROW($1:$162),1),""))</f>
        <v>465</v>
      </c>
      <c r="CK614" s="29" t="str">
        <f t="array" ref="CK614">_xlfn.TEXTJOIN("",TRUE,IF(ISERROR(FIND(ROW($1:$168)-1,CI614&amp;CJ614)),ROW($1:$168)-1,""))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14" s="19" t="str">
        <f t="shared" si="429"/>
        <v>邻传孤</v>
      </c>
      <c r="CM614" s="24" t="str">
        <f t="shared" si="430"/>
        <v>02</v>
      </c>
      <c r="CN614" s="24" t="str">
        <f t="array" ref="CN614">_xlfn.TEXTJOIN("",TRUE,IF(ISNUMBER(FIND(MID(CM613&amp;Y613,ROW($1:$162),1),CM614&amp;Y614)),MID(CM613&amp;Y613,ROW($1:$162),1),""))</f>
        <v/>
      </c>
      <c r="CO614" s="24" t="str">
        <f t="array" ref="CO614">_xlfn.TEXTJOIN("",TRUE,IF(ISERROR(FIND(ROW($1:$168)-1,CM614&amp;CN614)),ROW($1:$168)-1,""))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14" s="30" t="str">
        <f t="shared" si="431"/>
        <v>邻孤孤</v>
      </c>
    </row>
    <row r="615" spans="1:94">
      <c r="A615" s="15">
        <v>615</v>
      </c>
      <c r="B615" s="80">
        <v>2025232</v>
      </c>
      <c r="C615" s="8" t="s">
        <v>478</v>
      </c>
      <c r="D615" s="81">
        <f t="shared" si="411"/>
        <v>8</v>
      </c>
      <c r="E615" s="82">
        <f t="shared" si="412"/>
        <v>8</v>
      </c>
      <c r="F615" s="83">
        <f t="shared" si="409"/>
        <v>2</v>
      </c>
      <c r="G615" s="84" t="str">
        <f t="shared" si="410"/>
        <v>标准</v>
      </c>
      <c r="H615" s="85" t="s">
        <v>10</v>
      </c>
      <c r="I615" s="85" t="s">
        <v>11</v>
      </c>
      <c r="J615" s="85" t="s">
        <v>12</v>
      </c>
      <c r="K615" s="85" t="s">
        <v>13</v>
      </c>
      <c r="L615" s="86">
        <f>MAX(MID(C615,{1,2,3},1)*1)-MIN(MID(C615,{1,2,3},1)*1)</f>
        <v>4</v>
      </c>
      <c r="M615" s="87">
        <v>0</v>
      </c>
      <c r="N615" s="87">
        <v>1</v>
      </c>
      <c r="O615" s="87">
        <v>2</v>
      </c>
      <c r="P615" s="87">
        <v>3</v>
      </c>
      <c r="Q615" s="87">
        <v>4</v>
      </c>
      <c r="R615" s="87">
        <v>5</v>
      </c>
      <c r="S615" s="87">
        <v>6</v>
      </c>
      <c r="T615" s="87">
        <v>7</v>
      </c>
      <c r="U615" s="87">
        <v>8</v>
      </c>
      <c r="V615" s="87">
        <v>9</v>
      </c>
      <c r="W615" s="88">
        <f t="shared" si="413"/>
        <v>4</v>
      </c>
      <c r="X615" s="88">
        <f t="shared" si="414"/>
        <v>4</v>
      </c>
      <c r="Y615" s="88">
        <f t="shared" si="415"/>
        <v>0</v>
      </c>
      <c r="Z615" s="89">
        <f t="shared" si="418"/>
        <v>8</v>
      </c>
      <c r="AA615" s="17" t="str">
        <f>_xlfn.TEXTJOIN(", ",TRUE,ABS(MID(C615,{1,1,2},1)-MID(C615,{2,3,3},1)))</f>
        <v>4, 4, 0</v>
      </c>
      <c r="AB615" s="90">
        <v>0</v>
      </c>
      <c r="AC615" s="90">
        <v>1</v>
      </c>
      <c r="AD615" s="90">
        <v>2</v>
      </c>
      <c r="AE615" s="90">
        <v>3</v>
      </c>
      <c r="AF615" s="90">
        <v>4</v>
      </c>
      <c r="AG615" s="90">
        <v>5</v>
      </c>
      <c r="AH615" s="90">
        <v>6</v>
      </c>
      <c r="AI615" s="90">
        <v>7</v>
      </c>
      <c r="AJ615" s="90">
        <v>8</v>
      </c>
      <c r="AK615" s="90">
        <v>9</v>
      </c>
      <c r="AL615" s="91">
        <v>0</v>
      </c>
      <c r="AM615" s="91">
        <v>1</v>
      </c>
      <c r="AN615" s="91">
        <v>2</v>
      </c>
      <c r="AO615" s="91">
        <v>3</v>
      </c>
      <c r="AP615" s="91">
        <v>4</v>
      </c>
      <c r="AQ615" s="91">
        <v>5</v>
      </c>
      <c r="AR615" s="91">
        <v>6</v>
      </c>
      <c r="AS615" s="91">
        <v>7</v>
      </c>
      <c r="AT615" s="91">
        <v>8</v>
      </c>
      <c r="AU615" s="91">
        <v>9</v>
      </c>
      <c r="AV615" s="92">
        <v>0</v>
      </c>
      <c r="AW615" s="92">
        <v>1</v>
      </c>
      <c r="AX615" s="92">
        <v>2</v>
      </c>
      <c r="AY615" s="92">
        <v>3</v>
      </c>
      <c r="AZ615" s="92">
        <v>4</v>
      </c>
      <c r="BA615" s="92">
        <v>5</v>
      </c>
      <c r="BB615" s="92">
        <v>6</v>
      </c>
      <c r="BC615" s="92">
        <v>7</v>
      </c>
      <c r="BD615" s="92">
        <v>8</v>
      </c>
      <c r="BE615" s="92">
        <v>9</v>
      </c>
      <c r="BF615" s="93">
        <v>0</v>
      </c>
      <c r="BG615" s="93">
        <v>1</v>
      </c>
      <c r="BH615" s="93">
        <v>2</v>
      </c>
      <c r="BI615" s="93">
        <v>3</v>
      </c>
      <c r="BJ615" s="93">
        <v>4</v>
      </c>
      <c r="BK615" s="93">
        <v>5</v>
      </c>
      <c r="BL615" s="93">
        <v>6</v>
      </c>
      <c r="BM615" s="93">
        <v>7</v>
      </c>
      <c r="BN615" s="93">
        <v>8</v>
      </c>
      <c r="BO615" s="93">
        <v>9</v>
      </c>
      <c r="BP615" s="94" t="str">
        <f t="shared" si="419"/>
        <v>紧凑型</v>
      </c>
      <c r="BQ615" s="15">
        <f t="shared" si="416"/>
        <v>0</v>
      </c>
      <c r="BR615" s="15">
        <f t="shared" si="417"/>
        <v>4</v>
      </c>
      <c r="BS615" s="20">
        <f t="shared" si="421"/>
        <v>4</v>
      </c>
      <c r="BT615" s="21" t="str">
        <f t="shared" si="422"/>
        <v/>
      </c>
      <c r="BU615" s="21" t="str">
        <f t="array" ref="BU615">_xlfn.TEXTJOIN("",TRUE,IF(ISERROR(FIND(ROW($1:$168)-1,BS615&amp;BT615)),ROW($1:$168)-1,""))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15" s="22" t="str">
        <f t="shared" si="423"/>
        <v>复中中</v>
      </c>
      <c r="BW615" s="23">
        <f t="shared" si="434"/>
        <v>4</v>
      </c>
      <c r="BX615" s="23" t="str">
        <f t="shared" si="432"/>
        <v/>
      </c>
      <c r="BY615" s="23" t="str">
        <f t="array" ref="BY615">_xlfn.TEXTJOIN("",TRUE,IF(ISERROR(FIND(ROW($1:$168)-1,BW615&amp;BX615)),ROW($1:$168)-1,""))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15" s="22" t="str">
        <f t="shared" si="424"/>
        <v>复中中</v>
      </c>
      <c r="CA615" s="24" t="str">
        <f t="shared" si="425"/>
        <v/>
      </c>
      <c r="CB615" s="24" t="str">
        <f t="shared" si="433"/>
        <v/>
      </c>
      <c r="CC615" s="24" t="str">
        <f t="array" ref="CC615">_xlfn.TEXTJOIN("",TRUE,IF(ISERROR(FIND(ROW($1:$168)-1,CA615&amp;CB615)),ROW($1:$168)-1,""))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15" s="22" t="str">
        <f t="shared" si="426"/>
        <v>中中中</v>
      </c>
      <c r="CE615" s="25" t="str">
        <f t="shared" si="420"/>
        <v>35</v>
      </c>
      <c r="CF615" s="26" t="str">
        <f t="array" ref="CF615">_xlfn.TEXTJOIN("",TRUE,IF(ISNUMBER(FIND(MID(CE614&amp;W614,ROW($1:$162),1),CE615&amp;W615)),MID(CE614&amp;W614,ROW($1:$162),1),""))</f>
        <v>354</v>
      </c>
      <c r="CG615" s="27" t="str">
        <f t="array" ref="CG615">_xlfn.TEXTJOIN("",TRUE,IF(ISERROR(FIND(ROW($1:$168)-1,CE615&amp;CF615)),ROW($1:$168)-1,""))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15" s="28" t="str">
        <f t="shared" si="427"/>
        <v>邻传孤</v>
      </c>
      <c r="CI615" s="29" t="str">
        <f t="shared" si="428"/>
        <v>35</v>
      </c>
      <c r="CJ615" s="29" t="str">
        <f t="array" ref="CJ615">_xlfn.TEXTJOIN("",TRUE,IF(ISNUMBER(FIND(MID(CI614&amp;X614,ROW($1:$162),1),CI615&amp;X615)),MID(CI614&amp;X614,ROW($1:$162),1),""))</f>
        <v>45</v>
      </c>
      <c r="CK615" s="29" t="str">
        <f t="array" ref="CK615">_xlfn.TEXTJOIN("",TRUE,IF(ISERROR(FIND(ROW($1:$168)-1,CI615&amp;CJ615)),ROW($1:$168)-1,""))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15" s="19" t="str">
        <f t="shared" si="429"/>
        <v>邻传孤</v>
      </c>
      <c r="CM615" s="24" t="str">
        <f t="shared" si="430"/>
        <v>91</v>
      </c>
      <c r="CN615" s="24" t="str">
        <f t="array" ref="CN615">_xlfn.TEXTJOIN("",TRUE,IF(ISNUMBER(FIND(MID(CM614&amp;Y614,ROW($1:$162),1),CM615&amp;Y615)),MID(CM614&amp;Y614,ROW($1:$162),1),""))</f>
        <v>01</v>
      </c>
      <c r="CO615" s="24" t="str">
        <f t="array" ref="CO615">_xlfn.TEXTJOIN("",TRUE,IF(ISERROR(FIND(ROW($1:$168)-1,CM615&amp;CN615)),ROW($1:$168)-1,""))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615" s="30" t="str">
        <f t="shared" si="431"/>
        <v>邻传孤</v>
      </c>
    </row>
    <row r="616" spans="1:94">
      <c r="A616" s="15">
        <v>616</v>
      </c>
      <c r="B616" s="80">
        <v>2025233</v>
      </c>
      <c r="C616" s="8" t="s">
        <v>479</v>
      </c>
      <c r="D616" s="81">
        <f t="shared" si="411"/>
        <v>16</v>
      </c>
      <c r="E616" s="82">
        <f t="shared" si="412"/>
        <v>6</v>
      </c>
      <c r="F616" s="83">
        <f t="shared" si="409"/>
        <v>2.28571428571429</v>
      </c>
      <c r="G616" s="84" t="str">
        <f t="shared" si="410"/>
        <v>标准</v>
      </c>
      <c r="H616" s="85" t="s">
        <v>10</v>
      </c>
      <c r="I616" s="85" t="s">
        <v>11</v>
      </c>
      <c r="J616" s="85" t="s">
        <v>12</v>
      </c>
      <c r="K616" s="85" t="s">
        <v>13</v>
      </c>
      <c r="L616" s="86">
        <f>MAX(MID(C616,{1,2,3},1)*1)-MIN(MID(C616,{1,2,3},1)*1)</f>
        <v>7</v>
      </c>
      <c r="M616" s="87">
        <v>0</v>
      </c>
      <c r="N616" s="87">
        <v>1</v>
      </c>
      <c r="O616" s="87">
        <v>2</v>
      </c>
      <c r="P616" s="87">
        <v>3</v>
      </c>
      <c r="Q616" s="87">
        <v>4</v>
      </c>
      <c r="R616" s="87">
        <v>5</v>
      </c>
      <c r="S616" s="87">
        <v>6</v>
      </c>
      <c r="T616" s="87">
        <v>7</v>
      </c>
      <c r="U616" s="87">
        <v>8</v>
      </c>
      <c r="V616" s="87">
        <v>9</v>
      </c>
      <c r="W616" s="88">
        <f t="shared" si="413"/>
        <v>3</v>
      </c>
      <c r="X616" s="88">
        <f t="shared" si="414"/>
        <v>7</v>
      </c>
      <c r="Y616" s="88">
        <f t="shared" si="415"/>
        <v>4</v>
      </c>
      <c r="Z616" s="89">
        <f t="shared" si="418"/>
        <v>14</v>
      </c>
      <c r="AA616" s="17" t="str">
        <f>_xlfn.TEXTJOIN(", ",TRUE,ABS(MID(C616,{1,1,2},1)-MID(C616,{2,3,3},1)))</f>
        <v>3, 7, 4</v>
      </c>
      <c r="AB616" s="90">
        <v>0</v>
      </c>
      <c r="AC616" s="90">
        <v>1</v>
      </c>
      <c r="AD616" s="90">
        <v>2</v>
      </c>
      <c r="AE616" s="90">
        <v>3</v>
      </c>
      <c r="AF616" s="90">
        <v>4</v>
      </c>
      <c r="AG616" s="90">
        <v>5</v>
      </c>
      <c r="AH616" s="90">
        <v>6</v>
      </c>
      <c r="AI616" s="90">
        <v>7</v>
      </c>
      <c r="AJ616" s="90">
        <v>8</v>
      </c>
      <c r="AK616" s="90">
        <v>9</v>
      </c>
      <c r="AL616" s="91">
        <v>0</v>
      </c>
      <c r="AM616" s="91">
        <v>1</v>
      </c>
      <c r="AN616" s="91">
        <v>2</v>
      </c>
      <c r="AO616" s="91">
        <v>3</v>
      </c>
      <c r="AP616" s="91">
        <v>4</v>
      </c>
      <c r="AQ616" s="91">
        <v>5</v>
      </c>
      <c r="AR616" s="91">
        <v>6</v>
      </c>
      <c r="AS616" s="91">
        <v>7</v>
      </c>
      <c r="AT616" s="91">
        <v>8</v>
      </c>
      <c r="AU616" s="91">
        <v>9</v>
      </c>
      <c r="AV616" s="92">
        <v>0</v>
      </c>
      <c r="AW616" s="92">
        <v>1</v>
      </c>
      <c r="AX616" s="92">
        <v>2</v>
      </c>
      <c r="AY616" s="92">
        <v>3</v>
      </c>
      <c r="AZ616" s="92">
        <v>4</v>
      </c>
      <c r="BA616" s="92">
        <v>5</v>
      </c>
      <c r="BB616" s="92">
        <v>6</v>
      </c>
      <c r="BC616" s="92">
        <v>7</v>
      </c>
      <c r="BD616" s="92">
        <v>8</v>
      </c>
      <c r="BE616" s="92">
        <v>9</v>
      </c>
      <c r="BF616" s="93">
        <v>0</v>
      </c>
      <c r="BG616" s="93">
        <v>1</v>
      </c>
      <c r="BH616" s="93">
        <v>2</v>
      </c>
      <c r="BI616" s="93">
        <v>3</v>
      </c>
      <c r="BJ616" s="93">
        <v>4</v>
      </c>
      <c r="BK616" s="93">
        <v>5</v>
      </c>
      <c r="BL616" s="93">
        <v>6</v>
      </c>
      <c r="BM616" s="93">
        <v>7</v>
      </c>
      <c r="BN616" s="93">
        <v>8</v>
      </c>
      <c r="BO616" s="93">
        <v>9</v>
      </c>
      <c r="BP616" s="94" t="str">
        <f t="shared" si="419"/>
        <v>松散型</v>
      </c>
      <c r="BQ616" s="15">
        <f t="shared" si="416"/>
        <v>3</v>
      </c>
      <c r="BR616" s="15">
        <f t="shared" si="417"/>
        <v>7</v>
      </c>
      <c r="BS616" s="20" t="str">
        <f t="shared" si="421"/>
        <v/>
      </c>
      <c r="BT616" s="21" t="str">
        <f t="shared" si="422"/>
        <v/>
      </c>
      <c r="BU616" s="21" t="str">
        <f t="array" ref="BU616">_xlfn.TEXTJOIN("",TRUE,IF(ISERROR(FIND(ROW($1:$168)-1,BS616&amp;BT616)),ROW($1:$168)-1,""))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16" s="22" t="str">
        <f t="shared" si="423"/>
        <v>中中中</v>
      </c>
      <c r="BW616" s="23" t="str">
        <f t="shared" si="434"/>
        <v/>
      </c>
      <c r="BX616" s="23" t="str">
        <f t="shared" si="432"/>
        <v/>
      </c>
      <c r="BY616" s="23" t="str">
        <f t="array" ref="BY616">_xlfn.TEXTJOIN("",TRUE,IF(ISERROR(FIND(ROW($1:$168)-1,BW616&amp;BX616)),ROW($1:$168)-1,""))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16" s="22" t="str">
        <f t="shared" si="424"/>
        <v>中中中</v>
      </c>
      <c r="CA616" s="24">
        <f t="shared" si="425"/>
        <v>4</v>
      </c>
      <c r="CB616" s="24">
        <f t="shared" si="433"/>
        <v>4</v>
      </c>
      <c r="CC616" s="24" t="str">
        <f t="array" ref="CC616">_xlfn.TEXTJOIN("",TRUE,IF(ISERROR(FIND(ROW($1:$168)-1,CA616&amp;CB616)),ROW($1:$168)-1,""))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16" s="22" t="str">
        <f t="shared" si="426"/>
        <v>复隔中</v>
      </c>
      <c r="CE616" s="25" t="str">
        <f t="shared" si="420"/>
        <v>24</v>
      </c>
      <c r="CF616" s="26" t="str">
        <f t="array" ref="CF616">_xlfn.TEXTJOIN("",TRUE,IF(ISNUMBER(FIND(MID(CE615&amp;W615,ROW($1:$162),1),CE616&amp;W616)),MID(CE615&amp;W615,ROW($1:$162),1),""))</f>
        <v>34</v>
      </c>
      <c r="CG616" s="27" t="str">
        <f t="array" ref="CG616">_xlfn.TEXTJOIN("",TRUE,IF(ISERROR(FIND(ROW($1:$168)-1,CE616&amp;CF616)),ROW($1:$168)-1,""))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16" s="28" t="str">
        <f t="shared" si="427"/>
        <v>邻传孤</v>
      </c>
      <c r="CI616" s="29" t="str">
        <f t="shared" si="428"/>
        <v>68</v>
      </c>
      <c r="CJ616" s="29" t="str">
        <f t="array" ref="CJ616">_xlfn.TEXTJOIN("",TRUE,IF(ISNUMBER(FIND(MID(CI615&amp;X615,ROW($1:$162),1),CI616&amp;X616)),MID(CI615&amp;X615,ROW($1:$162),1),""))</f>
        <v/>
      </c>
      <c r="CK616" s="29" t="str">
        <f t="array" ref="CK616">_xlfn.TEXTJOIN("",TRUE,IF(ISERROR(FIND(ROW($1:$168)-1,CI616&amp;CJ616)),ROW($1:$168)-1,""))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16" s="19" t="str">
        <f t="shared" si="429"/>
        <v>邻孤孤</v>
      </c>
      <c r="CM616" s="24" t="str">
        <f t="shared" si="430"/>
        <v>35</v>
      </c>
      <c r="CN616" s="24" t="str">
        <f t="array" ref="CN616">_xlfn.TEXTJOIN("",TRUE,IF(ISNUMBER(FIND(MID(CM615&amp;Y615,ROW($1:$162),1),CM616&amp;Y616)),MID(CM615&amp;Y615,ROW($1:$162),1),""))</f>
        <v/>
      </c>
      <c r="CO616" s="24" t="str">
        <f t="array" ref="CO616">_xlfn.TEXTJOIN("",TRUE,IF(ISERROR(FIND(ROW($1:$168)-1,CM616&amp;CN616)),ROW($1:$168)-1,""))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16" s="30" t="str">
        <f t="shared" si="431"/>
        <v>邻孤孤</v>
      </c>
    </row>
    <row r="617" spans="1:94">
      <c r="A617" s="15">
        <v>617</v>
      </c>
      <c r="B617" s="80">
        <v>2025234</v>
      </c>
      <c r="C617" s="8" t="s">
        <v>72</v>
      </c>
      <c r="D617" s="81">
        <f t="shared" si="411"/>
        <v>8</v>
      </c>
      <c r="E617" s="82">
        <f t="shared" si="412"/>
        <v>8</v>
      </c>
      <c r="F617" s="83">
        <f t="shared" si="409"/>
        <v>1.33333333333333</v>
      </c>
      <c r="G617" s="84" t="str">
        <f t="shared" si="410"/>
        <v>松散</v>
      </c>
      <c r="H617" s="85" t="s">
        <v>10</v>
      </c>
      <c r="I617" s="85" t="s">
        <v>11</v>
      </c>
      <c r="J617" s="85" t="s">
        <v>12</v>
      </c>
      <c r="K617" s="85" t="s">
        <v>13</v>
      </c>
      <c r="L617" s="86">
        <f>MAX(MID(C617,{1,2,3},1)*1)-MIN(MID(C617,{1,2,3},1)*1)</f>
        <v>6</v>
      </c>
      <c r="M617" s="87">
        <v>0</v>
      </c>
      <c r="N617" s="87">
        <v>1</v>
      </c>
      <c r="O617" s="87">
        <v>2</v>
      </c>
      <c r="P617" s="87">
        <v>3</v>
      </c>
      <c r="Q617" s="87">
        <v>4</v>
      </c>
      <c r="R617" s="87">
        <v>5</v>
      </c>
      <c r="S617" s="87">
        <v>6</v>
      </c>
      <c r="T617" s="87">
        <v>7</v>
      </c>
      <c r="U617" s="87">
        <v>8</v>
      </c>
      <c r="V617" s="87">
        <v>9</v>
      </c>
      <c r="W617" s="88">
        <f t="shared" si="413"/>
        <v>4</v>
      </c>
      <c r="X617" s="88">
        <f t="shared" si="414"/>
        <v>6</v>
      </c>
      <c r="Y617" s="88">
        <f t="shared" si="415"/>
        <v>2</v>
      </c>
      <c r="Z617" s="89">
        <f t="shared" si="418"/>
        <v>12</v>
      </c>
      <c r="AA617" s="17" t="str">
        <f>_xlfn.TEXTJOIN(", ",TRUE,ABS(MID(C617,{1,1,2},1)-MID(C617,{2,3,3},1)))</f>
        <v>4, 6, 2</v>
      </c>
      <c r="AB617" s="90">
        <v>0</v>
      </c>
      <c r="AC617" s="90">
        <v>1</v>
      </c>
      <c r="AD617" s="90">
        <v>2</v>
      </c>
      <c r="AE617" s="90">
        <v>3</v>
      </c>
      <c r="AF617" s="90">
        <v>4</v>
      </c>
      <c r="AG617" s="90">
        <v>5</v>
      </c>
      <c r="AH617" s="90">
        <v>6</v>
      </c>
      <c r="AI617" s="90">
        <v>7</v>
      </c>
      <c r="AJ617" s="90">
        <v>8</v>
      </c>
      <c r="AK617" s="90">
        <v>9</v>
      </c>
      <c r="AL617" s="91">
        <v>0</v>
      </c>
      <c r="AM617" s="91">
        <v>1</v>
      </c>
      <c r="AN617" s="91">
        <v>2</v>
      </c>
      <c r="AO617" s="91">
        <v>3</v>
      </c>
      <c r="AP617" s="91">
        <v>4</v>
      </c>
      <c r="AQ617" s="91">
        <v>5</v>
      </c>
      <c r="AR617" s="91">
        <v>6</v>
      </c>
      <c r="AS617" s="91">
        <v>7</v>
      </c>
      <c r="AT617" s="91">
        <v>8</v>
      </c>
      <c r="AU617" s="91">
        <v>9</v>
      </c>
      <c r="AV617" s="92">
        <v>0</v>
      </c>
      <c r="AW617" s="92">
        <v>1</v>
      </c>
      <c r="AX617" s="92">
        <v>2</v>
      </c>
      <c r="AY617" s="92">
        <v>3</v>
      </c>
      <c r="AZ617" s="92">
        <v>4</v>
      </c>
      <c r="BA617" s="92">
        <v>5</v>
      </c>
      <c r="BB617" s="92">
        <v>6</v>
      </c>
      <c r="BC617" s="92">
        <v>7</v>
      </c>
      <c r="BD617" s="92">
        <v>8</v>
      </c>
      <c r="BE617" s="92">
        <v>9</v>
      </c>
      <c r="BF617" s="93">
        <v>0</v>
      </c>
      <c r="BG617" s="93">
        <v>1</v>
      </c>
      <c r="BH617" s="93">
        <v>2</v>
      </c>
      <c r="BI617" s="93">
        <v>3</v>
      </c>
      <c r="BJ617" s="93">
        <v>4</v>
      </c>
      <c r="BK617" s="93">
        <v>5</v>
      </c>
      <c r="BL617" s="93">
        <v>6</v>
      </c>
      <c r="BM617" s="93">
        <v>7</v>
      </c>
      <c r="BN617" s="93">
        <v>8</v>
      </c>
      <c r="BO617" s="93">
        <v>9</v>
      </c>
      <c r="BP617" s="94" t="str">
        <f t="shared" si="419"/>
        <v>松散型</v>
      </c>
      <c r="BQ617" s="15">
        <f t="shared" si="416"/>
        <v>2</v>
      </c>
      <c r="BR617" s="15">
        <f t="shared" si="417"/>
        <v>6</v>
      </c>
      <c r="BS617" s="20">
        <f t="shared" si="421"/>
        <v>4</v>
      </c>
      <c r="BT617" s="21">
        <f t="shared" si="422"/>
        <v>4</v>
      </c>
      <c r="BU617" s="21" t="str">
        <f t="array" ref="BU617">_xlfn.TEXTJOIN("",TRUE,IF(ISERROR(FIND(ROW($1:$168)-1,BS617&amp;BT617)),ROW($1:$168)-1,""))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17" s="22" t="str">
        <f t="shared" si="423"/>
        <v>复隔中</v>
      </c>
      <c r="BW617" s="23" t="str">
        <f t="shared" si="434"/>
        <v/>
      </c>
      <c r="BX617" s="23" t="str">
        <f t="shared" si="432"/>
        <v/>
      </c>
      <c r="BY617" s="23" t="str">
        <f t="array" ref="BY617">_xlfn.TEXTJOIN("",TRUE,IF(ISERROR(FIND(ROW($1:$168)-1,BW617&amp;BX617)),ROW($1:$168)-1,""))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17" s="22" t="str">
        <f t="shared" si="424"/>
        <v>中中中</v>
      </c>
      <c r="CA617" s="24" t="str">
        <f t="shared" si="425"/>
        <v/>
      </c>
      <c r="CB617" s="24" t="str">
        <f t="shared" si="433"/>
        <v/>
      </c>
      <c r="CC617" s="24" t="str">
        <f t="array" ref="CC617">_xlfn.TEXTJOIN("",TRUE,IF(ISERROR(FIND(ROW($1:$168)-1,CA617&amp;CB617)),ROW($1:$168)-1,""))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17" s="22" t="str">
        <f t="shared" si="426"/>
        <v>中中中</v>
      </c>
      <c r="CE617" s="25" t="str">
        <f t="shared" si="420"/>
        <v>35</v>
      </c>
      <c r="CF617" s="26" t="str">
        <f t="array" ref="CF617">_xlfn.TEXTJOIN("",TRUE,IF(ISNUMBER(FIND(MID(CE616&amp;W616,ROW($1:$162),1),CE617&amp;W617)),MID(CE616&amp;W616,ROW($1:$162),1),""))</f>
        <v>43</v>
      </c>
      <c r="CG617" s="27" t="str">
        <f t="array" ref="CG617">_xlfn.TEXTJOIN("",TRUE,IF(ISERROR(FIND(ROW($1:$168)-1,CE617&amp;CF617)),ROW($1:$168)-1,""))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17" s="28" t="str">
        <f t="shared" si="427"/>
        <v>邻传孤</v>
      </c>
      <c r="CI617" s="29" t="str">
        <f t="shared" si="428"/>
        <v>57</v>
      </c>
      <c r="CJ617" s="29" t="str">
        <f t="array" ref="CJ617">_xlfn.TEXTJOIN("",TRUE,IF(ISNUMBER(FIND(MID(CI616&amp;X616,ROW($1:$162),1),CI617&amp;X617)),MID(CI616&amp;X616,ROW($1:$162),1),""))</f>
        <v>67</v>
      </c>
      <c r="CK617" s="29" t="str">
        <f t="array" ref="CK617">_xlfn.TEXTJOIN("",TRUE,IF(ISERROR(FIND(ROW($1:$168)-1,CI617&amp;CJ617)),ROW($1:$168)-1,""))</f>
        <v>01234891011121314151617181920212223242526272829303132333435363738394041424344454647484950515253545556585960616263646566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17" s="19" t="str">
        <f t="shared" si="429"/>
        <v>邻传孤</v>
      </c>
      <c r="CM617" s="24" t="str">
        <f t="shared" si="430"/>
        <v>13</v>
      </c>
      <c r="CN617" s="24" t="str">
        <f t="array" ref="CN617">_xlfn.TEXTJOIN("",TRUE,IF(ISNUMBER(FIND(MID(CM616&amp;Y616,ROW($1:$162),1),CM617&amp;Y617)),MID(CM616&amp;Y616,ROW($1:$162),1),""))</f>
        <v>3</v>
      </c>
      <c r="CO617" s="24" t="str">
        <f t="array" ref="CO617">_xlfn.TEXTJOIN("",TRUE,IF(ISERROR(FIND(ROW($1:$168)-1,CM617&amp;CN617)),ROW($1:$168)-1,""))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617" s="30" t="str">
        <f t="shared" si="431"/>
        <v>邻传孤</v>
      </c>
    </row>
    <row r="618" spans="1:94">
      <c r="A618" s="15">
        <v>618</v>
      </c>
      <c r="B618" s="80">
        <v>2025235</v>
      </c>
      <c r="C618" s="8" t="s">
        <v>437</v>
      </c>
      <c r="D618" s="81">
        <f t="shared" si="411"/>
        <v>24</v>
      </c>
      <c r="E618" s="82">
        <f t="shared" si="412"/>
        <v>4</v>
      </c>
      <c r="F618" s="83">
        <f t="shared" si="409"/>
        <v>8</v>
      </c>
      <c r="G618" s="84" t="str">
        <f t="shared" si="410"/>
        <v>紧凑</v>
      </c>
      <c r="H618" s="85" t="s">
        <v>10</v>
      </c>
      <c r="I618" s="85" t="s">
        <v>11</v>
      </c>
      <c r="J618" s="85" t="s">
        <v>12</v>
      </c>
      <c r="K618" s="85" t="s">
        <v>13</v>
      </c>
      <c r="L618" s="86">
        <f>MAX(MID(C618,{1,2,3},1)*1)-MIN(MID(C618,{1,2,3},1)*1)</f>
        <v>3</v>
      </c>
      <c r="M618" s="87">
        <v>0</v>
      </c>
      <c r="N618" s="87">
        <v>1</v>
      </c>
      <c r="O618" s="87">
        <v>2</v>
      </c>
      <c r="P618" s="87">
        <v>3</v>
      </c>
      <c r="Q618" s="87">
        <v>4</v>
      </c>
      <c r="R618" s="87">
        <v>5</v>
      </c>
      <c r="S618" s="87">
        <v>6</v>
      </c>
      <c r="T618" s="87">
        <v>7</v>
      </c>
      <c r="U618" s="87">
        <v>8</v>
      </c>
      <c r="V618" s="87">
        <v>9</v>
      </c>
      <c r="W618" s="88">
        <f t="shared" si="413"/>
        <v>3</v>
      </c>
      <c r="X618" s="88">
        <f t="shared" si="414"/>
        <v>0</v>
      </c>
      <c r="Y618" s="88">
        <f t="shared" si="415"/>
        <v>3</v>
      </c>
      <c r="Z618" s="89">
        <f t="shared" si="418"/>
        <v>6</v>
      </c>
      <c r="AA618" s="17" t="str">
        <f>_xlfn.TEXTJOIN(", ",TRUE,ABS(MID(C618,{1,1,2},1)-MID(C618,{2,3,3},1)))</f>
        <v>3, 0, 3</v>
      </c>
      <c r="AB618" s="90">
        <v>0</v>
      </c>
      <c r="AC618" s="90">
        <v>1</v>
      </c>
      <c r="AD618" s="90">
        <v>2</v>
      </c>
      <c r="AE618" s="90">
        <v>3</v>
      </c>
      <c r="AF618" s="90">
        <v>4</v>
      </c>
      <c r="AG618" s="90">
        <v>5</v>
      </c>
      <c r="AH618" s="90">
        <v>6</v>
      </c>
      <c r="AI618" s="90">
        <v>7</v>
      </c>
      <c r="AJ618" s="90">
        <v>8</v>
      </c>
      <c r="AK618" s="90">
        <v>9</v>
      </c>
      <c r="AL618" s="91">
        <v>0</v>
      </c>
      <c r="AM618" s="91">
        <v>1</v>
      </c>
      <c r="AN618" s="91">
        <v>2</v>
      </c>
      <c r="AO618" s="91">
        <v>3</v>
      </c>
      <c r="AP618" s="91">
        <v>4</v>
      </c>
      <c r="AQ618" s="91">
        <v>5</v>
      </c>
      <c r="AR618" s="91">
        <v>6</v>
      </c>
      <c r="AS618" s="91">
        <v>7</v>
      </c>
      <c r="AT618" s="91">
        <v>8</v>
      </c>
      <c r="AU618" s="91">
        <v>9</v>
      </c>
      <c r="AV618" s="92">
        <v>0</v>
      </c>
      <c r="AW618" s="92">
        <v>1</v>
      </c>
      <c r="AX618" s="92">
        <v>2</v>
      </c>
      <c r="AY618" s="92">
        <v>3</v>
      </c>
      <c r="AZ618" s="92">
        <v>4</v>
      </c>
      <c r="BA618" s="92">
        <v>5</v>
      </c>
      <c r="BB618" s="92">
        <v>6</v>
      </c>
      <c r="BC618" s="92">
        <v>7</v>
      </c>
      <c r="BD618" s="92">
        <v>8</v>
      </c>
      <c r="BE618" s="92">
        <v>9</v>
      </c>
      <c r="BF618" s="93">
        <v>0</v>
      </c>
      <c r="BG618" s="93">
        <v>1</v>
      </c>
      <c r="BH618" s="93">
        <v>2</v>
      </c>
      <c r="BI618" s="93">
        <v>3</v>
      </c>
      <c r="BJ618" s="93">
        <v>4</v>
      </c>
      <c r="BK618" s="93">
        <v>5</v>
      </c>
      <c r="BL618" s="93">
        <v>6</v>
      </c>
      <c r="BM618" s="93">
        <v>7</v>
      </c>
      <c r="BN618" s="93">
        <v>8</v>
      </c>
      <c r="BO618" s="93">
        <v>9</v>
      </c>
      <c r="BP618" s="94" t="str">
        <f t="shared" si="419"/>
        <v>紧凑型</v>
      </c>
      <c r="BQ618" s="15">
        <f t="shared" si="416"/>
        <v>0</v>
      </c>
      <c r="BR618" s="15">
        <f t="shared" si="417"/>
        <v>3</v>
      </c>
      <c r="BS618" s="20" t="str">
        <f t="shared" si="421"/>
        <v/>
      </c>
      <c r="BT618" s="21">
        <f t="shared" si="422"/>
        <v>3</v>
      </c>
      <c r="BU618" s="21" t="str">
        <f t="array" ref="BU618">_xlfn.TEXTJOIN("",TRUE,IF(ISERROR(FIND(ROW($1:$168)-1,BS618&amp;BT618)),ROW($1:$168)-1,""))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18" s="22" t="str">
        <f t="shared" si="423"/>
        <v>中隔中</v>
      </c>
      <c r="BW618" s="23" t="str">
        <f t="shared" si="434"/>
        <v/>
      </c>
      <c r="BX618" s="23" t="str">
        <f t="shared" si="432"/>
        <v/>
      </c>
      <c r="BY618" s="23" t="str">
        <f t="array" ref="BY618">_xlfn.TEXTJOIN("",TRUE,IF(ISERROR(FIND(ROW($1:$168)-1,BW618&amp;BX618)),ROW($1:$168)-1,""))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18" s="22" t="str">
        <f t="shared" si="424"/>
        <v>中中中</v>
      </c>
      <c r="CA618" s="24" t="str">
        <f t="shared" si="425"/>
        <v/>
      </c>
      <c r="CB618" s="24">
        <f t="shared" si="433"/>
        <v>3</v>
      </c>
      <c r="CC618" s="24" t="str">
        <f t="array" ref="CC618">_xlfn.TEXTJOIN("",TRUE,IF(ISERROR(FIND(ROW($1:$168)-1,CA618&amp;CB618)),ROW($1:$168)-1,""))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18" s="22" t="str">
        <f t="shared" si="426"/>
        <v>中隔中</v>
      </c>
      <c r="CE618" s="25" t="str">
        <f t="shared" si="420"/>
        <v>24</v>
      </c>
      <c r="CF618" s="26" t="str">
        <f t="array" ref="CF618">_xlfn.TEXTJOIN("",TRUE,IF(ISNUMBER(FIND(MID(CE617&amp;W617,ROW($1:$162),1),CE618&amp;W618)),MID(CE617&amp;W617,ROW($1:$162),1),""))</f>
        <v>34</v>
      </c>
      <c r="CG618" s="27" t="str">
        <f t="array" ref="CG618">_xlfn.TEXTJOIN("",TRUE,IF(ISERROR(FIND(ROW($1:$168)-1,CE618&amp;CF618)),ROW($1:$168)-1,""))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18" s="28" t="str">
        <f t="shared" si="427"/>
        <v>邻传孤</v>
      </c>
      <c r="CI618" s="29" t="str">
        <f t="shared" si="428"/>
        <v>91</v>
      </c>
      <c r="CJ618" s="29" t="str">
        <f t="array" ref="CJ618">_xlfn.TEXTJOIN("",TRUE,IF(ISNUMBER(FIND(MID(CI617&amp;X617,ROW($1:$162),1),CI618&amp;X618)),MID(CI617&amp;X617,ROW($1:$162),1),""))</f>
        <v/>
      </c>
      <c r="CK618" s="29" t="str">
        <f t="array" ref="CK618">_xlfn.TEXTJOIN("",TRUE,IF(ISERROR(FIND(ROW($1:$168)-1,CI618&amp;CJ618)),ROW($1:$168)-1,""))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618" s="19" t="str">
        <f t="shared" si="429"/>
        <v>邻孤孤</v>
      </c>
      <c r="CM618" s="24" t="str">
        <f t="shared" si="430"/>
        <v>24</v>
      </c>
      <c r="CN618" s="24" t="str">
        <f t="array" ref="CN618">_xlfn.TEXTJOIN("",TRUE,IF(ISNUMBER(FIND(MID(CM617&amp;Y617,ROW($1:$162),1),CM618&amp;Y618)),MID(CM617&amp;Y617,ROW($1:$162),1),""))</f>
        <v>32</v>
      </c>
      <c r="CO618" s="24" t="str">
        <f t="array" ref="CO618">_xlfn.TEXTJOIN("",TRUE,IF(ISERROR(FIND(ROW($1:$168)-1,CM618&amp;CN618)),ROW($1:$168)-1,""))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18" s="30" t="str">
        <f t="shared" si="431"/>
        <v>邻传孤</v>
      </c>
    </row>
    <row r="619" spans="1:94">
      <c r="A619" s="15">
        <v>619</v>
      </c>
      <c r="B619" s="80">
        <v>2025236</v>
      </c>
      <c r="C619" s="8" t="s">
        <v>480</v>
      </c>
      <c r="D619" s="81">
        <f t="shared" si="411"/>
        <v>13</v>
      </c>
      <c r="E619" s="82">
        <f t="shared" si="412"/>
        <v>3</v>
      </c>
      <c r="F619" s="83">
        <f t="shared" si="409"/>
        <v>6.5</v>
      </c>
      <c r="G619" s="84" t="str">
        <f t="shared" si="410"/>
        <v>紧凑</v>
      </c>
      <c r="H619" s="85" t="s">
        <v>10</v>
      </c>
      <c r="I619" s="85" t="s">
        <v>11</v>
      </c>
      <c r="J619" s="85" t="s">
        <v>12</v>
      </c>
      <c r="K619" s="85" t="s">
        <v>13</v>
      </c>
      <c r="L619" s="86">
        <f>MAX(MID(C619,{1,2,3},1)*1)-MIN(MID(C619,{1,2,3},1)*1)</f>
        <v>2</v>
      </c>
      <c r="M619" s="87">
        <v>0</v>
      </c>
      <c r="N619" s="87">
        <v>1</v>
      </c>
      <c r="O619" s="87">
        <v>2</v>
      </c>
      <c r="P619" s="87">
        <v>3</v>
      </c>
      <c r="Q619" s="87">
        <v>4</v>
      </c>
      <c r="R619" s="87">
        <v>5</v>
      </c>
      <c r="S619" s="87">
        <v>6</v>
      </c>
      <c r="T619" s="87">
        <v>7</v>
      </c>
      <c r="U619" s="87">
        <v>8</v>
      </c>
      <c r="V619" s="87">
        <v>9</v>
      </c>
      <c r="W619" s="88">
        <f t="shared" si="413"/>
        <v>2</v>
      </c>
      <c r="X619" s="88">
        <f t="shared" si="414"/>
        <v>2</v>
      </c>
      <c r="Y619" s="88">
        <f t="shared" si="415"/>
        <v>0</v>
      </c>
      <c r="Z619" s="89">
        <f t="shared" si="418"/>
        <v>4</v>
      </c>
      <c r="AA619" s="17" t="str">
        <f>_xlfn.TEXTJOIN(", ",TRUE,ABS(MID(C619,{1,1,2},1)-MID(C619,{2,3,3},1)))</f>
        <v>2, 2, 0</v>
      </c>
      <c r="AB619" s="90">
        <v>0</v>
      </c>
      <c r="AC619" s="90">
        <v>1</v>
      </c>
      <c r="AD619" s="90">
        <v>2</v>
      </c>
      <c r="AE619" s="90">
        <v>3</v>
      </c>
      <c r="AF619" s="90">
        <v>4</v>
      </c>
      <c r="AG619" s="90">
        <v>5</v>
      </c>
      <c r="AH619" s="90">
        <v>6</v>
      </c>
      <c r="AI619" s="90">
        <v>7</v>
      </c>
      <c r="AJ619" s="90">
        <v>8</v>
      </c>
      <c r="AK619" s="90">
        <v>9</v>
      </c>
      <c r="AL619" s="91">
        <v>0</v>
      </c>
      <c r="AM619" s="91">
        <v>1</v>
      </c>
      <c r="AN619" s="91">
        <v>2</v>
      </c>
      <c r="AO619" s="91">
        <v>3</v>
      </c>
      <c r="AP619" s="91">
        <v>4</v>
      </c>
      <c r="AQ619" s="91">
        <v>5</v>
      </c>
      <c r="AR619" s="91">
        <v>6</v>
      </c>
      <c r="AS619" s="91">
        <v>7</v>
      </c>
      <c r="AT619" s="91">
        <v>8</v>
      </c>
      <c r="AU619" s="91">
        <v>9</v>
      </c>
      <c r="AV619" s="92">
        <v>0</v>
      </c>
      <c r="AW619" s="92">
        <v>1</v>
      </c>
      <c r="AX619" s="92">
        <v>2</v>
      </c>
      <c r="AY619" s="92">
        <v>3</v>
      </c>
      <c r="AZ619" s="92">
        <v>4</v>
      </c>
      <c r="BA619" s="92">
        <v>5</v>
      </c>
      <c r="BB619" s="92">
        <v>6</v>
      </c>
      <c r="BC619" s="92">
        <v>7</v>
      </c>
      <c r="BD619" s="92">
        <v>8</v>
      </c>
      <c r="BE619" s="92">
        <v>9</v>
      </c>
      <c r="BF619" s="93">
        <v>0</v>
      </c>
      <c r="BG619" s="93">
        <v>1</v>
      </c>
      <c r="BH619" s="93">
        <v>2</v>
      </c>
      <c r="BI619" s="93">
        <v>3</v>
      </c>
      <c r="BJ619" s="93">
        <v>4</v>
      </c>
      <c r="BK619" s="93">
        <v>5</v>
      </c>
      <c r="BL619" s="93">
        <v>6</v>
      </c>
      <c r="BM619" s="93">
        <v>7</v>
      </c>
      <c r="BN619" s="93">
        <v>8</v>
      </c>
      <c r="BO619" s="93">
        <v>9</v>
      </c>
      <c r="BP619" s="94" t="str">
        <f t="shared" si="419"/>
        <v>紧凑型</v>
      </c>
      <c r="BQ619" s="15">
        <f t="shared" si="416"/>
        <v>0</v>
      </c>
      <c r="BR619" s="15">
        <f t="shared" si="417"/>
        <v>2</v>
      </c>
      <c r="BS619" s="20" t="str">
        <f t="shared" si="421"/>
        <v/>
      </c>
      <c r="BT619" s="21">
        <f t="shared" si="422"/>
        <v>2</v>
      </c>
      <c r="BU619" s="21" t="str">
        <f t="array" ref="BU619">_xlfn.TEXTJOIN("",TRUE,IF(ISERROR(FIND(ROW($1:$168)-1,BS619&amp;BT619)),ROW($1:$168)-1,""))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19" s="22" t="str">
        <f t="shared" si="423"/>
        <v>中隔中</v>
      </c>
      <c r="BW619" s="23" t="str">
        <f t="shared" si="434"/>
        <v/>
      </c>
      <c r="BX619" s="23">
        <f t="shared" si="432"/>
        <v>2</v>
      </c>
      <c r="BY619" s="23" t="str">
        <f t="array" ref="BY619">_xlfn.TEXTJOIN("",TRUE,IF(ISERROR(FIND(ROW($1:$168)-1,BW619&amp;BX619)),ROW($1:$168)-1,""))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19" s="22" t="str">
        <f t="shared" si="424"/>
        <v>中隔中</v>
      </c>
      <c r="CA619" s="24">
        <f t="shared" si="425"/>
        <v>0</v>
      </c>
      <c r="CB619" s="24" t="str">
        <f t="shared" si="433"/>
        <v/>
      </c>
      <c r="CC619" s="24" t="str">
        <f t="array" ref="CC619">_xlfn.TEXTJOIN("",TRUE,IF(ISERROR(FIND(ROW($1:$168)-1,CA619&amp;CB619)),ROW($1:$168)-1,""))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19" s="22" t="str">
        <f t="shared" si="426"/>
        <v>复中中</v>
      </c>
      <c r="CE619" s="25" t="str">
        <f t="shared" si="420"/>
        <v>13</v>
      </c>
      <c r="CF619" s="26" t="str">
        <f t="array" ref="CF619">_xlfn.TEXTJOIN("",TRUE,IF(ISNUMBER(FIND(MID(CE618&amp;W618,ROW($1:$162),1),CE619&amp;W619)),MID(CE618&amp;W618,ROW($1:$162),1),""))</f>
        <v>23</v>
      </c>
      <c r="CG619" s="27" t="str">
        <f t="array" ref="CG619">_xlfn.TEXTJOIN("",TRUE,IF(ISERROR(FIND(ROW($1:$168)-1,CE619&amp;CF619)),ROW($1:$168)-1,""))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H619" s="28" t="str">
        <f t="shared" si="427"/>
        <v>邻传孤</v>
      </c>
      <c r="CI619" s="29" t="str">
        <f t="shared" si="428"/>
        <v>13</v>
      </c>
      <c r="CJ619" s="29" t="str">
        <f t="array" ref="CJ619">_xlfn.TEXTJOIN("",TRUE,IF(ISNUMBER(FIND(MID(CI618&amp;X618,ROW($1:$162),1),CI619&amp;X619)),MID(CI618&amp;X618,ROW($1:$162),1),""))</f>
        <v>1</v>
      </c>
      <c r="CK619" s="29" t="str">
        <f t="array" ref="CK619">_xlfn.TEXTJOIN("",TRUE,IF(ISERROR(FIND(ROW($1:$168)-1,CI619&amp;CJ619)),ROW($1:$168)-1,""))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L619" s="19" t="str">
        <f t="shared" si="429"/>
        <v>邻传孤</v>
      </c>
      <c r="CM619" s="24" t="str">
        <f t="shared" si="430"/>
        <v>91</v>
      </c>
      <c r="CN619" s="24" t="str">
        <f t="array" ref="CN619">_xlfn.TEXTJOIN("",TRUE,IF(ISNUMBER(FIND(MID(CM618&amp;Y618,ROW($1:$162),1),CM619&amp;Y619)),MID(CM618&amp;Y618,ROW($1:$162),1),""))</f>
        <v/>
      </c>
      <c r="CO619" s="24" t="str">
        <f t="array" ref="CO619">_xlfn.TEXTJOIN("",TRUE,IF(ISERROR(FIND(ROW($1:$168)-1,CM619&amp;CN619)),ROW($1:$168)-1,""))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619" s="30" t="str">
        <f t="shared" si="431"/>
        <v>邻孤孤</v>
      </c>
    </row>
    <row r="620" spans="1:94">
      <c r="A620" s="15">
        <v>620</v>
      </c>
      <c r="B620" s="80">
        <v>2025237</v>
      </c>
      <c r="C620" s="8" t="s">
        <v>68</v>
      </c>
      <c r="D620" s="81">
        <f t="shared" si="411"/>
        <v>14</v>
      </c>
      <c r="E620" s="82">
        <f t="shared" si="412"/>
        <v>4</v>
      </c>
      <c r="F620" s="83">
        <f t="shared" si="409"/>
        <v>1.55555555555556</v>
      </c>
      <c r="G620" s="84" t="str">
        <f t="shared" si="410"/>
        <v>松散</v>
      </c>
      <c r="H620" s="85" t="s">
        <v>10</v>
      </c>
      <c r="I620" s="85" t="s">
        <v>11</v>
      </c>
      <c r="J620" s="85" t="s">
        <v>12</v>
      </c>
      <c r="K620" s="85" t="s">
        <v>13</v>
      </c>
      <c r="L620" s="86">
        <f>MAX(MID(C620,{1,2,3},1)*1)-MIN(MID(C620,{1,2,3},1)*1)</f>
        <v>9</v>
      </c>
      <c r="M620" s="87">
        <v>0</v>
      </c>
      <c r="N620" s="87">
        <v>1</v>
      </c>
      <c r="O620" s="87">
        <v>2</v>
      </c>
      <c r="P620" s="87">
        <v>3</v>
      </c>
      <c r="Q620" s="87">
        <v>4</v>
      </c>
      <c r="R620" s="87">
        <v>5</v>
      </c>
      <c r="S620" s="87">
        <v>6</v>
      </c>
      <c r="T620" s="87">
        <v>7</v>
      </c>
      <c r="U620" s="87">
        <v>8</v>
      </c>
      <c r="V620" s="87">
        <v>9</v>
      </c>
      <c r="W620" s="88">
        <f t="shared" si="413"/>
        <v>4</v>
      </c>
      <c r="X620" s="88">
        <f t="shared" si="414"/>
        <v>5</v>
      </c>
      <c r="Y620" s="88">
        <f t="shared" si="415"/>
        <v>9</v>
      </c>
      <c r="Z620" s="89">
        <f t="shared" si="418"/>
        <v>18</v>
      </c>
      <c r="AA620" s="17" t="str">
        <f>_xlfn.TEXTJOIN(", ",TRUE,ABS(MID(C620,{1,1,2},1)-MID(C620,{2,3,3},1)))</f>
        <v>4, 5, 9</v>
      </c>
      <c r="AB620" s="90">
        <v>0</v>
      </c>
      <c r="AC620" s="90">
        <v>1</v>
      </c>
      <c r="AD620" s="90">
        <v>2</v>
      </c>
      <c r="AE620" s="90">
        <v>3</v>
      </c>
      <c r="AF620" s="90">
        <v>4</v>
      </c>
      <c r="AG620" s="90">
        <v>5</v>
      </c>
      <c r="AH620" s="90">
        <v>6</v>
      </c>
      <c r="AI620" s="90">
        <v>7</v>
      </c>
      <c r="AJ620" s="90">
        <v>8</v>
      </c>
      <c r="AK620" s="90">
        <v>9</v>
      </c>
      <c r="AL620" s="91">
        <v>0</v>
      </c>
      <c r="AM620" s="91">
        <v>1</v>
      </c>
      <c r="AN620" s="91">
        <v>2</v>
      </c>
      <c r="AO620" s="91">
        <v>3</v>
      </c>
      <c r="AP620" s="91">
        <v>4</v>
      </c>
      <c r="AQ620" s="91">
        <v>5</v>
      </c>
      <c r="AR620" s="91">
        <v>6</v>
      </c>
      <c r="AS620" s="91">
        <v>7</v>
      </c>
      <c r="AT620" s="91">
        <v>8</v>
      </c>
      <c r="AU620" s="91">
        <v>9</v>
      </c>
      <c r="AV620" s="92">
        <v>0</v>
      </c>
      <c r="AW620" s="92">
        <v>1</v>
      </c>
      <c r="AX620" s="92">
        <v>2</v>
      </c>
      <c r="AY620" s="92">
        <v>3</v>
      </c>
      <c r="AZ620" s="92">
        <v>4</v>
      </c>
      <c r="BA620" s="92">
        <v>5</v>
      </c>
      <c r="BB620" s="92">
        <v>6</v>
      </c>
      <c r="BC620" s="92">
        <v>7</v>
      </c>
      <c r="BD620" s="92">
        <v>8</v>
      </c>
      <c r="BE620" s="92">
        <v>9</v>
      </c>
      <c r="BF620" s="93">
        <v>0</v>
      </c>
      <c r="BG620" s="93">
        <v>1</v>
      </c>
      <c r="BH620" s="93">
        <v>2</v>
      </c>
      <c r="BI620" s="93">
        <v>3</v>
      </c>
      <c r="BJ620" s="93">
        <v>4</v>
      </c>
      <c r="BK620" s="93">
        <v>5</v>
      </c>
      <c r="BL620" s="93">
        <v>6</v>
      </c>
      <c r="BM620" s="93">
        <v>7</v>
      </c>
      <c r="BN620" s="93">
        <v>8</v>
      </c>
      <c r="BO620" s="93">
        <v>9</v>
      </c>
      <c r="BP620" s="94" t="str">
        <f t="shared" si="419"/>
        <v>松散型</v>
      </c>
      <c r="BQ620" s="15">
        <f t="shared" si="416"/>
        <v>4</v>
      </c>
      <c r="BR620" s="15">
        <f t="shared" si="417"/>
        <v>9</v>
      </c>
      <c r="BS620" s="20" t="str">
        <f t="shared" si="421"/>
        <v/>
      </c>
      <c r="BT620" s="21" t="str">
        <f t="shared" si="422"/>
        <v/>
      </c>
      <c r="BU620" s="21" t="str">
        <f t="array" ref="BU620">_xlfn.TEXTJOIN("",TRUE,IF(ISERROR(FIND(ROW($1:$168)-1,BS620&amp;BT620)),ROW($1:$168)-1,""))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20" s="22" t="str">
        <f t="shared" si="423"/>
        <v>中中中</v>
      </c>
      <c r="BW620" s="23" t="str">
        <f t="shared" si="434"/>
        <v/>
      </c>
      <c r="BX620" s="23" t="str">
        <f t="shared" si="432"/>
        <v/>
      </c>
      <c r="BY620" s="23" t="str">
        <f t="array" ref="BY620">_xlfn.TEXTJOIN("",TRUE,IF(ISERROR(FIND(ROW($1:$168)-1,BW620&amp;BX620)),ROW($1:$168)-1,""))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20" s="22" t="str">
        <f t="shared" si="424"/>
        <v>中中中</v>
      </c>
      <c r="CA620" s="24" t="str">
        <f t="shared" si="425"/>
        <v/>
      </c>
      <c r="CB620" s="24" t="str">
        <f t="shared" si="433"/>
        <v/>
      </c>
      <c r="CC620" s="24" t="str">
        <f t="array" ref="CC620">_xlfn.TEXTJOIN("",TRUE,IF(ISERROR(FIND(ROW($1:$168)-1,CA620&amp;CB620)),ROW($1:$168)-1,""))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20" s="22" t="str">
        <f t="shared" si="426"/>
        <v>中中中</v>
      </c>
      <c r="CE620" s="25" t="str">
        <f t="shared" si="420"/>
        <v>35</v>
      </c>
      <c r="CF620" s="26" t="str">
        <f t="array" ref="CF620">_xlfn.TEXTJOIN("",TRUE,IF(ISNUMBER(FIND(MID(CE619&amp;W619,ROW($1:$162),1),CE620&amp;W620)),MID(CE619&amp;W619,ROW($1:$162),1),""))</f>
        <v>3</v>
      </c>
      <c r="CG620" s="27" t="str">
        <f t="array" ref="CG620">_xlfn.TEXTJOIN("",TRUE,IF(ISERROR(FIND(ROW($1:$168)-1,CE620&amp;CF620)),ROW($1:$168)-1,""))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20" s="28" t="str">
        <f t="shared" si="427"/>
        <v>邻传孤</v>
      </c>
      <c r="CI620" s="29" t="str">
        <f t="shared" si="428"/>
        <v>46</v>
      </c>
      <c r="CJ620" s="29" t="str">
        <f t="array" ref="CJ620">_xlfn.TEXTJOIN("",TRUE,IF(ISNUMBER(FIND(MID(CI619&amp;X619,ROW($1:$162),1),CI620&amp;X620)),MID(CI619&amp;X619,ROW($1:$162),1),""))</f>
        <v/>
      </c>
      <c r="CK620" s="29" t="str">
        <f t="array" ref="CK620">_xlfn.TEXTJOIN("",TRUE,IF(ISERROR(FIND(ROW($1:$168)-1,CI620&amp;CJ620)),ROW($1:$168)-1,""))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20" s="19" t="str">
        <f t="shared" si="429"/>
        <v>邻孤孤</v>
      </c>
      <c r="CM620" s="24" t="str">
        <f t="shared" si="430"/>
        <v>80</v>
      </c>
      <c r="CN620" s="24" t="str">
        <f t="array" ref="CN620">_xlfn.TEXTJOIN("",TRUE,IF(ISNUMBER(FIND(MID(CM619&amp;Y619,ROW($1:$162),1),CM620&amp;Y620)),MID(CM619&amp;Y619,ROW($1:$162),1),""))</f>
        <v>90</v>
      </c>
      <c r="CO620" s="24" t="str">
        <f t="array" ref="CO620">_xlfn.TEXTJOIN("",TRUE,IF(ISERROR(FIND(ROW($1:$168)-1,CM620&amp;CN620)),ROW($1:$168)-1,""))</f>
        <v>123456710111213141516171819202122232425262728293031323334353637383940414243444546474849505152535455565758596061626364656667686970717273747576777879818283848586878889919293949596979899100101102103104105106107108109110111112113114115116117118119120121122123124125126127128129130131132133134135136137138139140141142143144145146147148149150151152153154155156157158159160161162163164165166167</v>
      </c>
      <c r="CP620" s="30" t="str">
        <f t="shared" si="431"/>
        <v>邻传孤</v>
      </c>
    </row>
    <row r="621" spans="1:94">
      <c r="A621" s="15">
        <v>621</v>
      </c>
      <c r="B621" s="80">
        <v>2025238</v>
      </c>
      <c r="C621" s="8" t="s">
        <v>481</v>
      </c>
      <c r="D621" s="81">
        <f t="shared" si="411"/>
        <v>14</v>
      </c>
      <c r="E621" s="82">
        <f t="shared" si="412"/>
        <v>4</v>
      </c>
      <c r="F621" s="83">
        <f t="shared" si="409"/>
        <v>1.75</v>
      </c>
      <c r="G621" s="84" t="str">
        <f t="shared" si="410"/>
        <v>松散</v>
      </c>
      <c r="H621" s="85" t="s">
        <v>10</v>
      </c>
      <c r="I621" s="85" t="s">
        <v>11</v>
      </c>
      <c r="J621" s="85" t="s">
        <v>12</v>
      </c>
      <c r="K621" s="85" t="s">
        <v>13</v>
      </c>
      <c r="L621" s="86">
        <f>MAX(MID(C621,{1,2,3},1)*1)-MIN(MID(C621,{1,2,3},1)*1)</f>
        <v>8</v>
      </c>
      <c r="M621" s="87">
        <v>0</v>
      </c>
      <c r="N621" s="87">
        <v>1</v>
      </c>
      <c r="O621" s="87">
        <v>2</v>
      </c>
      <c r="P621" s="87">
        <v>3</v>
      </c>
      <c r="Q621" s="87">
        <v>4</v>
      </c>
      <c r="R621" s="87">
        <v>5</v>
      </c>
      <c r="S621" s="87">
        <v>6</v>
      </c>
      <c r="T621" s="87">
        <v>7</v>
      </c>
      <c r="U621" s="87">
        <v>8</v>
      </c>
      <c r="V621" s="87">
        <v>9</v>
      </c>
      <c r="W621" s="88">
        <f t="shared" si="413"/>
        <v>2</v>
      </c>
      <c r="X621" s="88">
        <f t="shared" si="414"/>
        <v>8</v>
      </c>
      <c r="Y621" s="88">
        <f t="shared" si="415"/>
        <v>6</v>
      </c>
      <c r="Z621" s="89">
        <f t="shared" si="418"/>
        <v>16</v>
      </c>
      <c r="AA621" s="17" t="str">
        <f>_xlfn.TEXTJOIN(", ",TRUE,ABS(MID(C621,{1,1,2},1)-MID(C621,{2,3,3},1)))</f>
        <v>2, 8, 6</v>
      </c>
      <c r="AB621" s="90">
        <v>0</v>
      </c>
      <c r="AC621" s="90">
        <v>1</v>
      </c>
      <c r="AD621" s="90">
        <v>2</v>
      </c>
      <c r="AE621" s="90">
        <v>3</v>
      </c>
      <c r="AF621" s="90">
        <v>4</v>
      </c>
      <c r="AG621" s="90">
        <v>5</v>
      </c>
      <c r="AH621" s="90">
        <v>6</v>
      </c>
      <c r="AI621" s="90">
        <v>7</v>
      </c>
      <c r="AJ621" s="90">
        <v>8</v>
      </c>
      <c r="AK621" s="90">
        <v>9</v>
      </c>
      <c r="AL621" s="91">
        <v>0</v>
      </c>
      <c r="AM621" s="91">
        <v>1</v>
      </c>
      <c r="AN621" s="91">
        <v>2</v>
      </c>
      <c r="AO621" s="91">
        <v>3</v>
      </c>
      <c r="AP621" s="91">
        <v>4</v>
      </c>
      <c r="AQ621" s="91">
        <v>5</v>
      </c>
      <c r="AR621" s="91">
        <v>6</v>
      </c>
      <c r="AS621" s="91">
        <v>7</v>
      </c>
      <c r="AT621" s="91">
        <v>8</v>
      </c>
      <c r="AU621" s="91">
        <v>9</v>
      </c>
      <c r="AV621" s="92">
        <v>0</v>
      </c>
      <c r="AW621" s="92">
        <v>1</v>
      </c>
      <c r="AX621" s="92">
        <v>2</v>
      </c>
      <c r="AY621" s="92">
        <v>3</v>
      </c>
      <c r="AZ621" s="92">
        <v>4</v>
      </c>
      <c r="BA621" s="92">
        <v>5</v>
      </c>
      <c r="BB621" s="92">
        <v>6</v>
      </c>
      <c r="BC621" s="92">
        <v>7</v>
      </c>
      <c r="BD621" s="92">
        <v>8</v>
      </c>
      <c r="BE621" s="92">
        <v>9</v>
      </c>
      <c r="BF621" s="93">
        <v>0</v>
      </c>
      <c r="BG621" s="93">
        <v>1</v>
      </c>
      <c r="BH621" s="93">
        <v>2</v>
      </c>
      <c r="BI621" s="93">
        <v>3</v>
      </c>
      <c r="BJ621" s="93">
        <v>4</v>
      </c>
      <c r="BK621" s="93">
        <v>5</v>
      </c>
      <c r="BL621" s="93">
        <v>6</v>
      </c>
      <c r="BM621" s="93">
        <v>7</v>
      </c>
      <c r="BN621" s="93">
        <v>8</v>
      </c>
      <c r="BO621" s="93">
        <v>9</v>
      </c>
      <c r="BP621" s="94" t="str">
        <f t="shared" si="419"/>
        <v>松散型</v>
      </c>
      <c r="BQ621" s="15">
        <f t="shared" si="416"/>
        <v>2</v>
      </c>
      <c r="BR621" s="15">
        <f t="shared" si="417"/>
        <v>8</v>
      </c>
      <c r="BS621" s="20" t="str">
        <f t="shared" si="421"/>
        <v/>
      </c>
      <c r="BT621" s="21">
        <f t="shared" si="422"/>
        <v>2</v>
      </c>
      <c r="BU621" s="21" t="str">
        <f t="array" ref="BU621">_xlfn.TEXTJOIN("",TRUE,IF(ISERROR(FIND(ROW($1:$168)-1,BS621&amp;BT621)),ROW($1:$168)-1,""))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21" s="22" t="str">
        <f t="shared" si="423"/>
        <v>中隔中</v>
      </c>
      <c r="BW621" s="23" t="str">
        <f t="shared" si="434"/>
        <v/>
      </c>
      <c r="BX621" s="23" t="str">
        <f t="shared" si="432"/>
        <v/>
      </c>
      <c r="BY621" s="23" t="str">
        <f t="array" ref="BY621">_xlfn.TEXTJOIN("",TRUE,IF(ISERROR(FIND(ROW($1:$168)-1,BW621&amp;BX621)),ROW($1:$168)-1,""))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21" s="22" t="str">
        <f t="shared" si="424"/>
        <v>中中中</v>
      </c>
      <c r="CA621" s="24" t="str">
        <f t="shared" si="425"/>
        <v/>
      </c>
      <c r="CB621" s="24" t="str">
        <f t="shared" si="433"/>
        <v/>
      </c>
      <c r="CC621" s="24" t="str">
        <f t="array" ref="CC621">_xlfn.TEXTJOIN("",TRUE,IF(ISERROR(FIND(ROW($1:$168)-1,CA621&amp;CB621)),ROW($1:$168)-1,""))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21" s="22" t="str">
        <f t="shared" si="426"/>
        <v>中中中</v>
      </c>
      <c r="CE621" s="25" t="str">
        <f t="shared" si="420"/>
        <v>13</v>
      </c>
      <c r="CF621" s="26" t="str">
        <f t="array" ref="CF621">_xlfn.TEXTJOIN("",TRUE,IF(ISNUMBER(FIND(MID(CE620&amp;W620,ROW($1:$162),1),CE621&amp;W621)),MID(CE620&amp;W620,ROW($1:$162),1),""))</f>
        <v>3</v>
      </c>
      <c r="CG621" s="27" t="str">
        <f t="array" ref="CG621">_xlfn.TEXTJOIN("",TRUE,IF(ISERROR(FIND(ROW($1:$168)-1,CE621&amp;CF621)),ROW($1:$168)-1,""))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621" s="28" t="str">
        <f t="shared" si="427"/>
        <v>邻传孤</v>
      </c>
      <c r="CI621" s="29" t="str">
        <f t="shared" si="428"/>
        <v>79</v>
      </c>
      <c r="CJ621" s="29" t="str">
        <f t="array" ref="CJ621">_xlfn.TEXTJOIN("",TRUE,IF(ISNUMBER(FIND(MID(CI620&amp;X620,ROW($1:$162),1),CI621&amp;X621)),MID(CI620&amp;X620,ROW($1:$162),1),""))</f>
        <v/>
      </c>
      <c r="CK621" s="29" t="str">
        <f t="array" ref="CK621">_xlfn.TEXTJOIN("",TRUE,IF(ISERROR(FIND(ROW($1:$168)-1,CI621&amp;CJ621)),ROW($1:$168)-1,""))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621" s="19" t="str">
        <f t="shared" si="429"/>
        <v>邻孤孤</v>
      </c>
      <c r="CM621" s="24" t="str">
        <f t="shared" si="430"/>
        <v>57</v>
      </c>
      <c r="CN621" s="24" t="str">
        <f t="array" ref="CN621">_xlfn.TEXTJOIN("",TRUE,IF(ISNUMBER(FIND(MID(CM620&amp;Y620,ROW($1:$162),1),CM621&amp;Y621)),MID(CM620&amp;Y620,ROW($1:$162),1),""))</f>
        <v/>
      </c>
      <c r="CO621" s="24" t="str">
        <f t="array" ref="CO621">_xlfn.TEXTJOIN("",TRUE,IF(ISERROR(FIND(ROW($1:$168)-1,CM621&amp;CN621)),ROW($1:$168)-1,""))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21" s="30" t="str">
        <f t="shared" si="431"/>
        <v>邻孤孤</v>
      </c>
    </row>
    <row r="622" spans="1:94">
      <c r="A622" s="15">
        <v>622</v>
      </c>
      <c r="B622" s="80">
        <v>2025239</v>
      </c>
      <c r="C622" s="8" t="s">
        <v>482</v>
      </c>
      <c r="D622" s="81">
        <f t="shared" si="411"/>
        <v>8</v>
      </c>
      <c r="E622" s="82">
        <f t="shared" si="412"/>
        <v>8</v>
      </c>
      <c r="F622" s="83">
        <f t="shared" si="409"/>
        <v>2</v>
      </c>
      <c r="G622" s="84" t="str">
        <f t="shared" si="410"/>
        <v>标准</v>
      </c>
      <c r="H622" s="85" t="s">
        <v>10</v>
      </c>
      <c r="I622" s="85" t="s">
        <v>11</v>
      </c>
      <c r="J622" s="85" t="s">
        <v>12</v>
      </c>
      <c r="K622" s="85" t="s">
        <v>13</v>
      </c>
      <c r="L622" s="86">
        <f>MAX(MID(C622,{1,2,3},1)*1)-MIN(MID(C622,{1,2,3},1)*1)</f>
        <v>4</v>
      </c>
      <c r="M622" s="87">
        <v>0</v>
      </c>
      <c r="N622" s="87">
        <v>1</v>
      </c>
      <c r="O622" s="87">
        <v>2</v>
      </c>
      <c r="P622" s="87">
        <v>3</v>
      </c>
      <c r="Q622" s="87">
        <v>4</v>
      </c>
      <c r="R622" s="87">
        <v>5</v>
      </c>
      <c r="S622" s="87">
        <v>6</v>
      </c>
      <c r="T622" s="87">
        <v>7</v>
      </c>
      <c r="U622" s="87">
        <v>8</v>
      </c>
      <c r="V622" s="87">
        <v>9</v>
      </c>
      <c r="W622" s="88">
        <f t="shared" si="413"/>
        <v>1</v>
      </c>
      <c r="X622" s="88">
        <f t="shared" si="414"/>
        <v>4</v>
      </c>
      <c r="Y622" s="88">
        <f t="shared" si="415"/>
        <v>3</v>
      </c>
      <c r="Z622" s="89">
        <f t="shared" si="418"/>
        <v>8</v>
      </c>
      <c r="AA622" s="17" t="str">
        <f>_xlfn.TEXTJOIN(", ",TRUE,ABS(MID(C622,{1,1,2},1)-MID(C622,{2,3,3},1)))</f>
        <v>1, 4, 3</v>
      </c>
      <c r="AB622" s="90">
        <v>0</v>
      </c>
      <c r="AC622" s="90">
        <v>1</v>
      </c>
      <c r="AD622" s="90">
        <v>2</v>
      </c>
      <c r="AE622" s="90">
        <v>3</v>
      </c>
      <c r="AF622" s="90">
        <v>4</v>
      </c>
      <c r="AG622" s="90">
        <v>5</v>
      </c>
      <c r="AH622" s="90">
        <v>6</v>
      </c>
      <c r="AI622" s="90">
        <v>7</v>
      </c>
      <c r="AJ622" s="90">
        <v>8</v>
      </c>
      <c r="AK622" s="90">
        <v>9</v>
      </c>
      <c r="AL622" s="91">
        <v>0</v>
      </c>
      <c r="AM622" s="91">
        <v>1</v>
      </c>
      <c r="AN622" s="91">
        <v>2</v>
      </c>
      <c r="AO622" s="91">
        <v>3</v>
      </c>
      <c r="AP622" s="91">
        <v>4</v>
      </c>
      <c r="AQ622" s="91">
        <v>5</v>
      </c>
      <c r="AR622" s="91">
        <v>6</v>
      </c>
      <c r="AS622" s="91">
        <v>7</v>
      </c>
      <c r="AT622" s="91">
        <v>8</v>
      </c>
      <c r="AU622" s="91">
        <v>9</v>
      </c>
      <c r="AV622" s="92">
        <v>0</v>
      </c>
      <c r="AW622" s="92">
        <v>1</v>
      </c>
      <c r="AX622" s="92">
        <v>2</v>
      </c>
      <c r="AY622" s="92">
        <v>3</v>
      </c>
      <c r="AZ622" s="92">
        <v>4</v>
      </c>
      <c r="BA622" s="92">
        <v>5</v>
      </c>
      <c r="BB622" s="92">
        <v>6</v>
      </c>
      <c r="BC622" s="92">
        <v>7</v>
      </c>
      <c r="BD622" s="92">
        <v>8</v>
      </c>
      <c r="BE622" s="92">
        <v>9</v>
      </c>
      <c r="BF622" s="93">
        <v>0</v>
      </c>
      <c r="BG622" s="93">
        <v>1</v>
      </c>
      <c r="BH622" s="93">
        <v>2</v>
      </c>
      <c r="BI622" s="93">
        <v>3</v>
      </c>
      <c r="BJ622" s="93">
        <v>4</v>
      </c>
      <c r="BK622" s="93">
        <v>5</v>
      </c>
      <c r="BL622" s="93">
        <v>6</v>
      </c>
      <c r="BM622" s="93">
        <v>7</v>
      </c>
      <c r="BN622" s="93">
        <v>8</v>
      </c>
      <c r="BO622" s="93">
        <v>9</v>
      </c>
      <c r="BP622" s="94" t="str">
        <f t="shared" si="419"/>
        <v>紧凑型</v>
      </c>
      <c r="BQ622" s="15">
        <f t="shared" si="416"/>
        <v>1</v>
      </c>
      <c r="BR622" s="15">
        <f t="shared" si="417"/>
        <v>4</v>
      </c>
      <c r="BS622" s="20" t="str">
        <f t="shared" si="421"/>
        <v/>
      </c>
      <c r="BT622" s="21" t="str">
        <f t="shared" si="422"/>
        <v/>
      </c>
      <c r="BU622" s="21" t="str">
        <f t="array" ref="BU622">_xlfn.TEXTJOIN("",TRUE,IF(ISERROR(FIND(ROW($1:$168)-1,BS622&amp;BT622)),ROW($1:$168)-1,""))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22" s="22" t="str">
        <f t="shared" si="423"/>
        <v>中中中</v>
      </c>
      <c r="BW622" s="23" t="str">
        <f t="shared" si="434"/>
        <v/>
      </c>
      <c r="BX622" s="23">
        <f t="shared" si="432"/>
        <v>4</v>
      </c>
      <c r="BY622" s="23" t="str">
        <f t="array" ref="BY622">_xlfn.TEXTJOIN("",TRUE,IF(ISERROR(FIND(ROW($1:$168)-1,BW622&amp;BX622)),ROW($1:$168)-1,""))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22" s="22" t="str">
        <f t="shared" si="424"/>
        <v>中隔中</v>
      </c>
      <c r="CA622" s="24" t="str">
        <f t="shared" si="425"/>
        <v/>
      </c>
      <c r="CB622" s="24" t="str">
        <f t="shared" si="433"/>
        <v/>
      </c>
      <c r="CC622" s="24" t="str">
        <f t="array" ref="CC622">_xlfn.TEXTJOIN("",TRUE,IF(ISERROR(FIND(ROW($1:$168)-1,CA622&amp;CB622)),ROW($1:$168)-1,""))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22" s="22" t="str">
        <f t="shared" si="426"/>
        <v>中中中</v>
      </c>
      <c r="CE622" s="25" t="str">
        <f t="shared" si="420"/>
        <v>02</v>
      </c>
      <c r="CF622" s="26" t="str">
        <f t="array" ref="CF622">_xlfn.TEXTJOIN("",TRUE,IF(ISNUMBER(FIND(MID(CE621&amp;W621,ROW($1:$162),1),CE622&amp;W622)),MID(CE621&amp;W621,ROW($1:$162),1),""))</f>
        <v>12</v>
      </c>
      <c r="CG622" s="27" t="str">
        <f t="array" ref="CG622">_xlfn.TEXTJOIN("",TRUE,IF(ISERROR(FIND(ROW($1:$168)-1,CE622&amp;CF622)),ROW($1:$168)-1,""))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22" s="28" t="str">
        <f t="shared" si="427"/>
        <v>邻传孤</v>
      </c>
      <c r="CI622" s="29" t="str">
        <f t="shared" si="428"/>
        <v>35</v>
      </c>
      <c r="CJ622" s="29" t="str">
        <f t="array" ref="CJ622">_xlfn.TEXTJOIN("",TRUE,IF(ISNUMBER(FIND(MID(CI621&amp;X621,ROW($1:$162),1),CI622&amp;X622)),MID(CI621&amp;X621,ROW($1:$162),1),""))</f>
        <v/>
      </c>
      <c r="CK622" s="29" t="str">
        <f t="array" ref="CK622">_xlfn.TEXTJOIN("",TRUE,IF(ISERROR(FIND(ROW($1:$168)-1,CI622&amp;CJ622)),ROW($1:$168)-1,""))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22" s="19" t="str">
        <f t="shared" si="429"/>
        <v>邻孤孤</v>
      </c>
      <c r="CM622" s="24" t="str">
        <f t="shared" si="430"/>
        <v>24</v>
      </c>
      <c r="CN622" s="24" t="str">
        <f t="array" ref="CN622">_xlfn.TEXTJOIN("",TRUE,IF(ISNUMBER(FIND(MID(CM621&amp;Y621,ROW($1:$162),1),CM622&amp;Y622)),MID(CM621&amp;Y621,ROW($1:$162),1),""))</f>
        <v/>
      </c>
      <c r="CO622" s="24" t="str">
        <f t="array" ref="CO622">_xlfn.TEXTJOIN("",TRUE,IF(ISERROR(FIND(ROW($1:$168)-1,CM622&amp;CN622)),ROW($1:$168)-1,""))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22" s="30" t="str">
        <f t="shared" si="431"/>
        <v>邻孤孤</v>
      </c>
    </row>
    <row r="623" spans="1:94">
      <c r="A623" s="15">
        <v>623</v>
      </c>
      <c r="B623" s="80">
        <v>2025240</v>
      </c>
      <c r="C623" s="8" t="s">
        <v>296</v>
      </c>
      <c r="D623" s="81">
        <f t="shared" si="411"/>
        <v>14</v>
      </c>
      <c r="E623" s="82">
        <f t="shared" si="412"/>
        <v>4</v>
      </c>
      <c r="F623" s="83">
        <f t="shared" si="409"/>
        <v>1.75</v>
      </c>
      <c r="G623" s="84" t="str">
        <f t="shared" si="410"/>
        <v>松散</v>
      </c>
      <c r="H623" s="85" t="s">
        <v>10</v>
      </c>
      <c r="I623" s="85" t="s">
        <v>11</v>
      </c>
      <c r="J623" s="85" t="s">
        <v>12</v>
      </c>
      <c r="K623" s="85" t="s">
        <v>13</v>
      </c>
      <c r="L623" s="86">
        <f>MAX(MID(C623,{1,2,3},1)*1)-MIN(MID(C623,{1,2,3},1)*1)</f>
        <v>8</v>
      </c>
      <c r="M623" s="87">
        <v>0</v>
      </c>
      <c r="N623" s="87">
        <v>1</v>
      </c>
      <c r="O623" s="87">
        <v>2</v>
      </c>
      <c r="P623" s="87">
        <v>3</v>
      </c>
      <c r="Q623" s="87">
        <v>4</v>
      </c>
      <c r="R623" s="87">
        <v>5</v>
      </c>
      <c r="S623" s="87">
        <v>6</v>
      </c>
      <c r="T623" s="87">
        <v>7</v>
      </c>
      <c r="U623" s="87">
        <v>8</v>
      </c>
      <c r="V623" s="87">
        <v>9</v>
      </c>
      <c r="W623" s="88">
        <f t="shared" si="413"/>
        <v>3</v>
      </c>
      <c r="X623" s="88">
        <f t="shared" si="414"/>
        <v>5</v>
      </c>
      <c r="Y623" s="88">
        <f t="shared" si="415"/>
        <v>8</v>
      </c>
      <c r="Z623" s="89">
        <f t="shared" si="418"/>
        <v>16</v>
      </c>
      <c r="AA623" s="17" t="str">
        <f>_xlfn.TEXTJOIN(", ",TRUE,ABS(MID(C623,{1,1,2},1)-MID(C623,{2,3,3},1)))</f>
        <v>3, 5, 8</v>
      </c>
      <c r="AB623" s="90">
        <v>0</v>
      </c>
      <c r="AC623" s="90">
        <v>1</v>
      </c>
      <c r="AD623" s="90">
        <v>2</v>
      </c>
      <c r="AE623" s="90">
        <v>3</v>
      </c>
      <c r="AF623" s="90">
        <v>4</v>
      </c>
      <c r="AG623" s="90">
        <v>5</v>
      </c>
      <c r="AH623" s="90">
        <v>6</v>
      </c>
      <c r="AI623" s="90">
        <v>7</v>
      </c>
      <c r="AJ623" s="90">
        <v>8</v>
      </c>
      <c r="AK623" s="90">
        <v>9</v>
      </c>
      <c r="AL623" s="91">
        <v>0</v>
      </c>
      <c r="AM623" s="91">
        <v>1</v>
      </c>
      <c r="AN623" s="91">
        <v>2</v>
      </c>
      <c r="AO623" s="91">
        <v>3</v>
      </c>
      <c r="AP623" s="91">
        <v>4</v>
      </c>
      <c r="AQ623" s="91">
        <v>5</v>
      </c>
      <c r="AR623" s="91">
        <v>6</v>
      </c>
      <c r="AS623" s="91">
        <v>7</v>
      </c>
      <c r="AT623" s="91">
        <v>8</v>
      </c>
      <c r="AU623" s="91">
        <v>9</v>
      </c>
      <c r="AV623" s="92">
        <v>0</v>
      </c>
      <c r="AW623" s="92">
        <v>1</v>
      </c>
      <c r="AX623" s="92">
        <v>2</v>
      </c>
      <c r="AY623" s="92">
        <v>3</v>
      </c>
      <c r="AZ623" s="92">
        <v>4</v>
      </c>
      <c r="BA623" s="92">
        <v>5</v>
      </c>
      <c r="BB623" s="92">
        <v>6</v>
      </c>
      <c r="BC623" s="92">
        <v>7</v>
      </c>
      <c r="BD623" s="92">
        <v>8</v>
      </c>
      <c r="BE623" s="92">
        <v>9</v>
      </c>
      <c r="BF623" s="93">
        <v>0</v>
      </c>
      <c r="BG623" s="93">
        <v>1</v>
      </c>
      <c r="BH623" s="93">
        <v>2</v>
      </c>
      <c r="BI623" s="93">
        <v>3</v>
      </c>
      <c r="BJ623" s="93">
        <v>4</v>
      </c>
      <c r="BK623" s="93">
        <v>5</v>
      </c>
      <c r="BL623" s="93">
        <v>6</v>
      </c>
      <c r="BM623" s="93">
        <v>7</v>
      </c>
      <c r="BN623" s="93">
        <v>8</v>
      </c>
      <c r="BO623" s="93">
        <v>9</v>
      </c>
      <c r="BP623" s="94" t="str">
        <f t="shared" si="419"/>
        <v>松散型</v>
      </c>
      <c r="BQ623" s="15">
        <f t="shared" si="416"/>
        <v>3</v>
      </c>
      <c r="BR623" s="15">
        <f t="shared" si="417"/>
        <v>8</v>
      </c>
      <c r="BS623" s="20">
        <f t="shared" si="421"/>
        <v>3</v>
      </c>
      <c r="BT623" s="21" t="str">
        <f t="shared" si="422"/>
        <v/>
      </c>
      <c r="BU623" s="21" t="str">
        <f t="array" ref="BU623">_xlfn.TEXTJOIN("",TRUE,IF(ISERROR(FIND(ROW($1:$168)-1,BS623&amp;BT623)),ROW($1:$168)-1,""))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23" s="22" t="str">
        <f t="shared" si="423"/>
        <v>复中中</v>
      </c>
      <c r="BW623" s="23" t="str">
        <f t="shared" si="434"/>
        <v/>
      </c>
      <c r="BX623" s="23" t="str">
        <f t="shared" si="432"/>
        <v/>
      </c>
      <c r="BY623" s="23" t="str">
        <f t="array" ref="BY623">_xlfn.TEXTJOIN("",TRUE,IF(ISERROR(FIND(ROW($1:$168)-1,BW623&amp;BX623)),ROW($1:$168)-1,""))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23" s="22" t="str">
        <f t="shared" si="424"/>
        <v>中中中</v>
      </c>
      <c r="CA623" s="24" t="str">
        <f t="shared" si="425"/>
        <v/>
      </c>
      <c r="CB623" s="24">
        <f t="shared" si="433"/>
        <v>8</v>
      </c>
      <c r="CC623" s="24" t="str">
        <f t="array" ref="CC623">_xlfn.TEXTJOIN("",TRUE,IF(ISERROR(FIND(ROW($1:$168)-1,CA623&amp;CB623)),ROW($1:$168)-1,""))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23" s="22" t="str">
        <f t="shared" si="426"/>
        <v>中隔中</v>
      </c>
      <c r="CE623" s="25" t="str">
        <f t="shared" si="420"/>
        <v>24</v>
      </c>
      <c r="CF623" s="26" t="str">
        <f t="array" ref="CF623">_xlfn.TEXTJOIN("",TRUE,IF(ISNUMBER(FIND(MID(CE622&amp;W622,ROW($1:$162),1),CE623&amp;W623)),MID(CE622&amp;W622,ROW($1:$162),1),""))</f>
        <v>2</v>
      </c>
      <c r="CG623" s="27" t="str">
        <f t="array" ref="CG623">_xlfn.TEXTJOIN("",TRUE,IF(ISERROR(FIND(ROW($1:$168)-1,CE623&amp;CF623)),ROW($1:$168)-1,""))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23" s="28" t="str">
        <f t="shared" si="427"/>
        <v>邻传孤</v>
      </c>
      <c r="CI623" s="29" t="str">
        <f t="shared" si="428"/>
        <v>46</v>
      </c>
      <c r="CJ623" s="29" t="str">
        <f t="array" ref="CJ623">_xlfn.TEXTJOIN("",TRUE,IF(ISNUMBER(FIND(MID(CI622&amp;X622,ROW($1:$162),1),CI623&amp;X623)),MID(CI622&amp;X622,ROW($1:$162),1),""))</f>
        <v>54</v>
      </c>
      <c r="CK623" s="29" t="str">
        <f t="array" ref="CK623">_xlfn.TEXTJOIN("",TRUE,IF(ISERROR(FIND(ROW($1:$168)-1,CI623&amp;CJ623)),ROW($1:$168)-1,""))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23" s="19" t="str">
        <f t="shared" si="429"/>
        <v>邻传孤</v>
      </c>
      <c r="CM623" s="24" t="str">
        <f t="shared" si="430"/>
        <v>79</v>
      </c>
      <c r="CN623" s="24" t="str">
        <f t="array" ref="CN623">_xlfn.TEXTJOIN("",TRUE,IF(ISNUMBER(FIND(MID(CM622&amp;Y622,ROW($1:$162),1),CM623&amp;Y623)),MID(CM622&amp;Y622,ROW($1:$162),1),""))</f>
        <v/>
      </c>
      <c r="CO623" s="24" t="str">
        <f t="array" ref="CO623">_xlfn.TEXTJOIN("",TRUE,IF(ISERROR(FIND(ROW($1:$168)-1,CM623&amp;CN623)),ROW($1:$168)-1,""))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623" s="30" t="str">
        <f t="shared" si="431"/>
        <v>邻孤孤</v>
      </c>
    </row>
    <row r="624" spans="1:94">
      <c r="A624" s="15">
        <v>624</v>
      </c>
      <c r="B624" s="80">
        <v>2025241</v>
      </c>
      <c r="C624" s="8" t="s">
        <v>483</v>
      </c>
      <c r="D624" s="81">
        <f t="shared" si="411"/>
        <v>7</v>
      </c>
      <c r="E624" s="82">
        <f t="shared" si="412"/>
        <v>7</v>
      </c>
      <c r="F624" s="83">
        <f t="shared" si="409"/>
        <v>1.16666666666667</v>
      </c>
      <c r="G624" s="84" t="str">
        <f t="shared" si="410"/>
        <v>松散</v>
      </c>
      <c r="H624" s="85" t="s">
        <v>10</v>
      </c>
      <c r="I624" s="85" t="s">
        <v>11</v>
      </c>
      <c r="J624" s="85" t="s">
        <v>12</v>
      </c>
      <c r="K624" s="85" t="s">
        <v>13</v>
      </c>
      <c r="L624" s="86">
        <f>MAX(MID(C624,{1,2,3},1)*1)-MIN(MID(C624,{1,2,3},1)*1)</f>
        <v>6</v>
      </c>
      <c r="M624" s="87">
        <v>0</v>
      </c>
      <c r="N624" s="87">
        <v>1</v>
      </c>
      <c r="O624" s="87">
        <v>2</v>
      </c>
      <c r="P624" s="87">
        <v>3</v>
      </c>
      <c r="Q624" s="87">
        <v>4</v>
      </c>
      <c r="R624" s="87">
        <v>5</v>
      </c>
      <c r="S624" s="87">
        <v>6</v>
      </c>
      <c r="T624" s="87">
        <v>7</v>
      </c>
      <c r="U624" s="87">
        <v>8</v>
      </c>
      <c r="V624" s="87">
        <v>9</v>
      </c>
      <c r="W624" s="88">
        <f t="shared" si="413"/>
        <v>5</v>
      </c>
      <c r="X624" s="88">
        <f t="shared" si="414"/>
        <v>1</v>
      </c>
      <c r="Y624" s="88">
        <f t="shared" si="415"/>
        <v>6</v>
      </c>
      <c r="Z624" s="89">
        <f t="shared" si="418"/>
        <v>12</v>
      </c>
      <c r="AA624" s="17" t="str">
        <f>_xlfn.TEXTJOIN(", ",TRUE,ABS(MID(C624,{1,1,2},1)-MID(C624,{2,3,3},1)))</f>
        <v>5, 1, 6</v>
      </c>
      <c r="AB624" s="90">
        <v>0</v>
      </c>
      <c r="AC624" s="90">
        <v>1</v>
      </c>
      <c r="AD624" s="90">
        <v>2</v>
      </c>
      <c r="AE624" s="90">
        <v>3</v>
      </c>
      <c r="AF624" s="90">
        <v>4</v>
      </c>
      <c r="AG624" s="90">
        <v>5</v>
      </c>
      <c r="AH624" s="90">
        <v>6</v>
      </c>
      <c r="AI624" s="90">
        <v>7</v>
      </c>
      <c r="AJ624" s="90">
        <v>8</v>
      </c>
      <c r="AK624" s="90">
        <v>9</v>
      </c>
      <c r="AL624" s="91">
        <v>0</v>
      </c>
      <c r="AM624" s="91">
        <v>1</v>
      </c>
      <c r="AN624" s="91">
        <v>2</v>
      </c>
      <c r="AO624" s="91">
        <v>3</v>
      </c>
      <c r="AP624" s="91">
        <v>4</v>
      </c>
      <c r="AQ624" s="91">
        <v>5</v>
      </c>
      <c r="AR624" s="91">
        <v>6</v>
      </c>
      <c r="AS624" s="91">
        <v>7</v>
      </c>
      <c r="AT624" s="91">
        <v>8</v>
      </c>
      <c r="AU624" s="91">
        <v>9</v>
      </c>
      <c r="AV624" s="92">
        <v>0</v>
      </c>
      <c r="AW624" s="92">
        <v>1</v>
      </c>
      <c r="AX624" s="92">
        <v>2</v>
      </c>
      <c r="AY624" s="92">
        <v>3</v>
      </c>
      <c r="AZ624" s="92">
        <v>4</v>
      </c>
      <c r="BA624" s="92">
        <v>5</v>
      </c>
      <c r="BB624" s="92">
        <v>6</v>
      </c>
      <c r="BC624" s="92">
        <v>7</v>
      </c>
      <c r="BD624" s="92">
        <v>8</v>
      </c>
      <c r="BE624" s="92">
        <v>9</v>
      </c>
      <c r="BF624" s="93">
        <v>0</v>
      </c>
      <c r="BG624" s="93">
        <v>1</v>
      </c>
      <c r="BH624" s="93">
        <v>2</v>
      </c>
      <c r="BI624" s="93">
        <v>3</v>
      </c>
      <c r="BJ624" s="93">
        <v>4</v>
      </c>
      <c r="BK624" s="93">
        <v>5</v>
      </c>
      <c r="BL624" s="93">
        <v>6</v>
      </c>
      <c r="BM624" s="93">
        <v>7</v>
      </c>
      <c r="BN624" s="93">
        <v>8</v>
      </c>
      <c r="BO624" s="93">
        <v>9</v>
      </c>
      <c r="BP624" s="94" t="str">
        <f t="shared" si="419"/>
        <v>松散型</v>
      </c>
      <c r="BQ624" s="15">
        <f t="shared" si="416"/>
        <v>1</v>
      </c>
      <c r="BR624" s="15">
        <f t="shared" si="417"/>
        <v>6</v>
      </c>
      <c r="BS624" s="20">
        <f t="shared" si="421"/>
        <v>5</v>
      </c>
      <c r="BT624" s="21" t="str">
        <f t="shared" si="422"/>
        <v/>
      </c>
      <c r="BU624" s="21" t="str">
        <f t="array" ref="BU624">_xlfn.TEXTJOIN("",TRUE,IF(ISERROR(FIND(ROW($1:$168)-1,BS624&amp;BT624)),ROW($1:$168)-1,""))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24" s="22" t="str">
        <f t="shared" si="423"/>
        <v>复中中</v>
      </c>
      <c r="BW624" s="23" t="str">
        <f t="shared" si="434"/>
        <v/>
      </c>
      <c r="BX624" s="23">
        <f t="shared" si="432"/>
        <v>1</v>
      </c>
      <c r="BY624" s="23" t="str">
        <f t="array" ref="BY624">_xlfn.TEXTJOIN("",TRUE,IF(ISERROR(FIND(ROW($1:$168)-1,BW624&amp;BX624)),ROW($1:$168)-1,""))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24" s="22" t="str">
        <f t="shared" si="424"/>
        <v>中隔中</v>
      </c>
      <c r="CA624" s="24" t="str">
        <f t="shared" si="425"/>
        <v/>
      </c>
      <c r="CB624" s="24" t="str">
        <f t="shared" si="433"/>
        <v/>
      </c>
      <c r="CC624" s="24" t="str">
        <f t="array" ref="CC624">_xlfn.TEXTJOIN("",TRUE,IF(ISERROR(FIND(ROW($1:$168)-1,CA624&amp;CB624)),ROW($1:$168)-1,""))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24" s="22" t="str">
        <f t="shared" si="426"/>
        <v>中中中</v>
      </c>
      <c r="CE624" s="25" t="str">
        <f t="shared" si="420"/>
        <v>46</v>
      </c>
      <c r="CF624" s="26" t="str">
        <f t="array" ref="CF624">_xlfn.TEXTJOIN("",TRUE,IF(ISNUMBER(FIND(MID(CE623&amp;W623,ROW($1:$162),1),CE624&amp;W624)),MID(CE623&amp;W623,ROW($1:$162),1),""))</f>
        <v>4</v>
      </c>
      <c r="CG624" s="27" t="str">
        <f t="array" ref="CG624">_xlfn.TEXTJOIN("",TRUE,IF(ISERROR(FIND(ROW($1:$168)-1,CE624&amp;CF624)),ROW($1:$168)-1,""))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24" s="28" t="str">
        <f t="shared" si="427"/>
        <v>邻传孤</v>
      </c>
      <c r="CI624" s="29" t="str">
        <f t="shared" si="428"/>
        <v>02</v>
      </c>
      <c r="CJ624" s="29" t="str">
        <f t="array" ref="CJ624">_xlfn.TEXTJOIN("",TRUE,IF(ISNUMBER(FIND(MID(CI623&amp;X623,ROW($1:$162),1),CI624&amp;X624)),MID(CI623&amp;X623,ROW($1:$162),1),""))</f>
        <v/>
      </c>
      <c r="CK624" s="29" t="str">
        <f t="array" ref="CK624">_xlfn.TEXTJOIN("",TRUE,IF(ISERROR(FIND(ROW($1:$168)-1,CI624&amp;CJ624)),ROW($1:$168)-1,""))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24" s="19" t="str">
        <f t="shared" si="429"/>
        <v>邻孤孤</v>
      </c>
      <c r="CM624" s="24" t="str">
        <f t="shared" si="430"/>
        <v>57</v>
      </c>
      <c r="CN624" s="24" t="str">
        <f t="array" ref="CN624">_xlfn.TEXTJOIN("",TRUE,IF(ISNUMBER(FIND(MID(CM623&amp;Y623,ROW($1:$162),1),CM624&amp;Y624)),MID(CM623&amp;Y623,ROW($1:$162),1),""))</f>
        <v>7</v>
      </c>
      <c r="CO624" s="24" t="str">
        <f t="array" ref="CO624">_xlfn.TEXTJOIN("",TRUE,IF(ISERROR(FIND(ROW($1:$168)-1,CM624&amp;CN624)),ROW($1:$168)-1,""))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P624" s="30" t="str">
        <f t="shared" si="431"/>
        <v>邻传孤</v>
      </c>
    </row>
    <row r="625" spans="1:94">
      <c r="A625" s="15">
        <v>625</v>
      </c>
      <c r="B625" s="80">
        <v>2025242</v>
      </c>
      <c r="C625" s="8" t="s">
        <v>474</v>
      </c>
      <c r="D625" s="81">
        <f t="shared" si="411"/>
        <v>18</v>
      </c>
      <c r="E625" s="82">
        <f t="shared" si="412"/>
        <v>8</v>
      </c>
      <c r="F625" s="83">
        <f t="shared" si="409"/>
        <v>2</v>
      </c>
      <c r="G625" s="84" t="str">
        <f t="shared" si="410"/>
        <v>标准</v>
      </c>
      <c r="H625" s="85" t="s">
        <v>10</v>
      </c>
      <c r="I625" s="85" t="s">
        <v>11</v>
      </c>
      <c r="J625" s="85" t="s">
        <v>12</v>
      </c>
      <c r="K625" s="85" t="s">
        <v>13</v>
      </c>
      <c r="L625" s="86">
        <f>MAX(MID(C625,{1,2,3},1)*1)-MIN(MID(C625,{1,2,3},1)*1)</f>
        <v>9</v>
      </c>
      <c r="M625" s="87">
        <v>0</v>
      </c>
      <c r="N625" s="87">
        <v>1</v>
      </c>
      <c r="O625" s="87">
        <v>2</v>
      </c>
      <c r="P625" s="87">
        <v>3</v>
      </c>
      <c r="Q625" s="87">
        <v>4</v>
      </c>
      <c r="R625" s="87">
        <v>5</v>
      </c>
      <c r="S625" s="87">
        <v>6</v>
      </c>
      <c r="T625" s="87">
        <v>7</v>
      </c>
      <c r="U625" s="87">
        <v>8</v>
      </c>
      <c r="V625" s="87">
        <v>9</v>
      </c>
      <c r="W625" s="88">
        <f t="shared" si="413"/>
        <v>0</v>
      </c>
      <c r="X625" s="88">
        <f t="shared" si="414"/>
        <v>9</v>
      </c>
      <c r="Y625" s="88">
        <f t="shared" si="415"/>
        <v>9</v>
      </c>
      <c r="Z625" s="89">
        <f t="shared" si="418"/>
        <v>18</v>
      </c>
      <c r="AA625" s="17" t="str">
        <f>_xlfn.TEXTJOIN(", ",TRUE,ABS(MID(C625,{1,1,2},1)-MID(C625,{2,3,3},1)))</f>
        <v>0, 9, 9</v>
      </c>
      <c r="AB625" s="90">
        <v>0</v>
      </c>
      <c r="AC625" s="90">
        <v>1</v>
      </c>
      <c r="AD625" s="90">
        <v>2</v>
      </c>
      <c r="AE625" s="90">
        <v>3</v>
      </c>
      <c r="AF625" s="90">
        <v>4</v>
      </c>
      <c r="AG625" s="90">
        <v>5</v>
      </c>
      <c r="AH625" s="90">
        <v>6</v>
      </c>
      <c r="AI625" s="90">
        <v>7</v>
      </c>
      <c r="AJ625" s="90">
        <v>8</v>
      </c>
      <c r="AK625" s="90">
        <v>9</v>
      </c>
      <c r="AL625" s="91">
        <v>0</v>
      </c>
      <c r="AM625" s="91">
        <v>1</v>
      </c>
      <c r="AN625" s="91">
        <v>2</v>
      </c>
      <c r="AO625" s="91">
        <v>3</v>
      </c>
      <c r="AP625" s="91">
        <v>4</v>
      </c>
      <c r="AQ625" s="91">
        <v>5</v>
      </c>
      <c r="AR625" s="91">
        <v>6</v>
      </c>
      <c r="AS625" s="91">
        <v>7</v>
      </c>
      <c r="AT625" s="91">
        <v>8</v>
      </c>
      <c r="AU625" s="91">
        <v>9</v>
      </c>
      <c r="AV625" s="92">
        <v>0</v>
      </c>
      <c r="AW625" s="92">
        <v>1</v>
      </c>
      <c r="AX625" s="92">
        <v>2</v>
      </c>
      <c r="AY625" s="92">
        <v>3</v>
      </c>
      <c r="AZ625" s="92">
        <v>4</v>
      </c>
      <c r="BA625" s="92">
        <v>5</v>
      </c>
      <c r="BB625" s="92">
        <v>6</v>
      </c>
      <c r="BC625" s="92">
        <v>7</v>
      </c>
      <c r="BD625" s="92">
        <v>8</v>
      </c>
      <c r="BE625" s="92">
        <v>9</v>
      </c>
      <c r="BF625" s="93">
        <v>0</v>
      </c>
      <c r="BG625" s="93">
        <v>1</v>
      </c>
      <c r="BH625" s="93">
        <v>2</v>
      </c>
      <c r="BI625" s="93">
        <v>3</v>
      </c>
      <c r="BJ625" s="93">
        <v>4</v>
      </c>
      <c r="BK625" s="93">
        <v>5</v>
      </c>
      <c r="BL625" s="93">
        <v>6</v>
      </c>
      <c r="BM625" s="93">
        <v>7</v>
      </c>
      <c r="BN625" s="93">
        <v>8</v>
      </c>
      <c r="BO625" s="93">
        <v>9</v>
      </c>
      <c r="BP625" s="94" t="str">
        <f t="shared" si="419"/>
        <v>松散型</v>
      </c>
      <c r="BQ625" s="15">
        <f t="shared" si="416"/>
        <v>0</v>
      </c>
      <c r="BR625" s="15">
        <f t="shared" si="417"/>
        <v>9</v>
      </c>
      <c r="BS625" s="20" t="str">
        <f t="shared" si="421"/>
        <v/>
      </c>
      <c r="BT625" s="21" t="str">
        <f t="shared" si="422"/>
        <v/>
      </c>
      <c r="BU625" s="21" t="str">
        <f t="array" ref="BU625">_xlfn.TEXTJOIN("",TRUE,IF(ISERROR(FIND(ROW($1:$168)-1,BS625&amp;BT625)),ROW($1:$168)-1,""))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25" s="22" t="str">
        <f t="shared" si="423"/>
        <v>中中中</v>
      </c>
      <c r="BW625" s="23" t="str">
        <f t="shared" si="434"/>
        <v/>
      </c>
      <c r="BX625" s="23" t="str">
        <f t="shared" si="432"/>
        <v/>
      </c>
      <c r="BY625" s="23" t="str">
        <f t="array" ref="BY625">_xlfn.TEXTJOIN("",TRUE,IF(ISERROR(FIND(ROW($1:$168)-1,BW625&amp;BX625)),ROW($1:$168)-1,""))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25" s="22" t="str">
        <f t="shared" si="424"/>
        <v>中中中</v>
      </c>
      <c r="CA625" s="24" t="str">
        <f t="shared" si="425"/>
        <v/>
      </c>
      <c r="CB625" s="24" t="str">
        <f t="shared" si="433"/>
        <v/>
      </c>
      <c r="CC625" s="24" t="str">
        <f t="array" ref="CC625">_xlfn.TEXTJOIN("",TRUE,IF(ISERROR(FIND(ROW($1:$168)-1,CA625&amp;CB625)),ROW($1:$168)-1,""))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25" s="22" t="str">
        <f t="shared" si="426"/>
        <v>中中中</v>
      </c>
      <c r="CE625" s="25" t="str">
        <f t="shared" si="420"/>
        <v>91</v>
      </c>
      <c r="CF625" s="26" t="str">
        <f t="array" ref="CF625">_xlfn.TEXTJOIN("",TRUE,IF(ISNUMBER(FIND(MID(CE624&amp;W624,ROW($1:$162),1),CE625&amp;W625)),MID(CE624&amp;W624,ROW($1:$162),1),""))</f>
        <v/>
      </c>
      <c r="CG625" s="27" t="str">
        <f t="array" ref="CG625">_xlfn.TEXTJOIN("",TRUE,IF(ISERROR(FIND(ROW($1:$168)-1,CE625&amp;CF625)),ROW($1:$168)-1,""))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625" s="28" t="str">
        <f t="shared" si="427"/>
        <v>邻孤孤</v>
      </c>
      <c r="CI625" s="29" t="str">
        <f t="shared" si="428"/>
        <v>80</v>
      </c>
      <c r="CJ625" s="29" t="str">
        <f t="array" ref="CJ625">_xlfn.TEXTJOIN("",TRUE,IF(ISNUMBER(FIND(MID(CI624&amp;X624,ROW($1:$162),1),CI625&amp;X625)),MID(CI624&amp;X624,ROW($1:$162),1),""))</f>
        <v>0</v>
      </c>
      <c r="CK625" s="29" t="str">
        <f t="array" ref="CK625">_xlfn.TEXTJOIN("",TRUE,IF(ISERROR(FIND(ROW($1:$168)-1,CI625&amp;CJ625)),ROW($1:$168)-1,""))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L625" s="19" t="str">
        <f t="shared" si="429"/>
        <v>邻传孤</v>
      </c>
      <c r="CM625" s="24" t="str">
        <f t="shared" si="430"/>
        <v>80</v>
      </c>
      <c r="CN625" s="24" t="str">
        <f t="array" ref="CN625">_xlfn.TEXTJOIN("",TRUE,IF(ISNUMBER(FIND(MID(CM624&amp;Y624,ROW($1:$162),1),CM625&amp;Y625)),MID(CM624&amp;Y624,ROW($1:$162),1),""))</f>
        <v/>
      </c>
      <c r="CO625" s="24" t="str">
        <f t="array" ref="CO625">_xlfn.TEXTJOIN("",TRUE,IF(ISERROR(FIND(ROW($1:$168)-1,CM625&amp;CN625)),ROW($1:$168)-1,""))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625" s="30" t="str">
        <f t="shared" si="431"/>
        <v>邻孤孤</v>
      </c>
    </row>
    <row r="626" spans="1:94">
      <c r="A626" s="15">
        <v>626</v>
      </c>
      <c r="B626" s="80">
        <v>2025243</v>
      </c>
      <c r="C626" s="8" t="s">
        <v>484</v>
      </c>
      <c r="D626" s="81">
        <f t="shared" si="411"/>
        <v>14</v>
      </c>
      <c r="E626" s="82">
        <f t="shared" si="412"/>
        <v>4</v>
      </c>
      <c r="F626" s="83">
        <f t="shared" si="409"/>
        <v>2.33333333333333</v>
      </c>
      <c r="G626" s="84" t="str">
        <f t="shared" si="410"/>
        <v>标准</v>
      </c>
      <c r="H626" s="85" t="s">
        <v>10</v>
      </c>
      <c r="I626" s="85" t="s">
        <v>11</v>
      </c>
      <c r="J626" s="85" t="s">
        <v>12</v>
      </c>
      <c r="K626" s="85" t="s">
        <v>13</v>
      </c>
      <c r="L626" s="86">
        <f>MAX(MID(C626,{1,2,3},1)*1)-MIN(MID(C626,{1,2,3},1)*1)</f>
        <v>6</v>
      </c>
      <c r="M626" s="87">
        <v>0</v>
      </c>
      <c r="N626" s="87">
        <v>1</v>
      </c>
      <c r="O626" s="87">
        <v>2</v>
      </c>
      <c r="P626" s="87">
        <v>3</v>
      </c>
      <c r="Q626" s="87">
        <v>4</v>
      </c>
      <c r="R626" s="87">
        <v>5</v>
      </c>
      <c r="S626" s="87">
        <v>6</v>
      </c>
      <c r="T626" s="87">
        <v>7</v>
      </c>
      <c r="U626" s="87">
        <v>8</v>
      </c>
      <c r="V626" s="87">
        <v>9</v>
      </c>
      <c r="W626" s="88">
        <f t="shared" si="413"/>
        <v>6</v>
      </c>
      <c r="X626" s="88">
        <f t="shared" si="414"/>
        <v>5</v>
      </c>
      <c r="Y626" s="88">
        <f t="shared" si="415"/>
        <v>1</v>
      </c>
      <c r="Z626" s="89">
        <f t="shared" si="418"/>
        <v>12</v>
      </c>
      <c r="AA626" s="17" t="str">
        <f>_xlfn.TEXTJOIN(", ",TRUE,ABS(MID(C626,{1,1,2},1)-MID(C626,{2,3,3},1)))</f>
        <v>6, 5, 1</v>
      </c>
      <c r="AB626" s="90">
        <v>0</v>
      </c>
      <c r="AC626" s="90">
        <v>1</v>
      </c>
      <c r="AD626" s="90">
        <v>2</v>
      </c>
      <c r="AE626" s="90">
        <v>3</v>
      </c>
      <c r="AF626" s="90">
        <v>4</v>
      </c>
      <c r="AG626" s="90">
        <v>5</v>
      </c>
      <c r="AH626" s="90">
        <v>6</v>
      </c>
      <c r="AI626" s="90">
        <v>7</v>
      </c>
      <c r="AJ626" s="90">
        <v>8</v>
      </c>
      <c r="AK626" s="90">
        <v>9</v>
      </c>
      <c r="AL626" s="91">
        <v>0</v>
      </c>
      <c r="AM626" s="91">
        <v>1</v>
      </c>
      <c r="AN626" s="91">
        <v>2</v>
      </c>
      <c r="AO626" s="91">
        <v>3</v>
      </c>
      <c r="AP626" s="91">
        <v>4</v>
      </c>
      <c r="AQ626" s="91">
        <v>5</v>
      </c>
      <c r="AR626" s="91">
        <v>6</v>
      </c>
      <c r="AS626" s="91">
        <v>7</v>
      </c>
      <c r="AT626" s="91">
        <v>8</v>
      </c>
      <c r="AU626" s="91">
        <v>9</v>
      </c>
      <c r="AV626" s="92">
        <v>0</v>
      </c>
      <c r="AW626" s="92">
        <v>1</v>
      </c>
      <c r="AX626" s="92">
        <v>2</v>
      </c>
      <c r="AY626" s="92">
        <v>3</v>
      </c>
      <c r="AZ626" s="92">
        <v>4</v>
      </c>
      <c r="BA626" s="92">
        <v>5</v>
      </c>
      <c r="BB626" s="92">
        <v>6</v>
      </c>
      <c r="BC626" s="92">
        <v>7</v>
      </c>
      <c r="BD626" s="92">
        <v>8</v>
      </c>
      <c r="BE626" s="92">
        <v>9</v>
      </c>
      <c r="BF626" s="93">
        <v>0</v>
      </c>
      <c r="BG626" s="93">
        <v>1</v>
      </c>
      <c r="BH626" s="93">
        <v>2</v>
      </c>
      <c r="BI626" s="93">
        <v>3</v>
      </c>
      <c r="BJ626" s="93">
        <v>4</v>
      </c>
      <c r="BK626" s="93">
        <v>5</v>
      </c>
      <c r="BL626" s="93">
        <v>6</v>
      </c>
      <c r="BM626" s="93">
        <v>7</v>
      </c>
      <c r="BN626" s="93">
        <v>8</v>
      </c>
      <c r="BO626" s="93">
        <v>9</v>
      </c>
      <c r="BP626" s="94" t="str">
        <f t="shared" si="419"/>
        <v>松散型</v>
      </c>
      <c r="BQ626" s="15">
        <f t="shared" si="416"/>
        <v>1</v>
      </c>
      <c r="BR626" s="15">
        <f t="shared" si="417"/>
        <v>6</v>
      </c>
      <c r="BS626" s="20" t="str">
        <f t="shared" si="421"/>
        <v/>
      </c>
      <c r="BT626" s="21">
        <f t="shared" si="422"/>
        <v>6</v>
      </c>
      <c r="BU626" s="21" t="str">
        <f t="array" ref="BU626">_xlfn.TEXTJOIN("",TRUE,IF(ISERROR(FIND(ROW($1:$168)-1,BS626&amp;BT626)),ROW($1:$168)-1,""))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26" s="22" t="str">
        <f t="shared" si="423"/>
        <v>中隔中</v>
      </c>
      <c r="BW626" s="23" t="str">
        <f t="shared" si="434"/>
        <v/>
      </c>
      <c r="BX626" s="23">
        <f t="shared" si="432"/>
        <v>5</v>
      </c>
      <c r="BY626" s="23" t="str">
        <f t="array" ref="BY626">_xlfn.TEXTJOIN("",TRUE,IF(ISERROR(FIND(ROW($1:$168)-1,BW626&amp;BX626)),ROW($1:$168)-1,""))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26" s="22" t="str">
        <f t="shared" si="424"/>
        <v>中隔中</v>
      </c>
      <c r="CA626" s="24" t="str">
        <f t="shared" si="425"/>
        <v/>
      </c>
      <c r="CB626" s="24">
        <f t="shared" si="433"/>
        <v>1</v>
      </c>
      <c r="CC626" s="24" t="str">
        <f t="array" ref="CC626">_xlfn.TEXTJOIN("",TRUE,IF(ISERROR(FIND(ROW($1:$168)-1,CA626&amp;CB626)),ROW($1:$168)-1,""))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26" s="22" t="str">
        <f t="shared" si="426"/>
        <v>中隔中</v>
      </c>
      <c r="CE626" s="25" t="str">
        <f t="shared" si="420"/>
        <v>57</v>
      </c>
      <c r="CF626" s="26" t="str">
        <f t="array" ref="CF626">_xlfn.TEXTJOIN("",TRUE,IF(ISNUMBER(FIND(MID(CE625&amp;W625,ROW($1:$162),1),CE626&amp;W626)),MID(CE625&amp;W625,ROW($1:$162),1),""))</f>
        <v/>
      </c>
      <c r="CG626" s="27" t="str">
        <f t="array" ref="CG626">_xlfn.TEXTJOIN("",TRUE,IF(ISERROR(FIND(ROW($1:$168)-1,CE626&amp;CF626)),ROW($1:$168)-1,""))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26" s="28" t="str">
        <f t="shared" si="427"/>
        <v>邻孤孤</v>
      </c>
      <c r="CI626" s="29" t="str">
        <f t="shared" si="428"/>
        <v>46</v>
      </c>
      <c r="CJ626" s="29" t="str">
        <f t="array" ref="CJ626">_xlfn.TEXTJOIN("",TRUE,IF(ISNUMBER(FIND(MID(CI625&amp;X625,ROW($1:$162),1),CI626&amp;X626)),MID(CI625&amp;X625,ROW($1:$162),1),""))</f>
        <v/>
      </c>
      <c r="CK626" s="29" t="str">
        <f t="array" ref="CK626">_xlfn.TEXTJOIN("",TRUE,IF(ISERROR(FIND(ROW($1:$168)-1,CI626&amp;CJ626)),ROW($1:$168)-1,""))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26" s="19" t="str">
        <f t="shared" si="429"/>
        <v>邻孤孤</v>
      </c>
      <c r="CM626" s="24" t="str">
        <f t="shared" si="430"/>
        <v>02</v>
      </c>
      <c r="CN626" s="24" t="str">
        <f t="array" ref="CN626">_xlfn.TEXTJOIN("",TRUE,IF(ISNUMBER(FIND(MID(CM625&amp;Y625,ROW($1:$162),1),CM626&amp;Y626)),MID(CM625&amp;Y625,ROW($1:$162),1),""))</f>
        <v>0</v>
      </c>
      <c r="CO626" s="24" t="str">
        <f t="array" ref="CO626">_xlfn.TEXTJOIN("",TRUE,IF(ISERROR(FIND(ROW($1:$168)-1,CM626&amp;CN626)),ROW($1:$168)-1,""))</f>
        <v>1345678910111213141516171819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26" s="30" t="str">
        <f t="shared" si="431"/>
        <v>邻传孤</v>
      </c>
    </row>
    <row r="627" spans="1:94">
      <c r="A627" s="15">
        <v>627</v>
      </c>
      <c r="B627" s="80">
        <v>2025244</v>
      </c>
      <c r="C627" s="8" t="s">
        <v>485</v>
      </c>
      <c r="D627" s="81">
        <f t="shared" si="411"/>
        <v>16</v>
      </c>
      <c r="E627" s="82">
        <f t="shared" si="412"/>
        <v>6</v>
      </c>
      <c r="F627" s="83">
        <f t="shared" si="409"/>
        <v>4</v>
      </c>
      <c r="G627" s="84" t="str">
        <f t="shared" si="410"/>
        <v>紧凑</v>
      </c>
      <c r="H627" s="85" t="s">
        <v>10</v>
      </c>
      <c r="I627" s="85" t="s">
        <v>11</v>
      </c>
      <c r="J627" s="85" t="s">
        <v>12</v>
      </c>
      <c r="K627" s="85" t="s">
        <v>13</v>
      </c>
      <c r="L627" s="86">
        <f>MAX(MID(C627,{1,2,3},1)*1)-MIN(MID(C627,{1,2,3},1)*1)</f>
        <v>4</v>
      </c>
      <c r="M627" s="87">
        <v>0</v>
      </c>
      <c r="N627" s="87">
        <v>1</v>
      </c>
      <c r="O627" s="87">
        <v>2</v>
      </c>
      <c r="P627" s="87">
        <v>3</v>
      </c>
      <c r="Q627" s="87">
        <v>4</v>
      </c>
      <c r="R627" s="87">
        <v>5</v>
      </c>
      <c r="S627" s="87">
        <v>6</v>
      </c>
      <c r="T627" s="87">
        <v>7</v>
      </c>
      <c r="U627" s="87">
        <v>8</v>
      </c>
      <c r="V627" s="87">
        <v>9</v>
      </c>
      <c r="W627" s="88">
        <f t="shared" si="413"/>
        <v>1</v>
      </c>
      <c r="X627" s="88">
        <f t="shared" si="414"/>
        <v>3</v>
      </c>
      <c r="Y627" s="88">
        <f t="shared" si="415"/>
        <v>4</v>
      </c>
      <c r="Z627" s="89">
        <f t="shared" si="418"/>
        <v>8</v>
      </c>
      <c r="AA627" s="17" t="str">
        <f>_xlfn.TEXTJOIN(", ",TRUE,ABS(MID(C627,{1,1,2},1)-MID(C627,{2,3,3},1)))</f>
        <v>1, 3, 4</v>
      </c>
      <c r="AB627" s="90">
        <v>0</v>
      </c>
      <c r="AC627" s="90">
        <v>1</v>
      </c>
      <c r="AD627" s="90">
        <v>2</v>
      </c>
      <c r="AE627" s="90">
        <v>3</v>
      </c>
      <c r="AF627" s="90">
        <v>4</v>
      </c>
      <c r="AG627" s="90">
        <v>5</v>
      </c>
      <c r="AH627" s="90">
        <v>6</v>
      </c>
      <c r="AI627" s="90">
        <v>7</v>
      </c>
      <c r="AJ627" s="90">
        <v>8</v>
      </c>
      <c r="AK627" s="90">
        <v>9</v>
      </c>
      <c r="AL627" s="91">
        <v>0</v>
      </c>
      <c r="AM627" s="91">
        <v>1</v>
      </c>
      <c r="AN627" s="91">
        <v>2</v>
      </c>
      <c r="AO627" s="91">
        <v>3</v>
      </c>
      <c r="AP627" s="91">
        <v>4</v>
      </c>
      <c r="AQ627" s="91">
        <v>5</v>
      </c>
      <c r="AR627" s="91">
        <v>6</v>
      </c>
      <c r="AS627" s="91">
        <v>7</v>
      </c>
      <c r="AT627" s="91">
        <v>8</v>
      </c>
      <c r="AU627" s="91">
        <v>9</v>
      </c>
      <c r="AV627" s="92">
        <v>0</v>
      </c>
      <c r="AW627" s="92">
        <v>1</v>
      </c>
      <c r="AX627" s="92">
        <v>2</v>
      </c>
      <c r="AY627" s="92">
        <v>3</v>
      </c>
      <c r="AZ627" s="92">
        <v>4</v>
      </c>
      <c r="BA627" s="92">
        <v>5</v>
      </c>
      <c r="BB627" s="92">
        <v>6</v>
      </c>
      <c r="BC627" s="92">
        <v>7</v>
      </c>
      <c r="BD627" s="92">
        <v>8</v>
      </c>
      <c r="BE627" s="92">
        <v>9</v>
      </c>
      <c r="BF627" s="93">
        <v>0</v>
      </c>
      <c r="BG627" s="93">
        <v>1</v>
      </c>
      <c r="BH627" s="93">
        <v>2</v>
      </c>
      <c r="BI627" s="93">
        <v>3</v>
      </c>
      <c r="BJ627" s="93">
        <v>4</v>
      </c>
      <c r="BK627" s="93">
        <v>5</v>
      </c>
      <c r="BL627" s="93">
        <v>6</v>
      </c>
      <c r="BM627" s="93">
        <v>7</v>
      </c>
      <c r="BN627" s="93">
        <v>8</v>
      </c>
      <c r="BO627" s="93">
        <v>9</v>
      </c>
      <c r="BP627" s="94" t="str">
        <f t="shared" si="419"/>
        <v>紧凑型</v>
      </c>
      <c r="BQ627" s="15">
        <f t="shared" si="416"/>
        <v>1</v>
      </c>
      <c r="BR627" s="15">
        <f t="shared" si="417"/>
        <v>4</v>
      </c>
      <c r="BS627" s="20">
        <f t="shared" si="421"/>
        <v>1</v>
      </c>
      <c r="BT627" s="21" t="str">
        <f t="shared" si="422"/>
        <v/>
      </c>
      <c r="BU627" s="21" t="str">
        <f t="array" ref="BU627">_xlfn.TEXTJOIN("",TRUE,IF(ISERROR(FIND(ROW($1:$168)-1,BS627&amp;BT627)),ROW($1:$168)-1,""))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27" s="22" t="str">
        <f t="shared" si="423"/>
        <v>复中中</v>
      </c>
      <c r="BW627" s="23" t="str">
        <f t="shared" si="434"/>
        <v/>
      </c>
      <c r="BX627" s="23" t="str">
        <f t="shared" si="432"/>
        <v/>
      </c>
      <c r="BY627" s="23" t="str">
        <f t="array" ref="BY627">_xlfn.TEXTJOIN("",TRUE,IF(ISERROR(FIND(ROW($1:$168)-1,BW627&amp;BX627)),ROW($1:$168)-1,""))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27" s="22" t="str">
        <f t="shared" si="424"/>
        <v>中中中</v>
      </c>
      <c r="CA627" s="24" t="str">
        <f t="shared" si="425"/>
        <v/>
      </c>
      <c r="CB627" s="24" t="str">
        <f t="shared" si="433"/>
        <v/>
      </c>
      <c r="CC627" s="24" t="str">
        <f t="array" ref="CC627">_xlfn.TEXTJOIN("",TRUE,IF(ISERROR(FIND(ROW($1:$168)-1,CA627&amp;CB627)),ROW($1:$168)-1,""))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27" s="22" t="str">
        <f t="shared" si="426"/>
        <v>中中中</v>
      </c>
      <c r="CE627" s="25" t="str">
        <f t="shared" si="420"/>
        <v>02</v>
      </c>
      <c r="CF627" s="26" t="str">
        <f t="array" ref="CF627">_xlfn.TEXTJOIN("",TRUE,IF(ISNUMBER(FIND(MID(CE626&amp;W626,ROW($1:$162),1),CE627&amp;W627)),MID(CE626&amp;W626,ROW($1:$162),1),""))</f>
        <v/>
      </c>
      <c r="CG627" s="27" t="str">
        <f t="array" ref="CG627">_xlfn.TEXTJOIN("",TRUE,IF(ISERROR(FIND(ROW($1:$168)-1,CE627&amp;CF627)),ROW($1:$168)-1,""))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27" s="28" t="str">
        <f t="shared" si="427"/>
        <v>邻孤孤</v>
      </c>
      <c r="CI627" s="29" t="str">
        <f t="shared" si="428"/>
        <v>24</v>
      </c>
      <c r="CJ627" s="29" t="str">
        <f t="array" ref="CJ627">_xlfn.TEXTJOIN("",TRUE,IF(ISNUMBER(FIND(MID(CI626&amp;X626,ROW($1:$162),1),CI627&amp;X627)),MID(CI626&amp;X626,ROW($1:$162),1),""))</f>
        <v>4</v>
      </c>
      <c r="CK627" s="29" t="str">
        <f t="array" ref="CK627">_xlfn.TEXTJOIN("",TRUE,IF(ISERROR(FIND(ROW($1:$168)-1,CI627&amp;CJ627)),ROW($1:$168)-1,""))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27" s="19" t="str">
        <f t="shared" si="429"/>
        <v>邻传孤</v>
      </c>
      <c r="CM627" s="24" t="str">
        <f t="shared" si="430"/>
        <v>35</v>
      </c>
      <c r="CN627" s="24" t="str">
        <f t="array" ref="CN627">_xlfn.TEXTJOIN("",TRUE,IF(ISNUMBER(FIND(MID(CM626&amp;Y626,ROW($1:$162),1),CM627&amp;Y627)),MID(CM626&amp;Y626,ROW($1:$162),1),""))</f>
        <v/>
      </c>
      <c r="CO627" s="24" t="str">
        <f t="array" ref="CO627">_xlfn.TEXTJOIN("",TRUE,IF(ISERROR(FIND(ROW($1:$168)-1,CM627&amp;CN627)),ROW($1:$168)-1,""))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27" s="30" t="str">
        <f t="shared" si="431"/>
        <v>邻孤孤</v>
      </c>
    </row>
    <row r="628" spans="1:94">
      <c r="A628" s="15">
        <v>628</v>
      </c>
      <c r="B628" s="80">
        <v>2025245</v>
      </c>
      <c r="C628" s="8" t="s">
        <v>49</v>
      </c>
      <c r="D628" s="81">
        <f t="shared" si="411"/>
        <v>20</v>
      </c>
      <c r="E628" s="82">
        <f t="shared" si="412"/>
        <v>0</v>
      </c>
      <c r="F628" s="83">
        <f t="shared" si="409"/>
        <v>5</v>
      </c>
      <c r="G628" s="84" t="str">
        <f t="shared" si="410"/>
        <v>紧凑</v>
      </c>
      <c r="H628" s="85" t="s">
        <v>10</v>
      </c>
      <c r="I628" s="85" t="s">
        <v>11</v>
      </c>
      <c r="J628" s="85" t="s">
        <v>12</v>
      </c>
      <c r="K628" s="85" t="s">
        <v>13</v>
      </c>
      <c r="L628" s="86">
        <f>MAX(MID(C628,{1,2,3},1)*1)-MIN(MID(C628,{1,2,3},1)*1)</f>
        <v>4</v>
      </c>
      <c r="M628" s="87">
        <v>0</v>
      </c>
      <c r="N628" s="87">
        <v>1</v>
      </c>
      <c r="O628" s="87">
        <v>2</v>
      </c>
      <c r="P628" s="87">
        <v>3</v>
      </c>
      <c r="Q628" s="87">
        <v>4</v>
      </c>
      <c r="R628" s="87">
        <v>5</v>
      </c>
      <c r="S628" s="87">
        <v>6</v>
      </c>
      <c r="T628" s="87">
        <v>7</v>
      </c>
      <c r="U628" s="87">
        <v>8</v>
      </c>
      <c r="V628" s="87">
        <v>9</v>
      </c>
      <c r="W628" s="88">
        <f t="shared" si="413"/>
        <v>4</v>
      </c>
      <c r="X628" s="88">
        <f t="shared" si="414"/>
        <v>0</v>
      </c>
      <c r="Y628" s="88">
        <f t="shared" si="415"/>
        <v>4</v>
      </c>
      <c r="Z628" s="89">
        <f t="shared" si="418"/>
        <v>8</v>
      </c>
      <c r="AA628" s="17" t="str">
        <f>_xlfn.TEXTJOIN(", ",TRUE,ABS(MID(C628,{1,1,2},1)-MID(C628,{2,3,3},1)))</f>
        <v>4, 0, 4</v>
      </c>
      <c r="AB628" s="90">
        <v>0</v>
      </c>
      <c r="AC628" s="90">
        <v>1</v>
      </c>
      <c r="AD628" s="90">
        <v>2</v>
      </c>
      <c r="AE628" s="90">
        <v>3</v>
      </c>
      <c r="AF628" s="90">
        <v>4</v>
      </c>
      <c r="AG628" s="90">
        <v>5</v>
      </c>
      <c r="AH628" s="90">
        <v>6</v>
      </c>
      <c r="AI628" s="90">
        <v>7</v>
      </c>
      <c r="AJ628" s="90">
        <v>8</v>
      </c>
      <c r="AK628" s="90">
        <v>9</v>
      </c>
      <c r="AL628" s="91">
        <v>0</v>
      </c>
      <c r="AM628" s="91">
        <v>1</v>
      </c>
      <c r="AN628" s="91">
        <v>2</v>
      </c>
      <c r="AO628" s="91">
        <v>3</v>
      </c>
      <c r="AP628" s="91">
        <v>4</v>
      </c>
      <c r="AQ628" s="91">
        <v>5</v>
      </c>
      <c r="AR628" s="91">
        <v>6</v>
      </c>
      <c r="AS628" s="91">
        <v>7</v>
      </c>
      <c r="AT628" s="91">
        <v>8</v>
      </c>
      <c r="AU628" s="91">
        <v>9</v>
      </c>
      <c r="AV628" s="92">
        <v>0</v>
      </c>
      <c r="AW628" s="92">
        <v>1</v>
      </c>
      <c r="AX628" s="92">
        <v>2</v>
      </c>
      <c r="AY628" s="92">
        <v>3</v>
      </c>
      <c r="AZ628" s="92">
        <v>4</v>
      </c>
      <c r="BA628" s="92">
        <v>5</v>
      </c>
      <c r="BB628" s="92">
        <v>6</v>
      </c>
      <c r="BC628" s="92">
        <v>7</v>
      </c>
      <c r="BD628" s="92">
        <v>8</v>
      </c>
      <c r="BE628" s="92">
        <v>9</v>
      </c>
      <c r="BF628" s="93">
        <v>0</v>
      </c>
      <c r="BG628" s="93">
        <v>1</v>
      </c>
      <c r="BH628" s="93">
        <v>2</v>
      </c>
      <c r="BI628" s="93">
        <v>3</v>
      </c>
      <c r="BJ628" s="93">
        <v>4</v>
      </c>
      <c r="BK628" s="93">
        <v>5</v>
      </c>
      <c r="BL628" s="93">
        <v>6</v>
      </c>
      <c r="BM628" s="93">
        <v>7</v>
      </c>
      <c r="BN628" s="93">
        <v>8</v>
      </c>
      <c r="BO628" s="93">
        <v>9</v>
      </c>
      <c r="BP628" s="94" t="str">
        <f t="shared" si="419"/>
        <v>紧凑型</v>
      </c>
      <c r="BQ628" s="15">
        <f t="shared" si="416"/>
        <v>0</v>
      </c>
      <c r="BR628" s="15">
        <f t="shared" si="417"/>
        <v>4</v>
      </c>
      <c r="BS628" s="20">
        <f t="shared" si="421"/>
        <v>4</v>
      </c>
      <c r="BT628" s="21" t="str">
        <f t="shared" si="422"/>
        <v/>
      </c>
      <c r="BU628" s="21" t="str">
        <f t="array" ref="BU628">_xlfn.TEXTJOIN("",TRUE,IF(ISERROR(FIND(ROW($1:$168)-1,BS628&amp;BT628)),ROW($1:$168)-1,""))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28" s="22" t="str">
        <f t="shared" si="423"/>
        <v>复中中</v>
      </c>
      <c r="BW628" s="23" t="str">
        <f t="shared" si="434"/>
        <v/>
      </c>
      <c r="BX628" s="23" t="str">
        <f t="shared" si="432"/>
        <v/>
      </c>
      <c r="BY628" s="23" t="str">
        <f t="array" ref="BY628">_xlfn.TEXTJOIN("",TRUE,IF(ISERROR(FIND(ROW($1:$168)-1,BW628&amp;BX628)),ROW($1:$168)-1,""))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28" s="22" t="str">
        <f t="shared" si="424"/>
        <v>中中中</v>
      </c>
      <c r="CA628" s="24">
        <f t="shared" si="425"/>
        <v>4</v>
      </c>
      <c r="CB628" s="24" t="str">
        <f t="shared" si="433"/>
        <v/>
      </c>
      <c r="CC628" s="24" t="str">
        <f t="array" ref="CC628">_xlfn.TEXTJOIN("",TRUE,IF(ISERROR(FIND(ROW($1:$168)-1,CA628&amp;CB628)),ROW($1:$168)-1,""))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28" s="22" t="str">
        <f t="shared" si="426"/>
        <v>复中中</v>
      </c>
      <c r="CE628" s="25" t="str">
        <f t="shared" si="420"/>
        <v>35</v>
      </c>
      <c r="CF628" s="26" t="str">
        <f t="array" ref="CF628">_xlfn.TEXTJOIN("",TRUE,IF(ISNUMBER(FIND(MID(CE627&amp;W627,ROW($1:$162),1),CE628&amp;W628)),MID(CE627&amp;W627,ROW($1:$162),1),""))</f>
        <v/>
      </c>
      <c r="CG628" s="27" t="str">
        <f t="array" ref="CG628">_xlfn.TEXTJOIN("",TRUE,IF(ISERROR(FIND(ROW($1:$168)-1,CE628&amp;CF628)),ROW($1:$168)-1,""))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28" s="28" t="str">
        <f t="shared" si="427"/>
        <v>邻孤孤</v>
      </c>
      <c r="CI628" s="29" t="str">
        <f t="shared" si="428"/>
        <v>91</v>
      </c>
      <c r="CJ628" s="29" t="str">
        <f t="array" ref="CJ628">_xlfn.TEXTJOIN("",TRUE,IF(ISNUMBER(FIND(MID(CI627&amp;X627,ROW($1:$162),1),CI628&amp;X628)),MID(CI627&amp;X627,ROW($1:$162),1),""))</f>
        <v/>
      </c>
      <c r="CK628" s="29" t="str">
        <f t="array" ref="CK628">_xlfn.TEXTJOIN("",TRUE,IF(ISERROR(FIND(ROW($1:$168)-1,CI628&amp;CJ628)),ROW($1:$168)-1,""))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628" s="19" t="str">
        <f t="shared" si="429"/>
        <v>邻孤孤</v>
      </c>
      <c r="CM628" s="24" t="str">
        <f t="shared" si="430"/>
        <v>35</v>
      </c>
      <c r="CN628" s="24" t="str">
        <f t="array" ref="CN628">_xlfn.TEXTJOIN("",TRUE,IF(ISNUMBER(FIND(MID(CM627&amp;Y627,ROW($1:$162),1),CM628&amp;Y628)),MID(CM627&amp;Y627,ROW($1:$162),1),""))</f>
        <v>354</v>
      </c>
      <c r="CO628" s="24" t="str">
        <f t="array" ref="CO628">_xlfn.TEXTJOIN("",TRUE,IF(ISERROR(FIND(ROW($1:$168)-1,CM628&amp;CN628)),ROW($1:$168)-1,""))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28" s="30" t="str">
        <f t="shared" si="431"/>
        <v>邻传孤</v>
      </c>
    </row>
    <row r="629" spans="1:94">
      <c r="A629" s="15">
        <v>629</v>
      </c>
      <c r="B629" s="80">
        <v>2025246</v>
      </c>
      <c r="C629" s="8" t="s">
        <v>486</v>
      </c>
      <c r="D629" s="81">
        <f t="shared" si="411"/>
        <v>25</v>
      </c>
      <c r="E629" s="82">
        <f t="shared" si="412"/>
        <v>5</v>
      </c>
      <c r="F629" s="83">
        <f t="shared" si="409"/>
        <v>12.5</v>
      </c>
      <c r="G629" s="84" t="str">
        <f t="shared" si="410"/>
        <v>紧凑</v>
      </c>
      <c r="H629" s="85" t="s">
        <v>10</v>
      </c>
      <c r="I629" s="85" t="s">
        <v>11</v>
      </c>
      <c r="J629" s="85" t="s">
        <v>12</v>
      </c>
      <c r="K629" s="85" t="s">
        <v>13</v>
      </c>
      <c r="L629" s="86">
        <f>MAX(MID(C629,{1,2,3},1)*1)-MIN(MID(C629,{1,2,3},1)*1)</f>
        <v>2</v>
      </c>
      <c r="M629" s="87">
        <v>0</v>
      </c>
      <c r="N629" s="87">
        <v>1</v>
      </c>
      <c r="O629" s="87">
        <v>2</v>
      </c>
      <c r="P629" s="87">
        <v>3</v>
      </c>
      <c r="Q629" s="87">
        <v>4</v>
      </c>
      <c r="R629" s="87">
        <v>5</v>
      </c>
      <c r="S629" s="87">
        <v>6</v>
      </c>
      <c r="T629" s="87">
        <v>7</v>
      </c>
      <c r="U629" s="87">
        <v>8</v>
      </c>
      <c r="V629" s="87">
        <v>9</v>
      </c>
      <c r="W629" s="88">
        <f t="shared" si="413"/>
        <v>0</v>
      </c>
      <c r="X629" s="88">
        <f t="shared" si="414"/>
        <v>2</v>
      </c>
      <c r="Y629" s="88">
        <f t="shared" si="415"/>
        <v>2</v>
      </c>
      <c r="Z629" s="89">
        <f t="shared" si="418"/>
        <v>4</v>
      </c>
      <c r="AA629" s="17" t="str">
        <f>_xlfn.TEXTJOIN(", ",TRUE,ABS(MID(C629,{1,1,2},1)-MID(C629,{2,3,3},1)))</f>
        <v>0, 2, 2</v>
      </c>
      <c r="AB629" s="90">
        <v>0</v>
      </c>
      <c r="AC629" s="90">
        <v>1</v>
      </c>
      <c r="AD629" s="90">
        <v>2</v>
      </c>
      <c r="AE629" s="90">
        <v>3</v>
      </c>
      <c r="AF629" s="90">
        <v>4</v>
      </c>
      <c r="AG629" s="90">
        <v>5</v>
      </c>
      <c r="AH629" s="90">
        <v>6</v>
      </c>
      <c r="AI629" s="90">
        <v>7</v>
      </c>
      <c r="AJ629" s="90">
        <v>8</v>
      </c>
      <c r="AK629" s="90">
        <v>9</v>
      </c>
      <c r="AL629" s="91">
        <v>0</v>
      </c>
      <c r="AM629" s="91">
        <v>1</v>
      </c>
      <c r="AN629" s="91">
        <v>2</v>
      </c>
      <c r="AO629" s="91">
        <v>3</v>
      </c>
      <c r="AP629" s="91">
        <v>4</v>
      </c>
      <c r="AQ629" s="91">
        <v>5</v>
      </c>
      <c r="AR629" s="91">
        <v>6</v>
      </c>
      <c r="AS629" s="91">
        <v>7</v>
      </c>
      <c r="AT629" s="91">
        <v>8</v>
      </c>
      <c r="AU629" s="91">
        <v>9</v>
      </c>
      <c r="AV629" s="92">
        <v>0</v>
      </c>
      <c r="AW629" s="92">
        <v>1</v>
      </c>
      <c r="AX629" s="92">
        <v>2</v>
      </c>
      <c r="AY629" s="92">
        <v>3</v>
      </c>
      <c r="AZ629" s="92">
        <v>4</v>
      </c>
      <c r="BA629" s="92">
        <v>5</v>
      </c>
      <c r="BB629" s="92">
        <v>6</v>
      </c>
      <c r="BC629" s="92">
        <v>7</v>
      </c>
      <c r="BD629" s="92">
        <v>8</v>
      </c>
      <c r="BE629" s="92">
        <v>9</v>
      </c>
      <c r="BF629" s="93">
        <v>0</v>
      </c>
      <c r="BG629" s="93">
        <v>1</v>
      </c>
      <c r="BH629" s="93">
        <v>2</v>
      </c>
      <c r="BI629" s="93">
        <v>3</v>
      </c>
      <c r="BJ629" s="93">
        <v>4</v>
      </c>
      <c r="BK629" s="93">
        <v>5</v>
      </c>
      <c r="BL629" s="93">
        <v>6</v>
      </c>
      <c r="BM629" s="93">
        <v>7</v>
      </c>
      <c r="BN629" s="93">
        <v>8</v>
      </c>
      <c r="BO629" s="93">
        <v>9</v>
      </c>
      <c r="BP629" s="94" t="str">
        <f t="shared" si="419"/>
        <v>紧凑型</v>
      </c>
      <c r="BQ629" s="15">
        <f t="shared" si="416"/>
        <v>0</v>
      </c>
      <c r="BR629" s="15">
        <f t="shared" si="417"/>
        <v>2</v>
      </c>
      <c r="BS629" s="20">
        <f t="shared" si="421"/>
        <v>0</v>
      </c>
      <c r="BT629" s="21" t="str">
        <f t="shared" si="422"/>
        <v/>
      </c>
      <c r="BU629" s="21" t="str">
        <f t="array" ref="BU629">_xlfn.TEXTJOIN("",TRUE,IF(ISERROR(FIND(ROW($1:$168)-1,BS629&amp;BT629)),ROW($1:$168)-1,""))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29" s="22" t="str">
        <f t="shared" si="423"/>
        <v>复中中</v>
      </c>
      <c r="BW629" s="23" t="str">
        <f t="shared" si="434"/>
        <v/>
      </c>
      <c r="BX629" s="23" t="str">
        <f t="shared" si="432"/>
        <v/>
      </c>
      <c r="BY629" s="23" t="str">
        <f t="array" ref="BY629">_xlfn.TEXTJOIN("",TRUE,IF(ISERROR(FIND(ROW($1:$168)-1,BW629&amp;BX629)),ROW($1:$168)-1,""))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29" s="22" t="str">
        <f t="shared" si="424"/>
        <v>中中中</v>
      </c>
      <c r="CA629" s="24" t="str">
        <f t="shared" si="425"/>
        <v/>
      </c>
      <c r="CB629" s="24" t="str">
        <f t="shared" si="433"/>
        <v/>
      </c>
      <c r="CC629" s="24" t="str">
        <f t="array" ref="CC629">_xlfn.TEXTJOIN("",TRUE,IF(ISERROR(FIND(ROW($1:$168)-1,CA629&amp;CB629)),ROW($1:$168)-1,""))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29" s="22" t="str">
        <f t="shared" si="426"/>
        <v>中中中</v>
      </c>
      <c r="CE629" s="25" t="str">
        <f t="shared" si="420"/>
        <v>91</v>
      </c>
      <c r="CF629" s="26" t="str">
        <f t="array" ref="CF629">_xlfn.TEXTJOIN("",TRUE,IF(ISNUMBER(FIND(MID(CE628&amp;W628,ROW($1:$162),1),CE629&amp;W629)),MID(CE628&amp;W628,ROW($1:$162),1),""))</f>
        <v/>
      </c>
      <c r="CG629" s="27" t="str">
        <f t="array" ref="CG629">_xlfn.TEXTJOIN("",TRUE,IF(ISERROR(FIND(ROW($1:$168)-1,CE629&amp;CF629)),ROW($1:$168)-1,""))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629" s="28" t="str">
        <f t="shared" si="427"/>
        <v>邻孤孤</v>
      </c>
      <c r="CI629" s="29" t="str">
        <f t="shared" si="428"/>
        <v>13</v>
      </c>
      <c r="CJ629" s="29" t="str">
        <f t="array" ref="CJ629">_xlfn.TEXTJOIN("",TRUE,IF(ISNUMBER(FIND(MID(CI628&amp;X628,ROW($1:$162),1),CI629&amp;X629)),MID(CI628&amp;X628,ROW($1:$162),1),""))</f>
        <v>1</v>
      </c>
      <c r="CK629" s="29" t="str">
        <f t="array" ref="CK629">_xlfn.TEXTJOIN("",TRUE,IF(ISERROR(FIND(ROW($1:$168)-1,CI629&amp;CJ629)),ROW($1:$168)-1,""))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L629" s="19" t="str">
        <f t="shared" si="429"/>
        <v>邻传孤</v>
      </c>
      <c r="CM629" s="24" t="str">
        <f t="shared" si="430"/>
        <v>13</v>
      </c>
      <c r="CN629" s="24" t="str">
        <f t="array" ref="CN629">_xlfn.TEXTJOIN("",TRUE,IF(ISNUMBER(FIND(MID(CM628&amp;Y628,ROW($1:$162),1),CM629&amp;Y629)),MID(CM628&amp;Y628,ROW($1:$162),1),""))</f>
        <v>3</v>
      </c>
      <c r="CO629" s="24" t="str">
        <f t="array" ref="CO629">_xlfn.TEXTJOIN("",TRUE,IF(ISERROR(FIND(ROW($1:$168)-1,CM629&amp;CN629)),ROW($1:$168)-1,""))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P629" s="30" t="str">
        <f t="shared" si="431"/>
        <v>邻传孤</v>
      </c>
    </row>
    <row r="630" spans="1:94">
      <c r="A630" s="15">
        <v>630</v>
      </c>
      <c r="B630" s="80">
        <v>2025247</v>
      </c>
      <c r="C630" s="8" t="s">
        <v>487</v>
      </c>
      <c r="D630" s="81">
        <f t="shared" si="411"/>
        <v>10</v>
      </c>
      <c r="E630" s="82">
        <f t="shared" si="412"/>
        <v>0</v>
      </c>
      <c r="F630" s="83">
        <f t="shared" si="409"/>
        <v>2.5</v>
      </c>
      <c r="G630" s="84" t="str">
        <f t="shared" si="410"/>
        <v>标准</v>
      </c>
      <c r="H630" s="85" t="s">
        <v>10</v>
      </c>
      <c r="I630" s="85" t="s">
        <v>11</v>
      </c>
      <c r="J630" s="85" t="s">
        <v>12</v>
      </c>
      <c r="K630" s="85" t="s">
        <v>13</v>
      </c>
      <c r="L630" s="86">
        <f>MAX(MID(C630,{1,2,3},1)*1)-MIN(MID(C630,{1,2,3},1)*1)</f>
        <v>4</v>
      </c>
      <c r="M630" s="87">
        <v>0</v>
      </c>
      <c r="N630" s="87">
        <v>1</v>
      </c>
      <c r="O630" s="87">
        <v>2</v>
      </c>
      <c r="P630" s="87">
        <v>3</v>
      </c>
      <c r="Q630" s="87">
        <v>4</v>
      </c>
      <c r="R630" s="87">
        <v>5</v>
      </c>
      <c r="S630" s="87">
        <v>6</v>
      </c>
      <c r="T630" s="87">
        <v>7</v>
      </c>
      <c r="U630" s="87">
        <v>8</v>
      </c>
      <c r="V630" s="87">
        <v>9</v>
      </c>
      <c r="W630" s="88">
        <f t="shared" si="413"/>
        <v>4</v>
      </c>
      <c r="X630" s="88">
        <f t="shared" si="414"/>
        <v>0</v>
      </c>
      <c r="Y630" s="88">
        <f t="shared" si="415"/>
        <v>4</v>
      </c>
      <c r="Z630" s="89">
        <f t="shared" si="418"/>
        <v>8</v>
      </c>
      <c r="AA630" s="17" t="str">
        <f>_xlfn.TEXTJOIN(", ",TRUE,ABS(MID(C630,{1,1,2},1)-MID(C630,{2,3,3},1)))</f>
        <v>4, 0, 4</v>
      </c>
      <c r="AB630" s="90">
        <v>0</v>
      </c>
      <c r="AC630" s="90">
        <v>1</v>
      </c>
      <c r="AD630" s="90">
        <v>2</v>
      </c>
      <c r="AE630" s="90">
        <v>3</v>
      </c>
      <c r="AF630" s="90">
        <v>4</v>
      </c>
      <c r="AG630" s="90">
        <v>5</v>
      </c>
      <c r="AH630" s="90">
        <v>6</v>
      </c>
      <c r="AI630" s="90">
        <v>7</v>
      </c>
      <c r="AJ630" s="90">
        <v>8</v>
      </c>
      <c r="AK630" s="90">
        <v>9</v>
      </c>
      <c r="AL630" s="91">
        <v>0</v>
      </c>
      <c r="AM630" s="91">
        <v>1</v>
      </c>
      <c r="AN630" s="91">
        <v>2</v>
      </c>
      <c r="AO630" s="91">
        <v>3</v>
      </c>
      <c r="AP630" s="91">
        <v>4</v>
      </c>
      <c r="AQ630" s="91">
        <v>5</v>
      </c>
      <c r="AR630" s="91">
        <v>6</v>
      </c>
      <c r="AS630" s="91">
        <v>7</v>
      </c>
      <c r="AT630" s="91">
        <v>8</v>
      </c>
      <c r="AU630" s="91">
        <v>9</v>
      </c>
      <c r="AV630" s="92">
        <v>0</v>
      </c>
      <c r="AW630" s="92">
        <v>1</v>
      </c>
      <c r="AX630" s="92">
        <v>2</v>
      </c>
      <c r="AY630" s="92">
        <v>3</v>
      </c>
      <c r="AZ630" s="92">
        <v>4</v>
      </c>
      <c r="BA630" s="92">
        <v>5</v>
      </c>
      <c r="BB630" s="92">
        <v>6</v>
      </c>
      <c r="BC630" s="92">
        <v>7</v>
      </c>
      <c r="BD630" s="92">
        <v>8</v>
      </c>
      <c r="BE630" s="92">
        <v>9</v>
      </c>
      <c r="BF630" s="93">
        <v>0</v>
      </c>
      <c r="BG630" s="93">
        <v>1</v>
      </c>
      <c r="BH630" s="93">
        <v>2</v>
      </c>
      <c r="BI630" s="93">
        <v>3</v>
      </c>
      <c r="BJ630" s="93">
        <v>4</v>
      </c>
      <c r="BK630" s="93">
        <v>5</v>
      </c>
      <c r="BL630" s="93">
        <v>6</v>
      </c>
      <c r="BM630" s="93">
        <v>7</v>
      </c>
      <c r="BN630" s="93">
        <v>8</v>
      </c>
      <c r="BO630" s="93">
        <v>9</v>
      </c>
      <c r="BP630" s="94" t="str">
        <f t="shared" si="419"/>
        <v>紧凑型</v>
      </c>
      <c r="BQ630" s="15">
        <f t="shared" si="416"/>
        <v>0</v>
      </c>
      <c r="BR630" s="15">
        <f t="shared" si="417"/>
        <v>4</v>
      </c>
      <c r="BS630" s="20" t="str">
        <f t="shared" si="421"/>
        <v/>
      </c>
      <c r="BT630" s="21">
        <f t="shared" si="422"/>
        <v>4</v>
      </c>
      <c r="BU630" s="21" t="str">
        <f t="array" ref="BU630">_xlfn.TEXTJOIN("",TRUE,IF(ISERROR(FIND(ROW($1:$168)-1,BS630&amp;BT630)),ROW($1:$168)-1,""))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30" s="22" t="str">
        <f t="shared" si="423"/>
        <v>中隔中</v>
      </c>
      <c r="BW630" s="23">
        <f t="shared" si="434"/>
        <v>0</v>
      </c>
      <c r="BX630" s="23">
        <f t="shared" si="432"/>
        <v>0</v>
      </c>
      <c r="BY630" s="23" t="str">
        <f t="array" ref="BY630">_xlfn.TEXTJOIN("",TRUE,IF(ISERROR(FIND(ROW($1:$168)-1,BW630&amp;BX630)),ROW($1:$168)-1,""))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30" s="22" t="str">
        <f t="shared" si="424"/>
        <v>复隔中</v>
      </c>
      <c r="CA630" s="24" t="str">
        <f t="shared" si="425"/>
        <v/>
      </c>
      <c r="CB630" s="24">
        <f t="shared" si="433"/>
        <v>4</v>
      </c>
      <c r="CC630" s="24" t="str">
        <f t="array" ref="CC630">_xlfn.TEXTJOIN("",TRUE,IF(ISERROR(FIND(ROW($1:$168)-1,CA630&amp;CB630)),ROW($1:$168)-1,""))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30" s="22" t="str">
        <f t="shared" si="426"/>
        <v>中隔中</v>
      </c>
      <c r="CE630" s="25" t="str">
        <f t="shared" si="420"/>
        <v>35</v>
      </c>
      <c r="CF630" s="26" t="str">
        <f t="array" ref="CF630">_xlfn.TEXTJOIN("",TRUE,IF(ISNUMBER(FIND(MID(CE629&amp;W629,ROW($1:$162),1),CE630&amp;W630)),MID(CE629&amp;W629,ROW($1:$162),1),""))</f>
        <v/>
      </c>
      <c r="CG630" s="27" t="str">
        <f t="array" ref="CG630">_xlfn.TEXTJOIN("",TRUE,IF(ISERROR(FIND(ROW($1:$168)-1,CE630&amp;CF630)),ROW($1:$168)-1,""))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30" s="28" t="str">
        <f t="shared" si="427"/>
        <v>邻孤孤</v>
      </c>
      <c r="CI630" s="29" t="str">
        <f t="shared" si="428"/>
        <v>91</v>
      </c>
      <c r="CJ630" s="29" t="str">
        <f t="array" ref="CJ630">_xlfn.TEXTJOIN("",TRUE,IF(ISNUMBER(FIND(MID(CI629&amp;X629,ROW($1:$162),1),CI630&amp;X630)),MID(CI629&amp;X629,ROW($1:$162),1),""))</f>
        <v>1</v>
      </c>
      <c r="CK630" s="29" t="str">
        <f t="array" ref="CK630">_xlfn.TEXTJOIN("",TRUE,IF(ISERROR(FIND(ROW($1:$168)-1,CI630&amp;CJ630)),ROW($1:$168)-1,""))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630" s="19" t="str">
        <f t="shared" si="429"/>
        <v>邻传孤</v>
      </c>
      <c r="CM630" s="24" t="str">
        <f t="shared" si="430"/>
        <v>35</v>
      </c>
      <c r="CN630" s="24" t="str">
        <f t="array" ref="CN630">_xlfn.TEXTJOIN("",TRUE,IF(ISNUMBER(FIND(MID(CM629&amp;Y629,ROW($1:$162),1),CM630&amp;Y630)),MID(CM629&amp;Y629,ROW($1:$162),1),""))</f>
        <v>3</v>
      </c>
      <c r="CO630" s="24" t="str">
        <f t="array" ref="CO630">_xlfn.TEXTJOIN("",TRUE,IF(ISERROR(FIND(ROW($1:$168)-1,CM630&amp;CN630)),ROW($1:$168)-1,""))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30" s="30" t="str">
        <f t="shared" si="431"/>
        <v>邻传孤</v>
      </c>
    </row>
    <row r="631" spans="1:94">
      <c r="A631" s="15">
        <v>631</v>
      </c>
      <c r="B631" s="80">
        <v>2025248</v>
      </c>
      <c r="C631" s="8" t="s">
        <v>472</v>
      </c>
      <c r="D631" s="81">
        <f t="shared" si="411"/>
        <v>13</v>
      </c>
      <c r="E631" s="82">
        <f t="shared" si="412"/>
        <v>3</v>
      </c>
      <c r="F631" s="83">
        <f t="shared" si="409"/>
        <v>3.25</v>
      </c>
      <c r="G631" s="84" t="str">
        <f t="shared" si="410"/>
        <v>标准</v>
      </c>
      <c r="H631" s="85" t="s">
        <v>10</v>
      </c>
      <c r="I631" s="85" t="s">
        <v>11</v>
      </c>
      <c r="J631" s="85" t="s">
        <v>12</v>
      </c>
      <c r="K631" s="85" t="s">
        <v>13</v>
      </c>
      <c r="L631" s="86">
        <f>MAX(MID(C631,{1,2,3},1)*1)-MIN(MID(C631,{1,2,3},1)*1)</f>
        <v>4</v>
      </c>
      <c r="M631" s="87">
        <v>0</v>
      </c>
      <c r="N631" s="87">
        <v>1</v>
      </c>
      <c r="O631" s="87">
        <v>2</v>
      </c>
      <c r="P631" s="87">
        <v>3</v>
      </c>
      <c r="Q631" s="87">
        <v>4</v>
      </c>
      <c r="R631" s="87">
        <v>5</v>
      </c>
      <c r="S631" s="87">
        <v>6</v>
      </c>
      <c r="T631" s="87">
        <v>7</v>
      </c>
      <c r="U631" s="87">
        <v>8</v>
      </c>
      <c r="V631" s="87">
        <v>9</v>
      </c>
      <c r="W631" s="88">
        <f t="shared" si="413"/>
        <v>3</v>
      </c>
      <c r="X631" s="88">
        <f t="shared" si="414"/>
        <v>1</v>
      </c>
      <c r="Y631" s="88">
        <f t="shared" si="415"/>
        <v>4</v>
      </c>
      <c r="Z631" s="89">
        <f t="shared" si="418"/>
        <v>8</v>
      </c>
      <c r="AA631" s="17" t="str">
        <f>_xlfn.TEXTJOIN(", ",TRUE,ABS(MID(C631,{1,1,2},1)-MID(C631,{2,3,3},1)))</f>
        <v>3, 1, 4</v>
      </c>
      <c r="AB631" s="90">
        <v>0</v>
      </c>
      <c r="AC631" s="90">
        <v>1</v>
      </c>
      <c r="AD631" s="90">
        <v>2</v>
      </c>
      <c r="AE631" s="90">
        <v>3</v>
      </c>
      <c r="AF631" s="90">
        <v>4</v>
      </c>
      <c r="AG631" s="90">
        <v>5</v>
      </c>
      <c r="AH631" s="90">
        <v>6</v>
      </c>
      <c r="AI631" s="90">
        <v>7</v>
      </c>
      <c r="AJ631" s="90">
        <v>8</v>
      </c>
      <c r="AK631" s="90">
        <v>9</v>
      </c>
      <c r="AL631" s="91">
        <v>0</v>
      </c>
      <c r="AM631" s="91">
        <v>1</v>
      </c>
      <c r="AN631" s="91">
        <v>2</v>
      </c>
      <c r="AO631" s="91">
        <v>3</v>
      </c>
      <c r="AP631" s="91">
        <v>4</v>
      </c>
      <c r="AQ631" s="91">
        <v>5</v>
      </c>
      <c r="AR631" s="91">
        <v>6</v>
      </c>
      <c r="AS631" s="91">
        <v>7</v>
      </c>
      <c r="AT631" s="91">
        <v>8</v>
      </c>
      <c r="AU631" s="91">
        <v>9</v>
      </c>
      <c r="AV631" s="92">
        <v>0</v>
      </c>
      <c r="AW631" s="92">
        <v>1</v>
      </c>
      <c r="AX631" s="92">
        <v>2</v>
      </c>
      <c r="AY631" s="92">
        <v>3</v>
      </c>
      <c r="AZ631" s="92">
        <v>4</v>
      </c>
      <c r="BA631" s="92">
        <v>5</v>
      </c>
      <c r="BB631" s="92">
        <v>6</v>
      </c>
      <c r="BC631" s="92">
        <v>7</v>
      </c>
      <c r="BD631" s="92">
        <v>8</v>
      </c>
      <c r="BE631" s="92">
        <v>9</v>
      </c>
      <c r="BF631" s="93">
        <v>0</v>
      </c>
      <c r="BG631" s="93">
        <v>1</v>
      </c>
      <c r="BH631" s="93">
        <v>2</v>
      </c>
      <c r="BI631" s="93">
        <v>3</v>
      </c>
      <c r="BJ631" s="93">
        <v>4</v>
      </c>
      <c r="BK631" s="93">
        <v>5</v>
      </c>
      <c r="BL631" s="93">
        <v>6</v>
      </c>
      <c r="BM631" s="93">
        <v>7</v>
      </c>
      <c r="BN631" s="93">
        <v>8</v>
      </c>
      <c r="BO631" s="93">
        <v>9</v>
      </c>
      <c r="BP631" s="94" t="str">
        <f t="shared" si="419"/>
        <v>紧凑型</v>
      </c>
      <c r="BQ631" s="15">
        <f t="shared" si="416"/>
        <v>1</v>
      </c>
      <c r="BR631" s="15">
        <f t="shared" si="417"/>
        <v>4</v>
      </c>
      <c r="BS631" s="20" t="str">
        <f t="shared" si="421"/>
        <v/>
      </c>
      <c r="BT631" s="21" t="str">
        <f t="shared" si="422"/>
        <v/>
      </c>
      <c r="BU631" s="21" t="str">
        <f t="array" ref="BU631">_xlfn.TEXTJOIN("",TRUE,IF(ISERROR(FIND(ROW($1:$168)-1,BS631&amp;BT631)),ROW($1:$168)-1,""))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31" s="22" t="str">
        <f t="shared" si="423"/>
        <v>中中中</v>
      </c>
      <c r="BW631" s="23" t="str">
        <f t="shared" si="434"/>
        <v/>
      </c>
      <c r="BX631" s="23" t="str">
        <f t="shared" si="432"/>
        <v/>
      </c>
      <c r="BY631" s="23" t="str">
        <f t="array" ref="BY631">_xlfn.TEXTJOIN("",TRUE,IF(ISERROR(FIND(ROW($1:$168)-1,BW631&amp;BX631)),ROW($1:$168)-1,""))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31" s="22" t="str">
        <f t="shared" si="424"/>
        <v>中中中</v>
      </c>
      <c r="CA631" s="24">
        <f t="shared" si="425"/>
        <v>4</v>
      </c>
      <c r="CB631" s="24" t="str">
        <f t="shared" si="433"/>
        <v/>
      </c>
      <c r="CC631" s="24" t="str">
        <f t="array" ref="CC631">_xlfn.TEXTJOIN("",TRUE,IF(ISERROR(FIND(ROW($1:$168)-1,CA631&amp;CB631)),ROW($1:$168)-1,""))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31" s="22" t="str">
        <f t="shared" si="426"/>
        <v>复中中</v>
      </c>
      <c r="CE631" s="25" t="str">
        <f t="shared" si="420"/>
        <v>24</v>
      </c>
      <c r="CF631" s="26" t="str">
        <f t="array" ref="CF631">_xlfn.TEXTJOIN("",TRUE,IF(ISNUMBER(FIND(MID(CE630&amp;W630,ROW($1:$162),1),CE631&amp;W631)),MID(CE630&amp;W630,ROW($1:$162),1),""))</f>
        <v>34</v>
      </c>
      <c r="CG631" s="27" t="str">
        <f t="array" ref="CG631">_xlfn.TEXTJOIN("",TRUE,IF(ISERROR(FIND(ROW($1:$168)-1,CE631&amp;CF631)),ROW($1:$168)-1,""))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31" s="28" t="str">
        <f t="shared" si="427"/>
        <v>邻传孤</v>
      </c>
      <c r="CI631" s="29" t="str">
        <f t="shared" si="428"/>
        <v>02</v>
      </c>
      <c r="CJ631" s="29" t="str">
        <f t="array" ref="CJ631">_xlfn.TEXTJOIN("",TRUE,IF(ISNUMBER(FIND(MID(CI630&amp;X630,ROW($1:$162),1),CI631&amp;X631)),MID(CI630&amp;X630,ROW($1:$162),1),""))</f>
        <v>10</v>
      </c>
      <c r="CK631" s="29" t="str">
        <f t="array" ref="CK631">_xlfn.TEXTJOIN("",TRUE,IF(ISERROR(FIND(ROW($1:$168)-1,CI631&amp;CJ631)),ROW($1:$168)-1,""))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31" s="19" t="str">
        <f t="shared" si="429"/>
        <v>邻传孤</v>
      </c>
      <c r="CM631" s="24" t="str">
        <f t="shared" si="430"/>
        <v>35</v>
      </c>
      <c r="CN631" s="24" t="str">
        <f t="array" ref="CN631">_xlfn.TEXTJOIN("",TRUE,IF(ISNUMBER(FIND(MID(CM630&amp;Y630,ROW($1:$162),1),CM631&amp;Y631)),MID(CM630&amp;Y630,ROW($1:$162),1),""))</f>
        <v>354</v>
      </c>
      <c r="CO631" s="24" t="str">
        <f t="array" ref="CO631">_xlfn.TEXTJOIN("",TRUE,IF(ISERROR(FIND(ROW($1:$168)-1,CM631&amp;CN631)),ROW($1:$168)-1,""))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31" s="30" t="str">
        <f t="shared" si="431"/>
        <v>邻传孤</v>
      </c>
    </row>
    <row r="632" spans="1:94">
      <c r="A632" s="15">
        <v>632</v>
      </c>
      <c r="B632" s="80">
        <v>2025249</v>
      </c>
      <c r="C632" s="8" t="s">
        <v>488</v>
      </c>
      <c r="D632" s="81">
        <f t="shared" si="411"/>
        <v>16</v>
      </c>
      <c r="E632" s="82">
        <f t="shared" si="412"/>
        <v>6</v>
      </c>
      <c r="F632" s="83">
        <f t="shared" si="409"/>
        <v>2.28571428571429</v>
      </c>
      <c r="G632" s="84" t="str">
        <f t="shared" si="410"/>
        <v>标准</v>
      </c>
      <c r="H632" s="85" t="s">
        <v>10</v>
      </c>
      <c r="I632" s="85" t="s">
        <v>11</v>
      </c>
      <c r="J632" s="85" t="s">
        <v>12</v>
      </c>
      <c r="K632" s="85" t="s">
        <v>13</v>
      </c>
      <c r="L632" s="86">
        <f>MAX(MID(C632,{1,2,3},1)*1)-MIN(MID(C632,{1,2,3},1)*1)</f>
        <v>7</v>
      </c>
      <c r="M632" s="87">
        <v>0</v>
      </c>
      <c r="N632" s="87">
        <v>1</v>
      </c>
      <c r="O632" s="87">
        <v>2</v>
      </c>
      <c r="P632" s="87">
        <v>3</v>
      </c>
      <c r="Q632" s="87">
        <v>4</v>
      </c>
      <c r="R632" s="87">
        <v>5</v>
      </c>
      <c r="S632" s="87">
        <v>6</v>
      </c>
      <c r="T632" s="87">
        <v>7</v>
      </c>
      <c r="U632" s="87">
        <v>8</v>
      </c>
      <c r="V632" s="87">
        <v>9</v>
      </c>
      <c r="W632" s="88">
        <f t="shared" si="413"/>
        <v>4</v>
      </c>
      <c r="X632" s="88">
        <f t="shared" si="414"/>
        <v>7</v>
      </c>
      <c r="Y632" s="88">
        <f t="shared" si="415"/>
        <v>3</v>
      </c>
      <c r="Z632" s="89">
        <f t="shared" si="418"/>
        <v>14</v>
      </c>
      <c r="AA632" s="17" t="str">
        <f>_xlfn.TEXTJOIN(", ",TRUE,ABS(MID(C632,{1,1,2},1)-MID(C632,{2,3,3},1)))</f>
        <v>4, 7, 3</v>
      </c>
      <c r="AB632" s="90">
        <v>0</v>
      </c>
      <c r="AC632" s="90">
        <v>1</v>
      </c>
      <c r="AD632" s="90">
        <v>2</v>
      </c>
      <c r="AE632" s="90">
        <v>3</v>
      </c>
      <c r="AF632" s="90">
        <v>4</v>
      </c>
      <c r="AG632" s="90">
        <v>5</v>
      </c>
      <c r="AH632" s="90">
        <v>6</v>
      </c>
      <c r="AI632" s="90">
        <v>7</v>
      </c>
      <c r="AJ632" s="90">
        <v>8</v>
      </c>
      <c r="AK632" s="90">
        <v>9</v>
      </c>
      <c r="AL632" s="91">
        <v>0</v>
      </c>
      <c r="AM632" s="91">
        <v>1</v>
      </c>
      <c r="AN632" s="91">
        <v>2</v>
      </c>
      <c r="AO632" s="91">
        <v>3</v>
      </c>
      <c r="AP632" s="91">
        <v>4</v>
      </c>
      <c r="AQ632" s="91">
        <v>5</v>
      </c>
      <c r="AR632" s="91">
        <v>6</v>
      </c>
      <c r="AS632" s="91">
        <v>7</v>
      </c>
      <c r="AT632" s="91">
        <v>8</v>
      </c>
      <c r="AU632" s="91">
        <v>9</v>
      </c>
      <c r="AV632" s="92">
        <v>0</v>
      </c>
      <c r="AW632" s="92">
        <v>1</v>
      </c>
      <c r="AX632" s="92">
        <v>2</v>
      </c>
      <c r="AY632" s="92">
        <v>3</v>
      </c>
      <c r="AZ632" s="92">
        <v>4</v>
      </c>
      <c r="BA632" s="92">
        <v>5</v>
      </c>
      <c r="BB632" s="92">
        <v>6</v>
      </c>
      <c r="BC632" s="92">
        <v>7</v>
      </c>
      <c r="BD632" s="92">
        <v>8</v>
      </c>
      <c r="BE632" s="92">
        <v>9</v>
      </c>
      <c r="BF632" s="93">
        <v>0</v>
      </c>
      <c r="BG632" s="93">
        <v>1</v>
      </c>
      <c r="BH632" s="93">
        <v>2</v>
      </c>
      <c r="BI632" s="93">
        <v>3</v>
      </c>
      <c r="BJ632" s="93">
        <v>4</v>
      </c>
      <c r="BK632" s="93">
        <v>5</v>
      </c>
      <c r="BL632" s="93">
        <v>6</v>
      </c>
      <c r="BM632" s="93">
        <v>7</v>
      </c>
      <c r="BN632" s="93">
        <v>8</v>
      </c>
      <c r="BO632" s="93">
        <v>9</v>
      </c>
      <c r="BP632" s="94" t="str">
        <f t="shared" si="419"/>
        <v>松散型</v>
      </c>
      <c r="BQ632" s="15">
        <f t="shared" si="416"/>
        <v>3</v>
      </c>
      <c r="BR632" s="15">
        <f t="shared" si="417"/>
        <v>7</v>
      </c>
      <c r="BS632" s="20">
        <f t="shared" si="421"/>
        <v>4</v>
      </c>
      <c r="BT632" s="21">
        <f t="shared" si="422"/>
        <v>4</v>
      </c>
      <c r="BU632" s="21" t="str">
        <f t="array" ref="BU632">_xlfn.TEXTJOIN("",TRUE,IF(ISERROR(FIND(ROW($1:$168)-1,BS632&amp;BT632)),ROW($1:$168)-1,""))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32" s="22" t="str">
        <f t="shared" si="423"/>
        <v>复隔中</v>
      </c>
      <c r="BW632" s="23" t="str">
        <f t="shared" si="434"/>
        <v/>
      </c>
      <c r="BX632" s="23" t="str">
        <f t="shared" si="432"/>
        <v/>
      </c>
      <c r="BY632" s="23" t="str">
        <f t="array" ref="BY632">_xlfn.TEXTJOIN("",TRUE,IF(ISERROR(FIND(ROW($1:$168)-1,BW632&amp;BX632)),ROW($1:$168)-1,""))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32" s="22" t="str">
        <f t="shared" si="424"/>
        <v>中中中</v>
      </c>
      <c r="CA632" s="24">
        <f t="shared" si="425"/>
        <v>3</v>
      </c>
      <c r="CB632" s="24" t="str">
        <f t="shared" si="433"/>
        <v/>
      </c>
      <c r="CC632" s="24" t="str">
        <f t="array" ref="CC632">_xlfn.TEXTJOIN("",TRUE,IF(ISERROR(FIND(ROW($1:$168)-1,CA632&amp;CB632)),ROW($1:$168)-1,""))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32" s="22" t="str">
        <f t="shared" si="426"/>
        <v>复中中</v>
      </c>
      <c r="CE632" s="25" t="str">
        <f t="shared" si="420"/>
        <v>35</v>
      </c>
      <c r="CF632" s="26" t="str">
        <f t="array" ref="CF632">_xlfn.TEXTJOIN("",TRUE,IF(ISNUMBER(FIND(MID(CE631&amp;W631,ROW($1:$162),1),CE632&amp;W632)),MID(CE631&amp;W631,ROW($1:$162),1),""))</f>
        <v>43</v>
      </c>
      <c r="CG632" s="27" t="str">
        <f t="array" ref="CG632">_xlfn.TEXTJOIN("",TRUE,IF(ISERROR(FIND(ROW($1:$168)-1,CE632&amp;CF632)),ROW($1:$168)-1,""))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32" s="28" t="str">
        <f t="shared" si="427"/>
        <v>邻传孤</v>
      </c>
      <c r="CI632" s="29" t="str">
        <f t="shared" si="428"/>
        <v>68</v>
      </c>
      <c r="CJ632" s="29" t="str">
        <f t="array" ref="CJ632">_xlfn.TEXTJOIN("",TRUE,IF(ISNUMBER(FIND(MID(CI631&amp;X631,ROW($1:$162),1),CI632&amp;X632)),MID(CI631&amp;X631,ROW($1:$162),1),""))</f>
        <v/>
      </c>
      <c r="CK632" s="29" t="str">
        <f t="array" ref="CK632">_xlfn.TEXTJOIN("",TRUE,IF(ISERROR(FIND(ROW($1:$168)-1,CI632&amp;CJ632)),ROW($1:$168)-1,""))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32" s="19" t="str">
        <f t="shared" si="429"/>
        <v>邻孤孤</v>
      </c>
      <c r="CM632" s="24" t="str">
        <f t="shared" si="430"/>
        <v>24</v>
      </c>
      <c r="CN632" s="24" t="str">
        <f t="array" ref="CN632">_xlfn.TEXTJOIN("",TRUE,IF(ISNUMBER(FIND(MID(CM631&amp;Y631,ROW($1:$162),1),CM632&amp;Y632)),MID(CM631&amp;Y631,ROW($1:$162),1),""))</f>
        <v>34</v>
      </c>
      <c r="CO632" s="24" t="str">
        <f t="array" ref="CO632">_xlfn.TEXTJOIN("",TRUE,IF(ISERROR(FIND(ROW($1:$168)-1,CM632&amp;CN632)),ROW($1:$168)-1,""))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32" s="30" t="str">
        <f t="shared" si="431"/>
        <v>邻传孤</v>
      </c>
    </row>
    <row r="633" spans="1:94">
      <c r="A633" s="15">
        <v>633</v>
      </c>
      <c r="B633" s="80">
        <v>2025250</v>
      </c>
      <c r="C633" s="8" t="s">
        <v>489</v>
      </c>
      <c r="D633" s="81">
        <f t="shared" si="411"/>
        <v>11</v>
      </c>
      <c r="E633" s="82">
        <f t="shared" si="412"/>
        <v>1</v>
      </c>
      <c r="F633" s="83">
        <f t="shared" si="409"/>
        <v>1.22222222222222</v>
      </c>
      <c r="G633" s="84" t="str">
        <f t="shared" si="410"/>
        <v>松散</v>
      </c>
      <c r="H633" s="85" t="s">
        <v>10</v>
      </c>
      <c r="I633" s="85" t="s">
        <v>11</v>
      </c>
      <c r="J633" s="85" t="s">
        <v>12</v>
      </c>
      <c r="K633" s="85" t="s">
        <v>13</v>
      </c>
      <c r="L633" s="86">
        <f>MAX(MID(C633,{1,2,3},1)*1)-MIN(MID(C633,{1,2,3},1)*1)</f>
        <v>9</v>
      </c>
      <c r="M633" s="87">
        <v>0</v>
      </c>
      <c r="N633" s="87">
        <v>1</v>
      </c>
      <c r="O633" s="87">
        <v>2</v>
      </c>
      <c r="P633" s="87">
        <v>3</v>
      </c>
      <c r="Q633" s="87">
        <v>4</v>
      </c>
      <c r="R633" s="87">
        <v>5</v>
      </c>
      <c r="S633" s="87">
        <v>6</v>
      </c>
      <c r="T633" s="87">
        <v>7</v>
      </c>
      <c r="U633" s="87">
        <v>8</v>
      </c>
      <c r="V633" s="87">
        <v>9</v>
      </c>
      <c r="W633" s="88">
        <f t="shared" si="413"/>
        <v>9</v>
      </c>
      <c r="X633" s="88">
        <f t="shared" si="414"/>
        <v>7</v>
      </c>
      <c r="Y633" s="88">
        <f t="shared" si="415"/>
        <v>2</v>
      </c>
      <c r="Z633" s="89">
        <f t="shared" si="418"/>
        <v>18</v>
      </c>
      <c r="AA633" s="17" t="str">
        <f>_xlfn.TEXTJOIN(", ",TRUE,ABS(MID(C633,{1,1,2},1)-MID(C633,{2,3,3},1)))</f>
        <v>9, 7, 2</v>
      </c>
      <c r="AB633" s="90">
        <v>0</v>
      </c>
      <c r="AC633" s="90">
        <v>1</v>
      </c>
      <c r="AD633" s="90">
        <v>2</v>
      </c>
      <c r="AE633" s="90">
        <v>3</v>
      </c>
      <c r="AF633" s="90">
        <v>4</v>
      </c>
      <c r="AG633" s="90">
        <v>5</v>
      </c>
      <c r="AH633" s="90">
        <v>6</v>
      </c>
      <c r="AI633" s="90">
        <v>7</v>
      </c>
      <c r="AJ633" s="90">
        <v>8</v>
      </c>
      <c r="AK633" s="90">
        <v>9</v>
      </c>
      <c r="AL633" s="91">
        <v>0</v>
      </c>
      <c r="AM633" s="91">
        <v>1</v>
      </c>
      <c r="AN633" s="91">
        <v>2</v>
      </c>
      <c r="AO633" s="91">
        <v>3</v>
      </c>
      <c r="AP633" s="91">
        <v>4</v>
      </c>
      <c r="AQ633" s="91">
        <v>5</v>
      </c>
      <c r="AR633" s="91">
        <v>6</v>
      </c>
      <c r="AS633" s="91">
        <v>7</v>
      </c>
      <c r="AT633" s="91">
        <v>8</v>
      </c>
      <c r="AU633" s="91">
        <v>9</v>
      </c>
      <c r="AV633" s="92">
        <v>0</v>
      </c>
      <c r="AW633" s="92">
        <v>1</v>
      </c>
      <c r="AX633" s="92">
        <v>2</v>
      </c>
      <c r="AY633" s="92">
        <v>3</v>
      </c>
      <c r="AZ633" s="92">
        <v>4</v>
      </c>
      <c r="BA633" s="92">
        <v>5</v>
      </c>
      <c r="BB633" s="92">
        <v>6</v>
      </c>
      <c r="BC633" s="92">
        <v>7</v>
      </c>
      <c r="BD633" s="92">
        <v>8</v>
      </c>
      <c r="BE633" s="92">
        <v>9</v>
      </c>
      <c r="BF633" s="93">
        <v>0</v>
      </c>
      <c r="BG633" s="93">
        <v>1</v>
      </c>
      <c r="BH633" s="93">
        <v>2</v>
      </c>
      <c r="BI633" s="93">
        <v>3</v>
      </c>
      <c r="BJ633" s="93">
        <v>4</v>
      </c>
      <c r="BK633" s="93">
        <v>5</v>
      </c>
      <c r="BL633" s="93">
        <v>6</v>
      </c>
      <c r="BM633" s="93">
        <v>7</v>
      </c>
      <c r="BN633" s="93">
        <v>8</v>
      </c>
      <c r="BO633" s="93">
        <v>9</v>
      </c>
      <c r="BP633" s="94" t="str">
        <f t="shared" si="419"/>
        <v>松散型</v>
      </c>
      <c r="BQ633" s="15">
        <f t="shared" si="416"/>
        <v>2</v>
      </c>
      <c r="BR633" s="15">
        <f t="shared" si="417"/>
        <v>9</v>
      </c>
      <c r="BS633" s="20" t="str">
        <f t="shared" si="421"/>
        <v/>
      </c>
      <c r="BT633" s="21" t="str">
        <f t="shared" si="422"/>
        <v/>
      </c>
      <c r="BU633" s="21" t="str">
        <f t="array" ref="BU633">_xlfn.TEXTJOIN("",TRUE,IF(ISERROR(FIND(ROW($1:$168)-1,BS633&amp;BT633)),ROW($1:$168)-1,""))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33" s="22" t="str">
        <f t="shared" si="423"/>
        <v>中中中</v>
      </c>
      <c r="BW633" s="23">
        <f t="shared" si="434"/>
        <v>7</v>
      </c>
      <c r="BX633" s="23" t="str">
        <f t="shared" si="432"/>
        <v/>
      </c>
      <c r="BY633" s="23" t="str">
        <f t="array" ref="BY633">_xlfn.TEXTJOIN("",TRUE,IF(ISERROR(FIND(ROW($1:$168)-1,BW633&amp;BX633)),ROW($1:$168)-1,""))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33" s="22" t="str">
        <f t="shared" si="424"/>
        <v>复中中</v>
      </c>
      <c r="CA633" s="24" t="str">
        <f t="shared" si="425"/>
        <v/>
      </c>
      <c r="CB633" s="24" t="str">
        <f t="shared" si="433"/>
        <v/>
      </c>
      <c r="CC633" s="24" t="str">
        <f t="array" ref="CC633">_xlfn.TEXTJOIN("",TRUE,IF(ISERROR(FIND(ROW($1:$168)-1,CA633&amp;CB633)),ROW($1:$168)-1,""))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33" s="22" t="str">
        <f t="shared" si="426"/>
        <v>中中中</v>
      </c>
      <c r="CE633" s="25" t="str">
        <f t="shared" si="420"/>
        <v>80</v>
      </c>
      <c r="CF633" s="26" t="str">
        <f t="array" ref="CF633">_xlfn.TEXTJOIN("",TRUE,IF(ISNUMBER(FIND(MID(CE632&amp;W632,ROW($1:$162),1),CE633&amp;W633)),MID(CE632&amp;W632,ROW($1:$162),1),""))</f>
        <v/>
      </c>
      <c r="CG633" s="27" t="str">
        <f t="array" ref="CG633">_xlfn.TEXTJOIN("",TRUE,IF(ISERROR(FIND(ROW($1:$168)-1,CE633&amp;CF633)),ROW($1:$168)-1,""))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H633" s="28" t="str">
        <f t="shared" si="427"/>
        <v>邻孤孤</v>
      </c>
      <c r="CI633" s="29" t="str">
        <f t="shared" si="428"/>
        <v>68</v>
      </c>
      <c r="CJ633" s="29" t="str">
        <f t="array" ref="CJ633">_xlfn.TEXTJOIN("",TRUE,IF(ISNUMBER(FIND(MID(CI632&amp;X632,ROW($1:$162),1),CI633&amp;X633)),MID(CI632&amp;X632,ROW($1:$162),1),""))</f>
        <v>687</v>
      </c>
      <c r="CK633" s="29" t="str">
        <f t="array" ref="CK633">_xlfn.TEXTJOIN("",TRUE,IF(ISERROR(FIND(ROW($1:$168)-1,CI633&amp;CJ633)),ROW($1:$168)-1,""))</f>
        <v>0123459101112131415161718192021222324252627282930313233343536373839404142434445464748495051525354555657585960616263646566676970717273747576777879808182838485888990919293949596979899100101102103104105106107108109110111112113114115116117118119120121122123124125126127128129130131132133134135136137138139140141142143144145146147148149150151152153154155156157158159160161162163164165166167</v>
      </c>
      <c r="CL633" s="19" t="str">
        <f t="shared" si="429"/>
        <v>邻传孤</v>
      </c>
      <c r="CM633" s="24" t="str">
        <f t="shared" si="430"/>
        <v>13</v>
      </c>
      <c r="CN633" s="24" t="str">
        <f t="array" ref="CN633">_xlfn.TEXTJOIN("",TRUE,IF(ISNUMBER(FIND(MID(CM632&amp;Y632,ROW($1:$162),1),CM633&amp;Y633)),MID(CM632&amp;Y632,ROW($1:$162),1),""))</f>
        <v>23</v>
      </c>
      <c r="CO633" s="24" t="str">
        <f t="array" ref="CO633">_xlfn.TEXTJOIN("",TRUE,IF(ISERROR(FIND(ROW($1:$168)-1,CM633&amp;CN633)),ROW($1:$168)-1,""))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633" s="30" t="str">
        <f t="shared" si="431"/>
        <v>邻传孤</v>
      </c>
    </row>
    <row r="634" spans="1:94">
      <c r="A634" s="15">
        <v>634</v>
      </c>
      <c r="B634" s="80">
        <v>2025251</v>
      </c>
      <c r="C634" s="8" t="s">
        <v>76</v>
      </c>
      <c r="D634" s="81">
        <f t="shared" si="411"/>
        <v>22</v>
      </c>
      <c r="E634" s="82">
        <f t="shared" si="412"/>
        <v>2</v>
      </c>
      <c r="F634" s="83">
        <f t="shared" si="409"/>
        <v>11</v>
      </c>
      <c r="G634" s="84" t="str">
        <f t="shared" si="410"/>
        <v>紧凑</v>
      </c>
      <c r="H634" s="85" t="s">
        <v>10</v>
      </c>
      <c r="I634" s="85" t="s">
        <v>11</v>
      </c>
      <c r="J634" s="85" t="s">
        <v>12</v>
      </c>
      <c r="K634" s="85" t="s">
        <v>13</v>
      </c>
      <c r="L634" s="86">
        <f>MAX(MID(C634,{1,2,3},1)*1)-MIN(MID(C634,{1,2,3},1)*1)</f>
        <v>2</v>
      </c>
      <c r="M634" s="87">
        <v>0</v>
      </c>
      <c r="N634" s="87">
        <v>1</v>
      </c>
      <c r="O634" s="87">
        <v>2</v>
      </c>
      <c r="P634" s="87">
        <v>3</v>
      </c>
      <c r="Q634" s="87">
        <v>4</v>
      </c>
      <c r="R634" s="87">
        <v>5</v>
      </c>
      <c r="S634" s="87">
        <v>6</v>
      </c>
      <c r="T634" s="87">
        <v>7</v>
      </c>
      <c r="U634" s="87">
        <v>8</v>
      </c>
      <c r="V634" s="87">
        <v>9</v>
      </c>
      <c r="W634" s="88">
        <f t="shared" si="413"/>
        <v>2</v>
      </c>
      <c r="X634" s="88">
        <f t="shared" si="414"/>
        <v>0</v>
      </c>
      <c r="Y634" s="88">
        <f t="shared" si="415"/>
        <v>2</v>
      </c>
      <c r="Z634" s="89">
        <f t="shared" si="418"/>
        <v>4</v>
      </c>
      <c r="AA634" s="17" t="str">
        <f>_xlfn.TEXTJOIN(", ",TRUE,ABS(MID(C634,{1,1,2},1)-MID(C634,{2,3,3},1)))</f>
        <v>2, 0, 2</v>
      </c>
      <c r="AB634" s="90">
        <v>0</v>
      </c>
      <c r="AC634" s="90">
        <v>1</v>
      </c>
      <c r="AD634" s="90">
        <v>2</v>
      </c>
      <c r="AE634" s="90">
        <v>3</v>
      </c>
      <c r="AF634" s="90">
        <v>4</v>
      </c>
      <c r="AG634" s="90">
        <v>5</v>
      </c>
      <c r="AH634" s="90">
        <v>6</v>
      </c>
      <c r="AI634" s="90">
        <v>7</v>
      </c>
      <c r="AJ634" s="90">
        <v>8</v>
      </c>
      <c r="AK634" s="90">
        <v>9</v>
      </c>
      <c r="AL634" s="91">
        <v>0</v>
      </c>
      <c r="AM634" s="91">
        <v>1</v>
      </c>
      <c r="AN634" s="91">
        <v>2</v>
      </c>
      <c r="AO634" s="91">
        <v>3</v>
      </c>
      <c r="AP634" s="91">
        <v>4</v>
      </c>
      <c r="AQ634" s="91">
        <v>5</v>
      </c>
      <c r="AR634" s="91">
        <v>6</v>
      </c>
      <c r="AS634" s="91">
        <v>7</v>
      </c>
      <c r="AT634" s="91">
        <v>8</v>
      </c>
      <c r="AU634" s="91">
        <v>9</v>
      </c>
      <c r="AV634" s="92">
        <v>0</v>
      </c>
      <c r="AW634" s="92">
        <v>1</v>
      </c>
      <c r="AX634" s="92">
        <v>2</v>
      </c>
      <c r="AY634" s="92">
        <v>3</v>
      </c>
      <c r="AZ634" s="92">
        <v>4</v>
      </c>
      <c r="BA634" s="92">
        <v>5</v>
      </c>
      <c r="BB634" s="92">
        <v>6</v>
      </c>
      <c r="BC634" s="92">
        <v>7</v>
      </c>
      <c r="BD634" s="92">
        <v>8</v>
      </c>
      <c r="BE634" s="92">
        <v>9</v>
      </c>
      <c r="BF634" s="93">
        <v>0</v>
      </c>
      <c r="BG634" s="93">
        <v>1</v>
      </c>
      <c r="BH634" s="93">
        <v>2</v>
      </c>
      <c r="BI634" s="93">
        <v>3</v>
      </c>
      <c r="BJ634" s="93">
        <v>4</v>
      </c>
      <c r="BK634" s="93">
        <v>5</v>
      </c>
      <c r="BL634" s="93">
        <v>6</v>
      </c>
      <c r="BM634" s="93">
        <v>7</v>
      </c>
      <c r="BN634" s="93">
        <v>8</v>
      </c>
      <c r="BO634" s="93">
        <v>9</v>
      </c>
      <c r="BP634" s="94" t="str">
        <f t="shared" si="419"/>
        <v>紧凑型</v>
      </c>
      <c r="BQ634" s="15">
        <f t="shared" si="416"/>
        <v>0</v>
      </c>
      <c r="BR634" s="15">
        <f t="shared" si="417"/>
        <v>2</v>
      </c>
      <c r="BS634" s="20">
        <f t="shared" si="421"/>
        <v>2</v>
      </c>
      <c r="BT634" s="21" t="str">
        <f t="shared" si="422"/>
        <v/>
      </c>
      <c r="BU634" s="21" t="str">
        <f t="array" ref="BU634">_xlfn.TEXTJOIN("",TRUE,IF(ISERROR(FIND(ROW($1:$168)-1,BS634&amp;BT634)),ROW($1:$168)-1,""))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34" s="22" t="str">
        <f t="shared" si="423"/>
        <v>复中中</v>
      </c>
      <c r="BW634" s="23" t="str">
        <f t="shared" si="434"/>
        <v/>
      </c>
      <c r="BX634" s="23" t="str">
        <f t="shared" si="432"/>
        <v/>
      </c>
      <c r="BY634" s="23" t="str">
        <f t="array" ref="BY634">_xlfn.TEXTJOIN("",TRUE,IF(ISERROR(FIND(ROW($1:$168)-1,BW634&amp;BX634)),ROW($1:$168)-1,""))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34" s="22" t="str">
        <f t="shared" si="424"/>
        <v>中中中</v>
      </c>
      <c r="CA634" s="24">
        <f t="shared" si="425"/>
        <v>2</v>
      </c>
      <c r="CB634" s="24" t="str">
        <f t="shared" si="433"/>
        <v/>
      </c>
      <c r="CC634" s="24" t="str">
        <f t="array" ref="CC634">_xlfn.TEXTJOIN("",TRUE,IF(ISERROR(FIND(ROW($1:$168)-1,CA634&amp;CB634)),ROW($1:$168)-1,""))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34" s="22" t="str">
        <f t="shared" si="426"/>
        <v>复中中</v>
      </c>
      <c r="CE634" s="25" t="str">
        <f t="shared" si="420"/>
        <v>13</v>
      </c>
      <c r="CF634" s="26" t="str">
        <f t="array" ref="CF634">_xlfn.TEXTJOIN("",TRUE,IF(ISNUMBER(FIND(MID(CE633&amp;W633,ROW($1:$162),1),CE634&amp;W634)),MID(CE633&amp;W633,ROW($1:$162),1),""))</f>
        <v/>
      </c>
      <c r="CG634" s="27" t="str">
        <f t="array" ref="CG634">_xlfn.TEXTJOIN("",TRUE,IF(ISERROR(FIND(ROW($1:$168)-1,CE634&amp;CF634)),ROW($1:$168)-1,""))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34" s="28" t="str">
        <f t="shared" si="427"/>
        <v>邻孤孤</v>
      </c>
      <c r="CI634" s="29" t="str">
        <f t="shared" si="428"/>
        <v>91</v>
      </c>
      <c r="CJ634" s="29" t="str">
        <f t="array" ref="CJ634">_xlfn.TEXTJOIN("",TRUE,IF(ISNUMBER(FIND(MID(CI633&amp;X633,ROW($1:$162),1),CI634&amp;X634)),MID(CI633&amp;X633,ROW($1:$162),1),""))</f>
        <v/>
      </c>
      <c r="CK634" s="29" t="str">
        <f t="array" ref="CK634">_xlfn.TEXTJOIN("",TRUE,IF(ISERROR(FIND(ROW($1:$168)-1,CI634&amp;CJ634)),ROW($1:$168)-1,""))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634" s="19" t="str">
        <f t="shared" si="429"/>
        <v>邻孤孤</v>
      </c>
      <c r="CM634" s="24" t="str">
        <f t="shared" si="430"/>
        <v>13</v>
      </c>
      <c r="CN634" s="24" t="str">
        <f t="array" ref="CN634">_xlfn.TEXTJOIN("",TRUE,IF(ISNUMBER(FIND(MID(CM633&amp;Y633,ROW($1:$162),1),CM634&amp;Y634)),MID(CM633&amp;Y633,ROW($1:$162),1),""))</f>
        <v>132</v>
      </c>
      <c r="CO634" s="24" t="str">
        <f t="array" ref="CO634">_xlfn.TEXTJOIN("",TRUE,IF(ISERROR(FIND(ROW($1:$168)-1,CM634&amp;CN634)),ROW($1:$168)-1,""))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P634" s="30" t="str">
        <f t="shared" si="431"/>
        <v>邻传孤</v>
      </c>
    </row>
    <row r="635" spans="1:94">
      <c r="A635" s="15">
        <v>635</v>
      </c>
      <c r="B635" s="80">
        <v>2025252</v>
      </c>
      <c r="C635" s="8" t="s">
        <v>490</v>
      </c>
      <c r="D635" s="81">
        <f t="shared" si="411"/>
        <v>18</v>
      </c>
      <c r="E635" s="82">
        <f t="shared" si="412"/>
        <v>8</v>
      </c>
      <c r="F635" s="83">
        <f t="shared" si="409"/>
        <v>2.57142857142857</v>
      </c>
      <c r="G635" s="84" t="str">
        <f t="shared" si="410"/>
        <v>标准</v>
      </c>
      <c r="H635" s="85" t="s">
        <v>10</v>
      </c>
      <c r="I635" s="85" t="s">
        <v>11</v>
      </c>
      <c r="J635" s="85" t="s">
        <v>12</v>
      </c>
      <c r="K635" s="85" t="s">
        <v>13</v>
      </c>
      <c r="L635" s="86">
        <f>MAX(MID(C635,{1,2,3},1)*1)-MIN(MID(C635,{1,2,3},1)*1)</f>
        <v>7</v>
      </c>
      <c r="M635" s="87">
        <v>0</v>
      </c>
      <c r="N635" s="87">
        <v>1</v>
      </c>
      <c r="O635" s="87">
        <v>2</v>
      </c>
      <c r="P635" s="87">
        <v>3</v>
      </c>
      <c r="Q635" s="87">
        <v>4</v>
      </c>
      <c r="R635" s="87">
        <v>5</v>
      </c>
      <c r="S635" s="87">
        <v>6</v>
      </c>
      <c r="T635" s="87">
        <v>7</v>
      </c>
      <c r="U635" s="87">
        <v>8</v>
      </c>
      <c r="V635" s="87">
        <v>9</v>
      </c>
      <c r="W635" s="88">
        <f t="shared" si="413"/>
        <v>2</v>
      </c>
      <c r="X635" s="88">
        <f t="shared" si="414"/>
        <v>5</v>
      </c>
      <c r="Y635" s="88">
        <f t="shared" si="415"/>
        <v>7</v>
      </c>
      <c r="Z635" s="89">
        <f t="shared" si="418"/>
        <v>14</v>
      </c>
      <c r="AA635" s="17" t="str">
        <f>_xlfn.TEXTJOIN(", ",TRUE,ABS(MID(C635,{1,1,2},1)-MID(C635,{2,3,3},1)))</f>
        <v>2, 5, 7</v>
      </c>
      <c r="AB635" s="90">
        <v>0</v>
      </c>
      <c r="AC635" s="90">
        <v>1</v>
      </c>
      <c r="AD635" s="90">
        <v>2</v>
      </c>
      <c r="AE635" s="90">
        <v>3</v>
      </c>
      <c r="AF635" s="90">
        <v>4</v>
      </c>
      <c r="AG635" s="90">
        <v>5</v>
      </c>
      <c r="AH635" s="90">
        <v>6</v>
      </c>
      <c r="AI635" s="90">
        <v>7</v>
      </c>
      <c r="AJ635" s="90">
        <v>8</v>
      </c>
      <c r="AK635" s="90">
        <v>9</v>
      </c>
      <c r="AL635" s="91">
        <v>0</v>
      </c>
      <c r="AM635" s="91">
        <v>1</v>
      </c>
      <c r="AN635" s="91">
        <v>2</v>
      </c>
      <c r="AO635" s="91">
        <v>3</v>
      </c>
      <c r="AP635" s="91">
        <v>4</v>
      </c>
      <c r="AQ635" s="91">
        <v>5</v>
      </c>
      <c r="AR635" s="91">
        <v>6</v>
      </c>
      <c r="AS635" s="91">
        <v>7</v>
      </c>
      <c r="AT635" s="91">
        <v>8</v>
      </c>
      <c r="AU635" s="91">
        <v>9</v>
      </c>
      <c r="AV635" s="92">
        <v>0</v>
      </c>
      <c r="AW635" s="92">
        <v>1</v>
      </c>
      <c r="AX635" s="92">
        <v>2</v>
      </c>
      <c r="AY635" s="92">
        <v>3</v>
      </c>
      <c r="AZ635" s="92">
        <v>4</v>
      </c>
      <c r="BA635" s="92">
        <v>5</v>
      </c>
      <c r="BB635" s="92">
        <v>6</v>
      </c>
      <c r="BC635" s="92">
        <v>7</v>
      </c>
      <c r="BD635" s="92">
        <v>8</v>
      </c>
      <c r="BE635" s="92">
        <v>9</v>
      </c>
      <c r="BF635" s="93">
        <v>0</v>
      </c>
      <c r="BG635" s="93">
        <v>1</v>
      </c>
      <c r="BH635" s="93">
        <v>2</v>
      </c>
      <c r="BI635" s="93">
        <v>3</v>
      </c>
      <c r="BJ635" s="93">
        <v>4</v>
      </c>
      <c r="BK635" s="93">
        <v>5</v>
      </c>
      <c r="BL635" s="93">
        <v>6</v>
      </c>
      <c r="BM635" s="93">
        <v>7</v>
      </c>
      <c r="BN635" s="93">
        <v>8</v>
      </c>
      <c r="BO635" s="93">
        <v>9</v>
      </c>
      <c r="BP635" s="94" t="str">
        <f t="shared" si="419"/>
        <v>松散型</v>
      </c>
      <c r="BQ635" s="15">
        <f t="shared" si="416"/>
        <v>2</v>
      </c>
      <c r="BR635" s="15">
        <f t="shared" si="417"/>
        <v>7</v>
      </c>
      <c r="BS635" s="20">
        <f t="shared" si="421"/>
        <v>2</v>
      </c>
      <c r="BT635" s="21">
        <f t="shared" si="422"/>
        <v>2</v>
      </c>
      <c r="BU635" s="21" t="str">
        <f t="array" ref="BU635">_xlfn.TEXTJOIN("",TRUE,IF(ISERROR(FIND(ROW($1:$168)-1,BS635&amp;BT635)),ROW($1:$168)-1,""))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35" s="22" t="str">
        <f t="shared" si="423"/>
        <v>复隔中</v>
      </c>
      <c r="BW635" s="23" t="str">
        <f t="shared" si="434"/>
        <v/>
      </c>
      <c r="BX635" s="23" t="str">
        <f t="shared" si="432"/>
        <v/>
      </c>
      <c r="BY635" s="23" t="str">
        <f t="array" ref="BY635">_xlfn.TEXTJOIN("",TRUE,IF(ISERROR(FIND(ROW($1:$168)-1,BW635&amp;BX635)),ROW($1:$168)-1,""))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35" s="22" t="str">
        <f t="shared" si="424"/>
        <v>中中中</v>
      </c>
      <c r="CA635" s="24" t="str">
        <f t="shared" si="425"/>
        <v/>
      </c>
      <c r="CB635" s="24">
        <f t="shared" si="433"/>
        <v>7</v>
      </c>
      <c r="CC635" s="24" t="str">
        <f t="array" ref="CC635">_xlfn.TEXTJOIN("",TRUE,IF(ISERROR(FIND(ROW($1:$168)-1,CA635&amp;CB635)),ROW($1:$168)-1,""))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35" s="22" t="str">
        <f t="shared" si="426"/>
        <v>中隔中</v>
      </c>
      <c r="CE635" s="25" t="str">
        <f t="shared" si="420"/>
        <v>13</v>
      </c>
      <c r="CF635" s="26" t="str">
        <f t="array" ref="CF635">_xlfn.TEXTJOIN("",TRUE,IF(ISNUMBER(FIND(MID(CE634&amp;W634,ROW($1:$162),1),CE635&amp;W635)),MID(CE634&amp;W634,ROW($1:$162),1),""))</f>
        <v>132</v>
      </c>
      <c r="CG635" s="27" t="str">
        <f t="array" ref="CG635">_xlfn.TEXTJOIN("",TRUE,IF(ISERROR(FIND(ROW($1:$168)-1,CE635&amp;CF635)),ROW($1:$168)-1,""))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635" s="28" t="str">
        <f t="shared" si="427"/>
        <v>邻传孤</v>
      </c>
      <c r="CI635" s="29" t="str">
        <f t="shared" si="428"/>
        <v>46</v>
      </c>
      <c r="CJ635" s="29" t="str">
        <f t="array" ref="CJ635">_xlfn.TEXTJOIN("",TRUE,IF(ISNUMBER(FIND(MID(CI634&amp;X634,ROW($1:$162),1),CI635&amp;X635)),MID(CI634&amp;X634,ROW($1:$162),1),""))</f>
        <v/>
      </c>
      <c r="CK635" s="29" t="str">
        <f t="array" ref="CK635">_xlfn.TEXTJOIN("",TRUE,IF(ISERROR(FIND(ROW($1:$168)-1,CI635&amp;CJ635)),ROW($1:$168)-1,""))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35" s="19" t="str">
        <f t="shared" si="429"/>
        <v>邻孤孤</v>
      </c>
      <c r="CM635" s="24" t="str">
        <f t="shared" si="430"/>
        <v>68</v>
      </c>
      <c r="CN635" s="24" t="str">
        <f t="array" ref="CN635">_xlfn.TEXTJOIN("",TRUE,IF(ISNUMBER(FIND(MID(CM634&amp;Y634,ROW($1:$162),1),CM635&amp;Y635)),MID(CM634&amp;Y634,ROW($1:$162),1),""))</f>
        <v/>
      </c>
      <c r="CO635" s="24" t="str">
        <f t="array" ref="CO635">_xlfn.TEXTJOIN("",TRUE,IF(ISERROR(FIND(ROW($1:$168)-1,CM635&amp;CN635)),ROW($1:$168)-1,""))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35" s="30" t="str">
        <f t="shared" si="431"/>
        <v>邻孤孤</v>
      </c>
    </row>
    <row r="636" spans="1:94">
      <c r="A636" s="15">
        <v>636</v>
      </c>
      <c r="B636" s="80">
        <v>2025253</v>
      </c>
      <c r="C636" s="8" t="s">
        <v>141</v>
      </c>
      <c r="D636" s="81">
        <f t="shared" si="411"/>
        <v>16</v>
      </c>
      <c r="E636" s="82">
        <f t="shared" si="412"/>
        <v>6</v>
      </c>
      <c r="F636" s="83">
        <f t="shared" si="409"/>
        <v>5.33333333333333</v>
      </c>
      <c r="G636" s="84" t="str">
        <f t="shared" si="410"/>
        <v>紧凑</v>
      </c>
      <c r="H636" s="85" t="s">
        <v>10</v>
      </c>
      <c r="I636" s="85" t="s">
        <v>11</v>
      </c>
      <c r="J636" s="85" t="s">
        <v>12</v>
      </c>
      <c r="K636" s="85" t="s">
        <v>13</v>
      </c>
      <c r="L636" s="86">
        <f>MAX(MID(C636,{1,2,3},1)*1)-MIN(MID(C636,{1,2,3},1)*1)</f>
        <v>3</v>
      </c>
      <c r="M636" s="87">
        <v>0</v>
      </c>
      <c r="N636" s="87">
        <v>1</v>
      </c>
      <c r="O636" s="87">
        <v>2</v>
      </c>
      <c r="P636" s="87">
        <v>3</v>
      </c>
      <c r="Q636" s="87">
        <v>4</v>
      </c>
      <c r="R636" s="87">
        <v>5</v>
      </c>
      <c r="S636" s="87">
        <v>6</v>
      </c>
      <c r="T636" s="87">
        <v>7</v>
      </c>
      <c r="U636" s="87">
        <v>8</v>
      </c>
      <c r="V636" s="87">
        <v>9</v>
      </c>
      <c r="W636" s="88">
        <f t="shared" si="413"/>
        <v>1</v>
      </c>
      <c r="X636" s="88">
        <f t="shared" si="414"/>
        <v>3</v>
      </c>
      <c r="Y636" s="88">
        <f t="shared" si="415"/>
        <v>2</v>
      </c>
      <c r="Z636" s="89">
        <f t="shared" si="418"/>
        <v>6</v>
      </c>
      <c r="AA636" s="17" t="str">
        <f>_xlfn.TEXTJOIN(", ",TRUE,ABS(MID(C636,{1,1,2},1)-MID(C636,{2,3,3},1)))</f>
        <v>1, 3, 2</v>
      </c>
      <c r="AB636" s="90">
        <v>0</v>
      </c>
      <c r="AC636" s="90">
        <v>1</v>
      </c>
      <c r="AD636" s="90">
        <v>2</v>
      </c>
      <c r="AE636" s="90">
        <v>3</v>
      </c>
      <c r="AF636" s="90">
        <v>4</v>
      </c>
      <c r="AG636" s="90">
        <v>5</v>
      </c>
      <c r="AH636" s="90">
        <v>6</v>
      </c>
      <c r="AI636" s="90">
        <v>7</v>
      </c>
      <c r="AJ636" s="90">
        <v>8</v>
      </c>
      <c r="AK636" s="90">
        <v>9</v>
      </c>
      <c r="AL636" s="91">
        <v>0</v>
      </c>
      <c r="AM636" s="91">
        <v>1</v>
      </c>
      <c r="AN636" s="91">
        <v>2</v>
      </c>
      <c r="AO636" s="91">
        <v>3</v>
      </c>
      <c r="AP636" s="91">
        <v>4</v>
      </c>
      <c r="AQ636" s="91">
        <v>5</v>
      </c>
      <c r="AR636" s="91">
        <v>6</v>
      </c>
      <c r="AS636" s="91">
        <v>7</v>
      </c>
      <c r="AT636" s="91">
        <v>8</v>
      </c>
      <c r="AU636" s="91">
        <v>9</v>
      </c>
      <c r="AV636" s="92">
        <v>0</v>
      </c>
      <c r="AW636" s="92">
        <v>1</v>
      </c>
      <c r="AX636" s="92">
        <v>2</v>
      </c>
      <c r="AY636" s="92">
        <v>3</v>
      </c>
      <c r="AZ636" s="92">
        <v>4</v>
      </c>
      <c r="BA636" s="92">
        <v>5</v>
      </c>
      <c r="BB636" s="92">
        <v>6</v>
      </c>
      <c r="BC636" s="92">
        <v>7</v>
      </c>
      <c r="BD636" s="92">
        <v>8</v>
      </c>
      <c r="BE636" s="92">
        <v>9</v>
      </c>
      <c r="BF636" s="93">
        <v>0</v>
      </c>
      <c r="BG636" s="93">
        <v>1</v>
      </c>
      <c r="BH636" s="93">
        <v>2</v>
      </c>
      <c r="BI636" s="93">
        <v>3</v>
      </c>
      <c r="BJ636" s="93">
        <v>4</v>
      </c>
      <c r="BK636" s="93">
        <v>5</v>
      </c>
      <c r="BL636" s="93">
        <v>6</v>
      </c>
      <c r="BM636" s="93">
        <v>7</v>
      </c>
      <c r="BN636" s="93">
        <v>8</v>
      </c>
      <c r="BO636" s="93">
        <v>9</v>
      </c>
      <c r="BP636" s="94" t="str">
        <f t="shared" si="419"/>
        <v>紧凑型</v>
      </c>
      <c r="BQ636" s="15">
        <f t="shared" si="416"/>
        <v>1</v>
      </c>
      <c r="BR636" s="15">
        <f t="shared" si="417"/>
        <v>3</v>
      </c>
      <c r="BS636" s="20" t="str">
        <f t="shared" si="421"/>
        <v/>
      </c>
      <c r="BT636" s="21" t="str">
        <f t="shared" si="422"/>
        <v/>
      </c>
      <c r="BU636" s="21" t="str">
        <f t="array" ref="BU636">_xlfn.TEXTJOIN("",TRUE,IF(ISERROR(FIND(ROW($1:$168)-1,BS636&amp;BT636)),ROW($1:$168)-1,""))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36" s="22" t="str">
        <f t="shared" si="423"/>
        <v>中中中</v>
      </c>
      <c r="BW636" s="23" t="str">
        <f t="shared" si="434"/>
        <v/>
      </c>
      <c r="BX636" s="23" t="str">
        <f t="shared" si="432"/>
        <v/>
      </c>
      <c r="BY636" s="23" t="str">
        <f t="array" ref="BY636">_xlfn.TEXTJOIN("",TRUE,IF(ISERROR(FIND(ROW($1:$168)-1,BW636&amp;BX636)),ROW($1:$168)-1,""))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36" s="22" t="str">
        <f t="shared" si="424"/>
        <v>中中中</v>
      </c>
      <c r="CA636" s="24">
        <f t="shared" si="425"/>
        <v>2</v>
      </c>
      <c r="CB636" s="24">
        <f t="shared" si="433"/>
        <v>2</v>
      </c>
      <c r="CC636" s="24" t="str">
        <f t="array" ref="CC636">_xlfn.TEXTJOIN("",TRUE,IF(ISERROR(FIND(ROW($1:$168)-1,CA636&amp;CB636)),ROW($1:$168)-1,""))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36" s="22" t="str">
        <f t="shared" si="426"/>
        <v>复隔中</v>
      </c>
      <c r="CE636" s="25" t="str">
        <f t="shared" si="420"/>
        <v>02</v>
      </c>
      <c r="CF636" s="26" t="str">
        <f t="array" ref="CF636">_xlfn.TEXTJOIN("",TRUE,IF(ISNUMBER(FIND(MID(CE635&amp;W635,ROW($1:$162),1),CE636&amp;W636)),MID(CE635&amp;W635,ROW($1:$162),1),""))</f>
        <v>12</v>
      </c>
      <c r="CG636" s="27" t="str">
        <f t="array" ref="CG636">_xlfn.TEXTJOIN("",TRUE,IF(ISERROR(FIND(ROW($1:$168)-1,CE636&amp;CF636)),ROW($1:$168)-1,""))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36" s="28" t="str">
        <f t="shared" si="427"/>
        <v>邻传孤</v>
      </c>
      <c r="CI636" s="29" t="str">
        <f t="shared" si="428"/>
        <v>24</v>
      </c>
      <c r="CJ636" s="29" t="str">
        <f t="array" ref="CJ636">_xlfn.TEXTJOIN("",TRUE,IF(ISNUMBER(FIND(MID(CI635&amp;X635,ROW($1:$162),1),CI636&amp;X636)),MID(CI635&amp;X635,ROW($1:$162),1),""))</f>
        <v>4</v>
      </c>
      <c r="CK636" s="29" t="str">
        <f t="array" ref="CK636">_xlfn.TEXTJOIN("",TRUE,IF(ISERROR(FIND(ROW($1:$168)-1,CI636&amp;CJ636)),ROW($1:$168)-1,""))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36" s="19" t="str">
        <f t="shared" si="429"/>
        <v>邻传孤</v>
      </c>
      <c r="CM636" s="24" t="str">
        <f t="shared" si="430"/>
        <v>13</v>
      </c>
      <c r="CN636" s="24" t="str">
        <f t="array" ref="CN636">_xlfn.TEXTJOIN("",TRUE,IF(ISNUMBER(FIND(MID(CM635&amp;Y635,ROW($1:$162),1),CM636&amp;Y636)),MID(CM635&amp;Y635,ROW($1:$162),1),""))</f>
        <v/>
      </c>
      <c r="CO636" s="24" t="str">
        <f t="array" ref="CO636">_xlfn.TEXTJOIN("",TRUE,IF(ISERROR(FIND(ROW($1:$168)-1,CM636&amp;CN636)),ROW($1:$168)-1,""))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36" s="30" t="str">
        <f t="shared" si="431"/>
        <v>邻孤孤</v>
      </c>
    </row>
    <row r="637" spans="1:94">
      <c r="A637" s="15">
        <v>637</v>
      </c>
      <c r="B637" s="80">
        <v>2025254</v>
      </c>
      <c r="C637" s="8" t="s">
        <v>491</v>
      </c>
      <c r="D637" s="81">
        <f t="shared" si="411"/>
        <v>9</v>
      </c>
      <c r="E637" s="82">
        <f t="shared" si="412"/>
        <v>9</v>
      </c>
      <c r="F637" s="83">
        <f t="shared" si="409"/>
        <v>1.28571428571429</v>
      </c>
      <c r="G637" s="84" t="str">
        <f t="shared" si="410"/>
        <v>松散</v>
      </c>
      <c r="H637" s="85" t="s">
        <v>10</v>
      </c>
      <c r="I637" s="85" t="s">
        <v>11</v>
      </c>
      <c r="J637" s="85" t="s">
        <v>12</v>
      </c>
      <c r="K637" s="85" t="s">
        <v>13</v>
      </c>
      <c r="L637" s="86">
        <f>MAX(MID(C637,{1,2,3},1)*1)-MIN(MID(C637,{1,2,3},1)*1)</f>
        <v>7</v>
      </c>
      <c r="M637" s="87">
        <v>0</v>
      </c>
      <c r="N637" s="87">
        <v>1</v>
      </c>
      <c r="O637" s="87">
        <v>2</v>
      </c>
      <c r="P637" s="87">
        <v>3</v>
      </c>
      <c r="Q637" s="87">
        <v>4</v>
      </c>
      <c r="R637" s="87">
        <v>5</v>
      </c>
      <c r="S637" s="87">
        <v>6</v>
      </c>
      <c r="T637" s="87">
        <v>7</v>
      </c>
      <c r="U637" s="87">
        <v>8</v>
      </c>
      <c r="V637" s="87">
        <v>9</v>
      </c>
      <c r="W637" s="88">
        <f t="shared" si="413"/>
        <v>7</v>
      </c>
      <c r="X637" s="88">
        <f t="shared" si="414"/>
        <v>2</v>
      </c>
      <c r="Y637" s="88">
        <f t="shared" si="415"/>
        <v>5</v>
      </c>
      <c r="Z637" s="89">
        <f t="shared" si="418"/>
        <v>14</v>
      </c>
      <c r="AA637" s="17" t="str">
        <f>_xlfn.TEXTJOIN(", ",TRUE,ABS(MID(C637,{1,1,2},1)-MID(C637,{2,3,3},1)))</f>
        <v>7, 2, 5</v>
      </c>
      <c r="AB637" s="90">
        <v>0</v>
      </c>
      <c r="AC637" s="90">
        <v>1</v>
      </c>
      <c r="AD637" s="90">
        <v>2</v>
      </c>
      <c r="AE637" s="90">
        <v>3</v>
      </c>
      <c r="AF637" s="90">
        <v>4</v>
      </c>
      <c r="AG637" s="90">
        <v>5</v>
      </c>
      <c r="AH637" s="90">
        <v>6</v>
      </c>
      <c r="AI637" s="90">
        <v>7</v>
      </c>
      <c r="AJ637" s="90">
        <v>8</v>
      </c>
      <c r="AK637" s="90">
        <v>9</v>
      </c>
      <c r="AL637" s="91">
        <v>0</v>
      </c>
      <c r="AM637" s="91">
        <v>1</v>
      </c>
      <c r="AN637" s="91">
        <v>2</v>
      </c>
      <c r="AO637" s="91">
        <v>3</v>
      </c>
      <c r="AP637" s="91">
        <v>4</v>
      </c>
      <c r="AQ637" s="91">
        <v>5</v>
      </c>
      <c r="AR637" s="91">
        <v>6</v>
      </c>
      <c r="AS637" s="91">
        <v>7</v>
      </c>
      <c r="AT637" s="91">
        <v>8</v>
      </c>
      <c r="AU637" s="91">
        <v>9</v>
      </c>
      <c r="AV637" s="92">
        <v>0</v>
      </c>
      <c r="AW637" s="92">
        <v>1</v>
      </c>
      <c r="AX637" s="92">
        <v>2</v>
      </c>
      <c r="AY637" s="92">
        <v>3</v>
      </c>
      <c r="AZ637" s="92">
        <v>4</v>
      </c>
      <c r="BA637" s="92">
        <v>5</v>
      </c>
      <c r="BB637" s="92">
        <v>6</v>
      </c>
      <c r="BC637" s="92">
        <v>7</v>
      </c>
      <c r="BD637" s="92">
        <v>8</v>
      </c>
      <c r="BE637" s="92">
        <v>9</v>
      </c>
      <c r="BF637" s="93">
        <v>0</v>
      </c>
      <c r="BG637" s="93">
        <v>1</v>
      </c>
      <c r="BH637" s="93">
        <v>2</v>
      </c>
      <c r="BI637" s="93">
        <v>3</v>
      </c>
      <c r="BJ637" s="93">
        <v>4</v>
      </c>
      <c r="BK637" s="93">
        <v>5</v>
      </c>
      <c r="BL637" s="93">
        <v>6</v>
      </c>
      <c r="BM637" s="93">
        <v>7</v>
      </c>
      <c r="BN637" s="93">
        <v>8</v>
      </c>
      <c r="BO637" s="93">
        <v>9</v>
      </c>
      <c r="BP637" s="94" t="str">
        <f t="shared" si="419"/>
        <v>松散型</v>
      </c>
      <c r="BQ637" s="15">
        <f t="shared" si="416"/>
        <v>2</v>
      </c>
      <c r="BR637" s="15">
        <f t="shared" si="417"/>
        <v>7</v>
      </c>
      <c r="BS637" s="20" t="str">
        <f t="shared" si="421"/>
        <v/>
      </c>
      <c r="BT637" s="21">
        <f t="shared" si="422"/>
        <v>7</v>
      </c>
      <c r="BU637" s="21" t="str">
        <f t="array" ref="BU637">_xlfn.TEXTJOIN("",TRUE,IF(ISERROR(FIND(ROW($1:$168)-1,BS637&amp;BT637)),ROW($1:$168)-1,""))</f>
        <v>0123456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37" s="22" t="str">
        <f t="shared" si="423"/>
        <v>中隔中</v>
      </c>
      <c r="BW637" s="23">
        <f t="shared" si="434"/>
        <v>2</v>
      </c>
      <c r="BX637" s="23">
        <f t="shared" si="432"/>
        <v>2</v>
      </c>
      <c r="BY637" s="23" t="str">
        <f t="array" ref="BY637">_xlfn.TEXTJOIN("",TRUE,IF(ISERROR(FIND(ROW($1:$168)-1,BW637&amp;BX637)),ROW($1:$168)-1,""))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37" s="22" t="str">
        <f t="shared" si="424"/>
        <v>复隔中</v>
      </c>
      <c r="CA637" s="24" t="str">
        <f t="shared" si="425"/>
        <v/>
      </c>
      <c r="CB637" s="24">
        <f t="shared" si="433"/>
        <v>5</v>
      </c>
      <c r="CC637" s="24" t="str">
        <f t="array" ref="CC637">_xlfn.TEXTJOIN("",TRUE,IF(ISERROR(FIND(ROW($1:$168)-1,CA637&amp;CB637)),ROW($1:$168)-1,""))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37" s="22" t="str">
        <f t="shared" si="426"/>
        <v>中隔中</v>
      </c>
      <c r="CE637" s="25" t="str">
        <f t="shared" si="420"/>
        <v>68</v>
      </c>
      <c r="CF637" s="26" t="str">
        <f t="array" ref="CF637">_xlfn.TEXTJOIN("",TRUE,IF(ISNUMBER(FIND(MID(CE636&amp;W636,ROW($1:$162),1),CE637&amp;W637)),MID(CE636&amp;W636,ROW($1:$162),1),""))</f>
        <v/>
      </c>
      <c r="CG637" s="27" t="str">
        <f t="array" ref="CG637">_xlfn.TEXTJOIN("",TRUE,IF(ISERROR(FIND(ROW($1:$168)-1,CE637&amp;CF637)),ROW($1:$168)-1,""))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37" s="28" t="str">
        <f t="shared" si="427"/>
        <v>邻孤孤</v>
      </c>
      <c r="CI637" s="29" t="str">
        <f t="shared" si="428"/>
        <v>13</v>
      </c>
      <c r="CJ637" s="29" t="str">
        <f t="array" ref="CJ637">_xlfn.TEXTJOIN("",TRUE,IF(ISNUMBER(FIND(MID(CI636&amp;X636,ROW($1:$162),1),CI637&amp;X637)),MID(CI636&amp;X636,ROW($1:$162),1),""))</f>
        <v>23</v>
      </c>
      <c r="CK637" s="29" t="str">
        <f t="array" ref="CK637">_xlfn.TEXTJOIN("",TRUE,IF(ISERROR(FIND(ROW($1:$168)-1,CI637&amp;CJ637)),ROW($1:$168)-1,""))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637" s="19" t="str">
        <f t="shared" si="429"/>
        <v>邻传孤</v>
      </c>
      <c r="CM637" s="24" t="str">
        <f t="shared" si="430"/>
        <v>46</v>
      </c>
      <c r="CN637" s="24" t="str">
        <f t="array" ref="CN637">_xlfn.TEXTJOIN("",TRUE,IF(ISNUMBER(FIND(MID(CM636&amp;Y636,ROW($1:$162),1),CM637&amp;Y637)),MID(CM636&amp;Y636,ROW($1:$162),1),""))</f>
        <v/>
      </c>
      <c r="CO637" s="24" t="str">
        <f t="array" ref="CO637">_xlfn.TEXTJOIN("",TRUE,IF(ISERROR(FIND(ROW($1:$168)-1,CM637&amp;CN637)),ROW($1:$168)-1,""))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37" s="30" t="str">
        <f t="shared" si="431"/>
        <v>邻孤孤</v>
      </c>
    </row>
    <row r="638" spans="1:94">
      <c r="A638" s="15">
        <v>638</v>
      </c>
      <c r="B638" s="80">
        <v>2025255</v>
      </c>
      <c r="C638" s="8" t="s">
        <v>492</v>
      </c>
      <c r="D638" s="81">
        <f t="shared" si="411"/>
        <v>12</v>
      </c>
      <c r="E638" s="82">
        <f t="shared" si="412"/>
        <v>2</v>
      </c>
      <c r="F638" s="83">
        <f t="shared" si="409"/>
        <v>3</v>
      </c>
      <c r="G638" s="84" t="str">
        <f t="shared" si="410"/>
        <v>标准</v>
      </c>
      <c r="H638" s="85" t="s">
        <v>10</v>
      </c>
      <c r="I638" s="85" t="s">
        <v>11</v>
      </c>
      <c r="J638" s="85" t="s">
        <v>12</v>
      </c>
      <c r="K638" s="85" t="s">
        <v>13</v>
      </c>
      <c r="L638" s="86">
        <f>MAX(MID(C638,{1,2,3},1)*1)-MIN(MID(C638,{1,2,3},1)*1)</f>
        <v>4</v>
      </c>
      <c r="M638" s="87">
        <v>0</v>
      </c>
      <c r="N638" s="87">
        <v>1</v>
      </c>
      <c r="O638" s="87">
        <v>2</v>
      </c>
      <c r="P638" s="87">
        <v>3</v>
      </c>
      <c r="Q638" s="87">
        <v>4</v>
      </c>
      <c r="R638" s="87">
        <v>5</v>
      </c>
      <c r="S638" s="87">
        <v>6</v>
      </c>
      <c r="T638" s="87">
        <v>7</v>
      </c>
      <c r="U638" s="87">
        <v>8</v>
      </c>
      <c r="V638" s="87">
        <v>9</v>
      </c>
      <c r="W638" s="88">
        <f t="shared" si="413"/>
        <v>4</v>
      </c>
      <c r="X638" s="88">
        <f t="shared" si="414"/>
        <v>2</v>
      </c>
      <c r="Y638" s="88">
        <f t="shared" si="415"/>
        <v>2</v>
      </c>
      <c r="Z638" s="89">
        <f t="shared" si="418"/>
        <v>8</v>
      </c>
      <c r="AA638" s="17" t="str">
        <f>_xlfn.TEXTJOIN(", ",TRUE,ABS(MID(C638,{1,1,2},1)-MID(C638,{2,3,3},1)))</f>
        <v>4, 2, 2</v>
      </c>
      <c r="AB638" s="90">
        <v>0</v>
      </c>
      <c r="AC638" s="90">
        <v>1</v>
      </c>
      <c r="AD638" s="90">
        <v>2</v>
      </c>
      <c r="AE638" s="90">
        <v>3</v>
      </c>
      <c r="AF638" s="90">
        <v>4</v>
      </c>
      <c r="AG638" s="90">
        <v>5</v>
      </c>
      <c r="AH638" s="90">
        <v>6</v>
      </c>
      <c r="AI638" s="90">
        <v>7</v>
      </c>
      <c r="AJ638" s="90">
        <v>8</v>
      </c>
      <c r="AK638" s="90">
        <v>9</v>
      </c>
      <c r="AL638" s="91">
        <v>0</v>
      </c>
      <c r="AM638" s="91">
        <v>1</v>
      </c>
      <c r="AN638" s="91">
        <v>2</v>
      </c>
      <c r="AO638" s="91">
        <v>3</v>
      </c>
      <c r="AP638" s="91">
        <v>4</v>
      </c>
      <c r="AQ638" s="91">
        <v>5</v>
      </c>
      <c r="AR638" s="91">
        <v>6</v>
      </c>
      <c r="AS638" s="91">
        <v>7</v>
      </c>
      <c r="AT638" s="91">
        <v>8</v>
      </c>
      <c r="AU638" s="91">
        <v>9</v>
      </c>
      <c r="AV638" s="92">
        <v>0</v>
      </c>
      <c r="AW638" s="92">
        <v>1</v>
      </c>
      <c r="AX638" s="92">
        <v>2</v>
      </c>
      <c r="AY638" s="92">
        <v>3</v>
      </c>
      <c r="AZ638" s="92">
        <v>4</v>
      </c>
      <c r="BA638" s="92">
        <v>5</v>
      </c>
      <c r="BB638" s="92">
        <v>6</v>
      </c>
      <c r="BC638" s="92">
        <v>7</v>
      </c>
      <c r="BD638" s="92">
        <v>8</v>
      </c>
      <c r="BE638" s="92">
        <v>9</v>
      </c>
      <c r="BF638" s="93">
        <v>0</v>
      </c>
      <c r="BG638" s="93">
        <v>1</v>
      </c>
      <c r="BH638" s="93">
        <v>2</v>
      </c>
      <c r="BI638" s="93">
        <v>3</v>
      </c>
      <c r="BJ638" s="93">
        <v>4</v>
      </c>
      <c r="BK638" s="93">
        <v>5</v>
      </c>
      <c r="BL638" s="93">
        <v>6</v>
      </c>
      <c r="BM638" s="93">
        <v>7</v>
      </c>
      <c r="BN638" s="93">
        <v>8</v>
      </c>
      <c r="BO638" s="93">
        <v>9</v>
      </c>
      <c r="BP638" s="94" t="str">
        <f t="shared" si="419"/>
        <v>标准型</v>
      </c>
      <c r="BQ638" s="15">
        <f t="shared" si="416"/>
        <v>2</v>
      </c>
      <c r="BR638" s="15">
        <f t="shared" si="417"/>
        <v>4</v>
      </c>
      <c r="BS638" s="20" t="str">
        <f t="shared" si="421"/>
        <v/>
      </c>
      <c r="BT638" s="21" t="str">
        <f t="shared" si="422"/>
        <v/>
      </c>
      <c r="BU638" s="21" t="str">
        <f t="array" ref="BU638">_xlfn.TEXTJOIN("",TRUE,IF(ISERROR(FIND(ROW($1:$168)-1,BS638&amp;BT638)),ROW($1:$168)-1,""))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38" s="22" t="str">
        <f t="shared" si="423"/>
        <v>中中中</v>
      </c>
      <c r="BW638" s="23">
        <f t="shared" si="434"/>
        <v>2</v>
      </c>
      <c r="BX638" s="23">
        <f t="shared" si="432"/>
        <v>2</v>
      </c>
      <c r="BY638" s="23" t="str">
        <f t="array" ref="BY638">_xlfn.TEXTJOIN("",TRUE,IF(ISERROR(FIND(ROW($1:$168)-1,BW638&amp;BX638)),ROW($1:$168)-1,""))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38" s="22" t="str">
        <f t="shared" si="424"/>
        <v>复隔中</v>
      </c>
      <c r="CA638" s="24">
        <f t="shared" si="425"/>
        <v>2</v>
      </c>
      <c r="CB638" s="24">
        <f t="shared" si="433"/>
        <v>2</v>
      </c>
      <c r="CC638" s="24" t="str">
        <f t="array" ref="CC638">_xlfn.TEXTJOIN("",TRUE,IF(ISERROR(FIND(ROW($1:$168)-1,CA638&amp;CB638)),ROW($1:$168)-1,""))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38" s="22" t="str">
        <f t="shared" si="426"/>
        <v>复隔中</v>
      </c>
      <c r="CE638" s="25" t="str">
        <f t="shared" si="420"/>
        <v>35</v>
      </c>
      <c r="CF638" s="26" t="str">
        <f t="array" ref="CF638">_xlfn.TEXTJOIN("",TRUE,IF(ISNUMBER(FIND(MID(CE637&amp;W637,ROW($1:$162),1),CE638&amp;W638)),MID(CE637&amp;W637,ROW($1:$162),1),""))</f>
        <v/>
      </c>
      <c r="CG638" s="27" t="str">
        <f t="array" ref="CG638">_xlfn.TEXTJOIN("",TRUE,IF(ISERROR(FIND(ROW($1:$168)-1,CE638&amp;CF638)),ROW($1:$168)-1,""))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38" s="28" t="str">
        <f t="shared" si="427"/>
        <v>邻孤孤</v>
      </c>
      <c r="CI638" s="29" t="str">
        <f t="shared" si="428"/>
        <v>13</v>
      </c>
      <c r="CJ638" s="29" t="str">
        <f t="array" ref="CJ638">_xlfn.TEXTJOIN("",TRUE,IF(ISNUMBER(FIND(MID(CI637&amp;X637,ROW($1:$162),1),CI638&amp;X638)),MID(CI637&amp;X637,ROW($1:$162),1),""))</f>
        <v>132</v>
      </c>
      <c r="CK638" s="29" t="str">
        <f t="array" ref="CK638">_xlfn.TEXTJOIN("",TRUE,IF(ISERROR(FIND(ROW($1:$168)-1,CI638&amp;CJ638)),ROW($1:$168)-1,""))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638" s="19" t="str">
        <f t="shared" si="429"/>
        <v>邻传孤</v>
      </c>
      <c r="CM638" s="24" t="str">
        <f t="shared" si="430"/>
        <v>13</v>
      </c>
      <c r="CN638" s="24" t="str">
        <f t="array" ref="CN638">_xlfn.TEXTJOIN("",TRUE,IF(ISNUMBER(FIND(MID(CM637&amp;Y637,ROW($1:$162),1),CM638&amp;Y638)),MID(CM637&amp;Y637,ROW($1:$162),1),""))</f>
        <v/>
      </c>
      <c r="CO638" s="24" t="str">
        <f t="array" ref="CO638">_xlfn.TEXTJOIN("",TRUE,IF(ISERROR(FIND(ROW($1:$168)-1,CM638&amp;CN638)),ROW($1:$168)-1,""))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38" s="30" t="str">
        <f t="shared" si="431"/>
        <v>邻孤孤</v>
      </c>
    </row>
    <row r="639" spans="1:94">
      <c r="A639" s="15">
        <v>639</v>
      </c>
      <c r="B639" s="80">
        <v>2025256</v>
      </c>
      <c r="C639" s="8" t="s">
        <v>100</v>
      </c>
      <c r="D639" s="81">
        <f t="shared" si="411"/>
        <v>10</v>
      </c>
      <c r="E639" s="82">
        <f t="shared" si="412"/>
        <v>0</v>
      </c>
      <c r="F639" s="83">
        <f t="shared" si="409"/>
        <v>1.66666666666667</v>
      </c>
      <c r="G639" s="84" t="str">
        <f t="shared" si="410"/>
        <v>松散</v>
      </c>
      <c r="H639" s="85" t="s">
        <v>10</v>
      </c>
      <c r="I639" s="85" t="s">
        <v>11</v>
      </c>
      <c r="J639" s="85" t="s">
        <v>12</v>
      </c>
      <c r="K639" s="85" t="s">
        <v>13</v>
      </c>
      <c r="L639" s="86">
        <f>MAX(MID(C639,{1,2,3},1)*1)-MIN(MID(C639,{1,2,3},1)*1)</f>
        <v>6</v>
      </c>
      <c r="M639" s="87">
        <v>0</v>
      </c>
      <c r="N639" s="87">
        <v>1</v>
      </c>
      <c r="O639" s="87">
        <v>2</v>
      </c>
      <c r="P639" s="87">
        <v>3</v>
      </c>
      <c r="Q639" s="87">
        <v>4</v>
      </c>
      <c r="R639" s="87">
        <v>5</v>
      </c>
      <c r="S639" s="87">
        <v>6</v>
      </c>
      <c r="T639" s="87">
        <v>7</v>
      </c>
      <c r="U639" s="87">
        <v>8</v>
      </c>
      <c r="V639" s="87">
        <v>9</v>
      </c>
      <c r="W639" s="88">
        <f t="shared" si="413"/>
        <v>4</v>
      </c>
      <c r="X639" s="88">
        <f t="shared" si="414"/>
        <v>2</v>
      </c>
      <c r="Y639" s="88">
        <f t="shared" si="415"/>
        <v>6</v>
      </c>
      <c r="Z639" s="89">
        <f t="shared" si="418"/>
        <v>12</v>
      </c>
      <c r="AA639" s="17" t="str">
        <f>_xlfn.TEXTJOIN(", ",TRUE,ABS(MID(C639,{1,1,2},1)-MID(C639,{2,3,3},1)))</f>
        <v>4, 2, 6</v>
      </c>
      <c r="AB639" s="90">
        <v>0</v>
      </c>
      <c r="AC639" s="90">
        <v>1</v>
      </c>
      <c r="AD639" s="90">
        <v>2</v>
      </c>
      <c r="AE639" s="90">
        <v>3</v>
      </c>
      <c r="AF639" s="90">
        <v>4</v>
      </c>
      <c r="AG639" s="90">
        <v>5</v>
      </c>
      <c r="AH639" s="90">
        <v>6</v>
      </c>
      <c r="AI639" s="90">
        <v>7</v>
      </c>
      <c r="AJ639" s="90">
        <v>8</v>
      </c>
      <c r="AK639" s="90">
        <v>9</v>
      </c>
      <c r="AL639" s="91">
        <v>0</v>
      </c>
      <c r="AM639" s="91">
        <v>1</v>
      </c>
      <c r="AN639" s="91">
        <v>2</v>
      </c>
      <c r="AO639" s="91">
        <v>3</v>
      </c>
      <c r="AP639" s="91">
        <v>4</v>
      </c>
      <c r="AQ639" s="91">
        <v>5</v>
      </c>
      <c r="AR639" s="91">
        <v>6</v>
      </c>
      <c r="AS639" s="91">
        <v>7</v>
      </c>
      <c r="AT639" s="91">
        <v>8</v>
      </c>
      <c r="AU639" s="91">
        <v>9</v>
      </c>
      <c r="AV639" s="92">
        <v>0</v>
      </c>
      <c r="AW639" s="92">
        <v>1</v>
      </c>
      <c r="AX639" s="92">
        <v>2</v>
      </c>
      <c r="AY639" s="92">
        <v>3</v>
      </c>
      <c r="AZ639" s="92">
        <v>4</v>
      </c>
      <c r="BA639" s="92">
        <v>5</v>
      </c>
      <c r="BB639" s="92">
        <v>6</v>
      </c>
      <c r="BC639" s="92">
        <v>7</v>
      </c>
      <c r="BD639" s="92">
        <v>8</v>
      </c>
      <c r="BE639" s="92">
        <v>9</v>
      </c>
      <c r="BF639" s="93">
        <v>0</v>
      </c>
      <c r="BG639" s="93">
        <v>1</v>
      </c>
      <c r="BH639" s="93">
        <v>2</v>
      </c>
      <c r="BI639" s="93">
        <v>3</v>
      </c>
      <c r="BJ639" s="93">
        <v>4</v>
      </c>
      <c r="BK639" s="93">
        <v>5</v>
      </c>
      <c r="BL639" s="93">
        <v>6</v>
      </c>
      <c r="BM639" s="93">
        <v>7</v>
      </c>
      <c r="BN639" s="93">
        <v>8</v>
      </c>
      <c r="BO639" s="93">
        <v>9</v>
      </c>
      <c r="BP639" s="94" t="str">
        <f t="shared" si="419"/>
        <v>松散型</v>
      </c>
      <c r="BQ639" s="15">
        <f t="shared" si="416"/>
        <v>2</v>
      </c>
      <c r="BR639" s="15">
        <f t="shared" si="417"/>
        <v>6</v>
      </c>
      <c r="BS639" s="20">
        <f t="shared" si="421"/>
        <v>4</v>
      </c>
      <c r="BT639" s="21" t="str">
        <f t="shared" si="422"/>
        <v/>
      </c>
      <c r="BU639" s="21" t="str">
        <f t="array" ref="BU639">_xlfn.TEXTJOIN("",TRUE,IF(ISERROR(FIND(ROW($1:$168)-1,BS639&amp;BT639)),ROW($1:$168)-1,""))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39" s="22" t="str">
        <f t="shared" si="423"/>
        <v>复中中</v>
      </c>
      <c r="BW639" s="23">
        <f t="shared" si="434"/>
        <v>2</v>
      </c>
      <c r="BX639" s="23">
        <f t="shared" si="432"/>
        <v>2</v>
      </c>
      <c r="BY639" s="23" t="str">
        <f t="array" ref="BY639">_xlfn.TEXTJOIN("",TRUE,IF(ISERROR(FIND(ROW($1:$168)-1,BW639&amp;BX639)),ROW($1:$168)-1,""))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39" s="22" t="str">
        <f t="shared" si="424"/>
        <v>复隔中</v>
      </c>
      <c r="CA639" s="24" t="str">
        <f t="shared" si="425"/>
        <v/>
      </c>
      <c r="CB639" s="24" t="str">
        <f t="shared" si="433"/>
        <v/>
      </c>
      <c r="CC639" s="24" t="str">
        <f t="array" ref="CC639">_xlfn.TEXTJOIN("",TRUE,IF(ISERROR(FIND(ROW($1:$168)-1,CA639&amp;CB639)),ROW($1:$168)-1,""))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39" s="22" t="str">
        <f t="shared" si="426"/>
        <v>中中中</v>
      </c>
      <c r="CE639" s="25" t="str">
        <f t="shared" si="420"/>
        <v>35</v>
      </c>
      <c r="CF639" s="26" t="str">
        <f t="array" ref="CF639">_xlfn.TEXTJOIN("",TRUE,IF(ISNUMBER(FIND(MID(CE638&amp;W638,ROW($1:$162),1),CE639&amp;W639)),MID(CE638&amp;W638,ROW($1:$162),1),""))</f>
        <v>354</v>
      </c>
      <c r="CG639" s="27" t="str">
        <f t="array" ref="CG639">_xlfn.TEXTJOIN("",TRUE,IF(ISERROR(FIND(ROW($1:$168)-1,CE639&amp;CF639)),ROW($1:$168)-1,""))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39" s="28" t="str">
        <f t="shared" si="427"/>
        <v>邻传孤</v>
      </c>
      <c r="CI639" s="29" t="str">
        <f t="shared" si="428"/>
        <v>13</v>
      </c>
      <c r="CJ639" s="29" t="str">
        <f t="array" ref="CJ639">_xlfn.TEXTJOIN("",TRUE,IF(ISNUMBER(FIND(MID(CI638&amp;X638,ROW($1:$162),1),CI639&amp;X639)),MID(CI638&amp;X638,ROW($1:$162),1),""))</f>
        <v>132</v>
      </c>
      <c r="CK639" s="29" t="str">
        <f t="array" ref="CK639">_xlfn.TEXTJOIN("",TRUE,IF(ISERROR(FIND(ROW($1:$168)-1,CI639&amp;CJ639)),ROW($1:$168)-1,""))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639" s="19" t="str">
        <f t="shared" si="429"/>
        <v>邻传孤</v>
      </c>
      <c r="CM639" s="24" t="str">
        <f t="shared" si="430"/>
        <v>57</v>
      </c>
      <c r="CN639" s="24" t="str">
        <f t="array" ref="CN639">_xlfn.TEXTJOIN("",TRUE,IF(ISNUMBER(FIND(MID(CM638&amp;Y638,ROW($1:$162),1),CM639&amp;Y639)),MID(CM638&amp;Y638,ROW($1:$162),1),""))</f>
        <v/>
      </c>
      <c r="CO639" s="24" t="str">
        <f t="array" ref="CO639">_xlfn.TEXTJOIN("",TRUE,IF(ISERROR(FIND(ROW($1:$168)-1,CM639&amp;CN639)),ROW($1:$168)-1,""))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39" s="30" t="str">
        <f t="shared" si="431"/>
        <v>邻孤孤</v>
      </c>
    </row>
    <row r="640" spans="1:94">
      <c r="A640" s="15">
        <v>640</v>
      </c>
      <c r="B640" s="80">
        <v>2025257</v>
      </c>
      <c r="C640" s="8" t="s">
        <v>481</v>
      </c>
      <c r="D640" s="81">
        <f t="shared" si="411"/>
        <v>14</v>
      </c>
      <c r="E640" s="82">
        <f t="shared" si="412"/>
        <v>4</v>
      </c>
      <c r="F640" s="83">
        <f t="shared" si="409"/>
        <v>1.75</v>
      </c>
      <c r="G640" s="84" t="str">
        <f t="shared" si="410"/>
        <v>松散</v>
      </c>
      <c r="H640" s="85" t="s">
        <v>10</v>
      </c>
      <c r="I640" s="85" t="s">
        <v>11</v>
      </c>
      <c r="J640" s="85" t="s">
        <v>12</v>
      </c>
      <c r="K640" s="85" t="s">
        <v>13</v>
      </c>
      <c r="L640" s="86">
        <f>MAX(MID(C640,{1,2,3},1)*1)-MIN(MID(C640,{1,2,3},1)*1)</f>
        <v>8</v>
      </c>
      <c r="M640" s="87">
        <v>0</v>
      </c>
      <c r="N640" s="87">
        <v>1</v>
      </c>
      <c r="O640" s="87">
        <v>2</v>
      </c>
      <c r="P640" s="87">
        <v>3</v>
      </c>
      <c r="Q640" s="87">
        <v>4</v>
      </c>
      <c r="R640" s="87">
        <v>5</v>
      </c>
      <c r="S640" s="87">
        <v>6</v>
      </c>
      <c r="T640" s="87">
        <v>7</v>
      </c>
      <c r="U640" s="87">
        <v>8</v>
      </c>
      <c r="V640" s="87">
        <v>9</v>
      </c>
      <c r="W640" s="88">
        <f t="shared" si="413"/>
        <v>2</v>
      </c>
      <c r="X640" s="88">
        <f t="shared" si="414"/>
        <v>8</v>
      </c>
      <c r="Y640" s="88">
        <f t="shared" si="415"/>
        <v>6</v>
      </c>
      <c r="Z640" s="89">
        <f t="shared" si="418"/>
        <v>16</v>
      </c>
      <c r="AA640" s="17" t="str">
        <f>_xlfn.TEXTJOIN(", ",TRUE,ABS(MID(C640,{1,1,2},1)-MID(C640,{2,3,3},1)))</f>
        <v>2, 8, 6</v>
      </c>
      <c r="AB640" s="90">
        <v>0</v>
      </c>
      <c r="AC640" s="90">
        <v>1</v>
      </c>
      <c r="AD640" s="90">
        <v>2</v>
      </c>
      <c r="AE640" s="90">
        <v>3</v>
      </c>
      <c r="AF640" s="90">
        <v>4</v>
      </c>
      <c r="AG640" s="90">
        <v>5</v>
      </c>
      <c r="AH640" s="90">
        <v>6</v>
      </c>
      <c r="AI640" s="90">
        <v>7</v>
      </c>
      <c r="AJ640" s="90">
        <v>8</v>
      </c>
      <c r="AK640" s="90">
        <v>9</v>
      </c>
      <c r="AL640" s="91">
        <v>0</v>
      </c>
      <c r="AM640" s="91">
        <v>1</v>
      </c>
      <c r="AN640" s="91">
        <v>2</v>
      </c>
      <c r="AO640" s="91">
        <v>3</v>
      </c>
      <c r="AP640" s="91">
        <v>4</v>
      </c>
      <c r="AQ640" s="91">
        <v>5</v>
      </c>
      <c r="AR640" s="91">
        <v>6</v>
      </c>
      <c r="AS640" s="91">
        <v>7</v>
      </c>
      <c r="AT640" s="91">
        <v>8</v>
      </c>
      <c r="AU640" s="91">
        <v>9</v>
      </c>
      <c r="AV640" s="92">
        <v>0</v>
      </c>
      <c r="AW640" s="92">
        <v>1</v>
      </c>
      <c r="AX640" s="92">
        <v>2</v>
      </c>
      <c r="AY640" s="92">
        <v>3</v>
      </c>
      <c r="AZ640" s="92">
        <v>4</v>
      </c>
      <c r="BA640" s="92">
        <v>5</v>
      </c>
      <c r="BB640" s="92">
        <v>6</v>
      </c>
      <c r="BC640" s="92">
        <v>7</v>
      </c>
      <c r="BD640" s="92">
        <v>8</v>
      </c>
      <c r="BE640" s="92">
        <v>9</v>
      </c>
      <c r="BF640" s="93">
        <v>0</v>
      </c>
      <c r="BG640" s="93">
        <v>1</v>
      </c>
      <c r="BH640" s="93">
        <v>2</v>
      </c>
      <c r="BI640" s="93">
        <v>3</v>
      </c>
      <c r="BJ640" s="93">
        <v>4</v>
      </c>
      <c r="BK640" s="93">
        <v>5</v>
      </c>
      <c r="BL640" s="93">
        <v>6</v>
      </c>
      <c r="BM640" s="93">
        <v>7</v>
      </c>
      <c r="BN640" s="93">
        <v>8</v>
      </c>
      <c r="BO640" s="93">
        <v>9</v>
      </c>
      <c r="BP640" s="94" t="str">
        <f t="shared" si="419"/>
        <v>松散型</v>
      </c>
      <c r="BQ640" s="15">
        <f t="shared" si="416"/>
        <v>2</v>
      </c>
      <c r="BR640" s="15">
        <f t="shared" si="417"/>
        <v>8</v>
      </c>
      <c r="BS640" s="20">
        <f t="shared" si="421"/>
        <v>2</v>
      </c>
      <c r="BT640" s="21">
        <f t="shared" si="422"/>
        <v>2</v>
      </c>
      <c r="BU640" s="21" t="str">
        <f t="array" ref="BU640">_xlfn.TEXTJOIN("",TRUE,IF(ISERROR(FIND(ROW($1:$168)-1,BS640&amp;BT640)),ROW($1:$168)-1,""))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40" s="22" t="str">
        <f t="shared" si="423"/>
        <v>复隔中</v>
      </c>
      <c r="BW640" s="23" t="str">
        <f t="shared" si="434"/>
        <v/>
      </c>
      <c r="BX640" s="23" t="str">
        <f t="shared" si="432"/>
        <v/>
      </c>
      <c r="BY640" s="23" t="str">
        <f t="array" ref="BY640">_xlfn.TEXTJOIN("",TRUE,IF(ISERROR(FIND(ROW($1:$168)-1,BW640&amp;BX640)),ROW($1:$168)-1,""))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40" s="22" t="str">
        <f t="shared" si="424"/>
        <v>中中中</v>
      </c>
      <c r="CA640" s="24">
        <f t="shared" si="425"/>
        <v>6</v>
      </c>
      <c r="CB640" s="24" t="str">
        <f t="shared" si="433"/>
        <v/>
      </c>
      <c r="CC640" s="24" t="str">
        <f t="array" ref="CC640">_xlfn.TEXTJOIN("",TRUE,IF(ISERROR(FIND(ROW($1:$168)-1,CA640&amp;CB640)),ROW($1:$168)-1,""))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40" s="22" t="str">
        <f t="shared" si="426"/>
        <v>复中中</v>
      </c>
      <c r="CE640" s="25" t="str">
        <f t="shared" si="420"/>
        <v>13</v>
      </c>
      <c r="CF640" s="26" t="str">
        <f t="array" ref="CF640">_xlfn.TEXTJOIN("",TRUE,IF(ISNUMBER(FIND(MID(CE639&amp;W639,ROW($1:$162),1),CE640&amp;W640)),MID(CE639&amp;W639,ROW($1:$162),1),""))</f>
        <v>3</v>
      </c>
      <c r="CG640" s="27" t="str">
        <f t="array" ref="CG640">_xlfn.TEXTJOIN("",TRUE,IF(ISERROR(FIND(ROW($1:$168)-1,CE640&amp;CF640)),ROW($1:$168)-1,""))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640" s="28" t="str">
        <f t="shared" si="427"/>
        <v>邻传孤</v>
      </c>
      <c r="CI640" s="29" t="str">
        <f t="shared" si="428"/>
        <v>79</v>
      </c>
      <c r="CJ640" s="29" t="str">
        <f t="array" ref="CJ640">_xlfn.TEXTJOIN("",TRUE,IF(ISNUMBER(FIND(MID(CI639&amp;X639,ROW($1:$162),1),CI640&amp;X640)),MID(CI639&amp;X639,ROW($1:$162),1),""))</f>
        <v/>
      </c>
      <c r="CK640" s="29" t="str">
        <f t="array" ref="CK640">_xlfn.TEXTJOIN("",TRUE,IF(ISERROR(FIND(ROW($1:$168)-1,CI640&amp;CJ640)),ROW($1:$168)-1,""))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640" s="19" t="str">
        <f t="shared" si="429"/>
        <v>邻孤孤</v>
      </c>
      <c r="CM640" s="24" t="str">
        <f t="shared" si="430"/>
        <v>57</v>
      </c>
      <c r="CN640" s="24" t="str">
        <f t="array" ref="CN640">_xlfn.TEXTJOIN("",TRUE,IF(ISNUMBER(FIND(MID(CM639&amp;Y639,ROW($1:$162),1),CM640&amp;Y640)),MID(CM639&amp;Y639,ROW($1:$162),1),""))</f>
        <v>576</v>
      </c>
      <c r="CO640" s="24" t="str">
        <f t="array" ref="CO640">_xlfn.TEXTJOIN("",TRUE,IF(ISERROR(FIND(ROW($1:$168)-1,CM640&amp;CN640)),ROW($1:$168)-1,""))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40" s="30" t="str">
        <f t="shared" si="431"/>
        <v>邻传孤</v>
      </c>
    </row>
    <row r="641" spans="1:94">
      <c r="A641" s="15">
        <v>641</v>
      </c>
      <c r="B641" s="80">
        <v>2025258</v>
      </c>
      <c r="C641" s="8" t="s">
        <v>493</v>
      </c>
      <c r="D641" s="81">
        <f t="shared" si="411"/>
        <v>14</v>
      </c>
      <c r="E641" s="82">
        <f t="shared" si="412"/>
        <v>4</v>
      </c>
      <c r="F641" s="83">
        <f t="shared" si="409"/>
        <v>3.5</v>
      </c>
      <c r="G641" s="84" t="str">
        <f t="shared" si="410"/>
        <v>标准</v>
      </c>
      <c r="H641" s="85" t="s">
        <v>10</v>
      </c>
      <c r="I641" s="85" t="s">
        <v>11</v>
      </c>
      <c r="J641" s="85" t="s">
        <v>12</v>
      </c>
      <c r="K641" s="85" t="s">
        <v>13</v>
      </c>
      <c r="L641" s="86">
        <f>MAX(MID(C641,{1,2,3},1)*1)-MIN(MID(C641,{1,2,3},1)*1)</f>
        <v>4</v>
      </c>
      <c r="M641" s="87">
        <v>0</v>
      </c>
      <c r="N641" s="87">
        <v>1</v>
      </c>
      <c r="O641" s="87">
        <v>2</v>
      </c>
      <c r="P641" s="87">
        <v>3</v>
      </c>
      <c r="Q641" s="87">
        <v>4</v>
      </c>
      <c r="R641" s="87">
        <v>5</v>
      </c>
      <c r="S641" s="87">
        <v>6</v>
      </c>
      <c r="T641" s="87">
        <v>7</v>
      </c>
      <c r="U641" s="87">
        <v>8</v>
      </c>
      <c r="V641" s="87">
        <v>9</v>
      </c>
      <c r="W641" s="88">
        <f t="shared" si="413"/>
        <v>4</v>
      </c>
      <c r="X641" s="88">
        <f t="shared" si="414"/>
        <v>0</v>
      </c>
      <c r="Y641" s="88">
        <f t="shared" si="415"/>
        <v>4</v>
      </c>
      <c r="Z641" s="89">
        <f t="shared" si="418"/>
        <v>8</v>
      </c>
      <c r="AA641" s="17" t="str">
        <f>_xlfn.TEXTJOIN(", ",TRUE,ABS(MID(C641,{1,1,2},1)-MID(C641,{2,3,3},1)))</f>
        <v>4, 0, 4</v>
      </c>
      <c r="AB641" s="90">
        <v>0</v>
      </c>
      <c r="AC641" s="90">
        <v>1</v>
      </c>
      <c r="AD641" s="90">
        <v>2</v>
      </c>
      <c r="AE641" s="90">
        <v>3</v>
      </c>
      <c r="AF641" s="90">
        <v>4</v>
      </c>
      <c r="AG641" s="90">
        <v>5</v>
      </c>
      <c r="AH641" s="90">
        <v>6</v>
      </c>
      <c r="AI641" s="90">
        <v>7</v>
      </c>
      <c r="AJ641" s="90">
        <v>8</v>
      </c>
      <c r="AK641" s="90">
        <v>9</v>
      </c>
      <c r="AL641" s="91">
        <v>0</v>
      </c>
      <c r="AM641" s="91">
        <v>1</v>
      </c>
      <c r="AN641" s="91">
        <v>2</v>
      </c>
      <c r="AO641" s="91">
        <v>3</v>
      </c>
      <c r="AP641" s="91">
        <v>4</v>
      </c>
      <c r="AQ641" s="91">
        <v>5</v>
      </c>
      <c r="AR641" s="91">
        <v>6</v>
      </c>
      <c r="AS641" s="91">
        <v>7</v>
      </c>
      <c r="AT641" s="91">
        <v>8</v>
      </c>
      <c r="AU641" s="91">
        <v>9</v>
      </c>
      <c r="AV641" s="92">
        <v>0</v>
      </c>
      <c r="AW641" s="92">
        <v>1</v>
      </c>
      <c r="AX641" s="92">
        <v>2</v>
      </c>
      <c r="AY641" s="92">
        <v>3</v>
      </c>
      <c r="AZ641" s="92">
        <v>4</v>
      </c>
      <c r="BA641" s="92">
        <v>5</v>
      </c>
      <c r="BB641" s="92">
        <v>6</v>
      </c>
      <c r="BC641" s="92">
        <v>7</v>
      </c>
      <c r="BD641" s="92">
        <v>8</v>
      </c>
      <c r="BE641" s="92">
        <v>9</v>
      </c>
      <c r="BF641" s="93">
        <v>0</v>
      </c>
      <c r="BG641" s="93">
        <v>1</v>
      </c>
      <c r="BH641" s="93">
        <v>2</v>
      </c>
      <c r="BI641" s="93">
        <v>3</v>
      </c>
      <c r="BJ641" s="93">
        <v>4</v>
      </c>
      <c r="BK641" s="93">
        <v>5</v>
      </c>
      <c r="BL641" s="93">
        <v>6</v>
      </c>
      <c r="BM641" s="93">
        <v>7</v>
      </c>
      <c r="BN641" s="93">
        <v>8</v>
      </c>
      <c r="BO641" s="93">
        <v>9</v>
      </c>
      <c r="BP641" s="94" t="str">
        <f t="shared" si="419"/>
        <v>紧凑型</v>
      </c>
      <c r="BQ641" s="15">
        <f t="shared" si="416"/>
        <v>0</v>
      </c>
      <c r="BR641" s="15">
        <f t="shared" si="417"/>
        <v>4</v>
      </c>
      <c r="BS641" s="20" t="str">
        <f t="shared" si="421"/>
        <v/>
      </c>
      <c r="BT641" s="21">
        <f t="shared" si="422"/>
        <v>4</v>
      </c>
      <c r="BU641" s="21" t="str">
        <f t="array" ref="BU641">_xlfn.TEXTJOIN("",TRUE,IF(ISERROR(FIND(ROW($1:$168)-1,BS641&amp;BT641)),ROW($1:$168)-1,""))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41" s="22" t="str">
        <f t="shared" si="423"/>
        <v>中隔中</v>
      </c>
      <c r="BW641" s="23" t="str">
        <f t="shared" si="434"/>
        <v/>
      </c>
      <c r="BX641" s="23" t="str">
        <f t="shared" si="432"/>
        <v/>
      </c>
      <c r="BY641" s="23" t="str">
        <f t="array" ref="BY641">_xlfn.TEXTJOIN("",TRUE,IF(ISERROR(FIND(ROW($1:$168)-1,BW641&amp;BX641)),ROW($1:$168)-1,""))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41" s="22" t="str">
        <f t="shared" si="424"/>
        <v>中中中</v>
      </c>
      <c r="CA641" s="24" t="str">
        <f t="shared" si="425"/>
        <v/>
      </c>
      <c r="CB641" s="24">
        <f t="shared" si="433"/>
        <v>4</v>
      </c>
      <c r="CC641" s="24" t="str">
        <f t="array" ref="CC641">_xlfn.TEXTJOIN("",TRUE,IF(ISERROR(FIND(ROW($1:$168)-1,CA641&amp;CB641)),ROW($1:$168)-1,""))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41" s="22" t="str">
        <f t="shared" si="426"/>
        <v>中隔中</v>
      </c>
      <c r="CE641" s="25" t="str">
        <f t="shared" si="420"/>
        <v>35</v>
      </c>
      <c r="CF641" s="26" t="str">
        <f t="array" ref="CF641">_xlfn.TEXTJOIN("",TRUE,IF(ISNUMBER(FIND(MID(CE640&amp;W640,ROW($1:$162),1),CE641&amp;W641)),MID(CE640&amp;W640,ROW($1:$162),1),""))</f>
        <v>3</v>
      </c>
      <c r="CG641" s="27" t="str">
        <f t="array" ref="CG641">_xlfn.TEXTJOIN("",TRUE,IF(ISERROR(FIND(ROW($1:$168)-1,CE641&amp;CF641)),ROW($1:$168)-1,""))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41" s="28" t="str">
        <f t="shared" si="427"/>
        <v>邻传孤</v>
      </c>
      <c r="CI641" s="29" t="str">
        <f t="shared" si="428"/>
        <v>91</v>
      </c>
      <c r="CJ641" s="29" t="str">
        <f t="array" ref="CJ641">_xlfn.TEXTJOIN("",TRUE,IF(ISNUMBER(FIND(MID(CI640&amp;X640,ROW($1:$162),1),CI641&amp;X641)),MID(CI640&amp;X640,ROW($1:$162),1),""))</f>
        <v>9</v>
      </c>
      <c r="CK641" s="29" t="str">
        <f t="array" ref="CK641">_xlfn.TEXTJOIN("",TRUE,IF(ISERROR(FIND(ROW($1:$168)-1,CI641&amp;CJ641)),ROW($1:$168)-1,""))</f>
        <v>02345678101112131415161718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641" s="19" t="str">
        <f t="shared" si="429"/>
        <v>邻传孤</v>
      </c>
      <c r="CM641" s="24" t="str">
        <f t="shared" si="430"/>
        <v>35</v>
      </c>
      <c r="CN641" s="24" t="str">
        <f t="array" ref="CN641">_xlfn.TEXTJOIN("",TRUE,IF(ISNUMBER(FIND(MID(CM640&amp;Y640,ROW($1:$162),1),CM641&amp;Y641)),MID(CM640&amp;Y640,ROW($1:$162),1),""))</f>
        <v>5</v>
      </c>
      <c r="CO641" s="24" t="str">
        <f t="array" ref="CO641">_xlfn.TEXTJOIN("",TRUE,IF(ISERROR(FIND(ROW($1:$168)-1,CM641&amp;CN641)),ROW($1:$168)-1,""))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41" s="30" t="str">
        <f t="shared" si="431"/>
        <v>邻传孤</v>
      </c>
    </row>
    <row r="642" spans="1:94">
      <c r="A642" s="15">
        <v>642</v>
      </c>
      <c r="B642" s="80">
        <v>2025259</v>
      </c>
      <c r="C642" s="8" t="s">
        <v>389</v>
      </c>
      <c r="D642" s="81">
        <f t="shared" si="411"/>
        <v>13</v>
      </c>
      <c r="E642" s="82">
        <f t="shared" si="412"/>
        <v>3</v>
      </c>
      <c r="F642" s="83">
        <f t="shared" si="409"/>
        <v>3.25</v>
      </c>
      <c r="G642" s="84" t="str">
        <f t="shared" si="410"/>
        <v>标准</v>
      </c>
      <c r="H642" s="85" t="s">
        <v>10</v>
      </c>
      <c r="I642" s="85" t="s">
        <v>11</v>
      </c>
      <c r="J642" s="85" t="s">
        <v>12</v>
      </c>
      <c r="K642" s="85" t="s">
        <v>13</v>
      </c>
      <c r="L642" s="86">
        <f>MAX(MID(C642,{1,2,3},1)*1)-MIN(MID(C642,{1,2,3},1)*1)</f>
        <v>4</v>
      </c>
      <c r="M642" s="87">
        <v>0</v>
      </c>
      <c r="N642" s="87">
        <v>1</v>
      </c>
      <c r="O642" s="87">
        <v>2</v>
      </c>
      <c r="P642" s="87">
        <v>3</v>
      </c>
      <c r="Q642" s="87">
        <v>4</v>
      </c>
      <c r="R642" s="87">
        <v>5</v>
      </c>
      <c r="S642" s="87">
        <v>6</v>
      </c>
      <c r="T642" s="87">
        <v>7</v>
      </c>
      <c r="U642" s="87">
        <v>8</v>
      </c>
      <c r="V642" s="87">
        <v>9</v>
      </c>
      <c r="W642" s="88">
        <f t="shared" si="413"/>
        <v>4</v>
      </c>
      <c r="X642" s="88">
        <f t="shared" si="414"/>
        <v>1</v>
      </c>
      <c r="Y642" s="88">
        <f t="shared" si="415"/>
        <v>3</v>
      </c>
      <c r="Z642" s="89">
        <f t="shared" si="418"/>
        <v>8</v>
      </c>
      <c r="AA642" s="17" t="str">
        <f>_xlfn.TEXTJOIN(", ",TRUE,ABS(MID(C642,{1,1,2},1)-MID(C642,{2,3,3},1)))</f>
        <v>4, 1, 3</v>
      </c>
      <c r="AB642" s="90">
        <v>0</v>
      </c>
      <c r="AC642" s="90">
        <v>1</v>
      </c>
      <c r="AD642" s="90">
        <v>2</v>
      </c>
      <c r="AE642" s="90">
        <v>3</v>
      </c>
      <c r="AF642" s="90">
        <v>4</v>
      </c>
      <c r="AG642" s="90">
        <v>5</v>
      </c>
      <c r="AH642" s="90">
        <v>6</v>
      </c>
      <c r="AI642" s="90">
        <v>7</v>
      </c>
      <c r="AJ642" s="90">
        <v>8</v>
      </c>
      <c r="AK642" s="90">
        <v>9</v>
      </c>
      <c r="AL642" s="91">
        <v>0</v>
      </c>
      <c r="AM642" s="91">
        <v>1</v>
      </c>
      <c r="AN642" s="91">
        <v>2</v>
      </c>
      <c r="AO642" s="91">
        <v>3</v>
      </c>
      <c r="AP642" s="91">
        <v>4</v>
      </c>
      <c r="AQ642" s="91">
        <v>5</v>
      </c>
      <c r="AR642" s="91">
        <v>6</v>
      </c>
      <c r="AS642" s="91">
        <v>7</v>
      </c>
      <c r="AT642" s="91">
        <v>8</v>
      </c>
      <c r="AU642" s="91">
        <v>9</v>
      </c>
      <c r="AV642" s="92">
        <v>0</v>
      </c>
      <c r="AW642" s="92">
        <v>1</v>
      </c>
      <c r="AX642" s="92">
        <v>2</v>
      </c>
      <c r="AY642" s="92">
        <v>3</v>
      </c>
      <c r="AZ642" s="92">
        <v>4</v>
      </c>
      <c r="BA642" s="92">
        <v>5</v>
      </c>
      <c r="BB642" s="92">
        <v>6</v>
      </c>
      <c r="BC642" s="92">
        <v>7</v>
      </c>
      <c r="BD642" s="92">
        <v>8</v>
      </c>
      <c r="BE642" s="92">
        <v>9</v>
      </c>
      <c r="BF642" s="93">
        <v>0</v>
      </c>
      <c r="BG642" s="93">
        <v>1</v>
      </c>
      <c r="BH642" s="93">
        <v>2</v>
      </c>
      <c r="BI642" s="93">
        <v>3</v>
      </c>
      <c r="BJ642" s="93">
        <v>4</v>
      </c>
      <c r="BK642" s="93">
        <v>5</v>
      </c>
      <c r="BL642" s="93">
        <v>6</v>
      </c>
      <c r="BM642" s="93">
        <v>7</v>
      </c>
      <c r="BN642" s="93">
        <v>8</v>
      </c>
      <c r="BO642" s="93">
        <v>9</v>
      </c>
      <c r="BP642" s="94" t="str">
        <f t="shared" si="419"/>
        <v>紧凑型</v>
      </c>
      <c r="BQ642" s="15">
        <f t="shared" si="416"/>
        <v>1</v>
      </c>
      <c r="BR642" s="15">
        <f t="shared" si="417"/>
        <v>4</v>
      </c>
      <c r="BS642" s="20">
        <f t="shared" si="421"/>
        <v>4</v>
      </c>
      <c r="BT642" s="21" t="str">
        <f t="shared" si="422"/>
        <v/>
      </c>
      <c r="BU642" s="21" t="str">
        <f t="array" ref="BU642">_xlfn.TEXTJOIN("",TRUE,IF(ISERROR(FIND(ROW($1:$168)-1,BS642&amp;BT642)),ROW($1:$168)-1,""))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42" s="22" t="str">
        <f t="shared" si="423"/>
        <v>复中中</v>
      </c>
      <c r="BW642" s="23" t="str">
        <f t="shared" si="434"/>
        <v/>
      </c>
      <c r="BX642" s="23" t="str">
        <f t="shared" si="432"/>
        <v/>
      </c>
      <c r="BY642" s="23" t="str">
        <f t="array" ref="BY642">_xlfn.TEXTJOIN("",TRUE,IF(ISERROR(FIND(ROW($1:$168)-1,BW642&amp;BX642)),ROW($1:$168)-1,""))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42" s="22" t="str">
        <f t="shared" si="424"/>
        <v>中中中</v>
      </c>
      <c r="CA642" s="24" t="str">
        <f t="shared" si="425"/>
        <v/>
      </c>
      <c r="CB642" s="24" t="str">
        <f t="shared" si="433"/>
        <v/>
      </c>
      <c r="CC642" s="24" t="str">
        <f t="array" ref="CC642">_xlfn.TEXTJOIN("",TRUE,IF(ISERROR(FIND(ROW($1:$168)-1,CA642&amp;CB642)),ROW($1:$168)-1,""))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42" s="22" t="str">
        <f t="shared" si="426"/>
        <v>中中中</v>
      </c>
      <c r="CE642" s="25" t="str">
        <f t="shared" si="420"/>
        <v>35</v>
      </c>
      <c r="CF642" s="26" t="str">
        <f t="array" ref="CF642">_xlfn.TEXTJOIN("",TRUE,IF(ISNUMBER(FIND(MID(CE641&amp;W641,ROW($1:$162),1),CE642&amp;W642)),MID(CE641&amp;W641,ROW($1:$162),1),""))</f>
        <v>354</v>
      </c>
      <c r="CG642" s="27" t="str">
        <f t="array" ref="CG642">_xlfn.TEXTJOIN("",TRUE,IF(ISERROR(FIND(ROW($1:$168)-1,CE642&amp;CF642)),ROW($1:$168)-1,""))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42" s="28" t="str">
        <f t="shared" si="427"/>
        <v>邻传孤</v>
      </c>
      <c r="CI642" s="29" t="str">
        <f t="shared" si="428"/>
        <v>02</v>
      </c>
      <c r="CJ642" s="29" t="str">
        <f t="array" ref="CJ642">_xlfn.TEXTJOIN("",TRUE,IF(ISNUMBER(FIND(MID(CI641&amp;X641,ROW($1:$162),1),CI642&amp;X642)),MID(CI641&amp;X641,ROW($1:$162),1),""))</f>
        <v>10</v>
      </c>
      <c r="CK642" s="29" t="str">
        <f t="array" ref="CK642">_xlfn.TEXTJOIN("",TRUE,IF(ISERROR(FIND(ROW($1:$168)-1,CI642&amp;CJ642)),ROW($1:$168)-1,""))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42" s="19" t="str">
        <f t="shared" si="429"/>
        <v>邻传孤</v>
      </c>
      <c r="CM642" s="24" t="str">
        <f t="shared" si="430"/>
        <v>24</v>
      </c>
      <c r="CN642" s="24" t="str">
        <f t="array" ref="CN642">_xlfn.TEXTJOIN("",TRUE,IF(ISNUMBER(FIND(MID(CM641&amp;Y641,ROW($1:$162),1),CM642&amp;Y642)),MID(CM641&amp;Y641,ROW($1:$162),1),""))</f>
        <v>34</v>
      </c>
      <c r="CO642" s="24" t="str">
        <f t="array" ref="CO642">_xlfn.TEXTJOIN("",TRUE,IF(ISERROR(FIND(ROW($1:$168)-1,CM642&amp;CN642)),ROW($1:$168)-1,""))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42" s="30" t="str">
        <f t="shared" si="431"/>
        <v>邻传孤</v>
      </c>
    </row>
    <row r="643" spans="1:94">
      <c r="A643" s="15">
        <v>643</v>
      </c>
      <c r="B643" s="80">
        <v>2025260</v>
      </c>
      <c r="C643" s="8" t="s">
        <v>278</v>
      </c>
      <c r="D643" s="81">
        <f t="shared" si="411"/>
        <v>19</v>
      </c>
      <c r="E643" s="82">
        <f t="shared" si="412"/>
        <v>9</v>
      </c>
      <c r="F643" s="83">
        <f t="shared" si="409"/>
        <v>2.375</v>
      </c>
      <c r="G643" s="84" t="str">
        <f t="shared" si="410"/>
        <v>标准</v>
      </c>
      <c r="H643" s="85" t="s">
        <v>10</v>
      </c>
      <c r="I643" s="85" t="s">
        <v>11</v>
      </c>
      <c r="J643" s="85" t="s">
        <v>12</v>
      </c>
      <c r="K643" s="85" t="s">
        <v>13</v>
      </c>
      <c r="L643" s="86">
        <f>MAX(MID(C643,{1,2,3},1)*1)-MIN(MID(C643,{1,2,3},1)*1)</f>
        <v>8</v>
      </c>
      <c r="M643" s="87">
        <v>0</v>
      </c>
      <c r="N643" s="87">
        <v>1</v>
      </c>
      <c r="O643" s="87">
        <v>2</v>
      </c>
      <c r="P643" s="87">
        <v>3</v>
      </c>
      <c r="Q643" s="87">
        <v>4</v>
      </c>
      <c r="R643" s="87">
        <v>5</v>
      </c>
      <c r="S643" s="87">
        <v>6</v>
      </c>
      <c r="T643" s="87">
        <v>7</v>
      </c>
      <c r="U643" s="87">
        <v>8</v>
      </c>
      <c r="V643" s="87">
        <v>9</v>
      </c>
      <c r="W643" s="88">
        <f t="shared" si="413"/>
        <v>8</v>
      </c>
      <c r="X643" s="88">
        <f t="shared" si="414"/>
        <v>8</v>
      </c>
      <c r="Y643" s="88">
        <f t="shared" si="415"/>
        <v>0</v>
      </c>
      <c r="Z643" s="89">
        <f t="shared" si="418"/>
        <v>16</v>
      </c>
      <c r="AA643" s="17" t="str">
        <f>_xlfn.TEXTJOIN(", ",TRUE,ABS(MID(C643,{1,1,2},1)-MID(C643,{2,3,3},1)))</f>
        <v>8, 8, 0</v>
      </c>
      <c r="AB643" s="90">
        <v>0</v>
      </c>
      <c r="AC643" s="90">
        <v>1</v>
      </c>
      <c r="AD643" s="90">
        <v>2</v>
      </c>
      <c r="AE643" s="90">
        <v>3</v>
      </c>
      <c r="AF643" s="90">
        <v>4</v>
      </c>
      <c r="AG643" s="90">
        <v>5</v>
      </c>
      <c r="AH643" s="90">
        <v>6</v>
      </c>
      <c r="AI643" s="90">
        <v>7</v>
      </c>
      <c r="AJ643" s="90">
        <v>8</v>
      </c>
      <c r="AK643" s="90">
        <v>9</v>
      </c>
      <c r="AL643" s="91">
        <v>0</v>
      </c>
      <c r="AM643" s="91">
        <v>1</v>
      </c>
      <c r="AN643" s="91">
        <v>2</v>
      </c>
      <c r="AO643" s="91">
        <v>3</v>
      </c>
      <c r="AP643" s="91">
        <v>4</v>
      </c>
      <c r="AQ643" s="91">
        <v>5</v>
      </c>
      <c r="AR643" s="91">
        <v>6</v>
      </c>
      <c r="AS643" s="91">
        <v>7</v>
      </c>
      <c r="AT643" s="91">
        <v>8</v>
      </c>
      <c r="AU643" s="91">
        <v>9</v>
      </c>
      <c r="AV643" s="92">
        <v>0</v>
      </c>
      <c r="AW643" s="92">
        <v>1</v>
      </c>
      <c r="AX643" s="92">
        <v>2</v>
      </c>
      <c r="AY643" s="92">
        <v>3</v>
      </c>
      <c r="AZ643" s="92">
        <v>4</v>
      </c>
      <c r="BA643" s="92">
        <v>5</v>
      </c>
      <c r="BB643" s="92">
        <v>6</v>
      </c>
      <c r="BC643" s="92">
        <v>7</v>
      </c>
      <c r="BD643" s="92">
        <v>8</v>
      </c>
      <c r="BE643" s="92">
        <v>9</v>
      </c>
      <c r="BF643" s="93">
        <v>0</v>
      </c>
      <c r="BG643" s="93">
        <v>1</v>
      </c>
      <c r="BH643" s="93">
        <v>2</v>
      </c>
      <c r="BI643" s="93">
        <v>3</v>
      </c>
      <c r="BJ643" s="93">
        <v>4</v>
      </c>
      <c r="BK643" s="93">
        <v>5</v>
      </c>
      <c r="BL643" s="93">
        <v>6</v>
      </c>
      <c r="BM643" s="93">
        <v>7</v>
      </c>
      <c r="BN643" s="93">
        <v>8</v>
      </c>
      <c r="BO643" s="93">
        <v>9</v>
      </c>
      <c r="BP643" s="94" t="str">
        <f t="shared" si="419"/>
        <v>松散型</v>
      </c>
      <c r="BQ643" s="15">
        <f t="shared" si="416"/>
        <v>0</v>
      </c>
      <c r="BR643" s="15">
        <f t="shared" si="417"/>
        <v>8</v>
      </c>
      <c r="BS643" s="20" t="str">
        <f t="shared" si="421"/>
        <v/>
      </c>
      <c r="BT643" s="21" t="str">
        <f t="shared" si="422"/>
        <v/>
      </c>
      <c r="BU643" s="21" t="str">
        <f t="array" ref="BU643">_xlfn.TEXTJOIN("",TRUE,IF(ISERROR(FIND(ROW($1:$168)-1,BS643&amp;BT643)),ROW($1:$168)-1,""))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43" s="22" t="str">
        <f t="shared" si="423"/>
        <v>中中中</v>
      </c>
      <c r="BW643" s="23" t="str">
        <f t="shared" si="434"/>
        <v/>
      </c>
      <c r="BX643" s="23" t="str">
        <f t="shared" si="432"/>
        <v/>
      </c>
      <c r="BY643" s="23" t="str">
        <f t="array" ref="BY643">_xlfn.TEXTJOIN("",TRUE,IF(ISERROR(FIND(ROW($1:$168)-1,BW643&amp;BX643)),ROW($1:$168)-1,""))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43" s="22" t="str">
        <f t="shared" si="424"/>
        <v>中中中</v>
      </c>
      <c r="CA643" s="24" t="str">
        <f t="shared" si="425"/>
        <v/>
      </c>
      <c r="CB643" s="24">
        <f t="shared" si="433"/>
        <v>0</v>
      </c>
      <c r="CC643" s="24" t="str">
        <f t="array" ref="CC643">_xlfn.TEXTJOIN("",TRUE,IF(ISERROR(FIND(ROW($1:$168)-1,CA643&amp;CB643)),ROW($1:$168)-1,""))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43" s="22" t="str">
        <f t="shared" si="426"/>
        <v>中隔中</v>
      </c>
      <c r="CE643" s="25" t="str">
        <f t="shared" si="420"/>
        <v>79</v>
      </c>
      <c r="CF643" s="26" t="str">
        <f t="array" ref="CF643">_xlfn.TEXTJOIN("",TRUE,IF(ISNUMBER(FIND(MID(CE642&amp;W642,ROW($1:$162),1),CE643&amp;W643)),MID(CE642&amp;W642,ROW($1:$162),1),""))</f>
        <v/>
      </c>
      <c r="CG643" s="27" t="str">
        <f t="array" ref="CG643">_xlfn.TEXTJOIN("",TRUE,IF(ISERROR(FIND(ROW($1:$168)-1,CE643&amp;CF643)),ROW($1:$168)-1,""))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643" s="28" t="str">
        <f t="shared" si="427"/>
        <v>邻孤孤</v>
      </c>
      <c r="CI643" s="29" t="str">
        <f t="shared" si="428"/>
        <v>79</v>
      </c>
      <c r="CJ643" s="29" t="str">
        <f t="array" ref="CJ643">_xlfn.TEXTJOIN("",TRUE,IF(ISNUMBER(FIND(MID(CI642&amp;X642,ROW($1:$162),1),CI643&amp;X643)),MID(CI642&amp;X642,ROW($1:$162),1),""))</f>
        <v/>
      </c>
      <c r="CK643" s="29" t="str">
        <f t="array" ref="CK643">_xlfn.TEXTJOIN("",TRUE,IF(ISERROR(FIND(ROW($1:$168)-1,CI643&amp;CJ643)),ROW($1:$168)-1,""))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643" s="19" t="str">
        <f t="shared" si="429"/>
        <v>邻孤孤</v>
      </c>
      <c r="CM643" s="24" t="str">
        <f t="shared" si="430"/>
        <v>91</v>
      </c>
      <c r="CN643" s="24" t="str">
        <f t="array" ref="CN643">_xlfn.TEXTJOIN("",TRUE,IF(ISNUMBER(FIND(MID(CM642&amp;Y642,ROW($1:$162),1),CM643&amp;Y643)),MID(CM642&amp;Y642,ROW($1:$162),1),""))</f>
        <v/>
      </c>
      <c r="CO643" s="24" t="str">
        <f t="array" ref="CO643">_xlfn.TEXTJOIN("",TRUE,IF(ISERROR(FIND(ROW($1:$168)-1,CM643&amp;CN643)),ROW($1:$168)-1,""))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643" s="30" t="str">
        <f t="shared" si="431"/>
        <v>邻孤孤</v>
      </c>
    </row>
    <row r="644" spans="1:94">
      <c r="A644" s="15">
        <v>644</v>
      </c>
      <c r="B644" s="80">
        <v>2025261</v>
      </c>
      <c r="C644" s="8" t="s">
        <v>494</v>
      </c>
      <c r="D644" s="81">
        <f t="shared" si="411"/>
        <v>13</v>
      </c>
      <c r="E644" s="82">
        <f t="shared" si="412"/>
        <v>3</v>
      </c>
      <c r="F644" s="83">
        <f t="shared" ref="F644:F707" si="435">IF(L644=0,0.1,D644/L644)</f>
        <v>2.16666666666667</v>
      </c>
      <c r="G644" s="84" t="str">
        <f t="shared" ref="G644:G707" si="436">IF(F644=0.1,"极紧凑",IF(F644&gt;3.5,"紧凑",IF(AND(F644&gt;=2,F644&lt;=3.5),"标准",IF(AND(F644&gt;=1,F644&lt;2),"松散",""))))</f>
        <v>标准</v>
      </c>
      <c r="H644" s="85" t="s">
        <v>10</v>
      </c>
      <c r="I644" s="85" t="s">
        <v>11</v>
      </c>
      <c r="J644" s="85" t="s">
        <v>12</v>
      </c>
      <c r="K644" s="85" t="s">
        <v>13</v>
      </c>
      <c r="L644" s="86">
        <f>MAX(MID(C644,{1,2,3},1)*1)-MIN(MID(C644,{1,2,3},1)*1)</f>
        <v>6</v>
      </c>
      <c r="M644" s="87">
        <v>0</v>
      </c>
      <c r="N644" s="87">
        <v>1</v>
      </c>
      <c r="O644" s="87">
        <v>2</v>
      </c>
      <c r="P644" s="87">
        <v>3</v>
      </c>
      <c r="Q644" s="87">
        <v>4</v>
      </c>
      <c r="R644" s="87">
        <v>5</v>
      </c>
      <c r="S644" s="87">
        <v>6</v>
      </c>
      <c r="T644" s="87">
        <v>7</v>
      </c>
      <c r="U644" s="87">
        <v>8</v>
      </c>
      <c r="V644" s="87">
        <v>9</v>
      </c>
      <c r="W644" s="88">
        <f t="shared" si="413"/>
        <v>2</v>
      </c>
      <c r="X644" s="88">
        <f t="shared" si="414"/>
        <v>6</v>
      </c>
      <c r="Y644" s="88">
        <f t="shared" si="415"/>
        <v>4</v>
      </c>
      <c r="Z644" s="89">
        <f t="shared" si="418"/>
        <v>12</v>
      </c>
      <c r="AA644" s="17" t="str">
        <f>_xlfn.TEXTJOIN(", ",TRUE,ABS(MID(C644,{1,1,2},1)-MID(C644,{2,3,3},1)))</f>
        <v>2, 6, 4</v>
      </c>
      <c r="AB644" s="90">
        <v>0</v>
      </c>
      <c r="AC644" s="90">
        <v>1</v>
      </c>
      <c r="AD644" s="90">
        <v>2</v>
      </c>
      <c r="AE644" s="90">
        <v>3</v>
      </c>
      <c r="AF644" s="90">
        <v>4</v>
      </c>
      <c r="AG644" s="90">
        <v>5</v>
      </c>
      <c r="AH644" s="90">
        <v>6</v>
      </c>
      <c r="AI644" s="90">
        <v>7</v>
      </c>
      <c r="AJ644" s="90">
        <v>8</v>
      </c>
      <c r="AK644" s="90">
        <v>9</v>
      </c>
      <c r="AL644" s="91">
        <v>0</v>
      </c>
      <c r="AM644" s="91">
        <v>1</v>
      </c>
      <c r="AN644" s="91">
        <v>2</v>
      </c>
      <c r="AO644" s="91">
        <v>3</v>
      </c>
      <c r="AP644" s="91">
        <v>4</v>
      </c>
      <c r="AQ644" s="91">
        <v>5</v>
      </c>
      <c r="AR644" s="91">
        <v>6</v>
      </c>
      <c r="AS644" s="91">
        <v>7</v>
      </c>
      <c r="AT644" s="91">
        <v>8</v>
      </c>
      <c r="AU644" s="91">
        <v>9</v>
      </c>
      <c r="AV644" s="92">
        <v>0</v>
      </c>
      <c r="AW644" s="92">
        <v>1</v>
      </c>
      <c r="AX644" s="92">
        <v>2</v>
      </c>
      <c r="AY644" s="92">
        <v>3</v>
      </c>
      <c r="AZ644" s="92">
        <v>4</v>
      </c>
      <c r="BA644" s="92">
        <v>5</v>
      </c>
      <c r="BB644" s="92">
        <v>6</v>
      </c>
      <c r="BC644" s="92">
        <v>7</v>
      </c>
      <c r="BD644" s="92">
        <v>8</v>
      </c>
      <c r="BE644" s="92">
        <v>9</v>
      </c>
      <c r="BF644" s="93">
        <v>0</v>
      </c>
      <c r="BG644" s="93">
        <v>1</v>
      </c>
      <c r="BH644" s="93">
        <v>2</v>
      </c>
      <c r="BI644" s="93">
        <v>3</v>
      </c>
      <c r="BJ644" s="93">
        <v>4</v>
      </c>
      <c r="BK644" s="93">
        <v>5</v>
      </c>
      <c r="BL644" s="93">
        <v>6</v>
      </c>
      <c r="BM644" s="93">
        <v>7</v>
      </c>
      <c r="BN644" s="93">
        <v>8</v>
      </c>
      <c r="BO644" s="93">
        <v>9</v>
      </c>
      <c r="BP644" s="94" t="str">
        <f t="shared" si="419"/>
        <v>松散型</v>
      </c>
      <c r="BQ644" s="15">
        <f t="shared" si="416"/>
        <v>2</v>
      </c>
      <c r="BR644" s="15">
        <f t="shared" si="417"/>
        <v>6</v>
      </c>
      <c r="BS644" s="20" t="str">
        <f t="shared" si="421"/>
        <v/>
      </c>
      <c r="BT644" s="21" t="str">
        <f t="shared" si="422"/>
        <v/>
      </c>
      <c r="BU644" s="21" t="str">
        <f t="array" ref="BU644">_xlfn.TEXTJOIN("",TRUE,IF(ISERROR(FIND(ROW($1:$168)-1,BS644&amp;BT644)),ROW($1:$168)-1,""))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44" s="22" t="str">
        <f t="shared" si="423"/>
        <v>中中中</v>
      </c>
      <c r="BW644" s="23" t="str">
        <f t="shared" si="434"/>
        <v/>
      </c>
      <c r="BX644" s="23" t="str">
        <f t="shared" si="432"/>
        <v/>
      </c>
      <c r="BY644" s="23" t="str">
        <f t="array" ref="BY644">_xlfn.TEXTJOIN("",TRUE,IF(ISERROR(FIND(ROW($1:$168)-1,BW644&amp;BX644)),ROW($1:$168)-1,""))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44" s="22" t="str">
        <f t="shared" si="424"/>
        <v>中中中</v>
      </c>
      <c r="CA644" s="24" t="str">
        <f t="shared" si="425"/>
        <v/>
      </c>
      <c r="CB644" s="24">
        <f t="shared" si="433"/>
        <v>4</v>
      </c>
      <c r="CC644" s="24" t="str">
        <f t="array" ref="CC644">_xlfn.TEXTJOIN("",TRUE,IF(ISERROR(FIND(ROW($1:$168)-1,CA644&amp;CB644)),ROW($1:$168)-1,""))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44" s="22" t="str">
        <f t="shared" si="426"/>
        <v>中隔中</v>
      </c>
      <c r="CE644" s="25" t="str">
        <f t="shared" si="420"/>
        <v>13</v>
      </c>
      <c r="CF644" s="26" t="str">
        <f t="array" ref="CF644">_xlfn.TEXTJOIN("",TRUE,IF(ISNUMBER(FIND(MID(CE643&amp;W643,ROW($1:$162),1),CE644&amp;W644)),MID(CE643&amp;W643,ROW($1:$162),1),""))</f>
        <v/>
      </c>
      <c r="CG644" s="27" t="str">
        <f t="array" ref="CG644">_xlfn.TEXTJOIN("",TRUE,IF(ISERROR(FIND(ROW($1:$168)-1,CE644&amp;CF644)),ROW($1:$168)-1,""))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44" s="28" t="str">
        <f t="shared" si="427"/>
        <v>邻孤孤</v>
      </c>
      <c r="CI644" s="29" t="str">
        <f t="shared" si="428"/>
        <v>57</v>
      </c>
      <c r="CJ644" s="29" t="str">
        <f t="array" ref="CJ644">_xlfn.TEXTJOIN("",TRUE,IF(ISNUMBER(FIND(MID(CI643&amp;X643,ROW($1:$162),1),CI644&amp;X644)),MID(CI643&amp;X643,ROW($1:$162),1),""))</f>
        <v>7</v>
      </c>
      <c r="CK644" s="29" t="str">
        <f t="array" ref="CK644">_xlfn.TEXTJOIN("",TRUE,IF(ISERROR(FIND(ROW($1:$168)-1,CI644&amp;CJ644)),ROW($1:$168)-1,""))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L644" s="19" t="str">
        <f t="shared" si="429"/>
        <v>邻传孤</v>
      </c>
      <c r="CM644" s="24" t="str">
        <f t="shared" si="430"/>
        <v>35</v>
      </c>
      <c r="CN644" s="24" t="str">
        <f t="array" ref="CN644">_xlfn.TEXTJOIN("",TRUE,IF(ISNUMBER(FIND(MID(CM643&amp;Y643,ROW($1:$162),1),CM644&amp;Y644)),MID(CM643&amp;Y643,ROW($1:$162),1),""))</f>
        <v/>
      </c>
      <c r="CO644" s="24" t="str">
        <f t="array" ref="CO644">_xlfn.TEXTJOIN("",TRUE,IF(ISERROR(FIND(ROW($1:$168)-1,CM644&amp;CN644)),ROW($1:$168)-1,""))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44" s="30" t="str">
        <f t="shared" si="431"/>
        <v>邻孤孤</v>
      </c>
    </row>
    <row r="645" spans="1:94">
      <c r="A645" s="15">
        <v>645</v>
      </c>
      <c r="B645" s="80">
        <v>2025262</v>
      </c>
      <c r="C645" s="8" t="s">
        <v>412</v>
      </c>
      <c r="D645" s="81">
        <f t="shared" si="411"/>
        <v>14</v>
      </c>
      <c r="E645" s="82">
        <f t="shared" si="412"/>
        <v>4</v>
      </c>
      <c r="F645" s="83">
        <f t="shared" si="435"/>
        <v>1.75</v>
      </c>
      <c r="G645" s="84" t="str">
        <f t="shared" si="436"/>
        <v>松散</v>
      </c>
      <c r="H645" s="85" t="s">
        <v>10</v>
      </c>
      <c r="I645" s="85" t="s">
        <v>11</v>
      </c>
      <c r="J645" s="85" t="s">
        <v>12</v>
      </c>
      <c r="K645" s="85" t="s">
        <v>13</v>
      </c>
      <c r="L645" s="86">
        <f>MAX(MID(C645,{1,2,3},1)*1)-MIN(MID(C645,{1,2,3},1)*1)</f>
        <v>8</v>
      </c>
      <c r="M645" s="87">
        <v>0</v>
      </c>
      <c r="N645" s="87">
        <v>1</v>
      </c>
      <c r="O645" s="87">
        <v>2</v>
      </c>
      <c r="P645" s="87">
        <v>3</v>
      </c>
      <c r="Q645" s="87">
        <v>4</v>
      </c>
      <c r="R645" s="87">
        <v>5</v>
      </c>
      <c r="S645" s="87">
        <v>6</v>
      </c>
      <c r="T645" s="87">
        <v>7</v>
      </c>
      <c r="U645" s="87">
        <v>8</v>
      </c>
      <c r="V645" s="87">
        <v>9</v>
      </c>
      <c r="W645" s="88">
        <f t="shared" si="413"/>
        <v>8</v>
      </c>
      <c r="X645" s="88">
        <f t="shared" si="414"/>
        <v>5</v>
      </c>
      <c r="Y645" s="88">
        <f t="shared" si="415"/>
        <v>3</v>
      </c>
      <c r="Z645" s="89">
        <f t="shared" si="418"/>
        <v>16</v>
      </c>
      <c r="AA645" s="17" t="str">
        <f>_xlfn.TEXTJOIN(", ",TRUE,ABS(MID(C645,{1,1,2},1)-MID(C645,{2,3,3},1)))</f>
        <v>8, 5, 3</v>
      </c>
      <c r="AB645" s="90">
        <v>0</v>
      </c>
      <c r="AC645" s="90">
        <v>1</v>
      </c>
      <c r="AD645" s="90">
        <v>2</v>
      </c>
      <c r="AE645" s="90">
        <v>3</v>
      </c>
      <c r="AF645" s="90">
        <v>4</v>
      </c>
      <c r="AG645" s="90">
        <v>5</v>
      </c>
      <c r="AH645" s="90">
        <v>6</v>
      </c>
      <c r="AI645" s="90">
        <v>7</v>
      </c>
      <c r="AJ645" s="90">
        <v>8</v>
      </c>
      <c r="AK645" s="90">
        <v>9</v>
      </c>
      <c r="AL645" s="91">
        <v>0</v>
      </c>
      <c r="AM645" s="91">
        <v>1</v>
      </c>
      <c r="AN645" s="91">
        <v>2</v>
      </c>
      <c r="AO645" s="91">
        <v>3</v>
      </c>
      <c r="AP645" s="91">
        <v>4</v>
      </c>
      <c r="AQ645" s="91">
        <v>5</v>
      </c>
      <c r="AR645" s="91">
        <v>6</v>
      </c>
      <c r="AS645" s="91">
        <v>7</v>
      </c>
      <c r="AT645" s="91">
        <v>8</v>
      </c>
      <c r="AU645" s="91">
        <v>9</v>
      </c>
      <c r="AV645" s="92">
        <v>0</v>
      </c>
      <c r="AW645" s="92">
        <v>1</v>
      </c>
      <c r="AX645" s="92">
        <v>2</v>
      </c>
      <c r="AY645" s="92">
        <v>3</v>
      </c>
      <c r="AZ645" s="92">
        <v>4</v>
      </c>
      <c r="BA645" s="92">
        <v>5</v>
      </c>
      <c r="BB645" s="92">
        <v>6</v>
      </c>
      <c r="BC645" s="92">
        <v>7</v>
      </c>
      <c r="BD645" s="92">
        <v>8</v>
      </c>
      <c r="BE645" s="92">
        <v>9</v>
      </c>
      <c r="BF645" s="93">
        <v>0</v>
      </c>
      <c r="BG645" s="93">
        <v>1</v>
      </c>
      <c r="BH645" s="93">
        <v>2</v>
      </c>
      <c r="BI645" s="93">
        <v>3</v>
      </c>
      <c r="BJ645" s="93">
        <v>4</v>
      </c>
      <c r="BK645" s="93">
        <v>5</v>
      </c>
      <c r="BL645" s="93">
        <v>6</v>
      </c>
      <c r="BM645" s="93">
        <v>7</v>
      </c>
      <c r="BN645" s="93">
        <v>8</v>
      </c>
      <c r="BO645" s="93">
        <v>9</v>
      </c>
      <c r="BP645" s="94" t="str">
        <f t="shared" si="419"/>
        <v>松散型</v>
      </c>
      <c r="BQ645" s="15">
        <f t="shared" si="416"/>
        <v>3</v>
      </c>
      <c r="BR645" s="15">
        <f t="shared" si="417"/>
        <v>8</v>
      </c>
      <c r="BS645" s="20" t="str">
        <f t="shared" si="421"/>
        <v/>
      </c>
      <c r="BT645" s="21">
        <f t="shared" si="422"/>
        <v>8</v>
      </c>
      <c r="BU645" s="21" t="str">
        <f t="array" ref="BU645">_xlfn.TEXTJOIN("",TRUE,IF(ISERROR(FIND(ROW($1:$168)-1,BS645&amp;BT645)),ROW($1:$168)-1,""))</f>
        <v>01234567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45" s="22" t="str">
        <f t="shared" si="423"/>
        <v>中隔中</v>
      </c>
      <c r="BW645" s="23" t="str">
        <f t="shared" si="434"/>
        <v/>
      </c>
      <c r="BX645" s="23" t="str">
        <f t="shared" si="432"/>
        <v/>
      </c>
      <c r="BY645" s="23" t="str">
        <f t="array" ref="BY645">_xlfn.TEXTJOIN("",TRUE,IF(ISERROR(FIND(ROW($1:$168)-1,BW645&amp;BX645)),ROW($1:$168)-1,""))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45" s="22" t="str">
        <f t="shared" si="424"/>
        <v>中中中</v>
      </c>
      <c r="CA645" s="24" t="str">
        <f t="shared" si="425"/>
        <v/>
      </c>
      <c r="CB645" s="24" t="str">
        <f t="shared" si="433"/>
        <v/>
      </c>
      <c r="CC645" s="24" t="str">
        <f t="array" ref="CC645">_xlfn.TEXTJOIN("",TRUE,IF(ISERROR(FIND(ROW($1:$168)-1,CA645&amp;CB645)),ROW($1:$168)-1,""))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45" s="22" t="str">
        <f t="shared" si="426"/>
        <v>中中中</v>
      </c>
      <c r="CE645" s="25" t="str">
        <f t="shared" si="420"/>
        <v>79</v>
      </c>
      <c r="CF645" s="26" t="str">
        <f t="array" ref="CF645">_xlfn.TEXTJOIN("",TRUE,IF(ISNUMBER(FIND(MID(CE644&amp;W644,ROW($1:$162),1),CE645&amp;W645)),MID(CE644&amp;W644,ROW($1:$162),1),""))</f>
        <v/>
      </c>
      <c r="CG645" s="27" t="str">
        <f t="array" ref="CG645">_xlfn.TEXTJOIN("",TRUE,IF(ISERROR(FIND(ROW($1:$168)-1,CE645&amp;CF645)),ROW($1:$168)-1,""))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645" s="28" t="str">
        <f t="shared" si="427"/>
        <v>邻孤孤</v>
      </c>
      <c r="CI645" s="29" t="str">
        <f t="shared" si="428"/>
        <v>46</v>
      </c>
      <c r="CJ645" s="29" t="str">
        <f t="array" ref="CJ645">_xlfn.TEXTJOIN("",TRUE,IF(ISNUMBER(FIND(MID(CI644&amp;X644,ROW($1:$162),1),CI645&amp;X645)),MID(CI644&amp;X644,ROW($1:$162),1),""))</f>
        <v>56</v>
      </c>
      <c r="CK645" s="29" t="str">
        <f t="array" ref="CK645">_xlfn.TEXTJOIN("",TRUE,IF(ISERROR(FIND(ROW($1:$168)-1,CI645&amp;CJ645)),ROW($1:$168)-1,""))</f>
        <v>0123789101112131415161718192021222324252627282930313233343536373839404142434445474849505152535455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45" s="19" t="str">
        <f t="shared" si="429"/>
        <v>邻传孤</v>
      </c>
      <c r="CM645" s="24" t="str">
        <f t="shared" si="430"/>
        <v>24</v>
      </c>
      <c r="CN645" s="24" t="str">
        <f t="array" ref="CN645">_xlfn.TEXTJOIN("",TRUE,IF(ISNUMBER(FIND(MID(CM644&amp;Y644,ROW($1:$162),1),CM645&amp;Y645)),MID(CM644&amp;Y644,ROW($1:$162),1),""))</f>
        <v>34</v>
      </c>
      <c r="CO645" s="24" t="str">
        <f t="array" ref="CO645">_xlfn.TEXTJOIN("",TRUE,IF(ISERROR(FIND(ROW($1:$168)-1,CM645&amp;CN645)),ROW($1:$168)-1,""))</f>
        <v>01567891011121314151617181920212223252627282930313233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45" s="30" t="str">
        <f t="shared" si="431"/>
        <v>邻传孤</v>
      </c>
    </row>
    <row r="646" spans="1:94">
      <c r="A646" s="15">
        <v>646</v>
      </c>
      <c r="B646" s="80">
        <v>2025263</v>
      </c>
      <c r="C646" s="8" t="s">
        <v>495</v>
      </c>
      <c r="D646" s="81">
        <f t="shared" ref="D646:D651" si="437">LEFT(C646,1)+MID(C646,2,1)+RIGHT(C646,1)</f>
        <v>21</v>
      </c>
      <c r="E646" s="82">
        <f t="shared" ref="E646:E651" si="438">MOD(LEFT(C646,1)+MID(C646,2,1)+RIGHT(C646,1),10)</f>
        <v>1</v>
      </c>
      <c r="F646" s="83">
        <f t="shared" si="435"/>
        <v>3.5</v>
      </c>
      <c r="G646" s="84" t="str">
        <f t="shared" si="436"/>
        <v>标准</v>
      </c>
      <c r="H646" s="85" t="s">
        <v>10</v>
      </c>
      <c r="I646" s="85" t="s">
        <v>11</v>
      </c>
      <c r="J646" s="85" t="s">
        <v>12</v>
      </c>
      <c r="K646" s="85" t="s">
        <v>13</v>
      </c>
      <c r="L646" s="86">
        <f>MAX(MID(C646,{1,2,3},1)*1)-MIN(MID(C646,{1,2,3},1)*1)</f>
        <v>6</v>
      </c>
      <c r="M646" s="87">
        <v>0</v>
      </c>
      <c r="N646" s="87">
        <v>1</v>
      </c>
      <c r="O646" s="87">
        <v>2</v>
      </c>
      <c r="P646" s="87">
        <v>3</v>
      </c>
      <c r="Q646" s="87">
        <v>4</v>
      </c>
      <c r="R646" s="87">
        <v>5</v>
      </c>
      <c r="S646" s="87">
        <v>6</v>
      </c>
      <c r="T646" s="87">
        <v>7</v>
      </c>
      <c r="U646" s="87">
        <v>8</v>
      </c>
      <c r="V646" s="87">
        <v>9</v>
      </c>
      <c r="W646" s="88">
        <f t="shared" ref="W646:W651" si="439">ABS(LEFT(C646,1)-MID(C646,2,1))</f>
        <v>6</v>
      </c>
      <c r="X646" s="88">
        <f t="shared" ref="X646:X651" si="440">ABS(LEFT(C646,1)-RIGHT(C646,1))</f>
        <v>6</v>
      </c>
      <c r="Y646" s="88">
        <f t="shared" ref="Y646:Y651" si="441">ABS(MID(C646,2,1)-RIGHT(C646,1))</f>
        <v>0</v>
      </c>
      <c r="Z646" s="89">
        <f t="shared" si="418"/>
        <v>12</v>
      </c>
      <c r="AA646" s="17" t="str">
        <f>_xlfn.TEXTJOIN(", ",TRUE,ABS(MID(C646,{1,1,2},1)-MID(C646,{2,3,3},1)))</f>
        <v>6, 6, 0</v>
      </c>
      <c r="AB646" s="90">
        <v>0</v>
      </c>
      <c r="AC646" s="90">
        <v>1</v>
      </c>
      <c r="AD646" s="90">
        <v>2</v>
      </c>
      <c r="AE646" s="90">
        <v>3</v>
      </c>
      <c r="AF646" s="90">
        <v>4</v>
      </c>
      <c r="AG646" s="90">
        <v>5</v>
      </c>
      <c r="AH646" s="90">
        <v>6</v>
      </c>
      <c r="AI646" s="90">
        <v>7</v>
      </c>
      <c r="AJ646" s="90">
        <v>8</v>
      </c>
      <c r="AK646" s="90">
        <v>9</v>
      </c>
      <c r="AL646" s="91">
        <v>0</v>
      </c>
      <c r="AM646" s="91">
        <v>1</v>
      </c>
      <c r="AN646" s="91">
        <v>2</v>
      </c>
      <c r="AO646" s="91">
        <v>3</v>
      </c>
      <c r="AP646" s="91">
        <v>4</v>
      </c>
      <c r="AQ646" s="91">
        <v>5</v>
      </c>
      <c r="AR646" s="91">
        <v>6</v>
      </c>
      <c r="AS646" s="91">
        <v>7</v>
      </c>
      <c r="AT646" s="91">
        <v>8</v>
      </c>
      <c r="AU646" s="91">
        <v>9</v>
      </c>
      <c r="AV646" s="92">
        <v>0</v>
      </c>
      <c r="AW646" s="92">
        <v>1</v>
      </c>
      <c r="AX646" s="92">
        <v>2</v>
      </c>
      <c r="AY646" s="92">
        <v>3</v>
      </c>
      <c r="AZ646" s="92">
        <v>4</v>
      </c>
      <c r="BA646" s="92">
        <v>5</v>
      </c>
      <c r="BB646" s="92">
        <v>6</v>
      </c>
      <c r="BC646" s="92">
        <v>7</v>
      </c>
      <c r="BD646" s="92">
        <v>8</v>
      </c>
      <c r="BE646" s="92">
        <v>9</v>
      </c>
      <c r="BF646" s="93">
        <v>0</v>
      </c>
      <c r="BG646" s="93">
        <v>1</v>
      </c>
      <c r="BH646" s="93">
        <v>2</v>
      </c>
      <c r="BI646" s="93">
        <v>3</v>
      </c>
      <c r="BJ646" s="93">
        <v>4</v>
      </c>
      <c r="BK646" s="93">
        <v>5</v>
      </c>
      <c r="BL646" s="93">
        <v>6</v>
      </c>
      <c r="BM646" s="93">
        <v>7</v>
      </c>
      <c r="BN646" s="93">
        <v>8</v>
      </c>
      <c r="BO646" s="93">
        <v>9</v>
      </c>
      <c r="BP646" s="94" t="str">
        <f t="shared" si="419"/>
        <v>松散型</v>
      </c>
      <c r="BQ646" s="15">
        <f t="shared" si="416"/>
        <v>0</v>
      </c>
      <c r="BR646" s="15">
        <f t="shared" si="417"/>
        <v>6</v>
      </c>
      <c r="BS646" s="20" t="str">
        <f t="shared" si="421"/>
        <v/>
      </c>
      <c r="BT646" s="21">
        <f t="shared" si="422"/>
        <v>6</v>
      </c>
      <c r="BU646" s="21" t="str">
        <f t="array" ref="BU646">_xlfn.TEXTJOIN("",TRUE,IF(ISERROR(FIND(ROW($1:$168)-1,BS646&amp;BT646)),ROW($1:$168)-1,""))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46" s="22" t="str">
        <f t="shared" si="423"/>
        <v>中隔中</v>
      </c>
      <c r="BW646" s="23" t="str">
        <f t="shared" si="434"/>
        <v/>
      </c>
      <c r="BX646" s="23">
        <f t="shared" si="432"/>
        <v>6</v>
      </c>
      <c r="BY646" s="23" t="str">
        <f t="array" ref="BY646">_xlfn.TEXTJOIN("",TRUE,IF(ISERROR(FIND(ROW($1:$168)-1,BW646&amp;BX646)),ROW($1:$168)-1,""))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46" s="22" t="str">
        <f t="shared" si="424"/>
        <v>中隔中</v>
      </c>
      <c r="CA646" s="24" t="str">
        <f t="shared" si="425"/>
        <v/>
      </c>
      <c r="CB646" s="24" t="str">
        <f t="shared" si="433"/>
        <v/>
      </c>
      <c r="CC646" s="24" t="str">
        <f t="array" ref="CC646">_xlfn.TEXTJOIN("",TRUE,IF(ISERROR(FIND(ROW($1:$168)-1,CA646&amp;CB646)),ROW($1:$168)-1,""))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46" s="22" t="str">
        <f t="shared" si="426"/>
        <v>中中中</v>
      </c>
      <c r="CE646" s="25" t="str">
        <f t="shared" si="420"/>
        <v>57</v>
      </c>
      <c r="CF646" s="26" t="str">
        <f t="array" ref="CF646">_xlfn.TEXTJOIN("",TRUE,IF(ISNUMBER(FIND(MID(CE645&amp;W645,ROW($1:$162),1),CE646&amp;W646)),MID(CE645&amp;W645,ROW($1:$162),1),""))</f>
        <v>7</v>
      </c>
      <c r="CG646" s="27" t="str">
        <f t="array" ref="CG646">_xlfn.TEXTJOIN("",TRUE,IF(ISERROR(FIND(ROW($1:$168)-1,CE646&amp;CF646)),ROW($1:$168)-1,""))</f>
        <v>0123468910111213141516171819202122232425262728293031323334353637383940414243444546474849505152535455565859606162636465666768697071727374757678798081828384858687888990919293949596979899100101102103104105106107108109110111112113114115116117118119120121122123124125126127128129130131132133134135136137138139140141142143144145146147148149150151152153154155156157158159160161162163164165166167</v>
      </c>
      <c r="CH646" s="28" t="str">
        <f t="shared" si="427"/>
        <v>邻传孤</v>
      </c>
      <c r="CI646" s="29" t="str">
        <f t="shared" si="428"/>
        <v>57</v>
      </c>
      <c r="CJ646" s="29" t="str">
        <f t="array" ref="CJ646">_xlfn.TEXTJOIN("",TRUE,IF(ISNUMBER(FIND(MID(CI645&amp;X645,ROW($1:$162),1),CI646&amp;X646)),MID(CI645&amp;X645,ROW($1:$162),1),""))</f>
        <v>65</v>
      </c>
      <c r="CK646" s="29" t="str">
        <f t="array" ref="CK646">_xlfn.TEXTJOIN("",TRUE,IF(ISERROR(FIND(ROW($1:$168)-1,CI646&amp;CJ646)),ROW($1:$168)-1,""))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46" s="19" t="str">
        <f t="shared" si="429"/>
        <v>邻传孤</v>
      </c>
      <c r="CM646" s="24" t="str">
        <f t="shared" si="430"/>
        <v>91</v>
      </c>
      <c r="CN646" s="24" t="str">
        <f t="array" ref="CN646">_xlfn.TEXTJOIN("",TRUE,IF(ISNUMBER(FIND(MID(CM645&amp;Y645,ROW($1:$162),1),CM646&amp;Y646)),MID(CM645&amp;Y645,ROW($1:$162),1),""))</f>
        <v/>
      </c>
      <c r="CO646" s="24" t="str">
        <f t="array" ref="CO646">_xlfn.TEXTJOIN("",TRUE,IF(ISERROR(FIND(ROW($1:$168)-1,CM646&amp;CN646)),ROW($1:$168)-1,""))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646" s="30" t="str">
        <f t="shared" si="431"/>
        <v>邻孤孤</v>
      </c>
    </row>
    <row r="647" spans="1:94">
      <c r="A647" s="15">
        <v>647</v>
      </c>
      <c r="B647" s="80">
        <v>2025264</v>
      </c>
      <c r="C647" s="8" t="s">
        <v>434</v>
      </c>
      <c r="D647" s="81">
        <f t="shared" si="437"/>
        <v>14</v>
      </c>
      <c r="E647" s="82">
        <f t="shared" si="438"/>
        <v>4</v>
      </c>
      <c r="F647" s="83">
        <f t="shared" si="435"/>
        <v>3.5</v>
      </c>
      <c r="G647" s="84" t="str">
        <f t="shared" si="436"/>
        <v>标准</v>
      </c>
      <c r="H647" s="85" t="s">
        <v>10</v>
      </c>
      <c r="I647" s="85" t="s">
        <v>11</v>
      </c>
      <c r="J647" s="85" t="s">
        <v>12</v>
      </c>
      <c r="K647" s="85" t="s">
        <v>13</v>
      </c>
      <c r="L647" s="86">
        <f>MAX(MID(C647,{1,2,3},1)*1)-MIN(MID(C647,{1,2,3},1)*1)</f>
        <v>4</v>
      </c>
      <c r="M647" s="87">
        <v>0</v>
      </c>
      <c r="N647" s="87">
        <v>1</v>
      </c>
      <c r="O647" s="87">
        <v>2</v>
      </c>
      <c r="P647" s="87">
        <v>3</v>
      </c>
      <c r="Q647" s="87">
        <v>4</v>
      </c>
      <c r="R647" s="87">
        <v>5</v>
      </c>
      <c r="S647" s="87">
        <v>6</v>
      </c>
      <c r="T647" s="87">
        <v>7</v>
      </c>
      <c r="U647" s="87">
        <v>8</v>
      </c>
      <c r="V647" s="87">
        <v>9</v>
      </c>
      <c r="W647" s="88">
        <f t="shared" si="439"/>
        <v>4</v>
      </c>
      <c r="X647" s="88">
        <f t="shared" si="440"/>
        <v>3</v>
      </c>
      <c r="Y647" s="88">
        <f t="shared" si="441"/>
        <v>1</v>
      </c>
      <c r="Z647" s="89">
        <f t="shared" si="418"/>
        <v>8</v>
      </c>
      <c r="AA647" s="17" t="str">
        <f>_xlfn.TEXTJOIN(", ",TRUE,ABS(MID(C647,{1,1,2},1)-MID(C647,{2,3,3},1)))</f>
        <v>4, 3, 1</v>
      </c>
      <c r="AB647" s="90">
        <v>0</v>
      </c>
      <c r="AC647" s="90">
        <v>1</v>
      </c>
      <c r="AD647" s="90">
        <v>2</v>
      </c>
      <c r="AE647" s="90">
        <v>3</v>
      </c>
      <c r="AF647" s="90">
        <v>4</v>
      </c>
      <c r="AG647" s="90">
        <v>5</v>
      </c>
      <c r="AH647" s="90">
        <v>6</v>
      </c>
      <c r="AI647" s="90">
        <v>7</v>
      </c>
      <c r="AJ647" s="90">
        <v>8</v>
      </c>
      <c r="AK647" s="90">
        <v>9</v>
      </c>
      <c r="AL647" s="91">
        <v>0</v>
      </c>
      <c r="AM647" s="91">
        <v>1</v>
      </c>
      <c r="AN647" s="91">
        <v>2</v>
      </c>
      <c r="AO647" s="91">
        <v>3</v>
      </c>
      <c r="AP647" s="91">
        <v>4</v>
      </c>
      <c r="AQ647" s="91">
        <v>5</v>
      </c>
      <c r="AR647" s="91">
        <v>6</v>
      </c>
      <c r="AS647" s="91">
        <v>7</v>
      </c>
      <c r="AT647" s="91">
        <v>8</v>
      </c>
      <c r="AU647" s="91">
        <v>9</v>
      </c>
      <c r="AV647" s="92">
        <v>0</v>
      </c>
      <c r="AW647" s="92">
        <v>1</v>
      </c>
      <c r="AX647" s="92">
        <v>2</v>
      </c>
      <c r="AY647" s="92">
        <v>3</v>
      </c>
      <c r="AZ647" s="92">
        <v>4</v>
      </c>
      <c r="BA647" s="92">
        <v>5</v>
      </c>
      <c r="BB647" s="92">
        <v>6</v>
      </c>
      <c r="BC647" s="92">
        <v>7</v>
      </c>
      <c r="BD647" s="92">
        <v>8</v>
      </c>
      <c r="BE647" s="92">
        <v>9</v>
      </c>
      <c r="BF647" s="93">
        <v>0</v>
      </c>
      <c r="BG647" s="93">
        <v>1</v>
      </c>
      <c r="BH647" s="93">
        <v>2</v>
      </c>
      <c r="BI647" s="93">
        <v>3</v>
      </c>
      <c r="BJ647" s="93">
        <v>4</v>
      </c>
      <c r="BK647" s="93">
        <v>5</v>
      </c>
      <c r="BL647" s="93">
        <v>6</v>
      </c>
      <c r="BM647" s="93">
        <v>7</v>
      </c>
      <c r="BN647" s="93">
        <v>8</v>
      </c>
      <c r="BO647" s="93">
        <v>9</v>
      </c>
      <c r="BP647" s="94" t="str">
        <f t="shared" si="419"/>
        <v>紧凑型</v>
      </c>
      <c r="BQ647" s="15">
        <f t="shared" si="416"/>
        <v>1</v>
      </c>
      <c r="BR647" s="15">
        <f t="shared" si="417"/>
        <v>4</v>
      </c>
      <c r="BS647" s="20" t="str">
        <f t="shared" si="421"/>
        <v/>
      </c>
      <c r="BT647" s="21" t="str">
        <f t="shared" si="422"/>
        <v/>
      </c>
      <c r="BU647" s="21" t="str">
        <f t="array" ref="BU647">_xlfn.TEXTJOIN("",TRUE,IF(ISERROR(FIND(ROW($1:$168)-1,BS647&amp;BT647)),ROW($1:$168)-1,""))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47" s="22" t="str">
        <f t="shared" si="423"/>
        <v>中中中</v>
      </c>
      <c r="BW647" s="23" t="str">
        <f t="shared" si="434"/>
        <v/>
      </c>
      <c r="BX647" s="23">
        <f t="shared" si="432"/>
        <v>3</v>
      </c>
      <c r="BY647" s="23" t="str">
        <f t="array" ref="BY647">_xlfn.TEXTJOIN("",TRUE,IF(ISERROR(FIND(ROW($1:$168)-1,BW647&amp;BX647)),ROW($1:$168)-1,""))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47" s="22" t="str">
        <f t="shared" si="424"/>
        <v>中隔中</v>
      </c>
      <c r="CA647" s="24" t="str">
        <f t="shared" si="425"/>
        <v/>
      </c>
      <c r="CB647" s="24" t="str">
        <f t="shared" si="433"/>
        <v/>
      </c>
      <c r="CC647" s="24" t="str">
        <f t="array" ref="CC647">_xlfn.TEXTJOIN("",TRUE,IF(ISERROR(FIND(ROW($1:$168)-1,CA647&amp;CB647)),ROW($1:$168)-1,""))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47" s="22" t="str">
        <f t="shared" si="426"/>
        <v>中中中</v>
      </c>
      <c r="CE647" s="25" t="str">
        <f t="shared" si="420"/>
        <v>35</v>
      </c>
      <c r="CF647" s="26" t="str">
        <f t="array" ref="CF647">_xlfn.TEXTJOIN("",TRUE,IF(ISNUMBER(FIND(MID(CE646&amp;W646,ROW($1:$162),1),CE647&amp;W647)),MID(CE646&amp;W646,ROW($1:$162),1),""))</f>
        <v>5</v>
      </c>
      <c r="CG647" s="27" t="str">
        <f t="array" ref="CG647">_xlfn.TEXTJOIN("",TRUE,IF(ISERROR(FIND(ROW($1:$168)-1,CE647&amp;CF647)),ROW($1:$168)-1,""))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47" s="28" t="str">
        <f t="shared" si="427"/>
        <v>邻传孤</v>
      </c>
      <c r="CI647" s="29" t="str">
        <f t="shared" si="428"/>
        <v>24</v>
      </c>
      <c r="CJ647" s="29" t="str">
        <f t="array" ref="CJ647">_xlfn.TEXTJOIN("",TRUE,IF(ISNUMBER(FIND(MID(CI646&amp;X646,ROW($1:$162),1),CI647&amp;X647)),MID(CI646&amp;X646,ROW($1:$162),1),""))</f>
        <v/>
      </c>
      <c r="CK647" s="29" t="str">
        <f t="array" ref="CK647">_xlfn.TEXTJOIN("",TRUE,IF(ISERROR(FIND(ROW($1:$168)-1,CI647&amp;CJ647)),ROW($1:$168)-1,""))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47" s="19" t="str">
        <f t="shared" si="429"/>
        <v>邻孤孤</v>
      </c>
      <c r="CM647" s="24" t="str">
        <f t="shared" si="430"/>
        <v>02</v>
      </c>
      <c r="CN647" s="24" t="str">
        <f t="array" ref="CN647">_xlfn.TEXTJOIN("",TRUE,IF(ISNUMBER(FIND(MID(CM646&amp;Y646,ROW($1:$162),1),CM647&amp;Y647)),MID(CM646&amp;Y646,ROW($1:$162),1),""))</f>
        <v>10</v>
      </c>
      <c r="CO647" s="24" t="str">
        <f t="array" ref="CO647">_xlfn.TEXTJOIN("",TRUE,IF(ISERROR(FIND(ROW($1:$168)-1,CM647&amp;CN647)),ROW($1:$168)-1,""))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47" s="30" t="str">
        <f t="shared" si="431"/>
        <v>邻传孤</v>
      </c>
    </row>
    <row r="648" spans="1:94">
      <c r="A648" s="15">
        <v>648</v>
      </c>
      <c r="B648" s="80">
        <v>2025265</v>
      </c>
      <c r="C648" s="8" t="s">
        <v>170</v>
      </c>
      <c r="D648" s="81">
        <f t="shared" si="437"/>
        <v>15</v>
      </c>
      <c r="E648" s="82">
        <f t="shared" si="438"/>
        <v>5</v>
      </c>
      <c r="F648" s="83">
        <f t="shared" si="435"/>
        <v>7.5</v>
      </c>
      <c r="G648" s="84" t="str">
        <f t="shared" si="436"/>
        <v>紧凑</v>
      </c>
      <c r="H648" s="85" t="s">
        <v>10</v>
      </c>
      <c r="I648" s="85" t="s">
        <v>11</v>
      </c>
      <c r="J648" s="85" t="s">
        <v>12</v>
      </c>
      <c r="K648" s="85" t="s">
        <v>13</v>
      </c>
      <c r="L648" s="86">
        <f>MAX(MID(C648,{1,2,3},1)*1)-MIN(MID(C648,{1,2,3},1)*1)</f>
        <v>2</v>
      </c>
      <c r="M648" s="87">
        <v>0</v>
      </c>
      <c r="N648" s="87">
        <v>1</v>
      </c>
      <c r="O648" s="87">
        <v>2</v>
      </c>
      <c r="P648" s="87">
        <v>3</v>
      </c>
      <c r="Q648" s="87">
        <v>4</v>
      </c>
      <c r="R648" s="87">
        <v>5</v>
      </c>
      <c r="S648" s="87">
        <v>6</v>
      </c>
      <c r="T648" s="87">
        <v>7</v>
      </c>
      <c r="U648" s="87">
        <v>8</v>
      </c>
      <c r="V648" s="87">
        <v>9</v>
      </c>
      <c r="W648" s="88">
        <f t="shared" si="439"/>
        <v>1</v>
      </c>
      <c r="X648" s="88">
        <f t="shared" si="440"/>
        <v>1</v>
      </c>
      <c r="Y648" s="88">
        <f t="shared" si="441"/>
        <v>2</v>
      </c>
      <c r="Z648" s="89">
        <f t="shared" si="418"/>
        <v>4</v>
      </c>
      <c r="AA648" s="17" t="str">
        <f>_xlfn.TEXTJOIN(", ",TRUE,ABS(MID(C648,{1,1,2},1)-MID(C648,{2,3,3},1)))</f>
        <v>1, 1, 2</v>
      </c>
      <c r="AB648" s="90">
        <v>0</v>
      </c>
      <c r="AC648" s="90">
        <v>1</v>
      </c>
      <c r="AD648" s="90">
        <v>2</v>
      </c>
      <c r="AE648" s="90">
        <v>3</v>
      </c>
      <c r="AF648" s="90">
        <v>4</v>
      </c>
      <c r="AG648" s="90">
        <v>5</v>
      </c>
      <c r="AH648" s="90">
        <v>6</v>
      </c>
      <c r="AI648" s="90">
        <v>7</v>
      </c>
      <c r="AJ648" s="90">
        <v>8</v>
      </c>
      <c r="AK648" s="90">
        <v>9</v>
      </c>
      <c r="AL648" s="91">
        <v>0</v>
      </c>
      <c r="AM648" s="91">
        <v>1</v>
      </c>
      <c r="AN648" s="91">
        <v>2</v>
      </c>
      <c r="AO648" s="91">
        <v>3</v>
      </c>
      <c r="AP648" s="91">
        <v>4</v>
      </c>
      <c r="AQ648" s="91">
        <v>5</v>
      </c>
      <c r="AR648" s="91">
        <v>6</v>
      </c>
      <c r="AS648" s="91">
        <v>7</v>
      </c>
      <c r="AT648" s="91">
        <v>8</v>
      </c>
      <c r="AU648" s="91">
        <v>9</v>
      </c>
      <c r="AV648" s="92">
        <v>0</v>
      </c>
      <c r="AW648" s="92">
        <v>1</v>
      </c>
      <c r="AX648" s="92">
        <v>2</v>
      </c>
      <c r="AY648" s="92">
        <v>3</v>
      </c>
      <c r="AZ648" s="92">
        <v>4</v>
      </c>
      <c r="BA648" s="92">
        <v>5</v>
      </c>
      <c r="BB648" s="92">
        <v>6</v>
      </c>
      <c r="BC648" s="92">
        <v>7</v>
      </c>
      <c r="BD648" s="92">
        <v>8</v>
      </c>
      <c r="BE648" s="92">
        <v>9</v>
      </c>
      <c r="BF648" s="93">
        <v>0</v>
      </c>
      <c r="BG648" s="93">
        <v>1</v>
      </c>
      <c r="BH648" s="93">
        <v>2</v>
      </c>
      <c r="BI648" s="93">
        <v>3</v>
      </c>
      <c r="BJ648" s="93">
        <v>4</v>
      </c>
      <c r="BK648" s="93">
        <v>5</v>
      </c>
      <c r="BL648" s="93">
        <v>6</v>
      </c>
      <c r="BM648" s="93">
        <v>7</v>
      </c>
      <c r="BN648" s="93">
        <v>8</v>
      </c>
      <c r="BO648" s="93">
        <v>9</v>
      </c>
      <c r="BP648" s="94" t="str">
        <f t="shared" si="419"/>
        <v>紧凑型</v>
      </c>
      <c r="BQ648" s="15">
        <f t="shared" si="416"/>
        <v>1</v>
      </c>
      <c r="BR648" s="15">
        <f t="shared" si="417"/>
        <v>2</v>
      </c>
      <c r="BS648" s="20">
        <f t="shared" si="421"/>
        <v>1</v>
      </c>
      <c r="BT648" s="21" t="str">
        <f t="shared" si="422"/>
        <v/>
      </c>
      <c r="BU648" s="21" t="str">
        <f t="array" ref="BU648">_xlfn.TEXTJOIN("",TRUE,IF(ISERROR(FIND(ROW($1:$168)-1,BS648&amp;BT648)),ROW($1:$168)-1,""))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48" s="22" t="str">
        <f t="shared" si="423"/>
        <v>复中中</v>
      </c>
      <c r="BW648" s="23">
        <f t="shared" si="434"/>
        <v>1</v>
      </c>
      <c r="BX648" s="23" t="str">
        <f t="shared" si="432"/>
        <v/>
      </c>
      <c r="BY648" s="23" t="str">
        <f t="array" ref="BY648">_xlfn.TEXTJOIN("",TRUE,IF(ISERROR(FIND(ROW($1:$168)-1,BW648&amp;BX648)),ROW($1:$168)-1,""))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48" s="22" t="str">
        <f t="shared" si="424"/>
        <v>复中中</v>
      </c>
      <c r="CA648" s="24" t="str">
        <f t="shared" si="425"/>
        <v/>
      </c>
      <c r="CB648" s="24" t="str">
        <f t="shared" si="433"/>
        <v/>
      </c>
      <c r="CC648" s="24" t="str">
        <f t="array" ref="CC648">_xlfn.TEXTJOIN("",TRUE,IF(ISERROR(FIND(ROW($1:$168)-1,CA648&amp;CB648)),ROW($1:$168)-1,""))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48" s="22" t="str">
        <f t="shared" si="426"/>
        <v>中中中</v>
      </c>
      <c r="CE648" s="25" t="str">
        <f t="shared" si="420"/>
        <v>02</v>
      </c>
      <c r="CF648" s="26" t="str">
        <f t="array" ref="CF648">_xlfn.TEXTJOIN("",TRUE,IF(ISNUMBER(FIND(MID(CE647&amp;W647,ROW($1:$162),1),CE648&amp;W648)),MID(CE647&amp;W647,ROW($1:$162),1),""))</f>
        <v/>
      </c>
      <c r="CG648" s="27" t="str">
        <f t="array" ref="CG648">_xlfn.TEXTJOIN("",TRUE,IF(ISERROR(FIND(ROW($1:$168)-1,CE648&amp;CF648)),ROW($1:$168)-1,""))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48" s="28" t="str">
        <f t="shared" si="427"/>
        <v>邻孤孤</v>
      </c>
      <c r="CI648" s="29" t="str">
        <f t="shared" si="428"/>
        <v>02</v>
      </c>
      <c r="CJ648" s="29" t="str">
        <f t="array" ref="CJ648">_xlfn.TEXTJOIN("",TRUE,IF(ISNUMBER(FIND(MID(CI647&amp;X647,ROW($1:$162),1),CI648&amp;X648)),MID(CI647&amp;X647,ROW($1:$162),1),""))</f>
        <v>2</v>
      </c>
      <c r="CK648" s="29" t="str">
        <f t="array" ref="CK648">_xlfn.TEXTJOIN("",TRUE,IF(ISERROR(FIND(ROW($1:$168)-1,CI648&amp;CJ648)),ROW($1:$168)-1,""))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48" s="19" t="str">
        <f t="shared" si="429"/>
        <v>邻传孤</v>
      </c>
      <c r="CM648" s="24" t="str">
        <f t="shared" si="430"/>
        <v>13</v>
      </c>
      <c r="CN648" s="24" t="str">
        <f t="array" ref="CN648">_xlfn.TEXTJOIN("",TRUE,IF(ISNUMBER(FIND(MID(CM647&amp;Y647,ROW($1:$162),1),CM648&amp;Y648)),MID(CM647&amp;Y647,ROW($1:$162),1),""))</f>
        <v>21</v>
      </c>
      <c r="CO648" s="24" t="str">
        <f t="array" ref="CO648">_xlfn.TEXTJOIN("",TRUE,IF(ISERROR(FIND(ROW($1:$168)-1,CM648&amp;CN648)),ROW($1:$168)-1,""))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648" s="30" t="str">
        <f t="shared" si="431"/>
        <v>邻传孤</v>
      </c>
    </row>
    <row r="649" spans="1:94">
      <c r="A649" s="15">
        <v>649</v>
      </c>
      <c r="B649" s="80">
        <v>2025266</v>
      </c>
      <c r="C649" s="8" t="s">
        <v>496</v>
      </c>
      <c r="D649" s="81">
        <f t="shared" si="437"/>
        <v>12</v>
      </c>
      <c r="E649" s="82">
        <f t="shared" si="438"/>
        <v>2</v>
      </c>
      <c r="F649" s="83">
        <f t="shared" si="435"/>
        <v>2.4</v>
      </c>
      <c r="G649" s="84" t="str">
        <f t="shared" si="436"/>
        <v>标准</v>
      </c>
      <c r="H649" s="85" t="s">
        <v>10</v>
      </c>
      <c r="I649" s="85" t="s">
        <v>11</v>
      </c>
      <c r="J649" s="85" t="s">
        <v>12</v>
      </c>
      <c r="K649" s="85" t="s">
        <v>13</v>
      </c>
      <c r="L649" s="86">
        <f>MAX(MID(C649,{1,2,3},1)*1)-MIN(MID(C649,{1,2,3},1)*1)</f>
        <v>5</v>
      </c>
      <c r="M649" s="87">
        <v>0</v>
      </c>
      <c r="N649" s="87">
        <v>1</v>
      </c>
      <c r="O649" s="87">
        <v>2</v>
      </c>
      <c r="P649" s="87">
        <v>3</v>
      </c>
      <c r="Q649" s="87">
        <v>4</v>
      </c>
      <c r="R649" s="87">
        <v>5</v>
      </c>
      <c r="S649" s="87">
        <v>6</v>
      </c>
      <c r="T649" s="87">
        <v>7</v>
      </c>
      <c r="U649" s="87">
        <v>8</v>
      </c>
      <c r="V649" s="87">
        <v>9</v>
      </c>
      <c r="W649" s="88">
        <f t="shared" si="439"/>
        <v>5</v>
      </c>
      <c r="X649" s="88">
        <f t="shared" si="440"/>
        <v>4</v>
      </c>
      <c r="Y649" s="88">
        <f t="shared" si="441"/>
        <v>1</v>
      </c>
      <c r="Z649" s="89">
        <f t="shared" si="418"/>
        <v>10</v>
      </c>
      <c r="AA649" s="17" t="str">
        <f>_xlfn.TEXTJOIN(", ",TRUE,ABS(MID(C649,{1,1,2},1)-MID(C649,{2,3,3},1)))</f>
        <v>5, 4, 1</v>
      </c>
      <c r="AB649" s="90">
        <v>0</v>
      </c>
      <c r="AC649" s="90">
        <v>1</v>
      </c>
      <c r="AD649" s="90">
        <v>2</v>
      </c>
      <c r="AE649" s="90">
        <v>3</v>
      </c>
      <c r="AF649" s="90">
        <v>4</v>
      </c>
      <c r="AG649" s="90">
        <v>5</v>
      </c>
      <c r="AH649" s="90">
        <v>6</v>
      </c>
      <c r="AI649" s="90">
        <v>7</v>
      </c>
      <c r="AJ649" s="90">
        <v>8</v>
      </c>
      <c r="AK649" s="90">
        <v>9</v>
      </c>
      <c r="AL649" s="91">
        <v>0</v>
      </c>
      <c r="AM649" s="91">
        <v>1</v>
      </c>
      <c r="AN649" s="91">
        <v>2</v>
      </c>
      <c r="AO649" s="91">
        <v>3</v>
      </c>
      <c r="AP649" s="91">
        <v>4</v>
      </c>
      <c r="AQ649" s="91">
        <v>5</v>
      </c>
      <c r="AR649" s="91">
        <v>6</v>
      </c>
      <c r="AS649" s="91">
        <v>7</v>
      </c>
      <c r="AT649" s="91">
        <v>8</v>
      </c>
      <c r="AU649" s="91">
        <v>9</v>
      </c>
      <c r="AV649" s="92">
        <v>0</v>
      </c>
      <c r="AW649" s="92">
        <v>1</v>
      </c>
      <c r="AX649" s="92">
        <v>2</v>
      </c>
      <c r="AY649" s="92">
        <v>3</v>
      </c>
      <c r="AZ649" s="92">
        <v>4</v>
      </c>
      <c r="BA649" s="92">
        <v>5</v>
      </c>
      <c r="BB649" s="92">
        <v>6</v>
      </c>
      <c r="BC649" s="92">
        <v>7</v>
      </c>
      <c r="BD649" s="92">
        <v>8</v>
      </c>
      <c r="BE649" s="92">
        <v>9</v>
      </c>
      <c r="BF649" s="93">
        <v>0</v>
      </c>
      <c r="BG649" s="93">
        <v>1</v>
      </c>
      <c r="BH649" s="93">
        <v>2</v>
      </c>
      <c r="BI649" s="93">
        <v>3</v>
      </c>
      <c r="BJ649" s="93">
        <v>4</v>
      </c>
      <c r="BK649" s="93">
        <v>5</v>
      </c>
      <c r="BL649" s="93">
        <v>6</v>
      </c>
      <c r="BM649" s="93">
        <v>7</v>
      </c>
      <c r="BN649" s="93">
        <v>8</v>
      </c>
      <c r="BO649" s="93">
        <v>9</v>
      </c>
      <c r="BP649" s="94" t="str">
        <f t="shared" si="419"/>
        <v>标准型</v>
      </c>
      <c r="BQ649" s="15">
        <f t="shared" si="416"/>
        <v>1</v>
      </c>
      <c r="BR649" s="15">
        <f t="shared" si="417"/>
        <v>5</v>
      </c>
      <c r="BS649" s="20" t="str">
        <f t="shared" si="421"/>
        <v/>
      </c>
      <c r="BT649" s="21" t="str">
        <f t="shared" si="422"/>
        <v/>
      </c>
      <c r="BU649" s="21" t="str">
        <f t="array" ref="BU649">_xlfn.TEXTJOIN("",TRUE,IF(ISERROR(FIND(ROW($1:$168)-1,BS649&amp;BT649)),ROW($1:$168)-1,""))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49" s="22" t="str">
        <f t="shared" si="423"/>
        <v>中中中</v>
      </c>
      <c r="BW649" s="23" t="str">
        <f t="shared" si="434"/>
        <v/>
      </c>
      <c r="BX649" s="23">
        <f t="shared" si="432"/>
        <v>4</v>
      </c>
      <c r="BY649" s="23" t="str">
        <f t="array" ref="BY649">_xlfn.TEXTJOIN("",TRUE,IF(ISERROR(FIND(ROW($1:$168)-1,BW649&amp;BX649)),ROW($1:$168)-1,""))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49" s="22" t="str">
        <f t="shared" si="424"/>
        <v>中隔中</v>
      </c>
      <c r="CA649" s="24">
        <f t="shared" si="425"/>
        <v>1</v>
      </c>
      <c r="CB649" s="24">
        <f t="shared" si="433"/>
        <v>1</v>
      </c>
      <c r="CC649" s="24" t="str">
        <f t="array" ref="CC649">_xlfn.TEXTJOIN("",TRUE,IF(ISERROR(FIND(ROW($1:$168)-1,CA649&amp;CB649)),ROW($1:$168)-1,""))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49" s="22" t="str">
        <f t="shared" si="426"/>
        <v>复隔中</v>
      </c>
      <c r="CE649" s="25" t="str">
        <f t="shared" si="420"/>
        <v>46</v>
      </c>
      <c r="CF649" s="26" t="str">
        <f t="array" ref="CF649">_xlfn.TEXTJOIN("",TRUE,IF(ISNUMBER(FIND(MID(CE648&amp;W648,ROW($1:$162),1),CE649&amp;W649)),MID(CE648&amp;W648,ROW($1:$162),1),""))</f>
        <v/>
      </c>
      <c r="CG649" s="27" t="str">
        <f t="array" ref="CG649">_xlfn.TEXTJOIN("",TRUE,IF(ISERROR(FIND(ROW($1:$168)-1,CE649&amp;CF649)),ROW($1:$168)-1,""))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49" s="28" t="str">
        <f t="shared" si="427"/>
        <v>邻孤孤</v>
      </c>
      <c r="CI649" s="29" t="str">
        <f t="shared" si="428"/>
        <v>35</v>
      </c>
      <c r="CJ649" s="29" t="str">
        <f t="array" ref="CJ649">_xlfn.TEXTJOIN("",TRUE,IF(ISNUMBER(FIND(MID(CI648&amp;X648,ROW($1:$162),1),CI649&amp;X649)),MID(CI648&amp;X648,ROW($1:$162),1),""))</f>
        <v/>
      </c>
      <c r="CK649" s="29" t="str">
        <f t="array" ref="CK649">_xlfn.TEXTJOIN("",TRUE,IF(ISERROR(FIND(ROW($1:$168)-1,CI649&amp;CJ649)),ROW($1:$168)-1,""))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49" s="19" t="str">
        <f t="shared" si="429"/>
        <v>邻孤孤</v>
      </c>
      <c r="CM649" s="24" t="str">
        <f t="shared" si="430"/>
        <v>02</v>
      </c>
      <c r="CN649" s="24" t="str">
        <f t="array" ref="CN649">_xlfn.TEXTJOIN("",TRUE,IF(ISNUMBER(FIND(MID(CM648&amp;Y648,ROW($1:$162),1),CM649&amp;Y649)),MID(CM648&amp;Y648,ROW($1:$162),1),""))</f>
        <v>12</v>
      </c>
      <c r="CO649" s="24" t="str">
        <f t="array" ref="CO649">_xlfn.TEXTJOIN("",TRUE,IF(ISERROR(FIND(ROW($1:$168)-1,CM649&amp;CN649)),ROW($1:$168)-1,""))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49" s="30" t="str">
        <f t="shared" si="431"/>
        <v>邻传孤</v>
      </c>
    </row>
    <row r="650" spans="1:94">
      <c r="A650" s="15">
        <v>650</v>
      </c>
      <c r="B650" s="80">
        <v>2025267</v>
      </c>
      <c r="C650" s="8" t="s">
        <v>497</v>
      </c>
      <c r="D650" s="81">
        <f t="shared" si="437"/>
        <v>13</v>
      </c>
      <c r="E650" s="82">
        <f t="shared" si="438"/>
        <v>3</v>
      </c>
      <c r="F650" s="83">
        <f t="shared" si="435"/>
        <v>1.625</v>
      </c>
      <c r="G650" s="84" t="str">
        <f t="shared" si="436"/>
        <v>松散</v>
      </c>
      <c r="H650" s="85" t="s">
        <v>10</v>
      </c>
      <c r="I650" s="85" t="s">
        <v>11</v>
      </c>
      <c r="J650" s="85" t="s">
        <v>12</v>
      </c>
      <c r="K650" s="85" t="s">
        <v>13</v>
      </c>
      <c r="L650" s="86">
        <f>MAX(MID(C650,{1,2,3},1)*1)-MIN(MID(C650,{1,2,3},1)*1)</f>
        <v>8</v>
      </c>
      <c r="M650" s="87">
        <v>0</v>
      </c>
      <c r="N650" s="87">
        <v>1</v>
      </c>
      <c r="O650" s="87">
        <v>2</v>
      </c>
      <c r="P650" s="87">
        <v>3</v>
      </c>
      <c r="Q650" s="87">
        <v>4</v>
      </c>
      <c r="R650" s="87">
        <v>5</v>
      </c>
      <c r="S650" s="87">
        <v>6</v>
      </c>
      <c r="T650" s="87">
        <v>7</v>
      </c>
      <c r="U650" s="87">
        <v>8</v>
      </c>
      <c r="V650" s="87">
        <v>9</v>
      </c>
      <c r="W650" s="88">
        <f t="shared" si="439"/>
        <v>6</v>
      </c>
      <c r="X650" s="88">
        <f t="shared" si="440"/>
        <v>2</v>
      </c>
      <c r="Y650" s="88">
        <f t="shared" si="441"/>
        <v>8</v>
      </c>
      <c r="Z650" s="89">
        <f t="shared" si="418"/>
        <v>16</v>
      </c>
      <c r="AA650" s="17" t="str">
        <f>_xlfn.TEXTJOIN(", ",TRUE,ABS(MID(C650,{1,1,2},1)-MID(C650,{2,3,3},1)))</f>
        <v>6, 2, 8</v>
      </c>
      <c r="AB650" s="90">
        <v>0</v>
      </c>
      <c r="AC650" s="90">
        <v>1</v>
      </c>
      <c r="AD650" s="90">
        <v>2</v>
      </c>
      <c r="AE650" s="90">
        <v>3</v>
      </c>
      <c r="AF650" s="90">
        <v>4</v>
      </c>
      <c r="AG650" s="90">
        <v>5</v>
      </c>
      <c r="AH650" s="90">
        <v>6</v>
      </c>
      <c r="AI650" s="90">
        <v>7</v>
      </c>
      <c r="AJ650" s="90">
        <v>8</v>
      </c>
      <c r="AK650" s="90">
        <v>9</v>
      </c>
      <c r="AL650" s="91">
        <v>0</v>
      </c>
      <c r="AM650" s="91">
        <v>1</v>
      </c>
      <c r="AN650" s="91">
        <v>2</v>
      </c>
      <c r="AO650" s="91">
        <v>3</v>
      </c>
      <c r="AP650" s="91">
        <v>4</v>
      </c>
      <c r="AQ650" s="91">
        <v>5</v>
      </c>
      <c r="AR650" s="91">
        <v>6</v>
      </c>
      <c r="AS650" s="91">
        <v>7</v>
      </c>
      <c r="AT650" s="91">
        <v>8</v>
      </c>
      <c r="AU650" s="91">
        <v>9</v>
      </c>
      <c r="AV650" s="92">
        <v>0</v>
      </c>
      <c r="AW650" s="92">
        <v>1</v>
      </c>
      <c r="AX650" s="92">
        <v>2</v>
      </c>
      <c r="AY650" s="92">
        <v>3</v>
      </c>
      <c r="AZ650" s="92">
        <v>4</v>
      </c>
      <c r="BA650" s="92">
        <v>5</v>
      </c>
      <c r="BB650" s="92">
        <v>6</v>
      </c>
      <c r="BC650" s="92">
        <v>7</v>
      </c>
      <c r="BD650" s="92">
        <v>8</v>
      </c>
      <c r="BE650" s="92">
        <v>9</v>
      </c>
      <c r="BF650" s="93">
        <v>0</v>
      </c>
      <c r="BG650" s="93">
        <v>1</v>
      </c>
      <c r="BH650" s="93">
        <v>2</v>
      </c>
      <c r="BI650" s="93">
        <v>3</v>
      </c>
      <c r="BJ650" s="93">
        <v>4</v>
      </c>
      <c r="BK650" s="93">
        <v>5</v>
      </c>
      <c r="BL650" s="93">
        <v>6</v>
      </c>
      <c r="BM650" s="93">
        <v>7</v>
      </c>
      <c r="BN650" s="93">
        <v>8</v>
      </c>
      <c r="BO650" s="93">
        <v>9</v>
      </c>
      <c r="BP650" s="94" t="str">
        <f t="shared" si="419"/>
        <v>松散型</v>
      </c>
      <c r="BQ650" s="15">
        <f t="shared" si="416"/>
        <v>2</v>
      </c>
      <c r="BR650" s="15">
        <f t="shared" si="417"/>
        <v>8</v>
      </c>
      <c r="BS650" s="20" t="str">
        <f t="shared" si="421"/>
        <v/>
      </c>
      <c r="BT650" s="21" t="str">
        <f t="shared" si="422"/>
        <v/>
      </c>
      <c r="BU650" s="21" t="str">
        <f t="array" ref="BU650">_xlfn.TEXTJOIN("",TRUE,IF(ISERROR(FIND(ROW($1:$168)-1,BS650&amp;BT650)),ROW($1:$168)-1,""))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50" s="22" t="str">
        <f t="shared" si="423"/>
        <v>中中中</v>
      </c>
      <c r="BW650" s="23" t="str">
        <f t="shared" si="434"/>
        <v/>
      </c>
      <c r="BX650" s="23">
        <f t="shared" si="432"/>
        <v>2</v>
      </c>
      <c r="BY650" s="23" t="str">
        <f t="array" ref="BY650">_xlfn.TEXTJOIN("",TRUE,IF(ISERROR(FIND(ROW($1:$168)-1,BW650&amp;BX650)),ROW($1:$168)-1,""))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50" s="22" t="str">
        <f t="shared" si="424"/>
        <v>中隔中</v>
      </c>
      <c r="CA650" s="24" t="str">
        <f t="shared" si="425"/>
        <v/>
      </c>
      <c r="CB650" s="24" t="str">
        <f t="shared" si="433"/>
        <v/>
      </c>
      <c r="CC650" s="24" t="str">
        <f t="array" ref="CC650">_xlfn.TEXTJOIN("",TRUE,IF(ISERROR(FIND(ROW($1:$168)-1,CA650&amp;CB650)),ROW($1:$168)-1,""))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50" s="22" t="str">
        <f t="shared" si="426"/>
        <v>中中中</v>
      </c>
      <c r="CE650" s="25" t="str">
        <f t="shared" si="420"/>
        <v>57</v>
      </c>
      <c r="CF650" s="26" t="str">
        <f t="array" ref="CF650">_xlfn.TEXTJOIN("",TRUE,IF(ISNUMBER(FIND(MID(CE649&amp;W649,ROW($1:$162),1),CE650&amp;W650)),MID(CE649&amp;W649,ROW($1:$162),1),""))</f>
        <v>65</v>
      </c>
      <c r="CG650" s="27" t="str">
        <f t="array" ref="CG650">_xlfn.TEXTJOIN("",TRUE,IF(ISERROR(FIND(ROW($1:$168)-1,CE650&amp;CF650)),ROW($1:$168)-1,""))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50" s="28" t="str">
        <f t="shared" si="427"/>
        <v>邻传孤</v>
      </c>
      <c r="CI650" s="29" t="str">
        <f t="shared" si="428"/>
        <v>13</v>
      </c>
      <c r="CJ650" s="29" t="str">
        <f t="array" ref="CJ650">_xlfn.TEXTJOIN("",TRUE,IF(ISNUMBER(FIND(MID(CI649&amp;X649,ROW($1:$162),1),CI650&amp;X650)),MID(CI649&amp;X649,ROW($1:$162),1),""))</f>
        <v>3</v>
      </c>
      <c r="CK650" s="29" t="str">
        <f t="array" ref="CK650">_xlfn.TEXTJOIN("",TRUE,IF(ISERROR(FIND(ROW($1:$168)-1,CI650&amp;CJ650)),ROW($1:$168)-1,""))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L650" s="19" t="str">
        <f t="shared" si="429"/>
        <v>邻传孤</v>
      </c>
      <c r="CM650" s="24" t="str">
        <f t="shared" si="430"/>
        <v>79</v>
      </c>
      <c r="CN650" s="24" t="str">
        <f t="array" ref="CN650">_xlfn.TEXTJOIN("",TRUE,IF(ISNUMBER(FIND(MID(CM649&amp;Y649,ROW($1:$162),1),CM650&amp;Y650)),MID(CM649&amp;Y649,ROW($1:$162),1),""))</f>
        <v/>
      </c>
      <c r="CO650" s="24" t="str">
        <f t="array" ref="CO650">_xlfn.TEXTJOIN("",TRUE,IF(ISERROR(FIND(ROW($1:$168)-1,CM650&amp;CN650)),ROW($1:$168)-1,""))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P650" s="30" t="str">
        <f t="shared" si="431"/>
        <v>邻孤孤</v>
      </c>
    </row>
    <row r="651" spans="1:94">
      <c r="A651" s="15">
        <v>651</v>
      </c>
      <c r="B651" s="80">
        <v>2025268</v>
      </c>
      <c r="C651" s="8" t="s">
        <v>498</v>
      </c>
      <c r="D651" s="81">
        <f t="shared" si="437"/>
        <v>17</v>
      </c>
      <c r="E651" s="82">
        <f t="shared" si="438"/>
        <v>7</v>
      </c>
      <c r="F651" s="83">
        <f t="shared" si="435"/>
        <v>5.66666666666667</v>
      </c>
      <c r="G651" s="84" t="str">
        <f t="shared" si="436"/>
        <v>紧凑</v>
      </c>
      <c r="H651" s="85" t="s">
        <v>10</v>
      </c>
      <c r="I651" s="85" t="s">
        <v>11</v>
      </c>
      <c r="J651" s="85" t="s">
        <v>12</v>
      </c>
      <c r="K651" s="85" t="s">
        <v>13</v>
      </c>
      <c r="L651" s="86">
        <f>MAX(MID(C651,{1,2,3},1)*1)-MIN(MID(C651,{1,2,3},1)*1)</f>
        <v>3</v>
      </c>
      <c r="M651" s="87">
        <v>0</v>
      </c>
      <c r="N651" s="87">
        <v>1</v>
      </c>
      <c r="O651" s="87">
        <v>2</v>
      </c>
      <c r="P651" s="87">
        <v>3</v>
      </c>
      <c r="Q651" s="87">
        <v>4</v>
      </c>
      <c r="R651" s="87">
        <v>5</v>
      </c>
      <c r="S651" s="87">
        <v>6</v>
      </c>
      <c r="T651" s="87">
        <v>7</v>
      </c>
      <c r="U651" s="87">
        <v>8</v>
      </c>
      <c r="V651" s="87">
        <v>9</v>
      </c>
      <c r="W651" s="88">
        <f t="shared" si="439"/>
        <v>1</v>
      </c>
      <c r="X651" s="88">
        <f t="shared" si="440"/>
        <v>2</v>
      </c>
      <c r="Y651" s="88">
        <f t="shared" si="441"/>
        <v>3</v>
      </c>
      <c r="Z651" s="89">
        <f t="shared" si="418"/>
        <v>6</v>
      </c>
      <c r="AA651" s="17" t="str">
        <f>_xlfn.TEXTJOIN(", ",TRUE,ABS(MID(C651,{1,1,2},1)-MID(C651,{2,3,3},1)))</f>
        <v>1, 2, 3</v>
      </c>
      <c r="AB651" s="90">
        <v>0</v>
      </c>
      <c r="AC651" s="90">
        <v>1</v>
      </c>
      <c r="AD651" s="90">
        <v>2</v>
      </c>
      <c r="AE651" s="90">
        <v>3</v>
      </c>
      <c r="AF651" s="90">
        <v>4</v>
      </c>
      <c r="AG651" s="90">
        <v>5</v>
      </c>
      <c r="AH651" s="90">
        <v>6</v>
      </c>
      <c r="AI651" s="90">
        <v>7</v>
      </c>
      <c r="AJ651" s="90">
        <v>8</v>
      </c>
      <c r="AK651" s="90">
        <v>9</v>
      </c>
      <c r="AL651" s="91">
        <v>0</v>
      </c>
      <c r="AM651" s="91">
        <v>1</v>
      </c>
      <c r="AN651" s="91">
        <v>2</v>
      </c>
      <c r="AO651" s="91">
        <v>3</v>
      </c>
      <c r="AP651" s="91">
        <v>4</v>
      </c>
      <c r="AQ651" s="91">
        <v>5</v>
      </c>
      <c r="AR651" s="91">
        <v>6</v>
      </c>
      <c r="AS651" s="91">
        <v>7</v>
      </c>
      <c r="AT651" s="91">
        <v>8</v>
      </c>
      <c r="AU651" s="91">
        <v>9</v>
      </c>
      <c r="AV651" s="92">
        <v>0</v>
      </c>
      <c r="AW651" s="92">
        <v>1</v>
      </c>
      <c r="AX651" s="92">
        <v>2</v>
      </c>
      <c r="AY651" s="92">
        <v>3</v>
      </c>
      <c r="AZ651" s="92">
        <v>4</v>
      </c>
      <c r="BA651" s="92">
        <v>5</v>
      </c>
      <c r="BB651" s="92">
        <v>6</v>
      </c>
      <c r="BC651" s="92">
        <v>7</v>
      </c>
      <c r="BD651" s="92">
        <v>8</v>
      </c>
      <c r="BE651" s="92">
        <v>9</v>
      </c>
      <c r="BF651" s="93">
        <v>0</v>
      </c>
      <c r="BG651" s="93">
        <v>1</v>
      </c>
      <c r="BH651" s="93">
        <v>2</v>
      </c>
      <c r="BI651" s="93">
        <v>3</v>
      </c>
      <c r="BJ651" s="93">
        <v>4</v>
      </c>
      <c r="BK651" s="93">
        <v>5</v>
      </c>
      <c r="BL651" s="93">
        <v>6</v>
      </c>
      <c r="BM651" s="93">
        <v>7</v>
      </c>
      <c r="BN651" s="93">
        <v>8</v>
      </c>
      <c r="BO651" s="93">
        <v>9</v>
      </c>
      <c r="BP651" s="94" t="str">
        <f t="shared" si="419"/>
        <v>紧凑型</v>
      </c>
      <c r="BQ651" s="15">
        <f t="shared" si="416"/>
        <v>1</v>
      </c>
      <c r="BR651" s="15">
        <f t="shared" si="417"/>
        <v>3</v>
      </c>
      <c r="BS651" s="20" t="str">
        <f t="shared" si="421"/>
        <v/>
      </c>
      <c r="BT651" s="21">
        <f t="shared" si="422"/>
        <v>1</v>
      </c>
      <c r="BU651" s="21" t="str">
        <f t="array" ref="BU651">_xlfn.TEXTJOIN("",TRUE,IF(ISERROR(FIND(ROW($1:$168)-1,BS651&amp;BT651)),ROW($1:$168)-1,""))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51" s="22" t="str">
        <f t="shared" si="423"/>
        <v>中隔中</v>
      </c>
      <c r="BW651" s="23">
        <f t="shared" si="434"/>
        <v>2</v>
      </c>
      <c r="BX651" s="23" t="str">
        <f t="shared" si="432"/>
        <v/>
      </c>
      <c r="BY651" s="23" t="str">
        <f t="array" ref="BY651">_xlfn.TEXTJOIN("",TRUE,IF(ISERROR(FIND(ROW($1:$168)-1,BW651&amp;BX651)),ROW($1:$168)-1,""))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51" s="22" t="str">
        <f t="shared" si="424"/>
        <v>复中中</v>
      </c>
      <c r="CA651" s="24" t="str">
        <f t="shared" si="425"/>
        <v/>
      </c>
      <c r="CB651" s="24" t="str">
        <f t="shared" si="433"/>
        <v/>
      </c>
      <c r="CC651" s="24" t="str">
        <f t="array" ref="CC651">_xlfn.TEXTJOIN("",TRUE,IF(ISERROR(FIND(ROW($1:$168)-1,CA651&amp;CB651)),ROW($1:$168)-1,""))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51" s="22" t="str">
        <f t="shared" si="426"/>
        <v>中中中</v>
      </c>
      <c r="CE651" s="25" t="str">
        <f t="shared" si="420"/>
        <v>02</v>
      </c>
      <c r="CF651" s="26" t="str">
        <f t="array" ref="CF651">_xlfn.TEXTJOIN("",TRUE,IF(ISNUMBER(FIND(MID(CE650&amp;W650,ROW($1:$162),1),CE651&amp;W651)),MID(CE650&amp;W650,ROW($1:$162),1),""))</f>
        <v/>
      </c>
      <c r="CG651" s="27" t="str">
        <f t="array" ref="CG651">_xlfn.TEXTJOIN("",TRUE,IF(ISERROR(FIND(ROW($1:$168)-1,CE651&amp;CF651)),ROW($1:$168)-1,""))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51" s="28" t="str">
        <f t="shared" si="427"/>
        <v>邻孤孤</v>
      </c>
      <c r="CI651" s="29" t="str">
        <f t="shared" si="428"/>
        <v>13</v>
      </c>
      <c r="CJ651" s="29" t="str">
        <f t="array" ref="CJ651">_xlfn.TEXTJOIN("",TRUE,IF(ISNUMBER(FIND(MID(CI650&amp;X650,ROW($1:$162),1),CI651&amp;X651)),MID(CI650&amp;X650,ROW($1:$162),1),""))</f>
        <v>132</v>
      </c>
      <c r="CK651" s="29" t="str">
        <f t="array" ref="CK651">_xlfn.TEXTJOIN("",TRUE,IF(ISERROR(FIND(ROW($1:$168)-1,CI651&amp;CJ651)),ROW($1:$168)-1,""))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651" s="19" t="str">
        <f t="shared" si="429"/>
        <v>邻传孤</v>
      </c>
      <c r="CM651" s="24" t="str">
        <f t="shared" si="430"/>
        <v>24</v>
      </c>
      <c r="CN651" s="24" t="str">
        <f t="array" ref="CN651">_xlfn.TEXTJOIN("",TRUE,IF(ISNUMBER(FIND(MID(CM650&amp;Y650,ROW($1:$162),1),CM651&amp;Y651)),MID(CM650&amp;Y650,ROW($1:$162),1),""))</f>
        <v/>
      </c>
      <c r="CO651" s="24" t="str">
        <f t="array" ref="CO651">_xlfn.TEXTJOIN("",TRUE,IF(ISERROR(FIND(ROW($1:$168)-1,CM651&amp;CN651)),ROW($1:$168)-1,""))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51" s="30" t="str">
        <f t="shared" si="431"/>
        <v>邻孤孤</v>
      </c>
    </row>
    <row r="652" spans="1:94">
      <c r="A652" s="15">
        <v>652</v>
      </c>
      <c r="B652" s="80">
        <v>2025269</v>
      </c>
      <c r="C652" s="8" t="s">
        <v>306</v>
      </c>
      <c r="D652" s="81">
        <f t="shared" ref="D652:D667" si="442">LEFT(C652,1)+MID(C652,2,1)+RIGHT(C652,1)</f>
        <v>10</v>
      </c>
      <c r="E652" s="82">
        <f t="shared" ref="E652:E667" si="443">MOD(LEFT(C652,1)+MID(C652,2,1)+RIGHT(C652,1),10)</f>
        <v>0</v>
      </c>
      <c r="F652" s="83">
        <f t="shared" si="435"/>
        <v>2</v>
      </c>
      <c r="G652" s="84" t="str">
        <f t="shared" si="436"/>
        <v>标准</v>
      </c>
      <c r="H652" s="85" t="s">
        <v>10</v>
      </c>
      <c r="I652" s="85" t="s">
        <v>11</v>
      </c>
      <c r="J652" s="85" t="s">
        <v>12</v>
      </c>
      <c r="K652" s="85" t="s">
        <v>13</v>
      </c>
      <c r="L652" s="86">
        <f>MAX(MID(C652,{1,2,3},1)*1)-MIN(MID(C652,{1,2,3},1)*1)</f>
        <v>5</v>
      </c>
      <c r="M652" s="87">
        <v>0</v>
      </c>
      <c r="N652" s="87">
        <v>1</v>
      </c>
      <c r="O652" s="87">
        <v>2</v>
      </c>
      <c r="P652" s="87">
        <v>3</v>
      </c>
      <c r="Q652" s="87">
        <v>4</v>
      </c>
      <c r="R652" s="87">
        <v>5</v>
      </c>
      <c r="S652" s="87">
        <v>6</v>
      </c>
      <c r="T652" s="87">
        <v>7</v>
      </c>
      <c r="U652" s="87">
        <v>8</v>
      </c>
      <c r="V652" s="87">
        <v>9</v>
      </c>
      <c r="W652" s="88">
        <f t="shared" ref="W652:W667" si="444">ABS(LEFT(C652,1)-MID(C652,2,1))</f>
        <v>5</v>
      </c>
      <c r="X652" s="88">
        <f t="shared" ref="X652:X667" si="445">ABS(LEFT(C652,1)-RIGHT(C652,1))</f>
        <v>5</v>
      </c>
      <c r="Y652" s="88">
        <f t="shared" ref="Y652:Y667" si="446">ABS(MID(C652,2,1)-RIGHT(C652,1))</f>
        <v>0</v>
      </c>
      <c r="Z652" s="89">
        <f t="shared" si="418"/>
        <v>10</v>
      </c>
      <c r="AA652" s="17" t="str">
        <f>_xlfn.TEXTJOIN(", ",TRUE,ABS(MID(C652,{1,1,2},1)-MID(C652,{2,3,3},1)))</f>
        <v>5, 5, 0</v>
      </c>
      <c r="AB652" s="90">
        <v>0</v>
      </c>
      <c r="AC652" s="90">
        <v>1</v>
      </c>
      <c r="AD652" s="90">
        <v>2</v>
      </c>
      <c r="AE652" s="90">
        <v>3</v>
      </c>
      <c r="AF652" s="90">
        <v>4</v>
      </c>
      <c r="AG652" s="90">
        <v>5</v>
      </c>
      <c r="AH652" s="90">
        <v>6</v>
      </c>
      <c r="AI652" s="90">
        <v>7</v>
      </c>
      <c r="AJ652" s="90">
        <v>8</v>
      </c>
      <c r="AK652" s="90">
        <v>9</v>
      </c>
      <c r="AL652" s="91">
        <v>0</v>
      </c>
      <c r="AM652" s="91">
        <v>1</v>
      </c>
      <c r="AN652" s="91">
        <v>2</v>
      </c>
      <c r="AO652" s="91">
        <v>3</v>
      </c>
      <c r="AP652" s="91">
        <v>4</v>
      </c>
      <c r="AQ652" s="91">
        <v>5</v>
      </c>
      <c r="AR652" s="91">
        <v>6</v>
      </c>
      <c r="AS652" s="91">
        <v>7</v>
      </c>
      <c r="AT652" s="91">
        <v>8</v>
      </c>
      <c r="AU652" s="91">
        <v>9</v>
      </c>
      <c r="AV652" s="92">
        <v>0</v>
      </c>
      <c r="AW652" s="92">
        <v>1</v>
      </c>
      <c r="AX652" s="92">
        <v>2</v>
      </c>
      <c r="AY652" s="92">
        <v>3</v>
      </c>
      <c r="AZ652" s="92">
        <v>4</v>
      </c>
      <c r="BA652" s="92">
        <v>5</v>
      </c>
      <c r="BB652" s="92">
        <v>6</v>
      </c>
      <c r="BC652" s="92">
        <v>7</v>
      </c>
      <c r="BD652" s="92">
        <v>8</v>
      </c>
      <c r="BE652" s="92">
        <v>9</v>
      </c>
      <c r="BF652" s="93">
        <v>0</v>
      </c>
      <c r="BG652" s="93">
        <v>1</v>
      </c>
      <c r="BH652" s="93">
        <v>2</v>
      </c>
      <c r="BI652" s="93">
        <v>3</v>
      </c>
      <c r="BJ652" s="93">
        <v>4</v>
      </c>
      <c r="BK652" s="93">
        <v>5</v>
      </c>
      <c r="BL652" s="93">
        <v>6</v>
      </c>
      <c r="BM652" s="93">
        <v>7</v>
      </c>
      <c r="BN652" s="93">
        <v>8</v>
      </c>
      <c r="BO652" s="93">
        <v>9</v>
      </c>
      <c r="BP652" s="94" t="str">
        <f t="shared" si="419"/>
        <v>对子</v>
      </c>
      <c r="BQ652" s="15">
        <f t="shared" si="416"/>
        <v>0</v>
      </c>
      <c r="BR652" s="15">
        <f t="shared" si="417"/>
        <v>5</v>
      </c>
      <c r="BS652" s="20" t="str">
        <f t="shared" si="421"/>
        <v/>
      </c>
      <c r="BT652" s="21" t="str">
        <f t="shared" si="422"/>
        <v/>
      </c>
      <c r="BU652" s="21" t="str">
        <f t="array" ref="BU652">_xlfn.TEXTJOIN("",TRUE,IF(ISERROR(FIND(ROW($1:$168)-1,BS652&amp;BT652)),ROW($1:$168)-1,""))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52" s="22" t="str">
        <f t="shared" si="423"/>
        <v>中中中</v>
      </c>
      <c r="BW652" s="23" t="str">
        <f t="shared" si="434"/>
        <v/>
      </c>
      <c r="BX652" s="23" t="str">
        <f t="shared" si="432"/>
        <v/>
      </c>
      <c r="BY652" s="23" t="str">
        <f t="array" ref="BY652">_xlfn.TEXTJOIN("",TRUE,IF(ISERROR(FIND(ROW($1:$168)-1,BW652&amp;BX652)),ROW($1:$168)-1,""))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52" s="22" t="str">
        <f t="shared" si="424"/>
        <v>中中中</v>
      </c>
      <c r="CA652" s="24" t="str">
        <f t="shared" si="425"/>
        <v/>
      </c>
      <c r="CB652" s="24" t="str">
        <f t="shared" si="433"/>
        <v/>
      </c>
      <c r="CC652" s="24" t="str">
        <f t="array" ref="CC652">_xlfn.TEXTJOIN("",TRUE,IF(ISERROR(FIND(ROW($1:$168)-1,CA652&amp;CB652)),ROW($1:$168)-1,""))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52" s="22" t="str">
        <f t="shared" si="426"/>
        <v>中中中</v>
      </c>
      <c r="CE652" s="25" t="str">
        <f t="shared" si="420"/>
        <v>46</v>
      </c>
      <c r="CF652" s="26" t="str">
        <f t="array" ref="CF652">_xlfn.TEXTJOIN("",TRUE,IF(ISNUMBER(FIND(MID(CE651&amp;W651,ROW($1:$162),1),CE652&amp;W652)),MID(CE651&amp;W651,ROW($1:$162),1),""))</f>
        <v/>
      </c>
      <c r="CG652" s="27" t="str">
        <f t="array" ref="CG652">_xlfn.TEXTJOIN("",TRUE,IF(ISERROR(FIND(ROW($1:$168)-1,CE652&amp;CF652)),ROW($1:$168)-1,""))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52" s="28" t="str">
        <f t="shared" si="427"/>
        <v>邻孤孤</v>
      </c>
      <c r="CI652" s="29" t="str">
        <f t="shared" si="428"/>
        <v>46</v>
      </c>
      <c r="CJ652" s="29" t="str">
        <f t="array" ref="CJ652">_xlfn.TEXTJOIN("",TRUE,IF(ISNUMBER(FIND(MID(CI651&amp;X651,ROW($1:$162),1),CI652&amp;X652)),MID(CI651&amp;X651,ROW($1:$162),1),""))</f>
        <v/>
      </c>
      <c r="CK652" s="29" t="str">
        <f t="array" ref="CK652">_xlfn.TEXTJOIN("",TRUE,IF(ISERROR(FIND(ROW($1:$168)-1,CI652&amp;CJ652)),ROW($1:$168)-1,""))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52" s="19" t="str">
        <f t="shared" si="429"/>
        <v>邻孤孤</v>
      </c>
      <c r="CM652" s="24" t="str">
        <f t="shared" si="430"/>
        <v>91</v>
      </c>
      <c r="CN652" s="24" t="str">
        <f t="array" ref="CN652">_xlfn.TEXTJOIN("",TRUE,IF(ISNUMBER(FIND(MID(CM651&amp;Y651,ROW($1:$162),1),CM652&amp;Y652)),MID(CM651&amp;Y651,ROW($1:$162),1),""))</f>
        <v/>
      </c>
      <c r="CO652" s="24" t="str">
        <f t="array" ref="CO652">_xlfn.TEXTJOIN("",TRUE,IF(ISERROR(FIND(ROW($1:$168)-1,CM652&amp;CN652)),ROW($1:$168)-1,""))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652" s="30" t="str">
        <f t="shared" si="431"/>
        <v>邻孤孤</v>
      </c>
    </row>
    <row r="653" spans="1:94">
      <c r="A653" s="15">
        <v>653</v>
      </c>
      <c r="B653" s="80">
        <v>2025270</v>
      </c>
      <c r="C653" s="8" t="s">
        <v>499</v>
      </c>
      <c r="D653" s="81">
        <f t="shared" si="442"/>
        <v>12</v>
      </c>
      <c r="E653" s="82">
        <f t="shared" si="443"/>
        <v>2</v>
      </c>
      <c r="F653" s="83">
        <f t="shared" si="435"/>
        <v>1.5</v>
      </c>
      <c r="G653" s="84" t="str">
        <f t="shared" si="436"/>
        <v>松散</v>
      </c>
      <c r="H653" s="85" t="s">
        <v>10</v>
      </c>
      <c r="I653" s="85" t="s">
        <v>11</v>
      </c>
      <c r="J653" s="85" t="s">
        <v>12</v>
      </c>
      <c r="K653" s="85" t="s">
        <v>13</v>
      </c>
      <c r="L653" s="86">
        <f>MAX(MID(C653,{1,2,3},1)*1)-MIN(MID(C653,{1,2,3},1)*1)</f>
        <v>8</v>
      </c>
      <c r="M653" s="87">
        <v>0</v>
      </c>
      <c r="N653" s="87">
        <v>1</v>
      </c>
      <c r="O653" s="87">
        <v>2</v>
      </c>
      <c r="P653" s="87">
        <v>3</v>
      </c>
      <c r="Q653" s="87">
        <v>4</v>
      </c>
      <c r="R653" s="87">
        <v>5</v>
      </c>
      <c r="S653" s="87">
        <v>6</v>
      </c>
      <c r="T653" s="87">
        <v>7</v>
      </c>
      <c r="U653" s="87">
        <v>8</v>
      </c>
      <c r="V653" s="87">
        <v>9</v>
      </c>
      <c r="W653" s="88">
        <f t="shared" si="444"/>
        <v>4</v>
      </c>
      <c r="X653" s="88">
        <f t="shared" si="445"/>
        <v>4</v>
      </c>
      <c r="Y653" s="88">
        <f t="shared" si="446"/>
        <v>8</v>
      </c>
      <c r="Z653" s="89">
        <f t="shared" si="418"/>
        <v>16</v>
      </c>
      <c r="AA653" s="17" t="str">
        <f>_xlfn.TEXTJOIN(", ",TRUE,ABS(MID(C653,{1,1,2},1)-MID(C653,{2,3,3},1)))</f>
        <v>4, 4, 8</v>
      </c>
      <c r="AB653" s="90">
        <v>0</v>
      </c>
      <c r="AC653" s="90">
        <v>1</v>
      </c>
      <c r="AD653" s="90">
        <v>2</v>
      </c>
      <c r="AE653" s="90">
        <v>3</v>
      </c>
      <c r="AF653" s="90">
        <v>4</v>
      </c>
      <c r="AG653" s="90">
        <v>5</v>
      </c>
      <c r="AH653" s="90">
        <v>6</v>
      </c>
      <c r="AI653" s="90">
        <v>7</v>
      </c>
      <c r="AJ653" s="90">
        <v>8</v>
      </c>
      <c r="AK653" s="90">
        <v>9</v>
      </c>
      <c r="AL653" s="91">
        <v>0</v>
      </c>
      <c r="AM653" s="91">
        <v>1</v>
      </c>
      <c r="AN653" s="91">
        <v>2</v>
      </c>
      <c r="AO653" s="91">
        <v>3</v>
      </c>
      <c r="AP653" s="91">
        <v>4</v>
      </c>
      <c r="AQ653" s="91">
        <v>5</v>
      </c>
      <c r="AR653" s="91">
        <v>6</v>
      </c>
      <c r="AS653" s="91">
        <v>7</v>
      </c>
      <c r="AT653" s="91">
        <v>8</v>
      </c>
      <c r="AU653" s="91">
        <v>9</v>
      </c>
      <c r="AV653" s="92">
        <v>0</v>
      </c>
      <c r="AW653" s="92">
        <v>1</v>
      </c>
      <c r="AX653" s="92">
        <v>2</v>
      </c>
      <c r="AY653" s="92">
        <v>3</v>
      </c>
      <c r="AZ653" s="92">
        <v>4</v>
      </c>
      <c r="BA653" s="92">
        <v>5</v>
      </c>
      <c r="BB653" s="92">
        <v>6</v>
      </c>
      <c r="BC653" s="92">
        <v>7</v>
      </c>
      <c r="BD653" s="92">
        <v>8</v>
      </c>
      <c r="BE653" s="92">
        <v>9</v>
      </c>
      <c r="BF653" s="93">
        <v>0</v>
      </c>
      <c r="BG653" s="93">
        <v>1</v>
      </c>
      <c r="BH653" s="93">
        <v>2</v>
      </c>
      <c r="BI653" s="93">
        <v>3</v>
      </c>
      <c r="BJ653" s="93">
        <v>4</v>
      </c>
      <c r="BK653" s="93">
        <v>5</v>
      </c>
      <c r="BL653" s="93">
        <v>6</v>
      </c>
      <c r="BM653" s="93">
        <v>7</v>
      </c>
      <c r="BN653" s="93">
        <v>8</v>
      </c>
      <c r="BO653" s="93">
        <v>9</v>
      </c>
      <c r="BP653" s="94" t="str">
        <f t="shared" si="419"/>
        <v>松散型</v>
      </c>
      <c r="BQ653" s="15">
        <f t="shared" si="416"/>
        <v>4</v>
      </c>
      <c r="BR653" s="15">
        <f t="shared" si="417"/>
        <v>8</v>
      </c>
      <c r="BS653" s="20" t="str">
        <f t="shared" si="421"/>
        <v/>
      </c>
      <c r="BT653" s="21" t="str">
        <f t="shared" si="422"/>
        <v/>
      </c>
      <c r="BU653" s="21" t="str">
        <f t="array" ref="BU653">_xlfn.TEXTJOIN("",TRUE,IF(ISERROR(FIND(ROW($1:$168)-1,BS653&amp;BT653)),ROW($1:$168)-1,""))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53" s="22" t="str">
        <f t="shared" si="423"/>
        <v>中中中</v>
      </c>
      <c r="BW653" s="23" t="str">
        <f t="shared" si="434"/>
        <v/>
      </c>
      <c r="BX653" s="23" t="str">
        <f t="shared" si="432"/>
        <v/>
      </c>
      <c r="BY653" s="23" t="str">
        <f t="array" ref="BY653">_xlfn.TEXTJOIN("",TRUE,IF(ISERROR(FIND(ROW($1:$168)-1,BW653&amp;BX653)),ROW($1:$168)-1,""))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53" s="22" t="str">
        <f t="shared" si="424"/>
        <v>中中中</v>
      </c>
      <c r="CA653" s="24" t="str">
        <f t="shared" si="425"/>
        <v/>
      </c>
      <c r="CB653" s="24" t="str">
        <f t="shared" si="433"/>
        <v/>
      </c>
      <c r="CC653" s="24" t="str">
        <f t="array" ref="CC653">_xlfn.TEXTJOIN("",TRUE,IF(ISERROR(FIND(ROW($1:$168)-1,CA653&amp;CB653)),ROW($1:$168)-1,""))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53" s="22" t="str">
        <f t="shared" si="426"/>
        <v>中中中</v>
      </c>
      <c r="CE653" s="25" t="str">
        <f t="shared" si="420"/>
        <v>35</v>
      </c>
      <c r="CF653" s="26" t="str">
        <f t="array" ref="CF653">_xlfn.TEXTJOIN("",TRUE,IF(ISNUMBER(FIND(MID(CE652&amp;W652,ROW($1:$162),1),CE653&amp;W653)),MID(CE652&amp;W652,ROW($1:$162),1),""))</f>
        <v>45</v>
      </c>
      <c r="CG653" s="27" t="str">
        <f t="array" ref="CG653">_xlfn.TEXTJOIN("",TRUE,IF(ISERROR(FIND(ROW($1:$168)-1,CE653&amp;CF653)),ROW($1:$168)-1,""))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53" s="28" t="str">
        <f t="shared" si="427"/>
        <v>邻传孤</v>
      </c>
      <c r="CI653" s="29" t="str">
        <f t="shared" si="428"/>
        <v>35</v>
      </c>
      <c r="CJ653" s="29" t="str">
        <f t="array" ref="CJ653">_xlfn.TEXTJOIN("",TRUE,IF(ISNUMBER(FIND(MID(CI652&amp;X652,ROW($1:$162),1),CI653&amp;X653)),MID(CI652&amp;X652,ROW($1:$162),1),""))</f>
        <v>45</v>
      </c>
      <c r="CK653" s="29" t="str">
        <f t="array" ref="CK653">_xlfn.TEXTJOIN("",TRUE,IF(ISERROR(FIND(ROW($1:$168)-1,CI653&amp;CJ653)),ROW($1:$168)-1,""))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53" s="19" t="str">
        <f t="shared" si="429"/>
        <v>邻传孤</v>
      </c>
      <c r="CM653" s="24" t="str">
        <f t="shared" si="430"/>
        <v>79</v>
      </c>
      <c r="CN653" s="24" t="str">
        <f t="array" ref="CN653">_xlfn.TEXTJOIN("",TRUE,IF(ISNUMBER(FIND(MID(CM652&amp;Y652,ROW($1:$162),1),CM653&amp;Y653)),MID(CM652&amp;Y652,ROW($1:$162),1),""))</f>
        <v>9</v>
      </c>
      <c r="CO653" s="24" t="str">
        <f t="array" ref="CO653">_xlfn.TEXTJOIN("",TRUE,IF(ISERROR(FIND(ROW($1:$168)-1,CM653&amp;CN653)),ROW($1:$168)-1,""))</f>
        <v>0123456810111213141516171819202122232425262728293031323334353637383940414243444546474849505152535455565758596061626364656667686970717273747576777880818283848586878889909192939495969798100101102103104105106107108109110111112113114115116117118119120121122123124125126127128129130131132133134135136137138139140141142143144145146147148149150151152153154155156157158159160161162163164165166167</v>
      </c>
      <c r="CP653" s="30" t="str">
        <f t="shared" si="431"/>
        <v>邻传孤</v>
      </c>
    </row>
    <row r="654" spans="1:94">
      <c r="A654" s="15">
        <v>654</v>
      </c>
      <c r="B654" s="80">
        <v>2025271</v>
      </c>
      <c r="C654" s="8" t="s">
        <v>500</v>
      </c>
      <c r="D654" s="81">
        <f t="shared" si="442"/>
        <v>16</v>
      </c>
      <c r="E654" s="82">
        <f t="shared" si="443"/>
        <v>6</v>
      </c>
      <c r="F654" s="83">
        <f t="shared" si="435"/>
        <v>3.2</v>
      </c>
      <c r="G654" s="84" t="str">
        <f t="shared" si="436"/>
        <v>标准</v>
      </c>
      <c r="H654" s="85" t="s">
        <v>10</v>
      </c>
      <c r="I654" s="85" t="s">
        <v>11</v>
      </c>
      <c r="J654" s="85" t="s">
        <v>12</v>
      </c>
      <c r="K654" s="85" t="s">
        <v>13</v>
      </c>
      <c r="L654" s="86">
        <f>MAX(MID(C654,{1,2,3},1)*1)-MIN(MID(C654,{1,2,3},1)*1)</f>
        <v>5</v>
      </c>
      <c r="M654" s="87">
        <v>0</v>
      </c>
      <c r="N654" s="87">
        <v>1</v>
      </c>
      <c r="O654" s="87">
        <v>2</v>
      </c>
      <c r="P654" s="87">
        <v>3</v>
      </c>
      <c r="Q654" s="87">
        <v>4</v>
      </c>
      <c r="R654" s="87">
        <v>5</v>
      </c>
      <c r="S654" s="87">
        <v>6</v>
      </c>
      <c r="T654" s="87">
        <v>7</v>
      </c>
      <c r="U654" s="87">
        <v>8</v>
      </c>
      <c r="V654" s="87">
        <v>9</v>
      </c>
      <c r="W654" s="88">
        <f t="shared" si="444"/>
        <v>5</v>
      </c>
      <c r="X654" s="88">
        <f t="shared" si="445"/>
        <v>0</v>
      </c>
      <c r="Y654" s="88">
        <f t="shared" si="446"/>
        <v>5</v>
      </c>
      <c r="Z654" s="89">
        <f t="shared" si="418"/>
        <v>10</v>
      </c>
      <c r="AA654" s="17" t="str">
        <f>_xlfn.TEXTJOIN(", ",TRUE,ABS(MID(C654,{1,1,2},1)-MID(C654,{2,3,3},1)))</f>
        <v>5, 0, 5</v>
      </c>
      <c r="AB654" s="90">
        <v>0</v>
      </c>
      <c r="AC654" s="90">
        <v>1</v>
      </c>
      <c r="AD654" s="90">
        <v>2</v>
      </c>
      <c r="AE654" s="90">
        <v>3</v>
      </c>
      <c r="AF654" s="90">
        <v>4</v>
      </c>
      <c r="AG654" s="90">
        <v>5</v>
      </c>
      <c r="AH654" s="90">
        <v>6</v>
      </c>
      <c r="AI654" s="90">
        <v>7</v>
      </c>
      <c r="AJ654" s="90">
        <v>8</v>
      </c>
      <c r="AK654" s="90">
        <v>9</v>
      </c>
      <c r="AL654" s="91">
        <v>0</v>
      </c>
      <c r="AM654" s="91">
        <v>1</v>
      </c>
      <c r="AN654" s="91">
        <v>2</v>
      </c>
      <c r="AO654" s="91">
        <v>3</v>
      </c>
      <c r="AP654" s="91">
        <v>4</v>
      </c>
      <c r="AQ654" s="91">
        <v>5</v>
      </c>
      <c r="AR654" s="91">
        <v>6</v>
      </c>
      <c r="AS654" s="91">
        <v>7</v>
      </c>
      <c r="AT654" s="91">
        <v>8</v>
      </c>
      <c r="AU654" s="91">
        <v>9</v>
      </c>
      <c r="AV654" s="92">
        <v>0</v>
      </c>
      <c r="AW654" s="92">
        <v>1</v>
      </c>
      <c r="AX654" s="92">
        <v>2</v>
      </c>
      <c r="AY654" s="92">
        <v>3</v>
      </c>
      <c r="AZ654" s="92">
        <v>4</v>
      </c>
      <c r="BA654" s="92">
        <v>5</v>
      </c>
      <c r="BB654" s="92">
        <v>6</v>
      </c>
      <c r="BC654" s="92">
        <v>7</v>
      </c>
      <c r="BD654" s="92">
        <v>8</v>
      </c>
      <c r="BE654" s="92">
        <v>9</v>
      </c>
      <c r="BF654" s="93">
        <v>0</v>
      </c>
      <c r="BG654" s="93">
        <v>1</v>
      </c>
      <c r="BH654" s="93">
        <v>2</v>
      </c>
      <c r="BI654" s="93">
        <v>3</v>
      </c>
      <c r="BJ654" s="93">
        <v>4</v>
      </c>
      <c r="BK654" s="93">
        <v>5</v>
      </c>
      <c r="BL654" s="93">
        <v>6</v>
      </c>
      <c r="BM654" s="93">
        <v>7</v>
      </c>
      <c r="BN654" s="93">
        <v>8</v>
      </c>
      <c r="BO654" s="93">
        <v>9</v>
      </c>
      <c r="BP654" s="94" t="str">
        <f t="shared" si="419"/>
        <v>对子</v>
      </c>
      <c r="BQ654" s="15">
        <f t="shared" si="416"/>
        <v>0</v>
      </c>
      <c r="BR654" s="15">
        <f t="shared" si="417"/>
        <v>5</v>
      </c>
      <c r="BS654" s="20" t="str">
        <f t="shared" si="421"/>
        <v/>
      </c>
      <c r="BT654" s="21">
        <f t="shared" si="422"/>
        <v>5</v>
      </c>
      <c r="BU654" s="21" t="str">
        <f t="array" ref="BU654">_xlfn.TEXTJOIN("",TRUE,IF(ISERROR(FIND(ROW($1:$168)-1,BS654&amp;BT654)),ROW($1:$168)-1,""))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54" s="22" t="str">
        <f t="shared" si="423"/>
        <v>中隔中</v>
      </c>
      <c r="BW654" s="23" t="str">
        <f t="shared" si="434"/>
        <v/>
      </c>
      <c r="BX654" s="23">
        <f t="shared" si="432"/>
        <v>0</v>
      </c>
      <c r="BY654" s="23" t="str">
        <f t="array" ref="BY654">_xlfn.TEXTJOIN("",TRUE,IF(ISERROR(FIND(ROW($1:$168)-1,BW654&amp;BX654)),ROW($1:$168)-1,""))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54" s="22" t="str">
        <f t="shared" si="424"/>
        <v>中隔中</v>
      </c>
      <c r="CA654" s="24" t="str">
        <f t="shared" si="425"/>
        <v/>
      </c>
      <c r="CB654" s="24">
        <f t="shared" si="433"/>
        <v>5</v>
      </c>
      <c r="CC654" s="24" t="str">
        <f t="array" ref="CC654">_xlfn.TEXTJOIN("",TRUE,IF(ISERROR(FIND(ROW($1:$168)-1,CA654&amp;CB654)),ROW($1:$168)-1,""))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54" s="22" t="str">
        <f t="shared" si="426"/>
        <v>中隔中</v>
      </c>
      <c r="CE654" s="25" t="str">
        <f t="shared" si="420"/>
        <v>46</v>
      </c>
      <c r="CF654" s="26" t="str">
        <f t="array" ref="CF654">_xlfn.TEXTJOIN("",TRUE,IF(ISNUMBER(FIND(MID(CE653&amp;W653,ROW($1:$162),1),CE654&amp;W654)),MID(CE653&amp;W653,ROW($1:$162),1),""))</f>
        <v>54</v>
      </c>
      <c r="CG654" s="27" t="str">
        <f t="array" ref="CG654">_xlfn.TEXTJOIN("",TRUE,IF(ISERROR(FIND(ROW($1:$168)-1,CE654&amp;CF654)),ROW($1:$168)-1,""))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54" s="28" t="str">
        <f t="shared" si="427"/>
        <v>邻传孤</v>
      </c>
      <c r="CI654" s="29" t="str">
        <f t="shared" si="428"/>
        <v>91</v>
      </c>
      <c r="CJ654" s="29" t="str">
        <f t="array" ref="CJ654">_xlfn.TEXTJOIN("",TRUE,IF(ISNUMBER(FIND(MID(CI653&amp;X653,ROW($1:$162),1),CI654&amp;X654)),MID(CI653&amp;X653,ROW($1:$162),1),""))</f>
        <v/>
      </c>
      <c r="CK654" s="29" t="str">
        <f t="array" ref="CK654">_xlfn.TEXTJOIN("",TRUE,IF(ISERROR(FIND(ROW($1:$168)-1,CI654&amp;CJ654)),ROW($1:$168)-1,""))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654" s="19" t="str">
        <f t="shared" si="429"/>
        <v>邻孤孤</v>
      </c>
      <c r="CM654" s="24" t="str">
        <f t="shared" si="430"/>
        <v>46</v>
      </c>
      <c r="CN654" s="24" t="str">
        <f t="array" ref="CN654">_xlfn.TEXTJOIN("",TRUE,IF(ISNUMBER(FIND(MID(CM653&amp;Y653,ROW($1:$162),1),CM654&amp;Y654)),MID(CM653&amp;Y653,ROW($1:$162),1),""))</f>
        <v/>
      </c>
      <c r="CO654" s="24" t="str">
        <f t="array" ref="CO654">_xlfn.TEXTJOIN("",TRUE,IF(ISERROR(FIND(ROW($1:$168)-1,CM654&amp;CN654)),ROW($1:$168)-1,""))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54" s="30" t="str">
        <f t="shared" si="431"/>
        <v>邻孤孤</v>
      </c>
    </row>
    <row r="655" spans="1:94">
      <c r="A655" s="15">
        <v>655</v>
      </c>
      <c r="B655" s="80">
        <v>2025272</v>
      </c>
      <c r="C655" s="8" t="s">
        <v>501</v>
      </c>
      <c r="D655" s="81">
        <f t="shared" si="442"/>
        <v>22</v>
      </c>
      <c r="E655" s="82">
        <f t="shared" si="443"/>
        <v>2</v>
      </c>
      <c r="F655" s="83">
        <f t="shared" si="435"/>
        <v>7.33333333333333</v>
      </c>
      <c r="G655" s="84" t="str">
        <f t="shared" si="436"/>
        <v>紧凑</v>
      </c>
      <c r="H655" s="85" t="s">
        <v>10</v>
      </c>
      <c r="I655" s="85" t="s">
        <v>11</v>
      </c>
      <c r="J655" s="85" t="s">
        <v>12</v>
      </c>
      <c r="K655" s="85" t="s">
        <v>13</v>
      </c>
      <c r="L655" s="86">
        <f>MAX(MID(C655,{1,2,3},1)*1)-MIN(MID(C655,{1,2,3},1)*1)</f>
        <v>3</v>
      </c>
      <c r="M655" s="87">
        <v>0</v>
      </c>
      <c r="N655" s="87">
        <v>1</v>
      </c>
      <c r="O655" s="87">
        <v>2</v>
      </c>
      <c r="P655" s="87">
        <v>3</v>
      </c>
      <c r="Q655" s="87">
        <v>4</v>
      </c>
      <c r="R655" s="87">
        <v>5</v>
      </c>
      <c r="S655" s="87">
        <v>6</v>
      </c>
      <c r="T655" s="87">
        <v>7</v>
      </c>
      <c r="U655" s="87">
        <v>8</v>
      </c>
      <c r="V655" s="87">
        <v>9</v>
      </c>
      <c r="W655" s="88">
        <f t="shared" si="444"/>
        <v>3</v>
      </c>
      <c r="X655" s="88">
        <f t="shared" si="445"/>
        <v>2</v>
      </c>
      <c r="Y655" s="88">
        <f t="shared" si="446"/>
        <v>1</v>
      </c>
      <c r="Z655" s="89">
        <f t="shared" si="418"/>
        <v>6</v>
      </c>
      <c r="AA655" s="17" t="str">
        <f>_xlfn.TEXTJOIN(", ",TRUE,ABS(MID(C655,{1,1,2},1)-MID(C655,{2,3,3},1)))</f>
        <v>3, 2, 1</v>
      </c>
      <c r="AB655" s="90">
        <v>0</v>
      </c>
      <c r="AC655" s="90">
        <v>1</v>
      </c>
      <c r="AD655" s="90">
        <v>2</v>
      </c>
      <c r="AE655" s="90">
        <v>3</v>
      </c>
      <c r="AF655" s="90">
        <v>4</v>
      </c>
      <c r="AG655" s="90">
        <v>5</v>
      </c>
      <c r="AH655" s="90">
        <v>6</v>
      </c>
      <c r="AI655" s="90">
        <v>7</v>
      </c>
      <c r="AJ655" s="90">
        <v>8</v>
      </c>
      <c r="AK655" s="90">
        <v>9</v>
      </c>
      <c r="AL655" s="91">
        <v>0</v>
      </c>
      <c r="AM655" s="91">
        <v>1</v>
      </c>
      <c r="AN655" s="91">
        <v>2</v>
      </c>
      <c r="AO655" s="91">
        <v>3</v>
      </c>
      <c r="AP655" s="91">
        <v>4</v>
      </c>
      <c r="AQ655" s="91">
        <v>5</v>
      </c>
      <c r="AR655" s="91">
        <v>6</v>
      </c>
      <c r="AS655" s="91">
        <v>7</v>
      </c>
      <c r="AT655" s="91">
        <v>8</v>
      </c>
      <c r="AU655" s="91">
        <v>9</v>
      </c>
      <c r="AV655" s="92">
        <v>0</v>
      </c>
      <c r="AW655" s="92">
        <v>1</v>
      </c>
      <c r="AX655" s="92">
        <v>2</v>
      </c>
      <c r="AY655" s="92">
        <v>3</v>
      </c>
      <c r="AZ655" s="92">
        <v>4</v>
      </c>
      <c r="BA655" s="92">
        <v>5</v>
      </c>
      <c r="BB655" s="92">
        <v>6</v>
      </c>
      <c r="BC655" s="92">
        <v>7</v>
      </c>
      <c r="BD655" s="92">
        <v>8</v>
      </c>
      <c r="BE655" s="92">
        <v>9</v>
      </c>
      <c r="BF655" s="93">
        <v>0</v>
      </c>
      <c r="BG655" s="93">
        <v>1</v>
      </c>
      <c r="BH655" s="93">
        <v>2</v>
      </c>
      <c r="BI655" s="93">
        <v>3</v>
      </c>
      <c r="BJ655" s="93">
        <v>4</v>
      </c>
      <c r="BK655" s="93">
        <v>5</v>
      </c>
      <c r="BL655" s="93">
        <v>6</v>
      </c>
      <c r="BM655" s="93">
        <v>7</v>
      </c>
      <c r="BN655" s="93">
        <v>8</v>
      </c>
      <c r="BO655" s="93">
        <v>9</v>
      </c>
      <c r="BP655" s="94" t="str">
        <f t="shared" si="419"/>
        <v>紧凑型</v>
      </c>
      <c r="BQ655" s="15">
        <f t="shared" si="416"/>
        <v>1</v>
      </c>
      <c r="BR655" s="15">
        <f t="shared" si="417"/>
        <v>3</v>
      </c>
      <c r="BS655" s="20" t="str">
        <f t="shared" si="421"/>
        <v/>
      </c>
      <c r="BT655" s="21" t="str">
        <f t="shared" si="422"/>
        <v/>
      </c>
      <c r="BU655" s="21" t="str">
        <f t="array" ref="BU655">_xlfn.TEXTJOIN("",TRUE,IF(ISERROR(FIND(ROW($1:$168)-1,BS655&amp;BT655)),ROW($1:$168)-1,""))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55" s="22" t="str">
        <f t="shared" si="423"/>
        <v>中中中</v>
      </c>
      <c r="BW655" s="23" t="str">
        <f t="shared" si="434"/>
        <v/>
      </c>
      <c r="BX655" s="23" t="str">
        <f t="shared" si="432"/>
        <v/>
      </c>
      <c r="BY655" s="23" t="str">
        <f t="array" ref="BY655">_xlfn.TEXTJOIN("",TRUE,IF(ISERROR(FIND(ROW($1:$168)-1,BW655&amp;BX655)),ROW($1:$168)-1,""))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55" s="22" t="str">
        <f t="shared" si="424"/>
        <v>中中中</v>
      </c>
      <c r="CA655" s="24" t="str">
        <f t="shared" si="425"/>
        <v/>
      </c>
      <c r="CB655" s="24" t="str">
        <f t="shared" si="433"/>
        <v/>
      </c>
      <c r="CC655" s="24" t="str">
        <f t="array" ref="CC655">_xlfn.TEXTJOIN("",TRUE,IF(ISERROR(FIND(ROW($1:$168)-1,CA655&amp;CB655)),ROW($1:$168)-1,""))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55" s="22" t="str">
        <f t="shared" si="426"/>
        <v>中中中</v>
      </c>
      <c r="CE655" s="25" t="str">
        <f t="shared" si="420"/>
        <v>24</v>
      </c>
      <c r="CF655" s="26" t="str">
        <f t="array" ref="CF655">_xlfn.TEXTJOIN("",TRUE,IF(ISNUMBER(FIND(MID(CE654&amp;W654,ROW($1:$162),1),CE655&amp;W655)),MID(CE654&amp;W654,ROW($1:$162),1),""))</f>
        <v>4</v>
      </c>
      <c r="CG655" s="27" t="str">
        <f t="array" ref="CG655">_xlfn.TEXTJOIN("",TRUE,IF(ISERROR(FIND(ROW($1:$168)-1,CE655&amp;CF655)),ROW($1:$168)-1,""))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55" s="28" t="str">
        <f t="shared" si="427"/>
        <v>邻传孤</v>
      </c>
      <c r="CI655" s="29" t="str">
        <f t="shared" si="428"/>
        <v>13</v>
      </c>
      <c r="CJ655" s="29" t="str">
        <f t="array" ref="CJ655">_xlfn.TEXTJOIN("",TRUE,IF(ISNUMBER(FIND(MID(CI654&amp;X654,ROW($1:$162),1),CI655&amp;X655)),MID(CI654&amp;X654,ROW($1:$162),1),""))</f>
        <v>1</v>
      </c>
      <c r="CK655" s="29" t="str">
        <f t="array" ref="CK655">_xlfn.TEXTJOIN("",TRUE,IF(ISERROR(FIND(ROW($1:$168)-1,CI655&amp;CJ655)),ROW($1:$168)-1,""))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L655" s="19" t="str">
        <f t="shared" si="429"/>
        <v>邻传孤</v>
      </c>
      <c r="CM655" s="24" t="str">
        <f t="shared" si="430"/>
        <v>02</v>
      </c>
      <c r="CN655" s="24" t="str">
        <f t="array" ref="CN655">_xlfn.TEXTJOIN("",TRUE,IF(ISNUMBER(FIND(MID(CM654&amp;Y654,ROW($1:$162),1),CM655&amp;Y655)),MID(CM654&amp;Y654,ROW($1:$162),1),""))</f>
        <v/>
      </c>
      <c r="CO655" s="24" t="str">
        <f t="array" ref="CO655">_xlfn.TEXTJOIN("",TRUE,IF(ISERROR(FIND(ROW($1:$168)-1,CM655&amp;CN655)),ROW($1:$168)-1,""))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55" s="30" t="str">
        <f t="shared" si="431"/>
        <v>邻孤孤</v>
      </c>
    </row>
    <row r="656" spans="1:94">
      <c r="A656" s="15">
        <v>656</v>
      </c>
      <c r="B656" s="80">
        <v>2025273</v>
      </c>
      <c r="C656" s="8" t="s">
        <v>91</v>
      </c>
      <c r="D656" s="81">
        <f t="shared" si="442"/>
        <v>9</v>
      </c>
      <c r="E656" s="82">
        <f t="shared" si="443"/>
        <v>9</v>
      </c>
      <c r="F656" s="83">
        <f t="shared" si="435"/>
        <v>1.8</v>
      </c>
      <c r="G656" s="84" t="str">
        <f t="shared" si="436"/>
        <v>松散</v>
      </c>
      <c r="H656" s="85" t="s">
        <v>10</v>
      </c>
      <c r="I656" s="85" t="s">
        <v>11</v>
      </c>
      <c r="J656" s="85" t="s">
        <v>12</v>
      </c>
      <c r="K656" s="85" t="s">
        <v>13</v>
      </c>
      <c r="L656" s="86">
        <f>MAX(MID(C656,{1,2,3},1)*1)-MIN(MID(C656,{1,2,3},1)*1)</f>
        <v>5</v>
      </c>
      <c r="M656" s="87">
        <v>0</v>
      </c>
      <c r="N656" s="87">
        <v>1</v>
      </c>
      <c r="O656" s="87">
        <v>2</v>
      </c>
      <c r="P656" s="87">
        <v>3</v>
      </c>
      <c r="Q656" s="87">
        <v>4</v>
      </c>
      <c r="R656" s="87">
        <v>5</v>
      </c>
      <c r="S656" s="87">
        <v>6</v>
      </c>
      <c r="T656" s="87">
        <v>7</v>
      </c>
      <c r="U656" s="87">
        <v>8</v>
      </c>
      <c r="V656" s="87">
        <v>9</v>
      </c>
      <c r="W656" s="88">
        <f t="shared" si="444"/>
        <v>4</v>
      </c>
      <c r="X656" s="88">
        <f t="shared" si="445"/>
        <v>5</v>
      </c>
      <c r="Y656" s="88">
        <f t="shared" si="446"/>
        <v>1</v>
      </c>
      <c r="Z656" s="89">
        <f t="shared" si="418"/>
        <v>10</v>
      </c>
      <c r="AA656" s="17" t="str">
        <f>_xlfn.TEXTJOIN(", ",TRUE,ABS(MID(C656,{1,1,2},1)-MID(C656,{2,3,3},1)))</f>
        <v>4, 5, 1</v>
      </c>
      <c r="AB656" s="90">
        <v>0</v>
      </c>
      <c r="AC656" s="90">
        <v>1</v>
      </c>
      <c r="AD656" s="90">
        <v>2</v>
      </c>
      <c r="AE656" s="90">
        <v>3</v>
      </c>
      <c r="AF656" s="90">
        <v>4</v>
      </c>
      <c r="AG656" s="90">
        <v>5</v>
      </c>
      <c r="AH656" s="90">
        <v>6</v>
      </c>
      <c r="AI656" s="90">
        <v>7</v>
      </c>
      <c r="AJ656" s="90">
        <v>8</v>
      </c>
      <c r="AK656" s="90">
        <v>9</v>
      </c>
      <c r="AL656" s="91">
        <v>0</v>
      </c>
      <c r="AM656" s="91">
        <v>1</v>
      </c>
      <c r="AN656" s="91">
        <v>2</v>
      </c>
      <c r="AO656" s="91">
        <v>3</v>
      </c>
      <c r="AP656" s="91">
        <v>4</v>
      </c>
      <c r="AQ656" s="91">
        <v>5</v>
      </c>
      <c r="AR656" s="91">
        <v>6</v>
      </c>
      <c r="AS656" s="91">
        <v>7</v>
      </c>
      <c r="AT656" s="91">
        <v>8</v>
      </c>
      <c r="AU656" s="91">
        <v>9</v>
      </c>
      <c r="AV656" s="92">
        <v>0</v>
      </c>
      <c r="AW656" s="92">
        <v>1</v>
      </c>
      <c r="AX656" s="92">
        <v>2</v>
      </c>
      <c r="AY656" s="92">
        <v>3</v>
      </c>
      <c r="AZ656" s="92">
        <v>4</v>
      </c>
      <c r="BA656" s="92">
        <v>5</v>
      </c>
      <c r="BB656" s="92">
        <v>6</v>
      </c>
      <c r="BC656" s="92">
        <v>7</v>
      </c>
      <c r="BD656" s="92">
        <v>8</v>
      </c>
      <c r="BE656" s="92">
        <v>9</v>
      </c>
      <c r="BF656" s="93">
        <v>0</v>
      </c>
      <c r="BG656" s="93">
        <v>1</v>
      </c>
      <c r="BH656" s="93">
        <v>2</v>
      </c>
      <c r="BI656" s="93">
        <v>3</v>
      </c>
      <c r="BJ656" s="93">
        <v>4</v>
      </c>
      <c r="BK656" s="93">
        <v>5</v>
      </c>
      <c r="BL656" s="93">
        <v>6</v>
      </c>
      <c r="BM656" s="93">
        <v>7</v>
      </c>
      <c r="BN656" s="93">
        <v>8</v>
      </c>
      <c r="BO656" s="93">
        <v>9</v>
      </c>
      <c r="BP656" s="94" t="str">
        <f t="shared" si="419"/>
        <v>标准型</v>
      </c>
      <c r="BQ656" s="15">
        <f t="shared" si="416"/>
        <v>1</v>
      </c>
      <c r="BR656" s="15">
        <f t="shared" si="417"/>
        <v>5</v>
      </c>
      <c r="BS656" s="20" t="str">
        <f t="shared" si="421"/>
        <v/>
      </c>
      <c r="BT656" s="21" t="str">
        <f t="shared" si="422"/>
        <v/>
      </c>
      <c r="BU656" s="21" t="str">
        <f t="array" ref="BU656">_xlfn.TEXTJOIN("",TRUE,IF(ISERROR(FIND(ROW($1:$168)-1,BS656&amp;BT656)),ROW($1:$168)-1,""))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56" s="22" t="str">
        <f t="shared" si="423"/>
        <v>中中中</v>
      </c>
      <c r="BW656" s="23" t="str">
        <f t="shared" si="434"/>
        <v/>
      </c>
      <c r="BX656" s="23">
        <f t="shared" si="432"/>
        <v>5</v>
      </c>
      <c r="BY656" s="23" t="str">
        <f t="array" ref="BY656">_xlfn.TEXTJOIN("",TRUE,IF(ISERROR(FIND(ROW($1:$168)-1,BW656&amp;BX656)),ROW($1:$168)-1,""))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56" s="22" t="str">
        <f t="shared" si="424"/>
        <v>中隔中</v>
      </c>
      <c r="CA656" s="24">
        <f t="shared" si="425"/>
        <v>1</v>
      </c>
      <c r="CB656" s="24" t="str">
        <f t="shared" si="433"/>
        <v/>
      </c>
      <c r="CC656" s="24" t="str">
        <f t="array" ref="CC656">_xlfn.TEXTJOIN("",TRUE,IF(ISERROR(FIND(ROW($1:$168)-1,CA656&amp;CB656)),ROW($1:$168)-1,""))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56" s="22" t="str">
        <f t="shared" si="426"/>
        <v>复中中</v>
      </c>
      <c r="CE656" s="25" t="str">
        <f t="shared" si="420"/>
        <v>35</v>
      </c>
      <c r="CF656" s="26" t="str">
        <f t="array" ref="CF656">_xlfn.TEXTJOIN("",TRUE,IF(ISNUMBER(FIND(MID(CE655&amp;W655,ROW($1:$162),1),CE656&amp;W656)),MID(CE655&amp;W655,ROW($1:$162),1),""))</f>
        <v>43</v>
      </c>
      <c r="CG656" s="27" t="str">
        <f t="array" ref="CG656">_xlfn.TEXTJOIN("",TRUE,IF(ISERROR(FIND(ROW($1:$168)-1,CE656&amp;CF656)),ROW($1:$168)-1,""))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56" s="28" t="str">
        <f t="shared" si="427"/>
        <v>邻传孤</v>
      </c>
      <c r="CI656" s="29" t="str">
        <f t="shared" si="428"/>
        <v>46</v>
      </c>
      <c r="CJ656" s="29" t="str">
        <f t="array" ref="CJ656">_xlfn.TEXTJOIN("",TRUE,IF(ISNUMBER(FIND(MID(CI655&amp;X655,ROW($1:$162),1),CI656&amp;X656)),MID(CI655&amp;X655,ROW($1:$162),1),""))</f>
        <v/>
      </c>
      <c r="CK656" s="29" t="str">
        <f t="array" ref="CK656">_xlfn.TEXTJOIN("",TRUE,IF(ISERROR(FIND(ROW($1:$168)-1,CI656&amp;CJ656)),ROW($1:$168)-1,""))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56" s="19" t="str">
        <f t="shared" si="429"/>
        <v>邻孤孤</v>
      </c>
      <c r="CM656" s="24" t="str">
        <f t="shared" si="430"/>
        <v>02</v>
      </c>
      <c r="CN656" s="24" t="str">
        <f t="array" ref="CN656">_xlfn.TEXTJOIN("",TRUE,IF(ISNUMBER(FIND(MID(CM655&amp;Y655,ROW($1:$162),1),CM656&amp;Y656)),MID(CM655&amp;Y655,ROW($1:$162),1),""))</f>
        <v>021</v>
      </c>
      <c r="CO656" s="24" t="str">
        <f t="array" ref="CO656">_xlfn.TEXTJOIN("",TRUE,IF(ISERROR(FIND(ROW($1:$168)-1,CM656&amp;CN656)),ROW($1:$168)-1,""))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56" s="30" t="str">
        <f t="shared" si="431"/>
        <v>邻传孤</v>
      </c>
    </row>
    <row r="657" spans="1:94">
      <c r="A657" s="15">
        <v>657</v>
      </c>
      <c r="B657" s="80">
        <v>2025274</v>
      </c>
      <c r="C657" s="8" t="s">
        <v>502</v>
      </c>
      <c r="D657" s="81">
        <f t="shared" si="442"/>
        <v>20</v>
      </c>
      <c r="E657" s="82">
        <f t="shared" si="443"/>
        <v>0</v>
      </c>
      <c r="F657" s="83">
        <f t="shared" si="435"/>
        <v>5</v>
      </c>
      <c r="G657" s="84" t="str">
        <f t="shared" si="436"/>
        <v>紧凑</v>
      </c>
      <c r="H657" s="85" t="s">
        <v>10</v>
      </c>
      <c r="I657" s="85" t="s">
        <v>11</v>
      </c>
      <c r="J657" s="85" t="s">
        <v>12</v>
      </c>
      <c r="K657" s="85" t="s">
        <v>13</v>
      </c>
      <c r="L657" s="86">
        <f>MAX(MID(C657,{1,2,3},1)*1)-MIN(MID(C657,{1,2,3},1)*1)</f>
        <v>4</v>
      </c>
      <c r="M657" s="87">
        <v>0</v>
      </c>
      <c r="N657" s="87">
        <v>1</v>
      </c>
      <c r="O657" s="87">
        <v>2</v>
      </c>
      <c r="P657" s="87">
        <v>3</v>
      </c>
      <c r="Q657" s="87">
        <v>4</v>
      </c>
      <c r="R657" s="87">
        <v>5</v>
      </c>
      <c r="S657" s="87">
        <v>6</v>
      </c>
      <c r="T657" s="87">
        <v>7</v>
      </c>
      <c r="U657" s="87">
        <v>8</v>
      </c>
      <c r="V657" s="87">
        <v>9</v>
      </c>
      <c r="W657" s="88">
        <f t="shared" si="444"/>
        <v>4</v>
      </c>
      <c r="X657" s="88">
        <f t="shared" si="445"/>
        <v>1</v>
      </c>
      <c r="Y657" s="88">
        <f t="shared" si="446"/>
        <v>3</v>
      </c>
      <c r="Z657" s="89">
        <f t="shared" si="418"/>
        <v>8</v>
      </c>
      <c r="AA657" s="17" t="str">
        <f>_xlfn.TEXTJOIN(", ",TRUE,ABS(MID(C657,{1,1,2},1)-MID(C657,{2,3,3},1)))</f>
        <v>4, 1, 3</v>
      </c>
      <c r="AB657" s="90">
        <v>0</v>
      </c>
      <c r="AC657" s="90">
        <v>1</v>
      </c>
      <c r="AD657" s="90">
        <v>2</v>
      </c>
      <c r="AE657" s="90">
        <v>3</v>
      </c>
      <c r="AF657" s="90">
        <v>4</v>
      </c>
      <c r="AG657" s="90">
        <v>5</v>
      </c>
      <c r="AH657" s="90">
        <v>6</v>
      </c>
      <c r="AI657" s="90">
        <v>7</v>
      </c>
      <c r="AJ657" s="90">
        <v>8</v>
      </c>
      <c r="AK657" s="90">
        <v>9</v>
      </c>
      <c r="AL657" s="91">
        <v>0</v>
      </c>
      <c r="AM657" s="91">
        <v>1</v>
      </c>
      <c r="AN657" s="91">
        <v>2</v>
      </c>
      <c r="AO657" s="91">
        <v>3</v>
      </c>
      <c r="AP657" s="91">
        <v>4</v>
      </c>
      <c r="AQ657" s="91">
        <v>5</v>
      </c>
      <c r="AR657" s="91">
        <v>6</v>
      </c>
      <c r="AS657" s="91">
        <v>7</v>
      </c>
      <c r="AT657" s="91">
        <v>8</v>
      </c>
      <c r="AU657" s="91">
        <v>9</v>
      </c>
      <c r="AV657" s="92">
        <v>0</v>
      </c>
      <c r="AW657" s="92">
        <v>1</v>
      </c>
      <c r="AX657" s="92">
        <v>2</v>
      </c>
      <c r="AY657" s="92">
        <v>3</v>
      </c>
      <c r="AZ657" s="92">
        <v>4</v>
      </c>
      <c r="BA657" s="92">
        <v>5</v>
      </c>
      <c r="BB657" s="92">
        <v>6</v>
      </c>
      <c r="BC657" s="92">
        <v>7</v>
      </c>
      <c r="BD657" s="92">
        <v>8</v>
      </c>
      <c r="BE657" s="92">
        <v>9</v>
      </c>
      <c r="BF657" s="93">
        <v>0</v>
      </c>
      <c r="BG657" s="93">
        <v>1</v>
      </c>
      <c r="BH657" s="93">
        <v>2</v>
      </c>
      <c r="BI657" s="93">
        <v>3</v>
      </c>
      <c r="BJ657" s="93">
        <v>4</v>
      </c>
      <c r="BK657" s="93">
        <v>5</v>
      </c>
      <c r="BL657" s="93">
        <v>6</v>
      </c>
      <c r="BM657" s="93">
        <v>7</v>
      </c>
      <c r="BN657" s="93">
        <v>8</v>
      </c>
      <c r="BO657" s="93">
        <v>9</v>
      </c>
      <c r="BP657" s="94" t="str">
        <f t="shared" si="419"/>
        <v>紧凑型</v>
      </c>
      <c r="BQ657" s="15">
        <f t="shared" si="416"/>
        <v>1</v>
      </c>
      <c r="BR657" s="15">
        <f t="shared" si="417"/>
        <v>4</v>
      </c>
      <c r="BS657" s="20">
        <f t="shared" si="421"/>
        <v>4</v>
      </c>
      <c r="BT657" s="21" t="str">
        <f t="shared" si="422"/>
        <v/>
      </c>
      <c r="BU657" s="21" t="str">
        <f t="array" ref="BU657">_xlfn.TEXTJOIN("",TRUE,IF(ISERROR(FIND(ROW($1:$168)-1,BS657&amp;BT657)),ROW($1:$168)-1,""))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57" s="22" t="str">
        <f t="shared" si="423"/>
        <v>复中中</v>
      </c>
      <c r="BW657" s="23">
        <f t="shared" si="434"/>
        <v>1</v>
      </c>
      <c r="BX657" s="23">
        <f t="shared" si="432"/>
        <v>1</v>
      </c>
      <c r="BY657" s="23" t="str">
        <f t="array" ref="BY657">_xlfn.TEXTJOIN("",TRUE,IF(ISERROR(FIND(ROW($1:$168)-1,BW657&amp;BX657)),ROW($1:$168)-1,""))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57" s="22" t="str">
        <f t="shared" si="424"/>
        <v>复隔中</v>
      </c>
      <c r="CA657" s="24" t="str">
        <f t="shared" si="425"/>
        <v/>
      </c>
      <c r="CB657" s="24">
        <f t="shared" si="433"/>
        <v>3</v>
      </c>
      <c r="CC657" s="24" t="str">
        <f t="array" ref="CC657">_xlfn.TEXTJOIN("",TRUE,IF(ISERROR(FIND(ROW($1:$168)-1,CA657&amp;CB657)),ROW($1:$168)-1,""))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57" s="22" t="str">
        <f t="shared" si="426"/>
        <v>中隔中</v>
      </c>
      <c r="CE657" s="25" t="str">
        <f t="shared" si="420"/>
        <v>35</v>
      </c>
      <c r="CF657" s="26" t="str">
        <f t="array" ref="CF657">_xlfn.TEXTJOIN("",TRUE,IF(ISNUMBER(FIND(MID(CE656&amp;W656,ROW($1:$162),1),CE657&amp;W657)),MID(CE656&amp;W656,ROW($1:$162),1),""))</f>
        <v>354</v>
      </c>
      <c r="CG657" s="27" t="str">
        <f t="array" ref="CG657">_xlfn.TEXTJOIN("",TRUE,IF(ISERROR(FIND(ROW($1:$168)-1,CE657&amp;CF657)),ROW($1:$168)-1,""))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57" s="28" t="str">
        <f t="shared" si="427"/>
        <v>邻传孤</v>
      </c>
      <c r="CI657" s="29" t="str">
        <f t="shared" si="428"/>
        <v>02</v>
      </c>
      <c r="CJ657" s="29" t="str">
        <f t="array" ref="CJ657">_xlfn.TEXTJOIN("",TRUE,IF(ISNUMBER(FIND(MID(CI656&amp;X656,ROW($1:$162),1),CI657&amp;X657)),MID(CI656&amp;X656,ROW($1:$162),1),""))</f>
        <v/>
      </c>
      <c r="CK657" s="29" t="str">
        <f t="array" ref="CK657">_xlfn.TEXTJOIN("",TRUE,IF(ISERROR(FIND(ROW($1:$168)-1,CI657&amp;CJ657)),ROW($1:$168)-1,""))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57" s="19" t="str">
        <f t="shared" si="429"/>
        <v>邻孤孤</v>
      </c>
      <c r="CM657" s="24" t="str">
        <f t="shared" si="430"/>
        <v>24</v>
      </c>
      <c r="CN657" s="24" t="str">
        <f t="array" ref="CN657">_xlfn.TEXTJOIN("",TRUE,IF(ISNUMBER(FIND(MID(CM656&amp;Y656,ROW($1:$162),1),CM657&amp;Y657)),MID(CM656&amp;Y656,ROW($1:$162),1),""))</f>
        <v>2</v>
      </c>
      <c r="CO657" s="24" t="str">
        <f t="array" ref="CO657">_xlfn.TEXTJOIN("",TRUE,IF(ISERROR(FIND(ROW($1:$168)-1,CM657&amp;CN657)),ROW($1:$168)-1,""))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57" s="30" t="str">
        <f t="shared" si="431"/>
        <v>邻传孤</v>
      </c>
    </row>
    <row r="658" spans="1:94">
      <c r="A658" s="15">
        <v>658</v>
      </c>
      <c r="B658" s="80">
        <v>2025275</v>
      </c>
      <c r="C658" s="8" t="s">
        <v>424</v>
      </c>
      <c r="D658" s="81">
        <f t="shared" si="442"/>
        <v>5</v>
      </c>
      <c r="E658" s="82">
        <f t="shared" si="443"/>
        <v>5</v>
      </c>
      <c r="F658" s="83">
        <f t="shared" si="435"/>
        <v>1.66666666666667</v>
      </c>
      <c r="G658" s="84" t="str">
        <f t="shared" si="436"/>
        <v>松散</v>
      </c>
      <c r="H658" s="85" t="s">
        <v>10</v>
      </c>
      <c r="I658" s="85" t="s">
        <v>11</v>
      </c>
      <c r="J658" s="85" t="s">
        <v>12</v>
      </c>
      <c r="K658" s="85" t="s">
        <v>13</v>
      </c>
      <c r="L658" s="86">
        <f>MAX(MID(C658,{1,2,3},1)*1)-MIN(MID(C658,{1,2,3},1)*1)</f>
        <v>3</v>
      </c>
      <c r="M658" s="87">
        <v>0</v>
      </c>
      <c r="N658" s="87">
        <v>1</v>
      </c>
      <c r="O658" s="87">
        <v>2</v>
      </c>
      <c r="P658" s="87">
        <v>3</v>
      </c>
      <c r="Q658" s="87">
        <v>4</v>
      </c>
      <c r="R658" s="87">
        <v>5</v>
      </c>
      <c r="S658" s="87">
        <v>6</v>
      </c>
      <c r="T658" s="87">
        <v>7</v>
      </c>
      <c r="U658" s="87">
        <v>8</v>
      </c>
      <c r="V658" s="87">
        <v>9</v>
      </c>
      <c r="W658" s="88">
        <f t="shared" si="444"/>
        <v>2</v>
      </c>
      <c r="X658" s="88">
        <f t="shared" si="445"/>
        <v>1</v>
      </c>
      <c r="Y658" s="88">
        <f t="shared" si="446"/>
        <v>3</v>
      </c>
      <c r="Z658" s="89">
        <f t="shared" si="418"/>
        <v>6</v>
      </c>
      <c r="AA658" s="17" t="str">
        <f>_xlfn.TEXTJOIN(", ",TRUE,ABS(MID(C658,{1,1,2},1)-MID(C658,{2,3,3},1)))</f>
        <v>2, 1, 3</v>
      </c>
      <c r="AB658" s="90">
        <v>0</v>
      </c>
      <c r="AC658" s="90">
        <v>1</v>
      </c>
      <c r="AD658" s="90">
        <v>2</v>
      </c>
      <c r="AE658" s="90">
        <v>3</v>
      </c>
      <c r="AF658" s="90">
        <v>4</v>
      </c>
      <c r="AG658" s="90">
        <v>5</v>
      </c>
      <c r="AH658" s="90">
        <v>6</v>
      </c>
      <c r="AI658" s="90">
        <v>7</v>
      </c>
      <c r="AJ658" s="90">
        <v>8</v>
      </c>
      <c r="AK658" s="90">
        <v>9</v>
      </c>
      <c r="AL658" s="91">
        <v>0</v>
      </c>
      <c r="AM658" s="91">
        <v>1</v>
      </c>
      <c r="AN658" s="91">
        <v>2</v>
      </c>
      <c r="AO658" s="91">
        <v>3</v>
      </c>
      <c r="AP658" s="91">
        <v>4</v>
      </c>
      <c r="AQ658" s="91">
        <v>5</v>
      </c>
      <c r="AR658" s="91">
        <v>6</v>
      </c>
      <c r="AS658" s="91">
        <v>7</v>
      </c>
      <c r="AT658" s="91">
        <v>8</v>
      </c>
      <c r="AU658" s="91">
        <v>9</v>
      </c>
      <c r="AV658" s="92">
        <v>0</v>
      </c>
      <c r="AW658" s="92">
        <v>1</v>
      </c>
      <c r="AX658" s="92">
        <v>2</v>
      </c>
      <c r="AY658" s="92">
        <v>3</v>
      </c>
      <c r="AZ658" s="92">
        <v>4</v>
      </c>
      <c r="BA658" s="92">
        <v>5</v>
      </c>
      <c r="BB658" s="92">
        <v>6</v>
      </c>
      <c r="BC658" s="92">
        <v>7</v>
      </c>
      <c r="BD658" s="92">
        <v>8</v>
      </c>
      <c r="BE658" s="92">
        <v>9</v>
      </c>
      <c r="BF658" s="93">
        <v>0</v>
      </c>
      <c r="BG658" s="93">
        <v>1</v>
      </c>
      <c r="BH658" s="93">
        <v>2</v>
      </c>
      <c r="BI658" s="93">
        <v>3</v>
      </c>
      <c r="BJ658" s="93">
        <v>4</v>
      </c>
      <c r="BK658" s="93">
        <v>5</v>
      </c>
      <c r="BL658" s="93">
        <v>6</v>
      </c>
      <c r="BM658" s="93">
        <v>7</v>
      </c>
      <c r="BN658" s="93">
        <v>8</v>
      </c>
      <c r="BO658" s="93">
        <v>9</v>
      </c>
      <c r="BP658" s="94" t="str">
        <f t="shared" si="419"/>
        <v>紧凑型</v>
      </c>
      <c r="BQ658" s="15">
        <f t="shared" si="416"/>
        <v>1</v>
      </c>
      <c r="BR658" s="15">
        <f t="shared" si="417"/>
        <v>3</v>
      </c>
      <c r="BS658" s="20" t="str">
        <f t="shared" si="421"/>
        <v/>
      </c>
      <c r="BT658" s="21" t="str">
        <f t="shared" si="422"/>
        <v/>
      </c>
      <c r="BU658" s="21" t="str">
        <f t="array" ref="BU658">_xlfn.TEXTJOIN("",TRUE,IF(ISERROR(FIND(ROW($1:$168)-1,BS658&amp;BT658)),ROW($1:$168)-1,""))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58" s="22" t="str">
        <f t="shared" si="423"/>
        <v>中中中</v>
      </c>
      <c r="BW658" s="23">
        <f t="shared" si="434"/>
        <v>1</v>
      </c>
      <c r="BX658" s="23">
        <f t="shared" si="432"/>
        <v>1</v>
      </c>
      <c r="BY658" s="23" t="str">
        <f t="array" ref="BY658">_xlfn.TEXTJOIN("",TRUE,IF(ISERROR(FIND(ROW($1:$168)-1,BW658&amp;BX658)),ROW($1:$168)-1,""))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58" s="22" t="str">
        <f t="shared" si="424"/>
        <v>复隔中</v>
      </c>
      <c r="CA658" s="24">
        <f t="shared" si="425"/>
        <v>3</v>
      </c>
      <c r="CB658" s="24" t="str">
        <f t="shared" si="433"/>
        <v/>
      </c>
      <c r="CC658" s="24" t="str">
        <f t="array" ref="CC658">_xlfn.TEXTJOIN("",TRUE,IF(ISERROR(FIND(ROW($1:$168)-1,CA658&amp;CB658)),ROW($1:$168)-1,""))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58" s="22" t="str">
        <f t="shared" si="426"/>
        <v>复中中</v>
      </c>
      <c r="CE658" s="25" t="str">
        <f t="shared" si="420"/>
        <v>13</v>
      </c>
      <c r="CF658" s="26" t="str">
        <f t="array" ref="CF658">_xlfn.TEXTJOIN("",TRUE,IF(ISNUMBER(FIND(MID(CE657&amp;W657,ROW($1:$162),1),CE658&amp;W658)),MID(CE657&amp;W657,ROW($1:$162),1),""))</f>
        <v>3</v>
      </c>
      <c r="CG658" s="27" t="str">
        <f t="array" ref="CG658">_xlfn.TEXTJOIN("",TRUE,IF(ISERROR(FIND(ROW($1:$168)-1,CE658&amp;CF658)),ROW($1:$168)-1,""))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658" s="28" t="str">
        <f t="shared" si="427"/>
        <v>邻传孤</v>
      </c>
      <c r="CI658" s="29" t="str">
        <f t="shared" si="428"/>
        <v>02</v>
      </c>
      <c r="CJ658" s="29" t="str">
        <f t="array" ref="CJ658">_xlfn.TEXTJOIN("",TRUE,IF(ISNUMBER(FIND(MID(CI657&amp;X657,ROW($1:$162),1),CI658&amp;X658)),MID(CI657&amp;X657,ROW($1:$162),1),""))</f>
        <v>021</v>
      </c>
      <c r="CK658" s="29" t="str">
        <f t="array" ref="CK658">_xlfn.TEXTJOIN("",TRUE,IF(ISERROR(FIND(ROW($1:$168)-1,CI658&amp;CJ658)),ROW($1:$168)-1,""))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58" s="19" t="str">
        <f t="shared" si="429"/>
        <v>邻传孤</v>
      </c>
      <c r="CM658" s="24" t="str">
        <f t="shared" si="430"/>
        <v>24</v>
      </c>
      <c r="CN658" s="24" t="str">
        <f t="array" ref="CN658">_xlfn.TEXTJOIN("",TRUE,IF(ISNUMBER(FIND(MID(CM657&amp;Y657,ROW($1:$162),1),CM658&amp;Y658)),MID(CM657&amp;Y657,ROW($1:$162),1),""))</f>
        <v>243</v>
      </c>
      <c r="CO658" s="24" t="str">
        <f t="array" ref="CO658">_xlfn.TEXTJOIN("",TRUE,IF(ISERROR(FIND(ROW($1:$168)-1,CM658&amp;CN658)),ROW($1:$168)-1,""))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58" s="30" t="str">
        <f t="shared" si="431"/>
        <v>邻传孤</v>
      </c>
    </row>
    <row r="659" spans="1:94">
      <c r="A659" s="15">
        <v>659</v>
      </c>
      <c r="B659" s="80">
        <v>2025276</v>
      </c>
      <c r="C659" s="8" t="s">
        <v>404</v>
      </c>
      <c r="D659" s="81">
        <f t="shared" si="442"/>
        <v>12</v>
      </c>
      <c r="E659" s="82">
        <f t="shared" si="443"/>
        <v>2</v>
      </c>
      <c r="F659" s="83">
        <f t="shared" si="435"/>
        <v>2</v>
      </c>
      <c r="G659" s="84" t="str">
        <f t="shared" si="436"/>
        <v>标准</v>
      </c>
      <c r="H659" s="85" t="s">
        <v>10</v>
      </c>
      <c r="I659" s="85" t="s">
        <v>11</v>
      </c>
      <c r="J659" s="85" t="s">
        <v>12</v>
      </c>
      <c r="K659" s="85" t="s">
        <v>13</v>
      </c>
      <c r="L659" s="86">
        <f>MAX(MID(C659,{1,2,3},1)*1)-MIN(MID(C659,{1,2,3},1)*1)</f>
        <v>6</v>
      </c>
      <c r="M659" s="87">
        <v>0</v>
      </c>
      <c r="N659" s="87">
        <v>1</v>
      </c>
      <c r="O659" s="87">
        <v>2</v>
      </c>
      <c r="P659" s="87">
        <v>3</v>
      </c>
      <c r="Q659" s="87">
        <v>4</v>
      </c>
      <c r="R659" s="87">
        <v>5</v>
      </c>
      <c r="S659" s="87">
        <v>6</v>
      </c>
      <c r="T659" s="87">
        <v>7</v>
      </c>
      <c r="U659" s="87">
        <v>8</v>
      </c>
      <c r="V659" s="87">
        <v>9</v>
      </c>
      <c r="W659" s="88">
        <f t="shared" si="444"/>
        <v>6</v>
      </c>
      <c r="X659" s="88">
        <f t="shared" si="445"/>
        <v>3</v>
      </c>
      <c r="Y659" s="88">
        <f t="shared" si="446"/>
        <v>3</v>
      </c>
      <c r="Z659" s="89">
        <f t="shared" si="418"/>
        <v>12</v>
      </c>
      <c r="AA659" s="17" t="str">
        <f>_xlfn.TEXTJOIN(", ",TRUE,ABS(MID(C659,{1,1,2},1)-MID(C659,{2,3,3},1)))</f>
        <v>6, 3, 3</v>
      </c>
      <c r="AB659" s="90">
        <v>0</v>
      </c>
      <c r="AC659" s="90">
        <v>1</v>
      </c>
      <c r="AD659" s="90">
        <v>2</v>
      </c>
      <c r="AE659" s="90">
        <v>3</v>
      </c>
      <c r="AF659" s="90">
        <v>4</v>
      </c>
      <c r="AG659" s="90">
        <v>5</v>
      </c>
      <c r="AH659" s="90">
        <v>6</v>
      </c>
      <c r="AI659" s="90">
        <v>7</v>
      </c>
      <c r="AJ659" s="90">
        <v>8</v>
      </c>
      <c r="AK659" s="90">
        <v>9</v>
      </c>
      <c r="AL659" s="91">
        <v>0</v>
      </c>
      <c r="AM659" s="91">
        <v>1</v>
      </c>
      <c r="AN659" s="91">
        <v>2</v>
      </c>
      <c r="AO659" s="91">
        <v>3</v>
      </c>
      <c r="AP659" s="91">
        <v>4</v>
      </c>
      <c r="AQ659" s="91">
        <v>5</v>
      </c>
      <c r="AR659" s="91">
        <v>6</v>
      </c>
      <c r="AS659" s="91">
        <v>7</v>
      </c>
      <c r="AT659" s="91">
        <v>8</v>
      </c>
      <c r="AU659" s="91">
        <v>9</v>
      </c>
      <c r="AV659" s="92">
        <v>0</v>
      </c>
      <c r="AW659" s="92">
        <v>1</v>
      </c>
      <c r="AX659" s="92">
        <v>2</v>
      </c>
      <c r="AY659" s="92">
        <v>3</v>
      </c>
      <c r="AZ659" s="92">
        <v>4</v>
      </c>
      <c r="BA659" s="92">
        <v>5</v>
      </c>
      <c r="BB659" s="92">
        <v>6</v>
      </c>
      <c r="BC659" s="92">
        <v>7</v>
      </c>
      <c r="BD659" s="92">
        <v>8</v>
      </c>
      <c r="BE659" s="92">
        <v>9</v>
      </c>
      <c r="BF659" s="93">
        <v>0</v>
      </c>
      <c r="BG659" s="93">
        <v>1</v>
      </c>
      <c r="BH659" s="93">
        <v>2</v>
      </c>
      <c r="BI659" s="93">
        <v>3</v>
      </c>
      <c r="BJ659" s="93">
        <v>4</v>
      </c>
      <c r="BK659" s="93">
        <v>5</v>
      </c>
      <c r="BL659" s="93">
        <v>6</v>
      </c>
      <c r="BM659" s="93">
        <v>7</v>
      </c>
      <c r="BN659" s="93">
        <v>8</v>
      </c>
      <c r="BO659" s="93">
        <v>9</v>
      </c>
      <c r="BP659" s="94" t="str">
        <f t="shared" si="419"/>
        <v>松散型</v>
      </c>
      <c r="BQ659" s="15">
        <f t="shared" si="416"/>
        <v>3</v>
      </c>
      <c r="BR659" s="15">
        <f t="shared" si="417"/>
        <v>6</v>
      </c>
      <c r="BS659" s="20" t="str">
        <f t="shared" si="421"/>
        <v/>
      </c>
      <c r="BT659" s="21" t="str">
        <f t="shared" si="422"/>
        <v/>
      </c>
      <c r="BU659" s="21" t="str">
        <f t="array" ref="BU659">_xlfn.TEXTJOIN("",TRUE,IF(ISERROR(FIND(ROW($1:$168)-1,BS659&amp;BT659)),ROW($1:$168)-1,""))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59" s="22" t="str">
        <f t="shared" si="423"/>
        <v>中中中</v>
      </c>
      <c r="BW659" s="23">
        <f t="shared" si="434"/>
        <v>3</v>
      </c>
      <c r="BX659" s="23">
        <f t="shared" si="432"/>
        <v>3</v>
      </c>
      <c r="BY659" s="23" t="str">
        <f t="array" ref="BY659">_xlfn.TEXTJOIN("",TRUE,IF(ISERROR(FIND(ROW($1:$168)-1,BW659&amp;BX659)),ROW($1:$168)-1,""))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59" s="22" t="str">
        <f t="shared" si="424"/>
        <v>复隔中</v>
      </c>
      <c r="CA659" s="24">
        <f t="shared" si="425"/>
        <v>3</v>
      </c>
      <c r="CB659" s="24">
        <f t="shared" si="433"/>
        <v>3</v>
      </c>
      <c r="CC659" s="24" t="str">
        <f t="array" ref="CC659">_xlfn.TEXTJOIN("",TRUE,IF(ISERROR(FIND(ROW($1:$168)-1,CA659&amp;CB659)),ROW($1:$168)-1,""))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59" s="22" t="str">
        <f t="shared" si="426"/>
        <v>复隔中</v>
      </c>
      <c r="CE659" s="25" t="str">
        <f t="shared" si="420"/>
        <v>57</v>
      </c>
      <c r="CF659" s="26" t="str">
        <f t="array" ref="CF659">_xlfn.TEXTJOIN("",TRUE,IF(ISNUMBER(FIND(MID(CE658&amp;W658,ROW($1:$162),1),CE659&amp;W659)),MID(CE658&amp;W658,ROW($1:$162),1),""))</f>
        <v/>
      </c>
      <c r="CG659" s="27" t="str">
        <f t="array" ref="CG659">_xlfn.TEXTJOIN("",TRUE,IF(ISERROR(FIND(ROW($1:$168)-1,CE659&amp;CF659)),ROW($1:$168)-1,""))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59" s="28" t="str">
        <f t="shared" si="427"/>
        <v>邻孤孤</v>
      </c>
      <c r="CI659" s="29" t="str">
        <f t="shared" si="428"/>
        <v>24</v>
      </c>
      <c r="CJ659" s="29" t="str">
        <f t="array" ref="CJ659">_xlfn.TEXTJOIN("",TRUE,IF(ISNUMBER(FIND(MID(CI658&amp;X658,ROW($1:$162),1),CI659&amp;X659)),MID(CI658&amp;X658,ROW($1:$162),1),""))</f>
        <v>2</v>
      </c>
      <c r="CK659" s="29" t="str">
        <f t="array" ref="CK659">_xlfn.TEXTJOIN("",TRUE,IF(ISERROR(FIND(ROW($1:$168)-1,CI659&amp;CJ659)),ROW($1:$168)-1,""))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59" s="19" t="str">
        <f t="shared" si="429"/>
        <v>邻传孤</v>
      </c>
      <c r="CM659" s="24" t="str">
        <f t="shared" si="430"/>
        <v>24</v>
      </c>
      <c r="CN659" s="24" t="str">
        <f t="array" ref="CN659">_xlfn.TEXTJOIN("",TRUE,IF(ISNUMBER(FIND(MID(CM658&amp;Y658,ROW($1:$162),1),CM659&amp;Y659)),MID(CM658&amp;Y658,ROW($1:$162),1),""))</f>
        <v>243</v>
      </c>
      <c r="CO659" s="24" t="str">
        <f t="array" ref="CO659">_xlfn.TEXTJOIN("",TRUE,IF(ISERROR(FIND(ROW($1:$168)-1,CM659&amp;CN659)),ROW($1:$168)-1,""))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59" s="30" t="str">
        <f t="shared" si="431"/>
        <v>邻传孤</v>
      </c>
    </row>
    <row r="660" spans="1:94">
      <c r="A660" s="15">
        <v>660</v>
      </c>
      <c r="B660" s="80">
        <v>2025277</v>
      </c>
      <c r="C660" s="8" t="s">
        <v>503</v>
      </c>
      <c r="D660" s="81">
        <f t="shared" si="442"/>
        <v>7</v>
      </c>
      <c r="E660" s="82">
        <f t="shared" si="443"/>
        <v>7</v>
      </c>
      <c r="F660" s="83">
        <f t="shared" si="435"/>
        <v>1.16666666666667</v>
      </c>
      <c r="G660" s="84" t="str">
        <f t="shared" si="436"/>
        <v>松散</v>
      </c>
      <c r="H660" s="85" t="s">
        <v>10</v>
      </c>
      <c r="I660" s="85" t="s">
        <v>11</v>
      </c>
      <c r="J660" s="85" t="s">
        <v>12</v>
      </c>
      <c r="K660" s="85" t="s">
        <v>13</v>
      </c>
      <c r="L660" s="86">
        <f>MAX(MID(C660,{1,2,3},1)*1)-MIN(MID(C660,{1,2,3},1)*1)</f>
        <v>6</v>
      </c>
      <c r="M660" s="87">
        <v>0</v>
      </c>
      <c r="N660" s="87">
        <v>1</v>
      </c>
      <c r="O660" s="87">
        <v>2</v>
      </c>
      <c r="P660" s="87">
        <v>3</v>
      </c>
      <c r="Q660" s="87">
        <v>4</v>
      </c>
      <c r="R660" s="87">
        <v>5</v>
      </c>
      <c r="S660" s="87">
        <v>6</v>
      </c>
      <c r="T660" s="87">
        <v>7</v>
      </c>
      <c r="U660" s="87">
        <v>8</v>
      </c>
      <c r="V660" s="87">
        <v>9</v>
      </c>
      <c r="W660" s="88">
        <f t="shared" si="444"/>
        <v>6</v>
      </c>
      <c r="X660" s="88">
        <f t="shared" si="445"/>
        <v>1</v>
      </c>
      <c r="Y660" s="88">
        <f t="shared" si="446"/>
        <v>5</v>
      </c>
      <c r="Z660" s="89">
        <f t="shared" si="418"/>
        <v>12</v>
      </c>
      <c r="AA660" s="17" t="str">
        <f>_xlfn.TEXTJOIN(", ",TRUE,ABS(MID(C660,{1,1,2},1)-MID(C660,{2,3,3},1)))</f>
        <v>6, 1, 5</v>
      </c>
      <c r="AB660" s="90">
        <v>0</v>
      </c>
      <c r="AC660" s="90">
        <v>1</v>
      </c>
      <c r="AD660" s="90">
        <v>2</v>
      </c>
      <c r="AE660" s="90">
        <v>3</v>
      </c>
      <c r="AF660" s="90">
        <v>4</v>
      </c>
      <c r="AG660" s="90">
        <v>5</v>
      </c>
      <c r="AH660" s="90">
        <v>6</v>
      </c>
      <c r="AI660" s="90">
        <v>7</v>
      </c>
      <c r="AJ660" s="90">
        <v>8</v>
      </c>
      <c r="AK660" s="90">
        <v>9</v>
      </c>
      <c r="AL660" s="91">
        <v>0</v>
      </c>
      <c r="AM660" s="91">
        <v>1</v>
      </c>
      <c r="AN660" s="91">
        <v>2</v>
      </c>
      <c r="AO660" s="91">
        <v>3</v>
      </c>
      <c r="AP660" s="91">
        <v>4</v>
      </c>
      <c r="AQ660" s="91">
        <v>5</v>
      </c>
      <c r="AR660" s="91">
        <v>6</v>
      </c>
      <c r="AS660" s="91">
        <v>7</v>
      </c>
      <c r="AT660" s="91">
        <v>8</v>
      </c>
      <c r="AU660" s="91">
        <v>9</v>
      </c>
      <c r="AV660" s="92">
        <v>0</v>
      </c>
      <c r="AW660" s="92">
        <v>1</v>
      </c>
      <c r="AX660" s="92">
        <v>2</v>
      </c>
      <c r="AY660" s="92">
        <v>3</v>
      </c>
      <c r="AZ660" s="92">
        <v>4</v>
      </c>
      <c r="BA660" s="92">
        <v>5</v>
      </c>
      <c r="BB660" s="92">
        <v>6</v>
      </c>
      <c r="BC660" s="92">
        <v>7</v>
      </c>
      <c r="BD660" s="92">
        <v>8</v>
      </c>
      <c r="BE660" s="92">
        <v>9</v>
      </c>
      <c r="BF660" s="93">
        <v>0</v>
      </c>
      <c r="BG660" s="93">
        <v>1</v>
      </c>
      <c r="BH660" s="93">
        <v>2</v>
      </c>
      <c r="BI660" s="93">
        <v>3</v>
      </c>
      <c r="BJ660" s="93">
        <v>4</v>
      </c>
      <c r="BK660" s="93">
        <v>5</v>
      </c>
      <c r="BL660" s="93">
        <v>6</v>
      </c>
      <c r="BM660" s="93">
        <v>7</v>
      </c>
      <c r="BN660" s="93">
        <v>8</v>
      </c>
      <c r="BO660" s="93">
        <v>9</v>
      </c>
      <c r="BP660" s="94" t="str">
        <f t="shared" si="419"/>
        <v>松散型</v>
      </c>
      <c r="BQ660" s="15">
        <f t="shared" si="416"/>
        <v>1</v>
      </c>
      <c r="BR660" s="15">
        <f t="shared" si="417"/>
        <v>6</v>
      </c>
      <c r="BS660" s="20">
        <f t="shared" si="421"/>
        <v>6</v>
      </c>
      <c r="BT660" s="21" t="str">
        <f t="shared" si="422"/>
        <v/>
      </c>
      <c r="BU660" s="21" t="str">
        <f t="array" ref="BU660">_xlfn.TEXTJOIN("",TRUE,IF(ISERROR(FIND(ROW($1:$168)-1,BS660&amp;BT660)),ROW($1:$168)-1,""))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60" s="22" t="str">
        <f t="shared" si="423"/>
        <v>复中中</v>
      </c>
      <c r="BW660" s="23" t="str">
        <f t="shared" si="434"/>
        <v/>
      </c>
      <c r="BX660" s="23">
        <f t="shared" si="432"/>
        <v>1</v>
      </c>
      <c r="BY660" s="23" t="str">
        <f t="array" ref="BY660">_xlfn.TEXTJOIN("",TRUE,IF(ISERROR(FIND(ROW($1:$168)-1,BW660&amp;BX660)),ROW($1:$168)-1,""))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60" s="22" t="str">
        <f t="shared" si="424"/>
        <v>中隔中</v>
      </c>
      <c r="CA660" s="24" t="str">
        <f t="shared" si="425"/>
        <v/>
      </c>
      <c r="CB660" s="24" t="str">
        <f t="shared" si="433"/>
        <v/>
      </c>
      <c r="CC660" s="24" t="str">
        <f t="array" ref="CC660">_xlfn.TEXTJOIN("",TRUE,IF(ISERROR(FIND(ROW($1:$168)-1,CA660&amp;CB660)),ROW($1:$168)-1,""))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60" s="22" t="str">
        <f t="shared" si="426"/>
        <v>中中中</v>
      </c>
      <c r="CE660" s="25" t="str">
        <f t="shared" si="420"/>
        <v>57</v>
      </c>
      <c r="CF660" s="26" t="str">
        <f t="array" ref="CF660">_xlfn.TEXTJOIN("",TRUE,IF(ISNUMBER(FIND(MID(CE659&amp;W659,ROW($1:$162),1),CE660&amp;W660)),MID(CE659&amp;W659,ROW($1:$162),1),""))</f>
        <v>576</v>
      </c>
      <c r="CG660" s="27" t="str">
        <f t="array" ref="CG660">_xlfn.TEXTJOIN("",TRUE,IF(ISERROR(FIND(ROW($1:$168)-1,CE660&amp;CF660)),ROW($1:$168)-1,""))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60" s="28" t="str">
        <f t="shared" si="427"/>
        <v>邻传孤</v>
      </c>
      <c r="CI660" s="29" t="str">
        <f t="shared" si="428"/>
        <v>02</v>
      </c>
      <c r="CJ660" s="29" t="str">
        <f t="array" ref="CJ660">_xlfn.TEXTJOIN("",TRUE,IF(ISNUMBER(FIND(MID(CI659&amp;X659,ROW($1:$162),1),CI660&amp;X660)),MID(CI659&amp;X659,ROW($1:$162),1),""))</f>
        <v>2</v>
      </c>
      <c r="CK660" s="29" t="str">
        <f t="array" ref="CK660">_xlfn.TEXTJOIN("",TRUE,IF(ISERROR(FIND(ROW($1:$168)-1,CI660&amp;CJ660)),ROW($1:$168)-1,""))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60" s="19" t="str">
        <f t="shared" si="429"/>
        <v>邻传孤</v>
      </c>
      <c r="CM660" s="24" t="str">
        <f t="shared" si="430"/>
        <v>46</v>
      </c>
      <c r="CN660" s="24" t="str">
        <f t="array" ref="CN660">_xlfn.TEXTJOIN("",TRUE,IF(ISNUMBER(FIND(MID(CM659&amp;Y659,ROW($1:$162),1),CM660&amp;Y660)),MID(CM659&amp;Y659,ROW($1:$162),1),""))</f>
        <v>4</v>
      </c>
      <c r="CO660" s="24" t="str">
        <f t="array" ref="CO660">_xlfn.TEXTJOIN("",TRUE,IF(ISERROR(FIND(ROW($1:$168)-1,CM660&amp;CN660)),ROW($1:$168)-1,""))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60" s="30" t="str">
        <f t="shared" si="431"/>
        <v>邻传孤</v>
      </c>
    </row>
    <row r="661" spans="1:94">
      <c r="A661" s="15">
        <v>661</v>
      </c>
      <c r="B661" s="80">
        <v>2025278</v>
      </c>
      <c r="C661" s="8" t="s">
        <v>504</v>
      </c>
      <c r="D661" s="81">
        <f t="shared" si="442"/>
        <v>17</v>
      </c>
      <c r="E661" s="82">
        <f t="shared" si="443"/>
        <v>7</v>
      </c>
      <c r="F661" s="83">
        <f t="shared" si="435"/>
        <v>2.42857142857143</v>
      </c>
      <c r="G661" s="84" t="str">
        <f t="shared" si="436"/>
        <v>标准</v>
      </c>
      <c r="H661" s="85" t="s">
        <v>10</v>
      </c>
      <c r="I661" s="85" t="s">
        <v>11</v>
      </c>
      <c r="J661" s="85" t="s">
        <v>12</v>
      </c>
      <c r="K661" s="85" t="s">
        <v>13</v>
      </c>
      <c r="L661" s="86">
        <f>MAX(MID(C661,{1,2,3},1)*1)-MIN(MID(C661,{1,2,3},1)*1)</f>
        <v>7</v>
      </c>
      <c r="M661" s="87">
        <v>0</v>
      </c>
      <c r="N661" s="87">
        <v>1</v>
      </c>
      <c r="O661" s="87">
        <v>2</v>
      </c>
      <c r="P661" s="87">
        <v>3</v>
      </c>
      <c r="Q661" s="87">
        <v>4</v>
      </c>
      <c r="R661" s="87">
        <v>5</v>
      </c>
      <c r="S661" s="87">
        <v>6</v>
      </c>
      <c r="T661" s="87">
        <v>7</v>
      </c>
      <c r="U661" s="87">
        <v>8</v>
      </c>
      <c r="V661" s="87">
        <v>9</v>
      </c>
      <c r="W661" s="88">
        <f t="shared" si="444"/>
        <v>4</v>
      </c>
      <c r="X661" s="88">
        <f t="shared" si="445"/>
        <v>3</v>
      </c>
      <c r="Y661" s="88">
        <f t="shared" si="446"/>
        <v>7</v>
      </c>
      <c r="Z661" s="89">
        <f t="shared" si="418"/>
        <v>14</v>
      </c>
      <c r="AA661" s="17" t="str">
        <f>_xlfn.TEXTJOIN(", ",TRUE,ABS(MID(C661,{1,1,2},1)-MID(C661,{2,3,3},1)))</f>
        <v>4, 3, 7</v>
      </c>
      <c r="AB661" s="90">
        <v>0</v>
      </c>
      <c r="AC661" s="90">
        <v>1</v>
      </c>
      <c r="AD661" s="90">
        <v>2</v>
      </c>
      <c r="AE661" s="90">
        <v>3</v>
      </c>
      <c r="AF661" s="90">
        <v>4</v>
      </c>
      <c r="AG661" s="90">
        <v>5</v>
      </c>
      <c r="AH661" s="90">
        <v>6</v>
      </c>
      <c r="AI661" s="90">
        <v>7</v>
      </c>
      <c r="AJ661" s="90">
        <v>8</v>
      </c>
      <c r="AK661" s="90">
        <v>9</v>
      </c>
      <c r="AL661" s="91">
        <v>0</v>
      </c>
      <c r="AM661" s="91">
        <v>1</v>
      </c>
      <c r="AN661" s="91">
        <v>2</v>
      </c>
      <c r="AO661" s="91">
        <v>3</v>
      </c>
      <c r="AP661" s="91">
        <v>4</v>
      </c>
      <c r="AQ661" s="91">
        <v>5</v>
      </c>
      <c r="AR661" s="91">
        <v>6</v>
      </c>
      <c r="AS661" s="91">
        <v>7</v>
      </c>
      <c r="AT661" s="91">
        <v>8</v>
      </c>
      <c r="AU661" s="91">
        <v>9</v>
      </c>
      <c r="AV661" s="92">
        <v>0</v>
      </c>
      <c r="AW661" s="92">
        <v>1</v>
      </c>
      <c r="AX661" s="92">
        <v>2</v>
      </c>
      <c r="AY661" s="92">
        <v>3</v>
      </c>
      <c r="AZ661" s="92">
        <v>4</v>
      </c>
      <c r="BA661" s="92">
        <v>5</v>
      </c>
      <c r="BB661" s="92">
        <v>6</v>
      </c>
      <c r="BC661" s="92">
        <v>7</v>
      </c>
      <c r="BD661" s="92">
        <v>8</v>
      </c>
      <c r="BE661" s="92">
        <v>9</v>
      </c>
      <c r="BF661" s="93">
        <v>0</v>
      </c>
      <c r="BG661" s="93">
        <v>1</v>
      </c>
      <c r="BH661" s="93">
        <v>2</v>
      </c>
      <c r="BI661" s="93">
        <v>3</v>
      </c>
      <c r="BJ661" s="93">
        <v>4</v>
      </c>
      <c r="BK661" s="93">
        <v>5</v>
      </c>
      <c r="BL661" s="93">
        <v>6</v>
      </c>
      <c r="BM661" s="93">
        <v>7</v>
      </c>
      <c r="BN661" s="93">
        <v>8</v>
      </c>
      <c r="BO661" s="93">
        <v>9</v>
      </c>
      <c r="BP661" s="94" t="str">
        <f t="shared" si="419"/>
        <v>松散型</v>
      </c>
      <c r="BQ661" s="15">
        <f t="shared" si="416"/>
        <v>3</v>
      </c>
      <c r="BR661" s="15">
        <f t="shared" si="417"/>
        <v>7</v>
      </c>
      <c r="BS661" s="20" t="str">
        <f t="shared" si="421"/>
        <v/>
      </c>
      <c r="BT661" s="21" t="str">
        <f t="shared" si="422"/>
        <v/>
      </c>
      <c r="BU661" s="21" t="str">
        <f t="array" ref="BU661">_xlfn.TEXTJOIN("",TRUE,IF(ISERROR(FIND(ROW($1:$168)-1,BS661&amp;BT661)),ROW($1:$168)-1,""))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61" s="22" t="str">
        <f t="shared" si="423"/>
        <v>中中中</v>
      </c>
      <c r="BW661" s="23" t="str">
        <f t="shared" si="434"/>
        <v/>
      </c>
      <c r="BX661" s="23">
        <f t="shared" si="432"/>
        <v>3</v>
      </c>
      <c r="BY661" s="23" t="str">
        <f t="array" ref="BY661">_xlfn.TEXTJOIN("",TRUE,IF(ISERROR(FIND(ROW($1:$168)-1,BW661&amp;BX661)),ROW($1:$168)-1,""))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61" s="22" t="str">
        <f t="shared" si="424"/>
        <v>中隔中</v>
      </c>
      <c r="CA661" s="24" t="str">
        <f t="shared" si="425"/>
        <v/>
      </c>
      <c r="CB661" s="24" t="str">
        <f t="shared" si="433"/>
        <v/>
      </c>
      <c r="CC661" s="24" t="str">
        <f t="array" ref="CC661">_xlfn.TEXTJOIN("",TRUE,IF(ISERROR(FIND(ROW($1:$168)-1,CA661&amp;CB661)),ROW($1:$168)-1,""))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61" s="22" t="str">
        <f t="shared" si="426"/>
        <v>中中中</v>
      </c>
      <c r="CE661" s="25" t="str">
        <f t="shared" si="420"/>
        <v>35</v>
      </c>
      <c r="CF661" s="26" t="str">
        <f t="array" ref="CF661">_xlfn.TEXTJOIN("",TRUE,IF(ISNUMBER(FIND(MID(CE660&amp;W660,ROW($1:$162),1),CE661&amp;W661)),MID(CE660&amp;W660,ROW($1:$162),1),""))</f>
        <v>5</v>
      </c>
      <c r="CG661" s="27" t="str">
        <f t="array" ref="CG661">_xlfn.TEXTJOIN("",TRUE,IF(ISERROR(FIND(ROW($1:$168)-1,CE661&amp;CF661)),ROW($1:$168)-1,""))</f>
        <v>0124678910111213141516171819202122232425262728293031323334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61" s="28" t="str">
        <f t="shared" si="427"/>
        <v>邻传孤</v>
      </c>
      <c r="CI661" s="29" t="str">
        <f t="shared" si="428"/>
        <v>24</v>
      </c>
      <c r="CJ661" s="29" t="str">
        <f t="array" ref="CJ661">_xlfn.TEXTJOIN("",TRUE,IF(ISNUMBER(FIND(MID(CI660&amp;X660,ROW($1:$162),1),CI661&amp;X661)),MID(CI660&amp;X660,ROW($1:$162),1),""))</f>
        <v>2</v>
      </c>
      <c r="CK661" s="29" t="str">
        <f t="array" ref="CK661">_xlfn.TEXTJOIN("",TRUE,IF(ISERROR(FIND(ROW($1:$168)-1,CI661&amp;CJ661)),ROW($1:$168)-1,""))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61" s="19" t="str">
        <f t="shared" si="429"/>
        <v>邻传孤</v>
      </c>
      <c r="CM661" s="24" t="str">
        <f t="shared" si="430"/>
        <v>68</v>
      </c>
      <c r="CN661" s="24" t="str">
        <f t="array" ref="CN661">_xlfn.TEXTJOIN("",TRUE,IF(ISNUMBER(FIND(MID(CM660&amp;Y660,ROW($1:$162),1),CM661&amp;Y661)),MID(CM660&amp;Y660,ROW($1:$162),1),""))</f>
        <v>6</v>
      </c>
      <c r="CO661" s="24" t="str">
        <f t="array" ref="CO661">_xlfn.TEXTJOIN("",TRUE,IF(ISERROR(FIND(ROW($1:$168)-1,CM661&amp;CN661)),ROW($1:$168)-1,""))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P661" s="30" t="str">
        <f t="shared" si="431"/>
        <v>邻传孤</v>
      </c>
    </row>
    <row r="662" spans="1:94">
      <c r="A662" s="15">
        <v>662</v>
      </c>
      <c r="B662" s="80">
        <v>2025279</v>
      </c>
      <c r="C662" s="8" t="s">
        <v>210</v>
      </c>
      <c r="D662" s="81">
        <f t="shared" si="442"/>
        <v>14</v>
      </c>
      <c r="E662" s="82">
        <f t="shared" si="443"/>
        <v>4</v>
      </c>
      <c r="F662" s="83">
        <f t="shared" si="435"/>
        <v>2.8</v>
      </c>
      <c r="G662" s="84" t="str">
        <f t="shared" si="436"/>
        <v>标准</v>
      </c>
      <c r="H662" s="85" t="s">
        <v>10</v>
      </c>
      <c r="I662" s="85" t="s">
        <v>11</v>
      </c>
      <c r="J662" s="85" t="s">
        <v>12</v>
      </c>
      <c r="K662" s="85" t="s">
        <v>13</v>
      </c>
      <c r="L662" s="86">
        <f>MAX(MID(C662,{1,2,3},1)*1)-MIN(MID(C662,{1,2,3},1)*1)</f>
        <v>5</v>
      </c>
      <c r="M662" s="87">
        <v>0</v>
      </c>
      <c r="N662" s="87">
        <v>1</v>
      </c>
      <c r="O662" s="87">
        <v>2</v>
      </c>
      <c r="P662" s="87">
        <v>3</v>
      </c>
      <c r="Q662" s="87">
        <v>4</v>
      </c>
      <c r="R662" s="87">
        <v>5</v>
      </c>
      <c r="S662" s="87">
        <v>6</v>
      </c>
      <c r="T662" s="87">
        <v>7</v>
      </c>
      <c r="U662" s="87">
        <v>8</v>
      </c>
      <c r="V662" s="87">
        <v>9</v>
      </c>
      <c r="W662" s="88">
        <f t="shared" si="444"/>
        <v>2</v>
      </c>
      <c r="X662" s="88">
        <f t="shared" si="445"/>
        <v>5</v>
      </c>
      <c r="Y662" s="88">
        <f t="shared" si="446"/>
        <v>3</v>
      </c>
      <c r="Z662" s="89">
        <f t="shared" si="418"/>
        <v>10</v>
      </c>
      <c r="AA662" s="17" t="str">
        <f>_xlfn.TEXTJOIN(", ",TRUE,ABS(MID(C662,{1,1,2},1)-MID(C662,{2,3,3},1)))</f>
        <v>2, 5, 3</v>
      </c>
      <c r="AB662" s="90">
        <v>0</v>
      </c>
      <c r="AC662" s="90">
        <v>1</v>
      </c>
      <c r="AD662" s="90">
        <v>2</v>
      </c>
      <c r="AE662" s="90">
        <v>3</v>
      </c>
      <c r="AF662" s="90">
        <v>4</v>
      </c>
      <c r="AG662" s="90">
        <v>5</v>
      </c>
      <c r="AH662" s="90">
        <v>6</v>
      </c>
      <c r="AI662" s="90">
        <v>7</v>
      </c>
      <c r="AJ662" s="90">
        <v>8</v>
      </c>
      <c r="AK662" s="90">
        <v>9</v>
      </c>
      <c r="AL662" s="91">
        <v>0</v>
      </c>
      <c r="AM662" s="91">
        <v>1</v>
      </c>
      <c r="AN662" s="91">
        <v>2</v>
      </c>
      <c r="AO662" s="91">
        <v>3</v>
      </c>
      <c r="AP662" s="91">
        <v>4</v>
      </c>
      <c r="AQ662" s="91">
        <v>5</v>
      </c>
      <c r="AR662" s="91">
        <v>6</v>
      </c>
      <c r="AS662" s="91">
        <v>7</v>
      </c>
      <c r="AT662" s="91">
        <v>8</v>
      </c>
      <c r="AU662" s="91">
        <v>9</v>
      </c>
      <c r="AV662" s="92">
        <v>0</v>
      </c>
      <c r="AW662" s="92">
        <v>1</v>
      </c>
      <c r="AX662" s="92">
        <v>2</v>
      </c>
      <c r="AY662" s="92">
        <v>3</v>
      </c>
      <c r="AZ662" s="92">
        <v>4</v>
      </c>
      <c r="BA662" s="92">
        <v>5</v>
      </c>
      <c r="BB662" s="92">
        <v>6</v>
      </c>
      <c r="BC662" s="92">
        <v>7</v>
      </c>
      <c r="BD662" s="92">
        <v>8</v>
      </c>
      <c r="BE662" s="92">
        <v>9</v>
      </c>
      <c r="BF662" s="93">
        <v>0</v>
      </c>
      <c r="BG662" s="93">
        <v>1</v>
      </c>
      <c r="BH662" s="93">
        <v>2</v>
      </c>
      <c r="BI662" s="93">
        <v>3</v>
      </c>
      <c r="BJ662" s="93">
        <v>4</v>
      </c>
      <c r="BK662" s="93">
        <v>5</v>
      </c>
      <c r="BL662" s="93">
        <v>6</v>
      </c>
      <c r="BM662" s="93">
        <v>7</v>
      </c>
      <c r="BN662" s="93">
        <v>8</v>
      </c>
      <c r="BO662" s="93">
        <v>9</v>
      </c>
      <c r="BP662" s="94" t="str">
        <f t="shared" si="419"/>
        <v>标准型</v>
      </c>
      <c r="BQ662" s="15">
        <f t="shared" si="416"/>
        <v>2</v>
      </c>
      <c r="BR662" s="15">
        <f t="shared" si="417"/>
        <v>5</v>
      </c>
      <c r="BS662" s="20" t="str">
        <f t="shared" si="421"/>
        <v/>
      </c>
      <c r="BT662" s="21" t="str">
        <f t="shared" si="422"/>
        <v/>
      </c>
      <c r="BU662" s="21" t="str">
        <f t="array" ref="BU662">_xlfn.TEXTJOIN("",TRUE,IF(ISERROR(FIND(ROW($1:$168)-1,BS662&amp;BT662)),ROW($1:$168)-1,""))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62" s="22" t="str">
        <f t="shared" si="423"/>
        <v>中中中</v>
      </c>
      <c r="BW662" s="23" t="str">
        <f t="shared" si="434"/>
        <v/>
      </c>
      <c r="BX662" s="23">
        <f t="shared" si="432"/>
        <v>5</v>
      </c>
      <c r="BY662" s="23" t="str">
        <f t="array" ref="BY662">_xlfn.TEXTJOIN("",TRUE,IF(ISERROR(FIND(ROW($1:$168)-1,BW662&amp;BX662)),ROW($1:$168)-1,""))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62" s="22" t="str">
        <f t="shared" si="424"/>
        <v>中隔中</v>
      </c>
      <c r="CA662" s="24">
        <f t="shared" si="425"/>
        <v>3</v>
      </c>
      <c r="CB662" s="24" t="str">
        <f t="shared" si="433"/>
        <v/>
      </c>
      <c r="CC662" s="24" t="str">
        <f t="array" ref="CC662">_xlfn.TEXTJOIN("",TRUE,IF(ISERROR(FIND(ROW($1:$168)-1,CA662&amp;CB662)),ROW($1:$168)-1,""))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62" s="22" t="str">
        <f t="shared" si="426"/>
        <v>复中中</v>
      </c>
      <c r="CE662" s="25" t="str">
        <f t="shared" si="420"/>
        <v>13</v>
      </c>
      <c r="CF662" s="26" t="str">
        <f t="array" ref="CF662">_xlfn.TEXTJOIN("",TRUE,IF(ISNUMBER(FIND(MID(CE661&amp;W661,ROW($1:$162),1),CE662&amp;W662)),MID(CE661&amp;W661,ROW($1:$162),1),""))</f>
        <v>3</v>
      </c>
      <c r="CG662" s="27" t="str">
        <f t="array" ref="CG662">_xlfn.TEXTJOIN("",TRUE,IF(ISERROR(FIND(ROW($1:$168)-1,CE662&amp;CF662)),ROW($1:$168)-1,""))</f>
        <v>0245678910111214151617181920212223242526272829303132343536373839404142434445464748495051525354555657585960616263646566676869707172737475767778798081828384858687888990919293949596979899100101102103104105106107108109110111112113114115116117118119120121122123124125126127128129130131132134135136137138139140141142143144145146147148149150151152153154155156157158159160161162163164165166167</v>
      </c>
      <c r="CH662" s="28" t="str">
        <f t="shared" si="427"/>
        <v>邻传孤</v>
      </c>
      <c r="CI662" s="29" t="str">
        <f t="shared" si="428"/>
        <v>46</v>
      </c>
      <c r="CJ662" s="29" t="str">
        <f t="array" ref="CJ662">_xlfn.TEXTJOIN("",TRUE,IF(ISNUMBER(FIND(MID(CI661&amp;X661,ROW($1:$162),1),CI662&amp;X662)),MID(CI661&amp;X661,ROW($1:$162),1),""))</f>
        <v>4</v>
      </c>
      <c r="CK662" s="29" t="str">
        <f t="array" ref="CK662">_xlfn.TEXTJOIN("",TRUE,IF(ISERROR(FIND(ROW($1:$168)-1,CI662&amp;CJ662)),ROW($1:$168)-1,""))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62" s="19" t="str">
        <f t="shared" si="429"/>
        <v>邻传孤</v>
      </c>
      <c r="CM662" s="24" t="str">
        <f t="shared" si="430"/>
        <v>24</v>
      </c>
      <c r="CN662" s="24" t="str">
        <f t="array" ref="CN662">_xlfn.TEXTJOIN("",TRUE,IF(ISNUMBER(FIND(MID(CM661&amp;Y661,ROW($1:$162),1),CM662&amp;Y662)),MID(CM661&amp;Y661,ROW($1:$162),1),""))</f>
        <v/>
      </c>
      <c r="CO662" s="24" t="str">
        <f t="array" ref="CO662">_xlfn.TEXTJOIN("",TRUE,IF(ISERROR(FIND(ROW($1:$168)-1,CM662&amp;CN662)),ROW($1:$168)-1,""))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62" s="30" t="str">
        <f t="shared" si="431"/>
        <v>邻孤孤</v>
      </c>
    </row>
    <row r="663" spans="1:94">
      <c r="A663" s="15">
        <v>663</v>
      </c>
      <c r="B663" s="80">
        <v>2025280</v>
      </c>
      <c r="C663" s="8" t="s">
        <v>201</v>
      </c>
      <c r="D663" s="81">
        <f t="shared" si="442"/>
        <v>6</v>
      </c>
      <c r="E663" s="82">
        <f t="shared" si="443"/>
        <v>6</v>
      </c>
      <c r="F663" s="83">
        <f t="shared" si="435"/>
        <v>2</v>
      </c>
      <c r="G663" s="84" t="str">
        <f t="shared" si="436"/>
        <v>标准</v>
      </c>
      <c r="H663" s="85" t="s">
        <v>10</v>
      </c>
      <c r="I663" s="85" t="s">
        <v>11</v>
      </c>
      <c r="J663" s="85" t="s">
        <v>12</v>
      </c>
      <c r="K663" s="85" t="s">
        <v>13</v>
      </c>
      <c r="L663" s="86">
        <f>MAX(MID(C663,{1,2,3},1)*1)-MIN(MID(C663,{1,2,3},1)*1)</f>
        <v>3</v>
      </c>
      <c r="M663" s="87">
        <v>0</v>
      </c>
      <c r="N663" s="87">
        <v>1</v>
      </c>
      <c r="O663" s="87">
        <v>2</v>
      </c>
      <c r="P663" s="87">
        <v>3</v>
      </c>
      <c r="Q663" s="87">
        <v>4</v>
      </c>
      <c r="R663" s="87">
        <v>5</v>
      </c>
      <c r="S663" s="87">
        <v>6</v>
      </c>
      <c r="T663" s="87">
        <v>7</v>
      </c>
      <c r="U663" s="87">
        <v>8</v>
      </c>
      <c r="V663" s="87">
        <v>9</v>
      </c>
      <c r="W663" s="88">
        <f t="shared" si="444"/>
        <v>3</v>
      </c>
      <c r="X663" s="88">
        <f t="shared" si="445"/>
        <v>3</v>
      </c>
      <c r="Y663" s="88">
        <f t="shared" si="446"/>
        <v>0</v>
      </c>
      <c r="Z663" s="89">
        <f t="shared" si="418"/>
        <v>6</v>
      </c>
      <c r="AA663" s="17" t="str">
        <f>_xlfn.TEXTJOIN(", ",TRUE,ABS(MID(C663,{1,1,2},1)-MID(C663,{2,3,3},1)))</f>
        <v>3, 3, 0</v>
      </c>
      <c r="AB663" s="90">
        <v>0</v>
      </c>
      <c r="AC663" s="90">
        <v>1</v>
      </c>
      <c r="AD663" s="90">
        <v>2</v>
      </c>
      <c r="AE663" s="90">
        <v>3</v>
      </c>
      <c r="AF663" s="90">
        <v>4</v>
      </c>
      <c r="AG663" s="90">
        <v>5</v>
      </c>
      <c r="AH663" s="90">
        <v>6</v>
      </c>
      <c r="AI663" s="90">
        <v>7</v>
      </c>
      <c r="AJ663" s="90">
        <v>8</v>
      </c>
      <c r="AK663" s="90">
        <v>9</v>
      </c>
      <c r="AL663" s="91">
        <v>0</v>
      </c>
      <c r="AM663" s="91">
        <v>1</v>
      </c>
      <c r="AN663" s="91">
        <v>2</v>
      </c>
      <c r="AO663" s="91">
        <v>3</v>
      </c>
      <c r="AP663" s="91">
        <v>4</v>
      </c>
      <c r="AQ663" s="91">
        <v>5</v>
      </c>
      <c r="AR663" s="91">
        <v>6</v>
      </c>
      <c r="AS663" s="91">
        <v>7</v>
      </c>
      <c r="AT663" s="91">
        <v>8</v>
      </c>
      <c r="AU663" s="91">
        <v>9</v>
      </c>
      <c r="AV663" s="92">
        <v>0</v>
      </c>
      <c r="AW663" s="92">
        <v>1</v>
      </c>
      <c r="AX663" s="92">
        <v>2</v>
      </c>
      <c r="AY663" s="92">
        <v>3</v>
      </c>
      <c r="AZ663" s="92">
        <v>4</v>
      </c>
      <c r="BA663" s="92">
        <v>5</v>
      </c>
      <c r="BB663" s="92">
        <v>6</v>
      </c>
      <c r="BC663" s="92">
        <v>7</v>
      </c>
      <c r="BD663" s="92">
        <v>8</v>
      </c>
      <c r="BE663" s="92">
        <v>9</v>
      </c>
      <c r="BF663" s="93">
        <v>0</v>
      </c>
      <c r="BG663" s="93">
        <v>1</v>
      </c>
      <c r="BH663" s="93">
        <v>2</v>
      </c>
      <c r="BI663" s="93">
        <v>3</v>
      </c>
      <c r="BJ663" s="93">
        <v>4</v>
      </c>
      <c r="BK663" s="93">
        <v>5</v>
      </c>
      <c r="BL663" s="93">
        <v>6</v>
      </c>
      <c r="BM663" s="93">
        <v>7</v>
      </c>
      <c r="BN663" s="93">
        <v>8</v>
      </c>
      <c r="BO663" s="93">
        <v>9</v>
      </c>
      <c r="BP663" s="94" t="str">
        <f t="shared" si="419"/>
        <v>紧凑型</v>
      </c>
      <c r="BQ663" s="15">
        <f t="shared" si="416"/>
        <v>0</v>
      </c>
      <c r="BR663" s="15">
        <f t="shared" si="417"/>
        <v>3</v>
      </c>
      <c r="BS663" s="20">
        <f t="shared" si="421"/>
        <v>3</v>
      </c>
      <c r="BT663" s="21">
        <f t="shared" si="422"/>
        <v>3</v>
      </c>
      <c r="BU663" s="21" t="str">
        <f t="array" ref="BU663">_xlfn.TEXTJOIN("",TRUE,IF(ISERROR(FIND(ROW($1:$168)-1,BS663&amp;BT663)),ROW($1:$168)-1,""))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63" s="22" t="str">
        <f t="shared" si="423"/>
        <v>复隔中</v>
      </c>
      <c r="BW663" s="23">
        <f t="shared" si="434"/>
        <v>3</v>
      </c>
      <c r="BX663" s="23">
        <f t="shared" si="432"/>
        <v>3</v>
      </c>
      <c r="BY663" s="23" t="str">
        <f t="array" ref="BY663">_xlfn.TEXTJOIN("",TRUE,IF(ISERROR(FIND(ROW($1:$168)-1,BW663&amp;BX663)),ROW($1:$168)-1,""))</f>
        <v>0124567891011121314151617181920212223242526272829303132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63" s="22" t="str">
        <f t="shared" si="424"/>
        <v>复隔中</v>
      </c>
      <c r="CA663" s="24" t="str">
        <f t="shared" si="425"/>
        <v/>
      </c>
      <c r="CB663" s="24" t="str">
        <f t="shared" si="433"/>
        <v/>
      </c>
      <c r="CC663" s="24" t="str">
        <f t="array" ref="CC663">_xlfn.TEXTJOIN("",TRUE,IF(ISERROR(FIND(ROW($1:$168)-1,CA663&amp;CB663)),ROW($1:$168)-1,""))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63" s="22" t="str">
        <f t="shared" si="426"/>
        <v>中中中</v>
      </c>
      <c r="CE663" s="25" t="str">
        <f t="shared" si="420"/>
        <v>24</v>
      </c>
      <c r="CF663" s="26" t="str">
        <f t="array" ref="CF663">_xlfn.TEXTJOIN("",TRUE,IF(ISNUMBER(FIND(MID(CE662&amp;W662,ROW($1:$162),1),CE663&amp;W663)),MID(CE662&amp;W662,ROW($1:$162),1),""))</f>
        <v>32</v>
      </c>
      <c r="CG663" s="27" t="str">
        <f t="array" ref="CG663">_xlfn.TEXTJOIN("",TRUE,IF(ISERROR(FIND(ROW($1:$168)-1,CE663&amp;CF663)),ROW($1:$168)-1,""))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63" s="28" t="str">
        <f t="shared" si="427"/>
        <v>邻传孤</v>
      </c>
      <c r="CI663" s="29" t="str">
        <f t="shared" si="428"/>
        <v>24</v>
      </c>
      <c r="CJ663" s="29" t="str">
        <f t="array" ref="CJ663">_xlfn.TEXTJOIN("",TRUE,IF(ISNUMBER(FIND(MID(CI662&amp;X662,ROW($1:$162),1),CI663&amp;X663)),MID(CI662&amp;X662,ROW($1:$162),1),""))</f>
        <v>4</v>
      </c>
      <c r="CK663" s="29" t="str">
        <f t="array" ref="CK663">_xlfn.TEXTJOIN("",TRUE,IF(ISERROR(FIND(ROW($1:$168)-1,CI663&amp;CJ663)),ROW($1:$168)-1,""))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63" s="19" t="str">
        <f t="shared" si="429"/>
        <v>邻传孤</v>
      </c>
      <c r="CM663" s="24" t="str">
        <f t="shared" si="430"/>
        <v>91</v>
      </c>
      <c r="CN663" s="24" t="str">
        <f t="array" ref="CN663">_xlfn.TEXTJOIN("",TRUE,IF(ISNUMBER(FIND(MID(CM662&amp;Y662,ROW($1:$162),1),CM663&amp;Y663)),MID(CM662&amp;Y662,ROW($1:$162),1),""))</f>
        <v/>
      </c>
      <c r="CO663" s="24" t="str">
        <f t="array" ref="CO663">_xlfn.TEXTJOIN("",TRUE,IF(ISERROR(FIND(ROW($1:$168)-1,CM663&amp;CN663)),ROW($1:$168)-1,""))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663" s="30" t="str">
        <f t="shared" si="431"/>
        <v>邻孤孤</v>
      </c>
    </row>
    <row r="664" spans="1:94">
      <c r="A664" s="15">
        <v>664</v>
      </c>
      <c r="B664" s="80">
        <v>2025281</v>
      </c>
      <c r="C664" s="8" t="s">
        <v>115</v>
      </c>
      <c r="D664" s="81">
        <f t="shared" si="442"/>
        <v>24</v>
      </c>
      <c r="E664" s="82">
        <f t="shared" si="443"/>
        <v>4</v>
      </c>
      <c r="F664" s="83">
        <f t="shared" si="435"/>
        <v>12</v>
      </c>
      <c r="G664" s="84" t="str">
        <f t="shared" si="436"/>
        <v>紧凑</v>
      </c>
      <c r="H664" s="85" t="s">
        <v>10</v>
      </c>
      <c r="I664" s="85" t="s">
        <v>11</v>
      </c>
      <c r="J664" s="85" t="s">
        <v>12</v>
      </c>
      <c r="K664" s="85" t="s">
        <v>13</v>
      </c>
      <c r="L664" s="86">
        <f>MAX(MID(C664,{1,2,3},1)*1)-MIN(MID(C664,{1,2,3},1)*1)</f>
        <v>2</v>
      </c>
      <c r="M664" s="87">
        <v>0</v>
      </c>
      <c r="N664" s="87">
        <v>1</v>
      </c>
      <c r="O664" s="87">
        <v>2</v>
      </c>
      <c r="P664" s="87">
        <v>3</v>
      </c>
      <c r="Q664" s="87">
        <v>4</v>
      </c>
      <c r="R664" s="87">
        <v>5</v>
      </c>
      <c r="S664" s="87">
        <v>6</v>
      </c>
      <c r="T664" s="87">
        <v>7</v>
      </c>
      <c r="U664" s="87">
        <v>8</v>
      </c>
      <c r="V664" s="87">
        <v>9</v>
      </c>
      <c r="W664" s="88">
        <f t="shared" si="444"/>
        <v>1</v>
      </c>
      <c r="X664" s="88">
        <f t="shared" si="445"/>
        <v>1</v>
      </c>
      <c r="Y664" s="88">
        <f t="shared" si="446"/>
        <v>2</v>
      </c>
      <c r="Z664" s="89">
        <f t="shared" si="418"/>
        <v>4</v>
      </c>
      <c r="AA664" s="17" t="str">
        <f>_xlfn.TEXTJOIN(", ",TRUE,ABS(MID(C664,{1,1,2},1)-MID(C664,{2,3,3},1)))</f>
        <v>1, 1, 2</v>
      </c>
      <c r="AB664" s="90">
        <v>0</v>
      </c>
      <c r="AC664" s="90">
        <v>1</v>
      </c>
      <c r="AD664" s="90">
        <v>2</v>
      </c>
      <c r="AE664" s="90">
        <v>3</v>
      </c>
      <c r="AF664" s="90">
        <v>4</v>
      </c>
      <c r="AG664" s="90">
        <v>5</v>
      </c>
      <c r="AH664" s="90">
        <v>6</v>
      </c>
      <c r="AI664" s="90">
        <v>7</v>
      </c>
      <c r="AJ664" s="90">
        <v>8</v>
      </c>
      <c r="AK664" s="90">
        <v>9</v>
      </c>
      <c r="AL664" s="91">
        <v>0</v>
      </c>
      <c r="AM664" s="91">
        <v>1</v>
      </c>
      <c r="AN664" s="91">
        <v>2</v>
      </c>
      <c r="AO664" s="91">
        <v>3</v>
      </c>
      <c r="AP664" s="91">
        <v>4</v>
      </c>
      <c r="AQ664" s="91">
        <v>5</v>
      </c>
      <c r="AR664" s="91">
        <v>6</v>
      </c>
      <c r="AS664" s="91">
        <v>7</v>
      </c>
      <c r="AT664" s="91">
        <v>8</v>
      </c>
      <c r="AU664" s="91">
        <v>9</v>
      </c>
      <c r="AV664" s="92">
        <v>0</v>
      </c>
      <c r="AW664" s="92">
        <v>1</v>
      </c>
      <c r="AX664" s="92">
        <v>2</v>
      </c>
      <c r="AY664" s="92">
        <v>3</v>
      </c>
      <c r="AZ664" s="92">
        <v>4</v>
      </c>
      <c r="BA664" s="92">
        <v>5</v>
      </c>
      <c r="BB664" s="92">
        <v>6</v>
      </c>
      <c r="BC664" s="92">
        <v>7</v>
      </c>
      <c r="BD664" s="92">
        <v>8</v>
      </c>
      <c r="BE664" s="92">
        <v>9</v>
      </c>
      <c r="BF664" s="93">
        <v>0</v>
      </c>
      <c r="BG664" s="93">
        <v>1</v>
      </c>
      <c r="BH664" s="93">
        <v>2</v>
      </c>
      <c r="BI664" s="93">
        <v>3</v>
      </c>
      <c r="BJ664" s="93">
        <v>4</v>
      </c>
      <c r="BK664" s="93">
        <v>5</v>
      </c>
      <c r="BL664" s="93">
        <v>6</v>
      </c>
      <c r="BM664" s="93">
        <v>7</v>
      </c>
      <c r="BN664" s="93">
        <v>8</v>
      </c>
      <c r="BO664" s="93">
        <v>9</v>
      </c>
      <c r="BP664" s="94" t="str">
        <f t="shared" si="419"/>
        <v>紧凑型</v>
      </c>
      <c r="BQ664" s="15">
        <f t="shared" si="416"/>
        <v>1</v>
      </c>
      <c r="BR664" s="15">
        <f t="shared" si="417"/>
        <v>2</v>
      </c>
      <c r="BS664" s="20" t="str">
        <f t="shared" si="421"/>
        <v/>
      </c>
      <c r="BT664" s="21" t="str">
        <f t="shared" si="422"/>
        <v/>
      </c>
      <c r="BU664" s="21" t="str">
        <f t="array" ref="BU664">_xlfn.TEXTJOIN("",TRUE,IF(ISERROR(FIND(ROW($1:$168)-1,BS664&amp;BT664)),ROW($1:$168)-1,""))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64" s="22" t="str">
        <f t="shared" si="423"/>
        <v>中中中</v>
      </c>
      <c r="BW664" s="23" t="str">
        <f t="shared" si="434"/>
        <v/>
      </c>
      <c r="BX664" s="23" t="str">
        <f t="shared" si="432"/>
        <v/>
      </c>
      <c r="BY664" s="23" t="str">
        <f t="array" ref="BY664">_xlfn.TEXTJOIN("",TRUE,IF(ISERROR(FIND(ROW($1:$168)-1,BW664&amp;BX664)),ROW($1:$168)-1,""))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64" s="22" t="str">
        <f t="shared" si="424"/>
        <v>中中中</v>
      </c>
      <c r="CA664" s="24" t="str">
        <f t="shared" si="425"/>
        <v/>
      </c>
      <c r="CB664" s="24">
        <f t="shared" si="433"/>
        <v>2</v>
      </c>
      <c r="CC664" s="24" t="str">
        <f t="array" ref="CC664">_xlfn.TEXTJOIN("",TRUE,IF(ISERROR(FIND(ROW($1:$168)-1,CA664&amp;CB664)),ROW($1:$168)-1,""))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64" s="22" t="str">
        <f t="shared" si="426"/>
        <v>中隔中</v>
      </c>
      <c r="CE664" s="25" t="str">
        <f t="shared" si="420"/>
        <v>02</v>
      </c>
      <c r="CF664" s="26" t="str">
        <f t="array" ref="CF664">_xlfn.TEXTJOIN("",TRUE,IF(ISNUMBER(FIND(MID(CE663&amp;W663,ROW($1:$162),1),CE664&amp;W664)),MID(CE663&amp;W663,ROW($1:$162),1),""))</f>
        <v>2</v>
      </c>
      <c r="CG664" s="27" t="str">
        <f t="array" ref="CG664">_xlfn.TEXTJOIN("",TRUE,IF(ISERROR(FIND(ROW($1:$168)-1,CE664&amp;CF664)),ROW($1:$168)-1,""))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64" s="28" t="str">
        <f t="shared" si="427"/>
        <v>邻传孤</v>
      </c>
      <c r="CI664" s="29" t="str">
        <f t="shared" si="428"/>
        <v>02</v>
      </c>
      <c r="CJ664" s="29" t="str">
        <f t="array" ref="CJ664">_xlfn.TEXTJOIN("",TRUE,IF(ISNUMBER(FIND(MID(CI663&amp;X663,ROW($1:$162),1),CI664&amp;X664)),MID(CI663&amp;X663,ROW($1:$162),1),""))</f>
        <v>2</v>
      </c>
      <c r="CK664" s="29" t="str">
        <f t="array" ref="CK664">_xlfn.TEXTJOIN("",TRUE,IF(ISERROR(FIND(ROW($1:$168)-1,CI664&amp;CJ664)),ROW($1:$168)-1,""))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64" s="19" t="str">
        <f t="shared" si="429"/>
        <v>邻传孤</v>
      </c>
      <c r="CM664" s="24" t="str">
        <f t="shared" si="430"/>
        <v>13</v>
      </c>
      <c r="CN664" s="24" t="str">
        <f t="array" ref="CN664">_xlfn.TEXTJOIN("",TRUE,IF(ISNUMBER(FIND(MID(CM663&amp;Y663,ROW($1:$162),1),CM664&amp;Y664)),MID(CM663&amp;Y663,ROW($1:$162),1),""))</f>
        <v>1</v>
      </c>
      <c r="CO664" s="24" t="str">
        <f t="array" ref="CO664">_xlfn.TEXTJOIN("",TRUE,IF(ISERROR(FIND(ROW($1:$168)-1,CM664&amp;CN664)),ROW($1:$168)-1,""))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P664" s="30" t="str">
        <f t="shared" si="431"/>
        <v>邻传孤</v>
      </c>
    </row>
    <row r="665" spans="1:94">
      <c r="A665" s="15">
        <v>665</v>
      </c>
      <c r="B665" s="80">
        <v>2025282</v>
      </c>
      <c r="C665" s="8" t="s">
        <v>347</v>
      </c>
      <c r="D665" s="81">
        <f t="shared" si="442"/>
        <v>11</v>
      </c>
      <c r="E665" s="82">
        <f t="shared" si="443"/>
        <v>1</v>
      </c>
      <c r="F665" s="83">
        <f t="shared" si="435"/>
        <v>2.2</v>
      </c>
      <c r="G665" s="84" t="str">
        <f t="shared" si="436"/>
        <v>标准</v>
      </c>
      <c r="H665" s="85" t="s">
        <v>10</v>
      </c>
      <c r="I665" s="85" t="s">
        <v>11</v>
      </c>
      <c r="J665" s="85" t="s">
        <v>12</v>
      </c>
      <c r="K665" s="85" t="s">
        <v>13</v>
      </c>
      <c r="L665" s="86">
        <f>MAX(MID(C665,{1,2,3},1)*1)-MIN(MID(C665,{1,2,3},1)*1)</f>
        <v>5</v>
      </c>
      <c r="M665" s="87">
        <v>0</v>
      </c>
      <c r="N665" s="87">
        <v>1</v>
      </c>
      <c r="O665" s="87">
        <v>2</v>
      </c>
      <c r="P665" s="87">
        <v>3</v>
      </c>
      <c r="Q665" s="87">
        <v>4</v>
      </c>
      <c r="R665" s="87">
        <v>5</v>
      </c>
      <c r="S665" s="87">
        <v>6</v>
      </c>
      <c r="T665" s="87">
        <v>7</v>
      </c>
      <c r="U665" s="87">
        <v>8</v>
      </c>
      <c r="V665" s="87">
        <v>9</v>
      </c>
      <c r="W665" s="88">
        <f t="shared" si="444"/>
        <v>3</v>
      </c>
      <c r="X665" s="88">
        <f t="shared" si="445"/>
        <v>2</v>
      </c>
      <c r="Y665" s="88">
        <f t="shared" si="446"/>
        <v>5</v>
      </c>
      <c r="Z665" s="89">
        <f t="shared" si="418"/>
        <v>10</v>
      </c>
      <c r="AA665" s="17" t="str">
        <f>_xlfn.TEXTJOIN(", ",TRUE,ABS(MID(C665,{1,1,2},1)-MID(C665,{2,3,3},1)))</f>
        <v>3, 2, 5</v>
      </c>
      <c r="AB665" s="90">
        <v>0</v>
      </c>
      <c r="AC665" s="90">
        <v>1</v>
      </c>
      <c r="AD665" s="90">
        <v>2</v>
      </c>
      <c r="AE665" s="90">
        <v>3</v>
      </c>
      <c r="AF665" s="90">
        <v>4</v>
      </c>
      <c r="AG665" s="90">
        <v>5</v>
      </c>
      <c r="AH665" s="90">
        <v>6</v>
      </c>
      <c r="AI665" s="90">
        <v>7</v>
      </c>
      <c r="AJ665" s="90">
        <v>8</v>
      </c>
      <c r="AK665" s="90">
        <v>9</v>
      </c>
      <c r="AL665" s="91">
        <v>0</v>
      </c>
      <c r="AM665" s="91">
        <v>1</v>
      </c>
      <c r="AN665" s="91">
        <v>2</v>
      </c>
      <c r="AO665" s="91">
        <v>3</v>
      </c>
      <c r="AP665" s="91">
        <v>4</v>
      </c>
      <c r="AQ665" s="91">
        <v>5</v>
      </c>
      <c r="AR665" s="91">
        <v>6</v>
      </c>
      <c r="AS665" s="91">
        <v>7</v>
      </c>
      <c r="AT665" s="91">
        <v>8</v>
      </c>
      <c r="AU665" s="91">
        <v>9</v>
      </c>
      <c r="AV665" s="92">
        <v>0</v>
      </c>
      <c r="AW665" s="92">
        <v>1</v>
      </c>
      <c r="AX665" s="92">
        <v>2</v>
      </c>
      <c r="AY665" s="92">
        <v>3</v>
      </c>
      <c r="AZ665" s="92">
        <v>4</v>
      </c>
      <c r="BA665" s="92">
        <v>5</v>
      </c>
      <c r="BB665" s="92">
        <v>6</v>
      </c>
      <c r="BC665" s="92">
        <v>7</v>
      </c>
      <c r="BD665" s="92">
        <v>8</v>
      </c>
      <c r="BE665" s="92">
        <v>9</v>
      </c>
      <c r="BF665" s="93">
        <v>0</v>
      </c>
      <c r="BG665" s="93">
        <v>1</v>
      </c>
      <c r="BH665" s="93">
        <v>2</v>
      </c>
      <c r="BI665" s="93">
        <v>3</v>
      </c>
      <c r="BJ665" s="93">
        <v>4</v>
      </c>
      <c r="BK665" s="93">
        <v>5</v>
      </c>
      <c r="BL665" s="93">
        <v>6</v>
      </c>
      <c r="BM665" s="93">
        <v>7</v>
      </c>
      <c r="BN665" s="93">
        <v>8</v>
      </c>
      <c r="BO665" s="93">
        <v>9</v>
      </c>
      <c r="BP665" s="94" t="str">
        <f t="shared" si="419"/>
        <v>标准型</v>
      </c>
      <c r="BQ665" s="15">
        <f t="shared" si="416"/>
        <v>2</v>
      </c>
      <c r="BR665" s="15">
        <f t="shared" si="417"/>
        <v>5</v>
      </c>
      <c r="BS665" s="20" t="str">
        <f t="shared" si="421"/>
        <v/>
      </c>
      <c r="BT665" s="21">
        <f t="shared" si="422"/>
        <v>3</v>
      </c>
      <c r="BU665" s="21" t="str">
        <f t="array" ref="BU665">_xlfn.TEXTJOIN("",TRUE,IF(ISERROR(FIND(ROW($1:$168)-1,BS665&amp;BT665)),ROW($1:$168)-1,""))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65" s="22" t="str">
        <f t="shared" si="423"/>
        <v>中隔中</v>
      </c>
      <c r="BW665" s="23">
        <f t="shared" si="434"/>
        <v>2</v>
      </c>
      <c r="BX665" s="23" t="str">
        <f t="shared" si="432"/>
        <v/>
      </c>
      <c r="BY665" s="23" t="str">
        <f t="array" ref="BY665">_xlfn.TEXTJOIN("",TRUE,IF(ISERROR(FIND(ROW($1:$168)-1,BW665&amp;BX665)),ROW($1:$168)-1,""))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65" s="22" t="str">
        <f t="shared" si="424"/>
        <v>复中中</v>
      </c>
      <c r="CA665" s="24" t="str">
        <f t="shared" si="425"/>
        <v/>
      </c>
      <c r="CB665" s="24" t="str">
        <f t="shared" si="433"/>
        <v/>
      </c>
      <c r="CC665" s="24" t="str">
        <f t="array" ref="CC665">_xlfn.TEXTJOIN("",TRUE,IF(ISERROR(FIND(ROW($1:$168)-1,CA665&amp;CB665)),ROW($1:$168)-1,""))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65" s="22" t="str">
        <f t="shared" si="426"/>
        <v>中中中</v>
      </c>
      <c r="CE665" s="25" t="str">
        <f t="shared" si="420"/>
        <v>24</v>
      </c>
      <c r="CF665" s="26" t="str">
        <f t="array" ref="CF665">_xlfn.TEXTJOIN("",TRUE,IF(ISNUMBER(FIND(MID(CE664&amp;W664,ROW($1:$162),1),CE665&amp;W665)),MID(CE664&amp;W664,ROW($1:$162),1),""))</f>
        <v>2</v>
      </c>
      <c r="CG665" s="27" t="str">
        <f t="array" ref="CG665">_xlfn.TEXTJOIN("",TRUE,IF(ISERROR(FIND(ROW($1:$168)-1,CE665&amp;CF665)),ROW($1:$168)-1,""))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65" s="28" t="str">
        <f t="shared" si="427"/>
        <v>邻传孤</v>
      </c>
      <c r="CI665" s="29" t="str">
        <f t="shared" si="428"/>
        <v>13</v>
      </c>
      <c r="CJ665" s="29" t="str">
        <f t="array" ref="CJ665">_xlfn.TEXTJOIN("",TRUE,IF(ISNUMBER(FIND(MID(CI664&amp;X664,ROW($1:$162),1),CI665&amp;X665)),MID(CI664&amp;X664,ROW($1:$162),1),""))</f>
        <v>21</v>
      </c>
      <c r="CK665" s="29" t="str">
        <f t="array" ref="CK665">_xlfn.TEXTJOIN("",TRUE,IF(ISERROR(FIND(ROW($1:$168)-1,CI665&amp;CJ665)),ROW($1:$168)-1,""))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665" s="19" t="str">
        <f t="shared" si="429"/>
        <v>邻传孤</v>
      </c>
      <c r="CM665" s="24" t="str">
        <f t="shared" si="430"/>
        <v>46</v>
      </c>
      <c r="CN665" s="24" t="str">
        <f t="array" ref="CN665">_xlfn.TEXTJOIN("",TRUE,IF(ISNUMBER(FIND(MID(CM664&amp;Y664,ROW($1:$162),1),CM665&amp;Y665)),MID(CM664&amp;Y664,ROW($1:$162),1),""))</f>
        <v/>
      </c>
      <c r="CO665" s="24" t="str">
        <f t="array" ref="CO665">_xlfn.TEXTJOIN("",TRUE,IF(ISERROR(FIND(ROW($1:$168)-1,CM665&amp;CN665)),ROW($1:$168)-1,""))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65" s="30" t="str">
        <f t="shared" si="431"/>
        <v>邻孤孤</v>
      </c>
    </row>
    <row r="666" spans="1:94">
      <c r="A666" s="15">
        <v>666</v>
      </c>
      <c r="B666" s="80">
        <v>2025283</v>
      </c>
      <c r="C666" s="8" t="s">
        <v>505</v>
      </c>
      <c r="D666" s="81">
        <f t="shared" si="442"/>
        <v>16</v>
      </c>
      <c r="E666" s="82">
        <f t="shared" si="443"/>
        <v>6</v>
      </c>
      <c r="F666" s="83">
        <f t="shared" si="435"/>
        <v>8</v>
      </c>
      <c r="G666" s="84" t="str">
        <f t="shared" si="436"/>
        <v>紧凑</v>
      </c>
      <c r="H666" s="85" t="s">
        <v>10</v>
      </c>
      <c r="I666" s="85" t="s">
        <v>11</v>
      </c>
      <c r="J666" s="85" t="s">
        <v>12</v>
      </c>
      <c r="K666" s="85" t="s">
        <v>13</v>
      </c>
      <c r="L666" s="86">
        <f>MAX(MID(C666,{1,2,3},1)*1)-MIN(MID(C666,{1,2,3},1)*1)</f>
        <v>2</v>
      </c>
      <c r="M666" s="87">
        <v>0</v>
      </c>
      <c r="N666" s="87">
        <v>1</v>
      </c>
      <c r="O666" s="87">
        <v>2</v>
      </c>
      <c r="P666" s="87">
        <v>3</v>
      </c>
      <c r="Q666" s="87">
        <v>4</v>
      </c>
      <c r="R666" s="87">
        <v>5</v>
      </c>
      <c r="S666" s="87">
        <v>6</v>
      </c>
      <c r="T666" s="87">
        <v>7</v>
      </c>
      <c r="U666" s="87">
        <v>8</v>
      </c>
      <c r="V666" s="87">
        <v>9</v>
      </c>
      <c r="W666" s="88">
        <f t="shared" si="444"/>
        <v>0</v>
      </c>
      <c r="X666" s="88">
        <f t="shared" si="445"/>
        <v>2</v>
      </c>
      <c r="Y666" s="88">
        <f t="shared" si="446"/>
        <v>2</v>
      </c>
      <c r="Z666" s="89">
        <f t="shared" si="418"/>
        <v>4</v>
      </c>
      <c r="AA666" s="17" t="str">
        <f>_xlfn.TEXTJOIN(", ",TRUE,ABS(MID(C666,{1,1,2},1)-MID(C666,{2,3,3},1)))</f>
        <v>0, 2, 2</v>
      </c>
      <c r="AB666" s="90">
        <v>0</v>
      </c>
      <c r="AC666" s="90">
        <v>1</v>
      </c>
      <c r="AD666" s="90">
        <v>2</v>
      </c>
      <c r="AE666" s="90">
        <v>3</v>
      </c>
      <c r="AF666" s="90">
        <v>4</v>
      </c>
      <c r="AG666" s="90">
        <v>5</v>
      </c>
      <c r="AH666" s="90">
        <v>6</v>
      </c>
      <c r="AI666" s="90">
        <v>7</v>
      </c>
      <c r="AJ666" s="90">
        <v>8</v>
      </c>
      <c r="AK666" s="90">
        <v>9</v>
      </c>
      <c r="AL666" s="91">
        <v>0</v>
      </c>
      <c r="AM666" s="91">
        <v>1</v>
      </c>
      <c r="AN666" s="91">
        <v>2</v>
      </c>
      <c r="AO666" s="91">
        <v>3</v>
      </c>
      <c r="AP666" s="91">
        <v>4</v>
      </c>
      <c r="AQ666" s="91">
        <v>5</v>
      </c>
      <c r="AR666" s="91">
        <v>6</v>
      </c>
      <c r="AS666" s="91">
        <v>7</v>
      </c>
      <c r="AT666" s="91">
        <v>8</v>
      </c>
      <c r="AU666" s="91">
        <v>9</v>
      </c>
      <c r="AV666" s="92">
        <v>0</v>
      </c>
      <c r="AW666" s="92">
        <v>1</v>
      </c>
      <c r="AX666" s="92">
        <v>2</v>
      </c>
      <c r="AY666" s="92">
        <v>3</v>
      </c>
      <c r="AZ666" s="92">
        <v>4</v>
      </c>
      <c r="BA666" s="92">
        <v>5</v>
      </c>
      <c r="BB666" s="92">
        <v>6</v>
      </c>
      <c r="BC666" s="92">
        <v>7</v>
      </c>
      <c r="BD666" s="92">
        <v>8</v>
      </c>
      <c r="BE666" s="92">
        <v>9</v>
      </c>
      <c r="BF666" s="93">
        <v>0</v>
      </c>
      <c r="BG666" s="93">
        <v>1</v>
      </c>
      <c r="BH666" s="93">
        <v>2</v>
      </c>
      <c r="BI666" s="93">
        <v>3</v>
      </c>
      <c r="BJ666" s="93">
        <v>4</v>
      </c>
      <c r="BK666" s="93">
        <v>5</v>
      </c>
      <c r="BL666" s="93">
        <v>6</v>
      </c>
      <c r="BM666" s="93">
        <v>7</v>
      </c>
      <c r="BN666" s="93">
        <v>8</v>
      </c>
      <c r="BO666" s="93">
        <v>9</v>
      </c>
      <c r="BP666" s="94" t="str">
        <f t="shared" si="419"/>
        <v>紧凑型</v>
      </c>
      <c r="BQ666" s="15">
        <f t="shared" si="416"/>
        <v>0</v>
      </c>
      <c r="BR666" s="15">
        <f t="shared" si="417"/>
        <v>2</v>
      </c>
      <c r="BS666" s="20" t="str">
        <f t="shared" si="421"/>
        <v/>
      </c>
      <c r="BT666" s="21" t="str">
        <f t="shared" si="422"/>
        <v/>
      </c>
      <c r="BU666" s="21" t="str">
        <f t="array" ref="BU666">_xlfn.TEXTJOIN("",TRUE,IF(ISERROR(FIND(ROW($1:$168)-1,BS666&amp;BT666)),ROW($1:$168)-1,""))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66" s="22" t="str">
        <f t="shared" si="423"/>
        <v>中中中</v>
      </c>
      <c r="BW666" s="23">
        <f t="shared" si="434"/>
        <v>2</v>
      </c>
      <c r="BX666" s="23">
        <f t="shared" si="432"/>
        <v>2</v>
      </c>
      <c r="BY666" s="23" t="str">
        <f t="array" ref="BY666">_xlfn.TEXTJOIN("",TRUE,IF(ISERROR(FIND(ROW($1:$168)-1,BW666&amp;BX666)),ROW($1:$168)-1,""))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66" s="22" t="str">
        <f t="shared" si="424"/>
        <v>复隔中</v>
      </c>
      <c r="CA666" s="24">
        <f t="shared" si="425"/>
        <v>2</v>
      </c>
      <c r="CB666" s="24">
        <f t="shared" si="433"/>
        <v>2</v>
      </c>
      <c r="CC666" s="24" t="str">
        <f t="array" ref="CC666">_xlfn.TEXTJOIN("",TRUE,IF(ISERROR(FIND(ROW($1:$168)-1,CA666&amp;CB666)),ROW($1:$168)-1,""))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66" s="22" t="str">
        <f t="shared" si="426"/>
        <v>复隔中</v>
      </c>
      <c r="CE666" s="25" t="str">
        <f t="shared" si="420"/>
        <v>91</v>
      </c>
      <c r="CF666" s="26" t="str">
        <f t="array" ref="CF666">_xlfn.TEXTJOIN("",TRUE,IF(ISNUMBER(FIND(MID(CE665&amp;W665,ROW($1:$162),1),CE666&amp;W666)),MID(CE665&amp;W665,ROW($1:$162),1),""))</f>
        <v/>
      </c>
      <c r="CG666" s="27" t="str">
        <f t="array" ref="CG666">_xlfn.TEXTJOIN("",TRUE,IF(ISERROR(FIND(ROW($1:$168)-1,CE666&amp;CF666)),ROW($1:$168)-1,""))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666" s="28" t="str">
        <f t="shared" si="427"/>
        <v>邻孤孤</v>
      </c>
      <c r="CI666" s="29" t="str">
        <f t="shared" si="428"/>
        <v>13</v>
      </c>
      <c r="CJ666" s="29" t="str">
        <f t="array" ref="CJ666">_xlfn.TEXTJOIN("",TRUE,IF(ISNUMBER(FIND(MID(CI665&amp;X665,ROW($1:$162),1),CI666&amp;X666)),MID(CI665&amp;X665,ROW($1:$162),1),""))</f>
        <v>132</v>
      </c>
      <c r="CK666" s="29" t="str">
        <f t="array" ref="CK666">_xlfn.TEXTJOIN("",TRUE,IF(ISERROR(FIND(ROW($1:$168)-1,CI666&amp;CJ666)),ROW($1:$168)-1,""))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666" s="19" t="str">
        <f t="shared" si="429"/>
        <v>邻传孤</v>
      </c>
      <c r="CM666" s="24" t="str">
        <f t="shared" si="430"/>
        <v>13</v>
      </c>
      <c r="CN666" s="24" t="str">
        <f t="array" ref="CN666">_xlfn.TEXTJOIN("",TRUE,IF(ISNUMBER(FIND(MID(CM665&amp;Y665,ROW($1:$162),1),CM666&amp;Y666)),MID(CM665&amp;Y665,ROW($1:$162),1),""))</f>
        <v/>
      </c>
      <c r="CO666" s="24" t="str">
        <f t="array" ref="CO666">_xlfn.TEXTJOIN("",TRUE,IF(ISERROR(FIND(ROW($1:$168)-1,CM666&amp;CN666)),ROW($1:$168)-1,""))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66" s="30" t="str">
        <f t="shared" si="431"/>
        <v>邻孤孤</v>
      </c>
    </row>
    <row r="667" spans="1:94">
      <c r="A667" s="15">
        <v>667</v>
      </c>
      <c r="B667" s="80">
        <v>2025284</v>
      </c>
      <c r="C667" s="8" t="s">
        <v>506</v>
      </c>
      <c r="D667" s="81">
        <f t="shared" si="442"/>
        <v>16</v>
      </c>
      <c r="E667" s="82">
        <f t="shared" si="443"/>
        <v>6</v>
      </c>
      <c r="F667" s="83">
        <f t="shared" si="435"/>
        <v>4</v>
      </c>
      <c r="G667" s="84" t="str">
        <f t="shared" si="436"/>
        <v>紧凑</v>
      </c>
      <c r="H667" s="85" t="s">
        <v>10</v>
      </c>
      <c r="I667" s="85" t="s">
        <v>11</v>
      </c>
      <c r="J667" s="85" t="s">
        <v>12</v>
      </c>
      <c r="K667" s="85" t="s">
        <v>13</v>
      </c>
      <c r="L667" s="86">
        <f>MAX(MID(C667,{1,2,3},1)*1)-MIN(MID(C667,{1,2,3},1)*1)</f>
        <v>4</v>
      </c>
      <c r="M667" s="87">
        <v>0</v>
      </c>
      <c r="N667" s="87">
        <v>1</v>
      </c>
      <c r="O667" s="87">
        <v>2</v>
      </c>
      <c r="P667" s="87">
        <v>3</v>
      </c>
      <c r="Q667" s="87">
        <v>4</v>
      </c>
      <c r="R667" s="87">
        <v>5</v>
      </c>
      <c r="S667" s="87">
        <v>6</v>
      </c>
      <c r="T667" s="87">
        <v>7</v>
      </c>
      <c r="U667" s="87">
        <v>8</v>
      </c>
      <c r="V667" s="87">
        <v>9</v>
      </c>
      <c r="W667" s="88">
        <f t="shared" si="444"/>
        <v>4</v>
      </c>
      <c r="X667" s="88">
        <f t="shared" si="445"/>
        <v>4</v>
      </c>
      <c r="Y667" s="88">
        <f t="shared" si="446"/>
        <v>0</v>
      </c>
      <c r="Z667" s="89">
        <f t="shared" si="418"/>
        <v>8</v>
      </c>
      <c r="AA667" s="17" t="str">
        <f>_xlfn.TEXTJOIN(", ",TRUE,ABS(MID(C667,{1,1,2},1)-MID(C667,{2,3,3},1)))</f>
        <v>4, 4, 0</v>
      </c>
      <c r="AB667" s="90">
        <v>0</v>
      </c>
      <c r="AC667" s="90">
        <v>1</v>
      </c>
      <c r="AD667" s="90">
        <v>2</v>
      </c>
      <c r="AE667" s="90">
        <v>3</v>
      </c>
      <c r="AF667" s="90">
        <v>4</v>
      </c>
      <c r="AG667" s="90">
        <v>5</v>
      </c>
      <c r="AH667" s="90">
        <v>6</v>
      </c>
      <c r="AI667" s="90">
        <v>7</v>
      </c>
      <c r="AJ667" s="90">
        <v>8</v>
      </c>
      <c r="AK667" s="90">
        <v>9</v>
      </c>
      <c r="AL667" s="91">
        <v>0</v>
      </c>
      <c r="AM667" s="91">
        <v>1</v>
      </c>
      <c r="AN667" s="91">
        <v>2</v>
      </c>
      <c r="AO667" s="91">
        <v>3</v>
      </c>
      <c r="AP667" s="91">
        <v>4</v>
      </c>
      <c r="AQ667" s="91">
        <v>5</v>
      </c>
      <c r="AR667" s="91">
        <v>6</v>
      </c>
      <c r="AS667" s="91">
        <v>7</v>
      </c>
      <c r="AT667" s="91">
        <v>8</v>
      </c>
      <c r="AU667" s="91">
        <v>9</v>
      </c>
      <c r="AV667" s="92">
        <v>0</v>
      </c>
      <c r="AW667" s="92">
        <v>1</v>
      </c>
      <c r="AX667" s="92">
        <v>2</v>
      </c>
      <c r="AY667" s="92">
        <v>3</v>
      </c>
      <c r="AZ667" s="92">
        <v>4</v>
      </c>
      <c r="BA667" s="92">
        <v>5</v>
      </c>
      <c r="BB667" s="92">
        <v>6</v>
      </c>
      <c r="BC667" s="92">
        <v>7</v>
      </c>
      <c r="BD667" s="92">
        <v>8</v>
      </c>
      <c r="BE667" s="92">
        <v>9</v>
      </c>
      <c r="BF667" s="93">
        <v>0</v>
      </c>
      <c r="BG667" s="93">
        <v>1</v>
      </c>
      <c r="BH667" s="93">
        <v>2</v>
      </c>
      <c r="BI667" s="93">
        <v>3</v>
      </c>
      <c r="BJ667" s="93">
        <v>4</v>
      </c>
      <c r="BK667" s="93">
        <v>5</v>
      </c>
      <c r="BL667" s="93">
        <v>6</v>
      </c>
      <c r="BM667" s="93">
        <v>7</v>
      </c>
      <c r="BN667" s="93">
        <v>8</v>
      </c>
      <c r="BO667" s="93">
        <v>9</v>
      </c>
      <c r="BP667" s="94" t="str">
        <f t="shared" si="419"/>
        <v>紧凑型</v>
      </c>
      <c r="BQ667" s="15">
        <f t="shared" si="416"/>
        <v>0</v>
      </c>
      <c r="BR667" s="15">
        <f t="shared" si="417"/>
        <v>4</v>
      </c>
      <c r="BS667" s="20" t="str">
        <f t="shared" si="421"/>
        <v/>
      </c>
      <c r="BT667" s="21" t="str">
        <f t="shared" si="422"/>
        <v/>
      </c>
      <c r="BU667" s="21" t="str">
        <f t="array" ref="BU667">_xlfn.TEXTJOIN("",TRUE,IF(ISERROR(FIND(ROW($1:$168)-1,BS667&amp;BT667)),ROW($1:$168)-1,""))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67" s="22" t="str">
        <f t="shared" si="423"/>
        <v>中中中</v>
      </c>
      <c r="BW667" s="23" t="str">
        <f t="shared" si="434"/>
        <v/>
      </c>
      <c r="BX667" s="23" t="str">
        <f t="shared" si="432"/>
        <v/>
      </c>
      <c r="BY667" s="23" t="str">
        <f t="array" ref="BY667">_xlfn.TEXTJOIN("",TRUE,IF(ISERROR(FIND(ROW($1:$168)-1,BW667&amp;BX667)),ROW($1:$168)-1,""))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67" s="22" t="str">
        <f t="shared" si="424"/>
        <v>中中中</v>
      </c>
      <c r="CA667" s="24">
        <f t="shared" si="425"/>
        <v>0</v>
      </c>
      <c r="CB667" s="24" t="str">
        <f t="shared" si="433"/>
        <v/>
      </c>
      <c r="CC667" s="24" t="str">
        <f t="array" ref="CC667">_xlfn.TEXTJOIN("",TRUE,IF(ISERROR(FIND(ROW($1:$168)-1,CA667&amp;CB667)),ROW($1:$168)-1,""))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67" s="22" t="str">
        <f t="shared" si="426"/>
        <v>复中中</v>
      </c>
      <c r="CE667" s="25" t="str">
        <f t="shared" si="420"/>
        <v>35</v>
      </c>
      <c r="CF667" s="26" t="str">
        <f t="array" ref="CF667">_xlfn.TEXTJOIN("",TRUE,IF(ISNUMBER(FIND(MID(CE666&amp;W666,ROW($1:$162),1),CE667&amp;W667)),MID(CE666&amp;W666,ROW($1:$162),1),""))</f>
        <v/>
      </c>
      <c r="CG667" s="27" t="str">
        <f t="array" ref="CG667">_xlfn.TEXTJOIN("",TRUE,IF(ISERROR(FIND(ROW($1:$168)-1,CE667&amp;CF667)),ROW($1:$168)-1,""))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67" s="28" t="str">
        <f t="shared" si="427"/>
        <v>邻孤孤</v>
      </c>
      <c r="CI667" s="29" t="str">
        <f t="shared" si="428"/>
        <v>35</v>
      </c>
      <c r="CJ667" s="29" t="str">
        <f t="array" ref="CJ667">_xlfn.TEXTJOIN("",TRUE,IF(ISNUMBER(FIND(MID(CI666&amp;X666,ROW($1:$162),1),CI667&amp;X667)),MID(CI666&amp;X666,ROW($1:$162),1),""))</f>
        <v>3</v>
      </c>
      <c r="CK667" s="29" t="str">
        <f t="array" ref="CK667">_xlfn.TEXTJOIN("",TRUE,IF(ISERROR(FIND(ROW($1:$168)-1,CI667&amp;CJ667)),ROW($1:$168)-1,""))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67" s="19" t="str">
        <f t="shared" si="429"/>
        <v>邻传孤</v>
      </c>
      <c r="CM667" s="24" t="str">
        <f t="shared" si="430"/>
        <v>91</v>
      </c>
      <c r="CN667" s="24" t="str">
        <f t="array" ref="CN667">_xlfn.TEXTJOIN("",TRUE,IF(ISNUMBER(FIND(MID(CM666&amp;Y666,ROW($1:$162),1),CM667&amp;Y667)),MID(CM666&amp;Y666,ROW($1:$162),1),""))</f>
        <v>1</v>
      </c>
      <c r="CO667" s="24" t="str">
        <f t="array" ref="CO667">_xlfn.TEXTJOIN("",TRUE,IF(ISERROR(FIND(ROW($1:$168)-1,CM667&amp;CN667)),ROW($1:$168)-1,""))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667" s="30" t="str">
        <f t="shared" si="431"/>
        <v>邻传孤</v>
      </c>
    </row>
    <row r="668" spans="1:94">
      <c r="A668" s="15">
        <v>668</v>
      </c>
      <c r="B668" s="80">
        <v>2025285</v>
      </c>
      <c r="C668" s="8" t="s">
        <v>240</v>
      </c>
      <c r="D668" s="81">
        <f t="shared" ref="D668:D681" si="447">LEFT(C668,1)+MID(C668,2,1)+RIGHT(C668,1)</f>
        <v>10</v>
      </c>
      <c r="E668" s="82">
        <f t="shared" ref="E668:E681" si="448">MOD(LEFT(C668,1)+MID(C668,2,1)+RIGHT(C668,1),10)</f>
        <v>0</v>
      </c>
      <c r="F668" s="83">
        <f t="shared" si="435"/>
        <v>1.66666666666667</v>
      </c>
      <c r="G668" s="84" t="str">
        <f t="shared" si="436"/>
        <v>松散</v>
      </c>
      <c r="H668" s="85" t="s">
        <v>10</v>
      </c>
      <c r="I668" s="85" t="s">
        <v>11</v>
      </c>
      <c r="J668" s="85" t="s">
        <v>12</v>
      </c>
      <c r="K668" s="85" t="s">
        <v>13</v>
      </c>
      <c r="L668" s="86">
        <f>MAX(MID(C668,{1,2,3},1)*1)-MIN(MID(C668,{1,2,3},1)*1)</f>
        <v>6</v>
      </c>
      <c r="M668" s="87">
        <v>0</v>
      </c>
      <c r="N668" s="87">
        <v>1</v>
      </c>
      <c r="O668" s="87">
        <v>2</v>
      </c>
      <c r="P668" s="87">
        <v>3</v>
      </c>
      <c r="Q668" s="87">
        <v>4</v>
      </c>
      <c r="R668" s="87">
        <v>5</v>
      </c>
      <c r="S668" s="87">
        <v>6</v>
      </c>
      <c r="T668" s="87">
        <v>7</v>
      </c>
      <c r="U668" s="87">
        <v>8</v>
      </c>
      <c r="V668" s="87">
        <v>9</v>
      </c>
      <c r="W668" s="88">
        <f t="shared" ref="W668:W681" si="449">ABS(LEFT(C668,1)-MID(C668,2,1))</f>
        <v>6</v>
      </c>
      <c r="X668" s="88">
        <f t="shared" ref="X668:X681" si="450">ABS(LEFT(C668,1)-RIGHT(C668,1))</f>
        <v>1</v>
      </c>
      <c r="Y668" s="88">
        <f t="shared" ref="Y668:Y681" si="451">ABS(MID(C668,2,1)-RIGHT(C668,1))</f>
        <v>5</v>
      </c>
      <c r="Z668" s="89">
        <f t="shared" si="418"/>
        <v>12</v>
      </c>
      <c r="AA668" s="17" t="str">
        <f>_xlfn.TEXTJOIN(", ",TRUE,ABS(MID(C668,{1,1,2},1)-MID(C668,{2,3,3},1)))</f>
        <v>6, 1, 5</v>
      </c>
      <c r="AB668" s="90">
        <v>0</v>
      </c>
      <c r="AC668" s="90">
        <v>1</v>
      </c>
      <c r="AD668" s="90">
        <v>2</v>
      </c>
      <c r="AE668" s="90">
        <v>3</v>
      </c>
      <c r="AF668" s="90">
        <v>4</v>
      </c>
      <c r="AG668" s="90">
        <v>5</v>
      </c>
      <c r="AH668" s="90">
        <v>6</v>
      </c>
      <c r="AI668" s="90">
        <v>7</v>
      </c>
      <c r="AJ668" s="90">
        <v>8</v>
      </c>
      <c r="AK668" s="90">
        <v>9</v>
      </c>
      <c r="AL668" s="91">
        <v>0</v>
      </c>
      <c r="AM668" s="91">
        <v>1</v>
      </c>
      <c r="AN668" s="91">
        <v>2</v>
      </c>
      <c r="AO668" s="91">
        <v>3</v>
      </c>
      <c r="AP668" s="91">
        <v>4</v>
      </c>
      <c r="AQ668" s="91">
        <v>5</v>
      </c>
      <c r="AR668" s="91">
        <v>6</v>
      </c>
      <c r="AS668" s="91">
        <v>7</v>
      </c>
      <c r="AT668" s="91">
        <v>8</v>
      </c>
      <c r="AU668" s="91">
        <v>9</v>
      </c>
      <c r="AV668" s="92">
        <v>0</v>
      </c>
      <c r="AW668" s="92">
        <v>1</v>
      </c>
      <c r="AX668" s="92">
        <v>2</v>
      </c>
      <c r="AY668" s="92">
        <v>3</v>
      </c>
      <c r="AZ668" s="92">
        <v>4</v>
      </c>
      <c r="BA668" s="92">
        <v>5</v>
      </c>
      <c r="BB668" s="92">
        <v>6</v>
      </c>
      <c r="BC668" s="92">
        <v>7</v>
      </c>
      <c r="BD668" s="92">
        <v>8</v>
      </c>
      <c r="BE668" s="92">
        <v>9</v>
      </c>
      <c r="BF668" s="93">
        <v>0</v>
      </c>
      <c r="BG668" s="93">
        <v>1</v>
      </c>
      <c r="BH668" s="93">
        <v>2</v>
      </c>
      <c r="BI668" s="93">
        <v>3</v>
      </c>
      <c r="BJ668" s="93">
        <v>4</v>
      </c>
      <c r="BK668" s="93">
        <v>5</v>
      </c>
      <c r="BL668" s="93">
        <v>6</v>
      </c>
      <c r="BM668" s="93">
        <v>7</v>
      </c>
      <c r="BN668" s="93">
        <v>8</v>
      </c>
      <c r="BO668" s="93">
        <v>9</v>
      </c>
      <c r="BP668" s="94" t="str">
        <f t="shared" si="419"/>
        <v>松散型</v>
      </c>
      <c r="BQ668" s="15">
        <f t="shared" si="416"/>
        <v>1</v>
      </c>
      <c r="BR668" s="15">
        <f t="shared" si="417"/>
        <v>6</v>
      </c>
      <c r="BS668" s="20" t="str">
        <f t="shared" si="421"/>
        <v/>
      </c>
      <c r="BT668" s="21" t="str">
        <f t="shared" si="422"/>
        <v/>
      </c>
      <c r="BU668" s="21" t="str">
        <f t="array" ref="BU668">_xlfn.TEXTJOIN("",TRUE,IF(ISERROR(FIND(ROW($1:$168)-1,BS668&amp;BT668)),ROW($1:$168)-1,""))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68" s="22" t="str">
        <f t="shared" si="423"/>
        <v>中中中</v>
      </c>
      <c r="BW668" s="23" t="str">
        <f t="shared" si="434"/>
        <v/>
      </c>
      <c r="BX668" s="23" t="str">
        <f t="shared" si="432"/>
        <v/>
      </c>
      <c r="BY668" s="23" t="str">
        <f t="array" ref="BY668">_xlfn.TEXTJOIN("",TRUE,IF(ISERROR(FIND(ROW($1:$168)-1,BW668&amp;BX668)),ROW($1:$168)-1,""))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68" s="22" t="str">
        <f t="shared" si="424"/>
        <v>中中中</v>
      </c>
      <c r="CA668" s="24" t="str">
        <f t="shared" si="425"/>
        <v/>
      </c>
      <c r="CB668" s="24" t="str">
        <f t="shared" si="433"/>
        <v/>
      </c>
      <c r="CC668" s="24" t="str">
        <f t="array" ref="CC668">_xlfn.TEXTJOIN("",TRUE,IF(ISERROR(FIND(ROW($1:$168)-1,CA668&amp;CB668)),ROW($1:$168)-1,""))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68" s="22" t="str">
        <f t="shared" si="426"/>
        <v>中中中</v>
      </c>
      <c r="CE668" s="25" t="str">
        <f t="shared" si="420"/>
        <v>57</v>
      </c>
      <c r="CF668" s="26" t="str">
        <f t="array" ref="CF668">_xlfn.TEXTJOIN("",TRUE,IF(ISNUMBER(FIND(MID(CE667&amp;W667,ROW($1:$162),1),CE668&amp;W668)),MID(CE667&amp;W667,ROW($1:$162),1),""))</f>
        <v>5</v>
      </c>
      <c r="CG668" s="27" t="str">
        <f t="array" ref="CG668">_xlfn.TEXTJOIN("",TRUE,IF(ISERROR(FIND(ROW($1:$168)-1,CE668&amp;CF668)),ROW($1:$168)-1,""))</f>
        <v>0123468910111213141516171819202122232425262728293031323334353637383940414243444546474849505152535455565859606162636465666768697071727374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68" s="28" t="str">
        <f t="shared" si="427"/>
        <v>邻传孤</v>
      </c>
      <c r="CI668" s="29" t="str">
        <f t="shared" si="428"/>
        <v>02</v>
      </c>
      <c r="CJ668" s="29" t="str">
        <f t="array" ref="CJ668">_xlfn.TEXTJOIN("",TRUE,IF(ISNUMBER(FIND(MID(CI667&amp;X667,ROW($1:$162),1),CI668&amp;X668)),MID(CI667&amp;X667,ROW($1:$162),1),""))</f>
        <v/>
      </c>
      <c r="CK668" s="29" t="str">
        <f t="array" ref="CK668">_xlfn.TEXTJOIN("",TRUE,IF(ISERROR(FIND(ROW($1:$168)-1,CI668&amp;CJ668)),ROW($1:$168)-1,""))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68" s="19" t="str">
        <f t="shared" si="429"/>
        <v>邻孤孤</v>
      </c>
      <c r="CM668" s="24" t="str">
        <f t="shared" si="430"/>
        <v>46</v>
      </c>
      <c r="CN668" s="24" t="str">
        <f t="array" ref="CN668">_xlfn.TEXTJOIN("",TRUE,IF(ISNUMBER(FIND(MID(CM667&amp;Y667,ROW($1:$162),1),CM668&amp;Y668)),MID(CM667&amp;Y667,ROW($1:$162),1),""))</f>
        <v/>
      </c>
      <c r="CO668" s="24" t="str">
        <f t="array" ref="CO668">_xlfn.TEXTJOIN("",TRUE,IF(ISERROR(FIND(ROW($1:$168)-1,CM668&amp;CN668)),ROW($1:$168)-1,""))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68" s="30" t="str">
        <f t="shared" si="431"/>
        <v>邻孤孤</v>
      </c>
    </row>
    <row r="669" spans="1:94">
      <c r="A669" s="15">
        <v>669</v>
      </c>
      <c r="B669" s="80">
        <v>2025286</v>
      </c>
      <c r="C669" s="8" t="s">
        <v>291</v>
      </c>
      <c r="D669" s="81">
        <f t="shared" si="447"/>
        <v>17</v>
      </c>
      <c r="E669" s="82">
        <f t="shared" si="448"/>
        <v>7</v>
      </c>
      <c r="F669" s="83">
        <f t="shared" si="435"/>
        <v>2.83333333333333</v>
      </c>
      <c r="G669" s="84" t="str">
        <f t="shared" si="436"/>
        <v>标准</v>
      </c>
      <c r="H669" s="85" t="s">
        <v>10</v>
      </c>
      <c r="I669" s="85" t="s">
        <v>11</v>
      </c>
      <c r="J669" s="85" t="s">
        <v>12</v>
      </c>
      <c r="K669" s="85" t="s">
        <v>13</v>
      </c>
      <c r="L669" s="86">
        <f>MAX(MID(C669,{1,2,3},1)*1)-MIN(MID(C669,{1,2,3},1)*1)</f>
        <v>6</v>
      </c>
      <c r="M669" s="87">
        <v>0</v>
      </c>
      <c r="N669" s="87">
        <v>1</v>
      </c>
      <c r="O669" s="87">
        <v>2</v>
      </c>
      <c r="P669" s="87">
        <v>3</v>
      </c>
      <c r="Q669" s="87">
        <v>4</v>
      </c>
      <c r="R669" s="87">
        <v>5</v>
      </c>
      <c r="S669" s="87">
        <v>6</v>
      </c>
      <c r="T669" s="87">
        <v>7</v>
      </c>
      <c r="U669" s="87">
        <v>8</v>
      </c>
      <c r="V669" s="87">
        <v>9</v>
      </c>
      <c r="W669" s="88">
        <f t="shared" si="449"/>
        <v>6</v>
      </c>
      <c r="X669" s="88">
        <f t="shared" si="450"/>
        <v>1</v>
      </c>
      <c r="Y669" s="88">
        <f t="shared" si="451"/>
        <v>5</v>
      </c>
      <c r="Z669" s="89">
        <f t="shared" si="418"/>
        <v>12</v>
      </c>
      <c r="AA669" s="17" t="str">
        <f>_xlfn.TEXTJOIN(", ",TRUE,ABS(MID(C669,{1,1,2},1)-MID(C669,{2,3,3},1)))</f>
        <v>6, 1, 5</v>
      </c>
      <c r="AB669" s="90">
        <v>0</v>
      </c>
      <c r="AC669" s="90">
        <v>1</v>
      </c>
      <c r="AD669" s="90">
        <v>2</v>
      </c>
      <c r="AE669" s="90">
        <v>3</v>
      </c>
      <c r="AF669" s="90">
        <v>4</v>
      </c>
      <c r="AG669" s="90">
        <v>5</v>
      </c>
      <c r="AH669" s="90">
        <v>6</v>
      </c>
      <c r="AI669" s="90">
        <v>7</v>
      </c>
      <c r="AJ669" s="90">
        <v>8</v>
      </c>
      <c r="AK669" s="90">
        <v>9</v>
      </c>
      <c r="AL669" s="91">
        <v>0</v>
      </c>
      <c r="AM669" s="91">
        <v>1</v>
      </c>
      <c r="AN669" s="91">
        <v>2</v>
      </c>
      <c r="AO669" s="91">
        <v>3</v>
      </c>
      <c r="AP669" s="91">
        <v>4</v>
      </c>
      <c r="AQ669" s="91">
        <v>5</v>
      </c>
      <c r="AR669" s="91">
        <v>6</v>
      </c>
      <c r="AS669" s="91">
        <v>7</v>
      </c>
      <c r="AT669" s="91">
        <v>8</v>
      </c>
      <c r="AU669" s="91">
        <v>9</v>
      </c>
      <c r="AV669" s="92">
        <v>0</v>
      </c>
      <c r="AW669" s="92">
        <v>1</v>
      </c>
      <c r="AX669" s="92">
        <v>2</v>
      </c>
      <c r="AY669" s="92">
        <v>3</v>
      </c>
      <c r="AZ669" s="92">
        <v>4</v>
      </c>
      <c r="BA669" s="92">
        <v>5</v>
      </c>
      <c r="BB669" s="92">
        <v>6</v>
      </c>
      <c r="BC669" s="92">
        <v>7</v>
      </c>
      <c r="BD669" s="92">
        <v>8</v>
      </c>
      <c r="BE669" s="92">
        <v>9</v>
      </c>
      <c r="BF669" s="93">
        <v>0</v>
      </c>
      <c r="BG669" s="93">
        <v>1</v>
      </c>
      <c r="BH669" s="93">
        <v>2</v>
      </c>
      <c r="BI669" s="93">
        <v>3</v>
      </c>
      <c r="BJ669" s="93">
        <v>4</v>
      </c>
      <c r="BK669" s="93">
        <v>5</v>
      </c>
      <c r="BL669" s="93">
        <v>6</v>
      </c>
      <c r="BM669" s="93">
        <v>7</v>
      </c>
      <c r="BN669" s="93">
        <v>8</v>
      </c>
      <c r="BO669" s="93">
        <v>9</v>
      </c>
      <c r="BP669" s="94" t="str">
        <f t="shared" si="419"/>
        <v>松散型</v>
      </c>
      <c r="BQ669" s="15">
        <f t="shared" si="416"/>
        <v>1</v>
      </c>
      <c r="BR669" s="15">
        <f t="shared" si="417"/>
        <v>6</v>
      </c>
      <c r="BS669" s="20">
        <f t="shared" si="421"/>
        <v>6</v>
      </c>
      <c r="BT669" s="21" t="str">
        <f t="shared" si="422"/>
        <v/>
      </c>
      <c r="BU669" s="21" t="str">
        <f t="array" ref="BU669">_xlfn.TEXTJOIN("",TRUE,IF(ISERROR(FIND(ROW($1:$168)-1,BS669&amp;BT669)),ROW($1:$168)-1,""))</f>
        <v>012345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69" s="22" t="str">
        <f t="shared" si="423"/>
        <v>复中中</v>
      </c>
      <c r="BW669" s="23">
        <f t="shared" si="434"/>
        <v>1</v>
      </c>
      <c r="BX669" s="23" t="str">
        <f t="shared" si="432"/>
        <v/>
      </c>
      <c r="BY669" s="23" t="str">
        <f t="array" ref="BY669">_xlfn.TEXTJOIN("",TRUE,IF(ISERROR(FIND(ROW($1:$168)-1,BW669&amp;BX669)),ROW($1:$168)-1,""))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69" s="22" t="str">
        <f t="shared" si="424"/>
        <v>复中中</v>
      </c>
      <c r="CA669" s="24">
        <f t="shared" si="425"/>
        <v>5</v>
      </c>
      <c r="CB669" s="24" t="str">
        <f t="shared" si="433"/>
        <v/>
      </c>
      <c r="CC669" s="24" t="str">
        <f t="array" ref="CC669">_xlfn.TEXTJOIN("",TRUE,IF(ISERROR(FIND(ROW($1:$168)-1,CA669&amp;CB669)),ROW($1:$168)-1,""))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69" s="22" t="str">
        <f t="shared" si="426"/>
        <v>复中中</v>
      </c>
      <c r="CE669" s="25" t="str">
        <f t="shared" si="420"/>
        <v>57</v>
      </c>
      <c r="CF669" s="26" t="str">
        <f t="array" ref="CF669">_xlfn.TEXTJOIN("",TRUE,IF(ISNUMBER(FIND(MID(CE668&amp;W668,ROW($1:$162),1),CE669&amp;W669)),MID(CE668&amp;W668,ROW($1:$162),1),""))</f>
        <v>576</v>
      </c>
      <c r="CG669" s="27" t="str">
        <f t="array" ref="CG669">_xlfn.TEXTJOIN("",TRUE,IF(ISERROR(FIND(ROW($1:$168)-1,CE669&amp;CF669)),ROW($1:$168)-1,""))</f>
        <v>012348910111213141516171819202122232425262728293031323334353637383940414243444546474849505152535455565859606162636465666768697071727374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69" s="28" t="str">
        <f t="shared" si="427"/>
        <v>邻传孤</v>
      </c>
      <c r="CI669" s="29" t="str">
        <f t="shared" si="428"/>
        <v>02</v>
      </c>
      <c r="CJ669" s="29" t="str">
        <f t="array" ref="CJ669">_xlfn.TEXTJOIN("",TRUE,IF(ISNUMBER(FIND(MID(CI668&amp;X668,ROW($1:$162),1),CI669&amp;X669)),MID(CI668&amp;X668,ROW($1:$162),1),""))</f>
        <v>021</v>
      </c>
      <c r="CK669" s="29" t="str">
        <f t="array" ref="CK669">_xlfn.TEXTJOIN("",TRUE,IF(ISERROR(FIND(ROW($1:$168)-1,CI669&amp;CJ669)),ROW($1:$168)-1,""))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69" s="19" t="str">
        <f t="shared" si="429"/>
        <v>邻传孤</v>
      </c>
      <c r="CM669" s="24" t="str">
        <f t="shared" si="430"/>
        <v>46</v>
      </c>
      <c r="CN669" s="24" t="str">
        <f t="array" ref="CN669">_xlfn.TEXTJOIN("",TRUE,IF(ISNUMBER(FIND(MID(CM668&amp;Y668,ROW($1:$162),1),CM669&amp;Y669)),MID(CM668&amp;Y668,ROW($1:$162),1),""))</f>
        <v>465</v>
      </c>
      <c r="CO669" s="24" t="str">
        <f t="array" ref="CO669">_xlfn.TEXTJOIN("",TRUE,IF(ISERROR(FIND(ROW($1:$168)-1,CM669&amp;CN669)),ROW($1:$168)-1,""))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69" s="30" t="str">
        <f t="shared" si="431"/>
        <v>邻传孤</v>
      </c>
    </row>
    <row r="670" spans="1:94">
      <c r="A670" s="15">
        <v>670</v>
      </c>
      <c r="B670" s="80">
        <v>2025287</v>
      </c>
      <c r="C670" s="8" t="s">
        <v>112</v>
      </c>
      <c r="D670" s="81">
        <f t="shared" si="447"/>
        <v>13</v>
      </c>
      <c r="E670" s="82">
        <f t="shared" si="448"/>
        <v>3</v>
      </c>
      <c r="F670" s="83">
        <f t="shared" si="435"/>
        <v>1.625</v>
      </c>
      <c r="G670" s="84" t="str">
        <f t="shared" si="436"/>
        <v>松散</v>
      </c>
      <c r="H670" s="85" t="s">
        <v>10</v>
      </c>
      <c r="I670" s="85" t="s">
        <v>11</v>
      </c>
      <c r="J670" s="85" t="s">
        <v>12</v>
      </c>
      <c r="K670" s="85" t="s">
        <v>13</v>
      </c>
      <c r="L670" s="86">
        <f>MAX(MID(C670,{1,2,3},1)*1)-MIN(MID(C670,{1,2,3},1)*1)</f>
        <v>8</v>
      </c>
      <c r="M670" s="87">
        <v>0</v>
      </c>
      <c r="N670" s="87">
        <v>1</v>
      </c>
      <c r="O670" s="87">
        <v>2</v>
      </c>
      <c r="P670" s="87">
        <v>3</v>
      </c>
      <c r="Q670" s="87">
        <v>4</v>
      </c>
      <c r="R670" s="87">
        <v>5</v>
      </c>
      <c r="S670" s="87">
        <v>6</v>
      </c>
      <c r="T670" s="87">
        <v>7</v>
      </c>
      <c r="U670" s="87">
        <v>8</v>
      </c>
      <c r="V670" s="87">
        <v>9</v>
      </c>
      <c r="W670" s="88">
        <f t="shared" si="449"/>
        <v>8</v>
      </c>
      <c r="X670" s="88">
        <f t="shared" si="450"/>
        <v>3</v>
      </c>
      <c r="Y670" s="88">
        <f t="shared" si="451"/>
        <v>5</v>
      </c>
      <c r="Z670" s="89">
        <f t="shared" si="418"/>
        <v>16</v>
      </c>
      <c r="AA670" s="17" t="str">
        <f>_xlfn.TEXTJOIN(", ",TRUE,ABS(MID(C670,{1,1,2},1)-MID(C670,{2,3,3},1)))</f>
        <v>8, 3, 5</v>
      </c>
      <c r="AB670" s="90">
        <v>0</v>
      </c>
      <c r="AC670" s="90">
        <v>1</v>
      </c>
      <c r="AD670" s="90">
        <v>2</v>
      </c>
      <c r="AE670" s="90">
        <v>3</v>
      </c>
      <c r="AF670" s="90">
        <v>4</v>
      </c>
      <c r="AG670" s="90">
        <v>5</v>
      </c>
      <c r="AH670" s="90">
        <v>6</v>
      </c>
      <c r="AI670" s="90">
        <v>7</v>
      </c>
      <c r="AJ670" s="90">
        <v>8</v>
      </c>
      <c r="AK670" s="90">
        <v>9</v>
      </c>
      <c r="AL670" s="91">
        <v>0</v>
      </c>
      <c r="AM670" s="91">
        <v>1</v>
      </c>
      <c r="AN670" s="91">
        <v>2</v>
      </c>
      <c r="AO670" s="91">
        <v>3</v>
      </c>
      <c r="AP670" s="91">
        <v>4</v>
      </c>
      <c r="AQ670" s="91">
        <v>5</v>
      </c>
      <c r="AR670" s="91">
        <v>6</v>
      </c>
      <c r="AS670" s="91">
        <v>7</v>
      </c>
      <c r="AT670" s="91">
        <v>8</v>
      </c>
      <c r="AU670" s="91">
        <v>9</v>
      </c>
      <c r="AV670" s="92">
        <v>0</v>
      </c>
      <c r="AW670" s="92">
        <v>1</v>
      </c>
      <c r="AX670" s="92">
        <v>2</v>
      </c>
      <c r="AY670" s="92">
        <v>3</v>
      </c>
      <c r="AZ670" s="92">
        <v>4</v>
      </c>
      <c r="BA670" s="92">
        <v>5</v>
      </c>
      <c r="BB670" s="92">
        <v>6</v>
      </c>
      <c r="BC670" s="92">
        <v>7</v>
      </c>
      <c r="BD670" s="92">
        <v>8</v>
      </c>
      <c r="BE670" s="92">
        <v>9</v>
      </c>
      <c r="BF670" s="93">
        <v>0</v>
      </c>
      <c r="BG670" s="93">
        <v>1</v>
      </c>
      <c r="BH670" s="93">
        <v>2</v>
      </c>
      <c r="BI670" s="93">
        <v>3</v>
      </c>
      <c r="BJ670" s="93">
        <v>4</v>
      </c>
      <c r="BK670" s="93">
        <v>5</v>
      </c>
      <c r="BL670" s="93">
        <v>6</v>
      </c>
      <c r="BM670" s="93">
        <v>7</v>
      </c>
      <c r="BN670" s="93">
        <v>8</v>
      </c>
      <c r="BO670" s="93">
        <v>9</v>
      </c>
      <c r="BP670" s="94" t="str">
        <f t="shared" si="419"/>
        <v>松散型</v>
      </c>
      <c r="BQ670" s="15">
        <f t="shared" si="416"/>
        <v>3</v>
      </c>
      <c r="BR670" s="15">
        <f t="shared" si="417"/>
        <v>8</v>
      </c>
      <c r="BS670" s="20" t="str">
        <f t="shared" si="421"/>
        <v/>
      </c>
      <c r="BT670" s="21" t="str">
        <f t="shared" si="422"/>
        <v/>
      </c>
      <c r="BU670" s="21" t="str">
        <f t="array" ref="BU670">_xlfn.TEXTJOIN("",TRUE,IF(ISERROR(FIND(ROW($1:$168)-1,BS670&amp;BT670)),ROW($1:$168)-1,""))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70" s="22" t="str">
        <f t="shared" si="423"/>
        <v>中中中</v>
      </c>
      <c r="BW670" s="23" t="str">
        <f t="shared" si="434"/>
        <v/>
      </c>
      <c r="BX670" s="23" t="str">
        <f t="shared" si="432"/>
        <v/>
      </c>
      <c r="BY670" s="23" t="str">
        <f t="array" ref="BY670">_xlfn.TEXTJOIN("",TRUE,IF(ISERROR(FIND(ROW($1:$168)-1,BW670&amp;BX670)),ROW($1:$168)-1,""))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70" s="22" t="str">
        <f t="shared" si="424"/>
        <v>中中中</v>
      </c>
      <c r="CA670" s="24">
        <f t="shared" si="425"/>
        <v>5</v>
      </c>
      <c r="CB670" s="24">
        <f t="shared" si="433"/>
        <v>5</v>
      </c>
      <c r="CC670" s="24" t="str">
        <f t="array" ref="CC670">_xlfn.TEXTJOIN("",TRUE,IF(ISERROR(FIND(ROW($1:$168)-1,CA670&amp;CB670)),ROW($1:$168)-1,""))</f>
        <v>012346789101112131415161718192021222324252627282930313233343536373839404142434445464748495051525354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70" s="22" t="str">
        <f t="shared" si="426"/>
        <v>复隔中</v>
      </c>
      <c r="CE670" s="25" t="str">
        <f t="shared" si="420"/>
        <v>79</v>
      </c>
      <c r="CF670" s="26" t="str">
        <f t="array" ref="CF670">_xlfn.TEXTJOIN("",TRUE,IF(ISNUMBER(FIND(MID(CE669&amp;W669,ROW($1:$162),1),CE670&amp;W670)),MID(CE669&amp;W669,ROW($1:$162),1),""))</f>
        <v>7</v>
      </c>
      <c r="CG670" s="27" t="str">
        <f t="array" ref="CG670">_xlfn.TEXTJOIN("",TRUE,IF(ISERROR(FIND(ROW($1:$168)-1,CE670&amp;CF670)),ROW($1:$168)-1,""))</f>
        <v>0123456810111213141516171819202122232425262728293031323334353637383940414243444546474849505152535455565758596061626364656667686970717273747576777880818283848586878889909192939495969899100101102103104105106107108109110111112113114115116117118119120121122123124125126127128129130131132133134135136137138139140141142143144145146147148149150151152153154155156157158159160161162163164165166167</v>
      </c>
      <c r="CH670" s="28" t="str">
        <f t="shared" si="427"/>
        <v>邻传孤</v>
      </c>
      <c r="CI670" s="29" t="str">
        <f t="shared" si="428"/>
        <v>24</v>
      </c>
      <c r="CJ670" s="29" t="str">
        <f t="array" ref="CJ670">_xlfn.TEXTJOIN("",TRUE,IF(ISNUMBER(FIND(MID(CI669&amp;X669,ROW($1:$162),1),CI670&amp;X670)),MID(CI669&amp;X669,ROW($1:$162),1),""))</f>
        <v>2</v>
      </c>
      <c r="CK670" s="29" t="str">
        <f t="array" ref="CK670">_xlfn.TEXTJOIN("",TRUE,IF(ISERROR(FIND(ROW($1:$168)-1,CI670&amp;CJ670)),ROW($1:$168)-1,""))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70" s="19" t="str">
        <f t="shared" si="429"/>
        <v>邻传孤</v>
      </c>
      <c r="CM670" s="24" t="str">
        <f t="shared" si="430"/>
        <v>46</v>
      </c>
      <c r="CN670" s="24" t="str">
        <f t="array" ref="CN670">_xlfn.TEXTJOIN("",TRUE,IF(ISNUMBER(FIND(MID(CM669&amp;Y669,ROW($1:$162),1),CM670&amp;Y670)),MID(CM669&amp;Y669,ROW($1:$162),1),""))</f>
        <v>465</v>
      </c>
      <c r="CO670" s="24" t="str">
        <f t="array" ref="CO670">_xlfn.TEXTJOIN("",TRUE,IF(ISERROR(FIND(ROW($1:$168)-1,CM670&amp;CN670)),ROW($1:$168)-1,""))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70" s="30" t="str">
        <f t="shared" si="431"/>
        <v>邻传孤</v>
      </c>
    </row>
    <row r="671" spans="1:94">
      <c r="A671" s="15">
        <v>671</v>
      </c>
      <c r="B671" s="80">
        <v>2025288</v>
      </c>
      <c r="C671" s="8" t="s">
        <v>507</v>
      </c>
      <c r="D671" s="81">
        <f t="shared" si="447"/>
        <v>20</v>
      </c>
      <c r="E671" s="82">
        <f t="shared" si="448"/>
        <v>0</v>
      </c>
      <c r="F671" s="83">
        <f t="shared" si="435"/>
        <v>20</v>
      </c>
      <c r="G671" s="84" t="str">
        <f t="shared" si="436"/>
        <v>紧凑</v>
      </c>
      <c r="H671" s="85" t="s">
        <v>10</v>
      </c>
      <c r="I671" s="85" t="s">
        <v>11</v>
      </c>
      <c r="J671" s="85" t="s">
        <v>12</v>
      </c>
      <c r="K671" s="85" t="s">
        <v>13</v>
      </c>
      <c r="L671" s="86">
        <f>MAX(MID(C671,{1,2,3},1)*1)-MIN(MID(C671,{1,2,3},1)*1)</f>
        <v>1</v>
      </c>
      <c r="M671" s="87">
        <v>0</v>
      </c>
      <c r="N671" s="87">
        <v>1</v>
      </c>
      <c r="O671" s="87">
        <v>2</v>
      </c>
      <c r="P671" s="87">
        <v>3</v>
      </c>
      <c r="Q671" s="87">
        <v>4</v>
      </c>
      <c r="R671" s="87">
        <v>5</v>
      </c>
      <c r="S671" s="87">
        <v>6</v>
      </c>
      <c r="T671" s="87">
        <v>7</v>
      </c>
      <c r="U671" s="87">
        <v>8</v>
      </c>
      <c r="V671" s="87">
        <v>9</v>
      </c>
      <c r="W671" s="88">
        <f t="shared" si="449"/>
        <v>1</v>
      </c>
      <c r="X671" s="88">
        <f t="shared" si="450"/>
        <v>0</v>
      </c>
      <c r="Y671" s="88">
        <f t="shared" si="451"/>
        <v>1</v>
      </c>
      <c r="Z671" s="89">
        <f t="shared" si="418"/>
        <v>2</v>
      </c>
      <c r="AA671" s="17" t="str">
        <f>_xlfn.TEXTJOIN(", ",TRUE,ABS(MID(C671,{1,1,2},1)-MID(C671,{2,3,3},1)))</f>
        <v>1, 0, 1</v>
      </c>
      <c r="AB671" s="90">
        <v>0</v>
      </c>
      <c r="AC671" s="90">
        <v>1</v>
      </c>
      <c r="AD671" s="90">
        <v>2</v>
      </c>
      <c r="AE671" s="90">
        <v>3</v>
      </c>
      <c r="AF671" s="90">
        <v>4</v>
      </c>
      <c r="AG671" s="90">
        <v>5</v>
      </c>
      <c r="AH671" s="90">
        <v>6</v>
      </c>
      <c r="AI671" s="90">
        <v>7</v>
      </c>
      <c r="AJ671" s="90">
        <v>8</v>
      </c>
      <c r="AK671" s="90">
        <v>9</v>
      </c>
      <c r="AL671" s="91">
        <v>0</v>
      </c>
      <c r="AM671" s="91">
        <v>1</v>
      </c>
      <c r="AN671" s="91">
        <v>2</v>
      </c>
      <c r="AO671" s="91">
        <v>3</v>
      </c>
      <c r="AP671" s="91">
        <v>4</v>
      </c>
      <c r="AQ671" s="91">
        <v>5</v>
      </c>
      <c r="AR671" s="91">
        <v>6</v>
      </c>
      <c r="AS671" s="91">
        <v>7</v>
      </c>
      <c r="AT671" s="91">
        <v>8</v>
      </c>
      <c r="AU671" s="91">
        <v>9</v>
      </c>
      <c r="AV671" s="92">
        <v>0</v>
      </c>
      <c r="AW671" s="92">
        <v>1</v>
      </c>
      <c r="AX671" s="92">
        <v>2</v>
      </c>
      <c r="AY671" s="92">
        <v>3</v>
      </c>
      <c r="AZ671" s="92">
        <v>4</v>
      </c>
      <c r="BA671" s="92">
        <v>5</v>
      </c>
      <c r="BB671" s="92">
        <v>6</v>
      </c>
      <c r="BC671" s="92">
        <v>7</v>
      </c>
      <c r="BD671" s="92">
        <v>8</v>
      </c>
      <c r="BE671" s="92">
        <v>9</v>
      </c>
      <c r="BF671" s="93">
        <v>0</v>
      </c>
      <c r="BG671" s="93">
        <v>1</v>
      </c>
      <c r="BH671" s="93">
        <v>2</v>
      </c>
      <c r="BI671" s="93">
        <v>3</v>
      </c>
      <c r="BJ671" s="93">
        <v>4</v>
      </c>
      <c r="BK671" s="93">
        <v>5</v>
      </c>
      <c r="BL671" s="93">
        <v>6</v>
      </c>
      <c r="BM671" s="93">
        <v>7</v>
      </c>
      <c r="BN671" s="93">
        <v>8</v>
      </c>
      <c r="BO671" s="93">
        <v>9</v>
      </c>
      <c r="BP671" s="94" t="str">
        <f t="shared" si="419"/>
        <v>紧凑型</v>
      </c>
      <c r="BQ671" s="15">
        <f t="shared" si="416"/>
        <v>0</v>
      </c>
      <c r="BR671" s="15">
        <f t="shared" si="417"/>
        <v>1</v>
      </c>
      <c r="BS671" s="20" t="str">
        <f t="shared" si="421"/>
        <v/>
      </c>
      <c r="BT671" s="21">
        <f t="shared" si="422"/>
        <v>1</v>
      </c>
      <c r="BU671" s="21" t="str">
        <f t="array" ref="BU671">_xlfn.TEXTJOIN("",TRUE,IF(ISERROR(FIND(ROW($1:$168)-1,BS671&amp;BT671)),ROW($1:$168)-1,""))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71" s="22" t="str">
        <f t="shared" si="423"/>
        <v>中隔中</v>
      </c>
      <c r="BW671" s="23" t="str">
        <f t="shared" si="434"/>
        <v/>
      </c>
      <c r="BX671" s="23" t="str">
        <f t="shared" si="432"/>
        <v/>
      </c>
      <c r="BY671" s="23" t="str">
        <f t="array" ref="BY671">_xlfn.TEXTJOIN("",TRUE,IF(ISERROR(FIND(ROW($1:$168)-1,BW671&amp;BX671)),ROW($1:$168)-1,""))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71" s="22" t="str">
        <f t="shared" si="424"/>
        <v>中中中</v>
      </c>
      <c r="CA671" s="24" t="str">
        <f t="shared" si="425"/>
        <v/>
      </c>
      <c r="CB671" s="24">
        <f t="shared" si="433"/>
        <v>1</v>
      </c>
      <c r="CC671" s="24" t="str">
        <f t="array" ref="CC671">_xlfn.TEXTJOIN("",TRUE,IF(ISERROR(FIND(ROW($1:$168)-1,CA671&amp;CB671)),ROW($1:$168)-1,""))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71" s="22" t="str">
        <f t="shared" si="426"/>
        <v>中隔中</v>
      </c>
      <c r="CE671" s="25" t="str">
        <f t="shared" si="420"/>
        <v>02</v>
      </c>
      <c r="CF671" s="26" t="str">
        <f t="array" ref="CF671">_xlfn.TEXTJOIN("",TRUE,IF(ISNUMBER(FIND(MID(CE670&amp;W670,ROW($1:$162),1),CE671&amp;W671)),MID(CE670&amp;W670,ROW($1:$162),1),""))</f>
        <v/>
      </c>
      <c r="CG671" s="27" t="str">
        <f t="array" ref="CG671">_xlfn.TEXTJOIN("",TRUE,IF(ISERROR(FIND(ROW($1:$168)-1,CE671&amp;CF671)),ROW($1:$168)-1,""))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71" s="28" t="str">
        <f t="shared" si="427"/>
        <v>邻孤孤</v>
      </c>
      <c r="CI671" s="29" t="str">
        <f t="shared" si="428"/>
        <v>91</v>
      </c>
      <c r="CJ671" s="29" t="str">
        <f t="array" ref="CJ671">_xlfn.TEXTJOIN("",TRUE,IF(ISNUMBER(FIND(MID(CI670&amp;X670,ROW($1:$162),1),CI671&amp;X671)),MID(CI670&amp;X670,ROW($1:$162),1),""))</f>
        <v/>
      </c>
      <c r="CK671" s="29" t="str">
        <f t="array" ref="CK671">_xlfn.TEXTJOIN("",TRUE,IF(ISERROR(FIND(ROW($1:$168)-1,CI671&amp;CJ671)),ROW($1:$168)-1,""))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671" s="19" t="str">
        <f t="shared" si="429"/>
        <v>邻孤孤</v>
      </c>
      <c r="CM671" s="24" t="str">
        <f t="shared" si="430"/>
        <v>02</v>
      </c>
      <c r="CN671" s="24" t="str">
        <f t="array" ref="CN671">_xlfn.TEXTJOIN("",TRUE,IF(ISNUMBER(FIND(MID(CM670&amp;Y670,ROW($1:$162),1),CM671&amp;Y671)),MID(CM670&amp;Y670,ROW($1:$162),1),""))</f>
        <v/>
      </c>
      <c r="CO671" s="24" t="str">
        <f t="array" ref="CO671">_xlfn.TEXTJOIN("",TRUE,IF(ISERROR(FIND(ROW($1:$168)-1,CM671&amp;CN671)),ROW($1:$168)-1,""))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71" s="30" t="str">
        <f t="shared" si="431"/>
        <v>邻孤孤</v>
      </c>
    </row>
    <row r="672" spans="1:94">
      <c r="A672" s="15">
        <v>672</v>
      </c>
      <c r="B672" s="80">
        <v>2025289</v>
      </c>
      <c r="C672" s="8" t="s">
        <v>80</v>
      </c>
      <c r="D672" s="81">
        <f t="shared" si="447"/>
        <v>14</v>
      </c>
      <c r="E672" s="82">
        <f t="shared" si="448"/>
        <v>4</v>
      </c>
      <c r="F672" s="83">
        <f t="shared" si="435"/>
        <v>3.5</v>
      </c>
      <c r="G672" s="84" t="str">
        <f t="shared" si="436"/>
        <v>标准</v>
      </c>
      <c r="H672" s="85" t="s">
        <v>10</v>
      </c>
      <c r="I672" s="85" t="s">
        <v>11</v>
      </c>
      <c r="J672" s="85" t="s">
        <v>12</v>
      </c>
      <c r="K672" s="85" t="s">
        <v>13</v>
      </c>
      <c r="L672" s="86">
        <f>MAX(MID(C672,{1,2,3},1)*1)-MIN(MID(C672,{1,2,3},1)*1)</f>
        <v>4</v>
      </c>
      <c r="M672" s="87">
        <v>0</v>
      </c>
      <c r="N672" s="87">
        <v>1</v>
      </c>
      <c r="O672" s="87">
        <v>2</v>
      </c>
      <c r="P672" s="87">
        <v>3</v>
      </c>
      <c r="Q672" s="87">
        <v>4</v>
      </c>
      <c r="R672" s="87">
        <v>5</v>
      </c>
      <c r="S672" s="87">
        <v>6</v>
      </c>
      <c r="T672" s="87">
        <v>7</v>
      </c>
      <c r="U672" s="87">
        <v>8</v>
      </c>
      <c r="V672" s="87">
        <v>9</v>
      </c>
      <c r="W672" s="88">
        <f t="shared" si="449"/>
        <v>3</v>
      </c>
      <c r="X672" s="88">
        <f t="shared" si="450"/>
        <v>1</v>
      </c>
      <c r="Y672" s="88">
        <f t="shared" si="451"/>
        <v>4</v>
      </c>
      <c r="Z672" s="89">
        <f t="shared" si="418"/>
        <v>8</v>
      </c>
      <c r="AA672" s="17" t="str">
        <f>_xlfn.TEXTJOIN(", ",TRUE,ABS(MID(C672,{1,1,2},1)-MID(C672,{2,3,3},1)))</f>
        <v>3, 1, 4</v>
      </c>
      <c r="AB672" s="90">
        <v>0</v>
      </c>
      <c r="AC672" s="90">
        <v>1</v>
      </c>
      <c r="AD672" s="90">
        <v>2</v>
      </c>
      <c r="AE672" s="90">
        <v>3</v>
      </c>
      <c r="AF672" s="90">
        <v>4</v>
      </c>
      <c r="AG672" s="90">
        <v>5</v>
      </c>
      <c r="AH672" s="90">
        <v>6</v>
      </c>
      <c r="AI672" s="90">
        <v>7</v>
      </c>
      <c r="AJ672" s="90">
        <v>8</v>
      </c>
      <c r="AK672" s="90">
        <v>9</v>
      </c>
      <c r="AL672" s="91">
        <v>0</v>
      </c>
      <c r="AM672" s="91">
        <v>1</v>
      </c>
      <c r="AN672" s="91">
        <v>2</v>
      </c>
      <c r="AO672" s="91">
        <v>3</v>
      </c>
      <c r="AP672" s="91">
        <v>4</v>
      </c>
      <c r="AQ672" s="91">
        <v>5</v>
      </c>
      <c r="AR672" s="91">
        <v>6</v>
      </c>
      <c r="AS672" s="91">
        <v>7</v>
      </c>
      <c r="AT672" s="91">
        <v>8</v>
      </c>
      <c r="AU672" s="91">
        <v>9</v>
      </c>
      <c r="AV672" s="92">
        <v>0</v>
      </c>
      <c r="AW672" s="92">
        <v>1</v>
      </c>
      <c r="AX672" s="92">
        <v>2</v>
      </c>
      <c r="AY672" s="92">
        <v>3</v>
      </c>
      <c r="AZ672" s="92">
        <v>4</v>
      </c>
      <c r="BA672" s="92">
        <v>5</v>
      </c>
      <c r="BB672" s="92">
        <v>6</v>
      </c>
      <c r="BC672" s="92">
        <v>7</v>
      </c>
      <c r="BD672" s="92">
        <v>8</v>
      </c>
      <c r="BE672" s="92">
        <v>9</v>
      </c>
      <c r="BF672" s="93">
        <v>0</v>
      </c>
      <c r="BG672" s="93">
        <v>1</v>
      </c>
      <c r="BH672" s="93">
        <v>2</v>
      </c>
      <c r="BI672" s="93">
        <v>3</v>
      </c>
      <c r="BJ672" s="93">
        <v>4</v>
      </c>
      <c r="BK672" s="93">
        <v>5</v>
      </c>
      <c r="BL672" s="93">
        <v>6</v>
      </c>
      <c r="BM672" s="93">
        <v>7</v>
      </c>
      <c r="BN672" s="93">
        <v>8</v>
      </c>
      <c r="BO672" s="93">
        <v>9</v>
      </c>
      <c r="BP672" s="94" t="str">
        <f t="shared" si="419"/>
        <v>紧凑型</v>
      </c>
      <c r="BQ672" s="15">
        <f t="shared" si="416"/>
        <v>1</v>
      </c>
      <c r="BR672" s="15">
        <f t="shared" si="417"/>
        <v>4</v>
      </c>
      <c r="BS672" s="20" t="str">
        <f t="shared" si="421"/>
        <v/>
      </c>
      <c r="BT672" s="21">
        <f t="shared" si="422"/>
        <v>3</v>
      </c>
      <c r="BU672" s="21" t="str">
        <f t="array" ref="BU672">_xlfn.TEXTJOIN("",TRUE,IF(ISERROR(FIND(ROW($1:$168)-1,BS672&amp;BT672)),ROW($1:$168)-1,""))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72" s="22" t="str">
        <f t="shared" si="423"/>
        <v>中隔中</v>
      </c>
      <c r="BW672" s="23">
        <f t="shared" si="434"/>
        <v>1</v>
      </c>
      <c r="BX672" s="23" t="str">
        <f t="shared" si="432"/>
        <v/>
      </c>
      <c r="BY672" s="23" t="str">
        <f t="array" ref="BY672">_xlfn.TEXTJOIN("",TRUE,IF(ISERROR(FIND(ROW($1:$168)-1,BW672&amp;BX672)),ROW($1:$168)-1,""))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72" s="22" t="str">
        <f t="shared" si="424"/>
        <v>复中中</v>
      </c>
      <c r="CA672" s="24" t="str">
        <f t="shared" si="425"/>
        <v/>
      </c>
      <c r="CB672" s="24" t="str">
        <f t="shared" si="433"/>
        <v/>
      </c>
      <c r="CC672" s="24" t="str">
        <f t="array" ref="CC672">_xlfn.TEXTJOIN("",TRUE,IF(ISERROR(FIND(ROW($1:$168)-1,CA672&amp;CB672)),ROW($1:$168)-1,""))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72" s="22" t="str">
        <f t="shared" si="426"/>
        <v>中中中</v>
      </c>
      <c r="CE672" s="25" t="str">
        <f t="shared" si="420"/>
        <v>24</v>
      </c>
      <c r="CF672" s="26" t="str">
        <f t="array" ref="CF672">_xlfn.TEXTJOIN("",TRUE,IF(ISNUMBER(FIND(MID(CE671&amp;W671,ROW($1:$162),1),CE672&amp;W672)),MID(CE671&amp;W671,ROW($1:$162),1),""))</f>
        <v>2</v>
      </c>
      <c r="CG672" s="27" t="str">
        <f t="array" ref="CG672">_xlfn.TEXTJOIN("",TRUE,IF(ISERROR(FIND(ROW($1:$168)-1,CE672&amp;CF672)),ROW($1:$168)-1,""))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72" s="28" t="str">
        <f t="shared" si="427"/>
        <v>邻传孤</v>
      </c>
      <c r="CI672" s="29" t="str">
        <f t="shared" si="428"/>
        <v>02</v>
      </c>
      <c r="CJ672" s="29" t="str">
        <f t="array" ref="CJ672">_xlfn.TEXTJOIN("",TRUE,IF(ISNUMBER(FIND(MID(CI671&amp;X671,ROW($1:$162),1),CI672&amp;X672)),MID(CI671&amp;X671,ROW($1:$162),1),""))</f>
        <v>10</v>
      </c>
      <c r="CK672" s="29" t="str">
        <f t="array" ref="CK672">_xlfn.TEXTJOIN("",TRUE,IF(ISERROR(FIND(ROW($1:$168)-1,CI672&amp;CJ672)),ROW($1:$168)-1,""))</f>
        <v>34567891112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72" s="19" t="str">
        <f t="shared" si="429"/>
        <v>邻传孤</v>
      </c>
      <c r="CM672" s="24" t="str">
        <f t="shared" si="430"/>
        <v>35</v>
      </c>
      <c r="CN672" s="24" t="str">
        <f t="array" ref="CN672">_xlfn.TEXTJOIN("",TRUE,IF(ISNUMBER(FIND(MID(CM671&amp;Y671,ROW($1:$162),1),CM672&amp;Y672)),MID(CM671&amp;Y671,ROW($1:$162),1),""))</f>
        <v/>
      </c>
      <c r="CO672" s="24" t="str">
        <f t="array" ref="CO672">_xlfn.TEXTJOIN("",TRUE,IF(ISERROR(FIND(ROW($1:$168)-1,CM672&amp;CN672)),ROW($1:$168)-1,""))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72" s="30" t="str">
        <f t="shared" si="431"/>
        <v>邻孤孤</v>
      </c>
    </row>
    <row r="673" spans="1:94">
      <c r="A673" s="15">
        <v>673</v>
      </c>
      <c r="B673" s="80">
        <v>2025290</v>
      </c>
      <c r="C673" s="8" t="s">
        <v>508</v>
      </c>
      <c r="D673" s="81">
        <f t="shared" si="447"/>
        <v>8</v>
      </c>
      <c r="E673" s="82">
        <f t="shared" si="448"/>
        <v>8</v>
      </c>
      <c r="F673" s="83">
        <f t="shared" si="435"/>
        <v>8</v>
      </c>
      <c r="G673" s="84" t="str">
        <f t="shared" si="436"/>
        <v>紧凑</v>
      </c>
      <c r="H673" s="85" t="s">
        <v>10</v>
      </c>
      <c r="I673" s="85" t="s">
        <v>11</v>
      </c>
      <c r="J673" s="85" t="s">
        <v>12</v>
      </c>
      <c r="K673" s="85" t="s">
        <v>13</v>
      </c>
      <c r="L673" s="86">
        <f>MAX(MID(C673,{1,2,3},1)*1)-MIN(MID(C673,{1,2,3},1)*1)</f>
        <v>1</v>
      </c>
      <c r="M673" s="87">
        <v>0</v>
      </c>
      <c r="N673" s="87">
        <v>1</v>
      </c>
      <c r="O673" s="87">
        <v>2</v>
      </c>
      <c r="P673" s="87">
        <v>3</v>
      </c>
      <c r="Q673" s="87">
        <v>4</v>
      </c>
      <c r="R673" s="87">
        <v>5</v>
      </c>
      <c r="S673" s="87">
        <v>6</v>
      </c>
      <c r="T673" s="87">
        <v>7</v>
      </c>
      <c r="U673" s="87">
        <v>8</v>
      </c>
      <c r="V673" s="87">
        <v>9</v>
      </c>
      <c r="W673" s="88">
        <f t="shared" si="449"/>
        <v>0</v>
      </c>
      <c r="X673" s="88">
        <f t="shared" si="450"/>
        <v>1</v>
      </c>
      <c r="Y673" s="88">
        <f t="shared" si="451"/>
        <v>1</v>
      </c>
      <c r="Z673" s="89">
        <f t="shared" si="418"/>
        <v>2</v>
      </c>
      <c r="AA673" s="17" t="str">
        <f>_xlfn.TEXTJOIN(", ",TRUE,ABS(MID(C673,{1,1,2},1)-MID(C673,{2,3,3},1)))</f>
        <v>0, 1, 1</v>
      </c>
      <c r="AB673" s="90">
        <v>0</v>
      </c>
      <c r="AC673" s="90">
        <v>1</v>
      </c>
      <c r="AD673" s="90">
        <v>2</v>
      </c>
      <c r="AE673" s="90">
        <v>3</v>
      </c>
      <c r="AF673" s="90">
        <v>4</v>
      </c>
      <c r="AG673" s="90">
        <v>5</v>
      </c>
      <c r="AH673" s="90">
        <v>6</v>
      </c>
      <c r="AI673" s="90">
        <v>7</v>
      </c>
      <c r="AJ673" s="90">
        <v>8</v>
      </c>
      <c r="AK673" s="90">
        <v>9</v>
      </c>
      <c r="AL673" s="91">
        <v>0</v>
      </c>
      <c r="AM673" s="91">
        <v>1</v>
      </c>
      <c r="AN673" s="91">
        <v>2</v>
      </c>
      <c r="AO673" s="91">
        <v>3</v>
      </c>
      <c r="AP673" s="91">
        <v>4</v>
      </c>
      <c r="AQ673" s="91">
        <v>5</v>
      </c>
      <c r="AR673" s="91">
        <v>6</v>
      </c>
      <c r="AS673" s="91">
        <v>7</v>
      </c>
      <c r="AT673" s="91">
        <v>8</v>
      </c>
      <c r="AU673" s="91">
        <v>9</v>
      </c>
      <c r="AV673" s="92">
        <v>0</v>
      </c>
      <c r="AW673" s="92">
        <v>1</v>
      </c>
      <c r="AX673" s="92">
        <v>2</v>
      </c>
      <c r="AY673" s="92">
        <v>3</v>
      </c>
      <c r="AZ673" s="92">
        <v>4</v>
      </c>
      <c r="BA673" s="92">
        <v>5</v>
      </c>
      <c r="BB673" s="92">
        <v>6</v>
      </c>
      <c r="BC673" s="92">
        <v>7</v>
      </c>
      <c r="BD673" s="92">
        <v>8</v>
      </c>
      <c r="BE673" s="92">
        <v>9</v>
      </c>
      <c r="BF673" s="93">
        <v>0</v>
      </c>
      <c r="BG673" s="93">
        <v>1</v>
      </c>
      <c r="BH673" s="93">
        <v>2</v>
      </c>
      <c r="BI673" s="93">
        <v>3</v>
      </c>
      <c r="BJ673" s="93">
        <v>4</v>
      </c>
      <c r="BK673" s="93">
        <v>5</v>
      </c>
      <c r="BL673" s="93">
        <v>6</v>
      </c>
      <c r="BM673" s="93">
        <v>7</v>
      </c>
      <c r="BN673" s="93">
        <v>8</v>
      </c>
      <c r="BO673" s="93">
        <v>9</v>
      </c>
      <c r="BP673" s="94" t="str">
        <f t="shared" si="419"/>
        <v>紧凑型</v>
      </c>
      <c r="BQ673" s="15">
        <f t="shared" ref="BQ673:BQ686" si="452">MIN(ABS(INT(C673/100)-INT(MOD(C673,100)/10)),ABS(INT(C673/100)-MOD(C673,10)),ABS(INT(MOD(C673,100)/10)-MOD(C673,10)))</f>
        <v>0</v>
      </c>
      <c r="BR673" s="15">
        <f t="shared" ref="BR673:BR686" si="453">MAX(ABS(INT(C673/100)-INT(MOD(C673,100)/10)),ABS(INT(C673/100)-MOD(C673,10)),ABS(INT(MOD(C673,100)/10)-MOD(C673,10)))</f>
        <v>1</v>
      </c>
      <c r="BS673" s="20" t="str">
        <f t="shared" si="421"/>
        <v/>
      </c>
      <c r="BT673" s="21">
        <f t="shared" si="422"/>
        <v>0</v>
      </c>
      <c r="BU673" s="21" t="str">
        <f t="array" ref="BU673">_xlfn.TEXTJOIN("",TRUE,IF(ISERROR(FIND(ROW($1:$168)-1,BS673&amp;BT673)),ROW($1:$168)-1,""))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73" s="22" t="str">
        <f t="shared" si="423"/>
        <v>中隔中</v>
      </c>
      <c r="BW673" s="23">
        <f t="shared" si="434"/>
        <v>1</v>
      </c>
      <c r="BX673" s="23">
        <f t="shared" si="432"/>
        <v>1</v>
      </c>
      <c r="BY673" s="23" t="str">
        <f t="array" ref="BY673">_xlfn.TEXTJOIN("",TRUE,IF(ISERROR(FIND(ROW($1:$168)-1,BW673&amp;BX673)),ROW($1:$168)-1,""))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73" s="22" t="str">
        <f t="shared" si="424"/>
        <v>复隔中</v>
      </c>
      <c r="CA673" s="24">
        <f t="shared" si="425"/>
        <v>1</v>
      </c>
      <c r="CB673" s="24">
        <f t="shared" si="433"/>
        <v>1</v>
      </c>
      <c r="CC673" s="24" t="str">
        <f t="array" ref="CC673">_xlfn.TEXTJOIN("",TRUE,IF(ISERROR(FIND(ROW($1:$168)-1,CA673&amp;CB673)),ROW($1:$168)-1,""))</f>
        <v>02345678910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73" s="22" t="str">
        <f t="shared" si="426"/>
        <v>复隔中</v>
      </c>
      <c r="CE673" s="25" t="str">
        <f t="shared" si="420"/>
        <v>91</v>
      </c>
      <c r="CF673" s="26" t="str">
        <f t="array" ref="CF673">_xlfn.TEXTJOIN("",TRUE,IF(ISNUMBER(FIND(MID(CE672&amp;W672,ROW($1:$162),1),CE673&amp;W673)),MID(CE672&amp;W672,ROW($1:$162),1),""))</f>
        <v/>
      </c>
      <c r="CG673" s="27" t="str">
        <f t="array" ref="CG673">_xlfn.TEXTJOIN("",TRUE,IF(ISERROR(FIND(ROW($1:$168)-1,CE673&amp;CF673)),ROW($1:$168)-1,""))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673" s="28" t="str">
        <f t="shared" si="427"/>
        <v>邻孤孤</v>
      </c>
      <c r="CI673" s="29" t="str">
        <f t="shared" si="428"/>
        <v>02</v>
      </c>
      <c r="CJ673" s="29" t="str">
        <f t="array" ref="CJ673">_xlfn.TEXTJOIN("",TRUE,IF(ISNUMBER(FIND(MID(CI672&amp;X672,ROW($1:$162),1),CI673&amp;X673)),MID(CI672&amp;X672,ROW($1:$162),1),""))</f>
        <v>021</v>
      </c>
      <c r="CK673" s="29" t="str">
        <f t="array" ref="CK673">_xlfn.TEXTJOIN("",TRUE,IF(ISERROR(FIND(ROW($1:$168)-1,CI673&amp;CJ673)),ROW($1:$168)-1,""))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73" s="19" t="str">
        <f t="shared" si="429"/>
        <v>邻传孤</v>
      </c>
      <c r="CM673" s="24" t="str">
        <f t="shared" si="430"/>
        <v>02</v>
      </c>
      <c r="CN673" s="24" t="str">
        <f t="array" ref="CN673">_xlfn.TEXTJOIN("",TRUE,IF(ISNUMBER(FIND(MID(CM672&amp;Y672,ROW($1:$162),1),CM673&amp;Y673)),MID(CM672&amp;Y672,ROW($1:$162),1),""))</f>
        <v/>
      </c>
      <c r="CO673" s="24" t="str">
        <f t="array" ref="CO673">_xlfn.TEXTJOIN("",TRUE,IF(ISERROR(FIND(ROW($1:$168)-1,CM673&amp;CN673)),ROW($1:$168)-1,""))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73" s="30" t="str">
        <f t="shared" si="431"/>
        <v>邻孤孤</v>
      </c>
    </row>
    <row r="674" spans="1:94">
      <c r="A674" s="15">
        <v>674</v>
      </c>
      <c r="B674" s="80">
        <v>2025291</v>
      </c>
      <c r="C674" s="8" t="s">
        <v>509</v>
      </c>
      <c r="D674" s="81">
        <f t="shared" si="447"/>
        <v>20</v>
      </c>
      <c r="E674" s="82">
        <f t="shared" si="448"/>
        <v>0</v>
      </c>
      <c r="F674" s="83">
        <f t="shared" si="435"/>
        <v>4</v>
      </c>
      <c r="G674" s="84" t="str">
        <f t="shared" si="436"/>
        <v>紧凑</v>
      </c>
      <c r="H674" s="85" t="s">
        <v>10</v>
      </c>
      <c r="I674" s="85" t="s">
        <v>11</v>
      </c>
      <c r="J674" s="85" t="s">
        <v>12</v>
      </c>
      <c r="K674" s="85" t="s">
        <v>13</v>
      </c>
      <c r="L674" s="86">
        <f>MAX(MID(C674,{1,2,3},1)*1)-MIN(MID(C674,{1,2,3},1)*1)</f>
        <v>5</v>
      </c>
      <c r="M674" s="87">
        <v>0</v>
      </c>
      <c r="N674" s="87">
        <v>1</v>
      </c>
      <c r="O674" s="87">
        <v>2</v>
      </c>
      <c r="P674" s="87">
        <v>3</v>
      </c>
      <c r="Q674" s="87">
        <v>4</v>
      </c>
      <c r="R674" s="87">
        <v>5</v>
      </c>
      <c r="S674" s="87">
        <v>6</v>
      </c>
      <c r="T674" s="87">
        <v>7</v>
      </c>
      <c r="U674" s="87">
        <v>8</v>
      </c>
      <c r="V674" s="87">
        <v>9</v>
      </c>
      <c r="W674" s="88">
        <f t="shared" si="449"/>
        <v>2</v>
      </c>
      <c r="X674" s="88">
        <f t="shared" si="450"/>
        <v>3</v>
      </c>
      <c r="Y674" s="88">
        <f t="shared" si="451"/>
        <v>5</v>
      </c>
      <c r="Z674" s="89">
        <f t="shared" ref="Z674:Z708" si="454">W674+X674+Y674</f>
        <v>10</v>
      </c>
      <c r="AA674" s="17" t="str">
        <f>_xlfn.TEXTJOIN(", ",TRUE,ABS(MID(C674,{1,1,2},1)-MID(C674,{2,3,3},1)))</f>
        <v>2, 3, 5</v>
      </c>
      <c r="AB674" s="90">
        <v>0</v>
      </c>
      <c r="AC674" s="90">
        <v>1</v>
      </c>
      <c r="AD674" s="90">
        <v>2</v>
      </c>
      <c r="AE674" s="90">
        <v>3</v>
      </c>
      <c r="AF674" s="90">
        <v>4</v>
      </c>
      <c r="AG674" s="90">
        <v>5</v>
      </c>
      <c r="AH674" s="90">
        <v>6</v>
      </c>
      <c r="AI674" s="90">
        <v>7</v>
      </c>
      <c r="AJ674" s="90">
        <v>8</v>
      </c>
      <c r="AK674" s="90">
        <v>9</v>
      </c>
      <c r="AL674" s="91">
        <v>0</v>
      </c>
      <c r="AM674" s="91">
        <v>1</v>
      </c>
      <c r="AN674" s="91">
        <v>2</v>
      </c>
      <c r="AO674" s="91">
        <v>3</v>
      </c>
      <c r="AP674" s="91">
        <v>4</v>
      </c>
      <c r="AQ674" s="91">
        <v>5</v>
      </c>
      <c r="AR674" s="91">
        <v>6</v>
      </c>
      <c r="AS674" s="91">
        <v>7</v>
      </c>
      <c r="AT674" s="91">
        <v>8</v>
      </c>
      <c r="AU674" s="91">
        <v>9</v>
      </c>
      <c r="AV674" s="92">
        <v>0</v>
      </c>
      <c r="AW674" s="92">
        <v>1</v>
      </c>
      <c r="AX674" s="92">
        <v>2</v>
      </c>
      <c r="AY674" s="92">
        <v>3</v>
      </c>
      <c r="AZ674" s="92">
        <v>4</v>
      </c>
      <c r="BA674" s="92">
        <v>5</v>
      </c>
      <c r="BB674" s="92">
        <v>6</v>
      </c>
      <c r="BC674" s="92">
        <v>7</v>
      </c>
      <c r="BD674" s="92">
        <v>8</v>
      </c>
      <c r="BE674" s="92">
        <v>9</v>
      </c>
      <c r="BF674" s="93">
        <v>0</v>
      </c>
      <c r="BG674" s="93">
        <v>1</v>
      </c>
      <c r="BH674" s="93">
        <v>2</v>
      </c>
      <c r="BI674" s="93">
        <v>3</v>
      </c>
      <c r="BJ674" s="93">
        <v>4</v>
      </c>
      <c r="BK674" s="93">
        <v>5</v>
      </c>
      <c r="BL674" s="93">
        <v>6</v>
      </c>
      <c r="BM674" s="93">
        <v>7</v>
      </c>
      <c r="BN674" s="93">
        <v>8</v>
      </c>
      <c r="BO674" s="93">
        <v>9</v>
      </c>
      <c r="BP674" s="94" t="str">
        <f t="shared" ref="BP674:BP708" si="455">IF(AND(BQ674&lt;=1,BR674&lt;=4),"紧凑型",IF(OR(BQ674&gt;=3,BR674&gt;=6),"松散型",IF(AND(BQ674&gt;=1,BR674&lt;=5),"标准型","对子")))</f>
        <v>标准型</v>
      </c>
      <c r="BQ674" s="15">
        <f t="shared" si="452"/>
        <v>2</v>
      </c>
      <c r="BR674" s="15">
        <f t="shared" si="453"/>
        <v>5</v>
      </c>
      <c r="BS674" s="20" t="str">
        <f t="shared" si="421"/>
        <v/>
      </c>
      <c r="BT674" s="21" t="str">
        <f t="shared" si="422"/>
        <v/>
      </c>
      <c r="BU674" s="21" t="str">
        <f t="array" ref="BU674">_xlfn.TEXTJOIN("",TRUE,IF(ISERROR(FIND(ROW($1:$168)-1,BS674&amp;BT674)),ROW($1:$168)-1,""))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74" s="22" t="str">
        <f t="shared" si="423"/>
        <v>中中中</v>
      </c>
      <c r="BW674" s="23" t="str">
        <f t="shared" si="434"/>
        <v/>
      </c>
      <c r="BX674" s="23">
        <f t="shared" si="432"/>
        <v>3</v>
      </c>
      <c r="BY674" s="23" t="str">
        <f t="array" ref="BY674">_xlfn.TEXTJOIN("",TRUE,IF(ISERROR(FIND(ROW($1:$168)-1,BW674&amp;BX674)),ROW($1:$168)-1,""))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74" s="22" t="str">
        <f t="shared" si="424"/>
        <v>中隔中</v>
      </c>
      <c r="CA674" s="24" t="str">
        <f t="shared" si="425"/>
        <v/>
      </c>
      <c r="CB674" s="24" t="str">
        <f t="shared" si="433"/>
        <v/>
      </c>
      <c r="CC674" s="24" t="str">
        <f t="array" ref="CC674">_xlfn.TEXTJOIN("",TRUE,IF(ISERROR(FIND(ROW($1:$168)-1,CA674&amp;CB674)),ROW($1:$168)-1,""))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74" s="22" t="str">
        <f t="shared" si="426"/>
        <v>中中中</v>
      </c>
      <c r="CE674" s="25" t="str">
        <f t="shared" ref="CE674:CE707" si="456">IF(W674=0,9,W674-1)&amp;""&amp;IF(W674=9,0,W674+1)</f>
        <v>13</v>
      </c>
      <c r="CF674" s="26" t="str">
        <f t="array" ref="CF674">_xlfn.TEXTJOIN("",TRUE,IF(ISNUMBER(FIND(MID(CE673&amp;W673,ROW($1:$162),1),CE674&amp;W674)),MID(CE673&amp;W673,ROW($1:$162),1),""))</f>
        <v>1</v>
      </c>
      <c r="CG674" s="27" t="str">
        <f t="array" ref="CG674">_xlfn.TEXTJOIN("",TRUE,IF(ISERROR(FIND(ROW($1:$168)-1,CE674&amp;CF674)),ROW($1:$168)-1,""))</f>
        <v>0245678910111214151617181920212223242526272829303233343536373839404142434445464748495051525354555657585960616263646566676869707172737475767778798081828384858687888990919293949596979899100101102103104105106107108109110111112113114115116117118119120121122123124125126127128129130132133134135136137138139140141142143144145146147148149150151152153154155156157158159160161162163164165166167</v>
      </c>
      <c r="CH674" s="28" t="str">
        <f t="shared" si="427"/>
        <v>邻传孤</v>
      </c>
      <c r="CI674" s="29" t="str">
        <f t="shared" si="428"/>
        <v>24</v>
      </c>
      <c r="CJ674" s="29" t="str">
        <f t="array" ref="CJ674">_xlfn.TEXTJOIN("",TRUE,IF(ISNUMBER(FIND(MID(CI673&amp;X673,ROW($1:$162),1),CI674&amp;X674)),MID(CI673&amp;X673,ROW($1:$162),1),""))</f>
        <v>2</v>
      </c>
      <c r="CK674" s="29" t="str">
        <f t="array" ref="CK674">_xlfn.TEXTJOIN("",TRUE,IF(ISERROR(FIND(ROW($1:$168)-1,CI674&amp;CJ674)),ROW($1:$168)-1,""))</f>
        <v>0135678910111213141516171819202122232526272829303132333435363738394041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74" s="19" t="str">
        <f t="shared" si="429"/>
        <v>邻传孤</v>
      </c>
      <c r="CM674" s="24" t="str">
        <f t="shared" si="430"/>
        <v>46</v>
      </c>
      <c r="CN674" s="24" t="str">
        <f t="array" ref="CN674">_xlfn.TEXTJOIN("",TRUE,IF(ISNUMBER(FIND(MID(CM673&amp;Y673,ROW($1:$162),1),CM674&amp;Y674)),MID(CM673&amp;Y673,ROW($1:$162),1),""))</f>
        <v/>
      </c>
      <c r="CO674" s="24" t="str">
        <f t="array" ref="CO674">_xlfn.TEXTJOIN("",TRUE,IF(ISERROR(FIND(ROW($1:$168)-1,CM674&amp;CN674)),ROW($1:$168)-1,""))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74" s="30" t="str">
        <f t="shared" si="431"/>
        <v>邻孤孤</v>
      </c>
    </row>
    <row r="675" spans="1:94">
      <c r="A675" s="15">
        <v>675</v>
      </c>
      <c r="B675" s="80">
        <v>2025292</v>
      </c>
      <c r="C675" s="8" t="s">
        <v>510</v>
      </c>
      <c r="D675" s="81">
        <f t="shared" si="447"/>
        <v>9</v>
      </c>
      <c r="E675" s="82">
        <f t="shared" si="448"/>
        <v>9</v>
      </c>
      <c r="F675" s="83">
        <f t="shared" si="435"/>
        <v>1.5</v>
      </c>
      <c r="G675" s="84" t="str">
        <f t="shared" si="436"/>
        <v>松散</v>
      </c>
      <c r="H675" s="85" t="s">
        <v>10</v>
      </c>
      <c r="I675" s="85" t="s">
        <v>11</v>
      </c>
      <c r="J675" s="85" t="s">
        <v>12</v>
      </c>
      <c r="K675" s="85" t="s">
        <v>13</v>
      </c>
      <c r="L675" s="86">
        <f>MAX(MID(C675,{1,2,3},1)*1)-MIN(MID(C675,{1,2,3},1)*1)</f>
        <v>6</v>
      </c>
      <c r="M675" s="87">
        <v>0</v>
      </c>
      <c r="N675" s="87">
        <v>1</v>
      </c>
      <c r="O675" s="87">
        <v>2</v>
      </c>
      <c r="P675" s="87">
        <v>3</v>
      </c>
      <c r="Q675" s="87">
        <v>4</v>
      </c>
      <c r="R675" s="87">
        <v>5</v>
      </c>
      <c r="S675" s="87">
        <v>6</v>
      </c>
      <c r="T675" s="87">
        <v>7</v>
      </c>
      <c r="U675" s="87">
        <v>8</v>
      </c>
      <c r="V675" s="87">
        <v>9</v>
      </c>
      <c r="W675" s="88">
        <f t="shared" si="449"/>
        <v>0</v>
      </c>
      <c r="X675" s="88">
        <f t="shared" si="450"/>
        <v>6</v>
      </c>
      <c r="Y675" s="88">
        <f t="shared" si="451"/>
        <v>6</v>
      </c>
      <c r="Z675" s="89">
        <f t="shared" si="454"/>
        <v>12</v>
      </c>
      <c r="AA675" s="17" t="str">
        <f>_xlfn.TEXTJOIN(", ",TRUE,ABS(MID(C675,{1,1,2},1)-MID(C675,{2,3,3},1)))</f>
        <v>0, 6, 6</v>
      </c>
      <c r="AB675" s="90">
        <v>0</v>
      </c>
      <c r="AC675" s="90">
        <v>1</v>
      </c>
      <c r="AD675" s="90">
        <v>2</v>
      </c>
      <c r="AE675" s="90">
        <v>3</v>
      </c>
      <c r="AF675" s="90">
        <v>4</v>
      </c>
      <c r="AG675" s="90">
        <v>5</v>
      </c>
      <c r="AH675" s="90">
        <v>6</v>
      </c>
      <c r="AI675" s="90">
        <v>7</v>
      </c>
      <c r="AJ675" s="90">
        <v>8</v>
      </c>
      <c r="AK675" s="90">
        <v>9</v>
      </c>
      <c r="AL675" s="91">
        <v>0</v>
      </c>
      <c r="AM675" s="91">
        <v>1</v>
      </c>
      <c r="AN675" s="91">
        <v>2</v>
      </c>
      <c r="AO675" s="91">
        <v>3</v>
      </c>
      <c r="AP675" s="91">
        <v>4</v>
      </c>
      <c r="AQ675" s="91">
        <v>5</v>
      </c>
      <c r="AR675" s="91">
        <v>6</v>
      </c>
      <c r="AS675" s="91">
        <v>7</v>
      </c>
      <c r="AT675" s="91">
        <v>8</v>
      </c>
      <c r="AU675" s="91">
        <v>9</v>
      </c>
      <c r="AV675" s="92">
        <v>0</v>
      </c>
      <c r="AW675" s="92">
        <v>1</v>
      </c>
      <c r="AX675" s="92">
        <v>2</v>
      </c>
      <c r="AY675" s="92">
        <v>3</v>
      </c>
      <c r="AZ675" s="92">
        <v>4</v>
      </c>
      <c r="BA675" s="92">
        <v>5</v>
      </c>
      <c r="BB675" s="92">
        <v>6</v>
      </c>
      <c r="BC675" s="92">
        <v>7</v>
      </c>
      <c r="BD675" s="92">
        <v>8</v>
      </c>
      <c r="BE675" s="92">
        <v>9</v>
      </c>
      <c r="BF675" s="93">
        <v>0</v>
      </c>
      <c r="BG675" s="93">
        <v>1</v>
      </c>
      <c r="BH675" s="93">
        <v>2</v>
      </c>
      <c r="BI675" s="93">
        <v>3</v>
      </c>
      <c r="BJ675" s="93">
        <v>4</v>
      </c>
      <c r="BK675" s="93">
        <v>5</v>
      </c>
      <c r="BL675" s="93">
        <v>6</v>
      </c>
      <c r="BM675" s="93">
        <v>7</v>
      </c>
      <c r="BN675" s="93">
        <v>8</v>
      </c>
      <c r="BO675" s="93">
        <v>9</v>
      </c>
      <c r="BP675" s="94" t="str">
        <f t="shared" si="455"/>
        <v>松散型</v>
      </c>
      <c r="BQ675" s="15">
        <f t="shared" si="452"/>
        <v>0</v>
      </c>
      <c r="BR675" s="15">
        <f t="shared" si="453"/>
        <v>6</v>
      </c>
      <c r="BS675" s="20" t="str">
        <f t="shared" ref="BS675:BS684" si="457">IF(COUNTIF($W674:$Y674,W675)&gt;0,W675,"")</f>
        <v/>
      </c>
      <c r="BT675" s="21">
        <f t="shared" ref="BT675:BT684" si="458">IF(COUNTIF($W673:$Y673,W675)&gt;0,W675,"")</f>
        <v>0</v>
      </c>
      <c r="BU675" s="21" t="str">
        <f t="array" ref="BU675">_xlfn.TEXTJOIN("",TRUE,IF(ISERROR(FIND(ROW($1:$168)-1,BS675&amp;BT675)),ROW($1:$168)-1,""))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75" s="22" t="str">
        <f t="shared" ref="BV675:BV707" si="459">IF(BS675&lt;&gt;"","复","中")&amp;IF(BT675&lt;&gt;"","隔","中")&amp;"中"</f>
        <v>中隔中</v>
      </c>
      <c r="BW675" s="23" t="str">
        <f t="shared" si="434"/>
        <v/>
      </c>
      <c r="BX675" s="23" t="str">
        <f t="shared" si="432"/>
        <v/>
      </c>
      <c r="BY675" s="23" t="str">
        <f t="array" ref="BY675">_xlfn.TEXTJOIN("",TRUE,IF(ISERROR(FIND(ROW($1:$168)-1,BW675&amp;BX675)),ROW($1:$168)-1,""))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75" s="22" t="str">
        <f t="shared" ref="BZ675:BZ707" si="460">IF(BW675&lt;&gt;"","复","中")&amp;IF(BX675&lt;&gt;"","隔","中")&amp;"中"</f>
        <v>中中中</v>
      </c>
      <c r="CA675" s="24" t="str">
        <f t="shared" ref="CA675:CA684" si="461">IF(COUNTIF($W674:$Y674,Y675)&gt;0,Y675,"")</f>
        <v/>
      </c>
      <c r="CB675" s="24" t="str">
        <f t="shared" si="433"/>
        <v/>
      </c>
      <c r="CC675" s="24" t="str">
        <f t="array" ref="CC675">_xlfn.TEXTJOIN("",TRUE,IF(ISERROR(FIND(ROW($1:$168)-1,CA675&amp;CB675)),ROW($1:$168)-1,""))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75" s="22" t="str">
        <f t="shared" ref="CD675:CD707" si="462">IF(CA675&lt;&gt;"","复","中")&amp;IF(CB675&lt;&gt;"","隔","中")&amp;"中"</f>
        <v>中中中</v>
      </c>
      <c r="CE675" s="25" t="str">
        <f t="shared" si="456"/>
        <v>91</v>
      </c>
      <c r="CF675" s="26" t="str">
        <f t="array" ref="CF675">_xlfn.TEXTJOIN("",TRUE,IF(ISNUMBER(FIND(MID(CE674&amp;W674,ROW($1:$162),1),CE675&amp;W675)),MID(CE674&amp;W674,ROW($1:$162),1),""))</f>
        <v>1</v>
      </c>
      <c r="CG675" s="27" t="str">
        <f t="array" ref="CG675">_xlfn.TEXTJOIN("",TRUE,IF(ISERROR(FIND(ROW($1:$168)-1,CE675&amp;CF675)),ROW($1:$168)-1,""))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675" s="28" t="str">
        <f t="shared" ref="CH675:CH707" si="463">IF(CE675&lt;&gt;"","邻","孤")&amp;IF(CF675&lt;&gt;"","传","孤")&amp;"孤"</f>
        <v>邻传孤</v>
      </c>
      <c r="CI675" s="29" t="str">
        <f t="shared" ref="CI675:CI707" si="464">IF(X675=0,9,X675-1)&amp;""&amp;IF(X675=9,0,X675+1)</f>
        <v>57</v>
      </c>
      <c r="CJ675" s="29" t="str">
        <f t="array" ref="CJ675">_xlfn.TEXTJOIN("",TRUE,IF(ISNUMBER(FIND(MID(CI674&amp;X674,ROW($1:$162),1),CI675&amp;X675)),MID(CI674&amp;X674,ROW($1:$162),1),""))</f>
        <v/>
      </c>
      <c r="CK675" s="29" t="str">
        <f t="array" ref="CK675">_xlfn.TEXTJOIN("",TRUE,IF(ISERROR(FIND(ROW($1:$168)-1,CI675&amp;CJ675)),ROW($1:$168)-1,""))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75" s="19" t="str">
        <f t="shared" ref="CL675:CL707" si="465">IF(CI675&lt;&gt;"","邻","孤")&amp;IF(CJ675&lt;&gt;"","传","孤")&amp;"孤"</f>
        <v>邻孤孤</v>
      </c>
      <c r="CM675" s="24" t="str">
        <f t="shared" ref="CM675:CM707" si="466">IF(Y675=0,9,Y675-1)&amp;""&amp;IF(Y675=9,0,Y675+1)</f>
        <v>57</v>
      </c>
      <c r="CN675" s="24" t="str">
        <f t="array" ref="CN675">_xlfn.TEXTJOIN("",TRUE,IF(ISNUMBER(FIND(MID(CM674&amp;Y674,ROW($1:$162),1),CM675&amp;Y675)),MID(CM674&amp;Y674,ROW($1:$162),1),""))</f>
        <v>65</v>
      </c>
      <c r="CO675" s="24" t="str">
        <f t="array" ref="CO675">_xlfn.TEXTJOIN("",TRUE,IF(ISERROR(FIND(ROW($1:$168)-1,CM675&amp;CN675)),ROW($1:$168)-1,""))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75" s="30" t="str">
        <f t="shared" ref="CP675:CP707" si="467">IF(CM675&lt;&gt;"","邻","孤")&amp;IF(CN675&lt;&gt;"","传","孤")&amp;"孤"</f>
        <v>邻传孤</v>
      </c>
    </row>
    <row r="676" spans="1:94">
      <c r="A676" s="15">
        <v>676</v>
      </c>
      <c r="B676" s="80">
        <v>2025293</v>
      </c>
      <c r="C676" s="8" t="s">
        <v>511</v>
      </c>
      <c r="D676" s="81">
        <f t="shared" si="447"/>
        <v>10</v>
      </c>
      <c r="E676" s="82">
        <f t="shared" si="448"/>
        <v>0</v>
      </c>
      <c r="F676" s="83">
        <f t="shared" si="435"/>
        <v>2.5</v>
      </c>
      <c r="G676" s="84" t="str">
        <f t="shared" si="436"/>
        <v>标准</v>
      </c>
      <c r="H676" s="85" t="s">
        <v>10</v>
      </c>
      <c r="I676" s="85" t="s">
        <v>11</v>
      </c>
      <c r="J676" s="85" t="s">
        <v>12</v>
      </c>
      <c r="K676" s="85" t="s">
        <v>13</v>
      </c>
      <c r="L676" s="86">
        <f>MAX(MID(C676,{1,2,3},1)*1)-MIN(MID(C676,{1,2,3},1)*1)</f>
        <v>4</v>
      </c>
      <c r="M676" s="87">
        <v>0</v>
      </c>
      <c r="N676" s="87">
        <v>1</v>
      </c>
      <c r="O676" s="87">
        <v>2</v>
      </c>
      <c r="P676" s="87">
        <v>3</v>
      </c>
      <c r="Q676" s="87">
        <v>4</v>
      </c>
      <c r="R676" s="87">
        <v>5</v>
      </c>
      <c r="S676" s="87">
        <v>6</v>
      </c>
      <c r="T676" s="87">
        <v>7</v>
      </c>
      <c r="U676" s="87">
        <v>8</v>
      </c>
      <c r="V676" s="87">
        <v>9</v>
      </c>
      <c r="W676" s="88">
        <f t="shared" si="449"/>
        <v>4</v>
      </c>
      <c r="X676" s="88">
        <f t="shared" si="450"/>
        <v>3</v>
      </c>
      <c r="Y676" s="88">
        <f t="shared" si="451"/>
        <v>1</v>
      </c>
      <c r="Z676" s="89">
        <f t="shared" si="454"/>
        <v>8</v>
      </c>
      <c r="AA676" s="17" t="str">
        <f>_xlfn.TEXTJOIN(", ",TRUE,ABS(MID(C676,{1,1,2},1)-MID(C676,{2,3,3},1)))</f>
        <v>4, 3, 1</v>
      </c>
      <c r="AB676" s="90">
        <v>0</v>
      </c>
      <c r="AC676" s="90">
        <v>1</v>
      </c>
      <c r="AD676" s="90">
        <v>2</v>
      </c>
      <c r="AE676" s="90">
        <v>3</v>
      </c>
      <c r="AF676" s="90">
        <v>4</v>
      </c>
      <c r="AG676" s="90">
        <v>5</v>
      </c>
      <c r="AH676" s="90">
        <v>6</v>
      </c>
      <c r="AI676" s="90">
        <v>7</v>
      </c>
      <c r="AJ676" s="90">
        <v>8</v>
      </c>
      <c r="AK676" s="90">
        <v>9</v>
      </c>
      <c r="AL676" s="91">
        <v>0</v>
      </c>
      <c r="AM676" s="91">
        <v>1</v>
      </c>
      <c r="AN676" s="91">
        <v>2</v>
      </c>
      <c r="AO676" s="91">
        <v>3</v>
      </c>
      <c r="AP676" s="91">
        <v>4</v>
      </c>
      <c r="AQ676" s="91">
        <v>5</v>
      </c>
      <c r="AR676" s="91">
        <v>6</v>
      </c>
      <c r="AS676" s="91">
        <v>7</v>
      </c>
      <c r="AT676" s="91">
        <v>8</v>
      </c>
      <c r="AU676" s="91">
        <v>9</v>
      </c>
      <c r="AV676" s="92">
        <v>0</v>
      </c>
      <c r="AW676" s="92">
        <v>1</v>
      </c>
      <c r="AX676" s="92">
        <v>2</v>
      </c>
      <c r="AY676" s="92">
        <v>3</v>
      </c>
      <c r="AZ676" s="92">
        <v>4</v>
      </c>
      <c r="BA676" s="92">
        <v>5</v>
      </c>
      <c r="BB676" s="92">
        <v>6</v>
      </c>
      <c r="BC676" s="92">
        <v>7</v>
      </c>
      <c r="BD676" s="92">
        <v>8</v>
      </c>
      <c r="BE676" s="92">
        <v>9</v>
      </c>
      <c r="BF676" s="93">
        <v>0</v>
      </c>
      <c r="BG676" s="93">
        <v>1</v>
      </c>
      <c r="BH676" s="93">
        <v>2</v>
      </c>
      <c r="BI676" s="93">
        <v>3</v>
      </c>
      <c r="BJ676" s="93">
        <v>4</v>
      </c>
      <c r="BK676" s="93">
        <v>5</v>
      </c>
      <c r="BL676" s="93">
        <v>6</v>
      </c>
      <c r="BM676" s="93">
        <v>7</v>
      </c>
      <c r="BN676" s="93">
        <v>8</v>
      </c>
      <c r="BO676" s="93">
        <v>9</v>
      </c>
      <c r="BP676" s="94" t="str">
        <f t="shared" si="455"/>
        <v>紧凑型</v>
      </c>
      <c r="BQ676" s="15">
        <f t="shared" si="452"/>
        <v>1</v>
      </c>
      <c r="BR676" s="15">
        <f t="shared" si="453"/>
        <v>4</v>
      </c>
      <c r="BS676" s="20" t="str">
        <f t="shared" si="457"/>
        <v/>
      </c>
      <c r="BT676" s="21" t="str">
        <f t="shared" si="458"/>
        <v/>
      </c>
      <c r="BU676" s="21" t="str">
        <f t="array" ref="BU676">_xlfn.TEXTJOIN("",TRUE,IF(ISERROR(FIND(ROW($1:$168)-1,BS676&amp;BT676)),ROW($1:$168)-1,""))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76" s="22" t="str">
        <f t="shared" si="459"/>
        <v>中中中</v>
      </c>
      <c r="BW676" s="23" t="str">
        <f t="shared" si="434"/>
        <v/>
      </c>
      <c r="BX676" s="23">
        <f t="shared" ref="BX676:BX684" si="468">IF(COUNTIF($W674:$Y674,X676)&gt;0,X676,"")</f>
        <v>3</v>
      </c>
      <c r="BY676" s="23" t="str">
        <f t="array" ref="BY676">_xlfn.TEXTJOIN("",TRUE,IF(ISERROR(FIND(ROW($1:$168)-1,BW676&amp;BX676)),ROW($1:$168)-1,""))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76" s="22" t="str">
        <f t="shared" si="460"/>
        <v>中隔中</v>
      </c>
      <c r="CA676" s="24" t="str">
        <f t="shared" si="461"/>
        <v/>
      </c>
      <c r="CB676" s="24" t="str">
        <f t="shared" ref="CB676:CB684" si="469">IF(COUNTIF($W674:$Y674,Y676)&gt;0,Y676,"")</f>
        <v/>
      </c>
      <c r="CC676" s="24" t="str">
        <f t="array" ref="CC676">_xlfn.TEXTJOIN("",TRUE,IF(ISERROR(FIND(ROW($1:$168)-1,CA676&amp;CB676)),ROW($1:$168)-1,""))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76" s="22" t="str">
        <f t="shared" si="462"/>
        <v>中中中</v>
      </c>
      <c r="CE676" s="25" t="str">
        <f t="shared" si="456"/>
        <v>35</v>
      </c>
      <c r="CF676" s="26" t="str">
        <f t="array" ref="CF676">_xlfn.TEXTJOIN("",TRUE,IF(ISNUMBER(FIND(MID(CE675&amp;W675,ROW($1:$162),1),CE676&amp;W676)),MID(CE675&amp;W675,ROW($1:$162),1),""))</f>
        <v/>
      </c>
      <c r="CG676" s="27" t="str">
        <f t="array" ref="CG676">_xlfn.TEXTJOIN("",TRUE,IF(ISERROR(FIND(ROW($1:$168)-1,CE676&amp;CF676)),ROW($1:$168)-1,""))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76" s="28" t="str">
        <f t="shared" si="463"/>
        <v>邻孤孤</v>
      </c>
      <c r="CI676" s="29" t="str">
        <f t="shared" si="464"/>
        <v>24</v>
      </c>
      <c r="CJ676" s="29" t="str">
        <f t="array" ref="CJ676">_xlfn.TEXTJOIN("",TRUE,IF(ISNUMBER(FIND(MID(CI675&amp;X675,ROW($1:$162),1),CI676&amp;X676)),MID(CI675&amp;X675,ROW($1:$162),1),""))</f>
        <v/>
      </c>
      <c r="CK676" s="29" t="str">
        <f t="array" ref="CK676">_xlfn.TEXTJOIN("",TRUE,IF(ISERROR(FIND(ROW($1:$168)-1,CI676&amp;CJ676)),ROW($1:$168)-1,""))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76" s="19" t="str">
        <f t="shared" si="465"/>
        <v>邻孤孤</v>
      </c>
      <c r="CM676" s="24" t="str">
        <f t="shared" si="466"/>
        <v>02</v>
      </c>
      <c r="CN676" s="24" t="str">
        <f t="array" ref="CN676">_xlfn.TEXTJOIN("",TRUE,IF(ISNUMBER(FIND(MID(CM675&amp;Y675,ROW($1:$162),1),CM676&amp;Y676)),MID(CM675&amp;Y675,ROW($1:$162),1),""))</f>
        <v/>
      </c>
      <c r="CO676" s="24" t="str">
        <f t="array" ref="CO676">_xlfn.TEXTJOIN("",TRUE,IF(ISERROR(FIND(ROW($1:$168)-1,CM676&amp;CN676)),ROW($1:$168)-1,""))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76" s="30" t="str">
        <f t="shared" si="467"/>
        <v>邻孤孤</v>
      </c>
    </row>
    <row r="677" spans="1:94">
      <c r="A677" s="15">
        <v>677</v>
      </c>
      <c r="B677" s="80">
        <v>2025294</v>
      </c>
      <c r="C677" s="8" t="s">
        <v>512</v>
      </c>
      <c r="D677" s="81">
        <f t="shared" si="447"/>
        <v>9</v>
      </c>
      <c r="E677" s="82">
        <f t="shared" si="448"/>
        <v>9</v>
      </c>
      <c r="F677" s="83">
        <f t="shared" si="435"/>
        <v>2.25</v>
      </c>
      <c r="G677" s="84" t="str">
        <f t="shared" si="436"/>
        <v>标准</v>
      </c>
      <c r="H677" s="85" t="s">
        <v>10</v>
      </c>
      <c r="I677" s="85" t="s">
        <v>11</v>
      </c>
      <c r="J677" s="85" t="s">
        <v>12</v>
      </c>
      <c r="K677" s="85" t="s">
        <v>13</v>
      </c>
      <c r="L677" s="86">
        <f>MAX(MID(C677,{1,2,3},1)*1)-MIN(MID(C677,{1,2,3},1)*1)</f>
        <v>4</v>
      </c>
      <c r="M677" s="87">
        <v>0</v>
      </c>
      <c r="N677" s="87">
        <v>1</v>
      </c>
      <c r="O677" s="87">
        <v>2</v>
      </c>
      <c r="P677" s="87">
        <v>3</v>
      </c>
      <c r="Q677" s="87">
        <v>4</v>
      </c>
      <c r="R677" s="87">
        <v>5</v>
      </c>
      <c r="S677" s="87">
        <v>6</v>
      </c>
      <c r="T677" s="87">
        <v>7</v>
      </c>
      <c r="U677" s="87">
        <v>8</v>
      </c>
      <c r="V677" s="87">
        <v>9</v>
      </c>
      <c r="W677" s="88">
        <f t="shared" si="449"/>
        <v>4</v>
      </c>
      <c r="X677" s="88">
        <f t="shared" si="450"/>
        <v>2</v>
      </c>
      <c r="Y677" s="88">
        <f t="shared" si="451"/>
        <v>2</v>
      </c>
      <c r="Z677" s="89">
        <f t="shared" si="454"/>
        <v>8</v>
      </c>
      <c r="AA677" s="17" t="str">
        <f>_xlfn.TEXTJOIN(", ",TRUE,ABS(MID(C677,{1,1,2},1)-MID(C677,{2,3,3},1)))</f>
        <v>4, 2, 2</v>
      </c>
      <c r="AB677" s="90">
        <v>0</v>
      </c>
      <c r="AC677" s="90">
        <v>1</v>
      </c>
      <c r="AD677" s="90">
        <v>2</v>
      </c>
      <c r="AE677" s="90">
        <v>3</v>
      </c>
      <c r="AF677" s="90">
        <v>4</v>
      </c>
      <c r="AG677" s="90">
        <v>5</v>
      </c>
      <c r="AH677" s="90">
        <v>6</v>
      </c>
      <c r="AI677" s="90">
        <v>7</v>
      </c>
      <c r="AJ677" s="90">
        <v>8</v>
      </c>
      <c r="AK677" s="90">
        <v>9</v>
      </c>
      <c r="AL677" s="91">
        <v>0</v>
      </c>
      <c r="AM677" s="91">
        <v>1</v>
      </c>
      <c r="AN677" s="91">
        <v>2</v>
      </c>
      <c r="AO677" s="91">
        <v>3</v>
      </c>
      <c r="AP677" s="91">
        <v>4</v>
      </c>
      <c r="AQ677" s="91">
        <v>5</v>
      </c>
      <c r="AR677" s="91">
        <v>6</v>
      </c>
      <c r="AS677" s="91">
        <v>7</v>
      </c>
      <c r="AT677" s="91">
        <v>8</v>
      </c>
      <c r="AU677" s="91">
        <v>9</v>
      </c>
      <c r="AV677" s="92">
        <v>0</v>
      </c>
      <c r="AW677" s="92">
        <v>1</v>
      </c>
      <c r="AX677" s="92">
        <v>2</v>
      </c>
      <c r="AY677" s="92">
        <v>3</v>
      </c>
      <c r="AZ677" s="92">
        <v>4</v>
      </c>
      <c r="BA677" s="92">
        <v>5</v>
      </c>
      <c r="BB677" s="92">
        <v>6</v>
      </c>
      <c r="BC677" s="92">
        <v>7</v>
      </c>
      <c r="BD677" s="92">
        <v>8</v>
      </c>
      <c r="BE677" s="92">
        <v>9</v>
      </c>
      <c r="BF677" s="93">
        <v>0</v>
      </c>
      <c r="BG677" s="93">
        <v>1</v>
      </c>
      <c r="BH677" s="93">
        <v>2</v>
      </c>
      <c r="BI677" s="93">
        <v>3</v>
      </c>
      <c r="BJ677" s="93">
        <v>4</v>
      </c>
      <c r="BK677" s="93">
        <v>5</v>
      </c>
      <c r="BL677" s="93">
        <v>6</v>
      </c>
      <c r="BM677" s="93">
        <v>7</v>
      </c>
      <c r="BN677" s="93">
        <v>8</v>
      </c>
      <c r="BO677" s="93">
        <v>9</v>
      </c>
      <c r="BP677" s="94" t="str">
        <f t="shared" si="455"/>
        <v>标准型</v>
      </c>
      <c r="BQ677" s="15">
        <f t="shared" si="452"/>
        <v>2</v>
      </c>
      <c r="BR677" s="15">
        <f t="shared" si="453"/>
        <v>4</v>
      </c>
      <c r="BS677" s="20">
        <f t="shared" si="457"/>
        <v>4</v>
      </c>
      <c r="BT677" s="21" t="str">
        <f t="shared" si="458"/>
        <v/>
      </c>
      <c r="BU677" s="21" t="str">
        <f t="array" ref="BU677">_xlfn.TEXTJOIN("",TRUE,IF(ISERROR(FIND(ROW($1:$168)-1,BS677&amp;BT677)),ROW($1:$168)-1,""))</f>
        <v>0123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77" s="22" t="str">
        <f t="shared" si="459"/>
        <v>复中中</v>
      </c>
      <c r="BW677" s="23" t="str">
        <f t="shared" si="434"/>
        <v/>
      </c>
      <c r="BX677" s="23" t="str">
        <f t="shared" si="468"/>
        <v/>
      </c>
      <c r="BY677" s="23" t="str">
        <f t="array" ref="BY677">_xlfn.TEXTJOIN("",TRUE,IF(ISERROR(FIND(ROW($1:$168)-1,BW677&amp;BX677)),ROW($1:$168)-1,""))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77" s="22" t="str">
        <f t="shared" si="460"/>
        <v>中中中</v>
      </c>
      <c r="CA677" s="24" t="str">
        <f t="shared" si="461"/>
        <v/>
      </c>
      <c r="CB677" s="24" t="str">
        <f t="shared" si="469"/>
        <v/>
      </c>
      <c r="CC677" s="24" t="str">
        <f t="array" ref="CC677">_xlfn.TEXTJOIN("",TRUE,IF(ISERROR(FIND(ROW($1:$168)-1,CA677&amp;CB677)),ROW($1:$168)-1,""))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77" s="22" t="str">
        <f t="shared" si="462"/>
        <v>中中中</v>
      </c>
      <c r="CE677" s="25" t="str">
        <f t="shared" si="456"/>
        <v>35</v>
      </c>
      <c r="CF677" s="26" t="str">
        <f t="array" ref="CF677">_xlfn.TEXTJOIN("",TRUE,IF(ISNUMBER(FIND(MID(CE676&amp;W676,ROW($1:$162),1),CE677&amp;W677)),MID(CE676&amp;W676,ROW($1:$162),1),""))</f>
        <v>354</v>
      </c>
      <c r="CG677" s="27" t="str">
        <f t="array" ref="CG677">_xlfn.TEXTJOIN("",TRUE,IF(ISERROR(FIND(ROW($1:$168)-1,CE677&amp;CF677)),ROW($1:$168)-1,""))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77" s="28" t="str">
        <f t="shared" si="463"/>
        <v>邻传孤</v>
      </c>
      <c r="CI677" s="29" t="str">
        <f t="shared" si="464"/>
        <v>13</v>
      </c>
      <c r="CJ677" s="29" t="str">
        <f t="array" ref="CJ677">_xlfn.TEXTJOIN("",TRUE,IF(ISNUMBER(FIND(MID(CI676&amp;X676,ROW($1:$162),1),CI677&amp;X677)),MID(CI676&amp;X676,ROW($1:$162),1),""))</f>
        <v>23</v>
      </c>
      <c r="CK677" s="29" t="str">
        <f t="array" ref="CK677">_xlfn.TEXTJOIN("",TRUE,IF(ISERROR(FIND(ROW($1:$168)-1,CI677&amp;CJ677)),ROW($1:$168)-1,""))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677" s="19" t="str">
        <f t="shared" si="465"/>
        <v>邻传孤</v>
      </c>
      <c r="CM677" s="24" t="str">
        <f t="shared" si="466"/>
        <v>13</v>
      </c>
      <c r="CN677" s="24" t="str">
        <f t="array" ref="CN677">_xlfn.TEXTJOIN("",TRUE,IF(ISNUMBER(FIND(MID(CM676&amp;Y676,ROW($1:$162),1),CM677&amp;Y677)),MID(CM676&amp;Y676,ROW($1:$162),1),""))</f>
        <v>21</v>
      </c>
      <c r="CO677" s="24" t="str">
        <f t="array" ref="CO677">_xlfn.TEXTJOIN("",TRUE,IF(ISERROR(FIND(ROW($1:$168)-1,CM677&amp;CN677)),ROW($1:$168)-1,""))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677" s="30" t="str">
        <f t="shared" si="467"/>
        <v>邻传孤</v>
      </c>
    </row>
    <row r="678" spans="1:94">
      <c r="A678" s="15">
        <v>678</v>
      </c>
      <c r="B678" s="80">
        <v>2025295</v>
      </c>
      <c r="C678" s="8" t="s">
        <v>513</v>
      </c>
      <c r="D678" s="81">
        <f t="shared" si="447"/>
        <v>12</v>
      </c>
      <c r="E678" s="82">
        <f t="shared" si="448"/>
        <v>2</v>
      </c>
      <c r="F678" s="83">
        <f t="shared" si="435"/>
        <v>2.4</v>
      </c>
      <c r="G678" s="84" t="str">
        <f t="shared" si="436"/>
        <v>标准</v>
      </c>
      <c r="H678" s="85" t="s">
        <v>10</v>
      </c>
      <c r="I678" s="85" t="s">
        <v>11</v>
      </c>
      <c r="J678" s="85" t="s">
        <v>12</v>
      </c>
      <c r="K678" s="85" t="s">
        <v>13</v>
      </c>
      <c r="L678" s="86">
        <f>MAX(MID(C678,{1,2,3},1)*1)-MIN(MID(C678,{1,2,3},1)*1)</f>
        <v>5</v>
      </c>
      <c r="M678" s="87">
        <v>0</v>
      </c>
      <c r="N678" s="87">
        <v>1</v>
      </c>
      <c r="O678" s="87">
        <v>2</v>
      </c>
      <c r="P678" s="87">
        <v>3</v>
      </c>
      <c r="Q678" s="87">
        <v>4</v>
      </c>
      <c r="R678" s="87">
        <v>5</v>
      </c>
      <c r="S678" s="87">
        <v>6</v>
      </c>
      <c r="T678" s="87">
        <v>7</v>
      </c>
      <c r="U678" s="87">
        <v>8</v>
      </c>
      <c r="V678" s="87">
        <v>9</v>
      </c>
      <c r="W678" s="88">
        <f t="shared" si="449"/>
        <v>5</v>
      </c>
      <c r="X678" s="88">
        <f t="shared" si="450"/>
        <v>1</v>
      </c>
      <c r="Y678" s="88">
        <f t="shared" si="451"/>
        <v>4</v>
      </c>
      <c r="Z678" s="89">
        <f t="shared" si="454"/>
        <v>10</v>
      </c>
      <c r="AA678" s="17" t="str">
        <f>_xlfn.TEXTJOIN(", ",TRUE,ABS(MID(C678,{1,1,2},1)-MID(C678,{2,3,3},1)))</f>
        <v>5, 1, 4</v>
      </c>
      <c r="AB678" s="90">
        <v>0</v>
      </c>
      <c r="AC678" s="90">
        <v>1</v>
      </c>
      <c r="AD678" s="90">
        <v>2</v>
      </c>
      <c r="AE678" s="90">
        <v>3</v>
      </c>
      <c r="AF678" s="90">
        <v>4</v>
      </c>
      <c r="AG678" s="90">
        <v>5</v>
      </c>
      <c r="AH678" s="90">
        <v>6</v>
      </c>
      <c r="AI678" s="90">
        <v>7</v>
      </c>
      <c r="AJ678" s="90">
        <v>8</v>
      </c>
      <c r="AK678" s="90">
        <v>9</v>
      </c>
      <c r="AL678" s="91">
        <v>0</v>
      </c>
      <c r="AM678" s="91">
        <v>1</v>
      </c>
      <c r="AN678" s="91">
        <v>2</v>
      </c>
      <c r="AO678" s="91">
        <v>3</v>
      </c>
      <c r="AP678" s="91">
        <v>4</v>
      </c>
      <c r="AQ678" s="91">
        <v>5</v>
      </c>
      <c r="AR678" s="91">
        <v>6</v>
      </c>
      <c r="AS678" s="91">
        <v>7</v>
      </c>
      <c r="AT678" s="91">
        <v>8</v>
      </c>
      <c r="AU678" s="91">
        <v>9</v>
      </c>
      <c r="AV678" s="92">
        <v>0</v>
      </c>
      <c r="AW678" s="92">
        <v>1</v>
      </c>
      <c r="AX678" s="92">
        <v>2</v>
      </c>
      <c r="AY678" s="92">
        <v>3</v>
      </c>
      <c r="AZ678" s="92">
        <v>4</v>
      </c>
      <c r="BA678" s="92">
        <v>5</v>
      </c>
      <c r="BB678" s="92">
        <v>6</v>
      </c>
      <c r="BC678" s="92">
        <v>7</v>
      </c>
      <c r="BD678" s="92">
        <v>8</v>
      </c>
      <c r="BE678" s="92">
        <v>9</v>
      </c>
      <c r="BF678" s="93">
        <v>0</v>
      </c>
      <c r="BG678" s="93">
        <v>1</v>
      </c>
      <c r="BH678" s="93">
        <v>2</v>
      </c>
      <c r="BI678" s="93">
        <v>3</v>
      </c>
      <c r="BJ678" s="93">
        <v>4</v>
      </c>
      <c r="BK678" s="93">
        <v>5</v>
      </c>
      <c r="BL678" s="93">
        <v>6</v>
      </c>
      <c r="BM678" s="93">
        <v>7</v>
      </c>
      <c r="BN678" s="93">
        <v>8</v>
      </c>
      <c r="BO678" s="93">
        <v>9</v>
      </c>
      <c r="BP678" s="94" t="str">
        <f t="shared" si="455"/>
        <v>标准型</v>
      </c>
      <c r="BQ678" s="15">
        <f t="shared" si="452"/>
        <v>1</v>
      </c>
      <c r="BR678" s="15">
        <f t="shared" si="453"/>
        <v>5</v>
      </c>
      <c r="BS678" s="20" t="str">
        <f t="shared" si="457"/>
        <v/>
      </c>
      <c r="BT678" s="21" t="str">
        <f t="shared" si="458"/>
        <v/>
      </c>
      <c r="BU678" s="21" t="str">
        <f t="array" ref="BU678">_xlfn.TEXTJOIN("",TRUE,IF(ISERROR(FIND(ROW($1:$168)-1,BS678&amp;BT678)),ROW($1:$168)-1,""))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78" s="22" t="str">
        <f t="shared" si="459"/>
        <v>中中中</v>
      </c>
      <c r="BW678" s="23" t="str">
        <f t="shared" ref="BW678:BW684" si="470">IF(COUNTIF($W677:$Y677,X678)&gt;0,X678,"")</f>
        <v/>
      </c>
      <c r="BX678" s="23">
        <f t="shared" si="468"/>
        <v>1</v>
      </c>
      <c r="BY678" s="23" t="str">
        <f t="array" ref="BY678">_xlfn.TEXTJOIN("",TRUE,IF(ISERROR(FIND(ROW($1:$168)-1,BW678&amp;BX678)),ROW($1:$168)-1,""))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78" s="22" t="str">
        <f t="shared" si="460"/>
        <v>中隔中</v>
      </c>
      <c r="CA678" s="24">
        <f t="shared" si="461"/>
        <v>4</v>
      </c>
      <c r="CB678" s="24">
        <f t="shared" si="469"/>
        <v>4</v>
      </c>
      <c r="CC678" s="24" t="str">
        <f t="array" ref="CC678">_xlfn.TEXTJOIN("",TRUE,IF(ISERROR(FIND(ROW($1:$168)-1,CA678&amp;CB678)),ROW($1:$168)-1,""))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78" s="22" t="str">
        <f t="shared" si="462"/>
        <v>复隔中</v>
      </c>
      <c r="CE678" s="25" t="str">
        <f t="shared" si="456"/>
        <v>46</v>
      </c>
      <c r="CF678" s="26" t="str">
        <f t="array" ref="CF678">_xlfn.TEXTJOIN("",TRUE,IF(ISNUMBER(FIND(MID(CE677&amp;W677,ROW($1:$162),1),CE678&amp;W678)),MID(CE677&amp;W677,ROW($1:$162),1),""))</f>
        <v>54</v>
      </c>
      <c r="CG678" s="27" t="str">
        <f t="array" ref="CG678">_xlfn.TEXTJOIN("",TRUE,IF(ISERROR(FIND(ROW($1:$168)-1,CE678&amp;CF678)),ROW($1:$168)-1,""))</f>
        <v>01237891011121314151617181920212223242526272829303132333435363738394041424344454748495051525355565758596061626364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78" s="28" t="str">
        <f t="shared" si="463"/>
        <v>邻传孤</v>
      </c>
      <c r="CI678" s="29" t="str">
        <f t="shared" si="464"/>
        <v>02</v>
      </c>
      <c r="CJ678" s="29" t="str">
        <f t="array" ref="CJ678">_xlfn.TEXTJOIN("",TRUE,IF(ISNUMBER(FIND(MID(CI677&amp;X677,ROW($1:$162),1),CI678&amp;X678)),MID(CI677&amp;X677,ROW($1:$162),1),""))</f>
        <v>12</v>
      </c>
      <c r="CK678" s="29" t="str">
        <f t="array" ref="CK678">_xlfn.TEXTJOIN("",TRUE,IF(ISERROR(FIND(ROW($1:$168)-1,CI678&amp;CJ678)),ROW($1:$168)-1,""))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78" s="19" t="str">
        <f t="shared" si="465"/>
        <v>邻传孤</v>
      </c>
      <c r="CM678" s="24" t="str">
        <f t="shared" si="466"/>
        <v>35</v>
      </c>
      <c r="CN678" s="24" t="str">
        <f t="array" ref="CN678">_xlfn.TEXTJOIN("",TRUE,IF(ISNUMBER(FIND(MID(CM677&amp;Y677,ROW($1:$162),1),CM678&amp;Y678)),MID(CM677&amp;Y677,ROW($1:$162),1),""))</f>
        <v>3</v>
      </c>
      <c r="CO678" s="24" t="str">
        <f t="array" ref="CO678">_xlfn.TEXTJOIN("",TRUE,IF(ISERROR(FIND(ROW($1:$168)-1,CM678&amp;CN678)),ROW($1:$168)-1,""))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78" s="30" t="str">
        <f t="shared" si="467"/>
        <v>邻传孤</v>
      </c>
    </row>
    <row r="679" spans="1:94">
      <c r="A679" s="15">
        <v>679</v>
      </c>
      <c r="B679" s="80">
        <v>2025296</v>
      </c>
      <c r="C679" s="8" t="s">
        <v>514</v>
      </c>
      <c r="D679" s="81">
        <f t="shared" si="447"/>
        <v>15</v>
      </c>
      <c r="E679" s="82">
        <f t="shared" si="448"/>
        <v>5</v>
      </c>
      <c r="F679" s="83">
        <f t="shared" si="435"/>
        <v>3.75</v>
      </c>
      <c r="G679" s="84" t="str">
        <f t="shared" si="436"/>
        <v>紧凑</v>
      </c>
      <c r="H679" s="85" t="s">
        <v>10</v>
      </c>
      <c r="I679" s="85" t="s">
        <v>11</v>
      </c>
      <c r="J679" s="85" t="s">
        <v>12</v>
      </c>
      <c r="K679" s="85" t="s">
        <v>13</v>
      </c>
      <c r="L679" s="86">
        <f>MAX(MID(C679,{1,2,3},1)*1)-MIN(MID(C679,{1,2,3},1)*1)</f>
        <v>4</v>
      </c>
      <c r="M679" s="87">
        <v>0</v>
      </c>
      <c r="N679" s="87">
        <v>1</v>
      </c>
      <c r="O679" s="87">
        <v>2</v>
      </c>
      <c r="P679" s="87">
        <v>3</v>
      </c>
      <c r="Q679" s="87">
        <v>4</v>
      </c>
      <c r="R679" s="87">
        <v>5</v>
      </c>
      <c r="S679" s="87">
        <v>6</v>
      </c>
      <c r="T679" s="87">
        <v>7</v>
      </c>
      <c r="U679" s="87">
        <v>8</v>
      </c>
      <c r="V679" s="87">
        <v>9</v>
      </c>
      <c r="W679" s="88">
        <f t="shared" si="449"/>
        <v>2</v>
      </c>
      <c r="X679" s="88">
        <f t="shared" si="450"/>
        <v>2</v>
      </c>
      <c r="Y679" s="88">
        <f t="shared" si="451"/>
        <v>4</v>
      </c>
      <c r="Z679" s="89">
        <f t="shared" si="454"/>
        <v>8</v>
      </c>
      <c r="AA679" s="17" t="str">
        <f>_xlfn.TEXTJOIN(", ",TRUE,ABS(MID(C679,{1,1,2},1)-MID(C679,{2,3,3},1)))</f>
        <v>2, 2, 4</v>
      </c>
      <c r="AB679" s="90">
        <v>0</v>
      </c>
      <c r="AC679" s="90">
        <v>1</v>
      </c>
      <c r="AD679" s="90">
        <v>2</v>
      </c>
      <c r="AE679" s="90">
        <v>3</v>
      </c>
      <c r="AF679" s="90">
        <v>4</v>
      </c>
      <c r="AG679" s="90">
        <v>5</v>
      </c>
      <c r="AH679" s="90">
        <v>6</v>
      </c>
      <c r="AI679" s="90">
        <v>7</v>
      </c>
      <c r="AJ679" s="90">
        <v>8</v>
      </c>
      <c r="AK679" s="90">
        <v>9</v>
      </c>
      <c r="AL679" s="91">
        <v>0</v>
      </c>
      <c r="AM679" s="91">
        <v>1</v>
      </c>
      <c r="AN679" s="91">
        <v>2</v>
      </c>
      <c r="AO679" s="91">
        <v>3</v>
      </c>
      <c r="AP679" s="91">
        <v>4</v>
      </c>
      <c r="AQ679" s="91">
        <v>5</v>
      </c>
      <c r="AR679" s="91">
        <v>6</v>
      </c>
      <c r="AS679" s="91">
        <v>7</v>
      </c>
      <c r="AT679" s="91">
        <v>8</v>
      </c>
      <c r="AU679" s="91">
        <v>9</v>
      </c>
      <c r="AV679" s="92">
        <v>0</v>
      </c>
      <c r="AW679" s="92">
        <v>1</v>
      </c>
      <c r="AX679" s="92">
        <v>2</v>
      </c>
      <c r="AY679" s="92">
        <v>3</v>
      </c>
      <c r="AZ679" s="92">
        <v>4</v>
      </c>
      <c r="BA679" s="92">
        <v>5</v>
      </c>
      <c r="BB679" s="92">
        <v>6</v>
      </c>
      <c r="BC679" s="92">
        <v>7</v>
      </c>
      <c r="BD679" s="92">
        <v>8</v>
      </c>
      <c r="BE679" s="92">
        <v>9</v>
      </c>
      <c r="BF679" s="93">
        <v>0</v>
      </c>
      <c r="BG679" s="93">
        <v>1</v>
      </c>
      <c r="BH679" s="93">
        <v>2</v>
      </c>
      <c r="BI679" s="93">
        <v>3</v>
      </c>
      <c r="BJ679" s="93">
        <v>4</v>
      </c>
      <c r="BK679" s="93">
        <v>5</v>
      </c>
      <c r="BL679" s="93">
        <v>6</v>
      </c>
      <c r="BM679" s="93">
        <v>7</v>
      </c>
      <c r="BN679" s="93">
        <v>8</v>
      </c>
      <c r="BO679" s="93">
        <v>9</v>
      </c>
      <c r="BP679" s="94" t="str">
        <f t="shared" si="455"/>
        <v>标准型</v>
      </c>
      <c r="BQ679" s="15">
        <f t="shared" si="452"/>
        <v>2</v>
      </c>
      <c r="BR679" s="15">
        <f t="shared" si="453"/>
        <v>4</v>
      </c>
      <c r="BS679" s="20" t="str">
        <f t="shared" si="457"/>
        <v/>
      </c>
      <c r="BT679" s="21">
        <f t="shared" si="458"/>
        <v>2</v>
      </c>
      <c r="BU679" s="21" t="str">
        <f t="array" ref="BU679">_xlfn.TEXTJOIN("",TRUE,IF(ISERROR(FIND(ROW($1:$168)-1,BS679&amp;BT679)),ROW($1:$168)-1,""))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79" s="22" t="str">
        <f t="shared" si="459"/>
        <v>中隔中</v>
      </c>
      <c r="BW679" s="23" t="str">
        <f t="shared" si="470"/>
        <v/>
      </c>
      <c r="BX679" s="23">
        <f t="shared" si="468"/>
        <v>2</v>
      </c>
      <c r="BY679" s="23" t="str">
        <f t="array" ref="BY679">_xlfn.TEXTJOIN("",TRUE,IF(ISERROR(FIND(ROW($1:$168)-1,BW679&amp;BX679)),ROW($1:$168)-1,""))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79" s="22" t="str">
        <f t="shared" si="460"/>
        <v>中隔中</v>
      </c>
      <c r="CA679" s="24">
        <f t="shared" si="461"/>
        <v>4</v>
      </c>
      <c r="CB679" s="24">
        <f t="shared" si="469"/>
        <v>4</v>
      </c>
      <c r="CC679" s="24" t="str">
        <f t="array" ref="CC679">_xlfn.TEXTJOIN("",TRUE,IF(ISERROR(FIND(ROW($1:$168)-1,CA679&amp;CB679)),ROW($1:$168)-1,""))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79" s="22" t="str">
        <f t="shared" si="462"/>
        <v>复隔中</v>
      </c>
      <c r="CE679" s="25" t="str">
        <f t="shared" si="456"/>
        <v>13</v>
      </c>
      <c r="CF679" s="26" t="str">
        <f t="array" ref="CF679">_xlfn.TEXTJOIN("",TRUE,IF(ISNUMBER(FIND(MID(CE678&amp;W678,ROW($1:$162),1),CE679&amp;W679)),MID(CE678&amp;W678,ROW($1:$162),1),""))</f>
        <v/>
      </c>
      <c r="CG679" s="27" t="str">
        <f t="array" ref="CG679">_xlfn.TEXTJOIN("",TRUE,IF(ISERROR(FIND(ROW($1:$168)-1,CE679&amp;CF679)),ROW($1:$168)-1,""))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79" s="28" t="str">
        <f t="shared" si="463"/>
        <v>邻孤孤</v>
      </c>
      <c r="CI679" s="29" t="str">
        <f t="shared" si="464"/>
        <v>13</v>
      </c>
      <c r="CJ679" s="29" t="str">
        <f t="array" ref="CJ679">_xlfn.TEXTJOIN("",TRUE,IF(ISNUMBER(FIND(MID(CI678&amp;X678,ROW($1:$162),1),CI679&amp;X679)),MID(CI678&amp;X678,ROW($1:$162),1),""))</f>
        <v>21</v>
      </c>
      <c r="CK679" s="29" t="str">
        <f t="array" ref="CK679">_xlfn.TEXTJOIN("",TRUE,IF(ISERROR(FIND(ROW($1:$168)-1,CI679&amp;CJ679)),ROW($1:$168)-1,""))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679" s="19" t="str">
        <f t="shared" si="465"/>
        <v>邻传孤</v>
      </c>
      <c r="CM679" s="24" t="str">
        <f t="shared" si="466"/>
        <v>35</v>
      </c>
      <c r="CN679" s="24" t="str">
        <f t="array" ref="CN679">_xlfn.TEXTJOIN("",TRUE,IF(ISNUMBER(FIND(MID(CM678&amp;Y678,ROW($1:$162),1),CM679&amp;Y679)),MID(CM678&amp;Y678,ROW($1:$162),1),""))</f>
        <v>354</v>
      </c>
      <c r="CO679" s="24" t="str">
        <f t="array" ref="CO679">_xlfn.TEXTJOIN("",TRUE,IF(ISERROR(FIND(ROW($1:$168)-1,CM679&amp;CN679)),ROW($1:$168)-1,""))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79" s="30" t="str">
        <f t="shared" si="467"/>
        <v>邻传孤</v>
      </c>
    </row>
    <row r="680" spans="1:94">
      <c r="A680" s="15">
        <v>680</v>
      </c>
      <c r="B680" s="80">
        <v>2025297</v>
      </c>
      <c r="C680" s="8" t="s">
        <v>515</v>
      </c>
      <c r="D680" s="81">
        <f t="shared" si="447"/>
        <v>6</v>
      </c>
      <c r="E680" s="82">
        <f t="shared" si="448"/>
        <v>6</v>
      </c>
      <c r="F680" s="83">
        <f t="shared" si="435"/>
        <v>1.2</v>
      </c>
      <c r="G680" s="84" t="str">
        <f t="shared" si="436"/>
        <v>松散</v>
      </c>
      <c r="H680" s="85" t="s">
        <v>10</v>
      </c>
      <c r="I680" s="85" t="s">
        <v>11</v>
      </c>
      <c r="J680" s="85" t="s">
        <v>12</v>
      </c>
      <c r="K680" s="85" t="s">
        <v>13</v>
      </c>
      <c r="L680" s="86">
        <f>MAX(MID(C680,{1,2,3},1)*1)-MIN(MID(C680,{1,2,3},1)*1)</f>
        <v>5</v>
      </c>
      <c r="M680" s="87">
        <v>0</v>
      </c>
      <c r="N680" s="87">
        <v>1</v>
      </c>
      <c r="O680" s="87">
        <v>2</v>
      </c>
      <c r="P680" s="87">
        <v>3</v>
      </c>
      <c r="Q680" s="87">
        <v>4</v>
      </c>
      <c r="R680" s="87">
        <v>5</v>
      </c>
      <c r="S680" s="87">
        <v>6</v>
      </c>
      <c r="T680" s="87">
        <v>7</v>
      </c>
      <c r="U680" s="87">
        <v>8</v>
      </c>
      <c r="V680" s="87">
        <v>9</v>
      </c>
      <c r="W680" s="88">
        <f t="shared" si="449"/>
        <v>5</v>
      </c>
      <c r="X680" s="88">
        <f t="shared" si="450"/>
        <v>1</v>
      </c>
      <c r="Y680" s="88">
        <f t="shared" si="451"/>
        <v>4</v>
      </c>
      <c r="Z680" s="89">
        <f t="shared" si="454"/>
        <v>10</v>
      </c>
      <c r="AA680" s="17" t="str">
        <f>_xlfn.TEXTJOIN(", ",TRUE,ABS(MID(C680,{1,1,2},1)-MID(C680,{2,3,3},1)))</f>
        <v>5, 1, 4</v>
      </c>
      <c r="AB680" s="90">
        <v>0</v>
      </c>
      <c r="AC680" s="90">
        <v>1</v>
      </c>
      <c r="AD680" s="90">
        <v>2</v>
      </c>
      <c r="AE680" s="90">
        <v>3</v>
      </c>
      <c r="AF680" s="90">
        <v>4</v>
      </c>
      <c r="AG680" s="90">
        <v>5</v>
      </c>
      <c r="AH680" s="90">
        <v>6</v>
      </c>
      <c r="AI680" s="90">
        <v>7</v>
      </c>
      <c r="AJ680" s="90">
        <v>8</v>
      </c>
      <c r="AK680" s="90">
        <v>9</v>
      </c>
      <c r="AL680" s="91">
        <v>0</v>
      </c>
      <c r="AM680" s="91">
        <v>1</v>
      </c>
      <c r="AN680" s="91">
        <v>2</v>
      </c>
      <c r="AO680" s="91">
        <v>3</v>
      </c>
      <c r="AP680" s="91">
        <v>4</v>
      </c>
      <c r="AQ680" s="91">
        <v>5</v>
      </c>
      <c r="AR680" s="91">
        <v>6</v>
      </c>
      <c r="AS680" s="91">
        <v>7</v>
      </c>
      <c r="AT680" s="91">
        <v>8</v>
      </c>
      <c r="AU680" s="91">
        <v>9</v>
      </c>
      <c r="AV680" s="92">
        <v>0</v>
      </c>
      <c r="AW680" s="92">
        <v>1</v>
      </c>
      <c r="AX680" s="92">
        <v>2</v>
      </c>
      <c r="AY680" s="92">
        <v>3</v>
      </c>
      <c r="AZ680" s="92">
        <v>4</v>
      </c>
      <c r="BA680" s="92">
        <v>5</v>
      </c>
      <c r="BB680" s="92">
        <v>6</v>
      </c>
      <c r="BC680" s="92">
        <v>7</v>
      </c>
      <c r="BD680" s="92">
        <v>8</v>
      </c>
      <c r="BE680" s="92">
        <v>9</v>
      </c>
      <c r="BF680" s="93">
        <v>0</v>
      </c>
      <c r="BG680" s="93">
        <v>1</v>
      </c>
      <c r="BH680" s="93">
        <v>2</v>
      </c>
      <c r="BI680" s="93">
        <v>3</v>
      </c>
      <c r="BJ680" s="93">
        <v>4</v>
      </c>
      <c r="BK680" s="93">
        <v>5</v>
      </c>
      <c r="BL680" s="93">
        <v>6</v>
      </c>
      <c r="BM680" s="93">
        <v>7</v>
      </c>
      <c r="BN680" s="93">
        <v>8</v>
      </c>
      <c r="BO680" s="93">
        <v>9</v>
      </c>
      <c r="BP680" s="94" t="str">
        <f t="shared" si="455"/>
        <v>标准型</v>
      </c>
      <c r="BQ680" s="15">
        <f t="shared" si="452"/>
        <v>1</v>
      </c>
      <c r="BR680" s="15">
        <f t="shared" si="453"/>
        <v>5</v>
      </c>
      <c r="BS680" s="20" t="str">
        <f t="shared" si="457"/>
        <v/>
      </c>
      <c r="BT680" s="21">
        <f t="shared" si="458"/>
        <v>5</v>
      </c>
      <c r="BU680" s="21" t="str">
        <f t="array" ref="BU680">_xlfn.TEXTJOIN("",TRUE,IF(ISERROR(FIND(ROW($1:$168)-1,BS680&amp;BT680)),ROW($1:$168)-1,""))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80" s="22" t="str">
        <f t="shared" si="459"/>
        <v>中隔中</v>
      </c>
      <c r="BW680" s="23" t="str">
        <f t="shared" si="470"/>
        <v/>
      </c>
      <c r="BX680" s="23">
        <f t="shared" si="468"/>
        <v>1</v>
      </c>
      <c r="BY680" s="23" t="str">
        <f t="array" ref="BY680">_xlfn.TEXTJOIN("",TRUE,IF(ISERROR(FIND(ROW($1:$168)-1,BW680&amp;BX680)),ROW($1:$168)-1,""))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80" s="22" t="str">
        <f t="shared" si="460"/>
        <v>中隔中</v>
      </c>
      <c r="CA680" s="24">
        <f t="shared" si="461"/>
        <v>4</v>
      </c>
      <c r="CB680" s="24">
        <f t="shared" si="469"/>
        <v>4</v>
      </c>
      <c r="CC680" s="24" t="str">
        <f t="array" ref="CC680">_xlfn.TEXTJOIN("",TRUE,IF(ISERROR(FIND(ROW($1:$168)-1,CA680&amp;CB680)),ROW($1:$168)-1,""))</f>
        <v>012356789101112131415161718192021222324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80" s="22" t="str">
        <f t="shared" si="462"/>
        <v>复隔中</v>
      </c>
      <c r="CE680" s="25" t="str">
        <f t="shared" si="456"/>
        <v>46</v>
      </c>
      <c r="CF680" s="26" t="str">
        <f t="array" ref="CF680">_xlfn.TEXTJOIN("",TRUE,IF(ISNUMBER(FIND(MID(CE679&amp;W679,ROW($1:$162),1),CE680&amp;W680)),MID(CE679&amp;W679,ROW($1:$162),1),""))</f>
        <v/>
      </c>
      <c r="CG680" s="27" t="str">
        <f t="array" ref="CG680">_xlfn.TEXTJOIN("",TRUE,IF(ISERROR(FIND(ROW($1:$168)-1,CE680&amp;CF680)),ROW($1:$168)-1,""))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80" s="28" t="str">
        <f t="shared" si="463"/>
        <v>邻孤孤</v>
      </c>
      <c r="CI680" s="29" t="str">
        <f t="shared" si="464"/>
        <v>02</v>
      </c>
      <c r="CJ680" s="29" t="str">
        <f t="array" ref="CJ680">_xlfn.TEXTJOIN("",TRUE,IF(ISNUMBER(FIND(MID(CI679&amp;X679,ROW($1:$162),1),CI680&amp;X680)),MID(CI679&amp;X679,ROW($1:$162),1),""))</f>
        <v>12</v>
      </c>
      <c r="CK680" s="29" t="str">
        <f t="array" ref="CK680">_xlfn.TEXTJOIN("",TRUE,IF(ISERROR(FIND(ROW($1:$168)-1,CI680&amp;CJ680)),ROW($1:$168)-1,""))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80" s="19" t="str">
        <f t="shared" si="465"/>
        <v>邻传孤</v>
      </c>
      <c r="CM680" s="24" t="str">
        <f t="shared" si="466"/>
        <v>35</v>
      </c>
      <c r="CN680" s="24" t="str">
        <f t="array" ref="CN680">_xlfn.TEXTJOIN("",TRUE,IF(ISNUMBER(FIND(MID(CM679&amp;Y679,ROW($1:$162),1),CM680&amp;Y680)),MID(CM679&amp;Y679,ROW($1:$162),1),""))</f>
        <v>354</v>
      </c>
      <c r="CO680" s="24" t="str">
        <f t="array" ref="CO680">_xlfn.TEXTJOIN("",TRUE,IF(ISERROR(FIND(ROW($1:$168)-1,CM680&amp;CN680)),ROW($1:$168)-1,""))</f>
        <v>0126789101112131415161718192021222324252627282930313233343637383940414243444546474849505152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80" s="30" t="str">
        <f t="shared" si="467"/>
        <v>邻传孤</v>
      </c>
    </row>
    <row r="681" spans="1:94">
      <c r="A681" s="15">
        <v>681</v>
      </c>
      <c r="B681" s="80">
        <v>2025298</v>
      </c>
      <c r="C681" s="8">
        <v>544</v>
      </c>
      <c r="D681" s="81">
        <f t="shared" si="447"/>
        <v>13</v>
      </c>
      <c r="E681" s="82">
        <f t="shared" si="448"/>
        <v>3</v>
      </c>
      <c r="F681" s="83">
        <f t="shared" si="435"/>
        <v>13</v>
      </c>
      <c r="G681" s="84" t="str">
        <f t="shared" si="436"/>
        <v>紧凑</v>
      </c>
      <c r="H681" s="85" t="s">
        <v>10</v>
      </c>
      <c r="I681" s="85" t="s">
        <v>11</v>
      </c>
      <c r="J681" s="85" t="s">
        <v>12</v>
      </c>
      <c r="K681" s="85" t="s">
        <v>13</v>
      </c>
      <c r="L681" s="86">
        <f>MAX(MID(C681,{1,2,3},1)*1)-MIN(MID(C681,{1,2,3},1)*1)</f>
        <v>1</v>
      </c>
      <c r="M681" s="87">
        <v>0</v>
      </c>
      <c r="N681" s="87">
        <v>1</v>
      </c>
      <c r="O681" s="87">
        <v>2</v>
      </c>
      <c r="P681" s="87">
        <v>3</v>
      </c>
      <c r="Q681" s="87">
        <v>4</v>
      </c>
      <c r="R681" s="87">
        <v>5</v>
      </c>
      <c r="S681" s="87">
        <v>6</v>
      </c>
      <c r="T681" s="87">
        <v>7</v>
      </c>
      <c r="U681" s="87">
        <v>8</v>
      </c>
      <c r="V681" s="87">
        <v>9</v>
      </c>
      <c r="W681" s="88">
        <f t="shared" si="449"/>
        <v>1</v>
      </c>
      <c r="X681" s="88">
        <f t="shared" si="450"/>
        <v>1</v>
      </c>
      <c r="Y681" s="88">
        <f t="shared" si="451"/>
        <v>0</v>
      </c>
      <c r="Z681" s="89">
        <f t="shared" si="454"/>
        <v>2</v>
      </c>
      <c r="AA681" s="17" t="str">
        <f>_xlfn.TEXTJOIN(", ",TRUE,ABS(MID(C681,{1,1,2},1)-MID(C681,{2,3,3},1)))</f>
        <v>1, 1, 0</v>
      </c>
      <c r="AB681" s="90">
        <v>0</v>
      </c>
      <c r="AC681" s="90">
        <v>1</v>
      </c>
      <c r="AD681" s="90">
        <v>2</v>
      </c>
      <c r="AE681" s="90">
        <v>3</v>
      </c>
      <c r="AF681" s="90">
        <v>4</v>
      </c>
      <c r="AG681" s="90">
        <v>5</v>
      </c>
      <c r="AH681" s="90">
        <v>6</v>
      </c>
      <c r="AI681" s="90">
        <v>7</v>
      </c>
      <c r="AJ681" s="90">
        <v>8</v>
      </c>
      <c r="AK681" s="90">
        <v>9</v>
      </c>
      <c r="AL681" s="91">
        <v>0</v>
      </c>
      <c r="AM681" s="91">
        <v>1</v>
      </c>
      <c r="AN681" s="91">
        <v>2</v>
      </c>
      <c r="AO681" s="91">
        <v>3</v>
      </c>
      <c r="AP681" s="91">
        <v>4</v>
      </c>
      <c r="AQ681" s="91">
        <v>5</v>
      </c>
      <c r="AR681" s="91">
        <v>6</v>
      </c>
      <c r="AS681" s="91">
        <v>7</v>
      </c>
      <c r="AT681" s="91">
        <v>8</v>
      </c>
      <c r="AU681" s="91">
        <v>9</v>
      </c>
      <c r="AV681" s="92">
        <v>0</v>
      </c>
      <c r="AW681" s="92">
        <v>1</v>
      </c>
      <c r="AX681" s="92">
        <v>2</v>
      </c>
      <c r="AY681" s="92">
        <v>3</v>
      </c>
      <c r="AZ681" s="92">
        <v>4</v>
      </c>
      <c r="BA681" s="92">
        <v>5</v>
      </c>
      <c r="BB681" s="92">
        <v>6</v>
      </c>
      <c r="BC681" s="92">
        <v>7</v>
      </c>
      <c r="BD681" s="92">
        <v>8</v>
      </c>
      <c r="BE681" s="92">
        <v>9</v>
      </c>
      <c r="BF681" s="93">
        <v>0</v>
      </c>
      <c r="BG681" s="93">
        <v>1</v>
      </c>
      <c r="BH681" s="93">
        <v>2</v>
      </c>
      <c r="BI681" s="93">
        <v>3</v>
      </c>
      <c r="BJ681" s="93">
        <v>4</v>
      </c>
      <c r="BK681" s="93">
        <v>5</v>
      </c>
      <c r="BL681" s="93">
        <v>6</v>
      </c>
      <c r="BM681" s="93">
        <v>7</v>
      </c>
      <c r="BN681" s="93">
        <v>8</v>
      </c>
      <c r="BO681" s="93">
        <v>9</v>
      </c>
      <c r="BP681" s="94" t="str">
        <f t="shared" si="455"/>
        <v>紧凑型</v>
      </c>
      <c r="BQ681" s="15">
        <f t="shared" si="452"/>
        <v>0</v>
      </c>
      <c r="BR681" s="15">
        <f t="shared" si="453"/>
        <v>1</v>
      </c>
      <c r="BS681" s="20">
        <f t="shared" si="457"/>
        <v>1</v>
      </c>
      <c r="BT681" s="21" t="str">
        <f t="shared" si="458"/>
        <v/>
      </c>
      <c r="BU681" s="21" t="str">
        <f t="array" ref="BU681">_xlfn.TEXTJOIN("",TRUE,IF(ISERROR(FIND(ROW($1:$168)-1,BS681&amp;BT681)),ROW($1:$168)-1,""))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81" s="22" t="str">
        <f t="shared" si="459"/>
        <v>复中中</v>
      </c>
      <c r="BW681" s="23">
        <f t="shared" si="470"/>
        <v>1</v>
      </c>
      <c r="BX681" s="23" t="str">
        <f t="shared" si="468"/>
        <v/>
      </c>
      <c r="BY681" s="23" t="str">
        <f t="array" ref="BY681">_xlfn.TEXTJOIN("",TRUE,IF(ISERROR(FIND(ROW($1:$168)-1,BW681&amp;BX681)),ROW($1:$168)-1,""))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81" s="22" t="str">
        <f t="shared" si="460"/>
        <v>复中中</v>
      </c>
      <c r="CA681" s="24" t="str">
        <f t="shared" si="461"/>
        <v/>
      </c>
      <c r="CB681" s="24" t="str">
        <f t="shared" si="469"/>
        <v/>
      </c>
      <c r="CC681" s="24" t="str">
        <f t="array" ref="CC681">_xlfn.TEXTJOIN("",TRUE,IF(ISERROR(FIND(ROW($1:$168)-1,CA681&amp;CB681)),ROW($1:$168)-1,""))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81" s="22" t="str">
        <f t="shared" si="462"/>
        <v>中中中</v>
      </c>
      <c r="CE681" s="25" t="str">
        <f t="shared" si="456"/>
        <v>02</v>
      </c>
      <c r="CF681" s="26" t="str">
        <f t="array" ref="CF681">_xlfn.TEXTJOIN("",TRUE,IF(ISNUMBER(FIND(MID(CE680&amp;W680,ROW($1:$162),1),CE681&amp;W681)),MID(CE680&amp;W680,ROW($1:$162),1),""))</f>
        <v/>
      </c>
      <c r="CG681" s="27" t="str">
        <f t="array" ref="CG681">_xlfn.TEXTJOIN("",TRUE,IF(ISERROR(FIND(ROW($1:$168)-1,CE681&amp;CF681)),ROW($1:$168)-1,""))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81" s="28" t="str">
        <f t="shared" si="463"/>
        <v>邻孤孤</v>
      </c>
      <c r="CI681" s="29" t="str">
        <f t="shared" si="464"/>
        <v>02</v>
      </c>
      <c r="CJ681" s="29" t="str">
        <f t="array" ref="CJ681">_xlfn.TEXTJOIN("",TRUE,IF(ISNUMBER(FIND(MID(CI680&amp;X680,ROW($1:$162),1),CI681&amp;X681)),MID(CI680&amp;X680,ROW($1:$162),1),""))</f>
        <v>021</v>
      </c>
      <c r="CK681" s="29" t="str">
        <f t="array" ref="CK681">_xlfn.TEXTJOIN("",TRUE,IF(ISERROR(FIND(ROW($1:$168)-1,CI681&amp;CJ681)),ROW($1:$168)-1,""))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81" s="19" t="str">
        <f t="shared" si="465"/>
        <v>邻传孤</v>
      </c>
      <c r="CM681" s="24" t="str">
        <f t="shared" si="466"/>
        <v>91</v>
      </c>
      <c r="CN681" s="24" t="str">
        <f t="array" ref="CN681">_xlfn.TEXTJOIN("",TRUE,IF(ISNUMBER(FIND(MID(CM680&amp;Y680,ROW($1:$162),1),CM681&amp;Y681)),MID(CM680&amp;Y680,ROW($1:$162),1),""))</f>
        <v/>
      </c>
      <c r="CO681" s="24" t="str">
        <f t="array" ref="CO681">_xlfn.TEXTJOIN("",TRUE,IF(ISERROR(FIND(ROW($1:$168)-1,CM681&amp;CN681)),ROW($1:$168)-1,""))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681" s="30" t="str">
        <f t="shared" si="467"/>
        <v>邻孤孤</v>
      </c>
    </row>
    <row r="682" spans="1:94">
      <c r="A682" s="15">
        <v>682</v>
      </c>
      <c r="B682" s="80">
        <v>2025299</v>
      </c>
      <c r="C682" s="8" t="s">
        <v>383</v>
      </c>
      <c r="D682" s="81">
        <f t="shared" ref="D682:D708" si="471">LEFT(C682,1)+MID(C682,2,1)+RIGHT(C682,1)</f>
        <v>16</v>
      </c>
      <c r="E682" s="82">
        <f t="shared" ref="E682:E708" si="472">MOD(LEFT(C682,1)+MID(C682,2,1)+RIGHT(C682,1),10)</f>
        <v>6</v>
      </c>
      <c r="F682" s="83">
        <f t="shared" si="435"/>
        <v>3.2</v>
      </c>
      <c r="G682" s="84" t="str">
        <f t="shared" si="436"/>
        <v>标准</v>
      </c>
      <c r="H682" s="85" t="s">
        <v>10</v>
      </c>
      <c r="I682" s="85" t="s">
        <v>11</v>
      </c>
      <c r="J682" s="85" t="s">
        <v>12</v>
      </c>
      <c r="K682" s="85" t="s">
        <v>13</v>
      </c>
      <c r="L682" s="86">
        <f>MAX(MID(C682,{1,2,3},1)*1)-MIN(MID(C682,{1,2,3},1)*1)</f>
        <v>5</v>
      </c>
      <c r="M682" s="87">
        <v>0</v>
      </c>
      <c r="N682" s="87">
        <v>1</v>
      </c>
      <c r="O682" s="87">
        <v>2</v>
      </c>
      <c r="P682" s="87">
        <v>3</v>
      </c>
      <c r="Q682" s="87">
        <v>4</v>
      </c>
      <c r="R682" s="87">
        <v>5</v>
      </c>
      <c r="S682" s="87">
        <v>6</v>
      </c>
      <c r="T682" s="87">
        <v>7</v>
      </c>
      <c r="U682" s="87">
        <v>8</v>
      </c>
      <c r="V682" s="87">
        <v>9</v>
      </c>
      <c r="W682" s="88">
        <f t="shared" ref="W682:W708" si="473">ABS(LEFT(C682,1)-MID(C682,2,1))</f>
        <v>5</v>
      </c>
      <c r="X682" s="88">
        <f t="shared" ref="X682:X708" si="474">ABS(LEFT(C682,1)-RIGHT(C682,1))</f>
        <v>2</v>
      </c>
      <c r="Y682" s="88">
        <f t="shared" ref="Y682:Y708" si="475">ABS(MID(C682,2,1)-RIGHT(C682,1))</f>
        <v>3</v>
      </c>
      <c r="Z682" s="89">
        <f t="shared" si="454"/>
        <v>10</v>
      </c>
      <c r="AA682" s="17" t="str">
        <f>_xlfn.TEXTJOIN(", ",TRUE,ABS(MID(C682,{1,1,2},1)-MID(C682,{2,3,3},1)))</f>
        <v>5, 2, 3</v>
      </c>
      <c r="AB682" s="90">
        <v>0</v>
      </c>
      <c r="AC682" s="90">
        <v>1</v>
      </c>
      <c r="AD682" s="90">
        <v>2</v>
      </c>
      <c r="AE682" s="90">
        <v>3</v>
      </c>
      <c r="AF682" s="90">
        <v>4</v>
      </c>
      <c r="AG682" s="90">
        <v>5</v>
      </c>
      <c r="AH682" s="90">
        <v>6</v>
      </c>
      <c r="AI682" s="90">
        <v>7</v>
      </c>
      <c r="AJ682" s="90">
        <v>8</v>
      </c>
      <c r="AK682" s="90">
        <v>9</v>
      </c>
      <c r="AL682" s="91">
        <v>0</v>
      </c>
      <c r="AM682" s="91">
        <v>1</v>
      </c>
      <c r="AN682" s="91">
        <v>2</v>
      </c>
      <c r="AO682" s="91">
        <v>3</v>
      </c>
      <c r="AP682" s="91">
        <v>4</v>
      </c>
      <c r="AQ682" s="91">
        <v>5</v>
      </c>
      <c r="AR682" s="91">
        <v>6</v>
      </c>
      <c r="AS682" s="91">
        <v>7</v>
      </c>
      <c r="AT682" s="91">
        <v>8</v>
      </c>
      <c r="AU682" s="91">
        <v>9</v>
      </c>
      <c r="AV682" s="92">
        <v>0</v>
      </c>
      <c r="AW682" s="92">
        <v>1</v>
      </c>
      <c r="AX682" s="92">
        <v>2</v>
      </c>
      <c r="AY682" s="92">
        <v>3</v>
      </c>
      <c r="AZ682" s="92">
        <v>4</v>
      </c>
      <c r="BA682" s="92">
        <v>5</v>
      </c>
      <c r="BB682" s="92">
        <v>6</v>
      </c>
      <c r="BC682" s="92">
        <v>7</v>
      </c>
      <c r="BD682" s="92">
        <v>8</v>
      </c>
      <c r="BE682" s="92">
        <v>9</v>
      </c>
      <c r="BF682" s="93">
        <v>0</v>
      </c>
      <c r="BG682" s="93">
        <v>1</v>
      </c>
      <c r="BH682" s="93">
        <v>2</v>
      </c>
      <c r="BI682" s="93">
        <v>3</v>
      </c>
      <c r="BJ682" s="93">
        <v>4</v>
      </c>
      <c r="BK682" s="93">
        <v>5</v>
      </c>
      <c r="BL682" s="93">
        <v>6</v>
      </c>
      <c r="BM682" s="93">
        <v>7</v>
      </c>
      <c r="BN682" s="93">
        <v>8</v>
      </c>
      <c r="BO682" s="93">
        <v>9</v>
      </c>
      <c r="BP682" s="94" t="str">
        <f t="shared" si="455"/>
        <v>标准型</v>
      </c>
      <c r="BQ682" s="15">
        <f t="shared" si="452"/>
        <v>2</v>
      </c>
      <c r="BR682" s="15">
        <f t="shared" si="453"/>
        <v>5</v>
      </c>
      <c r="BS682" s="20" t="str">
        <f t="shared" si="457"/>
        <v/>
      </c>
      <c r="BT682" s="21">
        <f t="shared" si="458"/>
        <v>5</v>
      </c>
      <c r="BU682" s="21" t="str">
        <f t="array" ref="BU682">_xlfn.TEXTJOIN("",TRUE,IF(ISERROR(FIND(ROW($1:$168)-1,BS682&amp;BT682)),ROW($1:$168)-1,""))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82" s="22" t="str">
        <f t="shared" si="459"/>
        <v>中隔中</v>
      </c>
      <c r="BW682" s="23" t="str">
        <f t="shared" si="470"/>
        <v/>
      </c>
      <c r="BX682" s="23" t="str">
        <f t="shared" si="468"/>
        <v/>
      </c>
      <c r="BY682" s="23" t="str">
        <f t="array" ref="BY682">_xlfn.TEXTJOIN("",TRUE,IF(ISERROR(FIND(ROW($1:$168)-1,BW682&amp;BX682)),ROW($1:$168)-1,""))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82" s="22" t="str">
        <f t="shared" si="460"/>
        <v>中中中</v>
      </c>
      <c r="CA682" s="24" t="str">
        <f t="shared" si="461"/>
        <v/>
      </c>
      <c r="CB682" s="24" t="str">
        <f t="shared" si="469"/>
        <v/>
      </c>
      <c r="CC682" s="24" t="str">
        <f t="array" ref="CC682">_xlfn.TEXTJOIN("",TRUE,IF(ISERROR(FIND(ROW($1:$168)-1,CA682&amp;CB682)),ROW($1:$168)-1,""))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82" s="22" t="str">
        <f t="shared" si="462"/>
        <v>中中中</v>
      </c>
      <c r="CE682" s="25" t="str">
        <f t="shared" si="456"/>
        <v>46</v>
      </c>
      <c r="CF682" s="26" t="str">
        <f t="array" ref="CF682">_xlfn.TEXTJOIN("",TRUE,IF(ISNUMBER(FIND(MID(CE681&amp;W681,ROW($1:$162),1),CE682&amp;W682)),MID(CE681&amp;W681,ROW($1:$162),1),""))</f>
        <v/>
      </c>
      <c r="CG682" s="27" t="str">
        <f t="array" ref="CG682">_xlfn.TEXTJOIN("",TRUE,IF(ISERROR(FIND(ROW($1:$168)-1,CE682&amp;CF682)),ROW($1:$168)-1,""))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82" s="28" t="str">
        <f t="shared" si="463"/>
        <v>邻孤孤</v>
      </c>
      <c r="CI682" s="29" t="str">
        <f t="shared" si="464"/>
        <v>13</v>
      </c>
      <c r="CJ682" s="29" t="str">
        <f t="array" ref="CJ682">_xlfn.TEXTJOIN("",TRUE,IF(ISNUMBER(FIND(MID(CI681&amp;X681,ROW($1:$162),1),CI682&amp;X682)),MID(CI681&amp;X681,ROW($1:$162),1),""))</f>
        <v>21</v>
      </c>
      <c r="CK682" s="29" t="str">
        <f t="array" ref="CK682">_xlfn.TEXTJOIN("",TRUE,IF(ISERROR(FIND(ROW($1:$168)-1,CI682&amp;CJ682)),ROW($1:$168)-1,""))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682" s="19" t="str">
        <f t="shared" si="465"/>
        <v>邻传孤</v>
      </c>
      <c r="CM682" s="24" t="str">
        <f t="shared" si="466"/>
        <v>24</v>
      </c>
      <c r="CN682" s="24" t="str">
        <f t="array" ref="CN682">_xlfn.TEXTJOIN("",TRUE,IF(ISNUMBER(FIND(MID(CM681&amp;Y681,ROW($1:$162),1),CM682&amp;Y682)),MID(CM681&amp;Y681,ROW($1:$162),1),""))</f>
        <v/>
      </c>
      <c r="CO682" s="24" t="str">
        <f t="array" ref="CO682">_xlfn.TEXTJOIN("",TRUE,IF(ISERROR(FIND(ROW($1:$168)-1,CM682&amp;CN682)),ROW($1:$168)-1,""))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82" s="30" t="str">
        <f t="shared" si="467"/>
        <v>邻孤孤</v>
      </c>
    </row>
    <row r="683" s="2" customFormat="1" spans="1:94">
      <c r="A683" s="15">
        <v>683</v>
      </c>
      <c r="B683" s="80" t="s">
        <v>516</v>
      </c>
      <c r="C683" s="8" t="s">
        <v>324</v>
      </c>
      <c r="D683" s="96">
        <f t="shared" si="471"/>
        <v>21</v>
      </c>
      <c r="E683" s="97">
        <f t="shared" si="472"/>
        <v>1</v>
      </c>
      <c r="F683" s="83">
        <f t="shared" si="435"/>
        <v>10.5</v>
      </c>
      <c r="G683" s="84" t="str">
        <f t="shared" si="436"/>
        <v>紧凑</v>
      </c>
      <c r="H683" s="85" t="s">
        <v>10</v>
      </c>
      <c r="I683" s="85" t="s">
        <v>11</v>
      </c>
      <c r="J683" s="85" t="s">
        <v>12</v>
      </c>
      <c r="K683" s="85" t="s">
        <v>13</v>
      </c>
      <c r="L683" s="98">
        <f>MAX(MID(C683,{1,2,3},1)*1)-MIN(MID(C683,{1,2,3},1)*1)</f>
        <v>2</v>
      </c>
      <c r="M683" s="87">
        <v>0</v>
      </c>
      <c r="N683" s="87">
        <v>1</v>
      </c>
      <c r="O683" s="87">
        <v>2</v>
      </c>
      <c r="P683" s="87">
        <v>3</v>
      </c>
      <c r="Q683" s="87">
        <v>4</v>
      </c>
      <c r="R683" s="87">
        <v>5</v>
      </c>
      <c r="S683" s="87">
        <v>6</v>
      </c>
      <c r="T683" s="87">
        <v>7</v>
      </c>
      <c r="U683" s="87">
        <v>8</v>
      </c>
      <c r="V683" s="87">
        <v>9</v>
      </c>
      <c r="W683" s="99">
        <f t="shared" si="473"/>
        <v>2</v>
      </c>
      <c r="X683" s="99">
        <f t="shared" si="474"/>
        <v>1</v>
      </c>
      <c r="Y683" s="99">
        <f t="shared" si="475"/>
        <v>1</v>
      </c>
      <c r="Z683" s="89">
        <f t="shared" si="454"/>
        <v>4</v>
      </c>
      <c r="AA683" s="100" t="str">
        <f>_xlfn.TEXTJOIN(", ",TRUE,ABS(MID(C683,{1,1,2},1)-MID(C683,{2,3,3},1)))</f>
        <v>2, 1, 1</v>
      </c>
      <c r="AB683" s="101">
        <v>0</v>
      </c>
      <c r="AC683" s="101">
        <v>1</v>
      </c>
      <c r="AD683" s="101">
        <v>2</v>
      </c>
      <c r="AE683" s="101">
        <v>3</v>
      </c>
      <c r="AF683" s="101">
        <v>4</v>
      </c>
      <c r="AG683" s="101">
        <v>5</v>
      </c>
      <c r="AH683" s="101">
        <v>6</v>
      </c>
      <c r="AI683" s="101">
        <v>7</v>
      </c>
      <c r="AJ683" s="101">
        <v>8</v>
      </c>
      <c r="AK683" s="101">
        <v>9</v>
      </c>
      <c r="AL683" s="91">
        <v>0</v>
      </c>
      <c r="AM683" s="91">
        <v>1</v>
      </c>
      <c r="AN683" s="91">
        <v>2</v>
      </c>
      <c r="AO683" s="91">
        <v>3</v>
      </c>
      <c r="AP683" s="91">
        <v>4</v>
      </c>
      <c r="AQ683" s="91">
        <v>5</v>
      </c>
      <c r="AR683" s="91">
        <v>6</v>
      </c>
      <c r="AS683" s="91">
        <v>7</v>
      </c>
      <c r="AT683" s="91">
        <v>8</v>
      </c>
      <c r="AU683" s="91">
        <v>9</v>
      </c>
      <c r="AV683" s="102">
        <v>0</v>
      </c>
      <c r="AW683" s="102">
        <v>1</v>
      </c>
      <c r="AX683" s="102">
        <v>2</v>
      </c>
      <c r="AY683" s="102">
        <v>3</v>
      </c>
      <c r="AZ683" s="102">
        <v>4</v>
      </c>
      <c r="BA683" s="102">
        <v>5</v>
      </c>
      <c r="BB683" s="102">
        <v>6</v>
      </c>
      <c r="BC683" s="102">
        <v>7</v>
      </c>
      <c r="BD683" s="102">
        <v>8</v>
      </c>
      <c r="BE683" s="102">
        <v>9</v>
      </c>
      <c r="BF683" s="103">
        <v>0</v>
      </c>
      <c r="BG683" s="103">
        <v>1</v>
      </c>
      <c r="BH683" s="103">
        <v>2</v>
      </c>
      <c r="BI683" s="103">
        <v>3</v>
      </c>
      <c r="BJ683" s="103">
        <v>4</v>
      </c>
      <c r="BK683" s="103">
        <v>5</v>
      </c>
      <c r="BL683" s="103">
        <v>6</v>
      </c>
      <c r="BM683" s="103">
        <v>7</v>
      </c>
      <c r="BN683" s="103">
        <v>8</v>
      </c>
      <c r="BO683" s="103">
        <v>9</v>
      </c>
      <c r="BP683" s="94" t="str">
        <f t="shared" si="455"/>
        <v>紧凑型</v>
      </c>
      <c r="BQ683" s="15">
        <f t="shared" ref="BQ683:BQ708" si="476">MIN(ABS(INT(C683/100)-INT(MOD(C683,100)/10)),ABS(INT(C683/100)-MOD(C683,10)),ABS(INT(MOD(C683,100)/10)-MOD(C683,10)))</f>
        <v>1</v>
      </c>
      <c r="BR683" s="15">
        <f t="shared" ref="BR683:BR708" si="477">MAX(ABS(INT(C683/100)-INT(MOD(C683,100)/10)),ABS(INT(C683/100)-MOD(C683,10)),ABS(INT(MOD(C683,100)/10)-MOD(C683,10)))</f>
        <v>2</v>
      </c>
      <c r="BS683" s="20">
        <f t="shared" si="457"/>
        <v>2</v>
      </c>
      <c r="BT683" s="21" t="str">
        <f t="shared" si="458"/>
        <v/>
      </c>
      <c r="BU683" s="21" t="str">
        <f t="array" ref="BU683">_xlfn.TEXTJOIN("",TRUE,IF(ISERROR(FIND(ROW($1:$168)-1,BS683&amp;BT683)),ROW($1:$168)-1,""))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83" s="22" t="str">
        <f t="shared" si="459"/>
        <v>复中中</v>
      </c>
      <c r="BW683" s="23" t="str">
        <f t="shared" si="470"/>
        <v/>
      </c>
      <c r="BX683" s="23">
        <f t="shared" si="468"/>
        <v>1</v>
      </c>
      <c r="BY683" s="23" t="str">
        <f t="array" ref="BY683">_xlfn.TEXTJOIN("",TRUE,IF(ISERROR(FIND(ROW($1:$168)-1,BW683&amp;BX683)),ROW($1:$168)-1,""))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83" s="22" t="str">
        <f t="shared" si="460"/>
        <v>中隔中</v>
      </c>
      <c r="CA683" s="24" t="str">
        <f t="shared" si="461"/>
        <v/>
      </c>
      <c r="CB683" s="24">
        <f t="shared" si="469"/>
        <v>1</v>
      </c>
      <c r="CC683" s="24" t="str">
        <f t="array" ref="CC683">_xlfn.TEXTJOIN("",TRUE,IF(ISERROR(FIND(ROW($1:$168)-1,CA683&amp;CB683)),ROW($1:$168)-1,""))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83" s="22" t="str">
        <f t="shared" si="462"/>
        <v>中隔中</v>
      </c>
      <c r="CE683" s="25" t="str">
        <f t="shared" si="456"/>
        <v>13</v>
      </c>
      <c r="CF683" s="26" t="str">
        <f t="array" ref="CF683">_xlfn.TEXTJOIN("",TRUE,IF(ISNUMBER(FIND(MID(CE682&amp;W682,ROW($1:$162),1),CE683&amp;W683)),MID(CE682&amp;W682,ROW($1:$162),1),""))</f>
        <v/>
      </c>
      <c r="CG683" s="27" t="str">
        <f t="array" ref="CG683">_xlfn.TEXTJOIN("",TRUE,IF(ISERROR(FIND(ROW($1:$168)-1,CE683&amp;CF683)),ROW($1:$168)-1,""))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83" s="28" t="str">
        <f t="shared" si="463"/>
        <v>邻孤孤</v>
      </c>
      <c r="CI683" s="29" t="str">
        <f t="shared" si="464"/>
        <v>02</v>
      </c>
      <c r="CJ683" s="29" t="str">
        <f t="array" ref="CJ683">_xlfn.TEXTJOIN("",TRUE,IF(ISNUMBER(FIND(MID(CI682&amp;X682,ROW($1:$162),1),CI683&amp;X683)),MID(CI682&amp;X682,ROW($1:$162),1),""))</f>
        <v>12</v>
      </c>
      <c r="CK683" s="29" t="str">
        <f t="array" ref="CK683">_xlfn.TEXTJOIN("",TRUE,IF(ISERROR(FIND(ROW($1:$168)-1,CI683&amp;CJ683)),ROW($1:$168)-1,""))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83" s="19" t="str">
        <f t="shared" si="465"/>
        <v>邻传孤</v>
      </c>
      <c r="CM683" s="24" t="str">
        <f t="shared" si="466"/>
        <v>02</v>
      </c>
      <c r="CN683" s="24" t="str">
        <f t="array" ref="CN683">_xlfn.TEXTJOIN("",TRUE,IF(ISNUMBER(FIND(MID(CM682&amp;Y682,ROW($1:$162),1),CM683&amp;Y683)),MID(CM682&amp;Y682,ROW($1:$162),1),""))</f>
        <v>2</v>
      </c>
      <c r="CO683" s="24" t="str">
        <f t="array" ref="CO683">_xlfn.TEXTJOIN("",TRUE,IF(ISERROR(FIND(ROW($1:$168)-1,CM683&amp;CN683)),ROW($1:$168)-1,""))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83" s="30" t="str">
        <f t="shared" si="467"/>
        <v>邻传孤</v>
      </c>
    </row>
    <row r="684" s="2" customFormat="1" spans="1:94">
      <c r="A684" s="15">
        <v>684</v>
      </c>
      <c r="B684" s="80" t="s">
        <v>517</v>
      </c>
      <c r="C684" s="8" t="s">
        <v>518</v>
      </c>
      <c r="D684" s="96">
        <f t="shared" si="471"/>
        <v>17</v>
      </c>
      <c r="E684" s="97">
        <f t="shared" si="472"/>
        <v>7</v>
      </c>
      <c r="F684" s="83">
        <f t="shared" si="435"/>
        <v>8.5</v>
      </c>
      <c r="G684" s="84" t="str">
        <f t="shared" si="436"/>
        <v>紧凑</v>
      </c>
      <c r="H684" s="85" t="s">
        <v>10</v>
      </c>
      <c r="I684" s="85" t="s">
        <v>11</v>
      </c>
      <c r="J684" s="85" t="s">
        <v>12</v>
      </c>
      <c r="K684" s="85" t="s">
        <v>13</v>
      </c>
      <c r="L684" s="98">
        <f>MAX(MID(C684,{1,2,3},1)*1)-MIN(MID(C684,{1,2,3},1)*1)</f>
        <v>2</v>
      </c>
      <c r="M684" s="87">
        <v>0</v>
      </c>
      <c r="N684" s="87">
        <v>1</v>
      </c>
      <c r="O684" s="87">
        <v>2</v>
      </c>
      <c r="P684" s="87">
        <v>3</v>
      </c>
      <c r="Q684" s="87">
        <v>4</v>
      </c>
      <c r="R684" s="87">
        <v>5</v>
      </c>
      <c r="S684" s="87">
        <v>6</v>
      </c>
      <c r="T684" s="87">
        <v>7</v>
      </c>
      <c r="U684" s="87">
        <v>8</v>
      </c>
      <c r="V684" s="87">
        <v>9</v>
      </c>
      <c r="W684" s="99">
        <f t="shared" si="473"/>
        <v>2</v>
      </c>
      <c r="X684" s="99">
        <f t="shared" si="474"/>
        <v>2</v>
      </c>
      <c r="Y684" s="99">
        <f t="shared" si="475"/>
        <v>0</v>
      </c>
      <c r="Z684" s="89">
        <f t="shared" si="454"/>
        <v>4</v>
      </c>
      <c r="AA684" s="100" t="str">
        <f>_xlfn.TEXTJOIN(", ",TRUE,ABS(MID(C684,{1,1,2},1)-MID(C684,{2,3,3},1)))</f>
        <v>2, 2, 0</v>
      </c>
      <c r="AB684" s="101">
        <v>0</v>
      </c>
      <c r="AC684" s="101">
        <v>1</v>
      </c>
      <c r="AD684" s="101">
        <v>2</v>
      </c>
      <c r="AE684" s="101">
        <v>3</v>
      </c>
      <c r="AF684" s="101">
        <v>4</v>
      </c>
      <c r="AG684" s="101">
        <v>5</v>
      </c>
      <c r="AH684" s="101">
        <v>6</v>
      </c>
      <c r="AI684" s="101">
        <v>7</v>
      </c>
      <c r="AJ684" s="101">
        <v>8</v>
      </c>
      <c r="AK684" s="101">
        <v>9</v>
      </c>
      <c r="AL684" s="91">
        <v>0</v>
      </c>
      <c r="AM684" s="91">
        <v>1</v>
      </c>
      <c r="AN684" s="91">
        <v>2</v>
      </c>
      <c r="AO684" s="91">
        <v>3</v>
      </c>
      <c r="AP684" s="91">
        <v>4</v>
      </c>
      <c r="AQ684" s="91">
        <v>5</v>
      </c>
      <c r="AR684" s="91">
        <v>6</v>
      </c>
      <c r="AS684" s="91">
        <v>7</v>
      </c>
      <c r="AT684" s="91">
        <v>8</v>
      </c>
      <c r="AU684" s="91">
        <v>9</v>
      </c>
      <c r="AV684" s="102">
        <v>0</v>
      </c>
      <c r="AW684" s="102">
        <v>1</v>
      </c>
      <c r="AX684" s="102">
        <v>2</v>
      </c>
      <c r="AY684" s="102">
        <v>3</v>
      </c>
      <c r="AZ684" s="102">
        <v>4</v>
      </c>
      <c r="BA684" s="102">
        <v>5</v>
      </c>
      <c r="BB684" s="102">
        <v>6</v>
      </c>
      <c r="BC684" s="102">
        <v>7</v>
      </c>
      <c r="BD684" s="102">
        <v>8</v>
      </c>
      <c r="BE684" s="102">
        <v>9</v>
      </c>
      <c r="BF684" s="103">
        <v>0</v>
      </c>
      <c r="BG684" s="103">
        <v>1</v>
      </c>
      <c r="BH684" s="103">
        <v>2</v>
      </c>
      <c r="BI684" s="103">
        <v>3</v>
      </c>
      <c r="BJ684" s="103">
        <v>4</v>
      </c>
      <c r="BK684" s="103">
        <v>5</v>
      </c>
      <c r="BL684" s="103">
        <v>6</v>
      </c>
      <c r="BM684" s="103">
        <v>7</v>
      </c>
      <c r="BN684" s="103">
        <v>8</v>
      </c>
      <c r="BO684" s="103">
        <v>9</v>
      </c>
      <c r="BP684" s="94" t="str">
        <f t="shared" si="455"/>
        <v>紧凑型</v>
      </c>
      <c r="BQ684" s="15">
        <f t="shared" si="476"/>
        <v>0</v>
      </c>
      <c r="BR684" s="15">
        <f t="shared" si="477"/>
        <v>2</v>
      </c>
      <c r="BS684" s="20">
        <f t="shared" si="457"/>
        <v>2</v>
      </c>
      <c r="BT684" s="21">
        <f t="shared" si="458"/>
        <v>2</v>
      </c>
      <c r="BU684" s="21" t="str">
        <f t="array" ref="BU684">_xlfn.TEXTJOIN("",TRUE,IF(ISERROR(FIND(ROW($1:$168)-1,BS684&amp;BT684)),ROW($1:$168)-1,""))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84" s="22" t="str">
        <f t="shared" si="459"/>
        <v>复隔中</v>
      </c>
      <c r="BW684" s="23">
        <f t="shared" si="470"/>
        <v>2</v>
      </c>
      <c r="BX684" s="23">
        <f t="shared" si="468"/>
        <v>2</v>
      </c>
      <c r="BY684" s="23" t="str">
        <f t="array" ref="BY684">_xlfn.TEXTJOIN("",TRUE,IF(ISERROR(FIND(ROW($1:$168)-1,BW684&amp;BX684)),ROW($1:$168)-1,""))</f>
        <v>0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84" s="22" t="str">
        <f t="shared" si="460"/>
        <v>复隔中</v>
      </c>
      <c r="CA684" s="24" t="str">
        <f t="shared" si="461"/>
        <v/>
      </c>
      <c r="CB684" s="24" t="str">
        <f t="shared" si="469"/>
        <v/>
      </c>
      <c r="CC684" s="24" t="str">
        <f t="array" ref="CC684">_xlfn.TEXTJOIN("",TRUE,IF(ISERROR(FIND(ROW($1:$168)-1,CA684&amp;CB684)),ROW($1:$168)-1,""))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84" s="22" t="str">
        <f t="shared" si="462"/>
        <v>中中中</v>
      </c>
      <c r="CE684" s="25" t="str">
        <f t="shared" si="456"/>
        <v>13</v>
      </c>
      <c r="CF684" s="26" t="str">
        <f t="array" ref="CF684">_xlfn.TEXTJOIN("",TRUE,IF(ISNUMBER(FIND(MID(CE683&amp;W683,ROW($1:$162),1),CE684&amp;W684)),MID(CE683&amp;W683,ROW($1:$162),1),""))</f>
        <v>132</v>
      </c>
      <c r="CG684" s="27" t="str">
        <f t="array" ref="CG684">_xlfn.TEXTJOIN("",TRUE,IF(ISERROR(FIND(ROW($1:$168)-1,CE684&amp;CF684)),ROW($1:$168)-1,""))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H684" s="28" t="str">
        <f t="shared" si="463"/>
        <v>邻传孤</v>
      </c>
      <c r="CI684" s="29" t="str">
        <f t="shared" si="464"/>
        <v>13</v>
      </c>
      <c r="CJ684" s="29" t="str">
        <f t="array" ref="CJ684">_xlfn.TEXTJOIN("",TRUE,IF(ISNUMBER(FIND(MID(CI683&amp;X683,ROW($1:$162),1),CI684&amp;X684)),MID(CI683&amp;X683,ROW($1:$162),1),""))</f>
        <v>21</v>
      </c>
      <c r="CK684" s="29" t="str">
        <f t="array" ref="CK684">_xlfn.TEXTJOIN("",TRUE,IF(ISERROR(FIND(ROW($1:$168)-1,CI684&amp;CJ684)),ROW($1:$168)-1,""))</f>
        <v>0456789101112141516171819202223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L684" s="19" t="str">
        <f t="shared" si="465"/>
        <v>邻传孤</v>
      </c>
      <c r="CM684" s="24" t="str">
        <f t="shared" si="466"/>
        <v>91</v>
      </c>
      <c r="CN684" s="24" t="str">
        <f t="array" ref="CN684">_xlfn.TEXTJOIN("",TRUE,IF(ISNUMBER(FIND(MID(CM683&amp;Y683,ROW($1:$162),1),CM684&amp;Y684)),MID(CM683&amp;Y683,ROW($1:$162),1),""))</f>
        <v>01</v>
      </c>
      <c r="CO684" s="24" t="str">
        <f t="array" ref="CO684">_xlfn.TEXTJOIN("",TRUE,IF(ISERROR(FIND(ROW($1:$168)-1,CM684&amp;CN684)),ROW($1:$168)-1,""))</f>
        <v>234567811121314151617181920212223242526272829303132333435363738394041424344454647484950515253545556575859606162636465666768697071727374757677787980818283848586878889909293949596979899100102103104105106107108109110111112113114115116117118119120121122123124125126127128129130131132133134135136137138139140141142143144145146147148149150151152153154155156157158159160161162163164165166167</v>
      </c>
      <c r="CP684" s="30" t="str">
        <f t="shared" si="467"/>
        <v>邻传孤</v>
      </c>
    </row>
    <row r="685" s="2" customFormat="1" spans="1:94">
      <c r="A685" s="15">
        <v>685</v>
      </c>
      <c r="B685" s="80" t="s">
        <v>519</v>
      </c>
      <c r="C685" s="8" t="s">
        <v>263</v>
      </c>
      <c r="D685" s="96">
        <f t="shared" si="471"/>
        <v>13</v>
      </c>
      <c r="E685" s="97">
        <f t="shared" si="472"/>
        <v>3</v>
      </c>
      <c r="F685" s="83">
        <f t="shared" si="435"/>
        <v>2.16666666666667</v>
      </c>
      <c r="G685" s="84" t="str">
        <f t="shared" si="436"/>
        <v>标准</v>
      </c>
      <c r="H685" s="85" t="s">
        <v>10</v>
      </c>
      <c r="I685" s="85" t="s">
        <v>11</v>
      </c>
      <c r="J685" s="85" t="s">
        <v>12</v>
      </c>
      <c r="K685" s="85" t="s">
        <v>13</v>
      </c>
      <c r="L685" s="98">
        <f>MAX(MID(C685,{1,2,3},1)*1)-MIN(MID(C685,{1,2,3},1)*1)</f>
        <v>6</v>
      </c>
      <c r="M685" s="87">
        <v>0</v>
      </c>
      <c r="N685" s="87">
        <v>1</v>
      </c>
      <c r="O685" s="87">
        <v>2</v>
      </c>
      <c r="P685" s="87">
        <v>3</v>
      </c>
      <c r="Q685" s="87">
        <v>4</v>
      </c>
      <c r="R685" s="87">
        <v>5</v>
      </c>
      <c r="S685" s="87">
        <v>6</v>
      </c>
      <c r="T685" s="87">
        <v>7</v>
      </c>
      <c r="U685" s="87">
        <v>8</v>
      </c>
      <c r="V685" s="87">
        <v>9</v>
      </c>
      <c r="W685" s="99">
        <f t="shared" si="473"/>
        <v>6</v>
      </c>
      <c r="X685" s="99">
        <f t="shared" si="474"/>
        <v>2</v>
      </c>
      <c r="Y685" s="99">
        <f t="shared" si="475"/>
        <v>4</v>
      </c>
      <c r="Z685" s="89">
        <f t="shared" si="454"/>
        <v>12</v>
      </c>
      <c r="AA685" s="100" t="str">
        <f>_xlfn.TEXTJOIN(", ",TRUE,ABS(MID(C685,{1,1,2},1)-MID(C685,{2,3,3},1)))</f>
        <v>6, 2, 4</v>
      </c>
      <c r="AB685" s="101">
        <v>0</v>
      </c>
      <c r="AC685" s="101">
        <v>1</v>
      </c>
      <c r="AD685" s="101">
        <v>2</v>
      </c>
      <c r="AE685" s="101">
        <v>3</v>
      </c>
      <c r="AF685" s="101">
        <v>4</v>
      </c>
      <c r="AG685" s="101">
        <v>5</v>
      </c>
      <c r="AH685" s="101">
        <v>6</v>
      </c>
      <c r="AI685" s="101">
        <v>7</v>
      </c>
      <c r="AJ685" s="101">
        <v>8</v>
      </c>
      <c r="AK685" s="101">
        <v>9</v>
      </c>
      <c r="AL685" s="91">
        <v>0</v>
      </c>
      <c r="AM685" s="91">
        <v>1</v>
      </c>
      <c r="AN685" s="91">
        <v>2</v>
      </c>
      <c r="AO685" s="91">
        <v>3</v>
      </c>
      <c r="AP685" s="91">
        <v>4</v>
      </c>
      <c r="AQ685" s="91">
        <v>5</v>
      </c>
      <c r="AR685" s="91">
        <v>6</v>
      </c>
      <c r="AS685" s="91">
        <v>7</v>
      </c>
      <c r="AT685" s="91">
        <v>8</v>
      </c>
      <c r="AU685" s="91">
        <v>9</v>
      </c>
      <c r="AV685" s="102">
        <v>0</v>
      </c>
      <c r="AW685" s="102">
        <v>1</v>
      </c>
      <c r="AX685" s="102">
        <v>2</v>
      </c>
      <c r="AY685" s="102">
        <v>3</v>
      </c>
      <c r="AZ685" s="102">
        <v>4</v>
      </c>
      <c r="BA685" s="102">
        <v>5</v>
      </c>
      <c r="BB685" s="102">
        <v>6</v>
      </c>
      <c r="BC685" s="102">
        <v>7</v>
      </c>
      <c r="BD685" s="102">
        <v>8</v>
      </c>
      <c r="BE685" s="102">
        <v>9</v>
      </c>
      <c r="BF685" s="103">
        <v>0</v>
      </c>
      <c r="BG685" s="103">
        <v>1</v>
      </c>
      <c r="BH685" s="103">
        <v>2</v>
      </c>
      <c r="BI685" s="103">
        <v>3</v>
      </c>
      <c r="BJ685" s="103">
        <v>4</v>
      </c>
      <c r="BK685" s="103">
        <v>5</v>
      </c>
      <c r="BL685" s="103">
        <v>6</v>
      </c>
      <c r="BM685" s="103">
        <v>7</v>
      </c>
      <c r="BN685" s="103">
        <v>8</v>
      </c>
      <c r="BO685" s="103">
        <v>9</v>
      </c>
      <c r="BP685" s="94" t="str">
        <f t="shared" si="455"/>
        <v>松散型</v>
      </c>
      <c r="BQ685" s="15">
        <f t="shared" si="476"/>
        <v>2</v>
      </c>
      <c r="BR685" s="15">
        <f t="shared" si="477"/>
        <v>6</v>
      </c>
      <c r="BS685" s="20" t="str">
        <f>IF(COUNTIF($W682:$Y682,W685)&gt;0,W685,"")</f>
        <v/>
      </c>
      <c r="BT685" s="21" t="str">
        <f>IF(COUNTIF($W681:$Y681,W685)&gt;0,W685,"")</f>
        <v/>
      </c>
      <c r="BU685" s="21" t="str">
        <f t="array" ref="BU685">_xlfn.TEXTJOIN("",TRUE,IF(ISERROR(FIND(ROW($1:$168)-1,BS685&amp;BT685)),ROW($1:$168)-1,""))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85" s="22" t="str">
        <f t="shared" si="459"/>
        <v>中中中</v>
      </c>
      <c r="BW685" s="23">
        <f>IF(COUNTIF($W682:$Y682,X685)&gt;0,X685,"")</f>
        <v>2</v>
      </c>
      <c r="BX685" s="23" t="str">
        <f>IF(COUNTIF($W681:$Y681,X685)&gt;0,X685,"")</f>
        <v/>
      </c>
      <c r="BY685" s="23" t="str">
        <f t="array" ref="BY685">_xlfn.TEXTJOIN("",TRUE,IF(ISERROR(FIND(ROW($1:$168)-1,BW685&amp;BX685)),ROW($1:$168)-1,""))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85" s="22" t="str">
        <f t="shared" si="460"/>
        <v>复中中</v>
      </c>
      <c r="CA685" s="24" t="str">
        <f>IF(COUNTIF($W682:$Y682,Y685)&gt;0,Y685,"")</f>
        <v/>
      </c>
      <c r="CB685" s="24" t="str">
        <f>IF(COUNTIF($W681:$Y681,Y685)&gt;0,Y685,"")</f>
        <v/>
      </c>
      <c r="CC685" s="24" t="str">
        <f t="array" ref="CC685">_xlfn.TEXTJOIN("",TRUE,IF(ISERROR(FIND(ROW($1:$168)-1,CA685&amp;CB685)),ROW($1:$168)-1,""))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85" s="22" t="str">
        <f t="shared" si="462"/>
        <v>中中中</v>
      </c>
      <c r="CE685" s="25" t="str">
        <f t="shared" si="456"/>
        <v>57</v>
      </c>
      <c r="CF685" s="26" t="str">
        <f t="array" ref="CF685">_xlfn.TEXTJOIN("",TRUE,IF(ISNUMBER(FIND(MID(CE682&amp;W682,ROW($1:$162),1),CE685&amp;W685)),MID(CE682&amp;W682,ROW($1:$162),1),""))</f>
        <v>65</v>
      </c>
      <c r="CG685" s="27" t="str">
        <f t="array" ref="CG685">_xlfn.TEXTJOIN("",TRUE,IF(ISERROR(FIND(ROW($1:$168)-1,CE685&amp;CF685)),ROW($1:$168)-1,""))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85" s="28" t="str">
        <f t="shared" si="463"/>
        <v>邻传孤</v>
      </c>
      <c r="CI685" s="29" t="str">
        <f t="shared" si="464"/>
        <v>13</v>
      </c>
      <c r="CJ685" s="29" t="str">
        <f t="array" ref="CJ685">_xlfn.TEXTJOIN("",TRUE,IF(ISNUMBER(FIND(MID(CI682&amp;X682,ROW($1:$162),1),CI685&amp;X685)),MID(CI682&amp;X682,ROW($1:$162),1),""))</f>
        <v>132</v>
      </c>
      <c r="CK685" s="29" t="str">
        <f t="array" ref="CK685">_xlfn.TEXTJOIN("",TRUE,IF(ISERROR(FIND(ROW($1:$168)-1,CI685&amp;CJ685)),ROW($1:$168)-1,""))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685" s="19" t="str">
        <f t="shared" si="465"/>
        <v>邻传孤</v>
      </c>
      <c r="CM685" s="24" t="str">
        <f t="shared" si="466"/>
        <v>35</v>
      </c>
      <c r="CN685" s="24" t="str">
        <f t="array" ref="CN685">_xlfn.TEXTJOIN("",TRUE,IF(ISNUMBER(FIND(MID(CM682&amp;Y682,ROW($1:$162),1),CM685&amp;Y685)),MID(CM682&amp;Y682,ROW($1:$162),1),""))</f>
        <v>43</v>
      </c>
      <c r="CO685" s="24" t="str">
        <f t="array" ref="CO685">_xlfn.TEXTJOIN("",TRUE,IF(ISERROR(FIND(ROW($1:$168)-1,CM685&amp;CN685)),ROW($1:$168)-1,""))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85" s="30" t="str">
        <f t="shared" si="467"/>
        <v>邻传孤</v>
      </c>
    </row>
    <row r="686" s="2" customFormat="1" spans="1:94">
      <c r="A686" s="15">
        <v>686</v>
      </c>
      <c r="B686" s="80" t="s">
        <v>520</v>
      </c>
      <c r="C686" s="8" t="s">
        <v>223</v>
      </c>
      <c r="D686" s="96">
        <f t="shared" si="471"/>
        <v>15</v>
      </c>
      <c r="E686" s="97">
        <f t="shared" si="472"/>
        <v>5</v>
      </c>
      <c r="F686" s="83">
        <f t="shared" si="435"/>
        <v>2.5</v>
      </c>
      <c r="G686" s="84" t="str">
        <f t="shared" si="436"/>
        <v>标准</v>
      </c>
      <c r="H686" s="85" t="s">
        <v>10</v>
      </c>
      <c r="I686" s="85" t="s">
        <v>11</v>
      </c>
      <c r="J686" s="85" t="s">
        <v>12</v>
      </c>
      <c r="K686" s="85" t="s">
        <v>13</v>
      </c>
      <c r="L686" s="98">
        <f>MAX(MID(C686,{1,2,3},1)*1)-MIN(MID(C686,{1,2,3},1)*1)</f>
        <v>6</v>
      </c>
      <c r="M686" s="87">
        <v>0</v>
      </c>
      <c r="N686" s="87">
        <v>1</v>
      </c>
      <c r="O686" s="87">
        <v>2</v>
      </c>
      <c r="P686" s="87">
        <v>3</v>
      </c>
      <c r="Q686" s="87">
        <v>4</v>
      </c>
      <c r="R686" s="87">
        <v>5</v>
      </c>
      <c r="S686" s="87">
        <v>6</v>
      </c>
      <c r="T686" s="87">
        <v>7</v>
      </c>
      <c r="U686" s="87">
        <v>8</v>
      </c>
      <c r="V686" s="87">
        <v>9</v>
      </c>
      <c r="W686" s="99">
        <f t="shared" si="473"/>
        <v>6</v>
      </c>
      <c r="X686" s="99">
        <f t="shared" si="474"/>
        <v>6</v>
      </c>
      <c r="Y686" s="99">
        <f t="shared" si="475"/>
        <v>0</v>
      </c>
      <c r="Z686" s="89">
        <f t="shared" si="454"/>
        <v>12</v>
      </c>
      <c r="AA686" s="100" t="str">
        <f>_xlfn.TEXTJOIN(", ",TRUE,ABS(MID(C686,{1,1,2},1)-MID(C686,{2,3,3},1)))</f>
        <v>6, 6, 0</v>
      </c>
      <c r="AB686" s="101">
        <v>0</v>
      </c>
      <c r="AC686" s="101">
        <v>1</v>
      </c>
      <c r="AD686" s="101">
        <v>2</v>
      </c>
      <c r="AE686" s="101">
        <v>3</v>
      </c>
      <c r="AF686" s="101">
        <v>4</v>
      </c>
      <c r="AG686" s="101">
        <v>5</v>
      </c>
      <c r="AH686" s="101">
        <v>6</v>
      </c>
      <c r="AI686" s="101">
        <v>7</v>
      </c>
      <c r="AJ686" s="101">
        <v>8</v>
      </c>
      <c r="AK686" s="101">
        <v>9</v>
      </c>
      <c r="AL686" s="91">
        <v>0</v>
      </c>
      <c r="AM686" s="91">
        <v>1</v>
      </c>
      <c r="AN686" s="91">
        <v>2</v>
      </c>
      <c r="AO686" s="91">
        <v>3</v>
      </c>
      <c r="AP686" s="91">
        <v>4</v>
      </c>
      <c r="AQ686" s="91">
        <v>5</v>
      </c>
      <c r="AR686" s="91">
        <v>6</v>
      </c>
      <c r="AS686" s="91">
        <v>7</v>
      </c>
      <c r="AT686" s="91">
        <v>8</v>
      </c>
      <c r="AU686" s="91">
        <v>9</v>
      </c>
      <c r="AV686" s="102">
        <v>0</v>
      </c>
      <c r="AW686" s="102">
        <v>1</v>
      </c>
      <c r="AX686" s="102">
        <v>2</v>
      </c>
      <c r="AY686" s="102">
        <v>3</v>
      </c>
      <c r="AZ686" s="102">
        <v>4</v>
      </c>
      <c r="BA686" s="102">
        <v>5</v>
      </c>
      <c r="BB686" s="102">
        <v>6</v>
      </c>
      <c r="BC686" s="102">
        <v>7</v>
      </c>
      <c r="BD686" s="102">
        <v>8</v>
      </c>
      <c r="BE686" s="102">
        <v>9</v>
      </c>
      <c r="BF686" s="103">
        <v>0</v>
      </c>
      <c r="BG686" s="103">
        <v>1</v>
      </c>
      <c r="BH686" s="103">
        <v>2</v>
      </c>
      <c r="BI686" s="103">
        <v>3</v>
      </c>
      <c r="BJ686" s="103">
        <v>4</v>
      </c>
      <c r="BK686" s="103">
        <v>5</v>
      </c>
      <c r="BL686" s="103">
        <v>6</v>
      </c>
      <c r="BM686" s="103">
        <v>7</v>
      </c>
      <c r="BN686" s="103">
        <v>8</v>
      </c>
      <c r="BO686" s="103">
        <v>9</v>
      </c>
      <c r="BP686" s="94" t="str">
        <f t="shared" si="455"/>
        <v>松散型</v>
      </c>
      <c r="BQ686" s="15">
        <f t="shared" si="476"/>
        <v>0</v>
      </c>
      <c r="BR686" s="15">
        <f t="shared" si="477"/>
        <v>6</v>
      </c>
      <c r="BS686" s="20" t="str">
        <f>IF(COUNTIF($W682:$Y682,W686)&gt;0,W686,"")</f>
        <v/>
      </c>
      <c r="BT686" s="21" t="str">
        <f>IF(COUNTIF($W681:$Y681,W686)&gt;0,W686,"")</f>
        <v/>
      </c>
      <c r="BU686" s="21" t="str">
        <f t="array" ref="BU686">_xlfn.TEXTJOIN("",TRUE,IF(ISERROR(FIND(ROW($1:$168)-1,BS686&amp;BT686)),ROW($1:$168)-1,""))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86" s="22" t="str">
        <f t="shared" si="459"/>
        <v>中中中</v>
      </c>
      <c r="BW686" s="23" t="str">
        <f>IF(COUNTIF($W682:$Y682,X686)&gt;0,X686,"")</f>
        <v/>
      </c>
      <c r="BX686" s="23" t="str">
        <f>IF(COUNTIF($W681:$Y681,X686)&gt;0,X686,"")</f>
        <v/>
      </c>
      <c r="BY686" s="23" t="str">
        <f t="array" ref="BY686">_xlfn.TEXTJOIN("",TRUE,IF(ISERROR(FIND(ROW($1:$168)-1,BW686&amp;BX686)),ROW($1:$168)-1,""))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86" s="22" t="str">
        <f t="shared" si="460"/>
        <v>中中中</v>
      </c>
      <c r="CA686" s="24" t="str">
        <f>IF(COUNTIF($W682:$Y682,Y686)&gt;0,Y686,"")</f>
        <v/>
      </c>
      <c r="CB686" s="24">
        <f>IF(COUNTIF($W681:$Y681,Y686)&gt;0,Y686,"")</f>
        <v>0</v>
      </c>
      <c r="CC686" s="24" t="str">
        <f t="array" ref="CC686">_xlfn.TEXTJOIN("",TRUE,IF(ISERROR(FIND(ROW($1:$168)-1,CA686&amp;CB686)),ROW($1:$168)-1,""))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86" s="22" t="str">
        <f t="shared" si="462"/>
        <v>中隔中</v>
      </c>
      <c r="CE686" s="25" t="str">
        <f t="shared" si="456"/>
        <v>57</v>
      </c>
      <c r="CF686" s="26" t="str">
        <f t="array" ref="CF686">_xlfn.TEXTJOIN("",TRUE,IF(ISNUMBER(FIND(MID(CE682&amp;W682,ROW($1:$162),1),CE686&amp;W686)),MID(CE682&amp;W682,ROW($1:$162),1),""))</f>
        <v>65</v>
      </c>
      <c r="CG686" s="27" t="str">
        <f t="array" ref="CG686">_xlfn.TEXTJOIN("",TRUE,IF(ISERROR(FIND(ROW($1:$168)-1,CE686&amp;CF686)),ROW($1:$168)-1,""))</f>
        <v>012348910111213141516171819202122232425262728293031323334353637383940414243444546474849505152535455565859606162636466676869707172737475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86" s="28" t="str">
        <f t="shared" si="463"/>
        <v>邻传孤</v>
      </c>
      <c r="CI686" s="29" t="str">
        <f t="shared" si="464"/>
        <v>57</v>
      </c>
      <c r="CJ686" s="29" t="str">
        <f t="array" ref="CJ686">_xlfn.TEXTJOIN("",TRUE,IF(ISNUMBER(FIND(MID(CI682&amp;X682,ROW($1:$162),1),CI686&amp;X686)),MID(CI682&amp;X682,ROW($1:$162),1),""))</f>
        <v/>
      </c>
      <c r="CK686" s="29" t="str">
        <f t="array" ref="CK686">_xlfn.TEXTJOIN("",TRUE,IF(ISERROR(FIND(ROW($1:$168)-1,CI686&amp;CJ686)),ROW($1:$168)-1,""))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86" s="19" t="str">
        <f t="shared" si="465"/>
        <v>邻孤孤</v>
      </c>
      <c r="CM686" s="24" t="str">
        <f t="shared" si="466"/>
        <v>91</v>
      </c>
      <c r="CN686" s="24" t="str">
        <f t="array" ref="CN686">_xlfn.TEXTJOIN("",TRUE,IF(ISNUMBER(FIND(MID(CM682&amp;Y682,ROW($1:$162),1),CM686&amp;Y686)),MID(CM682&amp;Y682,ROW($1:$162),1),""))</f>
        <v/>
      </c>
      <c r="CO686" s="24" t="str">
        <f t="array" ref="CO686">_xlfn.TEXTJOIN("",TRUE,IF(ISERROR(FIND(ROW($1:$168)-1,CM686&amp;CN686)),ROW($1:$168)-1,""))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686" s="30" t="str">
        <f t="shared" si="467"/>
        <v>邻孤孤</v>
      </c>
    </row>
    <row r="687" s="2" customFormat="1" spans="1:94">
      <c r="A687" s="15">
        <v>687</v>
      </c>
      <c r="B687" s="80" t="s">
        <v>521</v>
      </c>
      <c r="C687" s="8" t="s">
        <v>522</v>
      </c>
      <c r="D687" s="96">
        <f t="shared" si="471"/>
        <v>12</v>
      </c>
      <c r="E687" s="97">
        <f t="shared" si="472"/>
        <v>2</v>
      </c>
      <c r="F687" s="83">
        <f t="shared" si="435"/>
        <v>2</v>
      </c>
      <c r="G687" s="84" t="str">
        <f t="shared" si="436"/>
        <v>标准</v>
      </c>
      <c r="H687" s="85" t="s">
        <v>10</v>
      </c>
      <c r="I687" s="85" t="s">
        <v>11</v>
      </c>
      <c r="J687" s="85" t="s">
        <v>12</v>
      </c>
      <c r="K687" s="85" t="s">
        <v>13</v>
      </c>
      <c r="L687" s="98">
        <f>MAX(MID(C687,{1,2,3},1)*1)-MIN(MID(C687,{1,2,3},1)*1)</f>
        <v>6</v>
      </c>
      <c r="M687" s="87">
        <v>0</v>
      </c>
      <c r="N687" s="87">
        <v>1</v>
      </c>
      <c r="O687" s="87">
        <v>2</v>
      </c>
      <c r="P687" s="87">
        <v>3</v>
      </c>
      <c r="Q687" s="87">
        <v>4</v>
      </c>
      <c r="R687" s="87">
        <v>5</v>
      </c>
      <c r="S687" s="87">
        <v>6</v>
      </c>
      <c r="T687" s="87">
        <v>7</v>
      </c>
      <c r="U687" s="87">
        <v>8</v>
      </c>
      <c r="V687" s="87">
        <v>9</v>
      </c>
      <c r="W687" s="99">
        <f t="shared" si="473"/>
        <v>3</v>
      </c>
      <c r="X687" s="99">
        <f t="shared" si="474"/>
        <v>3</v>
      </c>
      <c r="Y687" s="99">
        <f t="shared" si="475"/>
        <v>6</v>
      </c>
      <c r="Z687" s="89">
        <f t="shared" si="454"/>
        <v>12</v>
      </c>
      <c r="AA687" s="100" t="str">
        <f>_xlfn.TEXTJOIN(", ",TRUE,ABS(MID(C687,{1,1,2},1)-MID(C687,{2,3,3},1)))</f>
        <v>3, 3, 6</v>
      </c>
      <c r="AB687" s="101">
        <v>0</v>
      </c>
      <c r="AC687" s="101">
        <v>1</v>
      </c>
      <c r="AD687" s="101">
        <v>2</v>
      </c>
      <c r="AE687" s="101">
        <v>3</v>
      </c>
      <c r="AF687" s="101">
        <v>4</v>
      </c>
      <c r="AG687" s="101">
        <v>5</v>
      </c>
      <c r="AH687" s="101">
        <v>6</v>
      </c>
      <c r="AI687" s="101">
        <v>7</v>
      </c>
      <c r="AJ687" s="101">
        <v>8</v>
      </c>
      <c r="AK687" s="101">
        <v>9</v>
      </c>
      <c r="AL687" s="91">
        <v>0</v>
      </c>
      <c r="AM687" s="91">
        <v>1</v>
      </c>
      <c r="AN687" s="91">
        <v>2</v>
      </c>
      <c r="AO687" s="91">
        <v>3</v>
      </c>
      <c r="AP687" s="91">
        <v>4</v>
      </c>
      <c r="AQ687" s="91">
        <v>5</v>
      </c>
      <c r="AR687" s="91">
        <v>6</v>
      </c>
      <c r="AS687" s="91">
        <v>7</v>
      </c>
      <c r="AT687" s="91">
        <v>8</v>
      </c>
      <c r="AU687" s="91">
        <v>9</v>
      </c>
      <c r="AV687" s="102">
        <v>0</v>
      </c>
      <c r="AW687" s="102">
        <v>1</v>
      </c>
      <c r="AX687" s="102">
        <v>2</v>
      </c>
      <c r="AY687" s="102">
        <v>3</v>
      </c>
      <c r="AZ687" s="102">
        <v>4</v>
      </c>
      <c r="BA687" s="102">
        <v>5</v>
      </c>
      <c r="BB687" s="102">
        <v>6</v>
      </c>
      <c r="BC687" s="102">
        <v>7</v>
      </c>
      <c r="BD687" s="102">
        <v>8</v>
      </c>
      <c r="BE687" s="102">
        <v>9</v>
      </c>
      <c r="BF687" s="103">
        <v>0</v>
      </c>
      <c r="BG687" s="103">
        <v>1</v>
      </c>
      <c r="BH687" s="103">
        <v>2</v>
      </c>
      <c r="BI687" s="103">
        <v>3</v>
      </c>
      <c r="BJ687" s="103">
        <v>4</v>
      </c>
      <c r="BK687" s="103">
        <v>5</v>
      </c>
      <c r="BL687" s="103">
        <v>6</v>
      </c>
      <c r="BM687" s="103">
        <v>7</v>
      </c>
      <c r="BN687" s="103">
        <v>8</v>
      </c>
      <c r="BO687" s="103">
        <v>9</v>
      </c>
      <c r="BP687" s="94" t="str">
        <f t="shared" si="455"/>
        <v>松散型</v>
      </c>
      <c r="BQ687" s="15">
        <f t="shared" si="476"/>
        <v>3</v>
      </c>
      <c r="BR687" s="15">
        <f t="shared" si="477"/>
        <v>6</v>
      </c>
      <c r="BS687" s="20">
        <f>IF(COUNTIF($W682:$Y682,W687)&gt;0,W687,"")</f>
        <v>3</v>
      </c>
      <c r="BT687" s="21" t="str">
        <f>IF(COUNTIF($W681:$Y681,W687)&gt;0,W687,"")</f>
        <v/>
      </c>
      <c r="BU687" s="21" t="str">
        <f t="array" ref="BU687">_xlfn.TEXTJOIN("",TRUE,IF(ISERROR(FIND(ROW($1:$168)-1,BS687&amp;BT687)),ROW($1:$168)-1,""))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87" s="22" t="str">
        <f t="shared" si="459"/>
        <v>复中中</v>
      </c>
      <c r="BW687" s="23">
        <f>IF(COUNTIF($W682:$Y682,X687)&gt;0,X687,"")</f>
        <v>3</v>
      </c>
      <c r="BX687" s="23" t="str">
        <f>IF(COUNTIF($W681:$Y681,X687)&gt;0,X687,"")</f>
        <v/>
      </c>
      <c r="BY687" s="23" t="str">
        <f t="array" ref="BY687">_xlfn.TEXTJOIN("",TRUE,IF(ISERROR(FIND(ROW($1:$168)-1,BW687&amp;BX687)),ROW($1:$168)-1,""))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87" s="22" t="str">
        <f t="shared" si="460"/>
        <v>复中中</v>
      </c>
      <c r="CA687" s="24" t="str">
        <f>IF(COUNTIF($W682:$Y682,Y687)&gt;0,Y687,"")</f>
        <v/>
      </c>
      <c r="CB687" s="24" t="str">
        <f>IF(COUNTIF($W681:$Y681,Y687)&gt;0,Y687,"")</f>
        <v/>
      </c>
      <c r="CC687" s="24" t="str">
        <f t="array" ref="CC687">_xlfn.TEXTJOIN("",TRUE,IF(ISERROR(FIND(ROW($1:$168)-1,CA687&amp;CB687)),ROW($1:$168)-1,""))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87" s="22" t="str">
        <f t="shared" si="462"/>
        <v>中中中</v>
      </c>
      <c r="CE687" s="25" t="str">
        <f t="shared" si="456"/>
        <v>24</v>
      </c>
      <c r="CF687" s="26" t="str">
        <f t="array" ref="CF687">_xlfn.TEXTJOIN("",TRUE,IF(ISNUMBER(FIND(MID(CE682&amp;W682,ROW($1:$162),1),CE687&amp;W687)),MID(CE682&amp;W682,ROW($1:$162),1),""))</f>
        <v>4</v>
      </c>
      <c r="CG687" s="27" t="str">
        <f t="array" ref="CG687">_xlfn.TEXTJOIN("",TRUE,IF(ISERROR(FIND(ROW($1:$168)-1,CE687&amp;CF687)),ROW($1:$168)-1,""))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87" s="28" t="str">
        <f t="shared" si="463"/>
        <v>邻传孤</v>
      </c>
      <c r="CI687" s="29" t="str">
        <f t="shared" si="464"/>
        <v>24</v>
      </c>
      <c r="CJ687" s="29" t="str">
        <f t="array" ref="CJ687">_xlfn.TEXTJOIN("",TRUE,IF(ISNUMBER(FIND(MID(CI682&amp;X682,ROW($1:$162),1),CI687&amp;X687)),MID(CI682&amp;X682,ROW($1:$162),1),""))</f>
        <v>32</v>
      </c>
      <c r="CK687" s="29" t="str">
        <f t="array" ref="CK687">_xlfn.TEXTJOIN("",TRUE,IF(ISERROR(FIND(ROW($1:$168)-1,CI687&amp;CJ687)),ROW($1:$168)-1,""))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87" s="19" t="str">
        <f t="shared" si="465"/>
        <v>邻传孤</v>
      </c>
      <c r="CM687" s="24" t="str">
        <f t="shared" si="466"/>
        <v>57</v>
      </c>
      <c r="CN687" s="24" t="str">
        <f t="array" ref="CN687">_xlfn.TEXTJOIN("",TRUE,IF(ISNUMBER(FIND(MID(CM682&amp;Y682,ROW($1:$162),1),CM687&amp;Y687)),MID(CM682&amp;Y682,ROW($1:$162),1),""))</f>
        <v/>
      </c>
      <c r="CO687" s="24" t="str">
        <f t="array" ref="CO687">_xlfn.TEXTJOIN("",TRUE,IF(ISERROR(FIND(ROW($1:$168)-1,CM687&amp;CN687)),ROW($1:$168)-1,""))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87" s="30" t="str">
        <f t="shared" si="467"/>
        <v>邻孤孤</v>
      </c>
    </row>
    <row r="688" s="2" customFormat="1" spans="1:94">
      <c r="A688" s="15">
        <v>688</v>
      </c>
      <c r="B688" s="80" t="s">
        <v>523</v>
      </c>
      <c r="C688" s="8" t="s">
        <v>107</v>
      </c>
      <c r="D688" s="96">
        <f t="shared" si="471"/>
        <v>4</v>
      </c>
      <c r="E688" s="97">
        <f t="shared" si="472"/>
        <v>4</v>
      </c>
      <c r="F688" s="83">
        <f t="shared" si="435"/>
        <v>1.33333333333333</v>
      </c>
      <c r="G688" s="84" t="str">
        <f t="shared" si="436"/>
        <v>松散</v>
      </c>
      <c r="H688" s="85" t="s">
        <v>10</v>
      </c>
      <c r="I688" s="85" t="s">
        <v>11</v>
      </c>
      <c r="J688" s="85" t="s">
        <v>12</v>
      </c>
      <c r="K688" s="85" t="s">
        <v>13</v>
      </c>
      <c r="L688" s="98">
        <f>MAX(MID(C688,{1,2,3},1)*1)-MIN(MID(C688,{1,2,3},1)*1)</f>
        <v>3</v>
      </c>
      <c r="M688" s="87">
        <v>0</v>
      </c>
      <c r="N688" s="87">
        <v>1</v>
      </c>
      <c r="O688" s="87">
        <v>2</v>
      </c>
      <c r="P688" s="87">
        <v>3</v>
      </c>
      <c r="Q688" s="87">
        <v>4</v>
      </c>
      <c r="R688" s="87">
        <v>5</v>
      </c>
      <c r="S688" s="87">
        <v>6</v>
      </c>
      <c r="T688" s="87">
        <v>7</v>
      </c>
      <c r="U688" s="87">
        <v>8</v>
      </c>
      <c r="V688" s="87">
        <v>9</v>
      </c>
      <c r="W688" s="99">
        <f t="shared" si="473"/>
        <v>2</v>
      </c>
      <c r="X688" s="99">
        <f t="shared" si="474"/>
        <v>3</v>
      </c>
      <c r="Y688" s="99">
        <f t="shared" si="475"/>
        <v>1</v>
      </c>
      <c r="Z688" s="89">
        <f t="shared" si="454"/>
        <v>6</v>
      </c>
      <c r="AA688" s="100" t="str">
        <f>_xlfn.TEXTJOIN(", ",TRUE,ABS(MID(C688,{1,1,2},1)-MID(C688,{2,3,3},1)))</f>
        <v>2, 3, 1</v>
      </c>
      <c r="AB688" s="101">
        <v>0</v>
      </c>
      <c r="AC688" s="101">
        <v>1</v>
      </c>
      <c r="AD688" s="101">
        <v>2</v>
      </c>
      <c r="AE688" s="101">
        <v>3</v>
      </c>
      <c r="AF688" s="101">
        <v>4</v>
      </c>
      <c r="AG688" s="101">
        <v>5</v>
      </c>
      <c r="AH688" s="101">
        <v>6</v>
      </c>
      <c r="AI688" s="101">
        <v>7</v>
      </c>
      <c r="AJ688" s="101">
        <v>8</v>
      </c>
      <c r="AK688" s="101">
        <v>9</v>
      </c>
      <c r="AL688" s="91">
        <v>0</v>
      </c>
      <c r="AM688" s="91">
        <v>1</v>
      </c>
      <c r="AN688" s="91">
        <v>2</v>
      </c>
      <c r="AO688" s="91">
        <v>3</v>
      </c>
      <c r="AP688" s="91">
        <v>4</v>
      </c>
      <c r="AQ688" s="91">
        <v>5</v>
      </c>
      <c r="AR688" s="91">
        <v>6</v>
      </c>
      <c r="AS688" s="91">
        <v>7</v>
      </c>
      <c r="AT688" s="91">
        <v>8</v>
      </c>
      <c r="AU688" s="91">
        <v>9</v>
      </c>
      <c r="AV688" s="102">
        <v>0</v>
      </c>
      <c r="AW688" s="102">
        <v>1</v>
      </c>
      <c r="AX688" s="102">
        <v>2</v>
      </c>
      <c r="AY688" s="102">
        <v>3</v>
      </c>
      <c r="AZ688" s="102">
        <v>4</v>
      </c>
      <c r="BA688" s="102">
        <v>5</v>
      </c>
      <c r="BB688" s="102">
        <v>6</v>
      </c>
      <c r="BC688" s="102">
        <v>7</v>
      </c>
      <c r="BD688" s="102">
        <v>8</v>
      </c>
      <c r="BE688" s="102">
        <v>9</v>
      </c>
      <c r="BF688" s="103">
        <v>0</v>
      </c>
      <c r="BG688" s="103">
        <v>1</v>
      </c>
      <c r="BH688" s="103">
        <v>2</v>
      </c>
      <c r="BI688" s="103">
        <v>3</v>
      </c>
      <c r="BJ688" s="103">
        <v>4</v>
      </c>
      <c r="BK688" s="103">
        <v>5</v>
      </c>
      <c r="BL688" s="103">
        <v>6</v>
      </c>
      <c r="BM688" s="103">
        <v>7</v>
      </c>
      <c r="BN688" s="103">
        <v>8</v>
      </c>
      <c r="BO688" s="103">
        <v>9</v>
      </c>
      <c r="BP688" s="94" t="str">
        <f t="shared" si="455"/>
        <v>紧凑型</v>
      </c>
      <c r="BQ688" s="15">
        <f t="shared" si="476"/>
        <v>1</v>
      </c>
      <c r="BR688" s="15">
        <f t="shared" si="477"/>
        <v>3</v>
      </c>
      <c r="BS688" s="20">
        <f>IF(COUNTIF($W682:$Y682,W688)&gt;0,W688,"")</f>
        <v>2</v>
      </c>
      <c r="BT688" s="21" t="str">
        <f>IF(COUNTIF($W681:$Y681,W688)&gt;0,W688,"")</f>
        <v/>
      </c>
      <c r="BU688" s="21" t="str">
        <f t="array" ref="BU688">_xlfn.TEXTJOIN("",TRUE,IF(ISERROR(FIND(ROW($1:$168)-1,BS688&amp;BT688)),ROW($1:$168)-1,""))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88" s="22" t="str">
        <f t="shared" si="459"/>
        <v>复中中</v>
      </c>
      <c r="BW688" s="23">
        <f>IF(COUNTIF($W682:$Y682,X688)&gt;0,X688,"")</f>
        <v>3</v>
      </c>
      <c r="BX688" s="23" t="str">
        <f>IF(COUNTIF($W681:$Y681,X688)&gt;0,X688,"")</f>
        <v/>
      </c>
      <c r="BY688" s="23" t="str">
        <f t="array" ref="BY688">_xlfn.TEXTJOIN("",TRUE,IF(ISERROR(FIND(ROW($1:$168)-1,BW688&amp;BX688)),ROW($1:$168)-1,""))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88" s="22" t="str">
        <f t="shared" si="460"/>
        <v>复中中</v>
      </c>
      <c r="CA688" s="24" t="str">
        <f>IF(COUNTIF($W682:$Y682,Y688)&gt;0,Y688,"")</f>
        <v/>
      </c>
      <c r="CB688" s="24">
        <f>IF(COUNTIF($W681:$Y681,Y688)&gt;0,Y688,"")</f>
        <v>1</v>
      </c>
      <c r="CC688" s="24" t="str">
        <f t="array" ref="CC688">_xlfn.TEXTJOIN("",TRUE,IF(ISERROR(FIND(ROW($1:$168)-1,CA688&amp;CB688)),ROW($1:$168)-1,""))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88" s="22" t="str">
        <f t="shared" si="462"/>
        <v>中隔中</v>
      </c>
      <c r="CE688" s="25" t="str">
        <f t="shared" si="456"/>
        <v>13</v>
      </c>
      <c r="CF688" s="26" t="str">
        <f t="array" ref="CF688">_xlfn.TEXTJOIN("",TRUE,IF(ISNUMBER(FIND(MID(CE682&amp;W682,ROW($1:$162),1),CE688&amp;W688)),MID(CE682&amp;W682,ROW($1:$162),1),""))</f>
        <v/>
      </c>
      <c r="CG688" s="27" t="str">
        <f t="array" ref="CG688">_xlfn.TEXTJOIN("",TRUE,IF(ISERROR(FIND(ROW($1:$168)-1,CE688&amp;CF688)),ROW($1:$168)-1,""))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88" s="28" t="str">
        <f t="shared" si="463"/>
        <v>邻孤孤</v>
      </c>
      <c r="CI688" s="29" t="str">
        <f t="shared" si="464"/>
        <v>24</v>
      </c>
      <c r="CJ688" s="29" t="str">
        <f t="array" ref="CJ688">_xlfn.TEXTJOIN("",TRUE,IF(ISNUMBER(FIND(MID(CI682&amp;X682,ROW($1:$162),1),CI688&amp;X688)),MID(CI682&amp;X682,ROW($1:$162),1),""))</f>
        <v>32</v>
      </c>
      <c r="CK688" s="29" t="str">
        <f t="array" ref="CK688">_xlfn.TEXTJOIN("",TRUE,IF(ISERROR(FIND(ROW($1:$168)-1,CI688&amp;CJ688)),ROW($1:$168)-1,""))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88" s="19" t="str">
        <f t="shared" si="465"/>
        <v>邻传孤</v>
      </c>
      <c r="CM688" s="24" t="str">
        <f t="shared" si="466"/>
        <v>02</v>
      </c>
      <c r="CN688" s="24" t="str">
        <f t="array" ref="CN688">_xlfn.TEXTJOIN("",TRUE,IF(ISNUMBER(FIND(MID(CM682&amp;Y682,ROW($1:$162),1),CM688&amp;Y688)),MID(CM682&amp;Y682,ROW($1:$162),1),""))</f>
        <v>2</v>
      </c>
      <c r="CO688" s="24" t="str">
        <f t="array" ref="CO688">_xlfn.TEXTJOIN("",TRUE,IF(ISERROR(FIND(ROW($1:$168)-1,CM688&amp;CN688)),ROW($1:$168)-1,""))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88" s="30" t="str">
        <f t="shared" si="467"/>
        <v>邻传孤</v>
      </c>
    </row>
    <row r="689" s="2" customFormat="1" spans="1:94">
      <c r="A689" s="15">
        <v>689</v>
      </c>
      <c r="B689" s="80" t="s">
        <v>524</v>
      </c>
      <c r="C689" s="8" t="s">
        <v>525</v>
      </c>
      <c r="D689" s="96">
        <f t="shared" si="471"/>
        <v>22</v>
      </c>
      <c r="E689" s="97">
        <f t="shared" si="472"/>
        <v>2</v>
      </c>
      <c r="F689" s="83">
        <f t="shared" si="435"/>
        <v>7.33333333333333</v>
      </c>
      <c r="G689" s="84" t="str">
        <f t="shared" si="436"/>
        <v>紧凑</v>
      </c>
      <c r="H689" s="85" t="s">
        <v>10</v>
      </c>
      <c r="I689" s="85" t="s">
        <v>11</v>
      </c>
      <c r="J689" s="85" t="s">
        <v>12</v>
      </c>
      <c r="K689" s="85" t="s">
        <v>13</v>
      </c>
      <c r="L689" s="98">
        <f>MAX(MID(C689,{1,2,3},1)*1)-MIN(MID(C689,{1,2,3},1)*1)</f>
        <v>3</v>
      </c>
      <c r="M689" s="87">
        <v>0</v>
      </c>
      <c r="N689" s="87">
        <v>1</v>
      </c>
      <c r="O689" s="87">
        <v>2</v>
      </c>
      <c r="P689" s="87">
        <v>3</v>
      </c>
      <c r="Q689" s="87">
        <v>4</v>
      </c>
      <c r="R689" s="87">
        <v>5</v>
      </c>
      <c r="S689" s="87">
        <v>6</v>
      </c>
      <c r="T689" s="87">
        <v>7</v>
      </c>
      <c r="U689" s="87">
        <v>8</v>
      </c>
      <c r="V689" s="87">
        <v>9</v>
      </c>
      <c r="W689" s="99">
        <f t="shared" si="473"/>
        <v>3</v>
      </c>
      <c r="X689" s="99">
        <f t="shared" si="474"/>
        <v>1</v>
      </c>
      <c r="Y689" s="99">
        <f t="shared" si="475"/>
        <v>2</v>
      </c>
      <c r="Z689" s="89">
        <f t="shared" si="454"/>
        <v>6</v>
      </c>
      <c r="AA689" s="100" t="str">
        <f>_xlfn.TEXTJOIN(", ",TRUE,ABS(MID(C689,{1,1,2},1)-MID(C689,{2,3,3},1)))</f>
        <v>3, 1, 2</v>
      </c>
      <c r="AB689" s="101">
        <v>0</v>
      </c>
      <c r="AC689" s="101">
        <v>1</v>
      </c>
      <c r="AD689" s="101">
        <v>2</v>
      </c>
      <c r="AE689" s="101">
        <v>3</v>
      </c>
      <c r="AF689" s="101">
        <v>4</v>
      </c>
      <c r="AG689" s="101">
        <v>5</v>
      </c>
      <c r="AH689" s="101">
        <v>6</v>
      </c>
      <c r="AI689" s="101">
        <v>7</v>
      </c>
      <c r="AJ689" s="101">
        <v>8</v>
      </c>
      <c r="AK689" s="101">
        <v>9</v>
      </c>
      <c r="AL689" s="91">
        <v>0</v>
      </c>
      <c r="AM689" s="91">
        <v>1</v>
      </c>
      <c r="AN689" s="91">
        <v>2</v>
      </c>
      <c r="AO689" s="91">
        <v>3</v>
      </c>
      <c r="AP689" s="91">
        <v>4</v>
      </c>
      <c r="AQ689" s="91">
        <v>5</v>
      </c>
      <c r="AR689" s="91">
        <v>6</v>
      </c>
      <c r="AS689" s="91">
        <v>7</v>
      </c>
      <c r="AT689" s="91">
        <v>8</v>
      </c>
      <c r="AU689" s="91">
        <v>9</v>
      </c>
      <c r="AV689" s="102">
        <v>0</v>
      </c>
      <c r="AW689" s="102">
        <v>1</v>
      </c>
      <c r="AX689" s="102">
        <v>2</v>
      </c>
      <c r="AY689" s="102">
        <v>3</v>
      </c>
      <c r="AZ689" s="102">
        <v>4</v>
      </c>
      <c r="BA689" s="102">
        <v>5</v>
      </c>
      <c r="BB689" s="102">
        <v>6</v>
      </c>
      <c r="BC689" s="102">
        <v>7</v>
      </c>
      <c r="BD689" s="102">
        <v>8</v>
      </c>
      <c r="BE689" s="102">
        <v>9</v>
      </c>
      <c r="BF689" s="103">
        <v>0</v>
      </c>
      <c r="BG689" s="103">
        <v>1</v>
      </c>
      <c r="BH689" s="103">
        <v>2</v>
      </c>
      <c r="BI689" s="103">
        <v>3</v>
      </c>
      <c r="BJ689" s="103">
        <v>4</v>
      </c>
      <c r="BK689" s="103">
        <v>5</v>
      </c>
      <c r="BL689" s="103">
        <v>6</v>
      </c>
      <c r="BM689" s="103">
        <v>7</v>
      </c>
      <c r="BN689" s="103">
        <v>8</v>
      </c>
      <c r="BO689" s="103">
        <v>9</v>
      </c>
      <c r="BP689" s="94" t="str">
        <f t="shared" si="455"/>
        <v>紧凑型</v>
      </c>
      <c r="BQ689" s="15">
        <f t="shared" si="476"/>
        <v>1</v>
      </c>
      <c r="BR689" s="15">
        <f t="shared" si="477"/>
        <v>3</v>
      </c>
      <c r="BS689" s="20">
        <f>IF(COUNTIF($W682:$Y682,W689)&gt;0,W689,"")</f>
        <v>3</v>
      </c>
      <c r="BT689" s="21" t="str">
        <f>IF(COUNTIF($W681:$Y681,W689)&gt;0,W689,"")</f>
        <v/>
      </c>
      <c r="BU689" s="21" t="str">
        <f t="array" ref="BU689">_xlfn.TEXTJOIN("",TRUE,IF(ISERROR(FIND(ROW($1:$168)-1,BS689&amp;BT689)),ROW($1:$168)-1,""))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89" s="22" t="str">
        <f t="shared" si="459"/>
        <v>复中中</v>
      </c>
      <c r="BW689" s="23" t="str">
        <f>IF(COUNTIF($W682:$Y682,X689)&gt;0,X689,"")</f>
        <v/>
      </c>
      <c r="BX689" s="23">
        <f>IF(COUNTIF($W681:$Y681,X689)&gt;0,X689,"")</f>
        <v>1</v>
      </c>
      <c r="BY689" s="23" t="str">
        <f t="array" ref="BY689">_xlfn.TEXTJOIN("",TRUE,IF(ISERROR(FIND(ROW($1:$168)-1,BW689&amp;BX689)),ROW($1:$168)-1,""))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89" s="22" t="str">
        <f t="shared" si="460"/>
        <v>中隔中</v>
      </c>
      <c r="CA689" s="24">
        <f>IF(COUNTIF($W682:$Y682,Y689)&gt;0,Y689,"")</f>
        <v>2</v>
      </c>
      <c r="CB689" s="24" t="str">
        <f>IF(COUNTIF($W681:$Y681,Y689)&gt;0,Y689,"")</f>
        <v/>
      </c>
      <c r="CC689" s="24" t="str">
        <f t="array" ref="CC689">_xlfn.TEXTJOIN("",TRUE,IF(ISERROR(FIND(ROW($1:$168)-1,CA689&amp;CB689)),ROW($1:$168)-1,""))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89" s="22" t="str">
        <f t="shared" si="462"/>
        <v>复中中</v>
      </c>
      <c r="CE689" s="25" t="str">
        <f t="shared" si="456"/>
        <v>24</v>
      </c>
      <c r="CF689" s="26" t="str">
        <f t="array" ref="CF689">_xlfn.TEXTJOIN("",TRUE,IF(ISNUMBER(FIND(MID(CE682&amp;W682,ROW($1:$162),1),CE689&amp;W689)),MID(CE682&amp;W682,ROW($1:$162),1),""))</f>
        <v>4</v>
      </c>
      <c r="CG689" s="27" t="str">
        <f t="array" ref="CG689">_xlfn.TEXTJOIN("",TRUE,IF(ISERROR(FIND(ROW($1:$168)-1,CE689&amp;CF689)),ROW($1:$168)-1,""))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89" s="28" t="str">
        <f t="shared" si="463"/>
        <v>邻传孤</v>
      </c>
      <c r="CI689" s="29" t="str">
        <f t="shared" si="464"/>
        <v>02</v>
      </c>
      <c r="CJ689" s="29" t="str">
        <f t="array" ref="CJ689">_xlfn.TEXTJOIN("",TRUE,IF(ISNUMBER(FIND(MID(CI682&amp;X682,ROW($1:$162),1),CI689&amp;X689)),MID(CI682&amp;X682,ROW($1:$162),1),""))</f>
        <v>12</v>
      </c>
      <c r="CK689" s="29" t="str">
        <f t="array" ref="CK689">_xlfn.TEXTJOIN("",TRUE,IF(ISERROR(FIND(ROW($1:$168)-1,CI689&amp;CJ689)),ROW($1:$168)-1,""))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89" s="19" t="str">
        <f t="shared" si="465"/>
        <v>邻传孤</v>
      </c>
      <c r="CM689" s="24" t="str">
        <f t="shared" si="466"/>
        <v>13</v>
      </c>
      <c r="CN689" s="24" t="str">
        <f t="array" ref="CN689">_xlfn.TEXTJOIN("",TRUE,IF(ISNUMBER(FIND(MID(CM682&amp;Y682,ROW($1:$162),1),CM689&amp;Y689)),MID(CM682&amp;Y682,ROW($1:$162),1),""))</f>
        <v>23</v>
      </c>
      <c r="CO689" s="24" t="str">
        <f t="array" ref="CO689">_xlfn.TEXTJOIN("",TRUE,IF(ISERROR(FIND(ROW($1:$168)-1,CM689&amp;CN689)),ROW($1:$168)-1,""))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689" s="30" t="str">
        <f t="shared" si="467"/>
        <v>邻传孤</v>
      </c>
    </row>
    <row r="690" s="2" customFormat="1" spans="1:94">
      <c r="A690" s="15">
        <v>690</v>
      </c>
      <c r="B690" s="80" t="s">
        <v>526</v>
      </c>
      <c r="C690" s="8" t="s">
        <v>205</v>
      </c>
      <c r="D690" s="96">
        <f t="shared" si="471"/>
        <v>11</v>
      </c>
      <c r="E690" s="97">
        <f t="shared" si="472"/>
        <v>1</v>
      </c>
      <c r="F690" s="83">
        <f t="shared" si="435"/>
        <v>2.2</v>
      </c>
      <c r="G690" s="84" t="str">
        <f t="shared" si="436"/>
        <v>标准</v>
      </c>
      <c r="H690" s="85" t="s">
        <v>10</v>
      </c>
      <c r="I690" s="85" t="s">
        <v>11</v>
      </c>
      <c r="J690" s="85" t="s">
        <v>12</v>
      </c>
      <c r="K690" s="85" t="s">
        <v>13</v>
      </c>
      <c r="L690" s="98">
        <f>MAX(MID(C690,{1,2,3},1)*1)-MIN(MID(C690,{1,2,3},1)*1)</f>
        <v>5</v>
      </c>
      <c r="M690" s="87">
        <v>0</v>
      </c>
      <c r="N690" s="87">
        <v>1</v>
      </c>
      <c r="O690" s="87">
        <v>2</v>
      </c>
      <c r="P690" s="87">
        <v>3</v>
      </c>
      <c r="Q690" s="87">
        <v>4</v>
      </c>
      <c r="R690" s="87">
        <v>5</v>
      </c>
      <c r="S690" s="87">
        <v>6</v>
      </c>
      <c r="T690" s="87">
        <v>7</v>
      </c>
      <c r="U690" s="87">
        <v>8</v>
      </c>
      <c r="V690" s="87">
        <v>9</v>
      </c>
      <c r="W690" s="99">
        <f t="shared" si="473"/>
        <v>5</v>
      </c>
      <c r="X690" s="99">
        <f t="shared" si="474"/>
        <v>3</v>
      </c>
      <c r="Y690" s="99">
        <f t="shared" si="475"/>
        <v>2</v>
      </c>
      <c r="Z690" s="89">
        <f t="shared" si="454"/>
        <v>10</v>
      </c>
      <c r="AA690" s="100" t="str">
        <f>_xlfn.TEXTJOIN(", ",TRUE,ABS(MID(C690,{1,1,2},1)-MID(C690,{2,3,3},1)))</f>
        <v>5, 3, 2</v>
      </c>
      <c r="AB690" s="101">
        <v>0</v>
      </c>
      <c r="AC690" s="101">
        <v>1</v>
      </c>
      <c r="AD690" s="101">
        <v>2</v>
      </c>
      <c r="AE690" s="101">
        <v>3</v>
      </c>
      <c r="AF690" s="101">
        <v>4</v>
      </c>
      <c r="AG690" s="101">
        <v>5</v>
      </c>
      <c r="AH690" s="101">
        <v>6</v>
      </c>
      <c r="AI690" s="101">
        <v>7</v>
      </c>
      <c r="AJ690" s="101">
        <v>8</v>
      </c>
      <c r="AK690" s="101">
        <v>9</v>
      </c>
      <c r="AL690" s="91">
        <v>0</v>
      </c>
      <c r="AM690" s="91">
        <v>1</v>
      </c>
      <c r="AN690" s="91">
        <v>2</v>
      </c>
      <c r="AO690" s="91">
        <v>3</v>
      </c>
      <c r="AP690" s="91">
        <v>4</v>
      </c>
      <c r="AQ690" s="91">
        <v>5</v>
      </c>
      <c r="AR690" s="91">
        <v>6</v>
      </c>
      <c r="AS690" s="91">
        <v>7</v>
      </c>
      <c r="AT690" s="91">
        <v>8</v>
      </c>
      <c r="AU690" s="91">
        <v>9</v>
      </c>
      <c r="AV690" s="102">
        <v>0</v>
      </c>
      <c r="AW690" s="102">
        <v>1</v>
      </c>
      <c r="AX690" s="102">
        <v>2</v>
      </c>
      <c r="AY690" s="102">
        <v>3</v>
      </c>
      <c r="AZ690" s="102">
        <v>4</v>
      </c>
      <c r="BA690" s="102">
        <v>5</v>
      </c>
      <c r="BB690" s="102">
        <v>6</v>
      </c>
      <c r="BC690" s="102">
        <v>7</v>
      </c>
      <c r="BD690" s="102">
        <v>8</v>
      </c>
      <c r="BE690" s="102">
        <v>9</v>
      </c>
      <c r="BF690" s="103">
        <v>0</v>
      </c>
      <c r="BG690" s="103">
        <v>1</v>
      </c>
      <c r="BH690" s="103">
        <v>2</v>
      </c>
      <c r="BI690" s="103">
        <v>3</v>
      </c>
      <c r="BJ690" s="103">
        <v>4</v>
      </c>
      <c r="BK690" s="103">
        <v>5</v>
      </c>
      <c r="BL690" s="103">
        <v>6</v>
      </c>
      <c r="BM690" s="103">
        <v>7</v>
      </c>
      <c r="BN690" s="103">
        <v>8</v>
      </c>
      <c r="BO690" s="103">
        <v>9</v>
      </c>
      <c r="BP690" s="94" t="str">
        <f t="shared" si="455"/>
        <v>标准型</v>
      </c>
      <c r="BQ690" s="15">
        <f t="shared" si="476"/>
        <v>2</v>
      </c>
      <c r="BR690" s="15">
        <f t="shared" si="477"/>
        <v>5</v>
      </c>
      <c r="BS690" s="20">
        <f>IF(COUNTIF($W682:$Y682,W690)&gt;0,W690,"")</f>
        <v>5</v>
      </c>
      <c r="BT690" s="21" t="str">
        <f>IF(COUNTIF($W681:$Y681,W690)&gt;0,W690,"")</f>
        <v/>
      </c>
      <c r="BU690" s="21" t="str">
        <f t="array" ref="BU690">_xlfn.TEXTJOIN("",TRUE,IF(ISERROR(FIND(ROW($1:$168)-1,BS690&amp;BT690)),ROW($1:$168)-1,""))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90" s="22" t="str">
        <f t="shared" si="459"/>
        <v>复中中</v>
      </c>
      <c r="BW690" s="23">
        <f>IF(COUNTIF($W682:$Y682,X690)&gt;0,X690,"")</f>
        <v>3</v>
      </c>
      <c r="BX690" s="23" t="str">
        <f>IF(COUNTIF($W681:$Y681,X690)&gt;0,X690,"")</f>
        <v/>
      </c>
      <c r="BY690" s="23" t="str">
        <f t="array" ref="BY690">_xlfn.TEXTJOIN("",TRUE,IF(ISERROR(FIND(ROW($1:$168)-1,BW690&amp;BX690)),ROW($1:$168)-1,""))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90" s="22" t="str">
        <f t="shared" si="460"/>
        <v>复中中</v>
      </c>
      <c r="CA690" s="24">
        <f>IF(COUNTIF($W682:$Y682,Y690)&gt;0,Y690,"")</f>
        <v>2</v>
      </c>
      <c r="CB690" s="24" t="str">
        <f>IF(COUNTIF($W681:$Y681,Y690)&gt;0,Y690,"")</f>
        <v/>
      </c>
      <c r="CC690" s="24" t="str">
        <f t="array" ref="CC690">_xlfn.TEXTJOIN("",TRUE,IF(ISERROR(FIND(ROW($1:$168)-1,CA690&amp;CB690)),ROW($1:$168)-1,""))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90" s="22" t="str">
        <f t="shared" si="462"/>
        <v>复中中</v>
      </c>
      <c r="CE690" s="25" t="str">
        <f t="shared" si="456"/>
        <v>46</v>
      </c>
      <c r="CF690" s="26" t="str">
        <f t="array" ref="CF690">_xlfn.TEXTJOIN("",TRUE,IF(ISNUMBER(FIND(MID(CE682&amp;W682,ROW($1:$162),1),CE690&amp;W690)),MID(CE682&amp;W682,ROW($1:$162),1),""))</f>
        <v>465</v>
      </c>
      <c r="CG690" s="27" t="str">
        <f t="array" ref="CG690">_xlfn.TEXTJOIN("",TRUE,IF(ISERROR(FIND(ROW($1:$168)-1,CE690&amp;CF690)),ROW($1:$168)-1,""))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90" s="28" t="str">
        <f t="shared" si="463"/>
        <v>邻传孤</v>
      </c>
      <c r="CI690" s="29" t="str">
        <f t="shared" si="464"/>
        <v>24</v>
      </c>
      <c r="CJ690" s="29" t="str">
        <f t="array" ref="CJ690">_xlfn.TEXTJOIN("",TRUE,IF(ISNUMBER(FIND(MID(CI682&amp;X682,ROW($1:$162),1),CI690&amp;X690)),MID(CI682&amp;X682,ROW($1:$162),1),""))</f>
        <v>32</v>
      </c>
      <c r="CK690" s="29" t="str">
        <f t="array" ref="CK690">_xlfn.TEXTJOIN("",TRUE,IF(ISERROR(FIND(ROW($1:$168)-1,CI690&amp;CJ690)),ROW($1:$168)-1,""))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90" s="19" t="str">
        <f t="shared" si="465"/>
        <v>邻传孤</v>
      </c>
      <c r="CM690" s="24" t="str">
        <f t="shared" si="466"/>
        <v>13</v>
      </c>
      <c r="CN690" s="24" t="str">
        <f t="array" ref="CN690">_xlfn.TEXTJOIN("",TRUE,IF(ISNUMBER(FIND(MID(CM682&amp;Y682,ROW($1:$162),1),CM690&amp;Y690)),MID(CM682&amp;Y682,ROW($1:$162),1),""))</f>
        <v>23</v>
      </c>
      <c r="CO690" s="24" t="str">
        <f t="array" ref="CO690">_xlfn.TEXTJOIN("",TRUE,IF(ISERROR(FIND(ROW($1:$168)-1,CM690&amp;CN690)),ROW($1:$168)-1,""))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690" s="30" t="str">
        <f t="shared" si="467"/>
        <v>邻传孤</v>
      </c>
    </row>
    <row r="691" s="2" customFormat="1" spans="1:94">
      <c r="A691" s="15">
        <v>691</v>
      </c>
      <c r="B691" s="80" t="s">
        <v>527</v>
      </c>
      <c r="C691" s="8" t="s">
        <v>528</v>
      </c>
      <c r="D691" s="96">
        <f t="shared" si="471"/>
        <v>16</v>
      </c>
      <c r="E691" s="97">
        <f t="shared" si="472"/>
        <v>6</v>
      </c>
      <c r="F691" s="83">
        <f t="shared" si="435"/>
        <v>4</v>
      </c>
      <c r="G691" s="84" t="str">
        <f t="shared" si="436"/>
        <v>紧凑</v>
      </c>
      <c r="H691" s="85" t="s">
        <v>10</v>
      </c>
      <c r="I691" s="85" t="s">
        <v>11</v>
      </c>
      <c r="J691" s="85" t="s">
        <v>12</v>
      </c>
      <c r="K691" s="85" t="s">
        <v>13</v>
      </c>
      <c r="L691" s="98">
        <f>MAX(MID(C691,{1,2,3},1)*1)-MIN(MID(C691,{1,2,3},1)*1)</f>
        <v>4</v>
      </c>
      <c r="M691" s="87">
        <v>0</v>
      </c>
      <c r="N691" s="87">
        <v>1</v>
      </c>
      <c r="O691" s="87">
        <v>2</v>
      </c>
      <c r="P691" s="87">
        <v>3</v>
      </c>
      <c r="Q691" s="87">
        <v>4</v>
      </c>
      <c r="R691" s="87">
        <v>5</v>
      </c>
      <c r="S691" s="87">
        <v>6</v>
      </c>
      <c r="T691" s="87">
        <v>7</v>
      </c>
      <c r="U691" s="87">
        <v>8</v>
      </c>
      <c r="V691" s="87">
        <v>9</v>
      </c>
      <c r="W691" s="99">
        <f t="shared" si="473"/>
        <v>0</v>
      </c>
      <c r="X691" s="99">
        <f t="shared" si="474"/>
        <v>4</v>
      </c>
      <c r="Y691" s="99">
        <f t="shared" si="475"/>
        <v>4</v>
      </c>
      <c r="Z691" s="89">
        <f t="shared" si="454"/>
        <v>8</v>
      </c>
      <c r="AA691" s="100" t="str">
        <f>_xlfn.TEXTJOIN(", ",TRUE,ABS(MID(C691,{1,1,2},1)-MID(C691,{2,3,3},1)))</f>
        <v>0, 4, 4</v>
      </c>
      <c r="AB691" s="101">
        <v>0</v>
      </c>
      <c r="AC691" s="101">
        <v>1</v>
      </c>
      <c r="AD691" s="101">
        <v>2</v>
      </c>
      <c r="AE691" s="101">
        <v>3</v>
      </c>
      <c r="AF691" s="101">
        <v>4</v>
      </c>
      <c r="AG691" s="101">
        <v>5</v>
      </c>
      <c r="AH691" s="101">
        <v>6</v>
      </c>
      <c r="AI691" s="101">
        <v>7</v>
      </c>
      <c r="AJ691" s="101">
        <v>8</v>
      </c>
      <c r="AK691" s="101">
        <v>9</v>
      </c>
      <c r="AL691" s="91">
        <v>0</v>
      </c>
      <c r="AM691" s="91">
        <v>1</v>
      </c>
      <c r="AN691" s="91">
        <v>2</v>
      </c>
      <c r="AO691" s="91">
        <v>3</v>
      </c>
      <c r="AP691" s="91">
        <v>4</v>
      </c>
      <c r="AQ691" s="91">
        <v>5</v>
      </c>
      <c r="AR691" s="91">
        <v>6</v>
      </c>
      <c r="AS691" s="91">
        <v>7</v>
      </c>
      <c r="AT691" s="91">
        <v>8</v>
      </c>
      <c r="AU691" s="91">
        <v>9</v>
      </c>
      <c r="AV691" s="102">
        <v>0</v>
      </c>
      <c r="AW691" s="102">
        <v>1</v>
      </c>
      <c r="AX691" s="102">
        <v>2</v>
      </c>
      <c r="AY691" s="102">
        <v>3</v>
      </c>
      <c r="AZ691" s="102">
        <v>4</v>
      </c>
      <c r="BA691" s="102">
        <v>5</v>
      </c>
      <c r="BB691" s="102">
        <v>6</v>
      </c>
      <c r="BC691" s="102">
        <v>7</v>
      </c>
      <c r="BD691" s="102">
        <v>8</v>
      </c>
      <c r="BE691" s="102">
        <v>9</v>
      </c>
      <c r="BF691" s="103">
        <v>0</v>
      </c>
      <c r="BG691" s="103">
        <v>1</v>
      </c>
      <c r="BH691" s="103">
        <v>2</v>
      </c>
      <c r="BI691" s="103">
        <v>3</v>
      </c>
      <c r="BJ691" s="103">
        <v>4</v>
      </c>
      <c r="BK691" s="103">
        <v>5</v>
      </c>
      <c r="BL691" s="103">
        <v>6</v>
      </c>
      <c r="BM691" s="103">
        <v>7</v>
      </c>
      <c r="BN691" s="103">
        <v>8</v>
      </c>
      <c r="BO691" s="103">
        <v>9</v>
      </c>
      <c r="BP691" s="94" t="str">
        <f t="shared" si="455"/>
        <v>紧凑型</v>
      </c>
      <c r="BQ691" s="15">
        <f t="shared" si="476"/>
        <v>0</v>
      </c>
      <c r="BR691" s="15">
        <f t="shared" si="477"/>
        <v>4</v>
      </c>
      <c r="BS691" s="20" t="str">
        <f>IF(COUNTIF($W682:$Y682,W691)&gt;0,W691,"")</f>
        <v/>
      </c>
      <c r="BT691" s="21">
        <f>IF(COUNTIF($W681:$Y681,W691)&gt;0,W691,"")</f>
        <v>0</v>
      </c>
      <c r="BU691" s="21" t="str">
        <f t="array" ref="BU691">_xlfn.TEXTJOIN("",TRUE,IF(ISERROR(FIND(ROW($1:$168)-1,BS691&amp;BT691)),ROW($1:$168)-1,""))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91" s="22" t="str">
        <f t="shared" si="459"/>
        <v>中隔中</v>
      </c>
      <c r="BW691" s="23" t="str">
        <f>IF(COUNTIF($W682:$Y682,X691)&gt;0,X691,"")</f>
        <v/>
      </c>
      <c r="BX691" s="23" t="str">
        <f>IF(COUNTIF($W681:$Y681,X691)&gt;0,X691,"")</f>
        <v/>
      </c>
      <c r="BY691" s="23" t="str">
        <f t="array" ref="BY691">_xlfn.TEXTJOIN("",TRUE,IF(ISERROR(FIND(ROW($1:$168)-1,BW691&amp;BX691)),ROW($1:$168)-1,""))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91" s="22" t="str">
        <f t="shared" si="460"/>
        <v>中中中</v>
      </c>
      <c r="CA691" s="24" t="str">
        <f>IF(COUNTIF($W682:$Y682,Y691)&gt;0,Y691,"")</f>
        <v/>
      </c>
      <c r="CB691" s="24" t="str">
        <f>IF(COUNTIF($W681:$Y681,Y691)&gt;0,Y691,"")</f>
        <v/>
      </c>
      <c r="CC691" s="24" t="str">
        <f t="array" ref="CC691">_xlfn.TEXTJOIN("",TRUE,IF(ISERROR(FIND(ROW($1:$168)-1,CA691&amp;CB691)),ROW($1:$168)-1,""))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91" s="22" t="str">
        <f t="shared" si="462"/>
        <v>中中中</v>
      </c>
      <c r="CE691" s="25" t="str">
        <f t="shared" si="456"/>
        <v>91</v>
      </c>
      <c r="CF691" s="26" t="str">
        <f t="array" ref="CF691">_xlfn.TEXTJOIN("",TRUE,IF(ISNUMBER(FIND(MID(CE682&amp;W682,ROW($1:$162),1),CE691&amp;W691)),MID(CE682&amp;W682,ROW($1:$162),1),""))</f>
        <v/>
      </c>
      <c r="CG691" s="27" t="str">
        <f t="array" ref="CG691">_xlfn.TEXTJOIN("",TRUE,IF(ISERROR(FIND(ROW($1:$168)-1,CE691&amp;CF691)),ROW($1:$168)-1,""))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691" s="28" t="str">
        <f t="shared" si="463"/>
        <v>邻孤孤</v>
      </c>
      <c r="CI691" s="29" t="str">
        <f t="shared" si="464"/>
        <v>35</v>
      </c>
      <c r="CJ691" s="29" t="str">
        <f t="array" ref="CJ691">_xlfn.TEXTJOIN("",TRUE,IF(ISNUMBER(FIND(MID(CI682&amp;X682,ROW($1:$162),1),CI691&amp;X691)),MID(CI682&amp;X682,ROW($1:$162),1),""))</f>
        <v>3</v>
      </c>
      <c r="CK691" s="29" t="str">
        <f t="array" ref="CK691">_xlfn.TEXTJOIN("",TRUE,IF(ISERROR(FIND(ROW($1:$168)-1,CI691&amp;CJ691)),ROW($1:$168)-1,""))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91" s="19" t="str">
        <f t="shared" si="465"/>
        <v>邻传孤</v>
      </c>
      <c r="CM691" s="24" t="str">
        <f t="shared" si="466"/>
        <v>35</v>
      </c>
      <c r="CN691" s="24" t="str">
        <f t="array" ref="CN691">_xlfn.TEXTJOIN("",TRUE,IF(ISNUMBER(FIND(MID(CM682&amp;Y682,ROW($1:$162),1),CM691&amp;Y691)),MID(CM682&amp;Y682,ROW($1:$162),1),""))</f>
        <v>43</v>
      </c>
      <c r="CO691" s="24" t="str">
        <f t="array" ref="CO691">_xlfn.TEXTJOIN("",TRUE,IF(ISERROR(FIND(ROW($1:$168)-1,CM691&amp;CN691)),ROW($1:$168)-1,""))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91" s="30" t="str">
        <f t="shared" si="467"/>
        <v>邻传孤</v>
      </c>
    </row>
    <row r="692" s="2" customFormat="1" spans="1:94">
      <c r="A692" s="2">
        <v>692</v>
      </c>
      <c r="B692" s="80" t="s">
        <v>529</v>
      </c>
      <c r="C692" s="8" t="s">
        <v>149</v>
      </c>
      <c r="D692" s="96">
        <f t="shared" si="471"/>
        <v>10</v>
      </c>
      <c r="E692" s="97">
        <f t="shared" si="472"/>
        <v>0</v>
      </c>
      <c r="F692" s="83">
        <f t="shared" si="435"/>
        <v>1.11111111111111</v>
      </c>
      <c r="G692" s="84" t="str">
        <f t="shared" si="436"/>
        <v>松散</v>
      </c>
      <c r="H692" s="85" t="s">
        <v>10</v>
      </c>
      <c r="I692" s="85" t="s">
        <v>11</v>
      </c>
      <c r="J692" s="85" t="s">
        <v>12</v>
      </c>
      <c r="K692" s="85" t="s">
        <v>13</v>
      </c>
      <c r="L692" s="98">
        <f>MAX(MID(C692,{1,2,3},1)*1)-MIN(MID(C692,{1,2,3},1)*1)</f>
        <v>9</v>
      </c>
      <c r="M692" s="87">
        <v>0</v>
      </c>
      <c r="N692" s="87">
        <v>1</v>
      </c>
      <c r="O692" s="87">
        <v>2</v>
      </c>
      <c r="P692" s="87">
        <v>3</v>
      </c>
      <c r="Q692" s="87">
        <v>4</v>
      </c>
      <c r="R692" s="87">
        <v>5</v>
      </c>
      <c r="S692" s="87">
        <v>6</v>
      </c>
      <c r="T692" s="87">
        <v>7</v>
      </c>
      <c r="U692" s="87">
        <v>8</v>
      </c>
      <c r="V692" s="87">
        <v>9</v>
      </c>
      <c r="W692" s="99">
        <f t="shared" si="473"/>
        <v>8</v>
      </c>
      <c r="X692" s="99">
        <f t="shared" si="474"/>
        <v>1</v>
      </c>
      <c r="Y692" s="99">
        <f t="shared" si="475"/>
        <v>9</v>
      </c>
      <c r="Z692" s="89">
        <f t="shared" si="454"/>
        <v>18</v>
      </c>
      <c r="AA692" s="100" t="str">
        <f>_xlfn.TEXTJOIN(", ",TRUE,ABS(MID(C692,{1,1,2},1)-MID(C692,{2,3,3},1)))</f>
        <v>8, 1, 9</v>
      </c>
      <c r="AB692" s="101">
        <v>0</v>
      </c>
      <c r="AC692" s="101">
        <v>1</v>
      </c>
      <c r="AD692" s="101">
        <v>2</v>
      </c>
      <c r="AE692" s="101">
        <v>3</v>
      </c>
      <c r="AF692" s="101">
        <v>4</v>
      </c>
      <c r="AG692" s="101">
        <v>5</v>
      </c>
      <c r="AH692" s="101">
        <v>6</v>
      </c>
      <c r="AI692" s="101">
        <v>7</v>
      </c>
      <c r="AJ692" s="101">
        <v>8</v>
      </c>
      <c r="AK692" s="101">
        <v>9</v>
      </c>
      <c r="AL692" s="91">
        <v>0</v>
      </c>
      <c r="AM692" s="91">
        <v>1</v>
      </c>
      <c r="AN692" s="91">
        <v>2</v>
      </c>
      <c r="AO692" s="91">
        <v>3</v>
      </c>
      <c r="AP692" s="91">
        <v>4</v>
      </c>
      <c r="AQ692" s="91">
        <v>5</v>
      </c>
      <c r="AR692" s="91">
        <v>6</v>
      </c>
      <c r="AS692" s="91">
        <v>7</v>
      </c>
      <c r="AT692" s="91">
        <v>8</v>
      </c>
      <c r="AU692" s="91">
        <v>9</v>
      </c>
      <c r="AV692" s="102">
        <v>0</v>
      </c>
      <c r="AW692" s="102">
        <v>1</v>
      </c>
      <c r="AX692" s="102">
        <v>2</v>
      </c>
      <c r="AY692" s="102">
        <v>3</v>
      </c>
      <c r="AZ692" s="102">
        <v>4</v>
      </c>
      <c r="BA692" s="102">
        <v>5</v>
      </c>
      <c r="BB692" s="102">
        <v>6</v>
      </c>
      <c r="BC692" s="102">
        <v>7</v>
      </c>
      <c r="BD692" s="102">
        <v>8</v>
      </c>
      <c r="BE692" s="102">
        <v>9</v>
      </c>
      <c r="BF692" s="103">
        <v>0</v>
      </c>
      <c r="BG692" s="103">
        <v>1</v>
      </c>
      <c r="BH692" s="103">
        <v>2</v>
      </c>
      <c r="BI692" s="103">
        <v>3</v>
      </c>
      <c r="BJ692" s="103">
        <v>4</v>
      </c>
      <c r="BK692" s="103">
        <v>5</v>
      </c>
      <c r="BL692" s="103">
        <v>6</v>
      </c>
      <c r="BM692" s="103">
        <v>7</v>
      </c>
      <c r="BN692" s="103">
        <v>8</v>
      </c>
      <c r="BO692" s="103">
        <v>9</v>
      </c>
      <c r="BP692" s="94" t="str">
        <f t="shared" si="455"/>
        <v>松散型</v>
      </c>
      <c r="BQ692" s="15">
        <f t="shared" si="476"/>
        <v>1</v>
      </c>
      <c r="BR692" s="15">
        <f t="shared" si="477"/>
        <v>9</v>
      </c>
      <c r="BS692" s="20" t="str">
        <f>IF(COUNTIF($W682:$Y682,W692)&gt;0,W692,"")</f>
        <v/>
      </c>
      <c r="BT692" s="21" t="str">
        <f>IF(COUNTIF($W681:$Y681,W692)&gt;0,W692,"")</f>
        <v/>
      </c>
      <c r="BU692" s="21" t="str">
        <f t="array" ref="BU692">_xlfn.TEXTJOIN("",TRUE,IF(ISERROR(FIND(ROW($1:$168)-1,BS692&amp;BT692)),ROW($1:$168)-1,""))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92" s="22" t="str">
        <f t="shared" si="459"/>
        <v>中中中</v>
      </c>
      <c r="BW692" s="23" t="str">
        <f>IF(COUNTIF($W682:$Y682,X692)&gt;0,X692,"")</f>
        <v/>
      </c>
      <c r="BX692" s="23">
        <f>IF(COUNTIF($W681:$Y681,X692)&gt;0,X692,"")</f>
        <v>1</v>
      </c>
      <c r="BY692" s="23" t="str">
        <f t="array" ref="BY692">_xlfn.TEXTJOIN("",TRUE,IF(ISERROR(FIND(ROW($1:$168)-1,BW692&amp;BX692)),ROW($1:$168)-1,""))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92" s="22" t="str">
        <f t="shared" si="460"/>
        <v>中隔中</v>
      </c>
      <c r="CA692" s="24" t="str">
        <f>IF(COUNTIF($W682:$Y682,Y692)&gt;0,Y692,"")</f>
        <v/>
      </c>
      <c r="CB692" s="24" t="str">
        <f>IF(COUNTIF($W681:$Y681,Y692)&gt;0,Y692,"")</f>
        <v/>
      </c>
      <c r="CC692" s="24" t="str">
        <f t="array" ref="CC692">_xlfn.TEXTJOIN("",TRUE,IF(ISERROR(FIND(ROW($1:$168)-1,CA692&amp;CB692)),ROW($1:$168)-1,""))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92" s="22" t="str">
        <f t="shared" si="462"/>
        <v>中中中</v>
      </c>
      <c r="CE692" s="25" t="str">
        <f t="shared" si="456"/>
        <v>79</v>
      </c>
      <c r="CF692" s="26" t="str">
        <f t="array" ref="CF692">_xlfn.TEXTJOIN("",TRUE,IF(ISNUMBER(FIND(MID(CE682&amp;W682,ROW($1:$162),1),CE692&amp;W692)),MID(CE682&amp;W682,ROW($1:$162),1),""))</f>
        <v/>
      </c>
      <c r="CG692" s="27" t="str">
        <f t="array" ref="CG692">_xlfn.TEXTJOIN("",TRUE,IF(ISERROR(FIND(ROW($1:$168)-1,CE692&amp;CF692)),ROW($1:$168)-1,""))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692" s="28" t="str">
        <f t="shared" si="463"/>
        <v>邻孤孤</v>
      </c>
      <c r="CI692" s="29" t="str">
        <f t="shared" si="464"/>
        <v>02</v>
      </c>
      <c r="CJ692" s="29" t="str">
        <f t="array" ref="CJ692">_xlfn.TEXTJOIN("",TRUE,IF(ISNUMBER(FIND(MID(CI682&amp;X682,ROW($1:$162),1),CI692&amp;X692)),MID(CI682&amp;X682,ROW($1:$162),1),""))</f>
        <v>12</v>
      </c>
      <c r="CK692" s="29" t="str">
        <f t="array" ref="CK692">_xlfn.TEXTJOIN("",TRUE,IF(ISERROR(FIND(ROW($1:$168)-1,CI692&amp;CJ692)),ROW($1:$168)-1,""))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92" s="19" t="str">
        <f t="shared" si="465"/>
        <v>邻传孤</v>
      </c>
      <c r="CM692" s="24" t="str">
        <f t="shared" si="466"/>
        <v>80</v>
      </c>
      <c r="CN692" s="24" t="str">
        <f t="array" ref="CN692">_xlfn.TEXTJOIN("",TRUE,IF(ISNUMBER(FIND(MID(CM682&amp;Y682,ROW($1:$162),1),CM692&amp;Y692)),MID(CM682&amp;Y682,ROW($1:$162),1),""))</f>
        <v/>
      </c>
      <c r="CO692" s="24" t="str">
        <f t="array" ref="CO692">_xlfn.TEXTJOIN("",TRUE,IF(ISERROR(FIND(ROW($1:$168)-1,CM692&amp;CN692)),ROW($1:$168)-1,""))</f>
        <v>123456791011121314151617181920212223242526272829303132333435363738394041424344454647484950515253545556575859606162636465666768697071727374757677787981828384858687888990919293949596979899100101102103104105106107108109110111112113114115116117118119120121122123124125126127128129130131132133134135136137138139140141142143144145146147148149150151152153154155156157158159160161162163164165166167</v>
      </c>
      <c r="CP692" s="30" t="str">
        <f t="shared" si="467"/>
        <v>邻孤孤</v>
      </c>
    </row>
    <row r="693" s="2" customFormat="1" ht="13" customHeight="1" spans="1:94">
      <c r="A693" s="2">
        <v>692</v>
      </c>
      <c r="B693" s="80" t="s">
        <v>530</v>
      </c>
      <c r="C693" s="8" t="s">
        <v>35</v>
      </c>
      <c r="D693" s="96">
        <f t="shared" si="471"/>
        <v>16</v>
      </c>
      <c r="E693" s="97">
        <f t="shared" si="472"/>
        <v>6</v>
      </c>
      <c r="F693" s="83">
        <f t="shared" si="435"/>
        <v>2</v>
      </c>
      <c r="G693" s="84" t="str">
        <f t="shared" si="436"/>
        <v>标准</v>
      </c>
      <c r="H693" s="85" t="s">
        <v>10</v>
      </c>
      <c r="I693" s="85" t="s">
        <v>11</v>
      </c>
      <c r="J693" s="85" t="s">
        <v>12</v>
      </c>
      <c r="K693" s="85" t="s">
        <v>13</v>
      </c>
      <c r="L693" s="98">
        <f>MAX(MID(C693,{1,2,3},1)*1)-MIN(MID(C693,{1,2,3},1)*1)</f>
        <v>8</v>
      </c>
      <c r="M693" s="87">
        <v>0</v>
      </c>
      <c r="N693" s="87">
        <v>1</v>
      </c>
      <c r="O693" s="87">
        <v>2</v>
      </c>
      <c r="P693" s="87">
        <v>3</v>
      </c>
      <c r="Q693" s="87">
        <v>4</v>
      </c>
      <c r="R693" s="87">
        <v>5</v>
      </c>
      <c r="S693" s="87">
        <v>6</v>
      </c>
      <c r="T693" s="87">
        <v>7</v>
      </c>
      <c r="U693" s="87">
        <v>8</v>
      </c>
      <c r="V693" s="87">
        <v>9</v>
      </c>
      <c r="W693" s="99">
        <f t="shared" si="473"/>
        <v>5</v>
      </c>
      <c r="X693" s="99">
        <f t="shared" si="474"/>
        <v>8</v>
      </c>
      <c r="Y693" s="99">
        <f t="shared" si="475"/>
        <v>3</v>
      </c>
      <c r="Z693" s="89">
        <f t="shared" si="454"/>
        <v>16</v>
      </c>
      <c r="AA693" s="100" t="str">
        <f>_xlfn.TEXTJOIN(", ",TRUE,ABS(MID(C693,{1,1,2},1)-MID(C693,{2,3,3},1)))</f>
        <v>5, 8, 3</v>
      </c>
      <c r="AB693" s="101">
        <v>0</v>
      </c>
      <c r="AC693" s="101">
        <v>1</v>
      </c>
      <c r="AD693" s="101">
        <v>2</v>
      </c>
      <c r="AE693" s="101">
        <v>3</v>
      </c>
      <c r="AF693" s="101">
        <v>4</v>
      </c>
      <c r="AG693" s="101">
        <v>5</v>
      </c>
      <c r="AH693" s="101">
        <v>6</v>
      </c>
      <c r="AI693" s="101">
        <v>7</v>
      </c>
      <c r="AJ693" s="101">
        <v>8</v>
      </c>
      <c r="AK693" s="101">
        <v>9</v>
      </c>
      <c r="AL693" s="91">
        <v>0</v>
      </c>
      <c r="AM693" s="91">
        <v>1</v>
      </c>
      <c r="AN693" s="91">
        <v>2</v>
      </c>
      <c r="AO693" s="91">
        <v>3</v>
      </c>
      <c r="AP693" s="91">
        <v>4</v>
      </c>
      <c r="AQ693" s="91">
        <v>5</v>
      </c>
      <c r="AR693" s="91">
        <v>6</v>
      </c>
      <c r="AS693" s="91">
        <v>7</v>
      </c>
      <c r="AT693" s="91">
        <v>8</v>
      </c>
      <c r="AU693" s="91">
        <v>9</v>
      </c>
      <c r="AV693" s="102">
        <v>0</v>
      </c>
      <c r="AW693" s="102">
        <v>1</v>
      </c>
      <c r="AX693" s="102">
        <v>2</v>
      </c>
      <c r="AY693" s="102">
        <v>3</v>
      </c>
      <c r="AZ693" s="102">
        <v>4</v>
      </c>
      <c r="BA693" s="102">
        <v>5</v>
      </c>
      <c r="BB693" s="102">
        <v>6</v>
      </c>
      <c r="BC693" s="102">
        <v>7</v>
      </c>
      <c r="BD693" s="102">
        <v>8</v>
      </c>
      <c r="BE693" s="102">
        <v>9</v>
      </c>
      <c r="BF693" s="103">
        <v>0</v>
      </c>
      <c r="BG693" s="103">
        <v>1</v>
      </c>
      <c r="BH693" s="103">
        <v>2</v>
      </c>
      <c r="BI693" s="103">
        <v>3</v>
      </c>
      <c r="BJ693" s="103">
        <v>4</v>
      </c>
      <c r="BK693" s="103">
        <v>5</v>
      </c>
      <c r="BL693" s="103">
        <v>6</v>
      </c>
      <c r="BM693" s="103">
        <v>7</v>
      </c>
      <c r="BN693" s="103">
        <v>8</v>
      </c>
      <c r="BO693" s="103">
        <v>9</v>
      </c>
      <c r="BP693" s="94" t="str">
        <f t="shared" si="455"/>
        <v>松散型</v>
      </c>
      <c r="BQ693" s="15">
        <f t="shared" si="476"/>
        <v>3</v>
      </c>
      <c r="BR693" s="15">
        <f t="shared" si="477"/>
        <v>8</v>
      </c>
      <c r="BS693" s="20">
        <f>IF(COUNTIF($W682:$Y682,W693)&gt;0,W693,"")</f>
        <v>5</v>
      </c>
      <c r="BT693" s="21" t="str">
        <f>IF(COUNTIF($W681:$Y681,W693)&gt;0,W693,"")</f>
        <v/>
      </c>
      <c r="BU693" s="21" t="str">
        <f t="array" ref="BU693">_xlfn.TEXTJOIN("",TRUE,IF(ISERROR(FIND(ROW($1:$168)-1,BS693&amp;BT693)),ROW($1:$168)-1,""))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93" s="22" t="str">
        <f t="shared" si="459"/>
        <v>复中中</v>
      </c>
      <c r="BW693" s="23" t="str">
        <f>IF(COUNTIF($W682:$Y682,X693)&gt;0,X693,"")</f>
        <v/>
      </c>
      <c r="BX693" s="23" t="str">
        <f>IF(COUNTIF($W681:$Y681,X693)&gt;0,X693,"")</f>
        <v/>
      </c>
      <c r="BY693" s="23" t="str">
        <f t="array" ref="BY693">_xlfn.TEXTJOIN("",TRUE,IF(ISERROR(FIND(ROW($1:$168)-1,BW693&amp;BX693)),ROW($1:$168)-1,""))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93" s="22" t="str">
        <f t="shared" si="460"/>
        <v>中中中</v>
      </c>
      <c r="CA693" s="24">
        <f>IF(COUNTIF($W682:$Y682,Y693)&gt;0,Y693,"")</f>
        <v>3</v>
      </c>
      <c r="CB693" s="24" t="str">
        <f>IF(COUNTIF($W681:$Y681,Y693)&gt;0,Y693,"")</f>
        <v/>
      </c>
      <c r="CC693" s="24" t="str">
        <f t="array" ref="CC693">_xlfn.TEXTJOIN("",TRUE,IF(ISERROR(FIND(ROW($1:$168)-1,CA693&amp;CB693)),ROW($1:$168)-1,""))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93" s="22" t="str">
        <f t="shared" si="462"/>
        <v>复中中</v>
      </c>
      <c r="CE693" s="25" t="str">
        <f t="shared" si="456"/>
        <v>46</v>
      </c>
      <c r="CF693" s="26" t="str">
        <f t="array" ref="CF693">_xlfn.TEXTJOIN("",TRUE,IF(ISNUMBER(FIND(MID(CE682&amp;W682,ROW($1:$162),1),CE693&amp;W693)),MID(CE682&amp;W682,ROW($1:$162),1),""))</f>
        <v>465</v>
      </c>
      <c r="CG693" s="27" t="str">
        <f t="array" ref="CG693">_xlfn.TEXTJOIN("",TRUE,IF(ISERROR(FIND(ROW($1:$168)-1,CE693&amp;CF693)),ROW($1:$168)-1,""))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93" s="28" t="str">
        <f t="shared" si="463"/>
        <v>邻传孤</v>
      </c>
      <c r="CI693" s="29" t="str">
        <f t="shared" si="464"/>
        <v>79</v>
      </c>
      <c r="CJ693" s="29" t="str">
        <f t="array" ref="CJ693">_xlfn.TEXTJOIN("",TRUE,IF(ISNUMBER(FIND(MID(CI682&amp;X682,ROW($1:$162),1),CI693&amp;X693)),MID(CI682&amp;X682,ROW($1:$162),1),""))</f>
        <v/>
      </c>
      <c r="CK693" s="29" t="str">
        <f t="array" ref="CK693">_xlfn.TEXTJOIN("",TRUE,IF(ISERROR(FIND(ROW($1:$168)-1,CI693&amp;CJ693)),ROW($1:$168)-1,""))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L693" s="19" t="str">
        <f t="shared" si="465"/>
        <v>邻孤孤</v>
      </c>
      <c r="CM693" s="24" t="str">
        <f t="shared" si="466"/>
        <v>24</v>
      </c>
      <c r="CN693" s="24" t="str">
        <f t="array" ref="CN693">_xlfn.TEXTJOIN("",TRUE,IF(ISNUMBER(FIND(MID(CM682&amp;Y682,ROW($1:$162),1),CM693&amp;Y693)),MID(CM682&amp;Y682,ROW($1:$162),1),""))</f>
        <v>243</v>
      </c>
      <c r="CO693" s="24" t="str">
        <f t="array" ref="CO693">_xlfn.TEXTJOIN("",TRUE,IF(ISERROR(FIND(ROW($1:$168)-1,CM693&amp;CN693)),ROW($1:$168)-1,""))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93" s="30" t="str">
        <f t="shared" si="467"/>
        <v>邻传孤</v>
      </c>
    </row>
    <row r="694" s="2" customFormat="1" ht="13" customHeight="1" spans="1:94">
      <c r="A694" s="2">
        <v>692</v>
      </c>
      <c r="B694" s="80" t="s">
        <v>531</v>
      </c>
      <c r="C694" s="8" t="s">
        <v>183</v>
      </c>
      <c r="D694" s="96">
        <f t="shared" si="471"/>
        <v>10</v>
      </c>
      <c r="E694" s="97">
        <f t="shared" si="472"/>
        <v>0</v>
      </c>
      <c r="F694" s="83">
        <f t="shared" si="435"/>
        <v>1.66666666666667</v>
      </c>
      <c r="G694" s="84" t="str">
        <f t="shared" si="436"/>
        <v>松散</v>
      </c>
      <c r="H694" s="85" t="s">
        <v>10</v>
      </c>
      <c r="I694" s="85" t="s">
        <v>11</v>
      </c>
      <c r="J694" s="85" t="s">
        <v>12</v>
      </c>
      <c r="K694" s="85" t="s">
        <v>13</v>
      </c>
      <c r="L694" s="98">
        <f>MAX(MID(C694,{1,2,3},1)*1)-MIN(MID(C694,{1,2,3},1)*1)</f>
        <v>6</v>
      </c>
      <c r="M694" s="87">
        <v>0</v>
      </c>
      <c r="N694" s="87">
        <v>1</v>
      </c>
      <c r="O694" s="87">
        <v>2</v>
      </c>
      <c r="P694" s="87">
        <v>3</v>
      </c>
      <c r="Q694" s="87">
        <v>4</v>
      </c>
      <c r="R694" s="87">
        <v>5</v>
      </c>
      <c r="S694" s="87">
        <v>6</v>
      </c>
      <c r="T694" s="87">
        <v>7</v>
      </c>
      <c r="U694" s="87">
        <v>8</v>
      </c>
      <c r="V694" s="87">
        <v>9</v>
      </c>
      <c r="W694" s="99">
        <f t="shared" si="473"/>
        <v>2</v>
      </c>
      <c r="X694" s="99">
        <f t="shared" si="474"/>
        <v>6</v>
      </c>
      <c r="Y694" s="99">
        <f t="shared" si="475"/>
        <v>4</v>
      </c>
      <c r="Z694" s="89">
        <f t="shared" si="454"/>
        <v>12</v>
      </c>
      <c r="AA694" s="100" t="str">
        <f>_xlfn.TEXTJOIN(", ",TRUE,ABS(MID(C694,{1,1,2},1)-MID(C694,{2,3,3},1)))</f>
        <v>2, 6, 4</v>
      </c>
      <c r="AB694" s="101">
        <v>0</v>
      </c>
      <c r="AC694" s="101">
        <v>1</v>
      </c>
      <c r="AD694" s="101">
        <v>2</v>
      </c>
      <c r="AE694" s="101">
        <v>3</v>
      </c>
      <c r="AF694" s="101">
        <v>4</v>
      </c>
      <c r="AG694" s="101">
        <v>5</v>
      </c>
      <c r="AH694" s="101">
        <v>6</v>
      </c>
      <c r="AI694" s="101">
        <v>7</v>
      </c>
      <c r="AJ694" s="101">
        <v>8</v>
      </c>
      <c r="AK694" s="101">
        <v>9</v>
      </c>
      <c r="AL694" s="91">
        <v>0</v>
      </c>
      <c r="AM694" s="91">
        <v>1</v>
      </c>
      <c r="AN694" s="91">
        <v>2</v>
      </c>
      <c r="AO694" s="91">
        <v>3</v>
      </c>
      <c r="AP694" s="91">
        <v>4</v>
      </c>
      <c r="AQ694" s="91">
        <v>5</v>
      </c>
      <c r="AR694" s="91">
        <v>6</v>
      </c>
      <c r="AS694" s="91">
        <v>7</v>
      </c>
      <c r="AT694" s="91">
        <v>8</v>
      </c>
      <c r="AU694" s="91">
        <v>9</v>
      </c>
      <c r="AV694" s="102">
        <v>0</v>
      </c>
      <c r="AW694" s="102">
        <v>1</v>
      </c>
      <c r="AX694" s="102">
        <v>2</v>
      </c>
      <c r="AY694" s="102">
        <v>3</v>
      </c>
      <c r="AZ694" s="102">
        <v>4</v>
      </c>
      <c r="BA694" s="102">
        <v>5</v>
      </c>
      <c r="BB694" s="102">
        <v>6</v>
      </c>
      <c r="BC694" s="102">
        <v>7</v>
      </c>
      <c r="BD694" s="102">
        <v>8</v>
      </c>
      <c r="BE694" s="102">
        <v>9</v>
      </c>
      <c r="BF694" s="103">
        <v>0</v>
      </c>
      <c r="BG694" s="103">
        <v>1</v>
      </c>
      <c r="BH694" s="103">
        <v>2</v>
      </c>
      <c r="BI694" s="103">
        <v>3</v>
      </c>
      <c r="BJ694" s="103">
        <v>4</v>
      </c>
      <c r="BK694" s="103">
        <v>5</v>
      </c>
      <c r="BL694" s="103">
        <v>6</v>
      </c>
      <c r="BM694" s="103">
        <v>7</v>
      </c>
      <c r="BN694" s="103">
        <v>8</v>
      </c>
      <c r="BO694" s="103">
        <v>9</v>
      </c>
      <c r="BP694" s="94" t="str">
        <f t="shared" si="455"/>
        <v>松散型</v>
      </c>
      <c r="BQ694" s="15">
        <f t="shared" si="476"/>
        <v>2</v>
      </c>
      <c r="BR694" s="15">
        <f t="shared" si="477"/>
        <v>6</v>
      </c>
      <c r="BS694" s="20">
        <f>IF(COUNTIF($W682:$Y682,W694)&gt;0,W694,"")</f>
        <v>2</v>
      </c>
      <c r="BT694" s="21" t="str">
        <f>IF(COUNTIF($W681:$Y681,W694)&gt;0,W694,"")</f>
        <v/>
      </c>
      <c r="BU694" s="21" t="str">
        <f t="array" ref="BU694">_xlfn.TEXTJOIN("",TRUE,IF(ISERROR(FIND(ROW($1:$168)-1,BS694&amp;BT694)),ROW($1:$168)-1,""))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94" s="22" t="str">
        <f t="shared" si="459"/>
        <v>复中中</v>
      </c>
      <c r="BW694" s="23" t="str">
        <f>IF(COUNTIF($W682:$Y682,X694)&gt;0,X694,"")</f>
        <v/>
      </c>
      <c r="BX694" s="23" t="str">
        <f>IF(COUNTIF($W681:$Y681,X694)&gt;0,X694,"")</f>
        <v/>
      </c>
      <c r="BY694" s="23" t="str">
        <f t="array" ref="BY694">_xlfn.TEXTJOIN("",TRUE,IF(ISERROR(FIND(ROW($1:$168)-1,BW694&amp;BX694)),ROW($1:$168)-1,""))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94" s="22" t="str">
        <f t="shared" si="460"/>
        <v>中中中</v>
      </c>
      <c r="CA694" s="24" t="str">
        <f>IF(COUNTIF($W682:$Y682,Y694)&gt;0,Y694,"")</f>
        <v/>
      </c>
      <c r="CB694" s="24" t="str">
        <f>IF(COUNTIF($W681:$Y681,Y694)&gt;0,Y694,"")</f>
        <v/>
      </c>
      <c r="CC694" s="24" t="str">
        <f t="array" ref="CC694">_xlfn.TEXTJOIN("",TRUE,IF(ISERROR(FIND(ROW($1:$168)-1,CA694&amp;CB694)),ROW($1:$168)-1,""))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94" s="22" t="str">
        <f t="shared" si="462"/>
        <v>中中中</v>
      </c>
      <c r="CE694" s="25" t="str">
        <f t="shared" si="456"/>
        <v>13</v>
      </c>
      <c r="CF694" s="26" t="str">
        <f t="array" ref="CF694">_xlfn.TEXTJOIN("",TRUE,IF(ISNUMBER(FIND(MID(CE682&amp;W682,ROW($1:$162),1),CE694&amp;W694)),MID(CE682&amp;W682,ROW($1:$162),1),""))</f>
        <v/>
      </c>
      <c r="CG694" s="27" t="str">
        <f t="array" ref="CG694">_xlfn.TEXTJOIN("",TRUE,IF(ISERROR(FIND(ROW($1:$168)-1,CE694&amp;CF694)),ROW($1:$168)-1,""))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94" s="28" t="str">
        <f t="shared" si="463"/>
        <v>邻孤孤</v>
      </c>
      <c r="CI694" s="29" t="str">
        <f t="shared" si="464"/>
        <v>57</v>
      </c>
      <c r="CJ694" s="29" t="str">
        <f t="array" ref="CJ694">_xlfn.TEXTJOIN("",TRUE,IF(ISNUMBER(FIND(MID(CI682&amp;X682,ROW($1:$162),1),CI694&amp;X694)),MID(CI682&amp;X682,ROW($1:$162),1),""))</f>
        <v/>
      </c>
      <c r="CK694" s="29" t="str">
        <f t="array" ref="CK694">_xlfn.TEXTJOIN("",TRUE,IF(ISERROR(FIND(ROW($1:$168)-1,CI694&amp;CJ694)),ROW($1:$168)-1,""))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94" s="19" t="str">
        <f t="shared" si="465"/>
        <v>邻孤孤</v>
      </c>
      <c r="CM694" s="24" t="str">
        <f t="shared" si="466"/>
        <v>35</v>
      </c>
      <c r="CN694" s="24" t="str">
        <f t="array" ref="CN694">_xlfn.TEXTJOIN("",TRUE,IF(ISNUMBER(FIND(MID(CM682&amp;Y682,ROW($1:$162),1),CM694&amp;Y694)),MID(CM682&amp;Y682,ROW($1:$162),1),""))</f>
        <v>43</v>
      </c>
      <c r="CO694" s="24" t="str">
        <f t="array" ref="CO694">_xlfn.TEXTJOIN("",TRUE,IF(ISERROR(FIND(ROW($1:$168)-1,CM694&amp;CN694)),ROW($1:$168)-1,""))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94" s="30" t="str">
        <f t="shared" si="467"/>
        <v>邻传孤</v>
      </c>
    </row>
    <row r="695" s="2" customFormat="1" ht="13" customHeight="1" spans="1:94">
      <c r="A695" s="2">
        <v>692</v>
      </c>
      <c r="B695" s="80" t="s">
        <v>532</v>
      </c>
      <c r="C695" s="8" t="s">
        <v>425</v>
      </c>
      <c r="D695" s="96">
        <f t="shared" si="471"/>
        <v>23</v>
      </c>
      <c r="E695" s="97">
        <f t="shared" si="472"/>
        <v>3</v>
      </c>
      <c r="F695" s="83">
        <f t="shared" si="435"/>
        <v>7.66666666666667</v>
      </c>
      <c r="G695" s="84" t="str">
        <f t="shared" si="436"/>
        <v>紧凑</v>
      </c>
      <c r="H695" s="85" t="s">
        <v>10</v>
      </c>
      <c r="I695" s="85" t="s">
        <v>11</v>
      </c>
      <c r="J695" s="85" t="s">
        <v>12</v>
      </c>
      <c r="K695" s="85" t="s">
        <v>13</v>
      </c>
      <c r="L695" s="98">
        <f>MAX(MID(C695,{1,2,3},1)*1)-MIN(MID(C695,{1,2,3},1)*1)</f>
        <v>3</v>
      </c>
      <c r="M695" s="87">
        <v>0</v>
      </c>
      <c r="N695" s="87">
        <v>1</v>
      </c>
      <c r="O695" s="87">
        <v>2</v>
      </c>
      <c r="P695" s="87">
        <v>3</v>
      </c>
      <c r="Q695" s="87">
        <v>4</v>
      </c>
      <c r="R695" s="87">
        <v>5</v>
      </c>
      <c r="S695" s="87">
        <v>6</v>
      </c>
      <c r="T695" s="87">
        <v>7</v>
      </c>
      <c r="U695" s="87">
        <v>8</v>
      </c>
      <c r="V695" s="87">
        <v>9</v>
      </c>
      <c r="W695" s="99">
        <f t="shared" si="473"/>
        <v>2</v>
      </c>
      <c r="X695" s="99">
        <f t="shared" si="474"/>
        <v>3</v>
      </c>
      <c r="Y695" s="99">
        <f t="shared" si="475"/>
        <v>1</v>
      </c>
      <c r="Z695" s="89">
        <f t="shared" si="454"/>
        <v>6</v>
      </c>
      <c r="AA695" s="100" t="str">
        <f>_xlfn.TEXTJOIN(", ",TRUE,ABS(MID(C695,{1,1,2},1)-MID(C695,{2,3,3},1)))</f>
        <v>2, 3, 1</v>
      </c>
      <c r="AB695" s="101">
        <v>0</v>
      </c>
      <c r="AC695" s="101">
        <v>1</v>
      </c>
      <c r="AD695" s="101">
        <v>2</v>
      </c>
      <c r="AE695" s="101">
        <v>3</v>
      </c>
      <c r="AF695" s="101">
        <v>4</v>
      </c>
      <c r="AG695" s="101">
        <v>5</v>
      </c>
      <c r="AH695" s="101">
        <v>6</v>
      </c>
      <c r="AI695" s="101">
        <v>7</v>
      </c>
      <c r="AJ695" s="101">
        <v>8</v>
      </c>
      <c r="AK695" s="101">
        <v>9</v>
      </c>
      <c r="AL695" s="91">
        <v>0</v>
      </c>
      <c r="AM695" s="91">
        <v>1</v>
      </c>
      <c r="AN695" s="91">
        <v>2</v>
      </c>
      <c r="AO695" s="91">
        <v>3</v>
      </c>
      <c r="AP695" s="91">
        <v>4</v>
      </c>
      <c r="AQ695" s="91">
        <v>5</v>
      </c>
      <c r="AR695" s="91">
        <v>6</v>
      </c>
      <c r="AS695" s="91">
        <v>7</v>
      </c>
      <c r="AT695" s="91">
        <v>8</v>
      </c>
      <c r="AU695" s="91">
        <v>9</v>
      </c>
      <c r="AV695" s="102">
        <v>0</v>
      </c>
      <c r="AW695" s="102">
        <v>1</v>
      </c>
      <c r="AX695" s="102">
        <v>2</v>
      </c>
      <c r="AY695" s="102">
        <v>3</v>
      </c>
      <c r="AZ695" s="102">
        <v>4</v>
      </c>
      <c r="BA695" s="102">
        <v>5</v>
      </c>
      <c r="BB695" s="102">
        <v>6</v>
      </c>
      <c r="BC695" s="102">
        <v>7</v>
      </c>
      <c r="BD695" s="102">
        <v>8</v>
      </c>
      <c r="BE695" s="102">
        <v>9</v>
      </c>
      <c r="BF695" s="103">
        <v>0</v>
      </c>
      <c r="BG695" s="103">
        <v>1</v>
      </c>
      <c r="BH695" s="103">
        <v>2</v>
      </c>
      <c r="BI695" s="103">
        <v>3</v>
      </c>
      <c r="BJ695" s="103">
        <v>4</v>
      </c>
      <c r="BK695" s="103">
        <v>5</v>
      </c>
      <c r="BL695" s="103">
        <v>6</v>
      </c>
      <c r="BM695" s="103">
        <v>7</v>
      </c>
      <c r="BN695" s="103">
        <v>8</v>
      </c>
      <c r="BO695" s="103">
        <v>9</v>
      </c>
      <c r="BP695" s="94" t="str">
        <f t="shared" si="455"/>
        <v>紧凑型</v>
      </c>
      <c r="BQ695" s="15">
        <f t="shared" si="476"/>
        <v>1</v>
      </c>
      <c r="BR695" s="15">
        <f t="shared" si="477"/>
        <v>3</v>
      </c>
      <c r="BS695" s="20">
        <f>IF(COUNTIF($W682:$Y682,W695)&gt;0,W695,"")</f>
        <v>2</v>
      </c>
      <c r="BT695" s="21" t="str">
        <f>IF(COUNTIF($W681:$Y681,W695)&gt;0,W695,"")</f>
        <v/>
      </c>
      <c r="BU695" s="21" t="str">
        <f t="array" ref="BU695">_xlfn.TEXTJOIN("",TRUE,IF(ISERROR(FIND(ROW($1:$168)-1,BS695&amp;BT695)),ROW($1:$168)-1,""))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95" s="22" t="str">
        <f t="shared" si="459"/>
        <v>复中中</v>
      </c>
      <c r="BW695" s="23">
        <f>IF(COUNTIF($W682:$Y682,X695)&gt;0,X695,"")</f>
        <v>3</v>
      </c>
      <c r="BX695" s="23" t="str">
        <f>IF(COUNTIF($W681:$Y681,X695)&gt;0,X695,"")</f>
        <v/>
      </c>
      <c r="BY695" s="23" t="str">
        <f t="array" ref="BY695">_xlfn.TEXTJOIN("",TRUE,IF(ISERROR(FIND(ROW($1:$168)-1,BW695&amp;BX695)),ROW($1:$168)-1,""))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95" s="22" t="str">
        <f t="shared" si="460"/>
        <v>复中中</v>
      </c>
      <c r="CA695" s="24" t="str">
        <f>IF(COUNTIF($W682:$Y682,Y695)&gt;0,Y695,"")</f>
        <v/>
      </c>
      <c r="CB695" s="24">
        <f>IF(COUNTIF($W681:$Y681,Y695)&gt;0,Y695,"")</f>
        <v>1</v>
      </c>
      <c r="CC695" s="24" t="str">
        <f t="array" ref="CC695">_xlfn.TEXTJOIN("",TRUE,IF(ISERROR(FIND(ROW($1:$168)-1,CA695&amp;CB695)),ROW($1:$168)-1,""))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95" s="22" t="str">
        <f t="shared" si="462"/>
        <v>中隔中</v>
      </c>
      <c r="CE695" s="25" t="str">
        <f t="shared" si="456"/>
        <v>13</v>
      </c>
      <c r="CF695" s="26" t="str">
        <f t="array" ref="CF695">_xlfn.TEXTJOIN("",TRUE,IF(ISNUMBER(FIND(MID(CE682&amp;W682,ROW($1:$162),1),CE695&amp;W695)),MID(CE682&amp;W682,ROW($1:$162),1),""))</f>
        <v/>
      </c>
      <c r="CG695" s="27" t="str">
        <f t="array" ref="CG695">_xlfn.TEXTJOIN("",TRUE,IF(ISERROR(FIND(ROW($1:$168)-1,CE695&amp;CF695)),ROW($1:$168)-1,""))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95" s="28" t="str">
        <f t="shared" si="463"/>
        <v>邻孤孤</v>
      </c>
      <c r="CI695" s="29" t="str">
        <f t="shared" si="464"/>
        <v>24</v>
      </c>
      <c r="CJ695" s="29" t="str">
        <f t="array" ref="CJ695">_xlfn.TEXTJOIN("",TRUE,IF(ISNUMBER(FIND(MID(CI682&amp;X682,ROW($1:$162),1),CI695&amp;X695)),MID(CI682&amp;X682,ROW($1:$162),1),""))</f>
        <v>32</v>
      </c>
      <c r="CK695" s="29" t="str">
        <f t="array" ref="CK695">_xlfn.TEXTJOIN("",TRUE,IF(ISERROR(FIND(ROW($1:$168)-1,CI695&amp;CJ695)),ROW($1:$168)-1,""))</f>
        <v>015678910111213141516171819202122232526272829303133343536373839404142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695" s="19" t="str">
        <f t="shared" si="465"/>
        <v>邻传孤</v>
      </c>
      <c r="CM695" s="24" t="str">
        <f t="shared" si="466"/>
        <v>02</v>
      </c>
      <c r="CN695" s="24" t="str">
        <f t="array" ref="CN695">_xlfn.TEXTJOIN("",TRUE,IF(ISNUMBER(FIND(MID(CM682&amp;Y682,ROW($1:$162),1),CM695&amp;Y695)),MID(CM682&amp;Y682,ROW($1:$162),1),""))</f>
        <v>2</v>
      </c>
      <c r="CO695" s="24" t="str">
        <f t="array" ref="CO695">_xlfn.TEXTJOIN("",TRUE,IF(ISERROR(FIND(ROW($1:$168)-1,CM695&amp;CN695)),ROW($1:$168)-1,""))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95" s="30" t="str">
        <f t="shared" si="467"/>
        <v>邻传孤</v>
      </c>
    </row>
    <row r="696" s="2" customFormat="1" ht="13" customHeight="1" spans="1:94">
      <c r="A696" s="2">
        <v>692</v>
      </c>
      <c r="B696" s="80" t="s">
        <v>533</v>
      </c>
      <c r="C696" s="8" t="s">
        <v>534</v>
      </c>
      <c r="D696" s="96">
        <f t="shared" si="471"/>
        <v>14</v>
      </c>
      <c r="E696" s="97">
        <f t="shared" si="472"/>
        <v>4</v>
      </c>
      <c r="F696" s="83">
        <f t="shared" si="435"/>
        <v>7</v>
      </c>
      <c r="G696" s="84" t="str">
        <f t="shared" si="436"/>
        <v>紧凑</v>
      </c>
      <c r="H696" s="85" t="s">
        <v>10</v>
      </c>
      <c r="I696" s="85" t="s">
        <v>11</v>
      </c>
      <c r="J696" s="85" t="s">
        <v>12</v>
      </c>
      <c r="K696" s="85" t="s">
        <v>13</v>
      </c>
      <c r="L696" s="98">
        <f>MAX(MID(C696,{1,2,3},1)*1)-MIN(MID(C696,{1,2,3},1)*1)</f>
        <v>2</v>
      </c>
      <c r="M696" s="87">
        <v>0</v>
      </c>
      <c r="N696" s="87">
        <v>1</v>
      </c>
      <c r="O696" s="87">
        <v>2</v>
      </c>
      <c r="P696" s="87">
        <v>3</v>
      </c>
      <c r="Q696" s="87">
        <v>4</v>
      </c>
      <c r="R696" s="87">
        <v>5</v>
      </c>
      <c r="S696" s="87">
        <v>6</v>
      </c>
      <c r="T696" s="87">
        <v>7</v>
      </c>
      <c r="U696" s="87">
        <v>8</v>
      </c>
      <c r="V696" s="87">
        <v>9</v>
      </c>
      <c r="W696" s="99">
        <f t="shared" si="473"/>
        <v>2</v>
      </c>
      <c r="X696" s="99">
        <f t="shared" si="474"/>
        <v>2</v>
      </c>
      <c r="Y696" s="99">
        <f t="shared" si="475"/>
        <v>0</v>
      </c>
      <c r="Z696" s="89">
        <f t="shared" si="454"/>
        <v>4</v>
      </c>
      <c r="AA696" s="100" t="str">
        <f>_xlfn.TEXTJOIN(", ",TRUE,ABS(MID(C696,{1,1,2},1)-MID(C696,{2,3,3},1)))</f>
        <v>2, 2, 0</v>
      </c>
      <c r="AB696" s="101">
        <v>0</v>
      </c>
      <c r="AC696" s="101">
        <v>1</v>
      </c>
      <c r="AD696" s="101">
        <v>2</v>
      </c>
      <c r="AE696" s="101">
        <v>3</v>
      </c>
      <c r="AF696" s="101">
        <v>4</v>
      </c>
      <c r="AG696" s="101">
        <v>5</v>
      </c>
      <c r="AH696" s="101">
        <v>6</v>
      </c>
      <c r="AI696" s="101">
        <v>7</v>
      </c>
      <c r="AJ696" s="101">
        <v>8</v>
      </c>
      <c r="AK696" s="101">
        <v>9</v>
      </c>
      <c r="AL696" s="91">
        <v>0</v>
      </c>
      <c r="AM696" s="91">
        <v>1</v>
      </c>
      <c r="AN696" s="91">
        <v>2</v>
      </c>
      <c r="AO696" s="91">
        <v>3</v>
      </c>
      <c r="AP696" s="91">
        <v>4</v>
      </c>
      <c r="AQ696" s="91">
        <v>5</v>
      </c>
      <c r="AR696" s="91">
        <v>6</v>
      </c>
      <c r="AS696" s="91">
        <v>7</v>
      </c>
      <c r="AT696" s="91">
        <v>8</v>
      </c>
      <c r="AU696" s="91">
        <v>9</v>
      </c>
      <c r="AV696" s="102">
        <v>0</v>
      </c>
      <c r="AW696" s="102">
        <v>1</v>
      </c>
      <c r="AX696" s="102">
        <v>2</v>
      </c>
      <c r="AY696" s="102">
        <v>3</v>
      </c>
      <c r="AZ696" s="102">
        <v>4</v>
      </c>
      <c r="BA696" s="102">
        <v>5</v>
      </c>
      <c r="BB696" s="102">
        <v>6</v>
      </c>
      <c r="BC696" s="102">
        <v>7</v>
      </c>
      <c r="BD696" s="102">
        <v>8</v>
      </c>
      <c r="BE696" s="102">
        <v>9</v>
      </c>
      <c r="BF696" s="103">
        <v>0</v>
      </c>
      <c r="BG696" s="103">
        <v>1</v>
      </c>
      <c r="BH696" s="103">
        <v>2</v>
      </c>
      <c r="BI696" s="103">
        <v>3</v>
      </c>
      <c r="BJ696" s="103">
        <v>4</v>
      </c>
      <c r="BK696" s="103">
        <v>5</v>
      </c>
      <c r="BL696" s="103">
        <v>6</v>
      </c>
      <c r="BM696" s="103">
        <v>7</v>
      </c>
      <c r="BN696" s="103">
        <v>8</v>
      </c>
      <c r="BO696" s="103">
        <v>9</v>
      </c>
      <c r="BP696" s="94" t="str">
        <f t="shared" si="455"/>
        <v>紧凑型</v>
      </c>
      <c r="BQ696" s="15">
        <f t="shared" si="476"/>
        <v>0</v>
      </c>
      <c r="BR696" s="15">
        <f t="shared" si="477"/>
        <v>2</v>
      </c>
      <c r="BS696" s="20">
        <f>IF(COUNTIF($W682:$Y682,W696)&gt;0,W696,"")</f>
        <v>2</v>
      </c>
      <c r="BT696" s="21" t="str">
        <f>IF(COUNTIF($W681:$Y681,W696)&gt;0,W696,"")</f>
        <v/>
      </c>
      <c r="BU696" s="21" t="str">
        <f t="array" ref="BU696">_xlfn.TEXTJOIN("",TRUE,IF(ISERROR(FIND(ROW($1:$168)-1,BS696&amp;BT696)),ROW($1:$168)-1,""))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96" s="22" t="str">
        <f t="shared" si="459"/>
        <v>复中中</v>
      </c>
      <c r="BW696" s="23">
        <f>IF(COUNTIF($W682:$Y682,X696)&gt;0,X696,"")</f>
        <v>2</v>
      </c>
      <c r="BX696" s="23" t="str">
        <f>IF(COUNTIF($W681:$Y681,X696)&gt;0,X696,"")</f>
        <v/>
      </c>
      <c r="BY696" s="23" t="str">
        <f t="array" ref="BY696">_xlfn.TEXTJOIN("",TRUE,IF(ISERROR(FIND(ROW($1:$168)-1,BW696&amp;BX696)),ROW($1:$168)-1,""))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96" s="22" t="str">
        <f t="shared" si="460"/>
        <v>复中中</v>
      </c>
      <c r="CA696" s="24" t="str">
        <f>IF(COUNTIF($W682:$Y682,Y696)&gt;0,Y696,"")</f>
        <v/>
      </c>
      <c r="CB696" s="24">
        <f>IF(COUNTIF($W681:$Y681,Y696)&gt;0,Y696,"")</f>
        <v>0</v>
      </c>
      <c r="CC696" s="24" t="str">
        <f t="array" ref="CC696">_xlfn.TEXTJOIN("",TRUE,IF(ISERROR(FIND(ROW($1:$168)-1,CA696&amp;CB696)),ROW($1:$168)-1,""))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96" s="22" t="str">
        <f t="shared" si="462"/>
        <v>中隔中</v>
      </c>
      <c r="CE696" s="25" t="str">
        <f t="shared" si="456"/>
        <v>13</v>
      </c>
      <c r="CF696" s="26" t="str">
        <f t="array" ref="CF696">_xlfn.TEXTJOIN("",TRUE,IF(ISNUMBER(FIND(MID(CE682&amp;W682,ROW($1:$162),1),CE696&amp;W696)),MID(CE682&amp;W682,ROW($1:$162),1),""))</f>
        <v/>
      </c>
      <c r="CG696" s="27" t="str">
        <f t="array" ref="CG696">_xlfn.TEXTJOIN("",TRUE,IF(ISERROR(FIND(ROW($1:$168)-1,CE696&amp;CF696)),ROW($1:$168)-1,""))</f>
        <v>02456789101112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96" s="28" t="str">
        <f t="shared" si="463"/>
        <v>邻孤孤</v>
      </c>
      <c r="CI696" s="29" t="str">
        <f t="shared" si="464"/>
        <v>13</v>
      </c>
      <c r="CJ696" s="29" t="str">
        <f t="array" ref="CJ696">_xlfn.TEXTJOIN("",TRUE,IF(ISNUMBER(FIND(MID(CI682&amp;X682,ROW($1:$162),1),CI696&amp;X696)),MID(CI682&amp;X682,ROW($1:$162),1),""))</f>
        <v>132</v>
      </c>
      <c r="CK696" s="29" t="str">
        <f t="array" ref="CK696">_xlfn.TEXTJOIN("",TRUE,IF(ISERROR(FIND(ROW($1:$168)-1,CI696&amp;CJ696)),ROW($1:$168)-1,""))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696" s="19" t="str">
        <f t="shared" si="465"/>
        <v>邻传孤</v>
      </c>
      <c r="CM696" s="24" t="str">
        <f t="shared" si="466"/>
        <v>91</v>
      </c>
      <c r="CN696" s="24" t="str">
        <f t="array" ref="CN696">_xlfn.TEXTJOIN("",TRUE,IF(ISNUMBER(FIND(MID(CM682&amp;Y682,ROW($1:$162),1),CM696&amp;Y696)),MID(CM682&amp;Y682,ROW($1:$162),1),""))</f>
        <v/>
      </c>
      <c r="CO696" s="24" t="str">
        <f t="array" ref="CO696">_xlfn.TEXTJOIN("",TRUE,IF(ISERROR(FIND(ROW($1:$168)-1,CM696&amp;CN696)),ROW($1:$168)-1,""))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P696" s="30" t="str">
        <f t="shared" si="467"/>
        <v>邻孤孤</v>
      </c>
    </row>
    <row r="697" s="2" customFormat="1" ht="13" customHeight="1" spans="1:94">
      <c r="A697" s="2">
        <v>692</v>
      </c>
      <c r="B697" s="80" t="s">
        <v>535</v>
      </c>
      <c r="C697" s="8" t="s">
        <v>536</v>
      </c>
      <c r="D697" s="96">
        <f t="shared" si="471"/>
        <v>17</v>
      </c>
      <c r="E697" s="97">
        <f t="shared" si="472"/>
        <v>7</v>
      </c>
      <c r="F697" s="83">
        <f t="shared" si="435"/>
        <v>2.125</v>
      </c>
      <c r="G697" s="84" t="str">
        <f t="shared" si="436"/>
        <v>标准</v>
      </c>
      <c r="H697" s="85" t="s">
        <v>10</v>
      </c>
      <c r="I697" s="85" t="s">
        <v>11</v>
      </c>
      <c r="J697" s="85" t="s">
        <v>12</v>
      </c>
      <c r="K697" s="85" t="s">
        <v>13</v>
      </c>
      <c r="L697" s="98">
        <f>MAX(MID(C697,{1,2,3},1)*1)-MIN(MID(C697,{1,2,3},1)*1)</f>
        <v>8</v>
      </c>
      <c r="M697" s="87">
        <v>0</v>
      </c>
      <c r="N697" s="87">
        <v>1</v>
      </c>
      <c r="O697" s="87">
        <v>2</v>
      </c>
      <c r="P697" s="87">
        <v>3</v>
      </c>
      <c r="Q697" s="87">
        <v>4</v>
      </c>
      <c r="R697" s="87">
        <v>5</v>
      </c>
      <c r="S697" s="87">
        <v>6</v>
      </c>
      <c r="T697" s="87">
        <v>7</v>
      </c>
      <c r="U697" s="87">
        <v>8</v>
      </c>
      <c r="V697" s="87">
        <v>9</v>
      </c>
      <c r="W697" s="99">
        <f t="shared" si="473"/>
        <v>8</v>
      </c>
      <c r="X697" s="99">
        <f t="shared" si="474"/>
        <v>2</v>
      </c>
      <c r="Y697" s="99">
        <f t="shared" si="475"/>
        <v>6</v>
      </c>
      <c r="Z697" s="89">
        <f t="shared" si="454"/>
        <v>16</v>
      </c>
      <c r="AA697" s="100" t="str">
        <f>_xlfn.TEXTJOIN(", ",TRUE,ABS(MID(C697,{1,1,2},1)-MID(C697,{2,3,3},1)))</f>
        <v>8, 2, 6</v>
      </c>
      <c r="AB697" s="101">
        <v>0</v>
      </c>
      <c r="AC697" s="101">
        <v>1</v>
      </c>
      <c r="AD697" s="101">
        <v>2</v>
      </c>
      <c r="AE697" s="101">
        <v>3</v>
      </c>
      <c r="AF697" s="101">
        <v>4</v>
      </c>
      <c r="AG697" s="101">
        <v>5</v>
      </c>
      <c r="AH697" s="101">
        <v>6</v>
      </c>
      <c r="AI697" s="101">
        <v>7</v>
      </c>
      <c r="AJ697" s="101">
        <v>8</v>
      </c>
      <c r="AK697" s="101">
        <v>9</v>
      </c>
      <c r="AL697" s="91">
        <v>0</v>
      </c>
      <c r="AM697" s="91">
        <v>1</v>
      </c>
      <c r="AN697" s="91">
        <v>2</v>
      </c>
      <c r="AO697" s="91">
        <v>3</v>
      </c>
      <c r="AP697" s="91">
        <v>4</v>
      </c>
      <c r="AQ697" s="91">
        <v>5</v>
      </c>
      <c r="AR697" s="91">
        <v>6</v>
      </c>
      <c r="AS697" s="91">
        <v>7</v>
      </c>
      <c r="AT697" s="91">
        <v>8</v>
      </c>
      <c r="AU697" s="91">
        <v>9</v>
      </c>
      <c r="AV697" s="102">
        <v>0</v>
      </c>
      <c r="AW697" s="102">
        <v>1</v>
      </c>
      <c r="AX697" s="102">
        <v>2</v>
      </c>
      <c r="AY697" s="102">
        <v>3</v>
      </c>
      <c r="AZ697" s="102">
        <v>4</v>
      </c>
      <c r="BA697" s="102">
        <v>5</v>
      </c>
      <c r="BB697" s="102">
        <v>6</v>
      </c>
      <c r="BC697" s="102">
        <v>7</v>
      </c>
      <c r="BD697" s="102">
        <v>8</v>
      </c>
      <c r="BE697" s="102">
        <v>9</v>
      </c>
      <c r="BF697" s="103">
        <v>0</v>
      </c>
      <c r="BG697" s="103">
        <v>1</v>
      </c>
      <c r="BH697" s="103">
        <v>2</v>
      </c>
      <c r="BI697" s="103">
        <v>3</v>
      </c>
      <c r="BJ697" s="103">
        <v>4</v>
      </c>
      <c r="BK697" s="103">
        <v>5</v>
      </c>
      <c r="BL697" s="103">
        <v>6</v>
      </c>
      <c r="BM697" s="103">
        <v>7</v>
      </c>
      <c r="BN697" s="103">
        <v>8</v>
      </c>
      <c r="BO697" s="103">
        <v>9</v>
      </c>
      <c r="BP697" s="94" t="str">
        <f t="shared" si="455"/>
        <v>松散型</v>
      </c>
      <c r="BQ697" s="15">
        <f t="shared" si="476"/>
        <v>2</v>
      </c>
      <c r="BR697" s="15">
        <f t="shared" si="477"/>
        <v>8</v>
      </c>
      <c r="BS697" s="20" t="str">
        <f>IF(COUNTIF($W682:$Y682,W697)&gt;0,W697,"")</f>
        <v/>
      </c>
      <c r="BT697" s="21" t="str">
        <f>IF(COUNTIF($W681:$Y681,W697)&gt;0,W697,"")</f>
        <v/>
      </c>
      <c r="BU697" s="21" t="str">
        <f t="array" ref="BU697">_xlfn.TEXTJOIN("",TRUE,IF(ISERROR(FIND(ROW($1:$168)-1,BS697&amp;BT697)),ROW($1:$168)-1,""))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97" s="22" t="str">
        <f t="shared" si="459"/>
        <v>中中中</v>
      </c>
      <c r="BW697" s="23">
        <f>IF(COUNTIF($W682:$Y682,X697)&gt;0,X697,"")</f>
        <v>2</v>
      </c>
      <c r="BX697" s="23" t="str">
        <f>IF(COUNTIF($W681:$Y681,X697)&gt;0,X697,"")</f>
        <v/>
      </c>
      <c r="BY697" s="23" t="str">
        <f t="array" ref="BY697">_xlfn.TEXTJOIN("",TRUE,IF(ISERROR(FIND(ROW($1:$168)-1,BW697&amp;BX697)),ROW($1:$168)-1,""))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97" s="22" t="str">
        <f t="shared" si="460"/>
        <v>复中中</v>
      </c>
      <c r="CA697" s="24" t="str">
        <f>IF(COUNTIF($W682:$Y682,Y697)&gt;0,Y697,"")</f>
        <v/>
      </c>
      <c r="CB697" s="24" t="str">
        <f>IF(COUNTIF($W681:$Y681,Y697)&gt;0,Y697,"")</f>
        <v/>
      </c>
      <c r="CC697" s="24" t="str">
        <f t="array" ref="CC697">_xlfn.TEXTJOIN("",TRUE,IF(ISERROR(FIND(ROW($1:$168)-1,CA697&amp;CB697)),ROW($1:$168)-1,""))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97" s="22" t="str">
        <f t="shared" si="462"/>
        <v>中中中</v>
      </c>
      <c r="CE697" s="25" t="str">
        <f t="shared" si="456"/>
        <v>79</v>
      </c>
      <c r="CF697" s="26" t="str">
        <f t="array" ref="CF697">_xlfn.TEXTJOIN("",TRUE,IF(ISNUMBER(FIND(MID(CE682&amp;W682,ROW($1:$162),1),CE697&amp;W697)),MID(CE682&amp;W682,ROW($1:$162),1),""))</f>
        <v/>
      </c>
      <c r="CG697" s="27" t="str">
        <f t="array" ref="CG697">_xlfn.TEXTJOIN("",TRUE,IF(ISERROR(FIND(ROW($1:$168)-1,CE697&amp;CF697)),ROW($1:$168)-1,""))</f>
        <v>012345681011121314151617181920212223242526272829303132333435363738394041424344454647484950515253545556575859606162636465666768697071727374757677788081828384858687888990919293949596979899100101102103104105106107108109110111112113114115116117118119120121122123124125126127128129130131132133134135136137138139140141142143144145146147148149150151152153154155156157158159160161162163164165166167</v>
      </c>
      <c r="CH697" s="28" t="str">
        <f t="shared" si="463"/>
        <v>邻孤孤</v>
      </c>
      <c r="CI697" s="29" t="str">
        <f t="shared" si="464"/>
        <v>13</v>
      </c>
      <c r="CJ697" s="29" t="str">
        <f t="array" ref="CJ697">_xlfn.TEXTJOIN("",TRUE,IF(ISNUMBER(FIND(MID(CI682&amp;X682,ROW($1:$162),1),CI697&amp;X697)),MID(CI682&amp;X682,ROW($1:$162),1),""))</f>
        <v>132</v>
      </c>
      <c r="CK697" s="29" t="str">
        <f t="array" ref="CK697">_xlfn.TEXTJOIN("",TRUE,IF(ISERROR(FIND(ROW($1:$168)-1,CI697&amp;CJ697)),ROW($1:$168)-1,""))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697" s="19" t="str">
        <f t="shared" si="465"/>
        <v>邻传孤</v>
      </c>
      <c r="CM697" s="24" t="str">
        <f t="shared" si="466"/>
        <v>57</v>
      </c>
      <c r="CN697" s="24" t="str">
        <f t="array" ref="CN697">_xlfn.TEXTJOIN("",TRUE,IF(ISNUMBER(FIND(MID(CM682&amp;Y682,ROW($1:$162),1),CM697&amp;Y697)),MID(CM682&amp;Y682,ROW($1:$162),1),""))</f>
        <v/>
      </c>
      <c r="CO697" s="24" t="str">
        <f t="array" ref="CO697">_xlfn.TEXTJOIN("",TRUE,IF(ISERROR(FIND(ROW($1:$168)-1,CM697&amp;CN697)),ROW($1:$168)-1,""))</f>
        <v>012346891011121314151617181920212223242526272829303132333435363738394041424344454647484950515253545556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97" s="30" t="str">
        <f t="shared" si="467"/>
        <v>邻孤孤</v>
      </c>
    </row>
    <row r="698" s="2" customFormat="1" ht="13" customHeight="1" spans="1:94">
      <c r="A698" s="2">
        <v>692</v>
      </c>
      <c r="B698" s="80" t="s">
        <v>537</v>
      </c>
      <c r="C698" s="8" t="s">
        <v>59</v>
      </c>
      <c r="D698" s="96">
        <f t="shared" si="471"/>
        <v>18</v>
      </c>
      <c r="E698" s="97">
        <f t="shared" si="472"/>
        <v>8</v>
      </c>
      <c r="F698" s="83">
        <f t="shared" si="435"/>
        <v>2.57142857142857</v>
      </c>
      <c r="G698" s="84" t="str">
        <f t="shared" si="436"/>
        <v>标准</v>
      </c>
      <c r="H698" s="85" t="s">
        <v>10</v>
      </c>
      <c r="I698" s="85" t="s">
        <v>11</v>
      </c>
      <c r="J698" s="85" t="s">
        <v>12</v>
      </c>
      <c r="K698" s="85" t="s">
        <v>13</v>
      </c>
      <c r="L698" s="98">
        <f>MAX(MID(C698,{1,2,3},1)*1)-MIN(MID(C698,{1,2,3},1)*1)</f>
        <v>7</v>
      </c>
      <c r="M698" s="87">
        <v>0</v>
      </c>
      <c r="N698" s="87">
        <v>1</v>
      </c>
      <c r="O698" s="87">
        <v>2</v>
      </c>
      <c r="P698" s="87">
        <v>3</v>
      </c>
      <c r="Q698" s="87">
        <v>4</v>
      </c>
      <c r="R698" s="87">
        <v>5</v>
      </c>
      <c r="S698" s="87">
        <v>6</v>
      </c>
      <c r="T698" s="87">
        <v>7</v>
      </c>
      <c r="U698" s="87">
        <v>8</v>
      </c>
      <c r="V698" s="87">
        <v>9</v>
      </c>
      <c r="W698" s="99">
        <f t="shared" si="473"/>
        <v>5</v>
      </c>
      <c r="X698" s="99">
        <f t="shared" si="474"/>
        <v>2</v>
      </c>
      <c r="Y698" s="99">
        <f t="shared" si="475"/>
        <v>7</v>
      </c>
      <c r="Z698" s="89">
        <f t="shared" si="454"/>
        <v>14</v>
      </c>
      <c r="AA698" s="100" t="str">
        <f>_xlfn.TEXTJOIN(", ",TRUE,ABS(MID(C698,{1,1,2},1)-MID(C698,{2,3,3},1)))</f>
        <v>5, 2, 7</v>
      </c>
      <c r="AB698" s="101">
        <v>0</v>
      </c>
      <c r="AC698" s="101">
        <v>1</v>
      </c>
      <c r="AD698" s="101">
        <v>2</v>
      </c>
      <c r="AE698" s="101">
        <v>3</v>
      </c>
      <c r="AF698" s="101">
        <v>4</v>
      </c>
      <c r="AG698" s="101">
        <v>5</v>
      </c>
      <c r="AH698" s="101">
        <v>6</v>
      </c>
      <c r="AI698" s="101">
        <v>7</v>
      </c>
      <c r="AJ698" s="101">
        <v>8</v>
      </c>
      <c r="AK698" s="101">
        <v>9</v>
      </c>
      <c r="AL698" s="91">
        <v>0</v>
      </c>
      <c r="AM698" s="91">
        <v>1</v>
      </c>
      <c r="AN698" s="91">
        <v>2</v>
      </c>
      <c r="AO698" s="91">
        <v>3</v>
      </c>
      <c r="AP698" s="91">
        <v>4</v>
      </c>
      <c r="AQ698" s="91">
        <v>5</v>
      </c>
      <c r="AR698" s="91">
        <v>6</v>
      </c>
      <c r="AS698" s="91">
        <v>7</v>
      </c>
      <c r="AT698" s="91">
        <v>8</v>
      </c>
      <c r="AU698" s="91">
        <v>9</v>
      </c>
      <c r="AV698" s="102">
        <v>0</v>
      </c>
      <c r="AW698" s="102">
        <v>1</v>
      </c>
      <c r="AX698" s="102">
        <v>2</v>
      </c>
      <c r="AY698" s="102">
        <v>3</v>
      </c>
      <c r="AZ698" s="102">
        <v>4</v>
      </c>
      <c r="BA698" s="102">
        <v>5</v>
      </c>
      <c r="BB698" s="102">
        <v>6</v>
      </c>
      <c r="BC698" s="102">
        <v>7</v>
      </c>
      <c r="BD698" s="102">
        <v>8</v>
      </c>
      <c r="BE698" s="102">
        <v>9</v>
      </c>
      <c r="BF698" s="103">
        <v>0</v>
      </c>
      <c r="BG698" s="103">
        <v>1</v>
      </c>
      <c r="BH698" s="103">
        <v>2</v>
      </c>
      <c r="BI698" s="103">
        <v>3</v>
      </c>
      <c r="BJ698" s="103">
        <v>4</v>
      </c>
      <c r="BK698" s="103">
        <v>5</v>
      </c>
      <c r="BL698" s="103">
        <v>6</v>
      </c>
      <c r="BM698" s="103">
        <v>7</v>
      </c>
      <c r="BN698" s="103">
        <v>8</v>
      </c>
      <c r="BO698" s="103">
        <v>9</v>
      </c>
      <c r="BP698" s="94" t="str">
        <f t="shared" si="455"/>
        <v>松散型</v>
      </c>
      <c r="BQ698" s="15">
        <f t="shared" si="476"/>
        <v>2</v>
      </c>
      <c r="BR698" s="15">
        <f t="shared" si="477"/>
        <v>7</v>
      </c>
      <c r="BS698" s="20">
        <f>IF(COUNTIF($W682:$Y682,W698)&gt;0,W698,"")</f>
        <v>5</v>
      </c>
      <c r="BT698" s="21" t="str">
        <f>IF(COUNTIF($W681:$Y681,W698)&gt;0,W698,"")</f>
        <v/>
      </c>
      <c r="BU698" s="21" t="str">
        <f t="array" ref="BU698">_xlfn.TEXTJOIN("",TRUE,IF(ISERROR(FIND(ROW($1:$168)-1,BS698&amp;BT698)),ROW($1:$168)-1,""))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98" s="22" t="str">
        <f t="shared" si="459"/>
        <v>复中中</v>
      </c>
      <c r="BW698" s="23">
        <f>IF(COUNTIF($W682:$Y682,X698)&gt;0,X698,"")</f>
        <v>2</v>
      </c>
      <c r="BX698" s="23" t="str">
        <f>IF(COUNTIF($W681:$Y681,X698)&gt;0,X698,"")</f>
        <v/>
      </c>
      <c r="BY698" s="23" t="str">
        <f t="array" ref="BY698">_xlfn.TEXTJOIN("",TRUE,IF(ISERROR(FIND(ROW($1:$168)-1,BW698&amp;BX698)),ROW($1:$168)-1,""))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98" s="22" t="str">
        <f t="shared" si="460"/>
        <v>复中中</v>
      </c>
      <c r="CA698" s="24" t="str">
        <f>IF(COUNTIF($W682:$Y682,Y698)&gt;0,Y698,"")</f>
        <v/>
      </c>
      <c r="CB698" s="24" t="str">
        <f>IF(COUNTIF($W681:$Y681,Y698)&gt;0,Y698,"")</f>
        <v/>
      </c>
      <c r="CC698" s="24" t="str">
        <f t="array" ref="CC698">_xlfn.TEXTJOIN("",TRUE,IF(ISERROR(FIND(ROW($1:$168)-1,CA698&amp;CB698)),ROW($1:$168)-1,""))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98" s="22" t="str">
        <f t="shared" si="462"/>
        <v>中中中</v>
      </c>
      <c r="CE698" s="25" t="str">
        <f t="shared" si="456"/>
        <v>46</v>
      </c>
      <c r="CF698" s="26" t="str">
        <f t="array" ref="CF698">_xlfn.TEXTJOIN("",TRUE,IF(ISNUMBER(FIND(MID(CE682&amp;W682,ROW($1:$162),1),CE698&amp;W698)),MID(CE682&amp;W682,ROW($1:$162),1),""))</f>
        <v>465</v>
      </c>
      <c r="CG698" s="27" t="str">
        <f t="array" ref="CG698">_xlfn.TEXTJOIN("",TRUE,IF(ISERROR(FIND(ROW($1:$168)-1,CE698&amp;CF698)),ROW($1:$168)-1,""))</f>
        <v>01237891011121314151617181920212223242526272829303132333435363738394041424344454748495051525354555657585960616263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698" s="28" t="str">
        <f t="shared" si="463"/>
        <v>邻传孤</v>
      </c>
      <c r="CI698" s="29" t="str">
        <f t="shared" si="464"/>
        <v>13</v>
      </c>
      <c r="CJ698" s="29" t="str">
        <f t="array" ref="CJ698">_xlfn.TEXTJOIN("",TRUE,IF(ISNUMBER(FIND(MID(CI682&amp;X682,ROW($1:$162),1),CI698&amp;X698)),MID(CI682&amp;X682,ROW($1:$162),1),""))</f>
        <v>132</v>
      </c>
      <c r="CK698" s="29" t="str">
        <f t="array" ref="CK698">_xlfn.TEXTJOIN("",TRUE,IF(ISERROR(FIND(ROW($1:$168)-1,CI698&amp;CJ698)),ROW($1:$168)-1,""))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698" s="19" t="str">
        <f t="shared" si="465"/>
        <v>邻传孤</v>
      </c>
      <c r="CM698" s="24" t="str">
        <f t="shared" si="466"/>
        <v>68</v>
      </c>
      <c r="CN698" s="24" t="str">
        <f t="array" ref="CN698">_xlfn.TEXTJOIN("",TRUE,IF(ISNUMBER(FIND(MID(CM682&amp;Y682,ROW($1:$162),1),CM698&amp;Y698)),MID(CM682&amp;Y682,ROW($1:$162),1),""))</f>
        <v/>
      </c>
      <c r="CO698" s="24" t="str">
        <f t="array" ref="CO698">_xlfn.TEXTJOIN("",TRUE,IF(ISERROR(FIND(ROW($1:$168)-1,CM698&amp;CN698)),ROW($1:$168)-1,""))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698" s="30" t="str">
        <f t="shared" si="467"/>
        <v>邻孤孤</v>
      </c>
    </row>
    <row r="699" s="2" customFormat="1" ht="13" customHeight="1" spans="1:94">
      <c r="A699" s="2">
        <v>692</v>
      </c>
      <c r="B699" s="80" t="s">
        <v>538</v>
      </c>
      <c r="C699" s="8" t="s">
        <v>370</v>
      </c>
      <c r="D699" s="96">
        <f t="shared" si="471"/>
        <v>19</v>
      </c>
      <c r="E699" s="97">
        <f t="shared" si="472"/>
        <v>9</v>
      </c>
      <c r="F699" s="83">
        <f t="shared" si="435"/>
        <v>9.5</v>
      </c>
      <c r="G699" s="84" t="str">
        <f t="shared" si="436"/>
        <v>紧凑</v>
      </c>
      <c r="H699" s="85" t="s">
        <v>10</v>
      </c>
      <c r="I699" s="85" t="s">
        <v>11</v>
      </c>
      <c r="J699" s="85" t="s">
        <v>12</v>
      </c>
      <c r="K699" s="85" t="s">
        <v>13</v>
      </c>
      <c r="L699" s="98">
        <f>MAX(MID(C699,{1,2,3},1)*1)-MIN(MID(C699,{1,2,3},1)*1)</f>
        <v>2</v>
      </c>
      <c r="M699" s="87">
        <v>0</v>
      </c>
      <c r="N699" s="87">
        <v>1</v>
      </c>
      <c r="O699" s="87">
        <v>2</v>
      </c>
      <c r="P699" s="87">
        <v>3</v>
      </c>
      <c r="Q699" s="87">
        <v>4</v>
      </c>
      <c r="R699" s="87">
        <v>5</v>
      </c>
      <c r="S699" s="87">
        <v>6</v>
      </c>
      <c r="T699" s="87">
        <v>7</v>
      </c>
      <c r="U699" s="87">
        <v>8</v>
      </c>
      <c r="V699" s="87">
        <v>9</v>
      </c>
      <c r="W699" s="99">
        <f t="shared" si="473"/>
        <v>0</v>
      </c>
      <c r="X699" s="99">
        <f t="shared" si="474"/>
        <v>2</v>
      </c>
      <c r="Y699" s="99">
        <f t="shared" si="475"/>
        <v>2</v>
      </c>
      <c r="Z699" s="89">
        <f t="shared" si="454"/>
        <v>4</v>
      </c>
      <c r="AA699" s="100" t="str">
        <f>_xlfn.TEXTJOIN(", ",TRUE,ABS(MID(C699,{1,1,2},1)-MID(C699,{2,3,3},1)))</f>
        <v>0, 2, 2</v>
      </c>
      <c r="AB699" s="101">
        <v>0</v>
      </c>
      <c r="AC699" s="101">
        <v>1</v>
      </c>
      <c r="AD699" s="101">
        <v>2</v>
      </c>
      <c r="AE699" s="101">
        <v>3</v>
      </c>
      <c r="AF699" s="101">
        <v>4</v>
      </c>
      <c r="AG699" s="101">
        <v>5</v>
      </c>
      <c r="AH699" s="101">
        <v>6</v>
      </c>
      <c r="AI699" s="101">
        <v>7</v>
      </c>
      <c r="AJ699" s="101">
        <v>8</v>
      </c>
      <c r="AK699" s="101">
        <v>9</v>
      </c>
      <c r="AL699" s="91">
        <v>0</v>
      </c>
      <c r="AM699" s="91">
        <v>1</v>
      </c>
      <c r="AN699" s="91">
        <v>2</v>
      </c>
      <c r="AO699" s="91">
        <v>3</v>
      </c>
      <c r="AP699" s="91">
        <v>4</v>
      </c>
      <c r="AQ699" s="91">
        <v>5</v>
      </c>
      <c r="AR699" s="91">
        <v>6</v>
      </c>
      <c r="AS699" s="91">
        <v>7</v>
      </c>
      <c r="AT699" s="91">
        <v>8</v>
      </c>
      <c r="AU699" s="91">
        <v>9</v>
      </c>
      <c r="AV699" s="102">
        <v>0</v>
      </c>
      <c r="AW699" s="102">
        <v>1</v>
      </c>
      <c r="AX699" s="102">
        <v>2</v>
      </c>
      <c r="AY699" s="102">
        <v>3</v>
      </c>
      <c r="AZ699" s="102">
        <v>4</v>
      </c>
      <c r="BA699" s="102">
        <v>5</v>
      </c>
      <c r="BB699" s="102">
        <v>6</v>
      </c>
      <c r="BC699" s="102">
        <v>7</v>
      </c>
      <c r="BD699" s="102">
        <v>8</v>
      </c>
      <c r="BE699" s="102">
        <v>9</v>
      </c>
      <c r="BF699" s="103">
        <v>0</v>
      </c>
      <c r="BG699" s="103">
        <v>1</v>
      </c>
      <c r="BH699" s="103">
        <v>2</v>
      </c>
      <c r="BI699" s="103">
        <v>3</v>
      </c>
      <c r="BJ699" s="103">
        <v>4</v>
      </c>
      <c r="BK699" s="103">
        <v>5</v>
      </c>
      <c r="BL699" s="103">
        <v>6</v>
      </c>
      <c r="BM699" s="103">
        <v>7</v>
      </c>
      <c r="BN699" s="103">
        <v>8</v>
      </c>
      <c r="BO699" s="103">
        <v>9</v>
      </c>
      <c r="BP699" s="94" t="str">
        <f t="shared" si="455"/>
        <v>紧凑型</v>
      </c>
      <c r="BQ699" s="15">
        <f t="shared" si="476"/>
        <v>0</v>
      </c>
      <c r="BR699" s="15">
        <f t="shared" si="477"/>
        <v>2</v>
      </c>
      <c r="BS699" s="20" t="str">
        <f>IF(COUNTIF($W682:$Y682,W699)&gt;0,W699,"")</f>
        <v/>
      </c>
      <c r="BT699" s="21">
        <f>IF(COUNTIF($W681:$Y681,W699)&gt;0,W699,"")</f>
        <v>0</v>
      </c>
      <c r="BU699" s="21" t="str">
        <f t="array" ref="BU699">_xlfn.TEXTJOIN("",TRUE,IF(ISERROR(FIND(ROW($1:$168)-1,BS699&amp;BT699)),ROW($1:$168)-1,""))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699" s="22" t="str">
        <f t="shared" si="459"/>
        <v>中隔中</v>
      </c>
      <c r="BW699" s="23">
        <f>IF(COUNTIF($W682:$Y682,X699)&gt;0,X699,"")</f>
        <v>2</v>
      </c>
      <c r="BX699" s="23" t="str">
        <f>IF(COUNTIF($W681:$Y681,X699)&gt;0,X699,"")</f>
        <v/>
      </c>
      <c r="BY699" s="23" t="str">
        <f t="array" ref="BY699">_xlfn.TEXTJOIN("",TRUE,IF(ISERROR(FIND(ROW($1:$168)-1,BW699&amp;BX699)),ROW($1:$168)-1,""))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699" s="22" t="str">
        <f t="shared" si="460"/>
        <v>复中中</v>
      </c>
      <c r="CA699" s="24">
        <f>IF(COUNTIF($W682:$Y682,Y699)&gt;0,Y699,"")</f>
        <v>2</v>
      </c>
      <c r="CB699" s="24" t="str">
        <f>IF(COUNTIF($W681:$Y681,Y699)&gt;0,Y699,"")</f>
        <v/>
      </c>
      <c r="CC699" s="24" t="str">
        <f t="array" ref="CC699">_xlfn.TEXTJOIN("",TRUE,IF(ISERROR(FIND(ROW($1:$168)-1,CA699&amp;CB699)),ROW($1:$168)-1,""))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699" s="22" t="str">
        <f t="shared" si="462"/>
        <v>复中中</v>
      </c>
      <c r="CE699" s="25" t="str">
        <f t="shared" si="456"/>
        <v>91</v>
      </c>
      <c r="CF699" s="26" t="str">
        <f t="array" ref="CF699">_xlfn.TEXTJOIN("",TRUE,IF(ISNUMBER(FIND(MID(CE682&amp;W682,ROW($1:$162),1),CE699&amp;W699)),MID(CE682&amp;W682,ROW($1:$162),1),""))</f>
        <v/>
      </c>
      <c r="CG699" s="27" t="str">
        <f t="array" ref="CG699">_xlfn.TEXTJOIN("",TRUE,IF(ISERROR(FIND(ROW($1:$168)-1,CE699&amp;CF699)),ROW($1:$168)-1,""))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699" s="28" t="str">
        <f t="shared" si="463"/>
        <v>邻孤孤</v>
      </c>
      <c r="CI699" s="29" t="str">
        <f t="shared" si="464"/>
        <v>13</v>
      </c>
      <c r="CJ699" s="29" t="str">
        <f t="array" ref="CJ699">_xlfn.TEXTJOIN("",TRUE,IF(ISNUMBER(FIND(MID(CI682&amp;X682,ROW($1:$162),1),CI699&amp;X699)),MID(CI682&amp;X682,ROW($1:$162),1),""))</f>
        <v>132</v>
      </c>
      <c r="CK699" s="29" t="str">
        <f t="array" ref="CK699">_xlfn.TEXTJOIN("",TRUE,IF(ISERROR(FIND(ROW($1:$168)-1,CI699&amp;CJ699)),ROW($1:$168)-1,""))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699" s="19" t="str">
        <f t="shared" si="465"/>
        <v>邻传孤</v>
      </c>
      <c r="CM699" s="24" t="str">
        <f t="shared" si="466"/>
        <v>13</v>
      </c>
      <c r="CN699" s="24" t="str">
        <f t="array" ref="CN699">_xlfn.TEXTJOIN("",TRUE,IF(ISNUMBER(FIND(MID(CM682&amp;Y682,ROW($1:$162),1),CM699&amp;Y699)),MID(CM682&amp;Y682,ROW($1:$162),1),""))</f>
        <v>23</v>
      </c>
      <c r="CO699" s="24" t="str">
        <f t="array" ref="CO699">_xlfn.TEXTJOIN("",TRUE,IF(ISERROR(FIND(ROW($1:$168)-1,CM699&amp;CN699)),ROW($1:$168)-1,""))</f>
        <v>0456789101112141516171819202122242526272829303133343536373839404142434445464748495051525354555657585960616263646566676869707172737475767778798081828384858687888990919293949596979899100101102103104105106107108109110111112113114115116117118119120121122123124125126127128129130131133134135136137138139140141142143144145146147148149150151152153154155156157158159160161162163164165166167</v>
      </c>
      <c r="CP699" s="30" t="str">
        <f t="shared" si="467"/>
        <v>邻传孤</v>
      </c>
    </row>
    <row r="700" s="2" customFormat="1" ht="13" customHeight="1" spans="1:94">
      <c r="A700" s="2">
        <v>692</v>
      </c>
      <c r="B700" s="80" t="s">
        <v>539</v>
      </c>
      <c r="C700" s="8" t="s">
        <v>540</v>
      </c>
      <c r="D700" s="96">
        <f t="shared" si="471"/>
        <v>4</v>
      </c>
      <c r="E700" s="97">
        <f t="shared" si="472"/>
        <v>4</v>
      </c>
      <c r="F700" s="83">
        <f t="shared" si="435"/>
        <v>1.33333333333333</v>
      </c>
      <c r="G700" s="84" t="str">
        <f t="shared" si="436"/>
        <v>松散</v>
      </c>
      <c r="H700" s="85" t="s">
        <v>10</v>
      </c>
      <c r="I700" s="85" t="s">
        <v>11</v>
      </c>
      <c r="J700" s="85" t="s">
        <v>12</v>
      </c>
      <c r="K700" s="85" t="s">
        <v>13</v>
      </c>
      <c r="L700" s="98">
        <f>MAX(MID(C700,{1,2,3},1)*1)-MIN(MID(C700,{1,2,3},1)*1)</f>
        <v>3</v>
      </c>
      <c r="M700" s="87">
        <v>0</v>
      </c>
      <c r="N700" s="87">
        <v>1</v>
      </c>
      <c r="O700" s="87">
        <v>2</v>
      </c>
      <c r="P700" s="87">
        <v>3</v>
      </c>
      <c r="Q700" s="87">
        <v>4</v>
      </c>
      <c r="R700" s="87">
        <v>5</v>
      </c>
      <c r="S700" s="87">
        <v>6</v>
      </c>
      <c r="T700" s="87">
        <v>7</v>
      </c>
      <c r="U700" s="87">
        <v>8</v>
      </c>
      <c r="V700" s="87">
        <v>9</v>
      </c>
      <c r="W700" s="99">
        <f t="shared" si="473"/>
        <v>3</v>
      </c>
      <c r="X700" s="99">
        <f t="shared" si="474"/>
        <v>2</v>
      </c>
      <c r="Y700" s="99">
        <f t="shared" si="475"/>
        <v>1</v>
      </c>
      <c r="Z700" s="89">
        <f t="shared" si="454"/>
        <v>6</v>
      </c>
      <c r="AA700" s="100" t="str">
        <f>_xlfn.TEXTJOIN(", ",TRUE,ABS(MID(C700,{1,1,2},1)-MID(C700,{2,3,3},1)))</f>
        <v>3, 2, 1</v>
      </c>
      <c r="AB700" s="101">
        <v>0</v>
      </c>
      <c r="AC700" s="101">
        <v>1</v>
      </c>
      <c r="AD700" s="101">
        <v>2</v>
      </c>
      <c r="AE700" s="101">
        <v>3</v>
      </c>
      <c r="AF700" s="101">
        <v>4</v>
      </c>
      <c r="AG700" s="101">
        <v>5</v>
      </c>
      <c r="AH700" s="101">
        <v>6</v>
      </c>
      <c r="AI700" s="101">
        <v>7</v>
      </c>
      <c r="AJ700" s="101">
        <v>8</v>
      </c>
      <c r="AK700" s="101">
        <v>9</v>
      </c>
      <c r="AL700" s="91">
        <v>0</v>
      </c>
      <c r="AM700" s="91">
        <v>1</v>
      </c>
      <c r="AN700" s="91">
        <v>2</v>
      </c>
      <c r="AO700" s="91">
        <v>3</v>
      </c>
      <c r="AP700" s="91">
        <v>4</v>
      </c>
      <c r="AQ700" s="91">
        <v>5</v>
      </c>
      <c r="AR700" s="91">
        <v>6</v>
      </c>
      <c r="AS700" s="91">
        <v>7</v>
      </c>
      <c r="AT700" s="91">
        <v>8</v>
      </c>
      <c r="AU700" s="91">
        <v>9</v>
      </c>
      <c r="AV700" s="102">
        <v>0</v>
      </c>
      <c r="AW700" s="102">
        <v>1</v>
      </c>
      <c r="AX700" s="102">
        <v>2</v>
      </c>
      <c r="AY700" s="102">
        <v>3</v>
      </c>
      <c r="AZ700" s="102">
        <v>4</v>
      </c>
      <c r="BA700" s="102">
        <v>5</v>
      </c>
      <c r="BB700" s="102">
        <v>6</v>
      </c>
      <c r="BC700" s="102">
        <v>7</v>
      </c>
      <c r="BD700" s="102">
        <v>8</v>
      </c>
      <c r="BE700" s="102">
        <v>9</v>
      </c>
      <c r="BF700" s="103">
        <v>0</v>
      </c>
      <c r="BG700" s="103">
        <v>1</v>
      </c>
      <c r="BH700" s="103">
        <v>2</v>
      </c>
      <c r="BI700" s="103">
        <v>3</v>
      </c>
      <c r="BJ700" s="103">
        <v>4</v>
      </c>
      <c r="BK700" s="103">
        <v>5</v>
      </c>
      <c r="BL700" s="103">
        <v>6</v>
      </c>
      <c r="BM700" s="103">
        <v>7</v>
      </c>
      <c r="BN700" s="103">
        <v>8</v>
      </c>
      <c r="BO700" s="103">
        <v>9</v>
      </c>
      <c r="BP700" s="94" t="str">
        <f t="shared" si="455"/>
        <v>紧凑型</v>
      </c>
      <c r="BQ700" s="15">
        <f t="shared" si="476"/>
        <v>1</v>
      </c>
      <c r="BR700" s="15">
        <f t="shared" si="477"/>
        <v>3</v>
      </c>
      <c r="BS700" s="20">
        <f>IF(COUNTIF($W682:$Y682,W700)&gt;0,W700,"")</f>
        <v>3</v>
      </c>
      <c r="BT700" s="21" t="str">
        <f>IF(COUNTIF($W681:$Y681,W700)&gt;0,W700,"")</f>
        <v/>
      </c>
      <c r="BU700" s="21" t="str">
        <f t="array" ref="BU700">_xlfn.TEXTJOIN("",TRUE,IF(ISERROR(FIND(ROW($1:$168)-1,BS700&amp;BT700)),ROW($1:$168)-1,""))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00" s="22" t="str">
        <f t="shared" si="459"/>
        <v>复中中</v>
      </c>
      <c r="BW700" s="23">
        <f>IF(COUNTIF($W682:$Y682,X700)&gt;0,X700,"")</f>
        <v>2</v>
      </c>
      <c r="BX700" s="23" t="str">
        <f>IF(COUNTIF($W681:$Y681,X700)&gt;0,X700,"")</f>
        <v/>
      </c>
      <c r="BY700" s="23" t="str">
        <f t="array" ref="BY700">_xlfn.TEXTJOIN("",TRUE,IF(ISERROR(FIND(ROW($1:$168)-1,BW700&amp;BX700)),ROW($1:$168)-1,""))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00" s="22" t="str">
        <f t="shared" si="460"/>
        <v>复中中</v>
      </c>
      <c r="CA700" s="24" t="str">
        <f>IF(COUNTIF($W682:$Y682,Y700)&gt;0,Y700,"")</f>
        <v/>
      </c>
      <c r="CB700" s="24">
        <f>IF(COUNTIF($W681:$Y681,Y700)&gt;0,Y700,"")</f>
        <v>1</v>
      </c>
      <c r="CC700" s="24" t="str">
        <f t="array" ref="CC700">_xlfn.TEXTJOIN("",TRUE,IF(ISERROR(FIND(ROW($1:$168)-1,CA700&amp;CB700)),ROW($1:$168)-1,""))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00" s="22" t="str">
        <f t="shared" si="462"/>
        <v>中隔中</v>
      </c>
      <c r="CE700" s="25" t="str">
        <f t="shared" si="456"/>
        <v>24</v>
      </c>
      <c r="CF700" s="26" t="str">
        <f t="array" ref="CF700">_xlfn.TEXTJOIN("",TRUE,IF(ISNUMBER(FIND(MID(CE682&amp;W682,ROW($1:$162),1),CE700&amp;W700)),MID(CE682&amp;W682,ROW($1:$162),1),""))</f>
        <v>4</v>
      </c>
      <c r="CG700" s="27" t="str">
        <f t="array" ref="CG700">_xlfn.TEXTJOIN("",TRUE,IF(ISERROR(FIND(ROW($1:$168)-1,CE700&amp;CF700)),ROW($1:$168)-1,""))</f>
        <v>01356789101112131415161718192021222325262728293031323334353637383940414243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00" s="28" t="str">
        <f t="shared" si="463"/>
        <v>邻传孤</v>
      </c>
      <c r="CI700" s="29" t="str">
        <f t="shared" si="464"/>
        <v>13</v>
      </c>
      <c r="CJ700" s="29" t="str">
        <f t="array" ref="CJ700">_xlfn.TEXTJOIN("",TRUE,IF(ISNUMBER(FIND(MID(CI682&amp;X682,ROW($1:$162),1),CI700&amp;X700)),MID(CI682&amp;X682,ROW($1:$162),1),""))</f>
        <v>132</v>
      </c>
      <c r="CK700" s="29" t="str">
        <f t="array" ref="CK700">_xlfn.TEXTJOIN("",TRUE,IF(ISERROR(FIND(ROW($1:$168)-1,CI700&amp;CJ700)),ROW($1:$168)-1,""))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700" s="19" t="str">
        <f t="shared" si="465"/>
        <v>邻传孤</v>
      </c>
      <c r="CM700" s="24" t="str">
        <f t="shared" si="466"/>
        <v>02</v>
      </c>
      <c r="CN700" s="24" t="str">
        <f t="array" ref="CN700">_xlfn.TEXTJOIN("",TRUE,IF(ISNUMBER(FIND(MID(CM682&amp;Y682,ROW($1:$162),1),CM700&amp;Y700)),MID(CM682&amp;Y682,ROW($1:$162),1),""))</f>
        <v>2</v>
      </c>
      <c r="CO700" s="24" t="str">
        <f t="array" ref="CO700">_xlfn.TEXTJOIN("",TRUE,IF(ISERROR(FIND(ROW($1:$168)-1,CM700&amp;CN700)),ROW($1:$168)-1,""))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00" s="30" t="str">
        <f t="shared" si="467"/>
        <v>邻传孤</v>
      </c>
    </row>
    <row r="701" s="2" customFormat="1" ht="13" customHeight="1" spans="1:94">
      <c r="A701" s="2">
        <v>692</v>
      </c>
      <c r="B701" s="80" t="s">
        <v>541</v>
      </c>
      <c r="C701" s="8" t="s">
        <v>74</v>
      </c>
      <c r="D701" s="96">
        <f t="shared" si="471"/>
        <v>7</v>
      </c>
      <c r="E701" s="97">
        <f t="shared" si="472"/>
        <v>7</v>
      </c>
      <c r="F701" s="83">
        <f t="shared" si="435"/>
        <v>1.75</v>
      </c>
      <c r="G701" s="84" t="str">
        <f t="shared" si="436"/>
        <v>松散</v>
      </c>
      <c r="H701" s="85" t="s">
        <v>10</v>
      </c>
      <c r="I701" s="85" t="s">
        <v>11</v>
      </c>
      <c r="J701" s="85" t="s">
        <v>12</v>
      </c>
      <c r="K701" s="85" t="s">
        <v>13</v>
      </c>
      <c r="L701" s="98">
        <f>MAX(MID(C701,{1,2,3},1)*1)-MIN(MID(C701,{1,2,3},1)*1)</f>
        <v>4</v>
      </c>
      <c r="M701" s="87">
        <v>0</v>
      </c>
      <c r="N701" s="87">
        <v>1</v>
      </c>
      <c r="O701" s="87">
        <v>2</v>
      </c>
      <c r="P701" s="87">
        <v>3</v>
      </c>
      <c r="Q701" s="87">
        <v>4</v>
      </c>
      <c r="R701" s="87">
        <v>5</v>
      </c>
      <c r="S701" s="87">
        <v>6</v>
      </c>
      <c r="T701" s="87">
        <v>7</v>
      </c>
      <c r="U701" s="87">
        <v>8</v>
      </c>
      <c r="V701" s="87">
        <v>9</v>
      </c>
      <c r="W701" s="99">
        <f t="shared" si="473"/>
        <v>1</v>
      </c>
      <c r="X701" s="99">
        <f t="shared" si="474"/>
        <v>4</v>
      </c>
      <c r="Y701" s="99">
        <f t="shared" si="475"/>
        <v>3</v>
      </c>
      <c r="Z701" s="89">
        <f t="shared" si="454"/>
        <v>8</v>
      </c>
      <c r="AA701" s="100" t="str">
        <f>_xlfn.TEXTJOIN(", ",TRUE,ABS(MID(C701,{1,1,2},1)-MID(C701,{2,3,3},1)))</f>
        <v>1, 4, 3</v>
      </c>
      <c r="AB701" s="101">
        <v>0</v>
      </c>
      <c r="AC701" s="101">
        <v>1</v>
      </c>
      <c r="AD701" s="101">
        <v>2</v>
      </c>
      <c r="AE701" s="101">
        <v>3</v>
      </c>
      <c r="AF701" s="101">
        <v>4</v>
      </c>
      <c r="AG701" s="101">
        <v>5</v>
      </c>
      <c r="AH701" s="101">
        <v>6</v>
      </c>
      <c r="AI701" s="101">
        <v>7</v>
      </c>
      <c r="AJ701" s="101">
        <v>8</v>
      </c>
      <c r="AK701" s="101">
        <v>9</v>
      </c>
      <c r="AL701" s="91">
        <v>0</v>
      </c>
      <c r="AM701" s="91">
        <v>1</v>
      </c>
      <c r="AN701" s="91">
        <v>2</v>
      </c>
      <c r="AO701" s="91">
        <v>3</v>
      </c>
      <c r="AP701" s="91">
        <v>4</v>
      </c>
      <c r="AQ701" s="91">
        <v>5</v>
      </c>
      <c r="AR701" s="91">
        <v>6</v>
      </c>
      <c r="AS701" s="91">
        <v>7</v>
      </c>
      <c r="AT701" s="91">
        <v>8</v>
      </c>
      <c r="AU701" s="91">
        <v>9</v>
      </c>
      <c r="AV701" s="102">
        <v>0</v>
      </c>
      <c r="AW701" s="102">
        <v>1</v>
      </c>
      <c r="AX701" s="102">
        <v>2</v>
      </c>
      <c r="AY701" s="102">
        <v>3</v>
      </c>
      <c r="AZ701" s="102">
        <v>4</v>
      </c>
      <c r="BA701" s="102">
        <v>5</v>
      </c>
      <c r="BB701" s="102">
        <v>6</v>
      </c>
      <c r="BC701" s="102">
        <v>7</v>
      </c>
      <c r="BD701" s="102">
        <v>8</v>
      </c>
      <c r="BE701" s="102">
        <v>9</v>
      </c>
      <c r="BF701" s="103">
        <v>0</v>
      </c>
      <c r="BG701" s="103">
        <v>1</v>
      </c>
      <c r="BH701" s="103">
        <v>2</v>
      </c>
      <c r="BI701" s="103">
        <v>3</v>
      </c>
      <c r="BJ701" s="103">
        <v>4</v>
      </c>
      <c r="BK701" s="103">
        <v>5</v>
      </c>
      <c r="BL701" s="103">
        <v>6</v>
      </c>
      <c r="BM701" s="103">
        <v>7</v>
      </c>
      <c r="BN701" s="103">
        <v>8</v>
      </c>
      <c r="BO701" s="103">
        <v>9</v>
      </c>
      <c r="BP701" s="94" t="str">
        <f t="shared" si="455"/>
        <v>紧凑型</v>
      </c>
      <c r="BQ701" s="15">
        <f t="shared" si="476"/>
        <v>1</v>
      </c>
      <c r="BR701" s="15">
        <f t="shared" si="477"/>
        <v>4</v>
      </c>
      <c r="BS701" s="20" t="str">
        <f>IF(COUNTIF($W682:$Y682,W701)&gt;0,W701,"")</f>
        <v/>
      </c>
      <c r="BT701" s="21">
        <f>IF(COUNTIF($W681:$Y681,W701)&gt;0,W701,"")</f>
        <v>1</v>
      </c>
      <c r="BU701" s="21" t="str">
        <f t="array" ref="BU701">_xlfn.TEXTJOIN("",TRUE,IF(ISERROR(FIND(ROW($1:$168)-1,BS701&amp;BT701)),ROW($1:$168)-1,""))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01" s="22" t="str">
        <f t="shared" si="459"/>
        <v>中隔中</v>
      </c>
      <c r="BW701" s="23" t="str">
        <f>IF(COUNTIF($W682:$Y682,X701)&gt;0,X701,"")</f>
        <v/>
      </c>
      <c r="BX701" s="23" t="str">
        <f>IF(COUNTIF($W681:$Y681,X701)&gt;0,X701,"")</f>
        <v/>
      </c>
      <c r="BY701" s="23" t="str">
        <f t="array" ref="BY701">_xlfn.TEXTJOIN("",TRUE,IF(ISERROR(FIND(ROW($1:$168)-1,BW701&amp;BX701)),ROW($1:$168)-1,""))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01" s="22" t="str">
        <f t="shared" si="460"/>
        <v>中中中</v>
      </c>
      <c r="CA701" s="24">
        <f>IF(COUNTIF($W682:$Y682,Y701)&gt;0,Y701,"")</f>
        <v>3</v>
      </c>
      <c r="CB701" s="24" t="str">
        <f>IF(COUNTIF($W681:$Y681,Y701)&gt;0,Y701,"")</f>
        <v/>
      </c>
      <c r="CC701" s="24" t="str">
        <f t="array" ref="CC701">_xlfn.TEXTJOIN("",TRUE,IF(ISERROR(FIND(ROW($1:$168)-1,CA701&amp;CB701)),ROW($1:$168)-1,""))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01" s="22" t="str">
        <f t="shared" si="462"/>
        <v>复中中</v>
      </c>
      <c r="CE701" s="25" t="str">
        <f t="shared" si="456"/>
        <v>02</v>
      </c>
      <c r="CF701" s="26" t="str">
        <f t="array" ref="CF701">_xlfn.TEXTJOIN("",TRUE,IF(ISNUMBER(FIND(MID(CE682&amp;W682,ROW($1:$162),1),CE701&amp;W701)),MID(CE682&amp;W682,ROW($1:$162),1),""))</f>
        <v/>
      </c>
      <c r="CG701" s="27" t="str">
        <f t="array" ref="CG701">_xlfn.TEXTJOIN("",TRUE,IF(ISERROR(FIND(ROW($1:$168)-1,CE701&amp;CF701)),ROW($1:$168)-1,""))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01" s="28" t="str">
        <f t="shared" si="463"/>
        <v>邻孤孤</v>
      </c>
      <c r="CI701" s="29" t="str">
        <f t="shared" si="464"/>
        <v>35</v>
      </c>
      <c r="CJ701" s="29" t="str">
        <f t="array" ref="CJ701">_xlfn.TEXTJOIN("",TRUE,IF(ISNUMBER(FIND(MID(CI682&amp;X682,ROW($1:$162),1),CI701&amp;X701)),MID(CI682&amp;X682,ROW($1:$162),1),""))</f>
        <v>3</v>
      </c>
      <c r="CK701" s="29" t="str">
        <f t="array" ref="CK701">_xlfn.TEXTJOIN("",TRUE,IF(ISERROR(FIND(ROW($1:$168)-1,CI701&amp;CJ701)),ROW($1:$168)-1,""))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01" s="19" t="str">
        <f t="shared" si="465"/>
        <v>邻传孤</v>
      </c>
      <c r="CM701" s="24" t="str">
        <f t="shared" si="466"/>
        <v>24</v>
      </c>
      <c r="CN701" s="24" t="str">
        <f t="array" ref="CN701">_xlfn.TEXTJOIN("",TRUE,IF(ISNUMBER(FIND(MID(CM682&amp;Y682,ROW($1:$162),1),CM701&amp;Y701)),MID(CM682&amp;Y682,ROW($1:$162),1),""))</f>
        <v>243</v>
      </c>
      <c r="CO701" s="24" t="str">
        <f t="array" ref="CO701">_xlfn.TEXTJOIN("",TRUE,IF(ISERROR(FIND(ROW($1:$168)-1,CM701&amp;CN701)),ROW($1:$168)-1,""))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01" s="30" t="str">
        <f t="shared" si="467"/>
        <v>邻传孤</v>
      </c>
    </row>
    <row r="702" s="2" customFormat="1" ht="13" customHeight="1" spans="1:94">
      <c r="A702" s="2">
        <v>692</v>
      </c>
      <c r="B702" s="80" t="s">
        <v>542</v>
      </c>
      <c r="C702" s="8" t="s">
        <v>543</v>
      </c>
      <c r="D702" s="96">
        <f t="shared" si="471"/>
        <v>15</v>
      </c>
      <c r="E702" s="97">
        <f t="shared" si="472"/>
        <v>5</v>
      </c>
      <c r="F702" s="83">
        <f t="shared" si="435"/>
        <v>2.14285714285714</v>
      </c>
      <c r="G702" s="84" t="str">
        <f t="shared" si="436"/>
        <v>标准</v>
      </c>
      <c r="H702" s="85" t="s">
        <v>10</v>
      </c>
      <c r="I702" s="85" t="s">
        <v>11</v>
      </c>
      <c r="J702" s="85" t="s">
        <v>12</v>
      </c>
      <c r="K702" s="85" t="s">
        <v>13</v>
      </c>
      <c r="L702" s="98">
        <f>MAX(MID(C702,{1,2,3},1)*1)-MIN(MID(C702,{1,2,3},1)*1)</f>
        <v>7</v>
      </c>
      <c r="M702" s="87">
        <v>0</v>
      </c>
      <c r="N702" s="87">
        <v>1</v>
      </c>
      <c r="O702" s="87">
        <v>2</v>
      </c>
      <c r="P702" s="87">
        <v>3</v>
      </c>
      <c r="Q702" s="87">
        <v>4</v>
      </c>
      <c r="R702" s="87">
        <v>5</v>
      </c>
      <c r="S702" s="87">
        <v>6</v>
      </c>
      <c r="T702" s="87">
        <v>7</v>
      </c>
      <c r="U702" s="87">
        <v>8</v>
      </c>
      <c r="V702" s="87">
        <v>9</v>
      </c>
      <c r="W702" s="99">
        <f t="shared" si="473"/>
        <v>7</v>
      </c>
      <c r="X702" s="99">
        <f t="shared" si="474"/>
        <v>2</v>
      </c>
      <c r="Y702" s="99">
        <f t="shared" si="475"/>
        <v>5</v>
      </c>
      <c r="Z702" s="89">
        <f t="shared" si="454"/>
        <v>14</v>
      </c>
      <c r="AA702" s="100" t="str">
        <f>_xlfn.TEXTJOIN(", ",TRUE,ABS(MID(C702,{1,1,2},1)-MID(C702,{2,3,3},1)))</f>
        <v>7, 2, 5</v>
      </c>
      <c r="AB702" s="101">
        <v>0</v>
      </c>
      <c r="AC702" s="101">
        <v>1</v>
      </c>
      <c r="AD702" s="101">
        <v>2</v>
      </c>
      <c r="AE702" s="101">
        <v>3</v>
      </c>
      <c r="AF702" s="101">
        <v>4</v>
      </c>
      <c r="AG702" s="101">
        <v>5</v>
      </c>
      <c r="AH702" s="101">
        <v>6</v>
      </c>
      <c r="AI702" s="101">
        <v>7</v>
      </c>
      <c r="AJ702" s="101">
        <v>8</v>
      </c>
      <c r="AK702" s="101">
        <v>9</v>
      </c>
      <c r="AL702" s="91">
        <v>0</v>
      </c>
      <c r="AM702" s="91">
        <v>1</v>
      </c>
      <c r="AN702" s="91">
        <v>2</v>
      </c>
      <c r="AO702" s="91">
        <v>3</v>
      </c>
      <c r="AP702" s="91">
        <v>4</v>
      </c>
      <c r="AQ702" s="91">
        <v>5</v>
      </c>
      <c r="AR702" s="91">
        <v>6</v>
      </c>
      <c r="AS702" s="91">
        <v>7</v>
      </c>
      <c r="AT702" s="91">
        <v>8</v>
      </c>
      <c r="AU702" s="91">
        <v>9</v>
      </c>
      <c r="AV702" s="102">
        <v>0</v>
      </c>
      <c r="AW702" s="102">
        <v>1</v>
      </c>
      <c r="AX702" s="102">
        <v>2</v>
      </c>
      <c r="AY702" s="102">
        <v>3</v>
      </c>
      <c r="AZ702" s="102">
        <v>4</v>
      </c>
      <c r="BA702" s="102">
        <v>5</v>
      </c>
      <c r="BB702" s="102">
        <v>6</v>
      </c>
      <c r="BC702" s="102">
        <v>7</v>
      </c>
      <c r="BD702" s="102">
        <v>8</v>
      </c>
      <c r="BE702" s="102">
        <v>9</v>
      </c>
      <c r="BF702" s="103">
        <v>0</v>
      </c>
      <c r="BG702" s="103">
        <v>1</v>
      </c>
      <c r="BH702" s="103">
        <v>2</v>
      </c>
      <c r="BI702" s="103">
        <v>3</v>
      </c>
      <c r="BJ702" s="103">
        <v>4</v>
      </c>
      <c r="BK702" s="103">
        <v>5</v>
      </c>
      <c r="BL702" s="103">
        <v>6</v>
      </c>
      <c r="BM702" s="103">
        <v>7</v>
      </c>
      <c r="BN702" s="103">
        <v>8</v>
      </c>
      <c r="BO702" s="103">
        <v>9</v>
      </c>
      <c r="BP702" s="94" t="str">
        <f t="shared" si="455"/>
        <v>松散型</v>
      </c>
      <c r="BQ702" s="15">
        <f t="shared" si="476"/>
        <v>2</v>
      </c>
      <c r="BR702" s="15">
        <f t="shared" si="477"/>
        <v>7</v>
      </c>
      <c r="BS702" s="20" t="str">
        <f>IF(COUNTIF($W682:$Y682,W702)&gt;0,W702,"")</f>
        <v/>
      </c>
      <c r="BT702" s="21" t="str">
        <f>IF(COUNTIF($W681:$Y681,W702)&gt;0,W702,"")</f>
        <v/>
      </c>
      <c r="BU702" s="21" t="str">
        <f t="array" ref="BU702">_xlfn.TEXTJOIN("",TRUE,IF(ISERROR(FIND(ROW($1:$168)-1,BS702&amp;BT702)),ROW($1:$168)-1,""))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02" s="22" t="str">
        <f t="shared" si="459"/>
        <v>中中中</v>
      </c>
      <c r="BW702" s="23">
        <f>IF(COUNTIF($W682:$Y682,X702)&gt;0,X702,"")</f>
        <v>2</v>
      </c>
      <c r="BX702" s="23" t="str">
        <f>IF(COUNTIF($W681:$Y681,X702)&gt;0,X702,"")</f>
        <v/>
      </c>
      <c r="BY702" s="23" t="str">
        <f t="array" ref="BY702">_xlfn.TEXTJOIN("",TRUE,IF(ISERROR(FIND(ROW($1:$168)-1,BW702&amp;BX702)),ROW($1:$168)-1,""))</f>
        <v>0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02" s="22" t="str">
        <f t="shared" si="460"/>
        <v>复中中</v>
      </c>
      <c r="CA702" s="24">
        <f>IF(COUNTIF($W682:$Y682,Y702)&gt;0,Y702,"")</f>
        <v>5</v>
      </c>
      <c r="CB702" s="24" t="str">
        <f>IF(COUNTIF($W681:$Y681,Y702)&gt;0,Y702,"")</f>
        <v/>
      </c>
      <c r="CC702" s="24" t="str">
        <f t="array" ref="CC702">_xlfn.TEXTJOIN("",TRUE,IF(ISERROR(FIND(ROW($1:$168)-1,CA702&amp;CB702)),ROW($1:$168)-1,""))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02" s="22" t="str">
        <f t="shared" si="462"/>
        <v>复中中</v>
      </c>
      <c r="CE702" s="25" t="str">
        <f t="shared" si="456"/>
        <v>68</v>
      </c>
      <c r="CF702" s="26" t="str">
        <f t="array" ref="CF702">_xlfn.TEXTJOIN("",TRUE,IF(ISNUMBER(FIND(MID(CE682&amp;W682,ROW($1:$162),1),CE702&amp;W702)),MID(CE682&amp;W682,ROW($1:$162),1),""))</f>
        <v>6</v>
      </c>
      <c r="CG702" s="27" t="str">
        <f t="array" ref="CG702">_xlfn.TEXTJOIN("",TRUE,IF(ISERROR(FIND(ROW($1:$168)-1,CE702&amp;CF702)),ROW($1:$168)-1,""))</f>
        <v>0123457910111213141516171819202122232425262728293031323334353637383940414243444546474849505152535455565758596061626364656667697071727374757677787980818283848587888990919293949596979899100101102103104105106107108109110111112113114115116117118119120121122123124125126127128129130131132133134135136137138139140141142143144145146147148149150151152153154155156157158159160161162163164165166167</v>
      </c>
      <c r="CH702" s="28" t="str">
        <f t="shared" si="463"/>
        <v>邻传孤</v>
      </c>
      <c r="CI702" s="29" t="str">
        <f t="shared" si="464"/>
        <v>13</v>
      </c>
      <c r="CJ702" s="29" t="str">
        <f t="array" ref="CJ702">_xlfn.TEXTJOIN("",TRUE,IF(ISNUMBER(FIND(MID(CI682&amp;X682,ROW($1:$162),1),CI702&amp;X702)),MID(CI682&amp;X682,ROW($1:$162),1),""))</f>
        <v>132</v>
      </c>
      <c r="CK702" s="29" t="str">
        <f t="array" ref="CK702">_xlfn.TEXTJOIN("",TRUE,IF(ISERROR(FIND(ROW($1:$168)-1,CI702&amp;CJ702)),ROW($1:$168)-1,""))</f>
        <v>0456789101112141516171819202122232425262728293033343536373839404142434445464748495051525354555657585960616263646566676869707172737475767778798081828384858687888990919293949596979899100101102103104105106107108109110111112113114115116117118119120121122123124125126127128129130133134135136137138139140141142143144145146147148149150151152153154155156157158159160161162163164165166167</v>
      </c>
      <c r="CL702" s="19" t="str">
        <f t="shared" si="465"/>
        <v>邻传孤</v>
      </c>
      <c r="CM702" s="24" t="str">
        <f t="shared" si="466"/>
        <v>46</v>
      </c>
      <c r="CN702" s="24" t="str">
        <f t="array" ref="CN702">_xlfn.TEXTJOIN("",TRUE,IF(ISNUMBER(FIND(MID(CM682&amp;Y682,ROW($1:$162),1),CM702&amp;Y702)),MID(CM682&amp;Y682,ROW($1:$162),1),""))</f>
        <v>4</v>
      </c>
      <c r="CO702" s="24" t="str">
        <f t="array" ref="CO702">_xlfn.TEXTJOIN("",TRUE,IF(ISERROR(FIND(ROW($1:$168)-1,CM702&amp;CN702)),ROW($1:$168)-1,""))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02" s="30" t="str">
        <f t="shared" si="467"/>
        <v>邻传孤</v>
      </c>
    </row>
    <row r="703" s="2" customFormat="1" ht="13" customHeight="1" spans="1:94">
      <c r="A703" s="2">
        <v>692</v>
      </c>
      <c r="B703" s="80" t="s">
        <v>544</v>
      </c>
      <c r="C703" s="8" t="s">
        <v>545</v>
      </c>
      <c r="D703" s="96">
        <f t="shared" si="471"/>
        <v>4</v>
      </c>
      <c r="E703" s="97">
        <f t="shared" si="472"/>
        <v>4</v>
      </c>
      <c r="F703" s="83">
        <f t="shared" si="435"/>
        <v>4</v>
      </c>
      <c r="G703" s="84" t="str">
        <f t="shared" si="436"/>
        <v>紧凑</v>
      </c>
      <c r="H703" s="85" t="s">
        <v>10</v>
      </c>
      <c r="I703" s="85" t="s">
        <v>11</v>
      </c>
      <c r="J703" s="85" t="s">
        <v>12</v>
      </c>
      <c r="K703" s="85" t="s">
        <v>13</v>
      </c>
      <c r="L703" s="98">
        <f>MAX(MID(C703,{1,2,3},1)*1)-MIN(MID(C703,{1,2,3},1)*1)</f>
        <v>1</v>
      </c>
      <c r="M703" s="87">
        <v>0</v>
      </c>
      <c r="N703" s="87">
        <v>1</v>
      </c>
      <c r="O703" s="87">
        <v>2</v>
      </c>
      <c r="P703" s="87">
        <v>3</v>
      </c>
      <c r="Q703" s="87">
        <v>4</v>
      </c>
      <c r="R703" s="87">
        <v>5</v>
      </c>
      <c r="S703" s="87">
        <v>6</v>
      </c>
      <c r="T703" s="87">
        <v>7</v>
      </c>
      <c r="U703" s="87">
        <v>8</v>
      </c>
      <c r="V703" s="87">
        <v>9</v>
      </c>
      <c r="W703" s="99">
        <f t="shared" si="473"/>
        <v>1</v>
      </c>
      <c r="X703" s="99">
        <f t="shared" si="474"/>
        <v>0</v>
      </c>
      <c r="Y703" s="99">
        <f t="shared" si="475"/>
        <v>1</v>
      </c>
      <c r="Z703" s="89">
        <f t="shared" si="454"/>
        <v>2</v>
      </c>
      <c r="AA703" s="100" t="str">
        <f>_xlfn.TEXTJOIN(", ",TRUE,ABS(MID(C703,{1,1,2},1)-MID(C703,{2,3,3},1)))</f>
        <v>1, 0, 1</v>
      </c>
      <c r="AB703" s="101">
        <v>0</v>
      </c>
      <c r="AC703" s="101">
        <v>1</v>
      </c>
      <c r="AD703" s="101">
        <v>2</v>
      </c>
      <c r="AE703" s="101">
        <v>3</v>
      </c>
      <c r="AF703" s="101">
        <v>4</v>
      </c>
      <c r="AG703" s="101">
        <v>5</v>
      </c>
      <c r="AH703" s="101">
        <v>6</v>
      </c>
      <c r="AI703" s="101">
        <v>7</v>
      </c>
      <c r="AJ703" s="101">
        <v>8</v>
      </c>
      <c r="AK703" s="101">
        <v>9</v>
      </c>
      <c r="AL703" s="91">
        <v>0</v>
      </c>
      <c r="AM703" s="91">
        <v>1</v>
      </c>
      <c r="AN703" s="91">
        <v>2</v>
      </c>
      <c r="AO703" s="91">
        <v>3</v>
      </c>
      <c r="AP703" s="91">
        <v>4</v>
      </c>
      <c r="AQ703" s="91">
        <v>5</v>
      </c>
      <c r="AR703" s="91">
        <v>6</v>
      </c>
      <c r="AS703" s="91">
        <v>7</v>
      </c>
      <c r="AT703" s="91">
        <v>8</v>
      </c>
      <c r="AU703" s="91">
        <v>9</v>
      </c>
      <c r="AV703" s="102">
        <v>0</v>
      </c>
      <c r="AW703" s="102">
        <v>1</v>
      </c>
      <c r="AX703" s="102">
        <v>2</v>
      </c>
      <c r="AY703" s="102">
        <v>3</v>
      </c>
      <c r="AZ703" s="102">
        <v>4</v>
      </c>
      <c r="BA703" s="102">
        <v>5</v>
      </c>
      <c r="BB703" s="102">
        <v>6</v>
      </c>
      <c r="BC703" s="102">
        <v>7</v>
      </c>
      <c r="BD703" s="102">
        <v>8</v>
      </c>
      <c r="BE703" s="102">
        <v>9</v>
      </c>
      <c r="BF703" s="103">
        <v>0</v>
      </c>
      <c r="BG703" s="103">
        <v>1</v>
      </c>
      <c r="BH703" s="103">
        <v>2</v>
      </c>
      <c r="BI703" s="103">
        <v>3</v>
      </c>
      <c r="BJ703" s="103">
        <v>4</v>
      </c>
      <c r="BK703" s="103">
        <v>5</v>
      </c>
      <c r="BL703" s="103">
        <v>6</v>
      </c>
      <c r="BM703" s="103">
        <v>7</v>
      </c>
      <c r="BN703" s="103">
        <v>8</v>
      </c>
      <c r="BO703" s="103">
        <v>9</v>
      </c>
      <c r="BP703" s="94" t="str">
        <f t="shared" si="455"/>
        <v>紧凑型</v>
      </c>
      <c r="BQ703" s="15">
        <f t="shared" si="476"/>
        <v>0</v>
      </c>
      <c r="BR703" s="15">
        <f t="shared" si="477"/>
        <v>1</v>
      </c>
      <c r="BS703" s="20" t="str">
        <f>IF(COUNTIF($W682:$Y682,W703)&gt;0,W703,"")</f>
        <v/>
      </c>
      <c r="BT703" s="21">
        <f>IF(COUNTIF($W681:$Y681,W703)&gt;0,W703,"")</f>
        <v>1</v>
      </c>
      <c r="BU703" s="21" t="str">
        <f t="array" ref="BU703">_xlfn.TEXTJOIN("",TRUE,IF(ISERROR(FIND(ROW($1:$168)-1,BS703&amp;BT703)),ROW($1:$168)-1,""))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03" s="22" t="str">
        <f t="shared" si="459"/>
        <v>中隔中</v>
      </c>
      <c r="BW703" s="23" t="str">
        <f>IF(COUNTIF($W682:$Y682,X703)&gt;0,X703,"")</f>
        <v/>
      </c>
      <c r="BX703" s="23">
        <f>IF(COUNTIF($W681:$Y681,X703)&gt;0,X703,"")</f>
        <v>0</v>
      </c>
      <c r="BY703" s="23" t="str">
        <f t="array" ref="BY703">_xlfn.TEXTJOIN("",TRUE,IF(ISERROR(FIND(ROW($1:$168)-1,BW703&amp;BX703)),ROW($1:$168)-1,""))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03" s="22" t="str">
        <f t="shared" si="460"/>
        <v>中隔中</v>
      </c>
      <c r="CA703" s="24" t="str">
        <f>IF(COUNTIF($W682:$Y682,Y703)&gt;0,Y703,"")</f>
        <v/>
      </c>
      <c r="CB703" s="24">
        <f>IF(COUNTIF($W681:$Y681,Y703)&gt;0,Y703,"")</f>
        <v>1</v>
      </c>
      <c r="CC703" s="24" t="str">
        <f t="array" ref="CC703">_xlfn.TEXTJOIN("",TRUE,IF(ISERROR(FIND(ROW($1:$168)-1,CA703&amp;CB703)),ROW($1:$168)-1,""))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03" s="22" t="str">
        <f t="shared" si="462"/>
        <v>中隔中</v>
      </c>
      <c r="CE703" s="25" t="str">
        <f t="shared" si="456"/>
        <v>02</v>
      </c>
      <c r="CF703" s="26" t="str">
        <f t="array" ref="CF703">_xlfn.TEXTJOIN("",TRUE,IF(ISNUMBER(FIND(MID(CE682&amp;W682,ROW($1:$162),1),CE703&amp;W703)),MID(CE682&amp;W682,ROW($1:$162),1),""))</f>
        <v/>
      </c>
      <c r="CG703" s="27" t="str">
        <f t="array" ref="CG703">_xlfn.TEXTJOIN("",TRUE,IF(ISERROR(FIND(ROW($1:$168)-1,CE703&amp;CF703)),ROW($1:$168)-1,""))</f>
        <v>1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03" s="28" t="str">
        <f t="shared" si="463"/>
        <v>邻孤孤</v>
      </c>
      <c r="CI703" s="29" t="str">
        <f t="shared" si="464"/>
        <v>91</v>
      </c>
      <c r="CJ703" s="29" t="str">
        <f t="array" ref="CJ703">_xlfn.TEXTJOIN("",TRUE,IF(ISNUMBER(FIND(MID(CI682&amp;X682,ROW($1:$162),1),CI703&amp;X703)),MID(CI682&amp;X682,ROW($1:$162),1),""))</f>
        <v>1</v>
      </c>
      <c r="CK703" s="29" t="str">
        <f t="array" ref="CK703">_xlfn.TEXTJOIN("",TRUE,IF(ISERROR(FIND(ROW($1:$168)-1,CI703&amp;CJ703)),ROW($1:$168)-1,""))</f>
        <v>0234567810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L703" s="19" t="str">
        <f t="shared" si="465"/>
        <v>邻传孤</v>
      </c>
      <c r="CM703" s="24" t="str">
        <f t="shared" si="466"/>
        <v>02</v>
      </c>
      <c r="CN703" s="24" t="str">
        <f t="array" ref="CN703">_xlfn.TEXTJOIN("",TRUE,IF(ISNUMBER(FIND(MID(CM682&amp;Y682,ROW($1:$162),1),CM703&amp;Y703)),MID(CM682&amp;Y682,ROW($1:$162),1),""))</f>
        <v>2</v>
      </c>
      <c r="CO703" s="24" t="str">
        <f t="array" ref="CO703">_xlfn.TEXTJOIN("",TRUE,IF(ISERROR(FIND(ROW($1:$168)-1,CM703&amp;CN703)),ROW($1:$168)-1,""))</f>
        <v>13456789101112131415161718192021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03" s="30" t="str">
        <f t="shared" si="467"/>
        <v>邻传孤</v>
      </c>
    </row>
    <row r="704" s="2" customFormat="1" ht="13" customHeight="1" spans="1:94">
      <c r="A704" s="2">
        <v>692</v>
      </c>
      <c r="B704" s="80" t="s">
        <v>546</v>
      </c>
      <c r="C704" s="8" t="s">
        <v>45</v>
      </c>
      <c r="D704" s="96">
        <f t="shared" si="471"/>
        <v>19</v>
      </c>
      <c r="E704" s="97">
        <f t="shared" si="472"/>
        <v>9</v>
      </c>
      <c r="F704" s="83">
        <f t="shared" si="435"/>
        <v>4.75</v>
      </c>
      <c r="G704" s="84" t="str">
        <f t="shared" si="436"/>
        <v>紧凑</v>
      </c>
      <c r="H704" s="85" t="s">
        <v>10</v>
      </c>
      <c r="I704" s="85" t="s">
        <v>11</v>
      </c>
      <c r="J704" s="85" t="s">
        <v>12</v>
      </c>
      <c r="K704" s="85" t="s">
        <v>13</v>
      </c>
      <c r="L704" s="98">
        <f>MAX(MID(C704,{1,2,3},1)*1)-MIN(MID(C704,{1,2,3},1)*1)</f>
        <v>4</v>
      </c>
      <c r="M704" s="87">
        <v>0</v>
      </c>
      <c r="N704" s="87">
        <v>1</v>
      </c>
      <c r="O704" s="87">
        <v>2</v>
      </c>
      <c r="P704" s="87">
        <v>3</v>
      </c>
      <c r="Q704" s="87">
        <v>4</v>
      </c>
      <c r="R704" s="87">
        <v>5</v>
      </c>
      <c r="S704" s="87">
        <v>6</v>
      </c>
      <c r="T704" s="87">
        <v>7</v>
      </c>
      <c r="U704" s="87">
        <v>8</v>
      </c>
      <c r="V704" s="87">
        <v>9</v>
      </c>
      <c r="W704" s="99">
        <f t="shared" si="473"/>
        <v>4</v>
      </c>
      <c r="X704" s="99">
        <f t="shared" si="474"/>
        <v>1</v>
      </c>
      <c r="Y704" s="99">
        <f t="shared" si="475"/>
        <v>3</v>
      </c>
      <c r="Z704" s="89">
        <f t="shared" si="454"/>
        <v>8</v>
      </c>
      <c r="AA704" s="100" t="str">
        <f>_xlfn.TEXTJOIN(", ",TRUE,ABS(MID(C704,{1,1,2},1)-MID(C704,{2,3,3},1)))</f>
        <v>4, 1, 3</v>
      </c>
      <c r="AB704" s="101">
        <v>0</v>
      </c>
      <c r="AC704" s="101">
        <v>1</v>
      </c>
      <c r="AD704" s="101">
        <v>2</v>
      </c>
      <c r="AE704" s="101">
        <v>3</v>
      </c>
      <c r="AF704" s="101">
        <v>4</v>
      </c>
      <c r="AG704" s="101">
        <v>5</v>
      </c>
      <c r="AH704" s="101">
        <v>6</v>
      </c>
      <c r="AI704" s="101">
        <v>7</v>
      </c>
      <c r="AJ704" s="101">
        <v>8</v>
      </c>
      <c r="AK704" s="101">
        <v>9</v>
      </c>
      <c r="AL704" s="91">
        <v>0</v>
      </c>
      <c r="AM704" s="91">
        <v>1</v>
      </c>
      <c r="AN704" s="91">
        <v>2</v>
      </c>
      <c r="AO704" s="91">
        <v>3</v>
      </c>
      <c r="AP704" s="91">
        <v>4</v>
      </c>
      <c r="AQ704" s="91">
        <v>5</v>
      </c>
      <c r="AR704" s="91">
        <v>6</v>
      </c>
      <c r="AS704" s="91">
        <v>7</v>
      </c>
      <c r="AT704" s="91">
        <v>8</v>
      </c>
      <c r="AU704" s="91">
        <v>9</v>
      </c>
      <c r="AV704" s="102">
        <v>0</v>
      </c>
      <c r="AW704" s="102">
        <v>1</v>
      </c>
      <c r="AX704" s="102">
        <v>2</v>
      </c>
      <c r="AY704" s="102">
        <v>3</v>
      </c>
      <c r="AZ704" s="102">
        <v>4</v>
      </c>
      <c r="BA704" s="102">
        <v>5</v>
      </c>
      <c r="BB704" s="102">
        <v>6</v>
      </c>
      <c r="BC704" s="102">
        <v>7</v>
      </c>
      <c r="BD704" s="102">
        <v>8</v>
      </c>
      <c r="BE704" s="102">
        <v>9</v>
      </c>
      <c r="BF704" s="103">
        <v>0</v>
      </c>
      <c r="BG704" s="103">
        <v>1</v>
      </c>
      <c r="BH704" s="103">
        <v>2</v>
      </c>
      <c r="BI704" s="103">
        <v>3</v>
      </c>
      <c r="BJ704" s="103">
        <v>4</v>
      </c>
      <c r="BK704" s="103">
        <v>5</v>
      </c>
      <c r="BL704" s="103">
        <v>6</v>
      </c>
      <c r="BM704" s="103">
        <v>7</v>
      </c>
      <c r="BN704" s="103">
        <v>8</v>
      </c>
      <c r="BO704" s="103">
        <v>9</v>
      </c>
      <c r="BP704" s="94" t="str">
        <f t="shared" si="455"/>
        <v>紧凑型</v>
      </c>
      <c r="BQ704" s="15">
        <f t="shared" si="476"/>
        <v>1</v>
      </c>
      <c r="BR704" s="15">
        <f t="shared" si="477"/>
        <v>4</v>
      </c>
      <c r="BS704" s="20" t="str">
        <f>IF(COUNTIF($W682:$Y682,W704)&gt;0,W704,"")</f>
        <v/>
      </c>
      <c r="BT704" s="21" t="str">
        <f>IF(COUNTIF($W681:$Y681,W704)&gt;0,W704,"")</f>
        <v/>
      </c>
      <c r="BU704" s="21" t="str">
        <f t="array" ref="BU704">_xlfn.TEXTJOIN("",TRUE,IF(ISERROR(FIND(ROW($1:$168)-1,BS704&amp;BT704)),ROW($1:$168)-1,""))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04" s="22" t="str">
        <f t="shared" si="459"/>
        <v>中中中</v>
      </c>
      <c r="BW704" s="23" t="str">
        <f>IF(COUNTIF($W682:$Y682,X704)&gt;0,X704,"")</f>
        <v/>
      </c>
      <c r="BX704" s="23">
        <f>IF(COUNTIF($W681:$Y681,X704)&gt;0,X704,"")</f>
        <v>1</v>
      </c>
      <c r="BY704" s="23" t="str">
        <f t="array" ref="BY704">_xlfn.TEXTJOIN("",TRUE,IF(ISERROR(FIND(ROW($1:$168)-1,BW704&amp;BX704)),ROW($1:$168)-1,""))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04" s="22" t="str">
        <f t="shared" si="460"/>
        <v>中隔中</v>
      </c>
      <c r="CA704" s="24">
        <f>IF(COUNTIF($W682:$Y682,Y704)&gt;0,Y704,"")</f>
        <v>3</v>
      </c>
      <c r="CB704" s="24" t="str">
        <f>IF(COUNTIF($W681:$Y681,Y704)&gt;0,Y704,"")</f>
        <v/>
      </c>
      <c r="CC704" s="24" t="str">
        <f t="array" ref="CC704">_xlfn.TEXTJOIN("",TRUE,IF(ISERROR(FIND(ROW($1:$168)-1,CA704&amp;CB704)),ROW($1:$168)-1,""))</f>
        <v>012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04" s="22" t="str">
        <f t="shared" si="462"/>
        <v>复中中</v>
      </c>
      <c r="CE704" s="25" t="str">
        <f t="shared" si="456"/>
        <v>35</v>
      </c>
      <c r="CF704" s="26" t="str">
        <f t="array" ref="CF704">_xlfn.TEXTJOIN("",TRUE,IF(ISNUMBER(FIND(MID(CE682&amp;W682,ROW($1:$162),1),CE704&amp;W704)),MID(CE682&amp;W682,ROW($1:$162),1),""))</f>
        <v>45</v>
      </c>
      <c r="CG704" s="27" t="str">
        <f t="array" ref="CG704">_xlfn.TEXTJOIN("",TRUE,IF(ISERROR(FIND(ROW($1:$168)-1,CE704&amp;CF704)),ROW($1:$168)-1,""))</f>
        <v>012678910111213141516171819202122232425262728293031323334363738394041424344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04" s="28" t="str">
        <f t="shared" si="463"/>
        <v>邻传孤</v>
      </c>
      <c r="CI704" s="29" t="str">
        <f t="shared" si="464"/>
        <v>02</v>
      </c>
      <c r="CJ704" s="29" t="str">
        <f t="array" ref="CJ704">_xlfn.TEXTJOIN("",TRUE,IF(ISNUMBER(FIND(MID(CI682&amp;X682,ROW($1:$162),1),CI704&amp;X704)),MID(CI682&amp;X682,ROW($1:$162),1),""))</f>
        <v>12</v>
      </c>
      <c r="CK704" s="29" t="str">
        <f t="array" ref="CK704">_xlfn.TEXTJOIN("",TRUE,IF(ISERROR(FIND(ROW($1:$168)-1,CI704&amp;CJ704)),ROW($1:$168)-1,""))</f>
        <v>345678910111314151617181920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04" s="19" t="str">
        <f t="shared" si="465"/>
        <v>邻传孤</v>
      </c>
      <c r="CM704" s="24" t="str">
        <f t="shared" si="466"/>
        <v>24</v>
      </c>
      <c r="CN704" s="24" t="str">
        <f t="array" ref="CN704">_xlfn.TEXTJOIN("",TRUE,IF(ISNUMBER(FIND(MID(CM682&amp;Y682,ROW($1:$162),1),CM704&amp;Y704)),MID(CM682&amp;Y682,ROW($1:$162),1),""))</f>
        <v>243</v>
      </c>
      <c r="CO704" s="24" t="str">
        <f t="array" ref="CO704">_xlfn.TEXTJOIN("",TRUE,IF(ISERROR(FIND(ROW($1:$168)-1,CM704&amp;CN704)),ROW($1:$168)-1,""))</f>
        <v>015678910111213141516171819202122232526272829303132333435363738394041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04" s="30" t="str">
        <f t="shared" si="467"/>
        <v>邻传孤</v>
      </c>
    </row>
    <row r="705" s="2" customFormat="1" ht="13" customHeight="1" spans="1:94">
      <c r="A705" s="2">
        <v>692</v>
      </c>
      <c r="B705" s="80" t="s">
        <v>547</v>
      </c>
      <c r="C705" s="8" t="s">
        <v>548</v>
      </c>
      <c r="D705" s="96">
        <f t="shared" si="471"/>
        <v>10</v>
      </c>
      <c r="E705" s="97">
        <f t="shared" si="472"/>
        <v>0</v>
      </c>
      <c r="F705" s="83">
        <f t="shared" si="435"/>
        <v>2.5</v>
      </c>
      <c r="G705" s="84" t="str">
        <f t="shared" si="436"/>
        <v>标准</v>
      </c>
      <c r="H705" s="85" t="s">
        <v>10</v>
      </c>
      <c r="I705" s="85" t="s">
        <v>11</v>
      </c>
      <c r="J705" s="85" t="s">
        <v>12</v>
      </c>
      <c r="K705" s="85" t="s">
        <v>13</v>
      </c>
      <c r="L705" s="98">
        <f>MAX(MID(C705,{1,2,3},1)*1)-MIN(MID(C705,{1,2,3},1)*1)</f>
        <v>4</v>
      </c>
      <c r="M705" s="87">
        <v>0</v>
      </c>
      <c r="N705" s="87">
        <v>1</v>
      </c>
      <c r="O705" s="87">
        <v>2</v>
      </c>
      <c r="P705" s="87">
        <v>3</v>
      </c>
      <c r="Q705" s="87">
        <v>4</v>
      </c>
      <c r="R705" s="87">
        <v>5</v>
      </c>
      <c r="S705" s="87">
        <v>6</v>
      </c>
      <c r="T705" s="87">
        <v>7</v>
      </c>
      <c r="U705" s="87">
        <v>8</v>
      </c>
      <c r="V705" s="87">
        <v>9</v>
      </c>
      <c r="W705" s="99">
        <f t="shared" si="473"/>
        <v>0</v>
      </c>
      <c r="X705" s="99">
        <f t="shared" si="474"/>
        <v>4</v>
      </c>
      <c r="Y705" s="99">
        <f t="shared" si="475"/>
        <v>4</v>
      </c>
      <c r="Z705" s="89">
        <f t="shared" si="454"/>
        <v>8</v>
      </c>
      <c r="AA705" s="100" t="str">
        <f>_xlfn.TEXTJOIN(", ",TRUE,ABS(MID(C705,{1,1,2},1)-MID(C705,{2,3,3},1)))</f>
        <v>0, 4, 4</v>
      </c>
      <c r="AB705" s="101">
        <v>0</v>
      </c>
      <c r="AC705" s="101">
        <v>1</v>
      </c>
      <c r="AD705" s="101">
        <v>2</v>
      </c>
      <c r="AE705" s="101">
        <v>3</v>
      </c>
      <c r="AF705" s="101">
        <v>4</v>
      </c>
      <c r="AG705" s="101">
        <v>5</v>
      </c>
      <c r="AH705" s="101">
        <v>6</v>
      </c>
      <c r="AI705" s="101">
        <v>7</v>
      </c>
      <c r="AJ705" s="101">
        <v>8</v>
      </c>
      <c r="AK705" s="101">
        <v>9</v>
      </c>
      <c r="AL705" s="91">
        <v>0</v>
      </c>
      <c r="AM705" s="91">
        <v>1</v>
      </c>
      <c r="AN705" s="91">
        <v>2</v>
      </c>
      <c r="AO705" s="91">
        <v>3</v>
      </c>
      <c r="AP705" s="91">
        <v>4</v>
      </c>
      <c r="AQ705" s="91">
        <v>5</v>
      </c>
      <c r="AR705" s="91">
        <v>6</v>
      </c>
      <c r="AS705" s="91">
        <v>7</v>
      </c>
      <c r="AT705" s="91">
        <v>8</v>
      </c>
      <c r="AU705" s="91">
        <v>9</v>
      </c>
      <c r="AV705" s="102">
        <v>0</v>
      </c>
      <c r="AW705" s="102">
        <v>1</v>
      </c>
      <c r="AX705" s="102">
        <v>2</v>
      </c>
      <c r="AY705" s="102">
        <v>3</v>
      </c>
      <c r="AZ705" s="102">
        <v>4</v>
      </c>
      <c r="BA705" s="102">
        <v>5</v>
      </c>
      <c r="BB705" s="102">
        <v>6</v>
      </c>
      <c r="BC705" s="102">
        <v>7</v>
      </c>
      <c r="BD705" s="102">
        <v>8</v>
      </c>
      <c r="BE705" s="102">
        <v>9</v>
      </c>
      <c r="BF705" s="103">
        <v>0</v>
      </c>
      <c r="BG705" s="103">
        <v>1</v>
      </c>
      <c r="BH705" s="103">
        <v>2</v>
      </c>
      <c r="BI705" s="103">
        <v>3</v>
      </c>
      <c r="BJ705" s="103">
        <v>4</v>
      </c>
      <c r="BK705" s="103">
        <v>5</v>
      </c>
      <c r="BL705" s="103">
        <v>6</v>
      </c>
      <c r="BM705" s="103">
        <v>7</v>
      </c>
      <c r="BN705" s="103">
        <v>8</v>
      </c>
      <c r="BO705" s="103">
        <v>9</v>
      </c>
      <c r="BP705" s="94" t="str">
        <f t="shared" si="455"/>
        <v>紧凑型</v>
      </c>
      <c r="BQ705" s="15">
        <f t="shared" si="476"/>
        <v>0</v>
      </c>
      <c r="BR705" s="15">
        <f t="shared" si="477"/>
        <v>4</v>
      </c>
      <c r="BS705" s="20" t="str">
        <f>IF(COUNTIF($W682:$Y682,W705)&gt;0,W705,"")</f>
        <v/>
      </c>
      <c r="BT705" s="21">
        <f>IF(COUNTIF($W681:$Y681,W705)&gt;0,W705,"")</f>
        <v>0</v>
      </c>
      <c r="BU705" s="21" t="str">
        <f t="array" ref="BU705">_xlfn.TEXTJOIN("",TRUE,IF(ISERROR(FIND(ROW($1:$168)-1,BS705&amp;BT705)),ROW($1:$168)-1,""))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05" s="22" t="str">
        <f t="shared" si="459"/>
        <v>中隔中</v>
      </c>
      <c r="BW705" s="23" t="str">
        <f>IF(COUNTIF($W682:$Y682,X705)&gt;0,X705,"")</f>
        <v/>
      </c>
      <c r="BX705" s="23" t="str">
        <f>IF(COUNTIF($W681:$Y681,X705)&gt;0,X705,"")</f>
        <v/>
      </c>
      <c r="BY705" s="23" t="str">
        <f t="array" ref="BY705">_xlfn.TEXTJOIN("",TRUE,IF(ISERROR(FIND(ROW($1:$168)-1,BW705&amp;BX705)),ROW($1:$168)-1,""))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05" s="22" t="str">
        <f t="shared" si="460"/>
        <v>中中中</v>
      </c>
      <c r="CA705" s="24" t="str">
        <f>IF(COUNTIF($W682:$Y682,Y705)&gt;0,Y705,"")</f>
        <v/>
      </c>
      <c r="CB705" s="24" t="str">
        <f>IF(COUNTIF($W681:$Y681,Y705)&gt;0,Y705,"")</f>
        <v/>
      </c>
      <c r="CC705" s="24" t="str">
        <f t="array" ref="CC705">_xlfn.TEXTJOIN("",TRUE,IF(ISERROR(FIND(ROW($1:$168)-1,CA705&amp;CB705)),ROW($1:$168)-1,""))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05" s="22" t="str">
        <f t="shared" si="462"/>
        <v>中中中</v>
      </c>
      <c r="CE705" s="25" t="str">
        <f t="shared" si="456"/>
        <v>91</v>
      </c>
      <c r="CF705" s="26" t="str">
        <f t="array" ref="CF705">_xlfn.TEXTJOIN("",TRUE,IF(ISNUMBER(FIND(MID(CE682&amp;W682,ROW($1:$162),1),CE705&amp;W705)),MID(CE682&amp;W682,ROW($1:$162),1),""))</f>
        <v/>
      </c>
      <c r="CG705" s="27" t="str">
        <f t="array" ref="CG705">_xlfn.TEXTJOIN("",TRUE,IF(ISERROR(FIND(ROW($1:$168)-1,CE705&amp;CF705)),ROW($1:$168)-1,""))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705" s="28" t="str">
        <f t="shared" si="463"/>
        <v>邻孤孤</v>
      </c>
      <c r="CI705" s="29" t="str">
        <f t="shared" si="464"/>
        <v>35</v>
      </c>
      <c r="CJ705" s="29" t="str">
        <f t="array" ref="CJ705">_xlfn.TEXTJOIN("",TRUE,IF(ISNUMBER(FIND(MID(CI682&amp;X682,ROW($1:$162),1),CI705&amp;X705)),MID(CI682&amp;X682,ROW($1:$162),1),""))</f>
        <v>3</v>
      </c>
      <c r="CK705" s="29" t="str">
        <f t="array" ref="CK705">_xlfn.TEXTJOIN("",TRUE,IF(ISERROR(FIND(ROW($1:$168)-1,CI705&amp;CJ705)),ROW($1:$168)-1,""))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05" s="19" t="str">
        <f t="shared" si="465"/>
        <v>邻传孤</v>
      </c>
      <c r="CM705" s="24" t="str">
        <f t="shared" si="466"/>
        <v>35</v>
      </c>
      <c r="CN705" s="24" t="str">
        <f t="array" ref="CN705">_xlfn.TEXTJOIN("",TRUE,IF(ISNUMBER(FIND(MID(CM682&amp;Y682,ROW($1:$162),1),CM705&amp;Y705)),MID(CM682&amp;Y682,ROW($1:$162),1),""))</f>
        <v>43</v>
      </c>
      <c r="CO705" s="24" t="str">
        <f t="array" ref="CO705">_xlfn.TEXTJOIN("",TRUE,IF(ISERROR(FIND(ROW($1:$168)-1,CM705&amp;CN705)),ROW($1:$168)-1,""))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05" s="30" t="str">
        <f t="shared" si="467"/>
        <v>邻传孤</v>
      </c>
    </row>
    <row r="706" s="2" customFormat="1" spans="1:94">
      <c r="A706" s="2">
        <v>693</v>
      </c>
      <c r="B706" s="80" t="s">
        <v>549</v>
      </c>
      <c r="C706" s="8" t="s">
        <v>550</v>
      </c>
      <c r="D706" s="96">
        <f t="shared" si="471"/>
        <v>11</v>
      </c>
      <c r="E706" s="97">
        <f t="shared" si="472"/>
        <v>1</v>
      </c>
      <c r="F706" s="83">
        <f t="shared" si="435"/>
        <v>2.75</v>
      </c>
      <c r="G706" s="84" t="str">
        <f t="shared" si="436"/>
        <v>标准</v>
      </c>
      <c r="H706" s="85" t="s">
        <v>10</v>
      </c>
      <c r="I706" s="85" t="s">
        <v>11</v>
      </c>
      <c r="J706" s="104" t="s">
        <v>12</v>
      </c>
      <c r="K706" s="85" t="s">
        <v>13</v>
      </c>
      <c r="L706" s="98">
        <f>MAX(MID(C706,{1,2,3},1)*1)-MIN(MID(C706,{1,2,3},1)*1)</f>
        <v>4</v>
      </c>
      <c r="M706" s="87">
        <v>0</v>
      </c>
      <c r="N706" s="87">
        <v>1</v>
      </c>
      <c r="O706" s="87">
        <v>2</v>
      </c>
      <c r="P706" s="87">
        <v>3</v>
      </c>
      <c r="Q706" s="87">
        <v>4</v>
      </c>
      <c r="R706" s="87">
        <v>5</v>
      </c>
      <c r="S706" s="87">
        <v>6</v>
      </c>
      <c r="T706" s="87">
        <v>7</v>
      </c>
      <c r="U706" s="87">
        <v>8</v>
      </c>
      <c r="V706" s="87">
        <v>9</v>
      </c>
      <c r="W706" s="99">
        <f t="shared" si="473"/>
        <v>0</v>
      </c>
      <c r="X706" s="99">
        <f t="shared" si="474"/>
        <v>4</v>
      </c>
      <c r="Y706" s="99">
        <f t="shared" si="475"/>
        <v>4</v>
      </c>
      <c r="Z706" s="89">
        <f t="shared" si="454"/>
        <v>8</v>
      </c>
      <c r="AA706" s="100" t="str">
        <f>_xlfn.TEXTJOIN(", ",TRUE,ABS(MID(C706,{1,1,2},1)-MID(C706,{2,3,3},1)))</f>
        <v>0, 4, 4</v>
      </c>
      <c r="AB706" s="101">
        <v>0</v>
      </c>
      <c r="AC706" s="101">
        <v>1</v>
      </c>
      <c r="AD706" s="101">
        <v>2</v>
      </c>
      <c r="AE706" s="101">
        <v>3</v>
      </c>
      <c r="AF706" s="101">
        <v>4</v>
      </c>
      <c r="AG706" s="101">
        <v>5</v>
      </c>
      <c r="AH706" s="101">
        <v>6</v>
      </c>
      <c r="AI706" s="101">
        <v>7</v>
      </c>
      <c r="AJ706" s="101">
        <v>8</v>
      </c>
      <c r="AK706" s="101">
        <v>9</v>
      </c>
      <c r="AL706" s="91">
        <v>0</v>
      </c>
      <c r="AM706" s="91">
        <v>1</v>
      </c>
      <c r="AN706" s="91">
        <v>2</v>
      </c>
      <c r="AO706" s="91">
        <v>3</v>
      </c>
      <c r="AP706" s="91">
        <v>4</v>
      </c>
      <c r="AQ706" s="91">
        <v>5</v>
      </c>
      <c r="AR706" s="91">
        <v>6</v>
      </c>
      <c r="AS706" s="91">
        <v>7</v>
      </c>
      <c r="AT706" s="91">
        <v>8</v>
      </c>
      <c r="AU706" s="91">
        <v>9</v>
      </c>
      <c r="AV706" s="102">
        <v>0</v>
      </c>
      <c r="AW706" s="102">
        <v>1</v>
      </c>
      <c r="AX706" s="102">
        <v>2</v>
      </c>
      <c r="AY706" s="102">
        <v>3</v>
      </c>
      <c r="AZ706" s="102">
        <v>4</v>
      </c>
      <c r="BA706" s="102">
        <v>5</v>
      </c>
      <c r="BB706" s="102">
        <v>6</v>
      </c>
      <c r="BC706" s="102">
        <v>7</v>
      </c>
      <c r="BD706" s="102">
        <v>8</v>
      </c>
      <c r="BE706" s="102">
        <v>9</v>
      </c>
      <c r="BF706" s="103">
        <v>0</v>
      </c>
      <c r="BG706" s="103">
        <v>1</v>
      </c>
      <c r="BH706" s="103">
        <v>2</v>
      </c>
      <c r="BI706" s="103">
        <v>3</v>
      </c>
      <c r="BJ706" s="103">
        <v>4</v>
      </c>
      <c r="BK706" s="103">
        <v>5</v>
      </c>
      <c r="BL706" s="103">
        <v>6</v>
      </c>
      <c r="BM706" s="103">
        <v>7</v>
      </c>
      <c r="BN706" s="103">
        <v>8</v>
      </c>
      <c r="BO706" s="103">
        <v>9</v>
      </c>
      <c r="BP706" s="94" t="str">
        <f t="shared" si="455"/>
        <v>紧凑型</v>
      </c>
      <c r="BQ706" s="15">
        <f t="shared" si="476"/>
        <v>0</v>
      </c>
      <c r="BR706" s="15">
        <f t="shared" si="477"/>
        <v>4</v>
      </c>
      <c r="BS706" s="20" t="str">
        <f>IF(COUNTIF($W682:$Y682,W706)&gt;0,W706,"")</f>
        <v/>
      </c>
      <c r="BT706" s="21">
        <f>IF(COUNTIF($W681:$Y681,W706)&gt;0,W706,"")</f>
        <v>0</v>
      </c>
      <c r="BU706" s="21" t="str">
        <f t="array" ref="BU706">_xlfn.TEXTJOIN("",TRUE,IF(ISERROR(FIND(ROW($1:$168)-1,BS706&amp;BT706)),ROW($1:$168)-1,""))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06" s="22" t="str">
        <f t="shared" si="459"/>
        <v>中隔中</v>
      </c>
      <c r="BW706" s="23" t="str">
        <f>IF(COUNTIF($W682:$Y682,X706)&gt;0,X706,"")</f>
        <v/>
      </c>
      <c r="BX706" s="23" t="str">
        <f>IF(COUNTIF($W681:$Y681,X706)&gt;0,X706,"")</f>
        <v/>
      </c>
      <c r="BY706" s="23" t="str">
        <f t="array" ref="BY706">_xlfn.TEXTJOIN("",TRUE,IF(ISERROR(FIND(ROW($1:$168)-1,BW706&amp;BX706)),ROW($1:$168)-1,""))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06" s="22" t="str">
        <f t="shared" si="460"/>
        <v>中中中</v>
      </c>
      <c r="CA706" s="24" t="str">
        <f>IF(COUNTIF($W682:$Y682,Y706)&gt;0,Y706,"")</f>
        <v/>
      </c>
      <c r="CB706" s="24" t="str">
        <f>IF(COUNTIF($W681:$Y681,Y706)&gt;0,Y706,"")</f>
        <v/>
      </c>
      <c r="CC706" s="24" t="str">
        <f t="array" ref="CC706">_xlfn.TEXTJOIN("",TRUE,IF(ISERROR(FIND(ROW($1:$168)-1,CA706&amp;CB706)),ROW($1:$168)-1,""))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06" s="22" t="str">
        <f t="shared" si="462"/>
        <v>中中中</v>
      </c>
      <c r="CE706" s="25" t="str">
        <f t="shared" si="456"/>
        <v>91</v>
      </c>
      <c r="CF706" s="26" t="str">
        <f t="array" ref="CF706">_xlfn.TEXTJOIN("",TRUE,IF(ISNUMBER(FIND(MID(CE682&amp;W682,ROW($1:$162),1),CE706&amp;W706)),MID(CE682&amp;W682,ROW($1:$162),1),""))</f>
        <v/>
      </c>
      <c r="CG706" s="27" t="str">
        <f t="array" ref="CG706">_xlfn.TEXTJOIN("",TRUE,IF(ISERROR(FIND(ROW($1:$168)-1,CE706&amp;CF706)),ROW($1:$168)-1,""))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706" s="28" t="str">
        <f t="shared" si="463"/>
        <v>邻孤孤</v>
      </c>
      <c r="CI706" s="29" t="str">
        <f t="shared" si="464"/>
        <v>35</v>
      </c>
      <c r="CJ706" s="29" t="str">
        <f t="array" ref="CJ706">_xlfn.TEXTJOIN("",TRUE,IF(ISNUMBER(FIND(MID(CI682&amp;X682,ROW($1:$162),1),CI706&amp;X706)),MID(CI682&amp;X682,ROW($1:$162),1),""))</f>
        <v>3</v>
      </c>
      <c r="CK706" s="29" t="str">
        <f t="array" ref="CK706">_xlfn.TEXTJOIN("",TRUE,IF(ISERROR(FIND(ROW($1:$168)-1,CI706&amp;CJ706)),ROW($1:$168)-1,""))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06" s="19" t="str">
        <f t="shared" si="465"/>
        <v>邻传孤</v>
      </c>
      <c r="CM706" s="24" t="str">
        <f t="shared" si="466"/>
        <v>35</v>
      </c>
      <c r="CN706" s="24" t="str">
        <f t="array" ref="CN706">_xlfn.TEXTJOIN("",TRUE,IF(ISNUMBER(FIND(MID(CM682&amp;Y682,ROW($1:$162),1),CM706&amp;Y706)),MID(CM682&amp;Y682,ROW($1:$162),1),""))</f>
        <v>43</v>
      </c>
      <c r="CO706" s="24" t="str">
        <f t="array" ref="CO706">_xlfn.TEXTJOIN("",TRUE,IF(ISERROR(FIND(ROW($1:$168)-1,CM706&amp;CN706)),ROW($1:$168)-1,""))</f>
        <v>0126789101112131415161718192021222324252627282930313233343637383940414244454647484950515253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06" s="30" t="str">
        <f t="shared" si="467"/>
        <v>邻传孤</v>
      </c>
    </row>
    <row r="707" s="2" customFormat="1" ht="13" customHeight="1" spans="1:94">
      <c r="A707" s="2">
        <v>692</v>
      </c>
      <c r="B707" s="80" t="s">
        <v>551</v>
      </c>
      <c r="C707" s="8" t="s">
        <v>552</v>
      </c>
      <c r="D707" s="96">
        <f t="shared" si="471"/>
        <v>13</v>
      </c>
      <c r="E707" s="97">
        <f t="shared" si="472"/>
        <v>3</v>
      </c>
      <c r="F707" s="83">
        <f t="shared" si="435"/>
        <v>2.6</v>
      </c>
      <c r="G707" s="84" t="str">
        <f t="shared" si="436"/>
        <v>标准</v>
      </c>
      <c r="H707" s="85" t="s">
        <v>10</v>
      </c>
      <c r="I707" s="85" t="s">
        <v>11</v>
      </c>
      <c r="J707" s="85" t="s">
        <v>12</v>
      </c>
      <c r="K707" s="85" t="s">
        <v>13</v>
      </c>
      <c r="L707" s="98">
        <f>MAX(MID(C707,{1,2,3},1)*1)-MIN(MID(C707,{1,2,3},1)*1)</f>
        <v>5</v>
      </c>
      <c r="M707" s="87">
        <v>0</v>
      </c>
      <c r="N707" s="87">
        <v>1</v>
      </c>
      <c r="O707" s="87">
        <v>2</v>
      </c>
      <c r="P707" s="87">
        <v>3</v>
      </c>
      <c r="Q707" s="87">
        <v>4</v>
      </c>
      <c r="R707" s="87">
        <v>5</v>
      </c>
      <c r="S707" s="87">
        <v>6</v>
      </c>
      <c r="T707" s="87">
        <v>7</v>
      </c>
      <c r="U707" s="87">
        <v>8</v>
      </c>
      <c r="V707" s="87">
        <v>9</v>
      </c>
      <c r="W707" s="99">
        <f t="shared" si="473"/>
        <v>0</v>
      </c>
      <c r="X707" s="99">
        <f t="shared" si="474"/>
        <v>5</v>
      </c>
      <c r="Y707" s="99">
        <f t="shared" si="475"/>
        <v>5</v>
      </c>
      <c r="Z707" s="89">
        <f t="shared" si="454"/>
        <v>10</v>
      </c>
      <c r="AA707" s="100" t="str">
        <f>_xlfn.TEXTJOIN(", ",TRUE,ABS(MID(C707,{1,1,2},1)-MID(C707,{2,3,3},1)))</f>
        <v>0, 5, 5</v>
      </c>
      <c r="AB707" s="101">
        <v>0</v>
      </c>
      <c r="AC707" s="101">
        <v>1</v>
      </c>
      <c r="AD707" s="101">
        <v>2</v>
      </c>
      <c r="AE707" s="101">
        <v>3</v>
      </c>
      <c r="AF707" s="101">
        <v>4</v>
      </c>
      <c r="AG707" s="101">
        <v>5</v>
      </c>
      <c r="AH707" s="101">
        <v>6</v>
      </c>
      <c r="AI707" s="101">
        <v>7</v>
      </c>
      <c r="AJ707" s="101">
        <v>8</v>
      </c>
      <c r="AK707" s="101">
        <v>9</v>
      </c>
      <c r="AL707" s="91">
        <v>0</v>
      </c>
      <c r="AM707" s="91">
        <v>1</v>
      </c>
      <c r="AN707" s="91">
        <v>2</v>
      </c>
      <c r="AO707" s="91">
        <v>3</v>
      </c>
      <c r="AP707" s="91">
        <v>4</v>
      </c>
      <c r="AQ707" s="91">
        <v>5</v>
      </c>
      <c r="AR707" s="91">
        <v>6</v>
      </c>
      <c r="AS707" s="91">
        <v>7</v>
      </c>
      <c r="AT707" s="91">
        <v>8</v>
      </c>
      <c r="AU707" s="91">
        <v>9</v>
      </c>
      <c r="AV707" s="102">
        <v>0</v>
      </c>
      <c r="AW707" s="102">
        <v>1</v>
      </c>
      <c r="AX707" s="102">
        <v>2</v>
      </c>
      <c r="AY707" s="102">
        <v>3</v>
      </c>
      <c r="AZ707" s="102">
        <v>4</v>
      </c>
      <c r="BA707" s="102">
        <v>5</v>
      </c>
      <c r="BB707" s="102">
        <v>6</v>
      </c>
      <c r="BC707" s="102">
        <v>7</v>
      </c>
      <c r="BD707" s="102">
        <v>8</v>
      </c>
      <c r="BE707" s="102">
        <v>9</v>
      </c>
      <c r="BF707" s="103">
        <v>0</v>
      </c>
      <c r="BG707" s="103">
        <v>1</v>
      </c>
      <c r="BH707" s="103">
        <v>2</v>
      </c>
      <c r="BI707" s="103">
        <v>3</v>
      </c>
      <c r="BJ707" s="103">
        <v>4</v>
      </c>
      <c r="BK707" s="103">
        <v>5</v>
      </c>
      <c r="BL707" s="103">
        <v>6</v>
      </c>
      <c r="BM707" s="103">
        <v>7</v>
      </c>
      <c r="BN707" s="103">
        <v>8</v>
      </c>
      <c r="BO707" s="103">
        <v>9</v>
      </c>
      <c r="BP707" s="94" t="str">
        <f t="shared" si="455"/>
        <v>对子</v>
      </c>
      <c r="BQ707" s="15">
        <f t="shared" si="476"/>
        <v>0</v>
      </c>
      <c r="BR707" s="15">
        <f t="shared" si="477"/>
        <v>5</v>
      </c>
      <c r="BS707" s="20" t="str">
        <f>IF(COUNTIF($W682:$Y682,W707)&gt;0,W707,"")</f>
        <v/>
      </c>
      <c r="BT707" s="21">
        <f>IF(COUNTIF($W681:$Y681,W707)&gt;0,W707,"")</f>
        <v>0</v>
      </c>
      <c r="BU707" s="21" t="str">
        <f t="array" ref="BU707">_xlfn.TEXTJOIN("",TRUE,IF(ISERROR(FIND(ROW($1:$168)-1,BS707&amp;BT707)),ROW($1:$168)-1,""))</f>
        <v>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07" s="22" t="str">
        <f t="shared" si="459"/>
        <v>中隔中</v>
      </c>
      <c r="BW707" s="23">
        <f>IF(COUNTIF($W682:$Y682,X707)&gt;0,X707,"")</f>
        <v>5</v>
      </c>
      <c r="BX707" s="23" t="str">
        <f>IF(COUNTIF($W681:$Y681,X707)&gt;0,X707,"")</f>
        <v/>
      </c>
      <c r="BY707" s="23" t="str">
        <f t="array" ref="BY707">_xlfn.TEXTJOIN("",TRUE,IF(ISERROR(FIND(ROW($1:$168)-1,BW707&amp;BX707)),ROW($1:$168)-1,""))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07" s="22" t="str">
        <f t="shared" si="460"/>
        <v>复中中</v>
      </c>
      <c r="CA707" s="24">
        <f>IF(COUNTIF($W682:$Y682,Y707)&gt;0,Y707,"")</f>
        <v>5</v>
      </c>
      <c r="CB707" s="24" t="str">
        <f>IF(COUNTIF($W681:$Y681,Y707)&gt;0,Y707,"")</f>
        <v/>
      </c>
      <c r="CC707" s="24" t="str">
        <f t="array" ref="CC707">_xlfn.TEXTJOIN("",TRUE,IF(ISERROR(FIND(ROW($1:$168)-1,CA707&amp;CB707)),ROW($1:$168)-1,""))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07" s="22" t="str">
        <f t="shared" si="462"/>
        <v>复中中</v>
      </c>
      <c r="CE707" s="25" t="str">
        <f t="shared" si="456"/>
        <v>91</v>
      </c>
      <c r="CF707" s="26" t="str">
        <f t="array" ref="CF707">_xlfn.TEXTJOIN("",TRUE,IF(ISNUMBER(FIND(MID(CE682&amp;W682,ROW($1:$162),1),CE707&amp;W707)),MID(CE682&amp;W682,ROW($1:$162),1),""))</f>
        <v/>
      </c>
      <c r="CG707" s="27" t="str">
        <f t="array" ref="CG707">_xlfn.TEXTJOIN("",TRUE,IF(ISERROR(FIND(ROW($1:$168)-1,CE707&amp;CF707)),ROW($1:$168)-1,""))</f>
        <v>023456781011121314151617181920212223242526272829303132333435363738394041424344454647484950515253545556575859606162636465666768697071727374757677787980818283848586878889909293949596979899100101102103104105106107108109110111112113114115116117118119120121122123124125126127128129130131132133134135136137138139140141142143144145146147148149150151152153154155156157158159160161162163164165166167</v>
      </c>
      <c r="CH707" s="28" t="str">
        <f t="shared" si="463"/>
        <v>邻孤孤</v>
      </c>
      <c r="CI707" s="29" t="str">
        <f t="shared" si="464"/>
        <v>46</v>
      </c>
      <c r="CJ707" s="29" t="str">
        <f t="array" ref="CJ707">_xlfn.TEXTJOIN("",TRUE,IF(ISNUMBER(FIND(MID(CI682&amp;X682,ROW($1:$162),1),CI707&amp;X707)),MID(CI682&amp;X682,ROW($1:$162),1),""))</f>
        <v/>
      </c>
      <c r="CK707" s="29" t="str">
        <f t="array" ref="CK707">_xlfn.TEXTJOIN("",TRUE,IF(ISERROR(FIND(ROW($1:$168)-1,CI707&amp;CJ707)),ROW($1:$168)-1,""))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07" s="19" t="str">
        <f t="shared" si="465"/>
        <v>邻孤孤</v>
      </c>
      <c r="CM707" s="24" t="str">
        <f t="shared" si="466"/>
        <v>46</v>
      </c>
      <c r="CN707" s="24" t="str">
        <f t="array" ref="CN707">_xlfn.TEXTJOIN("",TRUE,IF(ISNUMBER(FIND(MID(CM682&amp;Y682,ROW($1:$162),1),CM707&amp;Y707)),MID(CM682&amp;Y682,ROW($1:$162),1),""))</f>
        <v>4</v>
      </c>
      <c r="CO707" s="24" t="str">
        <f t="array" ref="CO707">_xlfn.TEXTJOIN("",TRUE,IF(ISERROR(FIND(ROW($1:$168)-1,CM707&amp;CN707)),ROW($1:$168)-1,""))</f>
        <v>012357891011121314151617181920212223242526272829303132333435363738394041424344454748495051525354555657585960616263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07" s="30" t="str">
        <f t="shared" si="467"/>
        <v>邻传孤</v>
      </c>
    </row>
    <row r="708" s="2" customFormat="1" ht="13" customHeight="1" spans="1:94">
      <c r="A708" s="2">
        <v>692</v>
      </c>
      <c r="B708" s="80" t="s">
        <v>553</v>
      </c>
      <c r="C708" s="8" t="s">
        <v>554</v>
      </c>
      <c r="D708" s="96">
        <f>LEFT(C708,1)+MID(C708,2,1)+RIGHT(C708,1)</f>
        <v>12</v>
      </c>
      <c r="E708" s="97">
        <f>MOD(LEFT(C708,1)+MID(C708,2,1)+RIGHT(C708,1),10)</f>
        <v>2</v>
      </c>
      <c r="F708" s="83">
        <f>IF(L708=0,0.1,D708/L708)</f>
        <v>2.4</v>
      </c>
      <c r="G708" s="84" t="str">
        <f>IF(F708=0.1,"极紧凑",IF(F708&gt;3.5,"紧凑",IF(AND(F708&gt;=2,F708&lt;=3.5),"标准",IF(AND(F708&gt;=1,F708&lt;2),"松散",""))))</f>
        <v>标准</v>
      </c>
      <c r="H708" s="85" t="s">
        <v>10</v>
      </c>
      <c r="I708" s="85" t="s">
        <v>11</v>
      </c>
      <c r="J708" s="85" t="s">
        <v>12</v>
      </c>
      <c r="K708" s="85" t="s">
        <v>13</v>
      </c>
      <c r="L708" s="98">
        <f>MAX(MID(C708,{1,2,3},1)*1)-MIN(MID(C708,{1,2,3},1)*1)</f>
        <v>5</v>
      </c>
      <c r="M708" s="87">
        <v>0</v>
      </c>
      <c r="N708" s="87">
        <v>1</v>
      </c>
      <c r="O708" s="87">
        <v>2</v>
      </c>
      <c r="P708" s="87">
        <v>3</v>
      </c>
      <c r="Q708" s="87">
        <v>4</v>
      </c>
      <c r="R708" s="87">
        <v>5</v>
      </c>
      <c r="S708" s="87">
        <v>6</v>
      </c>
      <c r="T708" s="87">
        <v>7</v>
      </c>
      <c r="U708" s="87">
        <v>8</v>
      </c>
      <c r="V708" s="87">
        <v>9</v>
      </c>
      <c r="W708" s="99">
        <f>ABS(LEFT(C708,1)-MID(C708,2,1))</f>
        <v>5</v>
      </c>
      <c r="X708" s="99">
        <f>ABS(LEFT(C708,1)-RIGHT(C708,1))</f>
        <v>4</v>
      </c>
      <c r="Y708" s="99">
        <f>ABS(MID(C708,2,1)-RIGHT(C708,1))</f>
        <v>1</v>
      </c>
      <c r="Z708" s="89">
        <f>W708+X708+Y708</f>
        <v>10</v>
      </c>
      <c r="AA708" s="100" t="str">
        <f>_xlfn.TEXTJOIN(", ",TRUE,ABS(MID(C708,{1,1,2},1)-MID(C708,{2,3,3},1)))</f>
        <v>5, 4, 1</v>
      </c>
      <c r="AB708" s="101">
        <v>0</v>
      </c>
      <c r="AC708" s="101">
        <v>1</v>
      </c>
      <c r="AD708" s="101">
        <v>2</v>
      </c>
      <c r="AE708" s="101">
        <v>3</v>
      </c>
      <c r="AF708" s="101">
        <v>4</v>
      </c>
      <c r="AG708" s="101">
        <v>5</v>
      </c>
      <c r="AH708" s="101">
        <v>6</v>
      </c>
      <c r="AI708" s="101">
        <v>7</v>
      </c>
      <c r="AJ708" s="101">
        <v>8</v>
      </c>
      <c r="AK708" s="101">
        <v>9</v>
      </c>
      <c r="AL708" s="91">
        <v>0</v>
      </c>
      <c r="AM708" s="91">
        <v>1</v>
      </c>
      <c r="AN708" s="91">
        <v>2</v>
      </c>
      <c r="AO708" s="91">
        <v>3</v>
      </c>
      <c r="AP708" s="91">
        <v>4</v>
      </c>
      <c r="AQ708" s="91">
        <v>5</v>
      </c>
      <c r="AR708" s="91">
        <v>6</v>
      </c>
      <c r="AS708" s="91">
        <v>7</v>
      </c>
      <c r="AT708" s="91">
        <v>8</v>
      </c>
      <c r="AU708" s="91">
        <v>9</v>
      </c>
      <c r="AV708" s="102">
        <v>0</v>
      </c>
      <c r="AW708" s="102">
        <v>1</v>
      </c>
      <c r="AX708" s="102">
        <v>2</v>
      </c>
      <c r="AY708" s="102">
        <v>3</v>
      </c>
      <c r="AZ708" s="102">
        <v>4</v>
      </c>
      <c r="BA708" s="102">
        <v>5</v>
      </c>
      <c r="BB708" s="102">
        <v>6</v>
      </c>
      <c r="BC708" s="102">
        <v>7</v>
      </c>
      <c r="BD708" s="102">
        <v>8</v>
      </c>
      <c r="BE708" s="102">
        <v>9</v>
      </c>
      <c r="BF708" s="103">
        <v>0</v>
      </c>
      <c r="BG708" s="103">
        <v>1</v>
      </c>
      <c r="BH708" s="103">
        <v>2</v>
      </c>
      <c r="BI708" s="103">
        <v>3</v>
      </c>
      <c r="BJ708" s="103">
        <v>4</v>
      </c>
      <c r="BK708" s="103">
        <v>5</v>
      </c>
      <c r="BL708" s="103">
        <v>6</v>
      </c>
      <c r="BM708" s="103">
        <v>7</v>
      </c>
      <c r="BN708" s="103">
        <v>8</v>
      </c>
      <c r="BO708" s="103">
        <v>9</v>
      </c>
      <c r="BP708" s="94" t="str">
        <f>IF(AND(BQ708&lt;=1,BR708&lt;=4),"紧凑型",IF(OR(BQ708&gt;=3,BR708&gt;=6),"松散型",IF(AND(BQ708&gt;=1,BR708&lt;=5),"标准型","对子")))</f>
        <v>标准型</v>
      </c>
      <c r="BQ708" s="15">
        <f>MIN(ABS(INT(C708/100)-INT(MOD(C708,100)/10)),ABS(INT(C708/100)-MOD(C708,10)),ABS(INT(MOD(C708,100)/10)-MOD(C708,10)))</f>
        <v>1</v>
      </c>
      <c r="BR708" s="15">
        <f>MAX(ABS(INT(C708/100)-INT(MOD(C708,100)/10)),ABS(INT(C708/100)-MOD(C708,10)),ABS(INT(MOD(C708,100)/10)-MOD(C708,10)))</f>
        <v>5</v>
      </c>
      <c r="BS708" s="20" t="str">
        <f>IF(COUNTIF($W683:$Y683,W708)&gt;0,W708,"")</f>
        <v/>
      </c>
      <c r="BT708" s="21">
        <f>IF(COUNTIF($W682:$Y682,W708)&gt;0,W708,"")</f>
        <v>5</v>
      </c>
      <c r="BU708" s="21" t="str">
        <f t="array" ref="BU708">_xlfn.TEXTJOIN("",TRUE,IF(ISERROR(FIND(ROW($1:$168)-1,BS708&amp;BT708)),ROW($1:$168)-1,""))</f>
        <v>01234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08" s="22" t="str">
        <f t="shared" ref="BV708:BV709" si="478">IF(BS708&lt;&gt;"","复","中")&amp;IF(BT708&lt;&gt;"","隔","中")&amp;"中"</f>
        <v>中隔中</v>
      </c>
      <c r="BW708" s="23" t="str">
        <f>IF(COUNTIF($W683:$Y683,X708)&gt;0,X708,"")</f>
        <v/>
      </c>
      <c r="BX708" s="23" t="str">
        <f>IF(COUNTIF($W682:$Y682,X708)&gt;0,X708,"")</f>
        <v/>
      </c>
      <c r="BY708" s="23" t="str">
        <f t="array" ref="BY708">_xlfn.TEXTJOIN("",TRUE,IF(ISERROR(FIND(ROW($1:$168)-1,BW708&amp;BX708)),ROW($1:$168)-1,""))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08" s="22" t="str">
        <f t="shared" ref="BZ708:BZ709" si="479">IF(BW708&lt;&gt;"","复","中")&amp;IF(BX708&lt;&gt;"","隔","中")&amp;"中"</f>
        <v>中中中</v>
      </c>
      <c r="CA708" s="24">
        <f>IF(COUNTIF($W683:$Y683,Y708)&gt;0,Y708,"")</f>
        <v>1</v>
      </c>
      <c r="CB708" s="24" t="str">
        <f>IF(COUNTIF($W682:$Y682,Y708)&gt;0,Y708,"")</f>
        <v/>
      </c>
      <c r="CC708" s="24" t="str">
        <f t="array" ref="CC708">_xlfn.TEXTJOIN("",TRUE,IF(ISERROR(FIND(ROW($1:$168)-1,CA708&amp;CB708)),ROW($1:$168)-1,""))</f>
        <v>0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08" s="22" t="str">
        <f t="shared" ref="CD708:CD709" si="480">IF(CA708&lt;&gt;"","复","中")&amp;IF(CB708&lt;&gt;"","隔","中")&amp;"中"</f>
        <v>复中中</v>
      </c>
      <c r="CE708" s="25" t="str">
        <f t="shared" ref="CE708:CE709" si="481">IF(W708=0,9,W708-1)&amp;""&amp;IF(W708=9,0,W708+1)</f>
        <v>46</v>
      </c>
      <c r="CF708" s="26" t="str">
        <f t="array" ref="CF708">_xlfn.TEXTJOIN("",TRUE,IF(ISNUMBER(FIND(MID(CE683&amp;W683,ROW($1:$162),1),CE708&amp;W708)),MID(CE683&amp;W683,ROW($1:$162),1),""))</f>
        <v/>
      </c>
      <c r="CG708" s="27" t="str">
        <f t="array" ref="CG708">_xlfn.TEXTJOIN("",TRUE,IF(ISERROR(FIND(ROW($1:$168)-1,CE708&amp;CF708)),ROW($1:$168)-1,""))</f>
        <v>01235789101112131415161718192021222324252627282930313233343536373839404142434445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08" s="28" t="str">
        <f t="shared" ref="CH708:CH709" si="482">IF(CE708&lt;&gt;"","邻","孤")&amp;IF(CF708&lt;&gt;"","传","孤")&amp;"孤"</f>
        <v>邻孤孤</v>
      </c>
      <c r="CI708" s="29" t="str">
        <f t="shared" ref="CI708:CI709" si="483">IF(X708=0,9,X708-1)&amp;""&amp;IF(X708=9,0,X708+1)</f>
        <v>35</v>
      </c>
      <c r="CJ708" s="29" t="str">
        <f t="array" ref="CJ708">_xlfn.TEXTJOIN("",TRUE,IF(ISNUMBER(FIND(MID(CI683&amp;X683,ROW($1:$162),1),CI708&amp;X708)),MID(CI683&amp;X683,ROW($1:$162),1),""))</f>
        <v/>
      </c>
      <c r="CK708" s="29" t="str">
        <f t="array" ref="CK708">_xlfn.TEXTJOIN("",TRUE,IF(ISERROR(FIND(ROW($1:$168)-1,CI708&amp;CJ708)),ROW($1:$168)-1,""))</f>
        <v>0124678910111213141516171819202122232425262728293031323334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08" s="19" t="str">
        <f t="shared" ref="CL708:CL709" si="484">IF(CI708&lt;&gt;"","邻","孤")&amp;IF(CJ708&lt;&gt;"","传","孤")&amp;"孤"</f>
        <v>邻孤孤</v>
      </c>
      <c r="CM708" s="24" t="str">
        <f t="shared" ref="CM708:CM709" si="485">IF(Y708=0,9,Y708-1)&amp;""&amp;IF(Y708=9,0,Y708+1)</f>
        <v>02</v>
      </c>
      <c r="CN708" s="24" t="str">
        <f t="array" ref="CN708">_xlfn.TEXTJOIN("",TRUE,IF(ISNUMBER(FIND(MID(CM683&amp;Y683,ROW($1:$162),1),CM708&amp;Y708)),MID(CM683&amp;Y683,ROW($1:$162),1),""))</f>
        <v>021</v>
      </c>
      <c r="CO708" s="24" t="str">
        <f t="array" ref="CO708">_xlfn.TEXTJOIN("",TRUE,IF(ISERROR(FIND(ROW($1:$168)-1,CM708&amp;CN708)),ROW($1:$168)-1,""))</f>
        <v>345678910111213141516171819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08" s="30" t="str">
        <f t="shared" ref="CP708:CP709" si="486">IF(CM708&lt;&gt;"","邻","孤")&amp;IF(CN708&lt;&gt;"","传","孤")&amp;"孤"</f>
        <v>邻传孤</v>
      </c>
    </row>
    <row r="709" s="2" customFormat="1" spans="1:94">
      <c r="A709" s="2">
        <v>693</v>
      </c>
      <c r="B709" s="80" t="s">
        <v>555</v>
      </c>
      <c r="C709" s="8" t="s">
        <v>556</v>
      </c>
      <c r="D709" s="96">
        <f>LEFT(C709,1)+MID(C709,2,1)+RIGHT(C709,1)</f>
        <v>14</v>
      </c>
      <c r="E709" s="97">
        <f>MOD(LEFT(C709,1)+MID(C709,2,1)+RIGHT(C709,1),10)</f>
        <v>4</v>
      </c>
      <c r="F709" s="83">
        <f>IF(L709=0,0.1,D709/L709)</f>
        <v>2</v>
      </c>
      <c r="G709" s="84" t="str">
        <f>IF(F709=0.1,"极紧凑",IF(F709&gt;3.5,"紧凑",IF(AND(F709&gt;=2,F709&lt;=3.5),"标准",IF(AND(F709&gt;=1,F709&lt;2),"松散",""))))</f>
        <v>标准</v>
      </c>
      <c r="H709" s="85" t="s">
        <v>10</v>
      </c>
      <c r="I709" s="85" t="s">
        <v>11</v>
      </c>
      <c r="J709" s="104" t="s">
        <v>12</v>
      </c>
      <c r="K709" s="85" t="s">
        <v>13</v>
      </c>
      <c r="L709" s="98">
        <f>MAX(MID(C709,{1,2,3},1)*1)-MIN(MID(C709,{1,2,3},1)*1)</f>
        <v>7</v>
      </c>
      <c r="M709" s="87">
        <v>0</v>
      </c>
      <c r="N709" s="87">
        <v>1</v>
      </c>
      <c r="O709" s="87">
        <v>2</v>
      </c>
      <c r="P709" s="87">
        <v>3</v>
      </c>
      <c r="Q709" s="87">
        <v>4</v>
      </c>
      <c r="R709" s="87">
        <v>5</v>
      </c>
      <c r="S709" s="87">
        <v>6</v>
      </c>
      <c r="T709" s="87">
        <v>7</v>
      </c>
      <c r="U709" s="87">
        <v>8</v>
      </c>
      <c r="V709" s="87">
        <v>9</v>
      </c>
      <c r="W709" s="99">
        <f>ABS(LEFT(C709,1)-MID(C709,2,1))</f>
        <v>7</v>
      </c>
      <c r="X709" s="99">
        <f>ABS(LEFT(C709,1)-RIGHT(C709,1))</f>
        <v>4</v>
      </c>
      <c r="Y709" s="99">
        <f>ABS(MID(C709,2,1)-RIGHT(C709,1))</f>
        <v>3</v>
      </c>
      <c r="Z709" s="89">
        <f>W709+X709+Y709</f>
        <v>14</v>
      </c>
      <c r="AA709" s="100" t="str">
        <f>_xlfn.TEXTJOIN(", ",TRUE,ABS(MID(C709,{1,1,2},1)-MID(C709,{2,3,3},1)))</f>
        <v>7, 4, 3</v>
      </c>
      <c r="AB709" s="101">
        <v>0</v>
      </c>
      <c r="AC709" s="101">
        <v>1</v>
      </c>
      <c r="AD709" s="101">
        <v>2</v>
      </c>
      <c r="AE709" s="101">
        <v>3</v>
      </c>
      <c r="AF709" s="101">
        <v>4</v>
      </c>
      <c r="AG709" s="101">
        <v>5</v>
      </c>
      <c r="AH709" s="101">
        <v>6</v>
      </c>
      <c r="AI709" s="101">
        <v>7</v>
      </c>
      <c r="AJ709" s="101">
        <v>8</v>
      </c>
      <c r="AK709" s="101">
        <v>9</v>
      </c>
      <c r="AL709" s="91">
        <v>0</v>
      </c>
      <c r="AM709" s="91">
        <v>1</v>
      </c>
      <c r="AN709" s="91">
        <v>2</v>
      </c>
      <c r="AO709" s="91">
        <v>3</v>
      </c>
      <c r="AP709" s="91">
        <v>4</v>
      </c>
      <c r="AQ709" s="91">
        <v>5</v>
      </c>
      <c r="AR709" s="91">
        <v>6</v>
      </c>
      <c r="AS709" s="91">
        <v>7</v>
      </c>
      <c r="AT709" s="91">
        <v>8</v>
      </c>
      <c r="AU709" s="91">
        <v>9</v>
      </c>
      <c r="AV709" s="102">
        <v>0</v>
      </c>
      <c r="AW709" s="102">
        <v>1</v>
      </c>
      <c r="AX709" s="102">
        <v>2</v>
      </c>
      <c r="AY709" s="102">
        <v>3</v>
      </c>
      <c r="AZ709" s="102">
        <v>4</v>
      </c>
      <c r="BA709" s="102">
        <v>5</v>
      </c>
      <c r="BB709" s="102">
        <v>6</v>
      </c>
      <c r="BC709" s="102">
        <v>7</v>
      </c>
      <c r="BD709" s="102">
        <v>8</v>
      </c>
      <c r="BE709" s="102">
        <v>9</v>
      </c>
      <c r="BF709" s="103">
        <v>0</v>
      </c>
      <c r="BG709" s="103">
        <v>1</v>
      </c>
      <c r="BH709" s="103">
        <v>2</v>
      </c>
      <c r="BI709" s="103">
        <v>3</v>
      </c>
      <c r="BJ709" s="103">
        <v>4</v>
      </c>
      <c r="BK709" s="103">
        <v>5</v>
      </c>
      <c r="BL709" s="103">
        <v>6</v>
      </c>
      <c r="BM709" s="103">
        <v>7</v>
      </c>
      <c r="BN709" s="103">
        <v>8</v>
      </c>
      <c r="BO709" s="103">
        <v>9</v>
      </c>
      <c r="BP709" s="94" t="str">
        <f>IF(AND(BQ709&lt;=1,BR709&lt;=4),"紧凑型",IF(OR(BQ709&gt;=3,BR709&gt;=6),"松散型",IF(AND(BQ709&gt;=1,BR709&lt;=5),"标准型","对子")))</f>
        <v>松散型</v>
      </c>
      <c r="BQ709" s="15">
        <f>MIN(ABS(INT(C709/100)-INT(MOD(C709,100)/10)),ABS(INT(C709/100)-MOD(C709,10)),ABS(INT(MOD(C709,100)/10)-MOD(C709,10)))</f>
        <v>3</v>
      </c>
      <c r="BR709" s="15">
        <f>MAX(ABS(INT(C709/100)-INT(MOD(C709,100)/10)),ABS(INT(C709/100)-MOD(C709,10)),ABS(INT(MOD(C709,100)/10)-MOD(C709,10)))</f>
        <v>7</v>
      </c>
      <c r="BS709" s="20" t="str">
        <f>IF(COUNTIF($W684:$Y684,W709)&gt;0,W709,"")</f>
        <v/>
      </c>
      <c r="BT709" s="21" t="str">
        <f>IF(COUNTIF($W683:$Y683,W709)&gt;0,W709,"")</f>
        <v/>
      </c>
      <c r="BU709" s="21" t="str">
        <f t="array" ref="BU709">_xlfn.TEXTJOIN("",TRUE,IF(ISERROR(FIND(ROW($1:$168)-1,BS709&amp;BT709)),ROW($1:$168)-1,""))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V709" s="22" t="str">
        <f t="shared" si="478"/>
        <v>中中中</v>
      </c>
      <c r="BW709" s="23" t="str">
        <f>IF(COUNTIF($W684:$Y684,X709)&gt;0,X709,"")</f>
        <v/>
      </c>
      <c r="BX709" s="23" t="str">
        <f>IF(COUNTIF($W683:$Y683,X709)&gt;0,X709,"")</f>
        <v/>
      </c>
      <c r="BY709" s="23" t="str">
        <f t="array" ref="BY709">_xlfn.TEXTJOIN("",TRUE,IF(ISERROR(FIND(ROW($1:$168)-1,BW709&amp;BX709)),ROW($1:$168)-1,""))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BZ709" s="22" t="str">
        <f t="shared" si="479"/>
        <v>中中中</v>
      </c>
      <c r="CA709" s="24" t="str">
        <f>IF(COUNTIF($W684:$Y684,Y709)&gt;0,Y709,"")</f>
        <v/>
      </c>
      <c r="CB709" s="24" t="str">
        <f>IF(COUNTIF($W683:$Y683,Y709)&gt;0,Y709,"")</f>
        <v/>
      </c>
      <c r="CC709" s="24" t="str">
        <f t="array" ref="CC709">_xlfn.TEXTJOIN("",TRUE,IF(ISERROR(FIND(ROW($1:$168)-1,CA709&amp;CB709)),ROW($1:$168)-1,""))</f>
        <v>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D709" s="22" t="str">
        <f t="shared" si="480"/>
        <v>中中中</v>
      </c>
      <c r="CE709" s="25" t="str">
        <f t="shared" si="481"/>
        <v>68</v>
      </c>
      <c r="CF709" s="26" t="str">
        <f t="array" ref="CF709">_xlfn.TEXTJOIN("",TRUE,IF(ISNUMBER(FIND(MID(CE684&amp;W684,ROW($1:$162),1),CE709&amp;W709)),MID(CE684&amp;W684,ROW($1:$162),1),""))</f>
        <v/>
      </c>
      <c r="CG709" s="27" t="str">
        <f t="array" ref="CG709">_xlfn.TEXTJOIN("",TRUE,IF(ISERROR(FIND(ROW($1:$168)-1,CE709&amp;CF709)),ROW($1:$168)-1,""))</f>
        <v>0123457910111213141516171819202122232425262728293031323334353637383940414243444546474849505152535455565758596061626364656667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H709" s="28" t="str">
        <f t="shared" si="482"/>
        <v>邻孤孤</v>
      </c>
      <c r="CI709" s="29" t="str">
        <f t="shared" si="483"/>
        <v>35</v>
      </c>
      <c r="CJ709" s="29" t="str">
        <f t="array" ref="CJ709">_xlfn.TEXTJOIN("",TRUE,IF(ISNUMBER(FIND(MID(CI684&amp;X684,ROW($1:$162),1),CI709&amp;X709)),MID(CI684&amp;X684,ROW($1:$162),1),""))</f>
        <v>3</v>
      </c>
      <c r="CK709" s="29" t="str">
        <f t="array" ref="CK709">_xlfn.TEXTJOIN("",TRUE,IF(ISERROR(FIND(ROW($1:$168)-1,CI709&amp;CJ709)),ROW($1:$168)-1,""))</f>
        <v>01246789101112131415161718192021222324252627282930313233343637383940414243444546474849505152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L709" s="19" t="str">
        <f t="shared" si="484"/>
        <v>邻传孤</v>
      </c>
      <c r="CM709" s="24" t="str">
        <f t="shared" si="485"/>
        <v>24</v>
      </c>
      <c r="CN709" s="24" t="str">
        <f t="array" ref="CN709">_xlfn.TEXTJOIN("",TRUE,IF(ISNUMBER(FIND(MID(CM684&amp;Y684,ROW($1:$162),1),CM709&amp;Y709)),MID(CM684&amp;Y684,ROW($1:$162),1),""))</f>
        <v/>
      </c>
      <c r="CO709" s="24" t="str">
        <f t="array" ref="CO709">_xlfn.TEXTJOIN("",TRUE,IF(ISERROR(FIND(ROW($1:$168)-1,CM709&amp;CN709)),ROW($1:$168)-1,""))</f>
        <v>013567891011121314151617181920212223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</v>
      </c>
      <c r="CP709" s="30" t="str">
        <f t="shared" si="486"/>
        <v>邻孤孤</v>
      </c>
    </row>
    <row r="710" s="3" customFormat="1" ht="32" customHeight="1" spans="1:94">
      <c r="B710" s="105"/>
      <c r="C710" s="81"/>
      <c r="D710" s="81"/>
      <c r="E710" s="81"/>
      <c r="F710" s="83"/>
      <c r="G710" s="84"/>
      <c r="H710" s="85">
        <f>COUNTIF(G3:G709,"极*")</f>
        <v>8</v>
      </c>
      <c r="I710" s="85">
        <f>COUNTIF(G3:G709,"紧*")</f>
        <v>213</v>
      </c>
      <c r="J710" s="85">
        <f>COUNTIF(G3:G709,"标*")</f>
        <v>253</v>
      </c>
      <c r="K710" s="85">
        <f>COUNTIF(G3:G709,"松*")</f>
        <v>233</v>
      </c>
      <c r="L710" s="81"/>
      <c r="M710" s="106">
        <f>COUNTIF($L:L,0)</f>
        <v>8</v>
      </c>
      <c r="N710" s="106">
        <f>COUNTIF($L:L,1)</f>
        <v>31</v>
      </c>
      <c r="O710" s="106">
        <f>COUNTIF($L:L,2)</f>
        <v>63</v>
      </c>
      <c r="P710" s="106">
        <f>COUNTIF($L:L,3)</f>
        <v>80</v>
      </c>
      <c r="Q710" s="106">
        <f>COUNTIF($L:L,4)</f>
        <v>111</v>
      </c>
      <c r="R710" s="106">
        <f>COUNTIF($L:L,5)</f>
        <v>119</v>
      </c>
      <c r="S710" s="106">
        <f>COUNTIF($L:L,6)</f>
        <v>102</v>
      </c>
      <c r="T710" s="106">
        <f>COUNTIF($L:L,7)</f>
        <v>81</v>
      </c>
      <c r="U710" s="106">
        <f>COUNTIF($L:L,8)</f>
        <v>66</v>
      </c>
      <c r="V710" s="106">
        <f>COUNTIF($L:L,9)</f>
        <v>46</v>
      </c>
      <c r="W710" s="107"/>
      <c r="X710" s="107"/>
      <c r="Y710" s="107"/>
      <c r="Z710" s="108"/>
      <c r="AA710" s="109" t="s">
        <v>557</v>
      </c>
      <c r="AB710" s="109">
        <f>COUNTIF($W:Y,0)</f>
        <v>192</v>
      </c>
      <c r="AC710" s="109">
        <f>COUNTIF($W:Y,1)</f>
        <v>379</v>
      </c>
      <c r="AD710" s="109">
        <f>COUNTIF($W:Y,2)</f>
        <v>341</v>
      </c>
      <c r="AE710" s="109">
        <f>COUNTIF($W:Y,3)</f>
        <v>288</v>
      </c>
      <c r="AF710" s="109">
        <f>COUNTIF($W:Y,4)</f>
        <v>267</v>
      </c>
      <c r="AG710" s="109">
        <f>COUNTIF($W:Y,5)</f>
        <v>240</v>
      </c>
      <c r="AH710" s="109">
        <f>COUNTIF($W:Y,6)</f>
        <v>164</v>
      </c>
      <c r="AI710" s="109">
        <f>COUNTIF($W:Y,7)</f>
        <v>117</v>
      </c>
      <c r="AJ710" s="109">
        <f>COUNTIF($W:Y,8)</f>
        <v>79</v>
      </c>
      <c r="AK710" s="109">
        <f>COUNTIF($W:Y,9)</f>
        <v>54</v>
      </c>
      <c r="AL710" s="109">
        <f>COUNTIF($W:W,0)</f>
        <v>62</v>
      </c>
      <c r="AM710" s="109">
        <f>COUNTIF($W:W,1)</f>
        <v>119</v>
      </c>
      <c r="AN710" s="109">
        <f>COUNTIF($W:W,2)</f>
        <v>103</v>
      </c>
      <c r="AO710" s="109">
        <f>COUNTIF($W:W,3)</f>
        <v>88</v>
      </c>
      <c r="AP710" s="109">
        <f>COUNTIF($W:W,4)</f>
        <v>103</v>
      </c>
      <c r="AQ710" s="109">
        <f>COUNTIF($W:W,5)</f>
        <v>84</v>
      </c>
      <c r="AR710" s="109">
        <f>COUNTIF($W:W,6)</f>
        <v>57</v>
      </c>
      <c r="AS710" s="109">
        <f>COUNTIF($W:W,7)</f>
        <v>44</v>
      </c>
      <c r="AT710" s="109">
        <f>COUNTIF($W:W,8)</f>
        <v>33</v>
      </c>
      <c r="AU710" s="109">
        <f>COUNTIF($W:W,9)</f>
        <v>14</v>
      </c>
      <c r="AV710" s="110">
        <f>COUNTIF($X:X,0)</f>
        <v>65</v>
      </c>
      <c r="AW710" s="110">
        <f>COUNTIF($X:X,1)</f>
        <v>130</v>
      </c>
      <c r="AX710" s="110">
        <f>COUNTIF($X:X,2)</f>
        <v>122</v>
      </c>
      <c r="AY710" s="110">
        <f>COUNTIF($X:X,3)</f>
        <v>97</v>
      </c>
      <c r="AZ710" s="110">
        <f>COUNTIF($X:X,4)</f>
        <v>87</v>
      </c>
      <c r="BA710" s="110">
        <f>COUNTIF($X:X,5)</f>
        <v>76</v>
      </c>
      <c r="BB710" s="110">
        <f>COUNTIF($X:X,6)</f>
        <v>55</v>
      </c>
      <c r="BC710" s="110">
        <f>COUNTIF($X:X,7)</f>
        <v>40</v>
      </c>
      <c r="BD710" s="110">
        <f>COUNTIF($X:X,8)</f>
        <v>19</v>
      </c>
      <c r="BE710" s="110">
        <f>COUNTIF($X:X,9)</f>
        <v>16</v>
      </c>
      <c r="BF710" s="111">
        <f>COUNTIF($Y:Y,0)</f>
        <v>65</v>
      </c>
      <c r="BG710" s="111">
        <f>COUNTIF($Y:Y,1)</f>
        <v>130</v>
      </c>
      <c r="BH710" s="111">
        <f>COUNTIF($Y:Y,2)</f>
        <v>116</v>
      </c>
      <c r="BI710" s="111">
        <f>COUNTIF($Y:Y,3)</f>
        <v>103</v>
      </c>
      <c r="BJ710" s="111">
        <f>COUNTIF($Y:Y,4)</f>
        <v>77</v>
      </c>
      <c r="BK710" s="111">
        <f>COUNTIF($Y:Y,5)</f>
        <v>80</v>
      </c>
      <c r="BL710" s="111">
        <f>COUNTIF($Y:Y,6)</f>
        <v>52</v>
      </c>
      <c r="BM710" s="111">
        <f>COUNTIF($Y:Y,7)</f>
        <v>33</v>
      </c>
      <c r="BN710" s="111">
        <f>COUNTIF($Y:Y,8)</f>
        <v>27</v>
      </c>
      <c r="BO710" s="111">
        <f>COUNTIF($Y:Y,9)</f>
        <v>24</v>
      </c>
      <c r="BP710" s="19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</row>
    <row r="711" s="4" customFormat="1" ht="25.5" customHeight="1" spans="1:94">
      <c r="B711" s="112"/>
      <c r="C711" s="113"/>
      <c r="D711" s="113"/>
      <c r="E711" s="114"/>
      <c r="F711" s="83"/>
      <c r="G711" s="84"/>
      <c r="H711" s="85">
        <f>COUNT(B3:B709)/COUNTIF(G3:G709,"极*")</f>
        <v>85</v>
      </c>
      <c r="I711" s="85">
        <f>COUNT(B3:B709)/COUNTIF(G3:G709,"紧*")</f>
        <v>3.1924882629108</v>
      </c>
      <c r="J711" s="85">
        <f>COUNT(B3:B709)/COUNTIF(G3:G709,"标*")</f>
        <v>2.68774703557312</v>
      </c>
      <c r="K711" s="85">
        <f>COUNT(B3:B709)/COUNTIF(G3:G709,"松*")</f>
        <v>2.91845493562232</v>
      </c>
      <c r="L711" s="114"/>
      <c r="M711" s="115">
        <f>COUNT(B3:B709)/COUNTIF(L3:L709,0)</f>
        <v>85</v>
      </c>
      <c r="N711" s="115">
        <f>COUNT(B3:B709)/COUNTIF(L3:L709,1)</f>
        <v>21.9354838709677</v>
      </c>
      <c r="O711" s="115">
        <f>COUNT(B3:B709)/COUNTIF(L3:L709,2)</f>
        <v>10.7936507936508</v>
      </c>
      <c r="P711" s="115">
        <f>COUNT(B3:B709)/COUNTIF(L3:L709,3)</f>
        <v>8.5</v>
      </c>
      <c r="Q711" s="115">
        <f>COUNT(B3:B709)/COUNTIF(L3:L709,4)</f>
        <v>6.12612612612613</v>
      </c>
      <c r="R711" s="115">
        <f>COUNT(B3:B709)/COUNTIF(L3:L709,5)</f>
        <v>5.71428571428571</v>
      </c>
      <c r="S711" s="115">
        <f>COUNT(B3:B709)/COUNTIF(L3:L709,6)</f>
        <v>6.66666666666667</v>
      </c>
      <c r="T711" s="115">
        <f>COUNT(B3:B709)/COUNTIF(L3:L709,7)</f>
        <v>8.39506172839506</v>
      </c>
      <c r="U711" s="115">
        <f>COUNT(B3:B709)/COUNTIF(L3:L709,8)</f>
        <v>10.3030303030303</v>
      </c>
      <c r="V711" s="115">
        <f>COUNT(B3:B709)/COUNTIF(L3:L709,9)</f>
        <v>14.7826086956522</v>
      </c>
      <c r="W711" s="114"/>
      <c r="X711" s="114"/>
      <c r="Y711" s="114"/>
      <c r="Z711" s="108"/>
      <c r="AA711" s="116" t="s">
        <v>558</v>
      </c>
      <c r="AB711" s="116">
        <f>COUNT(W3:W709)/COUNTIF(W3:Y709,0)</f>
        <v>3.68229166666667</v>
      </c>
      <c r="AC711" s="116">
        <f>COUNT(B3:B709)/COUNTIF(W3:Y709,1)</f>
        <v>1.79419525065963</v>
      </c>
      <c r="AD711" s="116">
        <f>COUNT(B3:B709)/COUNTIF(W3:Y709,2)</f>
        <v>1.9941348973607</v>
      </c>
      <c r="AE711" s="116">
        <f>COUNT(B3:B709)/COUNTIF(W3:Y709,3)</f>
        <v>2.36111111111111</v>
      </c>
      <c r="AF711" s="116">
        <f>COUNT(B3:B709)/COUNTIF(W3:Y709,4)</f>
        <v>2.54681647940075</v>
      </c>
      <c r="AG711" s="116">
        <f>COUNT(B3:B709)/COUNTIF(W3:Y709,5)</f>
        <v>2.83333333333333</v>
      </c>
      <c r="AH711" s="116">
        <f>COUNT(B3:B709)/COUNTIF(W3:Y709,6)</f>
        <v>4.14634146341463</v>
      </c>
      <c r="AI711" s="116">
        <f>COUNT(B3:B709)/COUNTIF(W3:Y709,7)</f>
        <v>5.81196581196581</v>
      </c>
      <c r="AJ711" s="116">
        <f>COUNT(B3:B709)/COUNTIF(W3:Y709,8)</f>
        <v>8.60759493670886</v>
      </c>
      <c r="AK711" s="116">
        <f>COUNT(B3:B709)/COUNTIF(W3:Y709,9)</f>
        <v>12.5925925925926</v>
      </c>
      <c r="AL711" s="117">
        <f>COUNT(B3:B709)/COUNTIF(W3:W709,0)</f>
        <v>10.9677419354839</v>
      </c>
      <c r="AM711" s="117">
        <f>COUNT(B3:B709)/COUNTIF(W3:W709,1)</f>
        <v>5.71428571428571</v>
      </c>
      <c r="AN711" s="117">
        <f>COUNT(B3:B709)/COUNTIF(W3:W709,2)</f>
        <v>6.60194174757282</v>
      </c>
      <c r="AO711" s="117">
        <f>COUNT(B3:B709)/COUNTIF(W3:W709,3)</f>
        <v>7.72727272727273</v>
      </c>
      <c r="AP711" s="117">
        <f>COUNT(B3:B709)/COUNTIF(W3:W709,4)</f>
        <v>6.60194174757282</v>
      </c>
      <c r="AQ711" s="117">
        <f>COUNT(B3:B709)/COUNTIF(W3:W709,5)</f>
        <v>8.09523809523809</v>
      </c>
      <c r="AR711" s="117">
        <f>COUNT(B3:B709)/COUNTIF(W3:W709,6)</f>
        <v>11.9298245614035</v>
      </c>
      <c r="AS711" s="117">
        <f>COUNT(B3:B709)/COUNTIF(W3:W709,7)</f>
        <v>15.4545454545455</v>
      </c>
      <c r="AT711" s="117">
        <f>COUNT(B3:B709)/COUNTIF(W3:W709,8)</f>
        <v>20.6060606060606</v>
      </c>
      <c r="AU711" s="117">
        <f>COUNT(B3:B709)/COUNTIF(W3:W709,9)</f>
        <v>48.5714285714286</v>
      </c>
      <c r="AV711" s="118">
        <f>COUNT(B3:B709)/COUNTIF(X3:X709,0)</f>
        <v>10.4615384615385</v>
      </c>
      <c r="AW711" s="118">
        <f>COUNT(B3:B709)/COUNTIF(X3:X709,1)</f>
        <v>5.23076923076923</v>
      </c>
      <c r="AX711" s="118">
        <f>COUNT(B3:B709)/COUNTIF(X3:X709,2)</f>
        <v>5.57377049180328</v>
      </c>
      <c r="AY711" s="118">
        <f>COUNT(B3:B709)/COUNTIF(X3:X709,3)</f>
        <v>7.01030927835052</v>
      </c>
      <c r="AZ711" s="118">
        <f>COUNT(B3:B709)/COUNTIF(X3:X709,4)</f>
        <v>7.81609195402299</v>
      </c>
      <c r="BA711" s="118">
        <f>COUNT(B3:B709)/COUNTIF(X3:X709,5)</f>
        <v>8.94736842105263</v>
      </c>
      <c r="BB711" s="118">
        <f>COUNT(B3:B709)/COUNTIF(X3:X709,6)</f>
        <v>12.3636363636364</v>
      </c>
      <c r="BC711" s="118">
        <f>COUNT(B3:B709)/COUNTIF(X3:X709,7)</f>
        <v>17</v>
      </c>
      <c r="BD711" s="118">
        <f>COUNT(B3:B709)/COUNTIF(X3:X709,8)</f>
        <v>35.7894736842105</v>
      </c>
      <c r="BE711" s="118">
        <f>COUNT(B3:B709)/COUNTIF(X3:X709,9)</f>
        <v>42.5</v>
      </c>
      <c r="BF711" s="119">
        <f>COUNT(B3:B709)/COUNTIF(Y3:Y709,0)</f>
        <v>10.4615384615385</v>
      </c>
      <c r="BG711" s="119">
        <f>COUNT(B3:B709)/COUNTIF(Y3:Y709,1)</f>
        <v>5.23076923076923</v>
      </c>
      <c r="BH711" s="119">
        <f>COUNT(B3:B709)/COUNTIF(Y3:Y709,2)</f>
        <v>5.86206896551724</v>
      </c>
      <c r="BI711" s="119">
        <f>COUNT(B3:B709)/COUNTIF(Y3:Y709,3)</f>
        <v>6.60194174757282</v>
      </c>
      <c r="BJ711" s="119">
        <f>COUNT(B3:B709)/COUNTIF(Y3:Y709,4)</f>
        <v>8.83116883116883</v>
      </c>
      <c r="BK711" s="119">
        <f>COUNT(B3:B709)/COUNTIF(Y3:Y709,5)</f>
        <v>8.5</v>
      </c>
      <c r="BL711" s="119">
        <f>COUNT(B3:B709)/COUNTIF(Y3:Y709,6)</f>
        <v>13.0769230769231</v>
      </c>
      <c r="BM711" s="119">
        <f>COUNT(B3:B709)/COUNTIF(Y3:Y709,7)</f>
        <v>20.6060606060606</v>
      </c>
      <c r="BN711" s="119">
        <f>COUNT(B3:B709)/COUNTIF(Y3:Y709,8)</f>
        <v>25.1851851851852</v>
      </c>
      <c r="BO711" s="119">
        <f>COUNT(B3:B709)/COUNTIF(Y3:Y709,9)</f>
        <v>28.3333333333333</v>
      </c>
      <c r="BP711" s="19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</row>
    <row r="712" s="3" customFormat="1" ht="22.5" customHeight="1" spans="1:94">
      <c r="B712" s="120"/>
      <c r="C712" s="121"/>
      <c r="D712" s="121"/>
      <c r="E712" s="121"/>
      <c r="F712" s="83"/>
      <c r="G712" s="84"/>
      <c r="H712" s="85">
        <f t="array" ref="H712">MAX(FREQUENCY(IF(LEFT(G$3:G$709,1)&lt;&gt;"极",ROW(G$3:G$709)),IF(LEFT(G$3:G$709,1)="极",ROW(G$3:G$709))))</f>
        <v>231</v>
      </c>
      <c r="I712" s="85">
        <f t="array" ref="I712">MAX(FREQUENCY(IF(LEFT(G$3:G$709,1)&lt;&gt;"紧",ROW(G$3:G$709)),IF(LEFT(G$3:G$709,1)="紧",ROW(G$3:G$709))))</f>
        <v>12</v>
      </c>
      <c r="J712" s="85">
        <f t="array" ref="J712">MAX(FREQUENCY(IF(LEFT(G$3:G$709,1)&lt;&gt;"标",ROW(G$3:G$709)),IF(LEFT(G$3:G$709,1)="标",ROW(G$3:G$709))))</f>
        <v>19</v>
      </c>
      <c r="K712" s="85" cm="1">
        <f t="array" ref="K712">MAX(FREQUENCY(IF(LEFT(G$3:G$709,1)&lt;&gt;"松",ROW(G$3:G$709)),IF(LEFT(G$3:G$709,1)="松",ROW(G$3:G$709))))</f>
        <v>19</v>
      </c>
      <c r="L712" s="121"/>
      <c r="M712" s="122">
        <f t="array" ref="M712">MAX(FREQUENCY(IF(L3:L709&lt;&gt;0,ROW(L3:L709)),IF(L3:L709=0,ROW(L3:L709))))</f>
        <v>231</v>
      </c>
      <c r="N712" s="122">
        <f t="array" ref="N712">MAX(FREQUENCY(IF(L3:L709&lt;&gt;1,ROW(L3:L709)),IF(L3:L709=1,ROW(L3:L709))))</f>
        <v>71</v>
      </c>
      <c r="O712" s="122" cm="1">
        <f t="array" ref="O712">MAX(FREQUENCY(IF(L3:L709&lt;&gt;2,ROW(L3:L709)),IF(L3:L709=2,ROW(L3:L709))))</f>
        <v>38</v>
      </c>
      <c r="P712" s="122">
        <f t="array" ref="P712">MAX(FREQUENCY(IF(L3:L709&lt;&gt;3,ROW(L3:L709)),IF(L3:L709=3,ROW(L3:L709))))</f>
        <v>26</v>
      </c>
      <c r="Q712" s="122">
        <f t="array" ref="Q712">MAX(FREQUENCY(IF(L3:L709&lt;&gt;4,ROW(L3:L709)),IF(L3:L709=4,ROW(L3:L709))))</f>
        <v>32</v>
      </c>
      <c r="R712" s="122">
        <f t="array" ref="R712">MAX(FREQUENCY(IF(L3:L709&lt;&gt;5,ROW(L3:L709)),IF(L3:L709=5,ROW(L3:L709))))</f>
        <v>34</v>
      </c>
      <c r="S712" s="122">
        <f t="array" ref="S712">MAX(FREQUENCY(IF(L3:L709&lt;&gt;6,ROW(L3:L709)),IF(L3:L709=6,ROW(L3:L709))))</f>
        <v>56</v>
      </c>
      <c r="T712" s="122">
        <f t="array" ref="T712">MAX(FREQUENCY(IF(L3:L709&lt;&gt;7,ROW(L3:L709)),IF(L3:L709=7,ROW(L3:L709))))</f>
        <v>42</v>
      </c>
      <c r="U712" s="122">
        <f t="array" ref="U712">MAX(FREQUENCY(IF(L3:L709&lt;&gt;8,ROW(L3:L709)),IF(L3:L709=8,ROW(L3:L709))))</f>
        <v>38</v>
      </c>
      <c r="V712" s="122">
        <f t="array" ref="V712">MAX(FREQUENCY(IF(L3:L709&lt;&gt;9,ROW(L3:L709)),IF(L3:L709=9,ROW(L3:L709))))</f>
        <v>58</v>
      </c>
      <c r="W712" s="123"/>
      <c r="X712" s="123"/>
      <c r="Y712" s="123"/>
      <c r="Z712" s="108"/>
      <c r="AA712" s="111" t="s">
        <v>559</v>
      </c>
      <c r="AB712" s="111">
        <f t="array" ref="AB712">MAX(FREQUENCY(IF((W3:W709&lt;&gt;0)*(X3:X709&lt;&gt;0)*(Y3:Y709&lt;&gt;0),ROW(W3:W709)),IF((W3:W709=0)+(X3:X709=0)+(Y3:Y709=0),ROW(W3:W709))))</f>
        <v>17</v>
      </c>
      <c r="AC712" s="111" cm="1">
        <f t="array" ref="AC712">MAX(FREQUENCY(IF((W3:W709&lt;&gt;1)*(X3:X709&lt;&gt;1)*(Y3:Y709&lt;&gt;1),ROW(W3:W709)),IF((W3:W709=1)+(X3:X709=1)+(Y3:Y709=1),ROW(W3:W709))))</f>
        <v>9</v>
      </c>
      <c r="AD712" s="111" cm="1">
        <f t="array" ref="AD712">MAX(FREQUENCY(IF((W3:W709&lt;&gt;2)*(X3:X709&lt;&gt;2)*(Y3:Y709&lt;&gt;2),ROW(W3:W709)),IF((W3:W709=2)+(X3:X709=2)+(Y3:Y709=2),ROW(W3:W709))))</f>
        <v>16</v>
      </c>
      <c r="AE712" s="111" cm="1">
        <f t="array" ref="AE712">MAX(FREQUENCY(IF((W3:W709&lt;&gt;3)*(X3:X709&lt;&gt;3)*(Y3:Y709&lt;&gt;3),ROW(W3:W709)),IF((W3:W709=3)+(X3:X709=3)+(Y3:Y709=3),ROW(W3:W709))))</f>
        <v>10</v>
      </c>
      <c r="AF712" s="111" cm="1">
        <f t="array" ref="AF712">MAX(FREQUENCY(IF((W3:W709&lt;&gt;4)*(X3:X709&lt;&gt;4)*(Y3:Y709&lt;&gt;4),ROW(W3:W709)),IF((W3:W709=4)+(X3:X709=4)+(Y3:Y709=4),ROW(W3:W709))))</f>
        <v>12</v>
      </c>
      <c r="AG712" s="111" cm="1">
        <f t="array" ref="AG712">MAX(FREQUENCY(IF((W3:W709&lt;&gt;5)*(X3:X709&lt;&gt;5)*(Y3:Y709&lt;&gt;5),ROW(W3:W709)),IF((W3:W709=5)+(X3:X709=5)+(Y3:Y709=5),ROW(W3:W709))))</f>
        <v>14</v>
      </c>
      <c r="AH712" s="111" cm="1">
        <f t="array" ref="AH712">MAX(FREQUENCY(IF((W3:W709&lt;&gt;6)*(X3:X709&lt;&gt;6)*(Y3:Y709&lt;&gt;6),ROW(W3:W709)),IF((W3:W709=6)+(X3:X709=6)+(Y3:Y709=6),ROW(W3:W709))))</f>
        <v>35</v>
      </c>
      <c r="AI712" s="111" cm="1">
        <f t="array" ref="AI712">MAX(FREQUENCY(IF((W3:W709&lt;&gt;7)*(X3:X709&lt;&gt;7)*(Y3:Y709&lt;&gt;7),ROW(W3:W709)),IF((W3:W709=7)+(X3:X709=7)+(Y3:Y709=7),ROW(W3:W709))))</f>
        <v>36</v>
      </c>
      <c r="AJ712" s="111" cm="1">
        <f t="array" ref="AJ712">MAX(FREQUENCY(IF((W3:W709&lt;&gt;8)*(X3:X709&lt;&gt;8)*(Y3:Y709&lt;&gt;8),ROW(W3:W709)),IF((W3:W709=8)+(X3:X709=8)+(Y3:Y709=8),ROW(W3:W709))))</f>
        <v>29</v>
      </c>
      <c r="AK712" s="111" cm="1">
        <f t="array" ref="AK712">MAX(FREQUENCY(IF((W3:W709&lt;&gt;9)*(X3:X709&lt;&gt;9)*(Y3:Y709&lt;&gt;9),ROW(W3:W709)),IF((W3:W709=9)+(X3:X709=9)+(Y3:Y709=9),ROW(W3:W709))))</f>
        <v>58</v>
      </c>
      <c r="AL712" s="109" cm="1">
        <f t="array" ref="AL712">MAX(FREQUENCY(IF(W3:W709&lt;&gt;0,ROW(W3:W709)),IF(W3:W709=0,ROW(W3:W709))))</f>
        <v>50</v>
      </c>
      <c r="AM712" s="109" cm="1">
        <f t="array" ref="AM712">MAX(FREQUENCY(IF(W3:W709&lt;&gt;1,ROW(W3:W709)),IF(W3:W709=1,ROW(W3:W709))))</f>
        <v>28</v>
      </c>
      <c r="AN712" s="109" cm="1">
        <f t="array" ref="AN712">MAX(FREQUENCY(IF(W3:W709&lt;&gt;2,ROW(W3:W709)),IF(W3:W709=2,ROW(W3:W709))))</f>
        <v>28</v>
      </c>
      <c r="AO712" s="109" cm="1">
        <f t="array" ref="AO712">MAX(FREQUENCY(IF(W3:W709&lt;&gt;3,ROW(W3:W709)),IF(W3:W709=3,ROW(W3:W709))))</f>
        <v>28</v>
      </c>
      <c r="AP712" s="109" cm="1">
        <f t="array" ref="AP712">MAX(FREQUENCY(IF(W3:W709&lt;&gt;4,ROW(W3:W709)),IF(W3:W709=4,ROW(W3:W709))))</f>
        <v>36</v>
      </c>
      <c r="AQ712" s="109" cm="1">
        <f t="array" ref="AQ712">MAX(FREQUENCY(IF(W3:W709&lt;&gt;5,ROW(W3:W709)),IF(W3:W709=5,ROW(W3:W709))))</f>
        <v>36</v>
      </c>
      <c r="AR712" s="109" cm="1">
        <f t="array" ref="AR712">MAX(FREQUENCY(IF(W3:W709&lt;&gt;6,ROW(W3:W709)),IF(W3:W709=6,ROW(W3:W709))))</f>
        <v>63</v>
      </c>
      <c r="AS712" s="109" cm="1">
        <f t="array" ref="AS712">MAX(FREQUENCY(IF(W3:W709&lt;&gt;7,ROW(W3:W709)),IF(W3:W709=7,ROW(W3:W709))))</f>
        <v>64</v>
      </c>
      <c r="AT712" s="109" cm="1">
        <f t="array" ref="AT712">MAX(FREQUENCY(IF(W3:W709&lt;&gt;8,ROW(W3:W709)),IF(W3:W709=8,ROW(W3:W709))))</f>
        <v>80</v>
      </c>
      <c r="AU712" s="109" cm="1">
        <f t="array" ref="AU712">MAX(FREQUENCY(IF(W3:W709&lt;&gt;9,ROW(W3:W709)),IF(W3:W709=9,ROW(W3:W709))))</f>
        <v>103</v>
      </c>
      <c r="AV712" s="124" cm="1">
        <f t="array" ref="AV712">MAX(FREQUENCY(IF(X3:X709&lt;&gt;0,ROW(X3:X709)),IF(X3:X709=0,ROW(X3:X709))))</f>
        <v>42</v>
      </c>
      <c r="AW712" s="124" cm="1">
        <f t="array" ref="AW712">MAX(FREQUENCY(IF(X3:X709&lt;&gt;1,ROW(X3:X709)),IF(X3:X709=1,ROW(X3:X709))))</f>
        <v>30</v>
      </c>
      <c r="AX712" s="124" cm="1">
        <f t="array" ref="AX712">MAX(FREQUENCY(IF(X3:X709&lt;&gt;2,ROW(X3:X709)),IF(X3:X709=2,ROW(X3:X709))))</f>
        <v>20</v>
      </c>
      <c r="AY712" s="124" cm="1">
        <f t="array" ref="AY712">MAX(FREQUENCY(IF(X3:X709&lt;&gt;3,ROW(X3:X709)),IF(X3:X709=3,ROW(X3:X709))))</f>
        <v>36</v>
      </c>
      <c r="AZ712" s="124" cm="1">
        <f t="array" ref="AZ712">MAX(FREQUENCY(IF(X3:X709&lt;&gt;4,ROW(X3:X709)),IF(X3:X709=4,ROW(X3:X709))))</f>
        <v>45</v>
      </c>
      <c r="BA712" s="124" cm="1">
        <f t="array" ref="BA712">MAX(FREQUENCY(IF(X3:X709&lt;&gt;5,ROW(X3:X709)),IF(X3:X709=5,ROW(X3:X709))))</f>
        <v>44</v>
      </c>
      <c r="BB712" s="124" cm="1">
        <f t="array" ref="BB712">MAX(FREQUENCY(IF(X3:X709&lt;&gt;6,ROW(X3:X709)),IF(X3:X709=6,ROW(X3:X709))))</f>
        <v>52</v>
      </c>
      <c r="BC712" s="124" cm="1">
        <f t="array" ref="BC712">MAX(FREQUENCY(IF(X3:X709&lt;&gt;7,ROW(X3:X709)),IF(X3:X709=7,ROW(X3:X709))))</f>
        <v>76</v>
      </c>
      <c r="BD712" s="124" cm="1">
        <f t="array" ref="BD712">MAX(FREQUENCY(IF(X3:X709&lt;&gt;8,ROW(X3:X709)),IF(X3:X709=8,ROW(X3:X709))))</f>
        <v>138</v>
      </c>
      <c r="BE712" s="124" cm="1">
        <f t="array" ref="BE712">MAX(FREQUENCY(IF(X3:X709&lt;&gt;9,ROW(X3:X709)),IF(X3:X709=9,ROW(X3:X709))))</f>
        <v>175</v>
      </c>
      <c r="BF712" s="115" cm="1">
        <f t="array" ref="BF712">MAX(FREQUENCY(IF(Y3:Y709&lt;&gt;0,ROW(Y3:Y709)),IF(Y3:Y709=0,ROW(Y3:Y709))))</f>
        <v>41</v>
      </c>
      <c r="BG712" s="115" cm="1">
        <f t="array" ref="BG712">MAX(FREQUENCY(IF(Y3:Y709&lt;&gt;1,ROW(Y3:Y709)),IF(Y3:Y709=1,ROW(Y3:Y709))))</f>
        <v>26</v>
      </c>
      <c r="BH712" s="115" cm="1">
        <f t="array" ref="BH712">MAX(FREQUENCY(IF(Y3:Y709&lt;&gt;2,ROW(Y3:Y709)),IF(Y3:Y709=2,ROW(Y3:Y709))))</f>
        <v>24</v>
      </c>
      <c r="BI712" s="115" cm="1">
        <f t="array" ref="BI712">MAX(FREQUENCY(IF(Y3:Y709&lt;&gt;3,ROW(Y3:Y709)),IF(Y3:Y709=3,ROW(Y3:Y709))))</f>
        <v>47</v>
      </c>
      <c r="BJ712" s="115" cm="1">
        <f t="array" ref="BJ712">MAX(FREQUENCY(IF(Y3:Y709&lt;&gt;4,ROW(Y3:Y709)),IF(Y3:Y709=4,ROW(Y3:Y709))))</f>
        <v>34</v>
      </c>
      <c r="BK712" s="115" cm="1">
        <f t="array" ref="BK712">MAX(FREQUENCY(IF(Y3:Y709&lt;&gt;5,ROW(Y3:Y709)),IF(Y3:Y709=5,ROW(Y3:Y709))))</f>
        <v>36</v>
      </c>
      <c r="BL712" s="115" cm="1">
        <f t="array" ref="BL712">MAX(FREQUENCY(IF(Y3:Y709&lt;&gt;6,ROW(Y3:Y709)),IF(Y3:Y709=6,ROW(Y3:Y709))))</f>
        <v>56</v>
      </c>
      <c r="BM712" s="115" cm="1">
        <f t="array" ref="BM712">MAX(FREQUENCY(IF(Y3:Y709&lt;&gt;7,ROW(Y3:Y709)),IF(Y3:Y709=7,ROW(Y3:Y709))))</f>
        <v>68</v>
      </c>
      <c r="BN712" s="115" cm="1">
        <f t="array" ref="BN712">MAX(FREQUENCY(IF(Y3:Y709&lt;&gt;8,ROW(Y3:Y709)),IF(Y3:Y709=8,ROW(Y3:Y709))))</f>
        <v>91</v>
      </c>
      <c r="BO712" s="115" cm="1">
        <f t="array" ref="BO712">MAX(FREQUENCY(IF(Y3:Y709&lt;&gt;9,ROW(Y3:Y709)),IF(Y3:Y709=9,ROW(Y3:Y709))))</f>
        <v>72</v>
      </c>
      <c r="BP712" s="19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</row>
    <row r="713" s="5" customFormat="1" ht="31.5" customHeight="1" spans="1:94">
      <c r="B713" s="125"/>
      <c r="C713" s="126"/>
      <c r="D713" s="126"/>
      <c r="E713" s="126"/>
      <c r="F713" s="83"/>
      <c r="G713" s="84"/>
      <c r="H713" s="85" cm="1">
        <f t="array" ref="H713">IF(COUNTIF(G$3:G$709,"极*")=0,"从未出现",ROW(G709)-LOOKUP(1,0/(LEFT(G$3:G$709,1)="极"),ROW(G$3:G$709)))</f>
        <v>120</v>
      </c>
      <c r="I713" s="85" cm="1">
        <f t="array" ref="I713">IF(COUNTIF(G$3:G$709,"紧*")=0,"从未出现",ROW(G709)-LOOKUP(1,0/(LEFT(G$3:G$709,1)="紧"),ROW(G$3:G$709)))</f>
        <v>5</v>
      </c>
      <c r="J713" s="85" cm="1">
        <f t="array" ref="J713">IF(COUNTIF(G$3:G$709,"标*")=0,"从未出现",ROW(G709)-LOOKUP(1,0/(LEFT(G$3:G$709,1)="标"),ROW(G$3:G$709)))</f>
        <v>0</v>
      </c>
      <c r="K713" s="85" cm="1">
        <f t="array" ref="K713">IF(COUNTIF(G$3:G$709,"松*")=0,"从未出现",ROW(G709)-LOOKUP(1,0/(LEFT(G$3:G$709,1)="松"),ROW(G$3:G$709)))</f>
        <v>8</v>
      </c>
      <c r="L713" s="126"/>
      <c r="M713" s="127" cm="1">
        <f t="array" ref="M713">IF(COUNTIF(L:L,0)=0,"从未出现",A709-LOOKUP(2,1/(L$2:L$709=0),A$2:A$709))</f>
        <v>104</v>
      </c>
      <c r="N713" s="128" cm="1">
        <f t="array" ref="N713">IF(COUNTIF(L:L,1)=0,"从未出现",A709-LOOKUP(2,1/(L$2:L$709=1),A$2:A$709))</f>
        <v>1</v>
      </c>
      <c r="O713" s="128" cm="1">
        <f t="array" ref="O713">IF(COUNTIF(W:W,2)=0,"从未出现",A709-LOOKUP(2,1/(L$2:L$709=2),A$2:A$709))</f>
        <v>1</v>
      </c>
      <c r="P713" s="128" cm="1">
        <f t="array" ref="P713">IF(COUNTIF(W:W,3)=0,"从未出现",A709-LOOKUP(2,1/(L$2:L$709=3),A$2:A$709))</f>
        <v>1</v>
      </c>
      <c r="Q713" s="128" cm="1">
        <f t="array" ref="Q713">IF(COUNTIF(W:W,4)=0,"从未出现",A709-LOOKUP(2,1/(L$2:L$709=4),A$2:A$709))</f>
        <v>0</v>
      </c>
      <c r="R713" s="128" cm="1">
        <f t="array" ref="R713">IF(COUNTIF(W:W,5)=0,"从未出现",A709-LOOKUP(2,1/(L$2:L$709=5),A$2:A$709))</f>
        <v>1</v>
      </c>
      <c r="S713" s="128" cm="1">
        <f t="array" ref="S713">IF(COUNTIF(W:W,6)=0,"从未出现",A709-LOOKUP(2,1/(L$2:L$709=6),A$2:A$709))</f>
        <v>1</v>
      </c>
      <c r="T713" s="128" cm="1">
        <f t="array" ref="T713">IF(COUNTIF(W:W,7)=0,"从未出现",A709-LOOKUP(2,1/(L$2:L$709=7),A$2:A$709))</f>
        <v>0</v>
      </c>
      <c r="U713" s="128" cm="1">
        <f t="array" ref="U713">IF(COUNTIF(W:W,8)=0,"从未出现",A709-LOOKUP(2,1/(L$2:L$709=8),A$2:A$709))</f>
        <v>1</v>
      </c>
      <c r="V713" s="128" cm="1">
        <f t="array" ref="V713">IF(COUNTIF(W:W,9)=0,"从未出现",A709-LOOKUP(2,1/(L$2:L$709=9),A$2:A$709))</f>
        <v>1</v>
      </c>
      <c r="W713" s="129"/>
      <c r="X713" s="129"/>
      <c r="Y713" s="129"/>
      <c r="Z713" s="108"/>
      <c r="AA713" s="130" t="s">
        <v>560</v>
      </c>
      <c r="AB713" s="126"/>
      <c r="AC713" s="126"/>
      <c r="AD713" s="126"/>
      <c r="AE713" s="126"/>
      <c r="AF713" s="126"/>
      <c r="AG713" s="126"/>
      <c r="AH713" s="126"/>
      <c r="AI713" s="126"/>
      <c r="AJ713" s="126"/>
      <c r="AK713" s="126"/>
      <c r="AL713" s="127" cm="1">
        <f t="array" ref="AL713">IF(COUNTIF(W:W,0)=0,"从未出现",A709-LOOKUP(2,1/(W$2:W$709=0),A$2:A$709))</f>
        <v>1</v>
      </c>
      <c r="AM713" s="127" cm="1">
        <f t="array" ref="AM713">IF(COUNTIF(W:W,1)=0,"从未出现",A709-LOOKUP(2,1/(W$2:W$709=1),A$2:A$709))</f>
        <v>1</v>
      </c>
      <c r="AN713" s="127" cm="1">
        <f t="array" ref="AN713">IF(COUNTIF(W:W,2)=0,"从未出现",A709-LOOKUP(2,1/(W$2:W$709=2),A$2:A$709))</f>
        <v>1</v>
      </c>
      <c r="AO713" s="127" cm="1">
        <f t="array" ref="AO713">IF(COUNTIF(W:W,3)=0,"从未出现",A709-LOOKUP(2,1/(W$2:W$709=3),A$2:A$709))</f>
        <v>1</v>
      </c>
      <c r="AP713" s="127" cm="1">
        <f t="array" ref="AP713">IF(COUNTIF(W:W,4)=0,"从未出现",A709-LOOKUP(2,1/(W$2:W$709=4),A$2:A$709))</f>
        <v>1</v>
      </c>
      <c r="AQ713" s="127" cm="1">
        <f t="array" ref="AQ713">IF(COUNTIF(W:W,5)=0,"从未出现",A709-LOOKUP(2,1/(W$2:W$709=5),A$2:A$709))</f>
        <v>1</v>
      </c>
      <c r="AR713" s="127" cm="1">
        <f t="array" ref="AR713">IF(COUNTIF(W:W,6)=0,"从未出现",A709-LOOKUP(2,1/(W$2:W$709=6),A$2:A$709))</f>
        <v>7</v>
      </c>
      <c r="AS713" s="127" cm="1">
        <f t="array" ref="AS713">IF(COUNTIF(W:W,7)=0,"从未出现",A709-LOOKUP(2,1/(W$2:W$709=7),A$2:A$709))</f>
        <v>0</v>
      </c>
      <c r="AT713" s="127" cm="1">
        <f t="array" ref="AT713">IF(COUNTIF(W:W,8)=0,"从未出现",A709-LOOKUP(2,1/(W$2:W$709=8),A$2:A$709))</f>
        <v>1</v>
      </c>
      <c r="AU713" s="127" cm="1">
        <f t="array" ref="AU713">IF(COUNTIF(W:W,9)=0,"从未出现",A709-LOOKUP(2,1/(W$2:W$709=9),A$2:A$709))</f>
        <v>60</v>
      </c>
      <c r="AV713" s="131" cm="1">
        <f t="array" ref="AV713">IF(COUNTIF(X:X,0)=0,"从未出现",A709-LOOKUP(2,1/(X$2:X$709=0),A$2:A$709))</f>
        <v>1</v>
      </c>
      <c r="AW713" s="131" cm="1">
        <f t="array" ref="AW713">IF(COUNTIF(X:X,1)=0,"从未出现",A709-LOOKUP(2,1/(X$2:X$709=1),A$2:A$709))</f>
        <v>1</v>
      </c>
      <c r="AX713" s="131" cm="1">
        <f t="array" ref="AX713">IF(COUNTIF(X:X,2)=0,"从未出现",A709-LOOKUP(2,1/(X$2:X$709=2),A$2:A$709))</f>
        <v>1</v>
      </c>
      <c r="AY713" s="131" cm="1">
        <f t="array" ref="AY713">IF(COUNTIF(X:X,3)=0,"从未出现",A709-LOOKUP(2,1/(X$2:X$709=3),A$2:A$709))</f>
        <v>1</v>
      </c>
      <c r="AZ713" s="131" cm="1">
        <f t="array" ref="AZ713">IF(COUNTIF(X:X,4)=0,"从未出现",A709-LOOKUP(2,1/(X$2:X$709=4),A$2:A$709))</f>
        <v>0</v>
      </c>
      <c r="BA713" s="131" cm="1">
        <f t="array" ref="BA713">IF(COUNTIF(X:X,5)=0,"从未出现",A709-LOOKUP(2,1/(X$2:X$709=5),A$2:A$709))</f>
        <v>1</v>
      </c>
      <c r="BB713" s="131" cm="1">
        <f t="array" ref="BB713">IF(COUNTIF(X:X,6)=0,"从未出现",A709-LOOKUP(2,1/(X$2:X$709=6),A$2:A$709))</f>
        <v>1</v>
      </c>
      <c r="BC713" s="131" cm="1">
        <f t="array" ref="BC713">IF(COUNTIF(X:X,7)=0,"从未出现",A709-LOOKUP(2,1/(X$2:X$709=7),A$2:A$709))</f>
        <v>60</v>
      </c>
      <c r="BD713" s="131" cm="1">
        <f t="array" ref="BD713">IF(COUNTIF(X:X,8)=0,"从未出现",A709-LOOKUP(2,1/(X$2:X$709=8),A$2:A$709))</f>
        <v>1</v>
      </c>
      <c r="BE713" s="131" cm="1">
        <f t="array" ref="BE713">IF(COUNTIF(X:X,9)=0,"从未出现",A709-LOOKUP(2,1/(X$2:X$709=9),A$2:A$709))</f>
        <v>68</v>
      </c>
      <c r="BF713" s="132" cm="1">
        <f t="array" ref="BF713">IF(COUNTIF(Y:Y,0)=0,"从未出现",A709-LOOKUP(2,1/(Y$2:Y$709=0),A$2:A$709))</f>
        <v>1</v>
      </c>
      <c r="BG713" s="132" cm="1">
        <f t="array" ref="BG713">IF(COUNTIF(Y:Y,1)=0,"从未出现",A709-LOOKUP(2,1/(Y$2:Y$709=1),A$2:A$709))</f>
        <v>1</v>
      </c>
      <c r="BH713" s="132" cm="1">
        <f t="array" ref="BH713">IF(COUNTIF(Y:Y,2)=0,"从未出现",A709-LOOKUP(2,1/(Y$2:Y$709=2),A$2:A$709))</f>
        <v>1</v>
      </c>
      <c r="BI713" s="132" cm="1">
        <f t="array" ref="BI713">IF(COUNTIF(Y:Y,3)=0,"从未出现",A709-LOOKUP(2,1/(Y$2:Y$709=3),A$2:A$709))</f>
        <v>0</v>
      </c>
      <c r="BJ713" s="132" cm="1">
        <f t="array" ref="BJ713">IF(COUNTIF(Y:Y,4)=0,"从未出现",A709-LOOKUP(2,1/(Y$2:Y$709=4),A$2:A$709))</f>
        <v>0</v>
      </c>
      <c r="BK713" s="132" cm="1">
        <f t="array" ref="BK713">IF(COUNTIF(Y:Y,5)=0,"从未出现",A709-LOOKUP(2,1/(Y$2:Y$709=5),A$2:A$709))</f>
        <v>1</v>
      </c>
      <c r="BL713" s="132" cm="1">
        <f t="array" ref="BL713">IF(COUNTIF(Y:Y,6)=0,"从未出现",A709-LOOKUP(2,1/(Y$2:Y$709=6),A$2:A$709))</f>
        <v>1</v>
      </c>
      <c r="BM713" s="132" cm="1">
        <f t="array" ref="BM713">IF(COUNTIF(Y:Y,7)=0,"从未出现",A709-LOOKUP(2,1/(Y$2:Y$709=7),A$2:A$709))</f>
        <v>1</v>
      </c>
      <c r="BN713" s="132" cm="1">
        <f t="array" ref="BN713">IF(COUNTIF(Y:Y,8)=0,"从未出现",A709-LOOKUP(2,1/(Y$2:Y$709=8),A$2:A$709))</f>
        <v>40</v>
      </c>
      <c r="BO713" s="132" cm="1">
        <f t="array" ref="BO713">IF(COUNTIF(Y:Y,9)=0,"从未出现",A709-LOOKUP(2,1/(Y$2:Y$709=9),A$2:A$709))</f>
        <v>1</v>
      </c>
      <c r="BP713" s="19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</row>
    <row r="714" s="6" customFormat="1" ht="31" customHeight="1" spans="1:94">
      <c r="B714" s="133"/>
      <c r="C714" s="134"/>
      <c r="D714" s="134"/>
      <c r="E714" s="134"/>
      <c r="F714" s="83"/>
      <c r="G714" s="84"/>
      <c r="H714" s="85" cm="1">
        <f t="array" ref="H714">MAX(FREQUENCY(IF(LEFT(G$3:G$709,1)="极",ROW(G$3:G$709)),IF(LEFT(G$3:G$709,1)&lt;&gt;"极",ROW(G$3:G$709))))</f>
        <v>1</v>
      </c>
      <c r="I714" s="85" cm="1">
        <f t="array" ref="I714">MAX(FREQUENCY(IF(LEFT(G$3:G$709,1)="紧",ROW(G$3:G$709)),IF(LEFT(G$3:G$709,1)&lt;&gt;"紧",ROW(G$3:G$709))))</f>
        <v>4</v>
      </c>
      <c r="J714" s="85" cm="1">
        <f t="array" ref="J714">MAX(FREQUENCY(IF(LEFT(G$3:G$709,1)="标",ROW(G$3:G$709)),IF(LEFT(G$3:G$709,1)&lt;&gt;"标",ROW(G$3:G$709))))</f>
        <v>5</v>
      </c>
      <c r="K714" s="85" cm="1">
        <f t="array" ref="K714">MAX(FREQUENCY(IF(LEFT(G$3:G$709,1)="松",ROW(G$3:G$709)),IF(LEFT(G$3:G$709,1)&lt;&gt;"松",ROW(G$3:G$709))))</f>
        <v>5</v>
      </c>
      <c r="L714" s="134"/>
      <c r="M714" s="135">
        <f t="array" ref="M714">MAX(FREQUENCY(IF(L$2:L$709=0,ROW(L$2:L$709)),IF(L$2:L$709&lt;&gt;0,ROW(L$2:L$709))))</f>
        <v>1</v>
      </c>
      <c r="N714" s="135">
        <f t="array" ref="N714">MAX(FREQUENCY(IF(L$2:L$709=1,ROW(L$2:L$709)),IF(L$2:L$709&lt;&gt;1,ROW(L$2:L$709))))</f>
        <v>2</v>
      </c>
      <c r="O714" s="135">
        <f t="array" ref="O714">MAX(FREQUENCY(IF(L$2:L$709=2,ROW(L$2:L$709)),IF(L$2:L$709&lt;&gt;2,ROW(L$2:L$709))))</f>
        <v>2</v>
      </c>
      <c r="P714" s="135">
        <f t="array" ref="P714">MAX(FREQUENCY(IF(L$2:L$709=3,ROW(L$2:L$709)),IF(L$2:L$709&lt;&gt;3,ROW(L$2:L$709))))</f>
        <v>2</v>
      </c>
      <c r="Q714" s="135">
        <f t="array" ref="Q714">MAX(FREQUENCY(IF(L$2:L$709=4,ROW(L$2:L$709)),IF(L$2:L$709&lt;&gt;4,ROW(L$2:L$709))))</f>
        <v>3</v>
      </c>
      <c r="R714" s="135">
        <f t="array" ref="R714">MAX(FREQUENCY(IF(L$2:L$709=5,ROW(L$2:L$709)),IF(L$2:L$709&lt;&gt;5,ROW(L$2:L$709))))</f>
        <v>3</v>
      </c>
      <c r="S714" s="135">
        <f t="array" ref="S714">MAX(FREQUENCY(IF(L$2:L$709=6,ROW(L$2:L$709)),IF(L$2:L$709&lt;&gt;6,ROW(L$2:L$709))))</f>
        <v>3</v>
      </c>
      <c r="T714" s="135">
        <f t="array" ref="T714">MAX(FREQUENCY(IF(L$2:L$709=7,ROW(L$2:L$709)),IF(L$2:L$709&lt;&gt;7,ROW(L$2:L$709))))</f>
        <v>3</v>
      </c>
      <c r="U714" s="135">
        <f t="array" ref="U714">MAX(FREQUENCY(IF(L$2:L$709=8,ROW(L$2:L$709)),IF(L$2:L$709&lt;&gt;8,ROW(L$2:L$709))))</f>
        <v>2</v>
      </c>
      <c r="V714" s="135">
        <f t="array" ref="V714">MAX(FREQUENCY(IF(L$2:L$709=9,ROW(L$2:L$709)),IF(L$2:L$709&lt;&gt;9,ROW(L$2:L$709))))</f>
        <v>2</v>
      </c>
      <c r="W714" s="66"/>
      <c r="X714" s="66"/>
      <c r="Y714" s="66"/>
      <c r="Z714" s="108"/>
      <c r="AA714" s="134" t="s">
        <v>561</v>
      </c>
      <c r="AB714" s="134"/>
      <c r="AC714" s="134"/>
      <c r="AD714" s="134"/>
      <c r="AE714" s="134"/>
      <c r="AF714" s="134"/>
      <c r="AG714" s="134"/>
      <c r="AH714" s="134"/>
      <c r="AI714" s="134"/>
      <c r="AJ714" s="134"/>
      <c r="AK714" s="134"/>
      <c r="AL714" s="115">
        <f t="array" ref="AL714">MAX(FREQUENCY(IF(W$2:W$709=0,ROW(W$2:W$709)),IF(W$2:W$709&lt;&gt;0,ROW(W$2:W$709))))</f>
        <v>3</v>
      </c>
      <c r="AM714" s="115">
        <f t="array" ref="AM714">MAX(FREQUENCY(IF(W$2:W$709=1,ROW(W$2:W$709)),IF(W$2:W$709&lt;&gt;1,ROW(W$2:W$709))))</f>
        <v>4</v>
      </c>
      <c r="AN714" s="115">
        <f t="array" ref="AN714">MAX(FREQUENCY(IF(W$2:W$709=2,ROW(W$2:W$709)),IF(W$2:W$709&lt;&gt;2,ROW(W$2:W$709))))</f>
        <v>4</v>
      </c>
      <c r="AO714" s="115">
        <f t="array" ref="AO714">MAX(FREQUENCY(IF(W$2:W$709=3,ROW(W$2:W$709)),IF(W$2:W$709&lt;&gt;3,ROW(W$2:W$709))))</f>
        <v>3</v>
      </c>
      <c r="AP714" s="115">
        <f t="array" ref="AP714">MAX(FREQUENCY(IF(W$2:W$709=4,ROW(W$2:W$709)),IF(W$2:W$709&lt;&gt;4,ROW(W$2:W$709))))</f>
        <v>2</v>
      </c>
      <c r="AQ714" s="115">
        <f t="array" ref="AQ714">MAX(FREQUENCY(IF(W$2:W$709=5,ROW(W$2:W$709)),IF(W$2:W$709&lt;&gt;5,ROW(W$2:W$709))))</f>
        <v>2</v>
      </c>
      <c r="AR714" s="115">
        <f t="array" ref="AR714">MAX(FREQUENCY(IF(W$2:W$709=6,ROW(W$2:W$709)),IF(W$2:W$709&lt;&gt;6,ROW(W$2:W$709))))</f>
        <v>3</v>
      </c>
      <c r="AS714" s="115">
        <f t="array" ref="AS714">MAX(FREQUENCY(IF(W$2:W$709=7,ROW(W$2:W$709)),IF(W$2:W$709&lt;&gt;7,ROW(W$2:W$709))))</f>
        <v>2</v>
      </c>
      <c r="AT714" s="115">
        <f t="array" ref="AT714">MAX(FREQUENCY(IF(W$2:W$709=8,ROW(W$2:W$709)),IF(W$2:W$709&lt;&gt;8,ROW(W$2:W$709))))</f>
        <v>1</v>
      </c>
      <c r="AU714" s="115">
        <f t="array" ref="AU714">MAX(FREQUENCY(IF(W$2:W$709=9,ROW(W$2:W$709)),IF(W$2:W$709&lt;&gt;9,ROW(W$2:W$709))))</f>
        <v>1</v>
      </c>
      <c r="AV714" s="111">
        <f t="array" ref="AV714">MAX(FREQUENCY(IF(X$2:X$709=0,ROW(X$2:X$709)),IF(X$2:X$709&lt;&gt;0,ROW(X$2:X$709))))</f>
        <v>2</v>
      </c>
      <c r="AW714" s="111">
        <f t="array" ref="AW714">MAX(FREQUENCY(IF(X$2:X$709=1,ROW(X$2:X$709)),IF(X$2:X$709&lt;&gt;1,ROW(X$2:X$709))))</f>
        <v>3</v>
      </c>
      <c r="AX714" s="111">
        <f t="array" ref="AX714">MAX(FREQUENCY(IF(X$2:X$709=2,ROW(X$2:X$709)),IF(X$2:X$709&lt;&gt;2,ROW(X$2:X$709))))</f>
        <v>5</v>
      </c>
      <c r="AY714" s="111">
        <f t="array" ref="AY714">MAX(FREQUENCY(IF(X$2:X$709=3,ROW(X$2:X$709)),IF(X$2:X$709&lt;&gt;3,ROW(X$2:X$709))))</f>
        <v>2</v>
      </c>
      <c r="AZ714" s="111">
        <f t="array" ref="AZ714">MAX(FREQUENCY(IF(X$2:X$709=4,ROW(X$2:X$709)),IF(X$2:X$709&lt;&gt;4,ROW(X$2:X$709))))</f>
        <v>3</v>
      </c>
      <c r="BA714" s="111">
        <f t="array" ref="BA714">MAX(FREQUENCY(IF(X$2:X$709=5,ROW(X$2:X$709)),IF(X$2:X$709&lt;&gt;5,ROW(X$2:X$709))))</f>
        <v>2</v>
      </c>
      <c r="BB714" s="111">
        <f t="array" ref="BB714">MAX(FREQUENCY(IF(X$2:X$709=6,ROW(X$2:X$709)),IF(X$2:X$709&lt;&gt;6,ROW(X$2:X$709))))</f>
        <v>2</v>
      </c>
      <c r="BC714" s="111">
        <f t="array" ref="BC714">MAX(FREQUENCY(IF(X$2:X$709=7,ROW(X$2:X$709)),IF(X$2:X$709&lt;&gt;7,ROW(X$2:X$709))))</f>
        <v>2</v>
      </c>
      <c r="BD714" s="111">
        <f t="array" ref="BD714">MAX(FREQUENCY(IF(X$2:X$709=8,ROW(X$2:X$709)),IF(X$2:X$709&lt;&gt;8,ROW(X$2:X$709))))</f>
        <v>1</v>
      </c>
      <c r="BE714" s="111">
        <f t="array" ref="BE714">MAX(FREQUENCY(IF(X$2:X$709=9,ROW(X$2:X$709)),IF(X$2:X$709&lt;&gt;9,ROW(X$2:X$709))))</f>
        <v>2</v>
      </c>
      <c r="BF714" s="131">
        <f t="array" ref="BF714">MAX(FREQUENCY(IF(Y$2:Y$709=0,ROW(Y$2:Y$709)),IF(Y$2:Y$709&lt;&gt;0,ROW(Y$2:Y$709))))</f>
        <v>4</v>
      </c>
      <c r="BG714" s="131">
        <f t="array" ref="BG714">MAX(FREQUENCY(IF(Y$2:Y$709=1,ROW(Y$2:Y$709)),IF(Y$2:Y$709&lt;&gt;1,ROW(Y$2:Y$709))))</f>
        <v>4</v>
      </c>
      <c r="BH714" s="131">
        <f t="array" ref="BH714">MAX(FREQUENCY(IF(Y$2:Y$709=2,ROW(Y$2:Y$709)),IF(Y$2:Y$709&lt;&gt;2,ROW(Y$2:Y$709))))</f>
        <v>3</v>
      </c>
      <c r="BI714" s="131">
        <f t="array" ref="BI714">MAX(FREQUENCY(IF(Y$2:Y$709=3,ROW(Y$2:Y$709)),IF(Y$2:Y$709&lt;&gt;3,ROW(Y$2:Y$709))))</f>
        <v>3</v>
      </c>
      <c r="BJ714" s="131">
        <f t="array" ref="BJ714">MAX(FREQUENCY(IF(Y$2:Y$709=4,ROW(Y$2:Y$709)),IF(Y$2:Y$709&lt;&gt;4,ROW(Y$2:Y$709))))</f>
        <v>3</v>
      </c>
      <c r="BK714" s="131">
        <f t="array" ref="BK714">MAX(FREQUENCY(IF(Y$2:Y$709=5,ROW(Y$2:Y$709)),IF(Y$2:Y$709&lt;&gt;5,ROW(Y$2:Y$709))))</f>
        <v>3</v>
      </c>
      <c r="BL714" s="131">
        <f t="array" ref="BL714">MAX(FREQUENCY(IF(Y$2:Y$709=6,ROW(Y$2:Y$709)),IF(Y$2:Y$709&lt;&gt;6,ROW(Y$2:Y$709))))</f>
        <v>2</v>
      </c>
      <c r="BM714" s="131">
        <f t="array" ref="BM714">MAX(FREQUENCY(IF(Y$2:Y$709=7,ROW(Y$2:Y$709)),IF(Y$2:Y$709&lt;&gt;7,ROW(Y$2:Y$709))))</f>
        <v>3</v>
      </c>
      <c r="BN714" s="131">
        <f t="array" ref="BN714">MAX(FREQUENCY(IF(Y$2:Y$709=8,ROW(Y$2:Y$709)),IF(Y$2:Y$709&lt;&gt;8,ROW(Y$2:Y$709))))</f>
        <v>2</v>
      </c>
      <c r="BO714" s="131">
        <f t="array" ref="BO714">MAX(FREQUENCY(IF(Y$2:Y$709=9,ROW(Y$2:Y$709)),IF(Y$2:Y$709&lt;&gt;9,ROW(Y$2:Y$709))))</f>
        <v>1</v>
      </c>
      <c r="BP714" s="19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</row>
    <row r="715" ht="13.5" spans="1:94">
      <c r="B715" s="18"/>
      <c r="C715"/>
      <c r="D715"/>
      <c r="E715"/>
      <c r="F715" s="136"/>
      <c r="G715" s="137"/>
      <c r="H715" s="137"/>
      <c r="I715" s="137"/>
      <c r="J715" s="137"/>
      <c r="K715" s="137"/>
      <c r="L715"/>
      <c r="M715"/>
      <c r="N715"/>
      <c r="O715"/>
      <c r="Z715" s="137"/>
      <c r="AA715"/>
      <c r="AB715"/>
      <c r="AC715"/>
      <c r="AD715"/>
      <c r="AE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</row>
    <row r="716" ht="13.5" spans="1:94">
      <c r="B716" s="18"/>
      <c r="C716"/>
      <c r="D716"/>
      <c r="E716"/>
      <c r="F716"/>
      <c r="G716" s="137"/>
      <c r="H716"/>
      <c r="I716"/>
      <c r="J716"/>
      <c r="K716"/>
      <c r="L716"/>
      <c r="M716"/>
      <c r="N716"/>
      <c r="O716"/>
      <c r="P716"/>
      <c r="Q716"/>
      <c r="R716"/>
      <c r="Z716" s="137"/>
      <c r="AA716"/>
      <c r="AB716"/>
      <c r="AC716"/>
      <c r="AD716"/>
      <c r="AE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</row>
    <row r="717" ht="13.5" spans="1:94">
      <c r="B717" s="18"/>
      <c r="C717"/>
      <c r="D717"/>
      <c r="E717"/>
      <c r="F717"/>
      <c r="G717" s="137"/>
      <c r="H717"/>
      <c r="I717"/>
      <c r="J717"/>
      <c r="K717"/>
      <c r="L717"/>
      <c r="M717"/>
      <c r="N717"/>
      <c r="O717"/>
      <c r="P717"/>
      <c r="Q717"/>
      <c r="R717"/>
      <c r="Z717" s="137"/>
      <c r="AA717"/>
      <c r="AB717"/>
      <c r="AC717"/>
      <c r="AD717"/>
      <c r="AE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</row>
    <row r="718" ht="13.5" spans="1:94">
      <c r="B718" s="18"/>
      <c r="C718"/>
      <c r="D718"/>
      <c r="E718"/>
      <c r="F718"/>
      <c r="G718" s="137"/>
      <c r="H718"/>
      <c r="I718"/>
      <c r="J718"/>
      <c r="K718"/>
      <c r="L718"/>
      <c r="M718"/>
      <c r="N718"/>
      <c r="O718"/>
      <c r="P718"/>
      <c r="Q718"/>
      <c r="R718"/>
      <c r="Z718" s="137"/>
      <c r="AA718"/>
      <c r="AB718"/>
      <c r="AC718"/>
      <c r="AD718"/>
      <c r="AE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</row>
    <row r="719" ht="13.5" spans="1:94">
      <c r="B719" s="18"/>
      <c r="C719"/>
      <c r="D719"/>
      <c r="E719"/>
      <c r="F719"/>
      <c r="G719" s="137"/>
      <c r="H719"/>
      <c r="I719"/>
      <c r="J719"/>
      <c r="K719"/>
      <c r="L719"/>
      <c r="M719"/>
      <c r="N719"/>
      <c r="O719"/>
      <c r="P719"/>
      <c r="Q719"/>
      <c r="R719"/>
      <c r="Z719" s="137"/>
      <c r="AA719"/>
      <c r="AB719"/>
      <c r="AC719"/>
      <c r="AD719"/>
      <c r="AE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</row>
    <row r="720" ht="13.5" spans="1:94">
      <c r="B720" s="18"/>
      <c r="C720"/>
      <c r="D720"/>
      <c r="E720"/>
      <c r="F720"/>
      <c r="G720" s="137"/>
      <c r="H720"/>
      <c r="I720"/>
      <c r="J720"/>
      <c r="K720"/>
      <c r="L720"/>
      <c r="M720"/>
      <c r="N720"/>
      <c r="O720"/>
      <c r="P720"/>
      <c r="Q720"/>
      <c r="R720"/>
      <c r="Z720" s="137"/>
      <c r="AA720"/>
      <c r="AB720"/>
      <c r="AC720"/>
      <c r="AD720"/>
      <c r="AE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</row>
    <row r="721" ht="13.5" spans="2:94">
      <c r="B721" s="18"/>
      <c r="C721"/>
      <c r="D721"/>
      <c r="E721"/>
      <c r="F721"/>
      <c r="G721" s="137"/>
      <c r="H721"/>
      <c r="I721"/>
      <c r="J721"/>
      <c r="K721"/>
      <c r="L721"/>
      <c r="M721"/>
      <c r="N721"/>
      <c r="O721"/>
      <c r="P721"/>
      <c r="Q721"/>
      <c r="R721"/>
      <c r="Z721" s="137"/>
      <c r="AA721"/>
      <c r="AB721"/>
      <c r="AC721"/>
      <c r="AD721"/>
      <c r="AE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</row>
    <row r="722" ht="13.5" spans="2:94">
      <c r="B722" s="18"/>
      <c r="C722" s="137"/>
      <c r="D722"/>
      <c r="E722"/>
      <c r="F722"/>
      <c r="G722" s="137"/>
      <c r="H722"/>
      <c r="I722"/>
      <c r="J722"/>
      <c r="K722"/>
      <c r="L722"/>
      <c r="M722"/>
      <c r="N722"/>
      <c r="O722"/>
      <c r="P722"/>
      <c r="Q722"/>
      <c r="R722"/>
      <c r="Z722" s="137"/>
      <c r="AA722"/>
      <c r="AB722"/>
      <c r="AC722"/>
      <c r="AD722"/>
      <c r="AE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</row>
    <row r="723" ht="13.5" spans="2:94">
      <c r="B723" s="18"/>
      <c r="C723" s="137"/>
      <c r="D723"/>
      <c r="E723"/>
      <c r="F723"/>
      <c r="G723" s="137"/>
      <c r="H723"/>
      <c r="I723"/>
      <c r="J723"/>
      <c r="K723"/>
      <c r="L723"/>
      <c r="M723"/>
      <c r="N723"/>
      <c r="O723"/>
      <c r="P723"/>
      <c r="Q723"/>
      <c r="R723"/>
      <c r="Z723" s="137"/>
      <c r="AA723"/>
      <c r="AB723"/>
      <c r="AC723"/>
      <c r="AD723"/>
      <c r="AE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</row>
    <row r="724" ht="13.5" spans="2:94">
      <c r="B724" s="18"/>
      <c r="C724" s="137"/>
      <c r="D724"/>
      <c r="E724"/>
      <c r="F724"/>
      <c r="G724" s="137"/>
      <c r="H724"/>
      <c r="I724"/>
      <c r="J724"/>
      <c r="K724"/>
      <c r="L724"/>
      <c r="M724"/>
      <c r="N724"/>
      <c r="O724"/>
      <c r="P724"/>
      <c r="Q724"/>
      <c r="R724"/>
      <c r="Z724" s="137"/>
      <c r="AA724"/>
      <c r="AB724"/>
      <c r="AC724"/>
      <c r="AD724"/>
      <c r="AE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</row>
    <row r="725" ht="13.5" spans="2:94">
      <c r="B725" s="18"/>
      <c r="C725" s="137"/>
      <c r="D725"/>
      <c r="E725"/>
      <c r="F725"/>
      <c r="G725" s="137"/>
      <c r="H725"/>
      <c r="I725"/>
      <c r="J725"/>
      <c r="K725"/>
      <c r="L725"/>
      <c r="M725"/>
      <c r="N725"/>
      <c r="O725"/>
      <c r="P725"/>
      <c r="Q725"/>
      <c r="R725"/>
      <c r="Z725" s="137"/>
      <c r="AA725"/>
      <c r="AB725"/>
      <c r="AC725"/>
      <c r="AD725"/>
      <c r="AE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</row>
    <row r="726" ht="13.5" spans="2:94">
      <c r="B726" s="18"/>
      <c r="C726" s="137"/>
      <c r="D726"/>
      <c r="E726"/>
      <c r="F726"/>
      <c r="G726" s="137"/>
      <c r="H726"/>
      <c r="I726"/>
      <c r="J726"/>
      <c r="K726"/>
      <c r="L726"/>
      <c r="M726"/>
      <c r="N726"/>
      <c r="O726"/>
      <c r="P726"/>
      <c r="Q726"/>
      <c r="R726"/>
      <c r="Z726" s="137"/>
      <c r="AA726"/>
      <c r="AB726"/>
      <c r="AC726"/>
      <c r="AD726"/>
      <c r="AE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</row>
    <row r="727" ht="13.5" spans="2:94">
      <c r="B727" s="18"/>
      <c r="C727" s="137"/>
      <c r="D727"/>
      <c r="E727"/>
      <c r="F727"/>
      <c r="G727" s="137"/>
      <c r="H727"/>
      <c r="I727"/>
      <c r="J727"/>
      <c r="K727"/>
      <c r="L727"/>
      <c r="M727"/>
      <c r="N727"/>
      <c r="O727"/>
      <c r="P727"/>
      <c r="Q727"/>
      <c r="R727"/>
      <c r="Z727" s="13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</row>
    <row r="728" ht="13.5" spans="2:94">
      <c r="B728" s="18"/>
      <c r="C728" s="137"/>
      <c r="D728"/>
      <c r="E728"/>
      <c r="F728"/>
      <c r="G728" s="137"/>
      <c r="H728"/>
      <c r="I728"/>
      <c r="J728"/>
      <c r="K728"/>
      <c r="L728"/>
      <c r="M728"/>
      <c r="N728"/>
      <c r="O728"/>
      <c r="P728"/>
      <c r="Q728"/>
      <c r="R728"/>
      <c r="Z728" s="137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</row>
    <row r="729" ht="13.5" spans="2:94">
      <c r="B729" s="18"/>
      <c r="C729" s="137"/>
      <c r="D729"/>
      <c r="E729"/>
      <c r="F729"/>
      <c r="G729" s="137"/>
      <c r="H729"/>
      <c r="I729"/>
      <c r="J729"/>
      <c r="K729"/>
      <c r="L729"/>
      <c r="M729"/>
      <c r="N729"/>
      <c r="O729"/>
      <c r="P729"/>
      <c r="Q729"/>
      <c r="R729"/>
      <c r="Z729" s="137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</row>
    <row r="730" ht="13.5" spans="2:94">
      <c r="B730" s="18"/>
      <c r="C730" s="137"/>
      <c r="D730"/>
      <c r="E730"/>
      <c r="F730"/>
      <c r="G730" s="137"/>
      <c r="H730"/>
      <c r="I730"/>
      <c r="J730"/>
      <c r="K730"/>
      <c r="L730"/>
      <c r="M730"/>
      <c r="N730"/>
      <c r="O730"/>
      <c r="P730"/>
      <c r="Q730"/>
      <c r="R730"/>
      <c r="Z730" s="137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</row>
    <row r="731" ht="13.5" spans="2:94">
      <c r="B731" s="18"/>
      <c r="C731" s="137"/>
      <c r="D731"/>
      <c r="E731"/>
      <c r="F731"/>
      <c r="G731" s="137"/>
      <c r="H731"/>
      <c r="I731"/>
      <c r="J731"/>
      <c r="K731"/>
      <c r="L731"/>
      <c r="M731"/>
      <c r="N731"/>
      <c r="O731"/>
      <c r="P731"/>
      <c r="Q731"/>
      <c r="R731"/>
      <c r="Z731" s="137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</row>
    <row r="732" ht="13.5" spans="2:94">
      <c r="B732" s="18"/>
      <c r="C732" s="137"/>
      <c r="D732"/>
      <c r="E732"/>
      <c r="F732"/>
      <c r="G732" s="137"/>
      <c r="H732"/>
      <c r="I732"/>
      <c r="J732"/>
      <c r="K732"/>
      <c r="L732"/>
      <c r="M732"/>
      <c r="N732"/>
      <c r="O732"/>
      <c r="P732"/>
      <c r="Q732"/>
      <c r="R732"/>
      <c r="Z732" s="137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</row>
    <row r="733" ht="13.5" spans="2:94">
      <c r="B733" s="18"/>
      <c r="C733" s="137"/>
      <c r="D733"/>
      <c r="E733"/>
      <c r="F733"/>
      <c r="G733" s="137"/>
      <c r="H733"/>
      <c r="I733"/>
      <c r="J733"/>
      <c r="K733"/>
      <c r="L733"/>
      <c r="M733"/>
      <c r="N733"/>
      <c r="O733"/>
      <c r="P733"/>
      <c r="Q733"/>
      <c r="R733"/>
      <c r="Z733" s="137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</row>
    <row r="734" ht="13.5" spans="2:94">
      <c r="B734" s="18"/>
      <c r="C734" s="137"/>
      <c r="D734"/>
      <c r="E734"/>
      <c r="F734"/>
      <c r="G734" s="137"/>
      <c r="H734"/>
      <c r="I734"/>
      <c r="J734"/>
      <c r="K734"/>
      <c r="L734"/>
      <c r="M734"/>
      <c r="N734"/>
      <c r="O734"/>
      <c r="P734"/>
      <c r="Q734"/>
      <c r="R734"/>
      <c r="Z734" s="137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</row>
    <row r="735" ht="13.5" spans="2:94">
      <c r="B735" s="18"/>
      <c r="C735" s="137"/>
      <c r="D735"/>
      <c r="E735"/>
      <c r="F735"/>
      <c r="G735" s="137"/>
      <c r="H735"/>
      <c r="I735"/>
      <c r="J735"/>
      <c r="K735"/>
      <c r="L735"/>
      <c r="M735"/>
      <c r="N735"/>
      <c r="O735"/>
      <c r="P735"/>
      <c r="Q735"/>
      <c r="R735"/>
      <c r="Z735" s="137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</row>
    <row r="736" ht="13.5" spans="2:94">
      <c r="B736" s="18"/>
      <c r="C736" s="137"/>
      <c r="D736"/>
      <c r="E736"/>
      <c r="F736"/>
      <c r="G736" s="137"/>
      <c r="H736"/>
      <c r="I736"/>
      <c r="J736"/>
      <c r="K736"/>
      <c r="L736"/>
      <c r="M736"/>
      <c r="N736"/>
      <c r="O736"/>
      <c r="P736"/>
      <c r="Q736"/>
      <c r="R736"/>
      <c r="Z736" s="137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</row>
    <row r="737" ht="13.5" spans="2:94">
      <c r="B737" s="18"/>
      <c r="C737" s="137"/>
      <c r="D737"/>
      <c r="E737"/>
      <c r="F737"/>
      <c r="G737" s="137"/>
      <c r="H737"/>
      <c r="I737"/>
      <c r="J737"/>
      <c r="K737"/>
      <c r="L737"/>
      <c r="M737"/>
      <c r="N737"/>
      <c r="O737"/>
      <c r="P737"/>
      <c r="Q737"/>
      <c r="R737"/>
      <c r="Z737" s="1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</row>
    <row r="738" ht="13.5" spans="2:94">
      <c r="B738" s="18"/>
      <c r="C738" s="137"/>
      <c r="D738"/>
      <c r="E738"/>
      <c r="F738"/>
      <c r="G738" s="137"/>
      <c r="H738"/>
      <c r="I738"/>
      <c r="J738"/>
      <c r="K738"/>
      <c r="L738"/>
      <c r="M738"/>
      <c r="N738"/>
      <c r="O738"/>
      <c r="P738"/>
      <c r="Q738"/>
      <c r="R738"/>
      <c r="Z738" s="137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</row>
    <row r="739" ht="13.5" spans="2:94">
      <c r="B739" s="18"/>
      <c r="C739" s="137"/>
      <c r="D739"/>
      <c r="E739"/>
      <c r="F739"/>
      <c r="G739" s="137"/>
      <c r="H739"/>
      <c r="I739"/>
      <c r="J739"/>
      <c r="K739"/>
      <c r="L739"/>
      <c r="M739"/>
      <c r="N739"/>
      <c r="O739"/>
      <c r="P739"/>
      <c r="Q739"/>
      <c r="R739"/>
      <c r="Z739" s="137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</row>
    <row r="740" ht="13.5" spans="2:94">
      <c r="B740" s="18"/>
      <c r="C740" s="137"/>
      <c r="D740"/>
      <c r="E740"/>
      <c r="F740"/>
      <c r="G740" s="137"/>
      <c r="H740"/>
      <c r="I740"/>
      <c r="J740"/>
      <c r="K740"/>
      <c r="L740"/>
      <c r="M740"/>
      <c r="N740"/>
      <c r="O740"/>
      <c r="P740"/>
      <c r="Q740"/>
      <c r="R740"/>
      <c r="Z740" s="137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</row>
    <row r="741" ht="13.5" spans="2:94">
      <c r="B741" s="18"/>
      <c r="C741" s="137"/>
      <c r="D741"/>
      <c r="E741"/>
      <c r="F741"/>
      <c r="G741" s="137"/>
      <c r="H741"/>
      <c r="I741"/>
      <c r="J741"/>
      <c r="K741"/>
      <c r="L741"/>
      <c r="M741"/>
      <c r="N741"/>
      <c r="O741"/>
      <c r="P741"/>
      <c r="Q741"/>
      <c r="R741"/>
      <c r="Z741" s="137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</row>
    <row r="742" ht="13.5" spans="2:94">
      <c r="B742" s="18"/>
      <c r="C742" s="137"/>
      <c r="D742"/>
      <c r="E742"/>
      <c r="F742"/>
      <c r="G742" s="137"/>
      <c r="H742"/>
      <c r="I742"/>
      <c r="J742"/>
      <c r="K742"/>
      <c r="L742"/>
      <c r="M742"/>
      <c r="N742"/>
      <c r="O742"/>
      <c r="P742"/>
      <c r="Q742"/>
      <c r="R742"/>
      <c r="Z742" s="137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</row>
    <row r="743" ht="13.5" spans="2:94">
      <c r="B743" s="18"/>
      <c r="C743" s="137"/>
      <c r="D743"/>
      <c r="E743"/>
      <c r="F743"/>
      <c r="G743" s="137"/>
      <c r="H743"/>
      <c r="I743"/>
      <c r="J743"/>
      <c r="K743"/>
      <c r="L743"/>
      <c r="M743"/>
      <c r="N743"/>
      <c r="O743"/>
      <c r="P743"/>
      <c r="Q743"/>
      <c r="R743"/>
      <c r="Z743" s="137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</row>
    <row r="744" ht="13.5" spans="2:94">
      <c r="B744" s="18"/>
      <c r="C744" s="137"/>
      <c r="D744"/>
      <c r="E744"/>
      <c r="F744"/>
      <c r="G744" s="137"/>
      <c r="H744"/>
      <c r="I744"/>
      <c r="J744"/>
      <c r="K744"/>
      <c r="L744"/>
      <c r="M744"/>
      <c r="N744"/>
      <c r="O744"/>
      <c r="P744"/>
      <c r="Q744"/>
      <c r="R744"/>
      <c r="Z744" s="137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</row>
    <row r="745" ht="13.5" spans="2:94">
      <c r="B745" s="18"/>
      <c r="C745" s="137"/>
      <c r="D745"/>
      <c r="E745"/>
      <c r="F745"/>
      <c r="G745" s="137"/>
      <c r="H745"/>
      <c r="I745"/>
      <c r="J745"/>
      <c r="K745"/>
      <c r="L745"/>
      <c r="M745"/>
      <c r="N745"/>
      <c r="O745"/>
      <c r="P745"/>
      <c r="Q745"/>
      <c r="R745"/>
      <c r="Z745" s="137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</row>
    <row r="746" ht="13.5" spans="2:94">
      <c r="B746" s="18"/>
      <c r="C746" s="137"/>
      <c r="D746"/>
      <c r="E746"/>
      <c r="F746"/>
      <c r="G746" s="137"/>
      <c r="H746"/>
      <c r="I746"/>
      <c r="J746"/>
      <c r="K746"/>
      <c r="L746"/>
      <c r="M746"/>
      <c r="N746"/>
      <c r="O746"/>
      <c r="P746"/>
      <c r="Q746"/>
      <c r="R746"/>
      <c r="Z746" s="137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</row>
    <row r="747" ht="13.5" spans="2:94">
      <c r="B747" s="18"/>
      <c r="C747" s="137"/>
      <c r="D747"/>
      <c r="E747"/>
      <c r="F747"/>
      <c r="G747" s="137"/>
      <c r="H747"/>
      <c r="I747"/>
      <c r="J747"/>
      <c r="K747"/>
      <c r="L747"/>
      <c r="M747"/>
      <c r="N747"/>
      <c r="O747"/>
      <c r="P747"/>
      <c r="Q747"/>
      <c r="R747"/>
      <c r="Z747" s="13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</row>
    <row r="748" ht="13.5" spans="2:94">
      <c r="B748" s="18"/>
      <c r="C748" s="137"/>
      <c r="D748"/>
      <c r="E748"/>
      <c r="F748"/>
      <c r="G748" s="137"/>
      <c r="H748"/>
      <c r="I748"/>
      <c r="J748"/>
      <c r="K748"/>
      <c r="L748"/>
      <c r="M748"/>
      <c r="N748"/>
      <c r="O748"/>
      <c r="P748"/>
      <c r="Q748"/>
      <c r="R748"/>
      <c r="Z748" s="137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</row>
    <row r="749" ht="13.5" spans="2:94">
      <c r="B749" s="18"/>
      <c r="C749" s="137"/>
      <c r="D749"/>
      <c r="E749"/>
      <c r="F749"/>
      <c r="G749" s="137"/>
      <c r="H749"/>
      <c r="I749"/>
      <c r="J749"/>
      <c r="K749"/>
      <c r="L749"/>
      <c r="M749"/>
      <c r="N749"/>
      <c r="O749"/>
      <c r="P749"/>
      <c r="Q749"/>
      <c r="R749"/>
      <c r="Z749" s="137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</row>
    <row r="750" ht="13.5" spans="2:94">
      <c r="B750" s="18"/>
      <c r="C750" s="137"/>
      <c r="D750"/>
      <c r="E750"/>
      <c r="F750"/>
      <c r="G750" s="137"/>
      <c r="H750"/>
      <c r="I750"/>
      <c r="J750"/>
      <c r="K750"/>
      <c r="L750"/>
      <c r="M750"/>
      <c r="N750"/>
      <c r="O750"/>
      <c r="P750"/>
      <c r="Q750"/>
      <c r="R750"/>
      <c r="Z750" s="137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</row>
    <row r="751" ht="13.5" spans="2:94">
      <c r="B751" s="18"/>
      <c r="C751" s="137"/>
      <c r="D751"/>
      <c r="E751"/>
      <c r="F751"/>
      <c r="G751" s="137"/>
      <c r="H751"/>
      <c r="I751"/>
      <c r="J751"/>
      <c r="K751"/>
      <c r="L751"/>
      <c r="M751"/>
      <c r="N751"/>
      <c r="O751"/>
      <c r="P751"/>
      <c r="Q751"/>
      <c r="R751"/>
      <c r="Z751" s="137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</row>
    <row r="752" ht="13.5" spans="2:94">
      <c r="B752" s="18"/>
      <c r="C752" s="137"/>
      <c r="D752"/>
      <c r="E752"/>
      <c r="F752"/>
      <c r="G752" s="137"/>
      <c r="H752"/>
      <c r="I752"/>
      <c r="J752"/>
      <c r="K752"/>
      <c r="L752"/>
      <c r="M752"/>
      <c r="N752"/>
      <c r="O752"/>
      <c r="P752"/>
      <c r="Q752"/>
      <c r="R752"/>
      <c r="Z752" s="137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</row>
    <row r="753" ht="13.5" spans="2:94">
      <c r="B753" s="18"/>
      <c r="C753" s="137"/>
      <c r="D753"/>
      <c r="E753"/>
      <c r="F753"/>
      <c r="G753" s="137"/>
      <c r="H753"/>
      <c r="I753"/>
      <c r="J753"/>
      <c r="K753"/>
      <c r="L753"/>
      <c r="M753"/>
      <c r="N753"/>
      <c r="O753"/>
      <c r="P753"/>
      <c r="Q753"/>
      <c r="R753"/>
      <c r="Z753" s="137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</row>
    <row r="754" ht="13.5" spans="2:94">
      <c r="B754"/>
      <c r="C754"/>
      <c r="D754"/>
      <c r="E754"/>
      <c r="F754"/>
      <c r="G754" s="137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P754"/>
      <c r="BQ754"/>
      <c r="BR754"/>
      <c r="BS754" s="137"/>
      <c r="BT754" s="137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</row>
    <row r="755" ht="13.5" spans="2:94">
      <c r="B755"/>
      <c r="C755"/>
      <c r="D755"/>
      <c r="E755"/>
      <c r="F755"/>
      <c r="G755" s="137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P755"/>
      <c r="BQ755"/>
      <c r="BR755"/>
      <c r="BS755" s="137"/>
      <c r="BT755" s="137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</row>
    <row r="756" ht="13.5" spans="2:94">
      <c r="B756"/>
      <c r="C756"/>
      <c r="D756"/>
      <c r="E756"/>
      <c r="F756"/>
      <c r="G756" s="137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P756"/>
      <c r="BQ756"/>
      <c r="BR756"/>
      <c r="BS756" s="137"/>
      <c r="BT756" s="137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</row>
    <row r="757" ht="13.5" spans="2:94">
      <c r="B757"/>
      <c r="C757"/>
      <c r="D757"/>
      <c r="E757"/>
      <c r="F757"/>
      <c r="G757" s="13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P757"/>
      <c r="BQ757"/>
      <c r="BR757"/>
      <c r="BS757" s="137"/>
      <c r="BT757" s="13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</row>
    <row r="758" ht="13.5" spans="2:94">
      <c r="B758"/>
      <c r="C758"/>
      <c r="D758"/>
      <c r="E758"/>
      <c r="F758"/>
      <c r="G758" s="137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Z758" s="137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P758"/>
      <c r="BQ758"/>
      <c r="BR758"/>
      <c r="BS758" s="137"/>
      <c r="BT758" s="137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</row>
    <row r="759" ht="13.5" spans="2:94">
      <c r="B759"/>
      <c r="C759"/>
      <c r="D759"/>
      <c r="E759"/>
      <c r="F759"/>
      <c r="G759" s="137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Z759" s="137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P759"/>
      <c r="BQ759"/>
      <c r="BR759"/>
      <c r="BS759" s="137"/>
      <c r="BT759" s="137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</row>
    <row r="760" ht="13.5" spans="2:94">
      <c r="B760"/>
      <c r="C760"/>
      <c r="D760"/>
      <c r="E760"/>
      <c r="F760"/>
      <c r="G760" s="137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</row>
    <row r="761" ht="13.5" spans="2:94">
      <c r="B761"/>
      <c r="C761"/>
      <c r="D761"/>
      <c r="E761"/>
      <c r="F761"/>
      <c r="G761" s="137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</row>
    <row r="762" ht="13.5" spans="2:94">
      <c r="B762"/>
      <c r="C762"/>
      <c r="D762"/>
      <c r="E762"/>
      <c r="F762"/>
      <c r="G762" s="137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</row>
    <row r="763" ht="13.5" spans="2:94">
      <c r="B763"/>
      <c r="C763"/>
      <c r="D763"/>
      <c r="E763"/>
      <c r="F763"/>
      <c r="G763" s="137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P763"/>
      <c r="BQ763"/>
      <c r="BR763"/>
      <c r="BS763" s="137"/>
      <c r="BT763" s="137"/>
      <c r="BU763" s="137"/>
      <c r="BV763"/>
      <c r="BW763" s="137"/>
      <c r="BX763" s="137"/>
      <c r="BY763" s="137"/>
      <c r="BZ763"/>
      <c r="CA763" s="137"/>
      <c r="CB763" s="137"/>
      <c r="CC763" s="137"/>
      <c r="CD763"/>
      <c r="CE763" s="137"/>
      <c r="CF763" s="137"/>
      <c r="CG763" s="137"/>
      <c r="CH763"/>
      <c r="CI763" s="137"/>
      <c r="CJ763" s="137"/>
      <c r="CK763" s="137"/>
      <c r="CL763"/>
      <c r="CM763" s="137"/>
      <c r="CN763" s="137"/>
      <c r="CO763" s="137"/>
      <c r="CP763"/>
    </row>
    <row r="764" ht="13.5" spans="2:94">
      <c r="B764"/>
      <c r="C764"/>
      <c r="D764"/>
      <c r="E764"/>
      <c r="F764"/>
      <c r="G764" s="137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P764"/>
      <c r="BQ764"/>
      <c r="BR764"/>
      <c r="BS764" s="137"/>
      <c r="BT764" s="137"/>
      <c r="BU764" s="137"/>
      <c r="BV764"/>
      <c r="BW764" s="137"/>
      <c r="BX764" s="137"/>
      <c r="BY764" s="137"/>
      <c r="BZ764"/>
      <c r="CA764" s="137"/>
      <c r="CB764" s="137"/>
      <c r="CC764" s="137"/>
      <c r="CD764"/>
      <c r="CE764" s="137"/>
      <c r="CF764" s="137"/>
      <c r="CG764" s="137"/>
      <c r="CH764"/>
      <c r="CI764" s="137"/>
      <c r="CJ764" s="137"/>
      <c r="CK764" s="137"/>
      <c r="CL764"/>
      <c r="CM764" s="137"/>
      <c r="CN764" s="137"/>
      <c r="CO764" s="137"/>
      <c r="CP764"/>
    </row>
    <row r="765" ht="13.5" spans="2:94">
      <c r="B765"/>
      <c r="C765"/>
      <c r="D765"/>
      <c r="E765"/>
      <c r="F765"/>
      <c r="G765" s="137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P765"/>
      <c r="BQ765"/>
      <c r="BR765"/>
      <c r="BS765" s="137"/>
      <c r="BT765" s="137"/>
      <c r="BU765" s="137"/>
      <c r="BV765"/>
      <c r="BW765" s="137"/>
      <c r="BX765" s="137"/>
      <c r="BY765" s="137"/>
      <c r="BZ765"/>
      <c r="CA765" s="137"/>
      <c r="CB765" s="137"/>
      <c r="CC765" s="137"/>
      <c r="CD765"/>
      <c r="CE765" s="137"/>
      <c r="CF765" s="137"/>
      <c r="CG765" s="137"/>
      <c r="CH765"/>
      <c r="CI765" s="137"/>
      <c r="CJ765" s="137"/>
      <c r="CK765" s="137"/>
      <c r="CL765"/>
      <c r="CM765" s="137"/>
      <c r="CN765" s="137"/>
      <c r="CO765" s="137"/>
      <c r="CP765"/>
    </row>
    <row r="766" ht="13.5" spans="2:94">
      <c r="B766"/>
      <c r="C766"/>
      <c r="D766"/>
      <c r="E766"/>
      <c r="F766"/>
      <c r="G766" s="137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P766"/>
      <c r="BQ766"/>
      <c r="BR766"/>
      <c r="BS766" s="137"/>
      <c r="BT766" s="137"/>
      <c r="BU766" s="137"/>
      <c r="BV766"/>
      <c r="BW766" s="137"/>
      <c r="BX766" s="137"/>
      <c r="BY766" s="137"/>
      <c r="BZ766"/>
      <c r="CA766" s="137"/>
      <c r="CB766" s="137"/>
      <c r="CC766" s="137"/>
      <c r="CD766"/>
      <c r="CE766" s="137"/>
      <c r="CF766" s="137"/>
      <c r="CG766" s="137"/>
      <c r="CH766"/>
      <c r="CI766" s="137"/>
      <c r="CJ766" s="137"/>
      <c r="CK766" s="137"/>
      <c r="CL766"/>
      <c r="CM766" s="137"/>
      <c r="CN766" s="137"/>
      <c r="CO766" s="137"/>
      <c r="CP766"/>
    </row>
    <row r="767" ht="13.5" spans="2:94">
      <c r="B767"/>
      <c r="C767"/>
      <c r="D767"/>
      <c r="E767"/>
      <c r="F767"/>
      <c r="G767" s="13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P767"/>
      <c r="BQ767"/>
      <c r="BR767"/>
      <c r="BS767" s="137"/>
      <c r="BT767" s="137"/>
      <c r="BU767" s="137"/>
      <c r="BV767"/>
      <c r="BW767" s="137"/>
      <c r="BX767" s="137"/>
      <c r="BY767" s="137"/>
      <c r="BZ767"/>
      <c r="CA767" s="137"/>
      <c r="CB767" s="137"/>
      <c r="CC767" s="137"/>
      <c r="CD767"/>
      <c r="CE767" s="137"/>
      <c r="CF767" s="137"/>
      <c r="CG767" s="137"/>
      <c r="CH767"/>
      <c r="CI767" s="137"/>
      <c r="CJ767" s="137"/>
      <c r="CK767" s="137"/>
      <c r="CL767"/>
      <c r="CM767" s="137"/>
      <c r="CN767" s="137"/>
      <c r="CO767" s="137"/>
      <c r="CP767"/>
    </row>
    <row r="768" ht="13.5" spans="2:94">
      <c r="B768"/>
      <c r="C768"/>
      <c r="D768"/>
      <c r="E768"/>
      <c r="F768"/>
      <c r="G768" s="137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P768"/>
      <c r="BQ768"/>
      <c r="BR768"/>
      <c r="BS768" s="137"/>
      <c r="BT768" s="137"/>
      <c r="BU768" s="137"/>
      <c r="BV768"/>
      <c r="BW768" s="137"/>
      <c r="BX768" s="137"/>
      <c r="BY768" s="137"/>
      <c r="BZ768"/>
      <c r="CA768" s="137"/>
      <c r="CB768" s="137"/>
      <c r="CC768" s="137"/>
      <c r="CD768"/>
      <c r="CE768" s="137"/>
      <c r="CF768" s="137"/>
      <c r="CG768" s="137"/>
      <c r="CH768"/>
      <c r="CI768" s="137"/>
      <c r="CJ768" s="137"/>
      <c r="CK768" s="137"/>
      <c r="CL768"/>
      <c r="CM768" s="137"/>
      <c r="CN768" s="137"/>
      <c r="CO768" s="137"/>
      <c r="CP768"/>
    </row>
    <row r="769" ht="13.5" spans="2:27">
      <c r="B769"/>
      <c r="C769"/>
      <c r="D769"/>
      <c r="E769"/>
      <c r="F769"/>
      <c r="G769" s="137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Z769"/>
      <c r="AA769"/>
    </row>
    <row r="770" ht="13.5" spans="2:27">
      <c r="B770"/>
      <c r="C770"/>
      <c r="D770"/>
      <c r="E770"/>
      <c r="F770"/>
      <c r="G770" s="137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Z770"/>
      <c r="AA770"/>
    </row>
    <row r="771" ht="13.5" spans="2:27">
      <c r="B771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/>
      <c r="N771"/>
      <c r="O771"/>
      <c r="P771"/>
      <c r="Q771"/>
      <c r="R771"/>
      <c r="S771"/>
      <c r="T771"/>
      <c r="U771"/>
      <c r="V771"/>
      <c r="Z771" s="137"/>
      <c r="AA771" s="137"/>
    </row>
    <row r="772" ht="13.5" spans="2:27">
      <c r="B772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/>
      <c r="N772"/>
      <c r="O772"/>
      <c r="P772"/>
      <c r="Q772"/>
      <c r="R772"/>
      <c r="S772"/>
      <c r="T772"/>
      <c r="U772"/>
      <c r="V772"/>
      <c r="Z772" s="137"/>
      <c r="AA772" s="137"/>
    </row>
    <row r="773" ht="13.5" spans="2:27">
      <c r="B773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/>
      <c r="N773"/>
      <c r="O773"/>
      <c r="P773"/>
      <c r="Q773"/>
      <c r="R773"/>
      <c r="S773"/>
      <c r="T773"/>
      <c r="U773"/>
      <c r="V773"/>
      <c r="Z773" s="137"/>
      <c r="AA773" s="137"/>
    </row>
    <row r="774" ht="13.5" spans="2:27">
      <c r="B774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/>
      <c r="N774"/>
      <c r="O774"/>
      <c r="P774"/>
      <c r="Q774"/>
      <c r="R774"/>
      <c r="S774"/>
      <c r="T774"/>
      <c r="U774"/>
      <c r="V774"/>
      <c r="Z774" s="137"/>
      <c r="AA774" s="137"/>
    </row>
    <row r="775" ht="13.5" spans="2:27">
      <c r="B775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/>
      <c r="N775"/>
      <c r="O775"/>
      <c r="P775"/>
      <c r="Q775"/>
      <c r="R775"/>
      <c r="S775"/>
      <c r="T775"/>
      <c r="U775"/>
      <c r="V775"/>
      <c r="Z775" s="137"/>
      <c r="AA775" s="137"/>
    </row>
    <row r="776" ht="13.5" spans="2:27">
      <c r="B776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/>
      <c r="N776"/>
      <c r="O776"/>
      <c r="P776"/>
      <c r="Q776"/>
      <c r="R776"/>
      <c r="S776"/>
      <c r="T776"/>
      <c r="U776"/>
      <c r="V776"/>
      <c r="Z776" s="137"/>
      <c r="AA776" s="137"/>
    </row>
    <row r="777" ht="13.5" spans="2:27">
      <c r="B77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/>
      <c r="N777"/>
      <c r="O777"/>
      <c r="P777"/>
      <c r="Q777"/>
      <c r="R777"/>
      <c r="S777"/>
      <c r="T777"/>
      <c r="U777"/>
      <c r="V777"/>
      <c r="Z777" s="137"/>
      <c r="AA777" s="137"/>
    </row>
    <row r="778" ht="13.5" spans="2:27">
      <c r="B778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/>
      <c r="N778"/>
      <c r="O778"/>
      <c r="P778"/>
      <c r="Q778"/>
      <c r="R778"/>
      <c r="S778"/>
      <c r="T778"/>
      <c r="U778"/>
      <c r="V778"/>
      <c r="Z778" s="137"/>
      <c r="AA778" s="137"/>
    </row>
    <row r="779" ht="13.5" spans="2:27">
      <c r="B779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/>
      <c r="N779"/>
      <c r="O779"/>
      <c r="P779"/>
      <c r="Q779"/>
      <c r="R779"/>
      <c r="S779"/>
      <c r="T779"/>
      <c r="U779"/>
      <c r="V779"/>
      <c r="Z779" s="137"/>
      <c r="AA779" s="137"/>
    </row>
    <row r="780" ht="13.5" spans="2:27">
      <c r="B780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/>
      <c r="N780"/>
      <c r="O780"/>
      <c r="P780"/>
      <c r="Q780"/>
      <c r="R780"/>
      <c r="S780"/>
      <c r="T780"/>
      <c r="U780"/>
      <c r="V780"/>
      <c r="Z780" s="137"/>
      <c r="AA780" s="137"/>
    </row>
    <row r="781" ht="13.5" spans="2:27">
      <c r="B781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/>
      <c r="N781"/>
      <c r="O781"/>
      <c r="P781"/>
      <c r="Q781"/>
      <c r="R781"/>
      <c r="S781"/>
      <c r="T781"/>
      <c r="U781"/>
      <c r="V781"/>
      <c r="Z781" s="137"/>
      <c r="AA781" s="137"/>
    </row>
    <row r="782" ht="13.5" spans="2:27">
      <c r="B782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/>
      <c r="N782"/>
      <c r="O782"/>
      <c r="P782"/>
      <c r="Q782"/>
      <c r="R782"/>
      <c r="S782"/>
      <c r="T782"/>
      <c r="U782"/>
      <c r="V782"/>
      <c r="Z782" s="137"/>
      <c r="AA782" s="137"/>
    </row>
    <row r="783" ht="13.5" spans="2:27">
      <c r="B783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/>
      <c r="N783"/>
      <c r="O783"/>
      <c r="P783"/>
      <c r="Q783"/>
      <c r="R783"/>
      <c r="S783"/>
      <c r="T783"/>
      <c r="U783"/>
      <c r="V783"/>
      <c r="Z783" s="137"/>
      <c r="AA783" s="137"/>
    </row>
  </sheetData>
  <mergeCells count="12">
    <mergeCell ref="B1:BR1"/>
    <mergeCell ref="BS1:BU1"/>
    <mergeCell ref="BW1:BY1"/>
    <mergeCell ref="CA1:CC1"/>
    <mergeCell ref="CE1:CH1"/>
    <mergeCell ref="CI1:CL1"/>
    <mergeCell ref="CM1:CP1"/>
    <mergeCell ref="M2:V2"/>
    <mergeCell ref="AB2:AK2"/>
    <mergeCell ref="AL2:AU2"/>
    <mergeCell ref="AV2:BE2"/>
    <mergeCell ref="BF2:BO2"/>
  </mergeCells>
  <conditionalFormatting sqref="D24">
    <cfRule type="expression" dxfId="0" priority="561">
      <formula>MOD(D24,2)=0</formula>
    </cfRule>
  </conditionalFormatting>
  <conditionalFormatting sqref="E24">
    <cfRule type="expression" dxfId="1" priority="560">
      <formula>MOD(E24,2)=0</formula>
    </cfRule>
  </conditionalFormatting>
  <conditionalFormatting sqref="L24">
    <cfRule type="expression" dxfId="2" priority="559">
      <formula>MOD(L24,2)=0</formula>
    </cfRule>
  </conditionalFormatting>
  <conditionalFormatting sqref="M24:V24">
    <cfRule type="expression" dxfId="3" priority="553">
      <formula>M24=$L24</formula>
    </cfRule>
  </conditionalFormatting>
  <conditionalFormatting sqref="W24">
    <cfRule type="expression" dxfId="4" priority="558">
      <formula>MOD(W24,2)=0</formula>
    </cfRule>
  </conditionalFormatting>
  <conditionalFormatting sqref="X24">
    <cfRule type="expression" dxfId="5" priority="557">
      <formula>MOD(X24,2)=0</formula>
    </cfRule>
  </conditionalFormatting>
  <conditionalFormatting sqref="Y24">
    <cfRule type="expression" dxfId="6" priority="556">
      <formula>MOD(Y24,2)=0</formula>
    </cfRule>
  </conditionalFormatting>
  <conditionalFormatting sqref="AB24:AK24">
    <cfRule type="expression" dxfId="7" priority="565">
      <formula>AND(AB24&lt;&gt;"",ISNUMBER(FIND(AB24,$AA24)))</formula>
    </cfRule>
  </conditionalFormatting>
  <conditionalFormatting sqref="AL24:AU24">
    <cfRule type="expression" dxfId="7" priority="564">
      <formula>AND(AL24&lt;&gt;"",ISNUMBER(FIND(AL24,$W24)))</formula>
    </cfRule>
  </conditionalFormatting>
  <conditionalFormatting sqref="AV24:BE24">
    <cfRule type="expression" dxfId="7" priority="563">
      <formula>AND(AV24&lt;&gt;"",ISNUMBER(FIND(AV24,$X24)))</formula>
    </cfRule>
  </conditionalFormatting>
  <conditionalFormatting sqref="BF24:BO24">
    <cfRule type="expression" dxfId="7" priority="562">
      <formula>AND(BF24&lt;&gt;"",ISNUMBER(FIND(BF24,$Y24)))</formula>
    </cfRule>
  </conditionalFormatting>
  <conditionalFormatting sqref="BP24">
    <cfRule type="expression" dxfId="8" priority="540">
      <formula>$BP24="对子"</formula>
    </cfRule>
    <cfRule type="expression" dxfId="9" priority="554">
      <formula>$BP24="紧凑型"</formula>
    </cfRule>
    <cfRule type="expression" dxfId="10" priority="555">
      <formula>$BP24="松散型"</formula>
    </cfRule>
  </conditionalFormatting>
  <conditionalFormatting sqref="BV24">
    <cfRule type="expression" dxfId="11" priority="550">
      <formula>$BV24="复中中"</formula>
    </cfRule>
    <cfRule type="expression" dxfId="3" priority="551">
      <formula>$BV24="复隔中"</formula>
    </cfRule>
    <cfRule type="expression" dxfId="12" priority="552">
      <formula>$BV24="中中中"</formula>
    </cfRule>
  </conditionalFormatting>
  <conditionalFormatting sqref="BZ24">
    <cfRule type="expression" dxfId="11" priority="547">
      <formula>$BZ24="复中中"</formula>
    </cfRule>
    <cfRule type="expression" dxfId="3" priority="548">
      <formula>$BZ24="复隔中"</formula>
    </cfRule>
    <cfRule type="expression" dxfId="2" priority="549">
      <formula>$BZ24="中中中"</formula>
    </cfRule>
  </conditionalFormatting>
  <conditionalFormatting sqref="CD24">
    <cfRule type="expression" dxfId="11" priority="544">
      <formula>$CD24="复中中"</formula>
    </cfRule>
    <cfRule type="expression" dxfId="2" priority="545">
      <formula>$CD24="中中中"</formula>
    </cfRule>
    <cfRule type="expression" dxfId="3" priority="546">
      <formula>$CD24="复隔中"</formula>
    </cfRule>
  </conditionalFormatting>
  <conditionalFormatting sqref="CH24">
    <cfRule type="expression" dxfId="0" priority="543">
      <formula>$CH24="邻孤孤"</formula>
    </cfRule>
  </conditionalFormatting>
  <conditionalFormatting sqref="CL24">
    <cfRule type="expression" dxfId="0" priority="542">
      <formula>$CL24="邻孤孤"</formula>
    </cfRule>
  </conditionalFormatting>
  <conditionalFormatting sqref="CP24">
    <cfRule type="expression" dxfId="0" priority="541">
      <formula>$CP24="邻孤孤"</formula>
    </cfRule>
  </conditionalFormatting>
  <conditionalFormatting sqref="D46">
    <cfRule type="expression" dxfId="0" priority="613">
      <formula>MOD(D46,2)=0</formula>
    </cfRule>
  </conditionalFormatting>
  <conditionalFormatting sqref="E46">
    <cfRule type="expression" dxfId="1" priority="612">
      <formula>MOD(E46,2)=0</formula>
    </cfRule>
  </conditionalFormatting>
  <conditionalFormatting sqref="L46">
    <cfRule type="expression" dxfId="2" priority="611">
      <formula>MOD(L46,2)=0</formula>
    </cfRule>
  </conditionalFormatting>
  <conditionalFormatting sqref="M46:V46">
    <cfRule type="expression" dxfId="3" priority="605">
      <formula>M46=$L46</formula>
    </cfRule>
  </conditionalFormatting>
  <conditionalFormatting sqref="W46">
    <cfRule type="expression" dxfId="4" priority="610">
      <formula>MOD(W46,2)=0</formula>
    </cfRule>
  </conditionalFormatting>
  <conditionalFormatting sqref="X46">
    <cfRule type="expression" dxfId="5" priority="609">
      <formula>MOD(X46,2)=0</formula>
    </cfRule>
  </conditionalFormatting>
  <conditionalFormatting sqref="Y46">
    <cfRule type="expression" dxfId="6" priority="608">
      <formula>MOD(Y46,2)=0</formula>
    </cfRule>
  </conditionalFormatting>
  <conditionalFormatting sqref="AB46:AK46">
    <cfRule type="expression" dxfId="7" priority="617">
      <formula>AND(AB46&lt;&gt;"",ISNUMBER(FIND(AB46,$AA46)))</formula>
    </cfRule>
  </conditionalFormatting>
  <conditionalFormatting sqref="AL46:AU46">
    <cfRule type="expression" dxfId="7" priority="616">
      <formula>AND(AL46&lt;&gt;"",ISNUMBER(FIND(AL46,$W46)))</formula>
    </cfRule>
  </conditionalFormatting>
  <conditionalFormatting sqref="AV46:BE46">
    <cfRule type="expression" dxfId="7" priority="615">
      <formula>AND(AV46&lt;&gt;"",ISNUMBER(FIND(AV46,$X46)))</formula>
    </cfRule>
  </conditionalFormatting>
  <conditionalFormatting sqref="BF46:BO46">
    <cfRule type="expression" dxfId="7" priority="614">
      <formula>AND(BF46&lt;&gt;"",ISNUMBER(FIND(BF46,$Y46)))</formula>
    </cfRule>
  </conditionalFormatting>
  <conditionalFormatting sqref="BP46">
    <cfRule type="expression" dxfId="8" priority="592">
      <formula>$BP46="对子"</formula>
    </cfRule>
    <cfRule type="expression" dxfId="9" priority="606">
      <formula>$BP46="紧凑型"</formula>
    </cfRule>
    <cfRule type="expression" dxfId="10" priority="607">
      <formula>$BP46="松散型"</formula>
    </cfRule>
  </conditionalFormatting>
  <conditionalFormatting sqref="BV46">
    <cfRule type="expression" dxfId="11" priority="602">
      <formula>$BV46="复中中"</formula>
    </cfRule>
    <cfRule type="expression" dxfId="3" priority="603">
      <formula>$BV46="复隔中"</formula>
    </cfRule>
    <cfRule type="expression" dxfId="12" priority="604">
      <formula>$BV46="中中中"</formula>
    </cfRule>
  </conditionalFormatting>
  <conditionalFormatting sqref="BZ46">
    <cfRule type="expression" dxfId="11" priority="599">
      <formula>$BZ46="复中中"</formula>
    </cfRule>
    <cfRule type="expression" dxfId="3" priority="600">
      <formula>$BZ46="复隔中"</formula>
    </cfRule>
    <cfRule type="expression" dxfId="2" priority="601">
      <formula>$BZ46="中中中"</formula>
    </cfRule>
  </conditionalFormatting>
  <conditionalFormatting sqref="CD46">
    <cfRule type="expression" dxfId="11" priority="596">
      <formula>$CD46="复中中"</formula>
    </cfRule>
    <cfRule type="expression" dxfId="2" priority="597">
      <formula>$CD46="中中中"</formula>
    </cfRule>
    <cfRule type="expression" dxfId="3" priority="598">
      <formula>$CD46="复隔中"</formula>
    </cfRule>
  </conditionalFormatting>
  <conditionalFormatting sqref="CH46">
    <cfRule type="expression" dxfId="0" priority="595">
      <formula>$CH46="邻孤孤"</formula>
    </cfRule>
  </conditionalFormatting>
  <conditionalFormatting sqref="CL46">
    <cfRule type="expression" dxfId="0" priority="594">
      <formula>$CL46="邻孤孤"</formula>
    </cfRule>
  </conditionalFormatting>
  <conditionalFormatting sqref="CP46">
    <cfRule type="expression" dxfId="0" priority="593">
      <formula>$CP46="邻孤孤"</formula>
    </cfRule>
  </conditionalFormatting>
  <conditionalFormatting sqref="D70">
    <cfRule type="expression" dxfId="0" priority="691">
      <formula>MOD(D70,2)=0</formula>
    </cfRule>
  </conditionalFormatting>
  <conditionalFormatting sqref="E70">
    <cfRule type="expression" dxfId="1" priority="690">
      <formula>MOD(E70,2)=0</formula>
    </cfRule>
  </conditionalFormatting>
  <conditionalFormatting sqref="L70">
    <cfRule type="expression" dxfId="2" priority="689">
      <formula>MOD(L70,2)=0</formula>
    </cfRule>
  </conditionalFormatting>
  <conditionalFormatting sqref="M70:V70">
    <cfRule type="expression" dxfId="3" priority="683">
      <formula>M70=$L70</formula>
    </cfRule>
  </conditionalFormatting>
  <conditionalFormatting sqref="W70">
    <cfRule type="expression" dxfId="4" priority="688">
      <formula>MOD(W70,2)=0</formula>
    </cfRule>
  </conditionalFormatting>
  <conditionalFormatting sqref="X70">
    <cfRule type="expression" dxfId="5" priority="687">
      <formula>MOD(X70,2)=0</formula>
    </cfRule>
  </conditionalFormatting>
  <conditionalFormatting sqref="Y70">
    <cfRule type="expression" dxfId="6" priority="686">
      <formula>MOD(Y70,2)=0</formula>
    </cfRule>
  </conditionalFormatting>
  <conditionalFormatting sqref="AB70:AK70">
    <cfRule type="expression" dxfId="7" priority="695">
      <formula>AND(AB70&lt;&gt;"",ISNUMBER(FIND(AB70,$AA70)))</formula>
    </cfRule>
  </conditionalFormatting>
  <conditionalFormatting sqref="AL70:AU70">
    <cfRule type="expression" dxfId="7" priority="694">
      <formula>AND(AL70&lt;&gt;"",ISNUMBER(FIND(AL70,$W70)))</formula>
    </cfRule>
  </conditionalFormatting>
  <conditionalFormatting sqref="AV70:BE70">
    <cfRule type="expression" dxfId="7" priority="693">
      <formula>AND(AV70&lt;&gt;"",ISNUMBER(FIND(AV70,$X70)))</formula>
    </cfRule>
  </conditionalFormatting>
  <conditionalFormatting sqref="BF70:BO70">
    <cfRule type="expression" dxfId="7" priority="692">
      <formula>AND(BF70&lt;&gt;"",ISNUMBER(FIND(BF70,$Y70)))</formula>
    </cfRule>
  </conditionalFormatting>
  <conditionalFormatting sqref="BP70">
    <cfRule type="expression" dxfId="8" priority="670">
      <formula>$BP70="对子"</formula>
    </cfRule>
    <cfRule type="expression" dxfId="9" priority="684">
      <formula>$BP70="紧凑型"</formula>
    </cfRule>
    <cfRule type="expression" dxfId="10" priority="685">
      <formula>$BP70="松散型"</formula>
    </cfRule>
  </conditionalFormatting>
  <conditionalFormatting sqref="BV70">
    <cfRule type="expression" dxfId="11" priority="680">
      <formula>$BV70="复中中"</formula>
    </cfRule>
    <cfRule type="expression" dxfId="3" priority="681">
      <formula>$BV70="复隔中"</formula>
    </cfRule>
    <cfRule type="expression" dxfId="12" priority="682">
      <formula>$BV70="中中中"</formula>
    </cfRule>
  </conditionalFormatting>
  <conditionalFormatting sqref="BZ70">
    <cfRule type="expression" dxfId="11" priority="677">
      <formula>$BZ70="复中中"</formula>
    </cfRule>
    <cfRule type="expression" dxfId="3" priority="678">
      <formula>$BZ70="复隔中"</formula>
    </cfRule>
    <cfRule type="expression" dxfId="2" priority="679">
      <formula>$BZ70="中中中"</formula>
    </cfRule>
  </conditionalFormatting>
  <conditionalFormatting sqref="CD70">
    <cfRule type="expression" dxfId="11" priority="674">
      <formula>$CD70="复中中"</formula>
    </cfRule>
    <cfRule type="expression" dxfId="2" priority="675">
      <formula>$CD70="中中中"</formula>
    </cfRule>
    <cfRule type="expression" dxfId="3" priority="676">
      <formula>$CD70="复隔中"</formula>
    </cfRule>
  </conditionalFormatting>
  <conditionalFormatting sqref="CH70">
    <cfRule type="expression" dxfId="0" priority="673">
      <formula>$CH70="邻孤孤"</formula>
    </cfRule>
  </conditionalFormatting>
  <conditionalFormatting sqref="CL70">
    <cfRule type="expression" dxfId="0" priority="672">
      <formula>$CL70="邻孤孤"</formula>
    </cfRule>
  </conditionalFormatting>
  <conditionalFormatting sqref="CP70">
    <cfRule type="expression" dxfId="0" priority="671">
      <formula>$CP70="邻孤孤"</formula>
    </cfRule>
  </conditionalFormatting>
  <conditionalFormatting sqref="D685">
    <cfRule type="expression" dxfId="0" priority="925">
      <formula>MOD(D685,2)=0</formula>
    </cfRule>
  </conditionalFormatting>
  <conditionalFormatting sqref="E685">
    <cfRule type="expression" dxfId="1" priority="924">
      <formula>MOD(E685,2)=0</formula>
    </cfRule>
  </conditionalFormatting>
  <conditionalFormatting sqref="L685">
    <cfRule type="expression" dxfId="2" priority="923">
      <formula>MOD(L685,2)=0</formula>
    </cfRule>
  </conditionalFormatting>
  <conditionalFormatting sqref="M685:V685">
    <cfRule type="expression" dxfId="3" priority="917">
      <formula>M685=$L685</formula>
    </cfRule>
  </conditionalFormatting>
  <conditionalFormatting sqref="W685">
    <cfRule type="expression" dxfId="4" priority="922">
      <formula>MOD(W685,2)=0</formula>
    </cfRule>
  </conditionalFormatting>
  <conditionalFormatting sqref="X685">
    <cfRule type="expression" dxfId="5" priority="921">
      <formula>MOD(X685,2)=0</formula>
    </cfRule>
  </conditionalFormatting>
  <conditionalFormatting sqref="Y685">
    <cfRule type="expression" dxfId="6" priority="920">
      <formula>MOD(Y685,2)=0</formula>
    </cfRule>
  </conditionalFormatting>
  <conditionalFormatting sqref="AB685:AK685">
    <cfRule type="expression" dxfId="7" priority="929">
      <formula>AND(AB685&lt;&gt;"",ISNUMBER(FIND(AB685,$AA685)))</formula>
    </cfRule>
  </conditionalFormatting>
  <conditionalFormatting sqref="AL685:AU685">
    <cfRule type="expression" dxfId="7" priority="928">
      <formula>AND(AL685&lt;&gt;"",ISNUMBER(FIND(AL685,$W685)))</formula>
    </cfRule>
  </conditionalFormatting>
  <conditionalFormatting sqref="AV685:BE685">
    <cfRule type="expression" dxfId="7" priority="927">
      <formula>AND(AV685&lt;&gt;"",ISNUMBER(FIND(AV685,$X685)))</formula>
    </cfRule>
  </conditionalFormatting>
  <conditionalFormatting sqref="BF685:BO685">
    <cfRule type="expression" dxfId="7" priority="926">
      <formula>AND(BF685&lt;&gt;"",ISNUMBER(FIND(BF685,$Y685)))</formula>
    </cfRule>
  </conditionalFormatting>
  <conditionalFormatting sqref="BP685">
    <cfRule type="expression" dxfId="8" priority="904">
      <formula>$BP685="对子"</formula>
    </cfRule>
    <cfRule type="expression" dxfId="9" priority="918">
      <formula>$BP685="紧凑型"</formula>
    </cfRule>
    <cfRule type="expression" dxfId="10" priority="919">
      <formula>$BP685="松散型"</formula>
    </cfRule>
  </conditionalFormatting>
  <conditionalFormatting sqref="BV685">
    <cfRule type="expression" dxfId="11" priority="914">
      <formula>$BV685="复中中"</formula>
    </cfRule>
    <cfRule type="expression" dxfId="3" priority="915">
      <formula>$BV685="复隔中"</formula>
    </cfRule>
    <cfRule type="expression" dxfId="12" priority="916">
      <formula>$BV685="中中中"</formula>
    </cfRule>
  </conditionalFormatting>
  <conditionalFormatting sqref="BZ685">
    <cfRule type="expression" dxfId="11" priority="911">
      <formula>$BZ685="复中中"</formula>
    </cfRule>
    <cfRule type="expression" dxfId="3" priority="912">
      <formula>$BZ685="复隔中"</formula>
    </cfRule>
    <cfRule type="expression" dxfId="2" priority="913">
      <formula>$BZ685="中中中"</formula>
    </cfRule>
  </conditionalFormatting>
  <conditionalFormatting sqref="CD685">
    <cfRule type="expression" dxfId="11" priority="908">
      <formula>$CD685="复中中"</formula>
    </cfRule>
    <cfRule type="expression" dxfId="2" priority="909">
      <formula>$CD685="中中中"</formula>
    </cfRule>
    <cfRule type="expression" dxfId="3" priority="910">
      <formula>$CD685="复隔中"</formula>
    </cfRule>
  </conditionalFormatting>
  <conditionalFormatting sqref="CH685">
    <cfRule type="expression" dxfId="0" priority="907">
      <formula>$CH685="邻孤孤"</formula>
    </cfRule>
  </conditionalFormatting>
  <conditionalFormatting sqref="CL685">
    <cfRule type="expression" dxfId="0" priority="906">
      <formula>$CL685="邻孤孤"</formula>
    </cfRule>
  </conditionalFormatting>
  <conditionalFormatting sqref="CP685">
    <cfRule type="expression" dxfId="0" priority="905">
      <formula>$CP685="邻孤孤"</formula>
    </cfRule>
  </conditionalFormatting>
  <conditionalFormatting sqref="D686">
    <cfRule type="expression" dxfId="0" priority="899">
      <formula>MOD(D686,2)=0</formula>
    </cfRule>
  </conditionalFormatting>
  <conditionalFormatting sqref="E686">
    <cfRule type="expression" dxfId="1" priority="898">
      <formula>MOD(E686,2)=0</formula>
    </cfRule>
  </conditionalFormatting>
  <conditionalFormatting sqref="L686">
    <cfRule type="expression" dxfId="2" priority="897">
      <formula>MOD(L686,2)=0</formula>
    </cfRule>
  </conditionalFormatting>
  <conditionalFormatting sqref="M686:V686">
    <cfRule type="expression" dxfId="3" priority="891">
      <formula>M686=$L686</formula>
    </cfRule>
  </conditionalFormatting>
  <conditionalFormatting sqref="W686">
    <cfRule type="expression" dxfId="4" priority="896">
      <formula>MOD(W686,2)=0</formula>
    </cfRule>
  </conditionalFormatting>
  <conditionalFormatting sqref="X686">
    <cfRule type="expression" dxfId="5" priority="895">
      <formula>MOD(X686,2)=0</formula>
    </cfRule>
  </conditionalFormatting>
  <conditionalFormatting sqref="Y686">
    <cfRule type="expression" dxfId="6" priority="894">
      <formula>MOD(Y686,2)=0</formula>
    </cfRule>
  </conditionalFormatting>
  <conditionalFormatting sqref="AB686:AK686">
    <cfRule type="expression" dxfId="7" priority="903">
      <formula>AND(AB686&lt;&gt;"",ISNUMBER(FIND(AB686,$AA686)))</formula>
    </cfRule>
  </conditionalFormatting>
  <conditionalFormatting sqref="AL686:AU686">
    <cfRule type="expression" dxfId="7" priority="902">
      <formula>AND(AL686&lt;&gt;"",ISNUMBER(FIND(AL686,$W686)))</formula>
    </cfRule>
  </conditionalFormatting>
  <conditionalFormatting sqref="AV686:BE686">
    <cfRule type="expression" dxfId="7" priority="901">
      <formula>AND(AV686&lt;&gt;"",ISNUMBER(FIND(AV686,$X686)))</formula>
    </cfRule>
  </conditionalFormatting>
  <conditionalFormatting sqref="BF686:BO686">
    <cfRule type="expression" dxfId="7" priority="900">
      <formula>AND(BF686&lt;&gt;"",ISNUMBER(FIND(BF686,$Y686)))</formula>
    </cfRule>
  </conditionalFormatting>
  <conditionalFormatting sqref="BP686">
    <cfRule type="expression" dxfId="8" priority="878">
      <formula>$BP686="对子"</formula>
    </cfRule>
    <cfRule type="expression" dxfId="9" priority="892">
      <formula>$BP686="紧凑型"</formula>
    </cfRule>
    <cfRule type="expression" dxfId="10" priority="893">
      <formula>$BP686="松散型"</formula>
    </cfRule>
  </conditionalFormatting>
  <conditionalFormatting sqref="BV686">
    <cfRule type="expression" dxfId="11" priority="888">
      <formula>$BV686="复中中"</formula>
    </cfRule>
    <cfRule type="expression" dxfId="3" priority="889">
      <formula>$BV686="复隔中"</formula>
    </cfRule>
    <cfRule type="expression" dxfId="12" priority="890">
      <formula>$BV686="中中中"</formula>
    </cfRule>
  </conditionalFormatting>
  <conditionalFormatting sqref="BZ686">
    <cfRule type="expression" dxfId="11" priority="885">
      <formula>$BZ686="复中中"</formula>
    </cfRule>
    <cfRule type="expression" dxfId="3" priority="886">
      <formula>$BZ686="复隔中"</formula>
    </cfRule>
    <cfRule type="expression" dxfId="2" priority="887">
      <formula>$BZ686="中中中"</formula>
    </cfRule>
  </conditionalFormatting>
  <conditionalFormatting sqref="CD686">
    <cfRule type="expression" dxfId="11" priority="882">
      <formula>$CD686="复中中"</formula>
    </cfRule>
    <cfRule type="expression" dxfId="2" priority="883">
      <formula>$CD686="中中中"</formula>
    </cfRule>
    <cfRule type="expression" dxfId="3" priority="884">
      <formula>$CD686="复隔中"</formula>
    </cfRule>
  </conditionalFormatting>
  <conditionalFormatting sqref="CH686">
    <cfRule type="expression" dxfId="0" priority="881">
      <formula>$CH686="邻孤孤"</formula>
    </cfRule>
  </conditionalFormatting>
  <conditionalFormatting sqref="CL686">
    <cfRule type="expression" dxfId="0" priority="880">
      <formula>$CL686="邻孤孤"</formula>
    </cfRule>
  </conditionalFormatting>
  <conditionalFormatting sqref="CP686">
    <cfRule type="expression" dxfId="0" priority="879">
      <formula>$CP686="邻孤孤"</formula>
    </cfRule>
  </conditionalFormatting>
  <conditionalFormatting sqref="D687">
    <cfRule type="expression" dxfId="0" priority="873">
      <formula>MOD(D687,2)=0</formula>
    </cfRule>
  </conditionalFormatting>
  <conditionalFormatting sqref="E687">
    <cfRule type="expression" dxfId="1" priority="872">
      <formula>MOD(E687,2)=0</formula>
    </cfRule>
  </conditionalFormatting>
  <conditionalFormatting sqref="L687">
    <cfRule type="expression" dxfId="2" priority="871">
      <formula>MOD(L687,2)=0</formula>
    </cfRule>
  </conditionalFormatting>
  <conditionalFormatting sqref="M687:V687">
    <cfRule type="expression" dxfId="3" priority="865">
      <formula>M687=$L687</formula>
    </cfRule>
  </conditionalFormatting>
  <conditionalFormatting sqref="W687">
    <cfRule type="expression" dxfId="4" priority="870">
      <formula>MOD(W687,2)=0</formula>
    </cfRule>
  </conditionalFormatting>
  <conditionalFormatting sqref="X687">
    <cfRule type="expression" dxfId="5" priority="869">
      <formula>MOD(X687,2)=0</formula>
    </cfRule>
  </conditionalFormatting>
  <conditionalFormatting sqref="Y687">
    <cfRule type="expression" dxfId="6" priority="868">
      <formula>MOD(Y687,2)=0</formula>
    </cfRule>
  </conditionalFormatting>
  <conditionalFormatting sqref="AB687:AK687">
    <cfRule type="expression" dxfId="7" priority="877">
      <formula>AND(AB687&lt;&gt;"",ISNUMBER(FIND(AB687,$AA687)))</formula>
    </cfRule>
  </conditionalFormatting>
  <conditionalFormatting sqref="AL687:AU687">
    <cfRule type="expression" dxfId="7" priority="876">
      <formula>AND(AL687&lt;&gt;"",ISNUMBER(FIND(AL687,$W687)))</formula>
    </cfRule>
  </conditionalFormatting>
  <conditionalFormatting sqref="AV687:BE687">
    <cfRule type="expression" dxfId="7" priority="875">
      <formula>AND(AV687&lt;&gt;"",ISNUMBER(FIND(AV687,$X687)))</formula>
    </cfRule>
  </conditionalFormatting>
  <conditionalFormatting sqref="BF687:BO687">
    <cfRule type="expression" dxfId="7" priority="874">
      <formula>AND(BF687&lt;&gt;"",ISNUMBER(FIND(BF687,$Y687)))</formula>
    </cfRule>
  </conditionalFormatting>
  <conditionalFormatting sqref="BP687">
    <cfRule type="expression" dxfId="8" priority="852">
      <formula>$BP687="对子"</formula>
    </cfRule>
    <cfRule type="expression" dxfId="9" priority="866">
      <formula>$BP687="紧凑型"</formula>
    </cfRule>
    <cfRule type="expression" dxfId="10" priority="867">
      <formula>$BP687="松散型"</formula>
    </cfRule>
  </conditionalFormatting>
  <conditionalFormatting sqref="BV687">
    <cfRule type="expression" dxfId="11" priority="862">
      <formula>$BV687="复中中"</formula>
    </cfRule>
    <cfRule type="expression" dxfId="3" priority="863">
      <formula>$BV687="复隔中"</formula>
    </cfRule>
    <cfRule type="expression" dxfId="12" priority="864">
      <formula>$BV687="中中中"</formula>
    </cfRule>
  </conditionalFormatting>
  <conditionalFormatting sqref="BZ687">
    <cfRule type="expression" dxfId="11" priority="859">
      <formula>$BZ687="复中中"</formula>
    </cfRule>
    <cfRule type="expression" dxfId="3" priority="860">
      <formula>$BZ687="复隔中"</formula>
    </cfRule>
    <cfRule type="expression" dxfId="2" priority="861">
      <formula>$BZ687="中中中"</formula>
    </cfRule>
  </conditionalFormatting>
  <conditionalFormatting sqref="CD687">
    <cfRule type="expression" dxfId="11" priority="856">
      <formula>$CD687="复中中"</formula>
    </cfRule>
    <cfRule type="expression" dxfId="2" priority="857">
      <formula>$CD687="中中中"</formula>
    </cfRule>
    <cfRule type="expression" dxfId="3" priority="858">
      <formula>$CD687="复隔中"</formula>
    </cfRule>
  </conditionalFormatting>
  <conditionalFormatting sqref="CH687">
    <cfRule type="expression" dxfId="0" priority="855">
      <formula>$CH687="邻孤孤"</formula>
    </cfRule>
  </conditionalFormatting>
  <conditionalFormatting sqref="CL687">
    <cfRule type="expression" dxfId="0" priority="854">
      <formula>$CL687="邻孤孤"</formula>
    </cfRule>
  </conditionalFormatting>
  <conditionalFormatting sqref="CP687">
    <cfRule type="expression" dxfId="0" priority="853">
      <formula>$CP687="邻孤孤"</formula>
    </cfRule>
  </conditionalFormatting>
  <conditionalFormatting sqref="D688">
    <cfRule type="expression" dxfId="0" priority="847">
      <formula>MOD(D688,2)=0</formula>
    </cfRule>
  </conditionalFormatting>
  <conditionalFormatting sqref="E688">
    <cfRule type="expression" dxfId="1" priority="846">
      <formula>MOD(E688,2)=0</formula>
    </cfRule>
  </conditionalFormatting>
  <conditionalFormatting sqref="L688">
    <cfRule type="expression" dxfId="2" priority="845">
      <formula>MOD(L688,2)=0</formula>
    </cfRule>
  </conditionalFormatting>
  <conditionalFormatting sqref="M688:V688">
    <cfRule type="expression" dxfId="3" priority="839">
      <formula>M688=$L688</formula>
    </cfRule>
  </conditionalFormatting>
  <conditionalFormatting sqref="W688">
    <cfRule type="expression" dxfId="4" priority="844">
      <formula>MOD(W688,2)=0</formula>
    </cfRule>
  </conditionalFormatting>
  <conditionalFormatting sqref="X688">
    <cfRule type="expression" dxfId="5" priority="843">
      <formula>MOD(X688,2)=0</formula>
    </cfRule>
  </conditionalFormatting>
  <conditionalFormatting sqref="Y688">
    <cfRule type="expression" dxfId="6" priority="842">
      <formula>MOD(Y688,2)=0</formula>
    </cfRule>
  </conditionalFormatting>
  <conditionalFormatting sqref="AB688:AK688">
    <cfRule type="expression" dxfId="7" priority="851">
      <formula>AND(AB688&lt;&gt;"",ISNUMBER(FIND(AB688,$AA688)))</formula>
    </cfRule>
  </conditionalFormatting>
  <conditionalFormatting sqref="AL688:AU688">
    <cfRule type="expression" dxfId="7" priority="850">
      <formula>AND(AL688&lt;&gt;"",ISNUMBER(FIND(AL688,$W688)))</formula>
    </cfRule>
  </conditionalFormatting>
  <conditionalFormatting sqref="AV688:BE688">
    <cfRule type="expression" dxfId="7" priority="849">
      <formula>AND(AV688&lt;&gt;"",ISNUMBER(FIND(AV688,$X688)))</formula>
    </cfRule>
  </conditionalFormatting>
  <conditionalFormatting sqref="BF688:BO688">
    <cfRule type="expression" dxfId="7" priority="848">
      <formula>AND(BF688&lt;&gt;"",ISNUMBER(FIND(BF688,$Y688)))</formula>
    </cfRule>
  </conditionalFormatting>
  <conditionalFormatting sqref="BP688">
    <cfRule type="expression" dxfId="8" priority="826">
      <formula>$BP688="对子"</formula>
    </cfRule>
    <cfRule type="expression" dxfId="9" priority="840">
      <formula>$BP688="紧凑型"</formula>
    </cfRule>
    <cfRule type="expression" dxfId="10" priority="841">
      <formula>$BP688="松散型"</formula>
    </cfRule>
  </conditionalFormatting>
  <conditionalFormatting sqref="BV688">
    <cfRule type="expression" dxfId="11" priority="836">
      <formula>$BV688="复中中"</formula>
    </cfRule>
    <cfRule type="expression" dxfId="3" priority="837">
      <formula>$BV688="复隔中"</formula>
    </cfRule>
    <cfRule type="expression" dxfId="12" priority="838">
      <formula>$BV688="中中中"</formula>
    </cfRule>
  </conditionalFormatting>
  <conditionalFormatting sqref="BZ688">
    <cfRule type="expression" dxfId="11" priority="833">
      <formula>$BZ688="复中中"</formula>
    </cfRule>
    <cfRule type="expression" dxfId="3" priority="834">
      <formula>$BZ688="复隔中"</formula>
    </cfRule>
    <cfRule type="expression" dxfId="2" priority="835">
      <formula>$BZ688="中中中"</formula>
    </cfRule>
  </conditionalFormatting>
  <conditionalFormatting sqref="CD688">
    <cfRule type="expression" dxfId="11" priority="830">
      <formula>$CD688="复中中"</formula>
    </cfRule>
    <cfRule type="expression" dxfId="2" priority="831">
      <formula>$CD688="中中中"</formula>
    </cfRule>
    <cfRule type="expression" dxfId="3" priority="832">
      <formula>$CD688="复隔中"</formula>
    </cfRule>
  </conditionalFormatting>
  <conditionalFormatting sqref="CH688">
    <cfRule type="expression" dxfId="0" priority="829">
      <formula>$CH688="邻孤孤"</formula>
    </cfRule>
  </conditionalFormatting>
  <conditionalFormatting sqref="CL688">
    <cfRule type="expression" dxfId="0" priority="828">
      <formula>$CL688="邻孤孤"</formula>
    </cfRule>
  </conditionalFormatting>
  <conditionalFormatting sqref="CP688">
    <cfRule type="expression" dxfId="0" priority="827">
      <formula>$CP688="邻孤孤"</formula>
    </cfRule>
  </conditionalFormatting>
  <conditionalFormatting sqref="D689">
    <cfRule type="expression" dxfId="0" priority="509">
      <formula>MOD(D689,2)=0</formula>
    </cfRule>
  </conditionalFormatting>
  <conditionalFormatting sqref="E689">
    <cfRule type="expression" dxfId="1" priority="508">
      <formula>MOD(E689,2)=0</formula>
    </cfRule>
  </conditionalFormatting>
  <conditionalFormatting sqref="L689">
    <cfRule type="expression" dxfId="2" priority="507">
      <formula>MOD(L689,2)=0</formula>
    </cfRule>
  </conditionalFormatting>
  <conditionalFormatting sqref="M689:V689">
    <cfRule type="expression" dxfId="3" priority="501">
      <formula>M689=$L689</formula>
    </cfRule>
  </conditionalFormatting>
  <conditionalFormatting sqref="W689">
    <cfRule type="expression" dxfId="4" priority="506">
      <formula>MOD(W689,2)=0</formula>
    </cfRule>
  </conditionalFormatting>
  <conditionalFormatting sqref="X689">
    <cfRule type="expression" dxfId="5" priority="505">
      <formula>MOD(X689,2)=0</formula>
    </cfRule>
  </conditionalFormatting>
  <conditionalFormatting sqref="Y689">
    <cfRule type="expression" dxfId="6" priority="504">
      <formula>MOD(Y689,2)=0</formula>
    </cfRule>
  </conditionalFormatting>
  <conditionalFormatting sqref="AB689:AK689">
    <cfRule type="expression" dxfId="7" priority="513">
      <formula>AND(AB689&lt;&gt;"",ISNUMBER(FIND(AB689,$AA689)))</formula>
    </cfRule>
  </conditionalFormatting>
  <conditionalFormatting sqref="AL689:AU689">
    <cfRule type="expression" dxfId="7" priority="512">
      <formula>AND(AL689&lt;&gt;"",ISNUMBER(FIND(AL689,$W689)))</formula>
    </cfRule>
  </conditionalFormatting>
  <conditionalFormatting sqref="AV689:BE689">
    <cfRule type="expression" dxfId="7" priority="511">
      <formula>AND(AV689&lt;&gt;"",ISNUMBER(FIND(AV689,$X689)))</formula>
    </cfRule>
  </conditionalFormatting>
  <conditionalFormatting sqref="BF689:BO689">
    <cfRule type="expression" dxfId="7" priority="510">
      <formula>AND(BF689&lt;&gt;"",ISNUMBER(FIND(BF689,$Y689)))</formula>
    </cfRule>
  </conditionalFormatting>
  <conditionalFormatting sqref="BP689">
    <cfRule type="expression" dxfId="8" priority="488">
      <formula>$BP689="对子"</formula>
    </cfRule>
    <cfRule type="expression" dxfId="9" priority="502">
      <formula>$BP689="紧凑型"</formula>
    </cfRule>
    <cfRule type="expression" dxfId="10" priority="503">
      <formula>$BP689="松散型"</formula>
    </cfRule>
  </conditionalFormatting>
  <conditionalFormatting sqref="BV689">
    <cfRule type="expression" dxfId="11" priority="498">
      <formula>$BV689="复中中"</formula>
    </cfRule>
    <cfRule type="expression" dxfId="3" priority="499">
      <formula>$BV689="复隔中"</formula>
    </cfRule>
    <cfRule type="expression" dxfId="12" priority="500">
      <formula>$BV689="中中中"</formula>
    </cfRule>
  </conditionalFormatting>
  <conditionalFormatting sqref="BZ689">
    <cfRule type="expression" dxfId="11" priority="495">
      <formula>$BZ689="复中中"</formula>
    </cfRule>
    <cfRule type="expression" dxfId="3" priority="496">
      <formula>$BZ689="复隔中"</formula>
    </cfRule>
    <cfRule type="expression" dxfId="2" priority="497">
      <formula>$BZ689="中中中"</formula>
    </cfRule>
  </conditionalFormatting>
  <conditionalFormatting sqref="CD689">
    <cfRule type="expression" dxfId="11" priority="492">
      <formula>$CD689="复中中"</formula>
    </cfRule>
    <cfRule type="expression" dxfId="2" priority="493">
      <formula>$CD689="中中中"</formula>
    </cfRule>
    <cfRule type="expression" dxfId="3" priority="494">
      <formula>$CD689="复隔中"</formula>
    </cfRule>
  </conditionalFormatting>
  <conditionalFormatting sqref="CH689">
    <cfRule type="expression" dxfId="0" priority="491">
      <formula>$CH689="邻孤孤"</formula>
    </cfRule>
  </conditionalFormatting>
  <conditionalFormatting sqref="CL689">
    <cfRule type="expression" dxfId="0" priority="490">
      <formula>$CL689="邻孤孤"</formula>
    </cfRule>
  </conditionalFormatting>
  <conditionalFormatting sqref="CP689">
    <cfRule type="expression" dxfId="0" priority="489">
      <formula>$CP689="邻孤孤"</formula>
    </cfRule>
  </conditionalFormatting>
  <conditionalFormatting sqref="D690">
    <cfRule type="expression" dxfId="0" priority="482">
      <formula>MOD(D690,2)=0</formula>
    </cfRule>
  </conditionalFormatting>
  <conditionalFormatting sqref="E690">
    <cfRule type="expression" dxfId="1" priority="481">
      <formula>MOD(E690,2)=0</formula>
    </cfRule>
  </conditionalFormatting>
  <conditionalFormatting sqref="H690:K690">
    <cfRule type="expression" dxfId="13" priority="460">
      <formula>LOWER(LEFT(H690,1))=LOWER(LEFT($G690,1))</formula>
    </cfRule>
  </conditionalFormatting>
  <conditionalFormatting sqref="L690">
    <cfRule type="expression" dxfId="2" priority="480">
      <formula>MOD(L690,2)=0</formula>
    </cfRule>
  </conditionalFormatting>
  <conditionalFormatting sqref="M690:V690">
    <cfRule type="expression" dxfId="3" priority="474">
      <formula>M690=$L690</formula>
    </cfRule>
  </conditionalFormatting>
  <conditionalFormatting sqref="W690">
    <cfRule type="expression" dxfId="4" priority="479">
      <formula>MOD(W690,2)=0</formula>
    </cfRule>
  </conditionalFormatting>
  <conditionalFormatting sqref="X690">
    <cfRule type="expression" dxfId="5" priority="478">
      <formula>MOD(X690,2)=0</formula>
    </cfRule>
  </conditionalFormatting>
  <conditionalFormatting sqref="Y690">
    <cfRule type="expression" dxfId="6" priority="477">
      <formula>MOD(Y690,2)=0</formula>
    </cfRule>
  </conditionalFormatting>
  <conditionalFormatting sqref="AB690:AK690">
    <cfRule type="expression" dxfId="7" priority="486">
      <formula>AND(AB690&lt;&gt;"",ISNUMBER(FIND(AB690,$AA690)))</formula>
    </cfRule>
  </conditionalFormatting>
  <conditionalFormatting sqref="AL690:AU690">
    <cfRule type="expression" dxfId="7" priority="485">
      <formula>AND(AL690&lt;&gt;"",ISNUMBER(FIND(AL690,$W690)))</formula>
    </cfRule>
  </conditionalFormatting>
  <conditionalFormatting sqref="AV690:BE690">
    <cfRule type="expression" dxfId="7" priority="484">
      <formula>AND(AV690&lt;&gt;"",ISNUMBER(FIND(AV690,$X690)))</formula>
    </cfRule>
  </conditionalFormatting>
  <conditionalFormatting sqref="BF690:BO690">
    <cfRule type="expression" dxfId="7" priority="483">
      <formula>AND(BF690&lt;&gt;"",ISNUMBER(FIND(BF690,$Y690)))</formula>
    </cfRule>
  </conditionalFormatting>
  <conditionalFormatting sqref="BP690">
    <cfRule type="expression" dxfId="8" priority="461">
      <formula>$BP690="对子"</formula>
    </cfRule>
    <cfRule type="expression" dxfId="9" priority="475">
      <formula>$BP690="紧凑型"</formula>
    </cfRule>
    <cfRule type="expression" dxfId="10" priority="476">
      <formula>$BP690="松散型"</formula>
    </cfRule>
  </conditionalFormatting>
  <conditionalFormatting sqref="BV690">
    <cfRule type="expression" dxfId="11" priority="471">
      <formula>$BV690="复中中"</formula>
    </cfRule>
    <cfRule type="expression" dxfId="3" priority="472">
      <formula>$BV690="复隔中"</formula>
    </cfRule>
    <cfRule type="expression" dxfId="12" priority="473">
      <formula>$BV690="中中中"</formula>
    </cfRule>
  </conditionalFormatting>
  <conditionalFormatting sqref="BZ690">
    <cfRule type="expression" dxfId="11" priority="468">
      <formula>$BZ690="复中中"</formula>
    </cfRule>
    <cfRule type="expression" dxfId="3" priority="469">
      <formula>$BZ690="复隔中"</formula>
    </cfRule>
    <cfRule type="expression" dxfId="2" priority="470">
      <formula>$BZ690="中中中"</formula>
    </cfRule>
  </conditionalFormatting>
  <conditionalFormatting sqref="CD690">
    <cfRule type="expression" dxfId="11" priority="465">
      <formula>$CD690="复中中"</formula>
    </cfRule>
    <cfRule type="expression" dxfId="2" priority="466">
      <formula>$CD690="中中中"</formula>
    </cfRule>
    <cfRule type="expression" dxfId="3" priority="467">
      <formula>$CD690="复隔中"</formula>
    </cfRule>
  </conditionalFormatting>
  <conditionalFormatting sqref="CH690">
    <cfRule type="expression" dxfId="0" priority="464">
      <formula>$CH690="邻孤孤"</formula>
    </cfRule>
  </conditionalFormatting>
  <conditionalFormatting sqref="CL690">
    <cfRule type="expression" dxfId="0" priority="463">
      <formula>$CL690="邻孤孤"</formula>
    </cfRule>
  </conditionalFormatting>
  <conditionalFormatting sqref="CP690">
    <cfRule type="expression" dxfId="0" priority="462">
      <formula>$CP690="邻孤孤"</formula>
    </cfRule>
  </conditionalFormatting>
  <conditionalFormatting sqref="D691">
    <cfRule type="expression" dxfId="0" priority="455">
      <formula>MOD(D691,2)=0</formula>
    </cfRule>
  </conditionalFormatting>
  <conditionalFormatting sqref="E691">
    <cfRule type="expression" dxfId="1" priority="454">
      <formula>MOD(E691,2)=0</formula>
    </cfRule>
  </conditionalFormatting>
  <conditionalFormatting sqref="H691:K691">
    <cfRule type="expression" dxfId="13" priority="433">
      <formula>LOWER(LEFT(H691,1))=LOWER(LEFT($G691,1))</formula>
    </cfRule>
  </conditionalFormatting>
  <conditionalFormatting sqref="L691">
    <cfRule type="expression" dxfId="2" priority="453">
      <formula>MOD(L691,2)=0</formula>
    </cfRule>
  </conditionalFormatting>
  <conditionalFormatting sqref="M691:V691">
    <cfRule type="expression" dxfId="3" priority="447">
      <formula>M691=$L691</formula>
    </cfRule>
  </conditionalFormatting>
  <conditionalFormatting sqref="W691">
    <cfRule type="expression" dxfId="4" priority="452">
      <formula>MOD(W691,2)=0</formula>
    </cfRule>
  </conditionalFormatting>
  <conditionalFormatting sqref="X691">
    <cfRule type="expression" dxfId="5" priority="451">
      <formula>MOD(X691,2)=0</formula>
    </cfRule>
  </conditionalFormatting>
  <conditionalFormatting sqref="Y691">
    <cfRule type="expression" dxfId="6" priority="450">
      <formula>MOD(Y691,2)=0</formula>
    </cfRule>
  </conditionalFormatting>
  <conditionalFormatting sqref="AB691:AK691">
    <cfRule type="expression" dxfId="7" priority="459">
      <formula>AND(AB691&lt;&gt;"",ISNUMBER(FIND(AB691,$AA691)))</formula>
    </cfRule>
  </conditionalFormatting>
  <conditionalFormatting sqref="AL691:AU691">
    <cfRule type="expression" dxfId="7" priority="458">
      <formula>AND(AL691&lt;&gt;"",ISNUMBER(FIND(AL691,$W691)))</formula>
    </cfRule>
  </conditionalFormatting>
  <conditionalFormatting sqref="AV691:BE691">
    <cfRule type="expression" dxfId="7" priority="457">
      <formula>AND(AV691&lt;&gt;"",ISNUMBER(FIND(AV691,$X691)))</formula>
    </cfRule>
  </conditionalFormatting>
  <conditionalFormatting sqref="BF691:BO691">
    <cfRule type="expression" dxfId="7" priority="456">
      <formula>AND(BF691&lt;&gt;"",ISNUMBER(FIND(BF691,$Y691)))</formula>
    </cfRule>
  </conditionalFormatting>
  <conditionalFormatting sqref="BP691">
    <cfRule type="expression" dxfId="8" priority="434">
      <formula>$BP691="对子"</formula>
    </cfRule>
    <cfRule type="expression" dxfId="9" priority="448">
      <formula>$BP691="紧凑型"</formula>
    </cfRule>
    <cfRule type="expression" dxfId="10" priority="449">
      <formula>$BP691="松散型"</formula>
    </cfRule>
  </conditionalFormatting>
  <conditionalFormatting sqref="BV691">
    <cfRule type="expression" dxfId="11" priority="444">
      <formula>$BV691="复中中"</formula>
    </cfRule>
    <cfRule type="expression" dxfId="3" priority="445">
      <formula>$BV691="复隔中"</formula>
    </cfRule>
    <cfRule type="expression" dxfId="12" priority="446">
      <formula>$BV691="中中中"</formula>
    </cfRule>
  </conditionalFormatting>
  <conditionalFormatting sqref="BZ691">
    <cfRule type="expression" dxfId="11" priority="441">
      <formula>$BZ691="复中中"</formula>
    </cfRule>
    <cfRule type="expression" dxfId="3" priority="442">
      <formula>$BZ691="复隔中"</formula>
    </cfRule>
    <cfRule type="expression" dxfId="2" priority="443">
      <formula>$BZ691="中中中"</formula>
    </cfRule>
  </conditionalFormatting>
  <conditionalFormatting sqref="CD691">
    <cfRule type="expression" dxfId="11" priority="438">
      <formula>$CD691="复中中"</formula>
    </cfRule>
    <cfRule type="expression" dxfId="2" priority="439">
      <formula>$CD691="中中中"</formula>
    </cfRule>
    <cfRule type="expression" dxfId="3" priority="440">
      <formula>$CD691="复隔中"</formula>
    </cfRule>
  </conditionalFormatting>
  <conditionalFormatting sqref="CH691">
    <cfRule type="expression" dxfId="0" priority="437">
      <formula>$CH691="邻孤孤"</formula>
    </cfRule>
  </conditionalFormatting>
  <conditionalFormatting sqref="CL691">
    <cfRule type="expression" dxfId="0" priority="436">
      <formula>$CL691="邻孤孤"</formula>
    </cfRule>
  </conditionalFormatting>
  <conditionalFormatting sqref="CP691">
    <cfRule type="expression" dxfId="0" priority="435">
      <formula>$CP691="邻孤孤"</formula>
    </cfRule>
  </conditionalFormatting>
  <conditionalFormatting sqref="D692">
    <cfRule type="expression" dxfId="0" priority="428">
      <formula>MOD(D692,2)=0</formula>
    </cfRule>
  </conditionalFormatting>
  <conditionalFormatting sqref="E692">
    <cfRule type="expression" dxfId="1" priority="427">
      <formula>MOD(E692,2)=0</formula>
    </cfRule>
  </conditionalFormatting>
  <conditionalFormatting sqref="H692:K692">
    <cfRule type="expression" dxfId="13" priority="406">
      <formula>LOWER(LEFT(H692,1))=LOWER(LEFT($G692,1))</formula>
    </cfRule>
  </conditionalFormatting>
  <conditionalFormatting sqref="L692">
    <cfRule type="expression" dxfId="2" priority="426">
      <formula>MOD(L692,2)=0</formula>
    </cfRule>
  </conditionalFormatting>
  <conditionalFormatting sqref="M692:V692">
    <cfRule type="expression" dxfId="3" priority="420">
      <formula>M692=$L692</formula>
    </cfRule>
  </conditionalFormatting>
  <conditionalFormatting sqref="W692">
    <cfRule type="expression" dxfId="4" priority="425">
      <formula>MOD(W692,2)=0</formula>
    </cfRule>
  </conditionalFormatting>
  <conditionalFormatting sqref="X692">
    <cfRule type="expression" dxfId="5" priority="424">
      <formula>MOD(X692,2)=0</formula>
    </cfRule>
  </conditionalFormatting>
  <conditionalFormatting sqref="Y692">
    <cfRule type="expression" dxfId="6" priority="423">
      <formula>MOD(Y692,2)=0</formula>
    </cfRule>
  </conditionalFormatting>
  <conditionalFormatting sqref="AB692:AK692">
    <cfRule type="expression" dxfId="7" priority="432">
      <formula>AND(AB692&lt;&gt;"",ISNUMBER(FIND(AB692,$AA692)))</formula>
    </cfRule>
  </conditionalFormatting>
  <conditionalFormatting sqref="AL692:AU692">
    <cfRule type="expression" dxfId="7" priority="431">
      <formula>AND(AL692&lt;&gt;"",ISNUMBER(FIND(AL692,$W692)))</formula>
    </cfRule>
  </conditionalFormatting>
  <conditionalFormatting sqref="AV692:BE692">
    <cfRule type="expression" dxfId="7" priority="430">
      <formula>AND(AV692&lt;&gt;"",ISNUMBER(FIND(AV692,$X692)))</formula>
    </cfRule>
  </conditionalFormatting>
  <conditionalFormatting sqref="BF692:BO692">
    <cfRule type="expression" dxfId="7" priority="429">
      <formula>AND(BF692&lt;&gt;"",ISNUMBER(FIND(BF692,$Y692)))</formula>
    </cfRule>
  </conditionalFormatting>
  <conditionalFormatting sqref="BP692">
    <cfRule type="expression" dxfId="8" priority="407">
      <formula>$BP692="对子"</formula>
    </cfRule>
    <cfRule type="expression" dxfId="9" priority="421">
      <formula>$BP692="紧凑型"</formula>
    </cfRule>
    <cfRule type="expression" dxfId="10" priority="422">
      <formula>$BP692="松散型"</formula>
    </cfRule>
  </conditionalFormatting>
  <conditionalFormatting sqref="BV692">
    <cfRule type="expression" dxfId="11" priority="417">
      <formula>$BV692="复中中"</formula>
    </cfRule>
    <cfRule type="expression" dxfId="3" priority="418">
      <formula>$BV692="复隔中"</formula>
    </cfRule>
    <cfRule type="expression" dxfId="12" priority="419">
      <formula>$BV692="中中中"</formula>
    </cfRule>
  </conditionalFormatting>
  <conditionalFormatting sqref="BZ692">
    <cfRule type="expression" dxfId="11" priority="414">
      <formula>$BZ692="复中中"</formula>
    </cfRule>
    <cfRule type="expression" dxfId="3" priority="415">
      <formula>$BZ692="复隔中"</formula>
    </cfRule>
    <cfRule type="expression" dxfId="2" priority="416">
      <formula>$BZ692="中中中"</formula>
    </cfRule>
  </conditionalFormatting>
  <conditionalFormatting sqref="CD692">
    <cfRule type="expression" dxfId="11" priority="411">
      <formula>$CD692="复中中"</formula>
    </cfRule>
    <cfRule type="expression" dxfId="2" priority="412">
      <formula>$CD692="中中中"</formula>
    </cfRule>
    <cfRule type="expression" dxfId="3" priority="413">
      <formula>$CD692="复隔中"</formula>
    </cfRule>
  </conditionalFormatting>
  <conditionalFormatting sqref="CH692">
    <cfRule type="expression" dxfId="0" priority="410">
      <formula>$CH692="邻孤孤"</formula>
    </cfRule>
  </conditionalFormatting>
  <conditionalFormatting sqref="CL692">
    <cfRule type="expression" dxfId="0" priority="409">
      <formula>$CL692="邻孤孤"</formula>
    </cfRule>
  </conditionalFormatting>
  <conditionalFormatting sqref="CP692">
    <cfRule type="expression" dxfId="0" priority="408">
      <formula>$CP692="邻孤孤"</formula>
    </cfRule>
  </conditionalFormatting>
  <conditionalFormatting sqref="D693">
    <cfRule type="expression" dxfId="0" priority="401">
      <formula>MOD(D693,2)=0</formula>
    </cfRule>
  </conditionalFormatting>
  <conditionalFormatting sqref="E693">
    <cfRule type="expression" dxfId="1" priority="400">
      <formula>MOD(E693,2)=0</formula>
    </cfRule>
  </conditionalFormatting>
  <conditionalFormatting sqref="H693:K693">
    <cfRule type="expression" dxfId="13" priority="379">
      <formula>LOWER(LEFT(H693,1))=LOWER(LEFT($G693,1))</formula>
    </cfRule>
  </conditionalFormatting>
  <conditionalFormatting sqref="L693">
    <cfRule type="expression" dxfId="2" priority="399">
      <formula>MOD(L693,2)=0</formula>
    </cfRule>
  </conditionalFormatting>
  <conditionalFormatting sqref="M693:V693">
    <cfRule type="expression" dxfId="3" priority="393">
      <formula>M693=$L693</formula>
    </cfRule>
  </conditionalFormatting>
  <conditionalFormatting sqref="W693">
    <cfRule type="expression" dxfId="4" priority="398">
      <formula>MOD(W693,2)=0</formula>
    </cfRule>
  </conditionalFormatting>
  <conditionalFormatting sqref="X693">
    <cfRule type="expression" dxfId="5" priority="397">
      <formula>MOD(X693,2)=0</formula>
    </cfRule>
  </conditionalFormatting>
  <conditionalFormatting sqref="Y693">
    <cfRule type="expression" dxfId="6" priority="396">
      <formula>MOD(Y693,2)=0</formula>
    </cfRule>
  </conditionalFormatting>
  <conditionalFormatting sqref="AB693:AK693">
    <cfRule type="expression" dxfId="7" priority="405">
      <formula>AND(AB693&lt;&gt;"",ISNUMBER(FIND(AB693,$AA693)))</formula>
    </cfRule>
  </conditionalFormatting>
  <conditionalFormatting sqref="AL693:AU693">
    <cfRule type="expression" dxfId="7" priority="404">
      <formula>AND(AL693&lt;&gt;"",ISNUMBER(FIND(AL693,$W693)))</formula>
    </cfRule>
  </conditionalFormatting>
  <conditionalFormatting sqref="AV693:BE693">
    <cfRule type="expression" dxfId="7" priority="403">
      <formula>AND(AV693&lt;&gt;"",ISNUMBER(FIND(AV693,$X693)))</formula>
    </cfRule>
  </conditionalFormatting>
  <conditionalFormatting sqref="BF693:BO693">
    <cfRule type="expression" dxfId="7" priority="402">
      <formula>AND(BF693&lt;&gt;"",ISNUMBER(FIND(BF693,$Y693)))</formula>
    </cfRule>
  </conditionalFormatting>
  <conditionalFormatting sqref="BP693">
    <cfRule type="expression" dxfId="8" priority="380">
      <formula>$BP693="对子"</formula>
    </cfRule>
    <cfRule type="expression" dxfId="9" priority="394">
      <formula>$BP693="紧凑型"</formula>
    </cfRule>
    <cfRule type="expression" dxfId="10" priority="395">
      <formula>$BP693="松散型"</formula>
    </cfRule>
  </conditionalFormatting>
  <conditionalFormatting sqref="BV693">
    <cfRule type="expression" dxfId="11" priority="390">
      <formula>$BV693="复中中"</formula>
    </cfRule>
    <cfRule type="expression" dxfId="3" priority="391">
      <formula>$BV693="复隔中"</formula>
    </cfRule>
    <cfRule type="expression" dxfId="12" priority="392">
      <formula>$BV693="中中中"</formula>
    </cfRule>
  </conditionalFormatting>
  <conditionalFormatting sqref="BZ693">
    <cfRule type="expression" dxfId="11" priority="387">
      <formula>$BZ693="复中中"</formula>
    </cfRule>
    <cfRule type="expression" dxfId="3" priority="388">
      <formula>$BZ693="复隔中"</formula>
    </cfRule>
    <cfRule type="expression" dxfId="2" priority="389">
      <formula>$BZ693="中中中"</formula>
    </cfRule>
  </conditionalFormatting>
  <conditionalFormatting sqref="CD693">
    <cfRule type="expression" dxfId="11" priority="384">
      <formula>$CD693="复中中"</formula>
    </cfRule>
    <cfRule type="expression" dxfId="2" priority="385">
      <formula>$CD693="中中中"</formula>
    </cfRule>
    <cfRule type="expression" dxfId="3" priority="386">
      <formula>$CD693="复隔中"</formula>
    </cfRule>
  </conditionalFormatting>
  <conditionalFormatting sqref="CH693">
    <cfRule type="expression" dxfId="0" priority="383">
      <formula>$CH693="邻孤孤"</formula>
    </cfRule>
  </conditionalFormatting>
  <conditionalFormatting sqref="CL693">
    <cfRule type="expression" dxfId="0" priority="382">
      <formula>$CL693="邻孤孤"</formula>
    </cfRule>
  </conditionalFormatting>
  <conditionalFormatting sqref="CP693">
    <cfRule type="expression" dxfId="0" priority="381">
      <formula>$CP693="邻孤孤"</formula>
    </cfRule>
  </conditionalFormatting>
  <conditionalFormatting sqref="D694">
    <cfRule type="expression" dxfId="0" priority="374">
      <formula>MOD(D694,2)=0</formula>
    </cfRule>
  </conditionalFormatting>
  <conditionalFormatting sqref="E694">
    <cfRule type="expression" dxfId="1" priority="373">
      <formula>MOD(E694,2)=0</formula>
    </cfRule>
  </conditionalFormatting>
  <conditionalFormatting sqref="H694:K694">
    <cfRule type="expression" dxfId="13" priority="352">
      <formula>LOWER(LEFT(H694,1))=LOWER(LEFT($G694,1))</formula>
    </cfRule>
  </conditionalFormatting>
  <conditionalFormatting sqref="L694">
    <cfRule type="expression" dxfId="2" priority="372">
      <formula>MOD(L694,2)=0</formula>
    </cfRule>
  </conditionalFormatting>
  <conditionalFormatting sqref="M694:V694">
    <cfRule type="expression" dxfId="3" priority="366">
      <formula>M694=$L694</formula>
    </cfRule>
  </conditionalFormatting>
  <conditionalFormatting sqref="W694">
    <cfRule type="expression" dxfId="4" priority="371">
      <formula>MOD(W694,2)=0</formula>
    </cfRule>
  </conditionalFormatting>
  <conditionalFormatting sqref="X694">
    <cfRule type="expression" dxfId="5" priority="370">
      <formula>MOD(X694,2)=0</formula>
    </cfRule>
  </conditionalFormatting>
  <conditionalFormatting sqref="Y694">
    <cfRule type="expression" dxfId="6" priority="369">
      <formula>MOD(Y694,2)=0</formula>
    </cfRule>
  </conditionalFormatting>
  <conditionalFormatting sqref="AB694:AK694">
    <cfRule type="expression" dxfId="7" priority="378">
      <formula>AND(AB694&lt;&gt;"",ISNUMBER(FIND(AB694,$AA694)))</formula>
    </cfRule>
  </conditionalFormatting>
  <conditionalFormatting sqref="AL694:AU694">
    <cfRule type="expression" dxfId="7" priority="377">
      <formula>AND(AL694&lt;&gt;"",ISNUMBER(FIND(AL694,$W694)))</formula>
    </cfRule>
  </conditionalFormatting>
  <conditionalFormatting sqref="AV694:BE694">
    <cfRule type="expression" dxfId="7" priority="376">
      <formula>AND(AV694&lt;&gt;"",ISNUMBER(FIND(AV694,$X694)))</formula>
    </cfRule>
  </conditionalFormatting>
  <conditionalFormatting sqref="BF694:BO694">
    <cfRule type="expression" dxfId="7" priority="375">
      <formula>AND(BF694&lt;&gt;"",ISNUMBER(FIND(BF694,$Y694)))</formula>
    </cfRule>
  </conditionalFormatting>
  <conditionalFormatting sqref="BP694">
    <cfRule type="expression" dxfId="8" priority="353">
      <formula>$BP694="对子"</formula>
    </cfRule>
    <cfRule type="expression" dxfId="9" priority="367">
      <formula>$BP694="紧凑型"</formula>
    </cfRule>
    <cfRule type="expression" dxfId="10" priority="368">
      <formula>$BP694="松散型"</formula>
    </cfRule>
  </conditionalFormatting>
  <conditionalFormatting sqref="BV694">
    <cfRule type="expression" dxfId="11" priority="363">
      <formula>$BV694="复中中"</formula>
    </cfRule>
    <cfRule type="expression" dxfId="3" priority="364">
      <formula>$BV694="复隔中"</formula>
    </cfRule>
    <cfRule type="expression" dxfId="12" priority="365">
      <formula>$BV694="中中中"</formula>
    </cfRule>
  </conditionalFormatting>
  <conditionalFormatting sqref="BZ694">
    <cfRule type="expression" dxfId="11" priority="360">
      <formula>$BZ694="复中中"</formula>
    </cfRule>
    <cfRule type="expression" dxfId="3" priority="361">
      <formula>$BZ694="复隔中"</formula>
    </cfRule>
    <cfRule type="expression" dxfId="2" priority="362">
      <formula>$BZ694="中中中"</formula>
    </cfRule>
  </conditionalFormatting>
  <conditionalFormatting sqref="CD694">
    <cfRule type="expression" dxfId="11" priority="357">
      <formula>$CD694="复中中"</formula>
    </cfRule>
    <cfRule type="expression" dxfId="2" priority="358">
      <formula>$CD694="中中中"</formula>
    </cfRule>
    <cfRule type="expression" dxfId="3" priority="359">
      <formula>$CD694="复隔中"</formula>
    </cfRule>
  </conditionalFormatting>
  <conditionalFormatting sqref="CH694">
    <cfRule type="expression" dxfId="0" priority="356">
      <formula>$CH694="邻孤孤"</formula>
    </cfRule>
  </conditionalFormatting>
  <conditionalFormatting sqref="CL694">
    <cfRule type="expression" dxfId="0" priority="355">
      <formula>$CL694="邻孤孤"</formula>
    </cfRule>
  </conditionalFormatting>
  <conditionalFormatting sqref="CP694">
    <cfRule type="expression" dxfId="0" priority="354">
      <formula>$CP694="邻孤孤"</formula>
    </cfRule>
  </conditionalFormatting>
  <conditionalFormatting sqref="D695">
    <cfRule type="expression" dxfId="0" priority="347">
      <formula>MOD(D695,2)=0</formula>
    </cfRule>
  </conditionalFormatting>
  <conditionalFormatting sqref="E695">
    <cfRule type="expression" dxfId="1" priority="346">
      <formula>MOD(E695,2)=0</formula>
    </cfRule>
  </conditionalFormatting>
  <conditionalFormatting sqref="H695:K695">
    <cfRule type="expression" dxfId="13" priority="325">
      <formula>LOWER(LEFT(H695,1))=LOWER(LEFT($G695,1))</formula>
    </cfRule>
  </conditionalFormatting>
  <conditionalFormatting sqref="L695">
    <cfRule type="expression" dxfId="2" priority="345">
      <formula>MOD(L695,2)=0</formula>
    </cfRule>
  </conditionalFormatting>
  <conditionalFormatting sqref="M695:V695">
    <cfRule type="expression" dxfId="3" priority="339">
      <formula>M695=$L695</formula>
    </cfRule>
  </conditionalFormatting>
  <conditionalFormatting sqref="W695">
    <cfRule type="expression" dxfId="4" priority="344">
      <formula>MOD(W695,2)=0</formula>
    </cfRule>
  </conditionalFormatting>
  <conditionalFormatting sqref="X695">
    <cfRule type="expression" dxfId="5" priority="343">
      <formula>MOD(X695,2)=0</formula>
    </cfRule>
  </conditionalFormatting>
  <conditionalFormatting sqref="Y695">
    <cfRule type="expression" dxfId="6" priority="342">
      <formula>MOD(Y695,2)=0</formula>
    </cfRule>
  </conditionalFormatting>
  <conditionalFormatting sqref="AB695:AK695">
    <cfRule type="expression" dxfId="7" priority="351">
      <formula>AND(AB695&lt;&gt;"",ISNUMBER(FIND(AB695,$AA695)))</formula>
    </cfRule>
  </conditionalFormatting>
  <conditionalFormatting sqref="AL695:AU695">
    <cfRule type="expression" dxfId="7" priority="350">
      <formula>AND(AL695&lt;&gt;"",ISNUMBER(FIND(AL695,$W695)))</formula>
    </cfRule>
  </conditionalFormatting>
  <conditionalFormatting sqref="AV695:BE695">
    <cfRule type="expression" dxfId="7" priority="349">
      <formula>AND(AV695&lt;&gt;"",ISNUMBER(FIND(AV695,$X695)))</formula>
    </cfRule>
  </conditionalFormatting>
  <conditionalFormatting sqref="BF695:BO695">
    <cfRule type="expression" dxfId="7" priority="348">
      <formula>AND(BF695&lt;&gt;"",ISNUMBER(FIND(BF695,$Y695)))</formula>
    </cfRule>
  </conditionalFormatting>
  <conditionalFormatting sqref="BP695">
    <cfRule type="expression" dxfId="8" priority="326">
      <formula>$BP695="对子"</formula>
    </cfRule>
    <cfRule type="expression" dxfId="9" priority="340">
      <formula>$BP695="紧凑型"</formula>
    </cfRule>
    <cfRule type="expression" dxfId="10" priority="341">
      <formula>$BP695="松散型"</formula>
    </cfRule>
  </conditionalFormatting>
  <conditionalFormatting sqref="BV695">
    <cfRule type="expression" dxfId="11" priority="336">
      <formula>$BV695="复中中"</formula>
    </cfRule>
    <cfRule type="expression" dxfId="3" priority="337">
      <formula>$BV695="复隔中"</formula>
    </cfRule>
    <cfRule type="expression" dxfId="12" priority="338">
      <formula>$BV695="中中中"</formula>
    </cfRule>
  </conditionalFormatting>
  <conditionalFormatting sqref="BZ695">
    <cfRule type="expression" dxfId="11" priority="333">
      <formula>$BZ695="复中中"</formula>
    </cfRule>
    <cfRule type="expression" dxfId="3" priority="334">
      <formula>$BZ695="复隔中"</formula>
    </cfRule>
    <cfRule type="expression" dxfId="2" priority="335">
      <formula>$BZ695="中中中"</formula>
    </cfRule>
  </conditionalFormatting>
  <conditionalFormatting sqref="CD695">
    <cfRule type="expression" dxfId="11" priority="330">
      <formula>$CD695="复中中"</formula>
    </cfRule>
    <cfRule type="expression" dxfId="2" priority="331">
      <formula>$CD695="中中中"</formula>
    </cfRule>
    <cfRule type="expression" dxfId="3" priority="332">
      <formula>$CD695="复隔中"</formula>
    </cfRule>
  </conditionalFormatting>
  <conditionalFormatting sqref="CH695">
    <cfRule type="expression" dxfId="0" priority="329">
      <formula>$CH695="邻孤孤"</formula>
    </cfRule>
  </conditionalFormatting>
  <conditionalFormatting sqref="CL695">
    <cfRule type="expression" dxfId="0" priority="328">
      <formula>$CL695="邻孤孤"</formula>
    </cfRule>
  </conditionalFormatting>
  <conditionalFormatting sqref="CP695">
    <cfRule type="expression" dxfId="0" priority="327">
      <formula>$CP695="邻孤孤"</formula>
    </cfRule>
  </conditionalFormatting>
  <conditionalFormatting sqref="D696">
    <cfRule type="expression" dxfId="0" priority="320">
      <formula>MOD(D696,2)=0</formula>
    </cfRule>
  </conditionalFormatting>
  <conditionalFormatting sqref="E696">
    <cfRule type="expression" dxfId="1" priority="319">
      <formula>MOD(E696,2)=0</formula>
    </cfRule>
  </conditionalFormatting>
  <conditionalFormatting sqref="H696:K696">
    <cfRule type="expression" dxfId="13" priority="298">
      <formula>LOWER(LEFT(H696,1))=LOWER(LEFT($G696,1))</formula>
    </cfRule>
  </conditionalFormatting>
  <conditionalFormatting sqref="L696">
    <cfRule type="expression" dxfId="2" priority="318">
      <formula>MOD(L696,2)=0</formula>
    </cfRule>
  </conditionalFormatting>
  <conditionalFormatting sqref="M696:V696">
    <cfRule type="expression" dxfId="3" priority="312">
      <formula>M696=$L696</formula>
    </cfRule>
  </conditionalFormatting>
  <conditionalFormatting sqref="W696">
    <cfRule type="expression" dxfId="4" priority="317">
      <formula>MOD(W696,2)=0</formula>
    </cfRule>
  </conditionalFormatting>
  <conditionalFormatting sqref="X696">
    <cfRule type="expression" dxfId="5" priority="316">
      <formula>MOD(X696,2)=0</formula>
    </cfRule>
  </conditionalFormatting>
  <conditionalFormatting sqref="Y696">
    <cfRule type="expression" dxfId="6" priority="315">
      <formula>MOD(Y696,2)=0</formula>
    </cfRule>
  </conditionalFormatting>
  <conditionalFormatting sqref="AB696:AK696">
    <cfRule type="expression" dxfId="7" priority="324">
      <formula>AND(AB696&lt;&gt;"",ISNUMBER(FIND(AB696,$AA696)))</formula>
    </cfRule>
  </conditionalFormatting>
  <conditionalFormatting sqref="AL696:AU696">
    <cfRule type="expression" dxfId="7" priority="323">
      <formula>AND(AL696&lt;&gt;"",ISNUMBER(FIND(AL696,$W696)))</formula>
    </cfRule>
  </conditionalFormatting>
  <conditionalFormatting sqref="AV696:BE696">
    <cfRule type="expression" dxfId="7" priority="322">
      <formula>AND(AV696&lt;&gt;"",ISNUMBER(FIND(AV696,$X696)))</formula>
    </cfRule>
  </conditionalFormatting>
  <conditionalFormatting sqref="BF696:BO696">
    <cfRule type="expression" dxfId="7" priority="321">
      <formula>AND(BF696&lt;&gt;"",ISNUMBER(FIND(BF696,$Y696)))</formula>
    </cfRule>
  </conditionalFormatting>
  <conditionalFormatting sqref="BP696">
    <cfRule type="expression" dxfId="8" priority="299">
      <formula>$BP696="对子"</formula>
    </cfRule>
    <cfRule type="expression" dxfId="9" priority="313">
      <formula>$BP696="紧凑型"</formula>
    </cfRule>
    <cfRule type="expression" dxfId="10" priority="314">
      <formula>$BP696="松散型"</formula>
    </cfRule>
  </conditionalFormatting>
  <conditionalFormatting sqref="BV696">
    <cfRule type="expression" dxfId="11" priority="309">
      <formula>$BV696="复中中"</formula>
    </cfRule>
    <cfRule type="expression" dxfId="3" priority="310">
      <formula>$BV696="复隔中"</formula>
    </cfRule>
    <cfRule type="expression" dxfId="12" priority="311">
      <formula>$BV696="中中中"</formula>
    </cfRule>
  </conditionalFormatting>
  <conditionalFormatting sqref="BZ696">
    <cfRule type="expression" dxfId="11" priority="306">
      <formula>$BZ696="复中中"</formula>
    </cfRule>
    <cfRule type="expression" dxfId="3" priority="307">
      <formula>$BZ696="复隔中"</formula>
    </cfRule>
    <cfRule type="expression" dxfId="2" priority="308">
      <formula>$BZ696="中中中"</formula>
    </cfRule>
  </conditionalFormatting>
  <conditionalFormatting sqref="CD696">
    <cfRule type="expression" dxfId="11" priority="303">
      <formula>$CD696="复中中"</formula>
    </cfRule>
    <cfRule type="expression" dxfId="2" priority="304">
      <formula>$CD696="中中中"</formula>
    </cfRule>
    <cfRule type="expression" dxfId="3" priority="305">
      <formula>$CD696="复隔中"</formula>
    </cfRule>
  </conditionalFormatting>
  <conditionalFormatting sqref="CH696">
    <cfRule type="expression" dxfId="0" priority="302">
      <formula>$CH696="邻孤孤"</formula>
    </cfRule>
  </conditionalFormatting>
  <conditionalFormatting sqref="CL696">
    <cfRule type="expression" dxfId="0" priority="301">
      <formula>$CL696="邻孤孤"</formula>
    </cfRule>
  </conditionalFormatting>
  <conditionalFormatting sqref="CP696">
    <cfRule type="expression" dxfId="0" priority="300">
      <formula>$CP696="邻孤孤"</formula>
    </cfRule>
  </conditionalFormatting>
  <conditionalFormatting sqref="D697">
    <cfRule type="expression" dxfId="0" priority="293">
      <formula>MOD(D697,2)=0</formula>
    </cfRule>
  </conditionalFormatting>
  <conditionalFormatting sqref="E697">
    <cfRule type="expression" dxfId="1" priority="292">
      <formula>MOD(E697,2)=0</formula>
    </cfRule>
  </conditionalFormatting>
  <conditionalFormatting sqref="H697:K697">
    <cfRule type="expression" dxfId="13" priority="271">
      <formula>LOWER(LEFT(H697,1))=LOWER(LEFT($G697,1))</formula>
    </cfRule>
  </conditionalFormatting>
  <conditionalFormatting sqref="L697">
    <cfRule type="expression" dxfId="2" priority="291">
      <formula>MOD(L697,2)=0</formula>
    </cfRule>
  </conditionalFormatting>
  <conditionalFormatting sqref="M697:V697">
    <cfRule type="expression" dxfId="3" priority="285">
      <formula>M697=$L697</formula>
    </cfRule>
  </conditionalFormatting>
  <conditionalFormatting sqref="W697">
    <cfRule type="expression" dxfId="4" priority="290">
      <formula>MOD(W697,2)=0</formula>
    </cfRule>
  </conditionalFormatting>
  <conditionalFormatting sqref="X697">
    <cfRule type="expression" dxfId="5" priority="289">
      <formula>MOD(X697,2)=0</formula>
    </cfRule>
  </conditionalFormatting>
  <conditionalFormatting sqref="Y697">
    <cfRule type="expression" dxfId="6" priority="288">
      <formula>MOD(Y697,2)=0</formula>
    </cfRule>
  </conditionalFormatting>
  <conditionalFormatting sqref="AB697:AK697">
    <cfRule type="expression" dxfId="7" priority="297">
      <formula>AND(AB697&lt;&gt;"",ISNUMBER(FIND(AB697,$AA697)))</formula>
    </cfRule>
  </conditionalFormatting>
  <conditionalFormatting sqref="AL697:AU697">
    <cfRule type="expression" dxfId="7" priority="296">
      <formula>AND(AL697&lt;&gt;"",ISNUMBER(FIND(AL697,$W697)))</formula>
    </cfRule>
  </conditionalFormatting>
  <conditionalFormatting sqref="AV697:BE697">
    <cfRule type="expression" dxfId="7" priority="295">
      <formula>AND(AV697&lt;&gt;"",ISNUMBER(FIND(AV697,$X697)))</formula>
    </cfRule>
  </conditionalFormatting>
  <conditionalFormatting sqref="BF697:BO697">
    <cfRule type="expression" dxfId="7" priority="294">
      <formula>AND(BF697&lt;&gt;"",ISNUMBER(FIND(BF697,$Y697)))</formula>
    </cfRule>
  </conditionalFormatting>
  <conditionalFormatting sqref="BP697">
    <cfRule type="expression" dxfId="8" priority="272">
      <formula>$BP697="对子"</formula>
    </cfRule>
    <cfRule type="expression" dxfId="9" priority="286">
      <formula>$BP697="紧凑型"</formula>
    </cfRule>
    <cfRule type="expression" dxfId="10" priority="287">
      <formula>$BP697="松散型"</formula>
    </cfRule>
  </conditionalFormatting>
  <conditionalFormatting sqref="BV697">
    <cfRule type="expression" dxfId="11" priority="282">
      <formula>$BV697="复中中"</formula>
    </cfRule>
    <cfRule type="expression" dxfId="3" priority="283">
      <formula>$BV697="复隔中"</formula>
    </cfRule>
    <cfRule type="expression" dxfId="12" priority="284">
      <formula>$BV697="中中中"</formula>
    </cfRule>
  </conditionalFormatting>
  <conditionalFormatting sqref="BZ697">
    <cfRule type="expression" dxfId="11" priority="279">
      <formula>$BZ697="复中中"</formula>
    </cfRule>
    <cfRule type="expression" dxfId="3" priority="280">
      <formula>$BZ697="复隔中"</formula>
    </cfRule>
    <cfRule type="expression" dxfId="2" priority="281">
      <formula>$BZ697="中中中"</formula>
    </cfRule>
  </conditionalFormatting>
  <conditionalFormatting sqref="CD697">
    <cfRule type="expression" dxfId="11" priority="276">
      <formula>$CD697="复中中"</formula>
    </cfRule>
    <cfRule type="expression" dxfId="2" priority="277">
      <formula>$CD697="中中中"</formula>
    </cfRule>
    <cfRule type="expression" dxfId="3" priority="278">
      <formula>$CD697="复隔中"</formula>
    </cfRule>
  </conditionalFormatting>
  <conditionalFormatting sqref="CH697">
    <cfRule type="expression" dxfId="0" priority="275">
      <formula>$CH697="邻孤孤"</formula>
    </cfRule>
  </conditionalFormatting>
  <conditionalFormatting sqref="CL697">
    <cfRule type="expression" dxfId="0" priority="274">
      <formula>$CL697="邻孤孤"</formula>
    </cfRule>
  </conditionalFormatting>
  <conditionalFormatting sqref="CP697">
    <cfRule type="expression" dxfId="0" priority="273">
      <formula>$CP697="邻孤孤"</formula>
    </cfRule>
  </conditionalFormatting>
  <conditionalFormatting sqref="D698">
    <cfRule type="expression" dxfId="0" priority="266">
      <formula>MOD(D698,2)=0</formula>
    </cfRule>
  </conditionalFormatting>
  <conditionalFormatting sqref="E698">
    <cfRule type="expression" dxfId="1" priority="265">
      <formula>MOD(E698,2)=0</formula>
    </cfRule>
  </conditionalFormatting>
  <conditionalFormatting sqref="H698:K698">
    <cfRule type="expression" dxfId="13" priority="244">
      <formula>LOWER(LEFT(H698,1))=LOWER(LEFT($G698,1))</formula>
    </cfRule>
  </conditionalFormatting>
  <conditionalFormatting sqref="L698">
    <cfRule type="expression" dxfId="2" priority="264">
      <formula>MOD(L698,2)=0</formula>
    </cfRule>
  </conditionalFormatting>
  <conditionalFormatting sqref="M698:V698">
    <cfRule type="expression" dxfId="3" priority="258">
      <formula>M698=$L698</formula>
    </cfRule>
  </conditionalFormatting>
  <conditionalFormatting sqref="W698">
    <cfRule type="expression" dxfId="4" priority="263">
      <formula>MOD(W698,2)=0</formula>
    </cfRule>
  </conditionalFormatting>
  <conditionalFormatting sqref="X698">
    <cfRule type="expression" dxfId="5" priority="262">
      <formula>MOD(X698,2)=0</formula>
    </cfRule>
  </conditionalFormatting>
  <conditionalFormatting sqref="Y698">
    <cfRule type="expression" dxfId="6" priority="261">
      <formula>MOD(Y698,2)=0</formula>
    </cfRule>
  </conditionalFormatting>
  <conditionalFormatting sqref="AB698:AK698">
    <cfRule type="expression" dxfId="7" priority="270">
      <formula>AND(AB698&lt;&gt;"",ISNUMBER(FIND(AB698,$AA698)))</formula>
    </cfRule>
  </conditionalFormatting>
  <conditionalFormatting sqref="AL698:AU698">
    <cfRule type="expression" dxfId="7" priority="269">
      <formula>AND(AL698&lt;&gt;"",ISNUMBER(FIND(AL698,$W698)))</formula>
    </cfRule>
  </conditionalFormatting>
  <conditionalFormatting sqref="AV698:BE698">
    <cfRule type="expression" dxfId="7" priority="268">
      <formula>AND(AV698&lt;&gt;"",ISNUMBER(FIND(AV698,$X698)))</formula>
    </cfRule>
  </conditionalFormatting>
  <conditionalFormatting sqref="BF698:BO698">
    <cfRule type="expression" dxfId="7" priority="267">
      <formula>AND(BF698&lt;&gt;"",ISNUMBER(FIND(BF698,$Y698)))</formula>
    </cfRule>
  </conditionalFormatting>
  <conditionalFormatting sqref="BP698">
    <cfRule type="expression" dxfId="8" priority="245">
      <formula>$BP698="对子"</formula>
    </cfRule>
    <cfRule type="expression" dxfId="9" priority="259">
      <formula>$BP698="紧凑型"</formula>
    </cfRule>
    <cfRule type="expression" dxfId="10" priority="260">
      <formula>$BP698="松散型"</formula>
    </cfRule>
  </conditionalFormatting>
  <conditionalFormatting sqref="BV698">
    <cfRule type="expression" dxfId="11" priority="255">
      <formula>$BV698="复中中"</formula>
    </cfRule>
    <cfRule type="expression" dxfId="3" priority="256">
      <formula>$BV698="复隔中"</formula>
    </cfRule>
    <cfRule type="expression" dxfId="12" priority="257">
      <formula>$BV698="中中中"</formula>
    </cfRule>
  </conditionalFormatting>
  <conditionalFormatting sqref="BZ698">
    <cfRule type="expression" dxfId="11" priority="252">
      <formula>$BZ698="复中中"</formula>
    </cfRule>
    <cfRule type="expression" dxfId="3" priority="253">
      <formula>$BZ698="复隔中"</formula>
    </cfRule>
    <cfRule type="expression" dxfId="2" priority="254">
      <formula>$BZ698="中中中"</formula>
    </cfRule>
  </conditionalFormatting>
  <conditionalFormatting sqref="CD698">
    <cfRule type="expression" dxfId="11" priority="249">
      <formula>$CD698="复中中"</formula>
    </cfRule>
    <cfRule type="expression" dxfId="2" priority="250">
      <formula>$CD698="中中中"</formula>
    </cfRule>
    <cfRule type="expression" dxfId="3" priority="251">
      <formula>$CD698="复隔中"</formula>
    </cfRule>
  </conditionalFormatting>
  <conditionalFormatting sqref="CH698">
    <cfRule type="expression" dxfId="0" priority="248">
      <formula>$CH698="邻孤孤"</formula>
    </cfRule>
  </conditionalFormatting>
  <conditionalFormatting sqref="CL698">
    <cfRule type="expression" dxfId="0" priority="247">
      <formula>$CL698="邻孤孤"</formula>
    </cfRule>
  </conditionalFormatting>
  <conditionalFormatting sqref="CP698">
    <cfRule type="expression" dxfId="0" priority="246">
      <formula>$CP698="邻孤孤"</formula>
    </cfRule>
  </conditionalFormatting>
  <conditionalFormatting sqref="D699">
    <cfRule type="expression" dxfId="0" priority="239">
      <formula>MOD(D699,2)=0</formula>
    </cfRule>
  </conditionalFormatting>
  <conditionalFormatting sqref="E699">
    <cfRule type="expression" dxfId="1" priority="238">
      <formula>MOD(E699,2)=0</formula>
    </cfRule>
  </conditionalFormatting>
  <conditionalFormatting sqref="H699:K699">
    <cfRule type="expression" dxfId="13" priority="217">
      <formula>LOWER(LEFT(H699,1))=LOWER(LEFT($G699,1))</formula>
    </cfRule>
  </conditionalFormatting>
  <conditionalFormatting sqref="L699">
    <cfRule type="expression" dxfId="2" priority="237">
      <formula>MOD(L699,2)=0</formula>
    </cfRule>
  </conditionalFormatting>
  <conditionalFormatting sqref="M699:V699">
    <cfRule type="expression" dxfId="3" priority="231">
      <formula>M699=$L699</formula>
    </cfRule>
  </conditionalFormatting>
  <conditionalFormatting sqref="W699">
    <cfRule type="expression" dxfId="4" priority="236">
      <formula>MOD(W699,2)=0</formula>
    </cfRule>
  </conditionalFormatting>
  <conditionalFormatting sqref="X699">
    <cfRule type="expression" dxfId="5" priority="235">
      <formula>MOD(X699,2)=0</formula>
    </cfRule>
  </conditionalFormatting>
  <conditionalFormatting sqref="Y699">
    <cfRule type="expression" dxfId="6" priority="234">
      <formula>MOD(Y699,2)=0</formula>
    </cfRule>
  </conditionalFormatting>
  <conditionalFormatting sqref="AB699:AK699">
    <cfRule type="expression" dxfId="7" priority="243">
      <formula>AND(AB699&lt;&gt;"",ISNUMBER(FIND(AB699,$AA699)))</formula>
    </cfRule>
  </conditionalFormatting>
  <conditionalFormatting sqref="AL699:AU699">
    <cfRule type="expression" dxfId="7" priority="242">
      <formula>AND(AL699&lt;&gt;"",ISNUMBER(FIND(AL699,$W699)))</formula>
    </cfRule>
  </conditionalFormatting>
  <conditionalFormatting sqref="AV699:BE699">
    <cfRule type="expression" dxfId="7" priority="241">
      <formula>AND(AV699&lt;&gt;"",ISNUMBER(FIND(AV699,$X699)))</formula>
    </cfRule>
  </conditionalFormatting>
  <conditionalFormatting sqref="BF699:BO699">
    <cfRule type="expression" dxfId="7" priority="240">
      <formula>AND(BF699&lt;&gt;"",ISNUMBER(FIND(BF699,$Y699)))</formula>
    </cfRule>
  </conditionalFormatting>
  <conditionalFormatting sqref="BP699">
    <cfRule type="expression" dxfId="8" priority="218">
      <formula>$BP699="对子"</formula>
    </cfRule>
    <cfRule type="expression" dxfId="9" priority="232">
      <formula>$BP699="紧凑型"</formula>
    </cfRule>
    <cfRule type="expression" dxfId="10" priority="233">
      <formula>$BP699="松散型"</formula>
    </cfRule>
  </conditionalFormatting>
  <conditionalFormatting sqref="BV699">
    <cfRule type="expression" dxfId="11" priority="228">
      <formula>$BV699="复中中"</formula>
    </cfRule>
    <cfRule type="expression" dxfId="3" priority="229">
      <formula>$BV699="复隔中"</formula>
    </cfRule>
    <cfRule type="expression" dxfId="12" priority="230">
      <formula>$BV699="中中中"</formula>
    </cfRule>
  </conditionalFormatting>
  <conditionalFormatting sqref="BZ699">
    <cfRule type="expression" dxfId="11" priority="225">
      <formula>$BZ699="复中中"</formula>
    </cfRule>
    <cfRule type="expression" dxfId="3" priority="226">
      <formula>$BZ699="复隔中"</formula>
    </cfRule>
    <cfRule type="expression" dxfId="2" priority="227">
      <formula>$BZ699="中中中"</formula>
    </cfRule>
  </conditionalFormatting>
  <conditionalFormatting sqref="CD699">
    <cfRule type="expression" dxfId="11" priority="222">
      <formula>$CD699="复中中"</formula>
    </cfRule>
    <cfRule type="expression" dxfId="2" priority="223">
      <formula>$CD699="中中中"</formula>
    </cfRule>
    <cfRule type="expression" dxfId="3" priority="224">
      <formula>$CD699="复隔中"</formula>
    </cfRule>
  </conditionalFormatting>
  <conditionalFormatting sqref="CH699">
    <cfRule type="expression" dxfId="0" priority="221">
      <formula>$CH699="邻孤孤"</formula>
    </cfRule>
  </conditionalFormatting>
  <conditionalFormatting sqref="CL699">
    <cfRule type="expression" dxfId="0" priority="220">
      <formula>$CL699="邻孤孤"</formula>
    </cfRule>
  </conditionalFormatting>
  <conditionalFormatting sqref="CP699">
    <cfRule type="expression" dxfId="0" priority="219">
      <formula>$CP699="邻孤孤"</formula>
    </cfRule>
  </conditionalFormatting>
  <conditionalFormatting sqref="D700">
    <cfRule type="expression" dxfId="0" priority="212">
      <formula>MOD(D700,2)=0</formula>
    </cfRule>
  </conditionalFormatting>
  <conditionalFormatting sqref="E700">
    <cfRule type="expression" dxfId="1" priority="211">
      <formula>MOD(E700,2)=0</formula>
    </cfRule>
  </conditionalFormatting>
  <conditionalFormatting sqref="H700:K700">
    <cfRule type="expression" dxfId="13" priority="190">
      <formula>LOWER(LEFT(H700,1))=LOWER(LEFT($G700,1))</formula>
    </cfRule>
  </conditionalFormatting>
  <conditionalFormatting sqref="L700">
    <cfRule type="expression" dxfId="2" priority="210">
      <formula>MOD(L700,2)=0</formula>
    </cfRule>
  </conditionalFormatting>
  <conditionalFormatting sqref="M700:V700">
    <cfRule type="expression" dxfId="3" priority="204">
      <formula>M700=$L700</formula>
    </cfRule>
  </conditionalFormatting>
  <conditionalFormatting sqref="W700">
    <cfRule type="expression" dxfId="4" priority="209">
      <formula>MOD(W700,2)=0</formula>
    </cfRule>
  </conditionalFormatting>
  <conditionalFormatting sqref="X700">
    <cfRule type="expression" dxfId="5" priority="208">
      <formula>MOD(X700,2)=0</formula>
    </cfRule>
  </conditionalFormatting>
  <conditionalFormatting sqref="Y700">
    <cfRule type="expression" dxfId="6" priority="207">
      <formula>MOD(Y700,2)=0</formula>
    </cfRule>
  </conditionalFormatting>
  <conditionalFormatting sqref="AB700:AK700">
    <cfRule type="expression" dxfId="7" priority="216">
      <formula>AND(AB700&lt;&gt;"",ISNUMBER(FIND(AB700,$AA700)))</formula>
    </cfRule>
  </conditionalFormatting>
  <conditionalFormatting sqref="AL700:AU700">
    <cfRule type="expression" dxfId="7" priority="215">
      <formula>AND(AL700&lt;&gt;"",ISNUMBER(FIND(AL700,$W700)))</formula>
    </cfRule>
  </conditionalFormatting>
  <conditionalFormatting sqref="AV700:BE700">
    <cfRule type="expression" dxfId="7" priority="214">
      <formula>AND(AV700&lt;&gt;"",ISNUMBER(FIND(AV700,$X700)))</formula>
    </cfRule>
  </conditionalFormatting>
  <conditionalFormatting sqref="BF700:BO700">
    <cfRule type="expression" dxfId="7" priority="213">
      <formula>AND(BF700&lt;&gt;"",ISNUMBER(FIND(BF700,$Y700)))</formula>
    </cfRule>
  </conditionalFormatting>
  <conditionalFormatting sqref="BP700">
    <cfRule type="expression" dxfId="8" priority="191">
      <formula>$BP700="对子"</formula>
    </cfRule>
    <cfRule type="expression" dxfId="9" priority="205">
      <formula>$BP700="紧凑型"</formula>
    </cfRule>
    <cfRule type="expression" dxfId="10" priority="206">
      <formula>$BP700="松散型"</formula>
    </cfRule>
  </conditionalFormatting>
  <conditionalFormatting sqref="BV700">
    <cfRule type="expression" dxfId="11" priority="201">
      <formula>$BV700="复中中"</formula>
    </cfRule>
    <cfRule type="expression" dxfId="3" priority="202">
      <formula>$BV700="复隔中"</formula>
    </cfRule>
    <cfRule type="expression" dxfId="12" priority="203">
      <formula>$BV700="中中中"</formula>
    </cfRule>
  </conditionalFormatting>
  <conditionalFormatting sqref="BZ700">
    <cfRule type="expression" dxfId="11" priority="198">
      <formula>$BZ700="复中中"</formula>
    </cfRule>
    <cfRule type="expression" dxfId="3" priority="199">
      <formula>$BZ700="复隔中"</formula>
    </cfRule>
    <cfRule type="expression" dxfId="2" priority="200">
      <formula>$BZ700="中中中"</formula>
    </cfRule>
  </conditionalFormatting>
  <conditionalFormatting sqref="CD700">
    <cfRule type="expression" dxfId="11" priority="195">
      <formula>$CD700="复中中"</formula>
    </cfRule>
    <cfRule type="expression" dxfId="2" priority="196">
      <formula>$CD700="中中中"</formula>
    </cfRule>
    <cfRule type="expression" dxfId="3" priority="197">
      <formula>$CD700="复隔中"</formula>
    </cfRule>
  </conditionalFormatting>
  <conditionalFormatting sqref="CH700">
    <cfRule type="expression" dxfId="0" priority="194">
      <formula>$CH700="邻孤孤"</formula>
    </cfRule>
  </conditionalFormatting>
  <conditionalFormatting sqref="CL700">
    <cfRule type="expression" dxfId="0" priority="193">
      <formula>$CL700="邻孤孤"</formula>
    </cfRule>
  </conditionalFormatting>
  <conditionalFormatting sqref="CP700">
    <cfRule type="expression" dxfId="0" priority="192">
      <formula>$CP700="邻孤孤"</formula>
    </cfRule>
  </conditionalFormatting>
  <conditionalFormatting sqref="D701">
    <cfRule type="expression" dxfId="0" priority="185">
      <formula>MOD(D701,2)=0</formula>
    </cfRule>
  </conditionalFormatting>
  <conditionalFormatting sqref="E701">
    <cfRule type="expression" dxfId="1" priority="184">
      <formula>MOD(E701,2)=0</formula>
    </cfRule>
  </conditionalFormatting>
  <conditionalFormatting sqref="H701:K701">
    <cfRule type="expression" dxfId="13" priority="163">
      <formula>LOWER(LEFT(H701,1))=LOWER(LEFT($G701,1))</formula>
    </cfRule>
  </conditionalFormatting>
  <conditionalFormatting sqref="L701">
    <cfRule type="expression" dxfId="2" priority="183">
      <formula>MOD(L701,2)=0</formula>
    </cfRule>
  </conditionalFormatting>
  <conditionalFormatting sqref="M701:V701">
    <cfRule type="expression" dxfId="3" priority="177">
      <formula>M701=$L701</formula>
    </cfRule>
  </conditionalFormatting>
  <conditionalFormatting sqref="W701">
    <cfRule type="expression" dxfId="4" priority="182">
      <formula>MOD(W701,2)=0</formula>
    </cfRule>
  </conditionalFormatting>
  <conditionalFormatting sqref="X701">
    <cfRule type="expression" dxfId="5" priority="181">
      <formula>MOD(X701,2)=0</formula>
    </cfRule>
  </conditionalFormatting>
  <conditionalFormatting sqref="Y701">
    <cfRule type="expression" dxfId="6" priority="180">
      <formula>MOD(Y701,2)=0</formula>
    </cfRule>
  </conditionalFormatting>
  <conditionalFormatting sqref="AB701:AK701">
    <cfRule type="expression" dxfId="7" priority="189">
      <formula>AND(AB701&lt;&gt;"",ISNUMBER(FIND(AB701,$AA701)))</formula>
    </cfRule>
  </conditionalFormatting>
  <conditionalFormatting sqref="AL701:AU701">
    <cfRule type="expression" dxfId="7" priority="188">
      <formula>AND(AL701&lt;&gt;"",ISNUMBER(FIND(AL701,$W701)))</formula>
    </cfRule>
  </conditionalFormatting>
  <conditionalFormatting sqref="AV701:BE701">
    <cfRule type="expression" dxfId="7" priority="187">
      <formula>AND(AV701&lt;&gt;"",ISNUMBER(FIND(AV701,$X701)))</formula>
    </cfRule>
  </conditionalFormatting>
  <conditionalFormatting sqref="BF701:BO701">
    <cfRule type="expression" dxfId="7" priority="186">
      <formula>AND(BF701&lt;&gt;"",ISNUMBER(FIND(BF701,$Y701)))</formula>
    </cfRule>
  </conditionalFormatting>
  <conditionalFormatting sqref="BP701">
    <cfRule type="expression" dxfId="8" priority="164">
      <formula>$BP701="对子"</formula>
    </cfRule>
    <cfRule type="expression" dxfId="9" priority="178">
      <formula>$BP701="紧凑型"</formula>
    </cfRule>
    <cfRule type="expression" dxfId="10" priority="179">
      <formula>$BP701="松散型"</formula>
    </cfRule>
  </conditionalFormatting>
  <conditionalFormatting sqref="BV701">
    <cfRule type="expression" dxfId="11" priority="174">
      <formula>$BV701="复中中"</formula>
    </cfRule>
    <cfRule type="expression" dxfId="3" priority="175">
      <formula>$BV701="复隔中"</formula>
    </cfRule>
    <cfRule type="expression" dxfId="12" priority="176">
      <formula>$BV701="中中中"</formula>
    </cfRule>
  </conditionalFormatting>
  <conditionalFormatting sqref="BZ701">
    <cfRule type="expression" dxfId="11" priority="171">
      <formula>$BZ701="复中中"</formula>
    </cfRule>
    <cfRule type="expression" dxfId="3" priority="172">
      <formula>$BZ701="复隔中"</formula>
    </cfRule>
    <cfRule type="expression" dxfId="2" priority="173">
      <formula>$BZ701="中中中"</formula>
    </cfRule>
  </conditionalFormatting>
  <conditionalFormatting sqref="CD701">
    <cfRule type="expression" dxfId="11" priority="168">
      <formula>$CD701="复中中"</formula>
    </cfRule>
    <cfRule type="expression" dxfId="2" priority="169">
      <formula>$CD701="中中中"</formula>
    </cfRule>
    <cfRule type="expression" dxfId="3" priority="170">
      <formula>$CD701="复隔中"</formula>
    </cfRule>
  </conditionalFormatting>
  <conditionalFormatting sqref="CH701">
    <cfRule type="expression" dxfId="0" priority="167">
      <formula>$CH701="邻孤孤"</formula>
    </cfRule>
  </conditionalFormatting>
  <conditionalFormatting sqref="CL701">
    <cfRule type="expression" dxfId="0" priority="166">
      <formula>$CL701="邻孤孤"</formula>
    </cfRule>
  </conditionalFormatting>
  <conditionalFormatting sqref="CP701">
    <cfRule type="expression" dxfId="0" priority="165">
      <formula>$CP701="邻孤孤"</formula>
    </cfRule>
  </conditionalFormatting>
  <conditionalFormatting sqref="D702">
    <cfRule type="expression" dxfId="0" priority="158">
      <formula>MOD(D702,2)=0</formula>
    </cfRule>
  </conditionalFormatting>
  <conditionalFormatting sqref="E702">
    <cfRule type="expression" dxfId="1" priority="157">
      <formula>MOD(E702,2)=0</formula>
    </cfRule>
  </conditionalFormatting>
  <conditionalFormatting sqref="H702:K702">
    <cfRule type="expression" dxfId="13" priority="136">
      <formula>LOWER(LEFT(H702,1))=LOWER(LEFT($G702,1))</formula>
    </cfRule>
  </conditionalFormatting>
  <conditionalFormatting sqref="L702">
    <cfRule type="expression" dxfId="2" priority="156">
      <formula>MOD(L702,2)=0</formula>
    </cfRule>
  </conditionalFormatting>
  <conditionalFormatting sqref="M702:V702">
    <cfRule type="expression" dxfId="3" priority="150">
      <formula>M702=$L702</formula>
    </cfRule>
  </conditionalFormatting>
  <conditionalFormatting sqref="W702">
    <cfRule type="expression" dxfId="4" priority="155">
      <formula>MOD(W702,2)=0</formula>
    </cfRule>
  </conditionalFormatting>
  <conditionalFormatting sqref="X702">
    <cfRule type="expression" dxfId="5" priority="154">
      <formula>MOD(X702,2)=0</formula>
    </cfRule>
  </conditionalFormatting>
  <conditionalFormatting sqref="Y702">
    <cfRule type="expression" dxfId="6" priority="153">
      <formula>MOD(Y702,2)=0</formula>
    </cfRule>
  </conditionalFormatting>
  <conditionalFormatting sqref="AB702:AK702">
    <cfRule type="expression" dxfId="7" priority="162">
      <formula>AND(AB702&lt;&gt;"",ISNUMBER(FIND(AB702,$AA702)))</formula>
    </cfRule>
  </conditionalFormatting>
  <conditionalFormatting sqref="AL702:AU702">
    <cfRule type="expression" dxfId="7" priority="161">
      <formula>AND(AL702&lt;&gt;"",ISNUMBER(FIND(AL702,$W702)))</formula>
    </cfRule>
  </conditionalFormatting>
  <conditionalFormatting sqref="AV702:BE702">
    <cfRule type="expression" dxfId="7" priority="160">
      <formula>AND(AV702&lt;&gt;"",ISNUMBER(FIND(AV702,$X702)))</formula>
    </cfRule>
  </conditionalFormatting>
  <conditionalFormatting sqref="BF702:BO702">
    <cfRule type="expression" dxfId="7" priority="159">
      <formula>AND(BF702&lt;&gt;"",ISNUMBER(FIND(BF702,$Y702)))</formula>
    </cfRule>
  </conditionalFormatting>
  <conditionalFormatting sqref="BP702">
    <cfRule type="expression" dxfId="8" priority="137">
      <formula>$BP702="对子"</formula>
    </cfRule>
    <cfRule type="expression" dxfId="9" priority="151">
      <formula>$BP702="紧凑型"</formula>
    </cfRule>
    <cfRule type="expression" dxfId="10" priority="152">
      <formula>$BP702="松散型"</formula>
    </cfRule>
  </conditionalFormatting>
  <conditionalFormatting sqref="BV702">
    <cfRule type="expression" dxfId="11" priority="147">
      <formula>$BV702="复中中"</formula>
    </cfRule>
    <cfRule type="expression" dxfId="3" priority="148">
      <formula>$BV702="复隔中"</formula>
    </cfRule>
    <cfRule type="expression" dxfId="12" priority="149">
      <formula>$BV702="中中中"</formula>
    </cfRule>
  </conditionalFormatting>
  <conditionalFormatting sqref="BZ702">
    <cfRule type="expression" dxfId="11" priority="144">
      <formula>$BZ702="复中中"</formula>
    </cfRule>
    <cfRule type="expression" dxfId="3" priority="145">
      <formula>$BZ702="复隔中"</formula>
    </cfRule>
    <cfRule type="expression" dxfId="2" priority="146">
      <formula>$BZ702="中中中"</formula>
    </cfRule>
  </conditionalFormatting>
  <conditionalFormatting sqref="CD702">
    <cfRule type="expression" dxfId="11" priority="141">
      <formula>$CD702="复中中"</formula>
    </cfRule>
    <cfRule type="expression" dxfId="2" priority="142">
      <formula>$CD702="中中中"</formula>
    </cfRule>
    <cfRule type="expression" dxfId="3" priority="143">
      <formula>$CD702="复隔中"</formula>
    </cfRule>
  </conditionalFormatting>
  <conditionalFormatting sqref="CH702">
    <cfRule type="expression" dxfId="0" priority="140">
      <formula>$CH702="邻孤孤"</formula>
    </cfRule>
  </conditionalFormatting>
  <conditionalFormatting sqref="CL702">
    <cfRule type="expression" dxfId="0" priority="139">
      <formula>$CL702="邻孤孤"</formula>
    </cfRule>
  </conditionalFormatting>
  <conditionalFormatting sqref="CP702">
    <cfRule type="expression" dxfId="0" priority="138">
      <formula>$CP702="邻孤孤"</formula>
    </cfRule>
  </conditionalFormatting>
  <conditionalFormatting sqref="D703">
    <cfRule type="expression" dxfId="0" priority="131">
      <formula>MOD(D703,2)=0</formula>
    </cfRule>
  </conditionalFormatting>
  <conditionalFormatting sqref="E703">
    <cfRule type="expression" dxfId="1" priority="130">
      <formula>MOD(E703,2)=0</formula>
    </cfRule>
  </conditionalFormatting>
  <conditionalFormatting sqref="H703:K703">
    <cfRule type="expression" dxfId="13" priority="109">
      <formula>LOWER(LEFT(H703,1))=LOWER(LEFT($G703,1))</formula>
    </cfRule>
  </conditionalFormatting>
  <conditionalFormatting sqref="L703">
    <cfRule type="expression" dxfId="2" priority="129">
      <formula>MOD(L703,2)=0</formula>
    </cfRule>
  </conditionalFormatting>
  <conditionalFormatting sqref="M703:V703">
    <cfRule type="expression" dxfId="3" priority="123">
      <formula>M703=$L703</formula>
    </cfRule>
  </conditionalFormatting>
  <conditionalFormatting sqref="W703">
    <cfRule type="expression" dxfId="4" priority="128">
      <formula>MOD(W703,2)=0</formula>
    </cfRule>
  </conditionalFormatting>
  <conditionalFormatting sqref="X703">
    <cfRule type="expression" dxfId="5" priority="127">
      <formula>MOD(X703,2)=0</formula>
    </cfRule>
  </conditionalFormatting>
  <conditionalFormatting sqref="Y703">
    <cfRule type="expression" dxfId="6" priority="126">
      <formula>MOD(Y703,2)=0</formula>
    </cfRule>
  </conditionalFormatting>
  <conditionalFormatting sqref="AB703:AK703">
    <cfRule type="expression" dxfId="7" priority="135">
      <formula>AND(AB703&lt;&gt;"",ISNUMBER(FIND(AB703,$AA703)))</formula>
    </cfRule>
  </conditionalFormatting>
  <conditionalFormatting sqref="AL703:AU703">
    <cfRule type="expression" dxfId="7" priority="134">
      <formula>AND(AL703&lt;&gt;"",ISNUMBER(FIND(AL703,$W703)))</formula>
    </cfRule>
  </conditionalFormatting>
  <conditionalFormatting sqref="AV703:BE703">
    <cfRule type="expression" dxfId="7" priority="133">
      <formula>AND(AV703&lt;&gt;"",ISNUMBER(FIND(AV703,$X703)))</formula>
    </cfRule>
  </conditionalFormatting>
  <conditionalFormatting sqref="BF703:BO703">
    <cfRule type="expression" dxfId="7" priority="132">
      <formula>AND(BF703&lt;&gt;"",ISNUMBER(FIND(BF703,$Y703)))</formula>
    </cfRule>
  </conditionalFormatting>
  <conditionalFormatting sqref="BP703">
    <cfRule type="expression" dxfId="8" priority="110">
      <formula>$BP703="对子"</formula>
    </cfRule>
    <cfRule type="expression" dxfId="9" priority="124">
      <formula>$BP703="紧凑型"</formula>
    </cfRule>
    <cfRule type="expression" dxfId="10" priority="125">
      <formula>$BP703="松散型"</formula>
    </cfRule>
  </conditionalFormatting>
  <conditionalFormatting sqref="BV703">
    <cfRule type="expression" dxfId="11" priority="120">
      <formula>$BV703="复中中"</formula>
    </cfRule>
    <cfRule type="expression" dxfId="3" priority="121">
      <formula>$BV703="复隔中"</formula>
    </cfRule>
    <cfRule type="expression" dxfId="12" priority="122">
      <formula>$BV703="中中中"</formula>
    </cfRule>
  </conditionalFormatting>
  <conditionalFormatting sqref="BZ703">
    <cfRule type="expression" dxfId="11" priority="117">
      <formula>$BZ703="复中中"</formula>
    </cfRule>
    <cfRule type="expression" dxfId="3" priority="118">
      <formula>$BZ703="复隔中"</formula>
    </cfRule>
    <cfRule type="expression" dxfId="2" priority="119">
      <formula>$BZ703="中中中"</formula>
    </cfRule>
  </conditionalFormatting>
  <conditionalFormatting sqref="CD703">
    <cfRule type="expression" dxfId="11" priority="114">
      <formula>$CD703="复中中"</formula>
    </cfRule>
    <cfRule type="expression" dxfId="2" priority="115">
      <formula>$CD703="中中中"</formula>
    </cfRule>
    <cfRule type="expression" dxfId="3" priority="116">
      <formula>$CD703="复隔中"</formula>
    </cfRule>
  </conditionalFormatting>
  <conditionalFormatting sqref="CH703">
    <cfRule type="expression" dxfId="0" priority="113">
      <formula>$CH703="邻孤孤"</formula>
    </cfRule>
  </conditionalFormatting>
  <conditionalFormatting sqref="CL703">
    <cfRule type="expression" dxfId="0" priority="112">
      <formula>$CL703="邻孤孤"</formula>
    </cfRule>
  </conditionalFormatting>
  <conditionalFormatting sqref="CP703">
    <cfRule type="expression" dxfId="0" priority="111">
      <formula>$CP703="邻孤孤"</formula>
    </cfRule>
  </conditionalFormatting>
  <conditionalFormatting sqref="D704">
    <cfRule type="expression" dxfId="0" priority="104">
      <formula>MOD(D704,2)=0</formula>
    </cfRule>
  </conditionalFormatting>
  <conditionalFormatting sqref="E704">
    <cfRule type="expression" dxfId="1" priority="103">
      <formula>MOD(E704,2)=0</formula>
    </cfRule>
  </conditionalFormatting>
  <conditionalFormatting sqref="H704:K704">
    <cfRule type="expression" dxfId="13" priority="82">
      <formula>LOWER(LEFT(H704,1))=LOWER(LEFT($G704,1))</formula>
    </cfRule>
  </conditionalFormatting>
  <conditionalFormatting sqref="L704">
    <cfRule type="expression" dxfId="2" priority="102">
      <formula>MOD(L704,2)=0</formula>
    </cfRule>
  </conditionalFormatting>
  <conditionalFormatting sqref="M704:V704">
    <cfRule type="expression" dxfId="3" priority="96">
      <formula>M704=$L704</formula>
    </cfRule>
  </conditionalFormatting>
  <conditionalFormatting sqref="W704">
    <cfRule type="expression" dxfId="4" priority="101">
      <formula>MOD(W704,2)=0</formula>
    </cfRule>
  </conditionalFormatting>
  <conditionalFormatting sqref="X704">
    <cfRule type="expression" dxfId="5" priority="100">
      <formula>MOD(X704,2)=0</formula>
    </cfRule>
  </conditionalFormatting>
  <conditionalFormatting sqref="Y704">
    <cfRule type="expression" dxfId="6" priority="99">
      <formula>MOD(Y704,2)=0</formula>
    </cfRule>
  </conditionalFormatting>
  <conditionalFormatting sqref="AB704:AK704">
    <cfRule type="expression" dxfId="7" priority="108">
      <formula>AND(AB704&lt;&gt;"",ISNUMBER(FIND(AB704,$AA704)))</formula>
    </cfRule>
  </conditionalFormatting>
  <conditionalFormatting sqref="AL704:AU704">
    <cfRule type="expression" dxfId="7" priority="107">
      <formula>AND(AL704&lt;&gt;"",ISNUMBER(FIND(AL704,$W704)))</formula>
    </cfRule>
  </conditionalFormatting>
  <conditionalFormatting sqref="AV704:BE704">
    <cfRule type="expression" dxfId="7" priority="106">
      <formula>AND(AV704&lt;&gt;"",ISNUMBER(FIND(AV704,$X704)))</formula>
    </cfRule>
  </conditionalFormatting>
  <conditionalFormatting sqref="BF704:BO704">
    <cfRule type="expression" dxfId="7" priority="105">
      <formula>AND(BF704&lt;&gt;"",ISNUMBER(FIND(BF704,$Y704)))</formula>
    </cfRule>
  </conditionalFormatting>
  <conditionalFormatting sqref="BP704">
    <cfRule type="expression" dxfId="8" priority="83">
      <formula>$BP704="对子"</formula>
    </cfRule>
    <cfRule type="expression" dxfId="9" priority="97">
      <formula>$BP704="紧凑型"</formula>
    </cfRule>
    <cfRule type="expression" dxfId="10" priority="98">
      <formula>$BP704="松散型"</formula>
    </cfRule>
  </conditionalFormatting>
  <conditionalFormatting sqref="BV704">
    <cfRule type="expression" dxfId="11" priority="93">
      <formula>$BV704="复中中"</formula>
    </cfRule>
    <cfRule type="expression" dxfId="3" priority="94">
      <formula>$BV704="复隔中"</formula>
    </cfRule>
    <cfRule type="expression" dxfId="12" priority="95">
      <formula>$BV704="中中中"</formula>
    </cfRule>
  </conditionalFormatting>
  <conditionalFormatting sqref="BZ704">
    <cfRule type="expression" dxfId="11" priority="90">
      <formula>$BZ704="复中中"</formula>
    </cfRule>
    <cfRule type="expression" dxfId="3" priority="91">
      <formula>$BZ704="复隔中"</formula>
    </cfRule>
    <cfRule type="expression" dxfId="2" priority="92">
      <formula>$BZ704="中中中"</formula>
    </cfRule>
  </conditionalFormatting>
  <conditionalFormatting sqref="CD704">
    <cfRule type="expression" dxfId="11" priority="87">
      <formula>$CD704="复中中"</formula>
    </cfRule>
    <cfRule type="expression" dxfId="2" priority="88">
      <formula>$CD704="中中中"</formula>
    </cfRule>
    <cfRule type="expression" dxfId="3" priority="89">
      <formula>$CD704="复隔中"</formula>
    </cfRule>
  </conditionalFormatting>
  <conditionalFormatting sqref="CH704">
    <cfRule type="expression" dxfId="0" priority="86">
      <formula>$CH704="邻孤孤"</formula>
    </cfRule>
  </conditionalFormatting>
  <conditionalFormatting sqref="CL704">
    <cfRule type="expression" dxfId="0" priority="85">
      <formula>$CL704="邻孤孤"</formula>
    </cfRule>
  </conditionalFormatting>
  <conditionalFormatting sqref="CP704">
    <cfRule type="expression" dxfId="0" priority="84">
      <formula>$CP704="邻孤孤"</formula>
    </cfRule>
  </conditionalFormatting>
  <conditionalFormatting sqref="D705">
    <cfRule type="expression" dxfId="0" priority="77">
      <formula>MOD(D705,2)=0</formula>
    </cfRule>
  </conditionalFormatting>
  <conditionalFormatting sqref="E705">
    <cfRule type="expression" dxfId="1" priority="76">
      <formula>MOD(E705,2)=0</formula>
    </cfRule>
  </conditionalFormatting>
  <conditionalFormatting sqref="H705:K705">
    <cfRule type="expression" dxfId="13" priority="55">
      <formula>LOWER(LEFT(H705,1))=LOWER(LEFT($G705,1))</formula>
    </cfRule>
  </conditionalFormatting>
  <conditionalFormatting sqref="L705">
    <cfRule type="expression" dxfId="2" priority="75">
      <formula>MOD(L705,2)=0</formula>
    </cfRule>
  </conditionalFormatting>
  <conditionalFormatting sqref="M705:V705">
    <cfRule type="expression" dxfId="3" priority="69">
      <formula>M705=$L705</formula>
    </cfRule>
  </conditionalFormatting>
  <conditionalFormatting sqref="W705">
    <cfRule type="expression" dxfId="4" priority="74">
      <formula>MOD(W705,2)=0</formula>
    </cfRule>
  </conditionalFormatting>
  <conditionalFormatting sqref="X705">
    <cfRule type="expression" dxfId="5" priority="73">
      <formula>MOD(X705,2)=0</formula>
    </cfRule>
  </conditionalFormatting>
  <conditionalFormatting sqref="Y705">
    <cfRule type="expression" dxfId="6" priority="72">
      <formula>MOD(Y705,2)=0</formula>
    </cfRule>
  </conditionalFormatting>
  <conditionalFormatting sqref="AB705:AK705">
    <cfRule type="expression" dxfId="7" priority="81">
      <formula>AND(AB705&lt;&gt;"",ISNUMBER(FIND(AB705,$AA705)))</formula>
    </cfRule>
  </conditionalFormatting>
  <conditionalFormatting sqref="AL705:AU705">
    <cfRule type="expression" dxfId="7" priority="80">
      <formula>AND(AL705&lt;&gt;"",ISNUMBER(FIND(AL705,$W705)))</formula>
    </cfRule>
  </conditionalFormatting>
  <conditionalFormatting sqref="AV705:BE705">
    <cfRule type="expression" dxfId="7" priority="79">
      <formula>AND(AV705&lt;&gt;"",ISNUMBER(FIND(AV705,$X705)))</formula>
    </cfRule>
  </conditionalFormatting>
  <conditionalFormatting sqref="BF705:BO705">
    <cfRule type="expression" dxfId="7" priority="78">
      <formula>AND(BF705&lt;&gt;"",ISNUMBER(FIND(BF705,$Y705)))</formula>
    </cfRule>
  </conditionalFormatting>
  <conditionalFormatting sqref="BP705">
    <cfRule type="expression" dxfId="8" priority="56">
      <formula>$BP705="对子"</formula>
    </cfRule>
    <cfRule type="expression" dxfId="9" priority="70">
      <formula>$BP705="紧凑型"</formula>
    </cfRule>
    <cfRule type="expression" dxfId="10" priority="71">
      <formula>$BP705="松散型"</formula>
    </cfRule>
  </conditionalFormatting>
  <conditionalFormatting sqref="BV705">
    <cfRule type="expression" dxfId="11" priority="66">
      <formula>$BV705="复中中"</formula>
    </cfRule>
    <cfRule type="expression" dxfId="3" priority="67">
      <formula>$BV705="复隔中"</formula>
    </cfRule>
    <cfRule type="expression" dxfId="12" priority="68">
      <formula>$BV705="中中中"</formula>
    </cfRule>
  </conditionalFormatting>
  <conditionalFormatting sqref="BZ705">
    <cfRule type="expression" dxfId="11" priority="63">
      <formula>$BZ705="复中中"</formula>
    </cfRule>
    <cfRule type="expression" dxfId="3" priority="64">
      <formula>$BZ705="复隔中"</formula>
    </cfRule>
    <cfRule type="expression" dxfId="2" priority="65">
      <formula>$BZ705="中中中"</formula>
    </cfRule>
  </conditionalFormatting>
  <conditionalFormatting sqref="CD705">
    <cfRule type="expression" dxfId="11" priority="60">
      <formula>$CD705="复中中"</formula>
    </cfRule>
    <cfRule type="expression" dxfId="2" priority="61">
      <formula>$CD705="中中中"</formula>
    </cfRule>
    <cfRule type="expression" dxfId="3" priority="62">
      <formula>$CD705="复隔中"</formula>
    </cfRule>
  </conditionalFormatting>
  <conditionalFormatting sqref="CH705">
    <cfRule type="expression" dxfId="0" priority="59">
      <formula>$CH705="邻孤孤"</formula>
    </cfRule>
  </conditionalFormatting>
  <conditionalFormatting sqref="CL705">
    <cfRule type="expression" dxfId="0" priority="58">
      <formula>$CL705="邻孤孤"</formula>
    </cfRule>
  </conditionalFormatting>
  <conditionalFormatting sqref="CP705">
    <cfRule type="expression" dxfId="0" priority="57">
      <formula>$CP705="邻孤孤"</formula>
    </cfRule>
  </conditionalFormatting>
  <conditionalFormatting sqref="D706">
    <cfRule type="expression" dxfId="0" priority="50">
      <formula>MOD(D706,2)=0</formula>
    </cfRule>
  </conditionalFormatting>
  <conditionalFormatting sqref="E706">
    <cfRule type="expression" dxfId="1" priority="49">
      <formula>MOD(E706,2)=0</formula>
    </cfRule>
  </conditionalFormatting>
  <conditionalFormatting sqref="H706:K706">
    <cfRule type="expression" dxfId="13" priority="28">
      <formula>LOWER(LEFT(H706,1))=LOWER(LEFT($G706,1))</formula>
    </cfRule>
  </conditionalFormatting>
  <conditionalFormatting sqref="L706">
    <cfRule type="expression" dxfId="2" priority="48">
      <formula>MOD(L706,2)=0</formula>
    </cfRule>
  </conditionalFormatting>
  <conditionalFormatting sqref="M706:V706">
    <cfRule type="expression" dxfId="3" priority="42">
      <formula>M706=$L706</formula>
    </cfRule>
  </conditionalFormatting>
  <conditionalFormatting sqref="W706">
    <cfRule type="expression" dxfId="4" priority="47">
      <formula>MOD(W706,2)=0</formula>
    </cfRule>
  </conditionalFormatting>
  <conditionalFormatting sqref="X706">
    <cfRule type="expression" dxfId="5" priority="46">
      <formula>MOD(X706,2)=0</formula>
    </cfRule>
  </conditionalFormatting>
  <conditionalFormatting sqref="Y706">
    <cfRule type="expression" dxfId="6" priority="45">
      <formula>MOD(Y706,2)=0</formula>
    </cfRule>
  </conditionalFormatting>
  <conditionalFormatting sqref="AB706:AK706">
    <cfRule type="expression" dxfId="7" priority="54">
      <formula>AND(AB706&lt;&gt;"",ISNUMBER(FIND(AB706,$AA706)))</formula>
    </cfRule>
  </conditionalFormatting>
  <conditionalFormatting sqref="AL706:AU706">
    <cfRule type="expression" dxfId="7" priority="53">
      <formula>AND(AL706&lt;&gt;"",ISNUMBER(FIND(AL706,$W706)))</formula>
    </cfRule>
  </conditionalFormatting>
  <conditionalFormatting sqref="AV706:BE706">
    <cfRule type="expression" dxfId="7" priority="52">
      <formula>AND(AV706&lt;&gt;"",ISNUMBER(FIND(AV706,$X706)))</formula>
    </cfRule>
  </conditionalFormatting>
  <conditionalFormatting sqref="BF706:BO706">
    <cfRule type="expression" dxfId="7" priority="51">
      <formula>AND(BF706&lt;&gt;"",ISNUMBER(FIND(BF706,$Y706)))</formula>
    </cfRule>
  </conditionalFormatting>
  <conditionalFormatting sqref="BP706">
    <cfRule type="expression" dxfId="8" priority="29">
      <formula>$BP706="对子"</formula>
    </cfRule>
    <cfRule type="expression" dxfId="9" priority="43">
      <formula>$BP706="紧凑型"</formula>
    </cfRule>
    <cfRule type="expression" dxfId="10" priority="44">
      <formula>$BP706="松散型"</formula>
    </cfRule>
  </conditionalFormatting>
  <conditionalFormatting sqref="BV706">
    <cfRule type="expression" dxfId="11" priority="39">
      <formula>$BV706="复中中"</formula>
    </cfRule>
    <cfRule type="expression" dxfId="3" priority="40">
      <formula>$BV706="复隔中"</formula>
    </cfRule>
    <cfRule type="expression" dxfId="12" priority="41">
      <formula>$BV706="中中中"</formula>
    </cfRule>
  </conditionalFormatting>
  <conditionalFormatting sqref="BZ706">
    <cfRule type="expression" dxfId="11" priority="36">
      <formula>$BZ706="复中中"</formula>
    </cfRule>
    <cfRule type="expression" dxfId="3" priority="37">
      <formula>$BZ706="复隔中"</formula>
    </cfRule>
    <cfRule type="expression" dxfId="2" priority="38">
      <formula>$BZ706="中中中"</formula>
    </cfRule>
  </conditionalFormatting>
  <conditionalFormatting sqref="CD706">
    <cfRule type="expression" dxfId="11" priority="33">
      <formula>$CD706="复中中"</formula>
    </cfRule>
    <cfRule type="expression" dxfId="2" priority="34">
      <formula>$CD706="中中中"</formula>
    </cfRule>
    <cfRule type="expression" dxfId="3" priority="35">
      <formula>$CD706="复隔中"</formula>
    </cfRule>
  </conditionalFormatting>
  <conditionalFormatting sqref="CH706">
    <cfRule type="expression" dxfId="0" priority="32">
      <formula>$CH706="邻孤孤"</formula>
    </cfRule>
  </conditionalFormatting>
  <conditionalFormatting sqref="CL706">
    <cfRule type="expression" dxfId="0" priority="31">
      <formula>$CL706="邻孤孤"</formula>
    </cfRule>
  </conditionalFormatting>
  <conditionalFormatting sqref="CP706">
    <cfRule type="expression" dxfId="0" priority="30">
      <formula>$CP706="邻孤孤"</formula>
    </cfRule>
  </conditionalFormatting>
  <conditionalFormatting sqref="D707">
    <cfRule type="expression" dxfId="0" priority="23">
      <formula>MOD(D707,2)=0</formula>
    </cfRule>
  </conditionalFormatting>
  <conditionalFormatting sqref="E707">
    <cfRule type="expression" dxfId="1" priority="22">
      <formula>MOD(E707,2)=0</formula>
    </cfRule>
  </conditionalFormatting>
  <conditionalFormatting sqref="H707:K707">
    <cfRule type="expression" dxfId="13" priority="1">
      <formula>LOWER(LEFT(H707,1))=LOWER(LEFT($G707,1))</formula>
    </cfRule>
  </conditionalFormatting>
  <conditionalFormatting sqref="L707">
    <cfRule type="expression" dxfId="2" priority="21">
      <formula>MOD(L707,2)=0</formula>
    </cfRule>
  </conditionalFormatting>
  <conditionalFormatting sqref="M707:V707">
    <cfRule type="expression" dxfId="3" priority="15">
      <formula>M707=$L707</formula>
    </cfRule>
  </conditionalFormatting>
  <conditionalFormatting sqref="W707">
    <cfRule type="expression" dxfId="4" priority="20">
      <formula>MOD(W707,2)=0</formula>
    </cfRule>
  </conditionalFormatting>
  <conditionalFormatting sqref="X707">
    <cfRule type="expression" dxfId="5" priority="19">
      <formula>MOD(X707,2)=0</formula>
    </cfRule>
  </conditionalFormatting>
  <conditionalFormatting sqref="Y707">
    <cfRule type="expression" dxfId="6" priority="18">
      <formula>MOD(Y707,2)=0</formula>
    </cfRule>
  </conditionalFormatting>
  <conditionalFormatting sqref="AB707:AK707">
    <cfRule type="expression" dxfId="7" priority="27">
      <formula>AND(AB707&lt;&gt;"",ISNUMBER(FIND(AB707,$AA707)))</formula>
    </cfRule>
  </conditionalFormatting>
  <conditionalFormatting sqref="AL707:AU707">
    <cfRule type="expression" dxfId="7" priority="26">
      <formula>AND(AL707&lt;&gt;"",ISNUMBER(FIND(AL707,$W707)))</formula>
    </cfRule>
  </conditionalFormatting>
  <conditionalFormatting sqref="AV707:BE707">
    <cfRule type="expression" dxfId="7" priority="25">
      <formula>AND(AV707&lt;&gt;"",ISNUMBER(FIND(AV707,$X707)))</formula>
    </cfRule>
  </conditionalFormatting>
  <conditionalFormatting sqref="BF707:BO707">
    <cfRule type="expression" dxfId="7" priority="24">
      <formula>AND(BF707&lt;&gt;"",ISNUMBER(FIND(BF707,$Y707)))</formula>
    </cfRule>
  </conditionalFormatting>
  <conditionalFormatting sqref="BP707">
    <cfRule type="expression" dxfId="10" priority="17">
      <formula>$BP707="松散型"</formula>
    </cfRule>
    <cfRule type="expression" dxfId="9" priority="16">
      <formula>$BP707="紧凑型"</formula>
    </cfRule>
    <cfRule type="expression" dxfId="8" priority="2">
      <formula>$BP707="对子"</formula>
    </cfRule>
  </conditionalFormatting>
  <conditionalFormatting sqref="BV707">
    <cfRule type="expression" dxfId="12" priority="14">
      <formula>$BV707="中中中"</formula>
    </cfRule>
    <cfRule type="expression" dxfId="3" priority="13">
      <formula>$BV707="复隔中"</formula>
    </cfRule>
    <cfRule type="expression" dxfId="11" priority="12">
      <formula>$BV707="复中中"</formula>
    </cfRule>
  </conditionalFormatting>
  <conditionalFormatting sqref="BZ707">
    <cfRule type="expression" dxfId="2" priority="11">
      <formula>$BZ707="中中中"</formula>
    </cfRule>
    <cfRule type="expression" dxfId="3" priority="10">
      <formula>$BZ707="复隔中"</formula>
    </cfRule>
    <cfRule type="expression" dxfId="11" priority="9">
      <formula>$BZ707="复中中"</formula>
    </cfRule>
  </conditionalFormatting>
  <conditionalFormatting sqref="CD707">
    <cfRule type="expression" dxfId="3" priority="8">
      <formula>$CD707="复隔中"</formula>
    </cfRule>
    <cfRule type="expression" dxfId="2" priority="7">
      <formula>$CD707="中中中"</formula>
    </cfRule>
    <cfRule type="expression" dxfId="11" priority="6">
      <formula>$CD707="复中中"</formula>
    </cfRule>
  </conditionalFormatting>
  <conditionalFormatting sqref="CH707">
    <cfRule type="expression" dxfId="0" priority="5">
      <formula>$CH707="邻孤孤"</formula>
    </cfRule>
  </conditionalFormatting>
  <conditionalFormatting sqref="CL707">
    <cfRule type="expression" dxfId="0" priority="4">
      <formula>$CL707="邻孤孤"</formula>
    </cfRule>
  </conditionalFormatting>
  <conditionalFormatting sqref="CP707">
    <cfRule type="expression" dxfId="0" priority="3">
      <formula>$CP707="邻孤孤"</formula>
    </cfRule>
  </conditionalFormatting>
  <conditionalFormatting sqref="D3:D23">
    <cfRule type="expression" dxfId="0" priority="535">
      <formula>MOD(D3,2)=0</formula>
    </cfRule>
  </conditionalFormatting>
  <conditionalFormatting sqref="D25:D45">
    <cfRule type="expression" dxfId="0" priority="587">
      <formula>MOD(D25,2)=0</formula>
    </cfRule>
  </conditionalFormatting>
  <conditionalFormatting sqref="D47:D48">
    <cfRule type="expression" dxfId="0" priority="639">
      <formula>MOD(D47,2)=0</formula>
    </cfRule>
  </conditionalFormatting>
  <conditionalFormatting sqref="D49:D69">
    <cfRule type="expression" dxfId="0" priority="665">
      <formula>MOD(D49,2)=0</formula>
    </cfRule>
  </conditionalFormatting>
  <conditionalFormatting sqref="D71:D91">
    <cfRule type="expression" dxfId="0" priority="717">
      <formula>MOD(D71,2)=0</formula>
    </cfRule>
  </conditionalFormatting>
  <conditionalFormatting sqref="D92:D113">
    <cfRule type="expression" dxfId="0" priority="743">
      <formula>MOD(D92,2)=0</formula>
    </cfRule>
  </conditionalFormatting>
  <conditionalFormatting sqref="D114:D115">
    <cfRule type="expression" dxfId="0" priority="769">
      <formula>MOD(D114,2)=0</formula>
    </cfRule>
  </conditionalFormatting>
  <conditionalFormatting sqref="D116:D137">
    <cfRule type="expression" dxfId="0" priority="795">
      <formula>MOD(D116,2)=0</formula>
    </cfRule>
  </conditionalFormatting>
  <conditionalFormatting sqref="D138:D160">
    <cfRule type="expression" dxfId="0" priority="821">
      <formula>MOD(D138,2)=0</formula>
    </cfRule>
  </conditionalFormatting>
  <conditionalFormatting sqref="E3:E23">
    <cfRule type="expression" dxfId="1" priority="534">
      <formula>MOD(E3,2)=0</formula>
    </cfRule>
  </conditionalFormatting>
  <conditionalFormatting sqref="E25:E45">
    <cfRule type="expression" dxfId="1" priority="586">
      <formula>MOD(E25,2)=0</formula>
    </cfRule>
  </conditionalFormatting>
  <conditionalFormatting sqref="E47:E48">
    <cfRule type="expression" dxfId="1" priority="638">
      <formula>MOD(E47,2)=0</formula>
    </cfRule>
  </conditionalFormatting>
  <conditionalFormatting sqref="E49:E69">
    <cfRule type="expression" dxfId="1" priority="664">
      <formula>MOD(E49,2)=0</formula>
    </cfRule>
  </conditionalFormatting>
  <conditionalFormatting sqref="E71:E91">
    <cfRule type="expression" dxfId="1" priority="716">
      <formula>MOD(E71,2)=0</formula>
    </cfRule>
  </conditionalFormatting>
  <conditionalFormatting sqref="E92:E113">
    <cfRule type="expression" dxfId="1" priority="742">
      <formula>MOD(E92,2)=0</formula>
    </cfRule>
  </conditionalFormatting>
  <conditionalFormatting sqref="E114:E115">
    <cfRule type="expression" dxfId="1" priority="768">
      <formula>MOD(E114,2)=0</formula>
    </cfRule>
  </conditionalFormatting>
  <conditionalFormatting sqref="E116:E137">
    <cfRule type="expression" dxfId="1" priority="794">
      <formula>MOD(E116,2)=0</formula>
    </cfRule>
  </conditionalFormatting>
  <conditionalFormatting sqref="E138:E160">
    <cfRule type="expression" dxfId="1" priority="820">
      <formula>MOD(E138,2)=0</formula>
    </cfRule>
  </conditionalFormatting>
  <conditionalFormatting sqref="L3:L23">
    <cfRule type="expression" dxfId="2" priority="533">
      <formula>MOD(L3,2)=0</formula>
    </cfRule>
  </conditionalFormatting>
  <conditionalFormatting sqref="L25:L45">
    <cfRule type="expression" dxfId="2" priority="585">
      <formula>MOD(L25,2)=0</formula>
    </cfRule>
  </conditionalFormatting>
  <conditionalFormatting sqref="L47:L48">
    <cfRule type="expression" dxfId="2" priority="637">
      <formula>MOD(L47,2)=0</formula>
    </cfRule>
  </conditionalFormatting>
  <conditionalFormatting sqref="L49:L69">
    <cfRule type="expression" dxfId="2" priority="663">
      <formula>MOD(L49,2)=0</formula>
    </cfRule>
  </conditionalFormatting>
  <conditionalFormatting sqref="L71:L91">
    <cfRule type="expression" dxfId="2" priority="715">
      <formula>MOD(L71,2)=0</formula>
    </cfRule>
  </conditionalFormatting>
  <conditionalFormatting sqref="L92:L113">
    <cfRule type="expression" dxfId="2" priority="741">
      <formula>MOD(L92,2)=0</formula>
    </cfRule>
  </conditionalFormatting>
  <conditionalFormatting sqref="L114:L115">
    <cfRule type="expression" dxfId="2" priority="767">
      <formula>MOD(L114,2)=0</formula>
    </cfRule>
  </conditionalFormatting>
  <conditionalFormatting sqref="L116:L137">
    <cfRule type="expression" dxfId="2" priority="793">
      <formula>MOD(L116,2)=0</formula>
    </cfRule>
  </conditionalFormatting>
  <conditionalFormatting sqref="L138:L160">
    <cfRule type="expression" dxfId="2" priority="819">
      <formula>MOD(L138,2)=0</formula>
    </cfRule>
  </conditionalFormatting>
  <conditionalFormatting sqref="W3:W23">
    <cfRule type="expression" dxfId="4" priority="532">
      <formula>MOD(W3,2)=0</formula>
    </cfRule>
  </conditionalFormatting>
  <conditionalFormatting sqref="W25:W45">
    <cfRule type="expression" dxfId="4" priority="584">
      <formula>MOD(W25,2)=0</formula>
    </cfRule>
  </conditionalFormatting>
  <conditionalFormatting sqref="W47:W48">
    <cfRule type="expression" dxfId="4" priority="636">
      <formula>MOD(W47,2)=0</formula>
    </cfRule>
  </conditionalFormatting>
  <conditionalFormatting sqref="W49:W69">
    <cfRule type="expression" dxfId="4" priority="662">
      <formula>MOD(W49,2)=0</formula>
    </cfRule>
  </conditionalFormatting>
  <conditionalFormatting sqref="W71:W91">
    <cfRule type="expression" dxfId="4" priority="714">
      <formula>MOD(W71,2)=0</formula>
    </cfRule>
  </conditionalFormatting>
  <conditionalFormatting sqref="W92:W113">
    <cfRule type="expression" dxfId="4" priority="740">
      <formula>MOD(W92,2)=0</formula>
    </cfRule>
  </conditionalFormatting>
  <conditionalFormatting sqref="W114:W115">
    <cfRule type="expression" dxfId="4" priority="766">
      <formula>MOD(W114,2)=0</formula>
    </cfRule>
  </conditionalFormatting>
  <conditionalFormatting sqref="W116:W137">
    <cfRule type="expression" dxfId="4" priority="792">
      <formula>MOD(W116,2)=0</formula>
    </cfRule>
  </conditionalFormatting>
  <conditionalFormatting sqref="W138:W160">
    <cfRule type="expression" dxfId="4" priority="818">
      <formula>MOD(W138,2)=0</formula>
    </cfRule>
  </conditionalFormatting>
  <conditionalFormatting sqref="X3:X23">
    <cfRule type="expression" dxfId="5" priority="531">
      <formula>MOD(X3,2)=0</formula>
    </cfRule>
  </conditionalFormatting>
  <conditionalFormatting sqref="X25:X45">
    <cfRule type="expression" dxfId="5" priority="583">
      <formula>MOD(X25,2)=0</formula>
    </cfRule>
  </conditionalFormatting>
  <conditionalFormatting sqref="X47:X48">
    <cfRule type="expression" dxfId="5" priority="635">
      <formula>MOD(X47,2)=0</formula>
    </cfRule>
  </conditionalFormatting>
  <conditionalFormatting sqref="X49:X69">
    <cfRule type="expression" dxfId="5" priority="661">
      <formula>MOD(X49,2)=0</formula>
    </cfRule>
  </conditionalFormatting>
  <conditionalFormatting sqref="X71:X91">
    <cfRule type="expression" dxfId="5" priority="713">
      <formula>MOD(X71,2)=0</formula>
    </cfRule>
  </conditionalFormatting>
  <conditionalFormatting sqref="X92:X113">
    <cfRule type="expression" dxfId="5" priority="739">
      <formula>MOD(X92,2)=0</formula>
    </cfRule>
  </conditionalFormatting>
  <conditionalFormatting sqref="X114:X115">
    <cfRule type="expression" dxfId="5" priority="765">
      <formula>MOD(X114,2)=0</formula>
    </cfRule>
  </conditionalFormatting>
  <conditionalFormatting sqref="X116:X137">
    <cfRule type="expression" dxfId="5" priority="791">
      <formula>MOD(X116,2)=0</formula>
    </cfRule>
  </conditionalFormatting>
  <conditionalFormatting sqref="X138:X160">
    <cfRule type="expression" dxfId="5" priority="817">
      <formula>MOD(X138,2)=0</formula>
    </cfRule>
  </conditionalFormatting>
  <conditionalFormatting sqref="Y3:Y23">
    <cfRule type="expression" dxfId="6" priority="530">
      <formula>MOD(Y3,2)=0</formula>
    </cfRule>
  </conditionalFormatting>
  <conditionalFormatting sqref="Y25:Y45">
    <cfRule type="expression" dxfId="6" priority="582">
      <formula>MOD(Y25,2)=0</formula>
    </cfRule>
  </conditionalFormatting>
  <conditionalFormatting sqref="Y47:Y48">
    <cfRule type="expression" dxfId="6" priority="634">
      <formula>MOD(Y47,2)=0</formula>
    </cfRule>
  </conditionalFormatting>
  <conditionalFormatting sqref="Y49:Y69">
    <cfRule type="expression" dxfId="6" priority="660">
      <formula>MOD(Y49,2)=0</formula>
    </cfRule>
  </conditionalFormatting>
  <conditionalFormatting sqref="Y71:Y91">
    <cfRule type="expression" dxfId="6" priority="712">
      <formula>MOD(Y71,2)=0</formula>
    </cfRule>
  </conditionalFormatting>
  <conditionalFormatting sqref="Y92:Y113">
    <cfRule type="expression" dxfId="6" priority="738">
      <formula>MOD(Y92,2)=0</formula>
    </cfRule>
  </conditionalFormatting>
  <conditionalFormatting sqref="Y114:Y115">
    <cfRule type="expression" dxfId="6" priority="764">
      <formula>MOD(Y114,2)=0</formula>
    </cfRule>
  </conditionalFormatting>
  <conditionalFormatting sqref="Y116:Y137">
    <cfRule type="expression" dxfId="6" priority="790">
      <formula>MOD(Y116,2)=0</formula>
    </cfRule>
  </conditionalFormatting>
  <conditionalFormatting sqref="Y138:Y160">
    <cfRule type="expression" dxfId="6" priority="816">
      <formula>MOD(Y138,2)=0</formula>
    </cfRule>
  </conditionalFormatting>
  <conditionalFormatting sqref="BP3:BP23">
    <cfRule type="expression" dxfId="8" priority="514">
      <formula>$BP3="对子"</formula>
    </cfRule>
    <cfRule type="expression" dxfId="9" priority="528">
      <formula>$BP3="紧凑型"</formula>
    </cfRule>
    <cfRule type="expression" dxfId="10" priority="529">
      <formula>$BP3="松散型"</formula>
    </cfRule>
  </conditionalFormatting>
  <conditionalFormatting sqref="BP25:BP45">
    <cfRule type="expression" dxfId="8" priority="566">
      <formula>$BP25="对子"</formula>
    </cfRule>
    <cfRule type="expression" dxfId="9" priority="580">
      <formula>$BP25="紧凑型"</formula>
    </cfRule>
    <cfRule type="expression" dxfId="10" priority="581">
      <formula>$BP25="松散型"</formula>
    </cfRule>
  </conditionalFormatting>
  <conditionalFormatting sqref="BP47:BP48">
    <cfRule type="expression" dxfId="8" priority="618">
      <formula>$BP47="对子"</formula>
    </cfRule>
    <cfRule type="expression" dxfId="9" priority="632">
      <formula>$BP47="紧凑型"</formula>
    </cfRule>
    <cfRule type="expression" dxfId="10" priority="633">
      <formula>$BP47="松散型"</formula>
    </cfRule>
  </conditionalFormatting>
  <conditionalFormatting sqref="BP49:BP69">
    <cfRule type="expression" dxfId="8" priority="644">
      <formula>$BP49="对子"</formula>
    </cfRule>
    <cfRule type="expression" dxfId="9" priority="658">
      <formula>$BP49="紧凑型"</formula>
    </cfRule>
    <cfRule type="expression" dxfId="10" priority="659">
      <formula>$BP49="松散型"</formula>
    </cfRule>
  </conditionalFormatting>
  <conditionalFormatting sqref="BP71:BP91">
    <cfRule type="expression" dxfId="8" priority="696">
      <formula>$BP71="对子"</formula>
    </cfRule>
    <cfRule type="expression" dxfId="9" priority="710">
      <formula>$BP71="紧凑型"</formula>
    </cfRule>
    <cfRule type="expression" dxfId="10" priority="711">
      <formula>$BP71="松散型"</formula>
    </cfRule>
  </conditionalFormatting>
  <conditionalFormatting sqref="BP92:BP113">
    <cfRule type="expression" dxfId="8" priority="722">
      <formula>$BP92="对子"</formula>
    </cfRule>
    <cfRule type="expression" dxfId="9" priority="736">
      <formula>$BP92="紧凑型"</formula>
    </cfRule>
    <cfRule type="expression" dxfId="10" priority="737">
      <formula>$BP92="松散型"</formula>
    </cfRule>
  </conditionalFormatting>
  <conditionalFormatting sqref="BP114:BP115">
    <cfRule type="expression" dxfId="8" priority="748">
      <formula>$BP114="对子"</formula>
    </cfRule>
    <cfRule type="expression" dxfId="9" priority="762">
      <formula>$BP114="紧凑型"</formula>
    </cfRule>
    <cfRule type="expression" dxfId="10" priority="763">
      <formula>$BP114="松散型"</formula>
    </cfRule>
  </conditionalFormatting>
  <conditionalFormatting sqref="BP116:BP137">
    <cfRule type="expression" dxfId="8" priority="774">
      <formula>$BP116="对子"</formula>
    </cfRule>
    <cfRule type="expression" dxfId="9" priority="788">
      <formula>$BP116="紧凑型"</formula>
    </cfRule>
    <cfRule type="expression" dxfId="10" priority="789">
      <formula>$BP116="松散型"</formula>
    </cfRule>
  </conditionalFormatting>
  <conditionalFormatting sqref="BP138:BP160">
    <cfRule type="expression" dxfId="8" priority="800">
      <formula>$BP138="对子"</formula>
    </cfRule>
    <cfRule type="expression" dxfId="9" priority="814">
      <formula>$BP138="紧凑型"</formula>
    </cfRule>
    <cfRule type="expression" dxfId="10" priority="815">
      <formula>$BP138="松散型"</formula>
    </cfRule>
  </conditionalFormatting>
  <conditionalFormatting sqref="BV3:BV23">
    <cfRule type="expression" dxfId="11" priority="524">
      <formula>$BV3="复中中"</formula>
    </cfRule>
    <cfRule type="expression" dxfId="3" priority="525">
      <formula>$BV3="复隔中"</formula>
    </cfRule>
    <cfRule type="expression" dxfId="12" priority="526">
      <formula>$BV3="中中中"</formula>
    </cfRule>
  </conditionalFormatting>
  <conditionalFormatting sqref="BV25:BV45">
    <cfRule type="expression" dxfId="11" priority="576">
      <formula>$BV25="复中中"</formula>
    </cfRule>
    <cfRule type="expression" dxfId="3" priority="577">
      <formula>$BV25="复隔中"</formula>
    </cfRule>
    <cfRule type="expression" dxfId="12" priority="578">
      <formula>$BV25="中中中"</formula>
    </cfRule>
  </conditionalFormatting>
  <conditionalFormatting sqref="BV47:BV48">
    <cfRule type="expression" dxfId="11" priority="628">
      <formula>$BV47="复中中"</formula>
    </cfRule>
    <cfRule type="expression" dxfId="3" priority="629">
      <formula>$BV47="复隔中"</formula>
    </cfRule>
    <cfRule type="expression" dxfId="12" priority="630">
      <formula>$BV47="中中中"</formula>
    </cfRule>
  </conditionalFormatting>
  <conditionalFormatting sqref="BV49:BV69">
    <cfRule type="expression" dxfId="11" priority="654">
      <formula>$BV49="复中中"</formula>
    </cfRule>
    <cfRule type="expression" dxfId="3" priority="655">
      <formula>$BV49="复隔中"</formula>
    </cfRule>
    <cfRule type="expression" dxfId="12" priority="656">
      <formula>$BV49="中中中"</formula>
    </cfRule>
  </conditionalFormatting>
  <conditionalFormatting sqref="BV71:BV91">
    <cfRule type="expression" dxfId="11" priority="706">
      <formula>$BV71="复中中"</formula>
    </cfRule>
    <cfRule type="expression" dxfId="3" priority="707">
      <formula>$BV71="复隔中"</formula>
    </cfRule>
    <cfRule type="expression" dxfId="12" priority="708">
      <formula>$BV71="中中中"</formula>
    </cfRule>
  </conditionalFormatting>
  <conditionalFormatting sqref="BV92:BV113">
    <cfRule type="expression" dxfId="11" priority="732">
      <formula>$BV92="复中中"</formula>
    </cfRule>
    <cfRule type="expression" dxfId="3" priority="733">
      <formula>$BV92="复隔中"</formula>
    </cfRule>
    <cfRule type="expression" dxfId="12" priority="734">
      <formula>$BV92="中中中"</formula>
    </cfRule>
  </conditionalFormatting>
  <conditionalFormatting sqref="BV114:BV115">
    <cfRule type="expression" dxfId="11" priority="758">
      <formula>$BV114="复中中"</formula>
    </cfRule>
    <cfRule type="expression" dxfId="3" priority="759">
      <formula>$BV114="复隔中"</formula>
    </cfRule>
    <cfRule type="expression" dxfId="12" priority="760">
      <formula>$BV114="中中中"</formula>
    </cfRule>
  </conditionalFormatting>
  <conditionalFormatting sqref="BV116:BV137">
    <cfRule type="expression" dxfId="11" priority="784">
      <formula>$BV116="复中中"</formula>
    </cfRule>
    <cfRule type="expression" dxfId="3" priority="785">
      <formula>$BV116="复隔中"</formula>
    </cfRule>
    <cfRule type="expression" dxfId="12" priority="786">
      <formula>$BV116="中中中"</formula>
    </cfRule>
  </conditionalFormatting>
  <conditionalFormatting sqref="BV138:BV160">
    <cfRule type="expression" dxfId="11" priority="810">
      <formula>$BV138="复中中"</formula>
    </cfRule>
    <cfRule type="expression" dxfId="3" priority="811">
      <formula>$BV138="复隔中"</formula>
    </cfRule>
    <cfRule type="expression" dxfId="12" priority="812">
      <formula>$BV138="中中中"</formula>
    </cfRule>
  </conditionalFormatting>
  <conditionalFormatting sqref="BZ3:BZ23">
    <cfRule type="expression" dxfId="11" priority="521">
      <formula>$BZ3="复中中"</formula>
    </cfRule>
    <cfRule type="expression" dxfId="3" priority="522">
      <formula>$BZ3="复隔中"</formula>
    </cfRule>
    <cfRule type="expression" dxfId="2" priority="523">
      <formula>$BZ3="中中中"</formula>
    </cfRule>
  </conditionalFormatting>
  <conditionalFormatting sqref="BZ25:BZ45">
    <cfRule type="expression" dxfId="11" priority="573">
      <formula>$BZ25="复中中"</formula>
    </cfRule>
    <cfRule type="expression" dxfId="3" priority="574">
      <formula>$BZ25="复隔中"</formula>
    </cfRule>
    <cfRule type="expression" dxfId="2" priority="575">
      <formula>$BZ25="中中中"</formula>
    </cfRule>
  </conditionalFormatting>
  <conditionalFormatting sqref="BZ47:BZ48">
    <cfRule type="expression" dxfId="11" priority="625">
      <formula>$BZ47="复中中"</formula>
    </cfRule>
    <cfRule type="expression" dxfId="3" priority="626">
      <formula>$BZ47="复隔中"</formula>
    </cfRule>
    <cfRule type="expression" dxfId="2" priority="627">
      <formula>$BZ47="中中中"</formula>
    </cfRule>
  </conditionalFormatting>
  <conditionalFormatting sqref="BZ49:BZ69">
    <cfRule type="expression" dxfId="11" priority="651">
      <formula>$BZ49="复中中"</formula>
    </cfRule>
    <cfRule type="expression" dxfId="3" priority="652">
      <formula>$BZ49="复隔中"</formula>
    </cfRule>
    <cfRule type="expression" dxfId="2" priority="653">
      <formula>$BZ49="中中中"</formula>
    </cfRule>
  </conditionalFormatting>
  <conditionalFormatting sqref="BZ71:BZ91">
    <cfRule type="expression" dxfId="11" priority="703">
      <formula>$BZ71="复中中"</formula>
    </cfRule>
    <cfRule type="expression" dxfId="3" priority="704">
      <formula>$BZ71="复隔中"</formula>
    </cfRule>
    <cfRule type="expression" dxfId="2" priority="705">
      <formula>$BZ71="中中中"</formula>
    </cfRule>
  </conditionalFormatting>
  <conditionalFormatting sqref="BZ92:BZ113">
    <cfRule type="expression" dxfId="11" priority="729">
      <formula>$BZ92="复中中"</formula>
    </cfRule>
    <cfRule type="expression" dxfId="3" priority="730">
      <formula>$BZ92="复隔中"</formula>
    </cfRule>
    <cfRule type="expression" dxfId="2" priority="731">
      <formula>$BZ92="中中中"</formula>
    </cfRule>
  </conditionalFormatting>
  <conditionalFormatting sqref="BZ114:BZ115">
    <cfRule type="expression" dxfId="11" priority="755">
      <formula>$BZ114="复中中"</formula>
    </cfRule>
    <cfRule type="expression" dxfId="3" priority="756">
      <formula>$BZ114="复隔中"</formula>
    </cfRule>
    <cfRule type="expression" dxfId="2" priority="757">
      <formula>$BZ114="中中中"</formula>
    </cfRule>
  </conditionalFormatting>
  <conditionalFormatting sqref="BZ116:BZ137">
    <cfRule type="expression" dxfId="11" priority="781">
      <formula>$BZ116="复中中"</formula>
    </cfRule>
    <cfRule type="expression" dxfId="3" priority="782">
      <formula>$BZ116="复隔中"</formula>
    </cfRule>
    <cfRule type="expression" dxfId="2" priority="783">
      <formula>$BZ116="中中中"</formula>
    </cfRule>
  </conditionalFormatting>
  <conditionalFormatting sqref="BZ138:BZ160">
    <cfRule type="expression" dxfId="11" priority="807">
      <formula>$BZ138="复中中"</formula>
    </cfRule>
    <cfRule type="expression" dxfId="3" priority="808">
      <formula>$BZ138="复隔中"</formula>
    </cfRule>
    <cfRule type="expression" dxfId="2" priority="809">
      <formula>$BZ138="中中中"</formula>
    </cfRule>
  </conditionalFormatting>
  <conditionalFormatting sqref="CD3:CD23">
    <cfRule type="expression" dxfId="11" priority="518">
      <formula>$CD3="复中中"</formula>
    </cfRule>
    <cfRule type="expression" dxfId="2" priority="519">
      <formula>$CD3="中中中"</formula>
    </cfRule>
    <cfRule type="expression" dxfId="3" priority="520">
      <formula>$CD3="复隔中"</formula>
    </cfRule>
  </conditionalFormatting>
  <conditionalFormatting sqref="CD25:CD45">
    <cfRule type="expression" dxfId="11" priority="570">
      <formula>$CD25="复中中"</formula>
    </cfRule>
    <cfRule type="expression" dxfId="2" priority="571">
      <formula>$CD25="中中中"</formula>
    </cfRule>
    <cfRule type="expression" dxfId="3" priority="572">
      <formula>$CD25="复隔中"</formula>
    </cfRule>
  </conditionalFormatting>
  <conditionalFormatting sqref="CD47:CD48">
    <cfRule type="expression" dxfId="11" priority="622">
      <formula>$CD47="复中中"</formula>
    </cfRule>
    <cfRule type="expression" dxfId="2" priority="623">
      <formula>$CD47="中中中"</formula>
    </cfRule>
    <cfRule type="expression" dxfId="3" priority="624">
      <formula>$CD47="复隔中"</formula>
    </cfRule>
  </conditionalFormatting>
  <conditionalFormatting sqref="CD49:CD69">
    <cfRule type="expression" dxfId="11" priority="648">
      <formula>$CD49="复中中"</formula>
    </cfRule>
    <cfRule type="expression" dxfId="2" priority="649">
      <formula>$CD49="中中中"</formula>
    </cfRule>
    <cfRule type="expression" dxfId="3" priority="650">
      <formula>$CD49="复隔中"</formula>
    </cfRule>
  </conditionalFormatting>
  <conditionalFormatting sqref="CD71:CD91">
    <cfRule type="expression" dxfId="11" priority="700">
      <formula>$CD71="复中中"</formula>
    </cfRule>
    <cfRule type="expression" dxfId="2" priority="701">
      <formula>$CD71="中中中"</formula>
    </cfRule>
    <cfRule type="expression" dxfId="3" priority="702">
      <formula>$CD71="复隔中"</formula>
    </cfRule>
  </conditionalFormatting>
  <conditionalFormatting sqref="CD92:CD113">
    <cfRule type="expression" dxfId="11" priority="726">
      <formula>$CD92="复中中"</formula>
    </cfRule>
    <cfRule type="expression" dxfId="2" priority="727">
      <formula>$CD92="中中中"</formula>
    </cfRule>
    <cfRule type="expression" dxfId="3" priority="728">
      <formula>$CD92="复隔中"</formula>
    </cfRule>
  </conditionalFormatting>
  <conditionalFormatting sqref="CD114:CD115">
    <cfRule type="expression" dxfId="11" priority="752">
      <formula>$CD114="复中中"</formula>
    </cfRule>
    <cfRule type="expression" dxfId="2" priority="753">
      <formula>$CD114="中中中"</formula>
    </cfRule>
    <cfRule type="expression" dxfId="3" priority="754">
      <formula>$CD114="复隔中"</formula>
    </cfRule>
  </conditionalFormatting>
  <conditionalFormatting sqref="CD116:CD137">
    <cfRule type="expression" dxfId="11" priority="778">
      <formula>$CD116="复中中"</formula>
    </cfRule>
    <cfRule type="expression" dxfId="2" priority="779">
      <formula>$CD116="中中中"</formula>
    </cfRule>
    <cfRule type="expression" dxfId="3" priority="780">
      <formula>$CD116="复隔中"</formula>
    </cfRule>
  </conditionalFormatting>
  <conditionalFormatting sqref="CD138:CD160">
    <cfRule type="expression" dxfId="11" priority="804">
      <formula>$CD138="复中中"</formula>
    </cfRule>
    <cfRule type="expression" dxfId="2" priority="805">
      <formula>$CD138="中中中"</formula>
    </cfRule>
    <cfRule type="expression" dxfId="3" priority="806">
      <formula>$CD138="复隔中"</formula>
    </cfRule>
  </conditionalFormatting>
  <conditionalFormatting sqref="CH3:CH23">
    <cfRule type="expression" dxfId="0" priority="517">
      <formula>$CH3="邻孤孤"</formula>
    </cfRule>
  </conditionalFormatting>
  <conditionalFormatting sqref="CH25:CH45">
    <cfRule type="expression" dxfId="0" priority="569">
      <formula>$CH25="邻孤孤"</formula>
    </cfRule>
  </conditionalFormatting>
  <conditionalFormatting sqref="CH47:CH48">
    <cfRule type="expression" dxfId="0" priority="621">
      <formula>$CH47="邻孤孤"</formula>
    </cfRule>
  </conditionalFormatting>
  <conditionalFormatting sqref="CH49:CH69">
    <cfRule type="expression" dxfId="0" priority="647">
      <formula>$CH49="邻孤孤"</formula>
    </cfRule>
  </conditionalFormatting>
  <conditionalFormatting sqref="CH71:CH91">
    <cfRule type="expression" dxfId="0" priority="699">
      <formula>$CH71="邻孤孤"</formula>
    </cfRule>
  </conditionalFormatting>
  <conditionalFormatting sqref="CH92:CH113">
    <cfRule type="expression" dxfId="0" priority="725">
      <formula>$CH92="邻孤孤"</formula>
    </cfRule>
  </conditionalFormatting>
  <conditionalFormatting sqref="CH114:CH115">
    <cfRule type="expression" dxfId="0" priority="751">
      <formula>$CH114="邻孤孤"</formula>
    </cfRule>
  </conditionalFormatting>
  <conditionalFormatting sqref="CH116:CH137">
    <cfRule type="expression" dxfId="0" priority="777">
      <formula>$CH116="邻孤孤"</formula>
    </cfRule>
  </conditionalFormatting>
  <conditionalFormatting sqref="CH138:CH160">
    <cfRule type="expression" dxfId="0" priority="803">
      <formula>$CH138="邻孤孤"</formula>
    </cfRule>
  </conditionalFormatting>
  <conditionalFormatting sqref="CL3:CL23">
    <cfRule type="expression" dxfId="0" priority="516">
      <formula>$CL3="邻孤孤"</formula>
    </cfRule>
  </conditionalFormatting>
  <conditionalFormatting sqref="CL25:CL45">
    <cfRule type="expression" dxfId="0" priority="568">
      <formula>$CL25="邻孤孤"</formula>
    </cfRule>
  </conditionalFormatting>
  <conditionalFormatting sqref="CL47:CL48">
    <cfRule type="expression" dxfId="0" priority="620">
      <formula>$CL47="邻孤孤"</formula>
    </cfRule>
  </conditionalFormatting>
  <conditionalFormatting sqref="CL49:CL69">
    <cfRule type="expression" dxfId="0" priority="646">
      <formula>$CL49="邻孤孤"</formula>
    </cfRule>
  </conditionalFormatting>
  <conditionalFormatting sqref="CL71:CL91">
    <cfRule type="expression" dxfId="0" priority="698">
      <formula>$CL71="邻孤孤"</formula>
    </cfRule>
  </conditionalFormatting>
  <conditionalFormatting sqref="CL92:CL113">
    <cfRule type="expression" dxfId="0" priority="724">
      <formula>$CL92="邻孤孤"</formula>
    </cfRule>
  </conditionalFormatting>
  <conditionalFormatting sqref="CL114:CL115">
    <cfRule type="expression" dxfId="0" priority="750">
      <formula>$CL114="邻孤孤"</formula>
    </cfRule>
  </conditionalFormatting>
  <conditionalFormatting sqref="CL116:CL137">
    <cfRule type="expression" dxfId="0" priority="776">
      <formula>$CL116="邻孤孤"</formula>
    </cfRule>
  </conditionalFormatting>
  <conditionalFormatting sqref="CL138:CL160">
    <cfRule type="expression" dxfId="0" priority="802">
      <formula>$CL138="邻孤孤"</formula>
    </cfRule>
  </conditionalFormatting>
  <conditionalFormatting sqref="CP3:CP23">
    <cfRule type="expression" dxfId="0" priority="515">
      <formula>$CP3="邻孤孤"</formula>
    </cfRule>
  </conditionalFormatting>
  <conditionalFormatting sqref="CP25:CP45">
    <cfRule type="expression" dxfId="0" priority="567">
      <formula>$CP25="邻孤孤"</formula>
    </cfRule>
  </conditionalFormatting>
  <conditionalFormatting sqref="CP47:CP48">
    <cfRule type="expression" dxfId="0" priority="619">
      <formula>$CP47="邻孤孤"</formula>
    </cfRule>
  </conditionalFormatting>
  <conditionalFormatting sqref="CP49:CP69">
    <cfRule type="expression" dxfId="0" priority="645">
      <formula>$CP49="邻孤孤"</formula>
    </cfRule>
  </conditionalFormatting>
  <conditionalFormatting sqref="CP71:CP91">
    <cfRule type="expression" dxfId="0" priority="697">
      <formula>$CP71="邻孤孤"</formula>
    </cfRule>
  </conditionalFormatting>
  <conditionalFormatting sqref="CP92:CP113">
    <cfRule type="expression" dxfId="0" priority="723">
      <formula>$CP92="邻孤孤"</formula>
    </cfRule>
  </conditionalFormatting>
  <conditionalFormatting sqref="CP114:CP115">
    <cfRule type="expression" dxfId="0" priority="749">
      <formula>$CP114="邻孤孤"</formula>
    </cfRule>
  </conditionalFormatting>
  <conditionalFormatting sqref="CP116:CP137">
    <cfRule type="expression" dxfId="0" priority="775">
      <formula>$CP116="邻孤孤"</formula>
    </cfRule>
  </conditionalFormatting>
  <conditionalFormatting sqref="CP138:CP160">
    <cfRule type="expression" dxfId="0" priority="801">
      <formula>$CP138="邻孤孤"</formula>
    </cfRule>
  </conditionalFormatting>
  <conditionalFormatting sqref="D2 D161:D684 D708:D709 D784:D1048576">
    <cfRule type="expression" dxfId="0" priority="968">
      <formula>MOD(D2,2)=0</formula>
    </cfRule>
  </conditionalFormatting>
  <conditionalFormatting sqref="E2 E161:E684 E708:E709 E784:E1048576">
    <cfRule type="expression" dxfId="1" priority="967">
      <formula>MOD(E2,2)=0</formula>
    </cfRule>
  </conditionalFormatting>
  <conditionalFormatting sqref="L2 L161:L684 L708:L709 L784:L1048576">
    <cfRule type="expression" dxfId="2" priority="966">
      <formula>MOD(L2,2)=0</formula>
    </cfRule>
  </conditionalFormatting>
  <conditionalFormatting sqref="W2 W161:W684 W708:W709 W784:W1048576">
    <cfRule type="expression" dxfId="4" priority="965">
      <formula>MOD(W2,2)=0</formula>
    </cfRule>
  </conditionalFormatting>
  <conditionalFormatting sqref="X2 X161:X684 X708:X709 X784:X1048576">
    <cfRule type="expression" dxfId="5" priority="964">
      <formula>MOD(X2,2)=0</formula>
    </cfRule>
  </conditionalFormatting>
  <conditionalFormatting sqref="Y2 Y161:Y684 Y708:Y709 Y784:Y1048576">
    <cfRule type="expression" dxfId="6" priority="963">
      <formula>MOD(Y2,2)=0</formula>
    </cfRule>
  </conditionalFormatting>
  <conditionalFormatting sqref="BP2 BP161:BP684 BP708:BP753 BP784:BP2803">
    <cfRule type="expression" dxfId="8" priority="930">
      <formula>$BP2="对子"</formula>
    </cfRule>
  </conditionalFormatting>
  <conditionalFormatting sqref="BP2 BP161:BP684 BP708:BP753 BP784:BP1048576">
    <cfRule type="expression" dxfId="9" priority="959">
      <formula>$BP2="紧凑型"</formula>
    </cfRule>
    <cfRule type="expression" dxfId="10" priority="960">
      <formula>$BP2="松散型"</formula>
    </cfRule>
  </conditionalFormatting>
  <conditionalFormatting sqref="H3:K689 H708:K709 H784:K918">
    <cfRule type="expression" dxfId="13" priority="487">
      <formula>LOWER(LEFT(H3,1))=LOWER(LEFT($G3,1))</formula>
    </cfRule>
  </conditionalFormatting>
  <conditionalFormatting sqref="M3:V23">
    <cfRule type="expression" dxfId="3" priority="527">
      <formula>M3=$L3</formula>
    </cfRule>
  </conditionalFormatting>
  <conditionalFormatting sqref="AB3:AK23">
    <cfRule type="expression" dxfId="7" priority="539">
      <formula>AND(AB3&lt;&gt;"",ISNUMBER(FIND(AB3,$AA3)))</formula>
    </cfRule>
  </conditionalFormatting>
  <conditionalFormatting sqref="AL3:AU23">
    <cfRule type="expression" dxfId="7" priority="538">
      <formula>AND(AL3&lt;&gt;"",ISNUMBER(FIND(AL3,$W3)))</formula>
    </cfRule>
  </conditionalFormatting>
  <conditionalFormatting sqref="AV3:BE23">
    <cfRule type="expression" dxfId="7" priority="537">
      <formula>AND(AV3&lt;&gt;"",ISNUMBER(FIND(AV3,$X3)))</formula>
    </cfRule>
  </conditionalFormatting>
  <conditionalFormatting sqref="BF3:BO23">
    <cfRule type="expression" dxfId="7" priority="536">
      <formula>AND(BF3&lt;&gt;"",ISNUMBER(FIND(BF3,$Y3)))</formula>
    </cfRule>
  </conditionalFormatting>
  <conditionalFormatting sqref="M25:V45">
    <cfRule type="expression" dxfId="3" priority="579">
      <formula>M25=$L25</formula>
    </cfRule>
  </conditionalFormatting>
  <conditionalFormatting sqref="AB25:AK45">
    <cfRule type="expression" dxfId="7" priority="591">
      <formula>AND(AB25&lt;&gt;"",ISNUMBER(FIND(AB25,$AA25)))</formula>
    </cfRule>
  </conditionalFormatting>
  <conditionalFormatting sqref="AL25:AU45">
    <cfRule type="expression" dxfId="7" priority="590">
      <formula>AND(AL25&lt;&gt;"",ISNUMBER(FIND(AL25,$W25)))</formula>
    </cfRule>
  </conditionalFormatting>
  <conditionalFormatting sqref="AV25:BE45">
    <cfRule type="expression" dxfId="7" priority="589">
      <formula>AND(AV25&lt;&gt;"",ISNUMBER(FIND(AV25,$X25)))</formula>
    </cfRule>
  </conditionalFormatting>
  <conditionalFormatting sqref="BF25:BO45">
    <cfRule type="expression" dxfId="7" priority="588">
      <formula>AND(BF25&lt;&gt;"",ISNUMBER(FIND(BF25,$Y25)))</formula>
    </cfRule>
  </conditionalFormatting>
  <conditionalFormatting sqref="M47:V48">
    <cfRule type="expression" dxfId="3" priority="631">
      <formula>M47=$L47</formula>
    </cfRule>
  </conditionalFormatting>
  <conditionalFormatting sqref="AB47:AK48">
    <cfRule type="expression" dxfId="7" priority="643">
      <formula>AND(AB47&lt;&gt;"",ISNUMBER(FIND(AB47,$AA47)))</formula>
    </cfRule>
  </conditionalFormatting>
  <conditionalFormatting sqref="AL47:AU48">
    <cfRule type="expression" dxfId="7" priority="642">
      <formula>AND(AL47&lt;&gt;"",ISNUMBER(FIND(AL47,$W47)))</formula>
    </cfRule>
  </conditionalFormatting>
  <conditionalFormatting sqref="AV47:BE48">
    <cfRule type="expression" dxfId="7" priority="641">
      <formula>AND(AV47&lt;&gt;"",ISNUMBER(FIND(AV47,$X47)))</formula>
    </cfRule>
  </conditionalFormatting>
  <conditionalFormatting sqref="BF47:BO48">
    <cfRule type="expression" dxfId="7" priority="640">
      <formula>AND(BF47&lt;&gt;"",ISNUMBER(FIND(BF47,$Y47)))</formula>
    </cfRule>
  </conditionalFormatting>
  <conditionalFormatting sqref="M49:V69">
    <cfRule type="expression" dxfId="3" priority="657">
      <formula>M49=$L49</formula>
    </cfRule>
  </conditionalFormatting>
  <conditionalFormatting sqref="AB49:AK69">
    <cfRule type="expression" dxfId="7" priority="669">
      <formula>AND(AB49&lt;&gt;"",ISNUMBER(FIND(AB49,$AA49)))</formula>
    </cfRule>
  </conditionalFormatting>
  <conditionalFormatting sqref="AL49:AU69">
    <cfRule type="expression" dxfId="7" priority="668">
      <formula>AND(AL49&lt;&gt;"",ISNUMBER(FIND(AL49,$W49)))</formula>
    </cfRule>
  </conditionalFormatting>
  <conditionalFormatting sqref="AV49:BE69">
    <cfRule type="expression" dxfId="7" priority="667">
      <formula>AND(AV49&lt;&gt;"",ISNUMBER(FIND(AV49,$X49)))</formula>
    </cfRule>
  </conditionalFormatting>
  <conditionalFormatting sqref="BF49:BO69">
    <cfRule type="expression" dxfId="7" priority="666">
      <formula>AND(BF49&lt;&gt;"",ISNUMBER(FIND(BF49,$Y49)))</formula>
    </cfRule>
  </conditionalFormatting>
  <conditionalFormatting sqref="M71:V91">
    <cfRule type="expression" dxfId="3" priority="709">
      <formula>M71=$L71</formula>
    </cfRule>
  </conditionalFormatting>
  <conditionalFormatting sqref="AB71:AK91">
    <cfRule type="expression" dxfId="7" priority="721">
      <formula>AND(AB71&lt;&gt;"",ISNUMBER(FIND(AB71,$AA71)))</formula>
    </cfRule>
  </conditionalFormatting>
  <conditionalFormatting sqref="AL71:AU91">
    <cfRule type="expression" dxfId="7" priority="720">
      <formula>AND(AL71&lt;&gt;"",ISNUMBER(FIND(AL71,$W71)))</formula>
    </cfRule>
  </conditionalFormatting>
  <conditionalFormatting sqref="AV71:BE91">
    <cfRule type="expression" dxfId="7" priority="719">
      <formula>AND(AV71&lt;&gt;"",ISNUMBER(FIND(AV71,$X71)))</formula>
    </cfRule>
  </conditionalFormatting>
  <conditionalFormatting sqref="BF71:BO91">
    <cfRule type="expression" dxfId="7" priority="718">
      <formula>AND(BF71&lt;&gt;"",ISNUMBER(FIND(BF71,$Y71)))</formula>
    </cfRule>
  </conditionalFormatting>
  <conditionalFormatting sqref="M92:V113">
    <cfRule type="expression" dxfId="3" priority="735">
      <formula>M92=$L92</formula>
    </cfRule>
  </conditionalFormatting>
  <conditionalFormatting sqref="AB92:AK113">
    <cfRule type="expression" dxfId="7" priority="747">
      <formula>AND(AB92&lt;&gt;"",ISNUMBER(FIND(AB92,$AA92)))</formula>
    </cfRule>
  </conditionalFormatting>
  <conditionalFormatting sqref="AL92:AU113">
    <cfRule type="expression" dxfId="7" priority="746">
      <formula>AND(AL92&lt;&gt;"",ISNUMBER(FIND(AL92,$W92)))</formula>
    </cfRule>
  </conditionalFormatting>
  <conditionalFormatting sqref="AV92:BE113">
    <cfRule type="expression" dxfId="7" priority="745">
      <formula>AND(AV92&lt;&gt;"",ISNUMBER(FIND(AV92,$X92)))</formula>
    </cfRule>
  </conditionalFormatting>
  <conditionalFormatting sqref="BF92:BO113">
    <cfRule type="expression" dxfId="7" priority="744">
      <formula>AND(BF92&lt;&gt;"",ISNUMBER(FIND(BF92,$Y92)))</formula>
    </cfRule>
  </conditionalFormatting>
  <conditionalFormatting sqref="M114:V115">
    <cfRule type="expression" dxfId="3" priority="761">
      <formula>M114=$L114</formula>
    </cfRule>
  </conditionalFormatting>
  <conditionalFormatting sqref="AB114:AK115">
    <cfRule type="expression" dxfId="7" priority="773">
      <formula>AND(AB114&lt;&gt;"",ISNUMBER(FIND(AB114,$AA114)))</formula>
    </cfRule>
  </conditionalFormatting>
  <conditionalFormatting sqref="AL114:AU115">
    <cfRule type="expression" dxfId="7" priority="772">
      <formula>AND(AL114&lt;&gt;"",ISNUMBER(FIND(AL114,$W114)))</formula>
    </cfRule>
  </conditionalFormatting>
  <conditionalFormatting sqref="AV114:BE115">
    <cfRule type="expression" dxfId="7" priority="771">
      <formula>AND(AV114&lt;&gt;"",ISNUMBER(FIND(AV114,$X114)))</formula>
    </cfRule>
  </conditionalFormatting>
  <conditionalFormatting sqref="BF114:BO115">
    <cfRule type="expression" dxfId="7" priority="770">
      <formula>AND(BF114&lt;&gt;"",ISNUMBER(FIND(BF114,$Y114)))</formula>
    </cfRule>
  </conditionalFormatting>
  <conditionalFormatting sqref="M116:V137">
    <cfRule type="expression" dxfId="3" priority="787">
      <formula>M116=$L116</formula>
    </cfRule>
  </conditionalFormatting>
  <conditionalFormatting sqref="AB116:AK137">
    <cfRule type="expression" dxfId="7" priority="799">
      <formula>AND(AB116&lt;&gt;"",ISNUMBER(FIND(AB116,$AA116)))</formula>
    </cfRule>
  </conditionalFormatting>
  <conditionalFormatting sqref="AL116:AU137">
    <cfRule type="expression" dxfId="7" priority="798">
      <formula>AND(AL116&lt;&gt;"",ISNUMBER(FIND(AL116,$W116)))</formula>
    </cfRule>
  </conditionalFormatting>
  <conditionalFormatting sqref="AV116:BE137">
    <cfRule type="expression" dxfId="7" priority="797">
      <formula>AND(AV116&lt;&gt;"",ISNUMBER(FIND(AV116,$X116)))</formula>
    </cfRule>
  </conditionalFormatting>
  <conditionalFormatting sqref="BF116:BO137">
    <cfRule type="expression" dxfId="7" priority="796">
      <formula>AND(BF116&lt;&gt;"",ISNUMBER(FIND(BF116,$Y116)))</formula>
    </cfRule>
  </conditionalFormatting>
  <conditionalFormatting sqref="M138:V160">
    <cfRule type="expression" dxfId="3" priority="813">
      <formula>M138=$L138</formula>
    </cfRule>
  </conditionalFormatting>
  <conditionalFormatting sqref="AB138:AK160">
    <cfRule type="expression" dxfId="7" priority="825">
      <formula>AND(AB138&lt;&gt;"",ISNUMBER(FIND(AB138,$AA138)))</formula>
    </cfRule>
  </conditionalFormatting>
  <conditionalFormatting sqref="AL138:AU160">
    <cfRule type="expression" dxfId="7" priority="824">
      <formula>AND(AL138&lt;&gt;"",ISNUMBER(FIND(AL138,$W138)))</formula>
    </cfRule>
  </conditionalFormatting>
  <conditionalFormatting sqref="AV138:BE160">
    <cfRule type="expression" dxfId="7" priority="823">
      <formula>AND(AV138&lt;&gt;"",ISNUMBER(FIND(AV138,$X138)))</formula>
    </cfRule>
  </conditionalFormatting>
  <conditionalFormatting sqref="BF138:BO160">
    <cfRule type="expression" dxfId="7" priority="822">
      <formula>AND(BF138&lt;&gt;"",ISNUMBER(FIND(BF138,$Y138)))</formula>
    </cfRule>
  </conditionalFormatting>
  <conditionalFormatting sqref="M161:V684 M708:V709">
    <cfRule type="expression" dxfId="3" priority="956">
      <formula>M161=$L161</formula>
    </cfRule>
  </conditionalFormatting>
  <conditionalFormatting sqref="AB161:AK684 AB708:AK709">
    <cfRule type="expression" dxfId="7" priority="972">
      <formula>AND(AB161&lt;&gt;"",ISNUMBER(FIND(AB161,$AA161)))</formula>
    </cfRule>
  </conditionalFormatting>
  <conditionalFormatting sqref="AL161:AU684 AL708:AU709">
    <cfRule type="expression" dxfId="7" priority="971">
      <formula>AND(AL161&lt;&gt;"",ISNUMBER(FIND(AL161,$W161)))</formula>
    </cfRule>
  </conditionalFormatting>
  <conditionalFormatting sqref="AV161:BE684 AV708:BE709">
    <cfRule type="expression" dxfId="7" priority="970">
      <formula>AND(AV161&lt;&gt;"",ISNUMBER(FIND(AV161,$X161)))</formula>
    </cfRule>
  </conditionalFormatting>
  <conditionalFormatting sqref="BF161:BO684 BF708:BO709">
    <cfRule type="expression" dxfId="7" priority="969">
      <formula>AND(BF161&lt;&gt;"",ISNUMBER(FIND(BF161,$Y161)))</formula>
    </cfRule>
  </conditionalFormatting>
  <conditionalFormatting sqref="BV161:BV684 BV708:BV753 BV784:BV1048576">
    <cfRule type="expression" dxfId="11" priority="940">
      <formula>$BV161="复中中"</formula>
    </cfRule>
    <cfRule type="expression" dxfId="3" priority="941">
      <formula>$BV161="复隔中"</formula>
    </cfRule>
    <cfRule type="expression" dxfId="12" priority="942">
      <formula>$BV161="中中中"</formula>
    </cfRule>
  </conditionalFormatting>
  <conditionalFormatting sqref="BZ161:BZ684 BZ708:BZ753 BZ784:BZ1048576">
    <cfRule type="expression" dxfId="11" priority="937">
      <formula>$BZ161="复中中"</formula>
    </cfRule>
    <cfRule type="expression" dxfId="3" priority="938">
      <formula>$BZ161="复隔中"</formula>
    </cfRule>
    <cfRule type="expression" dxfId="2" priority="939">
      <formula>$BZ161="中中中"</formula>
    </cfRule>
  </conditionalFormatting>
  <conditionalFormatting sqref="CD161:CD684 CD708:CD753 CD784:CD1048576">
    <cfRule type="expression" dxfId="11" priority="934">
      <formula>$CD161="复中中"</formula>
    </cfRule>
    <cfRule type="expression" dxfId="2" priority="935">
      <formula>$CD161="中中中"</formula>
    </cfRule>
    <cfRule type="expression" dxfId="3" priority="936">
      <formula>$CD161="复隔中"</formula>
    </cfRule>
  </conditionalFormatting>
  <conditionalFormatting sqref="CH161:CH684 CH708:CH753 CH784:CH48603">
    <cfRule type="expression" dxfId="0" priority="933">
      <formula>$CH161="邻孤孤"</formula>
    </cfRule>
  </conditionalFormatting>
  <conditionalFormatting sqref="CL161:CL684 CL708:CL753 CL784:CL8792">
    <cfRule type="expression" dxfId="0" priority="932">
      <formula>$CL161="邻孤孤"</formula>
    </cfRule>
  </conditionalFormatting>
  <conditionalFormatting sqref="CP161:CP684 CP708:CP753 CP784:CP6816">
    <cfRule type="expression" dxfId="0" priority="931">
      <formula>$CP161="邻孤孤"</formula>
    </cfRule>
  </conditionalFormatting>
  <pageMargins left="0.7" right="0.7" top="0.75" bottom="0.75" header="0.3" footer="0.3"/>
  <pageSetup paperSize="9" scale="73" fitToHeight="0" orientation="landscape"/>
  <headerFooter/>
  <ignoredErrors>
    <ignoredError sqref="C161:C682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P3" sqref="BP3"/>
    </sheetView>
  </sheetViews>
  <sheetFormatPr defaultColWidth="9" defaultRowHeight="13.5"/>
  <sheetData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19581B-F81A-480A-94EE-AEF1E38D5E0F}"/>
</file>

<file path=customXml/itemProps2.xml><?xml version="1.0" encoding="utf-8"?>
<ds:datastoreItem xmlns:ds="http://schemas.openxmlformats.org/officeDocument/2006/customXml" ds:itemID="{9FBCCD58-5BE0-4B42-89A7-9B4D28E2FC18}"/>
</file>

<file path=customXml/itemProps3.xml><?xml version="1.0" encoding="utf-8"?>
<ds:datastoreItem xmlns:ds="http://schemas.openxmlformats.org/officeDocument/2006/customXml" ds:itemID="{8DD72904-0FF4-4EF5-BCD4-489D2995BE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福彩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 星莹</dc:creator>
  <cp:lastModifiedBy>何正龙</cp:lastModifiedBy>
  <cp:lastPrinted>2025-11-10T06:06:00Z</cp:lastPrinted>
  <dcterms:created xsi:type="dcterms:W3CDTF">2025-11-09T05:54:00Z</dcterms:created>
  <dcterms:modified xsi:type="dcterms:W3CDTF">2025-12-07T02:23:45Z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3FBAF388B79A4D8197C2BADD9D578F4A_12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
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4725"/>
  </bookViews>
  <sheets>
    <sheet name="职业技能" sheetId="1" r:id="rId1"/>
    <sheet name="技能认证" sheetId="2" r:id="rId2"/>
    <sheet name="专业技术职务" sheetId="5" r:id="rId3"/>
    <sheet name="Sheet2" sheetId="6" r:id="rId4"/>
    <sheet name="资格分类值列表" sheetId="7" r:id="rId5"/>
    <sheet name="资格名称隐藏" sheetId="8" r:id="rId6"/>
    <sheet name="聘任专业技术资格名称值列表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<sst xmlns="http://schemas.openxmlformats.org/spreadsheetml/2006/main" count="1103" uniqueCount="712">
  <si>
    <t>一、填写说明：
1. 不允许删除列、隐藏列；不允许填写公式，必须采用粘贴数值的形式；
2. 表格中员工编码、姓名、部门正式名称、职位细分、在职状态字段仅为信息展示项，任何修改都是无效的；
3. 序号不允许更改，新增时也不需要修改；
4. 带*为必填项。
二、导入时仅处理填写了操作类型的数据行，“操作类型”说明：
1. U-更正：代表更正当前记录，更正这条记录上某个字段的数据；
2. N-新增：代表新增一条新记录；
3. D-删除：代表删除当前记录。</t>
  </si>
  <si>
    <t>序号</t>
  </si>
  <si>
    <t>操作类型</t>
  </si>
  <si>
    <t>A人员1</t>
  </si>
  <si>
    <t>AA人员1</t>
  </si>
  <si>
    <t>部门正式名称</t>
  </si>
  <si>
    <t>职位细分</t>
  </si>
  <si>
    <t>在职状态</t>
  </si>
  <si>
    <t>*取得日期</t>
  </si>
  <si>
    <t>到期日期</t>
  </si>
  <si>
    <t>*职业技能名称</t>
  </si>
  <si>
    <t>*职业技能等级</t>
  </si>
  <si>
    <t>鉴定单位</t>
  </si>
  <si>
    <t>职业技能证号</t>
  </si>
  <si>
    <t>备注</t>
  </si>
  <si>
    <t>最新来源</t>
  </si>
  <si>
    <t>*是否转型领域证书</t>
  </si>
  <si>
    <t>Aid_1</t>
  </si>
  <si>
    <t>A人员2</t>
  </si>
  <si>
    <t>AA人员2</t>
  </si>
  <si>
    <t>A公司1</t>
  </si>
  <si>
    <t>传输网运行维护</t>
  </si>
  <si>
    <t>在职</t>
  </si>
  <si>
    <t>Aid_2</t>
  </si>
  <si>
    <t>A人员3</t>
  </si>
  <si>
    <t>AA人员3</t>
  </si>
  <si>
    <t>A公司2</t>
  </si>
  <si>
    <t>政企业务支撑管理</t>
  </si>
  <si>
    <t>Aid_3</t>
  </si>
  <si>
    <t>A人员4</t>
  </si>
  <si>
    <t>AA人员4</t>
  </si>
  <si>
    <t>A公司3</t>
  </si>
  <si>
    <t>政企业务技术方案支撑</t>
  </si>
  <si>
    <t>Aid_4</t>
  </si>
  <si>
    <t>A人员5</t>
  </si>
  <si>
    <t>AA人员5</t>
  </si>
  <si>
    <t>A公司4</t>
  </si>
  <si>
    <t>网络优化管理</t>
  </si>
  <si>
    <t>Aid_5</t>
  </si>
  <si>
    <t>A人员6</t>
  </si>
  <si>
    <t>AA人员6</t>
  </si>
  <si>
    <t>A公司5</t>
  </si>
  <si>
    <t>见习</t>
  </si>
  <si>
    <t>Aid_6</t>
  </si>
  <si>
    <t>A人员7</t>
  </si>
  <si>
    <t>AA人员7</t>
  </si>
  <si>
    <t>A公司6</t>
  </si>
  <si>
    <t>家客业务支撑</t>
  </si>
  <si>
    <t>Aid_7</t>
  </si>
  <si>
    <t>A人员8</t>
  </si>
  <si>
    <t>AA人员8</t>
  </si>
  <si>
    <t>A公司7</t>
  </si>
  <si>
    <t>Aid_8</t>
  </si>
  <si>
    <t>A人员9</t>
  </si>
  <si>
    <t>AA人员9</t>
  </si>
  <si>
    <t>A公司8</t>
  </si>
  <si>
    <t>专线及云网业务支撑</t>
  </si>
  <si>
    <t>通信工程师（设备环境</t>
  </si>
  <si>
    <t>20-中级</t>
  </si>
  <si>
    <t>中华人民共和国人力资源和社会保障部、工业和信息化部</t>
  </si>
  <si>
    <t>Aid_9</t>
  </si>
  <si>
    <t>A人员10</t>
  </si>
  <si>
    <t>AA人员10</t>
  </si>
  <si>
    <t>A公司9</t>
  </si>
  <si>
    <t>Aid_10</t>
  </si>
  <si>
    <t>A人员11</t>
  </si>
  <si>
    <t>AA人员11</t>
  </si>
  <si>
    <t>A公司10</t>
  </si>
  <si>
    <t>Aid_11</t>
  </si>
  <si>
    <t>A人员12</t>
  </si>
  <si>
    <t>AA人员12</t>
  </si>
  <si>
    <t>A公司11</t>
  </si>
  <si>
    <t>Aid_12</t>
  </si>
  <si>
    <t>A人员13</t>
  </si>
  <si>
    <t>AA人员13</t>
  </si>
  <si>
    <t>A公司12</t>
  </si>
  <si>
    <t>Aid_13</t>
  </si>
  <si>
    <t>A人员14</t>
  </si>
  <si>
    <t>AA人员14</t>
  </si>
  <si>
    <t>A公司13</t>
  </si>
  <si>
    <t>Aid_14</t>
  </si>
  <si>
    <t>A人员15</t>
  </si>
  <si>
    <t>AA人员15</t>
  </si>
  <si>
    <t>A公司14</t>
  </si>
  <si>
    <t>Aid_15</t>
  </si>
  <si>
    <t>A人员16</t>
  </si>
  <si>
    <t>AA人员16</t>
  </si>
  <si>
    <t>A公司15</t>
  </si>
  <si>
    <t>核心网运行维护</t>
  </si>
  <si>
    <t>Aid_16</t>
  </si>
  <si>
    <t>A人员17</t>
  </si>
  <si>
    <t>AA人员17</t>
  </si>
  <si>
    <t>A公司16</t>
  </si>
  <si>
    <t>网络运维支撑</t>
  </si>
  <si>
    <t>Aid_17</t>
  </si>
  <si>
    <t>A人员18</t>
  </si>
  <si>
    <t>AA人员18</t>
  </si>
  <si>
    <t>A公司17</t>
  </si>
  <si>
    <t>网络信息安全生产</t>
  </si>
  <si>
    <t>Aid_18</t>
  </si>
  <si>
    <t>A人员19</t>
  </si>
  <si>
    <t>AA人员19</t>
  </si>
  <si>
    <t>A公司18</t>
  </si>
  <si>
    <t>家客业务支撑管理</t>
  </si>
  <si>
    <t>Aid_19</t>
  </si>
  <si>
    <t>A人员20</t>
  </si>
  <si>
    <t>AA人员20</t>
  </si>
  <si>
    <t>A公司19</t>
  </si>
  <si>
    <t>Aid_20</t>
  </si>
  <si>
    <t>A人员21</t>
  </si>
  <si>
    <t>AA人员21</t>
  </si>
  <si>
    <t>A公司20</t>
  </si>
  <si>
    <t>Aid_21</t>
  </si>
  <si>
    <t>A人员22</t>
  </si>
  <si>
    <t>AA人员22</t>
  </si>
  <si>
    <t>A公司21</t>
  </si>
  <si>
    <t>Aid_22</t>
  </si>
  <si>
    <t>A人员23</t>
  </si>
  <si>
    <t>AA人员23</t>
  </si>
  <si>
    <t>A公司22</t>
  </si>
  <si>
    <t>Aid_23</t>
  </si>
  <si>
    <t>A人员24</t>
  </si>
  <si>
    <t>AA人员24</t>
  </si>
  <si>
    <t>A公司23</t>
  </si>
  <si>
    <t>县公司部门经理</t>
  </si>
  <si>
    <t>Aid_24</t>
  </si>
  <si>
    <t>A人员25</t>
  </si>
  <si>
    <t>AA人员25</t>
  </si>
  <si>
    <t>A公司24</t>
  </si>
  <si>
    <t>Aid_25</t>
  </si>
  <si>
    <t>A人员26</t>
  </si>
  <si>
    <t>AA人员26</t>
  </si>
  <si>
    <t>A公司25</t>
  </si>
  <si>
    <t>地市公司营销中心部门经理</t>
  </si>
  <si>
    <t>Aid_26</t>
  </si>
  <si>
    <t>A人员27</t>
  </si>
  <si>
    <t>AA人员27</t>
  </si>
  <si>
    <t>A公司26</t>
  </si>
  <si>
    <t>工程建设管理</t>
  </si>
  <si>
    <t>Aid_27</t>
  </si>
  <si>
    <t>A人员28</t>
  </si>
  <si>
    <t>AA人员28</t>
  </si>
  <si>
    <t>A公司27</t>
  </si>
  <si>
    <t>Aid_28</t>
  </si>
  <si>
    <t>A人员29</t>
  </si>
  <si>
    <t>AA人员29</t>
  </si>
  <si>
    <t>A公司28</t>
  </si>
  <si>
    <t>Aid_29</t>
  </si>
  <si>
    <t>A人员30</t>
  </si>
  <si>
    <t>AA人员30</t>
  </si>
  <si>
    <t>A公司29</t>
  </si>
  <si>
    <t>Aid_30</t>
  </si>
  <si>
    <t>A人员31</t>
  </si>
  <si>
    <t>AA人员31</t>
  </si>
  <si>
    <t>A公司30</t>
  </si>
  <si>
    <t>Aid_31</t>
  </si>
  <si>
    <t>A人员32</t>
  </si>
  <si>
    <t>AA人员32</t>
  </si>
  <si>
    <t>A公司31</t>
  </si>
  <si>
    <t>Aid_32</t>
  </si>
  <si>
    <t>A人员33</t>
  </si>
  <si>
    <t>AA人员33</t>
  </si>
  <si>
    <t>A公司32</t>
  </si>
  <si>
    <t>Aid_33</t>
  </si>
  <si>
    <t>A人员34</t>
  </si>
  <si>
    <t>AA人员34</t>
  </si>
  <si>
    <t>A公司33</t>
  </si>
  <si>
    <t>联通时科传媒有限公司</t>
  </si>
  <si>
    <t>Aid_34</t>
  </si>
  <si>
    <t>A人员35</t>
  </si>
  <si>
    <t>AA人员35</t>
  </si>
  <si>
    <t>A公司34</t>
  </si>
  <si>
    <t>Aid_35</t>
  </si>
  <si>
    <t>A人员36</t>
  </si>
  <si>
    <t>AA人员36</t>
  </si>
  <si>
    <t>A公司35</t>
  </si>
  <si>
    <t>Aid_36</t>
  </si>
  <si>
    <t>A人员37</t>
  </si>
  <si>
    <t>AA人员37</t>
  </si>
  <si>
    <t>A公司36</t>
  </si>
  <si>
    <t>网络规划管理</t>
  </si>
  <si>
    <t>Aid_37</t>
  </si>
  <si>
    <t>A人员38</t>
  </si>
  <si>
    <t>AA人员38</t>
  </si>
  <si>
    <t>A公司37</t>
  </si>
  <si>
    <t>Aid_38</t>
  </si>
  <si>
    <t>A人员39</t>
  </si>
  <si>
    <t>AA人员39</t>
  </si>
  <si>
    <t>A公司38</t>
  </si>
  <si>
    <t>工程事务</t>
  </si>
  <si>
    <t>Aid_39</t>
  </si>
  <si>
    <t>A人员40</t>
  </si>
  <si>
    <t>AA人员40</t>
  </si>
  <si>
    <t>A公司39</t>
  </si>
  <si>
    <t>一、填写说明：
1. 不允许删除列、隐藏列；不允许填写公式，必须采用粘贴数值的形式；
2. 表格中员工编码、员工姓名、部门正式名称、职位细分、在职状态字段仅为信息展示项，任何修改都是无效的；
3. 序号不允许更改，新增时也不需要修改；
4. 带*为必填项；
5. 日期格式为YYYY/MM/DD。
二、导入时仅处理填写了操作类型的数据行，“操作类型”说明：
1. U-更正：代表更正当前记录，更正这条记录上某个字段的数据；
2. N-新增：代表新增一条新记录；
3. D-删除：代表删除当前记录。</t>
  </si>
  <si>
    <t>B人员1</t>
  </si>
  <si>
    <t>BB人员1</t>
  </si>
  <si>
    <t>*获得日期</t>
  </si>
  <si>
    <t>*技能认证名称</t>
  </si>
  <si>
    <t>技能认证成绩</t>
  </si>
  <si>
    <t>认证等级</t>
  </si>
  <si>
    <t>认证单位</t>
  </si>
  <si>
    <t>证书编号</t>
  </si>
  <si>
    <t>Bid1</t>
  </si>
  <si>
    <t>B人员2</t>
  </si>
  <si>
    <t>BB人员2</t>
  </si>
  <si>
    <t>B公司1</t>
  </si>
  <si>
    <t>Bid2</t>
  </si>
  <si>
    <t>B人员3</t>
  </si>
  <si>
    <t>BB人员3</t>
  </si>
  <si>
    <t>B公司2</t>
  </si>
  <si>
    <t>Bid3</t>
  </si>
  <si>
    <t>B人员4</t>
  </si>
  <si>
    <t>BB人员4</t>
  </si>
  <si>
    <t>B公司3</t>
  </si>
  <si>
    <t>Bid4</t>
  </si>
  <si>
    <t>B人员5</t>
  </si>
  <si>
    <t>BB人员5</t>
  </si>
  <si>
    <t>B公司4</t>
  </si>
  <si>
    <t>Bid5</t>
  </si>
  <si>
    <t>B人员6</t>
  </si>
  <si>
    <t>BB人员6</t>
  </si>
  <si>
    <t>B公司5</t>
  </si>
  <si>
    <t>Bid6</t>
  </si>
  <si>
    <t>B人员7</t>
  </si>
  <si>
    <t>BB人员7</t>
  </si>
  <si>
    <t>B公司6</t>
  </si>
  <si>
    <t>Bid7</t>
  </si>
  <si>
    <t>B人员8</t>
  </si>
  <si>
    <t>BB人员8</t>
  </si>
  <si>
    <t>B公司7</t>
  </si>
  <si>
    <t>Bid8</t>
  </si>
  <si>
    <t>B人员9</t>
  </si>
  <si>
    <t>BB人员9</t>
  </si>
  <si>
    <t>B公司8</t>
  </si>
  <si>
    <t>Bid9</t>
  </si>
  <si>
    <t>B人员10</t>
  </si>
  <si>
    <t>BB人员10</t>
  </si>
  <si>
    <t>B公司9</t>
  </si>
  <si>
    <t>Bid10</t>
  </si>
  <si>
    <t>B人员11</t>
  </si>
  <si>
    <t>BB人员11</t>
  </si>
  <si>
    <t>B公司10</t>
  </si>
  <si>
    <t>Bid11</t>
  </si>
  <si>
    <t>B人员12</t>
  </si>
  <si>
    <t>BB人员12</t>
  </si>
  <si>
    <t>B公司11</t>
  </si>
  <si>
    <t>Bid12</t>
  </si>
  <si>
    <t>B人员13</t>
  </si>
  <si>
    <t>BB人员13</t>
  </si>
  <si>
    <t>B公司12</t>
  </si>
  <si>
    <t>Bid13</t>
  </si>
  <si>
    <t>B人员14</t>
  </si>
  <si>
    <t>BB人员14</t>
  </si>
  <si>
    <t>B公司13</t>
  </si>
  <si>
    <t>Bid14</t>
  </si>
  <si>
    <t>B人员15</t>
  </si>
  <si>
    <t>BB人员15</t>
  </si>
  <si>
    <t>B公司14</t>
  </si>
  <si>
    <t>Bid15</t>
  </si>
  <si>
    <t>B人员16</t>
  </si>
  <si>
    <t>BB人员16</t>
  </si>
  <si>
    <t>B公司15</t>
  </si>
  <si>
    <t>Bid16</t>
  </si>
  <si>
    <t>B人员17</t>
  </si>
  <si>
    <t>BB人员17</t>
  </si>
  <si>
    <t>B公司16</t>
  </si>
  <si>
    <t>Bid17</t>
  </si>
  <si>
    <t>B人员18</t>
  </si>
  <si>
    <t>BB人员18</t>
  </si>
  <si>
    <t>B公司17</t>
  </si>
  <si>
    <t>Bid18</t>
  </si>
  <si>
    <t>B人员19</t>
  </si>
  <si>
    <t>BB人员19</t>
  </si>
  <si>
    <t>B公司18</t>
  </si>
  <si>
    <t>Bid19</t>
  </si>
  <si>
    <t>B人员20</t>
  </si>
  <si>
    <t>BB人员20</t>
  </si>
  <si>
    <t>B公司19</t>
  </si>
  <si>
    <t>Bid20</t>
  </si>
  <si>
    <t>B人员21</t>
  </si>
  <si>
    <t>BB人员21</t>
  </si>
  <si>
    <t>B公司20</t>
  </si>
  <si>
    <t>Bid21</t>
  </si>
  <si>
    <t>B人员22</t>
  </si>
  <si>
    <t>BB人员22</t>
  </si>
  <si>
    <t>B公司21</t>
  </si>
  <si>
    <t>Bid22</t>
  </si>
  <si>
    <t>B人员23</t>
  </si>
  <si>
    <t>BB人员23</t>
  </si>
  <si>
    <t>B公司22</t>
  </si>
  <si>
    <t>Bid23</t>
  </si>
  <si>
    <t>B人员24</t>
  </si>
  <si>
    <t>BB人员24</t>
  </si>
  <si>
    <t>B公司23</t>
  </si>
  <si>
    <t>Bid24</t>
  </si>
  <si>
    <t>B人员25</t>
  </si>
  <si>
    <t>BB人员25</t>
  </si>
  <si>
    <t>B公司24</t>
  </si>
  <si>
    <t>Bid25</t>
  </si>
  <si>
    <t>B人员26</t>
  </si>
  <si>
    <t>BB人员26</t>
  </si>
  <si>
    <t>B公司25</t>
  </si>
  <si>
    <t>Bid26</t>
  </si>
  <si>
    <t>B人员27</t>
  </si>
  <si>
    <t>BB人员27</t>
  </si>
  <si>
    <t>B公司26</t>
  </si>
  <si>
    <t>Bid27</t>
  </si>
  <si>
    <t>B人员28</t>
  </si>
  <si>
    <t>BB人员28</t>
  </si>
  <si>
    <t>B公司27</t>
  </si>
  <si>
    <t>Bid28</t>
  </si>
  <si>
    <t>B人员29</t>
  </si>
  <si>
    <t>BB人员29</t>
  </si>
  <si>
    <t>B公司28</t>
  </si>
  <si>
    <t>Bid29</t>
  </si>
  <si>
    <t>B人员30</t>
  </si>
  <si>
    <t>BB人员30</t>
  </si>
  <si>
    <t>B公司29</t>
  </si>
  <si>
    <t>Bid30</t>
  </si>
  <si>
    <t>B人员31</t>
  </si>
  <si>
    <t>BB人员31</t>
  </si>
  <si>
    <t>B公司30</t>
  </si>
  <si>
    <t>Bid31</t>
  </si>
  <si>
    <t>B人员32</t>
  </si>
  <si>
    <t>BB人员32</t>
  </si>
  <si>
    <t>B公司31</t>
  </si>
  <si>
    <t>Bid32</t>
  </si>
  <si>
    <t>B人员33</t>
  </si>
  <si>
    <t>BB人员33</t>
  </si>
  <si>
    <t>B公司32</t>
  </si>
  <si>
    <t>Bid33</t>
  </si>
  <si>
    <t>B人员34</t>
  </si>
  <si>
    <t>BB人员34</t>
  </si>
  <si>
    <t>B公司33</t>
  </si>
  <si>
    <t>Bid34</t>
  </si>
  <si>
    <t>B人员35</t>
  </si>
  <si>
    <t>BB人员35</t>
  </si>
  <si>
    <t>B公司34</t>
  </si>
  <si>
    <t>飞利信信息有限公司</t>
  </si>
  <si>
    <t>Bid35</t>
  </si>
  <si>
    <t>B人员36</t>
  </si>
  <si>
    <t>BB人员36</t>
  </si>
  <si>
    <t>B公司35</t>
  </si>
  <si>
    <t>Bid36</t>
  </si>
  <si>
    <t>B人员37</t>
  </si>
  <si>
    <t>BB人员37</t>
  </si>
  <si>
    <t>B公司36</t>
  </si>
  <si>
    <t>Bid37</t>
  </si>
  <si>
    <t>B人员38</t>
  </si>
  <si>
    <t>BB人员38</t>
  </si>
  <si>
    <t>B公司37</t>
  </si>
  <si>
    <t>Bid38</t>
  </si>
  <si>
    <t>B人员39</t>
  </si>
  <si>
    <t>BB人员39</t>
  </si>
  <si>
    <t>B公司38</t>
  </si>
  <si>
    <t>Bid39</t>
  </si>
  <si>
    <t>B人员40</t>
  </si>
  <si>
    <t>BB人员40</t>
  </si>
  <si>
    <t>B公司39</t>
  </si>
  <si>
    <t>一、填写说明：
1. 不允许删除列、隐藏列；不允许填写公式，必须采用粘贴数值的形式；
2. 序号不允许更改，新增时也不需要修改；
3. 带*为必填项。
二、导入时仅处理填写了操作类型的数据行，“操作类型”说明：
1. U-更正：代表更正当前记录，更正这条记录上某个字段的数据；
2. D-删除：代表删除当前记录。</t>
  </si>
  <si>
    <t>孙萍</t>
  </si>
  <si>
    <t>李艳</t>
  </si>
  <si>
    <t>顺序</t>
  </si>
  <si>
    <t>戴硕电子信息有限公司</t>
  </si>
  <si>
    <t>*资格等级</t>
  </si>
  <si>
    <t>*资格名称</t>
  </si>
  <si>
    <t>*取得资格途径</t>
  </si>
  <si>
    <t>*资格审批单位</t>
  </si>
  <si>
    <t>聘任专业技术资格名称</t>
  </si>
  <si>
    <t>聘任等级</t>
  </si>
  <si>
    <t>聘任起始日期</t>
  </si>
  <si>
    <t>聘任终止日期</t>
  </si>
  <si>
    <t>聘任单位</t>
  </si>
  <si>
    <t>聘任情况</t>
  </si>
  <si>
    <t>130</t>
  </si>
  <si>
    <t>E0023070187</t>
  </si>
  <si>
    <t>E0023070188</t>
  </si>
  <si>
    <t>白圣梅</t>
  </si>
  <si>
    <t>新宇龙信息科技有限公司</t>
  </si>
  <si>
    <t>网络运维管理</t>
  </si>
  <si>
    <t>2017-09-23</t>
  </si>
  <si>
    <t>GC-工程技术人员</t>
  </si>
  <si>
    <t>30-中级</t>
  </si>
  <si>
    <t>104-工程师-GC-工程技术人员</t>
  </si>
  <si>
    <t>10-考试</t>
  </si>
  <si>
    <t>1722329820</t>
  </si>
  <si>
    <t>SELF-自助门户</t>
  </si>
  <si>
    <t>Y-是</t>
  </si>
  <si>
    <t>1089</t>
  </si>
  <si>
    <t>张淑英</t>
  </si>
  <si>
    <t>包秋忠</t>
  </si>
  <si>
    <t>维涛信息有限公司</t>
  </si>
  <si>
    <t/>
  </si>
  <si>
    <t>903</t>
  </si>
  <si>
    <t>邓萍</t>
  </si>
  <si>
    <t>包文路</t>
  </si>
  <si>
    <t>陈洋</t>
  </si>
  <si>
    <t>1597</t>
  </si>
  <si>
    <t>张荣</t>
  </si>
  <si>
    <t>江杰</t>
  </si>
  <si>
    <t>联软网络有限公司</t>
  </si>
  <si>
    <t>张婷</t>
  </si>
  <si>
    <t>218</t>
  </si>
  <si>
    <t>E0023070371</t>
  </si>
  <si>
    <t>E0023070372</t>
  </si>
  <si>
    <t>刘帆</t>
  </si>
  <si>
    <t>许旭</t>
  </si>
  <si>
    <t>业务与系统支撑</t>
  </si>
  <si>
    <t>曹玉英</t>
  </si>
  <si>
    <t>2023-10-14</t>
  </si>
  <si>
    <t>人力资源和社会保障部、工业和信息化部</t>
  </si>
  <si>
    <t>CORE-人事核心</t>
  </si>
  <si>
    <t>1461</t>
  </si>
  <si>
    <t>沙杨</t>
  </si>
  <si>
    <t>晁望童</t>
  </si>
  <si>
    <t>鑫博腾飞传媒有限公司</t>
  </si>
  <si>
    <t>263</t>
  </si>
  <si>
    <t>E0023070445</t>
  </si>
  <si>
    <t>何洋</t>
  </si>
  <si>
    <t>网新恒天传媒有限公司</t>
  </si>
  <si>
    <t>刘兵</t>
  </si>
  <si>
    <t>997</t>
  </si>
  <si>
    <t>E0023077793</t>
  </si>
  <si>
    <t>泰麒麟传媒有限公司</t>
  </si>
  <si>
    <t>陶春梅</t>
  </si>
  <si>
    <t>865</t>
  </si>
  <si>
    <t>E0023077020</t>
  </si>
  <si>
    <t>王玉</t>
  </si>
  <si>
    <t>维旺明信息有限公司</t>
  </si>
  <si>
    <t>孙琴</t>
  </si>
  <si>
    <t>1424</t>
  </si>
  <si>
    <t>E1000042163</t>
  </si>
  <si>
    <t>陈利</t>
  </si>
  <si>
    <t>惠派国际公司网络有限公司</t>
  </si>
  <si>
    <t>张超</t>
  </si>
  <si>
    <t>2022-11-26</t>
  </si>
  <si>
    <t>31320221032032300127</t>
  </si>
  <si>
    <t>1396</t>
  </si>
  <si>
    <t>柴洁</t>
  </si>
  <si>
    <t>侯淑兰</t>
  </si>
  <si>
    <t>巨奥网络有限公司</t>
  </si>
  <si>
    <t>王璐</t>
  </si>
  <si>
    <t>1603</t>
  </si>
  <si>
    <t>E1000102403</t>
  </si>
  <si>
    <t>E1000102404</t>
  </si>
  <si>
    <t>李林</t>
  </si>
  <si>
    <t>天益信息有限公司</t>
  </si>
  <si>
    <t>谢雪梅</t>
  </si>
  <si>
    <t>781</t>
  </si>
  <si>
    <t>李亮</t>
  </si>
  <si>
    <t>王帆</t>
  </si>
  <si>
    <t>开发区世创网络有限公司</t>
  </si>
  <si>
    <t>无线网优化</t>
  </si>
  <si>
    <t>赵淑珍</t>
  </si>
  <si>
    <t>68</t>
  </si>
  <si>
    <t>E0023070102</t>
  </si>
  <si>
    <t>徐丽丽</t>
  </si>
  <si>
    <t>群英科技有限公司</t>
  </si>
  <si>
    <t>王建军</t>
  </si>
  <si>
    <t>2003-09-01</t>
  </si>
  <si>
    <t>通信行业</t>
  </si>
  <si>
    <t>69</t>
  </si>
  <si>
    <t>郑秀华</t>
  </si>
  <si>
    <t>昂歌信息信息有限公司</t>
  </si>
  <si>
    <t>赵艳</t>
  </si>
  <si>
    <t>1998-08-01</t>
  </si>
  <si>
    <t>40-初级</t>
  </si>
  <si>
    <t>105-助理工程师-GC-工程技术人员</t>
  </si>
  <si>
    <t>徐州邮电局</t>
  </si>
  <si>
    <t>963</t>
  </si>
  <si>
    <t>E0023077630</t>
  </si>
  <si>
    <t>程曦</t>
  </si>
  <si>
    <t>诺依曼软件传媒有限公司</t>
  </si>
  <si>
    <t>974</t>
  </si>
  <si>
    <t>E0023077674</t>
  </si>
  <si>
    <t>宾洁</t>
  </si>
  <si>
    <t>图龙信息网络有限公司</t>
  </si>
  <si>
    <t>姜燕</t>
  </si>
  <si>
    <t>893</t>
  </si>
  <si>
    <t>李红霞</t>
  </si>
  <si>
    <t>单晓芳</t>
  </si>
  <si>
    <t>天开科技有限公司</t>
  </si>
  <si>
    <t>231</t>
  </si>
  <si>
    <t>李娜</t>
  </si>
  <si>
    <t>陈燕</t>
  </si>
  <si>
    <t>诺依曼软件网络有限公司</t>
  </si>
  <si>
    <t>程涛</t>
  </si>
  <si>
    <t>1065</t>
  </si>
  <si>
    <t>马兵</t>
  </si>
  <si>
    <t>高彬</t>
  </si>
  <si>
    <t>信诚致远信息有限公司</t>
  </si>
  <si>
    <t>程颖</t>
  </si>
  <si>
    <t>235</t>
  </si>
  <si>
    <t>吴倩</t>
  </si>
  <si>
    <t>董波</t>
  </si>
  <si>
    <t>海创信息有限公司</t>
  </si>
  <si>
    <t>188</t>
  </si>
  <si>
    <t>高东</t>
  </si>
  <si>
    <t>窦霖</t>
  </si>
  <si>
    <t>济南亿次元信息有限公司</t>
  </si>
  <si>
    <t>2020-10-17</t>
  </si>
  <si>
    <t>中华人民共和国人力资源和社会保障部、中华人民共和国工业和信息</t>
  </si>
  <si>
    <t>31320201032032200264</t>
  </si>
  <si>
    <t>32</t>
  </si>
  <si>
    <t>刘雪梅</t>
  </si>
  <si>
    <t>程凤英</t>
  </si>
  <si>
    <t>襄樊地球村网络有限公司</t>
  </si>
  <si>
    <t>叶娟</t>
  </si>
  <si>
    <t>2007-12-31</t>
  </si>
  <si>
    <t>信息产业部</t>
  </si>
  <si>
    <t>0710335511</t>
  </si>
  <si>
    <t>N-否</t>
  </si>
  <si>
    <t>33</t>
  </si>
  <si>
    <t>丁静</t>
  </si>
  <si>
    <t>程楠</t>
  </si>
  <si>
    <t>网新恒天网络有限公司</t>
  </si>
  <si>
    <t>徐凤英</t>
  </si>
  <si>
    <t>1995-09-01</t>
  </si>
  <si>
    <t>20-企业内部评定</t>
  </si>
  <si>
    <t>1074</t>
  </si>
  <si>
    <t>陈秀华</t>
  </si>
  <si>
    <t>杜强</t>
  </si>
  <si>
    <t>商软冠联科技有限公司</t>
  </si>
  <si>
    <t>数字100网络有限公司</t>
  </si>
  <si>
    <t>2011-08-29</t>
  </si>
  <si>
    <t>江苏省人力资源和社会保障厅</t>
  </si>
  <si>
    <t>10577572071</t>
  </si>
  <si>
    <t>1075</t>
  </si>
  <si>
    <t>张丽</t>
  </si>
  <si>
    <t>合联电子科技有限公司</t>
  </si>
  <si>
    <t>97</t>
  </si>
  <si>
    <t>赵琴</t>
  </si>
  <si>
    <t>段煜</t>
  </si>
  <si>
    <t>国讯传媒有限公司</t>
  </si>
  <si>
    <t>1248</t>
  </si>
  <si>
    <t>潘静</t>
  </si>
  <si>
    <t>范彬</t>
  </si>
  <si>
    <t>艾提科信信息有限公司</t>
  </si>
  <si>
    <t>1249</t>
  </si>
  <si>
    <t>仝平</t>
  </si>
  <si>
    <t>晖来计算机传媒有限公司</t>
  </si>
  <si>
    <t>2011-12-31</t>
  </si>
  <si>
    <t>1110406681</t>
  </si>
  <si>
    <t>交换技术（中级）</t>
  </si>
  <si>
    <t>1250</t>
  </si>
  <si>
    <t>杨亮</t>
  </si>
  <si>
    <t>黄石金承网络有限公司</t>
  </si>
  <si>
    <t>31320221032032500136</t>
  </si>
  <si>
    <t>传输与接入（中级）</t>
  </si>
  <si>
    <t>265</t>
  </si>
  <si>
    <t>E0023070448</t>
  </si>
  <si>
    <t>E0023070449</t>
  </si>
  <si>
    <t>陈宇</t>
  </si>
  <si>
    <t>思优科技有限公司</t>
  </si>
  <si>
    <t>甘俊</t>
  </si>
  <si>
    <t>31320221032032400259</t>
  </si>
  <si>
    <t>1111</t>
  </si>
  <si>
    <t>郑坤</t>
  </si>
  <si>
    <t>付锦</t>
  </si>
  <si>
    <t>毕博诚科技有限公司</t>
  </si>
  <si>
    <t>1167</t>
  </si>
  <si>
    <t>赵桂英</t>
  </si>
  <si>
    <t>李红</t>
  </si>
  <si>
    <t>济南亿次元传媒有限公司</t>
  </si>
  <si>
    <t>高勇</t>
  </si>
  <si>
    <t>1526</t>
  </si>
  <si>
    <t>E1000088245</t>
  </si>
  <si>
    <t>E1000088246</t>
  </si>
  <si>
    <t>高晓娜</t>
  </si>
  <si>
    <t>戴硕电子传媒有限公司</t>
  </si>
  <si>
    <t>动力运行维护</t>
  </si>
  <si>
    <t>1118</t>
  </si>
  <si>
    <t>林琴</t>
  </si>
  <si>
    <t>高玉</t>
  </si>
  <si>
    <t>惠派国际公司信息有限公司</t>
  </si>
  <si>
    <t>142</t>
  </si>
  <si>
    <t>黄娟</t>
  </si>
  <si>
    <t>龚鹏</t>
  </si>
  <si>
    <t>国讯信息有限公司</t>
  </si>
  <si>
    <t>326</t>
  </si>
  <si>
    <t>E0023070784</t>
  </si>
  <si>
    <t>E0023070785</t>
  </si>
  <si>
    <t>夏冬梅</t>
  </si>
  <si>
    <t>易动力网络有限公司</t>
  </si>
  <si>
    <t>无线网运行维护</t>
  </si>
  <si>
    <t>陈林</t>
  </si>
  <si>
    <t>1491</t>
  </si>
  <si>
    <t>刘洁</t>
  </si>
  <si>
    <t>郑雪</t>
  </si>
  <si>
    <t>佳禾科技有限公司</t>
  </si>
  <si>
    <t>张玉华</t>
  </si>
  <si>
    <t>254</t>
  </si>
  <si>
    <t>E0023070427</t>
  </si>
  <si>
    <t>E0023070428</t>
  </si>
  <si>
    <t>王龙</t>
  </si>
  <si>
    <t>易莉</t>
  </si>
  <si>
    <t>2011-12-30</t>
  </si>
  <si>
    <t>MBP软件传媒有限公司</t>
  </si>
  <si>
    <t>1110405953</t>
  </si>
  <si>
    <t>KX-科学研究人员</t>
  </si>
  <si>
    <t>JX-教学人员</t>
  </si>
  <si>
    <t>KJ-会计人员</t>
  </si>
  <si>
    <t>TJ-统计专业人员</t>
  </si>
  <si>
    <t>TS-图书档案文博人员</t>
  </si>
  <si>
    <t>LS-公共法律服务专业人员</t>
  </si>
  <si>
    <t>GM-工艺美术专业人员</t>
  </si>
  <si>
    <t>NY-农业技术人员</t>
  </si>
  <si>
    <t>WS-卫生技术人员</t>
  </si>
  <si>
    <t>JJ-经济专业人员</t>
  </si>
  <si>
    <t>SJ-审计专业人员</t>
  </si>
  <si>
    <t>FY-翻译专业人员</t>
  </si>
  <si>
    <t>XW-新闻出版人员</t>
  </si>
  <si>
    <t>BY-播音主持专业人员</t>
  </si>
  <si>
    <t>TY-体育专业人员</t>
  </si>
  <si>
    <t>ZG-政工人员</t>
  </si>
  <si>
    <t>ZX-中小学教师</t>
  </si>
  <si>
    <t>WB-文物博物专业人员</t>
  </si>
  <si>
    <t>JG-技工院校教师</t>
  </si>
  <si>
    <t>PB-出版专业人员</t>
  </si>
  <si>
    <t>SK-哲学社会科学研究人员</t>
  </si>
  <si>
    <t>ZK-自然科学研究人员</t>
  </si>
  <si>
    <t>ZZ-中等职业学校教师</t>
  </si>
  <si>
    <t>HS-高等学校教师</t>
  </si>
  <si>
    <t>NW-新闻专业人员</t>
  </si>
  <si>
    <t>王伟</t>
  </si>
  <si>
    <t>MH-民用航空飞行技术人员</t>
  </si>
  <si>
    <t>SY-实验技术人员</t>
  </si>
  <si>
    <t>TZ-图书资料专业人员</t>
  </si>
  <si>
    <t>DA-档案专业人员</t>
  </si>
  <si>
    <t>title1</t>
  </si>
  <si>
    <t>title2</t>
  </si>
  <si>
    <t>title3</t>
  </si>
  <si>
    <t>title4</t>
  </si>
  <si>
    <t>title5</t>
  </si>
  <si>
    <t>title6</t>
  </si>
  <si>
    <t>title7</t>
  </si>
  <si>
    <t>title8</t>
  </si>
  <si>
    <t>title9</t>
  </si>
  <si>
    <t>title10</t>
  </si>
  <si>
    <t>title11</t>
  </si>
  <si>
    <t>title12</t>
  </si>
  <si>
    <t>title13</t>
  </si>
  <si>
    <t>title14</t>
  </si>
  <si>
    <t>title15</t>
  </si>
  <si>
    <t>title16</t>
  </si>
  <si>
    <t>title17</t>
  </si>
  <si>
    <t>title18</t>
  </si>
  <si>
    <t>title19</t>
  </si>
  <si>
    <t>title20</t>
  </si>
  <si>
    <t>title21</t>
  </si>
  <si>
    <t>title22</t>
  </si>
  <si>
    <t>title23</t>
  </si>
  <si>
    <t>title24</t>
  </si>
  <si>
    <t>title25</t>
  </si>
  <si>
    <t>title26</t>
  </si>
  <si>
    <t>title27</t>
  </si>
  <si>
    <t>title28</t>
  </si>
  <si>
    <t>title29</t>
  </si>
  <si>
    <t>title30</t>
  </si>
  <si>
    <t>title31</t>
  </si>
  <si>
    <t>title32</t>
  </si>
  <si>
    <t>title33</t>
  </si>
  <si>
    <t>title34</t>
  </si>
  <si>
    <t>title35</t>
  </si>
  <si>
    <t>title36</t>
  </si>
  <si>
    <t>title37</t>
  </si>
  <si>
    <t>title38</t>
  </si>
  <si>
    <t>title39</t>
  </si>
  <si>
    <t>title40</t>
  </si>
  <si>
    <t>title41</t>
  </si>
  <si>
    <t>occ1</t>
  </si>
  <si>
    <t>occ2</t>
  </si>
  <si>
    <t>occ3</t>
  </si>
  <si>
    <t>occ4</t>
  </si>
  <si>
    <t>occ5</t>
  </si>
  <si>
    <t>occ6</t>
  </si>
  <si>
    <t>occ7</t>
  </si>
  <si>
    <t>occ8</t>
  </si>
  <si>
    <t>occ9</t>
  </si>
  <si>
    <t>occ10</t>
  </si>
  <si>
    <t>occ11</t>
  </si>
  <si>
    <t>occ12</t>
  </si>
  <si>
    <t>occ13</t>
  </si>
  <si>
    <t>occ14</t>
  </si>
  <si>
    <t>occ15</t>
  </si>
  <si>
    <t>occ16</t>
  </si>
  <si>
    <t>occ17</t>
  </si>
  <si>
    <t>occ18</t>
  </si>
  <si>
    <t>occ19</t>
  </si>
  <si>
    <t>occ20</t>
  </si>
  <si>
    <t>occ21</t>
  </si>
  <si>
    <t>occ22</t>
  </si>
  <si>
    <t>occ23</t>
  </si>
  <si>
    <t>occ24</t>
  </si>
  <si>
    <t>occ25</t>
  </si>
  <si>
    <t>occ26</t>
  </si>
  <si>
    <t>occ27</t>
  </si>
  <si>
    <t>occ28</t>
  </si>
  <si>
    <t>occ29</t>
  </si>
  <si>
    <t>occ30</t>
  </si>
  <si>
    <t>occ31</t>
  </si>
  <si>
    <t>occ32</t>
  </si>
  <si>
    <t>occ33</t>
  </si>
  <si>
    <t>occ34</t>
  </si>
  <si>
    <t>occ35</t>
  </si>
  <si>
    <t>occ36</t>
  </si>
  <si>
    <t>occ37</t>
  </si>
  <si>
    <t>occ38</t>
  </si>
  <si>
    <t>occ39</t>
  </si>
  <si>
    <t>occ40</t>
  </si>
  <si>
    <t>occ41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</si>
</sst>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6" Type="http://schemas.openxmlformats.org/officeDocument/2006/relationships/worksheet" Target="worksheets/sheet6.xml"/><Relationship Id="rId1" Type="http://schemas.openxmlformats.org/officeDocument/2006/relationships/worksheet" Target="worksheets/sheet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9" Type="http://schemas.openxmlformats.org/officeDocument/2006/relationships/sharedStrings" Target="sharedString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1"/>
  <sheetViews>
    <sheetView tabSelected="1" workbookViewId="0">
      <selection activeCell="J48" sqref="J48"/>
    </sheetView>
  </sheetViews>
  <sheetFormatPr defaultColWidth="8.82882882882883" defaultRowHeight="14.1"/>
  <cols>
    <col min="5" max="5" width="11.6666666666667" customWidth="1"/>
    <col min="8" max="8" width="10.5495495495495"/>
  </cols>
  <sheetData>
    <row r="1" spans="1:16">
      <c r="A1" t="s">
        <v>0</v>
      </c>
    </row>
    <row r="2" spans="1:16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</row>
    <row r="3" spans="1:16">
      <c r="A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</row>
    <row r="4" spans="1:16">
      <c r="A4" t="s">
        <v>23</v>
      </c>
      <c r="C4" t="s">
        <v>24</v>
      </c>
      <c r="D4" t="s">
        <v>25</v>
      </c>
      <c r="E4" t="s">
        <v>26</v>
      </c>
      <c r="F4" t="s">
        <v>27</v>
      </c>
      <c r="G4" t="s">
        <v>22</v>
      </c>
    </row>
    <row r="5" spans="1:16">
      <c r="A5" t="s">
        <v>28</v>
      </c>
      <c r="C5" t="s">
        <v>29</v>
      </c>
      <c r="D5" t="s">
        <v>30</v>
      </c>
      <c r="E5" t="s">
        <v>31</v>
      </c>
      <c r="F5" t="s">
        <v>32</v>
      </c>
      <c r="G5" t="s">
        <v>22</v>
      </c>
    </row>
    <row r="6" spans="1:16">
      <c r="A6" t="s">
        <v>33</v>
      </c>
      <c r="C6" t="s">
        <v>34</v>
      </c>
      <c r="D6" t="s">
        <v>35</v>
      </c>
      <c r="E6" t="s">
        <v>36</v>
      </c>
      <c r="F6" t="s">
        <v>37</v>
      </c>
      <c r="G6" t="s">
        <v>22</v>
      </c>
    </row>
    <row r="7" spans="1:16">
      <c r="A7" t="s">
        <v>38</v>
      </c>
      <c r="C7" t="s">
        <v>39</v>
      </c>
      <c r="D7" t="s">
        <v>40</v>
      </c>
      <c r="E7" t="s">
        <v>41</v>
      </c>
      <c r="F7" t="s">
        <v>42</v>
      </c>
      <c r="G7" t="s">
        <v>22</v>
      </c>
    </row>
    <row r="8" spans="1:16">
      <c r="A8" t="s">
        <v>43</v>
      </c>
      <c r="C8" t="s">
        <v>44</v>
      </c>
      <c r="D8" t="s">
        <v>45</v>
      </c>
      <c r="E8" t="s">
        <v>46</v>
      </c>
      <c r="F8" t="s">
        <v>47</v>
      </c>
      <c r="G8" t="s">
        <v>22</v>
      </c>
    </row>
    <row r="9" spans="1:16">
      <c r="A9" t="s">
        <v>48</v>
      </c>
      <c r="C9" t="s">
        <v>49</v>
      </c>
      <c r="D9" t="s">
        <v>50</v>
      </c>
      <c r="E9" t="s">
        <v>51</v>
      </c>
      <c r="F9" t="s">
        <v>32</v>
      </c>
      <c r="G9" t="s">
        <v>22</v>
      </c>
    </row>
    <row r="10" spans="1:16">
      <c r="A10" t="s">
        <v>52</v>
      </c>
      <c r="C10" t="s">
        <v>53</v>
      </c>
      <c r="D10" t="s">
        <v>54</v>
      </c>
      <c r="E10" t="s">
        <v>55</v>
      </c>
      <c r="F10" t="s">
        <v>56</v>
      </c>
      <c r="G10" t="s">
        <v>22</v>
      </c>
      <c r="H10">
        <v>2017</v>
      </c>
      <c r="J10" t="s">
        <v>57</v>
      </c>
      <c r="K10" t="s">
        <v>58</v>
      </c>
      <c r="L10" t="s">
        <v>59</v>
      </c>
    </row>
    <row r="11" spans="1:16">
      <c r="A11" t="s">
        <v>60</v>
      </c>
      <c r="C11" t="s">
        <v>61</v>
      </c>
      <c r="D11" t="s">
        <v>62</v>
      </c>
      <c r="E11" t="s">
        <v>63</v>
      </c>
      <c r="F11" t="s">
        <v>42</v>
      </c>
      <c r="G11" t="s">
        <v>22</v>
      </c>
    </row>
    <row r="12" spans="1:16">
      <c r="A12" t="s">
        <v>64</v>
      </c>
      <c r="C12" t="s">
        <v>65</v>
      </c>
      <c r="D12" t="s">
        <v>66</v>
      </c>
      <c r="E12" t="s">
        <v>67</v>
      </c>
      <c r="F12" t="s">
        <v>47</v>
      </c>
      <c r="G12" t="s">
        <v>22</v>
      </c>
    </row>
    <row r="13" spans="1:16">
      <c r="A13" t="s">
        <v>68</v>
      </c>
      <c r="C13" t="s">
        <v>69</v>
      </c>
      <c r="D13" t="s">
        <v>70</v>
      </c>
      <c r="E13" t="s">
        <v>71</v>
      </c>
      <c r="F13" t="s">
        <v>32</v>
      </c>
      <c r="G13" t="s">
        <v>22</v>
      </c>
    </row>
    <row r="14" spans="1:16">
      <c r="A14" t="s">
        <v>72</v>
      </c>
      <c r="C14" t="s">
        <v>73</v>
      </c>
      <c r="D14" t="s">
        <v>74</v>
      </c>
      <c r="E14" t="s">
        <v>75</v>
      </c>
      <c r="F14" t="s">
        <v>32</v>
      </c>
      <c r="G14" t="s">
        <v>22</v>
      </c>
    </row>
    <row r="15" spans="1:16">
      <c r="A15" t="s">
        <v>76</v>
      </c>
      <c r="C15" t="s">
        <v>77</v>
      </c>
      <c r="D15" t="s">
        <v>78</v>
      </c>
      <c r="E15" t="s">
        <v>79</v>
      </c>
      <c r="F15" t="s">
        <v>47</v>
      </c>
      <c r="G15" t="s">
        <v>22</v>
      </c>
    </row>
    <row r="16" spans="1:16">
      <c r="A16" t="s">
        <v>80</v>
      </c>
      <c r="C16" t="s">
        <v>81</v>
      </c>
      <c r="D16" t="s">
        <v>82</v>
      </c>
      <c r="E16" t="s">
        <v>83</v>
      </c>
      <c r="F16" t="s">
        <v>56</v>
      </c>
      <c r="G16" t="s">
        <v>22</v>
      </c>
    </row>
    <row r="17" spans="1:7">
      <c r="A17" t="s">
        <v>84</v>
      </c>
      <c r="C17" t="s">
        <v>85</v>
      </c>
      <c r="D17" t="s">
        <v>86</v>
      </c>
      <c r="E17" t="s">
        <v>87</v>
      </c>
      <c r="F17" t="s">
        <v>88</v>
      </c>
      <c r="G17" t="s">
        <v>22</v>
      </c>
    </row>
    <row r="18" spans="1:7">
      <c r="A18" t="s">
        <v>89</v>
      </c>
      <c r="C18" t="s">
        <v>90</v>
      </c>
      <c r="D18" t="s">
        <v>91</v>
      </c>
      <c r="E18" t="s">
        <v>92</v>
      </c>
      <c r="F18" t="s">
        <v>93</v>
      </c>
      <c r="G18" t="s">
        <v>22</v>
      </c>
    </row>
    <row r="19" spans="1:7">
      <c r="A19" t="s">
        <v>94</v>
      </c>
      <c r="C19" t="s">
        <v>95</v>
      </c>
      <c r="D19" t="s">
        <v>96</v>
      </c>
      <c r="E19" t="s">
        <v>97</v>
      </c>
      <c r="F19" t="s">
        <v>98</v>
      </c>
      <c r="G19" t="s">
        <v>22</v>
      </c>
    </row>
    <row r="20" spans="1:7">
      <c r="A20" t="s">
        <v>99</v>
      </c>
      <c r="C20" t="s">
        <v>100</v>
      </c>
      <c r="D20" t="s">
        <v>101</v>
      </c>
      <c r="E20" t="s">
        <v>102</v>
      </c>
      <c r="F20" t="s">
        <v>103</v>
      </c>
      <c r="G20" t="s">
        <v>22</v>
      </c>
    </row>
    <row r="21" spans="1:7">
      <c r="A21" t="s">
        <v>104</v>
      </c>
      <c r="C21" t="s">
        <v>105</v>
      </c>
      <c r="D21" t="s">
        <v>106</v>
      </c>
      <c r="E21" t="s">
        <v>107</v>
      </c>
      <c r="F21" t="s">
        <v>103</v>
      </c>
      <c r="G21" t="s">
        <v>22</v>
      </c>
    </row>
    <row r="22" spans="1:7">
      <c r="A22" t="s">
        <v>108</v>
      </c>
      <c r="C22" t="s">
        <v>109</v>
      </c>
      <c r="D22" t="s">
        <v>110</v>
      </c>
      <c r="E22" t="s">
        <v>111</v>
      </c>
      <c r="F22" t="s">
        <v>88</v>
      </c>
      <c r="G22" t="s">
        <v>22</v>
      </c>
    </row>
    <row r="23" spans="1:7">
      <c r="A23" t="s">
        <v>112</v>
      </c>
      <c r="C23" t="s">
        <v>113</v>
      </c>
      <c r="D23" t="s">
        <v>114</v>
      </c>
      <c r="E23" t="s">
        <v>115</v>
      </c>
      <c r="F23" t="s">
        <v>93</v>
      </c>
      <c r="G23" t="s">
        <v>22</v>
      </c>
    </row>
    <row r="24" spans="1:7">
      <c r="A24" t="s">
        <v>116</v>
      </c>
      <c r="C24" t="s">
        <v>117</v>
      </c>
      <c r="D24" t="s">
        <v>118</v>
      </c>
      <c r="E24" t="s">
        <v>119</v>
      </c>
      <c r="F24" t="s">
        <v>21</v>
      </c>
      <c r="G24" t="s">
        <v>22</v>
      </c>
    </row>
    <row r="25" spans="1:7">
      <c r="A25" t="s">
        <v>120</v>
      </c>
      <c r="C25" t="s">
        <v>121</v>
      </c>
      <c r="D25" t="s">
        <v>122</v>
      </c>
      <c r="E25" t="s">
        <v>123</v>
      </c>
      <c r="F25" t="s">
        <v>124</v>
      </c>
      <c r="G25" t="s">
        <v>22</v>
      </c>
    </row>
    <row r="26" spans="1:7">
      <c r="A26" t="s">
        <v>125</v>
      </c>
      <c r="C26" t="s">
        <v>126</v>
      </c>
      <c r="D26" t="s">
        <v>127</v>
      </c>
      <c r="E26" t="s">
        <v>128</v>
      </c>
      <c r="F26" t="s">
        <v>47</v>
      </c>
      <c r="G26" t="s">
        <v>22</v>
      </c>
    </row>
    <row r="27" spans="1:7">
      <c r="A27" t="s">
        <v>129</v>
      </c>
      <c r="C27" t="s">
        <v>130</v>
      </c>
      <c r="D27" t="s">
        <v>131</v>
      </c>
      <c r="E27" t="s">
        <v>132</v>
      </c>
      <c r="F27" t="s">
        <v>133</v>
      </c>
      <c r="G27" t="s">
        <v>22</v>
      </c>
    </row>
    <row r="28" spans="1:7">
      <c r="A28" t="s">
        <v>134</v>
      </c>
      <c r="C28" t="s">
        <v>135</v>
      </c>
      <c r="D28" t="s">
        <v>136</v>
      </c>
      <c r="E28" t="s">
        <v>137</v>
      </c>
      <c r="F28" t="s">
        <v>138</v>
      </c>
      <c r="G28" t="s">
        <v>22</v>
      </c>
    </row>
    <row r="29" spans="1:7">
      <c r="A29" t="s">
        <v>139</v>
      </c>
      <c r="C29" t="s">
        <v>140</v>
      </c>
      <c r="D29" t="s">
        <v>141</v>
      </c>
      <c r="E29" t="s">
        <v>142</v>
      </c>
      <c r="F29" t="s">
        <v>133</v>
      </c>
      <c r="G29" t="s">
        <v>22</v>
      </c>
    </row>
    <row r="30" spans="1:7">
      <c r="A30" t="s">
        <v>143</v>
      </c>
      <c r="C30" t="s">
        <v>144</v>
      </c>
      <c r="D30" t="s">
        <v>145</v>
      </c>
      <c r="E30" t="s">
        <v>146</v>
      </c>
      <c r="F30" t="s">
        <v>47</v>
      </c>
      <c r="G30" t="s">
        <v>22</v>
      </c>
    </row>
    <row r="31" spans="1:7">
      <c r="A31" t="s">
        <v>147</v>
      </c>
      <c r="C31" t="s">
        <v>148</v>
      </c>
      <c r="D31" t="s">
        <v>149</v>
      </c>
      <c r="E31" t="s">
        <v>150</v>
      </c>
      <c r="F31" t="s">
        <v>88</v>
      </c>
      <c r="G31" t="s">
        <v>22</v>
      </c>
    </row>
    <row r="32" spans="1:7">
      <c r="A32" t="s">
        <v>151</v>
      </c>
      <c r="C32" t="s">
        <v>152</v>
      </c>
      <c r="D32" t="s">
        <v>153</v>
      </c>
      <c r="E32" t="s">
        <v>154</v>
      </c>
      <c r="F32" t="s">
        <v>98</v>
      </c>
      <c r="G32" t="s">
        <v>22</v>
      </c>
    </row>
    <row r="33" spans="1:7">
      <c r="A33" t="s">
        <v>155</v>
      </c>
      <c r="C33" t="s">
        <v>156</v>
      </c>
      <c r="D33" t="s">
        <v>157</v>
      </c>
      <c r="E33" t="s">
        <v>158</v>
      </c>
      <c r="F33" t="s">
        <v>21</v>
      </c>
      <c r="G33" t="s">
        <v>22</v>
      </c>
    </row>
    <row r="34" spans="1:7">
      <c r="A34" t="s">
        <v>159</v>
      </c>
      <c r="C34" t="s">
        <v>160</v>
      </c>
      <c r="D34" t="s">
        <v>161</v>
      </c>
      <c r="E34" t="s">
        <v>162</v>
      </c>
      <c r="F34" t="s">
        <v>27</v>
      </c>
      <c r="G34" t="s">
        <v>22</v>
      </c>
    </row>
    <row r="35" spans="1:7">
      <c r="A35" t="s">
        <v>163</v>
      </c>
      <c r="C35" t="s">
        <v>164</v>
      </c>
      <c r="D35" t="s">
        <v>165</v>
      </c>
      <c r="E35" t="s">
        <v>166</v>
      </c>
      <c r="F35" t="s">
        <v>167</v>
      </c>
      <c r="G35" t="s">
        <v>22</v>
      </c>
    </row>
    <row r="36" spans="1:7">
      <c r="A36" t="s">
        <v>168</v>
      </c>
      <c r="C36" t="s">
        <v>169</v>
      </c>
      <c r="D36" t="s">
        <v>170</v>
      </c>
      <c r="E36" t="s">
        <v>171</v>
      </c>
      <c r="F36" t="s">
        <v>93</v>
      </c>
      <c r="G36" t="s">
        <v>22</v>
      </c>
    </row>
    <row r="37" spans="1:7">
      <c r="A37" t="s">
        <v>172</v>
      </c>
      <c r="C37" t="s">
        <v>173</v>
      </c>
      <c r="D37" t="s">
        <v>174</v>
      </c>
      <c r="E37" t="s">
        <v>175</v>
      </c>
      <c r="F37" t="s">
        <v>47</v>
      </c>
      <c r="G37" t="s">
        <v>22</v>
      </c>
    </row>
    <row r="38" spans="1:7">
      <c r="A38" t="s">
        <v>176</v>
      </c>
      <c r="C38" t="s">
        <v>177</v>
      </c>
      <c r="D38" t="s">
        <v>178</v>
      </c>
      <c r="E38" t="s">
        <v>179</v>
      </c>
      <c r="F38" t="s">
        <v>180</v>
      </c>
      <c r="G38" t="s">
        <v>22</v>
      </c>
    </row>
    <row r="39" spans="1:7">
      <c r="A39" t="s">
        <v>181</v>
      </c>
      <c r="C39" t="s">
        <v>182</v>
      </c>
      <c r="D39" t="s">
        <v>183</v>
      </c>
      <c r="E39" t="s">
        <v>184</v>
      </c>
      <c r="F39" t="s">
        <v>27</v>
      </c>
      <c r="G39" t="s">
        <v>22</v>
      </c>
    </row>
    <row r="40" spans="1:7">
      <c r="A40" t="s">
        <v>185</v>
      </c>
      <c r="C40" t="s">
        <v>186</v>
      </c>
      <c r="D40" t="s">
        <v>187</v>
      </c>
      <c r="E40" t="s">
        <v>188</v>
      </c>
      <c r="F40" t="s">
        <v>189</v>
      </c>
      <c r="G40" t="s">
        <v>22</v>
      </c>
    </row>
    <row r="41" spans="1:7">
      <c r="A41" t="s">
        <v>190</v>
      </c>
      <c r="C41" t="s">
        <v>191</v>
      </c>
      <c r="D41" t="s">
        <v>192</v>
      </c>
      <c r="E41" t="s">
        <v>193</v>
      </c>
      <c r="F41" t="s">
        <v>93</v>
      </c>
      <c r="G41" t="s">
        <v>22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1"/>
  <sheetViews>
    <sheetView workbookViewId="0">
      <selection activeCell="P42" sqref="P42"/>
    </sheetView>
  </sheetViews>
  <sheetFormatPr defaultColWidth="8.82882882882883" defaultRowHeight="14.1"/>
  <sheetData>
    <row r="1" spans="1:17">
      <c r="A1" t="s">
        <v>194</v>
      </c>
    </row>
    <row r="2" spans="1:17">
      <c r="A2" t="s">
        <v>1</v>
      </c>
      <c r="B2" t="s">
        <v>2</v>
      </c>
      <c r="C2" t="s">
        <v>195</v>
      </c>
      <c r="D2" t="s">
        <v>196</v>
      </c>
      <c r="E2" t="s">
        <v>5</v>
      </c>
      <c r="F2" t="s">
        <v>6</v>
      </c>
      <c r="G2" t="s">
        <v>7</v>
      </c>
      <c r="H2" t="s">
        <v>197</v>
      </c>
      <c r="I2" t="s">
        <v>9</v>
      </c>
      <c r="J2" t="s">
        <v>198</v>
      </c>
      <c r="K2" t="s">
        <v>199</v>
      </c>
      <c r="L2" t="s">
        <v>200</v>
      </c>
      <c r="M2" t="s">
        <v>201</v>
      </c>
      <c r="N2" t="s">
        <v>202</v>
      </c>
      <c r="O2" t="s">
        <v>14</v>
      </c>
      <c r="P2" t="s">
        <v>15</v>
      </c>
      <c r="Q2" t="s">
        <v>16</v>
      </c>
    </row>
    <row r="3" spans="1:17">
      <c r="A3" t="s">
        <v>203</v>
      </c>
      <c r="C3" t="s">
        <v>204</v>
      </c>
      <c r="D3" t="s">
        <v>205</v>
      </c>
      <c r="E3" t="s">
        <v>206</v>
      </c>
      <c r="F3" t="s">
        <v>21</v>
      </c>
      <c r="G3" t="s">
        <v>22</v>
      </c>
    </row>
    <row r="4" spans="1:17">
      <c r="A4" t="s">
        <v>207</v>
      </c>
      <c r="C4" t="s">
        <v>208</v>
      </c>
      <c r="D4" t="s">
        <v>209</v>
      </c>
      <c r="E4" t="s">
        <v>210</v>
      </c>
      <c r="F4" t="s">
        <v>27</v>
      </c>
      <c r="G4" t="s">
        <v>22</v>
      </c>
    </row>
    <row r="5" spans="1:17">
      <c r="A5" t="s">
        <v>211</v>
      </c>
      <c r="C5" t="s">
        <v>212</v>
      </c>
      <c r="D5" t="s">
        <v>213</v>
      </c>
      <c r="E5" t="s">
        <v>214</v>
      </c>
      <c r="F5" t="s">
        <v>32</v>
      </c>
      <c r="G5" t="s">
        <v>22</v>
      </c>
    </row>
    <row r="6" spans="1:17">
      <c r="A6" t="s">
        <v>215</v>
      </c>
      <c r="C6" t="s">
        <v>216</v>
      </c>
      <c r="D6" t="s">
        <v>217</v>
      </c>
      <c r="E6" t="s">
        <v>218</v>
      </c>
      <c r="F6" t="s">
        <v>37</v>
      </c>
      <c r="G6" t="s">
        <v>22</v>
      </c>
    </row>
    <row r="7" spans="1:17">
      <c r="A7" t="s">
        <v>219</v>
      </c>
      <c r="C7" t="s">
        <v>220</v>
      </c>
      <c r="D7" t="s">
        <v>221</v>
      </c>
      <c r="E7" t="s">
        <v>222</v>
      </c>
      <c r="F7" t="s">
        <v>42</v>
      </c>
      <c r="G7" t="s">
        <v>22</v>
      </c>
    </row>
    <row r="8" spans="1:17">
      <c r="A8" t="s">
        <v>223</v>
      </c>
      <c r="C8" t="s">
        <v>224</v>
      </c>
      <c r="D8" t="s">
        <v>225</v>
      </c>
      <c r="E8" t="s">
        <v>226</v>
      </c>
      <c r="F8" t="s">
        <v>47</v>
      </c>
      <c r="G8" t="s">
        <v>22</v>
      </c>
    </row>
    <row r="9" spans="1:17">
      <c r="A9" t="s">
        <v>227</v>
      </c>
      <c r="C9" t="s">
        <v>228</v>
      </c>
      <c r="D9" t="s">
        <v>229</v>
      </c>
      <c r="E9" t="s">
        <v>230</v>
      </c>
      <c r="F9" t="s">
        <v>32</v>
      </c>
      <c r="G9" t="s">
        <v>22</v>
      </c>
    </row>
    <row r="10" spans="1:17">
      <c r="A10" t="s">
        <v>231</v>
      </c>
      <c r="C10" t="s">
        <v>232</v>
      </c>
      <c r="D10" t="s">
        <v>233</v>
      </c>
      <c r="E10" t="s">
        <v>234</v>
      </c>
      <c r="F10" t="s">
        <v>56</v>
      </c>
      <c r="G10" t="s">
        <v>22</v>
      </c>
    </row>
    <row r="11" spans="1:17">
      <c r="A11" t="s">
        <v>235</v>
      </c>
      <c r="C11" t="s">
        <v>236</v>
      </c>
      <c r="D11" t="s">
        <v>237</v>
      </c>
      <c r="E11" t="s">
        <v>238</v>
      </c>
      <c r="F11" t="s">
        <v>56</v>
      </c>
      <c r="G11" t="s">
        <v>22</v>
      </c>
    </row>
    <row r="12" spans="1:17">
      <c r="A12" t="s">
        <v>239</v>
      </c>
      <c r="C12" t="s">
        <v>240</v>
      </c>
      <c r="D12" t="s">
        <v>241</v>
      </c>
      <c r="E12" t="s">
        <v>242</v>
      </c>
      <c r="F12" t="s">
        <v>42</v>
      </c>
      <c r="G12" t="s">
        <v>22</v>
      </c>
    </row>
    <row r="13" spans="1:17">
      <c r="A13" t="s">
        <v>243</v>
      </c>
      <c r="C13" t="s">
        <v>244</v>
      </c>
      <c r="D13" t="s">
        <v>245</v>
      </c>
      <c r="E13" t="s">
        <v>246</v>
      </c>
      <c r="F13" t="s">
        <v>47</v>
      </c>
      <c r="G13" t="s">
        <v>22</v>
      </c>
    </row>
    <row r="14" spans="1:17">
      <c r="A14" t="s">
        <v>247</v>
      </c>
      <c r="C14" t="s">
        <v>248</v>
      </c>
      <c r="D14" t="s">
        <v>249</v>
      </c>
      <c r="E14" t="s">
        <v>250</v>
      </c>
      <c r="F14" t="s">
        <v>32</v>
      </c>
      <c r="G14" t="s">
        <v>22</v>
      </c>
    </row>
    <row r="15" spans="1:17">
      <c r="A15" t="s">
        <v>251</v>
      </c>
      <c r="C15" t="s">
        <v>252</v>
      </c>
      <c r="D15" t="s">
        <v>253</v>
      </c>
      <c r="E15" t="s">
        <v>254</v>
      </c>
      <c r="F15" t="s">
        <v>32</v>
      </c>
      <c r="G15" t="s">
        <v>22</v>
      </c>
    </row>
    <row r="16" spans="1:17">
      <c r="A16" t="s">
        <v>255</v>
      </c>
      <c r="C16" t="s">
        <v>256</v>
      </c>
      <c r="D16" t="s">
        <v>257</v>
      </c>
      <c r="E16" t="s">
        <v>258</v>
      </c>
      <c r="F16" t="s">
        <v>47</v>
      </c>
      <c r="G16" t="s">
        <v>22</v>
      </c>
    </row>
    <row r="17" spans="1:7">
      <c r="A17" t="s">
        <v>259</v>
      </c>
      <c r="C17" t="s">
        <v>260</v>
      </c>
      <c r="D17" t="s">
        <v>261</v>
      </c>
      <c r="E17" t="s">
        <v>262</v>
      </c>
      <c r="F17" t="s">
        <v>56</v>
      </c>
      <c r="G17" t="s">
        <v>22</v>
      </c>
    </row>
    <row r="18" spans="1:7">
      <c r="A18" t="s">
        <v>263</v>
      </c>
      <c r="C18" t="s">
        <v>264</v>
      </c>
      <c r="D18" t="s">
        <v>265</v>
      </c>
      <c r="E18" t="s">
        <v>266</v>
      </c>
      <c r="F18" t="s">
        <v>88</v>
      </c>
      <c r="G18" t="s">
        <v>22</v>
      </c>
    </row>
    <row r="19" spans="1:7">
      <c r="A19" t="s">
        <v>267</v>
      </c>
      <c r="C19" t="s">
        <v>268</v>
      </c>
      <c r="D19" t="s">
        <v>269</v>
      </c>
      <c r="E19" t="s">
        <v>270</v>
      </c>
      <c r="F19" t="s">
        <v>93</v>
      </c>
      <c r="G19" t="s">
        <v>22</v>
      </c>
    </row>
    <row r="20" spans="1:7">
      <c r="A20" t="s">
        <v>271</v>
      </c>
      <c r="C20" t="s">
        <v>272</v>
      </c>
      <c r="D20" t="s">
        <v>273</v>
      </c>
      <c r="E20" t="s">
        <v>274</v>
      </c>
      <c r="F20" t="s">
        <v>98</v>
      </c>
      <c r="G20" t="s">
        <v>22</v>
      </c>
    </row>
    <row r="21" spans="1:7">
      <c r="A21" t="s">
        <v>275</v>
      </c>
      <c r="C21" t="s">
        <v>276</v>
      </c>
      <c r="D21" t="s">
        <v>277</v>
      </c>
      <c r="E21" t="s">
        <v>278</v>
      </c>
      <c r="F21" t="s">
        <v>103</v>
      </c>
      <c r="G21" t="s">
        <v>22</v>
      </c>
    </row>
    <row r="22" spans="1:7">
      <c r="A22" t="s">
        <v>279</v>
      </c>
      <c r="C22" t="s">
        <v>280</v>
      </c>
      <c r="D22" t="s">
        <v>281</v>
      </c>
      <c r="E22" t="s">
        <v>282</v>
      </c>
      <c r="F22" t="s">
        <v>103</v>
      </c>
      <c r="G22" t="s">
        <v>22</v>
      </c>
    </row>
    <row r="23" spans="1:7">
      <c r="A23" t="s">
        <v>283</v>
      </c>
      <c r="C23" t="s">
        <v>284</v>
      </c>
      <c r="D23" t="s">
        <v>285</v>
      </c>
      <c r="E23" t="s">
        <v>286</v>
      </c>
      <c r="F23" t="s">
        <v>88</v>
      </c>
      <c r="G23" t="s">
        <v>22</v>
      </c>
    </row>
    <row r="24" spans="1:7">
      <c r="A24" t="s">
        <v>287</v>
      </c>
      <c r="C24" t="s">
        <v>288</v>
      </c>
      <c r="D24" t="s">
        <v>289</v>
      </c>
      <c r="E24" t="s">
        <v>290</v>
      </c>
      <c r="F24" t="s">
        <v>93</v>
      </c>
      <c r="G24" t="s">
        <v>22</v>
      </c>
    </row>
    <row r="25" spans="1:7">
      <c r="A25" t="s">
        <v>291</v>
      </c>
      <c r="C25" t="s">
        <v>292</v>
      </c>
      <c r="D25" t="s">
        <v>293</v>
      </c>
      <c r="E25" t="s">
        <v>294</v>
      </c>
      <c r="F25" t="s">
        <v>21</v>
      </c>
      <c r="G25" t="s">
        <v>22</v>
      </c>
    </row>
    <row r="26" spans="1:7">
      <c r="A26" t="s">
        <v>295</v>
      </c>
      <c r="C26" t="s">
        <v>296</v>
      </c>
      <c r="D26" t="s">
        <v>297</v>
      </c>
      <c r="E26" t="s">
        <v>298</v>
      </c>
      <c r="F26" t="s">
        <v>124</v>
      </c>
      <c r="G26" t="s">
        <v>22</v>
      </c>
    </row>
    <row r="27" spans="1:7">
      <c r="A27" t="s">
        <v>299</v>
      </c>
      <c r="C27" t="s">
        <v>300</v>
      </c>
      <c r="D27" t="s">
        <v>301</v>
      </c>
      <c r="E27" t="s">
        <v>302</v>
      </c>
      <c r="F27" t="s">
        <v>47</v>
      </c>
      <c r="G27" t="s">
        <v>22</v>
      </c>
    </row>
    <row r="28" spans="1:7">
      <c r="A28" t="s">
        <v>303</v>
      </c>
      <c r="C28" t="s">
        <v>304</v>
      </c>
      <c r="D28" t="s">
        <v>305</v>
      </c>
      <c r="E28" t="s">
        <v>306</v>
      </c>
      <c r="F28" t="s">
        <v>133</v>
      </c>
      <c r="G28" t="s">
        <v>22</v>
      </c>
    </row>
    <row r="29" spans="1:7">
      <c r="A29" t="s">
        <v>307</v>
      </c>
      <c r="C29" t="s">
        <v>308</v>
      </c>
      <c r="D29" t="s">
        <v>309</v>
      </c>
      <c r="E29" t="s">
        <v>310</v>
      </c>
      <c r="F29" t="s">
        <v>138</v>
      </c>
      <c r="G29" t="s">
        <v>22</v>
      </c>
    </row>
    <row r="30" spans="1:7">
      <c r="A30" t="s">
        <v>311</v>
      </c>
      <c r="C30" t="s">
        <v>312</v>
      </c>
      <c r="D30" t="s">
        <v>313</v>
      </c>
      <c r="E30" t="s">
        <v>314</v>
      </c>
      <c r="F30" t="s">
        <v>133</v>
      </c>
      <c r="G30" t="s">
        <v>22</v>
      </c>
    </row>
    <row r="31" spans="1:7">
      <c r="A31" t="s">
        <v>315</v>
      </c>
      <c r="C31" t="s">
        <v>316</v>
      </c>
      <c r="D31" t="s">
        <v>317</v>
      </c>
      <c r="E31" t="s">
        <v>318</v>
      </c>
      <c r="F31" t="s">
        <v>47</v>
      </c>
      <c r="G31" t="s">
        <v>22</v>
      </c>
    </row>
    <row r="32" spans="1:7">
      <c r="A32" t="s">
        <v>319</v>
      </c>
      <c r="C32" t="s">
        <v>320</v>
      </c>
      <c r="D32" t="s">
        <v>321</v>
      </c>
      <c r="E32" t="s">
        <v>322</v>
      </c>
      <c r="F32" t="s">
        <v>88</v>
      </c>
      <c r="G32" t="s">
        <v>22</v>
      </c>
    </row>
    <row r="33" spans="1:7">
      <c r="A33" t="s">
        <v>323</v>
      </c>
      <c r="C33" t="s">
        <v>324</v>
      </c>
      <c r="D33" t="s">
        <v>325</v>
      </c>
      <c r="E33" t="s">
        <v>326</v>
      </c>
      <c r="F33" t="s">
        <v>98</v>
      </c>
      <c r="G33" t="s">
        <v>22</v>
      </c>
    </row>
    <row r="34" spans="1:7">
      <c r="A34" t="s">
        <v>327</v>
      </c>
      <c r="C34" t="s">
        <v>328</v>
      </c>
      <c r="D34" t="s">
        <v>329</v>
      </c>
      <c r="E34" t="s">
        <v>330</v>
      </c>
      <c r="F34" t="s">
        <v>21</v>
      </c>
      <c r="G34" t="s">
        <v>22</v>
      </c>
    </row>
    <row r="35" spans="1:7">
      <c r="A35" t="s">
        <v>331</v>
      </c>
      <c r="C35" t="s">
        <v>332</v>
      </c>
      <c r="D35" t="s">
        <v>333</v>
      </c>
      <c r="E35" t="s">
        <v>334</v>
      </c>
      <c r="F35" t="s">
        <v>27</v>
      </c>
      <c r="G35" t="s">
        <v>22</v>
      </c>
    </row>
    <row r="36" spans="1:7">
      <c r="A36" t="s">
        <v>335</v>
      </c>
      <c r="C36" t="s">
        <v>336</v>
      </c>
      <c r="D36" t="s">
        <v>337</v>
      </c>
      <c r="E36" t="s">
        <v>338</v>
      </c>
      <c r="F36" t="s">
        <v>339</v>
      </c>
      <c r="G36" t="s">
        <v>22</v>
      </c>
    </row>
    <row r="37" spans="1:7">
      <c r="A37" t="s">
        <v>340</v>
      </c>
      <c r="C37" t="s">
        <v>341</v>
      </c>
      <c r="D37" t="s">
        <v>342</v>
      </c>
      <c r="E37" t="s">
        <v>343</v>
      </c>
      <c r="F37" t="s">
        <v>93</v>
      </c>
      <c r="G37" t="s">
        <v>22</v>
      </c>
    </row>
    <row r="38" spans="1:7">
      <c r="A38" t="s">
        <v>344</v>
      </c>
      <c r="C38" t="s">
        <v>345</v>
      </c>
      <c r="D38" t="s">
        <v>346</v>
      </c>
      <c r="E38" t="s">
        <v>347</v>
      </c>
      <c r="F38" t="s">
        <v>47</v>
      </c>
      <c r="G38" t="s">
        <v>22</v>
      </c>
    </row>
    <row r="39" spans="1:7">
      <c r="A39" t="s">
        <v>348</v>
      </c>
      <c r="C39" t="s">
        <v>349</v>
      </c>
      <c r="D39" t="s">
        <v>350</v>
      </c>
      <c r="E39" t="s">
        <v>351</v>
      </c>
      <c r="F39" t="s">
        <v>180</v>
      </c>
      <c r="G39" t="s">
        <v>22</v>
      </c>
    </row>
    <row r="40" spans="1:7">
      <c r="A40" t="s">
        <v>352</v>
      </c>
      <c r="C40" t="s">
        <v>353</v>
      </c>
      <c r="D40" t="s">
        <v>354</v>
      </c>
      <c r="E40" t="s">
        <v>355</v>
      </c>
      <c r="F40" t="s">
        <v>27</v>
      </c>
      <c r="G40" t="s">
        <v>22</v>
      </c>
    </row>
    <row r="41" spans="1:7">
      <c r="A41" t="s">
        <v>356</v>
      </c>
      <c r="C41" t="s">
        <v>357</v>
      </c>
      <c r="D41" t="s">
        <v>358</v>
      </c>
      <c r="E41" t="s">
        <v>359</v>
      </c>
      <c r="F41" t="s">
        <v>189</v>
      </c>
      <c r="G41" t="s">
        <v>22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41"/>
  <sheetViews>
    <sheetView topLeftCell="C1" workbookViewId="0">
      <selection activeCell="O44" sqref="O44"/>
    </sheetView>
  </sheetViews>
  <sheetFormatPr defaultColWidth="8.82882882882883" defaultRowHeight="14.1"/>
  <sheetData>
    <row r="1" spans="1:29">
      <c r="A1" t="s">
        <v>360</v>
      </c>
    </row>
    <row r="2" spans="1:29">
      <c r="A2" t="s">
        <v>1</v>
      </c>
      <c r="B2" t="s">
        <v>2</v>
      </c>
      <c r="C2" t="s">
        <v>361</v>
      </c>
      <c r="D2" t="str">
        <f>IF(TRIM(C2)="","",IF(LEN(C2)=2,LEFT(C2,1)&amp;"*",LEFT(C2,1)&amp;"*"&amp;RIGHT(C2,1)))</f>
        <v>孙*</v>
      </c>
      <c r="E2" t="s">
        <v>362</v>
      </c>
      <c r="F2" t="str">
        <f>IF(TRIM(E2)="","",IF(LEN(E2)=2,LEFT(E2,1)&amp;"*",LEFT(E2,1)&amp;"*"&amp;RIGHT(E2,1)))</f>
        <v>李*</v>
      </c>
      <c r="G2" t="s">
        <v>5</v>
      </c>
      <c r="H2" t="s">
        <v>5</v>
      </c>
      <c r="I2" t="s">
        <v>6</v>
      </c>
      <c r="J2" t="s">
        <v>7</v>
      </c>
      <c r="K2" t="s">
        <v>363</v>
      </c>
      <c r="L2" t="s">
        <v>363</v>
      </c>
      <c r="M2" t="s">
        <v>8</v>
      </c>
      <c r="N2" t="s">
        <v>9</v>
      </c>
      <c r="O2" t="s">
        <v>364</v>
      </c>
      <c r="P2" t="s">
        <v>365</v>
      </c>
      <c r="Q2" t="s">
        <v>366</v>
      </c>
      <c r="R2" t="s">
        <v>367</v>
      </c>
      <c r="S2" t="s">
        <v>368</v>
      </c>
      <c r="T2" t="s">
        <v>202</v>
      </c>
      <c r="U2" t="s">
        <v>369</v>
      </c>
      <c r="V2" t="s">
        <v>370</v>
      </c>
      <c r="W2" t="s">
        <v>371</v>
      </c>
      <c r="X2" t="s">
        <v>372</v>
      </c>
      <c r="Y2" t="s">
        <v>373</v>
      </c>
      <c r="Z2" t="s">
        <v>374</v>
      </c>
      <c r="AA2" t="s">
        <v>14</v>
      </c>
      <c r="AB2" t="s">
        <v>15</v>
      </c>
      <c r="AC2" t="s">
        <v>16</v>
      </c>
    </row>
    <row r="3" spans="1:29">
      <c r="A3" t="s">
        <v>375</v>
      </c>
      <c r="C3" t="s">
        <v>376</v>
      </c>
      <c r="D3" t="s">
        <v>377</v>
      </c>
      <c r="E3" t="s">
        <v>378</v>
      </c>
      <c r="F3" t="str">
        <f t="shared" ref="F3:F41" si="0">IF(TRIM(E3)="","",IF(LEN(E3)=2,LEFT(E3,1)&amp;"*",LEFT(E3,1)&amp;"*"&amp;RIGHT(E3,1)))</f>
        <v>白*梅</v>
      </c>
      <c r="G3" t="s">
        <v>379</v>
      </c>
      <c r="H3" t="str">
        <f>IF(LEN(G3)=1,G3,IF(LEN(G3)=2,LEFT(G3,1)&amp;"*",LEFT(G3,1)&amp;REPT("*",LEN(G3)-2)&amp;RIGHT(G3,2)))</f>
        <v>新*********公司</v>
      </c>
      <c r="I3" t="s">
        <v>380</v>
      </c>
      <c r="J3" t="s">
        <v>22</v>
      </c>
      <c r="K3" t="s">
        <v>378</v>
      </c>
      <c r="L3" t="str">
        <f>IF(TRIM(K3)="","",IF(LEN(K3)=2,LEFT(K3,1)&amp;"*",LEFT(K3,1)&amp;"*"&amp;RIGHT(K3,1)))</f>
        <v>白*梅</v>
      </c>
      <c r="M3" t="s">
        <v>381</v>
      </c>
      <c r="O3" t="s">
        <v>382</v>
      </c>
      <c r="P3" t="s">
        <v>383</v>
      </c>
      <c r="Q3" t="s">
        <v>384</v>
      </c>
      <c r="R3" t="s">
        <v>385</v>
      </c>
      <c r="S3" t="s">
        <v>59</v>
      </c>
      <c r="T3" t="s">
        <v>386</v>
      </c>
      <c r="W3" t="s">
        <v>381</v>
      </c>
      <c r="AB3" t="s">
        <v>387</v>
      </c>
      <c r="AC3" t="s">
        <v>388</v>
      </c>
    </row>
    <row r="4" spans="1:29">
      <c r="A4" t="s">
        <v>389</v>
      </c>
      <c r="C4" t="s">
        <v>390</v>
      </c>
      <c r="D4" t="str">
        <f t="shared" ref="D4:D40" si="1">IF(TRIM(C4)="","",IF(LEN(C4)=2,LEFT(C4,1)&amp;"*",LEFT(C4,1)&amp;"*"&amp;RIGHT(C4,1)))</f>
        <v>张*英</v>
      </c>
      <c r="E4" t="s">
        <v>391</v>
      </c>
      <c r="F4" t="str">
        <f t="shared" si="0"/>
        <v>包*忠</v>
      </c>
      <c r="G4" t="s">
        <v>392</v>
      </c>
      <c r="H4" t="str">
        <f t="shared" ref="H4:H41" si="2">IF(LEN(G4)=1,G4,IF(LEN(G4)=2,LEFT(G4,1)&amp;"*",LEFT(G4,1)&amp;REPT("*",LEN(G4)-2)&amp;RIGHT(G4,2)))</f>
        <v>维******公司</v>
      </c>
      <c r="I4" t="s">
        <v>103</v>
      </c>
      <c r="J4" t="s">
        <v>22</v>
      </c>
      <c r="K4" t="s">
        <v>391</v>
      </c>
      <c r="L4" t="str">
        <f t="shared" ref="L4:L41" si="3">IF(TRIM(K4)="","",IF(LEN(K4)=2,LEFT(K4,1)&amp;"*",LEFT(K4,1)&amp;"*"&amp;RIGHT(K4,1)))</f>
        <v>包*忠</v>
      </c>
      <c r="Q4" t="s">
        <v>393</v>
      </c>
    </row>
    <row r="5" spans="1:29">
      <c r="A5" t="s">
        <v>394</v>
      </c>
      <c r="C5" t="s">
        <v>395</v>
      </c>
      <c r="D5" t="str">
        <f t="shared" si="1"/>
        <v>邓*</v>
      </c>
      <c r="E5" t="s">
        <v>396</v>
      </c>
      <c r="F5" t="str">
        <f t="shared" si="0"/>
        <v>包*路</v>
      </c>
      <c r="G5" t="s">
        <v>397</v>
      </c>
      <c r="H5" t="str">
        <f t="shared" si="2"/>
        <v>陈*</v>
      </c>
      <c r="I5" t="s">
        <v>32</v>
      </c>
      <c r="J5" t="s">
        <v>22</v>
      </c>
      <c r="K5" t="s">
        <v>396</v>
      </c>
      <c r="L5" t="str">
        <f t="shared" si="3"/>
        <v>包*路</v>
      </c>
      <c r="Q5" t="s">
        <v>393</v>
      </c>
    </row>
    <row r="6" spans="1:29">
      <c r="A6" t="s">
        <v>398</v>
      </c>
      <c r="C6" t="s">
        <v>399</v>
      </c>
      <c r="D6" t="str">
        <f t="shared" si="1"/>
        <v>张*</v>
      </c>
      <c r="E6" t="s">
        <v>400</v>
      </c>
      <c r="F6" t="str">
        <f t="shared" si="0"/>
        <v>江*</v>
      </c>
      <c r="G6" t="s">
        <v>401</v>
      </c>
      <c r="H6" t="str">
        <f t="shared" si="2"/>
        <v>联******公司</v>
      </c>
      <c r="I6" t="s">
        <v>42</v>
      </c>
      <c r="J6" t="s">
        <v>22</v>
      </c>
      <c r="K6" t="s">
        <v>402</v>
      </c>
      <c r="L6" t="str">
        <f t="shared" si="3"/>
        <v>张*</v>
      </c>
      <c r="Q6" t="s">
        <v>393</v>
      </c>
    </row>
    <row r="7" spans="1:29">
      <c r="A7" t="s">
        <v>403</v>
      </c>
      <c r="C7" t="s">
        <v>404</v>
      </c>
      <c r="D7" t="s">
        <v>405</v>
      </c>
      <c r="E7" t="s">
        <v>406</v>
      </c>
      <c r="F7" t="str">
        <f t="shared" si="0"/>
        <v>刘*</v>
      </c>
      <c r="G7" t="s">
        <v>407</v>
      </c>
      <c r="H7" t="str">
        <f t="shared" si="2"/>
        <v>许*</v>
      </c>
      <c r="I7" t="s">
        <v>408</v>
      </c>
      <c r="J7" t="s">
        <v>22</v>
      </c>
      <c r="K7" t="s">
        <v>409</v>
      </c>
      <c r="L7" t="str">
        <f t="shared" si="3"/>
        <v>曹*英</v>
      </c>
      <c r="M7" t="s">
        <v>410</v>
      </c>
      <c r="O7" t="s">
        <v>382</v>
      </c>
      <c r="P7" t="s">
        <v>383</v>
      </c>
      <c r="Q7" t="s">
        <v>384</v>
      </c>
      <c r="R7" t="s">
        <v>385</v>
      </c>
      <c r="S7" t="s">
        <v>411</v>
      </c>
      <c r="AB7" t="s">
        <v>412</v>
      </c>
      <c r="AC7" t="s">
        <v>388</v>
      </c>
    </row>
    <row r="8" spans="1:29">
      <c r="A8" t="s">
        <v>413</v>
      </c>
      <c r="C8" t="s">
        <v>414</v>
      </c>
      <c r="D8" t="str">
        <f t="shared" si="1"/>
        <v>沙*</v>
      </c>
      <c r="E8" t="s">
        <v>415</v>
      </c>
      <c r="F8" t="str">
        <f t="shared" si="0"/>
        <v>晁*童</v>
      </c>
      <c r="G8" t="s">
        <v>416</v>
      </c>
      <c r="H8" t="str">
        <f t="shared" si="2"/>
        <v>鑫********公司</v>
      </c>
      <c r="I8" t="s">
        <v>47</v>
      </c>
      <c r="J8" t="s">
        <v>22</v>
      </c>
      <c r="K8" t="s">
        <v>415</v>
      </c>
      <c r="L8" t="str">
        <f t="shared" si="3"/>
        <v>晁*童</v>
      </c>
      <c r="Q8" t="s">
        <v>393</v>
      </c>
    </row>
    <row r="9" spans="1:29">
      <c r="A9" t="s">
        <v>417</v>
      </c>
      <c r="C9" t="s">
        <v>418</v>
      </c>
      <c r="D9" t="s">
        <v>418</v>
      </c>
      <c r="E9" t="s">
        <v>419</v>
      </c>
      <c r="F9" t="str">
        <f t="shared" si="0"/>
        <v>何*</v>
      </c>
      <c r="G9" t="s">
        <v>420</v>
      </c>
      <c r="H9" t="str">
        <f t="shared" si="2"/>
        <v>网********公司</v>
      </c>
      <c r="I9" t="s">
        <v>93</v>
      </c>
      <c r="J9" t="s">
        <v>22</v>
      </c>
      <c r="K9" t="s">
        <v>421</v>
      </c>
      <c r="L9" t="str">
        <f t="shared" si="3"/>
        <v>刘*</v>
      </c>
      <c r="Q9" t="s">
        <v>393</v>
      </c>
    </row>
    <row r="10" spans="1:29">
      <c r="A10" t="s">
        <v>422</v>
      </c>
      <c r="C10" t="s">
        <v>423</v>
      </c>
      <c r="D10" t="s">
        <v>423</v>
      </c>
      <c r="E10" t="s">
        <v>362</v>
      </c>
      <c r="F10" t="str">
        <f t="shared" si="0"/>
        <v>李*</v>
      </c>
      <c r="G10" t="s">
        <v>424</v>
      </c>
      <c r="H10" t="str">
        <f t="shared" si="2"/>
        <v>泰*******公司</v>
      </c>
      <c r="I10" t="s">
        <v>408</v>
      </c>
      <c r="J10" t="s">
        <v>22</v>
      </c>
      <c r="K10" t="s">
        <v>425</v>
      </c>
      <c r="L10" t="str">
        <f t="shared" si="3"/>
        <v>陶*梅</v>
      </c>
      <c r="Q10" t="s">
        <v>393</v>
      </c>
    </row>
    <row r="11" spans="1:29">
      <c r="A11" t="s">
        <v>426</v>
      </c>
      <c r="C11" t="s">
        <v>427</v>
      </c>
      <c r="D11" t="s">
        <v>427</v>
      </c>
      <c r="E11" t="s">
        <v>428</v>
      </c>
      <c r="F11" t="str">
        <f t="shared" si="0"/>
        <v>王*</v>
      </c>
      <c r="G11" t="s">
        <v>429</v>
      </c>
      <c r="H11" t="str">
        <f t="shared" si="2"/>
        <v>维*******公司</v>
      </c>
      <c r="I11" t="s">
        <v>21</v>
      </c>
      <c r="J11" t="s">
        <v>22</v>
      </c>
      <c r="K11" t="s">
        <v>430</v>
      </c>
      <c r="L11" t="str">
        <f t="shared" si="3"/>
        <v>孙*</v>
      </c>
      <c r="Q11" t="s">
        <v>393</v>
      </c>
    </row>
    <row r="12" spans="1:29">
      <c r="A12" t="s">
        <v>431</v>
      </c>
      <c r="C12" t="s">
        <v>432</v>
      </c>
      <c r="D12" t="s">
        <v>432</v>
      </c>
      <c r="E12" t="s">
        <v>433</v>
      </c>
      <c r="F12" t="str">
        <f t="shared" si="0"/>
        <v>陈*</v>
      </c>
      <c r="G12" t="s">
        <v>434</v>
      </c>
      <c r="H12" t="str">
        <f t="shared" si="2"/>
        <v>惠**********公司</v>
      </c>
      <c r="I12" t="s">
        <v>103</v>
      </c>
      <c r="J12" t="s">
        <v>22</v>
      </c>
      <c r="K12" t="s">
        <v>435</v>
      </c>
      <c r="L12" t="str">
        <f t="shared" si="3"/>
        <v>张*</v>
      </c>
      <c r="M12" t="s">
        <v>436</v>
      </c>
      <c r="O12" t="s">
        <v>382</v>
      </c>
      <c r="P12" t="s">
        <v>383</v>
      </c>
      <c r="Q12" t="s">
        <v>384</v>
      </c>
      <c r="R12" t="s">
        <v>385</v>
      </c>
      <c r="S12" t="s">
        <v>59</v>
      </c>
      <c r="T12" t="s">
        <v>437</v>
      </c>
      <c r="W12" t="s">
        <v>436</v>
      </c>
      <c r="AB12" t="s">
        <v>387</v>
      </c>
      <c r="AC12" t="s">
        <v>388</v>
      </c>
    </row>
    <row r="13" spans="1:29">
      <c r="A13" t="s">
        <v>438</v>
      </c>
      <c r="C13" t="s">
        <v>439</v>
      </c>
      <c r="D13" t="str">
        <f t="shared" si="1"/>
        <v>柴*</v>
      </c>
      <c r="E13" t="s">
        <v>440</v>
      </c>
      <c r="F13" t="str">
        <f t="shared" si="0"/>
        <v>侯*兰</v>
      </c>
      <c r="G13" t="s">
        <v>441</v>
      </c>
      <c r="H13" t="str">
        <f t="shared" si="2"/>
        <v>巨******公司</v>
      </c>
      <c r="I13" t="s">
        <v>27</v>
      </c>
      <c r="J13" t="s">
        <v>22</v>
      </c>
      <c r="K13" t="s">
        <v>442</v>
      </c>
      <c r="L13" t="str">
        <f t="shared" si="3"/>
        <v>王*</v>
      </c>
      <c r="Q13" t="s">
        <v>393</v>
      </c>
    </row>
    <row r="14" spans="1:29">
      <c r="A14" t="s">
        <v>443</v>
      </c>
      <c r="C14" t="s">
        <v>444</v>
      </c>
      <c r="D14" t="s">
        <v>445</v>
      </c>
      <c r="E14" t="s">
        <v>446</v>
      </c>
      <c r="F14" t="str">
        <f t="shared" si="0"/>
        <v>李*</v>
      </c>
      <c r="G14" t="s">
        <v>447</v>
      </c>
      <c r="H14" t="str">
        <f t="shared" si="2"/>
        <v>天******公司</v>
      </c>
      <c r="I14" t="s">
        <v>42</v>
      </c>
      <c r="J14" t="s">
        <v>22</v>
      </c>
      <c r="K14" t="s">
        <v>448</v>
      </c>
      <c r="L14" t="str">
        <f t="shared" si="3"/>
        <v>谢*梅</v>
      </c>
      <c r="Q14" t="s">
        <v>393</v>
      </c>
    </row>
    <row r="15" spans="1:29">
      <c r="A15" t="s">
        <v>449</v>
      </c>
      <c r="C15" t="s">
        <v>450</v>
      </c>
      <c r="D15" t="str">
        <f t="shared" si="1"/>
        <v>李*</v>
      </c>
      <c r="E15" t="s">
        <v>451</v>
      </c>
      <c r="F15" t="str">
        <f t="shared" si="0"/>
        <v>王*</v>
      </c>
      <c r="G15" t="s">
        <v>452</v>
      </c>
      <c r="H15" t="str">
        <f t="shared" si="2"/>
        <v>开*********公司</v>
      </c>
      <c r="I15" t="s">
        <v>453</v>
      </c>
      <c r="J15" t="s">
        <v>22</v>
      </c>
      <c r="K15" t="s">
        <v>454</v>
      </c>
      <c r="L15" t="str">
        <f t="shared" si="3"/>
        <v>赵*珍</v>
      </c>
      <c r="Q15" t="s">
        <v>393</v>
      </c>
    </row>
    <row r="16" spans="1:29">
      <c r="A16" t="s">
        <v>455</v>
      </c>
      <c r="C16" t="s">
        <v>456</v>
      </c>
      <c r="D16" t="s">
        <v>456</v>
      </c>
      <c r="E16" t="s">
        <v>457</v>
      </c>
      <c r="F16" t="str">
        <f t="shared" si="0"/>
        <v>徐*丽</v>
      </c>
      <c r="G16" t="s">
        <v>458</v>
      </c>
      <c r="H16" t="str">
        <f t="shared" si="2"/>
        <v>群******公司</v>
      </c>
      <c r="I16" t="s">
        <v>21</v>
      </c>
      <c r="J16" t="s">
        <v>22</v>
      </c>
      <c r="K16" t="s">
        <v>459</v>
      </c>
      <c r="L16" t="str">
        <f t="shared" si="3"/>
        <v>王*军</v>
      </c>
      <c r="M16" t="s">
        <v>460</v>
      </c>
      <c r="O16" t="s">
        <v>382</v>
      </c>
      <c r="P16" t="s">
        <v>383</v>
      </c>
      <c r="Q16" t="s">
        <v>384</v>
      </c>
      <c r="S16" t="s">
        <v>461</v>
      </c>
    </row>
    <row r="17" spans="1:29">
      <c r="A17" t="s">
        <v>462</v>
      </c>
      <c r="C17" t="s">
        <v>456</v>
      </c>
      <c r="D17" t="s">
        <v>456</v>
      </c>
      <c r="E17" t="s">
        <v>463</v>
      </c>
      <c r="F17" t="str">
        <f t="shared" si="0"/>
        <v>郑*华</v>
      </c>
      <c r="G17" t="s">
        <v>464</v>
      </c>
      <c r="H17" t="str">
        <f t="shared" si="2"/>
        <v>昂********公司</v>
      </c>
      <c r="I17" t="s">
        <v>21</v>
      </c>
      <c r="J17" t="s">
        <v>22</v>
      </c>
      <c r="K17" t="s">
        <v>465</v>
      </c>
      <c r="L17" t="str">
        <f t="shared" si="3"/>
        <v>赵*</v>
      </c>
      <c r="M17" t="s">
        <v>466</v>
      </c>
      <c r="O17" t="s">
        <v>382</v>
      </c>
      <c r="P17" t="s">
        <v>467</v>
      </c>
      <c r="Q17" t="s">
        <v>468</v>
      </c>
      <c r="S17" t="s">
        <v>469</v>
      </c>
    </row>
    <row r="18" spans="1:29">
      <c r="A18" t="s">
        <v>470</v>
      </c>
      <c r="C18" t="s">
        <v>471</v>
      </c>
      <c r="D18" t="s">
        <v>471</v>
      </c>
      <c r="E18" t="s">
        <v>472</v>
      </c>
      <c r="F18" t="str">
        <f t="shared" si="0"/>
        <v>程*</v>
      </c>
      <c r="G18" t="s">
        <v>473</v>
      </c>
      <c r="H18" t="str">
        <f t="shared" si="2"/>
        <v>诺*********公司</v>
      </c>
      <c r="I18" t="s">
        <v>47</v>
      </c>
      <c r="J18" t="s">
        <v>22</v>
      </c>
      <c r="K18" t="s">
        <v>472</v>
      </c>
      <c r="L18" t="str">
        <f t="shared" si="3"/>
        <v>程*</v>
      </c>
      <c r="Q18" t="s">
        <v>393</v>
      </c>
    </row>
    <row r="19" spans="1:29">
      <c r="A19" t="s">
        <v>474</v>
      </c>
      <c r="C19" t="s">
        <v>475</v>
      </c>
      <c r="D19" t="s">
        <v>475</v>
      </c>
      <c r="E19" t="s">
        <v>476</v>
      </c>
      <c r="F19" t="str">
        <f t="shared" si="0"/>
        <v>宾*</v>
      </c>
      <c r="G19" t="s">
        <v>477</v>
      </c>
      <c r="H19" t="str">
        <f t="shared" si="2"/>
        <v>图********公司</v>
      </c>
      <c r="I19" t="s">
        <v>103</v>
      </c>
      <c r="J19" t="s">
        <v>22</v>
      </c>
      <c r="K19" t="s">
        <v>478</v>
      </c>
      <c r="L19" t="str">
        <f t="shared" si="3"/>
        <v>姜*</v>
      </c>
      <c r="Q19" t="s">
        <v>393</v>
      </c>
    </row>
    <row r="20" spans="1:29">
      <c r="A20" t="s">
        <v>479</v>
      </c>
      <c r="C20" t="s">
        <v>480</v>
      </c>
      <c r="D20" t="str">
        <f t="shared" si="1"/>
        <v>李*霞</v>
      </c>
      <c r="E20" t="s">
        <v>481</v>
      </c>
      <c r="F20" t="str">
        <f t="shared" si="0"/>
        <v>单*芳</v>
      </c>
      <c r="G20" t="s">
        <v>482</v>
      </c>
      <c r="H20" t="str">
        <f t="shared" si="2"/>
        <v>天******公司</v>
      </c>
      <c r="I20" t="s">
        <v>93</v>
      </c>
      <c r="J20" t="s">
        <v>22</v>
      </c>
      <c r="K20" t="s">
        <v>481</v>
      </c>
      <c r="L20" t="str">
        <f t="shared" si="3"/>
        <v>单*芳</v>
      </c>
      <c r="Q20" t="s">
        <v>393</v>
      </c>
    </row>
    <row r="21" spans="1:29">
      <c r="A21" t="s">
        <v>483</v>
      </c>
      <c r="C21" t="s">
        <v>484</v>
      </c>
      <c r="D21" t="str">
        <f t="shared" si="1"/>
        <v>李*</v>
      </c>
      <c r="E21" t="s">
        <v>485</v>
      </c>
      <c r="F21" t="str">
        <f t="shared" si="0"/>
        <v>陈*</v>
      </c>
      <c r="G21" t="s">
        <v>486</v>
      </c>
      <c r="H21" t="str">
        <f t="shared" si="2"/>
        <v>诺*********公司</v>
      </c>
      <c r="I21" t="s">
        <v>189</v>
      </c>
      <c r="J21" t="s">
        <v>22</v>
      </c>
      <c r="K21" t="s">
        <v>487</v>
      </c>
      <c r="L21" t="str">
        <f t="shared" si="3"/>
        <v>程*</v>
      </c>
      <c r="Q21" t="s">
        <v>393</v>
      </c>
    </row>
    <row r="22" spans="1:29">
      <c r="A22" t="s">
        <v>488</v>
      </c>
      <c r="C22" t="s">
        <v>489</v>
      </c>
      <c r="D22" t="str">
        <f t="shared" si="1"/>
        <v>马*</v>
      </c>
      <c r="E22" t="s">
        <v>490</v>
      </c>
      <c r="F22" t="str">
        <f t="shared" si="0"/>
        <v>高*</v>
      </c>
      <c r="G22" t="s">
        <v>491</v>
      </c>
      <c r="H22" t="str">
        <f t="shared" si="2"/>
        <v>信********公司</v>
      </c>
      <c r="I22" t="s">
        <v>189</v>
      </c>
      <c r="J22" t="s">
        <v>22</v>
      </c>
      <c r="K22" t="s">
        <v>492</v>
      </c>
      <c r="L22" t="str">
        <f t="shared" si="3"/>
        <v>程*</v>
      </c>
      <c r="Q22" t="s">
        <v>393</v>
      </c>
    </row>
    <row r="23" spans="1:29">
      <c r="A23" t="s">
        <v>493</v>
      </c>
      <c r="C23" t="s">
        <v>494</v>
      </c>
      <c r="D23" t="str">
        <f t="shared" si="1"/>
        <v>吴*</v>
      </c>
      <c r="E23" t="s">
        <v>495</v>
      </c>
      <c r="F23" t="str">
        <f t="shared" si="0"/>
        <v>董*</v>
      </c>
      <c r="G23" t="s">
        <v>496</v>
      </c>
      <c r="H23" t="str">
        <f t="shared" si="2"/>
        <v>海******公司</v>
      </c>
      <c r="I23" t="s">
        <v>32</v>
      </c>
      <c r="J23" t="s">
        <v>22</v>
      </c>
      <c r="K23" t="s">
        <v>495</v>
      </c>
      <c r="L23" t="str">
        <f t="shared" si="3"/>
        <v>董*</v>
      </c>
      <c r="Q23" t="s">
        <v>393</v>
      </c>
    </row>
    <row r="24" spans="1:29">
      <c r="A24" t="s">
        <v>497</v>
      </c>
      <c r="C24" t="s">
        <v>498</v>
      </c>
      <c r="D24" t="str">
        <f t="shared" si="1"/>
        <v>高*</v>
      </c>
      <c r="E24" t="s">
        <v>499</v>
      </c>
      <c r="F24" t="str">
        <f t="shared" si="0"/>
        <v>窦*</v>
      </c>
      <c r="G24" t="s">
        <v>500</v>
      </c>
      <c r="H24" t="str">
        <f t="shared" si="2"/>
        <v>济*********公司</v>
      </c>
      <c r="I24" t="s">
        <v>93</v>
      </c>
      <c r="J24" t="s">
        <v>22</v>
      </c>
      <c r="K24" t="s">
        <v>499</v>
      </c>
      <c r="L24" t="str">
        <f t="shared" si="3"/>
        <v>窦*</v>
      </c>
      <c r="M24" t="s">
        <v>501</v>
      </c>
      <c r="O24" t="s">
        <v>382</v>
      </c>
      <c r="P24" t="s">
        <v>383</v>
      </c>
      <c r="Q24" t="s">
        <v>384</v>
      </c>
      <c r="R24" t="s">
        <v>385</v>
      </c>
      <c r="S24" t="s">
        <v>502</v>
      </c>
      <c r="T24" t="s">
        <v>503</v>
      </c>
      <c r="W24" t="s">
        <v>501</v>
      </c>
    </row>
    <row r="25" spans="1:29">
      <c r="A25" t="s">
        <v>504</v>
      </c>
      <c r="C25" t="s">
        <v>505</v>
      </c>
      <c r="D25" t="str">
        <f t="shared" si="1"/>
        <v>刘*梅</v>
      </c>
      <c r="E25" t="s">
        <v>506</v>
      </c>
      <c r="F25" t="str">
        <f t="shared" si="0"/>
        <v>程*英</v>
      </c>
      <c r="G25" t="s">
        <v>507</v>
      </c>
      <c r="H25" t="str">
        <f t="shared" si="2"/>
        <v>襄*********公司</v>
      </c>
      <c r="I25" t="s">
        <v>21</v>
      </c>
      <c r="J25" t="s">
        <v>22</v>
      </c>
      <c r="K25" t="s">
        <v>508</v>
      </c>
      <c r="L25" t="str">
        <f t="shared" si="3"/>
        <v>叶*</v>
      </c>
      <c r="M25" t="s">
        <v>509</v>
      </c>
      <c r="O25" t="s">
        <v>382</v>
      </c>
      <c r="P25" t="s">
        <v>383</v>
      </c>
      <c r="Q25" t="s">
        <v>384</v>
      </c>
      <c r="R25" t="s">
        <v>385</v>
      </c>
      <c r="S25" t="s">
        <v>510</v>
      </c>
      <c r="T25" t="s">
        <v>511</v>
      </c>
      <c r="W25" t="s">
        <v>509</v>
      </c>
      <c r="AB25" t="s">
        <v>387</v>
      </c>
      <c r="AC25" t="s">
        <v>512</v>
      </c>
    </row>
    <row r="26" spans="1:29">
      <c r="A26" t="s">
        <v>513</v>
      </c>
      <c r="C26" t="s">
        <v>514</v>
      </c>
      <c r="D26" t="str">
        <f t="shared" si="1"/>
        <v>丁*</v>
      </c>
      <c r="E26" t="s">
        <v>515</v>
      </c>
      <c r="F26" t="str">
        <f t="shared" si="0"/>
        <v>程*</v>
      </c>
      <c r="G26" t="s">
        <v>516</v>
      </c>
      <c r="H26" t="str">
        <f t="shared" si="2"/>
        <v>网********公司</v>
      </c>
      <c r="I26" t="s">
        <v>21</v>
      </c>
      <c r="J26" t="s">
        <v>22</v>
      </c>
      <c r="K26" t="s">
        <v>517</v>
      </c>
      <c r="L26" t="str">
        <f t="shared" si="3"/>
        <v>徐*英</v>
      </c>
      <c r="M26" t="s">
        <v>518</v>
      </c>
      <c r="O26" t="s">
        <v>382</v>
      </c>
      <c r="P26" t="s">
        <v>383</v>
      </c>
      <c r="Q26" t="s">
        <v>384</v>
      </c>
      <c r="R26" t="s">
        <v>519</v>
      </c>
      <c r="S26" t="s">
        <v>469</v>
      </c>
      <c r="AB26" t="s">
        <v>387</v>
      </c>
      <c r="AC26" t="s">
        <v>512</v>
      </c>
    </row>
    <row r="27" spans="1:29">
      <c r="A27" t="s">
        <v>520</v>
      </c>
      <c r="C27" t="s">
        <v>521</v>
      </c>
      <c r="D27" t="str">
        <f t="shared" si="1"/>
        <v>陈*华</v>
      </c>
      <c r="E27" t="s">
        <v>522</v>
      </c>
      <c r="F27" t="str">
        <f t="shared" si="0"/>
        <v>杜*</v>
      </c>
      <c r="G27" t="s">
        <v>523</v>
      </c>
      <c r="H27" t="str">
        <f t="shared" si="2"/>
        <v>商********公司</v>
      </c>
      <c r="I27" t="s">
        <v>524</v>
      </c>
      <c r="J27" t="s">
        <v>22</v>
      </c>
      <c r="K27" t="s">
        <v>522</v>
      </c>
      <c r="L27" t="str">
        <f t="shared" si="3"/>
        <v>杜*</v>
      </c>
      <c r="M27" t="s">
        <v>525</v>
      </c>
      <c r="O27" t="s">
        <v>382</v>
      </c>
      <c r="P27" t="s">
        <v>383</v>
      </c>
      <c r="Q27" t="s">
        <v>384</v>
      </c>
      <c r="R27" t="s">
        <v>385</v>
      </c>
      <c r="S27" t="s">
        <v>526</v>
      </c>
      <c r="T27" t="s">
        <v>527</v>
      </c>
      <c r="W27" t="s">
        <v>525</v>
      </c>
      <c r="AB27" t="s">
        <v>387</v>
      </c>
      <c r="AC27" t="s">
        <v>512</v>
      </c>
    </row>
    <row r="28" spans="1:29">
      <c r="A28" t="s">
        <v>528</v>
      </c>
      <c r="C28" t="s">
        <v>529</v>
      </c>
      <c r="D28" t="str">
        <f t="shared" si="1"/>
        <v>张*</v>
      </c>
      <c r="E28" t="s">
        <v>522</v>
      </c>
      <c r="F28" t="str">
        <f t="shared" si="0"/>
        <v>杜*</v>
      </c>
      <c r="G28" t="s">
        <v>530</v>
      </c>
      <c r="H28" t="str">
        <f t="shared" si="2"/>
        <v>合********公司</v>
      </c>
      <c r="I28" t="s">
        <v>507</v>
      </c>
      <c r="J28" t="s">
        <v>22</v>
      </c>
      <c r="K28" t="s">
        <v>522</v>
      </c>
      <c r="L28" t="str">
        <f t="shared" si="3"/>
        <v>杜*</v>
      </c>
      <c r="M28" t="s">
        <v>410</v>
      </c>
      <c r="O28" t="s">
        <v>382</v>
      </c>
      <c r="P28" t="s">
        <v>383</v>
      </c>
      <c r="Q28" t="s">
        <v>384</v>
      </c>
      <c r="R28" t="s">
        <v>385</v>
      </c>
      <c r="S28" t="s">
        <v>411</v>
      </c>
      <c r="AB28" t="s">
        <v>412</v>
      </c>
      <c r="AC28" t="s">
        <v>388</v>
      </c>
    </row>
    <row r="29" spans="1:29">
      <c r="A29" t="s">
        <v>531</v>
      </c>
      <c r="C29" t="s">
        <v>532</v>
      </c>
      <c r="D29" t="str">
        <f t="shared" si="1"/>
        <v>赵*</v>
      </c>
      <c r="E29" t="s">
        <v>533</v>
      </c>
      <c r="F29" t="str">
        <f t="shared" si="0"/>
        <v>段*</v>
      </c>
      <c r="G29" t="s">
        <v>534</v>
      </c>
      <c r="H29" t="str">
        <f t="shared" si="2"/>
        <v>国******公司</v>
      </c>
      <c r="I29" t="s">
        <v>453</v>
      </c>
      <c r="J29" t="s">
        <v>22</v>
      </c>
      <c r="K29" t="s">
        <v>533</v>
      </c>
      <c r="L29" t="str">
        <f t="shared" si="3"/>
        <v>段*</v>
      </c>
      <c r="Q29" t="s">
        <v>393</v>
      </c>
    </row>
    <row r="30" spans="1:29">
      <c r="A30" t="s">
        <v>535</v>
      </c>
      <c r="C30" t="s">
        <v>536</v>
      </c>
      <c r="D30" t="str">
        <f t="shared" si="1"/>
        <v>潘*</v>
      </c>
      <c r="E30" t="s">
        <v>537</v>
      </c>
      <c r="F30" t="str">
        <f t="shared" si="0"/>
        <v>范*</v>
      </c>
      <c r="G30" t="s">
        <v>538</v>
      </c>
      <c r="H30" t="str">
        <f t="shared" si="2"/>
        <v>艾********公司</v>
      </c>
      <c r="I30" t="s">
        <v>21</v>
      </c>
      <c r="J30" t="s">
        <v>22</v>
      </c>
      <c r="K30" t="s">
        <v>537</v>
      </c>
      <c r="L30" t="str">
        <f t="shared" si="3"/>
        <v>范*</v>
      </c>
      <c r="M30" t="s">
        <v>509</v>
      </c>
      <c r="O30" t="s">
        <v>382</v>
      </c>
      <c r="P30" t="s">
        <v>467</v>
      </c>
      <c r="Q30" t="s">
        <v>468</v>
      </c>
      <c r="R30" t="s">
        <v>385</v>
      </c>
      <c r="S30" t="s">
        <v>461</v>
      </c>
      <c r="AB30" t="s">
        <v>387</v>
      </c>
      <c r="AC30" t="s">
        <v>512</v>
      </c>
    </row>
    <row r="31" spans="1:29">
      <c r="A31" t="s">
        <v>539</v>
      </c>
      <c r="C31" t="s">
        <v>540</v>
      </c>
      <c r="D31" t="str">
        <f t="shared" si="1"/>
        <v>仝*</v>
      </c>
      <c r="E31" t="s">
        <v>537</v>
      </c>
      <c r="F31" t="str">
        <f t="shared" si="0"/>
        <v>范*</v>
      </c>
      <c r="G31" t="s">
        <v>541</v>
      </c>
      <c r="H31" t="str">
        <f t="shared" si="2"/>
        <v>晖*********公司</v>
      </c>
      <c r="I31" t="s">
        <v>21</v>
      </c>
      <c r="J31" t="s">
        <v>22</v>
      </c>
      <c r="K31" t="s">
        <v>537</v>
      </c>
      <c r="L31" t="str">
        <f t="shared" si="3"/>
        <v>范*</v>
      </c>
      <c r="M31" t="s">
        <v>542</v>
      </c>
      <c r="O31" t="s">
        <v>382</v>
      </c>
      <c r="P31" t="s">
        <v>383</v>
      </c>
      <c r="Q31" t="s">
        <v>384</v>
      </c>
      <c r="R31" t="s">
        <v>385</v>
      </c>
      <c r="S31" t="s">
        <v>461</v>
      </c>
      <c r="T31" t="s">
        <v>543</v>
      </c>
      <c r="AA31" t="s">
        <v>544</v>
      </c>
      <c r="AB31" t="s">
        <v>387</v>
      </c>
      <c r="AC31" t="s">
        <v>512</v>
      </c>
    </row>
    <row r="32" spans="1:29">
      <c r="A32" t="s">
        <v>545</v>
      </c>
      <c r="C32" t="s">
        <v>546</v>
      </c>
      <c r="D32" t="str">
        <f t="shared" si="1"/>
        <v>杨*</v>
      </c>
      <c r="E32" t="s">
        <v>537</v>
      </c>
      <c r="F32" t="str">
        <f t="shared" si="0"/>
        <v>范*</v>
      </c>
      <c r="G32" t="s">
        <v>547</v>
      </c>
      <c r="H32" t="str">
        <f t="shared" si="2"/>
        <v>黄********公司</v>
      </c>
      <c r="I32" t="s">
        <v>21</v>
      </c>
      <c r="J32" t="s">
        <v>22</v>
      </c>
      <c r="K32" t="s">
        <v>537</v>
      </c>
      <c r="L32" t="str">
        <f t="shared" si="3"/>
        <v>范*</v>
      </c>
      <c r="M32" t="s">
        <v>436</v>
      </c>
      <c r="O32" t="s">
        <v>382</v>
      </c>
      <c r="P32" t="s">
        <v>383</v>
      </c>
      <c r="Q32" t="s">
        <v>384</v>
      </c>
      <c r="R32" t="s">
        <v>385</v>
      </c>
      <c r="S32" t="s">
        <v>461</v>
      </c>
      <c r="T32" t="s">
        <v>548</v>
      </c>
      <c r="W32" t="s">
        <v>436</v>
      </c>
      <c r="AA32" t="s">
        <v>549</v>
      </c>
      <c r="AB32" t="s">
        <v>387</v>
      </c>
      <c r="AC32" t="s">
        <v>512</v>
      </c>
    </row>
    <row r="33" spans="1:29">
      <c r="A33" t="s">
        <v>550</v>
      </c>
      <c r="C33" t="s">
        <v>551</v>
      </c>
      <c r="D33" t="s">
        <v>552</v>
      </c>
      <c r="E33" t="s">
        <v>553</v>
      </c>
      <c r="F33" t="str">
        <f t="shared" si="0"/>
        <v>陈*</v>
      </c>
      <c r="G33" t="s">
        <v>554</v>
      </c>
      <c r="H33" t="str">
        <f t="shared" si="2"/>
        <v>思******公司</v>
      </c>
      <c r="I33" t="s">
        <v>103</v>
      </c>
      <c r="J33" t="s">
        <v>22</v>
      </c>
      <c r="K33" t="s">
        <v>555</v>
      </c>
      <c r="L33" t="str">
        <f t="shared" si="3"/>
        <v>甘*</v>
      </c>
      <c r="M33" t="s">
        <v>436</v>
      </c>
      <c r="O33" t="s">
        <v>382</v>
      </c>
      <c r="P33" t="s">
        <v>383</v>
      </c>
      <c r="Q33" t="s">
        <v>384</v>
      </c>
      <c r="R33" t="s">
        <v>385</v>
      </c>
      <c r="S33" t="s">
        <v>59</v>
      </c>
      <c r="T33" t="s">
        <v>556</v>
      </c>
      <c r="W33" t="s">
        <v>436</v>
      </c>
      <c r="AB33" t="s">
        <v>387</v>
      </c>
      <c r="AC33" t="s">
        <v>388</v>
      </c>
    </row>
    <row r="34" spans="1:29">
      <c r="A34" t="s">
        <v>557</v>
      </c>
      <c r="C34" t="s">
        <v>558</v>
      </c>
      <c r="D34" t="str">
        <f t="shared" si="1"/>
        <v>郑*</v>
      </c>
      <c r="E34" t="s">
        <v>559</v>
      </c>
      <c r="F34" t="str">
        <f t="shared" si="0"/>
        <v>付*</v>
      </c>
      <c r="G34" t="s">
        <v>560</v>
      </c>
      <c r="H34" t="str">
        <f t="shared" si="2"/>
        <v>毕*******公司</v>
      </c>
      <c r="I34" t="s">
        <v>21</v>
      </c>
      <c r="J34" t="s">
        <v>22</v>
      </c>
      <c r="K34" t="s">
        <v>559</v>
      </c>
      <c r="L34" t="str">
        <f t="shared" si="3"/>
        <v>付*</v>
      </c>
      <c r="M34" t="s">
        <v>410</v>
      </c>
      <c r="O34" t="s">
        <v>382</v>
      </c>
      <c r="P34" t="s">
        <v>383</v>
      </c>
      <c r="Q34" t="s">
        <v>384</v>
      </c>
      <c r="R34" t="s">
        <v>385</v>
      </c>
      <c r="S34" t="s">
        <v>411</v>
      </c>
      <c r="AB34" t="s">
        <v>412</v>
      </c>
      <c r="AC34" t="s">
        <v>388</v>
      </c>
    </row>
    <row r="35" spans="1:29">
      <c r="A35" t="s">
        <v>561</v>
      </c>
      <c r="C35" t="s">
        <v>562</v>
      </c>
      <c r="D35" t="str">
        <f t="shared" si="1"/>
        <v>赵*英</v>
      </c>
      <c r="E35" t="s">
        <v>563</v>
      </c>
      <c r="F35" t="str">
        <f t="shared" si="0"/>
        <v>李*</v>
      </c>
      <c r="G35" t="s">
        <v>564</v>
      </c>
      <c r="H35" t="str">
        <f t="shared" si="2"/>
        <v>济*********公司</v>
      </c>
      <c r="I35" t="s">
        <v>21</v>
      </c>
      <c r="J35" t="s">
        <v>22</v>
      </c>
      <c r="K35" t="s">
        <v>565</v>
      </c>
      <c r="L35" t="str">
        <f t="shared" si="3"/>
        <v>高*</v>
      </c>
      <c r="Q35" t="s">
        <v>393</v>
      </c>
    </row>
    <row r="36" spans="1:29">
      <c r="A36" t="s">
        <v>566</v>
      </c>
      <c r="C36" t="s">
        <v>567</v>
      </c>
      <c r="D36" t="s">
        <v>568</v>
      </c>
      <c r="E36" t="s">
        <v>569</v>
      </c>
      <c r="F36" t="str">
        <f t="shared" si="0"/>
        <v>高*娜</v>
      </c>
      <c r="G36" t="s">
        <v>570</v>
      </c>
      <c r="H36" t="str">
        <f t="shared" si="2"/>
        <v>戴********公司</v>
      </c>
      <c r="I36" t="s">
        <v>571</v>
      </c>
      <c r="J36" t="s">
        <v>22</v>
      </c>
      <c r="K36" t="s">
        <v>569</v>
      </c>
      <c r="L36" t="str">
        <f t="shared" si="3"/>
        <v>高*娜</v>
      </c>
      <c r="Q36" t="s">
        <v>393</v>
      </c>
    </row>
    <row r="37" spans="1:29">
      <c r="A37" t="s">
        <v>572</v>
      </c>
      <c r="C37" t="s">
        <v>573</v>
      </c>
      <c r="D37" t="str">
        <f t="shared" si="1"/>
        <v>林*</v>
      </c>
      <c r="E37" t="s">
        <v>574</v>
      </c>
      <c r="F37" t="str">
        <f t="shared" si="0"/>
        <v>高*</v>
      </c>
      <c r="G37" t="s">
        <v>575</v>
      </c>
      <c r="H37" t="str">
        <f t="shared" si="2"/>
        <v>惠**********公司</v>
      </c>
      <c r="I37" t="s">
        <v>93</v>
      </c>
      <c r="J37" t="s">
        <v>22</v>
      </c>
      <c r="K37" t="s">
        <v>574</v>
      </c>
      <c r="L37" t="str">
        <f t="shared" si="3"/>
        <v>高*</v>
      </c>
      <c r="Q37" t="s">
        <v>393</v>
      </c>
    </row>
    <row r="38" spans="1:29">
      <c r="A38" t="s">
        <v>576</v>
      </c>
      <c r="C38" t="s">
        <v>577</v>
      </c>
      <c r="D38" t="str">
        <f t="shared" si="1"/>
        <v>黄*</v>
      </c>
      <c r="E38" t="s">
        <v>578</v>
      </c>
      <c r="F38" t="str">
        <f t="shared" si="0"/>
        <v>龚*</v>
      </c>
      <c r="G38" t="s">
        <v>579</v>
      </c>
      <c r="H38" t="str">
        <f t="shared" si="2"/>
        <v>国******公司</v>
      </c>
      <c r="I38" t="s">
        <v>27</v>
      </c>
      <c r="J38" t="s">
        <v>22</v>
      </c>
      <c r="K38" t="s">
        <v>578</v>
      </c>
      <c r="L38" t="str">
        <f t="shared" si="3"/>
        <v>龚*</v>
      </c>
      <c r="M38" t="s">
        <v>410</v>
      </c>
      <c r="O38" t="s">
        <v>382</v>
      </c>
      <c r="P38" t="s">
        <v>383</v>
      </c>
      <c r="Q38" t="s">
        <v>384</v>
      </c>
      <c r="R38" t="s">
        <v>385</v>
      </c>
      <c r="S38" t="s">
        <v>411</v>
      </c>
      <c r="AB38" t="s">
        <v>412</v>
      </c>
      <c r="AC38" t="s">
        <v>388</v>
      </c>
    </row>
    <row r="39" spans="1:29">
      <c r="A39" t="s">
        <v>580</v>
      </c>
      <c r="C39" t="s">
        <v>581</v>
      </c>
      <c r="D39" t="s">
        <v>582</v>
      </c>
      <c r="E39" t="s">
        <v>583</v>
      </c>
      <c r="F39" t="str">
        <f t="shared" si="0"/>
        <v>夏*梅</v>
      </c>
      <c r="G39" t="s">
        <v>584</v>
      </c>
      <c r="H39" t="str">
        <f t="shared" si="2"/>
        <v>易*******公司</v>
      </c>
      <c r="I39" t="s">
        <v>585</v>
      </c>
      <c r="J39" t="s">
        <v>22</v>
      </c>
      <c r="K39" t="s">
        <v>586</v>
      </c>
      <c r="L39" t="str">
        <f t="shared" si="3"/>
        <v>陈*</v>
      </c>
      <c r="Q39" t="s">
        <v>393</v>
      </c>
    </row>
    <row r="40" spans="1:29">
      <c r="A40" t="s">
        <v>587</v>
      </c>
      <c r="C40" t="s">
        <v>588</v>
      </c>
      <c r="D40" t="str">
        <f t="shared" si="1"/>
        <v>刘*</v>
      </c>
      <c r="E40" t="s">
        <v>589</v>
      </c>
      <c r="F40" t="str">
        <f t="shared" si="0"/>
        <v>郑*</v>
      </c>
      <c r="G40" t="s">
        <v>590</v>
      </c>
      <c r="H40" t="str">
        <f t="shared" si="2"/>
        <v>佳******公司</v>
      </c>
      <c r="I40" t="s">
        <v>37</v>
      </c>
      <c r="J40" t="s">
        <v>22</v>
      </c>
      <c r="K40" t="s">
        <v>591</v>
      </c>
      <c r="L40" t="str">
        <f t="shared" si="3"/>
        <v>张*华</v>
      </c>
      <c r="Q40" t="s">
        <v>393</v>
      </c>
    </row>
    <row r="41" spans="1:29">
      <c r="A41" t="s">
        <v>592</v>
      </c>
      <c r="C41" t="s">
        <v>593</v>
      </c>
      <c r="D41" t="s">
        <v>594</v>
      </c>
      <c r="E41" t="s">
        <v>595</v>
      </c>
      <c r="F41" t="str">
        <f t="shared" si="0"/>
        <v>王*</v>
      </c>
      <c r="G41" t="s">
        <v>464</v>
      </c>
      <c r="H41" t="str">
        <f t="shared" si="2"/>
        <v>昂********公司</v>
      </c>
      <c r="I41" t="s">
        <v>37</v>
      </c>
      <c r="J41" t="s">
        <v>22</v>
      </c>
      <c r="K41" t="s">
        <v>596</v>
      </c>
      <c r="L41" t="str">
        <f t="shared" si="3"/>
        <v>易*</v>
      </c>
      <c r="M41" t="s">
        <v>597</v>
      </c>
      <c r="O41" t="s">
        <v>382</v>
      </c>
      <c r="P41" t="s">
        <v>383</v>
      </c>
      <c r="Q41" t="s">
        <v>384</v>
      </c>
      <c r="R41" t="s">
        <v>385</v>
      </c>
      <c r="S41" t="s">
        <v>598</v>
      </c>
      <c r="T41" t="s">
        <v>599</v>
      </c>
      <c r="W41" t="s">
        <v>597</v>
      </c>
      <c r="AB41" t="s">
        <v>387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2882882882883" defaultRowHeight="14.1"/>
  <sheetData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K1:K31"/>
  <sheetViews>
    <sheetView workbookViewId="0">
      <selection activeCell="M42" sqref="M42"/>
    </sheetView>
  </sheetViews>
  <sheetFormatPr defaultColWidth="8.82882882882883" defaultRowHeight="14.1"/>
  <sheetData>
    <row r="1" spans="11:11">
      <c r="K1" t="s">
        <v>382</v>
      </c>
    </row>
    <row r="2" spans="11:11">
      <c r="K2" t="s">
        <v>600</v>
      </c>
    </row>
    <row r="3" spans="11:11">
      <c r="K3" t="s">
        <v>601</v>
      </c>
    </row>
    <row r="4" spans="11:11">
      <c r="K4" t="s">
        <v>602</v>
      </c>
    </row>
    <row r="5" spans="11:11">
      <c r="K5" t="s">
        <v>603</v>
      </c>
    </row>
    <row r="6" spans="11:11">
      <c r="K6" t="s">
        <v>604</v>
      </c>
    </row>
    <row r="7" spans="11:11">
      <c r="K7" t="s">
        <v>605</v>
      </c>
    </row>
    <row r="8" spans="11:11">
      <c r="K8" t="s">
        <v>606</v>
      </c>
    </row>
    <row r="9" spans="11:11">
      <c r="K9" t="s">
        <v>607</v>
      </c>
    </row>
    <row r="10" spans="11:11">
      <c r="K10" t="s">
        <v>608</v>
      </c>
    </row>
    <row r="11" spans="11:11">
      <c r="K11" t="s">
        <v>609</v>
      </c>
    </row>
    <row r="12" spans="11:11">
      <c r="K12" t="s">
        <v>610</v>
      </c>
    </row>
    <row r="13" spans="11:11">
      <c r="K13" t="s">
        <v>611</v>
      </c>
    </row>
    <row r="14" spans="11:11">
      <c r="K14" t="s">
        <v>612</v>
      </c>
    </row>
    <row r="15" spans="11:11">
      <c r="K15" t="s">
        <v>613</v>
      </c>
    </row>
    <row r="16" spans="11:11">
      <c r="K16" t="s">
        <v>614</v>
      </c>
    </row>
    <row r="17" spans="11:11">
      <c r="K17" t="s">
        <v>615</v>
      </c>
    </row>
    <row r="18" spans="11:11">
      <c r="K18" t="s">
        <v>616</v>
      </c>
    </row>
    <row r="19" spans="11:11">
      <c r="K19" t="s">
        <v>617</v>
      </c>
    </row>
    <row r="20" spans="11:11">
      <c r="K20" t="s">
        <v>618</v>
      </c>
    </row>
    <row r="21" spans="11:11">
      <c r="K21" t="s">
        <v>619</v>
      </c>
    </row>
    <row r="22" spans="11:11">
      <c r="K22" t="s">
        <v>620</v>
      </c>
    </row>
    <row r="23" spans="11:11">
      <c r="K23" t="s">
        <v>621</v>
      </c>
    </row>
    <row r="24" spans="11:11">
      <c r="K24" t="s">
        <v>622</v>
      </c>
    </row>
    <row r="25" spans="11:11">
      <c r="K25" t="s">
        <v>623</v>
      </c>
    </row>
    <row r="26" spans="11:11">
      <c r="K26" t="s">
        <v>624</v>
      </c>
    </row>
    <row r="27" spans="11:11">
      <c r="K27" t="s">
        <v>625</v>
      </c>
    </row>
    <row r="28" spans="11:11">
      <c r="K28" t="s">
        <v>626</v>
      </c>
    </row>
    <row r="29" spans="11:11">
      <c r="K29" t="s">
        <v>627</v>
      </c>
    </row>
    <row r="30" spans="11:11">
      <c r="K30" t="s">
        <v>628</v>
      </c>
    </row>
    <row r="31" spans="11:11">
      <c r="K31" t="s">
        <v>629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M1:M41"/>
  <sheetViews>
    <sheetView workbookViewId="0">
      <selection activeCell="T15" sqref="T15"/>
    </sheetView>
  </sheetViews>
  <sheetFormatPr defaultColWidth="8.82882882882883" defaultRowHeight="14.1"/>
  <sheetData>
    <row r="1" spans="13:13">
      <c r="M1" t="s">
        <v>630</v>
      </c>
    </row>
    <row r="2" spans="13:13">
      <c r="M2" t="s">
        <v>631</v>
      </c>
    </row>
    <row r="3" spans="13:13">
      <c r="M3" t="s">
        <v>632</v>
      </c>
    </row>
    <row r="4" spans="13:13">
      <c r="M4" t="s">
        <v>633</v>
      </c>
    </row>
    <row r="5" spans="13:13">
      <c r="M5" t="s">
        <v>634</v>
      </c>
    </row>
    <row r="6" spans="13:13">
      <c r="M6" t="s">
        <v>635</v>
      </c>
    </row>
    <row r="7" spans="13:13">
      <c r="M7" t="s">
        <v>636</v>
      </c>
    </row>
    <row r="8" spans="13:13">
      <c r="M8" t="s">
        <v>637</v>
      </c>
    </row>
    <row r="9" spans="13:13">
      <c r="M9" t="s">
        <v>638</v>
      </c>
    </row>
    <row r="10" spans="13:13">
      <c r="M10" t="s">
        <v>639</v>
      </c>
    </row>
    <row r="11" spans="13:13">
      <c r="M11" t="s">
        <v>640</v>
      </c>
    </row>
    <row r="12" spans="13:13">
      <c r="M12" t="s">
        <v>641</v>
      </c>
    </row>
    <row r="13" spans="13:13">
      <c r="M13" t="s">
        <v>642</v>
      </c>
    </row>
    <row r="14" spans="13:13">
      <c r="M14" t="s">
        <v>643</v>
      </c>
    </row>
    <row r="15" spans="13:13">
      <c r="M15" t="s">
        <v>644</v>
      </c>
    </row>
    <row r="16" spans="13:13">
      <c r="M16" t="s">
        <v>645</v>
      </c>
    </row>
    <row r="17" spans="13:13">
      <c r="M17" t="s">
        <v>646</v>
      </c>
    </row>
    <row r="18" spans="13:13">
      <c r="M18" t="s">
        <v>647</v>
      </c>
    </row>
    <row r="19" spans="13:13">
      <c r="M19" t="s">
        <v>648</v>
      </c>
    </row>
    <row r="20" spans="13:13">
      <c r="M20" t="s">
        <v>649</v>
      </c>
    </row>
    <row r="21" spans="13:13">
      <c r="M21" t="s">
        <v>650</v>
      </c>
    </row>
    <row r="22" spans="13:13">
      <c r="M22" t="s">
        <v>651</v>
      </c>
    </row>
    <row r="23" spans="13:13">
      <c r="M23" t="s">
        <v>652</v>
      </c>
    </row>
    <row r="24" spans="13:13">
      <c r="M24" t="s">
        <v>653</v>
      </c>
    </row>
    <row r="25" spans="13:13">
      <c r="M25" t="s">
        <v>654</v>
      </c>
    </row>
    <row r="26" spans="13:13">
      <c r="M26" t="s">
        <v>655</v>
      </c>
    </row>
    <row r="27" spans="13:13">
      <c r="M27" t="s">
        <v>656</v>
      </c>
    </row>
    <row r="28" spans="13:13">
      <c r="M28" t="s">
        <v>657</v>
      </c>
    </row>
    <row r="29" spans="13:13">
      <c r="M29" t="s">
        <v>658</v>
      </c>
    </row>
    <row r="30" spans="13:13">
      <c r="M30" t="s">
        <v>659</v>
      </c>
    </row>
    <row r="31" spans="13:13">
      <c r="M31" t="s">
        <v>660</v>
      </c>
    </row>
    <row r="32" spans="13:13">
      <c r="M32" t="s">
        <v>661</v>
      </c>
    </row>
    <row r="33" spans="13:13">
      <c r="M33" t="s">
        <v>662</v>
      </c>
    </row>
    <row r="34" spans="13:13">
      <c r="M34" t="s">
        <v>663</v>
      </c>
    </row>
    <row r="35" spans="13:13">
      <c r="M35" t="s">
        <v>664</v>
      </c>
    </row>
    <row r="36" spans="13:13">
      <c r="M36" t="s">
        <v>665</v>
      </c>
    </row>
    <row r="37" spans="13:13">
      <c r="M37" t="s">
        <v>666</v>
      </c>
    </row>
    <row r="38" spans="13:13">
      <c r="M38" t="s">
        <v>667</v>
      </c>
    </row>
    <row r="39" spans="13:13">
      <c r="M39" t="s">
        <v>668</v>
      </c>
    </row>
    <row r="40" spans="13:13">
      <c r="M40" t="s">
        <v>669</v>
      </c>
    </row>
    <row r="41" spans="13:13">
      <c r="M41" t="s">
        <v>670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Q1:Q41"/>
  <sheetViews>
    <sheetView workbookViewId="0">
      <selection activeCell="U6" sqref="U6"/>
    </sheetView>
  </sheetViews>
  <sheetFormatPr defaultColWidth="8.82882882882883" defaultRowHeight="14.1"/>
  <sheetData>
    <row r="1" spans="17:17">
      <c r="Q1" t="s">
        <v>671</v>
      </c>
    </row>
    <row r="2" spans="17:17">
      <c r="Q2" t="s">
        <v>672</v>
      </c>
    </row>
    <row r="3" spans="17:17">
      <c r="Q3" t="s">
        <v>673</v>
      </c>
    </row>
    <row r="4" spans="17:17">
      <c r="Q4" t="s">
        <v>674</v>
      </c>
    </row>
    <row r="5" spans="17:17">
      <c r="Q5" t="s">
        <v>675</v>
      </c>
    </row>
    <row r="6" spans="17:17">
      <c r="Q6" t="s">
        <v>676</v>
      </c>
    </row>
    <row r="7" spans="17:17">
      <c r="Q7" t="s">
        <v>677</v>
      </c>
    </row>
    <row r="8" spans="17:17">
      <c r="Q8" t="s">
        <v>678</v>
      </c>
    </row>
    <row r="9" spans="17:17">
      <c r="Q9" t="s">
        <v>679</v>
      </c>
    </row>
    <row r="10" spans="17:17">
      <c r="Q10" t="s">
        <v>680</v>
      </c>
    </row>
    <row r="11" spans="17:17">
      <c r="Q11" t="s">
        <v>681</v>
      </c>
    </row>
    <row r="12" spans="17:17">
      <c r="Q12" t="s">
        <v>682</v>
      </c>
    </row>
    <row r="13" spans="17:17">
      <c r="Q13" t="s">
        <v>683</v>
      </c>
    </row>
    <row r="14" spans="17:17">
      <c r="Q14" t="s">
        <v>684</v>
      </c>
    </row>
    <row r="15" spans="17:17">
      <c r="Q15" t="s">
        <v>685</v>
      </c>
    </row>
    <row r="16" spans="17:17">
      <c r="Q16" t="s">
        <v>686</v>
      </c>
    </row>
    <row r="17" spans="17:17">
      <c r="Q17" t="s">
        <v>687</v>
      </c>
    </row>
    <row r="18" spans="17:17">
      <c r="Q18" t="s">
        <v>688</v>
      </c>
    </row>
    <row r="19" spans="17:17">
      <c r="Q19" t="s">
        <v>689</v>
      </c>
    </row>
    <row r="20" spans="17:17">
      <c r="Q20" t="s">
        <v>690</v>
      </c>
    </row>
    <row r="21" spans="17:17">
      <c r="Q21" t="s">
        <v>691</v>
      </c>
    </row>
    <row r="22" spans="17:17">
      <c r="Q22" t="s">
        <v>692</v>
      </c>
    </row>
    <row r="23" spans="17:17">
      <c r="Q23" t="s">
        <v>693</v>
      </c>
    </row>
    <row r="24" spans="17:17">
      <c r="Q24" t="s">
        <v>694</v>
      </c>
    </row>
    <row r="25" spans="17:17">
      <c r="Q25" t="s">
        <v>695</v>
      </c>
    </row>
    <row r="26" spans="17:17">
      <c r="Q26" t="s">
        <v>696</v>
      </c>
    </row>
    <row r="27" spans="17:17">
      <c r="Q27" t="s">
        <v>697</v>
      </c>
    </row>
    <row r="28" spans="17:17">
      <c r="Q28" t="s">
        <v>698</v>
      </c>
    </row>
    <row r="29" spans="17:17">
      <c r="Q29" t="s">
        <v>699</v>
      </c>
    </row>
    <row r="30" spans="17:17">
      <c r="Q30" t="s">
        <v>700</v>
      </c>
    </row>
    <row r="31" spans="17:17">
      <c r="Q31" t="s">
        <v>701</v>
      </c>
    </row>
    <row r="32" spans="17:17">
      <c r="Q32" t="s">
        <v>702</v>
      </c>
    </row>
    <row r="33" spans="17:17">
      <c r="Q33" t="s">
        <v>703</v>
      </c>
    </row>
    <row r="34" spans="17:17">
      <c r="Q34" t="s">
        <v>704</v>
      </c>
    </row>
    <row r="35" spans="17:17">
      <c r="Q35" t="s">
        <v>705</v>
      </c>
    </row>
    <row r="36" spans="17:17">
      <c r="Q36" t="s">
        <v>706</v>
      </c>
    </row>
    <row r="37" spans="17:17">
      <c r="Q37" t="s">
        <v>707</v>
      </c>
    </row>
    <row r="38" spans="17:17">
      <c r="Q38" t="s">
        <v>708</v>
      </c>
    </row>
    <row r="39" spans="17:17">
      <c r="Q39" t="s">
        <v>709</v>
      </c>
    </row>
    <row r="40" spans="17:17">
      <c r="Q40" t="s">
        <v>710</v>
      </c>
    </row>
    <row r="41" spans="17:17">
      <c r="Q41" t="s">
        <v>711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C7B6C620067247A35EF62A3E68EE62" ma:contentTypeVersion="2" ma:contentTypeDescription="Create a new document." ma:contentTypeScope="" ma:versionID="e51449f75ee7148e2b7755d0e75cc1e3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ce7ff00e6adaab951c7f230000ea38d3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14FC72B-CEEA-42B6-B32A-DFFE44BE898B}"/>
</file>

<file path=customXml/itemProps2.xml><?xml version="1.0" encoding="utf-8"?>
<ds:datastoreItem xmlns:ds="http://schemas.openxmlformats.org/officeDocument/2006/customXml" ds:itemID="{126CC216-8954-4158-A9B5-D6CCF79D07C2}"/>
</file>

<file path=customXml/itemProps3.xml><?xml version="1.0" encoding="utf-8"?>
<ds:datastoreItem xmlns:ds="http://schemas.openxmlformats.org/officeDocument/2006/customXml" ds:itemID="{2CCBBFAC-4961-4608-AAD7-3534DF8AE0B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职业技能</vt:lpstr>
      <vt:lpstr>技能认证</vt:lpstr>
      <vt:lpstr>专业技术职务</vt:lpstr>
      <vt:lpstr>Sheet2</vt:lpstr>
      <vt:lpstr>资格分类值列表</vt:lpstr>
      <vt:lpstr>资格名称隐藏</vt:lpstr>
      <vt:lpstr>聘任专业技术资格名称值列表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WPS_1663153746</cp:lastModifiedBy>
  <dcterms:created xsi:type="dcterms:W3CDTF">2024-09-09T14:50:00Z</dcterms:created>
  <dcterms:modified xsi:type="dcterms:W3CDTF">2026-02-07T14:59:18Z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206B332B6FE04DAE831D49D6D50EE18C_12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  <property fmtid="{D5CDD505-2E9C-101B-9397-08002B2CF9AE}" pid="5" name="ContentTypeId">
    <vt:lpwstr>0x01010028C7B6C620067247A35EF62A3E68EE62</vt:lpwstr>
  </property>
</Properties>
</file>
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nzheng1\Documents\work\files\tmp\20260205\final\输入文件_pz\data_254\"/>
    </mc:Choice>
  </mc:AlternateContent>
  <xr:revisionPtr revIDLastSave="0" documentId="13_ncr:1_{02EC9590-2332-48A6-B639-4E4EF0DB10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月" sheetId="1" r:id="rId1"/>
    <sheet name="3月" sheetId="2" r:id="rId2"/>
    <sheet name="4月" sheetId="3" r:id="rId3"/>
    <sheet name="5月" sheetId="4" r:id="rId4"/>
    <sheet name="6月" sheetId="5" r:id="rId5"/>
    <sheet name="7月" sheetId="6" r:id="rId6"/>
    <sheet name="8月" sheetId="7" r:id="rId7"/>
    <sheet name="9月" sheetId="8" r:id="rId8"/>
    <sheet name="10月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9" l="1"/>
  <c r="F8" i="9"/>
  <c r="G7" i="9"/>
  <c r="G6" i="9"/>
  <c r="G5" i="9"/>
  <c r="G4" i="9"/>
  <c r="G3" i="9"/>
  <c r="G2" i="9"/>
  <c r="G8" i="8"/>
  <c r="F8" i="8"/>
  <c r="G7" i="8"/>
  <c r="G6" i="8"/>
  <c r="G5" i="8"/>
  <c r="G4" i="8"/>
  <c r="G3" i="8"/>
  <c r="G2" i="8"/>
  <c r="G8" i="7"/>
  <c r="F8" i="7"/>
  <c r="G7" i="7"/>
  <c r="G6" i="7"/>
  <c r="G5" i="7"/>
  <c r="G4" i="7"/>
  <c r="G3" i="7"/>
  <c r="G2" i="7"/>
  <c r="G8" i="6"/>
  <c r="F8" i="6"/>
  <c r="G7" i="6"/>
  <c r="G6" i="6"/>
  <c r="G5" i="6"/>
  <c r="G4" i="6"/>
  <c r="G3" i="6"/>
  <c r="G2" i="6"/>
  <c r="G8" i="5"/>
  <c r="F8" i="5"/>
  <c r="G7" i="5"/>
  <c r="G6" i="5"/>
  <c r="G5" i="5"/>
  <c r="G4" i="5"/>
  <c r="G3" i="5"/>
  <c r="G2" i="5"/>
  <c r="G8" i="4"/>
  <c r="F8" i="4"/>
  <c r="G7" i="4"/>
  <c r="G6" i="4"/>
  <c r="G5" i="4"/>
  <c r="G4" i="4"/>
  <c r="G3" i="4"/>
  <c r="G2" i="4"/>
  <c r="G8" i="3"/>
  <c r="F8" i="3"/>
  <c r="G7" i="3"/>
  <c r="G6" i="3"/>
  <c r="G5" i="3"/>
  <c r="G4" i="3"/>
  <c r="G3" i="3"/>
  <c r="G2" i="3"/>
  <c r="G8" i="2"/>
  <c r="F8" i="2"/>
  <c r="G7" i="2"/>
  <c r="G6" i="2"/>
  <c r="G5" i="2"/>
  <c r="G4" i="2"/>
  <c r="G3" i="2"/>
  <c r="G2" i="2"/>
  <c r="G8" i="1"/>
  <c r="F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<sst xmlns="http://schemas.openxmlformats.org/spreadsheetml/2006/main" count="383" uniqueCount="44">
  <si>
    <t>销管部</t>
  </si>
  <si>
    <t>在职人力</t>
  </si>
  <si>
    <t>有效人力</t>
  </si>
  <si>
    <t>业绩达标</t>
  </si>
  <si>
    <t>业绩达标率</t>
  </si>
  <si>
    <t>开单人力</t>
  </si>
  <si>
    <t>开单率</t>
  </si>
  <si>
    <t>钻石人力</t>
  </si>
  <si>
    <t>钻石率</t>
  </si>
  <si>
    <t>店长开单人数</t>
  </si>
  <si>
    <t>店长业绩</t>
  </si>
  <si>
    <t>买卖开单件数</t>
  </si>
  <si>
    <t>买卖开单人力</t>
  </si>
  <si>
    <t>买卖开单率</t>
  </si>
  <si>
    <t>总件数</t>
  </si>
  <si>
    <t>人均件数</t>
  </si>
  <si>
    <t>总业绩</t>
  </si>
  <si>
    <t>人均业绩</t>
  </si>
  <si>
    <t>新房件数</t>
  </si>
  <si>
    <t>新房业绩</t>
  </si>
  <si>
    <t>二手房件数</t>
  </si>
  <si>
    <t>二手房业绩</t>
  </si>
  <si>
    <t>租房件数</t>
  </si>
  <si>
    <t>租房业绩</t>
  </si>
  <si>
    <t>成交总价</t>
  </si>
  <si>
    <t>业绩分成总额</t>
  </si>
  <si>
    <t>佣点率</t>
  </si>
  <si>
    <t>成交人</t>
  </si>
  <si>
    <t>独家委托人</t>
  </si>
  <si>
    <t>开盘人</t>
  </si>
  <si>
    <t>维护人</t>
  </si>
  <si>
    <t>实勘人</t>
  </si>
  <si>
    <t>VR相关人</t>
  </si>
  <si>
    <t>钥匙人</t>
  </si>
  <si>
    <t>助攻人</t>
  </si>
  <si>
    <t>转介绍人</t>
  </si>
  <si>
    <t>合计</t>
  </si>
  <si>
    <t>客户来源方</t>
  </si>
  <si>
    <t>区域A</t>
  </si>
  <si>
    <t>区域B</t>
  </si>
  <si>
    <t>区域C</t>
  </si>
  <si>
    <t>区域D</t>
  </si>
  <si>
    <t>区域E</t>
  </si>
  <si>
    <t>区域F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</si>
</sst>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/>
    <xf numFmtId="0" fontId="0" fillId="0" borderId="0" xfId="0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4"/>
  <sheetViews>
    <sheetView tabSelected="1" workbookViewId="0">
      <selection activeCell="F12" sqref="F12"/>
    </sheetView>
  </sheetViews>
  <sheetFormatPr defaultColWidth="9" defaultRowHeight="14.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4"/>
    </row>
    <row r="2" spans="1:37">
      <c r="A2" s="4" t="s">
        <v>38</v>
      </c>
      <c r="B2" s="3">
        <v>145</v>
      </c>
      <c r="C2" s="3">
        <v>123</v>
      </c>
      <c r="D2" s="3">
        <v>62</v>
      </c>
      <c r="E2" s="3">
        <v>0.42759999999999998</v>
      </c>
      <c r="F2" s="3">
        <v>58.3</v>
      </c>
      <c r="G2" s="3">
        <f t="shared" ref="G2:G8" si="0">+F2/B2</f>
        <v>0.40206896551724097</v>
      </c>
      <c r="H2" s="3">
        <v>26</v>
      </c>
      <c r="I2" s="3">
        <v>0.17929999999999999</v>
      </c>
      <c r="J2" s="3">
        <v>6.2</v>
      </c>
      <c r="K2" s="3">
        <v>152318.94</v>
      </c>
      <c r="L2" s="3">
        <v>70</v>
      </c>
      <c r="M2" s="3">
        <v>53</v>
      </c>
      <c r="N2" s="3">
        <v>0.36549999999999999</v>
      </c>
      <c r="O2" s="3">
        <v>79.2</v>
      </c>
      <c r="P2" s="3">
        <v>0.54600000000000004</v>
      </c>
      <c r="Q2" s="3">
        <v>1110322.78</v>
      </c>
      <c r="R2" s="3">
        <v>7657.4</v>
      </c>
      <c r="S2" s="3">
        <v>5</v>
      </c>
      <c r="T2" s="3">
        <v>113069.69</v>
      </c>
      <c r="U2" s="3">
        <v>65</v>
      </c>
      <c r="V2" s="3">
        <v>892099.1</v>
      </c>
      <c r="W2" s="3">
        <v>9.1999999999999993</v>
      </c>
      <c r="X2" s="3">
        <v>105154</v>
      </c>
      <c r="Y2" s="3">
        <v>41603000</v>
      </c>
      <c r="Z2" s="3">
        <v>826040</v>
      </c>
      <c r="AA2" s="3">
        <v>1.9900000000000001E-2</v>
      </c>
      <c r="AB2" s="3">
        <v>612009.38</v>
      </c>
      <c r="AC2" s="3">
        <v>115010</v>
      </c>
      <c r="AD2" s="3">
        <v>32487.1</v>
      </c>
      <c r="AE2" s="3">
        <v>45342.51</v>
      </c>
      <c r="AF2" s="3">
        <v>26542.639999999999</v>
      </c>
      <c r="AG2" s="3">
        <v>17019.66</v>
      </c>
      <c r="AH2" s="3">
        <v>23235.68</v>
      </c>
      <c r="AI2" s="3">
        <v>36095.199999999997</v>
      </c>
      <c r="AJ2" s="3">
        <v>0</v>
      </c>
      <c r="AK2" s="4"/>
    </row>
    <row r="3" spans="1:37">
      <c r="A3" s="4" t="s">
        <v>43</v>
      </c>
      <c r="B3" s="3">
        <v>157</v>
      </c>
      <c r="C3" s="3">
        <v>131</v>
      </c>
      <c r="D3" s="3">
        <v>57</v>
      </c>
      <c r="E3" s="3">
        <v>0.36309999999999998</v>
      </c>
      <c r="F3" s="3">
        <v>48.7</v>
      </c>
      <c r="G3" s="3">
        <f t="shared" si="0"/>
        <v>0.31019108280254798</v>
      </c>
      <c r="H3" s="3">
        <v>33</v>
      </c>
      <c r="I3" s="3">
        <v>0.2102</v>
      </c>
      <c r="J3" s="3">
        <v>6.2</v>
      </c>
      <c r="K3" s="3">
        <v>214293.91</v>
      </c>
      <c r="L3" s="3">
        <v>68</v>
      </c>
      <c r="M3" s="3">
        <v>48</v>
      </c>
      <c r="N3" s="3">
        <v>0.30570000000000003</v>
      </c>
      <c r="O3" s="3">
        <v>70</v>
      </c>
      <c r="P3" s="3">
        <v>0.44600000000000001</v>
      </c>
      <c r="Q3" s="3">
        <v>1242724.52</v>
      </c>
      <c r="R3" s="3">
        <v>7915.44</v>
      </c>
      <c r="S3" s="3">
        <v>5</v>
      </c>
      <c r="T3" s="3">
        <v>152680.76999999999</v>
      </c>
      <c r="U3" s="3">
        <v>63</v>
      </c>
      <c r="V3" s="3">
        <v>1068358.26</v>
      </c>
      <c r="W3" s="3">
        <v>2</v>
      </c>
      <c r="X3" s="3">
        <v>21685.5</v>
      </c>
      <c r="Y3" s="3">
        <v>56024000</v>
      </c>
      <c r="Z3" s="3">
        <v>998090</v>
      </c>
      <c r="AA3" s="3">
        <v>1.78E-2</v>
      </c>
      <c r="AB3" s="3">
        <v>740012.08</v>
      </c>
      <c r="AC3" s="3">
        <v>107128</v>
      </c>
      <c r="AD3" s="3">
        <v>48108.93</v>
      </c>
      <c r="AE3" s="3">
        <v>42876</v>
      </c>
      <c r="AF3" s="3">
        <v>32600.25</v>
      </c>
      <c r="AG3" s="3">
        <v>23533.81</v>
      </c>
      <c r="AH3" s="3">
        <v>25319.09</v>
      </c>
      <c r="AI3" s="3">
        <v>64540</v>
      </c>
      <c r="AJ3" s="3">
        <v>0</v>
      </c>
      <c r="AK3" s="4"/>
    </row>
    <row r="4" spans="1:37">
      <c r="A4" s="4" t="s">
        <v>40</v>
      </c>
      <c r="B4" s="3">
        <v>120</v>
      </c>
      <c r="C4" s="3">
        <v>104</v>
      </c>
      <c r="D4" s="3">
        <v>46</v>
      </c>
      <c r="E4" s="3">
        <v>0.38329999999999997</v>
      </c>
      <c r="F4" s="3">
        <v>42.1</v>
      </c>
      <c r="G4" s="3">
        <f t="shared" si="0"/>
        <v>0.350833333333333</v>
      </c>
      <c r="H4" s="3">
        <v>26</v>
      </c>
      <c r="I4" s="3">
        <v>0.2167</v>
      </c>
      <c r="J4" s="3">
        <v>6</v>
      </c>
      <c r="K4" s="3">
        <v>160457.16</v>
      </c>
      <c r="L4" s="3">
        <v>59</v>
      </c>
      <c r="M4" s="3">
        <v>42</v>
      </c>
      <c r="N4" s="3">
        <v>0.35</v>
      </c>
      <c r="O4" s="3">
        <v>59.2</v>
      </c>
      <c r="P4" s="3">
        <v>0.49299999999999999</v>
      </c>
      <c r="Q4" s="3">
        <v>1159842.3500000001</v>
      </c>
      <c r="R4" s="3">
        <v>9665.35</v>
      </c>
      <c r="S4" s="3">
        <v>14</v>
      </c>
      <c r="T4" s="3">
        <v>496082.09</v>
      </c>
      <c r="U4" s="3">
        <v>45</v>
      </c>
      <c r="V4" s="3">
        <v>661993.26</v>
      </c>
      <c r="W4" s="3">
        <v>0.2</v>
      </c>
      <c r="X4" s="3">
        <v>1767</v>
      </c>
      <c r="Y4" s="3">
        <v>39922500</v>
      </c>
      <c r="Z4" s="3">
        <v>658615</v>
      </c>
      <c r="AA4" s="3">
        <v>1.6500000000000001E-2</v>
      </c>
      <c r="AB4" s="3">
        <v>449434.91</v>
      </c>
      <c r="AC4" s="3">
        <v>61175</v>
      </c>
      <c r="AD4" s="3">
        <v>31940.2</v>
      </c>
      <c r="AE4" s="3">
        <v>33068.58</v>
      </c>
      <c r="AF4" s="3">
        <v>24161.48</v>
      </c>
      <c r="AG4" s="3">
        <v>18195.509999999998</v>
      </c>
      <c r="AH4" s="3">
        <v>15130.74</v>
      </c>
      <c r="AI4" s="3">
        <v>28629.72</v>
      </c>
      <c r="AJ4" s="3">
        <v>0</v>
      </c>
      <c r="AK4" s="4"/>
    </row>
    <row r="5" spans="1:37">
      <c r="A5" s="4" t="s">
        <v>41</v>
      </c>
      <c r="B5" s="3">
        <v>97</v>
      </c>
      <c r="C5" s="3">
        <v>89</v>
      </c>
      <c r="D5" s="3">
        <v>33</v>
      </c>
      <c r="E5" s="3">
        <v>0.3402</v>
      </c>
      <c r="F5" s="3">
        <v>33.1</v>
      </c>
      <c r="G5" s="3">
        <f t="shared" si="0"/>
        <v>0.34123711340206198</v>
      </c>
      <c r="H5" s="3">
        <v>23</v>
      </c>
      <c r="I5" s="3">
        <v>0.23710000000000001</v>
      </c>
      <c r="J5" s="3">
        <v>7</v>
      </c>
      <c r="K5" s="3">
        <v>515227.91</v>
      </c>
      <c r="L5" s="3">
        <v>65</v>
      </c>
      <c r="M5" s="3">
        <v>33</v>
      </c>
      <c r="N5" s="3">
        <v>0.3402</v>
      </c>
      <c r="O5" s="3">
        <v>65.2</v>
      </c>
      <c r="P5" s="3">
        <v>0.67200000000000004</v>
      </c>
      <c r="Q5" s="3">
        <v>1171489.43</v>
      </c>
      <c r="R5" s="3">
        <v>12077.21</v>
      </c>
      <c r="S5" s="3">
        <v>18</v>
      </c>
      <c r="T5" s="3">
        <v>505843.33</v>
      </c>
      <c r="U5" s="3">
        <v>47</v>
      </c>
      <c r="V5" s="3">
        <v>660965.1</v>
      </c>
      <c r="W5" s="3">
        <v>0.2</v>
      </c>
      <c r="X5" s="3">
        <v>4681</v>
      </c>
      <c r="Y5" s="3">
        <v>46904900</v>
      </c>
      <c r="Z5" s="3">
        <v>756874</v>
      </c>
      <c r="AA5" s="3">
        <v>1.61E-2</v>
      </c>
      <c r="AB5" s="3">
        <v>544957.30000000005</v>
      </c>
      <c r="AC5" s="3">
        <v>40333</v>
      </c>
      <c r="AD5" s="3">
        <v>15182</v>
      </c>
      <c r="AE5" s="3">
        <v>36194.6</v>
      </c>
      <c r="AF5" s="3">
        <v>9747.0400000000009</v>
      </c>
      <c r="AG5" s="3">
        <v>6235.08</v>
      </c>
      <c r="AH5" s="3">
        <v>10687</v>
      </c>
      <c r="AI5" s="3">
        <v>0</v>
      </c>
      <c r="AJ5" s="3">
        <v>0</v>
      </c>
      <c r="AK5" s="4"/>
    </row>
    <row r="6" spans="1:37">
      <c r="A6" s="4" t="s">
        <v>42</v>
      </c>
      <c r="B6" s="3">
        <v>130</v>
      </c>
      <c r="C6" s="3">
        <v>118</v>
      </c>
      <c r="D6" s="3">
        <v>46</v>
      </c>
      <c r="E6" s="3">
        <v>0.3538</v>
      </c>
      <c r="F6" s="3">
        <v>40.5</v>
      </c>
      <c r="G6" s="3">
        <f t="shared" si="0"/>
        <v>0.31153846153846199</v>
      </c>
      <c r="H6" s="3">
        <v>26</v>
      </c>
      <c r="I6" s="3">
        <v>0.2</v>
      </c>
      <c r="J6" s="3">
        <v>5</v>
      </c>
      <c r="K6" s="3">
        <v>68788.63</v>
      </c>
      <c r="L6" s="3">
        <v>63</v>
      </c>
      <c r="M6" s="3">
        <v>40</v>
      </c>
      <c r="N6" s="3">
        <v>0.30769999999999997</v>
      </c>
      <c r="O6" s="3">
        <v>64</v>
      </c>
      <c r="P6" s="3">
        <v>0.49199999999999999</v>
      </c>
      <c r="Q6" s="3">
        <v>1086722.44</v>
      </c>
      <c r="R6" s="3">
        <v>8359.4</v>
      </c>
      <c r="S6" s="3">
        <v>10</v>
      </c>
      <c r="T6" s="3">
        <v>253443.53</v>
      </c>
      <c r="U6" s="3">
        <v>53</v>
      </c>
      <c r="V6" s="3">
        <v>813643.91</v>
      </c>
      <c r="W6" s="3">
        <v>1</v>
      </c>
      <c r="X6" s="3">
        <v>19635</v>
      </c>
      <c r="Y6" s="3">
        <v>47128400</v>
      </c>
      <c r="Z6" s="3">
        <v>871945</v>
      </c>
      <c r="AA6" s="3">
        <v>1.8499999999999999E-2</v>
      </c>
      <c r="AB6" s="3">
        <v>627213.03</v>
      </c>
      <c r="AC6" s="3">
        <v>93290</v>
      </c>
      <c r="AD6" s="3">
        <v>30562.7</v>
      </c>
      <c r="AE6" s="3">
        <v>26257.52</v>
      </c>
      <c r="AF6" s="3">
        <v>23443.200000000001</v>
      </c>
      <c r="AG6" s="3">
        <v>16692.87</v>
      </c>
      <c r="AH6" s="3">
        <v>22356.6</v>
      </c>
      <c r="AI6" s="3">
        <v>0</v>
      </c>
      <c r="AJ6" s="3">
        <v>0</v>
      </c>
      <c r="AK6" s="4"/>
    </row>
    <row r="7" spans="1:37">
      <c r="A7" s="4" t="s">
        <v>39</v>
      </c>
      <c r="B7" s="3">
        <v>115</v>
      </c>
      <c r="C7" s="3">
        <v>105</v>
      </c>
      <c r="D7" s="3">
        <v>46</v>
      </c>
      <c r="E7" s="3">
        <v>0.4</v>
      </c>
      <c r="F7" s="3">
        <v>41.5</v>
      </c>
      <c r="G7" s="3">
        <f t="shared" si="0"/>
        <v>0.360869565217391</v>
      </c>
      <c r="H7" s="3">
        <v>30</v>
      </c>
      <c r="I7" s="3">
        <v>0.26090000000000002</v>
      </c>
      <c r="J7" s="3">
        <v>6.2</v>
      </c>
      <c r="K7" s="3">
        <v>241183.74</v>
      </c>
      <c r="L7" s="3">
        <v>61</v>
      </c>
      <c r="M7" s="3">
        <v>41</v>
      </c>
      <c r="N7" s="3">
        <v>0.35649999999999998</v>
      </c>
      <c r="O7" s="3">
        <v>61.7</v>
      </c>
      <c r="P7" s="3">
        <v>0.53700000000000003</v>
      </c>
      <c r="Q7" s="3">
        <v>1157133.72</v>
      </c>
      <c r="R7" s="3">
        <v>10062.030000000001</v>
      </c>
      <c r="S7" s="3">
        <v>12</v>
      </c>
      <c r="T7" s="3">
        <v>274813.69</v>
      </c>
      <c r="U7" s="3">
        <v>49</v>
      </c>
      <c r="V7" s="3">
        <v>874084.04</v>
      </c>
      <c r="W7" s="3">
        <v>0.7</v>
      </c>
      <c r="X7" s="3">
        <v>8236</v>
      </c>
      <c r="Y7" s="3">
        <v>47248100</v>
      </c>
      <c r="Z7" s="3">
        <v>911276</v>
      </c>
      <c r="AA7" s="3">
        <v>1.9300000000000001E-2</v>
      </c>
      <c r="AB7" s="3">
        <v>678405.96</v>
      </c>
      <c r="AC7" s="3">
        <v>83835.100000000006</v>
      </c>
      <c r="AD7" s="3">
        <v>25738.5</v>
      </c>
      <c r="AE7" s="3">
        <v>30202.9</v>
      </c>
      <c r="AF7" s="3">
        <v>25063.200000000001</v>
      </c>
      <c r="AG7" s="3">
        <v>19648.7</v>
      </c>
      <c r="AH7" s="3">
        <v>19565.5</v>
      </c>
      <c r="AI7" s="3">
        <v>4900</v>
      </c>
      <c r="AJ7" s="3">
        <v>5000</v>
      </c>
      <c r="AK7" s="4"/>
    </row>
    <row r="8" spans="1:37">
      <c r="A8" s="3" t="s">
        <v>36</v>
      </c>
      <c r="B8" s="3">
        <v>764</v>
      </c>
      <c r="C8" s="3">
        <v>670</v>
      </c>
      <c r="D8" s="3">
        <v>290</v>
      </c>
      <c r="E8" s="3">
        <v>0.37959999999999999</v>
      </c>
      <c r="F8" s="3">
        <f>SUM(F2:F7)</f>
        <v>264.2</v>
      </c>
      <c r="G8" s="3">
        <f t="shared" si="0"/>
        <v>0.34581151832460699</v>
      </c>
      <c r="H8" s="3">
        <v>164</v>
      </c>
      <c r="I8" s="3">
        <v>0.2147</v>
      </c>
      <c r="J8" s="3">
        <v>36.6</v>
      </c>
      <c r="K8" s="3">
        <v>1352270.29</v>
      </c>
      <c r="L8" s="3">
        <v>386</v>
      </c>
      <c r="M8" s="3">
        <v>257</v>
      </c>
      <c r="N8" s="3">
        <v>0.33639999999999998</v>
      </c>
      <c r="O8" s="3">
        <v>399.3</v>
      </c>
      <c r="P8" s="3">
        <v>0.52300000000000002</v>
      </c>
      <c r="Q8" s="3">
        <v>6928235.2400000002</v>
      </c>
      <c r="R8" s="3">
        <v>9068.3700000000008</v>
      </c>
      <c r="S8" s="3">
        <v>64</v>
      </c>
      <c r="T8" s="3">
        <v>1795933.1</v>
      </c>
      <c r="U8" s="3">
        <v>322</v>
      </c>
      <c r="V8" s="3">
        <v>4971143.67</v>
      </c>
      <c r="W8" s="3">
        <v>13.3</v>
      </c>
      <c r="X8" s="3">
        <v>161158.5</v>
      </c>
      <c r="Y8" s="3">
        <v>278830900</v>
      </c>
      <c r="Z8" s="3">
        <v>5022840</v>
      </c>
      <c r="AA8" s="3">
        <v>1.7999999999999999E-2</v>
      </c>
      <c r="AB8" s="3">
        <v>3652032.66</v>
      </c>
      <c r="AC8" s="3">
        <v>500771.1</v>
      </c>
      <c r="AD8" s="3">
        <v>184019.43</v>
      </c>
      <c r="AE8" s="3">
        <v>213942.11</v>
      </c>
      <c r="AF8" s="3">
        <v>141557.81</v>
      </c>
      <c r="AG8" s="3">
        <v>101325.63</v>
      </c>
      <c r="AH8" s="3">
        <v>116294.61</v>
      </c>
      <c r="AI8" s="3">
        <v>134164.92000000001</v>
      </c>
      <c r="AJ8" s="3">
        <v>5000</v>
      </c>
      <c r="AK8" s="4"/>
    </row>
    <row r="9" spans="1:37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 spans="1:3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 spans="1:3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</row>
    <row r="14" spans="1:37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 spans="1:37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spans="1:3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1:37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spans="1:37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spans="1:37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1:37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1:37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spans="1:37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1:37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spans="1:37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spans="1:3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spans="1:37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spans="1:37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spans="1:37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spans="1:37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spans="1:37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spans="1:37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spans="1:37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spans="1:37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spans="1: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spans="1:37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spans="1:37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spans="1:37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spans="1:37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spans="1:37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spans="1:37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spans="1:37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spans="1:37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spans="1:3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spans="1:37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spans="1:37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spans="1:37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spans="1:37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spans="1:37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spans="1:37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spans="1:37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spans="1:37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spans="1:3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spans="1:37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spans="1:37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spans="1:37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  <row r="61" spans="1:37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</row>
    <row r="62" spans="1:37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  <row r="63" spans="1:37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</row>
    <row r="64" spans="1:37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37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</row>
    <row r="66" spans="1:37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</row>
    <row r="67" spans="1:3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</row>
    <row r="68" spans="1:37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</row>
    <row r="69" spans="1:3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</row>
    <row r="70" spans="1:3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</row>
    <row r="71" spans="1:37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</row>
    <row r="72" spans="1:37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</row>
    <row r="73" spans="1:37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</row>
    <row r="74" spans="1:37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</row>
    <row r="75" spans="1:37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</row>
    <row r="76" spans="1:37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</row>
    <row r="77" spans="1:3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</row>
    <row r="78" spans="1:37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</row>
    <row r="79" spans="1:37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</row>
    <row r="80" spans="1:37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</row>
    <row r="81" spans="1:37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</row>
    <row r="82" spans="1:37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 spans="1:37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spans="1:37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  <row r="85" spans="1:37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</row>
    <row r="86" spans="1:37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r="87" spans="1:3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</row>
    <row r="88" spans="1:37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 spans="1:37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r="90" spans="1:37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</row>
    <row r="91" spans="1:37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</row>
    <row r="92" spans="1:37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 spans="1:37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 spans="1:37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94"/>
  <sheetViews>
    <sheetView workbookViewId="0">
      <selection activeCell="A2" sqref="A2:A7"/>
    </sheetView>
  </sheetViews>
  <sheetFormatPr defaultColWidth="9" defaultRowHeight="14.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4"/>
    </row>
    <row r="2" spans="1:36">
      <c r="A2" s="4" t="s">
        <v>38</v>
      </c>
      <c r="B2" s="3">
        <v>157</v>
      </c>
      <c r="C2" s="3">
        <v>146</v>
      </c>
      <c r="D2" s="3">
        <v>77</v>
      </c>
      <c r="E2" s="3">
        <v>0.4904</v>
      </c>
      <c r="F2" s="3">
        <v>68.5</v>
      </c>
      <c r="G2" s="3">
        <f t="shared" ref="G2:G8" si="0">+F2/B2</f>
        <v>0.436305732484076</v>
      </c>
      <c r="H2" s="3">
        <v>37</v>
      </c>
      <c r="I2" s="3">
        <v>0.23569999999999999</v>
      </c>
      <c r="J2" s="3">
        <v>6.2</v>
      </c>
      <c r="K2" s="3">
        <v>157911.25</v>
      </c>
      <c r="L2" s="3">
        <v>86</v>
      </c>
      <c r="M2" s="3">
        <v>62</v>
      </c>
      <c r="N2" s="3">
        <v>0.39489999999999997</v>
      </c>
      <c r="O2" s="3">
        <v>95.4</v>
      </c>
      <c r="P2" s="3">
        <v>0.60799999999999998</v>
      </c>
      <c r="Q2" s="3">
        <v>1441194.17</v>
      </c>
      <c r="R2" s="3">
        <v>9179.58</v>
      </c>
      <c r="S2" s="3">
        <v>5</v>
      </c>
      <c r="T2" s="3">
        <v>122464.49</v>
      </c>
      <c r="U2" s="3">
        <v>81</v>
      </c>
      <c r="V2" s="3">
        <v>1211561.18</v>
      </c>
      <c r="W2" s="3">
        <v>9.4</v>
      </c>
      <c r="X2" s="3">
        <v>107168.5</v>
      </c>
      <c r="Y2" s="3">
        <v>55631000</v>
      </c>
      <c r="Z2" s="3">
        <v>1161800</v>
      </c>
      <c r="AA2" s="3">
        <v>2.0899999999999998E-2</v>
      </c>
      <c r="AB2" s="3">
        <v>901259.84</v>
      </c>
      <c r="AC2" s="3">
        <v>131415</v>
      </c>
      <c r="AD2" s="3">
        <v>37505.760000000002</v>
      </c>
      <c r="AE2" s="3">
        <v>50204.02</v>
      </c>
      <c r="AF2" s="3">
        <v>25456.639999999999</v>
      </c>
      <c r="AG2" s="3">
        <v>13711.66</v>
      </c>
      <c r="AH2" s="3">
        <v>22194.74</v>
      </c>
      <c r="AI2" s="3">
        <v>25499.5</v>
      </c>
      <c r="AJ2" s="4"/>
    </row>
    <row r="3" spans="1:36">
      <c r="A3" s="4" t="s">
        <v>43</v>
      </c>
      <c r="B3" s="3">
        <v>165</v>
      </c>
      <c r="C3" s="3">
        <v>152</v>
      </c>
      <c r="D3" s="3">
        <v>71</v>
      </c>
      <c r="E3" s="3">
        <v>0.43030000000000002</v>
      </c>
      <c r="F3" s="3">
        <v>67.2</v>
      </c>
      <c r="G3" s="3">
        <f t="shared" si="0"/>
        <v>0.40727272727272701</v>
      </c>
      <c r="H3" s="3">
        <v>43</v>
      </c>
      <c r="I3" s="3">
        <v>0.2606</v>
      </c>
      <c r="J3" s="3">
        <v>12.2</v>
      </c>
      <c r="K3" s="3">
        <v>327411.73</v>
      </c>
      <c r="L3" s="3">
        <v>102</v>
      </c>
      <c r="M3" s="3">
        <v>66</v>
      </c>
      <c r="N3" s="3">
        <v>0.4</v>
      </c>
      <c r="O3" s="3">
        <v>104.1</v>
      </c>
      <c r="P3" s="3">
        <v>0.63100000000000001</v>
      </c>
      <c r="Q3" s="3">
        <v>1767031.31</v>
      </c>
      <c r="R3" s="3">
        <v>10709.28</v>
      </c>
      <c r="S3" s="3">
        <v>6</v>
      </c>
      <c r="T3" s="3">
        <v>168691.56</v>
      </c>
      <c r="U3" s="3">
        <v>96</v>
      </c>
      <c r="V3" s="3">
        <v>1565888.25</v>
      </c>
      <c r="W3" s="3">
        <v>2.1</v>
      </c>
      <c r="X3" s="3">
        <v>32451.5</v>
      </c>
      <c r="Y3" s="3">
        <v>97044400</v>
      </c>
      <c r="Z3" s="3">
        <v>1606328</v>
      </c>
      <c r="AA3" s="3">
        <v>1.66E-2</v>
      </c>
      <c r="AB3" s="3">
        <v>1157908.6000000001</v>
      </c>
      <c r="AC3" s="3">
        <v>164820.5</v>
      </c>
      <c r="AD3" s="3">
        <v>57966.400000000001</v>
      </c>
      <c r="AE3" s="3">
        <v>56506.21</v>
      </c>
      <c r="AF3" s="3">
        <v>46614.84</v>
      </c>
      <c r="AG3" s="3">
        <v>30291.99</v>
      </c>
      <c r="AH3" s="3">
        <v>31280.65</v>
      </c>
      <c r="AI3" s="3">
        <v>33318</v>
      </c>
      <c r="AJ3" s="4"/>
    </row>
    <row r="4" spans="1:36">
      <c r="A4" s="4" t="s">
        <v>40</v>
      </c>
      <c r="B4" s="3">
        <v>133</v>
      </c>
      <c r="C4" s="3">
        <v>117</v>
      </c>
      <c r="D4" s="3">
        <v>43</v>
      </c>
      <c r="E4" s="3">
        <v>0.32329999999999998</v>
      </c>
      <c r="F4" s="3">
        <v>36.5</v>
      </c>
      <c r="G4" s="3">
        <f t="shared" si="0"/>
        <v>0.27443609022556398</v>
      </c>
      <c r="H4" s="3">
        <v>24</v>
      </c>
      <c r="I4" s="3">
        <v>0.18049999999999999</v>
      </c>
      <c r="J4" s="3">
        <v>3</v>
      </c>
      <c r="K4" s="3">
        <v>113642.97</v>
      </c>
      <c r="L4" s="3">
        <v>48</v>
      </c>
      <c r="M4" s="3">
        <v>36</v>
      </c>
      <c r="N4" s="3">
        <v>0.2707</v>
      </c>
      <c r="O4" s="3">
        <v>49.1</v>
      </c>
      <c r="P4" s="3">
        <v>0.36899999999999999</v>
      </c>
      <c r="Q4" s="3">
        <v>1018322.19</v>
      </c>
      <c r="R4" s="3">
        <v>7656.56</v>
      </c>
      <c r="S4" s="3">
        <v>5</v>
      </c>
      <c r="T4" s="3">
        <v>186382.04</v>
      </c>
      <c r="U4" s="3">
        <v>43</v>
      </c>
      <c r="V4" s="3">
        <v>819350.15</v>
      </c>
      <c r="W4" s="3">
        <v>1.1000000000000001</v>
      </c>
      <c r="X4" s="3">
        <v>12590</v>
      </c>
      <c r="Y4" s="3">
        <v>46547000</v>
      </c>
      <c r="Z4" s="3">
        <v>746856</v>
      </c>
      <c r="AA4" s="3">
        <v>1.6E-2</v>
      </c>
      <c r="AB4" s="3">
        <v>528375.56000000006</v>
      </c>
      <c r="AC4" s="3">
        <v>42700</v>
      </c>
      <c r="AD4" s="3">
        <v>54805.3</v>
      </c>
      <c r="AE4" s="3">
        <v>43187</v>
      </c>
      <c r="AF4" s="3">
        <v>31537.4</v>
      </c>
      <c r="AG4" s="3">
        <v>26927.85</v>
      </c>
      <c r="AH4" s="3">
        <v>28688.25</v>
      </c>
      <c r="AI4" s="3">
        <v>63128.800000000003</v>
      </c>
      <c r="AJ4" s="4"/>
    </row>
    <row r="5" spans="1:36">
      <c r="A5" s="4" t="s">
        <v>41</v>
      </c>
      <c r="B5" s="3">
        <v>102</v>
      </c>
      <c r="C5" s="3">
        <v>92</v>
      </c>
      <c r="D5" s="3">
        <v>42</v>
      </c>
      <c r="E5" s="3">
        <v>0.4118</v>
      </c>
      <c r="F5" s="3">
        <v>38</v>
      </c>
      <c r="G5" s="3">
        <f t="shared" si="0"/>
        <v>0.37254901960784298</v>
      </c>
      <c r="H5" s="3">
        <v>18</v>
      </c>
      <c r="I5" s="3">
        <v>0.17649999999999999</v>
      </c>
      <c r="J5" s="3">
        <v>6</v>
      </c>
      <c r="K5" s="3">
        <v>326243.53999999998</v>
      </c>
      <c r="L5" s="3">
        <v>66</v>
      </c>
      <c r="M5" s="3">
        <v>38</v>
      </c>
      <c r="N5" s="3">
        <v>0.3725</v>
      </c>
      <c r="O5" s="3">
        <v>66.099999999999994</v>
      </c>
      <c r="P5" s="3">
        <v>0.64800000000000002</v>
      </c>
      <c r="Q5" s="3">
        <v>999589.31</v>
      </c>
      <c r="R5" s="3">
        <v>9799.9</v>
      </c>
      <c r="S5" s="3">
        <v>10</v>
      </c>
      <c r="T5" s="3">
        <v>317130.02</v>
      </c>
      <c r="U5" s="3">
        <v>56</v>
      </c>
      <c r="V5" s="3">
        <v>680071.79</v>
      </c>
      <c r="W5" s="3">
        <v>0.1</v>
      </c>
      <c r="X5" s="3">
        <v>2387.5</v>
      </c>
      <c r="Y5" s="3">
        <v>45774300</v>
      </c>
      <c r="Z5" s="3">
        <v>732207</v>
      </c>
      <c r="AA5" s="3">
        <v>1.6E-2</v>
      </c>
      <c r="AB5" s="3">
        <v>526820.91</v>
      </c>
      <c r="AC5" s="3">
        <v>49928</v>
      </c>
      <c r="AD5" s="3">
        <v>22746.9</v>
      </c>
      <c r="AE5" s="3">
        <v>45476.32</v>
      </c>
      <c r="AF5" s="3">
        <v>13680.08</v>
      </c>
      <c r="AG5" s="3">
        <v>11123.46</v>
      </c>
      <c r="AH5" s="3">
        <v>9380.1</v>
      </c>
      <c r="AI5" s="3">
        <v>3000</v>
      </c>
      <c r="AJ5" s="4"/>
    </row>
    <row r="6" spans="1:36">
      <c r="A6" s="4" t="s">
        <v>42</v>
      </c>
      <c r="B6" s="3">
        <v>127</v>
      </c>
      <c r="C6" s="3">
        <v>120</v>
      </c>
      <c r="D6" s="3">
        <v>51</v>
      </c>
      <c r="E6" s="3">
        <v>0.40160000000000001</v>
      </c>
      <c r="F6" s="3">
        <v>47.5</v>
      </c>
      <c r="G6" s="3">
        <f t="shared" si="0"/>
        <v>0.37401574803149601</v>
      </c>
      <c r="H6" s="3">
        <v>39</v>
      </c>
      <c r="I6" s="3">
        <v>0.30709999999999998</v>
      </c>
      <c r="J6" s="3">
        <v>5</v>
      </c>
      <c r="K6" s="3">
        <v>186265.37</v>
      </c>
      <c r="L6" s="3">
        <v>83</v>
      </c>
      <c r="M6" s="3">
        <v>47</v>
      </c>
      <c r="N6" s="3">
        <v>0.37009999999999998</v>
      </c>
      <c r="O6" s="3">
        <v>83.6</v>
      </c>
      <c r="P6" s="3">
        <v>0.65800000000000003</v>
      </c>
      <c r="Q6" s="3">
        <v>1689647.54</v>
      </c>
      <c r="R6" s="3">
        <v>13304.31</v>
      </c>
      <c r="S6" s="3">
        <v>12</v>
      </c>
      <c r="T6" s="3">
        <v>475115.56</v>
      </c>
      <c r="U6" s="3">
        <v>71</v>
      </c>
      <c r="V6" s="3">
        <v>1208157.98</v>
      </c>
      <c r="W6" s="3">
        <v>0.6</v>
      </c>
      <c r="X6" s="3">
        <v>6374</v>
      </c>
      <c r="Y6" s="3">
        <v>73952700</v>
      </c>
      <c r="Z6" s="3">
        <v>1280240.3700000001</v>
      </c>
      <c r="AA6" s="3">
        <v>1.7299999999999999E-2</v>
      </c>
      <c r="AB6" s="3">
        <v>935792.21</v>
      </c>
      <c r="AC6" s="3">
        <v>123876.9</v>
      </c>
      <c r="AD6" s="3">
        <v>43919</v>
      </c>
      <c r="AE6" s="3">
        <v>39055.5</v>
      </c>
      <c r="AF6" s="3">
        <v>30974.58</v>
      </c>
      <c r="AG6" s="3">
        <v>23496.32</v>
      </c>
      <c r="AH6" s="3">
        <v>29805</v>
      </c>
      <c r="AI6" s="3">
        <v>20900</v>
      </c>
      <c r="AJ6" s="4"/>
    </row>
    <row r="7" spans="1:36">
      <c r="A7" s="4" t="s">
        <v>39</v>
      </c>
      <c r="B7" s="3">
        <v>118</v>
      </c>
      <c r="C7" s="3">
        <v>105</v>
      </c>
      <c r="D7" s="3">
        <v>46</v>
      </c>
      <c r="E7" s="3">
        <v>0.38979999999999998</v>
      </c>
      <c r="F7" s="3">
        <v>42.4</v>
      </c>
      <c r="G7" s="3">
        <f t="shared" si="0"/>
        <v>0.35932203389830503</v>
      </c>
      <c r="H7" s="3">
        <v>28</v>
      </c>
      <c r="I7" s="3">
        <v>0.23730000000000001</v>
      </c>
      <c r="J7" s="3">
        <v>3.1</v>
      </c>
      <c r="K7" s="3">
        <v>90772.22</v>
      </c>
      <c r="L7" s="3">
        <v>69</v>
      </c>
      <c r="M7" s="3">
        <v>42</v>
      </c>
      <c r="N7" s="3">
        <v>0.35589999999999999</v>
      </c>
      <c r="O7" s="3">
        <v>70</v>
      </c>
      <c r="P7" s="3">
        <v>0.59299999999999997</v>
      </c>
      <c r="Q7" s="3">
        <v>1145223.77</v>
      </c>
      <c r="R7" s="3">
        <v>9705.2900000000009</v>
      </c>
      <c r="S7" s="3">
        <v>6</v>
      </c>
      <c r="T7" s="3">
        <v>163698.21</v>
      </c>
      <c r="U7" s="3">
        <v>63</v>
      </c>
      <c r="V7" s="3">
        <v>968407.06</v>
      </c>
      <c r="W7" s="3">
        <v>1</v>
      </c>
      <c r="X7" s="3">
        <v>13118.5</v>
      </c>
      <c r="Y7" s="3">
        <v>47735900</v>
      </c>
      <c r="Z7" s="3">
        <v>975572</v>
      </c>
      <c r="AA7" s="3">
        <v>2.0400000000000001E-2</v>
      </c>
      <c r="AB7" s="3">
        <v>702769.41</v>
      </c>
      <c r="AC7" s="3">
        <v>106804.87</v>
      </c>
      <c r="AD7" s="3">
        <v>30558.18</v>
      </c>
      <c r="AE7" s="3">
        <v>31210.43</v>
      </c>
      <c r="AF7" s="3">
        <v>29556.94</v>
      </c>
      <c r="AG7" s="3">
        <v>23368.26</v>
      </c>
      <c r="AH7" s="3">
        <v>20225.14</v>
      </c>
      <c r="AI7" s="3">
        <v>44413.78</v>
      </c>
      <c r="AJ7" s="4"/>
    </row>
    <row r="8" spans="1:36">
      <c r="A8" s="3" t="s">
        <v>36</v>
      </c>
      <c r="B8" s="3">
        <v>802</v>
      </c>
      <c r="C8" s="3">
        <v>732</v>
      </c>
      <c r="D8" s="3">
        <v>330</v>
      </c>
      <c r="E8" s="3">
        <v>0.41149999999999998</v>
      </c>
      <c r="F8" s="3">
        <f>SUM(F2:F7)</f>
        <v>300.10000000000002</v>
      </c>
      <c r="G8" s="3">
        <f t="shared" si="0"/>
        <v>0.37418952618453899</v>
      </c>
      <c r="H8" s="3">
        <v>189</v>
      </c>
      <c r="I8" s="3">
        <v>0.23569999999999999</v>
      </c>
      <c r="J8" s="3">
        <v>35.5</v>
      </c>
      <c r="K8" s="3">
        <v>1202247.08</v>
      </c>
      <c r="L8" s="3">
        <v>454</v>
      </c>
      <c r="M8" s="3">
        <v>291</v>
      </c>
      <c r="N8" s="3">
        <v>0.36280000000000001</v>
      </c>
      <c r="O8" s="3">
        <v>468.3</v>
      </c>
      <c r="P8" s="3">
        <v>0.58399999999999996</v>
      </c>
      <c r="Q8" s="3">
        <v>8061008.29</v>
      </c>
      <c r="R8" s="3">
        <v>10051.129999999999</v>
      </c>
      <c r="S8" s="3">
        <v>44</v>
      </c>
      <c r="T8" s="3">
        <v>1433481.88</v>
      </c>
      <c r="U8" s="3">
        <v>410</v>
      </c>
      <c r="V8" s="3">
        <v>6453436.4100000001</v>
      </c>
      <c r="W8" s="3">
        <v>14.3</v>
      </c>
      <c r="X8" s="3">
        <v>174090</v>
      </c>
      <c r="Y8" s="3">
        <v>366685300</v>
      </c>
      <c r="Z8" s="3">
        <v>6503003.3700000001</v>
      </c>
      <c r="AA8" s="3">
        <v>1.77E-2</v>
      </c>
      <c r="AB8" s="3">
        <v>4752926.53</v>
      </c>
      <c r="AC8" s="3">
        <v>619545.27</v>
      </c>
      <c r="AD8" s="3">
        <v>247501.54</v>
      </c>
      <c r="AE8" s="3">
        <v>265639.48</v>
      </c>
      <c r="AF8" s="3">
        <v>177820.48</v>
      </c>
      <c r="AG8" s="3">
        <v>128919.54</v>
      </c>
      <c r="AH8" s="3">
        <v>141573.88</v>
      </c>
      <c r="AI8" s="3">
        <v>190260.08</v>
      </c>
      <c r="AJ8" s="4"/>
    </row>
    <row r="9" spans="1:3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3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spans="1:3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spans="1:3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spans="1:3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spans="1:3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spans="1:3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spans="1:3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spans="1:3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spans="1:3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spans="1:3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spans="1:3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spans="1:3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spans="1:3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1:3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spans="1:3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spans="1:3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spans="1:3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spans="1:3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spans="1:3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spans="1:3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spans="1:3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spans="1:3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spans="1:3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spans="1:3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spans="1: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spans="1:3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spans="1:3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spans="1:3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spans="1:3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spans="1:3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spans="1:3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spans="1:3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spans="1:3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spans="1:3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spans="1:3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spans="1:3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spans="1:3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spans="1:3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spans="1:3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spans="1:3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spans="1:3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spans="1:3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spans="1:3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spans="1:3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spans="1:3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spans="1:3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spans="1:3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spans="1:3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spans="1:3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spans="1:3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spans="1:3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spans="1:3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spans="1:3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spans="1:3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spans="1:3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spans="1:3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spans="1:3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spans="1:3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spans="1:3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spans="1:3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spans="1:3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spans="1:3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spans="1:3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spans="1:3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spans="1:3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spans="1:3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spans="1:3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spans="1:3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spans="1:3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spans="1:3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spans="1:3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spans="1:3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spans="1:3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spans="1:3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spans="1:3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spans="1:3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spans="1:3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spans="1:3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spans="1:3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spans="1:3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97"/>
  <sheetViews>
    <sheetView workbookViewId="0">
      <selection activeCell="A2" sqref="A2:A7"/>
    </sheetView>
  </sheetViews>
  <sheetFormatPr defaultColWidth="9" defaultRowHeight="14.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/>
    </row>
    <row r="2" spans="1:36">
      <c r="A2" s="4" t="s">
        <v>38</v>
      </c>
      <c r="B2" s="3">
        <v>168</v>
      </c>
      <c r="C2" s="3">
        <v>152</v>
      </c>
      <c r="D2" s="3">
        <v>63</v>
      </c>
      <c r="E2" s="3">
        <v>0.375</v>
      </c>
      <c r="F2" s="3">
        <v>56.4</v>
      </c>
      <c r="G2" s="3">
        <f t="shared" ref="G2:G8" si="0">+F2/B2</f>
        <v>0.33571428571428602</v>
      </c>
      <c r="H2" s="3">
        <v>28</v>
      </c>
      <c r="I2" s="3">
        <v>0.16669999999999999</v>
      </c>
      <c r="J2" s="3">
        <v>6.7</v>
      </c>
      <c r="K2" s="3">
        <v>206273.09</v>
      </c>
      <c r="L2" s="3">
        <v>67</v>
      </c>
      <c r="M2" s="3">
        <v>50</v>
      </c>
      <c r="N2" s="3">
        <v>0.29759999999999998</v>
      </c>
      <c r="O2" s="3">
        <v>76.3</v>
      </c>
      <c r="P2" s="3">
        <v>0.45400000000000001</v>
      </c>
      <c r="Q2" s="3">
        <v>1374780.33</v>
      </c>
      <c r="R2" s="3">
        <v>8183.22</v>
      </c>
      <c r="S2" s="3">
        <v>5</v>
      </c>
      <c r="T2" s="3">
        <v>144770.94</v>
      </c>
      <c r="U2" s="3">
        <v>62</v>
      </c>
      <c r="V2" s="3">
        <v>1122229.8899999999</v>
      </c>
      <c r="W2" s="3">
        <v>9.3000000000000007</v>
      </c>
      <c r="X2" s="3">
        <v>107779.5</v>
      </c>
      <c r="Y2" s="3">
        <v>38754400</v>
      </c>
      <c r="Z2" s="3">
        <v>1071061</v>
      </c>
      <c r="AA2" s="3">
        <v>2.76E-2</v>
      </c>
      <c r="AB2" s="3">
        <v>782820.66</v>
      </c>
      <c r="AC2" s="3">
        <v>97190</v>
      </c>
      <c r="AD2" s="3">
        <v>35327.279999999999</v>
      </c>
      <c r="AE2" s="3">
        <v>33641.68</v>
      </c>
      <c r="AF2" s="3">
        <v>29137.040000000001</v>
      </c>
      <c r="AG2" s="3">
        <v>18524.28</v>
      </c>
      <c r="AH2" s="3">
        <v>18713.8</v>
      </c>
      <c r="AI2" s="3">
        <v>109770</v>
      </c>
      <c r="AJ2" s="4"/>
    </row>
    <row r="3" spans="1:36">
      <c r="A3" s="4" t="s">
        <v>43</v>
      </c>
      <c r="B3" s="3">
        <v>182</v>
      </c>
      <c r="C3" s="3">
        <v>177</v>
      </c>
      <c r="D3" s="3">
        <v>75</v>
      </c>
      <c r="E3" s="3">
        <v>0.41210000000000002</v>
      </c>
      <c r="F3" s="3">
        <v>66</v>
      </c>
      <c r="G3" s="3">
        <f t="shared" si="0"/>
        <v>0.36263736263736301</v>
      </c>
      <c r="H3" s="3">
        <v>45</v>
      </c>
      <c r="I3" s="3">
        <v>0.24729999999999999</v>
      </c>
      <c r="J3" s="3">
        <v>9</v>
      </c>
      <c r="K3" s="3">
        <v>351986.11</v>
      </c>
      <c r="L3" s="3">
        <v>97</v>
      </c>
      <c r="M3" s="3">
        <v>65</v>
      </c>
      <c r="N3" s="3">
        <v>0.35709999999999997</v>
      </c>
      <c r="O3" s="3">
        <v>99.1</v>
      </c>
      <c r="P3" s="3">
        <v>0.54500000000000004</v>
      </c>
      <c r="Q3" s="3">
        <v>1906509.21</v>
      </c>
      <c r="R3" s="3">
        <v>10475.33</v>
      </c>
      <c r="S3" s="3">
        <v>6</v>
      </c>
      <c r="T3" s="3">
        <v>198046.51</v>
      </c>
      <c r="U3" s="3">
        <v>91</v>
      </c>
      <c r="V3" s="3">
        <v>1675668.2</v>
      </c>
      <c r="W3" s="3">
        <v>2.1</v>
      </c>
      <c r="X3" s="3">
        <v>32794.5</v>
      </c>
      <c r="Y3" s="3">
        <v>88509700</v>
      </c>
      <c r="Z3" s="3">
        <v>1742458</v>
      </c>
      <c r="AA3" s="3">
        <v>1.9699999999999999E-2</v>
      </c>
      <c r="AB3" s="3">
        <v>1288266.3500000001</v>
      </c>
      <c r="AC3" s="3">
        <v>132196.54999999999</v>
      </c>
      <c r="AD3" s="3">
        <v>38043.9</v>
      </c>
      <c r="AE3" s="3">
        <v>29184.3</v>
      </c>
      <c r="AF3" s="3">
        <v>32501.279999999999</v>
      </c>
      <c r="AG3" s="3">
        <v>25287.03</v>
      </c>
      <c r="AH3" s="3">
        <v>24208.7</v>
      </c>
      <c r="AI3" s="3">
        <v>123888.14</v>
      </c>
      <c r="AJ3" s="4"/>
    </row>
    <row r="4" spans="1:36">
      <c r="A4" s="4" t="s">
        <v>40</v>
      </c>
      <c r="B4" s="3">
        <v>127</v>
      </c>
      <c r="C4" s="3">
        <v>113</v>
      </c>
      <c r="D4" s="3">
        <v>29</v>
      </c>
      <c r="E4" s="3">
        <v>0.2283</v>
      </c>
      <c r="F4" s="3">
        <v>26.7</v>
      </c>
      <c r="G4" s="3">
        <f t="shared" si="0"/>
        <v>0.210236220472441</v>
      </c>
      <c r="H4" s="3">
        <v>16</v>
      </c>
      <c r="I4" s="3">
        <v>0.126</v>
      </c>
      <c r="J4" s="3">
        <v>4.0999999999999996</v>
      </c>
      <c r="K4" s="3">
        <v>123641.73</v>
      </c>
      <c r="L4" s="3">
        <v>31</v>
      </c>
      <c r="M4" s="3">
        <v>26</v>
      </c>
      <c r="N4" s="3">
        <v>0.20469999999999999</v>
      </c>
      <c r="O4" s="3">
        <v>32.4</v>
      </c>
      <c r="P4" s="3">
        <v>0.255</v>
      </c>
      <c r="Q4" s="3">
        <v>612005.46</v>
      </c>
      <c r="R4" s="3">
        <v>4818.9399999999996</v>
      </c>
      <c r="S4" s="3">
        <v>3</v>
      </c>
      <c r="T4" s="3">
        <v>117536.16</v>
      </c>
      <c r="U4" s="3">
        <v>28</v>
      </c>
      <c r="V4" s="3">
        <v>475146.3</v>
      </c>
      <c r="W4" s="3">
        <v>1.4</v>
      </c>
      <c r="X4" s="3">
        <v>19323</v>
      </c>
      <c r="Y4" s="3">
        <v>23849500</v>
      </c>
      <c r="Z4" s="3">
        <v>381485</v>
      </c>
      <c r="AA4" s="3">
        <v>1.6E-2</v>
      </c>
      <c r="AB4" s="3">
        <v>268922.18</v>
      </c>
      <c r="AC4" s="3">
        <v>55737.5</v>
      </c>
      <c r="AD4" s="3">
        <v>30367</v>
      </c>
      <c r="AE4" s="3">
        <v>23776.880000000001</v>
      </c>
      <c r="AF4" s="3">
        <v>20905.91</v>
      </c>
      <c r="AG4" s="3">
        <v>19824.45</v>
      </c>
      <c r="AH4" s="3">
        <v>22727.3</v>
      </c>
      <c r="AI4" s="3">
        <v>32885</v>
      </c>
      <c r="AJ4" s="4"/>
    </row>
    <row r="5" spans="1:36">
      <c r="A5" s="4" t="s">
        <v>41</v>
      </c>
      <c r="B5" s="3">
        <v>102</v>
      </c>
      <c r="C5" s="3">
        <v>95</v>
      </c>
      <c r="D5" s="3">
        <v>38</v>
      </c>
      <c r="E5" s="3">
        <v>0.3725</v>
      </c>
      <c r="F5" s="3">
        <v>34.1</v>
      </c>
      <c r="G5" s="3">
        <f t="shared" si="0"/>
        <v>0.334313725490196</v>
      </c>
      <c r="H5" s="3">
        <v>20</v>
      </c>
      <c r="I5" s="3">
        <v>0.1961</v>
      </c>
      <c r="J5" s="3">
        <v>6</v>
      </c>
      <c r="K5" s="3">
        <v>119231.8</v>
      </c>
      <c r="L5" s="3">
        <v>48</v>
      </c>
      <c r="M5" s="3">
        <v>34</v>
      </c>
      <c r="N5" s="3">
        <v>0.33329999999999999</v>
      </c>
      <c r="O5" s="3">
        <v>48.2</v>
      </c>
      <c r="P5" s="3">
        <v>0.47299999999999998</v>
      </c>
      <c r="Q5" s="3">
        <v>882155.15</v>
      </c>
      <c r="R5" s="3">
        <v>8648.58</v>
      </c>
      <c r="S5" s="3">
        <v>7</v>
      </c>
      <c r="T5" s="3">
        <v>263571.33</v>
      </c>
      <c r="U5" s="3">
        <v>41</v>
      </c>
      <c r="V5" s="3">
        <v>614307.81999999995</v>
      </c>
      <c r="W5" s="3">
        <v>0.2</v>
      </c>
      <c r="X5" s="3">
        <v>4276</v>
      </c>
      <c r="Y5" s="3">
        <v>35202800</v>
      </c>
      <c r="Z5" s="3">
        <v>604925</v>
      </c>
      <c r="AA5" s="3">
        <v>1.72E-2</v>
      </c>
      <c r="AB5" s="3">
        <v>436494.7</v>
      </c>
      <c r="AC5" s="3">
        <v>51949.15</v>
      </c>
      <c r="AD5" s="3">
        <v>33937.25</v>
      </c>
      <c r="AE5" s="3">
        <v>39918.800000000003</v>
      </c>
      <c r="AF5" s="3">
        <v>19911.400000000001</v>
      </c>
      <c r="AG5" s="3">
        <v>15365.55</v>
      </c>
      <c r="AH5" s="3">
        <v>15551</v>
      </c>
      <c r="AI5" s="3">
        <v>6160</v>
      </c>
      <c r="AJ5" s="4"/>
    </row>
    <row r="6" spans="1:36">
      <c r="A6" s="4" t="s">
        <v>42</v>
      </c>
      <c r="B6" s="3">
        <v>138</v>
      </c>
      <c r="C6" s="3">
        <v>126</v>
      </c>
      <c r="D6" s="3">
        <v>55</v>
      </c>
      <c r="E6" s="3">
        <v>0.39860000000000001</v>
      </c>
      <c r="F6" s="3">
        <v>54.5</v>
      </c>
      <c r="G6" s="3">
        <f t="shared" si="0"/>
        <v>0.39492753623188398</v>
      </c>
      <c r="H6" s="3">
        <v>34</v>
      </c>
      <c r="I6" s="3">
        <v>0.24640000000000001</v>
      </c>
      <c r="J6" s="3">
        <v>7.1</v>
      </c>
      <c r="K6" s="3">
        <v>181326.24</v>
      </c>
      <c r="L6" s="3">
        <v>76</v>
      </c>
      <c r="M6" s="3">
        <v>54</v>
      </c>
      <c r="N6" s="3">
        <v>0.39129999999999998</v>
      </c>
      <c r="O6" s="3">
        <v>77</v>
      </c>
      <c r="P6" s="3">
        <v>0.55800000000000005</v>
      </c>
      <c r="Q6" s="3">
        <v>1421342.97</v>
      </c>
      <c r="R6" s="3">
        <v>10299.59</v>
      </c>
      <c r="S6" s="3">
        <v>10</v>
      </c>
      <c r="T6" s="3">
        <v>403417.35</v>
      </c>
      <c r="U6" s="3">
        <v>66</v>
      </c>
      <c r="V6" s="3">
        <v>1007186.61</v>
      </c>
      <c r="W6" s="3">
        <v>1</v>
      </c>
      <c r="X6" s="3">
        <v>10739</v>
      </c>
      <c r="Y6" s="3">
        <v>59322800</v>
      </c>
      <c r="Z6" s="3">
        <v>1059200</v>
      </c>
      <c r="AA6" s="3">
        <v>1.7899999999999999E-2</v>
      </c>
      <c r="AB6" s="3">
        <v>785263.31</v>
      </c>
      <c r="AC6" s="3">
        <v>123572.5</v>
      </c>
      <c r="AD6" s="3">
        <v>29807.97</v>
      </c>
      <c r="AE6" s="3">
        <v>19889</v>
      </c>
      <c r="AF6" s="3">
        <v>19115.2</v>
      </c>
      <c r="AG6" s="3">
        <v>12069</v>
      </c>
      <c r="AH6" s="3">
        <v>17223</v>
      </c>
      <c r="AI6" s="3">
        <v>11050</v>
      </c>
      <c r="AJ6" s="4"/>
    </row>
    <row r="7" spans="1:36">
      <c r="A7" s="4" t="s">
        <v>39</v>
      </c>
      <c r="B7" s="3">
        <v>112</v>
      </c>
      <c r="C7" s="3">
        <v>104</v>
      </c>
      <c r="D7" s="3">
        <v>44</v>
      </c>
      <c r="E7" s="3">
        <v>0.39290000000000003</v>
      </c>
      <c r="F7" s="3">
        <v>36</v>
      </c>
      <c r="G7" s="3">
        <f t="shared" si="0"/>
        <v>0.32142857142857101</v>
      </c>
      <c r="H7" s="3">
        <v>24</v>
      </c>
      <c r="I7" s="3">
        <v>0.21429999999999999</v>
      </c>
      <c r="J7" s="3">
        <v>6.3</v>
      </c>
      <c r="K7" s="3">
        <v>138954.46</v>
      </c>
      <c r="L7" s="3">
        <v>54</v>
      </c>
      <c r="M7" s="3">
        <v>35</v>
      </c>
      <c r="N7" s="3">
        <v>0.3125</v>
      </c>
      <c r="O7" s="3">
        <v>55.1</v>
      </c>
      <c r="P7" s="3">
        <v>0.49199999999999999</v>
      </c>
      <c r="Q7" s="3">
        <v>1118813.23</v>
      </c>
      <c r="R7" s="3">
        <v>9989.4</v>
      </c>
      <c r="S7" s="3">
        <v>14</v>
      </c>
      <c r="T7" s="3">
        <v>349748.9</v>
      </c>
      <c r="U7" s="3">
        <v>40</v>
      </c>
      <c r="V7" s="3">
        <v>759129.32</v>
      </c>
      <c r="W7" s="3">
        <v>1.1000000000000001</v>
      </c>
      <c r="X7" s="3">
        <v>9935</v>
      </c>
      <c r="Y7" s="3">
        <v>39192200</v>
      </c>
      <c r="Z7" s="3">
        <v>707804</v>
      </c>
      <c r="AA7" s="3">
        <v>1.8100000000000002E-2</v>
      </c>
      <c r="AB7" s="3">
        <v>518061.7</v>
      </c>
      <c r="AC7" s="3">
        <v>80644</v>
      </c>
      <c r="AD7" s="3">
        <v>32502.6</v>
      </c>
      <c r="AE7" s="3">
        <v>24248.18</v>
      </c>
      <c r="AF7" s="3">
        <v>25097.68</v>
      </c>
      <c r="AG7" s="3">
        <v>15010.26</v>
      </c>
      <c r="AH7" s="3">
        <v>19346</v>
      </c>
      <c r="AI7" s="3">
        <v>50444</v>
      </c>
      <c r="AJ7" s="4"/>
    </row>
    <row r="8" spans="1:36">
      <c r="A8" s="3" t="s">
        <v>36</v>
      </c>
      <c r="B8" s="3">
        <v>829</v>
      </c>
      <c r="C8" s="3">
        <v>767</v>
      </c>
      <c r="D8" s="3">
        <v>304</v>
      </c>
      <c r="E8" s="3">
        <v>0.36670000000000003</v>
      </c>
      <c r="F8" s="3">
        <f>SUM(F2:F7)</f>
        <v>273.7</v>
      </c>
      <c r="G8" s="3">
        <f t="shared" si="0"/>
        <v>0.33015681544029002</v>
      </c>
      <c r="H8" s="3">
        <v>167</v>
      </c>
      <c r="I8" s="3">
        <v>0.2014</v>
      </c>
      <c r="J8" s="3">
        <v>39.200000000000003</v>
      </c>
      <c r="K8" s="3">
        <v>1121413.43</v>
      </c>
      <c r="L8" s="3">
        <v>373</v>
      </c>
      <c r="M8" s="3">
        <v>264</v>
      </c>
      <c r="N8" s="3">
        <v>0.31850000000000001</v>
      </c>
      <c r="O8" s="3">
        <v>388.1</v>
      </c>
      <c r="P8" s="3">
        <v>0.46800000000000003</v>
      </c>
      <c r="Q8" s="3">
        <v>7315606.3499999996</v>
      </c>
      <c r="R8" s="3">
        <v>8824.6200000000008</v>
      </c>
      <c r="S8" s="3">
        <v>45</v>
      </c>
      <c r="T8" s="3">
        <v>1477091.19</v>
      </c>
      <c r="U8" s="3">
        <v>328</v>
      </c>
      <c r="V8" s="3">
        <v>5653668.1399999997</v>
      </c>
      <c r="W8" s="3">
        <v>15.1</v>
      </c>
      <c r="X8" s="3">
        <v>184847</v>
      </c>
      <c r="Y8" s="3">
        <v>284831400</v>
      </c>
      <c r="Z8" s="3">
        <v>5566933</v>
      </c>
      <c r="AA8" s="3">
        <v>1.95E-2</v>
      </c>
      <c r="AB8" s="3">
        <v>4079828.9</v>
      </c>
      <c r="AC8" s="3">
        <v>541289.69999999995</v>
      </c>
      <c r="AD8" s="3">
        <v>199986</v>
      </c>
      <c r="AE8" s="3">
        <v>170658.84</v>
      </c>
      <c r="AF8" s="3">
        <v>146668.51</v>
      </c>
      <c r="AG8" s="3">
        <v>106080.57</v>
      </c>
      <c r="AH8" s="3">
        <v>117769.8</v>
      </c>
      <c r="AI8" s="3">
        <v>334197.14</v>
      </c>
      <c r="AJ8" s="4"/>
    </row>
    <row r="9" spans="1:3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3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spans="1:3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spans="1:3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spans="1:3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spans="1:3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spans="1:3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spans="1:3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spans="1:3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spans="1:3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spans="1:3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spans="1:3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spans="1:3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spans="1:3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1:3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spans="1:3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spans="1:3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spans="1:3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spans="1:3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spans="1:3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spans="1:3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spans="1:3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spans="1:3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spans="1:3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spans="1:3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spans="1: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spans="1:3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spans="1:3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spans="1:3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spans="1:3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spans="1:3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spans="1:3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spans="1:3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spans="1:3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spans="1:3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spans="1:3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spans="1:3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spans="1:3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spans="1:3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spans="1:3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spans="1:3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spans="1:3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spans="1:3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spans="1:3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spans="1:3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spans="1:3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spans="1:3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spans="1:3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spans="1:3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spans="1:3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spans="1:3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spans="1:3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spans="1:3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spans="1:3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spans="1:3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spans="1:3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spans="1:3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spans="1:3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spans="1:3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spans="1:3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spans="1:3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spans="1:3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spans="1:3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spans="1:3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spans="1:3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spans="1:3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spans="1:3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spans="1:3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spans="1:3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spans="1:3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spans="1:3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spans="1:3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spans="1:3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spans="1:3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spans="1:3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spans="1:3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spans="1:3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spans="1:3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spans="1:3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spans="1:3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spans="1:3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spans="1:3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spans="1:3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spans="1:3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94"/>
  <sheetViews>
    <sheetView workbookViewId="0">
      <selection activeCell="A2" sqref="A2:A7"/>
    </sheetView>
  </sheetViews>
  <sheetFormatPr defaultColWidth="8.90625" defaultRowHeight="14.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/>
    </row>
    <row r="2" spans="1:37">
      <c r="A2" s="4" t="s">
        <v>38</v>
      </c>
      <c r="B2" s="3">
        <v>155</v>
      </c>
      <c r="C2" s="3">
        <v>145</v>
      </c>
      <c r="D2" s="3">
        <v>58</v>
      </c>
      <c r="E2" s="3">
        <v>0.37419999999999998</v>
      </c>
      <c r="F2" s="3">
        <v>53.4</v>
      </c>
      <c r="G2" s="3">
        <f t="shared" ref="G2:G8" si="0">+F2/B2</f>
        <v>0.34451612903225798</v>
      </c>
      <c r="H2" s="3">
        <v>26</v>
      </c>
      <c r="I2" s="3">
        <v>0.16769999999999999</v>
      </c>
      <c r="J2" s="3">
        <v>6.1</v>
      </c>
      <c r="K2" s="3">
        <v>114293.89</v>
      </c>
      <c r="L2" s="3">
        <v>65</v>
      </c>
      <c r="M2" s="3">
        <v>47</v>
      </c>
      <c r="N2" s="3">
        <v>0.30320000000000003</v>
      </c>
      <c r="O2" s="3">
        <v>74.5</v>
      </c>
      <c r="P2" s="3">
        <v>0.48099999999999998</v>
      </c>
      <c r="Q2" s="3">
        <v>1053250.6100000001</v>
      </c>
      <c r="R2" s="3">
        <v>6795.17</v>
      </c>
      <c r="S2" s="3">
        <v>3</v>
      </c>
      <c r="T2" s="3">
        <v>83086.94</v>
      </c>
      <c r="U2" s="3">
        <v>62</v>
      </c>
      <c r="V2" s="3">
        <v>854751.67</v>
      </c>
      <c r="W2" s="3">
        <v>9.5</v>
      </c>
      <c r="X2" s="3">
        <v>115412</v>
      </c>
      <c r="Y2" s="3">
        <v>34813600</v>
      </c>
      <c r="Z2" s="3">
        <v>820052</v>
      </c>
      <c r="AA2" s="3">
        <v>2.3599999999999999E-2</v>
      </c>
      <c r="AB2" s="3">
        <v>611105.30000000005</v>
      </c>
      <c r="AC2" s="3">
        <v>108231</v>
      </c>
      <c r="AD2" s="3">
        <v>24468.9</v>
      </c>
      <c r="AE2" s="3">
        <v>27673.9</v>
      </c>
      <c r="AF2" s="3">
        <v>20533.68</v>
      </c>
      <c r="AG2" s="3">
        <v>12598.26</v>
      </c>
      <c r="AH2" s="3">
        <v>18495.7</v>
      </c>
      <c r="AI2" s="3">
        <v>13125</v>
      </c>
      <c r="AJ2" s="3">
        <v>0</v>
      </c>
      <c r="AK2" s="4"/>
    </row>
    <row r="3" spans="1:37">
      <c r="A3" s="4" t="s">
        <v>43</v>
      </c>
      <c r="B3" s="3">
        <v>201</v>
      </c>
      <c r="C3" s="3">
        <v>189</v>
      </c>
      <c r="D3" s="3">
        <v>74</v>
      </c>
      <c r="E3" s="3">
        <v>0.36820000000000003</v>
      </c>
      <c r="F3" s="3">
        <v>69.900000000000006</v>
      </c>
      <c r="G3" s="3">
        <f t="shared" si="0"/>
        <v>0.34776119402985101</v>
      </c>
      <c r="H3" s="3">
        <v>46</v>
      </c>
      <c r="I3" s="3">
        <v>0.22889999999999999</v>
      </c>
      <c r="J3" s="3">
        <v>11</v>
      </c>
      <c r="K3" s="3">
        <v>423726.75</v>
      </c>
      <c r="L3" s="3">
        <v>104</v>
      </c>
      <c r="M3" s="3">
        <v>69</v>
      </c>
      <c r="N3" s="3">
        <v>0.34329999999999999</v>
      </c>
      <c r="O3" s="3">
        <v>105.7</v>
      </c>
      <c r="P3" s="3">
        <v>0.52600000000000002</v>
      </c>
      <c r="Q3" s="3">
        <v>2189500.7799999998</v>
      </c>
      <c r="R3" s="3">
        <v>10893.04</v>
      </c>
      <c r="S3" s="3">
        <v>19</v>
      </c>
      <c r="T3" s="3">
        <v>778505.59</v>
      </c>
      <c r="U3" s="3">
        <v>85</v>
      </c>
      <c r="V3" s="3">
        <v>1389776.69</v>
      </c>
      <c r="W3" s="3">
        <v>1.7</v>
      </c>
      <c r="X3" s="3">
        <v>21218.5</v>
      </c>
      <c r="Y3" s="3">
        <v>77632700</v>
      </c>
      <c r="Z3" s="3">
        <v>1375450</v>
      </c>
      <c r="AA3" s="3">
        <v>1.77E-2</v>
      </c>
      <c r="AB3" s="3">
        <v>1004564.44</v>
      </c>
      <c r="AC3" s="3">
        <v>162837.79999999999</v>
      </c>
      <c r="AD3" s="3">
        <v>39385.5</v>
      </c>
      <c r="AE3" s="3">
        <v>28272.2</v>
      </c>
      <c r="AF3" s="3">
        <v>36947.919999999998</v>
      </c>
      <c r="AG3" s="3">
        <v>30158.04</v>
      </c>
      <c r="AH3" s="3">
        <v>27622.9</v>
      </c>
      <c r="AI3" s="3">
        <v>60410</v>
      </c>
      <c r="AJ3" s="3">
        <v>0</v>
      </c>
      <c r="AK3" s="4"/>
    </row>
    <row r="4" spans="1:37">
      <c r="A4" s="4" t="s">
        <v>40</v>
      </c>
      <c r="B4" s="3">
        <v>127</v>
      </c>
      <c r="C4" s="3">
        <v>118</v>
      </c>
      <c r="D4" s="3">
        <v>52</v>
      </c>
      <c r="E4" s="3">
        <v>0.40939999999999999</v>
      </c>
      <c r="F4" s="3">
        <v>47.2</v>
      </c>
      <c r="G4" s="3">
        <f t="shared" si="0"/>
        <v>0.371653543307087</v>
      </c>
      <c r="H4" s="3">
        <v>32</v>
      </c>
      <c r="I4" s="3">
        <v>0.252</v>
      </c>
      <c r="J4" s="3">
        <v>8</v>
      </c>
      <c r="K4" s="3">
        <v>259776.85</v>
      </c>
      <c r="L4" s="3">
        <v>73</v>
      </c>
      <c r="M4" s="3">
        <v>47</v>
      </c>
      <c r="N4" s="3">
        <v>0.37009999999999998</v>
      </c>
      <c r="O4" s="3">
        <v>74.7</v>
      </c>
      <c r="P4" s="3">
        <v>0.58799999999999997</v>
      </c>
      <c r="Q4" s="3">
        <v>1694441.17</v>
      </c>
      <c r="R4" s="3">
        <v>13342.06</v>
      </c>
      <c r="S4" s="3">
        <v>19</v>
      </c>
      <c r="T4" s="3">
        <v>907899.89</v>
      </c>
      <c r="U4" s="3">
        <v>54</v>
      </c>
      <c r="V4" s="3">
        <v>766524.8</v>
      </c>
      <c r="W4" s="3">
        <v>1.7</v>
      </c>
      <c r="X4" s="3">
        <v>20016.5</v>
      </c>
      <c r="Y4" s="3">
        <v>54507500</v>
      </c>
      <c r="Z4" s="3">
        <v>812890</v>
      </c>
      <c r="AA4" s="3">
        <v>1.49E-2</v>
      </c>
      <c r="AB4" s="3">
        <v>574973.69999999995</v>
      </c>
      <c r="AC4" s="3">
        <v>47275</v>
      </c>
      <c r="AD4" s="3">
        <v>30697</v>
      </c>
      <c r="AE4" s="3">
        <v>31531.040000000001</v>
      </c>
      <c r="AF4" s="3">
        <v>29299.200000000001</v>
      </c>
      <c r="AG4" s="3">
        <v>19367.39</v>
      </c>
      <c r="AH4" s="3">
        <v>16605.5</v>
      </c>
      <c r="AI4" s="3">
        <v>10400</v>
      </c>
      <c r="AJ4" s="3">
        <v>5400</v>
      </c>
      <c r="AK4" s="4"/>
    </row>
    <row r="5" spans="1:37">
      <c r="A5" s="4" t="s">
        <v>41</v>
      </c>
      <c r="B5" s="3">
        <v>103</v>
      </c>
      <c r="C5" s="3">
        <v>96</v>
      </c>
      <c r="D5" s="3">
        <v>42</v>
      </c>
      <c r="E5" s="3">
        <v>0.4078</v>
      </c>
      <c r="F5" s="3">
        <v>41.1</v>
      </c>
      <c r="G5" s="3">
        <f t="shared" si="0"/>
        <v>0.39902912621359199</v>
      </c>
      <c r="H5" s="3">
        <v>27</v>
      </c>
      <c r="I5" s="3">
        <v>0.2621</v>
      </c>
      <c r="J5" s="3">
        <v>7</v>
      </c>
      <c r="K5" s="3">
        <v>473347.41</v>
      </c>
      <c r="L5" s="3">
        <v>71</v>
      </c>
      <c r="M5" s="3">
        <v>41</v>
      </c>
      <c r="N5" s="3">
        <v>0.39810000000000001</v>
      </c>
      <c r="O5" s="3">
        <v>71.3</v>
      </c>
      <c r="P5" s="3">
        <v>0.69199999999999995</v>
      </c>
      <c r="Q5" s="3">
        <v>1567420.35</v>
      </c>
      <c r="R5" s="3">
        <v>15217.67</v>
      </c>
      <c r="S5" s="3">
        <v>31</v>
      </c>
      <c r="T5" s="3">
        <v>946276.05</v>
      </c>
      <c r="U5" s="3">
        <v>40</v>
      </c>
      <c r="V5" s="3">
        <v>618224.30000000005</v>
      </c>
      <c r="W5" s="3">
        <v>0.3</v>
      </c>
      <c r="X5" s="3">
        <v>2920</v>
      </c>
      <c r="Y5" s="3">
        <v>39646200</v>
      </c>
      <c r="Z5" s="3">
        <v>634000</v>
      </c>
      <c r="AA5" s="3">
        <v>1.6E-2</v>
      </c>
      <c r="AB5" s="3">
        <v>445739.28</v>
      </c>
      <c r="AC5" s="3">
        <v>57500</v>
      </c>
      <c r="AD5" s="3">
        <v>29886</v>
      </c>
      <c r="AE5" s="3">
        <v>22616.6</v>
      </c>
      <c r="AF5" s="3">
        <v>16214.4</v>
      </c>
      <c r="AG5" s="3">
        <v>13393.02</v>
      </c>
      <c r="AH5" s="3">
        <v>15275</v>
      </c>
      <c r="AI5" s="3">
        <v>17600</v>
      </c>
      <c r="AJ5" s="3">
        <v>0</v>
      </c>
      <c r="AK5" s="4"/>
    </row>
    <row r="6" spans="1:37">
      <c r="A6" s="4" t="s">
        <v>42</v>
      </c>
      <c r="B6" s="3">
        <v>140</v>
      </c>
      <c r="C6" s="3">
        <v>134</v>
      </c>
      <c r="D6" s="3">
        <v>61</v>
      </c>
      <c r="E6" s="3">
        <v>0.43569999999999998</v>
      </c>
      <c r="F6" s="3">
        <v>58</v>
      </c>
      <c r="G6" s="3">
        <f t="shared" si="0"/>
        <v>0.41428571428571398</v>
      </c>
      <c r="H6" s="3">
        <v>37</v>
      </c>
      <c r="I6" s="3">
        <v>0.26429999999999998</v>
      </c>
      <c r="J6" s="3">
        <v>8.1999999999999993</v>
      </c>
      <c r="K6" s="3">
        <v>352404.27</v>
      </c>
      <c r="L6" s="3">
        <v>76</v>
      </c>
      <c r="M6" s="3">
        <v>57</v>
      </c>
      <c r="N6" s="3">
        <v>0.40710000000000002</v>
      </c>
      <c r="O6" s="3">
        <v>77.3</v>
      </c>
      <c r="P6" s="3">
        <v>0.55200000000000005</v>
      </c>
      <c r="Q6" s="3">
        <v>1741572.42</v>
      </c>
      <c r="R6" s="3">
        <v>12439.8</v>
      </c>
      <c r="S6" s="3">
        <v>24</v>
      </c>
      <c r="T6" s="3">
        <v>948561.18</v>
      </c>
      <c r="U6" s="3">
        <v>52</v>
      </c>
      <c r="V6" s="3">
        <v>780233.24</v>
      </c>
      <c r="W6" s="3">
        <v>1.3</v>
      </c>
      <c r="X6" s="3">
        <v>12778</v>
      </c>
      <c r="Y6" s="3">
        <v>44543400</v>
      </c>
      <c r="Z6" s="3">
        <v>747408</v>
      </c>
      <c r="AA6" s="3">
        <v>1.6799999999999999E-2</v>
      </c>
      <c r="AB6" s="3">
        <v>559868.12</v>
      </c>
      <c r="AC6" s="3">
        <v>115212.5</v>
      </c>
      <c r="AD6" s="3">
        <v>32300.02</v>
      </c>
      <c r="AE6" s="3">
        <v>18205.939999999999</v>
      </c>
      <c r="AF6" s="3">
        <v>20503.52</v>
      </c>
      <c r="AG6" s="3">
        <v>12797.64</v>
      </c>
      <c r="AH6" s="3">
        <v>13159</v>
      </c>
      <c r="AI6" s="3">
        <v>8186.5</v>
      </c>
      <c r="AJ6" s="3">
        <v>0</v>
      </c>
      <c r="AK6" s="4"/>
    </row>
    <row r="7" spans="1:37">
      <c r="A7" s="4" t="s">
        <v>39</v>
      </c>
      <c r="B7" s="3">
        <v>110</v>
      </c>
      <c r="C7" s="3">
        <v>105</v>
      </c>
      <c r="D7" s="3">
        <v>43</v>
      </c>
      <c r="E7" s="3">
        <v>0.39090000000000003</v>
      </c>
      <c r="F7" s="3">
        <v>39.299999999999997</v>
      </c>
      <c r="G7" s="3">
        <f t="shared" si="0"/>
        <v>0.35727272727272702</v>
      </c>
      <c r="H7" s="3">
        <v>26</v>
      </c>
      <c r="I7" s="3">
        <v>0.2364</v>
      </c>
      <c r="J7" s="3">
        <v>6</v>
      </c>
      <c r="K7" s="3">
        <v>172104.99</v>
      </c>
      <c r="L7" s="3">
        <v>53</v>
      </c>
      <c r="M7" s="3">
        <v>39</v>
      </c>
      <c r="N7" s="3">
        <v>0.35449999999999998</v>
      </c>
      <c r="O7" s="3">
        <v>54.1</v>
      </c>
      <c r="P7" s="3">
        <v>0.49199999999999999</v>
      </c>
      <c r="Q7" s="3">
        <v>1185265.4099999999</v>
      </c>
      <c r="R7" s="3">
        <v>10775.14</v>
      </c>
      <c r="S7" s="3">
        <v>10</v>
      </c>
      <c r="T7" s="3">
        <v>395974.27</v>
      </c>
      <c r="U7" s="3">
        <v>43</v>
      </c>
      <c r="V7" s="3">
        <v>776596.14</v>
      </c>
      <c r="W7" s="3">
        <v>1.1000000000000001</v>
      </c>
      <c r="X7" s="3">
        <v>12695</v>
      </c>
      <c r="Y7" s="3">
        <v>39645700</v>
      </c>
      <c r="Z7" s="3">
        <v>811540</v>
      </c>
      <c r="AA7" s="3">
        <v>2.0500000000000001E-2</v>
      </c>
      <c r="AB7" s="3">
        <v>637211</v>
      </c>
      <c r="AC7" s="3">
        <v>52495</v>
      </c>
      <c r="AD7" s="3">
        <v>27546.59</v>
      </c>
      <c r="AE7" s="3">
        <v>31617.55</v>
      </c>
      <c r="AF7" s="3">
        <v>25605.55</v>
      </c>
      <c r="AG7" s="3">
        <v>20095.2</v>
      </c>
      <c r="AH7" s="3">
        <v>21300.2</v>
      </c>
      <c r="AI7" s="3">
        <v>4500</v>
      </c>
      <c r="AJ7" s="3">
        <v>0</v>
      </c>
      <c r="AK7" s="4"/>
    </row>
    <row r="8" spans="1:37">
      <c r="A8" s="3" t="s">
        <v>36</v>
      </c>
      <c r="B8" s="3">
        <v>836</v>
      </c>
      <c r="C8" s="3">
        <v>787</v>
      </c>
      <c r="D8" s="3">
        <v>330</v>
      </c>
      <c r="E8" s="3">
        <v>0.3947</v>
      </c>
      <c r="F8" s="3">
        <f>SUM(F2:F7)</f>
        <v>308.89999999999998</v>
      </c>
      <c r="G8" s="3">
        <f t="shared" si="0"/>
        <v>0.36949760765550199</v>
      </c>
      <c r="H8" s="3">
        <v>194</v>
      </c>
      <c r="I8" s="3">
        <v>0.2321</v>
      </c>
      <c r="J8" s="3">
        <v>46.3</v>
      </c>
      <c r="K8" s="3">
        <v>1795654.16</v>
      </c>
      <c r="L8" s="3">
        <v>442</v>
      </c>
      <c r="M8" s="3">
        <v>300</v>
      </c>
      <c r="N8" s="3">
        <v>0.3589</v>
      </c>
      <c r="O8" s="3">
        <v>457.6</v>
      </c>
      <c r="P8" s="3">
        <v>0.54700000000000004</v>
      </c>
      <c r="Q8" s="3">
        <v>9431450.7400000002</v>
      </c>
      <c r="R8" s="3">
        <v>11281.64</v>
      </c>
      <c r="S8" s="3">
        <v>106</v>
      </c>
      <c r="T8" s="3">
        <v>4060303.92</v>
      </c>
      <c r="U8" s="3">
        <v>336</v>
      </c>
      <c r="V8" s="3">
        <v>5186106.84</v>
      </c>
      <c r="W8" s="3">
        <v>15.6</v>
      </c>
      <c r="X8" s="3">
        <v>185040</v>
      </c>
      <c r="Y8" s="3">
        <v>290789100</v>
      </c>
      <c r="Z8" s="3">
        <v>5201340</v>
      </c>
      <c r="AA8" s="3">
        <v>1.7899999999999999E-2</v>
      </c>
      <c r="AB8" s="3">
        <v>3833461.84</v>
      </c>
      <c r="AC8" s="3">
        <v>543551.30000000005</v>
      </c>
      <c r="AD8" s="3">
        <v>184284.01</v>
      </c>
      <c r="AE8" s="3">
        <v>159917.23000000001</v>
      </c>
      <c r="AF8" s="3">
        <v>149104.26999999999</v>
      </c>
      <c r="AG8" s="3">
        <v>108409.55</v>
      </c>
      <c r="AH8" s="3">
        <v>112458.3</v>
      </c>
      <c r="AI8" s="3">
        <v>114221.5</v>
      </c>
      <c r="AJ8" s="3">
        <v>5400</v>
      </c>
      <c r="AK8" s="4"/>
    </row>
    <row r="9" spans="1:37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 spans="1:3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 spans="1:3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</row>
    <row r="14" spans="1:37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 spans="1:37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spans="1:3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1:37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spans="1:37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spans="1:37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1:37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1:37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spans="1:37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1:37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spans="1:37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spans="1:3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spans="1:37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spans="1:37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spans="1:37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spans="1:37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spans="1:37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spans="1:37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spans="1:37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spans="1:37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spans="1: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spans="1:37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spans="1:37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spans="1:37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spans="1:37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spans="1:37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spans="1:37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spans="1:37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spans="1:37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spans="1:3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spans="1:37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spans="1:37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spans="1:37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spans="1:37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spans="1:37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spans="1:37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spans="1:37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spans="1:37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spans="1:3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spans="1:37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spans="1:37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spans="1:37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  <row r="61" spans="1:37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</row>
    <row r="62" spans="1:37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  <row r="63" spans="1:37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</row>
    <row r="64" spans="1:37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37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</row>
    <row r="66" spans="1:37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</row>
    <row r="67" spans="1:3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</row>
    <row r="68" spans="1:37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</row>
    <row r="69" spans="1:3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</row>
    <row r="70" spans="1:3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</row>
    <row r="71" spans="1:37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</row>
    <row r="72" spans="1:37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</row>
    <row r="73" spans="1:37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</row>
    <row r="74" spans="1:37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</row>
    <row r="75" spans="1:37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</row>
    <row r="76" spans="1:37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</row>
    <row r="77" spans="1:3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</row>
    <row r="78" spans="1:37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</row>
    <row r="79" spans="1:37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</row>
    <row r="80" spans="1:37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</row>
    <row r="81" spans="1:37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</row>
    <row r="82" spans="1:37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 spans="1:37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spans="1:37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  <row r="85" spans="1:37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</row>
    <row r="86" spans="1:37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r="87" spans="1:3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</row>
    <row r="88" spans="1:37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 spans="1:37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r="90" spans="1:37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</row>
    <row r="91" spans="1:37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</row>
    <row r="92" spans="1:37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 spans="1:37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 spans="1:37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96"/>
  <sheetViews>
    <sheetView workbookViewId="0">
      <selection activeCell="A2" sqref="A2:A7"/>
    </sheetView>
  </sheetViews>
  <sheetFormatPr defaultColWidth="8.90625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37</v>
      </c>
      <c r="AK1" s="1" t="s">
        <v>35</v>
      </c>
      <c r="AL1" s="2"/>
    </row>
    <row r="2" spans="1:38">
      <c r="A2" s="4" t="s">
        <v>38</v>
      </c>
      <c r="B2" s="3">
        <v>146</v>
      </c>
      <c r="C2" s="3">
        <v>136</v>
      </c>
      <c r="D2" s="3">
        <v>62</v>
      </c>
      <c r="E2" s="3">
        <v>0.42470000000000002</v>
      </c>
      <c r="F2" s="3">
        <v>56</v>
      </c>
      <c r="G2" s="3">
        <f t="shared" ref="G2:G8" si="0">+F2/B2</f>
        <v>0.38356164383561597</v>
      </c>
      <c r="H2" s="3">
        <v>24</v>
      </c>
      <c r="I2" s="3">
        <v>0.16439999999999999</v>
      </c>
      <c r="J2" s="3">
        <v>9.5</v>
      </c>
      <c r="K2" s="3">
        <v>324348.44</v>
      </c>
      <c r="L2" s="3">
        <v>58</v>
      </c>
      <c r="M2" s="3">
        <v>47</v>
      </c>
      <c r="N2" s="3">
        <v>0.32190000000000002</v>
      </c>
      <c r="O2" s="3">
        <v>71.599999999999994</v>
      </c>
      <c r="P2" s="3">
        <v>0.49</v>
      </c>
      <c r="Q2" s="3">
        <v>1184373.92</v>
      </c>
      <c r="R2" s="3">
        <v>8112.15</v>
      </c>
      <c r="S2" s="3">
        <v>9</v>
      </c>
      <c r="T2" s="3">
        <v>312881.78999999998</v>
      </c>
      <c r="U2" s="3">
        <v>49</v>
      </c>
      <c r="V2" s="3">
        <v>711252.63</v>
      </c>
      <c r="W2" s="3">
        <v>13.6</v>
      </c>
      <c r="X2" s="3">
        <v>160239.5</v>
      </c>
      <c r="Y2" s="3">
        <v>29010000</v>
      </c>
      <c r="Z2" s="3">
        <v>660320</v>
      </c>
      <c r="AA2" s="3">
        <v>2.2800000000000001E-2</v>
      </c>
      <c r="AB2" s="3">
        <v>522709.14</v>
      </c>
      <c r="AC2" s="3">
        <v>53887.5</v>
      </c>
      <c r="AD2" s="3">
        <v>21529.3</v>
      </c>
      <c r="AE2" s="3">
        <v>29175.1</v>
      </c>
      <c r="AF2" s="3">
        <v>16447.439999999999</v>
      </c>
      <c r="AG2" s="3">
        <v>11305.98</v>
      </c>
      <c r="AH2" s="3">
        <v>13798</v>
      </c>
      <c r="AI2" s="3">
        <v>36400</v>
      </c>
      <c r="AJ2" s="3">
        <v>0</v>
      </c>
      <c r="AK2" s="3">
        <v>0</v>
      </c>
      <c r="AL2" s="4"/>
    </row>
    <row r="3" spans="1:38">
      <c r="A3" s="4" t="s">
        <v>43</v>
      </c>
      <c r="B3" s="3">
        <v>197</v>
      </c>
      <c r="C3" s="3">
        <v>182</v>
      </c>
      <c r="D3" s="3">
        <v>78</v>
      </c>
      <c r="E3" s="3">
        <v>0.39589999999999997</v>
      </c>
      <c r="F3" s="3">
        <v>70.8</v>
      </c>
      <c r="G3" s="3">
        <f t="shared" si="0"/>
        <v>0.359390862944162</v>
      </c>
      <c r="H3" s="3">
        <v>42</v>
      </c>
      <c r="I3" s="3">
        <v>0.2132</v>
      </c>
      <c r="J3" s="3">
        <v>13</v>
      </c>
      <c r="K3" s="3">
        <v>374468.95</v>
      </c>
      <c r="L3" s="3">
        <v>91</v>
      </c>
      <c r="M3" s="3">
        <v>68</v>
      </c>
      <c r="N3" s="3">
        <v>0.34520000000000001</v>
      </c>
      <c r="O3" s="3">
        <v>94.9</v>
      </c>
      <c r="P3" s="3">
        <v>0.48199999999999998</v>
      </c>
      <c r="Q3" s="3">
        <v>1739907.5</v>
      </c>
      <c r="R3" s="3">
        <v>8832.02</v>
      </c>
      <c r="S3" s="3">
        <v>18</v>
      </c>
      <c r="T3" s="3">
        <v>508523.15</v>
      </c>
      <c r="U3" s="3">
        <v>73</v>
      </c>
      <c r="V3" s="3">
        <v>1193104.3500000001</v>
      </c>
      <c r="W3" s="3">
        <v>3.9</v>
      </c>
      <c r="X3" s="3">
        <v>38280</v>
      </c>
      <c r="Y3" s="3">
        <v>61407500</v>
      </c>
      <c r="Z3" s="3">
        <v>1132998</v>
      </c>
      <c r="AA3" s="3">
        <v>1.8499999999999999E-2</v>
      </c>
      <c r="AB3" s="3">
        <v>810327.25</v>
      </c>
      <c r="AC3" s="3">
        <v>158730</v>
      </c>
      <c r="AD3" s="3">
        <v>46652.14</v>
      </c>
      <c r="AE3" s="3">
        <v>37569.199999999997</v>
      </c>
      <c r="AF3" s="3">
        <v>40926.949999999997</v>
      </c>
      <c r="AG3" s="3">
        <v>30989.09</v>
      </c>
      <c r="AH3" s="3">
        <v>34262.69</v>
      </c>
      <c r="AI3" s="3">
        <v>29987</v>
      </c>
      <c r="AJ3" s="3">
        <v>0</v>
      </c>
      <c r="AK3" s="3">
        <v>3400</v>
      </c>
      <c r="AL3" s="4"/>
    </row>
    <row r="4" spans="1:38">
      <c r="A4" s="4" t="s">
        <v>40</v>
      </c>
      <c r="B4" s="3">
        <v>127</v>
      </c>
      <c r="C4" s="3">
        <v>111</v>
      </c>
      <c r="D4" s="3">
        <v>45</v>
      </c>
      <c r="E4" s="3">
        <v>0.3543</v>
      </c>
      <c r="F4" s="3">
        <v>39.9</v>
      </c>
      <c r="G4" s="3">
        <f t="shared" si="0"/>
        <v>0.314173228346457</v>
      </c>
      <c r="H4" s="3">
        <v>27</v>
      </c>
      <c r="I4" s="3">
        <v>0.21260000000000001</v>
      </c>
      <c r="J4" s="3">
        <v>4</v>
      </c>
      <c r="K4" s="3">
        <v>187159.04000000001</v>
      </c>
      <c r="L4" s="3">
        <v>60</v>
      </c>
      <c r="M4" s="3">
        <v>39</v>
      </c>
      <c r="N4" s="3">
        <v>0.30709999999999998</v>
      </c>
      <c r="O4" s="3">
        <v>62</v>
      </c>
      <c r="P4" s="3">
        <v>0.48799999999999999</v>
      </c>
      <c r="Q4" s="3">
        <v>1355922.71</v>
      </c>
      <c r="R4" s="3">
        <v>10676.56</v>
      </c>
      <c r="S4" s="3">
        <v>12</v>
      </c>
      <c r="T4" s="3">
        <v>461269.53</v>
      </c>
      <c r="U4" s="3">
        <v>48</v>
      </c>
      <c r="V4" s="3">
        <v>874994.68</v>
      </c>
      <c r="W4" s="3">
        <v>2</v>
      </c>
      <c r="X4" s="3">
        <v>19658.5</v>
      </c>
      <c r="Y4" s="3">
        <v>65275600</v>
      </c>
      <c r="Z4" s="3">
        <v>881320</v>
      </c>
      <c r="AA4" s="3">
        <v>1.35E-2</v>
      </c>
      <c r="AB4" s="3">
        <v>665444.86</v>
      </c>
      <c r="AC4" s="3">
        <v>55334</v>
      </c>
      <c r="AD4" s="3">
        <v>38026.35</v>
      </c>
      <c r="AE4" s="3">
        <v>26854.48</v>
      </c>
      <c r="AF4" s="3">
        <v>23215.08</v>
      </c>
      <c r="AG4" s="3">
        <v>17568.900000000001</v>
      </c>
      <c r="AH4" s="3">
        <v>15939.85</v>
      </c>
      <c r="AI4" s="3">
        <v>20900</v>
      </c>
      <c r="AJ4" s="3">
        <v>11711.3</v>
      </c>
      <c r="AK4" s="3">
        <v>0</v>
      </c>
      <c r="AL4" s="4"/>
    </row>
    <row r="5" spans="1:38">
      <c r="A5" s="4" t="s">
        <v>41</v>
      </c>
      <c r="B5" s="3">
        <v>110</v>
      </c>
      <c r="C5" s="3">
        <v>96</v>
      </c>
      <c r="D5" s="3">
        <v>29</v>
      </c>
      <c r="E5" s="3">
        <v>0.2636</v>
      </c>
      <c r="F5" s="3">
        <v>28.1</v>
      </c>
      <c r="G5" s="3">
        <f t="shared" si="0"/>
        <v>0.25545454545454499</v>
      </c>
      <c r="H5" s="3">
        <v>15</v>
      </c>
      <c r="I5" s="3">
        <v>0.13639999999999999</v>
      </c>
      <c r="J5" s="3">
        <v>4</v>
      </c>
      <c r="K5" s="3">
        <v>255000.13</v>
      </c>
      <c r="L5" s="3">
        <v>52</v>
      </c>
      <c r="M5" s="3">
        <v>28</v>
      </c>
      <c r="N5" s="3">
        <v>0.2545</v>
      </c>
      <c r="O5" s="3">
        <v>52.2</v>
      </c>
      <c r="P5" s="3">
        <v>0.47499999999999998</v>
      </c>
      <c r="Q5" s="3">
        <v>778012.96</v>
      </c>
      <c r="R5" s="3">
        <v>7072.85</v>
      </c>
      <c r="S5" s="3">
        <v>14</v>
      </c>
      <c r="T5" s="3">
        <v>320177.61</v>
      </c>
      <c r="U5" s="3">
        <v>38</v>
      </c>
      <c r="V5" s="3">
        <v>455815.35</v>
      </c>
      <c r="W5" s="3">
        <v>0.2</v>
      </c>
      <c r="X5" s="3">
        <v>2020</v>
      </c>
      <c r="Y5" s="3">
        <v>28467300</v>
      </c>
      <c r="Z5" s="3">
        <v>485260</v>
      </c>
      <c r="AA5" s="3">
        <v>1.7000000000000001E-2</v>
      </c>
      <c r="AB5" s="3">
        <v>358260.6</v>
      </c>
      <c r="AC5" s="3">
        <v>24550</v>
      </c>
      <c r="AD5" s="3">
        <v>15683.5</v>
      </c>
      <c r="AE5" s="3">
        <v>25486.400000000001</v>
      </c>
      <c r="AF5" s="3">
        <v>12666.8</v>
      </c>
      <c r="AG5" s="3">
        <v>7416.6</v>
      </c>
      <c r="AH5" s="3">
        <v>11751.5</v>
      </c>
      <c r="AI5" s="3">
        <v>0</v>
      </c>
      <c r="AJ5" s="3">
        <v>0</v>
      </c>
      <c r="AK5" s="3">
        <v>0</v>
      </c>
      <c r="AL5" s="4"/>
    </row>
    <row r="6" spans="1:38">
      <c r="A6" s="4" t="s">
        <v>42</v>
      </c>
      <c r="B6" s="3">
        <v>127</v>
      </c>
      <c r="C6" s="3">
        <v>116</v>
      </c>
      <c r="D6" s="3">
        <v>47</v>
      </c>
      <c r="E6" s="3">
        <v>0.37009999999999998</v>
      </c>
      <c r="F6" s="3">
        <v>43.2</v>
      </c>
      <c r="G6" s="3">
        <f t="shared" si="0"/>
        <v>0.34015748031496101</v>
      </c>
      <c r="H6" s="3">
        <v>27</v>
      </c>
      <c r="I6" s="3">
        <v>0.21260000000000001</v>
      </c>
      <c r="J6" s="3">
        <v>5.0999999999999996</v>
      </c>
      <c r="K6" s="3">
        <v>359991.98</v>
      </c>
      <c r="L6" s="3">
        <v>61</v>
      </c>
      <c r="M6" s="3">
        <v>42</v>
      </c>
      <c r="N6" s="3">
        <v>0.33069999999999999</v>
      </c>
      <c r="O6" s="3">
        <v>62.8</v>
      </c>
      <c r="P6" s="3">
        <v>0.49399999999999999</v>
      </c>
      <c r="Q6" s="3">
        <v>1282811.51</v>
      </c>
      <c r="R6" s="3">
        <v>10100.879999999999</v>
      </c>
      <c r="S6" s="3">
        <v>12</v>
      </c>
      <c r="T6" s="3">
        <v>445287.62</v>
      </c>
      <c r="U6" s="3">
        <v>49</v>
      </c>
      <c r="V6" s="3">
        <v>812311.38</v>
      </c>
      <c r="W6" s="3">
        <v>1.8</v>
      </c>
      <c r="X6" s="3">
        <v>25212.5</v>
      </c>
      <c r="Y6" s="3">
        <v>40529200</v>
      </c>
      <c r="Z6" s="3">
        <v>837420</v>
      </c>
      <c r="AA6" s="3">
        <v>2.07E-2</v>
      </c>
      <c r="AB6" s="3">
        <v>639290.81999999995</v>
      </c>
      <c r="AC6" s="3">
        <v>126125</v>
      </c>
      <c r="AD6" s="3">
        <v>18174.599999999999</v>
      </c>
      <c r="AE6" s="3">
        <v>8831.7999999999993</v>
      </c>
      <c r="AF6" s="3">
        <v>13552.8</v>
      </c>
      <c r="AG6" s="3">
        <v>8830.08</v>
      </c>
      <c r="AH6" s="3">
        <v>12006.2</v>
      </c>
      <c r="AI6" s="3">
        <v>3000</v>
      </c>
      <c r="AJ6" s="3">
        <v>0</v>
      </c>
      <c r="AK6" s="3">
        <v>0</v>
      </c>
      <c r="AL6" s="4"/>
    </row>
    <row r="7" spans="1:38">
      <c r="A7" s="4" t="s">
        <v>39</v>
      </c>
      <c r="B7" s="3">
        <v>111</v>
      </c>
      <c r="C7" s="3">
        <v>99</v>
      </c>
      <c r="D7" s="3">
        <v>35</v>
      </c>
      <c r="E7" s="3">
        <v>0.31530000000000002</v>
      </c>
      <c r="F7" s="3">
        <v>31.5</v>
      </c>
      <c r="G7" s="3">
        <f t="shared" si="0"/>
        <v>0.28378378378378399</v>
      </c>
      <c r="H7" s="3">
        <v>22</v>
      </c>
      <c r="I7" s="3">
        <v>0.19819999999999999</v>
      </c>
      <c r="J7" s="3">
        <v>5.4</v>
      </c>
      <c r="K7" s="3">
        <v>276863.31</v>
      </c>
      <c r="L7" s="3">
        <v>50</v>
      </c>
      <c r="M7" s="3">
        <v>30</v>
      </c>
      <c r="N7" s="3">
        <v>0.27029999999999998</v>
      </c>
      <c r="O7" s="3">
        <v>52</v>
      </c>
      <c r="P7" s="3">
        <v>0.46800000000000003</v>
      </c>
      <c r="Q7" s="3">
        <v>1074763.32</v>
      </c>
      <c r="R7" s="3">
        <v>9682.5499999999993</v>
      </c>
      <c r="S7" s="3">
        <v>12</v>
      </c>
      <c r="T7" s="3">
        <v>345367.18</v>
      </c>
      <c r="U7" s="3">
        <v>38</v>
      </c>
      <c r="V7" s="3">
        <v>705114.64</v>
      </c>
      <c r="W7" s="3">
        <v>2</v>
      </c>
      <c r="X7" s="3">
        <v>24281.5</v>
      </c>
      <c r="Y7" s="3">
        <v>39976800</v>
      </c>
      <c r="Z7" s="3">
        <v>744834</v>
      </c>
      <c r="AA7" s="3">
        <v>1.8599999999999998E-2</v>
      </c>
      <c r="AB7" s="3">
        <v>548999.16</v>
      </c>
      <c r="AC7" s="3">
        <v>41915.699999999997</v>
      </c>
      <c r="AD7" s="3">
        <v>21700.1</v>
      </c>
      <c r="AE7" s="3">
        <v>16440.7</v>
      </c>
      <c r="AF7" s="3">
        <v>18985.2</v>
      </c>
      <c r="AG7" s="3">
        <v>16635.900000000001</v>
      </c>
      <c r="AH7" s="3">
        <v>14277.5</v>
      </c>
      <c r="AI7" s="3">
        <v>40040</v>
      </c>
      <c r="AJ7" s="3">
        <v>0</v>
      </c>
      <c r="AK7" s="3">
        <v>0</v>
      </c>
      <c r="AL7" s="4"/>
    </row>
    <row r="8" spans="1:38">
      <c r="A8" s="3" t="s">
        <v>36</v>
      </c>
      <c r="B8" s="3">
        <v>818</v>
      </c>
      <c r="C8" s="3">
        <v>740</v>
      </c>
      <c r="D8" s="3">
        <v>296</v>
      </c>
      <c r="E8" s="3">
        <v>0.3619</v>
      </c>
      <c r="F8" s="3">
        <f>SUM(F2:F7)</f>
        <v>269.5</v>
      </c>
      <c r="G8" s="3">
        <f t="shared" si="0"/>
        <v>0.329462102689487</v>
      </c>
      <c r="H8" s="3">
        <v>157</v>
      </c>
      <c r="I8" s="3">
        <v>0.19189999999999999</v>
      </c>
      <c r="J8" s="3">
        <v>41</v>
      </c>
      <c r="K8" s="3">
        <v>1777831.85</v>
      </c>
      <c r="L8" s="3">
        <v>372</v>
      </c>
      <c r="M8" s="3">
        <v>254</v>
      </c>
      <c r="N8" s="3">
        <v>0.3105</v>
      </c>
      <c r="O8" s="3">
        <v>395.5</v>
      </c>
      <c r="P8" s="3">
        <v>0.48299999999999998</v>
      </c>
      <c r="Q8" s="3">
        <v>7415791.9199999999</v>
      </c>
      <c r="R8" s="3">
        <v>9065.76</v>
      </c>
      <c r="S8" s="3">
        <v>77</v>
      </c>
      <c r="T8" s="3">
        <v>2393506.88</v>
      </c>
      <c r="U8" s="3">
        <v>295</v>
      </c>
      <c r="V8" s="3">
        <v>4752593.03</v>
      </c>
      <c r="W8" s="3">
        <v>23.5</v>
      </c>
      <c r="X8" s="3">
        <v>269692</v>
      </c>
      <c r="Y8" s="3">
        <v>264666400</v>
      </c>
      <c r="Z8" s="3">
        <v>4742152</v>
      </c>
      <c r="AA8" s="3">
        <v>1.7899999999999999E-2</v>
      </c>
      <c r="AB8" s="3">
        <v>3545031.83</v>
      </c>
      <c r="AC8" s="3">
        <v>460542.2</v>
      </c>
      <c r="AD8" s="3">
        <v>161765.99</v>
      </c>
      <c r="AE8" s="3">
        <v>144357.68</v>
      </c>
      <c r="AF8" s="3">
        <v>125794.27</v>
      </c>
      <c r="AG8" s="3">
        <v>92746.55</v>
      </c>
      <c r="AH8" s="3">
        <v>102035.74</v>
      </c>
      <c r="AI8" s="3">
        <v>130327</v>
      </c>
      <c r="AJ8" s="3">
        <v>11711.3</v>
      </c>
      <c r="AK8" s="3">
        <v>3400</v>
      </c>
      <c r="AL8" s="4"/>
    </row>
    <row r="9" spans="1:38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</row>
    <row r="10" spans="1:38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</row>
    <row r="11" spans="1:38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</row>
    <row r="12" spans="1:38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</row>
    <row r="13" spans="1:38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</row>
    <row r="14" spans="1:38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</row>
    <row r="15" spans="1:38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spans="1:38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spans="1:38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spans="1:3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spans="1:38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spans="1:38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spans="1:38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</row>
    <row r="22" spans="1:38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 spans="1:38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spans="1:38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spans="1:38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spans="1:38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</row>
    <row r="27" spans="1:38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 spans="1:3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 spans="1:38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 spans="1:38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spans="1:38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spans="1:38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</row>
    <row r="33" spans="1:38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r="34" spans="1:38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</row>
    <row r="35" spans="1:38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</row>
    <row r="36" spans="1:38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 spans="1:38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spans="1: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spans="1:38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spans="1:38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spans="1:38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spans="1:38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spans="1:38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spans="1:38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 spans="1:38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 spans="1:38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 spans="1:38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 spans="1:3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spans="1:38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spans="1:38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 spans="1:38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 spans="1:38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spans="1:38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r="54" spans="1:38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</row>
    <row r="55" spans="1:38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r="56" spans="1:38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</row>
    <row r="57" spans="1:38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r="58" spans="1:3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</row>
    <row r="59" spans="1:38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r="60" spans="1:38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 spans="1:38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</row>
    <row r="62" spans="1:38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 spans="1:38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</row>
    <row r="64" spans="1:38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</row>
    <row r="65" spans="1:38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</row>
    <row r="66" spans="1:38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</row>
    <row r="67" spans="1:38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</row>
    <row r="68" spans="1:3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</row>
    <row r="69" spans="1:38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</row>
    <row r="70" spans="1:38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</row>
    <row r="71" spans="1:38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</row>
    <row r="72" spans="1:38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</row>
    <row r="73" spans="1:38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</row>
    <row r="74" spans="1:38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</row>
    <row r="75" spans="1:38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</row>
    <row r="76" spans="1:38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</row>
    <row r="77" spans="1:38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</row>
    <row r="78" spans="1:3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</row>
    <row r="79" spans="1:38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</row>
    <row r="80" spans="1:38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</row>
    <row r="81" spans="1:38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</row>
    <row r="82" spans="1:38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</row>
    <row r="83" spans="1:38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</row>
    <row r="84" spans="1:38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</row>
    <row r="85" spans="1:38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 spans="1:38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</row>
    <row r="87" spans="1:38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</row>
    <row r="88" spans="1:3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</row>
    <row r="89" spans="1:38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</row>
    <row r="90" spans="1:38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</row>
    <row r="91" spans="1:38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</row>
    <row r="92" spans="1:38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</row>
    <row r="93" spans="1:38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</row>
    <row r="94" spans="1:38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</row>
    <row r="95" spans="1:38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</row>
    <row r="96" spans="1:38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96"/>
  <sheetViews>
    <sheetView workbookViewId="0">
      <selection activeCell="A2" sqref="A2:A7"/>
    </sheetView>
  </sheetViews>
  <sheetFormatPr defaultColWidth="8.90625" defaultRowHeight="14.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/>
    </row>
    <row r="2" spans="1:36">
      <c r="A2" s="4" t="s">
        <v>38</v>
      </c>
      <c r="B2" s="3">
        <v>147</v>
      </c>
      <c r="C2" s="3">
        <v>139</v>
      </c>
      <c r="D2" s="3">
        <v>52</v>
      </c>
      <c r="E2" s="3">
        <v>0.35370000000000001</v>
      </c>
      <c r="F2" s="3">
        <v>45.4</v>
      </c>
      <c r="G2" s="3">
        <f t="shared" ref="G2:G8" si="0">+F2/B2</f>
        <v>0.30884353741496601</v>
      </c>
      <c r="H2" s="3">
        <v>20</v>
      </c>
      <c r="I2" s="3">
        <v>0.1361</v>
      </c>
      <c r="J2" s="3">
        <v>4.4000000000000004</v>
      </c>
      <c r="K2" s="3">
        <v>96971</v>
      </c>
      <c r="L2" s="3">
        <v>53</v>
      </c>
      <c r="M2" s="3">
        <v>34</v>
      </c>
      <c r="N2" s="3">
        <v>0.23130000000000001</v>
      </c>
      <c r="O2" s="3">
        <v>68.599999999999994</v>
      </c>
      <c r="P2" s="3">
        <v>0.46700000000000003</v>
      </c>
      <c r="Q2" s="3">
        <v>988781.48</v>
      </c>
      <c r="R2" s="3">
        <v>6726.4</v>
      </c>
      <c r="S2" s="3">
        <v>1</v>
      </c>
      <c r="T2" s="3">
        <v>21659.62</v>
      </c>
      <c r="U2" s="3">
        <v>52</v>
      </c>
      <c r="V2" s="3">
        <v>749599.61</v>
      </c>
      <c r="W2" s="3">
        <v>15.6</v>
      </c>
      <c r="X2" s="3">
        <v>217522.25</v>
      </c>
      <c r="Y2" s="3">
        <v>31242000</v>
      </c>
      <c r="Z2" s="3">
        <v>733337</v>
      </c>
      <c r="AA2" s="3">
        <v>2.35E-2</v>
      </c>
      <c r="AB2" s="3">
        <v>542373.69999999995</v>
      </c>
      <c r="AC2" s="3">
        <v>115284.4</v>
      </c>
      <c r="AD2" s="3">
        <v>24172.6</v>
      </c>
      <c r="AE2" s="3">
        <v>22919</v>
      </c>
      <c r="AF2" s="3">
        <v>19559.84</v>
      </c>
      <c r="AG2" s="3">
        <v>13579.98</v>
      </c>
      <c r="AH2" s="3">
        <v>11710</v>
      </c>
      <c r="AI2" s="3">
        <v>0</v>
      </c>
      <c r="AJ2" s="4"/>
    </row>
    <row r="3" spans="1:36">
      <c r="A3" s="4" t="s">
        <v>43</v>
      </c>
      <c r="B3" s="3">
        <v>206</v>
      </c>
      <c r="C3" s="3">
        <v>188</v>
      </c>
      <c r="D3" s="3">
        <v>80</v>
      </c>
      <c r="E3" s="3">
        <v>0.38829999999999998</v>
      </c>
      <c r="F3" s="3">
        <v>69.900000000000006</v>
      </c>
      <c r="G3" s="3">
        <f t="shared" si="0"/>
        <v>0.339320388349515</v>
      </c>
      <c r="H3" s="3">
        <v>42</v>
      </c>
      <c r="I3" s="3">
        <v>0.2039</v>
      </c>
      <c r="J3" s="3">
        <v>10</v>
      </c>
      <c r="K3" s="3">
        <v>348952.41</v>
      </c>
      <c r="L3" s="3">
        <v>97</v>
      </c>
      <c r="M3" s="3">
        <v>67</v>
      </c>
      <c r="N3" s="3">
        <v>0.32519999999999999</v>
      </c>
      <c r="O3" s="3">
        <v>102.6</v>
      </c>
      <c r="P3" s="3">
        <v>0.498</v>
      </c>
      <c r="Q3" s="3">
        <v>1973373.42</v>
      </c>
      <c r="R3" s="3">
        <v>9579.48</v>
      </c>
      <c r="S3" s="3">
        <v>11</v>
      </c>
      <c r="T3" s="3">
        <v>491390.85</v>
      </c>
      <c r="U3" s="3">
        <v>86</v>
      </c>
      <c r="V3" s="3">
        <v>1418316.57</v>
      </c>
      <c r="W3" s="3">
        <v>5.6</v>
      </c>
      <c r="X3" s="3">
        <v>63666</v>
      </c>
      <c r="Y3" s="3">
        <v>66349000</v>
      </c>
      <c r="Z3" s="3">
        <v>1407398</v>
      </c>
      <c r="AA3" s="3">
        <v>2.12E-2</v>
      </c>
      <c r="AB3" s="3">
        <v>1008260.72</v>
      </c>
      <c r="AC3" s="3">
        <v>181370.5</v>
      </c>
      <c r="AD3" s="3">
        <v>42898.3</v>
      </c>
      <c r="AE3" s="3">
        <v>35872.68</v>
      </c>
      <c r="AF3" s="3">
        <v>38380.480000000003</v>
      </c>
      <c r="AG3" s="3">
        <v>31431.06</v>
      </c>
      <c r="AH3" s="3">
        <v>38367.300000000003</v>
      </c>
      <c r="AI3" s="3">
        <v>50385.4</v>
      </c>
      <c r="AJ3" s="4"/>
    </row>
    <row r="4" spans="1:36">
      <c r="A4" s="4" t="s">
        <v>40</v>
      </c>
      <c r="B4" s="3">
        <v>116</v>
      </c>
      <c r="C4" s="3">
        <v>109</v>
      </c>
      <c r="D4" s="3">
        <v>32</v>
      </c>
      <c r="E4" s="3">
        <v>0.27589999999999998</v>
      </c>
      <c r="F4" s="3">
        <v>31.1</v>
      </c>
      <c r="G4" s="3">
        <f t="shared" si="0"/>
        <v>0.26810344827586202</v>
      </c>
      <c r="H4" s="3">
        <v>20</v>
      </c>
      <c r="I4" s="3">
        <v>0.1724</v>
      </c>
      <c r="J4" s="3">
        <v>4.0999999999999996</v>
      </c>
      <c r="K4" s="3">
        <v>103994.39</v>
      </c>
      <c r="L4" s="3">
        <v>39</v>
      </c>
      <c r="M4" s="3">
        <v>29</v>
      </c>
      <c r="N4" s="3">
        <v>0.25</v>
      </c>
      <c r="O4" s="3">
        <v>41.4</v>
      </c>
      <c r="P4" s="3">
        <v>0.35699999999999998</v>
      </c>
      <c r="Q4" s="3">
        <v>775793.94</v>
      </c>
      <c r="R4" s="3">
        <v>6687.88</v>
      </c>
      <c r="S4" s="3">
        <v>3</v>
      </c>
      <c r="T4" s="3">
        <v>123267.66</v>
      </c>
      <c r="U4" s="3">
        <v>36</v>
      </c>
      <c r="V4" s="3">
        <v>626497.53</v>
      </c>
      <c r="W4" s="3">
        <v>2.4</v>
      </c>
      <c r="X4" s="3">
        <v>26028.75</v>
      </c>
      <c r="Y4" s="3">
        <v>33964000</v>
      </c>
      <c r="Z4" s="3">
        <v>633450</v>
      </c>
      <c r="AA4" s="3">
        <v>1.8700000000000001E-2</v>
      </c>
      <c r="AB4" s="3">
        <v>447210.3</v>
      </c>
      <c r="AC4" s="3">
        <v>34150</v>
      </c>
      <c r="AD4" s="3">
        <v>23799</v>
      </c>
      <c r="AE4" s="3">
        <v>22166.400000000001</v>
      </c>
      <c r="AF4" s="3">
        <v>19594.8</v>
      </c>
      <c r="AG4" s="3">
        <v>13371.6</v>
      </c>
      <c r="AH4" s="3">
        <v>10779</v>
      </c>
      <c r="AI4" s="3">
        <v>55166.5</v>
      </c>
      <c r="AJ4" s="4"/>
    </row>
    <row r="5" spans="1:36">
      <c r="A5" s="4" t="s">
        <v>41</v>
      </c>
      <c r="B5" s="3">
        <v>103</v>
      </c>
      <c r="C5" s="3">
        <v>97</v>
      </c>
      <c r="D5" s="3">
        <v>25</v>
      </c>
      <c r="E5" s="3">
        <v>0.2427</v>
      </c>
      <c r="F5" s="3">
        <v>24.2</v>
      </c>
      <c r="G5" s="3">
        <f t="shared" si="0"/>
        <v>0.23495145631068001</v>
      </c>
      <c r="H5" s="3">
        <v>11</v>
      </c>
      <c r="I5" s="3">
        <v>0.10680000000000001</v>
      </c>
      <c r="J5" s="3">
        <v>5</v>
      </c>
      <c r="K5" s="3">
        <v>190013.39</v>
      </c>
      <c r="L5" s="3">
        <v>38</v>
      </c>
      <c r="M5" s="3">
        <v>24</v>
      </c>
      <c r="N5" s="3">
        <v>0.23300000000000001</v>
      </c>
      <c r="O5" s="3">
        <v>38.5</v>
      </c>
      <c r="P5" s="3">
        <v>0.374</v>
      </c>
      <c r="Q5" s="3">
        <v>601649.28</v>
      </c>
      <c r="R5" s="3">
        <v>5841.26</v>
      </c>
      <c r="S5" s="3">
        <v>3</v>
      </c>
      <c r="T5" s="3">
        <v>81143.16</v>
      </c>
      <c r="U5" s="3">
        <v>35</v>
      </c>
      <c r="V5" s="3">
        <v>511548.62</v>
      </c>
      <c r="W5" s="3">
        <v>0.5</v>
      </c>
      <c r="X5" s="3">
        <v>8957.5</v>
      </c>
      <c r="Y5" s="3">
        <v>31925200</v>
      </c>
      <c r="Z5" s="3">
        <v>535500</v>
      </c>
      <c r="AA5" s="3">
        <v>1.6799999999999999E-2</v>
      </c>
      <c r="AB5" s="3">
        <v>380045.08</v>
      </c>
      <c r="AC5" s="3">
        <v>61725</v>
      </c>
      <c r="AD5" s="3">
        <v>18075.2</v>
      </c>
      <c r="AE5" s="3">
        <v>19493.8</v>
      </c>
      <c r="AF5" s="3">
        <v>11796.24</v>
      </c>
      <c r="AG5" s="3">
        <v>10350.42</v>
      </c>
      <c r="AH5" s="3">
        <v>10063</v>
      </c>
      <c r="AI5" s="3">
        <v>0</v>
      </c>
      <c r="AJ5" s="4"/>
    </row>
    <row r="6" spans="1:36">
      <c r="A6" s="4" t="s">
        <v>42</v>
      </c>
      <c r="B6" s="3">
        <v>124</v>
      </c>
      <c r="C6" s="3">
        <v>118</v>
      </c>
      <c r="D6" s="3">
        <v>41</v>
      </c>
      <c r="E6" s="3">
        <v>0.3306</v>
      </c>
      <c r="F6" s="3">
        <v>35.299999999999997</v>
      </c>
      <c r="G6" s="3">
        <f t="shared" si="0"/>
        <v>0.28467741935483898</v>
      </c>
      <c r="H6" s="3">
        <v>20</v>
      </c>
      <c r="I6" s="3">
        <v>0.1613</v>
      </c>
      <c r="J6" s="3">
        <v>6</v>
      </c>
      <c r="K6" s="3">
        <v>182555.57</v>
      </c>
      <c r="L6" s="3">
        <v>44</v>
      </c>
      <c r="M6" s="3">
        <v>34</v>
      </c>
      <c r="N6" s="3">
        <v>0.2742</v>
      </c>
      <c r="O6" s="3">
        <v>46</v>
      </c>
      <c r="P6" s="3">
        <v>0.371</v>
      </c>
      <c r="Q6" s="3">
        <v>892160.58</v>
      </c>
      <c r="R6" s="3">
        <v>7194.84</v>
      </c>
      <c r="S6" s="3">
        <v>10</v>
      </c>
      <c r="T6" s="3">
        <v>327322.77</v>
      </c>
      <c r="U6" s="3">
        <v>34</v>
      </c>
      <c r="V6" s="3">
        <v>537682.31000000006</v>
      </c>
      <c r="W6" s="3">
        <v>2</v>
      </c>
      <c r="X6" s="3">
        <v>27155.5</v>
      </c>
      <c r="Y6" s="3">
        <v>30065000</v>
      </c>
      <c r="Z6" s="3">
        <v>564888</v>
      </c>
      <c r="AA6" s="3">
        <v>1.8800000000000001E-2</v>
      </c>
      <c r="AB6" s="3">
        <v>386261</v>
      </c>
      <c r="AC6" s="3">
        <v>53620</v>
      </c>
      <c r="AD6" s="3">
        <v>16943.900000000001</v>
      </c>
      <c r="AE6" s="3">
        <v>8464.84</v>
      </c>
      <c r="AF6" s="3">
        <v>14641.12</v>
      </c>
      <c r="AG6" s="3">
        <v>9768.84</v>
      </c>
      <c r="AH6" s="3">
        <v>8405</v>
      </c>
      <c r="AI6" s="3">
        <v>49577.599999999999</v>
      </c>
      <c r="AJ6" s="4"/>
    </row>
    <row r="7" spans="1:36">
      <c r="A7" s="4" t="s">
        <v>39</v>
      </c>
      <c r="B7" s="3">
        <v>104</v>
      </c>
      <c r="C7" s="3">
        <v>99</v>
      </c>
      <c r="D7" s="3">
        <v>32</v>
      </c>
      <c r="E7" s="3">
        <v>0.30769999999999997</v>
      </c>
      <c r="F7" s="3">
        <v>27.8</v>
      </c>
      <c r="G7" s="3">
        <f t="shared" si="0"/>
        <v>0.26730769230769202</v>
      </c>
      <c r="H7" s="3">
        <v>14</v>
      </c>
      <c r="I7" s="3">
        <v>0.1346</v>
      </c>
      <c r="J7" s="3">
        <v>5.3</v>
      </c>
      <c r="K7" s="3">
        <v>125535.5</v>
      </c>
      <c r="L7" s="3">
        <v>34</v>
      </c>
      <c r="M7" s="3">
        <v>26</v>
      </c>
      <c r="N7" s="3">
        <v>0.25</v>
      </c>
      <c r="O7" s="3">
        <v>36.1</v>
      </c>
      <c r="P7" s="3">
        <v>0.34699999999999998</v>
      </c>
      <c r="Q7" s="3">
        <v>652211</v>
      </c>
      <c r="R7" s="3">
        <v>6271.26</v>
      </c>
      <c r="S7" s="3">
        <v>1</v>
      </c>
      <c r="T7" s="3">
        <v>40000</v>
      </c>
      <c r="U7" s="3">
        <v>33</v>
      </c>
      <c r="V7" s="3">
        <v>584171</v>
      </c>
      <c r="W7" s="3">
        <v>2.1</v>
      </c>
      <c r="X7" s="3">
        <v>28040</v>
      </c>
      <c r="Y7" s="3">
        <v>28351800</v>
      </c>
      <c r="Z7" s="3">
        <v>586686</v>
      </c>
      <c r="AA7" s="3">
        <v>2.07E-2</v>
      </c>
      <c r="AB7" s="3">
        <v>426605</v>
      </c>
      <c r="AC7" s="3">
        <v>77600</v>
      </c>
      <c r="AD7" s="3">
        <v>20026</v>
      </c>
      <c r="AE7" s="3">
        <v>12863</v>
      </c>
      <c r="AF7" s="3">
        <v>12136.8</v>
      </c>
      <c r="AG7" s="3">
        <v>10768.2</v>
      </c>
      <c r="AH7" s="3">
        <v>10532</v>
      </c>
      <c r="AI7" s="3">
        <v>15000</v>
      </c>
      <c r="AJ7" s="4"/>
    </row>
    <row r="8" spans="1:36">
      <c r="A8" s="3" t="s">
        <v>36</v>
      </c>
      <c r="B8" s="3">
        <v>800</v>
      </c>
      <c r="C8" s="3">
        <v>750</v>
      </c>
      <c r="D8" s="3">
        <v>262</v>
      </c>
      <c r="E8" s="3">
        <v>0.32750000000000001</v>
      </c>
      <c r="F8" s="3">
        <f>SUM(F2:F7)</f>
        <v>233.7</v>
      </c>
      <c r="G8" s="3">
        <f t="shared" si="0"/>
        <v>0.29212500000000002</v>
      </c>
      <c r="H8" s="3">
        <v>127</v>
      </c>
      <c r="I8" s="3">
        <v>0.1588</v>
      </c>
      <c r="J8" s="3">
        <v>34.799999999999997</v>
      </c>
      <c r="K8" s="3">
        <v>1048022.26</v>
      </c>
      <c r="L8" s="3">
        <v>305</v>
      </c>
      <c r="M8" s="3">
        <v>214</v>
      </c>
      <c r="N8" s="3">
        <v>0.26750000000000002</v>
      </c>
      <c r="O8" s="3">
        <v>333.2</v>
      </c>
      <c r="P8" s="3">
        <v>0.41599999999999998</v>
      </c>
      <c r="Q8" s="3">
        <v>5883969.7000000002</v>
      </c>
      <c r="R8" s="3">
        <v>7354.96</v>
      </c>
      <c r="S8" s="3">
        <v>29</v>
      </c>
      <c r="T8" s="3">
        <v>1084784.06</v>
      </c>
      <c r="U8" s="3">
        <v>276</v>
      </c>
      <c r="V8" s="3">
        <v>4427815.6399999997</v>
      </c>
      <c r="W8" s="3">
        <v>28.2</v>
      </c>
      <c r="X8" s="3">
        <v>371370</v>
      </c>
      <c r="Y8" s="3">
        <v>221897000</v>
      </c>
      <c r="Z8" s="3">
        <v>4461259</v>
      </c>
      <c r="AA8" s="3">
        <v>2.01E-2</v>
      </c>
      <c r="AB8" s="3">
        <v>3190755.8</v>
      </c>
      <c r="AC8" s="3">
        <v>523749.9</v>
      </c>
      <c r="AD8" s="3">
        <v>145915</v>
      </c>
      <c r="AE8" s="3">
        <v>121779.72</v>
      </c>
      <c r="AF8" s="3">
        <v>116109.28</v>
      </c>
      <c r="AG8" s="3">
        <v>89270.1</v>
      </c>
      <c r="AH8" s="3">
        <v>89856.3</v>
      </c>
      <c r="AI8" s="3">
        <v>170129.5</v>
      </c>
      <c r="AJ8" s="4"/>
    </row>
    <row r="9" spans="1:3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3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spans="1:3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spans="1:3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spans="1:3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spans="1:3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spans="1:3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spans="1:3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spans="1:3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spans="1:3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spans="1:3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spans="1:3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spans="1:3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spans="1:3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1:3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spans="1:3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spans="1:3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spans="1:3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spans="1:3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spans="1:3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spans="1:3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spans="1:3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spans="1:3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spans="1:3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spans="1:3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spans="1: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spans="1:3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spans="1:3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spans="1:3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spans="1:3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spans="1:3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spans="1:3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spans="1:3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spans="1:3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spans="1:3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spans="1:3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spans="1:3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spans="1:3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spans="1:3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spans="1:3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spans="1:3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spans="1:3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spans="1:3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spans="1:3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spans="1:3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spans="1:3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spans="1:3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spans="1:3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spans="1:3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spans="1:3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spans="1:3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spans="1:3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spans="1:3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spans="1:3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spans="1:3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spans="1:3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spans="1:3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spans="1:3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spans="1:3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spans="1:3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spans="1:3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spans="1:3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spans="1:3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spans="1:3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spans="1:3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spans="1:3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spans="1:3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spans="1:3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spans="1:3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spans="1:3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spans="1:3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spans="1:3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spans="1:3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spans="1:3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spans="1:3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spans="1:3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spans="1:3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spans="1:3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spans="1:3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spans="1:3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spans="1:3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spans="1:3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spans="1:3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97"/>
  <sheetViews>
    <sheetView workbookViewId="0">
      <selection activeCell="A2" sqref="A2:A7"/>
    </sheetView>
  </sheetViews>
  <sheetFormatPr defaultColWidth="8.90625" defaultRowHeight="14.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37</v>
      </c>
      <c r="AK1" s="2"/>
    </row>
    <row r="2" spans="1:37">
      <c r="A2" s="4" t="s">
        <v>38</v>
      </c>
      <c r="B2" s="3">
        <v>157</v>
      </c>
      <c r="C2" s="3">
        <v>150</v>
      </c>
      <c r="D2" s="3">
        <v>58</v>
      </c>
      <c r="E2" s="3">
        <v>0.36940000000000001</v>
      </c>
      <c r="F2" s="3">
        <v>50.9</v>
      </c>
      <c r="G2" s="3">
        <f t="shared" ref="G2:G8" si="0">+F2/B2</f>
        <v>0.32420382165605099</v>
      </c>
      <c r="H2" s="3">
        <v>24</v>
      </c>
      <c r="I2" s="3">
        <v>0.15290000000000001</v>
      </c>
      <c r="J2" s="3">
        <v>5.5</v>
      </c>
      <c r="K2" s="3">
        <v>185539.48</v>
      </c>
      <c r="L2" s="3">
        <v>59</v>
      </c>
      <c r="M2" s="3">
        <v>40</v>
      </c>
      <c r="N2" s="3">
        <v>0.25480000000000003</v>
      </c>
      <c r="O2" s="3">
        <v>72.7</v>
      </c>
      <c r="P2" s="3">
        <v>0.46300000000000002</v>
      </c>
      <c r="Q2" s="3">
        <v>1184247.8899999999</v>
      </c>
      <c r="R2" s="3">
        <v>7542.98</v>
      </c>
      <c r="S2" s="3">
        <v>2</v>
      </c>
      <c r="T2" s="3">
        <v>67937.69</v>
      </c>
      <c r="U2" s="3">
        <v>57</v>
      </c>
      <c r="V2" s="3">
        <v>945892</v>
      </c>
      <c r="W2" s="3">
        <v>13.7</v>
      </c>
      <c r="X2" s="3">
        <v>170418.2</v>
      </c>
      <c r="Y2" s="3">
        <v>30749400</v>
      </c>
      <c r="Z2" s="3">
        <v>903765</v>
      </c>
      <c r="AA2" s="3">
        <v>2.9399999999999999E-2</v>
      </c>
      <c r="AB2" s="3">
        <v>649841.24</v>
      </c>
      <c r="AC2" s="3">
        <v>158322</v>
      </c>
      <c r="AD2" s="3">
        <v>30480</v>
      </c>
      <c r="AE2" s="3">
        <v>34143.1</v>
      </c>
      <c r="AF2" s="3">
        <v>23917.84</v>
      </c>
      <c r="AG2" s="3">
        <v>16689.78</v>
      </c>
      <c r="AH2" s="3">
        <v>21404.799999999999</v>
      </c>
      <c r="AI2" s="3">
        <v>11093.2</v>
      </c>
      <c r="AJ2" s="3">
        <v>0</v>
      </c>
      <c r="AK2" s="4"/>
    </row>
    <row r="3" spans="1:37">
      <c r="A3" s="4" t="s">
        <v>43</v>
      </c>
      <c r="B3" s="3">
        <v>199</v>
      </c>
      <c r="C3" s="3">
        <v>189</v>
      </c>
      <c r="D3" s="3">
        <v>71</v>
      </c>
      <c r="E3" s="3">
        <v>0.35680000000000001</v>
      </c>
      <c r="F3" s="3">
        <v>70.5</v>
      </c>
      <c r="G3" s="3">
        <f t="shared" si="0"/>
        <v>0.35427135678392002</v>
      </c>
      <c r="H3" s="3">
        <v>41</v>
      </c>
      <c r="I3" s="3">
        <v>0.20599999999999999</v>
      </c>
      <c r="J3" s="3">
        <v>7.3</v>
      </c>
      <c r="K3" s="3">
        <v>327700.57</v>
      </c>
      <c r="L3" s="3">
        <v>100</v>
      </c>
      <c r="M3" s="3">
        <v>69</v>
      </c>
      <c r="N3" s="3">
        <v>0.34670000000000001</v>
      </c>
      <c r="O3" s="3">
        <v>104.8</v>
      </c>
      <c r="P3" s="3">
        <v>0.52700000000000002</v>
      </c>
      <c r="Q3" s="3">
        <v>1719064.09</v>
      </c>
      <c r="R3" s="3">
        <v>8638.51</v>
      </c>
      <c r="S3" s="3">
        <v>5</v>
      </c>
      <c r="T3" s="3">
        <v>194118</v>
      </c>
      <c r="U3" s="3">
        <v>95</v>
      </c>
      <c r="V3" s="3">
        <v>1470586.29</v>
      </c>
      <c r="W3" s="3">
        <v>4.8</v>
      </c>
      <c r="X3" s="3">
        <v>54359.8</v>
      </c>
      <c r="Y3" s="3">
        <v>79744600</v>
      </c>
      <c r="Z3" s="3">
        <v>1507952</v>
      </c>
      <c r="AA3" s="3">
        <v>1.89E-2</v>
      </c>
      <c r="AB3" s="3">
        <v>1117160.24</v>
      </c>
      <c r="AC3" s="3">
        <v>170638.57</v>
      </c>
      <c r="AD3" s="3">
        <v>43123.15</v>
      </c>
      <c r="AE3" s="3">
        <v>35694.6</v>
      </c>
      <c r="AF3" s="3">
        <v>32068.74</v>
      </c>
      <c r="AG3" s="3">
        <v>24881.18</v>
      </c>
      <c r="AH3" s="3">
        <v>27123.65</v>
      </c>
      <c r="AI3" s="3">
        <v>22296</v>
      </c>
      <c r="AJ3" s="3">
        <v>5800</v>
      </c>
      <c r="AK3" s="4"/>
    </row>
    <row r="4" spans="1:37">
      <c r="A4" s="4" t="s">
        <v>40</v>
      </c>
      <c r="B4" s="3">
        <v>108</v>
      </c>
      <c r="C4" s="3">
        <v>104</v>
      </c>
      <c r="D4" s="3">
        <v>31</v>
      </c>
      <c r="E4" s="3">
        <v>0.28699999999999998</v>
      </c>
      <c r="F4" s="3">
        <v>26.8</v>
      </c>
      <c r="G4" s="3">
        <f t="shared" si="0"/>
        <v>0.24814814814814801</v>
      </c>
      <c r="H4" s="3">
        <v>16</v>
      </c>
      <c r="I4" s="3">
        <v>0.14810000000000001</v>
      </c>
      <c r="J4" s="3">
        <v>3.3</v>
      </c>
      <c r="K4" s="3">
        <v>119679.83</v>
      </c>
      <c r="L4" s="3">
        <v>32</v>
      </c>
      <c r="M4" s="3">
        <v>24</v>
      </c>
      <c r="N4" s="3">
        <v>0.22220000000000001</v>
      </c>
      <c r="O4" s="3">
        <v>35.200000000000003</v>
      </c>
      <c r="P4" s="3">
        <v>0.32600000000000001</v>
      </c>
      <c r="Q4" s="3">
        <v>726847.37</v>
      </c>
      <c r="R4" s="3">
        <v>6730.07</v>
      </c>
      <c r="S4" s="3">
        <v>6</v>
      </c>
      <c r="T4" s="3">
        <v>290164.43</v>
      </c>
      <c r="U4" s="3">
        <v>26</v>
      </c>
      <c r="V4" s="3">
        <v>403790.74</v>
      </c>
      <c r="W4" s="3">
        <v>3.2</v>
      </c>
      <c r="X4" s="3">
        <v>32892.199999999997</v>
      </c>
      <c r="Y4" s="3">
        <v>18105700</v>
      </c>
      <c r="Z4" s="3">
        <v>349888</v>
      </c>
      <c r="AA4" s="3">
        <v>1.9300000000000001E-2</v>
      </c>
      <c r="AB4" s="3">
        <v>253404.67</v>
      </c>
      <c r="AC4" s="3">
        <v>20450</v>
      </c>
      <c r="AD4" s="3">
        <v>29263</v>
      </c>
      <c r="AE4" s="3">
        <v>26578.2</v>
      </c>
      <c r="AF4" s="3">
        <v>19519.599999999999</v>
      </c>
      <c r="AG4" s="3">
        <v>16435.8</v>
      </c>
      <c r="AH4" s="3">
        <v>12562</v>
      </c>
      <c r="AI4" s="3">
        <v>25577.5</v>
      </c>
      <c r="AJ4" s="3">
        <v>0</v>
      </c>
      <c r="AK4" s="4"/>
    </row>
    <row r="5" spans="1:37">
      <c r="A5" s="4" t="s">
        <v>41</v>
      </c>
      <c r="B5" s="3">
        <v>106</v>
      </c>
      <c r="C5" s="3">
        <v>100</v>
      </c>
      <c r="D5" s="3">
        <v>33</v>
      </c>
      <c r="E5" s="3">
        <v>0.31130000000000002</v>
      </c>
      <c r="F5" s="3">
        <v>30.3</v>
      </c>
      <c r="G5" s="3">
        <f t="shared" si="0"/>
        <v>0.28584905660377402</v>
      </c>
      <c r="H5" s="3">
        <v>17</v>
      </c>
      <c r="I5" s="3">
        <v>0.16039999999999999</v>
      </c>
      <c r="J5" s="3">
        <v>5</v>
      </c>
      <c r="K5" s="3">
        <v>139085.67000000001</v>
      </c>
      <c r="L5" s="3">
        <v>52</v>
      </c>
      <c r="M5" s="3">
        <v>30</v>
      </c>
      <c r="N5" s="3">
        <v>0.28299999999999997</v>
      </c>
      <c r="O5" s="3">
        <v>52.7</v>
      </c>
      <c r="P5" s="3">
        <v>0.497</v>
      </c>
      <c r="Q5" s="3">
        <v>891759.72</v>
      </c>
      <c r="R5" s="3">
        <v>8412.83</v>
      </c>
      <c r="S5" s="3">
        <v>8</v>
      </c>
      <c r="T5" s="3">
        <v>271505.08</v>
      </c>
      <c r="U5" s="3">
        <v>44</v>
      </c>
      <c r="V5" s="3">
        <v>612287.84</v>
      </c>
      <c r="W5" s="3">
        <v>0.7</v>
      </c>
      <c r="X5" s="3">
        <v>7966.8</v>
      </c>
      <c r="Y5" s="3">
        <v>29862000</v>
      </c>
      <c r="Z5" s="3">
        <v>636250</v>
      </c>
      <c r="AA5" s="3">
        <v>2.1299999999999999E-2</v>
      </c>
      <c r="AB5" s="3">
        <v>467705.04</v>
      </c>
      <c r="AC5" s="3">
        <v>69800</v>
      </c>
      <c r="AD5" s="3">
        <v>20552.7</v>
      </c>
      <c r="AE5" s="3">
        <v>18547.900000000001</v>
      </c>
      <c r="AF5" s="3">
        <v>11219.92</v>
      </c>
      <c r="AG5" s="3">
        <v>6678.6</v>
      </c>
      <c r="AH5" s="3">
        <v>10823.7</v>
      </c>
      <c r="AI5" s="3">
        <v>6960</v>
      </c>
      <c r="AJ5" s="3">
        <v>0</v>
      </c>
      <c r="AK5" s="4"/>
    </row>
    <row r="6" spans="1:37">
      <c r="A6" s="4" t="s">
        <v>42</v>
      </c>
      <c r="B6" s="3">
        <v>116</v>
      </c>
      <c r="C6" s="3">
        <v>111</v>
      </c>
      <c r="D6" s="3">
        <v>42</v>
      </c>
      <c r="E6" s="3">
        <v>0.36209999999999998</v>
      </c>
      <c r="F6" s="3">
        <v>42.4</v>
      </c>
      <c r="G6" s="3">
        <f t="shared" si="0"/>
        <v>0.36551724137931002</v>
      </c>
      <c r="H6" s="3">
        <v>31</v>
      </c>
      <c r="I6" s="3">
        <v>0.26719999999999999</v>
      </c>
      <c r="J6" s="3">
        <v>9</v>
      </c>
      <c r="K6" s="3">
        <v>227607.43</v>
      </c>
      <c r="L6" s="3">
        <v>66</v>
      </c>
      <c r="M6" s="3">
        <v>41</v>
      </c>
      <c r="N6" s="3">
        <v>0.35339999999999999</v>
      </c>
      <c r="O6" s="3">
        <v>67.900000000000006</v>
      </c>
      <c r="P6" s="3">
        <v>0.58499999999999996</v>
      </c>
      <c r="Q6" s="3">
        <v>1216879.33</v>
      </c>
      <c r="R6" s="3">
        <v>10490.34</v>
      </c>
      <c r="S6" s="3">
        <v>12</v>
      </c>
      <c r="T6" s="3">
        <v>415779.81</v>
      </c>
      <c r="U6" s="3">
        <v>54</v>
      </c>
      <c r="V6" s="3">
        <v>785925.02</v>
      </c>
      <c r="W6" s="3">
        <v>1.9</v>
      </c>
      <c r="X6" s="3">
        <v>15174.5</v>
      </c>
      <c r="Y6" s="3">
        <v>45348300</v>
      </c>
      <c r="Z6" s="3">
        <v>811248</v>
      </c>
      <c r="AA6" s="3">
        <v>1.7899999999999999E-2</v>
      </c>
      <c r="AB6" s="3">
        <v>619862.99</v>
      </c>
      <c r="AC6" s="3">
        <v>91738</v>
      </c>
      <c r="AD6" s="3">
        <v>21937.7</v>
      </c>
      <c r="AE6" s="3">
        <v>16825.88</v>
      </c>
      <c r="AF6" s="3">
        <v>18987.080000000002</v>
      </c>
      <c r="AG6" s="3">
        <v>11885.16</v>
      </c>
      <c r="AH6" s="3">
        <v>12818.2</v>
      </c>
      <c r="AI6" s="3">
        <v>0</v>
      </c>
      <c r="AJ6" s="3">
        <v>0</v>
      </c>
      <c r="AK6" s="4"/>
    </row>
    <row r="7" spans="1:37">
      <c r="A7" s="4" t="s">
        <v>39</v>
      </c>
      <c r="B7" s="3">
        <v>96</v>
      </c>
      <c r="C7" s="3">
        <v>93</v>
      </c>
      <c r="D7" s="3">
        <v>31</v>
      </c>
      <c r="E7" s="3">
        <v>0.32290000000000002</v>
      </c>
      <c r="F7" s="3">
        <v>29.4</v>
      </c>
      <c r="G7" s="3">
        <f t="shared" si="0"/>
        <v>0.30625000000000002</v>
      </c>
      <c r="H7" s="3">
        <v>14</v>
      </c>
      <c r="I7" s="3">
        <v>0.14580000000000001</v>
      </c>
      <c r="J7" s="3">
        <v>6.2</v>
      </c>
      <c r="K7" s="3">
        <v>141336.74</v>
      </c>
      <c r="L7" s="3">
        <v>37</v>
      </c>
      <c r="M7" s="3">
        <v>27</v>
      </c>
      <c r="N7" s="3">
        <v>0.28120000000000001</v>
      </c>
      <c r="O7" s="3">
        <v>39.5</v>
      </c>
      <c r="P7" s="3">
        <v>0.41099999999999998</v>
      </c>
      <c r="Q7" s="3">
        <v>697336.25</v>
      </c>
      <c r="R7" s="3">
        <v>7263.92</v>
      </c>
      <c r="S7" s="3">
        <v>4</v>
      </c>
      <c r="T7" s="3">
        <v>159422.25</v>
      </c>
      <c r="U7" s="3">
        <v>33</v>
      </c>
      <c r="V7" s="3">
        <v>505565.7</v>
      </c>
      <c r="W7" s="3">
        <v>2.5</v>
      </c>
      <c r="X7" s="3">
        <v>32348.3</v>
      </c>
      <c r="Y7" s="3">
        <v>25568800</v>
      </c>
      <c r="Z7" s="3">
        <v>543150</v>
      </c>
      <c r="AA7" s="3">
        <v>2.12E-2</v>
      </c>
      <c r="AB7" s="3">
        <v>375277.68</v>
      </c>
      <c r="AC7" s="3">
        <v>36512.5</v>
      </c>
      <c r="AD7" s="3">
        <v>17910.3</v>
      </c>
      <c r="AE7" s="3">
        <v>14650</v>
      </c>
      <c r="AF7" s="3">
        <v>17962</v>
      </c>
      <c r="AG7" s="3">
        <v>14112.3</v>
      </c>
      <c r="AH7" s="3">
        <v>10641.5</v>
      </c>
      <c r="AI7" s="3">
        <v>23500</v>
      </c>
      <c r="AJ7" s="3">
        <v>0</v>
      </c>
      <c r="AK7" s="4"/>
    </row>
    <row r="8" spans="1:37">
      <c r="A8" s="3" t="s">
        <v>36</v>
      </c>
      <c r="B8" s="3">
        <v>782</v>
      </c>
      <c r="C8" s="3">
        <v>747</v>
      </c>
      <c r="D8" s="3">
        <v>266</v>
      </c>
      <c r="E8" s="3">
        <v>0.3402</v>
      </c>
      <c r="F8" s="3">
        <f>SUM(F2:F7)</f>
        <v>250.3</v>
      </c>
      <c r="G8" s="3">
        <f t="shared" si="0"/>
        <v>0.320076726342711</v>
      </c>
      <c r="H8" s="3">
        <v>143</v>
      </c>
      <c r="I8" s="3">
        <v>0.18290000000000001</v>
      </c>
      <c r="J8" s="3">
        <v>36.299999999999997</v>
      </c>
      <c r="K8" s="3">
        <v>1140949.72</v>
      </c>
      <c r="L8" s="3">
        <v>346</v>
      </c>
      <c r="M8" s="3">
        <v>231</v>
      </c>
      <c r="N8" s="3">
        <v>0.2954</v>
      </c>
      <c r="O8" s="3">
        <v>372.8</v>
      </c>
      <c r="P8" s="3">
        <v>0.47699999999999998</v>
      </c>
      <c r="Q8" s="3">
        <v>6436134.6500000004</v>
      </c>
      <c r="R8" s="3">
        <v>8230.35</v>
      </c>
      <c r="S8" s="3">
        <v>37</v>
      </c>
      <c r="T8" s="3">
        <v>1398927.26</v>
      </c>
      <c r="U8" s="3">
        <v>309</v>
      </c>
      <c r="V8" s="3">
        <v>4724047.59</v>
      </c>
      <c r="W8" s="3">
        <v>26.8</v>
      </c>
      <c r="X8" s="3">
        <v>313159.8</v>
      </c>
      <c r="Y8" s="3">
        <v>229378800</v>
      </c>
      <c r="Z8" s="3">
        <v>4752253</v>
      </c>
      <c r="AA8" s="3">
        <v>2.07E-2</v>
      </c>
      <c r="AB8" s="3">
        <v>3483251.86</v>
      </c>
      <c r="AC8" s="3">
        <v>547461.06999999995</v>
      </c>
      <c r="AD8" s="3">
        <v>163266.85</v>
      </c>
      <c r="AE8" s="3">
        <v>146439.67999999999</v>
      </c>
      <c r="AF8" s="3">
        <v>123675.18</v>
      </c>
      <c r="AG8" s="3">
        <v>90682.82</v>
      </c>
      <c r="AH8" s="3">
        <v>95373.85</v>
      </c>
      <c r="AI8" s="3">
        <v>89426.7</v>
      </c>
      <c r="AJ8" s="3">
        <v>5800</v>
      </c>
      <c r="AK8" s="4"/>
    </row>
    <row r="9" spans="1:37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 spans="1:3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 spans="1:3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</row>
    <row r="14" spans="1:37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 spans="1:37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spans="1:3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1:37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spans="1:37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spans="1:37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1:37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1:37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spans="1:37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1:37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spans="1:37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spans="1:3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spans="1:37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spans="1:37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spans="1:37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spans="1:37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spans="1:37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spans="1:37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spans="1:37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spans="1:37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spans="1: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spans="1:37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spans="1:37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spans="1:37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spans="1:37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spans="1:37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spans="1:37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spans="1:37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spans="1:37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spans="1:3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spans="1:37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spans="1:37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spans="1:37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spans="1:37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spans="1:37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spans="1:37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spans="1:37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spans="1:37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spans="1:3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spans="1:37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spans="1:37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spans="1:37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  <row r="61" spans="1:37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</row>
    <row r="62" spans="1:37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  <row r="63" spans="1:37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</row>
    <row r="64" spans="1:37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37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</row>
    <row r="66" spans="1:37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</row>
    <row r="67" spans="1:3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</row>
    <row r="68" spans="1:37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</row>
    <row r="69" spans="1:3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</row>
    <row r="70" spans="1:3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</row>
    <row r="71" spans="1:37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</row>
    <row r="72" spans="1:37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</row>
    <row r="73" spans="1:37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</row>
    <row r="74" spans="1:37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</row>
    <row r="75" spans="1:37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</row>
    <row r="76" spans="1:37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</row>
    <row r="77" spans="1:3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</row>
    <row r="78" spans="1:37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</row>
    <row r="79" spans="1:37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</row>
    <row r="80" spans="1:37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</row>
    <row r="81" spans="1:37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</row>
    <row r="82" spans="1:37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 spans="1:37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spans="1:37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  <row r="85" spans="1:37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</row>
    <row r="86" spans="1:37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r="87" spans="1:3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</row>
    <row r="88" spans="1:37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 spans="1:37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r="90" spans="1:37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</row>
    <row r="91" spans="1:37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</row>
    <row r="92" spans="1:37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 spans="1:37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 spans="1:37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</row>
    <row r="95" spans="1:37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</row>
    <row r="96" spans="1:37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</row>
    <row r="97" spans="1:3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97"/>
  <sheetViews>
    <sheetView workbookViewId="0">
      <selection activeCell="A2" sqref="A2:A7"/>
    </sheetView>
  </sheetViews>
  <sheetFormatPr defaultColWidth="8.90625" defaultRowHeight="14.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/>
    </row>
    <row r="2" spans="1:36">
      <c r="A2" s="4" t="s">
        <v>38</v>
      </c>
      <c r="B2" s="3">
        <v>150</v>
      </c>
      <c r="C2" s="3">
        <v>144</v>
      </c>
      <c r="D2" s="3">
        <v>52</v>
      </c>
      <c r="E2" s="3">
        <v>0.34670000000000001</v>
      </c>
      <c r="F2" s="3">
        <v>47.3</v>
      </c>
      <c r="G2" s="3">
        <f t="shared" ref="G2:G8" si="0">+F2/B2</f>
        <v>0.31533333333333302</v>
      </c>
      <c r="H2" s="3">
        <v>24</v>
      </c>
      <c r="I2" s="3">
        <v>0.16</v>
      </c>
      <c r="J2" s="3">
        <v>3.1</v>
      </c>
      <c r="K2" s="3">
        <v>195353.71</v>
      </c>
      <c r="L2" s="3">
        <v>59</v>
      </c>
      <c r="M2" s="3">
        <v>41</v>
      </c>
      <c r="N2" s="3">
        <v>0.27329999999999999</v>
      </c>
      <c r="O2" s="3">
        <v>67.2</v>
      </c>
      <c r="P2" s="3">
        <v>0.44800000000000001</v>
      </c>
      <c r="Q2" s="3">
        <v>1097109.94</v>
      </c>
      <c r="R2" s="3">
        <v>7314.07</v>
      </c>
      <c r="S2" s="3">
        <v>5</v>
      </c>
      <c r="T2" s="3">
        <v>216902.7</v>
      </c>
      <c r="U2" s="3">
        <v>54</v>
      </c>
      <c r="V2" s="3">
        <v>786233.74</v>
      </c>
      <c r="W2" s="3">
        <v>8.1999999999999993</v>
      </c>
      <c r="X2" s="3">
        <v>93973.5</v>
      </c>
      <c r="Y2" s="3">
        <v>39743000</v>
      </c>
      <c r="Z2" s="3">
        <v>864050</v>
      </c>
      <c r="AA2" s="3">
        <v>2.1700000000000001E-2</v>
      </c>
      <c r="AB2" s="3">
        <v>608700.43999999994</v>
      </c>
      <c r="AC2" s="3">
        <v>92075</v>
      </c>
      <c r="AD2" s="3">
        <v>19434.099999999999</v>
      </c>
      <c r="AE2" s="3">
        <v>19928.560000000001</v>
      </c>
      <c r="AF2" s="3">
        <v>13519.68</v>
      </c>
      <c r="AG2" s="3">
        <v>11486.46</v>
      </c>
      <c r="AH2" s="3">
        <v>11251.6</v>
      </c>
      <c r="AI2" s="3">
        <v>9838</v>
      </c>
      <c r="AJ2" s="4"/>
    </row>
    <row r="3" spans="1:36">
      <c r="A3" s="4" t="s">
        <v>43</v>
      </c>
      <c r="B3" s="3">
        <v>190</v>
      </c>
      <c r="C3" s="3">
        <v>178</v>
      </c>
      <c r="D3" s="3">
        <v>55</v>
      </c>
      <c r="E3" s="3">
        <v>0.28949999999999998</v>
      </c>
      <c r="F3" s="3">
        <v>51.8</v>
      </c>
      <c r="G3" s="3">
        <f t="shared" si="0"/>
        <v>0.272631578947368</v>
      </c>
      <c r="H3" s="3">
        <v>29</v>
      </c>
      <c r="I3" s="3">
        <v>0.15260000000000001</v>
      </c>
      <c r="J3" s="3">
        <v>5.2</v>
      </c>
      <c r="K3" s="3">
        <v>227527.06</v>
      </c>
      <c r="L3" s="3">
        <v>66</v>
      </c>
      <c r="M3" s="3">
        <v>50</v>
      </c>
      <c r="N3" s="3">
        <v>0.26319999999999999</v>
      </c>
      <c r="O3" s="3">
        <v>68.7</v>
      </c>
      <c r="P3" s="3">
        <v>0.36199999999999999</v>
      </c>
      <c r="Q3" s="3">
        <v>1202896.3700000001</v>
      </c>
      <c r="R3" s="3">
        <v>6331.03</v>
      </c>
      <c r="S3" s="3">
        <v>9</v>
      </c>
      <c r="T3" s="3">
        <v>263793.71000000002</v>
      </c>
      <c r="U3" s="3">
        <v>57</v>
      </c>
      <c r="V3" s="3">
        <v>910199.44</v>
      </c>
      <c r="W3" s="3">
        <v>2.7</v>
      </c>
      <c r="X3" s="3">
        <v>28903.22</v>
      </c>
      <c r="Y3" s="3">
        <v>43538500</v>
      </c>
      <c r="Z3" s="3">
        <v>854959</v>
      </c>
      <c r="AA3" s="3">
        <v>1.9599999999999999E-2</v>
      </c>
      <c r="AB3" s="3">
        <v>624786.11</v>
      </c>
      <c r="AC3" s="3">
        <v>154958.79999999999</v>
      </c>
      <c r="AD3" s="3">
        <v>32048.16</v>
      </c>
      <c r="AE3" s="3">
        <v>21424.43</v>
      </c>
      <c r="AF3" s="3">
        <v>27507.16</v>
      </c>
      <c r="AG3" s="3">
        <v>19598.37</v>
      </c>
      <c r="AH3" s="3">
        <v>24876.31</v>
      </c>
      <c r="AI3" s="3">
        <v>5000</v>
      </c>
      <c r="AJ3" s="4"/>
    </row>
    <row r="4" spans="1:36">
      <c r="A4" s="4" t="s">
        <v>40</v>
      </c>
      <c r="B4" s="3">
        <v>105</v>
      </c>
      <c r="C4" s="3">
        <v>99</v>
      </c>
      <c r="D4" s="3">
        <v>27</v>
      </c>
      <c r="E4" s="3">
        <v>0.2571</v>
      </c>
      <c r="F4" s="3">
        <v>22.5</v>
      </c>
      <c r="G4" s="3">
        <f t="shared" si="0"/>
        <v>0.214285714285714</v>
      </c>
      <c r="H4" s="3">
        <v>7</v>
      </c>
      <c r="I4" s="3">
        <v>6.6699999999999995E-2</v>
      </c>
      <c r="J4" s="3">
        <v>0</v>
      </c>
      <c r="K4" s="3">
        <v>23491.18</v>
      </c>
      <c r="L4" s="3">
        <v>28</v>
      </c>
      <c r="M4" s="3">
        <v>20</v>
      </c>
      <c r="N4" s="3">
        <v>0.1905</v>
      </c>
      <c r="O4" s="3">
        <v>30.6</v>
      </c>
      <c r="P4" s="3">
        <v>0.29099999999999998</v>
      </c>
      <c r="Q4" s="3">
        <v>568555.68999999994</v>
      </c>
      <c r="R4" s="3">
        <v>5414.82</v>
      </c>
      <c r="S4" s="3">
        <v>5</v>
      </c>
      <c r="T4" s="3">
        <v>192953.79</v>
      </c>
      <c r="U4" s="3">
        <v>23</v>
      </c>
      <c r="V4" s="3">
        <v>346770.12</v>
      </c>
      <c r="W4" s="3">
        <v>2.6</v>
      </c>
      <c r="X4" s="3">
        <v>28831.78</v>
      </c>
      <c r="Y4" s="3">
        <v>16119700</v>
      </c>
      <c r="Z4" s="3">
        <v>309080</v>
      </c>
      <c r="AA4" s="3">
        <v>1.9199999999999998E-2</v>
      </c>
      <c r="AB4" s="3">
        <v>211059.57</v>
      </c>
      <c r="AC4" s="3">
        <v>40410</v>
      </c>
      <c r="AD4" s="3">
        <v>23711.69</v>
      </c>
      <c r="AE4" s="3">
        <v>13382.8</v>
      </c>
      <c r="AF4" s="3">
        <v>15502.78</v>
      </c>
      <c r="AG4" s="3">
        <v>11756.21</v>
      </c>
      <c r="AH4" s="3">
        <v>12118.69</v>
      </c>
      <c r="AI4" s="3">
        <v>18828.38</v>
      </c>
      <c r="AJ4" s="4"/>
    </row>
    <row r="5" spans="1:36">
      <c r="A5" s="4" t="s">
        <v>41</v>
      </c>
      <c r="B5" s="3">
        <v>110</v>
      </c>
      <c r="C5" s="3">
        <v>97</v>
      </c>
      <c r="D5" s="3">
        <v>30</v>
      </c>
      <c r="E5" s="3">
        <v>0.2727</v>
      </c>
      <c r="F5" s="3">
        <v>28.4</v>
      </c>
      <c r="G5" s="3">
        <f t="shared" si="0"/>
        <v>0.25818181818181801</v>
      </c>
      <c r="H5" s="3">
        <v>13</v>
      </c>
      <c r="I5" s="3">
        <v>0.1182</v>
      </c>
      <c r="J5" s="3">
        <v>4</v>
      </c>
      <c r="K5" s="3">
        <v>144500.01</v>
      </c>
      <c r="L5" s="3">
        <v>43</v>
      </c>
      <c r="M5" s="3">
        <v>28</v>
      </c>
      <c r="N5" s="3">
        <v>0.2545</v>
      </c>
      <c r="O5" s="3">
        <v>43.6</v>
      </c>
      <c r="P5" s="3">
        <v>0.39600000000000002</v>
      </c>
      <c r="Q5" s="3">
        <v>707340.82</v>
      </c>
      <c r="R5" s="3">
        <v>6430.37</v>
      </c>
      <c r="S5" s="3">
        <v>8</v>
      </c>
      <c r="T5" s="3">
        <v>253193.47</v>
      </c>
      <c r="U5" s="3">
        <v>35</v>
      </c>
      <c r="V5" s="3">
        <v>445392.35</v>
      </c>
      <c r="W5" s="3">
        <v>0.6</v>
      </c>
      <c r="X5" s="3">
        <v>8755</v>
      </c>
      <c r="Y5" s="3">
        <v>25448700</v>
      </c>
      <c r="Z5" s="3">
        <v>530190</v>
      </c>
      <c r="AA5" s="3">
        <v>2.0799999999999999E-2</v>
      </c>
      <c r="AB5" s="3">
        <v>359872.96</v>
      </c>
      <c r="AC5" s="3">
        <v>32600</v>
      </c>
      <c r="AD5" s="3">
        <v>13230</v>
      </c>
      <c r="AE5" s="3">
        <v>14747.4</v>
      </c>
      <c r="AF5" s="3">
        <v>10473.68</v>
      </c>
      <c r="AG5" s="3">
        <v>6849.36</v>
      </c>
      <c r="AH5" s="3">
        <v>7619</v>
      </c>
      <c r="AI5" s="3">
        <v>0</v>
      </c>
      <c r="AJ5" s="4"/>
    </row>
    <row r="6" spans="1:36">
      <c r="A6" s="4" t="s">
        <v>42</v>
      </c>
      <c r="B6" s="3">
        <v>127</v>
      </c>
      <c r="C6" s="3">
        <v>119</v>
      </c>
      <c r="D6" s="3">
        <v>41</v>
      </c>
      <c r="E6" s="3">
        <v>0.32279999999999998</v>
      </c>
      <c r="F6" s="3">
        <v>38.6</v>
      </c>
      <c r="G6" s="3">
        <f t="shared" si="0"/>
        <v>0.30393700787401601</v>
      </c>
      <c r="H6" s="3">
        <v>23</v>
      </c>
      <c r="I6" s="3">
        <v>0.18110000000000001</v>
      </c>
      <c r="J6" s="3">
        <v>7</v>
      </c>
      <c r="K6" s="3">
        <v>208463.55</v>
      </c>
      <c r="L6" s="3">
        <v>59</v>
      </c>
      <c r="M6" s="3">
        <v>38</v>
      </c>
      <c r="N6" s="3">
        <v>0.29920000000000002</v>
      </c>
      <c r="O6" s="3">
        <v>60.6</v>
      </c>
      <c r="P6" s="3">
        <v>0.47699999999999998</v>
      </c>
      <c r="Q6" s="3">
        <v>993219.58</v>
      </c>
      <c r="R6" s="3">
        <v>7820.63</v>
      </c>
      <c r="S6" s="3">
        <v>5</v>
      </c>
      <c r="T6" s="3">
        <v>196925.29</v>
      </c>
      <c r="U6" s="3">
        <v>54</v>
      </c>
      <c r="V6" s="3">
        <v>774471.79</v>
      </c>
      <c r="W6" s="3">
        <v>1.6</v>
      </c>
      <c r="X6" s="3">
        <v>21822.5</v>
      </c>
      <c r="Y6" s="3">
        <v>39625300</v>
      </c>
      <c r="Z6" s="3">
        <v>785387</v>
      </c>
      <c r="AA6" s="3">
        <v>1.9800000000000002E-2</v>
      </c>
      <c r="AB6" s="3">
        <v>540227.24</v>
      </c>
      <c r="AC6" s="3">
        <v>143632.5</v>
      </c>
      <c r="AD6" s="3">
        <v>19648.099999999999</v>
      </c>
      <c r="AE6" s="3">
        <v>16101.44</v>
      </c>
      <c r="AF6" s="3">
        <v>20614.68</v>
      </c>
      <c r="AG6" s="3">
        <v>13226.46</v>
      </c>
      <c r="AH6" s="3">
        <v>16021.4</v>
      </c>
      <c r="AI6" s="3">
        <v>5000</v>
      </c>
      <c r="AJ6" s="4"/>
    </row>
    <row r="7" spans="1:36">
      <c r="A7" s="4" t="s">
        <v>39</v>
      </c>
      <c r="B7" s="3">
        <v>96</v>
      </c>
      <c r="C7" s="3">
        <v>85</v>
      </c>
      <c r="D7" s="3">
        <v>35</v>
      </c>
      <c r="E7" s="3">
        <v>0.36459999999999998</v>
      </c>
      <c r="F7" s="3">
        <v>29.4</v>
      </c>
      <c r="G7" s="3">
        <f t="shared" si="0"/>
        <v>0.30625000000000002</v>
      </c>
      <c r="H7" s="3">
        <v>22</v>
      </c>
      <c r="I7" s="3">
        <v>0.22919999999999999</v>
      </c>
      <c r="J7" s="3">
        <v>5</v>
      </c>
      <c r="K7" s="3">
        <v>193842.93</v>
      </c>
      <c r="L7" s="3">
        <v>34</v>
      </c>
      <c r="M7" s="3">
        <v>28</v>
      </c>
      <c r="N7" s="3">
        <v>0.29170000000000001</v>
      </c>
      <c r="O7" s="3">
        <v>35.700000000000003</v>
      </c>
      <c r="P7" s="3">
        <v>0.372</v>
      </c>
      <c r="Q7" s="3">
        <v>729655.1</v>
      </c>
      <c r="R7" s="3">
        <v>7600.57</v>
      </c>
      <c r="S7" s="3">
        <v>4</v>
      </c>
      <c r="T7" s="3">
        <v>142289.32</v>
      </c>
      <c r="U7" s="3">
        <v>30</v>
      </c>
      <c r="V7" s="3">
        <v>568460.78</v>
      </c>
      <c r="W7" s="3">
        <v>1.7</v>
      </c>
      <c r="X7" s="3">
        <v>18905</v>
      </c>
      <c r="Y7" s="3">
        <v>22219800</v>
      </c>
      <c r="Z7" s="3">
        <v>509508</v>
      </c>
      <c r="AA7" s="3">
        <v>2.29E-2</v>
      </c>
      <c r="AB7" s="3">
        <v>365687</v>
      </c>
      <c r="AC7" s="3">
        <v>121114</v>
      </c>
      <c r="AD7" s="3">
        <v>21042</v>
      </c>
      <c r="AE7" s="3">
        <v>12712.6</v>
      </c>
      <c r="AF7" s="3">
        <v>14996</v>
      </c>
      <c r="AG7" s="3">
        <v>11108.28</v>
      </c>
      <c r="AH7" s="3">
        <v>13362</v>
      </c>
      <c r="AI7" s="3">
        <v>12500</v>
      </c>
      <c r="AJ7" s="4"/>
    </row>
    <row r="8" spans="1:36">
      <c r="A8" s="3" t="s">
        <v>36</v>
      </c>
      <c r="B8" s="3">
        <v>778</v>
      </c>
      <c r="C8" s="3">
        <v>722</v>
      </c>
      <c r="D8" s="3">
        <v>240</v>
      </c>
      <c r="E8" s="3">
        <v>0.3085</v>
      </c>
      <c r="F8" s="3">
        <f>SUM(F2:F7)</f>
        <v>218</v>
      </c>
      <c r="G8" s="3">
        <f t="shared" si="0"/>
        <v>0.280205655526992</v>
      </c>
      <c r="H8" s="3">
        <v>118</v>
      </c>
      <c r="I8" s="3">
        <v>0.1517</v>
      </c>
      <c r="J8" s="3">
        <v>24.3</v>
      </c>
      <c r="K8" s="3">
        <v>993178.44</v>
      </c>
      <c r="L8" s="3">
        <v>289</v>
      </c>
      <c r="M8" s="3">
        <v>205</v>
      </c>
      <c r="N8" s="3">
        <v>0.26350000000000001</v>
      </c>
      <c r="O8" s="3">
        <v>306.39999999999998</v>
      </c>
      <c r="P8" s="3">
        <v>0.39400000000000002</v>
      </c>
      <c r="Q8" s="3">
        <v>5298777.5</v>
      </c>
      <c r="R8" s="3">
        <v>6810.77</v>
      </c>
      <c r="S8" s="3">
        <v>36</v>
      </c>
      <c r="T8" s="3">
        <v>1266058.28</v>
      </c>
      <c r="U8" s="3">
        <v>253</v>
      </c>
      <c r="V8" s="3">
        <v>3831528.22</v>
      </c>
      <c r="W8" s="3">
        <v>17.399999999999999</v>
      </c>
      <c r="X8" s="3">
        <v>201191</v>
      </c>
      <c r="Y8" s="3">
        <v>186695000</v>
      </c>
      <c r="Z8" s="3">
        <v>3853174</v>
      </c>
      <c r="AA8" s="3">
        <v>2.06E-2</v>
      </c>
      <c r="AB8" s="3">
        <v>2710333.32</v>
      </c>
      <c r="AC8" s="3">
        <v>584790.30000000005</v>
      </c>
      <c r="AD8" s="3">
        <v>129114.05</v>
      </c>
      <c r="AE8" s="3">
        <v>98297.23</v>
      </c>
      <c r="AF8" s="3">
        <v>102613.98</v>
      </c>
      <c r="AG8" s="3">
        <v>74025.14</v>
      </c>
      <c r="AH8" s="3">
        <v>85249</v>
      </c>
      <c r="AI8" s="3">
        <v>51166.38</v>
      </c>
      <c r="AJ8" s="4"/>
    </row>
    <row r="9" spans="1:3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3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spans="1:3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spans="1:3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spans="1:3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spans="1:3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spans="1:3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spans="1:3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spans="1:3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spans="1:3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spans="1:3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spans="1:3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spans="1:3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spans="1:3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1:3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spans="1:3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spans="1:3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spans="1:3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spans="1:3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spans="1:3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spans="1:3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spans="1:3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spans="1:3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spans="1:3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spans="1:3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spans="1: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spans="1:3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spans="1:3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spans="1:3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spans="1:3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spans="1:3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spans="1:3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spans="1:3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spans="1:3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spans="1:3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spans="1:3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spans="1:3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spans="1:3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spans="1:3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spans="1:3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spans="1:3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spans="1:3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spans="1:3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spans="1:3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spans="1:3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spans="1:3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spans="1:3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spans="1:3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spans="1:3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spans="1:3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spans="1:3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spans="1:3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spans="1:3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spans="1:3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spans="1:3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spans="1:3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spans="1:3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spans="1:3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spans="1:3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spans="1:3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spans="1:3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spans="1:3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spans="1:3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spans="1:3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spans="1:3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spans="1:3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spans="1:3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spans="1:3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spans="1:3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spans="1:3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spans="1:3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spans="1:3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spans="1:3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spans="1:3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spans="1:3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spans="1:3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spans="1:3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spans="1:3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spans="1:3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spans="1:3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spans="1:3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spans="1:3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spans="1:3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spans="1:3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96"/>
  <sheetViews>
    <sheetView workbookViewId="0">
      <selection activeCell="C14" sqref="C14"/>
    </sheetView>
  </sheetViews>
  <sheetFormatPr defaultColWidth="8.90625" defaultRowHeight="14.5"/>
  <cols>
    <col min="1" max="1" width="10.81640625" bestFit="1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/>
    </row>
    <row r="2" spans="1:36">
      <c r="A2" s="3" t="s">
        <v>38</v>
      </c>
      <c r="B2" s="3">
        <v>149</v>
      </c>
      <c r="C2" s="3">
        <v>145</v>
      </c>
      <c r="D2" s="3">
        <v>63</v>
      </c>
      <c r="E2" s="3">
        <v>0.42280000000000001</v>
      </c>
      <c r="F2" s="3">
        <v>57.4</v>
      </c>
      <c r="G2" s="3">
        <f t="shared" ref="G2:G8" si="0">+F2/B2</f>
        <v>0.38523489932885902</v>
      </c>
      <c r="H2" s="3">
        <v>22</v>
      </c>
      <c r="I2" s="3">
        <v>0.1477</v>
      </c>
      <c r="J2" s="3">
        <v>7.3</v>
      </c>
      <c r="K2" s="3">
        <v>136235.65</v>
      </c>
      <c r="L2" s="3">
        <v>67</v>
      </c>
      <c r="M2" s="3">
        <v>52</v>
      </c>
      <c r="N2" s="3">
        <v>0.34899999999999998</v>
      </c>
      <c r="O2" s="3">
        <v>76</v>
      </c>
      <c r="P2" s="3">
        <v>0.51</v>
      </c>
      <c r="Q2" s="3">
        <v>1061825.48</v>
      </c>
      <c r="R2" s="3">
        <v>7126.35</v>
      </c>
      <c r="S2" s="3">
        <v>3</v>
      </c>
      <c r="T2" s="3">
        <v>53169.95</v>
      </c>
      <c r="U2" s="3">
        <v>64</v>
      </c>
      <c r="V2" s="3">
        <v>906912.83</v>
      </c>
      <c r="W2" s="3">
        <v>9</v>
      </c>
      <c r="X2" s="3">
        <v>101742.7</v>
      </c>
      <c r="Y2" s="3">
        <v>40482600</v>
      </c>
      <c r="Z2" s="3">
        <v>886140</v>
      </c>
      <c r="AA2" s="3">
        <v>2.1899999999999999E-2</v>
      </c>
      <c r="AB2" s="3">
        <v>650710.80000000005</v>
      </c>
      <c r="AC2" s="3">
        <v>142125</v>
      </c>
      <c r="AD2" s="3">
        <v>25138.6</v>
      </c>
      <c r="AE2" s="3">
        <v>29784.400000000001</v>
      </c>
      <c r="AF2" s="3">
        <v>18944</v>
      </c>
      <c r="AG2" s="3">
        <v>12691.2</v>
      </c>
      <c r="AH2" s="3">
        <v>17114</v>
      </c>
      <c r="AI2" s="3">
        <v>10000</v>
      </c>
      <c r="AJ2" s="4"/>
    </row>
    <row r="3" spans="1:36">
      <c r="A3" s="3" t="s">
        <v>43</v>
      </c>
      <c r="B3" s="3">
        <v>191</v>
      </c>
      <c r="C3" s="3">
        <v>181</v>
      </c>
      <c r="D3" s="3">
        <v>63</v>
      </c>
      <c r="E3" s="3">
        <v>0.32979999999999998</v>
      </c>
      <c r="F3" s="3">
        <v>55.5</v>
      </c>
      <c r="G3" s="3">
        <f t="shared" si="0"/>
        <v>0.29057591623036599</v>
      </c>
      <c r="H3" s="3">
        <v>36</v>
      </c>
      <c r="I3" s="3">
        <v>0.1885</v>
      </c>
      <c r="J3" s="3">
        <v>6</v>
      </c>
      <c r="K3" s="3">
        <v>126946.44</v>
      </c>
      <c r="L3" s="3">
        <v>89</v>
      </c>
      <c r="M3" s="3">
        <v>55</v>
      </c>
      <c r="N3" s="3">
        <v>0.28799999999999998</v>
      </c>
      <c r="O3" s="3">
        <v>90.4</v>
      </c>
      <c r="P3" s="3">
        <v>0.47299999999999998</v>
      </c>
      <c r="Q3" s="3">
        <v>1558861.39</v>
      </c>
      <c r="R3" s="3">
        <v>8161.58</v>
      </c>
      <c r="S3" s="3">
        <v>14</v>
      </c>
      <c r="T3" s="3">
        <v>502851.99</v>
      </c>
      <c r="U3" s="3">
        <v>75</v>
      </c>
      <c r="V3" s="3">
        <v>1036448.6</v>
      </c>
      <c r="W3" s="3">
        <v>1.4</v>
      </c>
      <c r="X3" s="3">
        <v>19560.8</v>
      </c>
      <c r="Y3" s="3">
        <v>52177400</v>
      </c>
      <c r="Z3" s="3">
        <v>1081040</v>
      </c>
      <c r="AA3" s="3">
        <v>2.07E-2</v>
      </c>
      <c r="AB3" s="3">
        <v>770822.1</v>
      </c>
      <c r="AC3" s="3">
        <v>99998.5</v>
      </c>
      <c r="AD3" s="3">
        <v>29097.3</v>
      </c>
      <c r="AE3" s="3">
        <v>26564.48</v>
      </c>
      <c r="AF3" s="3">
        <v>31993.040000000001</v>
      </c>
      <c r="AG3" s="3">
        <v>23933.58</v>
      </c>
      <c r="AH3" s="3">
        <v>25463.599999999999</v>
      </c>
      <c r="AI3" s="3">
        <v>28852</v>
      </c>
      <c r="AJ3" s="4"/>
    </row>
    <row r="4" spans="1:36">
      <c r="A4" s="3" t="s">
        <v>40</v>
      </c>
      <c r="B4" s="3">
        <v>103</v>
      </c>
      <c r="C4" s="3">
        <v>99</v>
      </c>
      <c r="D4" s="3">
        <v>32</v>
      </c>
      <c r="E4" s="3">
        <v>0.31069999999999998</v>
      </c>
      <c r="F4" s="3">
        <v>34.799999999999997</v>
      </c>
      <c r="G4" s="3">
        <f t="shared" si="0"/>
        <v>0.33786407766990301</v>
      </c>
      <c r="H4" s="3">
        <v>20</v>
      </c>
      <c r="I4" s="3">
        <v>0.19420000000000001</v>
      </c>
      <c r="J4" s="3">
        <v>4.0999999999999996</v>
      </c>
      <c r="K4" s="3">
        <v>74891.69</v>
      </c>
      <c r="L4" s="3">
        <v>44</v>
      </c>
      <c r="M4" s="3">
        <v>34</v>
      </c>
      <c r="N4" s="3">
        <v>0.3301</v>
      </c>
      <c r="O4" s="3">
        <v>46.4</v>
      </c>
      <c r="P4" s="3">
        <v>0.45</v>
      </c>
      <c r="Q4" s="3">
        <v>874630.1</v>
      </c>
      <c r="R4" s="3">
        <v>8491.5499999999993</v>
      </c>
      <c r="S4" s="3">
        <v>10</v>
      </c>
      <c r="T4" s="3">
        <v>377922.09</v>
      </c>
      <c r="U4" s="3">
        <v>34</v>
      </c>
      <c r="V4" s="3">
        <v>470551.51</v>
      </c>
      <c r="W4" s="3">
        <v>2.4</v>
      </c>
      <c r="X4" s="3">
        <v>26156.5</v>
      </c>
      <c r="Y4" s="3">
        <v>28208800</v>
      </c>
      <c r="Z4" s="3">
        <v>508078</v>
      </c>
      <c r="AA4" s="3">
        <v>1.7999999999999999E-2</v>
      </c>
      <c r="AB4" s="3">
        <v>338406.6</v>
      </c>
      <c r="AC4" s="3">
        <v>27600</v>
      </c>
      <c r="AD4" s="3">
        <v>16238.6</v>
      </c>
      <c r="AE4" s="3">
        <v>19393.599999999999</v>
      </c>
      <c r="AF4" s="3">
        <v>12423.92</v>
      </c>
      <c r="AG4" s="3">
        <v>9929.94</v>
      </c>
      <c r="AH4" s="3">
        <v>11945</v>
      </c>
      <c r="AI4" s="3">
        <v>34429</v>
      </c>
      <c r="AJ4" s="4"/>
    </row>
    <row r="5" spans="1:36">
      <c r="A5" s="3" t="s">
        <v>41</v>
      </c>
      <c r="B5" s="3">
        <v>107</v>
      </c>
      <c r="C5" s="3">
        <v>100</v>
      </c>
      <c r="D5" s="3">
        <v>31</v>
      </c>
      <c r="E5" s="3">
        <v>0.28970000000000001</v>
      </c>
      <c r="F5" s="3">
        <v>25.3</v>
      </c>
      <c r="G5" s="3">
        <f t="shared" si="0"/>
        <v>0.23644859813084099</v>
      </c>
      <c r="H5" s="3">
        <v>14</v>
      </c>
      <c r="I5" s="3">
        <v>0.1308</v>
      </c>
      <c r="J5" s="3">
        <v>4.0999999999999996</v>
      </c>
      <c r="K5" s="3">
        <v>180234.97</v>
      </c>
      <c r="L5" s="3">
        <v>38</v>
      </c>
      <c r="M5" s="3">
        <v>25</v>
      </c>
      <c r="N5" s="3">
        <v>0.2336</v>
      </c>
      <c r="O5" s="3">
        <v>38.5</v>
      </c>
      <c r="P5" s="3">
        <v>0.36</v>
      </c>
      <c r="Q5" s="3">
        <v>763262.07</v>
      </c>
      <c r="R5" s="3">
        <v>7133.29</v>
      </c>
      <c r="S5" s="3">
        <v>12</v>
      </c>
      <c r="T5" s="3">
        <v>378496.98</v>
      </c>
      <c r="U5" s="3">
        <v>26</v>
      </c>
      <c r="V5" s="3">
        <v>374470.09</v>
      </c>
      <c r="W5" s="3">
        <v>0.5</v>
      </c>
      <c r="X5" s="3">
        <v>10295</v>
      </c>
      <c r="Y5" s="3">
        <v>17748000</v>
      </c>
      <c r="Z5" s="3">
        <v>384300</v>
      </c>
      <c r="AA5" s="3">
        <v>2.1700000000000001E-2</v>
      </c>
      <c r="AB5" s="3">
        <v>247525.04</v>
      </c>
      <c r="AC5" s="3">
        <v>57525</v>
      </c>
      <c r="AD5" s="3">
        <v>18963</v>
      </c>
      <c r="AE5" s="3">
        <v>17936.84</v>
      </c>
      <c r="AF5" s="3">
        <v>12352</v>
      </c>
      <c r="AG5" s="3">
        <v>9166.56</v>
      </c>
      <c r="AH5" s="3">
        <v>8315</v>
      </c>
      <c r="AI5" s="3">
        <v>0</v>
      </c>
      <c r="AJ5" s="4"/>
    </row>
    <row r="6" spans="1:36">
      <c r="A6" s="3" t="s">
        <v>42</v>
      </c>
      <c r="B6" s="3">
        <v>128</v>
      </c>
      <c r="C6" s="3">
        <v>124</v>
      </c>
      <c r="D6" s="3">
        <v>53</v>
      </c>
      <c r="E6" s="3">
        <v>0.41410000000000002</v>
      </c>
      <c r="F6" s="3">
        <v>48.8</v>
      </c>
      <c r="G6" s="3">
        <f t="shared" si="0"/>
        <v>0.38124999999999998</v>
      </c>
      <c r="H6" s="3">
        <v>34</v>
      </c>
      <c r="I6" s="3">
        <v>0.2656</v>
      </c>
      <c r="J6" s="3">
        <v>8.1999999999999993</v>
      </c>
      <c r="K6" s="3">
        <v>273191.02</v>
      </c>
      <c r="L6" s="3">
        <v>66</v>
      </c>
      <c r="M6" s="3">
        <v>48</v>
      </c>
      <c r="N6" s="3">
        <v>0.375</v>
      </c>
      <c r="O6" s="3">
        <v>67.2</v>
      </c>
      <c r="P6" s="3">
        <v>0.52500000000000002</v>
      </c>
      <c r="Q6" s="3">
        <v>1425371.18</v>
      </c>
      <c r="R6" s="3">
        <v>11135.71</v>
      </c>
      <c r="S6" s="3">
        <v>19</v>
      </c>
      <c r="T6" s="3">
        <v>621506.02</v>
      </c>
      <c r="U6" s="3">
        <v>47</v>
      </c>
      <c r="V6" s="3">
        <v>791950.16</v>
      </c>
      <c r="W6" s="3">
        <v>1.2</v>
      </c>
      <c r="X6" s="3">
        <v>11915</v>
      </c>
      <c r="Y6" s="3">
        <v>39646600</v>
      </c>
      <c r="Z6" s="3">
        <v>771480</v>
      </c>
      <c r="AA6" s="3">
        <v>1.95E-2</v>
      </c>
      <c r="AB6" s="3">
        <v>577462.1</v>
      </c>
      <c r="AC6" s="3">
        <v>120630</v>
      </c>
      <c r="AD6" s="3">
        <v>30065.5</v>
      </c>
      <c r="AE6" s="3">
        <v>17450.72</v>
      </c>
      <c r="AF6" s="3">
        <v>18804.400000000001</v>
      </c>
      <c r="AG6" s="3">
        <v>12895.5</v>
      </c>
      <c r="AH6" s="3">
        <v>14513.2</v>
      </c>
      <c r="AI6" s="3">
        <v>0</v>
      </c>
      <c r="AJ6" s="4"/>
    </row>
    <row r="7" spans="1:36">
      <c r="A7" s="3" t="s">
        <v>39</v>
      </c>
      <c r="B7" s="3">
        <v>95</v>
      </c>
      <c r="C7" s="3">
        <v>90</v>
      </c>
      <c r="D7" s="3">
        <v>29</v>
      </c>
      <c r="E7" s="3">
        <v>0.30530000000000002</v>
      </c>
      <c r="F7" s="3">
        <v>22.5</v>
      </c>
      <c r="G7" s="3">
        <f t="shared" si="0"/>
        <v>0.23684210526315799</v>
      </c>
      <c r="H7" s="3">
        <v>13</v>
      </c>
      <c r="I7" s="3">
        <v>0.1368</v>
      </c>
      <c r="J7" s="3">
        <v>3</v>
      </c>
      <c r="K7" s="3">
        <v>70781.009999999995</v>
      </c>
      <c r="L7" s="3">
        <v>31</v>
      </c>
      <c r="M7" s="3">
        <v>22</v>
      </c>
      <c r="N7" s="3">
        <v>0.2316</v>
      </c>
      <c r="O7" s="3">
        <v>31.5</v>
      </c>
      <c r="P7" s="3">
        <v>0.33200000000000002</v>
      </c>
      <c r="Q7" s="3">
        <v>708124.76</v>
      </c>
      <c r="R7" s="3">
        <v>7453.94</v>
      </c>
      <c r="S7" s="3">
        <v>3</v>
      </c>
      <c r="T7" s="3">
        <v>121936</v>
      </c>
      <c r="U7" s="3">
        <v>28</v>
      </c>
      <c r="V7" s="3">
        <v>577903.75</v>
      </c>
      <c r="W7" s="3">
        <v>0.5</v>
      </c>
      <c r="X7" s="3">
        <v>8285</v>
      </c>
      <c r="Y7" s="3">
        <v>26258800</v>
      </c>
      <c r="Z7" s="3">
        <v>534180</v>
      </c>
      <c r="AA7" s="3">
        <v>2.0299999999999999E-2</v>
      </c>
      <c r="AB7" s="3">
        <v>402015.2</v>
      </c>
      <c r="AC7" s="3">
        <v>77500</v>
      </c>
      <c r="AD7" s="3">
        <v>21763</v>
      </c>
      <c r="AE7" s="3">
        <v>18534.36</v>
      </c>
      <c r="AF7" s="3">
        <v>18313.439999999999</v>
      </c>
      <c r="AG7" s="3">
        <v>13409.16</v>
      </c>
      <c r="AH7" s="3">
        <v>16148.8</v>
      </c>
      <c r="AI7" s="3">
        <v>10000</v>
      </c>
      <c r="AJ7" s="4"/>
    </row>
    <row r="8" spans="1:36">
      <c r="A8" s="3" t="s">
        <v>36</v>
      </c>
      <c r="B8" s="3">
        <v>773</v>
      </c>
      <c r="C8" s="3">
        <v>739</v>
      </c>
      <c r="D8" s="3">
        <v>271</v>
      </c>
      <c r="E8" s="3">
        <v>0.35060000000000002</v>
      </c>
      <c r="F8" s="3">
        <f>SUM(F2:F7)</f>
        <v>244.3</v>
      </c>
      <c r="G8" s="3">
        <f t="shared" si="0"/>
        <v>0.31604139715394602</v>
      </c>
      <c r="H8" s="3">
        <v>139</v>
      </c>
      <c r="I8" s="3">
        <v>0.17979999999999999</v>
      </c>
      <c r="J8" s="3">
        <v>32.700000000000003</v>
      </c>
      <c r="K8" s="3">
        <v>862280.78</v>
      </c>
      <c r="L8" s="3">
        <v>335</v>
      </c>
      <c r="M8" s="3">
        <v>236</v>
      </c>
      <c r="N8" s="3">
        <v>0.30530000000000002</v>
      </c>
      <c r="O8" s="3">
        <v>350</v>
      </c>
      <c r="P8" s="3">
        <v>0.45300000000000001</v>
      </c>
      <c r="Q8" s="3">
        <v>6392074.9800000004</v>
      </c>
      <c r="R8" s="3">
        <v>8269.18</v>
      </c>
      <c r="S8" s="3">
        <v>61</v>
      </c>
      <c r="T8" s="3">
        <v>2055883.03</v>
      </c>
      <c r="U8" s="3">
        <v>274</v>
      </c>
      <c r="V8" s="3">
        <v>4158236.94</v>
      </c>
      <c r="W8" s="3">
        <v>15</v>
      </c>
      <c r="X8" s="3">
        <v>177955</v>
      </c>
      <c r="Y8" s="3">
        <v>204522200</v>
      </c>
      <c r="Z8" s="3">
        <v>4165218</v>
      </c>
      <c r="AA8" s="3">
        <v>2.0400000000000001E-2</v>
      </c>
      <c r="AB8" s="3">
        <v>2986941.84</v>
      </c>
      <c r="AC8" s="3">
        <v>525378.5</v>
      </c>
      <c r="AD8" s="3">
        <v>141266</v>
      </c>
      <c r="AE8" s="3">
        <v>129664.4</v>
      </c>
      <c r="AF8" s="3">
        <v>112830.8</v>
      </c>
      <c r="AG8" s="3">
        <v>82025.94</v>
      </c>
      <c r="AH8" s="3">
        <v>93499.6</v>
      </c>
      <c r="AI8" s="3">
        <v>83281</v>
      </c>
      <c r="AJ8" s="4"/>
    </row>
    <row r="9" spans="1:3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3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spans="1:3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spans="1:3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spans="1:3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spans="1:3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spans="1:3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spans="1:3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spans="1:3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spans="1:3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spans="1:3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spans="1:3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spans="1:3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spans="1:3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1:3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spans="1:3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spans="1:3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spans="1:3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spans="1:3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spans="1:3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spans="1:3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spans="1:3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spans="1:3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spans="1:3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spans="1:3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spans="1: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spans="1:3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spans="1:3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spans="1:3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spans="1:3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spans="1:3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spans="1:3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spans="1:3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spans="1:3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spans="1:3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spans="1:3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spans="1:3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spans="1:3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spans="1:3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spans="1:3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spans="1:3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spans="1:3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spans="1:3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spans="1:3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spans="1:3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spans="1:3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spans="1:3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spans="1:3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spans="1:3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spans="1:3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spans="1:3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spans="1:3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spans="1:3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spans="1:3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spans="1:3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spans="1:3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spans="1:3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spans="1:3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spans="1:3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spans="1:3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spans="1:3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spans="1:3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spans="1:3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spans="1:3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spans="1:3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spans="1:3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spans="1:3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spans="1:3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spans="1:3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spans="1:3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spans="1:3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spans="1:3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spans="1:3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spans="1:3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spans="1:3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spans="1:3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spans="1:3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spans="1:3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spans="1:3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spans="1:3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spans="1:3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spans="1:3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spans="1:3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7F7359-75D0-46ED-8D28-EC8CCE979E1D}"/>
</file>

<file path=customXml/itemProps2.xml><?xml version="1.0" encoding="utf-8"?>
<ds:datastoreItem xmlns:ds="http://schemas.openxmlformats.org/officeDocument/2006/customXml" ds:itemID="{72F01AB0-CE1F-4004-82CF-3B1C3ABF8E64}"/>
</file>

<file path=customXml/itemProps3.xml><?xml version="1.0" encoding="utf-8"?>
<ds:datastoreItem xmlns:ds="http://schemas.openxmlformats.org/officeDocument/2006/customXml" ds:itemID="{C5789D1A-74C2-4EA2-827A-DC77D02261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潘正</cp:lastModifiedBy>
  <dcterms:created xsi:type="dcterms:W3CDTF">2023-05-12T11:15:00Z</dcterms:created>
  <dcterms:modified xsi:type="dcterms:W3CDTF">2026-02-05T05:42:00Z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E6513DFFD19F4E63A60D6A2FD2A11A4E_12</vt:lpwstr>
  </property>
  <property fmtid="{D5CDD505-2E9C-101B-9397-08002B2CF9AE}" pid="4" name="ContentTypeId">
    <vt:lpwstr>0x01010028C7B6C620067247A35EF62A3E68EE62</vt:lpwstr>
  </property>
</Properties>
</file>
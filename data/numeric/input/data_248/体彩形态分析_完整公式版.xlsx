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635" windowHeight="7695" tabRatio="600" firstSheet="0" activeTab="0" autoFilterDateGrouping="1"/>
  </bookViews>
  <sheets>
    <sheet xmlns:r="http://schemas.openxmlformats.org/officeDocument/2006/relationships" name="体彩数据录入_优化版" sheetId="1" state="visible" r:id="rId1"/>
    <sheet xmlns:r="http://schemas.openxmlformats.org/officeDocument/2006/relationships" name="排列三推荐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41"/>
  <sheetViews>
    <sheetView tabSelected="1" topLeftCell="A1123" workbookViewId="0">
      <selection activeCell="N1145" sqref="N1145"/>
    </sheetView>
  </sheetViews>
  <sheetFormatPr baseColWidth="8" defaultColWidth="9" defaultRowHeight="13.5"/>
  <cols>
    <col width="7.625" customWidth="1" style="1" min="1" max="1"/>
    <col width="8.625" customWidth="1" style="2" min="2" max="2"/>
    <col width="3" customWidth="1" style="2" min="3" max="3"/>
    <col width="3.125" customWidth="1" style="2" min="4" max="4"/>
    <col width="3.5" customWidth="1" style="2" min="5" max="5"/>
    <col width="5.5" customWidth="1" style="2" min="6" max="6"/>
    <col width="5.625" customWidth="1" style="2" min="7" max="7"/>
    <col width="3.5" customWidth="1" style="2" min="8" max="8"/>
    <col width="6.875" customWidth="1" style="2" min="9" max="10"/>
    <col width="13.875" customWidth="1" style="2" min="11" max="11"/>
    <col width="12.375" customWidth="1" style="2" min="12" max="12"/>
    <col width="13.875" customWidth="1" style="2" min="13" max="13"/>
    <col width="13.5" customWidth="1" style="2" min="14" max="14"/>
    <col width="15.75" customWidth="1" style="2" min="15" max="15"/>
    <col width="16.25" customWidth="1" style="2" min="16" max="17"/>
    <col width="14.375" customWidth="1" style="2" min="18" max="18"/>
    <col width="15.875" customWidth="1" style="2" min="19" max="19"/>
    <col width="15.375" customWidth="1" style="2" min="20" max="20"/>
    <col width="16.5" customWidth="1" style="2" min="21" max="21"/>
    <col width="17.375" customWidth="1" style="2" min="22" max="22"/>
  </cols>
  <sheetData>
    <row r="1">
      <c r="A1" s="1" t="inlineStr">
        <is>
          <t>期号</t>
        </is>
      </c>
      <c r="B1" s="2" t="inlineStr">
        <is>
          <t>开奖号码</t>
        </is>
      </c>
      <c r="C1" s="2" t="inlineStr">
        <is>
          <t>百位</t>
        </is>
      </c>
      <c r="D1" s="2" t="inlineStr">
        <is>
          <t>十位</t>
        </is>
      </c>
      <c r="E1" s="2" t="inlineStr">
        <is>
          <t>个位</t>
        </is>
      </c>
      <c r="F1" s="2" t="inlineStr">
        <is>
          <t>和值</t>
        </is>
      </c>
      <c r="G1" s="2" t="inlineStr">
        <is>
          <t>和尾</t>
        </is>
      </c>
      <c r="H1" s="2" t="inlineStr">
        <is>
          <t>跨度</t>
        </is>
      </c>
      <c r="I1" s="2" t="inlineStr">
        <is>
          <t>和跨比</t>
        </is>
      </c>
      <c r="J1" s="2" t="inlineStr">
        <is>
          <t>标准形态</t>
        </is>
      </c>
      <c r="K1" s="2" t="inlineStr">
        <is>
          <t>八极精细形态</t>
        </is>
      </c>
      <c r="L1" s="2" t="inlineStr">
        <is>
          <t>简化四级形态</t>
        </is>
      </c>
      <c r="M1" s="2" t="inlineStr">
        <is>
          <t>(0.1)10注</t>
        </is>
      </c>
      <c r="N1" s="2" t="inlineStr">
        <is>
          <t>（1.0-1.29）81注</t>
        </is>
      </c>
      <c r="O1" s="2" t="inlineStr">
        <is>
          <t>（1.33-1.8）195注</t>
        </is>
      </c>
      <c r="P1" s="2" t="inlineStr">
        <is>
          <t>（1.83-1.89）45注</t>
        </is>
      </c>
      <c r="Q1" s="2" t="inlineStr">
        <is>
          <t>（2.0-2.5）198注</t>
        </is>
      </c>
      <c r="R1" s="2" t="inlineStr">
        <is>
          <t>（2.57-3.0）111注</t>
        </is>
      </c>
      <c r="S1" s="2" t="inlineStr">
        <is>
          <t>（3.17-3.5)60注</t>
        </is>
      </c>
      <c r="T1" s="2" t="inlineStr">
        <is>
          <t>（3.6-5.0）132注</t>
        </is>
      </c>
      <c r="U1" s="2" t="inlineStr">
        <is>
          <t>（5.25-8.0）96注</t>
        </is>
      </c>
      <c r="V1" s="2" t="inlineStr">
        <is>
          <t>（8.5-26.0）72注</t>
        </is>
      </c>
    </row>
    <row r="2">
      <c r="A2" s="1" t="n">
        <v>2022271</v>
      </c>
      <c r="B2" s="3" t="inlineStr">
        <is>
          <t>567</t>
        </is>
      </c>
      <c r="C2" s="2">
        <f>IF(B2="","",LEFT(TEXT(B2,"000"),1)*1)</f>
        <v/>
      </c>
      <c r="D2" s="2">
        <f>IF(B2="","",MID(TEXT(B2,"000"),2,1)*1)</f>
        <v/>
      </c>
      <c r="E2" s="2">
        <f>IF(B2="","",RIGHT(TEXT(B2,"000"),1)*1)</f>
        <v/>
      </c>
      <c r="F2" s="2">
        <f>IF(B2="","",C2+D2+E2)</f>
        <v/>
      </c>
      <c r="G2" s="2">
        <f>IF(B2="","",MOD(F2,10))</f>
        <v/>
      </c>
      <c r="H2" s="2">
        <f>IF(B2="","",MAX(C2,D2,E2)-MIN(C2,D2,E2))</f>
        <v/>
      </c>
      <c r="I2" s="2">
        <f>IF(OR(B2="",H2=0),IF(H2=0,0.1,""),ROUND(F2/H2,2))</f>
        <v/>
      </c>
      <c r="J2" s="2">
        <f>IF(I2=0.1,"极紧凑",IF(I2&gt;3.5,"紧凑",IF(AND(I2&gt;=2,I2&lt;=3.5),"标准",IF(AND(I2&gt;=1,I2&lt;2),"松散",""))))</f>
        <v/>
      </c>
      <c r="K2" s="2">
        <f>IF(I2=0.1,"极紧凑-豹子号",IF(AND(I2&gt;=1,I2&lt;=1.29),"松散-极松散",IF(AND(I2&gt;=1.33,I2&lt;=1.8),"松散-标准松散",IF(AND(I2&gt;=1.83,I2&lt;=1.89),"松散-偏紧松散",IF(AND(I2&gt;=2,I2&lt;=2.5),"标准-偏松标准",IF(AND(I2&gt;=2.57,I2&lt;=3),"标准-核心标准",IF(AND(I2&gt;=3.17,I2&lt;=3.5),"标准-偏紧标准",IF(AND(I2&gt;=3.6,I2&lt;=5),"紧凑-标准紧凑",IF(AND(I2&gt;=5.25,I2&lt;=8),"紧凑-高度紧凑",IF(I2&gt;=8.5,"紧凑-极度紧凑",""))))))))))</f>
        <v/>
      </c>
      <c r="L2" s="2">
        <f>IF(I2=0.1,"极紧凑",IF(AND(I2&gt;=1,I2&lt;=1.89),"松散",IF(AND(I2&gt;=2,I2&lt;=3.5),"标准",IF(I2&gt;=3.6,"紧凑",""))))</f>
        <v/>
      </c>
      <c r="M2" s="2" t="inlineStr">
        <is>
          <t>极紧凑-豹子号</t>
        </is>
      </c>
      <c r="N2" s="2" t="inlineStr">
        <is>
          <t>松散-极松散</t>
        </is>
      </c>
      <c r="O2" s="2" t="inlineStr">
        <is>
          <t>松散-标准松散</t>
        </is>
      </c>
      <c r="P2" s="2" t="inlineStr">
        <is>
          <t>松散-偏紧松散</t>
        </is>
      </c>
      <c r="Q2" s="2" t="inlineStr">
        <is>
          <t>标准-偏松标准</t>
        </is>
      </c>
      <c r="R2" s="2" t="inlineStr">
        <is>
          <t>标准-核心标准</t>
        </is>
      </c>
      <c r="S2" s="2" t="inlineStr">
        <is>
          <t>标准-偏紧标准</t>
        </is>
      </c>
      <c r="T2" s="2" t="inlineStr">
        <is>
          <t>紧凑-标准紧凑</t>
        </is>
      </c>
      <c r="U2" s="2" t="inlineStr">
        <is>
          <t>紧凑-高度紧凑</t>
        </is>
      </c>
      <c r="V2" s="2" t="inlineStr">
        <is>
          <t>紧凑-极度紧凑</t>
        </is>
      </c>
    </row>
    <row r="3">
      <c r="A3" s="1" t="n">
        <v>2022272</v>
      </c>
      <c r="B3" s="3" t="inlineStr">
        <is>
          <t>329</t>
        </is>
      </c>
      <c r="C3" s="2">
        <f>IF(B3="","",LEFT(TEXT(B3,"000"),1)*1)</f>
        <v/>
      </c>
      <c r="D3" s="2">
        <f>IF(B3="","",MID(TEXT(B3,"000"),2,1)*1)</f>
        <v/>
      </c>
      <c r="E3" s="2">
        <f>IF(B3="","",RIGHT(TEXT(B3,"000"),1)*1)</f>
        <v/>
      </c>
      <c r="F3" s="2">
        <f>IF(B3="","",C3+D3+E3)</f>
        <v/>
      </c>
      <c r="G3" s="2">
        <f>IF(B3="","",MOD(F3,10))</f>
        <v/>
      </c>
      <c r="H3" s="2">
        <f>IF(B3="","",MAX(C3,D3,E3)-MIN(C3,D3,E3))</f>
        <v/>
      </c>
      <c r="I3" s="2">
        <f>IF(OR(B3="",H3=0),IF(H3=0,0.1,""),ROUND(F3/H3,2))</f>
        <v/>
      </c>
      <c r="J3" s="2">
        <f>IF(I3=0.1,"极紧凑",IF(I3&gt;3.5,"紧凑",IF(AND(I3&gt;=2,I3&lt;=3.5),"标准",IF(AND(I3&gt;=1,I3&lt;2),"松散",""))))</f>
        <v/>
      </c>
      <c r="K3" s="2">
        <f>IF(I3=0.1,"极紧凑-豹子号",IF(AND(I3&gt;=1,I3&lt;=1.29),"松散-极松散",IF(AND(I3&gt;=1.33,I3&lt;=1.8),"松散-标准松散",IF(AND(I3&gt;=1.83,I3&lt;=1.89),"松散-偏紧松散",IF(AND(I3&gt;=2,I3&lt;=2.5),"标准-偏松标准",IF(AND(I3&gt;=2.57,I3&lt;=3),"标准-核心标准",IF(AND(I3&gt;=3.17,I3&lt;=3.5),"标准-偏紧标准",IF(AND(I3&gt;=3.6,I3&lt;=5),"紧凑-标准紧凑",IF(AND(I3&gt;=5.25,I3&lt;=8),"紧凑-高度紧凑",IF(I3&gt;=8.5,"紧凑-极度紧凑",""))))))))))</f>
        <v/>
      </c>
      <c r="L3" s="2">
        <f>IF(I3=0.1,"极紧凑",IF(AND(I3&gt;=1,I3&lt;=1.89),"松散",IF(AND(I3&gt;=2,I3&lt;=3.5),"标准",IF(I3&gt;=3.6,"紧凑",""))))</f>
        <v/>
      </c>
      <c r="M3" s="2" t="inlineStr">
        <is>
          <t>极紧凑-豹子号</t>
        </is>
      </c>
      <c r="N3" s="2" t="inlineStr">
        <is>
          <t>松散-极松散</t>
        </is>
      </c>
      <c r="O3" s="2" t="inlineStr">
        <is>
          <t>松散-标准松散</t>
        </is>
      </c>
      <c r="P3" s="2" t="inlineStr">
        <is>
          <t>松散-偏紧松散</t>
        </is>
      </c>
      <c r="Q3" s="2" t="inlineStr">
        <is>
          <t>标准-偏松标准</t>
        </is>
      </c>
      <c r="R3" s="2" t="inlineStr">
        <is>
          <t>标准-核心标准</t>
        </is>
      </c>
      <c r="S3" s="2" t="inlineStr">
        <is>
          <t>标准-偏紧标准</t>
        </is>
      </c>
      <c r="T3" s="2" t="inlineStr">
        <is>
          <t>紧凑-标准紧凑</t>
        </is>
      </c>
      <c r="U3" s="2" t="inlineStr">
        <is>
          <t>紧凑-高度紧凑</t>
        </is>
      </c>
      <c r="V3" s="2" t="inlineStr">
        <is>
          <t>紧凑-极度紧凑</t>
        </is>
      </c>
    </row>
    <row r="4">
      <c r="A4" s="1" t="n">
        <v>2022273</v>
      </c>
      <c r="B4" s="3" t="inlineStr">
        <is>
          <t>746</t>
        </is>
      </c>
      <c r="C4" s="2">
        <f>IF(B4="","",LEFT(TEXT(B4,"000"),1)*1)</f>
        <v/>
      </c>
      <c r="D4" s="2">
        <f>IF(B4="","",MID(TEXT(B4,"000"),2,1)*1)</f>
        <v/>
      </c>
      <c r="E4" s="2">
        <f>IF(B4="","",RIGHT(TEXT(B4,"000"),1)*1)</f>
        <v/>
      </c>
      <c r="F4" s="2">
        <f>IF(B4="","",C4+D4+E4)</f>
        <v/>
      </c>
      <c r="G4" s="2">
        <f>IF(B4="","",MOD(F4,10))</f>
        <v/>
      </c>
      <c r="H4" s="2">
        <f>IF(B4="","",MAX(C4,D4,E4)-MIN(C4,D4,E4))</f>
        <v/>
      </c>
      <c r="I4" s="2">
        <f>IF(OR(B4="",H4=0),IF(H4=0,0.1,""),ROUND(F4/H4,2))</f>
        <v/>
      </c>
      <c r="J4" s="2">
        <f>IF(I4=0.1,"极紧凑",IF(I4&gt;3.5,"紧凑",IF(AND(I4&gt;=2,I4&lt;=3.5),"标准",IF(AND(I4&gt;=1,I4&lt;2),"松散",""))))</f>
        <v/>
      </c>
      <c r="K4" s="2">
        <f>IF(I4=0.1,"极紧凑-豹子号",IF(AND(I4&gt;=1,I4&lt;=1.29),"松散-极松散",IF(AND(I4&gt;=1.33,I4&lt;=1.8),"松散-标准松散",IF(AND(I4&gt;=1.83,I4&lt;=1.89),"松散-偏紧松散",IF(AND(I4&gt;=2,I4&lt;=2.5),"标准-偏松标准",IF(AND(I4&gt;=2.57,I4&lt;=3),"标准-核心标准",IF(AND(I4&gt;=3.17,I4&lt;=3.5),"标准-偏紧标准",IF(AND(I4&gt;=3.6,I4&lt;=5),"紧凑-标准紧凑",IF(AND(I4&gt;=5.25,I4&lt;=8),"紧凑-高度紧凑",IF(I4&gt;=8.5,"紧凑-极度紧凑",""))))))))))</f>
        <v/>
      </c>
      <c r="L4" s="2">
        <f>IF(I4=0.1,"极紧凑",IF(AND(I4&gt;=1,I4&lt;=1.89),"松散",IF(AND(I4&gt;=2,I4&lt;=3.5),"标准",IF(I4&gt;=3.6,"紧凑",""))))</f>
        <v/>
      </c>
      <c r="M4" s="2" t="inlineStr">
        <is>
          <t>极紧凑-豹子号</t>
        </is>
      </c>
      <c r="N4" s="2" t="inlineStr">
        <is>
          <t>松散-极松散</t>
        </is>
      </c>
      <c r="O4" s="2" t="inlineStr">
        <is>
          <t>松散-标准松散</t>
        </is>
      </c>
      <c r="P4" s="2" t="inlineStr">
        <is>
          <t>松散-偏紧松散</t>
        </is>
      </c>
      <c r="Q4" s="2" t="inlineStr">
        <is>
          <t>标准-偏松标准</t>
        </is>
      </c>
      <c r="R4" s="2" t="inlineStr">
        <is>
          <t>标准-核心标准</t>
        </is>
      </c>
      <c r="S4" s="2" t="inlineStr">
        <is>
          <t>标准-偏紧标准</t>
        </is>
      </c>
      <c r="T4" s="2" t="inlineStr">
        <is>
          <t>紧凑-标准紧凑</t>
        </is>
      </c>
      <c r="U4" s="2" t="inlineStr">
        <is>
          <t>紧凑-高度紧凑</t>
        </is>
      </c>
      <c r="V4" s="2" t="inlineStr">
        <is>
          <t>紧凑-极度紧凑</t>
        </is>
      </c>
    </row>
    <row r="5">
      <c r="A5" s="1" t="n">
        <v>2022274</v>
      </c>
      <c r="B5" s="3" t="inlineStr">
        <is>
          <t>065</t>
        </is>
      </c>
      <c r="C5" s="2">
        <f>IF(B5="","",LEFT(TEXT(B5,"000"),1)*1)</f>
        <v/>
      </c>
      <c r="D5" s="2">
        <f>IF(B5="","",MID(TEXT(B5,"000"),2,1)*1)</f>
        <v/>
      </c>
      <c r="E5" s="2">
        <f>IF(B5="","",RIGHT(TEXT(B5,"000"),1)*1)</f>
        <v/>
      </c>
      <c r="F5" s="2">
        <f>IF(B5="","",C5+D5+E5)</f>
        <v/>
      </c>
      <c r="G5" s="2">
        <f>IF(B5="","",MOD(F5,10))</f>
        <v/>
      </c>
      <c r="H5" s="2">
        <f>IF(B5="","",MAX(C5,D5,E5)-MIN(C5,D5,E5))</f>
        <v/>
      </c>
      <c r="I5" s="2">
        <f>IF(OR(B5="",H5=0),IF(H5=0,0.1,""),ROUND(F5/H5,2))</f>
        <v/>
      </c>
      <c r="J5" s="2">
        <f>IF(I5=0.1,"极紧凑",IF(I5&gt;3.5,"紧凑",IF(AND(I5&gt;=2,I5&lt;=3.5),"标准",IF(AND(I5&gt;=1,I5&lt;2),"松散",""))))</f>
        <v/>
      </c>
      <c r="K5" s="2">
        <f>IF(I5=0.1,"极紧凑-豹子号",IF(AND(I5&gt;=1,I5&lt;=1.29),"松散-极松散",IF(AND(I5&gt;=1.33,I5&lt;=1.8),"松散-标准松散",IF(AND(I5&gt;=1.83,I5&lt;=1.89),"松散-偏紧松散",IF(AND(I5&gt;=2,I5&lt;=2.5),"标准-偏松标准",IF(AND(I5&gt;=2.57,I5&lt;=3),"标准-核心标准",IF(AND(I5&gt;=3.17,I5&lt;=3.5),"标准-偏紧标准",IF(AND(I5&gt;=3.6,I5&lt;=5),"紧凑-标准紧凑",IF(AND(I5&gt;=5.25,I5&lt;=8),"紧凑-高度紧凑",IF(I5&gt;=8.5,"紧凑-极度紧凑",""))))))))))</f>
        <v/>
      </c>
      <c r="L5" s="2">
        <f>IF(I5=0.1,"极紧凑",IF(AND(I5&gt;=1,I5&lt;=1.89),"松散",IF(AND(I5&gt;=2,I5&lt;=3.5),"标准",IF(I5&gt;=3.6,"紧凑",""))))</f>
        <v/>
      </c>
      <c r="M5" s="2" t="inlineStr">
        <is>
          <t>极紧凑-豹子号</t>
        </is>
      </c>
      <c r="N5" s="2" t="inlineStr">
        <is>
          <t>松散-极松散</t>
        </is>
      </c>
      <c r="O5" s="2" t="inlineStr">
        <is>
          <t>松散-标准松散</t>
        </is>
      </c>
      <c r="P5" s="2" t="inlineStr">
        <is>
          <t>松散-偏紧松散</t>
        </is>
      </c>
      <c r="Q5" s="2" t="inlineStr">
        <is>
          <t>标准-偏松标准</t>
        </is>
      </c>
      <c r="R5" s="2" t="inlineStr">
        <is>
          <t>标准-核心标准</t>
        </is>
      </c>
      <c r="S5" s="2" t="inlineStr">
        <is>
          <t>标准-偏紧标准</t>
        </is>
      </c>
      <c r="T5" s="2" t="inlineStr">
        <is>
          <t>紧凑-标准紧凑</t>
        </is>
      </c>
      <c r="U5" s="2" t="inlineStr">
        <is>
          <t>紧凑-高度紧凑</t>
        </is>
      </c>
      <c r="V5" s="2" t="inlineStr">
        <is>
          <t>紧凑-极度紧凑</t>
        </is>
      </c>
    </row>
    <row r="6">
      <c r="A6" s="1" t="n">
        <v>2022275</v>
      </c>
      <c r="B6" s="3" t="inlineStr">
        <is>
          <t>059</t>
        </is>
      </c>
      <c r="C6" s="2">
        <f>IF(B6="","",LEFT(TEXT(B6,"000"),1)*1)</f>
        <v/>
      </c>
      <c r="D6" s="2">
        <f>IF(B6="","",MID(TEXT(B6,"000"),2,1)*1)</f>
        <v/>
      </c>
      <c r="E6" s="2">
        <f>IF(B6="","",RIGHT(TEXT(B6,"000"),1)*1)</f>
        <v/>
      </c>
      <c r="F6" s="2">
        <f>IF(B6="","",C6+D6+E6)</f>
        <v/>
      </c>
      <c r="G6" s="2">
        <f>IF(B6="","",MOD(F6,10))</f>
        <v/>
      </c>
      <c r="H6" s="2">
        <f>IF(B6="","",MAX(C6,D6,E6)-MIN(C6,D6,E6))</f>
        <v/>
      </c>
      <c r="I6" s="2">
        <f>IF(OR(B6="",H6=0),IF(H6=0,0.1,""),ROUND(F6/H6,2))</f>
        <v/>
      </c>
      <c r="J6" s="2">
        <f>IF(I6=0.1,"极紧凑",IF(I6&gt;3.5,"紧凑",IF(AND(I6&gt;=2,I6&lt;=3.5),"标准",IF(AND(I6&gt;=1,I6&lt;2),"松散",""))))</f>
        <v/>
      </c>
      <c r="K6" s="2">
        <f>IF(I6=0.1,"极紧凑-豹子号",IF(AND(I6&gt;=1,I6&lt;=1.29),"松散-极松散",IF(AND(I6&gt;=1.33,I6&lt;=1.8),"松散-标准松散",IF(AND(I6&gt;=1.83,I6&lt;=1.89),"松散-偏紧松散",IF(AND(I6&gt;=2,I6&lt;=2.5),"标准-偏松标准",IF(AND(I6&gt;=2.57,I6&lt;=3),"标准-核心标准",IF(AND(I6&gt;=3.17,I6&lt;=3.5),"标准-偏紧标准",IF(AND(I6&gt;=3.6,I6&lt;=5),"紧凑-标准紧凑",IF(AND(I6&gt;=5.25,I6&lt;=8),"紧凑-高度紧凑",IF(I6&gt;=8.5,"紧凑-极度紧凑",""))))))))))</f>
        <v/>
      </c>
      <c r="L6" s="2">
        <f>IF(I6=0.1,"极紧凑",IF(AND(I6&gt;=1,I6&lt;=1.89),"松散",IF(AND(I6&gt;=2,I6&lt;=3.5),"标准",IF(I6&gt;=3.6,"紧凑",""))))</f>
        <v/>
      </c>
      <c r="M6" s="2" t="inlineStr">
        <is>
          <t>极紧凑-豹子号</t>
        </is>
      </c>
      <c r="N6" s="2" t="inlineStr">
        <is>
          <t>松散-极松散</t>
        </is>
      </c>
      <c r="O6" s="2" t="inlineStr">
        <is>
          <t>松散-标准松散</t>
        </is>
      </c>
      <c r="P6" s="2" t="inlineStr">
        <is>
          <t>松散-偏紧松散</t>
        </is>
      </c>
      <c r="Q6" s="2" t="inlineStr">
        <is>
          <t>标准-偏松标准</t>
        </is>
      </c>
      <c r="R6" s="2" t="inlineStr">
        <is>
          <t>标准-核心标准</t>
        </is>
      </c>
      <c r="S6" s="2" t="inlineStr">
        <is>
          <t>标准-偏紧标准</t>
        </is>
      </c>
      <c r="T6" s="2" t="inlineStr">
        <is>
          <t>紧凑-标准紧凑</t>
        </is>
      </c>
      <c r="U6" s="2" t="inlineStr">
        <is>
          <t>紧凑-高度紧凑</t>
        </is>
      </c>
      <c r="V6" s="2" t="inlineStr">
        <is>
          <t>紧凑-极度紧凑</t>
        </is>
      </c>
    </row>
    <row r="7">
      <c r="A7" s="1" t="n">
        <v>2022276</v>
      </c>
      <c r="B7" s="3" t="inlineStr">
        <is>
          <t>761</t>
        </is>
      </c>
      <c r="C7" s="2">
        <f>IF(B7="","",LEFT(TEXT(B7,"000"),1)*1)</f>
        <v/>
      </c>
      <c r="D7" s="2">
        <f>IF(B7="","",MID(TEXT(B7,"000"),2,1)*1)</f>
        <v/>
      </c>
      <c r="E7" s="2">
        <f>IF(B7="","",RIGHT(TEXT(B7,"000"),1)*1)</f>
        <v/>
      </c>
      <c r="F7" s="2">
        <f>IF(B7="","",C7+D7+E7)</f>
        <v/>
      </c>
      <c r="G7" s="2">
        <f>IF(B7="","",MOD(F7,10))</f>
        <v/>
      </c>
      <c r="H7" s="2">
        <f>IF(B7="","",MAX(C7,D7,E7)-MIN(C7,D7,E7))</f>
        <v/>
      </c>
      <c r="I7" s="2">
        <f>IF(OR(B7="",H7=0),IF(H7=0,0.1,""),ROUND(F7/H7,2))</f>
        <v/>
      </c>
      <c r="J7" s="2">
        <f>IF(I7=0.1,"极紧凑",IF(I7&gt;3.5,"紧凑",IF(AND(I7&gt;=2,I7&lt;=3.5),"标准",IF(AND(I7&gt;=1,I7&lt;2),"松散",""))))</f>
        <v/>
      </c>
      <c r="K7" s="2">
        <f>IF(I7=0.1,"极紧凑-豹子号",IF(AND(I7&gt;=1,I7&lt;=1.29),"松散-极松散",IF(AND(I7&gt;=1.33,I7&lt;=1.8),"松散-标准松散",IF(AND(I7&gt;=1.83,I7&lt;=1.89),"松散-偏紧松散",IF(AND(I7&gt;=2,I7&lt;=2.5),"标准-偏松标准",IF(AND(I7&gt;=2.57,I7&lt;=3),"标准-核心标准",IF(AND(I7&gt;=3.17,I7&lt;=3.5),"标准-偏紧标准",IF(AND(I7&gt;=3.6,I7&lt;=5),"紧凑-标准紧凑",IF(AND(I7&gt;=5.25,I7&lt;=8),"紧凑-高度紧凑",IF(I7&gt;=8.5,"紧凑-极度紧凑",""))))))))))</f>
        <v/>
      </c>
      <c r="L7" s="2">
        <f>IF(I7=0.1,"极紧凑",IF(AND(I7&gt;=1,I7&lt;=1.89),"松散",IF(AND(I7&gt;=2,I7&lt;=3.5),"标准",IF(I7&gt;=3.6,"紧凑",""))))</f>
        <v/>
      </c>
      <c r="M7" s="2" t="inlineStr">
        <is>
          <t>极紧凑-豹子号</t>
        </is>
      </c>
      <c r="N7" s="2" t="inlineStr">
        <is>
          <t>松散-极松散</t>
        </is>
      </c>
      <c r="O7" s="2" t="inlineStr">
        <is>
          <t>松散-标准松散</t>
        </is>
      </c>
      <c r="P7" s="2" t="inlineStr">
        <is>
          <t>松散-偏紧松散</t>
        </is>
      </c>
      <c r="Q7" s="2" t="inlineStr">
        <is>
          <t>标准-偏松标准</t>
        </is>
      </c>
      <c r="R7" s="2" t="inlineStr">
        <is>
          <t>标准-核心标准</t>
        </is>
      </c>
      <c r="S7" s="2" t="inlineStr">
        <is>
          <t>标准-偏紧标准</t>
        </is>
      </c>
      <c r="T7" s="2" t="inlineStr">
        <is>
          <t>紧凑-标准紧凑</t>
        </is>
      </c>
      <c r="U7" s="2" t="inlineStr">
        <is>
          <t>紧凑-高度紧凑</t>
        </is>
      </c>
      <c r="V7" s="2" t="inlineStr">
        <is>
          <t>紧凑-极度紧凑</t>
        </is>
      </c>
    </row>
    <row r="8">
      <c r="A8" s="1" t="n">
        <v>2022277</v>
      </c>
      <c r="B8" s="3" t="inlineStr">
        <is>
          <t>246</t>
        </is>
      </c>
      <c r="C8" s="2">
        <f>IF(B8="","",LEFT(TEXT(B8,"000"),1)*1)</f>
        <v/>
      </c>
      <c r="D8" s="2">
        <f>IF(B8="","",MID(TEXT(B8,"000"),2,1)*1)</f>
        <v/>
      </c>
      <c r="E8" s="2">
        <f>IF(B8="","",RIGHT(TEXT(B8,"000"),1)*1)</f>
        <v/>
      </c>
      <c r="F8" s="2">
        <f>IF(B8="","",C8+D8+E8)</f>
        <v/>
      </c>
      <c r="G8" s="2">
        <f>IF(B8="","",MOD(F8,10))</f>
        <v/>
      </c>
      <c r="H8" s="2">
        <f>IF(B8="","",MAX(C8,D8,E8)-MIN(C8,D8,E8))</f>
        <v/>
      </c>
      <c r="I8" s="2">
        <f>IF(OR(B8="",H8=0),IF(H8=0,0.1,""),ROUND(F8/H8,2))</f>
        <v/>
      </c>
      <c r="J8" s="2">
        <f>IF(I8=0.1,"极紧凑",IF(I8&gt;3.5,"紧凑",IF(AND(I8&gt;=2,I8&lt;=3.5),"标准",IF(AND(I8&gt;=1,I8&lt;2),"松散",""))))</f>
        <v/>
      </c>
      <c r="K8" s="2">
        <f>IF(I8=0.1,"极紧凑-豹子号",IF(AND(I8&gt;=1,I8&lt;=1.29),"松散-极松散",IF(AND(I8&gt;=1.33,I8&lt;=1.8),"松散-标准松散",IF(AND(I8&gt;=1.83,I8&lt;=1.89),"松散-偏紧松散",IF(AND(I8&gt;=2,I8&lt;=2.5),"标准-偏松标准",IF(AND(I8&gt;=2.57,I8&lt;=3),"标准-核心标准",IF(AND(I8&gt;=3.17,I8&lt;=3.5),"标准-偏紧标准",IF(AND(I8&gt;=3.6,I8&lt;=5),"紧凑-标准紧凑",IF(AND(I8&gt;=5.25,I8&lt;=8),"紧凑-高度紧凑",IF(I8&gt;=8.5,"紧凑-极度紧凑",""))))))))))</f>
        <v/>
      </c>
      <c r="L8" s="2">
        <f>IF(I8=0.1,"极紧凑",IF(AND(I8&gt;=1,I8&lt;=1.89),"松散",IF(AND(I8&gt;=2,I8&lt;=3.5),"标准",IF(I8&gt;=3.6,"紧凑",""))))</f>
        <v/>
      </c>
      <c r="M8" s="2" t="inlineStr">
        <is>
          <t>极紧凑-豹子号</t>
        </is>
      </c>
      <c r="N8" s="2" t="inlineStr">
        <is>
          <t>松散-极松散</t>
        </is>
      </c>
      <c r="O8" s="2" t="inlineStr">
        <is>
          <t>松散-标准松散</t>
        </is>
      </c>
      <c r="P8" s="2" t="inlineStr">
        <is>
          <t>松散-偏紧松散</t>
        </is>
      </c>
      <c r="Q8" s="2" t="inlineStr">
        <is>
          <t>标准-偏松标准</t>
        </is>
      </c>
      <c r="R8" s="2" t="inlineStr">
        <is>
          <t>标准-核心标准</t>
        </is>
      </c>
      <c r="S8" s="2" t="inlineStr">
        <is>
          <t>标准-偏紧标准</t>
        </is>
      </c>
      <c r="T8" s="2" t="inlineStr">
        <is>
          <t>紧凑-标准紧凑</t>
        </is>
      </c>
      <c r="U8" s="2" t="inlineStr">
        <is>
          <t>紧凑-高度紧凑</t>
        </is>
      </c>
      <c r="V8" s="2" t="inlineStr">
        <is>
          <t>紧凑-极度紧凑</t>
        </is>
      </c>
    </row>
    <row r="9">
      <c r="A9" s="1" t="n">
        <v>2022278</v>
      </c>
      <c r="B9" s="3" t="inlineStr">
        <is>
          <t>492</t>
        </is>
      </c>
      <c r="C9" s="2">
        <f>IF(B9="","",LEFT(TEXT(B9,"000"),1)*1)</f>
        <v/>
      </c>
      <c r="D9" s="2">
        <f>IF(B9="","",MID(TEXT(B9,"000"),2,1)*1)</f>
        <v/>
      </c>
      <c r="E9" s="2">
        <f>IF(B9="","",RIGHT(TEXT(B9,"000"),1)*1)</f>
        <v/>
      </c>
      <c r="F9" s="2">
        <f>IF(B9="","",C9+D9+E9)</f>
        <v/>
      </c>
      <c r="G9" s="2">
        <f>IF(B9="","",MOD(F9,10))</f>
        <v/>
      </c>
      <c r="H9" s="2">
        <f>IF(B9="","",MAX(C9,D9,E9)-MIN(C9,D9,E9))</f>
        <v/>
      </c>
      <c r="I9" s="2">
        <f>IF(OR(B9="",H9=0),IF(H9=0,0.1,""),ROUND(F9/H9,2))</f>
        <v/>
      </c>
      <c r="J9" s="2">
        <f>IF(I9=0.1,"极紧凑",IF(I9&gt;3.5,"紧凑",IF(AND(I9&gt;=2,I9&lt;=3.5),"标准",IF(AND(I9&gt;=1,I9&lt;2),"松散",""))))</f>
        <v/>
      </c>
      <c r="K9" s="2">
        <f>IF(I9=0.1,"极紧凑-豹子号",IF(AND(I9&gt;=1,I9&lt;=1.29),"松散-极松散",IF(AND(I9&gt;=1.33,I9&lt;=1.8),"松散-标准松散",IF(AND(I9&gt;=1.83,I9&lt;=1.89),"松散-偏紧松散",IF(AND(I9&gt;=2,I9&lt;=2.5),"标准-偏松标准",IF(AND(I9&gt;=2.57,I9&lt;=3),"标准-核心标准",IF(AND(I9&gt;=3.17,I9&lt;=3.5),"标准-偏紧标准",IF(AND(I9&gt;=3.6,I9&lt;=5),"紧凑-标准紧凑",IF(AND(I9&gt;=5.25,I9&lt;=8),"紧凑-高度紧凑",IF(I9&gt;=8.5,"紧凑-极度紧凑",""))))))))))</f>
        <v/>
      </c>
      <c r="L9" s="2">
        <f>IF(I9=0.1,"极紧凑",IF(AND(I9&gt;=1,I9&lt;=1.89),"松散",IF(AND(I9&gt;=2,I9&lt;=3.5),"标准",IF(I9&gt;=3.6,"紧凑",""))))</f>
        <v/>
      </c>
      <c r="M9" s="2" t="inlineStr">
        <is>
          <t>极紧凑-豹子号</t>
        </is>
      </c>
      <c r="N9" s="2" t="inlineStr">
        <is>
          <t>松散-极松散</t>
        </is>
      </c>
      <c r="O9" s="2" t="inlineStr">
        <is>
          <t>松散-标准松散</t>
        </is>
      </c>
      <c r="P9" s="2" t="inlineStr">
        <is>
          <t>松散-偏紧松散</t>
        </is>
      </c>
      <c r="Q9" s="2" t="inlineStr">
        <is>
          <t>标准-偏松标准</t>
        </is>
      </c>
      <c r="R9" s="2" t="inlineStr">
        <is>
          <t>标准-核心标准</t>
        </is>
      </c>
      <c r="S9" s="2" t="inlineStr">
        <is>
          <t>标准-偏紧标准</t>
        </is>
      </c>
      <c r="T9" s="2" t="inlineStr">
        <is>
          <t>紧凑-标准紧凑</t>
        </is>
      </c>
      <c r="U9" s="2" t="inlineStr">
        <is>
          <t>紧凑-高度紧凑</t>
        </is>
      </c>
      <c r="V9" s="2" t="inlineStr">
        <is>
          <t>紧凑-极度紧凑</t>
        </is>
      </c>
    </row>
    <row r="10">
      <c r="A10" s="1" t="n">
        <v>2022279</v>
      </c>
      <c r="B10" s="3" t="inlineStr">
        <is>
          <t>974</t>
        </is>
      </c>
      <c r="C10" s="2">
        <f>IF(B10="","",LEFT(TEXT(B10,"000"),1)*1)</f>
        <v/>
      </c>
      <c r="D10" s="2">
        <f>IF(B10="","",MID(TEXT(B10,"000"),2,1)*1)</f>
        <v/>
      </c>
      <c r="E10" s="2">
        <f>IF(B10="","",RIGHT(TEXT(B10,"000"),1)*1)</f>
        <v/>
      </c>
      <c r="F10" s="2">
        <f>IF(B10="","",C10+D10+E10)</f>
        <v/>
      </c>
      <c r="G10" s="2">
        <f>IF(B10="","",MOD(F10,10))</f>
        <v/>
      </c>
      <c r="H10" s="2">
        <f>IF(B10="","",MAX(C10,D10,E10)-MIN(C10,D10,E10))</f>
        <v/>
      </c>
      <c r="I10" s="2">
        <f>IF(OR(B10="",H10=0),IF(H10=0,0.1,""),ROUND(F10/H10,2))</f>
        <v/>
      </c>
      <c r="J10" s="2">
        <f>IF(I10=0.1,"极紧凑",IF(I10&gt;3.5,"紧凑",IF(AND(I10&gt;=2,I10&lt;=3.5),"标准",IF(AND(I10&gt;=1,I10&lt;2),"松散",""))))</f>
        <v/>
      </c>
      <c r="K10" s="2">
        <f>IF(I10=0.1,"极紧凑-豹子号",IF(AND(I10&gt;=1,I10&lt;=1.29),"松散-极松散",IF(AND(I10&gt;=1.33,I10&lt;=1.8),"松散-标准松散",IF(AND(I10&gt;=1.83,I10&lt;=1.89),"松散-偏紧松散",IF(AND(I10&gt;=2,I10&lt;=2.5),"标准-偏松标准",IF(AND(I10&gt;=2.57,I10&lt;=3),"标准-核心标准",IF(AND(I10&gt;=3.17,I10&lt;=3.5),"标准-偏紧标准",IF(AND(I10&gt;=3.6,I10&lt;=5),"紧凑-标准紧凑",IF(AND(I10&gt;=5.25,I10&lt;=8),"紧凑-高度紧凑",IF(I10&gt;=8.5,"紧凑-极度紧凑",""))))))))))</f>
        <v/>
      </c>
      <c r="L10" s="2">
        <f>IF(I10=0.1,"极紧凑",IF(AND(I10&gt;=1,I10&lt;=1.89),"松散",IF(AND(I10&gt;=2,I10&lt;=3.5),"标准",IF(I10&gt;=3.6,"紧凑",""))))</f>
        <v/>
      </c>
      <c r="M10" s="2" t="inlineStr">
        <is>
          <t>极紧凑-豹子号</t>
        </is>
      </c>
      <c r="N10" s="2" t="inlineStr">
        <is>
          <t>松散-极松散</t>
        </is>
      </c>
      <c r="O10" s="2" t="inlineStr">
        <is>
          <t>松散-标准松散</t>
        </is>
      </c>
      <c r="P10" s="2" t="inlineStr">
        <is>
          <t>松散-偏紧松散</t>
        </is>
      </c>
      <c r="Q10" s="2" t="inlineStr">
        <is>
          <t>标准-偏松标准</t>
        </is>
      </c>
      <c r="R10" s="2" t="inlineStr">
        <is>
          <t>标准-核心标准</t>
        </is>
      </c>
      <c r="S10" s="2" t="inlineStr">
        <is>
          <t>标准-偏紧标准</t>
        </is>
      </c>
      <c r="T10" s="2" t="inlineStr">
        <is>
          <t>紧凑-标准紧凑</t>
        </is>
      </c>
      <c r="U10" s="2" t="inlineStr">
        <is>
          <t>紧凑-高度紧凑</t>
        </is>
      </c>
      <c r="V10" s="2" t="inlineStr">
        <is>
          <t>紧凑-极度紧凑</t>
        </is>
      </c>
    </row>
    <row r="11">
      <c r="A11" s="1" t="n">
        <v>2022280</v>
      </c>
      <c r="B11" s="3" t="inlineStr">
        <is>
          <t>133</t>
        </is>
      </c>
      <c r="C11" s="2">
        <f>IF(B11="","",LEFT(TEXT(B11,"000"),1)*1)</f>
        <v/>
      </c>
      <c r="D11" s="2">
        <f>IF(B11="","",MID(TEXT(B11,"000"),2,1)*1)</f>
        <v/>
      </c>
      <c r="E11" s="2">
        <f>IF(B11="","",RIGHT(TEXT(B11,"000"),1)*1)</f>
        <v/>
      </c>
      <c r="F11" s="2">
        <f>IF(B11="","",C11+D11+E11)</f>
        <v/>
      </c>
      <c r="G11" s="2">
        <f>IF(B11="","",MOD(F11,10))</f>
        <v/>
      </c>
      <c r="H11" s="2">
        <f>IF(B11="","",MAX(C11,D11,E11)-MIN(C11,D11,E11))</f>
        <v/>
      </c>
      <c r="I11" s="2">
        <f>IF(OR(B11="",H11=0),IF(H11=0,0.1,""),ROUND(F11/H11,2))</f>
        <v/>
      </c>
      <c r="J11" s="2">
        <f>IF(I11=0.1,"极紧凑",IF(I11&gt;3.5,"紧凑",IF(AND(I11&gt;=2,I11&lt;=3.5),"标准",IF(AND(I11&gt;=1,I11&lt;2),"松散",""))))</f>
        <v/>
      </c>
      <c r="K11" s="2">
        <f>IF(I11=0.1,"极紧凑-豹子号",IF(AND(I11&gt;=1,I11&lt;=1.29),"松散-极松散",IF(AND(I11&gt;=1.33,I11&lt;=1.8),"松散-标准松散",IF(AND(I11&gt;=1.83,I11&lt;=1.89),"松散-偏紧松散",IF(AND(I11&gt;=2,I11&lt;=2.5),"标准-偏松标准",IF(AND(I11&gt;=2.57,I11&lt;=3),"标准-核心标准",IF(AND(I11&gt;=3.17,I11&lt;=3.5),"标准-偏紧标准",IF(AND(I11&gt;=3.6,I11&lt;=5),"紧凑-标准紧凑",IF(AND(I11&gt;=5.25,I11&lt;=8),"紧凑-高度紧凑",IF(I11&gt;=8.5,"紧凑-极度紧凑",""))))))))))</f>
        <v/>
      </c>
      <c r="L11" s="2">
        <f>IF(I11=0.1,"极紧凑",IF(AND(I11&gt;=1,I11&lt;=1.89),"松散",IF(AND(I11&gt;=2,I11&lt;=3.5),"标准",IF(I11&gt;=3.6,"紧凑",""))))</f>
        <v/>
      </c>
      <c r="M11" s="2" t="inlineStr">
        <is>
          <t>极紧凑-豹子号</t>
        </is>
      </c>
      <c r="N11" s="2" t="inlineStr">
        <is>
          <t>松散-极松散</t>
        </is>
      </c>
      <c r="O11" s="2" t="inlineStr">
        <is>
          <t>松散-标准松散</t>
        </is>
      </c>
      <c r="P11" s="2" t="inlineStr">
        <is>
          <t>松散-偏紧松散</t>
        </is>
      </c>
      <c r="Q11" s="2" t="inlineStr">
        <is>
          <t>标准-偏松标准</t>
        </is>
      </c>
      <c r="R11" s="2" t="inlineStr">
        <is>
          <t>标准-核心标准</t>
        </is>
      </c>
      <c r="S11" s="2" t="inlineStr">
        <is>
          <t>标准-偏紧标准</t>
        </is>
      </c>
      <c r="T11" s="2" t="inlineStr">
        <is>
          <t>紧凑-标准紧凑</t>
        </is>
      </c>
      <c r="U11" s="2" t="inlineStr">
        <is>
          <t>紧凑-高度紧凑</t>
        </is>
      </c>
      <c r="V11" s="2" t="inlineStr">
        <is>
          <t>紧凑-极度紧凑</t>
        </is>
      </c>
    </row>
    <row r="12">
      <c r="A12" s="1" t="n">
        <v>2022281</v>
      </c>
      <c r="B12" s="3" t="inlineStr">
        <is>
          <t>101</t>
        </is>
      </c>
      <c r="C12" s="2">
        <f>IF(B12="","",LEFT(TEXT(B12,"000"),1)*1)</f>
        <v/>
      </c>
      <c r="D12" s="2">
        <f>IF(B12="","",MID(TEXT(B12,"000"),2,1)*1)</f>
        <v/>
      </c>
      <c r="E12" s="2">
        <f>IF(B12="","",RIGHT(TEXT(B12,"000"),1)*1)</f>
        <v/>
      </c>
      <c r="F12" s="2">
        <f>IF(B12="","",C12+D12+E12)</f>
        <v/>
      </c>
      <c r="G12" s="2">
        <f>IF(B12="","",MOD(F12,10))</f>
        <v/>
      </c>
      <c r="H12" s="2">
        <f>IF(B12="","",MAX(C12,D12,E12)-MIN(C12,D12,E12))</f>
        <v/>
      </c>
      <c r="I12" s="2">
        <f>IF(OR(B12="",H12=0),IF(H12=0,0.1,""),ROUND(F12/H12,2))</f>
        <v/>
      </c>
      <c r="J12" s="2">
        <f>IF(I12=0.1,"极紧凑",IF(I12&gt;3.5,"紧凑",IF(AND(I12&gt;=2,I12&lt;=3.5),"标准",IF(AND(I12&gt;=1,I12&lt;2),"松散",""))))</f>
        <v/>
      </c>
      <c r="K12" s="2">
        <f>IF(I12=0.1,"极紧凑-豹子号",IF(AND(I12&gt;=1,I12&lt;=1.29),"松散-极松散",IF(AND(I12&gt;=1.33,I12&lt;=1.8),"松散-标准松散",IF(AND(I12&gt;=1.83,I12&lt;=1.89),"松散-偏紧松散",IF(AND(I12&gt;=2,I12&lt;=2.5),"标准-偏松标准",IF(AND(I12&gt;=2.57,I12&lt;=3),"标准-核心标准",IF(AND(I12&gt;=3.17,I12&lt;=3.5),"标准-偏紧标准",IF(AND(I12&gt;=3.6,I12&lt;=5),"紧凑-标准紧凑",IF(AND(I12&gt;=5.25,I12&lt;=8),"紧凑-高度紧凑",IF(I12&gt;=8.5,"紧凑-极度紧凑",""))))))))))</f>
        <v/>
      </c>
      <c r="L12" s="2">
        <f>IF(I12=0.1,"极紧凑",IF(AND(I12&gt;=1,I12&lt;=1.89),"松散",IF(AND(I12&gt;=2,I12&lt;=3.5),"标准",IF(I12&gt;=3.6,"紧凑",""))))</f>
        <v/>
      </c>
      <c r="M12" s="2" t="inlineStr">
        <is>
          <t>极紧凑-豹子号</t>
        </is>
      </c>
      <c r="N12" s="2" t="inlineStr">
        <is>
          <t>松散-极松散</t>
        </is>
      </c>
      <c r="O12" s="2" t="inlineStr">
        <is>
          <t>松散-标准松散</t>
        </is>
      </c>
      <c r="P12" s="2" t="inlineStr">
        <is>
          <t>松散-偏紧松散</t>
        </is>
      </c>
      <c r="Q12" s="2" t="inlineStr">
        <is>
          <t>标准-偏松标准</t>
        </is>
      </c>
      <c r="R12" s="2" t="inlineStr">
        <is>
          <t>标准-核心标准</t>
        </is>
      </c>
      <c r="S12" s="2" t="inlineStr">
        <is>
          <t>标准-偏紧标准</t>
        </is>
      </c>
      <c r="T12" s="2" t="inlineStr">
        <is>
          <t>紧凑-标准紧凑</t>
        </is>
      </c>
      <c r="U12" s="2" t="inlineStr">
        <is>
          <t>紧凑-高度紧凑</t>
        </is>
      </c>
      <c r="V12" s="2" t="inlineStr">
        <is>
          <t>紧凑-极度紧凑</t>
        </is>
      </c>
    </row>
    <row r="13">
      <c r="A13" s="1" t="n">
        <v>2022282</v>
      </c>
      <c r="B13" s="3" t="inlineStr">
        <is>
          <t>896</t>
        </is>
      </c>
      <c r="C13" s="2">
        <f>IF(B13="","",LEFT(TEXT(B13,"000"),1)*1)</f>
        <v/>
      </c>
      <c r="D13" s="2">
        <f>IF(B13="","",MID(TEXT(B13,"000"),2,1)*1)</f>
        <v/>
      </c>
      <c r="E13" s="2">
        <f>IF(B13="","",RIGHT(TEXT(B13,"000"),1)*1)</f>
        <v/>
      </c>
      <c r="F13" s="2">
        <f>IF(B13="","",C13+D13+E13)</f>
        <v/>
      </c>
      <c r="G13" s="2">
        <f>IF(B13="","",MOD(F13,10))</f>
        <v/>
      </c>
      <c r="H13" s="2">
        <f>IF(B13="","",MAX(C13,D13,E13)-MIN(C13,D13,E13))</f>
        <v/>
      </c>
      <c r="I13" s="2">
        <f>IF(OR(B13="",H13=0),IF(H13=0,0.1,""),ROUND(F13/H13,2))</f>
        <v/>
      </c>
      <c r="J13" s="2">
        <f>IF(I13=0.1,"极紧凑",IF(I13&gt;3.5,"紧凑",IF(AND(I13&gt;=2,I13&lt;=3.5),"标准",IF(AND(I13&gt;=1,I13&lt;2),"松散",""))))</f>
        <v/>
      </c>
      <c r="K13" s="2">
        <f>IF(I13=0.1,"极紧凑-豹子号",IF(AND(I13&gt;=1,I13&lt;=1.29),"松散-极松散",IF(AND(I13&gt;=1.33,I13&lt;=1.8),"松散-标准松散",IF(AND(I13&gt;=1.83,I13&lt;=1.89),"松散-偏紧松散",IF(AND(I13&gt;=2,I13&lt;=2.5),"标准-偏松标准",IF(AND(I13&gt;=2.57,I13&lt;=3),"标准-核心标准",IF(AND(I13&gt;=3.17,I13&lt;=3.5),"标准-偏紧标准",IF(AND(I13&gt;=3.6,I13&lt;=5),"紧凑-标准紧凑",IF(AND(I13&gt;=5.25,I13&lt;=8),"紧凑-高度紧凑",IF(I13&gt;=8.5,"紧凑-极度紧凑",""))))))))))</f>
        <v/>
      </c>
      <c r="L13" s="2">
        <f>IF(I13=0.1,"极紧凑",IF(AND(I13&gt;=1,I13&lt;=1.89),"松散",IF(AND(I13&gt;=2,I13&lt;=3.5),"标准",IF(I13&gt;=3.6,"紧凑",""))))</f>
        <v/>
      </c>
      <c r="M13" s="2" t="inlineStr">
        <is>
          <t>极紧凑-豹子号</t>
        </is>
      </c>
      <c r="N13" s="2" t="inlineStr">
        <is>
          <t>松散-极松散</t>
        </is>
      </c>
      <c r="O13" s="2" t="inlineStr">
        <is>
          <t>松散-标准松散</t>
        </is>
      </c>
      <c r="P13" s="2" t="inlineStr">
        <is>
          <t>松散-偏紧松散</t>
        </is>
      </c>
      <c r="Q13" s="2" t="inlineStr">
        <is>
          <t>标准-偏松标准</t>
        </is>
      </c>
      <c r="R13" s="2" t="inlineStr">
        <is>
          <t>标准-核心标准</t>
        </is>
      </c>
      <c r="S13" s="2" t="inlineStr">
        <is>
          <t>标准-偏紧标准</t>
        </is>
      </c>
      <c r="T13" s="2" t="inlineStr">
        <is>
          <t>紧凑-标准紧凑</t>
        </is>
      </c>
      <c r="U13" s="2" t="inlineStr">
        <is>
          <t>紧凑-高度紧凑</t>
        </is>
      </c>
      <c r="V13" s="2" t="inlineStr">
        <is>
          <t>紧凑-极度紧凑</t>
        </is>
      </c>
    </row>
    <row r="14">
      <c r="A14" s="1" t="n">
        <v>2022283</v>
      </c>
      <c r="B14" s="3" t="inlineStr">
        <is>
          <t>820</t>
        </is>
      </c>
      <c r="C14" s="2">
        <f>IF(B14="","",LEFT(TEXT(B14,"000"),1)*1)</f>
        <v/>
      </c>
      <c r="D14" s="2">
        <f>IF(B14="","",MID(TEXT(B14,"000"),2,1)*1)</f>
        <v/>
      </c>
      <c r="E14" s="2">
        <f>IF(B14="","",RIGHT(TEXT(B14,"000"),1)*1)</f>
        <v/>
      </c>
      <c r="F14" s="2">
        <f>IF(B14="","",C14+D14+E14)</f>
        <v/>
      </c>
      <c r="G14" s="2">
        <f>IF(B14="","",MOD(F14,10))</f>
        <v/>
      </c>
      <c r="H14" s="2">
        <f>IF(B14="","",MAX(C14,D14,E14)-MIN(C14,D14,E14))</f>
        <v/>
      </c>
      <c r="I14" s="2">
        <f>IF(OR(B14="",H14=0),IF(H14=0,0.1,""),ROUND(F14/H14,2))</f>
        <v/>
      </c>
      <c r="J14" s="2">
        <f>IF(I14=0.1,"极紧凑",IF(I14&gt;3.5,"紧凑",IF(AND(I14&gt;=2,I14&lt;=3.5),"标准",IF(AND(I14&gt;=1,I14&lt;2),"松散",""))))</f>
        <v/>
      </c>
      <c r="K14" s="2">
        <f>IF(I14=0.1,"极紧凑-豹子号",IF(AND(I14&gt;=1,I14&lt;=1.29),"松散-极松散",IF(AND(I14&gt;=1.33,I14&lt;=1.8),"松散-标准松散",IF(AND(I14&gt;=1.83,I14&lt;=1.89),"松散-偏紧松散",IF(AND(I14&gt;=2,I14&lt;=2.5),"标准-偏松标准",IF(AND(I14&gt;=2.57,I14&lt;=3),"标准-核心标准",IF(AND(I14&gt;=3.17,I14&lt;=3.5),"标准-偏紧标准",IF(AND(I14&gt;=3.6,I14&lt;=5),"紧凑-标准紧凑",IF(AND(I14&gt;=5.25,I14&lt;=8),"紧凑-高度紧凑",IF(I14&gt;=8.5,"紧凑-极度紧凑",""))))))))))</f>
        <v/>
      </c>
      <c r="L14" s="2">
        <f>IF(I14=0.1,"极紧凑",IF(AND(I14&gt;=1,I14&lt;=1.89),"松散",IF(AND(I14&gt;=2,I14&lt;=3.5),"标准",IF(I14&gt;=3.6,"紧凑",""))))</f>
        <v/>
      </c>
      <c r="M14" s="2" t="inlineStr">
        <is>
          <t>极紧凑-豹子号</t>
        </is>
      </c>
      <c r="N14" s="2" t="inlineStr">
        <is>
          <t>松散-极松散</t>
        </is>
      </c>
      <c r="O14" s="2" t="inlineStr">
        <is>
          <t>松散-标准松散</t>
        </is>
      </c>
      <c r="P14" s="2" t="inlineStr">
        <is>
          <t>松散-偏紧松散</t>
        </is>
      </c>
      <c r="Q14" s="2" t="inlineStr">
        <is>
          <t>标准-偏松标准</t>
        </is>
      </c>
      <c r="R14" s="2" t="inlineStr">
        <is>
          <t>标准-核心标准</t>
        </is>
      </c>
      <c r="S14" s="2" t="inlineStr">
        <is>
          <t>标准-偏紧标准</t>
        </is>
      </c>
      <c r="T14" s="2" t="inlineStr">
        <is>
          <t>紧凑-标准紧凑</t>
        </is>
      </c>
      <c r="U14" s="2" t="inlineStr">
        <is>
          <t>紧凑-高度紧凑</t>
        </is>
      </c>
      <c r="V14" s="2" t="inlineStr">
        <is>
          <t>紧凑-极度紧凑</t>
        </is>
      </c>
    </row>
    <row r="15">
      <c r="A15" s="1" t="n">
        <v>2022284</v>
      </c>
      <c r="B15" s="3" t="inlineStr">
        <is>
          <t>752</t>
        </is>
      </c>
      <c r="C15" s="2">
        <f>IF(B15="","",LEFT(TEXT(B15,"000"),1)*1)</f>
        <v/>
      </c>
      <c r="D15" s="2">
        <f>IF(B15="","",MID(TEXT(B15,"000"),2,1)*1)</f>
        <v/>
      </c>
      <c r="E15" s="2">
        <f>IF(B15="","",RIGHT(TEXT(B15,"000"),1)*1)</f>
        <v/>
      </c>
      <c r="F15" s="2">
        <f>IF(B15="","",C15+D15+E15)</f>
        <v/>
      </c>
      <c r="G15" s="2">
        <f>IF(B15="","",MOD(F15,10))</f>
        <v/>
      </c>
      <c r="H15" s="2">
        <f>IF(B15="","",MAX(C15,D15,E15)-MIN(C15,D15,E15))</f>
        <v/>
      </c>
      <c r="I15" s="2">
        <f>IF(OR(B15="",H15=0),IF(H15=0,0.1,""),ROUND(F15/H15,2))</f>
        <v/>
      </c>
      <c r="J15" s="2">
        <f>IF(I15=0.1,"极紧凑",IF(I15&gt;3.5,"紧凑",IF(AND(I15&gt;=2,I15&lt;=3.5),"标准",IF(AND(I15&gt;=1,I15&lt;2),"松散",""))))</f>
        <v/>
      </c>
      <c r="K15" s="2">
        <f>IF(I15=0.1,"极紧凑-豹子号",IF(AND(I15&gt;=1,I15&lt;=1.29),"松散-极松散",IF(AND(I15&gt;=1.33,I15&lt;=1.8),"松散-标准松散",IF(AND(I15&gt;=1.83,I15&lt;=1.89),"松散-偏紧松散",IF(AND(I15&gt;=2,I15&lt;=2.5),"标准-偏松标准",IF(AND(I15&gt;=2.57,I15&lt;=3),"标准-核心标准",IF(AND(I15&gt;=3.17,I15&lt;=3.5),"标准-偏紧标准",IF(AND(I15&gt;=3.6,I15&lt;=5),"紧凑-标准紧凑",IF(AND(I15&gt;=5.25,I15&lt;=8),"紧凑-高度紧凑",IF(I15&gt;=8.5,"紧凑-极度紧凑",""))))))))))</f>
        <v/>
      </c>
      <c r="L15" s="2">
        <f>IF(I15=0.1,"极紧凑",IF(AND(I15&gt;=1,I15&lt;=1.89),"松散",IF(AND(I15&gt;=2,I15&lt;=3.5),"标准",IF(I15&gt;=3.6,"紧凑",""))))</f>
        <v/>
      </c>
      <c r="M15" s="2" t="inlineStr">
        <is>
          <t>极紧凑-豹子号</t>
        </is>
      </c>
      <c r="N15" s="2" t="inlineStr">
        <is>
          <t>松散-极松散</t>
        </is>
      </c>
      <c r="O15" s="2" t="inlineStr">
        <is>
          <t>松散-标准松散</t>
        </is>
      </c>
      <c r="P15" s="2" t="inlineStr">
        <is>
          <t>松散-偏紧松散</t>
        </is>
      </c>
      <c r="Q15" s="2" t="inlineStr">
        <is>
          <t>标准-偏松标准</t>
        </is>
      </c>
      <c r="R15" s="2" t="inlineStr">
        <is>
          <t>标准-核心标准</t>
        </is>
      </c>
      <c r="S15" s="2" t="inlineStr">
        <is>
          <t>标准-偏紧标准</t>
        </is>
      </c>
      <c r="T15" s="2" t="inlineStr">
        <is>
          <t>紧凑-标准紧凑</t>
        </is>
      </c>
      <c r="U15" s="2" t="inlineStr">
        <is>
          <t>紧凑-高度紧凑</t>
        </is>
      </c>
      <c r="V15" s="2" t="inlineStr">
        <is>
          <t>紧凑-极度紧凑</t>
        </is>
      </c>
    </row>
    <row r="16">
      <c r="A16" s="1" t="n">
        <v>2022285</v>
      </c>
      <c r="B16" s="3" t="inlineStr">
        <is>
          <t>436</t>
        </is>
      </c>
      <c r="C16" s="2">
        <f>IF(B16="","",LEFT(TEXT(B16,"000"),1)*1)</f>
        <v/>
      </c>
      <c r="D16" s="2">
        <f>IF(B16="","",MID(TEXT(B16,"000"),2,1)*1)</f>
        <v/>
      </c>
      <c r="E16" s="2">
        <f>IF(B16="","",RIGHT(TEXT(B16,"000"),1)*1)</f>
        <v/>
      </c>
      <c r="F16" s="2">
        <f>IF(B16="","",C16+D16+E16)</f>
        <v/>
      </c>
      <c r="G16" s="2">
        <f>IF(B16="","",MOD(F16,10))</f>
        <v/>
      </c>
      <c r="H16" s="2">
        <f>IF(B16="","",MAX(C16,D16,E16)-MIN(C16,D16,E16))</f>
        <v/>
      </c>
      <c r="I16" s="2">
        <f>IF(OR(B16="",H16=0),IF(H16=0,0.1,""),ROUND(F16/H16,2))</f>
        <v/>
      </c>
      <c r="J16" s="2">
        <f>IF(I16=0.1,"极紧凑",IF(I16&gt;3.5,"紧凑",IF(AND(I16&gt;=2,I16&lt;=3.5),"标准",IF(AND(I16&gt;=1,I16&lt;2),"松散",""))))</f>
        <v/>
      </c>
      <c r="K16" s="2">
        <f>IF(I16=0.1,"极紧凑-豹子号",IF(AND(I16&gt;=1,I16&lt;=1.29),"松散-极松散",IF(AND(I16&gt;=1.33,I16&lt;=1.8),"松散-标准松散",IF(AND(I16&gt;=1.83,I16&lt;=1.89),"松散-偏紧松散",IF(AND(I16&gt;=2,I16&lt;=2.5),"标准-偏松标准",IF(AND(I16&gt;=2.57,I16&lt;=3),"标准-核心标准",IF(AND(I16&gt;=3.17,I16&lt;=3.5),"标准-偏紧标准",IF(AND(I16&gt;=3.6,I16&lt;=5),"紧凑-标准紧凑",IF(AND(I16&gt;=5.25,I16&lt;=8),"紧凑-高度紧凑",IF(I16&gt;=8.5,"紧凑-极度紧凑",""))))))))))</f>
        <v/>
      </c>
      <c r="L16" s="2">
        <f>IF(I16=0.1,"极紧凑",IF(AND(I16&gt;=1,I16&lt;=1.89),"松散",IF(AND(I16&gt;=2,I16&lt;=3.5),"标准",IF(I16&gt;=3.6,"紧凑",""))))</f>
        <v/>
      </c>
      <c r="M16" s="2" t="inlineStr">
        <is>
          <t>极紧凑-豹子号</t>
        </is>
      </c>
      <c r="N16" s="2" t="inlineStr">
        <is>
          <t>松散-极松散</t>
        </is>
      </c>
      <c r="O16" s="2" t="inlineStr">
        <is>
          <t>松散-标准松散</t>
        </is>
      </c>
      <c r="P16" s="2" t="inlineStr">
        <is>
          <t>松散-偏紧松散</t>
        </is>
      </c>
      <c r="Q16" s="2" t="inlineStr">
        <is>
          <t>标准-偏松标准</t>
        </is>
      </c>
      <c r="R16" s="2" t="inlineStr">
        <is>
          <t>标准-核心标准</t>
        </is>
      </c>
      <c r="S16" s="2" t="inlineStr">
        <is>
          <t>标准-偏紧标准</t>
        </is>
      </c>
      <c r="T16" s="2" t="inlineStr">
        <is>
          <t>紧凑-标准紧凑</t>
        </is>
      </c>
      <c r="U16" s="2" t="inlineStr">
        <is>
          <t>紧凑-高度紧凑</t>
        </is>
      </c>
      <c r="V16" s="2" t="inlineStr">
        <is>
          <t>紧凑-极度紧凑</t>
        </is>
      </c>
    </row>
    <row r="17">
      <c r="A17" s="1" t="n">
        <v>2022286</v>
      </c>
      <c r="B17" s="3" t="inlineStr">
        <is>
          <t>980</t>
        </is>
      </c>
      <c r="C17" s="2">
        <f>IF(B17="","",LEFT(TEXT(B17,"000"),1)*1)</f>
        <v/>
      </c>
      <c r="D17" s="2">
        <f>IF(B17="","",MID(TEXT(B17,"000"),2,1)*1)</f>
        <v/>
      </c>
      <c r="E17" s="2">
        <f>IF(B17="","",RIGHT(TEXT(B17,"000"),1)*1)</f>
        <v/>
      </c>
      <c r="F17" s="2">
        <f>IF(B17="","",C17+D17+E17)</f>
        <v/>
      </c>
      <c r="G17" s="2">
        <f>IF(B17="","",MOD(F17,10))</f>
        <v/>
      </c>
      <c r="H17" s="2">
        <f>IF(B17="","",MAX(C17,D17,E17)-MIN(C17,D17,E17))</f>
        <v/>
      </c>
      <c r="I17" s="2">
        <f>IF(OR(B17="",H17=0),IF(H17=0,0.1,""),ROUND(F17/H17,2))</f>
        <v/>
      </c>
      <c r="J17" s="2">
        <f>IF(I17=0.1,"极紧凑",IF(I17&gt;3.5,"紧凑",IF(AND(I17&gt;=2,I17&lt;=3.5),"标准",IF(AND(I17&gt;=1,I17&lt;2),"松散",""))))</f>
        <v/>
      </c>
      <c r="K17" s="2">
        <f>IF(I17=0.1,"极紧凑-豹子号",IF(AND(I17&gt;=1,I17&lt;=1.29),"松散-极松散",IF(AND(I17&gt;=1.33,I17&lt;=1.8),"松散-标准松散",IF(AND(I17&gt;=1.83,I17&lt;=1.89),"松散-偏紧松散",IF(AND(I17&gt;=2,I17&lt;=2.5),"标准-偏松标准",IF(AND(I17&gt;=2.57,I17&lt;=3),"标准-核心标准",IF(AND(I17&gt;=3.17,I17&lt;=3.5),"标准-偏紧标准",IF(AND(I17&gt;=3.6,I17&lt;=5),"紧凑-标准紧凑",IF(AND(I17&gt;=5.25,I17&lt;=8),"紧凑-高度紧凑",IF(I17&gt;=8.5,"紧凑-极度紧凑",""))))))))))</f>
        <v/>
      </c>
      <c r="L17" s="2">
        <f>IF(I17=0.1,"极紧凑",IF(AND(I17&gt;=1,I17&lt;=1.89),"松散",IF(AND(I17&gt;=2,I17&lt;=3.5),"标准",IF(I17&gt;=3.6,"紧凑",""))))</f>
        <v/>
      </c>
      <c r="M17" s="2" t="inlineStr">
        <is>
          <t>极紧凑-豹子号</t>
        </is>
      </c>
      <c r="N17" s="2" t="inlineStr">
        <is>
          <t>松散-极松散</t>
        </is>
      </c>
      <c r="O17" s="2" t="inlineStr">
        <is>
          <t>松散-标准松散</t>
        </is>
      </c>
      <c r="P17" s="2" t="inlineStr">
        <is>
          <t>松散-偏紧松散</t>
        </is>
      </c>
      <c r="Q17" s="2" t="inlineStr">
        <is>
          <t>标准-偏松标准</t>
        </is>
      </c>
      <c r="R17" s="2" t="inlineStr">
        <is>
          <t>标准-核心标准</t>
        </is>
      </c>
      <c r="S17" s="2" t="inlineStr">
        <is>
          <t>标准-偏紧标准</t>
        </is>
      </c>
      <c r="T17" s="2" t="inlineStr">
        <is>
          <t>紧凑-标准紧凑</t>
        </is>
      </c>
      <c r="U17" s="2" t="inlineStr">
        <is>
          <t>紧凑-高度紧凑</t>
        </is>
      </c>
      <c r="V17" s="2" t="inlineStr">
        <is>
          <t>紧凑-极度紧凑</t>
        </is>
      </c>
    </row>
    <row r="18">
      <c r="A18" s="1" t="n">
        <v>2022287</v>
      </c>
      <c r="B18" s="3" t="inlineStr">
        <is>
          <t>746</t>
        </is>
      </c>
      <c r="C18" s="2">
        <f>IF(B18="","",LEFT(TEXT(B18,"000"),1)*1)</f>
        <v/>
      </c>
      <c r="D18" s="2">
        <f>IF(B18="","",MID(TEXT(B18,"000"),2,1)*1)</f>
        <v/>
      </c>
      <c r="E18" s="2">
        <f>IF(B18="","",RIGHT(TEXT(B18,"000"),1)*1)</f>
        <v/>
      </c>
      <c r="F18" s="2">
        <f>IF(B18="","",C18+D18+E18)</f>
        <v/>
      </c>
      <c r="G18" s="2">
        <f>IF(B18="","",MOD(F18,10))</f>
        <v/>
      </c>
      <c r="H18" s="2">
        <f>IF(B18="","",MAX(C18,D18,E18)-MIN(C18,D18,E18))</f>
        <v/>
      </c>
      <c r="I18" s="2">
        <f>IF(OR(B18="",H18=0),IF(H18=0,0.1,""),ROUND(F18/H18,2))</f>
        <v/>
      </c>
      <c r="J18" s="2">
        <f>IF(I18=0.1,"极紧凑",IF(I18&gt;3.5,"紧凑",IF(AND(I18&gt;=2,I18&lt;=3.5),"标准",IF(AND(I18&gt;=1,I18&lt;2),"松散",""))))</f>
        <v/>
      </c>
      <c r="K18" s="2">
        <f>IF(I18=0.1,"极紧凑-豹子号",IF(AND(I18&gt;=1,I18&lt;=1.29),"松散-极松散",IF(AND(I18&gt;=1.33,I18&lt;=1.8),"松散-标准松散",IF(AND(I18&gt;=1.83,I18&lt;=1.89),"松散-偏紧松散",IF(AND(I18&gt;=2,I18&lt;=2.5),"标准-偏松标准",IF(AND(I18&gt;=2.57,I18&lt;=3),"标准-核心标准",IF(AND(I18&gt;=3.17,I18&lt;=3.5),"标准-偏紧标准",IF(AND(I18&gt;=3.6,I18&lt;=5),"紧凑-标准紧凑",IF(AND(I18&gt;=5.25,I18&lt;=8),"紧凑-高度紧凑",IF(I18&gt;=8.5,"紧凑-极度紧凑",""))))))))))</f>
        <v/>
      </c>
      <c r="L18" s="2">
        <f>IF(I18=0.1,"极紧凑",IF(AND(I18&gt;=1,I18&lt;=1.89),"松散",IF(AND(I18&gt;=2,I18&lt;=3.5),"标准",IF(I18&gt;=3.6,"紧凑",""))))</f>
        <v/>
      </c>
      <c r="M18" s="2" t="inlineStr">
        <is>
          <t>极紧凑-豹子号</t>
        </is>
      </c>
      <c r="N18" s="2" t="inlineStr">
        <is>
          <t>松散-极松散</t>
        </is>
      </c>
      <c r="O18" s="2" t="inlineStr">
        <is>
          <t>松散-标准松散</t>
        </is>
      </c>
      <c r="P18" s="2" t="inlineStr">
        <is>
          <t>松散-偏紧松散</t>
        </is>
      </c>
      <c r="Q18" s="2" t="inlineStr">
        <is>
          <t>标准-偏松标准</t>
        </is>
      </c>
      <c r="R18" s="2" t="inlineStr">
        <is>
          <t>标准-核心标准</t>
        </is>
      </c>
      <c r="S18" s="2" t="inlineStr">
        <is>
          <t>标准-偏紧标准</t>
        </is>
      </c>
      <c r="T18" s="2" t="inlineStr">
        <is>
          <t>紧凑-标准紧凑</t>
        </is>
      </c>
      <c r="U18" s="2" t="inlineStr">
        <is>
          <t>紧凑-高度紧凑</t>
        </is>
      </c>
      <c r="V18" s="2" t="inlineStr">
        <is>
          <t>紧凑-极度紧凑</t>
        </is>
      </c>
    </row>
    <row r="19">
      <c r="A19" s="1" t="n">
        <v>2022288</v>
      </c>
      <c r="B19" s="3" t="inlineStr">
        <is>
          <t>561</t>
        </is>
      </c>
      <c r="C19" s="2">
        <f>IF(B19="","",LEFT(TEXT(B19,"000"),1)*1)</f>
        <v/>
      </c>
      <c r="D19" s="2">
        <f>IF(B19="","",MID(TEXT(B19,"000"),2,1)*1)</f>
        <v/>
      </c>
      <c r="E19" s="2">
        <f>IF(B19="","",RIGHT(TEXT(B19,"000"),1)*1)</f>
        <v/>
      </c>
      <c r="F19" s="2">
        <f>IF(B19="","",C19+D19+E19)</f>
        <v/>
      </c>
      <c r="G19" s="2">
        <f>IF(B19="","",MOD(F19,10))</f>
        <v/>
      </c>
      <c r="H19" s="2">
        <f>IF(B19="","",MAX(C19,D19,E19)-MIN(C19,D19,E19))</f>
        <v/>
      </c>
      <c r="I19" s="2">
        <f>IF(OR(B19="",H19=0),IF(H19=0,0.1,""),ROUND(F19/H19,2))</f>
        <v/>
      </c>
      <c r="J19" s="2">
        <f>IF(I19=0.1,"极紧凑",IF(I19&gt;3.5,"紧凑",IF(AND(I19&gt;=2,I19&lt;=3.5),"标准",IF(AND(I19&gt;=1,I19&lt;2),"松散",""))))</f>
        <v/>
      </c>
      <c r="K19" s="2">
        <f>IF(I19=0.1,"极紧凑-豹子号",IF(AND(I19&gt;=1,I19&lt;=1.29),"松散-极松散",IF(AND(I19&gt;=1.33,I19&lt;=1.8),"松散-标准松散",IF(AND(I19&gt;=1.83,I19&lt;=1.89),"松散-偏紧松散",IF(AND(I19&gt;=2,I19&lt;=2.5),"标准-偏松标准",IF(AND(I19&gt;=2.57,I19&lt;=3),"标准-核心标准",IF(AND(I19&gt;=3.17,I19&lt;=3.5),"标准-偏紧标准",IF(AND(I19&gt;=3.6,I19&lt;=5),"紧凑-标准紧凑",IF(AND(I19&gt;=5.25,I19&lt;=8),"紧凑-高度紧凑",IF(I19&gt;=8.5,"紧凑-极度紧凑",""))))))))))</f>
        <v/>
      </c>
      <c r="L19" s="2">
        <f>IF(I19=0.1,"极紧凑",IF(AND(I19&gt;=1,I19&lt;=1.89),"松散",IF(AND(I19&gt;=2,I19&lt;=3.5),"标准",IF(I19&gt;=3.6,"紧凑",""))))</f>
        <v/>
      </c>
      <c r="M19" s="2" t="inlineStr">
        <is>
          <t>极紧凑-豹子号</t>
        </is>
      </c>
      <c r="N19" s="2" t="inlineStr">
        <is>
          <t>松散-极松散</t>
        </is>
      </c>
      <c r="O19" s="2" t="inlineStr">
        <is>
          <t>松散-标准松散</t>
        </is>
      </c>
      <c r="P19" s="2" t="inlineStr">
        <is>
          <t>松散-偏紧松散</t>
        </is>
      </c>
      <c r="Q19" s="2" t="inlineStr">
        <is>
          <t>标准-偏松标准</t>
        </is>
      </c>
      <c r="R19" s="2" t="inlineStr">
        <is>
          <t>标准-核心标准</t>
        </is>
      </c>
      <c r="S19" s="2" t="inlineStr">
        <is>
          <t>标准-偏紧标准</t>
        </is>
      </c>
      <c r="T19" s="2" t="inlineStr">
        <is>
          <t>紧凑-标准紧凑</t>
        </is>
      </c>
      <c r="U19" s="2" t="inlineStr">
        <is>
          <t>紧凑-高度紧凑</t>
        </is>
      </c>
      <c r="V19" s="2" t="inlineStr">
        <is>
          <t>紧凑-极度紧凑</t>
        </is>
      </c>
    </row>
    <row r="20">
      <c r="A20" s="1" t="n">
        <v>2022289</v>
      </c>
      <c r="B20" s="3" t="inlineStr">
        <is>
          <t>769</t>
        </is>
      </c>
      <c r="C20" s="2">
        <f>IF(B20="","",LEFT(TEXT(B20,"000"),1)*1)</f>
        <v/>
      </c>
      <c r="D20" s="2">
        <f>IF(B20="","",MID(TEXT(B20,"000"),2,1)*1)</f>
        <v/>
      </c>
      <c r="E20" s="2">
        <f>IF(B20="","",RIGHT(TEXT(B20,"000"),1)*1)</f>
        <v/>
      </c>
      <c r="F20" s="2">
        <f>IF(B20="","",C20+D20+E20)</f>
        <v/>
      </c>
      <c r="G20" s="2">
        <f>IF(B20="","",MOD(F20,10))</f>
        <v/>
      </c>
      <c r="H20" s="2">
        <f>IF(B20="","",MAX(C20,D20,E20)-MIN(C20,D20,E20))</f>
        <v/>
      </c>
      <c r="I20" s="2">
        <f>IF(OR(B20="",H20=0),IF(H20=0,0.1,""),ROUND(F20/H20,2))</f>
        <v/>
      </c>
      <c r="J20" s="2">
        <f>IF(I20=0.1,"极紧凑",IF(I20&gt;3.5,"紧凑",IF(AND(I20&gt;=2,I20&lt;=3.5),"标准",IF(AND(I20&gt;=1,I20&lt;2),"松散",""))))</f>
        <v/>
      </c>
      <c r="K20" s="2">
        <f>IF(I20=0.1,"极紧凑-豹子号",IF(AND(I20&gt;=1,I20&lt;=1.29),"松散-极松散",IF(AND(I20&gt;=1.33,I20&lt;=1.8),"松散-标准松散",IF(AND(I20&gt;=1.83,I20&lt;=1.89),"松散-偏紧松散",IF(AND(I20&gt;=2,I20&lt;=2.5),"标准-偏松标准",IF(AND(I20&gt;=2.57,I20&lt;=3),"标准-核心标准",IF(AND(I20&gt;=3.17,I20&lt;=3.5),"标准-偏紧标准",IF(AND(I20&gt;=3.6,I20&lt;=5),"紧凑-标准紧凑",IF(AND(I20&gt;=5.25,I20&lt;=8),"紧凑-高度紧凑",IF(I20&gt;=8.5,"紧凑-极度紧凑",""))))))))))</f>
        <v/>
      </c>
      <c r="L20" s="2">
        <f>IF(I20=0.1,"极紧凑",IF(AND(I20&gt;=1,I20&lt;=1.89),"松散",IF(AND(I20&gt;=2,I20&lt;=3.5),"标准",IF(I20&gt;=3.6,"紧凑",""))))</f>
        <v/>
      </c>
      <c r="M20" s="2" t="inlineStr">
        <is>
          <t>极紧凑-豹子号</t>
        </is>
      </c>
      <c r="N20" s="2" t="inlineStr">
        <is>
          <t>松散-极松散</t>
        </is>
      </c>
      <c r="O20" s="2" t="inlineStr">
        <is>
          <t>松散-标准松散</t>
        </is>
      </c>
      <c r="P20" s="2" t="inlineStr">
        <is>
          <t>松散-偏紧松散</t>
        </is>
      </c>
      <c r="Q20" s="2" t="inlineStr">
        <is>
          <t>标准-偏松标准</t>
        </is>
      </c>
      <c r="R20" s="2" t="inlineStr">
        <is>
          <t>标准-核心标准</t>
        </is>
      </c>
      <c r="S20" s="2" t="inlineStr">
        <is>
          <t>标准-偏紧标准</t>
        </is>
      </c>
      <c r="T20" s="2" t="inlineStr">
        <is>
          <t>紧凑-标准紧凑</t>
        </is>
      </c>
      <c r="U20" s="2" t="inlineStr">
        <is>
          <t>紧凑-高度紧凑</t>
        </is>
      </c>
      <c r="V20" s="2" t="inlineStr">
        <is>
          <t>紧凑-极度紧凑</t>
        </is>
      </c>
    </row>
    <row r="21">
      <c r="A21" s="1" t="n">
        <v>2022290</v>
      </c>
      <c r="B21" s="3" t="inlineStr">
        <is>
          <t>837</t>
        </is>
      </c>
      <c r="C21" s="2">
        <f>IF(B21="","",LEFT(TEXT(B21,"000"),1)*1)</f>
        <v/>
      </c>
      <c r="D21" s="2">
        <f>IF(B21="","",MID(TEXT(B21,"000"),2,1)*1)</f>
        <v/>
      </c>
      <c r="E21" s="2">
        <f>IF(B21="","",RIGHT(TEXT(B21,"000"),1)*1)</f>
        <v/>
      </c>
      <c r="F21" s="2">
        <f>IF(B21="","",C21+D21+E21)</f>
        <v/>
      </c>
      <c r="G21" s="2">
        <f>IF(B21="","",MOD(F21,10))</f>
        <v/>
      </c>
      <c r="H21" s="2">
        <f>IF(B21="","",MAX(C21,D21,E21)-MIN(C21,D21,E21))</f>
        <v/>
      </c>
      <c r="I21" s="2">
        <f>IF(OR(B21="",H21=0),IF(H21=0,0.1,""),ROUND(F21/H21,2))</f>
        <v/>
      </c>
      <c r="J21" s="2">
        <f>IF(I21=0.1,"极紧凑",IF(I21&gt;3.5,"紧凑",IF(AND(I21&gt;=2,I21&lt;=3.5),"标准",IF(AND(I21&gt;=1,I21&lt;2),"松散",""))))</f>
        <v/>
      </c>
      <c r="K21" s="2">
        <f>IF(I21=0.1,"极紧凑-豹子号",IF(AND(I21&gt;=1,I21&lt;=1.29),"松散-极松散",IF(AND(I21&gt;=1.33,I21&lt;=1.8),"松散-标准松散",IF(AND(I21&gt;=1.83,I21&lt;=1.89),"松散-偏紧松散",IF(AND(I21&gt;=2,I21&lt;=2.5),"标准-偏松标准",IF(AND(I21&gt;=2.57,I21&lt;=3),"标准-核心标准",IF(AND(I21&gt;=3.17,I21&lt;=3.5),"标准-偏紧标准",IF(AND(I21&gt;=3.6,I21&lt;=5),"紧凑-标准紧凑",IF(AND(I21&gt;=5.25,I21&lt;=8),"紧凑-高度紧凑",IF(I21&gt;=8.5,"紧凑-极度紧凑",""))))))))))</f>
        <v/>
      </c>
      <c r="L21" s="2">
        <f>IF(I21=0.1,"极紧凑",IF(AND(I21&gt;=1,I21&lt;=1.89),"松散",IF(AND(I21&gt;=2,I21&lt;=3.5),"标准",IF(I21&gt;=3.6,"紧凑",""))))</f>
        <v/>
      </c>
      <c r="M21" s="2" t="inlineStr">
        <is>
          <t>极紧凑-豹子号</t>
        </is>
      </c>
      <c r="N21" s="2" t="inlineStr">
        <is>
          <t>松散-极松散</t>
        </is>
      </c>
      <c r="O21" s="2" t="inlineStr">
        <is>
          <t>松散-标准松散</t>
        </is>
      </c>
      <c r="P21" s="2" t="inlineStr">
        <is>
          <t>松散-偏紧松散</t>
        </is>
      </c>
      <c r="Q21" s="2" t="inlineStr">
        <is>
          <t>标准-偏松标准</t>
        </is>
      </c>
      <c r="R21" s="2" t="inlineStr">
        <is>
          <t>标准-核心标准</t>
        </is>
      </c>
      <c r="S21" s="2" t="inlineStr">
        <is>
          <t>标准-偏紧标准</t>
        </is>
      </c>
      <c r="T21" s="2" t="inlineStr">
        <is>
          <t>紧凑-标准紧凑</t>
        </is>
      </c>
      <c r="U21" s="2" t="inlineStr">
        <is>
          <t>紧凑-高度紧凑</t>
        </is>
      </c>
      <c r="V21" s="2" t="inlineStr">
        <is>
          <t>紧凑-极度紧凑</t>
        </is>
      </c>
    </row>
    <row r="22">
      <c r="A22" s="1" t="n">
        <v>2022291</v>
      </c>
      <c r="B22" s="3" t="inlineStr">
        <is>
          <t>633</t>
        </is>
      </c>
      <c r="C22" s="2">
        <f>IF(B22="","",LEFT(TEXT(B22,"000"),1)*1)</f>
        <v/>
      </c>
      <c r="D22" s="2">
        <f>IF(B22="","",MID(TEXT(B22,"000"),2,1)*1)</f>
        <v/>
      </c>
      <c r="E22" s="2">
        <f>IF(B22="","",RIGHT(TEXT(B22,"000"),1)*1)</f>
        <v/>
      </c>
      <c r="F22" s="2">
        <f>IF(B22="","",C22+D22+E22)</f>
        <v/>
      </c>
      <c r="G22" s="2">
        <f>IF(B22="","",MOD(F22,10))</f>
        <v/>
      </c>
      <c r="H22" s="2">
        <f>IF(B22="","",MAX(C22,D22,E22)-MIN(C22,D22,E22))</f>
        <v/>
      </c>
      <c r="I22" s="2">
        <f>IF(OR(B22="",H22=0),IF(H22=0,0.1,""),ROUND(F22/H22,2))</f>
        <v/>
      </c>
      <c r="J22" s="2">
        <f>IF(I22=0.1,"极紧凑",IF(I22&gt;3.5,"紧凑",IF(AND(I22&gt;=2,I22&lt;=3.5),"标准",IF(AND(I22&gt;=1,I22&lt;2),"松散",""))))</f>
        <v/>
      </c>
      <c r="K22" s="2">
        <f>IF(I22=0.1,"极紧凑-豹子号",IF(AND(I22&gt;=1,I22&lt;=1.29),"松散-极松散",IF(AND(I22&gt;=1.33,I22&lt;=1.8),"松散-标准松散",IF(AND(I22&gt;=1.83,I22&lt;=1.89),"松散-偏紧松散",IF(AND(I22&gt;=2,I22&lt;=2.5),"标准-偏松标准",IF(AND(I22&gt;=2.57,I22&lt;=3),"标准-核心标准",IF(AND(I22&gt;=3.17,I22&lt;=3.5),"标准-偏紧标准",IF(AND(I22&gt;=3.6,I22&lt;=5),"紧凑-标准紧凑",IF(AND(I22&gt;=5.25,I22&lt;=8),"紧凑-高度紧凑",IF(I22&gt;=8.5,"紧凑-极度紧凑",""))))))))))</f>
        <v/>
      </c>
      <c r="L22" s="2">
        <f>IF(I22=0.1,"极紧凑",IF(AND(I22&gt;=1,I22&lt;=1.89),"松散",IF(AND(I22&gt;=2,I22&lt;=3.5),"标准",IF(I22&gt;=3.6,"紧凑",""))))</f>
        <v/>
      </c>
      <c r="M22" s="2" t="inlineStr">
        <is>
          <t>极紧凑-豹子号</t>
        </is>
      </c>
      <c r="N22" s="2" t="inlineStr">
        <is>
          <t>松散-极松散</t>
        </is>
      </c>
      <c r="O22" s="2" t="inlineStr">
        <is>
          <t>松散-标准松散</t>
        </is>
      </c>
      <c r="P22" s="2" t="inlineStr">
        <is>
          <t>松散-偏紧松散</t>
        </is>
      </c>
      <c r="Q22" s="2" t="inlineStr">
        <is>
          <t>标准-偏松标准</t>
        </is>
      </c>
      <c r="R22" s="2" t="inlineStr">
        <is>
          <t>标准-核心标准</t>
        </is>
      </c>
      <c r="S22" s="2" t="inlineStr">
        <is>
          <t>标准-偏紧标准</t>
        </is>
      </c>
      <c r="T22" s="2" t="inlineStr">
        <is>
          <t>紧凑-标准紧凑</t>
        </is>
      </c>
      <c r="U22" s="2" t="inlineStr">
        <is>
          <t>紧凑-高度紧凑</t>
        </is>
      </c>
      <c r="V22" s="2" t="inlineStr">
        <is>
          <t>紧凑-极度紧凑</t>
        </is>
      </c>
    </row>
    <row r="23">
      <c r="A23" s="1" t="n">
        <v>2022292</v>
      </c>
      <c r="B23" s="3" t="inlineStr">
        <is>
          <t>977</t>
        </is>
      </c>
      <c r="C23" s="2">
        <f>IF(B23="","",LEFT(TEXT(B23,"000"),1)*1)</f>
        <v/>
      </c>
      <c r="D23" s="2">
        <f>IF(B23="","",MID(TEXT(B23,"000"),2,1)*1)</f>
        <v/>
      </c>
      <c r="E23" s="2">
        <f>IF(B23="","",RIGHT(TEXT(B23,"000"),1)*1)</f>
        <v/>
      </c>
      <c r="F23" s="2">
        <f>IF(B23="","",C23+D23+E23)</f>
        <v/>
      </c>
      <c r="G23" s="2">
        <f>IF(B23="","",MOD(F23,10))</f>
        <v/>
      </c>
      <c r="H23" s="2">
        <f>IF(B23="","",MAX(C23,D23,E23)-MIN(C23,D23,E23))</f>
        <v/>
      </c>
      <c r="I23" s="2">
        <f>IF(OR(B23="",H23=0),IF(H23=0,0.1,""),ROUND(F23/H23,2))</f>
        <v/>
      </c>
      <c r="J23" s="2">
        <f>IF(I23=0.1,"极紧凑",IF(I23&gt;3.5,"紧凑",IF(AND(I23&gt;=2,I23&lt;=3.5),"标准",IF(AND(I23&gt;=1,I23&lt;2),"松散",""))))</f>
        <v/>
      </c>
      <c r="K23" s="2">
        <f>IF(I23=0.1,"极紧凑-豹子号",IF(AND(I23&gt;=1,I23&lt;=1.29),"松散-极松散",IF(AND(I23&gt;=1.33,I23&lt;=1.8),"松散-标准松散",IF(AND(I23&gt;=1.83,I23&lt;=1.89),"松散-偏紧松散",IF(AND(I23&gt;=2,I23&lt;=2.5),"标准-偏松标准",IF(AND(I23&gt;=2.57,I23&lt;=3),"标准-核心标准",IF(AND(I23&gt;=3.17,I23&lt;=3.5),"标准-偏紧标准",IF(AND(I23&gt;=3.6,I23&lt;=5),"紧凑-标准紧凑",IF(AND(I23&gt;=5.25,I23&lt;=8),"紧凑-高度紧凑",IF(I23&gt;=8.5,"紧凑-极度紧凑",""))))))))))</f>
        <v/>
      </c>
      <c r="L23" s="2">
        <f>IF(I23=0.1,"极紧凑",IF(AND(I23&gt;=1,I23&lt;=1.89),"松散",IF(AND(I23&gt;=2,I23&lt;=3.5),"标准",IF(I23&gt;=3.6,"紧凑",""))))</f>
        <v/>
      </c>
      <c r="M23" s="2" t="inlineStr">
        <is>
          <t>极紧凑-豹子号</t>
        </is>
      </c>
      <c r="N23" s="2" t="inlineStr">
        <is>
          <t>松散-极松散</t>
        </is>
      </c>
      <c r="O23" s="2" t="inlineStr">
        <is>
          <t>松散-标准松散</t>
        </is>
      </c>
      <c r="P23" s="2" t="inlineStr">
        <is>
          <t>松散-偏紧松散</t>
        </is>
      </c>
      <c r="Q23" s="2" t="inlineStr">
        <is>
          <t>标准-偏松标准</t>
        </is>
      </c>
      <c r="R23" s="2" t="inlineStr">
        <is>
          <t>标准-核心标准</t>
        </is>
      </c>
      <c r="S23" s="2" t="inlineStr">
        <is>
          <t>标准-偏紧标准</t>
        </is>
      </c>
      <c r="T23" s="2" t="inlineStr">
        <is>
          <t>紧凑-标准紧凑</t>
        </is>
      </c>
      <c r="U23" s="2" t="inlineStr">
        <is>
          <t>紧凑-高度紧凑</t>
        </is>
      </c>
      <c r="V23" s="2" t="inlineStr">
        <is>
          <t>紧凑-极度紧凑</t>
        </is>
      </c>
    </row>
    <row r="24">
      <c r="A24" s="1" t="n">
        <v>2022293</v>
      </c>
      <c r="B24" s="3" t="inlineStr">
        <is>
          <t>385</t>
        </is>
      </c>
      <c r="C24" s="2">
        <f>IF(B24="","",LEFT(TEXT(B24,"000"),1)*1)</f>
        <v/>
      </c>
      <c r="D24" s="2">
        <f>IF(B24="","",MID(TEXT(B24,"000"),2,1)*1)</f>
        <v/>
      </c>
      <c r="E24" s="2">
        <f>IF(B24="","",RIGHT(TEXT(B24,"000"),1)*1)</f>
        <v/>
      </c>
      <c r="F24" s="2">
        <f>IF(B24="","",C24+D24+E24)</f>
        <v/>
      </c>
      <c r="G24" s="2">
        <f>IF(B24="","",MOD(F24,10))</f>
        <v/>
      </c>
      <c r="H24" s="2">
        <f>IF(B24="","",MAX(C24,D24,E24)-MIN(C24,D24,E24))</f>
        <v/>
      </c>
      <c r="I24" s="2">
        <f>IF(OR(B24="",H24=0),IF(H24=0,0.1,""),ROUND(F24/H24,2))</f>
        <v/>
      </c>
      <c r="J24" s="2">
        <f>IF(I24=0.1,"极紧凑",IF(I24&gt;3.5,"紧凑",IF(AND(I24&gt;=2,I24&lt;=3.5),"标准",IF(AND(I24&gt;=1,I24&lt;2),"松散",""))))</f>
        <v/>
      </c>
      <c r="K24" s="2">
        <f>IF(I24=0.1,"极紧凑-豹子号",IF(AND(I24&gt;=1,I24&lt;=1.29),"松散-极松散",IF(AND(I24&gt;=1.33,I24&lt;=1.8),"松散-标准松散",IF(AND(I24&gt;=1.83,I24&lt;=1.89),"松散-偏紧松散",IF(AND(I24&gt;=2,I24&lt;=2.5),"标准-偏松标准",IF(AND(I24&gt;=2.57,I24&lt;=3),"标准-核心标准",IF(AND(I24&gt;=3.17,I24&lt;=3.5),"标准-偏紧标准",IF(AND(I24&gt;=3.6,I24&lt;=5),"紧凑-标准紧凑",IF(AND(I24&gt;=5.25,I24&lt;=8),"紧凑-高度紧凑",IF(I24&gt;=8.5,"紧凑-极度紧凑",""))))))))))</f>
        <v/>
      </c>
      <c r="L24" s="2">
        <f>IF(I24=0.1,"极紧凑",IF(AND(I24&gt;=1,I24&lt;=1.89),"松散",IF(AND(I24&gt;=2,I24&lt;=3.5),"标准",IF(I24&gt;=3.6,"紧凑",""))))</f>
        <v/>
      </c>
      <c r="M24" s="2" t="inlineStr">
        <is>
          <t>极紧凑-豹子号</t>
        </is>
      </c>
      <c r="N24" s="2" t="inlineStr">
        <is>
          <t>松散-极松散</t>
        </is>
      </c>
      <c r="O24" s="2" t="inlineStr">
        <is>
          <t>松散-标准松散</t>
        </is>
      </c>
      <c r="P24" s="2" t="inlineStr">
        <is>
          <t>松散-偏紧松散</t>
        </is>
      </c>
      <c r="Q24" s="2" t="inlineStr">
        <is>
          <t>标准-偏松标准</t>
        </is>
      </c>
      <c r="R24" s="2" t="inlineStr">
        <is>
          <t>标准-核心标准</t>
        </is>
      </c>
      <c r="S24" s="2" t="inlineStr">
        <is>
          <t>标准-偏紧标准</t>
        </is>
      </c>
      <c r="T24" s="2" t="inlineStr">
        <is>
          <t>紧凑-标准紧凑</t>
        </is>
      </c>
      <c r="U24" s="2" t="inlineStr">
        <is>
          <t>紧凑-高度紧凑</t>
        </is>
      </c>
      <c r="V24" s="2" t="inlineStr">
        <is>
          <t>紧凑-极度紧凑</t>
        </is>
      </c>
    </row>
    <row r="25">
      <c r="A25" s="1" t="n">
        <v>2022294</v>
      </c>
      <c r="B25" s="3" t="inlineStr">
        <is>
          <t>666</t>
        </is>
      </c>
      <c r="C25" s="2">
        <f>IF(B25="","",LEFT(TEXT(B25,"000"),1)*1)</f>
        <v/>
      </c>
      <c r="D25" s="2">
        <f>IF(B25="","",MID(TEXT(B25,"000"),2,1)*1)</f>
        <v/>
      </c>
      <c r="E25" s="2">
        <f>IF(B25="","",RIGHT(TEXT(B25,"000"),1)*1)</f>
        <v/>
      </c>
      <c r="F25" s="2">
        <f>IF(B25="","",C25+D25+E25)</f>
        <v/>
      </c>
      <c r="G25" s="2">
        <f>IF(B25="","",MOD(F25,10))</f>
        <v/>
      </c>
      <c r="H25" s="2">
        <f>IF(B25="","",MAX(C25,D25,E25)-MIN(C25,D25,E25))</f>
        <v/>
      </c>
      <c r="I25" s="2">
        <f>IF(OR(B25="",H25=0),IF(H25=0,0.1,""),ROUND(F25/H25,2))</f>
        <v/>
      </c>
      <c r="J25" s="2">
        <f>IF(I25=0.1,"极紧凑",IF(I25&gt;3.5,"紧凑",IF(AND(I25&gt;=2,I25&lt;=3.5),"标准",IF(AND(I25&gt;=1,I25&lt;2),"松散",""))))</f>
        <v/>
      </c>
      <c r="K25" s="2">
        <f>IF(I25=0.1,"极紧凑-豹子号",IF(AND(I25&gt;=1,I25&lt;=1.29),"松散-极松散",IF(AND(I25&gt;=1.33,I25&lt;=1.8),"松散-标准松散",IF(AND(I25&gt;=1.83,I25&lt;=1.89),"松散-偏紧松散",IF(AND(I25&gt;=2,I25&lt;=2.5),"标准-偏松标准",IF(AND(I25&gt;=2.57,I25&lt;=3),"标准-核心标准",IF(AND(I25&gt;=3.17,I25&lt;=3.5),"标准-偏紧标准",IF(AND(I25&gt;=3.6,I25&lt;=5),"紧凑-标准紧凑",IF(AND(I25&gt;=5.25,I25&lt;=8),"紧凑-高度紧凑",IF(I25&gt;=8.5,"紧凑-极度紧凑",""))))))))))</f>
        <v/>
      </c>
      <c r="L25" s="2">
        <f>IF(I25=0.1,"极紧凑",IF(AND(I25&gt;=1,I25&lt;=1.89),"松散",IF(AND(I25&gt;=2,I25&lt;=3.5),"标准",IF(I25&gt;=3.6,"紧凑",""))))</f>
        <v/>
      </c>
      <c r="M25" s="2" t="inlineStr">
        <is>
          <t>极紧凑-豹子号</t>
        </is>
      </c>
      <c r="N25" s="2" t="inlineStr">
        <is>
          <t>松散-极松散</t>
        </is>
      </c>
      <c r="O25" s="2" t="inlineStr">
        <is>
          <t>松散-标准松散</t>
        </is>
      </c>
      <c r="P25" s="2" t="inlineStr">
        <is>
          <t>松散-偏紧松散</t>
        </is>
      </c>
      <c r="Q25" s="2" t="inlineStr">
        <is>
          <t>标准-偏松标准</t>
        </is>
      </c>
      <c r="R25" s="2" t="inlineStr">
        <is>
          <t>标准-核心标准</t>
        </is>
      </c>
      <c r="S25" s="2" t="inlineStr">
        <is>
          <t>标准-偏紧标准</t>
        </is>
      </c>
      <c r="T25" s="2" t="inlineStr">
        <is>
          <t>紧凑-标准紧凑</t>
        </is>
      </c>
      <c r="U25" s="2" t="inlineStr">
        <is>
          <t>紧凑-高度紧凑</t>
        </is>
      </c>
      <c r="V25" s="2" t="inlineStr">
        <is>
          <t>紧凑-极度紧凑</t>
        </is>
      </c>
    </row>
    <row r="26">
      <c r="A26" s="1" t="n">
        <v>2022295</v>
      </c>
      <c r="B26" s="3" t="inlineStr">
        <is>
          <t>608</t>
        </is>
      </c>
      <c r="C26" s="2">
        <f>IF(B26="","",LEFT(TEXT(B26,"000"),1)*1)</f>
        <v/>
      </c>
      <c r="D26" s="2">
        <f>IF(B26="","",MID(TEXT(B26,"000"),2,1)*1)</f>
        <v/>
      </c>
      <c r="E26" s="2">
        <f>IF(B26="","",RIGHT(TEXT(B26,"000"),1)*1)</f>
        <v/>
      </c>
      <c r="F26" s="2">
        <f>IF(B26="","",C26+D26+E26)</f>
        <v/>
      </c>
      <c r="G26" s="2">
        <f>IF(B26="","",MOD(F26,10))</f>
        <v/>
      </c>
      <c r="H26" s="2">
        <f>IF(B26="","",MAX(C26,D26,E26)-MIN(C26,D26,E26))</f>
        <v/>
      </c>
      <c r="I26" s="2">
        <f>IF(OR(B26="",H26=0),IF(H26=0,0.1,""),ROUND(F26/H26,2))</f>
        <v/>
      </c>
      <c r="J26" s="2">
        <f>IF(I26=0.1,"极紧凑",IF(I26&gt;3.5,"紧凑",IF(AND(I26&gt;=2,I26&lt;=3.5),"标准",IF(AND(I26&gt;=1,I26&lt;2),"松散",""))))</f>
        <v/>
      </c>
      <c r="K26" s="2">
        <f>IF(I26=0.1,"极紧凑-豹子号",IF(AND(I26&gt;=1,I26&lt;=1.29),"松散-极松散",IF(AND(I26&gt;=1.33,I26&lt;=1.8),"松散-标准松散",IF(AND(I26&gt;=1.83,I26&lt;=1.89),"松散-偏紧松散",IF(AND(I26&gt;=2,I26&lt;=2.5),"标准-偏松标准",IF(AND(I26&gt;=2.57,I26&lt;=3),"标准-核心标准",IF(AND(I26&gt;=3.17,I26&lt;=3.5),"标准-偏紧标准",IF(AND(I26&gt;=3.6,I26&lt;=5),"紧凑-标准紧凑",IF(AND(I26&gt;=5.25,I26&lt;=8),"紧凑-高度紧凑",IF(I26&gt;=8.5,"紧凑-极度紧凑",""))))))))))</f>
        <v/>
      </c>
      <c r="L26" s="2">
        <f>IF(I26=0.1,"极紧凑",IF(AND(I26&gt;=1,I26&lt;=1.89),"松散",IF(AND(I26&gt;=2,I26&lt;=3.5),"标准",IF(I26&gt;=3.6,"紧凑",""))))</f>
        <v/>
      </c>
      <c r="M26" s="2" t="inlineStr">
        <is>
          <t>极紧凑-豹子号</t>
        </is>
      </c>
      <c r="N26" s="2" t="inlineStr">
        <is>
          <t>松散-极松散</t>
        </is>
      </c>
      <c r="O26" s="2" t="inlineStr">
        <is>
          <t>松散-标准松散</t>
        </is>
      </c>
      <c r="P26" s="2" t="inlineStr">
        <is>
          <t>松散-偏紧松散</t>
        </is>
      </c>
      <c r="Q26" s="2" t="inlineStr">
        <is>
          <t>标准-偏松标准</t>
        </is>
      </c>
      <c r="R26" s="2" t="inlineStr">
        <is>
          <t>标准-核心标准</t>
        </is>
      </c>
      <c r="S26" s="2" t="inlineStr">
        <is>
          <t>标准-偏紧标准</t>
        </is>
      </c>
      <c r="T26" s="2" t="inlineStr">
        <is>
          <t>紧凑-标准紧凑</t>
        </is>
      </c>
      <c r="U26" s="2" t="inlineStr">
        <is>
          <t>紧凑-高度紧凑</t>
        </is>
      </c>
      <c r="V26" s="2" t="inlineStr">
        <is>
          <t>紧凑-极度紧凑</t>
        </is>
      </c>
    </row>
    <row r="27">
      <c r="A27" s="1" t="n">
        <v>2022296</v>
      </c>
      <c r="B27" s="3" t="inlineStr">
        <is>
          <t>009</t>
        </is>
      </c>
      <c r="C27" s="2">
        <f>IF(B27="","",LEFT(TEXT(B27,"000"),1)*1)</f>
        <v/>
      </c>
      <c r="D27" s="2">
        <f>IF(B27="","",MID(TEXT(B27,"000"),2,1)*1)</f>
        <v/>
      </c>
      <c r="E27" s="2">
        <f>IF(B27="","",RIGHT(TEXT(B27,"000"),1)*1)</f>
        <v/>
      </c>
      <c r="F27" s="2">
        <f>IF(B27="","",C27+D27+E27)</f>
        <v/>
      </c>
      <c r="G27" s="2">
        <f>IF(B27="","",MOD(F27,10))</f>
        <v/>
      </c>
      <c r="H27" s="2">
        <f>IF(B27="","",MAX(C27,D27,E27)-MIN(C27,D27,E27))</f>
        <v/>
      </c>
      <c r="I27" s="2">
        <f>IF(OR(B27="",H27=0),IF(H27=0,0.1,""),ROUND(F27/H27,2))</f>
        <v/>
      </c>
      <c r="J27" s="2">
        <f>IF(I27=0.1,"极紧凑",IF(I27&gt;3.5,"紧凑",IF(AND(I27&gt;=2,I27&lt;=3.5),"标准",IF(AND(I27&gt;=1,I27&lt;2),"松散",""))))</f>
        <v/>
      </c>
      <c r="K27" s="2">
        <f>IF(I27=0.1,"极紧凑-豹子号",IF(AND(I27&gt;=1,I27&lt;=1.29),"松散-极松散",IF(AND(I27&gt;=1.33,I27&lt;=1.8),"松散-标准松散",IF(AND(I27&gt;=1.83,I27&lt;=1.89),"松散-偏紧松散",IF(AND(I27&gt;=2,I27&lt;=2.5),"标准-偏松标准",IF(AND(I27&gt;=2.57,I27&lt;=3),"标准-核心标准",IF(AND(I27&gt;=3.17,I27&lt;=3.5),"标准-偏紧标准",IF(AND(I27&gt;=3.6,I27&lt;=5),"紧凑-标准紧凑",IF(AND(I27&gt;=5.25,I27&lt;=8),"紧凑-高度紧凑",IF(I27&gt;=8.5,"紧凑-极度紧凑",""))))))))))</f>
        <v/>
      </c>
      <c r="L27" s="2">
        <f>IF(I27=0.1,"极紧凑",IF(AND(I27&gt;=1,I27&lt;=1.89),"松散",IF(AND(I27&gt;=2,I27&lt;=3.5),"标准",IF(I27&gt;=3.6,"紧凑",""))))</f>
        <v/>
      </c>
      <c r="M27" s="2" t="inlineStr">
        <is>
          <t>极紧凑-豹子号</t>
        </is>
      </c>
      <c r="N27" s="2" t="inlineStr">
        <is>
          <t>松散-极松散</t>
        </is>
      </c>
      <c r="O27" s="2" t="inlineStr">
        <is>
          <t>松散-标准松散</t>
        </is>
      </c>
      <c r="P27" s="2" t="inlineStr">
        <is>
          <t>松散-偏紧松散</t>
        </is>
      </c>
      <c r="Q27" s="2" t="inlineStr">
        <is>
          <t>标准-偏松标准</t>
        </is>
      </c>
      <c r="R27" s="2" t="inlineStr">
        <is>
          <t>标准-核心标准</t>
        </is>
      </c>
      <c r="S27" s="2" t="inlineStr">
        <is>
          <t>标准-偏紧标准</t>
        </is>
      </c>
      <c r="T27" s="2" t="inlineStr">
        <is>
          <t>紧凑-标准紧凑</t>
        </is>
      </c>
      <c r="U27" s="2" t="inlineStr">
        <is>
          <t>紧凑-高度紧凑</t>
        </is>
      </c>
      <c r="V27" s="2" t="inlineStr">
        <is>
          <t>紧凑-极度紧凑</t>
        </is>
      </c>
    </row>
    <row r="28">
      <c r="A28" s="1" t="n">
        <v>2022297</v>
      </c>
      <c r="B28" s="3" t="inlineStr">
        <is>
          <t>111</t>
        </is>
      </c>
      <c r="C28" s="2">
        <f>IF(B28="","",LEFT(TEXT(B28,"000"),1)*1)</f>
        <v/>
      </c>
      <c r="D28" s="2">
        <f>IF(B28="","",MID(TEXT(B28,"000"),2,1)*1)</f>
        <v/>
      </c>
      <c r="E28" s="2">
        <f>IF(B28="","",RIGHT(TEXT(B28,"000"),1)*1)</f>
        <v/>
      </c>
      <c r="F28" s="2">
        <f>IF(B28="","",C28+D28+E28)</f>
        <v/>
      </c>
      <c r="G28" s="2">
        <f>IF(B28="","",MOD(F28,10))</f>
        <v/>
      </c>
      <c r="H28" s="2">
        <f>IF(B28="","",MAX(C28,D28,E28)-MIN(C28,D28,E28))</f>
        <v/>
      </c>
      <c r="I28" s="2">
        <f>IF(OR(B28="",H28=0),IF(H28=0,0.1,""),ROUND(F28/H28,2))</f>
        <v/>
      </c>
      <c r="J28" s="2">
        <f>IF(I28=0.1,"极紧凑",IF(I28&gt;3.5,"紧凑",IF(AND(I28&gt;=2,I28&lt;=3.5),"标准",IF(AND(I28&gt;=1,I28&lt;2),"松散",""))))</f>
        <v/>
      </c>
      <c r="K28" s="2">
        <f>IF(I28=0.1,"极紧凑-豹子号",IF(AND(I28&gt;=1,I28&lt;=1.29),"松散-极松散",IF(AND(I28&gt;=1.33,I28&lt;=1.8),"松散-标准松散",IF(AND(I28&gt;=1.83,I28&lt;=1.89),"松散-偏紧松散",IF(AND(I28&gt;=2,I28&lt;=2.5),"标准-偏松标准",IF(AND(I28&gt;=2.57,I28&lt;=3),"标准-核心标准",IF(AND(I28&gt;=3.17,I28&lt;=3.5),"标准-偏紧标准",IF(AND(I28&gt;=3.6,I28&lt;=5),"紧凑-标准紧凑",IF(AND(I28&gt;=5.25,I28&lt;=8),"紧凑-高度紧凑",IF(I28&gt;=8.5,"紧凑-极度紧凑",""))))))))))</f>
        <v/>
      </c>
      <c r="L28" s="2">
        <f>IF(I28=0.1,"极紧凑",IF(AND(I28&gt;=1,I28&lt;=1.89),"松散",IF(AND(I28&gt;=2,I28&lt;=3.5),"标准",IF(I28&gt;=3.6,"紧凑",""))))</f>
        <v/>
      </c>
      <c r="M28" s="2" t="inlineStr">
        <is>
          <t>极紧凑-豹子号</t>
        </is>
      </c>
      <c r="N28" s="2" t="inlineStr">
        <is>
          <t>松散-极松散</t>
        </is>
      </c>
      <c r="O28" s="2" t="inlineStr">
        <is>
          <t>松散-标准松散</t>
        </is>
      </c>
      <c r="P28" s="2" t="inlineStr">
        <is>
          <t>松散-偏紧松散</t>
        </is>
      </c>
      <c r="Q28" s="2" t="inlineStr">
        <is>
          <t>标准-偏松标准</t>
        </is>
      </c>
      <c r="R28" s="2" t="inlineStr">
        <is>
          <t>标准-核心标准</t>
        </is>
      </c>
      <c r="S28" s="2" t="inlineStr">
        <is>
          <t>标准-偏紧标准</t>
        </is>
      </c>
      <c r="T28" s="2" t="inlineStr">
        <is>
          <t>紧凑-标准紧凑</t>
        </is>
      </c>
      <c r="U28" s="2" t="inlineStr">
        <is>
          <t>紧凑-高度紧凑</t>
        </is>
      </c>
      <c r="V28" s="2" t="inlineStr">
        <is>
          <t>紧凑-极度紧凑</t>
        </is>
      </c>
    </row>
    <row r="29">
      <c r="A29" s="1" t="n">
        <v>2022298</v>
      </c>
      <c r="B29" s="3" t="inlineStr">
        <is>
          <t>872</t>
        </is>
      </c>
      <c r="C29" s="2">
        <f>IF(B29="","",LEFT(TEXT(B29,"000"),1)*1)</f>
        <v/>
      </c>
      <c r="D29" s="2">
        <f>IF(B29="","",MID(TEXT(B29,"000"),2,1)*1)</f>
        <v/>
      </c>
      <c r="E29" s="2">
        <f>IF(B29="","",RIGHT(TEXT(B29,"000"),1)*1)</f>
        <v/>
      </c>
      <c r="F29" s="2">
        <f>IF(B29="","",C29+D29+E29)</f>
        <v/>
      </c>
      <c r="G29" s="2">
        <f>IF(B29="","",MOD(F29,10))</f>
        <v/>
      </c>
      <c r="H29" s="2">
        <f>IF(B29="","",MAX(C29,D29,E29)-MIN(C29,D29,E29))</f>
        <v/>
      </c>
      <c r="I29" s="2">
        <f>IF(OR(B29="",H29=0),IF(H29=0,0.1,""),ROUND(F29/H29,2))</f>
        <v/>
      </c>
      <c r="J29" s="2">
        <f>IF(I29=0.1,"极紧凑",IF(I29&gt;3.5,"紧凑",IF(AND(I29&gt;=2,I29&lt;=3.5),"标准",IF(AND(I29&gt;=1,I29&lt;2),"松散",""))))</f>
        <v/>
      </c>
      <c r="K29" s="2">
        <f>IF(I29=0.1,"极紧凑-豹子号",IF(AND(I29&gt;=1,I29&lt;=1.29),"松散-极松散",IF(AND(I29&gt;=1.33,I29&lt;=1.8),"松散-标准松散",IF(AND(I29&gt;=1.83,I29&lt;=1.89),"松散-偏紧松散",IF(AND(I29&gt;=2,I29&lt;=2.5),"标准-偏松标准",IF(AND(I29&gt;=2.57,I29&lt;=3),"标准-核心标准",IF(AND(I29&gt;=3.17,I29&lt;=3.5),"标准-偏紧标准",IF(AND(I29&gt;=3.6,I29&lt;=5),"紧凑-标准紧凑",IF(AND(I29&gt;=5.25,I29&lt;=8),"紧凑-高度紧凑",IF(I29&gt;=8.5,"紧凑-极度紧凑",""))))))))))</f>
        <v/>
      </c>
      <c r="L29" s="2">
        <f>IF(I29=0.1,"极紧凑",IF(AND(I29&gt;=1,I29&lt;=1.89),"松散",IF(AND(I29&gt;=2,I29&lt;=3.5),"标准",IF(I29&gt;=3.6,"紧凑",""))))</f>
        <v/>
      </c>
      <c r="M29" s="2" t="inlineStr">
        <is>
          <t>极紧凑-豹子号</t>
        </is>
      </c>
      <c r="N29" s="2" t="inlineStr">
        <is>
          <t>松散-极松散</t>
        </is>
      </c>
      <c r="O29" s="2" t="inlineStr">
        <is>
          <t>松散-标准松散</t>
        </is>
      </c>
      <c r="P29" s="2" t="inlineStr">
        <is>
          <t>松散-偏紧松散</t>
        </is>
      </c>
      <c r="Q29" s="2" t="inlineStr">
        <is>
          <t>标准-偏松标准</t>
        </is>
      </c>
      <c r="R29" s="2" t="inlineStr">
        <is>
          <t>标准-核心标准</t>
        </is>
      </c>
      <c r="S29" s="2" t="inlineStr">
        <is>
          <t>标准-偏紧标准</t>
        </is>
      </c>
      <c r="T29" s="2" t="inlineStr">
        <is>
          <t>紧凑-标准紧凑</t>
        </is>
      </c>
      <c r="U29" s="2" t="inlineStr">
        <is>
          <t>紧凑-高度紧凑</t>
        </is>
      </c>
      <c r="V29" s="2" t="inlineStr">
        <is>
          <t>紧凑-极度紧凑</t>
        </is>
      </c>
    </row>
    <row r="30">
      <c r="A30" s="1" t="n">
        <v>2022299</v>
      </c>
      <c r="B30" s="3" t="inlineStr">
        <is>
          <t>299</t>
        </is>
      </c>
      <c r="C30" s="2">
        <f>IF(B30="","",LEFT(TEXT(B30,"000"),1)*1)</f>
        <v/>
      </c>
      <c r="D30" s="2">
        <f>IF(B30="","",MID(TEXT(B30,"000"),2,1)*1)</f>
        <v/>
      </c>
      <c r="E30" s="2">
        <f>IF(B30="","",RIGHT(TEXT(B30,"000"),1)*1)</f>
        <v/>
      </c>
      <c r="F30" s="2">
        <f>IF(B30="","",C30+D30+E30)</f>
        <v/>
      </c>
      <c r="G30" s="2">
        <f>IF(B30="","",MOD(F30,10))</f>
        <v/>
      </c>
      <c r="H30" s="2">
        <f>IF(B30="","",MAX(C30,D30,E30)-MIN(C30,D30,E30))</f>
        <v/>
      </c>
      <c r="I30" s="2">
        <f>IF(OR(B30="",H30=0),IF(H30=0,0.1,""),ROUND(F30/H30,2))</f>
        <v/>
      </c>
      <c r="J30" s="2">
        <f>IF(I30=0.1,"极紧凑",IF(I30&gt;3.5,"紧凑",IF(AND(I30&gt;=2,I30&lt;=3.5),"标准",IF(AND(I30&gt;=1,I30&lt;2),"松散",""))))</f>
        <v/>
      </c>
      <c r="K30" s="2">
        <f>IF(I30=0.1,"极紧凑-豹子号",IF(AND(I30&gt;=1,I30&lt;=1.29),"松散-极松散",IF(AND(I30&gt;=1.33,I30&lt;=1.8),"松散-标准松散",IF(AND(I30&gt;=1.83,I30&lt;=1.89),"松散-偏紧松散",IF(AND(I30&gt;=2,I30&lt;=2.5),"标准-偏松标准",IF(AND(I30&gt;=2.57,I30&lt;=3),"标准-核心标准",IF(AND(I30&gt;=3.17,I30&lt;=3.5),"标准-偏紧标准",IF(AND(I30&gt;=3.6,I30&lt;=5),"紧凑-标准紧凑",IF(AND(I30&gt;=5.25,I30&lt;=8),"紧凑-高度紧凑",IF(I30&gt;=8.5,"紧凑-极度紧凑",""))))))))))</f>
        <v/>
      </c>
      <c r="L30" s="2">
        <f>IF(I30=0.1,"极紧凑",IF(AND(I30&gt;=1,I30&lt;=1.89),"松散",IF(AND(I30&gt;=2,I30&lt;=3.5),"标准",IF(I30&gt;=3.6,"紧凑",""))))</f>
        <v/>
      </c>
      <c r="M30" s="2" t="inlineStr">
        <is>
          <t>极紧凑-豹子号</t>
        </is>
      </c>
      <c r="N30" s="2" t="inlineStr">
        <is>
          <t>松散-极松散</t>
        </is>
      </c>
      <c r="O30" s="2" t="inlineStr">
        <is>
          <t>松散-标准松散</t>
        </is>
      </c>
      <c r="P30" s="2" t="inlineStr">
        <is>
          <t>松散-偏紧松散</t>
        </is>
      </c>
      <c r="Q30" s="2" t="inlineStr">
        <is>
          <t>标准-偏松标准</t>
        </is>
      </c>
      <c r="R30" s="2" t="inlineStr">
        <is>
          <t>标准-核心标准</t>
        </is>
      </c>
      <c r="S30" s="2" t="inlineStr">
        <is>
          <t>标准-偏紧标准</t>
        </is>
      </c>
      <c r="T30" s="2" t="inlineStr">
        <is>
          <t>紧凑-标准紧凑</t>
        </is>
      </c>
      <c r="U30" s="2" t="inlineStr">
        <is>
          <t>紧凑-高度紧凑</t>
        </is>
      </c>
      <c r="V30" s="2" t="inlineStr">
        <is>
          <t>紧凑-极度紧凑</t>
        </is>
      </c>
    </row>
    <row r="31">
      <c r="A31" s="1" t="n">
        <v>2022300</v>
      </c>
      <c r="B31" s="3" t="inlineStr">
        <is>
          <t>094</t>
        </is>
      </c>
      <c r="C31" s="2">
        <f>IF(B31="","",LEFT(TEXT(B31,"000"),1)*1)</f>
        <v/>
      </c>
      <c r="D31" s="2">
        <f>IF(B31="","",MID(TEXT(B31,"000"),2,1)*1)</f>
        <v/>
      </c>
      <c r="E31" s="2">
        <f>IF(B31="","",RIGHT(TEXT(B31,"000"),1)*1)</f>
        <v/>
      </c>
      <c r="F31" s="2">
        <f>IF(B31="","",C31+D31+E31)</f>
        <v/>
      </c>
      <c r="G31" s="2">
        <f>IF(B31="","",MOD(F31,10))</f>
        <v/>
      </c>
      <c r="H31" s="2">
        <f>IF(B31="","",MAX(C31,D31,E31)-MIN(C31,D31,E31))</f>
        <v/>
      </c>
      <c r="I31" s="2">
        <f>IF(OR(B31="",H31=0),IF(H31=0,0.1,""),ROUND(F31/H31,2))</f>
        <v/>
      </c>
      <c r="J31" s="2">
        <f>IF(I31=0.1,"极紧凑",IF(I31&gt;3.5,"紧凑",IF(AND(I31&gt;=2,I31&lt;=3.5),"标准",IF(AND(I31&gt;=1,I31&lt;2),"松散",""))))</f>
        <v/>
      </c>
      <c r="K31" s="2">
        <f>IF(I31=0.1,"极紧凑-豹子号",IF(AND(I31&gt;=1,I31&lt;=1.29),"松散-极松散",IF(AND(I31&gt;=1.33,I31&lt;=1.8),"松散-标准松散",IF(AND(I31&gt;=1.83,I31&lt;=1.89),"松散-偏紧松散",IF(AND(I31&gt;=2,I31&lt;=2.5),"标准-偏松标准",IF(AND(I31&gt;=2.57,I31&lt;=3),"标准-核心标准",IF(AND(I31&gt;=3.17,I31&lt;=3.5),"标准-偏紧标准",IF(AND(I31&gt;=3.6,I31&lt;=5),"紧凑-标准紧凑",IF(AND(I31&gt;=5.25,I31&lt;=8),"紧凑-高度紧凑",IF(I31&gt;=8.5,"紧凑-极度紧凑",""))))))))))</f>
        <v/>
      </c>
      <c r="L31" s="2">
        <f>IF(I31=0.1,"极紧凑",IF(AND(I31&gt;=1,I31&lt;=1.89),"松散",IF(AND(I31&gt;=2,I31&lt;=3.5),"标准",IF(I31&gt;=3.6,"紧凑",""))))</f>
        <v/>
      </c>
      <c r="M31" s="2" t="inlineStr">
        <is>
          <t>极紧凑-豹子号</t>
        </is>
      </c>
      <c r="N31" s="2" t="inlineStr">
        <is>
          <t>松散-极松散</t>
        </is>
      </c>
      <c r="O31" s="2" t="inlineStr">
        <is>
          <t>松散-标准松散</t>
        </is>
      </c>
      <c r="P31" s="2" t="inlineStr">
        <is>
          <t>松散-偏紧松散</t>
        </is>
      </c>
      <c r="Q31" s="2" t="inlineStr">
        <is>
          <t>标准-偏松标准</t>
        </is>
      </c>
      <c r="R31" s="2" t="inlineStr">
        <is>
          <t>标准-核心标准</t>
        </is>
      </c>
      <c r="S31" s="2" t="inlineStr">
        <is>
          <t>标准-偏紧标准</t>
        </is>
      </c>
      <c r="T31" s="2" t="inlineStr">
        <is>
          <t>紧凑-标准紧凑</t>
        </is>
      </c>
      <c r="U31" s="2" t="inlineStr">
        <is>
          <t>紧凑-高度紧凑</t>
        </is>
      </c>
      <c r="V31" s="2" t="inlineStr">
        <is>
          <t>紧凑-极度紧凑</t>
        </is>
      </c>
    </row>
    <row r="32">
      <c r="A32" s="1" t="n">
        <v>2022301</v>
      </c>
      <c r="B32" s="3" t="inlineStr">
        <is>
          <t>181</t>
        </is>
      </c>
      <c r="C32" s="2">
        <f>IF(B32="","",LEFT(TEXT(B32,"000"),1)*1)</f>
        <v/>
      </c>
      <c r="D32" s="2">
        <f>IF(B32="","",MID(TEXT(B32,"000"),2,1)*1)</f>
        <v/>
      </c>
      <c r="E32" s="2">
        <f>IF(B32="","",RIGHT(TEXT(B32,"000"),1)*1)</f>
        <v/>
      </c>
      <c r="F32" s="2">
        <f>IF(B32="","",C32+D32+E32)</f>
        <v/>
      </c>
      <c r="G32" s="2">
        <f>IF(B32="","",MOD(F32,10))</f>
        <v/>
      </c>
      <c r="H32" s="2">
        <f>IF(B32="","",MAX(C32,D32,E32)-MIN(C32,D32,E32))</f>
        <v/>
      </c>
      <c r="I32" s="2">
        <f>IF(OR(B32="",H32=0),IF(H32=0,0.1,""),ROUND(F32/H32,2))</f>
        <v/>
      </c>
      <c r="J32" s="2">
        <f>IF(I32=0.1,"极紧凑",IF(I32&gt;3.5,"紧凑",IF(AND(I32&gt;=2,I32&lt;=3.5),"标准",IF(AND(I32&gt;=1,I32&lt;2),"松散",""))))</f>
        <v/>
      </c>
      <c r="K32" s="2">
        <f>IF(I32=0.1,"极紧凑-豹子号",IF(AND(I32&gt;=1,I32&lt;=1.29),"松散-极松散",IF(AND(I32&gt;=1.33,I32&lt;=1.8),"松散-标准松散",IF(AND(I32&gt;=1.83,I32&lt;=1.89),"松散-偏紧松散",IF(AND(I32&gt;=2,I32&lt;=2.5),"标准-偏松标准",IF(AND(I32&gt;=2.57,I32&lt;=3),"标准-核心标准",IF(AND(I32&gt;=3.17,I32&lt;=3.5),"标准-偏紧标准",IF(AND(I32&gt;=3.6,I32&lt;=5),"紧凑-标准紧凑",IF(AND(I32&gt;=5.25,I32&lt;=8),"紧凑-高度紧凑",IF(I32&gt;=8.5,"紧凑-极度紧凑",""))))))))))</f>
        <v/>
      </c>
      <c r="L32" s="2">
        <f>IF(I32=0.1,"极紧凑",IF(AND(I32&gt;=1,I32&lt;=1.89),"松散",IF(AND(I32&gt;=2,I32&lt;=3.5),"标准",IF(I32&gt;=3.6,"紧凑",""))))</f>
        <v/>
      </c>
      <c r="M32" s="2" t="inlineStr">
        <is>
          <t>极紧凑-豹子号</t>
        </is>
      </c>
      <c r="N32" s="2" t="inlineStr">
        <is>
          <t>松散-极松散</t>
        </is>
      </c>
      <c r="O32" s="2" t="inlineStr">
        <is>
          <t>松散-标准松散</t>
        </is>
      </c>
      <c r="P32" s="2" t="inlineStr">
        <is>
          <t>松散-偏紧松散</t>
        </is>
      </c>
      <c r="Q32" s="2" t="inlineStr">
        <is>
          <t>标准-偏松标准</t>
        </is>
      </c>
      <c r="R32" s="2" t="inlineStr">
        <is>
          <t>标准-核心标准</t>
        </is>
      </c>
      <c r="S32" s="2" t="inlineStr">
        <is>
          <t>标准-偏紧标准</t>
        </is>
      </c>
      <c r="T32" s="2" t="inlineStr">
        <is>
          <t>紧凑-标准紧凑</t>
        </is>
      </c>
      <c r="U32" s="2" t="inlineStr">
        <is>
          <t>紧凑-高度紧凑</t>
        </is>
      </c>
      <c r="V32" s="2" t="inlineStr">
        <is>
          <t>紧凑-极度紧凑</t>
        </is>
      </c>
    </row>
    <row r="33">
      <c r="A33" s="1" t="n">
        <v>2022302</v>
      </c>
      <c r="B33" s="3" t="inlineStr">
        <is>
          <t>875</t>
        </is>
      </c>
      <c r="C33" s="2">
        <f>IF(B33="","",LEFT(TEXT(B33,"000"),1)*1)</f>
        <v/>
      </c>
      <c r="D33" s="2">
        <f>IF(B33="","",MID(TEXT(B33,"000"),2,1)*1)</f>
        <v/>
      </c>
      <c r="E33" s="2">
        <f>IF(B33="","",RIGHT(TEXT(B33,"000"),1)*1)</f>
        <v/>
      </c>
      <c r="F33" s="2">
        <f>IF(B33="","",C33+D33+E33)</f>
        <v/>
      </c>
      <c r="G33" s="2">
        <f>IF(B33="","",MOD(F33,10))</f>
        <v/>
      </c>
      <c r="H33" s="2">
        <f>IF(B33="","",MAX(C33,D33,E33)-MIN(C33,D33,E33))</f>
        <v/>
      </c>
      <c r="I33" s="2">
        <f>IF(OR(B33="",H33=0),IF(H33=0,0.1,""),ROUND(F33/H33,2))</f>
        <v/>
      </c>
      <c r="J33" s="2">
        <f>IF(I33=0.1,"极紧凑",IF(I33&gt;3.5,"紧凑",IF(AND(I33&gt;=2,I33&lt;=3.5),"标准",IF(AND(I33&gt;=1,I33&lt;2),"松散",""))))</f>
        <v/>
      </c>
      <c r="K33" s="2">
        <f>IF(I33=0.1,"极紧凑-豹子号",IF(AND(I33&gt;=1,I33&lt;=1.29),"松散-极松散",IF(AND(I33&gt;=1.33,I33&lt;=1.8),"松散-标准松散",IF(AND(I33&gt;=1.83,I33&lt;=1.89),"松散-偏紧松散",IF(AND(I33&gt;=2,I33&lt;=2.5),"标准-偏松标准",IF(AND(I33&gt;=2.57,I33&lt;=3),"标准-核心标准",IF(AND(I33&gt;=3.17,I33&lt;=3.5),"标准-偏紧标准",IF(AND(I33&gt;=3.6,I33&lt;=5),"紧凑-标准紧凑",IF(AND(I33&gt;=5.25,I33&lt;=8),"紧凑-高度紧凑",IF(I33&gt;=8.5,"紧凑-极度紧凑",""))))))))))</f>
        <v/>
      </c>
      <c r="L33" s="2">
        <f>IF(I33=0.1,"极紧凑",IF(AND(I33&gt;=1,I33&lt;=1.89),"松散",IF(AND(I33&gt;=2,I33&lt;=3.5),"标准",IF(I33&gt;=3.6,"紧凑",""))))</f>
        <v/>
      </c>
      <c r="M33" s="2" t="inlineStr">
        <is>
          <t>极紧凑-豹子号</t>
        </is>
      </c>
      <c r="N33" s="2" t="inlineStr">
        <is>
          <t>松散-极松散</t>
        </is>
      </c>
      <c r="O33" s="2" t="inlineStr">
        <is>
          <t>松散-标准松散</t>
        </is>
      </c>
      <c r="P33" s="2" t="inlineStr">
        <is>
          <t>松散-偏紧松散</t>
        </is>
      </c>
      <c r="Q33" s="2" t="inlineStr">
        <is>
          <t>标准-偏松标准</t>
        </is>
      </c>
      <c r="R33" s="2" t="inlineStr">
        <is>
          <t>标准-核心标准</t>
        </is>
      </c>
      <c r="S33" s="2" t="inlineStr">
        <is>
          <t>标准-偏紧标准</t>
        </is>
      </c>
      <c r="T33" s="2" t="inlineStr">
        <is>
          <t>紧凑-标准紧凑</t>
        </is>
      </c>
      <c r="U33" s="2" t="inlineStr">
        <is>
          <t>紧凑-高度紧凑</t>
        </is>
      </c>
      <c r="V33" s="2" t="inlineStr">
        <is>
          <t>紧凑-极度紧凑</t>
        </is>
      </c>
    </row>
    <row r="34">
      <c r="A34" s="1" t="n">
        <v>2022303</v>
      </c>
      <c r="B34" s="3" t="inlineStr">
        <is>
          <t>533</t>
        </is>
      </c>
      <c r="C34" s="2">
        <f>IF(B34="","",LEFT(TEXT(B34,"000"),1)*1)</f>
        <v/>
      </c>
      <c r="D34" s="2">
        <f>IF(B34="","",MID(TEXT(B34,"000"),2,1)*1)</f>
        <v/>
      </c>
      <c r="E34" s="2">
        <f>IF(B34="","",RIGHT(TEXT(B34,"000"),1)*1)</f>
        <v/>
      </c>
      <c r="F34" s="2">
        <f>IF(B34="","",C34+D34+E34)</f>
        <v/>
      </c>
      <c r="G34" s="2">
        <f>IF(B34="","",MOD(F34,10))</f>
        <v/>
      </c>
      <c r="H34" s="2">
        <f>IF(B34="","",MAX(C34,D34,E34)-MIN(C34,D34,E34))</f>
        <v/>
      </c>
      <c r="I34" s="2">
        <f>IF(OR(B34="",H34=0),IF(H34=0,0.1,""),ROUND(F34/H34,2))</f>
        <v/>
      </c>
      <c r="J34" s="2">
        <f>IF(I34=0.1,"极紧凑",IF(I34&gt;3.5,"紧凑",IF(AND(I34&gt;=2,I34&lt;=3.5),"标准",IF(AND(I34&gt;=1,I34&lt;2),"松散",""))))</f>
        <v/>
      </c>
      <c r="K34" s="2">
        <f>IF(I34=0.1,"极紧凑-豹子号",IF(AND(I34&gt;=1,I34&lt;=1.29),"松散-极松散",IF(AND(I34&gt;=1.33,I34&lt;=1.8),"松散-标准松散",IF(AND(I34&gt;=1.83,I34&lt;=1.89),"松散-偏紧松散",IF(AND(I34&gt;=2,I34&lt;=2.5),"标准-偏松标准",IF(AND(I34&gt;=2.57,I34&lt;=3),"标准-核心标准",IF(AND(I34&gt;=3.17,I34&lt;=3.5),"标准-偏紧标准",IF(AND(I34&gt;=3.6,I34&lt;=5),"紧凑-标准紧凑",IF(AND(I34&gt;=5.25,I34&lt;=8),"紧凑-高度紧凑",IF(I34&gt;=8.5,"紧凑-极度紧凑",""))))))))))</f>
        <v/>
      </c>
      <c r="L34" s="2">
        <f>IF(I34=0.1,"极紧凑",IF(AND(I34&gt;=1,I34&lt;=1.89),"松散",IF(AND(I34&gt;=2,I34&lt;=3.5),"标准",IF(I34&gt;=3.6,"紧凑",""))))</f>
        <v/>
      </c>
      <c r="M34" s="2" t="inlineStr">
        <is>
          <t>极紧凑-豹子号</t>
        </is>
      </c>
      <c r="N34" s="2" t="inlineStr">
        <is>
          <t>松散-极松散</t>
        </is>
      </c>
      <c r="O34" s="2" t="inlineStr">
        <is>
          <t>松散-标准松散</t>
        </is>
      </c>
      <c r="P34" s="2" t="inlineStr">
        <is>
          <t>松散-偏紧松散</t>
        </is>
      </c>
      <c r="Q34" s="2" t="inlineStr">
        <is>
          <t>标准-偏松标准</t>
        </is>
      </c>
      <c r="R34" s="2" t="inlineStr">
        <is>
          <t>标准-核心标准</t>
        </is>
      </c>
      <c r="S34" s="2" t="inlineStr">
        <is>
          <t>标准-偏紧标准</t>
        </is>
      </c>
      <c r="T34" s="2" t="inlineStr">
        <is>
          <t>紧凑-标准紧凑</t>
        </is>
      </c>
      <c r="U34" s="2" t="inlineStr">
        <is>
          <t>紧凑-高度紧凑</t>
        </is>
      </c>
      <c r="V34" s="2" t="inlineStr">
        <is>
          <t>紧凑-极度紧凑</t>
        </is>
      </c>
    </row>
    <row r="35">
      <c r="A35" s="1" t="n">
        <v>2022304</v>
      </c>
      <c r="B35" s="3" t="inlineStr">
        <is>
          <t>174</t>
        </is>
      </c>
      <c r="C35" s="2">
        <f>IF(B35="","",LEFT(TEXT(B35,"000"),1)*1)</f>
        <v/>
      </c>
      <c r="D35" s="2">
        <f>IF(B35="","",MID(TEXT(B35,"000"),2,1)*1)</f>
        <v/>
      </c>
      <c r="E35" s="2">
        <f>IF(B35="","",RIGHT(TEXT(B35,"000"),1)*1)</f>
        <v/>
      </c>
      <c r="F35" s="2">
        <f>IF(B35="","",C35+D35+E35)</f>
        <v/>
      </c>
      <c r="G35" s="2">
        <f>IF(B35="","",MOD(F35,10))</f>
        <v/>
      </c>
      <c r="H35" s="2">
        <f>IF(B35="","",MAX(C35,D35,E35)-MIN(C35,D35,E35))</f>
        <v/>
      </c>
      <c r="I35" s="2">
        <f>IF(OR(B35="",H35=0),IF(H35=0,0.1,""),ROUND(F35/H35,2))</f>
        <v/>
      </c>
      <c r="J35" s="2">
        <f>IF(I35=0.1,"极紧凑",IF(I35&gt;3.5,"紧凑",IF(AND(I35&gt;=2,I35&lt;=3.5),"标准",IF(AND(I35&gt;=1,I35&lt;2),"松散",""))))</f>
        <v/>
      </c>
      <c r="K35" s="2">
        <f>IF(I35=0.1,"极紧凑-豹子号",IF(AND(I35&gt;=1,I35&lt;=1.29),"松散-极松散",IF(AND(I35&gt;=1.33,I35&lt;=1.8),"松散-标准松散",IF(AND(I35&gt;=1.83,I35&lt;=1.89),"松散-偏紧松散",IF(AND(I35&gt;=2,I35&lt;=2.5),"标准-偏松标准",IF(AND(I35&gt;=2.57,I35&lt;=3),"标准-核心标准",IF(AND(I35&gt;=3.17,I35&lt;=3.5),"标准-偏紧标准",IF(AND(I35&gt;=3.6,I35&lt;=5),"紧凑-标准紧凑",IF(AND(I35&gt;=5.25,I35&lt;=8),"紧凑-高度紧凑",IF(I35&gt;=8.5,"紧凑-极度紧凑",""))))))))))</f>
        <v/>
      </c>
      <c r="L35" s="2">
        <f>IF(I35=0.1,"极紧凑",IF(AND(I35&gt;=1,I35&lt;=1.89),"松散",IF(AND(I35&gt;=2,I35&lt;=3.5),"标准",IF(I35&gt;=3.6,"紧凑",""))))</f>
        <v/>
      </c>
      <c r="M35" s="2" t="inlineStr">
        <is>
          <t>极紧凑-豹子号</t>
        </is>
      </c>
      <c r="N35" s="2" t="inlineStr">
        <is>
          <t>松散-极松散</t>
        </is>
      </c>
      <c r="O35" s="2" t="inlineStr">
        <is>
          <t>松散-标准松散</t>
        </is>
      </c>
      <c r="P35" s="2" t="inlineStr">
        <is>
          <t>松散-偏紧松散</t>
        </is>
      </c>
      <c r="Q35" s="2" t="inlineStr">
        <is>
          <t>标准-偏松标准</t>
        </is>
      </c>
      <c r="R35" s="2" t="inlineStr">
        <is>
          <t>标准-核心标准</t>
        </is>
      </c>
      <c r="S35" s="2" t="inlineStr">
        <is>
          <t>标准-偏紧标准</t>
        </is>
      </c>
      <c r="T35" s="2" t="inlineStr">
        <is>
          <t>紧凑-标准紧凑</t>
        </is>
      </c>
      <c r="U35" s="2" t="inlineStr">
        <is>
          <t>紧凑-高度紧凑</t>
        </is>
      </c>
      <c r="V35" s="2" t="inlineStr">
        <is>
          <t>紧凑-极度紧凑</t>
        </is>
      </c>
    </row>
    <row r="36">
      <c r="A36" s="1" t="n">
        <v>2022305</v>
      </c>
      <c r="B36" s="3" t="inlineStr">
        <is>
          <t>048</t>
        </is>
      </c>
      <c r="C36" s="2">
        <f>IF(B36="","",LEFT(TEXT(B36,"000"),1)*1)</f>
        <v/>
      </c>
      <c r="D36" s="2">
        <f>IF(B36="","",MID(TEXT(B36,"000"),2,1)*1)</f>
        <v/>
      </c>
      <c r="E36" s="2">
        <f>IF(B36="","",RIGHT(TEXT(B36,"000"),1)*1)</f>
        <v/>
      </c>
      <c r="F36" s="2">
        <f>IF(B36="","",C36+D36+E36)</f>
        <v/>
      </c>
      <c r="G36" s="2">
        <f>IF(B36="","",MOD(F36,10))</f>
        <v/>
      </c>
      <c r="H36" s="2">
        <f>IF(B36="","",MAX(C36,D36,E36)-MIN(C36,D36,E36))</f>
        <v/>
      </c>
      <c r="I36" s="2">
        <f>IF(OR(B36="",H36=0),IF(H36=0,0.1,""),ROUND(F36/H36,2))</f>
        <v/>
      </c>
      <c r="J36" s="2">
        <f>IF(I36=0.1,"极紧凑",IF(I36&gt;3.5,"紧凑",IF(AND(I36&gt;=2,I36&lt;=3.5),"标准",IF(AND(I36&gt;=1,I36&lt;2),"松散",""))))</f>
        <v/>
      </c>
      <c r="K36" s="2">
        <f>IF(I36=0.1,"极紧凑-豹子号",IF(AND(I36&gt;=1,I36&lt;=1.29),"松散-极松散",IF(AND(I36&gt;=1.33,I36&lt;=1.8),"松散-标准松散",IF(AND(I36&gt;=1.83,I36&lt;=1.89),"松散-偏紧松散",IF(AND(I36&gt;=2,I36&lt;=2.5),"标准-偏松标准",IF(AND(I36&gt;=2.57,I36&lt;=3),"标准-核心标准",IF(AND(I36&gt;=3.17,I36&lt;=3.5),"标准-偏紧标准",IF(AND(I36&gt;=3.6,I36&lt;=5),"紧凑-标准紧凑",IF(AND(I36&gt;=5.25,I36&lt;=8),"紧凑-高度紧凑",IF(I36&gt;=8.5,"紧凑-极度紧凑",""))))))))))</f>
        <v/>
      </c>
      <c r="L36" s="2">
        <f>IF(I36=0.1,"极紧凑",IF(AND(I36&gt;=1,I36&lt;=1.89),"松散",IF(AND(I36&gt;=2,I36&lt;=3.5),"标准",IF(I36&gt;=3.6,"紧凑",""))))</f>
        <v/>
      </c>
      <c r="M36" s="2" t="inlineStr">
        <is>
          <t>极紧凑-豹子号</t>
        </is>
      </c>
      <c r="N36" s="2" t="inlineStr">
        <is>
          <t>松散-极松散</t>
        </is>
      </c>
      <c r="O36" s="2" t="inlineStr">
        <is>
          <t>松散-标准松散</t>
        </is>
      </c>
      <c r="P36" s="2" t="inlineStr">
        <is>
          <t>松散-偏紧松散</t>
        </is>
      </c>
      <c r="Q36" s="2" t="inlineStr">
        <is>
          <t>标准-偏松标准</t>
        </is>
      </c>
      <c r="R36" s="2" t="inlineStr">
        <is>
          <t>标准-核心标准</t>
        </is>
      </c>
      <c r="S36" s="2" t="inlineStr">
        <is>
          <t>标准-偏紧标准</t>
        </is>
      </c>
      <c r="T36" s="2" t="inlineStr">
        <is>
          <t>紧凑-标准紧凑</t>
        </is>
      </c>
      <c r="U36" s="2" t="inlineStr">
        <is>
          <t>紧凑-高度紧凑</t>
        </is>
      </c>
      <c r="V36" s="2" t="inlineStr">
        <is>
          <t>紧凑-极度紧凑</t>
        </is>
      </c>
    </row>
    <row r="37">
      <c r="A37" s="1" t="n">
        <v>2022306</v>
      </c>
      <c r="B37" s="3" t="inlineStr">
        <is>
          <t>559</t>
        </is>
      </c>
      <c r="C37" s="2">
        <f>IF(B37="","",LEFT(TEXT(B37,"000"),1)*1)</f>
        <v/>
      </c>
      <c r="D37" s="2">
        <f>IF(B37="","",MID(TEXT(B37,"000"),2,1)*1)</f>
        <v/>
      </c>
      <c r="E37" s="2">
        <f>IF(B37="","",RIGHT(TEXT(B37,"000"),1)*1)</f>
        <v/>
      </c>
      <c r="F37" s="2">
        <f>IF(B37="","",C37+D37+E37)</f>
        <v/>
      </c>
      <c r="G37" s="2">
        <f>IF(B37="","",MOD(F37,10))</f>
        <v/>
      </c>
      <c r="H37" s="2">
        <f>IF(B37="","",MAX(C37,D37,E37)-MIN(C37,D37,E37))</f>
        <v/>
      </c>
      <c r="I37" s="2">
        <f>IF(OR(B37="",H37=0),IF(H37=0,0.1,""),ROUND(F37/H37,2))</f>
        <v/>
      </c>
      <c r="J37" s="2">
        <f>IF(I37=0.1,"极紧凑",IF(I37&gt;3.5,"紧凑",IF(AND(I37&gt;=2,I37&lt;=3.5),"标准",IF(AND(I37&gt;=1,I37&lt;2),"松散",""))))</f>
        <v/>
      </c>
      <c r="K37" s="2">
        <f>IF(I37=0.1,"极紧凑-豹子号",IF(AND(I37&gt;=1,I37&lt;=1.29),"松散-极松散",IF(AND(I37&gt;=1.33,I37&lt;=1.8),"松散-标准松散",IF(AND(I37&gt;=1.83,I37&lt;=1.89),"松散-偏紧松散",IF(AND(I37&gt;=2,I37&lt;=2.5),"标准-偏松标准",IF(AND(I37&gt;=2.57,I37&lt;=3),"标准-核心标准",IF(AND(I37&gt;=3.17,I37&lt;=3.5),"标准-偏紧标准",IF(AND(I37&gt;=3.6,I37&lt;=5),"紧凑-标准紧凑",IF(AND(I37&gt;=5.25,I37&lt;=8),"紧凑-高度紧凑",IF(I37&gt;=8.5,"紧凑-极度紧凑",""))))))))))</f>
        <v/>
      </c>
      <c r="L37" s="2">
        <f>IF(I37=0.1,"极紧凑",IF(AND(I37&gt;=1,I37&lt;=1.89),"松散",IF(AND(I37&gt;=2,I37&lt;=3.5),"标准",IF(I37&gt;=3.6,"紧凑",""))))</f>
        <v/>
      </c>
      <c r="M37" s="2" t="inlineStr">
        <is>
          <t>极紧凑-豹子号</t>
        </is>
      </c>
      <c r="N37" s="2" t="inlineStr">
        <is>
          <t>松散-极松散</t>
        </is>
      </c>
      <c r="O37" s="2" t="inlineStr">
        <is>
          <t>松散-标准松散</t>
        </is>
      </c>
      <c r="P37" s="2" t="inlineStr">
        <is>
          <t>松散-偏紧松散</t>
        </is>
      </c>
      <c r="Q37" s="2" t="inlineStr">
        <is>
          <t>标准-偏松标准</t>
        </is>
      </c>
      <c r="R37" s="2" t="inlineStr">
        <is>
          <t>标准-核心标准</t>
        </is>
      </c>
      <c r="S37" s="2" t="inlineStr">
        <is>
          <t>标准-偏紧标准</t>
        </is>
      </c>
      <c r="T37" s="2" t="inlineStr">
        <is>
          <t>紧凑-标准紧凑</t>
        </is>
      </c>
      <c r="U37" s="2" t="inlineStr">
        <is>
          <t>紧凑-高度紧凑</t>
        </is>
      </c>
      <c r="V37" s="2" t="inlineStr">
        <is>
          <t>紧凑-极度紧凑</t>
        </is>
      </c>
    </row>
    <row r="38">
      <c r="A38" s="1" t="n">
        <v>2022307</v>
      </c>
      <c r="B38" s="3" t="inlineStr">
        <is>
          <t>372</t>
        </is>
      </c>
      <c r="C38" s="2">
        <f>IF(B38="","",LEFT(TEXT(B38,"000"),1)*1)</f>
        <v/>
      </c>
      <c r="D38" s="2">
        <f>IF(B38="","",MID(TEXT(B38,"000"),2,1)*1)</f>
        <v/>
      </c>
      <c r="E38" s="2">
        <f>IF(B38="","",RIGHT(TEXT(B38,"000"),1)*1)</f>
        <v/>
      </c>
      <c r="F38" s="2">
        <f>IF(B38="","",C38+D38+E38)</f>
        <v/>
      </c>
      <c r="G38" s="2">
        <f>IF(B38="","",MOD(F38,10))</f>
        <v/>
      </c>
      <c r="H38" s="2">
        <f>IF(B38="","",MAX(C38,D38,E38)-MIN(C38,D38,E38))</f>
        <v/>
      </c>
      <c r="I38" s="2">
        <f>IF(OR(B38="",H38=0),IF(H38=0,0.1,""),ROUND(F38/H38,2))</f>
        <v/>
      </c>
      <c r="J38" s="2">
        <f>IF(I38=0.1,"极紧凑",IF(I38&gt;3.5,"紧凑",IF(AND(I38&gt;=2,I38&lt;=3.5),"标准",IF(AND(I38&gt;=1,I38&lt;2),"松散",""))))</f>
        <v/>
      </c>
      <c r="K38" s="2">
        <f>IF(I38=0.1,"极紧凑-豹子号",IF(AND(I38&gt;=1,I38&lt;=1.29),"松散-极松散",IF(AND(I38&gt;=1.33,I38&lt;=1.8),"松散-标准松散",IF(AND(I38&gt;=1.83,I38&lt;=1.89),"松散-偏紧松散",IF(AND(I38&gt;=2,I38&lt;=2.5),"标准-偏松标准",IF(AND(I38&gt;=2.57,I38&lt;=3),"标准-核心标准",IF(AND(I38&gt;=3.17,I38&lt;=3.5),"标准-偏紧标准",IF(AND(I38&gt;=3.6,I38&lt;=5),"紧凑-标准紧凑",IF(AND(I38&gt;=5.25,I38&lt;=8),"紧凑-高度紧凑",IF(I38&gt;=8.5,"紧凑-极度紧凑",""))))))))))</f>
        <v/>
      </c>
      <c r="L38" s="2">
        <f>IF(I38=0.1,"极紧凑",IF(AND(I38&gt;=1,I38&lt;=1.89),"松散",IF(AND(I38&gt;=2,I38&lt;=3.5),"标准",IF(I38&gt;=3.6,"紧凑",""))))</f>
        <v/>
      </c>
      <c r="M38" s="2" t="inlineStr">
        <is>
          <t>极紧凑-豹子号</t>
        </is>
      </c>
      <c r="N38" s="2" t="inlineStr">
        <is>
          <t>松散-极松散</t>
        </is>
      </c>
      <c r="O38" s="2" t="inlineStr">
        <is>
          <t>松散-标准松散</t>
        </is>
      </c>
      <c r="P38" s="2" t="inlineStr">
        <is>
          <t>松散-偏紧松散</t>
        </is>
      </c>
      <c r="Q38" s="2" t="inlineStr">
        <is>
          <t>标准-偏松标准</t>
        </is>
      </c>
      <c r="R38" s="2" t="inlineStr">
        <is>
          <t>标准-核心标准</t>
        </is>
      </c>
      <c r="S38" s="2" t="inlineStr">
        <is>
          <t>标准-偏紧标准</t>
        </is>
      </c>
      <c r="T38" s="2" t="inlineStr">
        <is>
          <t>紧凑-标准紧凑</t>
        </is>
      </c>
      <c r="U38" s="2" t="inlineStr">
        <is>
          <t>紧凑-高度紧凑</t>
        </is>
      </c>
      <c r="V38" s="2" t="inlineStr">
        <is>
          <t>紧凑-极度紧凑</t>
        </is>
      </c>
    </row>
    <row r="39">
      <c r="A39" s="1" t="n">
        <v>2022308</v>
      </c>
      <c r="B39" s="3" t="inlineStr">
        <is>
          <t>216</t>
        </is>
      </c>
      <c r="C39" s="2">
        <f>IF(B39="","",LEFT(TEXT(B39,"000"),1)*1)</f>
        <v/>
      </c>
      <c r="D39" s="2">
        <f>IF(B39="","",MID(TEXT(B39,"000"),2,1)*1)</f>
        <v/>
      </c>
      <c r="E39" s="2">
        <f>IF(B39="","",RIGHT(TEXT(B39,"000"),1)*1)</f>
        <v/>
      </c>
      <c r="F39" s="2">
        <f>IF(B39="","",C39+D39+E39)</f>
        <v/>
      </c>
      <c r="G39" s="2">
        <f>IF(B39="","",MOD(F39,10))</f>
        <v/>
      </c>
      <c r="H39" s="2">
        <f>IF(B39="","",MAX(C39,D39,E39)-MIN(C39,D39,E39))</f>
        <v/>
      </c>
      <c r="I39" s="2">
        <f>IF(OR(B39="",H39=0),IF(H39=0,0.1,""),ROUND(F39/H39,2))</f>
        <v/>
      </c>
      <c r="J39" s="2">
        <f>IF(I39=0.1,"极紧凑",IF(I39&gt;3.5,"紧凑",IF(AND(I39&gt;=2,I39&lt;=3.5),"标准",IF(AND(I39&gt;=1,I39&lt;2),"松散",""))))</f>
        <v/>
      </c>
      <c r="K39" s="2">
        <f>IF(I39=0.1,"极紧凑-豹子号",IF(AND(I39&gt;=1,I39&lt;=1.29),"松散-极松散",IF(AND(I39&gt;=1.33,I39&lt;=1.8),"松散-标准松散",IF(AND(I39&gt;=1.83,I39&lt;=1.89),"松散-偏紧松散",IF(AND(I39&gt;=2,I39&lt;=2.5),"标准-偏松标准",IF(AND(I39&gt;=2.57,I39&lt;=3),"标准-核心标准",IF(AND(I39&gt;=3.17,I39&lt;=3.5),"标准-偏紧标准",IF(AND(I39&gt;=3.6,I39&lt;=5),"紧凑-标准紧凑",IF(AND(I39&gt;=5.25,I39&lt;=8),"紧凑-高度紧凑",IF(I39&gt;=8.5,"紧凑-极度紧凑",""))))))))))</f>
        <v/>
      </c>
      <c r="L39" s="2">
        <f>IF(I39=0.1,"极紧凑",IF(AND(I39&gt;=1,I39&lt;=1.89),"松散",IF(AND(I39&gt;=2,I39&lt;=3.5),"标准",IF(I39&gt;=3.6,"紧凑",""))))</f>
        <v/>
      </c>
      <c r="M39" s="2" t="inlineStr">
        <is>
          <t>极紧凑-豹子号</t>
        </is>
      </c>
      <c r="N39" s="2" t="inlineStr">
        <is>
          <t>松散-极松散</t>
        </is>
      </c>
      <c r="O39" s="2" t="inlineStr">
        <is>
          <t>松散-标准松散</t>
        </is>
      </c>
      <c r="P39" s="2" t="inlineStr">
        <is>
          <t>松散-偏紧松散</t>
        </is>
      </c>
      <c r="Q39" s="2" t="inlineStr">
        <is>
          <t>标准-偏松标准</t>
        </is>
      </c>
      <c r="R39" s="2" t="inlineStr">
        <is>
          <t>标准-核心标准</t>
        </is>
      </c>
      <c r="S39" s="2" t="inlineStr">
        <is>
          <t>标准-偏紧标准</t>
        </is>
      </c>
      <c r="T39" s="2" t="inlineStr">
        <is>
          <t>紧凑-标准紧凑</t>
        </is>
      </c>
      <c r="U39" s="2" t="inlineStr">
        <is>
          <t>紧凑-高度紧凑</t>
        </is>
      </c>
      <c r="V39" s="2" t="inlineStr">
        <is>
          <t>紧凑-极度紧凑</t>
        </is>
      </c>
    </row>
    <row r="40">
      <c r="A40" s="1" t="n">
        <v>2022309</v>
      </c>
      <c r="B40" s="3" t="inlineStr">
        <is>
          <t>041</t>
        </is>
      </c>
      <c r="C40" s="2">
        <f>IF(B40="","",LEFT(TEXT(B40,"000"),1)*1)</f>
        <v/>
      </c>
      <c r="D40" s="2">
        <f>IF(B40="","",MID(TEXT(B40,"000"),2,1)*1)</f>
        <v/>
      </c>
      <c r="E40" s="2">
        <f>IF(B40="","",RIGHT(TEXT(B40,"000"),1)*1)</f>
        <v/>
      </c>
      <c r="F40" s="2">
        <f>IF(B40="","",C40+D40+E40)</f>
        <v/>
      </c>
      <c r="G40" s="2">
        <f>IF(B40="","",MOD(F40,10))</f>
        <v/>
      </c>
      <c r="H40" s="2">
        <f>IF(B40="","",MAX(C40,D40,E40)-MIN(C40,D40,E40))</f>
        <v/>
      </c>
      <c r="I40" s="2">
        <f>IF(OR(B40="",H40=0),IF(H40=0,0.1,""),ROUND(F40/H40,2))</f>
        <v/>
      </c>
      <c r="J40" s="2">
        <f>IF(I40=0.1,"极紧凑",IF(I40&gt;3.5,"紧凑",IF(AND(I40&gt;=2,I40&lt;=3.5),"标准",IF(AND(I40&gt;=1,I40&lt;2),"松散",""))))</f>
        <v/>
      </c>
      <c r="K40" s="2">
        <f>IF(I40=0.1,"极紧凑-豹子号",IF(AND(I40&gt;=1,I40&lt;=1.29),"松散-极松散",IF(AND(I40&gt;=1.33,I40&lt;=1.8),"松散-标准松散",IF(AND(I40&gt;=1.83,I40&lt;=1.89),"松散-偏紧松散",IF(AND(I40&gt;=2,I40&lt;=2.5),"标准-偏松标准",IF(AND(I40&gt;=2.57,I40&lt;=3),"标准-核心标准",IF(AND(I40&gt;=3.17,I40&lt;=3.5),"标准-偏紧标准",IF(AND(I40&gt;=3.6,I40&lt;=5),"紧凑-标准紧凑",IF(AND(I40&gt;=5.25,I40&lt;=8),"紧凑-高度紧凑",IF(I40&gt;=8.5,"紧凑-极度紧凑",""))))))))))</f>
        <v/>
      </c>
      <c r="L40" s="2">
        <f>IF(I40=0.1,"极紧凑",IF(AND(I40&gt;=1,I40&lt;=1.89),"松散",IF(AND(I40&gt;=2,I40&lt;=3.5),"标准",IF(I40&gt;=3.6,"紧凑",""))))</f>
        <v/>
      </c>
      <c r="M40" s="2" t="inlineStr">
        <is>
          <t>极紧凑-豹子号</t>
        </is>
      </c>
      <c r="N40" s="2" t="inlineStr">
        <is>
          <t>松散-极松散</t>
        </is>
      </c>
      <c r="O40" s="2" t="inlineStr">
        <is>
          <t>松散-标准松散</t>
        </is>
      </c>
      <c r="P40" s="2" t="inlineStr">
        <is>
          <t>松散-偏紧松散</t>
        </is>
      </c>
      <c r="Q40" s="2" t="inlineStr">
        <is>
          <t>标准-偏松标准</t>
        </is>
      </c>
      <c r="R40" s="2" t="inlineStr">
        <is>
          <t>标准-核心标准</t>
        </is>
      </c>
      <c r="S40" s="2" t="inlineStr">
        <is>
          <t>标准-偏紧标准</t>
        </is>
      </c>
      <c r="T40" s="2" t="inlineStr">
        <is>
          <t>紧凑-标准紧凑</t>
        </is>
      </c>
      <c r="U40" s="2" t="inlineStr">
        <is>
          <t>紧凑-高度紧凑</t>
        </is>
      </c>
      <c r="V40" s="2" t="inlineStr">
        <is>
          <t>紧凑-极度紧凑</t>
        </is>
      </c>
    </row>
    <row r="41">
      <c r="A41" s="1" t="n">
        <v>2022310</v>
      </c>
      <c r="B41" s="3" t="inlineStr">
        <is>
          <t>257</t>
        </is>
      </c>
      <c r="C41" s="2">
        <f>IF(B41="","",LEFT(TEXT(B41,"000"),1)*1)</f>
        <v/>
      </c>
      <c r="D41" s="2">
        <f>IF(B41="","",MID(TEXT(B41,"000"),2,1)*1)</f>
        <v/>
      </c>
      <c r="E41" s="2">
        <f>IF(B41="","",RIGHT(TEXT(B41,"000"),1)*1)</f>
        <v/>
      </c>
      <c r="F41" s="2">
        <f>IF(B41="","",C41+D41+E41)</f>
        <v/>
      </c>
      <c r="G41" s="2">
        <f>IF(B41="","",MOD(F41,10))</f>
        <v/>
      </c>
      <c r="H41" s="2">
        <f>IF(B41="","",MAX(C41,D41,E41)-MIN(C41,D41,E41))</f>
        <v/>
      </c>
      <c r="I41" s="2">
        <f>IF(OR(B41="",H41=0),IF(H41=0,0.1,""),ROUND(F41/H41,2))</f>
        <v/>
      </c>
      <c r="J41" s="2">
        <f>IF(I41=0.1,"极紧凑",IF(I41&gt;3.5,"紧凑",IF(AND(I41&gt;=2,I41&lt;=3.5),"标准",IF(AND(I41&gt;=1,I41&lt;2),"松散",""))))</f>
        <v/>
      </c>
      <c r="K41" s="2">
        <f>IF(I41=0.1,"极紧凑-豹子号",IF(AND(I41&gt;=1,I41&lt;=1.29),"松散-极松散",IF(AND(I41&gt;=1.33,I41&lt;=1.8),"松散-标准松散",IF(AND(I41&gt;=1.83,I41&lt;=1.89),"松散-偏紧松散",IF(AND(I41&gt;=2,I41&lt;=2.5),"标准-偏松标准",IF(AND(I41&gt;=2.57,I41&lt;=3),"标准-核心标准",IF(AND(I41&gt;=3.17,I41&lt;=3.5),"标准-偏紧标准",IF(AND(I41&gt;=3.6,I41&lt;=5),"紧凑-标准紧凑",IF(AND(I41&gt;=5.25,I41&lt;=8),"紧凑-高度紧凑",IF(I41&gt;=8.5,"紧凑-极度紧凑",""))))))))))</f>
        <v/>
      </c>
      <c r="L41" s="2">
        <f>IF(I41=0.1,"极紧凑",IF(AND(I41&gt;=1,I41&lt;=1.89),"松散",IF(AND(I41&gt;=2,I41&lt;=3.5),"标准",IF(I41&gt;=3.6,"紧凑",""))))</f>
        <v/>
      </c>
      <c r="M41" s="2" t="inlineStr">
        <is>
          <t>极紧凑-豹子号</t>
        </is>
      </c>
      <c r="N41" s="2" t="inlineStr">
        <is>
          <t>松散-极松散</t>
        </is>
      </c>
      <c r="O41" s="2" t="inlineStr">
        <is>
          <t>松散-标准松散</t>
        </is>
      </c>
      <c r="P41" s="2" t="inlineStr">
        <is>
          <t>松散-偏紧松散</t>
        </is>
      </c>
      <c r="Q41" s="2" t="inlineStr">
        <is>
          <t>标准-偏松标准</t>
        </is>
      </c>
      <c r="R41" s="2" t="inlineStr">
        <is>
          <t>标准-核心标准</t>
        </is>
      </c>
      <c r="S41" s="2" t="inlineStr">
        <is>
          <t>标准-偏紧标准</t>
        </is>
      </c>
      <c r="T41" s="2" t="inlineStr">
        <is>
          <t>紧凑-标准紧凑</t>
        </is>
      </c>
      <c r="U41" s="2" t="inlineStr">
        <is>
          <t>紧凑-高度紧凑</t>
        </is>
      </c>
      <c r="V41" s="2" t="inlineStr">
        <is>
          <t>紧凑-极度紧凑</t>
        </is>
      </c>
    </row>
    <row r="42">
      <c r="A42" s="1" t="n">
        <v>2022311</v>
      </c>
      <c r="B42" s="3" t="inlineStr">
        <is>
          <t>682</t>
        </is>
      </c>
      <c r="C42" s="2">
        <f>IF(B42="","",LEFT(TEXT(B42,"000"),1)*1)</f>
        <v/>
      </c>
      <c r="D42" s="2">
        <f>IF(B42="","",MID(TEXT(B42,"000"),2,1)*1)</f>
        <v/>
      </c>
      <c r="E42" s="2">
        <f>IF(B42="","",RIGHT(TEXT(B42,"000"),1)*1)</f>
        <v/>
      </c>
      <c r="F42" s="2">
        <f>IF(B42="","",C42+D42+E42)</f>
        <v/>
      </c>
      <c r="G42" s="2">
        <f>IF(B42="","",MOD(F42,10))</f>
        <v/>
      </c>
      <c r="H42" s="2">
        <f>IF(B42="","",MAX(C42,D42,E42)-MIN(C42,D42,E42))</f>
        <v/>
      </c>
      <c r="I42" s="2">
        <f>IF(OR(B42="",H42=0),IF(H42=0,0.1,""),ROUND(F42/H42,2))</f>
        <v/>
      </c>
      <c r="J42" s="2">
        <f>IF(I42=0.1,"极紧凑",IF(I42&gt;3.5,"紧凑",IF(AND(I42&gt;=2,I42&lt;=3.5),"标准",IF(AND(I42&gt;=1,I42&lt;2),"松散",""))))</f>
        <v/>
      </c>
      <c r="K42" s="2">
        <f>IF(I42=0.1,"极紧凑-豹子号",IF(AND(I42&gt;=1,I42&lt;=1.29),"松散-极松散",IF(AND(I42&gt;=1.33,I42&lt;=1.8),"松散-标准松散",IF(AND(I42&gt;=1.83,I42&lt;=1.89),"松散-偏紧松散",IF(AND(I42&gt;=2,I42&lt;=2.5),"标准-偏松标准",IF(AND(I42&gt;=2.57,I42&lt;=3),"标准-核心标准",IF(AND(I42&gt;=3.17,I42&lt;=3.5),"标准-偏紧标准",IF(AND(I42&gt;=3.6,I42&lt;=5),"紧凑-标准紧凑",IF(AND(I42&gt;=5.25,I42&lt;=8),"紧凑-高度紧凑",IF(I42&gt;=8.5,"紧凑-极度紧凑",""))))))))))</f>
        <v/>
      </c>
      <c r="L42" s="2">
        <f>IF(I42=0.1,"极紧凑",IF(AND(I42&gt;=1,I42&lt;=1.89),"松散",IF(AND(I42&gt;=2,I42&lt;=3.5),"标准",IF(I42&gt;=3.6,"紧凑",""))))</f>
        <v/>
      </c>
      <c r="M42" s="2" t="inlineStr">
        <is>
          <t>极紧凑-豹子号</t>
        </is>
      </c>
      <c r="N42" s="2" t="inlineStr">
        <is>
          <t>松散-极松散</t>
        </is>
      </c>
      <c r="O42" s="2" t="inlineStr">
        <is>
          <t>松散-标准松散</t>
        </is>
      </c>
      <c r="P42" s="2" t="inlineStr">
        <is>
          <t>松散-偏紧松散</t>
        </is>
      </c>
      <c r="Q42" s="2" t="inlineStr">
        <is>
          <t>标准-偏松标准</t>
        </is>
      </c>
      <c r="R42" s="2" t="inlineStr">
        <is>
          <t>标准-核心标准</t>
        </is>
      </c>
      <c r="S42" s="2" t="inlineStr">
        <is>
          <t>标准-偏紧标准</t>
        </is>
      </c>
      <c r="T42" s="2" t="inlineStr">
        <is>
          <t>紧凑-标准紧凑</t>
        </is>
      </c>
      <c r="U42" s="2" t="inlineStr">
        <is>
          <t>紧凑-高度紧凑</t>
        </is>
      </c>
      <c r="V42" s="2" t="inlineStr">
        <is>
          <t>紧凑-极度紧凑</t>
        </is>
      </c>
    </row>
    <row r="43">
      <c r="A43" s="1" t="n">
        <v>2022312</v>
      </c>
      <c r="B43" s="3" t="inlineStr">
        <is>
          <t>132</t>
        </is>
      </c>
      <c r="C43" s="2">
        <f>IF(B43="","",LEFT(TEXT(B43,"000"),1)*1)</f>
        <v/>
      </c>
      <c r="D43" s="2">
        <f>IF(B43="","",MID(TEXT(B43,"000"),2,1)*1)</f>
        <v/>
      </c>
      <c r="E43" s="2">
        <f>IF(B43="","",RIGHT(TEXT(B43,"000"),1)*1)</f>
        <v/>
      </c>
      <c r="F43" s="2">
        <f>IF(B43="","",C43+D43+E43)</f>
        <v/>
      </c>
      <c r="G43" s="2">
        <f>IF(B43="","",MOD(F43,10))</f>
        <v/>
      </c>
      <c r="H43" s="2">
        <f>IF(B43="","",MAX(C43,D43,E43)-MIN(C43,D43,E43))</f>
        <v/>
      </c>
      <c r="I43" s="2">
        <f>IF(OR(B43="",H43=0),IF(H43=0,0.1,""),ROUND(F43/H43,2))</f>
        <v/>
      </c>
      <c r="J43" s="2">
        <f>IF(I43=0.1,"极紧凑",IF(I43&gt;3.5,"紧凑",IF(AND(I43&gt;=2,I43&lt;=3.5),"标准",IF(AND(I43&gt;=1,I43&lt;2),"松散",""))))</f>
        <v/>
      </c>
      <c r="K43" s="2">
        <f>IF(I43=0.1,"极紧凑-豹子号",IF(AND(I43&gt;=1,I43&lt;=1.29),"松散-极松散",IF(AND(I43&gt;=1.33,I43&lt;=1.8),"松散-标准松散",IF(AND(I43&gt;=1.83,I43&lt;=1.89),"松散-偏紧松散",IF(AND(I43&gt;=2,I43&lt;=2.5),"标准-偏松标准",IF(AND(I43&gt;=2.57,I43&lt;=3),"标准-核心标准",IF(AND(I43&gt;=3.17,I43&lt;=3.5),"标准-偏紧标准",IF(AND(I43&gt;=3.6,I43&lt;=5),"紧凑-标准紧凑",IF(AND(I43&gt;=5.25,I43&lt;=8),"紧凑-高度紧凑",IF(I43&gt;=8.5,"紧凑-极度紧凑",""))))))))))</f>
        <v/>
      </c>
      <c r="L43" s="2">
        <f>IF(I43=0.1,"极紧凑",IF(AND(I43&gt;=1,I43&lt;=1.89),"松散",IF(AND(I43&gt;=2,I43&lt;=3.5),"标准",IF(I43&gt;=3.6,"紧凑",""))))</f>
        <v/>
      </c>
      <c r="M43" s="2" t="inlineStr">
        <is>
          <t>极紧凑-豹子号</t>
        </is>
      </c>
      <c r="N43" s="2" t="inlineStr">
        <is>
          <t>松散-极松散</t>
        </is>
      </c>
      <c r="O43" s="2" t="inlineStr">
        <is>
          <t>松散-标准松散</t>
        </is>
      </c>
      <c r="P43" s="2" t="inlineStr">
        <is>
          <t>松散-偏紧松散</t>
        </is>
      </c>
      <c r="Q43" s="2" t="inlineStr">
        <is>
          <t>标准-偏松标准</t>
        </is>
      </c>
      <c r="R43" s="2" t="inlineStr">
        <is>
          <t>标准-核心标准</t>
        </is>
      </c>
      <c r="S43" s="2" t="inlineStr">
        <is>
          <t>标准-偏紧标准</t>
        </is>
      </c>
      <c r="T43" s="2" t="inlineStr">
        <is>
          <t>紧凑-标准紧凑</t>
        </is>
      </c>
      <c r="U43" s="2" t="inlineStr">
        <is>
          <t>紧凑-高度紧凑</t>
        </is>
      </c>
      <c r="V43" s="2" t="inlineStr">
        <is>
          <t>紧凑-极度紧凑</t>
        </is>
      </c>
    </row>
    <row r="44">
      <c r="A44" s="1" t="n">
        <v>2022313</v>
      </c>
      <c r="B44" s="3" t="inlineStr">
        <is>
          <t>169</t>
        </is>
      </c>
      <c r="C44" s="2">
        <f>IF(B44="","",LEFT(TEXT(B44,"000"),1)*1)</f>
        <v/>
      </c>
      <c r="D44" s="2">
        <f>IF(B44="","",MID(TEXT(B44,"000"),2,1)*1)</f>
        <v/>
      </c>
      <c r="E44" s="2">
        <f>IF(B44="","",RIGHT(TEXT(B44,"000"),1)*1)</f>
        <v/>
      </c>
      <c r="F44" s="2">
        <f>IF(B44="","",C44+D44+E44)</f>
        <v/>
      </c>
      <c r="G44" s="2">
        <f>IF(B44="","",MOD(F44,10))</f>
        <v/>
      </c>
      <c r="H44" s="2">
        <f>IF(B44="","",MAX(C44,D44,E44)-MIN(C44,D44,E44))</f>
        <v/>
      </c>
      <c r="I44" s="2">
        <f>IF(OR(B44="",H44=0),IF(H44=0,0.1,""),ROUND(F44/H44,2))</f>
        <v/>
      </c>
      <c r="J44" s="2">
        <f>IF(I44=0.1,"极紧凑",IF(I44&gt;3.5,"紧凑",IF(AND(I44&gt;=2,I44&lt;=3.5),"标准",IF(AND(I44&gt;=1,I44&lt;2),"松散",""))))</f>
        <v/>
      </c>
      <c r="K44" s="2">
        <f>IF(I44=0.1,"极紧凑-豹子号",IF(AND(I44&gt;=1,I44&lt;=1.29),"松散-极松散",IF(AND(I44&gt;=1.33,I44&lt;=1.8),"松散-标准松散",IF(AND(I44&gt;=1.83,I44&lt;=1.89),"松散-偏紧松散",IF(AND(I44&gt;=2,I44&lt;=2.5),"标准-偏松标准",IF(AND(I44&gt;=2.57,I44&lt;=3),"标准-核心标准",IF(AND(I44&gt;=3.17,I44&lt;=3.5),"标准-偏紧标准",IF(AND(I44&gt;=3.6,I44&lt;=5),"紧凑-标准紧凑",IF(AND(I44&gt;=5.25,I44&lt;=8),"紧凑-高度紧凑",IF(I44&gt;=8.5,"紧凑-极度紧凑",""))))))))))</f>
        <v/>
      </c>
      <c r="L44" s="2">
        <f>IF(I44=0.1,"极紧凑",IF(AND(I44&gt;=1,I44&lt;=1.89),"松散",IF(AND(I44&gt;=2,I44&lt;=3.5),"标准",IF(I44&gt;=3.6,"紧凑",""))))</f>
        <v/>
      </c>
      <c r="M44" s="2" t="inlineStr">
        <is>
          <t>极紧凑-豹子号</t>
        </is>
      </c>
      <c r="N44" s="2" t="inlineStr">
        <is>
          <t>松散-极松散</t>
        </is>
      </c>
      <c r="O44" s="2" t="inlineStr">
        <is>
          <t>松散-标准松散</t>
        </is>
      </c>
      <c r="P44" s="2" t="inlineStr">
        <is>
          <t>松散-偏紧松散</t>
        </is>
      </c>
      <c r="Q44" s="2" t="inlineStr">
        <is>
          <t>标准-偏松标准</t>
        </is>
      </c>
      <c r="R44" s="2" t="inlineStr">
        <is>
          <t>标准-核心标准</t>
        </is>
      </c>
      <c r="S44" s="2" t="inlineStr">
        <is>
          <t>标准-偏紧标准</t>
        </is>
      </c>
      <c r="T44" s="2" t="inlineStr">
        <is>
          <t>紧凑-标准紧凑</t>
        </is>
      </c>
      <c r="U44" s="2" t="inlineStr">
        <is>
          <t>紧凑-高度紧凑</t>
        </is>
      </c>
      <c r="V44" s="2" t="inlineStr">
        <is>
          <t>紧凑-极度紧凑</t>
        </is>
      </c>
    </row>
    <row r="45">
      <c r="A45" s="1" t="n">
        <v>2022314</v>
      </c>
      <c r="B45" s="3" t="inlineStr">
        <is>
          <t>715</t>
        </is>
      </c>
      <c r="C45" s="2">
        <f>IF(B45="","",LEFT(TEXT(B45,"000"),1)*1)</f>
        <v/>
      </c>
      <c r="D45" s="2">
        <f>IF(B45="","",MID(TEXT(B45,"000"),2,1)*1)</f>
        <v/>
      </c>
      <c r="E45" s="2">
        <f>IF(B45="","",RIGHT(TEXT(B45,"000"),1)*1)</f>
        <v/>
      </c>
      <c r="F45" s="2">
        <f>IF(B45="","",C45+D45+E45)</f>
        <v/>
      </c>
      <c r="G45" s="2">
        <f>IF(B45="","",MOD(F45,10))</f>
        <v/>
      </c>
      <c r="H45" s="2">
        <f>IF(B45="","",MAX(C45,D45,E45)-MIN(C45,D45,E45))</f>
        <v/>
      </c>
      <c r="I45" s="2">
        <f>IF(OR(B45="",H45=0),IF(H45=0,0.1,""),ROUND(F45/H45,2))</f>
        <v/>
      </c>
      <c r="J45" s="2">
        <f>IF(I45=0.1,"极紧凑",IF(I45&gt;3.5,"紧凑",IF(AND(I45&gt;=2,I45&lt;=3.5),"标准",IF(AND(I45&gt;=1,I45&lt;2),"松散",""))))</f>
        <v/>
      </c>
      <c r="K45" s="2">
        <f>IF(I45=0.1,"极紧凑-豹子号",IF(AND(I45&gt;=1,I45&lt;=1.29),"松散-极松散",IF(AND(I45&gt;=1.33,I45&lt;=1.8),"松散-标准松散",IF(AND(I45&gt;=1.83,I45&lt;=1.89),"松散-偏紧松散",IF(AND(I45&gt;=2,I45&lt;=2.5),"标准-偏松标准",IF(AND(I45&gt;=2.57,I45&lt;=3),"标准-核心标准",IF(AND(I45&gt;=3.17,I45&lt;=3.5),"标准-偏紧标准",IF(AND(I45&gt;=3.6,I45&lt;=5),"紧凑-标准紧凑",IF(AND(I45&gt;=5.25,I45&lt;=8),"紧凑-高度紧凑",IF(I45&gt;=8.5,"紧凑-极度紧凑",""))))))))))</f>
        <v/>
      </c>
      <c r="L45" s="2">
        <f>IF(I45=0.1,"极紧凑",IF(AND(I45&gt;=1,I45&lt;=1.89),"松散",IF(AND(I45&gt;=2,I45&lt;=3.5),"标准",IF(I45&gt;=3.6,"紧凑",""))))</f>
        <v/>
      </c>
      <c r="M45" s="2" t="inlineStr">
        <is>
          <t>极紧凑-豹子号</t>
        </is>
      </c>
      <c r="N45" s="2" t="inlineStr">
        <is>
          <t>松散-极松散</t>
        </is>
      </c>
      <c r="O45" s="2" t="inlineStr">
        <is>
          <t>松散-标准松散</t>
        </is>
      </c>
      <c r="P45" s="2" t="inlineStr">
        <is>
          <t>松散-偏紧松散</t>
        </is>
      </c>
      <c r="Q45" s="2" t="inlineStr">
        <is>
          <t>标准-偏松标准</t>
        </is>
      </c>
      <c r="R45" s="2" t="inlineStr">
        <is>
          <t>标准-核心标准</t>
        </is>
      </c>
      <c r="S45" s="2" t="inlineStr">
        <is>
          <t>标准-偏紧标准</t>
        </is>
      </c>
      <c r="T45" s="2" t="inlineStr">
        <is>
          <t>紧凑-标准紧凑</t>
        </is>
      </c>
      <c r="U45" s="2" t="inlineStr">
        <is>
          <t>紧凑-高度紧凑</t>
        </is>
      </c>
      <c r="V45" s="2" t="inlineStr">
        <is>
          <t>紧凑-极度紧凑</t>
        </is>
      </c>
    </row>
    <row r="46">
      <c r="A46" s="1" t="n">
        <v>2022315</v>
      </c>
      <c r="B46" s="3" t="inlineStr">
        <is>
          <t>562</t>
        </is>
      </c>
      <c r="C46" s="2">
        <f>IF(B46="","",LEFT(TEXT(B46,"000"),1)*1)</f>
        <v/>
      </c>
      <c r="D46" s="2">
        <f>IF(B46="","",MID(TEXT(B46,"000"),2,1)*1)</f>
        <v/>
      </c>
      <c r="E46" s="2">
        <f>IF(B46="","",RIGHT(TEXT(B46,"000"),1)*1)</f>
        <v/>
      </c>
      <c r="F46" s="2">
        <f>IF(B46="","",C46+D46+E46)</f>
        <v/>
      </c>
      <c r="G46" s="2">
        <f>IF(B46="","",MOD(F46,10))</f>
        <v/>
      </c>
      <c r="H46" s="2">
        <f>IF(B46="","",MAX(C46,D46,E46)-MIN(C46,D46,E46))</f>
        <v/>
      </c>
      <c r="I46" s="2">
        <f>IF(OR(B46="",H46=0),IF(H46=0,0.1,""),ROUND(F46/H46,2))</f>
        <v/>
      </c>
      <c r="J46" s="2">
        <f>IF(I46=0.1,"极紧凑",IF(I46&gt;3.5,"紧凑",IF(AND(I46&gt;=2,I46&lt;=3.5),"标准",IF(AND(I46&gt;=1,I46&lt;2),"松散",""))))</f>
        <v/>
      </c>
      <c r="K46" s="2">
        <f>IF(I46=0.1,"极紧凑-豹子号",IF(AND(I46&gt;=1,I46&lt;=1.29),"松散-极松散",IF(AND(I46&gt;=1.33,I46&lt;=1.8),"松散-标准松散",IF(AND(I46&gt;=1.83,I46&lt;=1.89),"松散-偏紧松散",IF(AND(I46&gt;=2,I46&lt;=2.5),"标准-偏松标准",IF(AND(I46&gt;=2.57,I46&lt;=3),"标准-核心标准",IF(AND(I46&gt;=3.17,I46&lt;=3.5),"标准-偏紧标准",IF(AND(I46&gt;=3.6,I46&lt;=5),"紧凑-标准紧凑",IF(AND(I46&gt;=5.25,I46&lt;=8),"紧凑-高度紧凑",IF(I46&gt;=8.5,"紧凑-极度紧凑",""))))))))))</f>
        <v/>
      </c>
      <c r="L46" s="2">
        <f>IF(I46=0.1,"极紧凑",IF(AND(I46&gt;=1,I46&lt;=1.89),"松散",IF(AND(I46&gt;=2,I46&lt;=3.5),"标准",IF(I46&gt;=3.6,"紧凑",""))))</f>
        <v/>
      </c>
      <c r="M46" s="2" t="inlineStr">
        <is>
          <t>极紧凑-豹子号</t>
        </is>
      </c>
      <c r="N46" s="2" t="inlineStr">
        <is>
          <t>松散-极松散</t>
        </is>
      </c>
      <c r="O46" s="2" t="inlineStr">
        <is>
          <t>松散-标准松散</t>
        </is>
      </c>
      <c r="P46" s="2" t="inlineStr">
        <is>
          <t>松散-偏紧松散</t>
        </is>
      </c>
      <c r="Q46" s="2" t="inlineStr">
        <is>
          <t>标准-偏松标准</t>
        </is>
      </c>
      <c r="R46" s="2" t="inlineStr">
        <is>
          <t>标准-核心标准</t>
        </is>
      </c>
      <c r="S46" s="2" t="inlineStr">
        <is>
          <t>标准-偏紧标准</t>
        </is>
      </c>
      <c r="T46" s="2" t="inlineStr">
        <is>
          <t>紧凑-标准紧凑</t>
        </is>
      </c>
      <c r="U46" s="2" t="inlineStr">
        <is>
          <t>紧凑-高度紧凑</t>
        </is>
      </c>
      <c r="V46" s="2" t="inlineStr">
        <is>
          <t>紧凑-极度紧凑</t>
        </is>
      </c>
    </row>
    <row r="47">
      <c r="A47" s="1" t="n">
        <v>2022316</v>
      </c>
      <c r="B47" s="3" t="inlineStr">
        <is>
          <t>280</t>
        </is>
      </c>
      <c r="C47" s="2">
        <f>IF(B47="","",LEFT(TEXT(B47,"000"),1)*1)</f>
        <v/>
      </c>
      <c r="D47" s="2">
        <f>IF(B47="","",MID(TEXT(B47,"000"),2,1)*1)</f>
        <v/>
      </c>
      <c r="E47" s="2">
        <f>IF(B47="","",RIGHT(TEXT(B47,"000"),1)*1)</f>
        <v/>
      </c>
      <c r="F47" s="2">
        <f>IF(B47="","",C47+D47+E47)</f>
        <v/>
      </c>
      <c r="G47" s="2">
        <f>IF(B47="","",MOD(F47,10))</f>
        <v/>
      </c>
      <c r="H47" s="2">
        <f>IF(B47="","",MAX(C47,D47,E47)-MIN(C47,D47,E47))</f>
        <v/>
      </c>
      <c r="I47" s="2">
        <f>IF(OR(B47="",H47=0),IF(H47=0,0.1,""),ROUND(F47/H47,2))</f>
        <v/>
      </c>
      <c r="J47" s="2">
        <f>IF(I47=0.1,"极紧凑",IF(I47&gt;3.5,"紧凑",IF(AND(I47&gt;=2,I47&lt;=3.5),"标准",IF(AND(I47&gt;=1,I47&lt;2),"松散",""))))</f>
        <v/>
      </c>
      <c r="K47" s="2">
        <f>IF(I47=0.1,"极紧凑-豹子号",IF(AND(I47&gt;=1,I47&lt;=1.29),"松散-极松散",IF(AND(I47&gt;=1.33,I47&lt;=1.8),"松散-标准松散",IF(AND(I47&gt;=1.83,I47&lt;=1.89),"松散-偏紧松散",IF(AND(I47&gt;=2,I47&lt;=2.5),"标准-偏松标准",IF(AND(I47&gt;=2.57,I47&lt;=3),"标准-核心标准",IF(AND(I47&gt;=3.17,I47&lt;=3.5),"标准-偏紧标准",IF(AND(I47&gt;=3.6,I47&lt;=5),"紧凑-标准紧凑",IF(AND(I47&gt;=5.25,I47&lt;=8),"紧凑-高度紧凑",IF(I47&gt;=8.5,"紧凑-极度紧凑",""))))))))))</f>
        <v/>
      </c>
      <c r="L47" s="2">
        <f>IF(I47=0.1,"极紧凑",IF(AND(I47&gt;=1,I47&lt;=1.89),"松散",IF(AND(I47&gt;=2,I47&lt;=3.5),"标准",IF(I47&gt;=3.6,"紧凑",""))))</f>
        <v/>
      </c>
      <c r="M47" s="2" t="inlineStr">
        <is>
          <t>极紧凑-豹子号</t>
        </is>
      </c>
      <c r="N47" s="2" t="inlineStr">
        <is>
          <t>松散-极松散</t>
        </is>
      </c>
      <c r="O47" s="2" t="inlineStr">
        <is>
          <t>松散-标准松散</t>
        </is>
      </c>
      <c r="P47" s="2" t="inlineStr">
        <is>
          <t>松散-偏紧松散</t>
        </is>
      </c>
      <c r="Q47" s="2" t="inlineStr">
        <is>
          <t>标准-偏松标准</t>
        </is>
      </c>
      <c r="R47" s="2" t="inlineStr">
        <is>
          <t>标准-核心标准</t>
        </is>
      </c>
      <c r="S47" s="2" t="inlineStr">
        <is>
          <t>标准-偏紧标准</t>
        </is>
      </c>
      <c r="T47" s="2" t="inlineStr">
        <is>
          <t>紧凑-标准紧凑</t>
        </is>
      </c>
      <c r="U47" s="2" t="inlineStr">
        <is>
          <t>紧凑-高度紧凑</t>
        </is>
      </c>
      <c r="V47" s="2" t="inlineStr">
        <is>
          <t>紧凑-极度紧凑</t>
        </is>
      </c>
    </row>
    <row r="48">
      <c r="A48" s="1" t="n">
        <v>2022317</v>
      </c>
      <c r="B48" s="3" t="inlineStr">
        <is>
          <t>268</t>
        </is>
      </c>
      <c r="C48" s="2">
        <f>IF(B48="","",LEFT(TEXT(B48,"000"),1)*1)</f>
        <v/>
      </c>
      <c r="D48" s="2">
        <f>IF(B48="","",MID(TEXT(B48,"000"),2,1)*1)</f>
        <v/>
      </c>
      <c r="E48" s="2">
        <f>IF(B48="","",RIGHT(TEXT(B48,"000"),1)*1)</f>
        <v/>
      </c>
      <c r="F48" s="2">
        <f>IF(B48="","",C48+D48+E48)</f>
        <v/>
      </c>
      <c r="G48" s="2">
        <f>IF(B48="","",MOD(F48,10))</f>
        <v/>
      </c>
      <c r="H48" s="2">
        <f>IF(B48="","",MAX(C48,D48,E48)-MIN(C48,D48,E48))</f>
        <v/>
      </c>
      <c r="I48" s="2">
        <f>IF(OR(B48="",H48=0),IF(H48=0,0.1,""),ROUND(F48/H48,2))</f>
        <v/>
      </c>
      <c r="J48" s="2">
        <f>IF(I48=0.1,"极紧凑",IF(I48&gt;3.5,"紧凑",IF(AND(I48&gt;=2,I48&lt;=3.5),"标准",IF(AND(I48&gt;=1,I48&lt;2),"松散",""))))</f>
        <v/>
      </c>
      <c r="K48" s="2">
        <f>IF(I48=0.1,"极紧凑-豹子号",IF(AND(I48&gt;=1,I48&lt;=1.29),"松散-极松散",IF(AND(I48&gt;=1.33,I48&lt;=1.8),"松散-标准松散",IF(AND(I48&gt;=1.83,I48&lt;=1.89),"松散-偏紧松散",IF(AND(I48&gt;=2,I48&lt;=2.5),"标准-偏松标准",IF(AND(I48&gt;=2.57,I48&lt;=3),"标准-核心标准",IF(AND(I48&gt;=3.17,I48&lt;=3.5),"标准-偏紧标准",IF(AND(I48&gt;=3.6,I48&lt;=5),"紧凑-标准紧凑",IF(AND(I48&gt;=5.25,I48&lt;=8),"紧凑-高度紧凑",IF(I48&gt;=8.5,"紧凑-极度紧凑",""))))))))))</f>
        <v/>
      </c>
      <c r="L48" s="2">
        <f>IF(I48=0.1,"极紧凑",IF(AND(I48&gt;=1,I48&lt;=1.89),"松散",IF(AND(I48&gt;=2,I48&lt;=3.5),"标准",IF(I48&gt;=3.6,"紧凑",""))))</f>
        <v/>
      </c>
      <c r="M48" s="2" t="inlineStr">
        <is>
          <t>极紧凑-豹子号</t>
        </is>
      </c>
      <c r="N48" s="2" t="inlineStr">
        <is>
          <t>松散-极松散</t>
        </is>
      </c>
      <c r="O48" s="2" t="inlineStr">
        <is>
          <t>松散-标准松散</t>
        </is>
      </c>
      <c r="P48" s="2" t="inlineStr">
        <is>
          <t>松散-偏紧松散</t>
        </is>
      </c>
      <c r="Q48" s="2" t="inlineStr">
        <is>
          <t>标准-偏松标准</t>
        </is>
      </c>
      <c r="R48" s="2" t="inlineStr">
        <is>
          <t>标准-核心标准</t>
        </is>
      </c>
      <c r="S48" s="2" t="inlineStr">
        <is>
          <t>标准-偏紧标准</t>
        </is>
      </c>
      <c r="T48" s="2" t="inlineStr">
        <is>
          <t>紧凑-标准紧凑</t>
        </is>
      </c>
      <c r="U48" s="2" t="inlineStr">
        <is>
          <t>紧凑-高度紧凑</t>
        </is>
      </c>
      <c r="V48" s="2" t="inlineStr">
        <is>
          <t>紧凑-极度紧凑</t>
        </is>
      </c>
    </row>
    <row r="49">
      <c r="A49" s="1" t="n">
        <v>2022318</v>
      </c>
      <c r="B49" s="3" t="inlineStr">
        <is>
          <t>021</t>
        </is>
      </c>
      <c r="C49" s="2">
        <f>IF(B49="","",LEFT(TEXT(B49,"000"),1)*1)</f>
        <v/>
      </c>
      <c r="D49" s="2">
        <f>IF(B49="","",MID(TEXT(B49,"000"),2,1)*1)</f>
        <v/>
      </c>
      <c r="E49" s="2">
        <f>IF(B49="","",RIGHT(TEXT(B49,"000"),1)*1)</f>
        <v/>
      </c>
      <c r="F49" s="2">
        <f>IF(B49="","",C49+D49+E49)</f>
        <v/>
      </c>
      <c r="G49" s="2">
        <f>IF(B49="","",MOD(F49,10))</f>
        <v/>
      </c>
      <c r="H49" s="2">
        <f>IF(B49="","",MAX(C49,D49,E49)-MIN(C49,D49,E49))</f>
        <v/>
      </c>
      <c r="I49" s="2">
        <f>IF(OR(B49="",H49=0),IF(H49=0,0.1,""),ROUND(F49/H49,2))</f>
        <v/>
      </c>
      <c r="J49" s="2">
        <f>IF(I49=0.1,"极紧凑",IF(I49&gt;3.5,"紧凑",IF(AND(I49&gt;=2,I49&lt;=3.5),"标准",IF(AND(I49&gt;=1,I49&lt;2),"松散",""))))</f>
        <v/>
      </c>
      <c r="K49" s="2">
        <f>IF(I49=0.1,"极紧凑-豹子号",IF(AND(I49&gt;=1,I49&lt;=1.29),"松散-极松散",IF(AND(I49&gt;=1.33,I49&lt;=1.8),"松散-标准松散",IF(AND(I49&gt;=1.83,I49&lt;=1.89),"松散-偏紧松散",IF(AND(I49&gt;=2,I49&lt;=2.5),"标准-偏松标准",IF(AND(I49&gt;=2.57,I49&lt;=3),"标准-核心标准",IF(AND(I49&gt;=3.17,I49&lt;=3.5),"标准-偏紧标准",IF(AND(I49&gt;=3.6,I49&lt;=5),"紧凑-标准紧凑",IF(AND(I49&gt;=5.25,I49&lt;=8),"紧凑-高度紧凑",IF(I49&gt;=8.5,"紧凑-极度紧凑",""))))))))))</f>
        <v/>
      </c>
      <c r="L49" s="2">
        <f>IF(I49=0.1,"极紧凑",IF(AND(I49&gt;=1,I49&lt;=1.89),"松散",IF(AND(I49&gt;=2,I49&lt;=3.5),"标准",IF(I49&gt;=3.6,"紧凑",""))))</f>
        <v/>
      </c>
      <c r="M49" s="2" t="inlineStr">
        <is>
          <t>极紧凑-豹子号</t>
        </is>
      </c>
      <c r="N49" s="2" t="inlineStr">
        <is>
          <t>松散-极松散</t>
        </is>
      </c>
      <c r="O49" s="2" t="inlineStr">
        <is>
          <t>松散-标准松散</t>
        </is>
      </c>
      <c r="P49" s="2" t="inlineStr">
        <is>
          <t>松散-偏紧松散</t>
        </is>
      </c>
      <c r="Q49" s="2" t="inlineStr">
        <is>
          <t>标准-偏松标准</t>
        </is>
      </c>
      <c r="R49" s="2" t="inlineStr">
        <is>
          <t>标准-核心标准</t>
        </is>
      </c>
      <c r="S49" s="2" t="inlineStr">
        <is>
          <t>标准-偏紧标准</t>
        </is>
      </c>
      <c r="T49" s="2" t="inlineStr">
        <is>
          <t>紧凑-标准紧凑</t>
        </is>
      </c>
      <c r="U49" s="2" t="inlineStr">
        <is>
          <t>紧凑-高度紧凑</t>
        </is>
      </c>
      <c r="V49" s="2" t="inlineStr">
        <is>
          <t>紧凑-极度紧凑</t>
        </is>
      </c>
    </row>
    <row r="50">
      <c r="A50" s="1" t="n">
        <v>2022319</v>
      </c>
      <c r="B50" s="3" t="inlineStr">
        <is>
          <t>069</t>
        </is>
      </c>
      <c r="C50" s="2">
        <f>IF(B50="","",LEFT(TEXT(B50,"000"),1)*1)</f>
        <v/>
      </c>
      <c r="D50" s="2">
        <f>IF(B50="","",MID(TEXT(B50,"000"),2,1)*1)</f>
        <v/>
      </c>
      <c r="E50" s="2">
        <f>IF(B50="","",RIGHT(TEXT(B50,"000"),1)*1)</f>
        <v/>
      </c>
      <c r="F50" s="2">
        <f>IF(B50="","",C50+D50+E50)</f>
        <v/>
      </c>
      <c r="G50" s="2">
        <f>IF(B50="","",MOD(F50,10))</f>
        <v/>
      </c>
      <c r="H50" s="2">
        <f>IF(B50="","",MAX(C50,D50,E50)-MIN(C50,D50,E50))</f>
        <v/>
      </c>
      <c r="I50" s="2">
        <f>IF(OR(B50="",H50=0),IF(H50=0,0.1,""),ROUND(F50/H50,2))</f>
        <v/>
      </c>
      <c r="J50" s="2">
        <f>IF(I50=0.1,"极紧凑",IF(I50&gt;3.5,"紧凑",IF(AND(I50&gt;=2,I50&lt;=3.5),"标准",IF(AND(I50&gt;=1,I50&lt;2),"松散",""))))</f>
        <v/>
      </c>
      <c r="K50" s="2">
        <f>IF(I50=0.1,"极紧凑-豹子号",IF(AND(I50&gt;=1,I50&lt;=1.29),"松散-极松散",IF(AND(I50&gt;=1.33,I50&lt;=1.8),"松散-标准松散",IF(AND(I50&gt;=1.83,I50&lt;=1.89),"松散-偏紧松散",IF(AND(I50&gt;=2,I50&lt;=2.5),"标准-偏松标准",IF(AND(I50&gt;=2.57,I50&lt;=3),"标准-核心标准",IF(AND(I50&gt;=3.17,I50&lt;=3.5),"标准-偏紧标准",IF(AND(I50&gt;=3.6,I50&lt;=5),"紧凑-标准紧凑",IF(AND(I50&gt;=5.25,I50&lt;=8),"紧凑-高度紧凑",IF(I50&gt;=8.5,"紧凑-极度紧凑",""))))))))))</f>
        <v/>
      </c>
      <c r="L50" s="2">
        <f>IF(I50=0.1,"极紧凑",IF(AND(I50&gt;=1,I50&lt;=1.89),"松散",IF(AND(I50&gt;=2,I50&lt;=3.5),"标准",IF(I50&gt;=3.6,"紧凑",""))))</f>
        <v/>
      </c>
      <c r="M50" s="2" t="inlineStr">
        <is>
          <t>极紧凑-豹子号</t>
        </is>
      </c>
      <c r="N50" s="2" t="inlineStr">
        <is>
          <t>松散-极松散</t>
        </is>
      </c>
      <c r="O50" s="2" t="inlineStr">
        <is>
          <t>松散-标准松散</t>
        </is>
      </c>
      <c r="P50" s="2" t="inlineStr">
        <is>
          <t>松散-偏紧松散</t>
        </is>
      </c>
      <c r="Q50" s="2" t="inlineStr">
        <is>
          <t>标准-偏松标准</t>
        </is>
      </c>
      <c r="R50" s="2" t="inlineStr">
        <is>
          <t>标准-核心标准</t>
        </is>
      </c>
      <c r="S50" s="2" t="inlineStr">
        <is>
          <t>标准-偏紧标准</t>
        </is>
      </c>
      <c r="T50" s="2" t="inlineStr">
        <is>
          <t>紧凑-标准紧凑</t>
        </is>
      </c>
      <c r="U50" s="2" t="inlineStr">
        <is>
          <t>紧凑-高度紧凑</t>
        </is>
      </c>
      <c r="V50" s="2" t="inlineStr">
        <is>
          <t>紧凑-极度紧凑</t>
        </is>
      </c>
    </row>
    <row r="51">
      <c r="A51" s="1" t="n">
        <v>2022320</v>
      </c>
      <c r="B51" s="3" t="inlineStr">
        <is>
          <t>747</t>
        </is>
      </c>
      <c r="C51" s="2">
        <f>IF(B51="","",LEFT(TEXT(B51,"000"),1)*1)</f>
        <v/>
      </c>
      <c r="D51" s="2">
        <f>IF(B51="","",MID(TEXT(B51,"000"),2,1)*1)</f>
        <v/>
      </c>
      <c r="E51" s="2">
        <f>IF(B51="","",RIGHT(TEXT(B51,"000"),1)*1)</f>
        <v/>
      </c>
      <c r="F51" s="2">
        <f>IF(B51="","",C51+D51+E51)</f>
        <v/>
      </c>
      <c r="G51" s="2">
        <f>IF(B51="","",MOD(F51,10))</f>
        <v/>
      </c>
      <c r="H51" s="2">
        <f>IF(B51="","",MAX(C51,D51,E51)-MIN(C51,D51,E51))</f>
        <v/>
      </c>
      <c r="I51" s="2">
        <f>IF(OR(B51="",H51=0),IF(H51=0,0.1,""),ROUND(F51/H51,2))</f>
        <v/>
      </c>
      <c r="J51" s="2">
        <f>IF(I51=0.1,"极紧凑",IF(I51&gt;3.5,"紧凑",IF(AND(I51&gt;=2,I51&lt;=3.5),"标准",IF(AND(I51&gt;=1,I51&lt;2),"松散",""))))</f>
        <v/>
      </c>
      <c r="K51" s="2">
        <f>IF(I51=0.1,"极紧凑-豹子号",IF(AND(I51&gt;=1,I51&lt;=1.29),"松散-极松散",IF(AND(I51&gt;=1.33,I51&lt;=1.8),"松散-标准松散",IF(AND(I51&gt;=1.83,I51&lt;=1.89),"松散-偏紧松散",IF(AND(I51&gt;=2,I51&lt;=2.5),"标准-偏松标准",IF(AND(I51&gt;=2.57,I51&lt;=3),"标准-核心标准",IF(AND(I51&gt;=3.17,I51&lt;=3.5),"标准-偏紧标准",IF(AND(I51&gt;=3.6,I51&lt;=5),"紧凑-标准紧凑",IF(AND(I51&gt;=5.25,I51&lt;=8),"紧凑-高度紧凑",IF(I51&gt;=8.5,"紧凑-极度紧凑",""))))))))))</f>
        <v/>
      </c>
      <c r="L51" s="2">
        <f>IF(I51=0.1,"极紧凑",IF(AND(I51&gt;=1,I51&lt;=1.89),"松散",IF(AND(I51&gt;=2,I51&lt;=3.5),"标准",IF(I51&gt;=3.6,"紧凑",""))))</f>
        <v/>
      </c>
      <c r="M51" s="2" t="inlineStr">
        <is>
          <t>极紧凑-豹子号</t>
        </is>
      </c>
      <c r="N51" s="2" t="inlineStr">
        <is>
          <t>松散-极松散</t>
        </is>
      </c>
      <c r="O51" s="2" t="inlineStr">
        <is>
          <t>松散-标准松散</t>
        </is>
      </c>
      <c r="P51" s="2" t="inlineStr">
        <is>
          <t>松散-偏紧松散</t>
        </is>
      </c>
      <c r="Q51" s="2" t="inlineStr">
        <is>
          <t>标准-偏松标准</t>
        </is>
      </c>
      <c r="R51" s="2" t="inlineStr">
        <is>
          <t>标准-核心标准</t>
        </is>
      </c>
      <c r="S51" s="2" t="inlineStr">
        <is>
          <t>标准-偏紧标准</t>
        </is>
      </c>
      <c r="T51" s="2" t="inlineStr">
        <is>
          <t>紧凑-标准紧凑</t>
        </is>
      </c>
      <c r="U51" s="2" t="inlineStr">
        <is>
          <t>紧凑-高度紧凑</t>
        </is>
      </c>
      <c r="V51" s="2" t="inlineStr">
        <is>
          <t>紧凑-极度紧凑</t>
        </is>
      </c>
    </row>
    <row r="52">
      <c r="A52" s="1" t="n">
        <v>2022321</v>
      </c>
      <c r="B52" s="3" t="inlineStr">
        <is>
          <t>861</t>
        </is>
      </c>
      <c r="C52" s="2">
        <f>IF(B52="","",LEFT(TEXT(B52,"000"),1)*1)</f>
        <v/>
      </c>
      <c r="D52" s="2">
        <f>IF(B52="","",MID(TEXT(B52,"000"),2,1)*1)</f>
        <v/>
      </c>
      <c r="E52" s="2">
        <f>IF(B52="","",RIGHT(TEXT(B52,"000"),1)*1)</f>
        <v/>
      </c>
      <c r="F52" s="2">
        <f>IF(B52="","",C52+D52+E52)</f>
        <v/>
      </c>
      <c r="G52" s="2">
        <f>IF(B52="","",MOD(F52,10))</f>
        <v/>
      </c>
      <c r="H52" s="2">
        <f>IF(B52="","",MAX(C52,D52,E52)-MIN(C52,D52,E52))</f>
        <v/>
      </c>
      <c r="I52" s="2">
        <f>IF(OR(B52="",H52=0),IF(H52=0,0.1,""),ROUND(F52/H52,2))</f>
        <v/>
      </c>
      <c r="J52" s="2">
        <f>IF(I52=0.1,"极紧凑",IF(I52&gt;3.5,"紧凑",IF(AND(I52&gt;=2,I52&lt;=3.5),"标准",IF(AND(I52&gt;=1,I52&lt;2),"松散",""))))</f>
        <v/>
      </c>
      <c r="K52" s="2">
        <f>IF(I52=0.1,"极紧凑-豹子号",IF(AND(I52&gt;=1,I52&lt;=1.29),"松散-极松散",IF(AND(I52&gt;=1.33,I52&lt;=1.8),"松散-标准松散",IF(AND(I52&gt;=1.83,I52&lt;=1.89),"松散-偏紧松散",IF(AND(I52&gt;=2,I52&lt;=2.5),"标准-偏松标准",IF(AND(I52&gt;=2.57,I52&lt;=3),"标准-核心标准",IF(AND(I52&gt;=3.17,I52&lt;=3.5),"标准-偏紧标准",IF(AND(I52&gt;=3.6,I52&lt;=5),"紧凑-标准紧凑",IF(AND(I52&gt;=5.25,I52&lt;=8),"紧凑-高度紧凑",IF(I52&gt;=8.5,"紧凑-极度紧凑",""))))))))))</f>
        <v/>
      </c>
      <c r="L52" s="2">
        <f>IF(I52=0.1,"极紧凑",IF(AND(I52&gt;=1,I52&lt;=1.89),"松散",IF(AND(I52&gt;=2,I52&lt;=3.5),"标准",IF(I52&gt;=3.6,"紧凑",""))))</f>
        <v/>
      </c>
      <c r="M52" s="2" t="inlineStr">
        <is>
          <t>极紧凑-豹子号</t>
        </is>
      </c>
      <c r="N52" s="2" t="inlineStr">
        <is>
          <t>松散-极松散</t>
        </is>
      </c>
      <c r="O52" s="2" t="inlineStr">
        <is>
          <t>松散-标准松散</t>
        </is>
      </c>
      <c r="P52" s="2" t="inlineStr">
        <is>
          <t>松散-偏紧松散</t>
        </is>
      </c>
      <c r="Q52" s="2" t="inlineStr">
        <is>
          <t>标准-偏松标准</t>
        </is>
      </c>
      <c r="R52" s="2" t="inlineStr">
        <is>
          <t>标准-核心标准</t>
        </is>
      </c>
      <c r="S52" s="2" t="inlineStr">
        <is>
          <t>标准-偏紧标准</t>
        </is>
      </c>
      <c r="T52" s="2" t="inlineStr">
        <is>
          <t>紧凑-标准紧凑</t>
        </is>
      </c>
      <c r="U52" s="2" t="inlineStr">
        <is>
          <t>紧凑-高度紧凑</t>
        </is>
      </c>
      <c r="V52" s="2" t="inlineStr">
        <is>
          <t>紧凑-极度紧凑</t>
        </is>
      </c>
    </row>
    <row r="53">
      <c r="A53" s="1" t="n">
        <v>2022322</v>
      </c>
      <c r="B53" s="3" t="inlineStr">
        <is>
          <t>335</t>
        </is>
      </c>
      <c r="C53" s="2">
        <f>IF(B53="","",LEFT(TEXT(B53,"000"),1)*1)</f>
        <v/>
      </c>
      <c r="D53" s="2">
        <f>IF(B53="","",MID(TEXT(B53,"000"),2,1)*1)</f>
        <v/>
      </c>
      <c r="E53" s="2">
        <f>IF(B53="","",RIGHT(TEXT(B53,"000"),1)*1)</f>
        <v/>
      </c>
      <c r="F53" s="2">
        <f>IF(B53="","",C53+D53+E53)</f>
        <v/>
      </c>
      <c r="G53" s="2">
        <f>IF(B53="","",MOD(F53,10))</f>
        <v/>
      </c>
      <c r="H53" s="2">
        <f>IF(B53="","",MAX(C53,D53,E53)-MIN(C53,D53,E53))</f>
        <v/>
      </c>
      <c r="I53" s="2">
        <f>IF(OR(B53="",H53=0),IF(H53=0,0.1,""),ROUND(F53/H53,2))</f>
        <v/>
      </c>
      <c r="J53" s="2">
        <f>IF(I53=0.1,"极紧凑",IF(I53&gt;3.5,"紧凑",IF(AND(I53&gt;=2,I53&lt;=3.5),"标准",IF(AND(I53&gt;=1,I53&lt;2),"松散",""))))</f>
        <v/>
      </c>
      <c r="K53" s="2">
        <f>IF(I53=0.1,"极紧凑-豹子号",IF(AND(I53&gt;=1,I53&lt;=1.29),"松散-极松散",IF(AND(I53&gt;=1.33,I53&lt;=1.8),"松散-标准松散",IF(AND(I53&gt;=1.83,I53&lt;=1.89),"松散-偏紧松散",IF(AND(I53&gt;=2,I53&lt;=2.5),"标准-偏松标准",IF(AND(I53&gt;=2.57,I53&lt;=3),"标准-核心标准",IF(AND(I53&gt;=3.17,I53&lt;=3.5),"标准-偏紧标准",IF(AND(I53&gt;=3.6,I53&lt;=5),"紧凑-标准紧凑",IF(AND(I53&gt;=5.25,I53&lt;=8),"紧凑-高度紧凑",IF(I53&gt;=8.5,"紧凑-极度紧凑",""))))))))))</f>
        <v/>
      </c>
      <c r="L53" s="2">
        <f>IF(I53=0.1,"极紧凑",IF(AND(I53&gt;=1,I53&lt;=1.89),"松散",IF(AND(I53&gt;=2,I53&lt;=3.5),"标准",IF(I53&gt;=3.6,"紧凑",""))))</f>
        <v/>
      </c>
      <c r="M53" s="2" t="inlineStr">
        <is>
          <t>极紧凑-豹子号</t>
        </is>
      </c>
      <c r="N53" s="2" t="inlineStr">
        <is>
          <t>松散-极松散</t>
        </is>
      </c>
      <c r="O53" s="2" t="inlineStr">
        <is>
          <t>松散-标准松散</t>
        </is>
      </c>
      <c r="P53" s="2" t="inlineStr">
        <is>
          <t>松散-偏紧松散</t>
        </is>
      </c>
      <c r="Q53" s="2" t="inlineStr">
        <is>
          <t>标准-偏松标准</t>
        </is>
      </c>
      <c r="R53" s="2" t="inlineStr">
        <is>
          <t>标准-核心标准</t>
        </is>
      </c>
      <c r="S53" s="2" t="inlineStr">
        <is>
          <t>标准-偏紧标准</t>
        </is>
      </c>
      <c r="T53" s="2" t="inlineStr">
        <is>
          <t>紧凑-标准紧凑</t>
        </is>
      </c>
      <c r="U53" s="2" t="inlineStr">
        <is>
          <t>紧凑-高度紧凑</t>
        </is>
      </c>
      <c r="V53" s="2" t="inlineStr">
        <is>
          <t>紧凑-极度紧凑</t>
        </is>
      </c>
    </row>
    <row r="54">
      <c r="A54" s="1" t="n">
        <v>2022323</v>
      </c>
      <c r="B54" s="3" t="inlineStr">
        <is>
          <t>712</t>
        </is>
      </c>
      <c r="C54" s="2">
        <f>IF(B54="","",LEFT(TEXT(B54,"000"),1)*1)</f>
        <v/>
      </c>
      <c r="D54" s="2">
        <f>IF(B54="","",MID(TEXT(B54,"000"),2,1)*1)</f>
        <v/>
      </c>
      <c r="E54" s="2">
        <f>IF(B54="","",RIGHT(TEXT(B54,"000"),1)*1)</f>
        <v/>
      </c>
      <c r="F54" s="2">
        <f>IF(B54="","",C54+D54+E54)</f>
        <v/>
      </c>
      <c r="G54" s="2">
        <f>IF(B54="","",MOD(F54,10))</f>
        <v/>
      </c>
      <c r="H54" s="2">
        <f>IF(B54="","",MAX(C54,D54,E54)-MIN(C54,D54,E54))</f>
        <v/>
      </c>
      <c r="I54" s="2">
        <f>IF(OR(B54="",H54=0),IF(H54=0,0.1,""),ROUND(F54/H54,2))</f>
        <v/>
      </c>
      <c r="J54" s="2">
        <f>IF(I54=0.1,"极紧凑",IF(I54&gt;3.5,"紧凑",IF(AND(I54&gt;=2,I54&lt;=3.5),"标准",IF(AND(I54&gt;=1,I54&lt;2),"松散",""))))</f>
        <v/>
      </c>
      <c r="K54" s="2">
        <f>IF(I54=0.1,"极紧凑-豹子号",IF(AND(I54&gt;=1,I54&lt;=1.29),"松散-极松散",IF(AND(I54&gt;=1.33,I54&lt;=1.8),"松散-标准松散",IF(AND(I54&gt;=1.83,I54&lt;=1.89),"松散-偏紧松散",IF(AND(I54&gt;=2,I54&lt;=2.5),"标准-偏松标准",IF(AND(I54&gt;=2.57,I54&lt;=3),"标准-核心标准",IF(AND(I54&gt;=3.17,I54&lt;=3.5),"标准-偏紧标准",IF(AND(I54&gt;=3.6,I54&lt;=5),"紧凑-标准紧凑",IF(AND(I54&gt;=5.25,I54&lt;=8),"紧凑-高度紧凑",IF(I54&gt;=8.5,"紧凑-极度紧凑",""))))))))))</f>
        <v/>
      </c>
      <c r="L54" s="2">
        <f>IF(I54=0.1,"极紧凑",IF(AND(I54&gt;=1,I54&lt;=1.89),"松散",IF(AND(I54&gt;=2,I54&lt;=3.5),"标准",IF(I54&gt;=3.6,"紧凑",""))))</f>
        <v/>
      </c>
      <c r="M54" s="2" t="inlineStr">
        <is>
          <t>极紧凑-豹子号</t>
        </is>
      </c>
      <c r="N54" s="2" t="inlineStr">
        <is>
          <t>松散-极松散</t>
        </is>
      </c>
      <c r="O54" s="2" t="inlineStr">
        <is>
          <t>松散-标准松散</t>
        </is>
      </c>
      <c r="P54" s="2" t="inlineStr">
        <is>
          <t>松散-偏紧松散</t>
        </is>
      </c>
      <c r="Q54" s="2" t="inlineStr">
        <is>
          <t>标准-偏松标准</t>
        </is>
      </c>
      <c r="R54" s="2" t="inlineStr">
        <is>
          <t>标准-核心标准</t>
        </is>
      </c>
      <c r="S54" s="2" t="inlineStr">
        <is>
          <t>标准-偏紧标准</t>
        </is>
      </c>
      <c r="T54" s="2" t="inlineStr">
        <is>
          <t>紧凑-标准紧凑</t>
        </is>
      </c>
      <c r="U54" s="2" t="inlineStr">
        <is>
          <t>紧凑-高度紧凑</t>
        </is>
      </c>
      <c r="V54" s="2" t="inlineStr">
        <is>
          <t>紧凑-极度紧凑</t>
        </is>
      </c>
    </row>
    <row r="55">
      <c r="A55" s="1" t="n">
        <v>2022324</v>
      </c>
      <c r="B55" s="3" t="inlineStr">
        <is>
          <t>849</t>
        </is>
      </c>
      <c r="C55" s="2">
        <f>IF(B55="","",LEFT(TEXT(B55,"000"),1)*1)</f>
        <v/>
      </c>
      <c r="D55" s="2">
        <f>IF(B55="","",MID(TEXT(B55,"000"),2,1)*1)</f>
        <v/>
      </c>
      <c r="E55" s="2">
        <f>IF(B55="","",RIGHT(TEXT(B55,"000"),1)*1)</f>
        <v/>
      </c>
      <c r="F55" s="2">
        <f>IF(B55="","",C55+D55+E55)</f>
        <v/>
      </c>
      <c r="G55" s="2">
        <f>IF(B55="","",MOD(F55,10))</f>
        <v/>
      </c>
      <c r="H55" s="2">
        <f>IF(B55="","",MAX(C55,D55,E55)-MIN(C55,D55,E55))</f>
        <v/>
      </c>
      <c r="I55" s="2">
        <f>IF(OR(B55="",H55=0),IF(H55=0,0.1,""),ROUND(F55/H55,2))</f>
        <v/>
      </c>
      <c r="J55" s="2">
        <f>IF(I55=0.1,"极紧凑",IF(I55&gt;3.5,"紧凑",IF(AND(I55&gt;=2,I55&lt;=3.5),"标准",IF(AND(I55&gt;=1,I55&lt;2),"松散",""))))</f>
        <v/>
      </c>
      <c r="K55" s="2">
        <f>IF(I55=0.1,"极紧凑-豹子号",IF(AND(I55&gt;=1,I55&lt;=1.29),"松散-极松散",IF(AND(I55&gt;=1.33,I55&lt;=1.8),"松散-标准松散",IF(AND(I55&gt;=1.83,I55&lt;=1.89),"松散-偏紧松散",IF(AND(I55&gt;=2,I55&lt;=2.5),"标准-偏松标准",IF(AND(I55&gt;=2.57,I55&lt;=3),"标准-核心标准",IF(AND(I55&gt;=3.17,I55&lt;=3.5),"标准-偏紧标准",IF(AND(I55&gt;=3.6,I55&lt;=5),"紧凑-标准紧凑",IF(AND(I55&gt;=5.25,I55&lt;=8),"紧凑-高度紧凑",IF(I55&gt;=8.5,"紧凑-极度紧凑",""))))))))))</f>
        <v/>
      </c>
      <c r="L55" s="2">
        <f>IF(I55=0.1,"极紧凑",IF(AND(I55&gt;=1,I55&lt;=1.89),"松散",IF(AND(I55&gt;=2,I55&lt;=3.5),"标准",IF(I55&gt;=3.6,"紧凑",""))))</f>
        <v/>
      </c>
      <c r="M55" s="2" t="inlineStr">
        <is>
          <t>极紧凑-豹子号</t>
        </is>
      </c>
      <c r="N55" s="2" t="inlineStr">
        <is>
          <t>松散-极松散</t>
        </is>
      </c>
      <c r="O55" s="2" t="inlineStr">
        <is>
          <t>松散-标准松散</t>
        </is>
      </c>
      <c r="P55" s="2" t="inlineStr">
        <is>
          <t>松散-偏紧松散</t>
        </is>
      </c>
      <c r="Q55" s="2" t="inlineStr">
        <is>
          <t>标准-偏松标准</t>
        </is>
      </c>
      <c r="R55" s="2" t="inlineStr">
        <is>
          <t>标准-核心标准</t>
        </is>
      </c>
      <c r="S55" s="2" t="inlineStr">
        <is>
          <t>标准-偏紧标准</t>
        </is>
      </c>
      <c r="T55" s="2" t="inlineStr">
        <is>
          <t>紧凑-标准紧凑</t>
        </is>
      </c>
      <c r="U55" s="2" t="inlineStr">
        <is>
          <t>紧凑-高度紧凑</t>
        </is>
      </c>
      <c r="V55" s="2" t="inlineStr">
        <is>
          <t>紧凑-极度紧凑</t>
        </is>
      </c>
    </row>
    <row r="56">
      <c r="A56" s="1" t="n">
        <v>2022325</v>
      </c>
      <c r="B56" s="3" t="inlineStr">
        <is>
          <t>760</t>
        </is>
      </c>
      <c r="C56" s="2">
        <f>IF(B56="","",LEFT(TEXT(B56,"000"),1)*1)</f>
        <v/>
      </c>
      <c r="D56" s="2">
        <f>IF(B56="","",MID(TEXT(B56,"000"),2,1)*1)</f>
        <v/>
      </c>
      <c r="E56" s="2">
        <f>IF(B56="","",RIGHT(TEXT(B56,"000"),1)*1)</f>
        <v/>
      </c>
      <c r="F56" s="2">
        <f>IF(B56="","",C56+D56+E56)</f>
        <v/>
      </c>
      <c r="G56" s="2">
        <f>IF(B56="","",MOD(F56,10))</f>
        <v/>
      </c>
      <c r="H56" s="2">
        <f>IF(B56="","",MAX(C56,D56,E56)-MIN(C56,D56,E56))</f>
        <v/>
      </c>
      <c r="I56" s="2">
        <f>IF(OR(B56="",H56=0),IF(H56=0,0.1,""),ROUND(F56/H56,2))</f>
        <v/>
      </c>
      <c r="J56" s="2">
        <f>IF(I56=0.1,"极紧凑",IF(I56&gt;3.5,"紧凑",IF(AND(I56&gt;=2,I56&lt;=3.5),"标准",IF(AND(I56&gt;=1,I56&lt;2),"松散",""))))</f>
        <v/>
      </c>
      <c r="K56" s="2">
        <f>IF(I56=0.1,"极紧凑-豹子号",IF(AND(I56&gt;=1,I56&lt;=1.29),"松散-极松散",IF(AND(I56&gt;=1.33,I56&lt;=1.8),"松散-标准松散",IF(AND(I56&gt;=1.83,I56&lt;=1.89),"松散-偏紧松散",IF(AND(I56&gt;=2,I56&lt;=2.5),"标准-偏松标准",IF(AND(I56&gt;=2.57,I56&lt;=3),"标准-核心标准",IF(AND(I56&gt;=3.17,I56&lt;=3.5),"标准-偏紧标准",IF(AND(I56&gt;=3.6,I56&lt;=5),"紧凑-标准紧凑",IF(AND(I56&gt;=5.25,I56&lt;=8),"紧凑-高度紧凑",IF(I56&gt;=8.5,"紧凑-极度紧凑",""))))))))))</f>
        <v/>
      </c>
      <c r="L56" s="2">
        <f>IF(I56=0.1,"极紧凑",IF(AND(I56&gt;=1,I56&lt;=1.89),"松散",IF(AND(I56&gt;=2,I56&lt;=3.5),"标准",IF(I56&gt;=3.6,"紧凑",""))))</f>
        <v/>
      </c>
      <c r="M56" s="2" t="inlineStr">
        <is>
          <t>极紧凑-豹子号</t>
        </is>
      </c>
      <c r="N56" s="2" t="inlineStr">
        <is>
          <t>松散-极松散</t>
        </is>
      </c>
      <c r="O56" s="2" t="inlineStr">
        <is>
          <t>松散-标准松散</t>
        </is>
      </c>
      <c r="P56" s="2" t="inlineStr">
        <is>
          <t>松散-偏紧松散</t>
        </is>
      </c>
      <c r="Q56" s="2" t="inlineStr">
        <is>
          <t>标准-偏松标准</t>
        </is>
      </c>
      <c r="R56" s="2" t="inlineStr">
        <is>
          <t>标准-核心标准</t>
        </is>
      </c>
      <c r="S56" s="2" t="inlineStr">
        <is>
          <t>标准-偏紧标准</t>
        </is>
      </c>
      <c r="T56" s="2" t="inlineStr">
        <is>
          <t>紧凑-标准紧凑</t>
        </is>
      </c>
      <c r="U56" s="2" t="inlineStr">
        <is>
          <t>紧凑-高度紧凑</t>
        </is>
      </c>
      <c r="V56" s="2" t="inlineStr">
        <is>
          <t>紧凑-极度紧凑</t>
        </is>
      </c>
    </row>
    <row r="57">
      <c r="A57" s="1" t="n">
        <v>2022326</v>
      </c>
      <c r="B57" s="3" t="inlineStr">
        <is>
          <t>289</t>
        </is>
      </c>
      <c r="C57" s="2">
        <f>IF(B57="","",LEFT(TEXT(B57,"000"),1)*1)</f>
        <v/>
      </c>
      <c r="D57" s="2">
        <f>IF(B57="","",MID(TEXT(B57,"000"),2,1)*1)</f>
        <v/>
      </c>
      <c r="E57" s="2">
        <f>IF(B57="","",RIGHT(TEXT(B57,"000"),1)*1)</f>
        <v/>
      </c>
      <c r="F57" s="2">
        <f>IF(B57="","",C57+D57+E57)</f>
        <v/>
      </c>
      <c r="G57" s="2">
        <f>IF(B57="","",MOD(F57,10))</f>
        <v/>
      </c>
      <c r="H57" s="2">
        <f>IF(B57="","",MAX(C57,D57,E57)-MIN(C57,D57,E57))</f>
        <v/>
      </c>
      <c r="I57" s="2">
        <f>IF(OR(B57="",H57=0),IF(H57=0,0.1,""),ROUND(F57/H57,2))</f>
        <v/>
      </c>
      <c r="J57" s="2">
        <f>IF(I57=0.1,"极紧凑",IF(I57&gt;3.5,"紧凑",IF(AND(I57&gt;=2,I57&lt;=3.5),"标准",IF(AND(I57&gt;=1,I57&lt;2),"松散",""))))</f>
        <v/>
      </c>
      <c r="K57" s="2">
        <f>IF(I57=0.1,"极紧凑-豹子号",IF(AND(I57&gt;=1,I57&lt;=1.29),"松散-极松散",IF(AND(I57&gt;=1.33,I57&lt;=1.8),"松散-标准松散",IF(AND(I57&gt;=1.83,I57&lt;=1.89),"松散-偏紧松散",IF(AND(I57&gt;=2,I57&lt;=2.5),"标准-偏松标准",IF(AND(I57&gt;=2.57,I57&lt;=3),"标准-核心标准",IF(AND(I57&gt;=3.17,I57&lt;=3.5),"标准-偏紧标准",IF(AND(I57&gt;=3.6,I57&lt;=5),"紧凑-标准紧凑",IF(AND(I57&gt;=5.25,I57&lt;=8),"紧凑-高度紧凑",IF(I57&gt;=8.5,"紧凑-极度紧凑",""))))))))))</f>
        <v/>
      </c>
      <c r="L57" s="2">
        <f>IF(I57=0.1,"极紧凑",IF(AND(I57&gt;=1,I57&lt;=1.89),"松散",IF(AND(I57&gt;=2,I57&lt;=3.5),"标准",IF(I57&gt;=3.6,"紧凑",""))))</f>
        <v/>
      </c>
      <c r="M57" s="2" t="inlineStr">
        <is>
          <t>极紧凑-豹子号</t>
        </is>
      </c>
      <c r="N57" s="2" t="inlineStr">
        <is>
          <t>松散-极松散</t>
        </is>
      </c>
      <c r="O57" s="2" t="inlineStr">
        <is>
          <t>松散-标准松散</t>
        </is>
      </c>
      <c r="P57" s="2" t="inlineStr">
        <is>
          <t>松散-偏紧松散</t>
        </is>
      </c>
      <c r="Q57" s="2" t="inlineStr">
        <is>
          <t>标准-偏松标准</t>
        </is>
      </c>
      <c r="R57" s="2" t="inlineStr">
        <is>
          <t>标准-核心标准</t>
        </is>
      </c>
      <c r="S57" s="2" t="inlineStr">
        <is>
          <t>标准-偏紧标准</t>
        </is>
      </c>
      <c r="T57" s="2" t="inlineStr">
        <is>
          <t>紧凑-标准紧凑</t>
        </is>
      </c>
      <c r="U57" s="2" t="inlineStr">
        <is>
          <t>紧凑-高度紧凑</t>
        </is>
      </c>
      <c r="V57" s="2" t="inlineStr">
        <is>
          <t>紧凑-极度紧凑</t>
        </is>
      </c>
    </row>
    <row r="58">
      <c r="A58" s="1" t="n">
        <v>2022327</v>
      </c>
      <c r="B58" s="3" t="inlineStr">
        <is>
          <t>289</t>
        </is>
      </c>
      <c r="C58" s="2">
        <f>IF(B58="","",LEFT(TEXT(B58,"000"),1)*1)</f>
        <v/>
      </c>
      <c r="D58" s="2">
        <f>IF(B58="","",MID(TEXT(B58,"000"),2,1)*1)</f>
        <v/>
      </c>
      <c r="E58" s="2">
        <f>IF(B58="","",RIGHT(TEXT(B58,"000"),1)*1)</f>
        <v/>
      </c>
      <c r="F58" s="2">
        <f>IF(B58="","",C58+D58+E58)</f>
        <v/>
      </c>
      <c r="G58" s="2">
        <f>IF(B58="","",MOD(F58,10))</f>
        <v/>
      </c>
      <c r="H58" s="2">
        <f>IF(B58="","",MAX(C58,D58,E58)-MIN(C58,D58,E58))</f>
        <v/>
      </c>
      <c r="I58" s="2">
        <f>IF(OR(B58="",H58=0),IF(H58=0,0.1,""),ROUND(F58/H58,2))</f>
        <v/>
      </c>
      <c r="J58" s="2">
        <f>IF(I58=0.1,"极紧凑",IF(I58&gt;3.5,"紧凑",IF(AND(I58&gt;=2,I58&lt;=3.5),"标准",IF(AND(I58&gt;=1,I58&lt;2),"松散",""))))</f>
        <v/>
      </c>
      <c r="K58" s="2">
        <f>IF(I58=0.1,"极紧凑-豹子号",IF(AND(I58&gt;=1,I58&lt;=1.29),"松散-极松散",IF(AND(I58&gt;=1.33,I58&lt;=1.8),"松散-标准松散",IF(AND(I58&gt;=1.83,I58&lt;=1.89),"松散-偏紧松散",IF(AND(I58&gt;=2,I58&lt;=2.5),"标准-偏松标准",IF(AND(I58&gt;=2.57,I58&lt;=3),"标准-核心标准",IF(AND(I58&gt;=3.17,I58&lt;=3.5),"标准-偏紧标准",IF(AND(I58&gt;=3.6,I58&lt;=5),"紧凑-标准紧凑",IF(AND(I58&gt;=5.25,I58&lt;=8),"紧凑-高度紧凑",IF(I58&gt;=8.5,"紧凑-极度紧凑",""))))))))))</f>
        <v/>
      </c>
      <c r="L58" s="2">
        <f>IF(I58=0.1,"极紧凑",IF(AND(I58&gt;=1,I58&lt;=1.89),"松散",IF(AND(I58&gt;=2,I58&lt;=3.5),"标准",IF(I58&gt;=3.6,"紧凑",""))))</f>
        <v/>
      </c>
      <c r="M58" s="2" t="inlineStr">
        <is>
          <t>极紧凑-豹子号</t>
        </is>
      </c>
      <c r="N58" s="2" t="inlineStr">
        <is>
          <t>松散-极松散</t>
        </is>
      </c>
      <c r="O58" s="2" t="inlineStr">
        <is>
          <t>松散-标准松散</t>
        </is>
      </c>
      <c r="P58" s="2" t="inlineStr">
        <is>
          <t>松散-偏紧松散</t>
        </is>
      </c>
      <c r="Q58" s="2" t="inlineStr">
        <is>
          <t>标准-偏松标准</t>
        </is>
      </c>
      <c r="R58" s="2" t="inlineStr">
        <is>
          <t>标准-核心标准</t>
        </is>
      </c>
      <c r="S58" s="2" t="inlineStr">
        <is>
          <t>标准-偏紧标准</t>
        </is>
      </c>
      <c r="T58" s="2" t="inlineStr">
        <is>
          <t>紧凑-标准紧凑</t>
        </is>
      </c>
      <c r="U58" s="2" t="inlineStr">
        <is>
          <t>紧凑-高度紧凑</t>
        </is>
      </c>
      <c r="V58" s="2" t="inlineStr">
        <is>
          <t>紧凑-极度紧凑</t>
        </is>
      </c>
    </row>
    <row r="59">
      <c r="A59" s="1" t="n">
        <v>2022328</v>
      </c>
      <c r="B59" s="3" t="inlineStr">
        <is>
          <t>620</t>
        </is>
      </c>
      <c r="C59" s="2">
        <f>IF(B59="","",LEFT(TEXT(B59,"000"),1)*1)</f>
        <v/>
      </c>
      <c r="D59" s="2">
        <f>IF(B59="","",MID(TEXT(B59,"000"),2,1)*1)</f>
        <v/>
      </c>
      <c r="E59" s="2">
        <f>IF(B59="","",RIGHT(TEXT(B59,"000"),1)*1)</f>
        <v/>
      </c>
      <c r="F59" s="2">
        <f>IF(B59="","",C59+D59+E59)</f>
        <v/>
      </c>
      <c r="G59" s="2">
        <f>IF(B59="","",MOD(F59,10))</f>
        <v/>
      </c>
      <c r="H59" s="2">
        <f>IF(B59="","",MAX(C59,D59,E59)-MIN(C59,D59,E59))</f>
        <v/>
      </c>
      <c r="I59" s="2">
        <f>IF(OR(B59="",H59=0),IF(H59=0,0.1,""),ROUND(F59/H59,2))</f>
        <v/>
      </c>
      <c r="J59" s="2">
        <f>IF(I59=0.1,"极紧凑",IF(I59&gt;3.5,"紧凑",IF(AND(I59&gt;=2,I59&lt;=3.5),"标准",IF(AND(I59&gt;=1,I59&lt;2),"松散",""))))</f>
        <v/>
      </c>
      <c r="K59" s="2">
        <f>IF(I59=0.1,"极紧凑-豹子号",IF(AND(I59&gt;=1,I59&lt;=1.29),"松散-极松散",IF(AND(I59&gt;=1.33,I59&lt;=1.8),"松散-标准松散",IF(AND(I59&gt;=1.83,I59&lt;=1.89),"松散-偏紧松散",IF(AND(I59&gt;=2,I59&lt;=2.5),"标准-偏松标准",IF(AND(I59&gt;=2.57,I59&lt;=3),"标准-核心标准",IF(AND(I59&gt;=3.17,I59&lt;=3.5),"标准-偏紧标准",IF(AND(I59&gt;=3.6,I59&lt;=5),"紧凑-标准紧凑",IF(AND(I59&gt;=5.25,I59&lt;=8),"紧凑-高度紧凑",IF(I59&gt;=8.5,"紧凑-极度紧凑",""))))))))))</f>
        <v/>
      </c>
      <c r="L59" s="2">
        <f>IF(I59=0.1,"极紧凑",IF(AND(I59&gt;=1,I59&lt;=1.89),"松散",IF(AND(I59&gt;=2,I59&lt;=3.5),"标准",IF(I59&gt;=3.6,"紧凑",""))))</f>
        <v/>
      </c>
      <c r="M59" s="2" t="inlineStr">
        <is>
          <t>极紧凑-豹子号</t>
        </is>
      </c>
      <c r="N59" s="2" t="inlineStr">
        <is>
          <t>松散-极松散</t>
        </is>
      </c>
      <c r="O59" s="2" t="inlineStr">
        <is>
          <t>松散-标准松散</t>
        </is>
      </c>
      <c r="P59" s="2" t="inlineStr">
        <is>
          <t>松散-偏紧松散</t>
        </is>
      </c>
      <c r="Q59" s="2" t="inlineStr">
        <is>
          <t>标准-偏松标准</t>
        </is>
      </c>
      <c r="R59" s="2" t="inlineStr">
        <is>
          <t>标准-核心标准</t>
        </is>
      </c>
      <c r="S59" s="2" t="inlineStr">
        <is>
          <t>标准-偏紧标准</t>
        </is>
      </c>
      <c r="T59" s="2" t="inlineStr">
        <is>
          <t>紧凑-标准紧凑</t>
        </is>
      </c>
      <c r="U59" s="2" t="inlineStr">
        <is>
          <t>紧凑-高度紧凑</t>
        </is>
      </c>
      <c r="V59" s="2" t="inlineStr">
        <is>
          <t>紧凑-极度紧凑</t>
        </is>
      </c>
    </row>
    <row r="60">
      <c r="A60" s="1" t="n">
        <v>2022329</v>
      </c>
      <c r="B60" s="3" t="inlineStr">
        <is>
          <t>167</t>
        </is>
      </c>
      <c r="C60" s="2">
        <f>IF(B60="","",LEFT(TEXT(B60,"000"),1)*1)</f>
        <v/>
      </c>
      <c r="D60" s="2">
        <f>IF(B60="","",MID(TEXT(B60,"000"),2,1)*1)</f>
        <v/>
      </c>
      <c r="E60" s="2">
        <f>IF(B60="","",RIGHT(TEXT(B60,"000"),1)*1)</f>
        <v/>
      </c>
      <c r="F60" s="2">
        <f>IF(B60="","",C60+D60+E60)</f>
        <v/>
      </c>
      <c r="G60" s="2">
        <f>IF(B60="","",MOD(F60,10))</f>
        <v/>
      </c>
      <c r="H60" s="2">
        <f>IF(B60="","",MAX(C60,D60,E60)-MIN(C60,D60,E60))</f>
        <v/>
      </c>
      <c r="I60" s="2">
        <f>IF(OR(B60="",H60=0),IF(H60=0,0.1,""),ROUND(F60/H60,2))</f>
        <v/>
      </c>
      <c r="J60" s="2">
        <f>IF(I60=0.1,"极紧凑",IF(I60&gt;3.5,"紧凑",IF(AND(I60&gt;=2,I60&lt;=3.5),"标准",IF(AND(I60&gt;=1,I60&lt;2),"松散",""))))</f>
        <v/>
      </c>
      <c r="K60" s="2">
        <f>IF(I60=0.1,"极紧凑-豹子号",IF(AND(I60&gt;=1,I60&lt;=1.29),"松散-极松散",IF(AND(I60&gt;=1.33,I60&lt;=1.8),"松散-标准松散",IF(AND(I60&gt;=1.83,I60&lt;=1.89),"松散-偏紧松散",IF(AND(I60&gt;=2,I60&lt;=2.5),"标准-偏松标准",IF(AND(I60&gt;=2.57,I60&lt;=3),"标准-核心标准",IF(AND(I60&gt;=3.17,I60&lt;=3.5),"标准-偏紧标准",IF(AND(I60&gt;=3.6,I60&lt;=5),"紧凑-标准紧凑",IF(AND(I60&gt;=5.25,I60&lt;=8),"紧凑-高度紧凑",IF(I60&gt;=8.5,"紧凑-极度紧凑",""))))))))))</f>
        <v/>
      </c>
      <c r="L60" s="2">
        <f>IF(I60=0.1,"极紧凑",IF(AND(I60&gt;=1,I60&lt;=1.89),"松散",IF(AND(I60&gt;=2,I60&lt;=3.5),"标准",IF(I60&gt;=3.6,"紧凑",""))))</f>
        <v/>
      </c>
      <c r="M60" s="2" t="inlineStr">
        <is>
          <t>极紧凑-豹子号</t>
        </is>
      </c>
      <c r="N60" s="2" t="inlineStr">
        <is>
          <t>松散-极松散</t>
        </is>
      </c>
      <c r="O60" s="2" t="inlineStr">
        <is>
          <t>松散-标准松散</t>
        </is>
      </c>
      <c r="P60" s="2" t="inlineStr">
        <is>
          <t>松散-偏紧松散</t>
        </is>
      </c>
      <c r="Q60" s="2" t="inlineStr">
        <is>
          <t>标准-偏松标准</t>
        </is>
      </c>
      <c r="R60" s="2" t="inlineStr">
        <is>
          <t>标准-核心标准</t>
        </is>
      </c>
      <c r="S60" s="2" t="inlineStr">
        <is>
          <t>标准-偏紧标准</t>
        </is>
      </c>
      <c r="T60" s="2" t="inlineStr">
        <is>
          <t>紧凑-标准紧凑</t>
        </is>
      </c>
      <c r="U60" s="2" t="inlineStr">
        <is>
          <t>紧凑-高度紧凑</t>
        </is>
      </c>
      <c r="V60" s="2" t="inlineStr">
        <is>
          <t>紧凑-极度紧凑</t>
        </is>
      </c>
    </row>
    <row r="61">
      <c r="A61" s="1" t="n">
        <v>2022330</v>
      </c>
      <c r="B61" s="3" t="inlineStr">
        <is>
          <t>221</t>
        </is>
      </c>
      <c r="C61" s="2">
        <f>IF(B61="","",LEFT(TEXT(B61,"000"),1)*1)</f>
        <v/>
      </c>
      <c r="D61" s="2">
        <f>IF(B61="","",MID(TEXT(B61,"000"),2,1)*1)</f>
        <v/>
      </c>
      <c r="E61" s="2">
        <f>IF(B61="","",RIGHT(TEXT(B61,"000"),1)*1)</f>
        <v/>
      </c>
      <c r="F61" s="2">
        <f>IF(B61="","",C61+D61+E61)</f>
        <v/>
      </c>
      <c r="G61" s="2">
        <f>IF(B61="","",MOD(F61,10))</f>
        <v/>
      </c>
      <c r="H61" s="2">
        <f>IF(B61="","",MAX(C61,D61,E61)-MIN(C61,D61,E61))</f>
        <v/>
      </c>
      <c r="I61" s="2">
        <f>IF(OR(B61="",H61=0),IF(H61=0,0.1,""),ROUND(F61/H61,2))</f>
        <v/>
      </c>
      <c r="J61" s="2">
        <f>IF(I61=0.1,"极紧凑",IF(I61&gt;3.5,"紧凑",IF(AND(I61&gt;=2,I61&lt;=3.5),"标准",IF(AND(I61&gt;=1,I61&lt;2),"松散",""))))</f>
        <v/>
      </c>
      <c r="K61" s="2">
        <f>IF(I61=0.1,"极紧凑-豹子号",IF(AND(I61&gt;=1,I61&lt;=1.29),"松散-极松散",IF(AND(I61&gt;=1.33,I61&lt;=1.8),"松散-标准松散",IF(AND(I61&gt;=1.83,I61&lt;=1.89),"松散-偏紧松散",IF(AND(I61&gt;=2,I61&lt;=2.5),"标准-偏松标准",IF(AND(I61&gt;=2.57,I61&lt;=3),"标准-核心标准",IF(AND(I61&gt;=3.17,I61&lt;=3.5),"标准-偏紧标准",IF(AND(I61&gt;=3.6,I61&lt;=5),"紧凑-标准紧凑",IF(AND(I61&gt;=5.25,I61&lt;=8),"紧凑-高度紧凑",IF(I61&gt;=8.5,"紧凑-极度紧凑",""))))))))))</f>
        <v/>
      </c>
      <c r="L61" s="2">
        <f>IF(I61=0.1,"极紧凑",IF(AND(I61&gt;=1,I61&lt;=1.89),"松散",IF(AND(I61&gt;=2,I61&lt;=3.5),"标准",IF(I61&gt;=3.6,"紧凑",""))))</f>
        <v/>
      </c>
      <c r="M61" s="2" t="inlineStr">
        <is>
          <t>极紧凑-豹子号</t>
        </is>
      </c>
      <c r="N61" s="2" t="inlineStr">
        <is>
          <t>松散-极松散</t>
        </is>
      </c>
      <c r="O61" s="2" t="inlineStr">
        <is>
          <t>松散-标准松散</t>
        </is>
      </c>
      <c r="P61" s="2" t="inlineStr">
        <is>
          <t>松散-偏紧松散</t>
        </is>
      </c>
      <c r="Q61" s="2" t="inlineStr">
        <is>
          <t>标准-偏松标准</t>
        </is>
      </c>
      <c r="R61" s="2" t="inlineStr">
        <is>
          <t>标准-核心标准</t>
        </is>
      </c>
      <c r="S61" s="2" t="inlineStr">
        <is>
          <t>标准-偏紧标准</t>
        </is>
      </c>
      <c r="T61" s="2" t="inlineStr">
        <is>
          <t>紧凑-标准紧凑</t>
        </is>
      </c>
      <c r="U61" s="2" t="inlineStr">
        <is>
          <t>紧凑-高度紧凑</t>
        </is>
      </c>
      <c r="V61" s="2" t="inlineStr">
        <is>
          <t>紧凑-极度紧凑</t>
        </is>
      </c>
    </row>
    <row r="62">
      <c r="A62" s="1" t="n">
        <v>2022331</v>
      </c>
      <c r="B62" s="3" t="inlineStr">
        <is>
          <t>808</t>
        </is>
      </c>
      <c r="C62" s="2">
        <f>IF(B62="","",LEFT(TEXT(B62,"000"),1)*1)</f>
        <v/>
      </c>
      <c r="D62" s="2">
        <f>IF(B62="","",MID(TEXT(B62,"000"),2,1)*1)</f>
        <v/>
      </c>
      <c r="E62" s="2">
        <f>IF(B62="","",RIGHT(TEXT(B62,"000"),1)*1)</f>
        <v/>
      </c>
      <c r="F62" s="2">
        <f>IF(B62="","",C62+D62+E62)</f>
        <v/>
      </c>
      <c r="G62" s="2">
        <f>IF(B62="","",MOD(F62,10))</f>
        <v/>
      </c>
      <c r="H62" s="2">
        <f>IF(B62="","",MAX(C62,D62,E62)-MIN(C62,D62,E62))</f>
        <v/>
      </c>
      <c r="I62" s="2">
        <f>IF(OR(B62="",H62=0),IF(H62=0,0.1,""),ROUND(F62/H62,2))</f>
        <v/>
      </c>
      <c r="J62" s="2">
        <f>IF(I62=0.1,"极紧凑",IF(I62&gt;3.5,"紧凑",IF(AND(I62&gt;=2,I62&lt;=3.5),"标准",IF(AND(I62&gt;=1,I62&lt;2),"松散",""))))</f>
        <v/>
      </c>
      <c r="K62" s="2">
        <f>IF(I62=0.1,"极紧凑-豹子号",IF(AND(I62&gt;=1,I62&lt;=1.29),"松散-极松散",IF(AND(I62&gt;=1.33,I62&lt;=1.8),"松散-标准松散",IF(AND(I62&gt;=1.83,I62&lt;=1.89),"松散-偏紧松散",IF(AND(I62&gt;=2,I62&lt;=2.5),"标准-偏松标准",IF(AND(I62&gt;=2.57,I62&lt;=3),"标准-核心标准",IF(AND(I62&gt;=3.17,I62&lt;=3.5),"标准-偏紧标准",IF(AND(I62&gt;=3.6,I62&lt;=5),"紧凑-标准紧凑",IF(AND(I62&gt;=5.25,I62&lt;=8),"紧凑-高度紧凑",IF(I62&gt;=8.5,"紧凑-极度紧凑",""))))))))))</f>
        <v/>
      </c>
      <c r="L62" s="2">
        <f>IF(I62=0.1,"极紧凑",IF(AND(I62&gt;=1,I62&lt;=1.89),"松散",IF(AND(I62&gt;=2,I62&lt;=3.5),"标准",IF(I62&gt;=3.6,"紧凑",""))))</f>
        <v/>
      </c>
      <c r="M62" s="2" t="inlineStr">
        <is>
          <t>极紧凑-豹子号</t>
        </is>
      </c>
      <c r="N62" s="2" t="inlineStr">
        <is>
          <t>松散-极松散</t>
        </is>
      </c>
      <c r="O62" s="2" t="inlineStr">
        <is>
          <t>松散-标准松散</t>
        </is>
      </c>
      <c r="P62" s="2" t="inlineStr">
        <is>
          <t>松散-偏紧松散</t>
        </is>
      </c>
      <c r="Q62" s="2" t="inlineStr">
        <is>
          <t>标准-偏松标准</t>
        </is>
      </c>
      <c r="R62" s="2" t="inlineStr">
        <is>
          <t>标准-核心标准</t>
        </is>
      </c>
      <c r="S62" s="2" t="inlineStr">
        <is>
          <t>标准-偏紧标准</t>
        </is>
      </c>
      <c r="T62" s="2" t="inlineStr">
        <is>
          <t>紧凑-标准紧凑</t>
        </is>
      </c>
      <c r="U62" s="2" t="inlineStr">
        <is>
          <t>紧凑-高度紧凑</t>
        </is>
      </c>
      <c r="V62" s="2" t="inlineStr">
        <is>
          <t>紧凑-极度紧凑</t>
        </is>
      </c>
    </row>
    <row r="63">
      <c r="A63" s="1" t="n">
        <v>2022332</v>
      </c>
      <c r="B63" s="3" t="inlineStr">
        <is>
          <t>422</t>
        </is>
      </c>
      <c r="C63" s="2">
        <f>IF(B63="","",LEFT(TEXT(B63,"000"),1)*1)</f>
        <v/>
      </c>
      <c r="D63" s="2">
        <f>IF(B63="","",MID(TEXT(B63,"000"),2,1)*1)</f>
        <v/>
      </c>
      <c r="E63" s="2">
        <f>IF(B63="","",RIGHT(TEXT(B63,"000"),1)*1)</f>
        <v/>
      </c>
      <c r="F63" s="2">
        <f>IF(B63="","",C63+D63+E63)</f>
        <v/>
      </c>
      <c r="G63" s="2">
        <f>IF(B63="","",MOD(F63,10))</f>
        <v/>
      </c>
      <c r="H63" s="2">
        <f>IF(B63="","",MAX(C63,D63,E63)-MIN(C63,D63,E63))</f>
        <v/>
      </c>
      <c r="I63" s="2">
        <f>IF(OR(B63="",H63=0),IF(H63=0,0.1,""),ROUND(F63/H63,2))</f>
        <v/>
      </c>
      <c r="J63" s="2">
        <f>IF(I63=0.1,"极紧凑",IF(I63&gt;3.5,"紧凑",IF(AND(I63&gt;=2,I63&lt;=3.5),"标准",IF(AND(I63&gt;=1,I63&lt;2),"松散",""))))</f>
        <v/>
      </c>
      <c r="K63" s="2">
        <f>IF(I63=0.1,"极紧凑-豹子号",IF(AND(I63&gt;=1,I63&lt;=1.29),"松散-极松散",IF(AND(I63&gt;=1.33,I63&lt;=1.8),"松散-标准松散",IF(AND(I63&gt;=1.83,I63&lt;=1.89),"松散-偏紧松散",IF(AND(I63&gt;=2,I63&lt;=2.5),"标准-偏松标准",IF(AND(I63&gt;=2.57,I63&lt;=3),"标准-核心标准",IF(AND(I63&gt;=3.17,I63&lt;=3.5),"标准-偏紧标准",IF(AND(I63&gt;=3.6,I63&lt;=5),"紧凑-标准紧凑",IF(AND(I63&gt;=5.25,I63&lt;=8),"紧凑-高度紧凑",IF(I63&gt;=8.5,"紧凑-极度紧凑",""))))))))))</f>
        <v/>
      </c>
      <c r="L63" s="2">
        <f>IF(I63=0.1,"极紧凑",IF(AND(I63&gt;=1,I63&lt;=1.89),"松散",IF(AND(I63&gt;=2,I63&lt;=3.5),"标准",IF(I63&gt;=3.6,"紧凑",""))))</f>
        <v/>
      </c>
      <c r="M63" s="2" t="inlineStr">
        <is>
          <t>极紧凑-豹子号</t>
        </is>
      </c>
      <c r="N63" s="2" t="inlineStr">
        <is>
          <t>松散-极松散</t>
        </is>
      </c>
      <c r="O63" s="2" t="inlineStr">
        <is>
          <t>松散-标准松散</t>
        </is>
      </c>
      <c r="P63" s="2" t="inlineStr">
        <is>
          <t>松散-偏紧松散</t>
        </is>
      </c>
      <c r="Q63" s="2" t="inlineStr">
        <is>
          <t>标准-偏松标准</t>
        </is>
      </c>
      <c r="R63" s="2" t="inlineStr">
        <is>
          <t>标准-核心标准</t>
        </is>
      </c>
      <c r="S63" s="2" t="inlineStr">
        <is>
          <t>标准-偏紧标准</t>
        </is>
      </c>
      <c r="T63" s="2" t="inlineStr">
        <is>
          <t>紧凑-标准紧凑</t>
        </is>
      </c>
      <c r="U63" s="2" t="inlineStr">
        <is>
          <t>紧凑-高度紧凑</t>
        </is>
      </c>
      <c r="V63" s="2" t="inlineStr">
        <is>
          <t>紧凑-极度紧凑</t>
        </is>
      </c>
    </row>
    <row r="64">
      <c r="A64" s="1" t="n">
        <v>2022333</v>
      </c>
      <c r="B64" s="3" t="inlineStr">
        <is>
          <t>851</t>
        </is>
      </c>
      <c r="C64" s="2">
        <f>IF(B64="","",LEFT(TEXT(B64,"000"),1)*1)</f>
        <v/>
      </c>
      <c r="D64" s="2">
        <f>IF(B64="","",MID(TEXT(B64,"000"),2,1)*1)</f>
        <v/>
      </c>
      <c r="E64" s="2">
        <f>IF(B64="","",RIGHT(TEXT(B64,"000"),1)*1)</f>
        <v/>
      </c>
      <c r="F64" s="2">
        <f>IF(B64="","",C64+D64+E64)</f>
        <v/>
      </c>
      <c r="G64" s="2">
        <f>IF(B64="","",MOD(F64,10))</f>
        <v/>
      </c>
      <c r="H64" s="2">
        <f>IF(B64="","",MAX(C64,D64,E64)-MIN(C64,D64,E64))</f>
        <v/>
      </c>
      <c r="I64" s="2">
        <f>IF(OR(B64="",H64=0),IF(H64=0,0.1,""),ROUND(F64/H64,2))</f>
        <v/>
      </c>
      <c r="J64" s="2">
        <f>IF(I64=0.1,"极紧凑",IF(I64&gt;3.5,"紧凑",IF(AND(I64&gt;=2,I64&lt;=3.5),"标准",IF(AND(I64&gt;=1,I64&lt;2),"松散",""))))</f>
        <v/>
      </c>
      <c r="K64" s="2">
        <f>IF(I64=0.1,"极紧凑-豹子号",IF(AND(I64&gt;=1,I64&lt;=1.29),"松散-极松散",IF(AND(I64&gt;=1.33,I64&lt;=1.8),"松散-标准松散",IF(AND(I64&gt;=1.83,I64&lt;=1.89),"松散-偏紧松散",IF(AND(I64&gt;=2,I64&lt;=2.5),"标准-偏松标准",IF(AND(I64&gt;=2.57,I64&lt;=3),"标准-核心标准",IF(AND(I64&gt;=3.17,I64&lt;=3.5),"标准-偏紧标准",IF(AND(I64&gt;=3.6,I64&lt;=5),"紧凑-标准紧凑",IF(AND(I64&gt;=5.25,I64&lt;=8),"紧凑-高度紧凑",IF(I64&gt;=8.5,"紧凑-极度紧凑",""))))))))))</f>
        <v/>
      </c>
      <c r="L64" s="2">
        <f>IF(I64=0.1,"极紧凑",IF(AND(I64&gt;=1,I64&lt;=1.89),"松散",IF(AND(I64&gt;=2,I64&lt;=3.5),"标准",IF(I64&gt;=3.6,"紧凑",""))))</f>
        <v/>
      </c>
      <c r="M64" s="2" t="inlineStr">
        <is>
          <t>极紧凑-豹子号</t>
        </is>
      </c>
      <c r="N64" s="2" t="inlineStr">
        <is>
          <t>松散-极松散</t>
        </is>
      </c>
      <c r="O64" s="2" t="inlineStr">
        <is>
          <t>松散-标准松散</t>
        </is>
      </c>
      <c r="P64" s="2" t="inlineStr">
        <is>
          <t>松散-偏紧松散</t>
        </is>
      </c>
      <c r="Q64" s="2" t="inlineStr">
        <is>
          <t>标准-偏松标准</t>
        </is>
      </c>
      <c r="R64" s="2" t="inlineStr">
        <is>
          <t>标准-核心标准</t>
        </is>
      </c>
      <c r="S64" s="2" t="inlineStr">
        <is>
          <t>标准-偏紧标准</t>
        </is>
      </c>
      <c r="T64" s="2" t="inlineStr">
        <is>
          <t>紧凑-标准紧凑</t>
        </is>
      </c>
      <c r="U64" s="2" t="inlineStr">
        <is>
          <t>紧凑-高度紧凑</t>
        </is>
      </c>
      <c r="V64" s="2" t="inlineStr">
        <is>
          <t>紧凑-极度紧凑</t>
        </is>
      </c>
    </row>
    <row r="65">
      <c r="A65" s="1" t="n">
        <v>2022334</v>
      </c>
      <c r="B65" s="3" t="inlineStr">
        <is>
          <t>383</t>
        </is>
      </c>
      <c r="C65" s="2">
        <f>IF(B65="","",LEFT(TEXT(B65,"000"),1)*1)</f>
        <v/>
      </c>
      <c r="D65" s="2">
        <f>IF(B65="","",MID(TEXT(B65,"000"),2,1)*1)</f>
        <v/>
      </c>
      <c r="E65" s="2">
        <f>IF(B65="","",RIGHT(TEXT(B65,"000"),1)*1)</f>
        <v/>
      </c>
      <c r="F65" s="2">
        <f>IF(B65="","",C65+D65+E65)</f>
        <v/>
      </c>
      <c r="G65" s="2">
        <f>IF(B65="","",MOD(F65,10))</f>
        <v/>
      </c>
      <c r="H65" s="2">
        <f>IF(B65="","",MAX(C65,D65,E65)-MIN(C65,D65,E65))</f>
        <v/>
      </c>
      <c r="I65" s="2">
        <f>IF(OR(B65="",H65=0),IF(H65=0,0.1,""),ROUND(F65/H65,2))</f>
        <v/>
      </c>
      <c r="J65" s="2">
        <f>IF(I65=0.1,"极紧凑",IF(I65&gt;3.5,"紧凑",IF(AND(I65&gt;=2,I65&lt;=3.5),"标准",IF(AND(I65&gt;=1,I65&lt;2),"松散",""))))</f>
        <v/>
      </c>
      <c r="K65" s="2">
        <f>IF(I65=0.1,"极紧凑-豹子号",IF(AND(I65&gt;=1,I65&lt;=1.29),"松散-极松散",IF(AND(I65&gt;=1.33,I65&lt;=1.8),"松散-标准松散",IF(AND(I65&gt;=1.83,I65&lt;=1.89),"松散-偏紧松散",IF(AND(I65&gt;=2,I65&lt;=2.5),"标准-偏松标准",IF(AND(I65&gt;=2.57,I65&lt;=3),"标准-核心标准",IF(AND(I65&gt;=3.17,I65&lt;=3.5),"标准-偏紧标准",IF(AND(I65&gt;=3.6,I65&lt;=5),"紧凑-标准紧凑",IF(AND(I65&gt;=5.25,I65&lt;=8),"紧凑-高度紧凑",IF(I65&gt;=8.5,"紧凑-极度紧凑",""))))))))))</f>
        <v/>
      </c>
      <c r="L65" s="2">
        <f>IF(I65=0.1,"极紧凑",IF(AND(I65&gt;=1,I65&lt;=1.89),"松散",IF(AND(I65&gt;=2,I65&lt;=3.5),"标准",IF(I65&gt;=3.6,"紧凑",""))))</f>
        <v/>
      </c>
      <c r="M65" s="2" t="inlineStr">
        <is>
          <t>极紧凑-豹子号</t>
        </is>
      </c>
      <c r="N65" s="2" t="inlineStr">
        <is>
          <t>松散-极松散</t>
        </is>
      </c>
      <c r="O65" s="2" t="inlineStr">
        <is>
          <t>松散-标准松散</t>
        </is>
      </c>
      <c r="P65" s="2" t="inlineStr">
        <is>
          <t>松散-偏紧松散</t>
        </is>
      </c>
      <c r="Q65" s="2" t="inlineStr">
        <is>
          <t>标准-偏松标准</t>
        </is>
      </c>
      <c r="R65" s="2" t="inlineStr">
        <is>
          <t>标准-核心标准</t>
        </is>
      </c>
      <c r="S65" s="2" t="inlineStr">
        <is>
          <t>标准-偏紧标准</t>
        </is>
      </c>
      <c r="T65" s="2" t="inlineStr">
        <is>
          <t>紧凑-标准紧凑</t>
        </is>
      </c>
      <c r="U65" s="2" t="inlineStr">
        <is>
          <t>紧凑-高度紧凑</t>
        </is>
      </c>
      <c r="V65" s="2" t="inlineStr">
        <is>
          <t>紧凑-极度紧凑</t>
        </is>
      </c>
    </row>
    <row r="66">
      <c r="A66" s="1" t="n">
        <v>2022335</v>
      </c>
      <c r="B66" s="3" t="inlineStr">
        <is>
          <t>014</t>
        </is>
      </c>
      <c r="C66" s="2">
        <f>IF(B66="","",LEFT(TEXT(B66,"000"),1)*1)</f>
        <v/>
      </c>
      <c r="D66" s="2">
        <f>IF(B66="","",MID(TEXT(B66,"000"),2,1)*1)</f>
        <v/>
      </c>
      <c r="E66" s="2">
        <f>IF(B66="","",RIGHT(TEXT(B66,"000"),1)*1)</f>
        <v/>
      </c>
      <c r="F66" s="2">
        <f>IF(B66="","",C66+D66+E66)</f>
        <v/>
      </c>
      <c r="G66" s="2">
        <f>IF(B66="","",MOD(F66,10))</f>
        <v/>
      </c>
      <c r="H66" s="2">
        <f>IF(B66="","",MAX(C66,D66,E66)-MIN(C66,D66,E66))</f>
        <v/>
      </c>
      <c r="I66" s="2">
        <f>IF(OR(B66="",H66=0),IF(H66=0,0.1,""),ROUND(F66/H66,2))</f>
        <v/>
      </c>
      <c r="J66" s="2">
        <f>IF(I66=0.1,"极紧凑",IF(I66&gt;3.5,"紧凑",IF(AND(I66&gt;=2,I66&lt;=3.5),"标准",IF(AND(I66&gt;=1,I66&lt;2),"松散",""))))</f>
        <v/>
      </c>
      <c r="K66" s="2">
        <f>IF(I66=0.1,"极紧凑-豹子号",IF(AND(I66&gt;=1,I66&lt;=1.29),"松散-极松散",IF(AND(I66&gt;=1.33,I66&lt;=1.8),"松散-标准松散",IF(AND(I66&gt;=1.83,I66&lt;=1.89),"松散-偏紧松散",IF(AND(I66&gt;=2,I66&lt;=2.5),"标准-偏松标准",IF(AND(I66&gt;=2.57,I66&lt;=3),"标准-核心标准",IF(AND(I66&gt;=3.17,I66&lt;=3.5),"标准-偏紧标准",IF(AND(I66&gt;=3.6,I66&lt;=5),"紧凑-标准紧凑",IF(AND(I66&gt;=5.25,I66&lt;=8),"紧凑-高度紧凑",IF(I66&gt;=8.5,"紧凑-极度紧凑",""))))))))))</f>
        <v/>
      </c>
      <c r="L66" s="2">
        <f>IF(I66=0.1,"极紧凑",IF(AND(I66&gt;=1,I66&lt;=1.89),"松散",IF(AND(I66&gt;=2,I66&lt;=3.5),"标准",IF(I66&gt;=3.6,"紧凑",""))))</f>
        <v/>
      </c>
      <c r="M66" s="2" t="inlineStr">
        <is>
          <t>极紧凑-豹子号</t>
        </is>
      </c>
      <c r="N66" s="2" t="inlineStr">
        <is>
          <t>松散-极松散</t>
        </is>
      </c>
      <c r="O66" s="2" t="inlineStr">
        <is>
          <t>松散-标准松散</t>
        </is>
      </c>
      <c r="P66" s="2" t="inlineStr">
        <is>
          <t>松散-偏紧松散</t>
        </is>
      </c>
      <c r="Q66" s="2" t="inlineStr">
        <is>
          <t>标准-偏松标准</t>
        </is>
      </c>
      <c r="R66" s="2" t="inlineStr">
        <is>
          <t>标准-核心标准</t>
        </is>
      </c>
      <c r="S66" s="2" t="inlineStr">
        <is>
          <t>标准-偏紧标准</t>
        </is>
      </c>
      <c r="T66" s="2" t="inlineStr">
        <is>
          <t>紧凑-标准紧凑</t>
        </is>
      </c>
      <c r="U66" s="2" t="inlineStr">
        <is>
          <t>紧凑-高度紧凑</t>
        </is>
      </c>
      <c r="V66" s="2" t="inlineStr">
        <is>
          <t>紧凑-极度紧凑</t>
        </is>
      </c>
    </row>
    <row r="67">
      <c r="A67" s="1" t="n">
        <v>2022336</v>
      </c>
      <c r="B67" s="3" t="inlineStr">
        <is>
          <t>387</t>
        </is>
      </c>
      <c r="C67" s="2">
        <f>IF(B67="","",LEFT(TEXT(B67,"000"),1)*1)</f>
        <v/>
      </c>
      <c r="D67" s="2">
        <f>IF(B67="","",MID(TEXT(B67,"000"),2,1)*1)</f>
        <v/>
      </c>
      <c r="E67" s="2">
        <f>IF(B67="","",RIGHT(TEXT(B67,"000"),1)*1)</f>
        <v/>
      </c>
      <c r="F67" s="2">
        <f>IF(B67="","",C67+D67+E67)</f>
        <v/>
      </c>
      <c r="G67" s="2">
        <f>IF(B67="","",MOD(F67,10))</f>
        <v/>
      </c>
      <c r="H67" s="2">
        <f>IF(B67="","",MAX(C67,D67,E67)-MIN(C67,D67,E67))</f>
        <v/>
      </c>
      <c r="I67" s="2">
        <f>IF(OR(B67="",H67=0),IF(H67=0,0.1,""),ROUND(F67/H67,2))</f>
        <v/>
      </c>
      <c r="J67" s="2">
        <f>IF(I67=0.1,"极紧凑",IF(I67&gt;3.5,"紧凑",IF(AND(I67&gt;=2,I67&lt;=3.5),"标准",IF(AND(I67&gt;=1,I67&lt;2),"松散",""))))</f>
        <v/>
      </c>
      <c r="K67" s="2">
        <f>IF(I67=0.1,"极紧凑-豹子号",IF(AND(I67&gt;=1,I67&lt;=1.29),"松散-极松散",IF(AND(I67&gt;=1.33,I67&lt;=1.8),"松散-标准松散",IF(AND(I67&gt;=1.83,I67&lt;=1.89),"松散-偏紧松散",IF(AND(I67&gt;=2,I67&lt;=2.5),"标准-偏松标准",IF(AND(I67&gt;=2.57,I67&lt;=3),"标准-核心标准",IF(AND(I67&gt;=3.17,I67&lt;=3.5),"标准-偏紧标准",IF(AND(I67&gt;=3.6,I67&lt;=5),"紧凑-标准紧凑",IF(AND(I67&gt;=5.25,I67&lt;=8),"紧凑-高度紧凑",IF(I67&gt;=8.5,"紧凑-极度紧凑",""))))))))))</f>
        <v/>
      </c>
      <c r="L67" s="2">
        <f>IF(I67=0.1,"极紧凑",IF(AND(I67&gt;=1,I67&lt;=1.89),"松散",IF(AND(I67&gt;=2,I67&lt;=3.5),"标准",IF(I67&gt;=3.6,"紧凑",""))))</f>
        <v/>
      </c>
      <c r="M67" s="2" t="inlineStr">
        <is>
          <t>极紧凑-豹子号</t>
        </is>
      </c>
      <c r="N67" s="2" t="inlineStr">
        <is>
          <t>松散-极松散</t>
        </is>
      </c>
      <c r="O67" s="2" t="inlineStr">
        <is>
          <t>松散-标准松散</t>
        </is>
      </c>
      <c r="P67" s="2" t="inlineStr">
        <is>
          <t>松散-偏紧松散</t>
        </is>
      </c>
      <c r="Q67" s="2" t="inlineStr">
        <is>
          <t>标准-偏松标准</t>
        </is>
      </c>
      <c r="R67" s="2" t="inlineStr">
        <is>
          <t>标准-核心标准</t>
        </is>
      </c>
      <c r="S67" s="2" t="inlineStr">
        <is>
          <t>标准-偏紧标准</t>
        </is>
      </c>
      <c r="T67" s="2" t="inlineStr">
        <is>
          <t>紧凑-标准紧凑</t>
        </is>
      </c>
      <c r="U67" s="2" t="inlineStr">
        <is>
          <t>紧凑-高度紧凑</t>
        </is>
      </c>
      <c r="V67" s="2" t="inlineStr">
        <is>
          <t>紧凑-极度紧凑</t>
        </is>
      </c>
    </row>
    <row r="68">
      <c r="A68" s="1" t="n">
        <v>2022337</v>
      </c>
      <c r="B68" s="3" t="inlineStr">
        <is>
          <t>217</t>
        </is>
      </c>
      <c r="C68" s="2">
        <f>IF(B68="","",LEFT(TEXT(B68,"000"),1)*1)</f>
        <v/>
      </c>
      <c r="D68" s="2">
        <f>IF(B68="","",MID(TEXT(B68,"000"),2,1)*1)</f>
        <v/>
      </c>
      <c r="E68" s="2">
        <f>IF(B68="","",RIGHT(TEXT(B68,"000"),1)*1)</f>
        <v/>
      </c>
      <c r="F68" s="2">
        <f>IF(B68="","",C68+D68+E68)</f>
        <v/>
      </c>
      <c r="G68" s="2">
        <f>IF(B68="","",MOD(F68,10))</f>
        <v/>
      </c>
      <c r="H68" s="2">
        <f>IF(B68="","",MAX(C68,D68,E68)-MIN(C68,D68,E68))</f>
        <v/>
      </c>
      <c r="I68" s="2">
        <f>IF(OR(B68="",H68=0),IF(H68=0,0.1,""),ROUND(F68/H68,2))</f>
        <v/>
      </c>
      <c r="J68" s="2">
        <f>IF(I68=0.1,"极紧凑",IF(I68&gt;3.5,"紧凑",IF(AND(I68&gt;=2,I68&lt;=3.5),"标准",IF(AND(I68&gt;=1,I68&lt;2),"松散",""))))</f>
        <v/>
      </c>
      <c r="K68" s="2">
        <f>IF(I68=0.1,"极紧凑-豹子号",IF(AND(I68&gt;=1,I68&lt;=1.29),"松散-极松散",IF(AND(I68&gt;=1.33,I68&lt;=1.8),"松散-标准松散",IF(AND(I68&gt;=1.83,I68&lt;=1.89),"松散-偏紧松散",IF(AND(I68&gt;=2,I68&lt;=2.5),"标准-偏松标准",IF(AND(I68&gt;=2.57,I68&lt;=3),"标准-核心标准",IF(AND(I68&gt;=3.17,I68&lt;=3.5),"标准-偏紧标准",IF(AND(I68&gt;=3.6,I68&lt;=5),"紧凑-标准紧凑",IF(AND(I68&gt;=5.25,I68&lt;=8),"紧凑-高度紧凑",IF(I68&gt;=8.5,"紧凑-极度紧凑",""))))))))))</f>
        <v/>
      </c>
      <c r="L68" s="2">
        <f>IF(I68=0.1,"极紧凑",IF(AND(I68&gt;=1,I68&lt;=1.89),"松散",IF(AND(I68&gt;=2,I68&lt;=3.5),"标准",IF(I68&gt;=3.6,"紧凑",""))))</f>
        <v/>
      </c>
      <c r="M68" s="2" t="inlineStr">
        <is>
          <t>极紧凑-豹子号</t>
        </is>
      </c>
      <c r="N68" s="2" t="inlineStr">
        <is>
          <t>松散-极松散</t>
        </is>
      </c>
      <c r="O68" s="2" t="inlineStr">
        <is>
          <t>松散-标准松散</t>
        </is>
      </c>
      <c r="P68" s="2" t="inlineStr">
        <is>
          <t>松散-偏紧松散</t>
        </is>
      </c>
      <c r="Q68" s="2" t="inlineStr">
        <is>
          <t>标准-偏松标准</t>
        </is>
      </c>
      <c r="R68" s="2" t="inlineStr">
        <is>
          <t>标准-核心标准</t>
        </is>
      </c>
      <c r="S68" s="2" t="inlineStr">
        <is>
          <t>标准-偏紧标准</t>
        </is>
      </c>
      <c r="T68" s="2" t="inlineStr">
        <is>
          <t>紧凑-标准紧凑</t>
        </is>
      </c>
      <c r="U68" s="2" t="inlineStr">
        <is>
          <t>紧凑-高度紧凑</t>
        </is>
      </c>
      <c r="V68" s="2" t="inlineStr">
        <is>
          <t>紧凑-极度紧凑</t>
        </is>
      </c>
    </row>
    <row r="69">
      <c r="A69" s="1" t="n">
        <v>2022338</v>
      </c>
      <c r="B69" s="3" t="inlineStr">
        <is>
          <t>416</t>
        </is>
      </c>
      <c r="C69" s="2">
        <f>IF(B69="","",LEFT(TEXT(B69,"000"),1)*1)</f>
        <v/>
      </c>
      <c r="D69" s="2">
        <f>IF(B69="","",MID(TEXT(B69,"000"),2,1)*1)</f>
        <v/>
      </c>
      <c r="E69" s="2">
        <f>IF(B69="","",RIGHT(TEXT(B69,"000"),1)*1)</f>
        <v/>
      </c>
      <c r="F69" s="2">
        <f>IF(B69="","",C69+D69+E69)</f>
        <v/>
      </c>
      <c r="G69" s="2">
        <f>IF(B69="","",MOD(F69,10))</f>
        <v/>
      </c>
      <c r="H69" s="2">
        <f>IF(B69="","",MAX(C69,D69,E69)-MIN(C69,D69,E69))</f>
        <v/>
      </c>
      <c r="I69" s="2">
        <f>IF(OR(B69="",H69=0),IF(H69=0,0.1,""),ROUND(F69/H69,2))</f>
        <v/>
      </c>
      <c r="J69" s="2">
        <f>IF(I69=0.1,"极紧凑",IF(I69&gt;3.5,"紧凑",IF(AND(I69&gt;=2,I69&lt;=3.5),"标准",IF(AND(I69&gt;=1,I69&lt;2),"松散",""))))</f>
        <v/>
      </c>
      <c r="K69" s="2">
        <f>IF(I69=0.1,"极紧凑-豹子号",IF(AND(I69&gt;=1,I69&lt;=1.29),"松散-极松散",IF(AND(I69&gt;=1.33,I69&lt;=1.8),"松散-标准松散",IF(AND(I69&gt;=1.83,I69&lt;=1.89),"松散-偏紧松散",IF(AND(I69&gt;=2,I69&lt;=2.5),"标准-偏松标准",IF(AND(I69&gt;=2.57,I69&lt;=3),"标准-核心标准",IF(AND(I69&gt;=3.17,I69&lt;=3.5),"标准-偏紧标准",IF(AND(I69&gt;=3.6,I69&lt;=5),"紧凑-标准紧凑",IF(AND(I69&gt;=5.25,I69&lt;=8),"紧凑-高度紧凑",IF(I69&gt;=8.5,"紧凑-极度紧凑",""))))))))))</f>
        <v/>
      </c>
      <c r="L69" s="2">
        <f>IF(I69=0.1,"极紧凑",IF(AND(I69&gt;=1,I69&lt;=1.89),"松散",IF(AND(I69&gt;=2,I69&lt;=3.5),"标准",IF(I69&gt;=3.6,"紧凑",""))))</f>
        <v/>
      </c>
      <c r="M69" s="2" t="inlineStr">
        <is>
          <t>极紧凑-豹子号</t>
        </is>
      </c>
      <c r="N69" s="2" t="inlineStr">
        <is>
          <t>松散-极松散</t>
        </is>
      </c>
      <c r="O69" s="2" t="inlineStr">
        <is>
          <t>松散-标准松散</t>
        </is>
      </c>
      <c r="P69" s="2" t="inlineStr">
        <is>
          <t>松散-偏紧松散</t>
        </is>
      </c>
      <c r="Q69" s="2" t="inlineStr">
        <is>
          <t>标准-偏松标准</t>
        </is>
      </c>
      <c r="R69" s="2" t="inlineStr">
        <is>
          <t>标准-核心标准</t>
        </is>
      </c>
      <c r="S69" s="2" t="inlineStr">
        <is>
          <t>标准-偏紧标准</t>
        </is>
      </c>
      <c r="T69" s="2" t="inlineStr">
        <is>
          <t>紧凑-标准紧凑</t>
        </is>
      </c>
      <c r="U69" s="2" t="inlineStr">
        <is>
          <t>紧凑-高度紧凑</t>
        </is>
      </c>
      <c r="V69" s="2" t="inlineStr">
        <is>
          <t>紧凑-极度紧凑</t>
        </is>
      </c>
    </row>
    <row r="70">
      <c r="A70" s="1" t="n">
        <v>2022339</v>
      </c>
      <c r="B70" s="3" t="inlineStr">
        <is>
          <t>525</t>
        </is>
      </c>
      <c r="C70" s="2">
        <f>IF(B70="","",LEFT(TEXT(B70,"000"),1)*1)</f>
        <v/>
      </c>
      <c r="D70" s="2">
        <f>IF(B70="","",MID(TEXT(B70,"000"),2,1)*1)</f>
        <v/>
      </c>
      <c r="E70" s="2">
        <f>IF(B70="","",RIGHT(TEXT(B70,"000"),1)*1)</f>
        <v/>
      </c>
      <c r="F70" s="2">
        <f>IF(B70="","",C70+D70+E70)</f>
        <v/>
      </c>
      <c r="G70" s="2">
        <f>IF(B70="","",MOD(F70,10))</f>
        <v/>
      </c>
      <c r="H70" s="2">
        <f>IF(B70="","",MAX(C70,D70,E70)-MIN(C70,D70,E70))</f>
        <v/>
      </c>
      <c r="I70" s="2">
        <f>IF(OR(B70="",H70=0),IF(H70=0,0.1,""),ROUND(F70/H70,2))</f>
        <v/>
      </c>
      <c r="J70" s="2">
        <f>IF(I70=0.1,"极紧凑",IF(I70&gt;3.5,"紧凑",IF(AND(I70&gt;=2,I70&lt;=3.5),"标准",IF(AND(I70&gt;=1,I70&lt;2),"松散",""))))</f>
        <v/>
      </c>
      <c r="K70" s="2">
        <f>IF(I70=0.1,"极紧凑-豹子号",IF(AND(I70&gt;=1,I70&lt;=1.29),"松散-极松散",IF(AND(I70&gt;=1.33,I70&lt;=1.8),"松散-标准松散",IF(AND(I70&gt;=1.83,I70&lt;=1.89),"松散-偏紧松散",IF(AND(I70&gt;=2,I70&lt;=2.5),"标准-偏松标准",IF(AND(I70&gt;=2.57,I70&lt;=3),"标准-核心标准",IF(AND(I70&gt;=3.17,I70&lt;=3.5),"标准-偏紧标准",IF(AND(I70&gt;=3.6,I70&lt;=5),"紧凑-标准紧凑",IF(AND(I70&gt;=5.25,I70&lt;=8),"紧凑-高度紧凑",IF(I70&gt;=8.5,"紧凑-极度紧凑",""))))))))))</f>
        <v/>
      </c>
      <c r="L70" s="2">
        <f>IF(I70=0.1,"极紧凑",IF(AND(I70&gt;=1,I70&lt;=1.89),"松散",IF(AND(I70&gt;=2,I70&lt;=3.5),"标准",IF(I70&gt;=3.6,"紧凑",""))))</f>
        <v/>
      </c>
      <c r="M70" s="2" t="inlineStr">
        <is>
          <t>极紧凑-豹子号</t>
        </is>
      </c>
      <c r="N70" s="2" t="inlineStr">
        <is>
          <t>松散-极松散</t>
        </is>
      </c>
      <c r="O70" s="2" t="inlineStr">
        <is>
          <t>松散-标准松散</t>
        </is>
      </c>
      <c r="P70" s="2" t="inlineStr">
        <is>
          <t>松散-偏紧松散</t>
        </is>
      </c>
      <c r="Q70" s="2" t="inlineStr">
        <is>
          <t>标准-偏松标准</t>
        </is>
      </c>
      <c r="R70" s="2" t="inlineStr">
        <is>
          <t>标准-核心标准</t>
        </is>
      </c>
      <c r="S70" s="2" t="inlineStr">
        <is>
          <t>标准-偏紧标准</t>
        </is>
      </c>
      <c r="T70" s="2" t="inlineStr">
        <is>
          <t>紧凑-标准紧凑</t>
        </is>
      </c>
      <c r="U70" s="2" t="inlineStr">
        <is>
          <t>紧凑-高度紧凑</t>
        </is>
      </c>
      <c r="V70" s="2" t="inlineStr">
        <is>
          <t>紧凑-极度紧凑</t>
        </is>
      </c>
    </row>
    <row r="71">
      <c r="A71" s="1" t="n">
        <v>2022340</v>
      </c>
      <c r="B71" s="3" t="inlineStr">
        <is>
          <t>287</t>
        </is>
      </c>
      <c r="C71" s="2">
        <f>IF(B71="","",LEFT(TEXT(B71,"000"),1)*1)</f>
        <v/>
      </c>
      <c r="D71" s="2">
        <f>IF(B71="","",MID(TEXT(B71,"000"),2,1)*1)</f>
        <v/>
      </c>
      <c r="E71" s="2">
        <f>IF(B71="","",RIGHT(TEXT(B71,"000"),1)*1)</f>
        <v/>
      </c>
      <c r="F71" s="2">
        <f>IF(B71="","",C71+D71+E71)</f>
        <v/>
      </c>
      <c r="G71" s="2">
        <f>IF(B71="","",MOD(F71,10))</f>
        <v/>
      </c>
      <c r="H71" s="2">
        <f>IF(B71="","",MAX(C71,D71,E71)-MIN(C71,D71,E71))</f>
        <v/>
      </c>
      <c r="I71" s="2">
        <f>IF(OR(B71="",H71=0),IF(H71=0,0.1,""),ROUND(F71/H71,2))</f>
        <v/>
      </c>
      <c r="J71" s="2">
        <f>IF(I71=0.1,"极紧凑",IF(I71&gt;3.5,"紧凑",IF(AND(I71&gt;=2,I71&lt;=3.5),"标准",IF(AND(I71&gt;=1,I71&lt;2),"松散",""))))</f>
        <v/>
      </c>
      <c r="K71" s="2">
        <f>IF(I71=0.1,"极紧凑-豹子号",IF(AND(I71&gt;=1,I71&lt;=1.29),"松散-极松散",IF(AND(I71&gt;=1.33,I71&lt;=1.8),"松散-标准松散",IF(AND(I71&gt;=1.83,I71&lt;=1.89),"松散-偏紧松散",IF(AND(I71&gt;=2,I71&lt;=2.5),"标准-偏松标准",IF(AND(I71&gt;=2.57,I71&lt;=3),"标准-核心标准",IF(AND(I71&gt;=3.17,I71&lt;=3.5),"标准-偏紧标准",IF(AND(I71&gt;=3.6,I71&lt;=5),"紧凑-标准紧凑",IF(AND(I71&gt;=5.25,I71&lt;=8),"紧凑-高度紧凑",IF(I71&gt;=8.5,"紧凑-极度紧凑",""))))))))))</f>
        <v/>
      </c>
      <c r="L71" s="2">
        <f>IF(I71=0.1,"极紧凑",IF(AND(I71&gt;=1,I71&lt;=1.89),"松散",IF(AND(I71&gt;=2,I71&lt;=3.5),"标准",IF(I71&gt;=3.6,"紧凑",""))))</f>
        <v/>
      </c>
      <c r="M71" s="2" t="inlineStr">
        <is>
          <t>极紧凑-豹子号</t>
        </is>
      </c>
      <c r="N71" s="2" t="inlineStr">
        <is>
          <t>松散-极松散</t>
        </is>
      </c>
      <c r="O71" s="2" t="inlineStr">
        <is>
          <t>松散-标准松散</t>
        </is>
      </c>
      <c r="P71" s="2" t="inlineStr">
        <is>
          <t>松散-偏紧松散</t>
        </is>
      </c>
      <c r="Q71" s="2" t="inlineStr">
        <is>
          <t>标准-偏松标准</t>
        </is>
      </c>
      <c r="R71" s="2" t="inlineStr">
        <is>
          <t>标准-核心标准</t>
        </is>
      </c>
      <c r="S71" s="2" t="inlineStr">
        <is>
          <t>标准-偏紧标准</t>
        </is>
      </c>
      <c r="T71" s="2" t="inlineStr">
        <is>
          <t>紧凑-标准紧凑</t>
        </is>
      </c>
      <c r="U71" s="2" t="inlineStr">
        <is>
          <t>紧凑-高度紧凑</t>
        </is>
      </c>
      <c r="V71" s="2" t="inlineStr">
        <is>
          <t>紧凑-极度紧凑</t>
        </is>
      </c>
    </row>
    <row r="72">
      <c r="A72" s="1" t="n">
        <v>2022341</v>
      </c>
      <c r="B72" s="3" t="inlineStr">
        <is>
          <t>084</t>
        </is>
      </c>
      <c r="C72" s="2">
        <f>IF(B72="","",LEFT(TEXT(B72,"000"),1)*1)</f>
        <v/>
      </c>
      <c r="D72" s="2">
        <f>IF(B72="","",MID(TEXT(B72,"000"),2,1)*1)</f>
        <v/>
      </c>
      <c r="E72" s="2">
        <f>IF(B72="","",RIGHT(TEXT(B72,"000"),1)*1)</f>
        <v/>
      </c>
      <c r="F72" s="2">
        <f>IF(B72="","",C72+D72+E72)</f>
        <v/>
      </c>
      <c r="G72" s="2">
        <f>IF(B72="","",MOD(F72,10))</f>
        <v/>
      </c>
      <c r="H72" s="2">
        <f>IF(B72="","",MAX(C72,D72,E72)-MIN(C72,D72,E72))</f>
        <v/>
      </c>
      <c r="I72" s="2">
        <f>IF(OR(B72="",H72=0),IF(H72=0,0.1,""),ROUND(F72/H72,2))</f>
        <v/>
      </c>
      <c r="J72" s="2">
        <f>IF(I72=0.1,"极紧凑",IF(I72&gt;3.5,"紧凑",IF(AND(I72&gt;=2,I72&lt;=3.5),"标准",IF(AND(I72&gt;=1,I72&lt;2),"松散",""))))</f>
        <v/>
      </c>
      <c r="K72" s="2">
        <f>IF(I72=0.1,"极紧凑-豹子号",IF(AND(I72&gt;=1,I72&lt;=1.29),"松散-极松散",IF(AND(I72&gt;=1.33,I72&lt;=1.8),"松散-标准松散",IF(AND(I72&gt;=1.83,I72&lt;=1.89),"松散-偏紧松散",IF(AND(I72&gt;=2,I72&lt;=2.5),"标准-偏松标准",IF(AND(I72&gt;=2.57,I72&lt;=3),"标准-核心标准",IF(AND(I72&gt;=3.17,I72&lt;=3.5),"标准-偏紧标准",IF(AND(I72&gt;=3.6,I72&lt;=5),"紧凑-标准紧凑",IF(AND(I72&gt;=5.25,I72&lt;=8),"紧凑-高度紧凑",IF(I72&gt;=8.5,"紧凑-极度紧凑",""))))))))))</f>
        <v/>
      </c>
      <c r="L72" s="2">
        <f>IF(I72=0.1,"极紧凑",IF(AND(I72&gt;=1,I72&lt;=1.89),"松散",IF(AND(I72&gt;=2,I72&lt;=3.5),"标准",IF(I72&gt;=3.6,"紧凑",""))))</f>
        <v/>
      </c>
      <c r="M72" s="2" t="inlineStr">
        <is>
          <t>极紧凑-豹子号</t>
        </is>
      </c>
      <c r="N72" s="2" t="inlineStr">
        <is>
          <t>松散-极松散</t>
        </is>
      </c>
      <c r="O72" s="2" t="inlineStr">
        <is>
          <t>松散-标准松散</t>
        </is>
      </c>
      <c r="P72" s="2" t="inlineStr">
        <is>
          <t>松散-偏紧松散</t>
        </is>
      </c>
      <c r="Q72" s="2" t="inlineStr">
        <is>
          <t>标准-偏松标准</t>
        </is>
      </c>
      <c r="R72" s="2" t="inlineStr">
        <is>
          <t>标准-核心标准</t>
        </is>
      </c>
      <c r="S72" s="2" t="inlineStr">
        <is>
          <t>标准-偏紧标准</t>
        </is>
      </c>
      <c r="T72" s="2" t="inlineStr">
        <is>
          <t>紧凑-标准紧凑</t>
        </is>
      </c>
      <c r="U72" s="2" t="inlineStr">
        <is>
          <t>紧凑-高度紧凑</t>
        </is>
      </c>
      <c r="V72" s="2" t="inlineStr">
        <is>
          <t>紧凑-极度紧凑</t>
        </is>
      </c>
    </row>
    <row r="73">
      <c r="A73" s="1" t="n">
        <v>2022342</v>
      </c>
      <c r="B73" s="3" t="inlineStr">
        <is>
          <t>383</t>
        </is>
      </c>
      <c r="C73" s="2">
        <f>IF(B73="","",LEFT(TEXT(B73,"000"),1)*1)</f>
        <v/>
      </c>
      <c r="D73" s="2">
        <f>IF(B73="","",MID(TEXT(B73,"000"),2,1)*1)</f>
        <v/>
      </c>
      <c r="E73" s="2">
        <f>IF(B73="","",RIGHT(TEXT(B73,"000"),1)*1)</f>
        <v/>
      </c>
      <c r="F73" s="2">
        <f>IF(B73="","",C73+D73+E73)</f>
        <v/>
      </c>
      <c r="G73" s="2">
        <f>IF(B73="","",MOD(F73,10))</f>
        <v/>
      </c>
      <c r="H73" s="2">
        <f>IF(B73="","",MAX(C73,D73,E73)-MIN(C73,D73,E73))</f>
        <v/>
      </c>
      <c r="I73" s="2">
        <f>IF(OR(B73="",H73=0),IF(H73=0,0.1,""),ROUND(F73/H73,2))</f>
        <v/>
      </c>
      <c r="J73" s="2">
        <f>IF(I73=0.1,"极紧凑",IF(I73&gt;3.5,"紧凑",IF(AND(I73&gt;=2,I73&lt;=3.5),"标准",IF(AND(I73&gt;=1,I73&lt;2),"松散",""))))</f>
        <v/>
      </c>
      <c r="K73" s="2">
        <f>IF(I73=0.1,"极紧凑-豹子号",IF(AND(I73&gt;=1,I73&lt;=1.29),"松散-极松散",IF(AND(I73&gt;=1.33,I73&lt;=1.8),"松散-标准松散",IF(AND(I73&gt;=1.83,I73&lt;=1.89),"松散-偏紧松散",IF(AND(I73&gt;=2,I73&lt;=2.5),"标准-偏松标准",IF(AND(I73&gt;=2.57,I73&lt;=3),"标准-核心标准",IF(AND(I73&gt;=3.17,I73&lt;=3.5),"标准-偏紧标准",IF(AND(I73&gt;=3.6,I73&lt;=5),"紧凑-标准紧凑",IF(AND(I73&gt;=5.25,I73&lt;=8),"紧凑-高度紧凑",IF(I73&gt;=8.5,"紧凑-极度紧凑",""))))))))))</f>
        <v/>
      </c>
      <c r="L73" s="2">
        <f>IF(I73=0.1,"极紧凑",IF(AND(I73&gt;=1,I73&lt;=1.89),"松散",IF(AND(I73&gt;=2,I73&lt;=3.5),"标准",IF(I73&gt;=3.6,"紧凑",""))))</f>
        <v/>
      </c>
      <c r="M73" s="2" t="inlineStr">
        <is>
          <t>极紧凑-豹子号</t>
        </is>
      </c>
      <c r="N73" s="2" t="inlineStr">
        <is>
          <t>松散-极松散</t>
        </is>
      </c>
      <c r="O73" s="2" t="inlineStr">
        <is>
          <t>松散-标准松散</t>
        </is>
      </c>
      <c r="P73" s="2" t="inlineStr">
        <is>
          <t>松散-偏紧松散</t>
        </is>
      </c>
      <c r="Q73" s="2" t="inlineStr">
        <is>
          <t>标准-偏松标准</t>
        </is>
      </c>
      <c r="R73" s="2" t="inlineStr">
        <is>
          <t>标准-核心标准</t>
        </is>
      </c>
      <c r="S73" s="2" t="inlineStr">
        <is>
          <t>标准-偏紧标准</t>
        </is>
      </c>
      <c r="T73" s="2" t="inlineStr">
        <is>
          <t>紧凑-标准紧凑</t>
        </is>
      </c>
      <c r="U73" s="2" t="inlineStr">
        <is>
          <t>紧凑-高度紧凑</t>
        </is>
      </c>
      <c r="V73" s="2" t="inlineStr">
        <is>
          <t>紧凑-极度紧凑</t>
        </is>
      </c>
    </row>
    <row r="74">
      <c r="A74" s="1" t="n">
        <v>2022343</v>
      </c>
      <c r="B74" s="3" t="inlineStr">
        <is>
          <t>382</t>
        </is>
      </c>
      <c r="C74" s="2">
        <f>IF(B74="","",LEFT(TEXT(B74,"000"),1)*1)</f>
        <v/>
      </c>
      <c r="D74" s="2">
        <f>IF(B74="","",MID(TEXT(B74,"000"),2,1)*1)</f>
        <v/>
      </c>
      <c r="E74" s="2">
        <f>IF(B74="","",RIGHT(TEXT(B74,"000"),1)*1)</f>
        <v/>
      </c>
      <c r="F74" s="2">
        <f>IF(B74="","",C74+D74+E74)</f>
        <v/>
      </c>
      <c r="G74" s="2">
        <f>IF(B74="","",MOD(F74,10))</f>
        <v/>
      </c>
      <c r="H74" s="2">
        <f>IF(B74="","",MAX(C74,D74,E74)-MIN(C74,D74,E74))</f>
        <v/>
      </c>
      <c r="I74" s="2">
        <f>IF(OR(B74="",H74=0),IF(H74=0,0.1,""),ROUND(F74/H74,2))</f>
        <v/>
      </c>
      <c r="J74" s="2">
        <f>IF(I74=0.1,"极紧凑",IF(I74&gt;3.5,"紧凑",IF(AND(I74&gt;=2,I74&lt;=3.5),"标准",IF(AND(I74&gt;=1,I74&lt;2),"松散",""))))</f>
        <v/>
      </c>
      <c r="K74" s="2">
        <f>IF(I74=0.1,"极紧凑-豹子号",IF(AND(I74&gt;=1,I74&lt;=1.29),"松散-极松散",IF(AND(I74&gt;=1.33,I74&lt;=1.8),"松散-标准松散",IF(AND(I74&gt;=1.83,I74&lt;=1.89),"松散-偏紧松散",IF(AND(I74&gt;=2,I74&lt;=2.5),"标准-偏松标准",IF(AND(I74&gt;=2.57,I74&lt;=3),"标准-核心标准",IF(AND(I74&gt;=3.17,I74&lt;=3.5),"标准-偏紧标准",IF(AND(I74&gt;=3.6,I74&lt;=5),"紧凑-标准紧凑",IF(AND(I74&gt;=5.25,I74&lt;=8),"紧凑-高度紧凑",IF(I74&gt;=8.5,"紧凑-极度紧凑",""))))))))))</f>
        <v/>
      </c>
      <c r="L74" s="2">
        <f>IF(I74=0.1,"极紧凑",IF(AND(I74&gt;=1,I74&lt;=1.89),"松散",IF(AND(I74&gt;=2,I74&lt;=3.5),"标准",IF(I74&gt;=3.6,"紧凑",""))))</f>
        <v/>
      </c>
      <c r="M74" s="2" t="inlineStr">
        <is>
          <t>极紧凑-豹子号</t>
        </is>
      </c>
      <c r="N74" s="2" t="inlineStr">
        <is>
          <t>松散-极松散</t>
        </is>
      </c>
      <c r="O74" s="2" t="inlineStr">
        <is>
          <t>松散-标准松散</t>
        </is>
      </c>
      <c r="P74" s="2" t="inlineStr">
        <is>
          <t>松散-偏紧松散</t>
        </is>
      </c>
      <c r="Q74" s="2" t="inlineStr">
        <is>
          <t>标准-偏松标准</t>
        </is>
      </c>
      <c r="R74" s="2" t="inlineStr">
        <is>
          <t>标准-核心标准</t>
        </is>
      </c>
      <c r="S74" s="2" t="inlineStr">
        <is>
          <t>标准-偏紧标准</t>
        </is>
      </c>
      <c r="T74" s="2" t="inlineStr">
        <is>
          <t>紧凑-标准紧凑</t>
        </is>
      </c>
      <c r="U74" s="2" t="inlineStr">
        <is>
          <t>紧凑-高度紧凑</t>
        </is>
      </c>
      <c r="V74" s="2" t="inlineStr">
        <is>
          <t>紧凑-极度紧凑</t>
        </is>
      </c>
    </row>
    <row r="75">
      <c r="A75" s="1" t="n">
        <v>2022344</v>
      </c>
      <c r="B75" s="3" t="inlineStr">
        <is>
          <t>209</t>
        </is>
      </c>
      <c r="C75" s="2">
        <f>IF(B75="","",LEFT(TEXT(B75,"000"),1)*1)</f>
        <v/>
      </c>
      <c r="D75" s="2">
        <f>IF(B75="","",MID(TEXT(B75,"000"),2,1)*1)</f>
        <v/>
      </c>
      <c r="E75" s="2">
        <f>IF(B75="","",RIGHT(TEXT(B75,"000"),1)*1)</f>
        <v/>
      </c>
      <c r="F75" s="2">
        <f>IF(B75="","",C75+D75+E75)</f>
        <v/>
      </c>
      <c r="G75" s="2">
        <f>IF(B75="","",MOD(F75,10))</f>
        <v/>
      </c>
      <c r="H75" s="2">
        <f>IF(B75="","",MAX(C75,D75,E75)-MIN(C75,D75,E75))</f>
        <v/>
      </c>
      <c r="I75" s="2">
        <f>IF(OR(B75="",H75=0),IF(H75=0,0.1,""),ROUND(F75/H75,2))</f>
        <v/>
      </c>
      <c r="J75" s="2">
        <f>IF(I75=0.1,"极紧凑",IF(I75&gt;3.5,"紧凑",IF(AND(I75&gt;=2,I75&lt;=3.5),"标准",IF(AND(I75&gt;=1,I75&lt;2),"松散",""))))</f>
        <v/>
      </c>
      <c r="K75" s="2">
        <f>IF(I75=0.1,"极紧凑-豹子号",IF(AND(I75&gt;=1,I75&lt;=1.29),"松散-极松散",IF(AND(I75&gt;=1.33,I75&lt;=1.8),"松散-标准松散",IF(AND(I75&gt;=1.83,I75&lt;=1.89),"松散-偏紧松散",IF(AND(I75&gt;=2,I75&lt;=2.5),"标准-偏松标准",IF(AND(I75&gt;=2.57,I75&lt;=3),"标准-核心标准",IF(AND(I75&gt;=3.17,I75&lt;=3.5),"标准-偏紧标准",IF(AND(I75&gt;=3.6,I75&lt;=5),"紧凑-标准紧凑",IF(AND(I75&gt;=5.25,I75&lt;=8),"紧凑-高度紧凑",IF(I75&gt;=8.5,"紧凑-极度紧凑",""))))))))))</f>
        <v/>
      </c>
      <c r="L75" s="2">
        <f>IF(I75=0.1,"极紧凑",IF(AND(I75&gt;=1,I75&lt;=1.89),"松散",IF(AND(I75&gt;=2,I75&lt;=3.5),"标准",IF(I75&gt;=3.6,"紧凑",""))))</f>
        <v/>
      </c>
      <c r="M75" s="2" t="inlineStr">
        <is>
          <t>极紧凑-豹子号</t>
        </is>
      </c>
      <c r="N75" s="2" t="inlineStr">
        <is>
          <t>松散-极松散</t>
        </is>
      </c>
      <c r="O75" s="2" t="inlineStr">
        <is>
          <t>松散-标准松散</t>
        </is>
      </c>
      <c r="P75" s="2" t="inlineStr">
        <is>
          <t>松散-偏紧松散</t>
        </is>
      </c>
      <c r="Q75" s="2" t="inlineStr">
        <is>
          <t>标准-偏松标准</t>
        </is>
      </c>
      <c r="R75" s="2" t="inlineStr">
        <is>
          <t>标准-核心标准</t>
        </is>
      </c>
      <c r="S75" s="2" t="inlineStr">
        <is>
          <t>标准-偏紧标准</t>
        </is>
      </c>
      <c r="T75" s="2" t="inlineStr">
        <is>
          <t>紧凑-标准紧凑</t>
        </is>
      </c>
      <c r="U75" s="2" t="inlineStr">
        <is>
          <t>紧凑-高度紧凑</t>
        </is>
      </c>
      <c r="V75" s="2" t="inlineStr">
        <is>
          <t>紧凑-极度紧凑</t>
        </is>
      </c>
    </row>
    <row r="76">
      <c r="A76" s="1" t="n">
        <v>2022345</v>
      </c>
      <c r="B76" s="3" t="inlineStr">
        <is>
          <t>460</t>
        </is>
      </c>
      <c r="C76" s="2">
        <f>IF(B76="","",LEFT(TEXT(B76,"000"),1)*1)</f>
        <v/>
      </c>
      <c r="D76" s="2">
        <f>IF(B76="","",MID(TEXT(B76,"000"),2,1)*1)</f>
        <v/>
      </c>
      <c r="E76" s="2">
        <f>IF(B76="","",RIGHT(TEXT(B76,"000"),1)*1)</f>
        <v/>
      </c>
      <c r="F76" s="2">
        <f>IF(B76="","",C76+D76+E76)</f>
        <v/>
      </c>
      <c r="G76" s="2">
        <f>IF(B76="","",MOD(F76,10))</f>
        <v/>
      </c>
      <c r="H76" s="2">
        <f>IF(B76="","",MAX(C76,D76,E76)-MIN(C76,D76,E76))</f>
        <v/>
      </c>
      <c r="I76" s="2">
        <f>IF(OR(B76="",H76=0),IF(H76=0,0.1,""),ROUND(F76/H76,2))</f>
        <v/>
      </c>
      <c r="J76" s="2">
        <f>IF(I76=0.1,"极紧凑",IF(I76&gt;3.5,"紧凑",IF(AND(I76&gt;=2,I76&lt;=3.5),"标准",IF(AND(I76&gt;=1,I76&lt;2),"松散",""))))</f>
        <v/>
      </c>
      <c r="K76" s="2">
        <f>IF(I76=0.1,"极紧凑-豹子号",IF(AND(I76&gt;=1,I76&lt;=1.29),"松散-极松散",IF(AND(I76&gt;=1.33,I76&lt;=1.8),"松散-标准松散",IF(AND(I76&gt;=1.83,I76&lt;=1.89),"松散-偏紧松散",IF(AND(I76&gt;=2,I76&lt;=2.5),"标准-偏松标准",IF(AND(I76&gt;=2.57,I76&lt;=3),"标准-核心标准",IF(AND(I76&gt;=3.17,I76&lt;=3.5),"标准-偏紧标准",IF(AND(I76&gt;=3.6,I76&lt;=5),"紧凑-标准紧凑",IF(AND(I76&gt;=5.25,I76&lt;=8),"紧凑-高度紧凑",IF(I76&gt;=8.5,"紧凑-极度紧凑",""))))))))))</f>
        <v/>
      </c>
      <c r="L76" s="2">
        <f>IF(I76=0.1,"极紧凑",IF(AND(I76&gt;=1,I76&lt;=1.89),"松散",IF(AND(I76&gt;=2,I76&lt;=3.5),"标准",IF(I76&gt;=3.6,"紧凑",""))))</f>
        <v/>
      </c>
      <c r="M76" s="2" t="inlineStr">
        <is>
          <t>极紧凑-豹子号</t>
        </is>
      </c>
      <c r="N76" s="2" t="inlineStr">
        <is>
          <t>松散-极松散</t>
        </is>
      </c>
      <c r="O76" s="2" t="inlineStr">
        <is>
          <t>松散-标准松散</t>
        </is>
      </c>
      <c r="P76" s="2" t="inlineStr">
        <is>
          <t>松散-偏紧松散</t>
        </is>
      </c>
      <c r="Q76" s="2" t="inlineStr">
        <is>
          <t>标准-偏松标准</t>
        </is>
      </c>
      <c r="R76" s="2" t="inlineStr">
        <is>
          <t>标准-核心标准</t>
        </is>
      </c>
      <c r="S76" s="2" t="inlineStr">
        <is>
          <t>标准-偏紧标准</t>
        </is>
      </c>
      <c r="T76" s="2" t="inlineStr">
        <is>
          <t>紧凑-标准紧凑</t>
        </is>
      </c>
      <c r="U76" s="2" t="inlineStr">
        <is>
          <t>紧凑-高度紧凑</t>
        </is>
      </c>
      <c r="V76" s="2" t="inlineStr">
        <is>
          <t>紧凑-极度紧凑</t>
        </is>
      </c>
    </row>
    <row r="77">
      <c r="A77" s="1" t="n">
        <v>2022346</v>
      </c>
      <c r="B77" s="3" t="inlineStr">
        <is>
          <t>538</t>
        </is>
      </c>
      <c r="C77" s="2">
        <f>IF(B77="","",LEFT(TEXT(B77,"000"),1)*1)</f>
        <v/>
      </c>
      <c r="D77" s="2">
        <f>IF(B77="","",MID(TEXT(B77,"000"),2,1)*1)</f>
        <v/>
      </c>
      <c r="E77" s="2">
        <f>IF(B77="","",RIGHT(TEXT(B77,"000"),1)*1)</f>
        <v/>
      </c>
      <c r="F77" s="2">
        <f>IF(B77="","",C77+D77+E77)</f>
        <v/>
      </c>
      <c r="G77" s="2">
        <f>IF(B77="","",MOD(F77,10))</f>
        <v/>
      </c>
      <c r="H77" s="2">
        <f>IF(B77="","",MAX(C77,D77,E77)-MIN(C77,D77,E77))</f>
        <v/>
      </c>
      <c r="I77" s="2">
        <f>IF(OR(B77="",H77=0),IF(H77=0,0.1,""),ROUND(F77/H77,2))</f>
        <v/>
      </c>
      <c r="J77" s="2">
        <f>IF(I77=0.1,"极紧凑",IF(I77&gt;3.5,"紧凑",IF(AND(I77&gt;=2,I77&lt;=3.5),"标准",IF(AND(I77&gt;=1,I77&lt;2),"松散",""))))</f>
        <v/>
      </c>
      <c r="K77" s="2">
        <f>IF(I77=0.1,"极紧凑-豹子号",IF(AND(I77&gt;=1,I77&lt;=1.29),"松散-极松散",IF(AND(I77&gt;=1.33,I77&lt;=1.8),"松散-标准松散",IF(AND(I77&gt;=1.83,I77&lt;=1.89),"松散-偏紧松散",IF(AND(I77&gt;=2,I77&lt;=2.5),"标准-偏松标准",IF(AND(I77&gt;=2.57,I77&lt;=3),"标准-核心标准",IF(AND(I77&gt;=3.17,I77&lt;=3.5),"标准-偏紧标准",IF(AND(I77&gt;=3.6,I77&lt;=5),"紧凑-标准紧凑",IF(AND(I77&gt;=5.25,I77&lt;=8),"紧凑-高度紧凑",IF(I77&gt;=8.5,"紧凑-极度紧凑",""))))))))))</f>
        <v/>
      </c>
      <c r="L77" s="2">
        <f>IF(I77=0.1,"极紧凑",IF(AND(I77&gt;=1,I77&lt;=1.89),"松散",IF(AND(I77&gt;=2,I77&lt;=3.5),"标准",IF(I77&gt;=3.6,"紧凑",""))))</f>
        <v/>
      </c>
      <c r="M77" s="2" t="inlineStr">
        <is>
          <t>极紧凑-豹子号</t>
        </is>
      </c>
      <c r="N77" s="2" t="inlineStr">
        <is>
          <t>松散-极松散</t>
        </is>
      </c>
      <c r="O77" s="2" t="inlineStr">
        <is>
          <t>松散-标准松散</t>
        </is>
      </c>
      <c r="P77" s="2" t="inlineStr">
        <is>
          <t>松散-偏紧松散</t>
        </is>
      </c>
      <c r="Q77" s="2" t="inlineStr">
        <is>
          <t>标准-偏松标准</t>
        </is>
      </c>
      <c r="R77" s="2" t="inlineStr">
        <is>
          <t>标准-核心标准</t>
        </is>
      </c>
      <c r="S77" s="2" t="inlineStr">
        <is>
          <t>标准-偏紧标准</t>
        </is>
      </c>
      <c r="T77" s="2" t="inlineStr">
        <is>
          <t>紧凑-标准紧凑</t>
        </is>
      </c>
      <c r="U77" s="2" t="inlineStr">
        <is>
          <t>紧凑-高度紧凑</t>
        </is>
      </c>
      <c r="V77" s="2" t="inlineStr">
        <is>
          <t>紧凑-极度紧凑</t>
        </is>
      </c>
    </row>
    <row r="78">
      <c r="A78" s="1" t="n">
        <v>2022347</v>
      </c>
      <c r="B78" s="3" t="inlineStr">
        <is>
          <t>925</t>
        </is>
      </c>
      <c r="C78" s="2">
        <f>IF(B78="","",LEFT(TEXT(B78,"000"),1)*1)</f>
        <v/>
      </c>
      <c r="D78" s="2">
        <f>IF(B78="","",MID(TEXT(B78,"000"),2,1)*1)</f>
        <v/>
      </c>
      <c r="E78" s="2">
        <f>IF(B78="","",RIGHT(TEXT(B78,"000"),1)*1)</f>
        <v/>
      </c>
      <c r="F78" s="2">
        <f>IF(B78="","",C78+D78+E78)</f>
        <v/>
      </c>
      <c r="G78" s="2">
        <f>IF(B78="","",MOD(F78,10))</f>
        <v/>
      </c>
      <c r="H78" s="2">
        <f>IF(B78="","",MAX(C78,D78,E78)-MIN(C78,D78,E78))</f>
        <v/>
      </c>
      <c r="I78" s="2">
        <f>IF(OR(B78="",H78=0),IF(H78=0,0.1,""),ROUND(F78/H78,2))</f>
        <v/>
      </c>
      <c r="J78" s="2">
        <f>IF(I78=0.1,"极紧凑",IF(I78&gt;3.5,"紧凑",IF(AND(I78&gt;=2,I78&lt;=3.5),"标准",IF(AND(I78&gt;=1,I78&lt;2),"松散",""))))</f>
        <v/>
      </c>
      <c r="K78" s="2">
        <f>IF(I78=0.1,"极紧凑-豹子号",IF(AND(I78&gt;=1,I78&lt;=1.29),"松散-极松散",IF(AND(I78&gt;=1.33,I78&lt;=1.8),"松散-标准松散",IF(AND(I78&gt;=1.83,I78&lt;=1.89),"松散-偏紧松散",IF(AND(I78&gt;=2,I78&lt;=2.5),"标准-偏松标准",IF(AND(I78&gt;=2.57,I78&lt;=3),"标准-核心标准",IF(AND(I78&gt;=3.17,I78&lt;=3.5),"标准-偏紧标准",IF(AND(I78&gt;=3.6,I78&lt;=5),"紧凑-标准紧凑",IF(AND(I78&gt;=5.25,I78&lt;=8),"紧凑-高度紧凑",IF(I78&gt;=8.5,"紧凑-极度紧凑",""))))))))))</f>
        <v/>
      </c>
      <c r="L78" s="2">
        <f>IF(I78=0.1,"极紧凑",IF(AND(I78&gt;=1,I78&lt;=1.89),"松散",IF(AND(I78&gt;=2,I78&lt;=3.5),"标准",IF(I78&gt;=3.6,"紧凑",""))))</f>
        <v/>
      </c>
      <c r="M78" s="2" t="inlineStr">
        <is>
          <t>极紧凑-豹子号</t>
        </is>
      </c>
      <c r="N78" s="2" t="inlineStr">
        <is>
          <t>松散-极松散</t>
        </is>
      </c>
      <c r="O78" s="2" t="inlineStr">
        <is>
          <t>松散-标准松散</t>
        </is>
      </c>
      <c r="P78" s="2" t="inlineStr">
        <is>
          <t>松散-偏紧松散</t>
        </is>
      </c>
      <c r="Q78" s="2" t="inlineStr">
        <is>
          <t>标准-偏松标准</t>
        </is>
      </c>
      <c r="R78" s="2" t="inlineStr">
        <is>
          <t>标准-核心标准</t>
        </is>
      </c>
      <c r="S78" s="2" t="inlineStr">
        <is>
          <t>标准-偏紧标准</t>
        </is>
      </c>
      <c r="T78" s="2" t="inlineStr">
        <is>
          <t>紧凑-标准紧凑</t>
        </is>
      </c>
      <c r="U78" s="2" t="inlineStr">
        <is>
          <t>紧凑-高度紧凑</t>
        </is>
      </c>
      <c r="V78" s="2" t="inlineStr">
        <is>
          <t>紧凑-极度紧凑</t>
        </is>
      </c>
    </row>
    <row r="79">
      <c r="A79" s="1" t="n">
        <v>2022348</v>
      </c>
      <c r="B79" s="3" t="inlineStr">
        <is>
          <t>739</t>
        </is>
      </c>
      <c r="C79" s="2">
        <f>IF(B79="","",LEFT(TEXT(B79,"000"),1)*1)</f>
        <v/>
      </c>
      <c r="D79" s="2">
        <f>IF(B79="","",MID(TEXT(B79,"000"),2,1)*1)</f>
        <v/>
      </c>
      <c r="E79" s="2">
        <f>IF(B79="","",RIGHT(TEXT(B79,"000"),1)*1)</f>
        <v/>
      </c>
      <c r="F79" s="2">
        <f>IF(B79="","",C79+D79+E79)</f>
        <v/>
      </c>
      <c r="G79" s="2">
        <f>IF(B79="","",MOD(F79,10))</f>
        <v/>
      </c>
      <c r="H79" s="2">
        <f>IF(B79="","",MAX(C79,D79,E79)-MIN(C79,D79,E79))</f>
        <v/>
      </c>
      <c r="I79" s="2">
        <f>IF(OR(B79="",H79=0),IF(H79=0,0.1,""),ROUND(F79/H79,2))</f>
        <v/>
      </c>
      <c r="J79" s="2">
        <f>IF(I79=0.1,"极紧凑",IF(I79&gt;3.5,"紧凑",IF(AND(I79&gt;=2,I79&lt;=3.5),"标准",IF(AND(I79&gt;=1,I79&lt;2),"松散",""))))</f>
        <v/>
      </c>
      <c r="K79" s="2">
        <f>IF(I79=0.1,"极紧凑-豹子号",IF(AND(I79&gt;=1,I79&lt;=1.29),"松散-极松散",IF(AND(I79&gt;=1.33,I79&lt;=1.8),"松散-标准松散",IF(AND(I79&gt;=1.83,I79&lt;=1.89),"松散-偏紧松散",IF(AND(I79&gt;=2,I79&lt;=2.5),"标准-偏松标准",IF(AND(I79&gt;=2.57,I79&lt;=3),"标准-核心标准",IF(AND(I79&gt;=3.17,I79&lt;=3.5),"标准-偏紧标准",IF(AND(I79&gt;=3.6,I79&lt;=5),"紧凑-标准紧凑",IF(AND(I79&gt;=5.25,I79&lt;=8),"紧凑-高度紧凑",IF(I79&gt;=8.5,"紧凑-极度紧凑",""))))))))))</f>
        <v/>
      </c>
      <c r="L79" s="2">
        <f>IF(I79=0.1,"极紧凑",IF(AND(I79&gt;=1,I79&lt;=1.89),"松散",IF(AND(I79&gt;=2,I79&lt;=3.5),"标准",IF(I79&gt;=3.6,"紧凑",""))))</f>
        <v/>
      </c>
      <c r="M79" s="2" t="inlineStr">
        <is>
          <t>极紧凑-豹子号</t>
        </is>
      </c>
      <c r="N79" s="2" t="inlineStr">
        <is>
          <t>松散-极松散</t>
        </is>
      </c>
      <c r="O79" s="2" t="inlineStr">
        <is>
          <t>松散-标准松散</t>
        </is>
      </c>
      <c r="P79" s="2" t="inlineStr">
        <is>
          <t>松散-偏紧松散</t>
        </is>
      </c>
      <c r="Q79" s="2" t="inlineStr">
        <is>
          <t>标准-偏松标准</t>
        </is>
      </c>
      <c r="R79" s="2" t="inlineStr">
        <is>
          <t>标准-核心标准</t>
        </is>
      </c>
      <c r="S79" s="2" t="inlineStr">
        <is>
          <t>标准-偏紧标准</t>
        </is>
      </c>
      <c r="T79" s="2" t="inlineStr">
        <is>
          <t>紧凑-标准紧凑</t>
        </is>
      </c>
      <c r="U79" s="2" t="inlineStr">
        <is>
          <t>紧凑-高度紧凑</t>
        </is>
      </c>
      <c r="V79" s="2" t="inlineStr">
        <is>
          <t>紧凑-极度紧凑</t>
        </is>
      </c>
    </row>
    <row r="80">
      <c r="A80" s="1" t="n">
        <v>2022349</v>
      </c>
      <c r="B80" s="3" t="inlineStr">
        <is>
          <t>491</t>
        </is>
      </c>
      <c r="C80" s="2">
        <f>IF(B80="","",LEFT(TEXT(B80,"000"),1)*1)</f>
        <v/>
      </c>
      <c r="D80" s="2">
        <f>IF(B80="","",MID(TEXT(B80,"000"),2,1)*1)</f>
        <v/>
      </c>
      <c r="E80" s="2">
        <f>IF(B80="","",RIGHT(TEXT(B80,"000"),1)*1)</f>
        <v/>
      </c>
      <c r="F80" s="2">
        <f>IF(B80="","",C80+D80+E80)</f>
        <v/>
      </c>
      <c r="G80" s="2">
        <f>IF(B80="","",MOD(F80,10))</f>
        <v/>
      </c>
      <c r="H80" s="2">
        <f>IF(B80="","",MAX(C80,D80,E80)-MIN(C80,D80,E80))</f>
        <v/>
      </c>
      <c r="I80" s="2">
        <f>IF(OR(B80="",H80=0),IF(H80=0,0.1,""),ROUND(F80/H80,2))</f>
        <v/>
      </c>
      <c r="J80" s="2">
        <f>IF(I80=0.1,"极紧凑",IF(I80&gt;3.5,"紧凑",IF(AND(I80&gt;=2,I80&lt;=3.5),"标准",IF(AND(I80&gt;=1,I80&lt;2),"松散",""))))</f>
        <v/>
      </c>
      <c r="K80" s="2">
        <f>IF(I80=0.1,"极紧凑-豹子号",IF(AND(I80&gt;=1,I80&lt;=1.29),"松散-极松散",IF(AND(I80&gt;=1.33,I80&lt;=1.8),"松散-标准松散",IF(AND(I80&gt;=1.83,I80&lt;=1.89),"松散-偏紧松散",IF(AND(I80&gt;=2,I80&lt;=2.5),"标准-偏松标准",IF(AND(I80&gt;=2.57,I80&lt;=3),"标准-核心标准",IF(AND(I80&gt;=3.17,I80&lt;=3.5),"标准-偏紧标准",IF(AND(I80&gt;=3.6,I80&lt;=5),"紧凑-标准紧凑",IF(AND(I80&gt;=5.25,I80&lt;=8),"紧凑-高度紧凑",IF(I80&gt;=8.5,"紧凑-极度紧凑",""))))))))))</f>
        <v/>
      </c>
      <c r="L80" s="2">
        <f>IF(I80=0.1,"极紧凑",IF(AND(I80&gt;=1,I80&lt;=1.89),"松散",IF(AND(I80&gt;=2,I80&lt;=3.5),"标准",IF(I80&gt;=3.6,"紧凑",""))))</f>
        <v/>
      </c>
      <c r="M80" s="2" t="inlineStr">
        <is>
          <t>极紧凑-豹子号</t>
        </is>
      </c>
      <c r="N80" s="2" t="inlineStr">
        <is>
          <t>松散-极松散</t>
        </is>
      </c>
      <c r="O80" s="2" t="inlineStr">
        <is>
          <t>松散-标准松散</t>
        </is>
      </c>
      <c r="P80" s="2" t="inlineStr">
        <is>
          <t>松散-偏紧松散</t>
        </is>
      </c>
      <c r="Q80" s="2" t="inlineStr">
        <is>
          <t>标准-偏松标准</t>
        </is>
      </c>
      <c r="R80" s="2" t="inlineStr">
        <is>
          <t>标准-核心标准</t>
        </is>
      </c>
      <c r="S80" s="2" t="inlineStr">
        <is>
          <t>标准-偏紧标准</t>
        </is>
      </c>
      <c r="T80" s="2" t="inlineStr">
        <is>
          <t>紧凑-标准紧凑</t>
        </is>
      </c>
      <c r="U80" s="2" t="inlineStr">
        <is>
          <t>紧凑-高度紧凑</t>
        </is>
      </c>
      <c r="V80" s="2" t="inlineStr">
        <is>
          <t>紧凑-极度紧凑</t>
        </is>
      </c>
    </row>
    <row r="81">
      <c r="A81" s="1" t="n">
        <v>2022350</v>
      </c>
      <c r="B81" s="3" t="inlineStr">
        <is>
          <t>286</t>
        </is>
      </c>
      <c r="C81" s="2">
        <f>IF(B81="","",LEFT(TEXT(B81,"000"),1)*1)</f>
        <v/>
      </c>
      <c r="D81" s="2">
        <f>IF(B81="","",MID(TEXT(B81,"000"),2,1)*1)</f>
        <v/>
      </c>
      <c r="E81" s="2">
        <f>IF(B81="","",RIGHT(TEXT(B81,"000"),1)*1)</f>
        <v/>
      </c>
      <c r="F81" s="2">
        <f>IF(B81="","",C81+D81+E81)</f>
        <v/>
      </c>
      <c r="G81" s="2">
        <f>IF(B81="","",MOD(F81,10))</f>
        <v/>
      </c>
      <c r="H81" s="2">
        <f>IF(B81="","",MAX(C81,D81,E81)-MIN(C81,D81,E81))</f>
        <v/>
      </c>
      <c r="I81" s="2">
        <f>IF(OR(B81="",H81=0),IF(H81=0,0.1,""),ROUND(F81/H81,2))</f>
        <v/>
      </c>
      <c r="J81" s="2">
        <f>IF(I81=0.1,"极紧凑",IF(I81&gt;3.5,"紧凑",IF(AND(I81&gt;=2,I81&lt;=3.5),"标准",IF(AND(I81&gt;=1,I81&lt;2),"松散",""))))</f>
        <v/>
      </c>
      <c r="K81" s="2">
        <f>IF(I81=0.1,"极紧凑-豹子号",IF(AND(I81&gt;=1,I81&lt;=1.29),"松散-极松散",IF(AND(I81&gt;=1.33,I81&lt;=1.8),"松散-标准松散",IF(AND(I81&gt;=1.83,I81&lt;=1.89),"松散-偏紧松散",IF(AND(I81&gt;=2,I81&lt;=2.5),"标准-偏松标准",IF(AND(I81&gt;=2.57,I81&lt;=3),"标准-核心标准",IF(AND(I81&gt;=3.17,I81&lt;=3.5),"标准-偏紧标准",IF(AND(I81&gt;=3.6,I81&lt;=5),"紧凑-标准紧凑",IF(AND(I81&gt;=5.25,I81&lt;=8),"紧凑-高度紧凑",IF(I81&gt;=8.5,"紧凑-极度紧凑",""))))))))))</f>
        <v/>
      </c>
      <c r="L81" s="2">
        <f>IF(I81=0.1,"极紧凑",IF(AND(I81&gt;=1,I81&lt;=1.89),"松散",IF(AND(I81&gt;=2,I81&lt;=3.5),"标准",IF(I81&gt;=3.6,"紧凑",""))))</f>
        <v/>
      </c>
      <c r="M81" s="2" t="inlineStr">
        <is>
          <t>极紧凑-豹子号</t>
        </is>
      </c>
      <c r="N81" s="2" t="inlineStr">
        <is>
          <t>松散-极松散</t>
        </is>
      </c>
      <c r="O81" s="2" t="inlineStr">
        <is>
          <t>松散-标准松散</t>
        </is>
      </c>
      <c r="P81" s="2" t="inlineStr">
        <is>
          <t>松散-偏紧松散</t>
        </is>
      </c>
      <c r="Q81" s="2" t="inlineStr">
        <is>
          <t>标准-偏松标准</t>
        </is>
      </c>
      <c r="R81" s="2" t="inlineStr">
        <is>
          <t>标准-核心标准</t>
        </is>
      </c>
      <c r="S81" s="2" t="inlineStr">
        <is>
          <t>标准-偏紧标准</t>
        </is>
      </c>
      <c r="T81" s="2" t="inlineStr">
        <is>
          <t>紧凑-标准紧凑</t>
        </is>
      </c>
      <c r="U81" s="2" t="inlineStr">
        <is>
          <t>紧凑-高度紧凑</t>
        </is>
      </c>
      <c r="V81" s="2" t="inlineStr">
        <is>
          <t>紧凑-极度紧凑</t>
        </is>
      </c>
    </row>
    <row r="82">
      <c r="A82" s="1" t="n">
        <v>2022351</v>
      </c>
      <c r="B82" s="3" t="inlineStr">
        <is>
          <t>092</t>
        </is>
      </c>
      <c r="C82" s="2">
        <f>IF(B82="","",LEFT(TEXT(B82,"000"),1)*1)</f>
        <v/>
      </c>
      <c r="D82" s="2">
        <f>IF(B82="","",MID(TEXT(B82,"000"),2,1)*1)</f>
        <v/>
      </c>
      <c r="E82" s="2">
        <f>IF(B82="","",RIGHT(TEXT(B82,"000"),1)*1)</f>
        <v/>
      </c>
      <c r="F82" s="2">
        <f>IF(B82="","",C82+D82+E82)</f>
        <v/>
      </c>
      <c r="G82" s="2">
        <f>IF(B82="","",MOD(F82,10))</f>
        <v/>
      </c>
      <c r="H82" s="2">
        <f>IF(B82="","",MAX(C82,D82,E82)-MIN(C82,D82,E82))</f>
        <v/>
      </c>
      <c r="I82" s="2">
        <f>IF(OR(B82="",H82=0),IF(H82=0,0.1,""),ROUND(F82/H82,2))</f>
        <v/>
      </c>
      <c r="J82" s="2">
        <f>IF(I82=0.1,"极紧凑",IF(I82&gt;3.5,"紧凑",IF(AND(I82&gt;=2,I82&lt;=3.5),"标准",IF(AND(I82&gt;=1,I82&lt;2),"松散",""))))</f>
        <v/>
      </c>
      <c r="K82" s="2">
        <f>IF(I82=0.1,"极紧凑-豹子号",IF(AND(I82&gt;=1,I82&lt;=1.29),"松散-极松散",IF(AND(I82&gt;=1.33,I82&lt;=1.8),"松散-标准松散",IF(AND(I82&gt;=1.83,I82&lt;=1.89),"松散-偏紧松散",IF(AND(I82&gt;=2,I82&lt;=2.5),"标准-偏松标准",IF(AND(I82&gt;=2.57,I82&lt;=3),"标准-核心标准",IF(AND(I82&gt;=3.17,I82&lt;=3.5),"标准-偏紧标准",IF(AND(I82&gt;=3.6,I82&lt;=5),"紧凑-标准紧凑",IF(AND(I82&gt;=5.25,I82&lt;=8),"紧凑-高度紧凑",IF(I82&gt;=8.5,"紧凑-极度紧凑",""))))))))))</f>
        <v/>
      </c>
      <c r="L82" s="2">
        <f>IF(I82=0.1,"极紧凑",IF(AND(I82&gt;=1,I82&lt;=1.89),"松散",IF(AND(I82&gt;=2,I82&lt;=3.5),"标准",IF(I82&gt;=3.6,"紧凑",""))))</f>
        <v/>
      </c>
      <c r="M82" s="2" t="inlineStr">
        <is>
          <t>极紧凑-豹子号</t>
        </is>
      </c>
      <c r="N82" s="2" t="inlineStr">
        <is>
          <t>松散-极松散</t>
        </is>
      </c>
      <c r="O82" s="2" t="inlineStr">
        <is>
          <t>松散-标准松散</t>
        </is>
      </c>
      <c r="P82" s="2" t="inlineStr">
        <is>
          <t>松散-偏紧松散</t>
        </is>
      </c>
      <c r="Q82" s="2" t="inlineStr">
        <is>
          <t>标准-偏松标准</t>
        </is>
      </c>
      <c r="R82" s="2" t="inlineStr">
        <is>
          <t>标准-核心标准</t>
        </is>
      </c>
      <c r="S82" s="2" t="inlineStr">
        <is>
          <t>标准-偏紧标准</t>
        </is>
      </c>
      <c r="T82" s="2" t="inlineStr">
        <is>
          <t>紧凑-标准紧凑</t>
        </is>
      </c>
      <c r="U82" s="2" t="inlineStr">
        <is>
          <t>紧凑-高度紧凑</t>
        </is>
      </c>
      <c r="V82" s="2" t="inlineStr">
        <is>
          <t>紧凑-极度紧凑</t>
        </is>
      </c>
    </row>
    <row r="83">
      <c r="A83" s="1" t="n">
        <v>2023001</v>
      </c>
      <c r="B83" s="3" t="inlineStr">
        <is>
          <t>458</t>
        </is>
      </c>
      <c r="C83" s="2">
        <f>IF(B83="","",LEFT(TEXT(B83,"000"),1)*1)</f>
        <v/>
      </c>
      <c r="D83" s="2">
        <f>IF(B83="","",MID(TEXT(B83,"000"),2,1)*1)</f>
        <v/>
      </c>
      <c r="E83" s="2">
        <f>IF(B83="","",RIGHT(TEXT(B83,"000"),1)*1)</f>
        <v/>
      </c>
      <c r="F83" s="2">
        <f>IF(B83="","",C83+D83+E83)</f>
        <v/>
      </c>
      <c r="G83" s="2">
        <f>IF(B83="","",MOD(F83,10))</f>
        <v/>
      </c>
      <c r="H83" s="2">
        <f>IF(B83="","",MAX(C83,D83,E83)-MIN(C83,D83,E83))</f>
        <v/>
      </c>
      <c r="I83" s="2">
        <f>IF(OR(B83="",H83=0),IF(H83=0,0.1,""),ROUND(F83/H83,2))</f>
        <v/>
      </c>
      <c r="J83" s="2">
        <f>IF(I83=0.1,"极紧凑",IF(I83&gt;3.5,"紧凑",IF(AND(I83&gt;=2,I83&lt;=3.5),"标准",IF(AND(I83&gt;=1,I83&lt;2),"松散",""))))</f>
        <v/>
      </c>
      <c r="K83" s="2">
        <f>IF(I83=0.1,"极紧凑-豹子号",IF(AND(I83&gt;=1,I83&lt;=1.29),"松散-极松散",IF(AND(I83&gt;=1.33,I83&lt;=1.8),"松散-标准松散",IF(AND(I83&gt;=1.83,I83&lt;=1.89),"松散-偏紧松散",IF(AND(I83&gt;=2,I83&lt;=2.5),"标准-偏松标准",IF(AND(I83&gt;=2.57,I83&lt;=3),"标准-核心标准",IF(AND(I83&gt;=3.17,I83&lt;=3.5),"标准-偏紧标准",IF(AND(I83&gt;=3.6,I83&lt;=5),"紧凑-标准紧凑",IF(AND(I83&gt;=5.25,I83&lt;=8),"紧凑-高度紧凑",IF(I83&gt;=8.5,"紧凑-极度紧凑",""))))))))))</f>
        <v/>
      </c>
      <c r="L83" s="2">
        <f>IF(I83=0.1,"极紧凑",IF(AND(I83&gt;=1,I83&lt;=1.89),"松散",IF(AND(I83&gt;=2,I83&lt;=3.5),"标准",IF(I83&gt;=3.6,"紧凑",""))))</f>
        <v/>
      </c>
      <c r="M83" s="2" t="inlineStr">
        <is>
          <t>极紧凑-豹子号</t>
        </is>
      </c>
      <c r="N83" s="2" t="inlineStr">
        <is>
          <t>松散-极松散</t>
        </is>
      </c>
      <c r="O83" s="2" t="inlineStr">
        <is>
          <t>松散-标准松散</t>
        </is>
      </c>
      <c r="P83" s="2" t="inlineStr">
        <is>
          <t>松散-偏紧松散</t>
        </is>
      </c>
      <c r="Q83" s="2" t="inlineStr">
        <is>
          <t>标准-偏松标准</t>
        </is>
      </c>
      <c r="R83" s="2" t="inlineStr">
        <is>
          <t>标准-核心标准</t>
        </is>
      </c>
      <c r="S83" s="2" t="inlineStr">
        <is>
          <t>标准-偏紧标准</t>
        </is>
      </c>
      <c r="T83" s="2" t="inlineStr">
        <is>
          <t>紧凑-标准紧凑</t>
        </is>
      </c>
      <c r="U83" s="2" t="inlineStr">
        <is>
          <t>紧凑-高度紧凑</t>
        </is>
      </c>
      <c r="V83" s="2" t="inlineStr">
        <is>
          <t>紧凑-极度紧凑</t>
        </is>
      </c>
    </row>
    <row r="84">
      <c r="A84" s="1" t="n">
        <v>2023002</v>
      </c>
      <c r="B84" s="3" t="inlineStr">
        <is>
          <t>070</t>
        </is>
      </c>
      <c r="C84" s="2">
        <f>IF(B84="","",LEFT(TEXT(B84,"000"),1)*1)</f>
        <v/>
      </c>
      <c r="D84" s="2">
        <f>IF(B84="","",MID(TEXT(B84,"000"),2,1)*1)</f>
        <v/>
      </c>
      <c r="E84" s="2">
        <f>IF(B84="","",RIGHT(TEXT(B84,"000"),1)*1)</f>
        <v/>
      </c>
      <c r="F84" s="2">
        <f>IF(B84="","",C84+D84+E84)</f>
        <v/>
      </c>
      <c r="G84" s="2">
        <f>IF(B84="","",MOD(F84,10))</f>
        <v/>
      </c>
      <c r="H84" s="2">
        <f>IF(B84="","",MAX(C84,D84,E84)-MIN(C84,D84,E84))</f>
        <v/>
      </c>
      <c r="I84" s="2">
        <f>IF(OR(B84="",H84=0),IF(H84=0,0.1,""),ROUND(F84/H84,2))</f>
        <v/>
      </c>
      <c r="J84" s="2">
        <f>IF(I84=0.1,"极紧凑",IF(I84&gt;3.5,"紧凑",IF(AND(I84&gt;=2,I84&lt;=3.5),"标准",IF(AND(I84&gt;=1,I84&lt;2),"松散",""))))</f>
        <v/>
      </c>
      <c r="K84" s="2">
        <f>IF(I84=0.1,"极紧凑-豹子号",IF(AND(I84&gt;=1,I84&lt;=1.29),"松散-极松散",IF(AND(I84&gt;=1.33,I84&lt;=1.8),"松散-标准松散",IF(AND(I84&gt;=1.83,I84&lt;=1.89),"松散-偏紧松散",IF(AND(I84&gt;=2,I84&lt;=2.5),"标准-偏松标准",IF(AND(I84&gt;=2.57,I84&lt;=3),"标准-核心标准",IF(AND(I84&gt;=3.17,I84&lt;=3.5),"标准-偏紧标准",IF(AND(I84&gt;=3.6,I84&lt;=5),"紧凑-标准紧凑",IF(AND(I84&gt;=5.25,I84&lt;=8),"紧凑-高度紧凑",IF(I84&gt;=8.5,"紧凑-极度紧凑",""))))))))))</f>
        <v/>
      </c>
      <c r="L84" s="2">
        <f>IF(I84=0.1,"极紧凑",IF(AND(I84&gt;=1,I84&lt;=1.89),"松散",IF(AND(I84&gt;=2,I84&lt;=3.5),"标准",IF(I84&gt;=3.6,"紧凑",""))))</f>
        <v/>
      </c>
      <c r="M84" s="2" t="inlineStr">
        <is>
          <t>极紧凑-豹子号</t>
        </is>
      </c>
      <c r="N84" s="2" t="inlineStr">
        <is>
          <t>松散-极松散</t>
        </is>
      </c>
      <c r="O84" s="2" t="inlineStr">
        <is>
          <t>松散-标准松散</t>
        </is>
      </c>
      <c r="P84" s="2" t="inlineStr">
        <is>
          <t>松散-偏紧松散</t>
        </is>
      </c>
      <c r="Q84" s="2" t="inlineStr">
        <is>
          <t>标准-偏松标准</t>
        </is>
      </c>
      <c r="R84" s="2" t="inlineStr">
        <is>
          <t>标准-核心标准</t>
        </is>
      </c>
      <c r="S84" s="2" t="inlineStr">
        <is>
          <t>标准-偏紧标准</t>
        </is>
      </c>
      <c r="T84" s="2" t="inlineStr">
        <is>
          <t>紧凑-标准紧凑</t>
        </is>
      </c>
      <c r="U84" s="2" t="inlineStr">
        <is>
          <t>紧凑-高度紧凑</t>
        </is>
      </c>
      <c r="V84" s="2" t="inlineStr">
        <is>
          <t>紧凑-极度紧凑</t>
        </is>
      </c>
    </row>
    <row r="85">
      <c r="A85" s="1" t="n">
        <v>2023003</v>
      </c>
      <c r="B85" s="3" t="inlineStr">
        <is>
          <t>900</t>
        </is>
      </c>
      <c r="C85" s="2">
        <f>IF(B85="","",LEFT(TEXT(B85,"000"),1)*1)</f>
        <v/>
      </c>
      <c r="D85" s="2">
        <f>IF(B85="","",MID(TEXT(B85,"000"),2,1)*1)</f>
        <v/>
      </c>
      <c r="E85" s="2">
        <f>IF(B85="","",RIGHT(TEXT(B85,"000"),1)*1)</f>
        <v/>
      </c>
      <c r="F85" s="2">
        <f>IF(B85="","",C85+D85+E85)</f>
        <v/>
      </c>
      <c r="G85" s="2">
        <f>IF(B85="","",MOD(F85,10))</f>
        <v/>
      </c>
      <c r="H85" s="2">
        <f>IF(B85="","",MAX(C85,D85,E85)-MIN(C85,D85,E85))</f>
        <v/>
      </c>
      <c r="I85" s="2">
        <f>IF(OR(B85="",H85=0),IF(H85=0,0.1,""),ROUND(F85/H85,2))</f>
        <v/>
      </c>
      <c r="J85" s="2">
        <f>IF(I85=0.1,"极紧凑",IF(I85&gt;3.5,"紧凑",IF(AND(I85&gt;=2,I85&lt;=3.5),"标准",IF(AND(I85&gt;=1,I85&lt;2),"松散",""))))</f>
        <v/>
      </c>
      <c r="K85" s="2">
        <f>IF(I85=0.1,"极紧凑-豹子号",IF(AND(I85&gt;=1,I85&lt;=1.29),"松散-极松散",IF(AND(I85&gt;=1.33,I85&lt;=1.8),"松散-标准松散",IF(AND(I85&gt;=1.83,I85&lt;=1.89),"松散-偏紧松散",IF(AND(I85&gt;=2,I85&lt;=2.5),"标准-偏松标准",IF(AND(I85&gt;=2.57,I85&lt;=3),"标准-核心标准",IF(AND(I85&gt;=3.17,I85&lt;=3.5),"标准-偏紧标准",IF(AND(I85&gt;=3.6,I85&lt;=5),"紧凑-标准紧凑",IF(AND(I85&gt;=5.25,I85&lt;=8),"紧凑-高度紧凑",IF(I85&gt;=8.5,"紧凑-极度紧凑",""))))))))))</f>
        <v/>
      </c>
      <c r="L85" s="2">
        <f>IF(I85=0.1,"极紧凑",IF(AND(I85&gt;=1,I85&lt;=1.89),"松散",IF(AND(I85&gt;=2,I85&lt;=3.5),"标准",IF(I85&gt;=3.6,"紧凑",""))))</f>
        <v/>
      </c>
      <c r="M85" s="2" t="inlineStr">
        <is>
          <t>极紧凑-豹子号</t>
        </is>
      </c>
      <c r="N85" s="2" t="inlineStr">
        <is>
          <t>松散-极松散</t>
        </is>
      </c>
      <c r="O85" s="2" t="inlineStr">
        <is>
          <t>松散-标准松散</t>
        </is>
      </c>
      <c r="P85" s="2" t="inlineStr">
        <is>
          <t>松散-偏紧松散</t>
        </is>
      </c>
      <c r="Q85" s="2" t="inlineStr">
        <is>
          <t>标准-偏松标准</t>
        </is>
      </c>
      <c r="R85" s="2" t="inlineStr">
        <is>
          <t>标准-核心标准</t>
        </is>
      </c>
      <c r="S85" s="2" t="inlineStr">
        <is>
          <t>标准-偏紧标准</t>
        </is>
      </c>
      <c r="T85" s="2" t="inlineStr">
        <is>
          <t>紧凑-标准紧凑</t>
        </is>
      </c>
      <c r="U85" s="2" t="inlineStr">
        <is>
          <t>紧凑-高度紧凑</t>
        </is>
      </c>
      <c r="V85" s="2" t="inlineStr">
        <is>
          <t>紧凑-极度紧凑</t>
        </is>
      </c>
    </row>
    <row r="86">
      <c r="A86" s="1" t="n">
        <v>2023004</v>
      </c>
      <c r="B86" s="3" t="inlineStr">
        <is>
          <t>136</t>
        </is>
      </c>
      <c r="C86" s="2">
        <f>IF(B86="","",LEFT(TEXT(B86,"000"),1)*1)</f>
        <v/>
      </c>
      <c r="D86" s="2">
        <f>IF(B86="","",MID(TEXT(B86,"000"),2,1)*1)</f>
        <v/>
      </c>
      <c r="E86" s="2">
        <f>IF(B86="","",RIGHT(TEXT(B86,"000"),1)*1)</f>
        <v/>
      </c>
      <c r="F86" s="2">
        <f>IF(B86="","",C86+D86+E86)</f>
        <v/>
      </c>
      <c r="G86" s="2">
        <f>IF(B86="","",MOD(F86,10))</f>
        <v/>
      </c>
      <c r="H86" s="2">
        <f>IF(B86="","",MAX(C86,D86,E86)-MIN(C86,D86,E86))</f>
        <v/>
      </c>
      <c r="I86" s="2">
        <f>IF(OR(B86="",H86=0),IF(H86=0,0.1,""),ROUND(F86/H86,2))</f>
        <v/>
      </c>
      <c r="J86" s="2">
        <f>IF(I86=0.1,"极紧凑",IF(I86&gt;3.5,"紧凑",IF(AND(I86&gt;=2,I86&lt;=3.5),"标准",IF(AND(I86&gt;=1,I86&lt;2),"松散",""))))</f>
        <v/>
      </c>
      <c r="K86" s="2">
        <f>IF(I86=0.1,"极紧凑-豹子号",IF(AND(I86&gt;=1,I86&lt;=1.29),"松散-极松散",IF(AND(I86&gt;=1.33,I86&lt;=1.8),"松散-标准松散",IF(AND(I86&gt;=1.83,I86&lt;=1.89),"松散-偏紧松散",IF(AND(I86&gt;=2,I86&lt;=2.5),"标准-偏松标准",IF(AND(I86&gt;=2.57,I86&lt;=3),"标准-核心标准",IF(AND(I86&gt;=3.17,I86&lt;=3.5),"标准-偏紧标准",IF(AND(I86&gt;=3.6,I86&lt;=5),"紧凑-标准紧凑",IF(AND(I86&gt;=5.25,I86&lt;=8),"紧凑-高度紧凑",IF(I86&gt;=8.5,"紧凑-极度紧凑",""))))))))))</f>
        <v/>
      </c>
      <c r="L86" s="2">
        <f>IF(I86=0.1,"极紧凑",IF(AND(I86&gt;=1,I86&lt;=1.89),"松散",IF(AND(I86&gt;=2,I86&lt;=3.5),"标准",IF(I86&gt;=3.6,"紧凑",""))))</f>
        <v/>
      </c>
      <c r="M86" s="2" t="inlineStr">
        <is>
          <t>极紧凑-豹子号</t>
        </is>
      </c>
      <c r="N86" s="2" t="inlineStr">
        <is>
          <t>松散-极松散</t>
        </is>
      </c>
      <c r="O86" s="2" t="inlineStr">
        <is>
          <t>松散-标准松散</t>
        </is>
      </c>
      <c r="P86" s="2" t="inlineStr">
        <is>
          <t>松散-偏紧松散</t>
        </is>
      </c>
      <c r="Q86" s="2" t="inlineStr">
        <is>
          <t>标准-偏松标准</t>
        </is>
      </c>
      <c r="R86" s="2" t="inlineStr">
        <is>
          <t>标准-核心标准</t>
        </is>
      </c>
      <c r="S86" s="2" t="inlineStr">
        <is>
          <t>标准-偏紧标准</t>
        </is>
      </c>
      <c r="T86" s="2" t="inlineStr">
        <is>
          <t>紧凑-标准紧凑</t>
        </is>
      </c>
      <c r="U86" s="2" t="inlineStr">
        <is>
          <t>紧凑-高度紧凑</t>
        </is>
      </c>
      <c r="V86" s="2" t="inlineStr">
        <is>
          <t>紧凑-极度紧凑</t>
        </is>
      </c>
    </row>
    <row r="87">
      <c r="A87" s="1" t="n">
        <v>2023005</v>
      </c>
      <c r="B87" s="3" t="inlineStr">
        <is>
          <t>420</t>
        </is>
      </c>
      <c r="C87" s="2">
        <f>IF(B87="","",LEFT(TEXT(B87,"000"),1)*1)</f>
        <v/>
      </c>
      <c r="D87" s="2">
        <f>IF(B87="","",MID(TEXT(B87,"000"),2,1)*1)</f>
        <v/>
      </c>
      <c r="E87" s="2">
        <f>IF(B87="","",RIGHT(TEXT(B87,"000"),1)*1)</f>
        <v/>
      </c>
      <c r="F87" s="2">
        <f>IF(B87="","",C87+D87+E87)</f>
        <v/>
      </c>
      <c r="G87" s="2">
        <f>IF(B87="","",MOD(F87,10))</f>
        <v/>
      </c>
      <c r="H87" s="2">
        <f>IF(B87="","",MAX(C87,D87,E87)-MIN(C87,D87,E87))</f>
        <v/>
      </c>
      <c r="I87" s="2">
        <f>IF(OR(B87="",H87=0),IF(H87=0,0.1,""),ROUND(F87/H87,2))</f>
        <v/>
      </c>
      <c r="J87" s="2">
        <f>IF(I87=0.1,"极紧凑",IF(I87&gt;3.5,"紧凑",IF(AND(I87&gt;=2,I87&lt;=3.5),"标准",IF(AND(I87&gt;=1,I87&lt;2),"松散",""))))</f>
        <v/>
      </c>
      <c r="K87" s="2">
        <f>IF(I87=0.1,"极紧凑-豹子号",IF(AND(I87&gt;=1,I87&lt;=1.29),"松散-极松散",IF(AND(I87&gt;=1.33,I87&lt;=1.8),"松散-标准松散",IF(AND(I87&gt;=1.83,I87&lt;=1.89),"松散-偏紧松散",IF(AND(I87&gt;=2,I87&lt;=2.5),"标准-偏松标准",IF(AND(I87&gt;=2.57,I87&lt;=3),"标准-核心标准",IF(AND(I87&gt;=3.17,I87&lt;=3.5),"标准-偏紧标准",IF(AND(I87&gt;=3.6,I87&lt;=5),"紧凑-标准紧凑",IF(AND(I87&gt;=5.25,I87&lt;=8),"紧凑-高度紧凑",IF(I87&gt;=8.5,"紧凑-极度紧凑",""))))))))))</f>
        <v/>
      </c>
      <c r="L87" s="2">
        <f>IF(I87=0.1,"极紧凑",IF(AND(I87&gt;=1,I87&lt;=1.89),"松散",IF(AND(I87&gt;=2,I87&lt;=3.5),"标准",IF(I87&gt;=3.6,"紧凑",""))))</f>
        <v/>
      </c>
      <c r="M87" s="2" t="inlineStr">
        <is>
          <t>极紧凑-豹子号</t>
        </is>
      </c>
      <c r="N87" s="2" t="inlineStr">
        <is>
          <t>松散-极松散</t>
        </is>
      </c>
      <c r="O87" s="2" t="inlineStr">
        <is>
          <t>松散-标准松散</t>
        </is>
      </c>
      <c r="P87" s="2" t="inlineStr">
        <is>
          <t>松散-偏紧松散</t>
        </is>
      </c>
      <c r="Q87" s="2" t="inlineStr">
        <is>
          <t>标准-偏松标准</t>
        </is>
      </c>
      <c r="R87" s="2" t="inlineStr">
        <is>
          <t>标准-核心标准</t>
        </is>
      </c>
      <c r="S87" s="2" t="inlineStr">
        <is>
          <t>标准-偏紧标准</t>
        </is>
      </c>
      <c r="T87" s="2" t="inlineStr">
        <is>
          <t>紧凑-标准紧凑</t>
        </is>
      </c>
      <c r="U87" s="2" t="inlineStr">
        <is>
          <t>紧凑-高度紧凑</t>
        </is>
      </c>
      <c r="V87" s="2" t="inlineStr">
        <is>
          <t>紧凑-极度紧凑</t>
        </is>
      </c>
    </row>
    <row r="88">
      <c r="A88" s="1" t="n">
        <v>2023006</v>
      </c>
      <c r="B88" s="3" t="inlineStr">
        <is>
          <t>756</t>
        </is>
      </c>
      <c r="C88" s="2">
        <f>IF(B88="","",LEFT(TEXT(B88,"000"),1)*1)</f>
        <v/>
      </c>
      <c r="D88" s="2">
        <f>IF(B88="","",MID(TEXT(B88,"000"),2,1)*1)</f>
        <v/>
      </c>
      <c r="E88" s="2">
        <f>IF(B88="","",RIGHT(TEXT(B88,"000"),1)*1)</f>
        <v/>
      </c>
      <c r="F88" s="2">
        <f>IF(B88="","",C88+D88+E88)</f>
        <v/>
      </c>
      <c r="G88" s="2">
        <f>IF(B88="","",MOD(F88,10))</f>
        <v/>
      </c>
      <c r="H88" s="2">
        <f>IF(B88="","",MAX(C88,D88,E88)-MIN(C88,D88,E88))</f>
        <v/>
      </c>
      <c r="I88" s="2">
        <f>IF(OR(B88="",H88=0),IF(H88=0,0.1,""),ROUND(F88/H88,2))</f>
        <v/>
      </c>
      <c r="J88" s="2">
        <f>IF(I88=0.1,"极紧凑",IF(I88&gt;3.5,"紧凑",IF(AND(I88&gt;=2,I88&lt;=3.5),"标准",IF(AND(I88&gt;=1,I88&lt;2),"松散",""))))</f>
        <v/>
      </c>
      <c r="K88" s="2">
        <f>IF(I88=0.1,"极紧凑-豹子号",IF(AND(I88&gt;=1,I88&lt;=1.29),"松散-极松散",IF(AND(I88&gt;=1.33,I88&lt;=1.8),"松散-标准松散",IF(AND(I88&gt;=1.83,I88&lt;=1.89),"松散-偏紧松散",IF(AND(I88&gt;=2,I88&lt;=2.5),"标准-偏松标准",IF(AND(I88&gt;=2.57,I88&lt;=3),"标准-核心标准",IF(AND(I88&gt;=3.17,I88&lt;=3.5),"标准-偏紧标准",IF(AND(I88&gt;=3.6,I88&lt;=5),"紧凑-标准紧凑",IF(AND(I88&gt;=5.25,I88&lt;=8),"紧凑-高度紧凑",IF(I88&gt;=8.5,"紧凑-极度紧凑",""))))))))))</f>
        <v/>
      </c>
      <c r="L88" s="2">
        <f>IF(I88=0.1,"极紧凑",IF(AND(I88&gt;=1,I88&lt;=1.89),"松散",IF(AND(I88&gt;=2,I88&lt;=3.5),"标准",IF(I88&gt;=3.6,"紧凑",""))))</f>
        <v/>
      </c>
      <c r="M88" s="2" t="inlineStr">
        <is>
          <t>极紧凑-豹子号</t>
        </is>
      </c>
      <c r="N88" s="2" t="inlineStr">
        <is>
          <t>松散-极松散</t>
        </is>
      </c>
      <c r="O88" s="2" t="inlineStr">
        <is>
          <t>松散-标准松散</t>
        </is>
      </c>
      <c r="P88" s="2" t="inlineStr">
        <is>
          <t>松散-偏紧松散</t>
        </is>
      </c>
      <c r="Q88" s="2" t="inlineStr">
        <is>
          <t>标准-偏松标准</t>
        </is>
      </c>
      <c r="R88" s="2" t="inlineStr">
        <is>
          <t>标准-核心标准</t>
        </is>
      </c>
      <c r="S88" s="2" t="inlineStr">
        <is>
          <t>标准-偏紧标准</t>
        </is>
      </c>
      <c r="T88" s="2" t="inlineStr">
        <is>
          <t>紧凑-标准紧凑</t>
        </is>
      </c>
      <c r="U88" s="2" t="inlineStr">
        <is>
          <t>紧凑-高度紧凑</t>
        </is>
      </c>
      <c r="V88" s="2" t="inlineStr">
        <is>
          <t>紧凑-极度紧凑</t>
        </is>
      </c>
    </row>
    <row r="89">
      <c r="A89" s="1" t="n">
        <v>2023007</v>
      </c>
      <c r="B89" s="3" t="inlineStr">
        <is>
          <t>315</t>
        </is>
      </c>
      <c r="C89" s="2">
        <f>IF(B89="","",LEFT(TEXT(B89,"000"),1)*1)</f>
        <v/>
      </c>
      <c r="D89" s="2">
        <f>IF(B89="","",MID(TEXT(B89,"000"),2,1)*1)</f>
        <v/>
      </c>
      <c r="E89" s="2">
        <f>IF(B89="","",RIGHT(TEXT(B89,"000"),1)*1)</f>
        <v/>
      </c>
      <c r="F89" s="2">
        <f>IF(B89="","",C89+D89+E89)</f>
        <v/>
      </c>
      <c r="G89" s="2">
        <f>IF(B89="","",MOD(F89,10))</f>
        <v/>
      </c>
      <c r="H89" s="2">
        <f>IF(B89="","",MAX(C89,D89,E89)-MIN(C89,D89,E89))</f>
        <v/>
      </c>
      <c r="I89" s="2">
        <f>IF(OR(B89="",H89=0),IF(H89=0,0.1,""),ROUND(F89/H89,2))</f>
        <v/>
      </c>
      <c r="J89" s="2">
        <f>IF(I89=0.1,"极紧凑",IF(I89&gt;3.5,"紧凑",IF(AND(I89&gt;=2,I89&lt;=3.5),"标准",IF(AND(I89&gt;=1,I89&lt;2),"松散",""))))</f>
        <v/>
      </c>
      <c r="K89" s="2">
        <f>IF(I89=0.1,"极紧凑-豹子号",IF(AND(I89&gt;=1,I89&lt;=1.29),"松散-极松散",IF(AND(I89&gt;=1.33,I89&lt;=1.8),"松散-标准松散",IF(AND(I89&gt;=1.83,I89&lt;=1.89),"松散-偏紧松散",IF(AND(I89&gt;=2,I89&lt;=2.5),"标准-偏松标准",IF(AND(I89&gt;=2.57,I89&lt;=3),"标准-核心标准",IF(AND(I89&gt;=3.17,I89&lt;=3.5),"标准-偏紧标准",IF(AND(I89&gt;=3.6,I89&lt;=5),"紧凑-标准紧凑",IF(AND(I89&gt;=5.25,I89&lt;=8),"紧凑-高度紧凑",IF(I89&gt;=8.5,"紧凑-极度紧凑",""))))))))))</f>
        <v/>
      </c>
      <c r="L89" s="2">
        <f>IF(I89=0.1,"极紧凑",IF(AND(I89&gt;=1,I89&lt;=1.89),"松散",IF(AND(I89&gt;=2,I89&lt;=3.5),"标准",IF(I89&gt;=3.6,"紧凑",""))))</f>
        <v/>
      </c>
      <c r="M89" s="2" t="inlineStr">
        <is>
          <t>极紧凑-豹子号</t>
        </is>
      </c>
      <c r="N89" s="2" t="inlineStr">
        <is>
          <t>松散-极松散</t>
        </is>
      </c>
      <c r="O89" s="2" t="inlineStr">
        <is>
          <t>松散-标准松散</t>
        </is>
      </c>
      <c r="P89" s="2" t="inlineStr">
        <is>
          <t>松散-偏紧松散</t>
        </is>
      </c>
      <c r="Q89" s="2" t="inlineStr">
        <is>
          <t>标准-偏松标准</t>
        </is>
      </c>
      <c r="R89" s="2" t="inlineStr">
        <is>
          <t>标准-核心标准</t>
        </is>
      </c>
      <c r="S89" s="2" t="inlineStr">
        <is>
          <t>标准-偏紧标准</t>
        </is>
      </c>
      <c r="T89" s="2" t="inlineStr">
        <is>
          <t>紧凑-标准紧凑</t>
        </is>
      </c>
      <c r="U89" s="2" t="inlineStr">
        <is>
          <t>紧凑-高度紧凑</t>
        </is>
      </c>
      <c r="V89" s="2" t="inlineStr">
        <is>
          <t>紧凑-极度紧凑</t>
        </is>
      </c>
    </row>
    <row r="90">
      <c r="A90" s="1" t="n">
        <v>2023008</v>
      </c>
      <c r="B90" s="3" t="inlineStr">
        <is>
          <t>972</t>
        </is>
      </c>
      <c r="C90" s="2">
        <f>IF(B90="","",LEFT(TEXT(B90,"000"),1)*1)</f>
        <v/>
      </c>
      <c r="D90" s="2">
        <f>IF(B90="","",MID(TEXT(B90,"000"),2,1)*1)</f>
        <v/>
      </c>
      <c r="E90" s="2">
        <f>IF(B90="","",RIGHT(TEXT(B90,"000"),1)*1)</f>
        <v/>
      </c>
      <c r="F90" s="2">
        <f>IF(B90="","",C90+D90+E90)</f>
        <v/>
      </c>
      <c r="G90" s="2">
        <f>IF(B90="","",MOD(F90,10))</f>
        <v/>
      </c>
      <c r="H90" s="2">
        <f>IF(B90="","",MAX(C90,D90,E90)-MIN(C90,D90,E90))</f>
        <v/>
      </c>
      <c r="I90" s="2">
        <f>IF(OR(B90="",H90=0),IF(H90=0,0.1,""),ROUND(F90/H90,2))</f>
        <v/>
      </c>
      <c r="J90" s="2">
        <f>IF(I90=0.1,"极紧凑",IF(I90&gt;3.5,"紧凑",IF(AND(I90&gt;=2,I90&lt;=3.5),"标准",IF(AND(I90&gt;=1,I90&lt;2),"松散",""))))</f>
        <v/>
      </c>
      <c r="K90" s="2">
        <f>IF(I90=0.1,"极紧凑-豹子号",IF(AND(I90&gt;=1,I90&lt;=1.29),"松散-极松散",IF(AND(I90&gt;=1.33,I90&lt;=1.8),"松散-标准松散",IF(AND(I90&gt;=1.83,I90&lt;=1.89),"松散-偏紧松散",IF(AND(I90&gt;=2,I90&lt;=2.5),"标准-偏松标准",IF(AND(I90&gt;=2.57,I90&lt;=3),"标准-核心标准",IF(AND(I90&gt;=3.17,I90&lt;=3.5),"标准-偏紧标准",IF(AND(I90&gt;=3.6,I90&lt;=5),"紧凑-标准紧凑",IF(AND(I90&gt;=5.25,I90&lt;=8),"紧凑-高度紧凑",IF(I90&gt;=8.5,"紧凑-极度紧凑",""))))))))))</f>
        <v/>
      </c>
      <c r="L90" s="2">
        <f>IF(I90=0.1,"极紧凑",IF(AND(I90&gt;=1,I90&lt;=1.89),"松散",IF(AND(I90&gt;=2,I90&lt;=3.5),"标准",IF(I90&gt;=3.6,"紧凑",""))))</f>
        <v/>
      </c>
      <c r="M90" s="2" t="inlineStr">
        <is>
          <t>极紧凑-豹子号</t>
        </is>
      </c>
      <c r="N90" s="2" t="inlineStr">
        <is>
          <t>松散-极松散</t>
        </is>
      </c>
      <c r="O90" s="2" t="inlineStr">
        <is>
          <t>松散-标准松散</t>
        </is>
      </c>
      <c r="P90" s="2" t="inlineStr">
        <is>
          <t>松散-偏紧松散</t>
        </is>
      </c>
      <c r="Q90" s="2" t="inlineStr">
        <is>
          <t>标准-偏松标准</t>
        </is>
      </c>
      <c r="R90" s="2" t="inlineStr">
        <is>
          <t>标准-核心标准</t>
        </is>
      </c>
      <c r="S90" s="2" t="inlineStr">
        <is>
          <t>标准-偏紧标准</t>
        </is>
      </c>
      <c r="T90" s="2" t="inlineStr">
        <is>
          <t>紧凑-标准紧凑</t>
        </is>
      </c>
      <c r="U90" s="2" t="inlineStr">
        <is>
          <t>紧凑-高度紧凑</t>
        </is>
      </c>
      <c r="V90" s="2" t="inlineStr">
        <is>
          <t>紧凑-极度紧凑</t>
        </is>
      </c>
    </row>
    <row r="91">
      <c r="A91" s="1" t="n">
        <v>2023009</v>
      </c>
      <c r="B91" s="3" t="inlineStr">
        <is>
          <t>221</t>
        </is>
      </c>
      <c r="C91" s="2">
        <f>IF(B91="","",LEFT(TEXT(B91,"000"),1)*1)</f>
        <v/>
      </c>
      <c r="D91" s="2">
        <f>IF(B91="","",MID(TEXT(B91,"000"),2,1)*1)</f>
        <v/>
      </c>
      <c r="E91" s="2">
        <f>IF(B91="","",RIGHT(TEXT(B91,"000"),1)*1)</f>
        <v/>
      </c>
      <c r="F91" s="2">
        <f>IF(B91="","",C91+D91+E91)</f>
        <v/>
      </c>
      <c r="G91" s="2">
        <f>IF(B91="","",MOD(F91,10))</f>
        <v/>
      </c>
      <c r="H91" s="2">
        <f>IF(B91="","",MAX(C91,D91,E91)-MIN(C91,D91,E91))</f>
        <v/>
      </c>
      <c r="I91" s="2">
        <f>IF(OR(B91="",H91=0),IF(H91=0,0.1,""),ROUND(F91/H91,2))</f>
        <v/>
      </c>
      <c r="J91" s="2">
        <f>IF(I91=0.1,"极紧凑",IF(I91&gt;3.5,"紧凑",IF(AND(I91&gt;=2,I91&lt;=3.5),"标准",IF(AND(I91&gt;=1,I91&lt;2),"松散",""))))</f>
        <v/>
      </c>
      <c r="K91" s="2">
        <f>IF(I91=0.1,"极紧凑-豹子号",IF(AND(I91&gt;=1,I91&lt;=1.29),"松散-极松散",IF(AND(I91&gt;=1.33,I91&lt;=1.8),"松散-标准松散",IF(AND(I91&gt;=1.83,I91&lt;=1.89),"松散-偏紧松散",IF(AND(I91&gt;=2,I91&lt;=2.5),"标准-偏松标准",IF(AND(I91&gt;=2.57,I91&lt;=3),"标准-核心标准",IF(AND(I91&gt;=3.17,I91&lt;=3.5),"标准-偏紧标准",IF(AND(I91&gt;=3.6,I91&lt;=5),"紧凑-标准紧凑",IF(AND(I91&gt;=5.25,I91&lt;=8),"紧凑-高度紧凑",IF(I91&gt;=8.5,"紧凑-极度紧凑",""))))))))))</f>
        <v/>
      </c>
      <c r="L91" s="2">
        <f>IF(I91=0.1,"极紧凑",IF(AND(I91&gt;=1,I91&lt;=1.89),"松散",IF(AND(I91&gt;=2,I91&lt;=3.5),"标准",IF(I91&gt;=3.6,"紧凑",""))))</f>
        <v/>
      </c>
      <c r="M91" s="2" t="inlineStr">
        <is>
          <t>极紧凑-豹子号</t>
        </is>
      </c>
      <c r="N91" s="2" t="inlineStr">
        <is>
          <t>松散-极松散</t>
        </is>
      </c>
      <c r="O91" s="2" t="inlineStr">
        <is>
          <t>松散-标准松散</t>
        </is>
      </c>
      <c r="P91" s="2" t="inlineStr">
        <is>
          <t>松散-偏紧松散</t>
        </is>
      </c>
      <c r="Q91" s="2" t="inlineStr">
        <is>
          <t>标准-偏松标准</t>
        </is>
      </c>
      <c r="R91" s="2" t="inlineStr">
        <is>
          <t>标准-核心标准</t>
        </is>
      </c>
      <c r="S91" s="2" t="inlineStr">
        <is>
          <t>标准-偏紧标准</t>
        </is>
      </c>
      <c r="T91" s="2" t="inlineStr">
        <is>
          <t>紧凑-标准紧凑</t>
        </is>
      </c>
      <c r="U91" s="2" t="inlineStr">
        <is>
          <t>紧凑-高度紧凑</t>
        </is>
      </c>
      <c r="V91" s="2" t="inlineStr">
        <is>
          <t>紧凑-极度紧凑</t>
        </is>
      </c>
    </row>
    <row r="92">
      <c r="A92" s="1" t="n">
        <v>2023010</v>
      </c>
      <c r="B92" s="3" t="inlineStr">
        <is>
          <t>888</t>
        </is>
      </c>
      <c r="C92" s="2">
        <f>IF(B92="","",LEFT(TEXT(B92,"000"),1)*1)</f>
        <v/>
      </c>
      <c r="D92" s="2">
        <f>IF(B92="","",MID(TEXT(B92,"000"),2,1)*1)</f>
        <v/>
      </c>
      <c r="E92" s="2">
        <f>IF(B92="","",RIGHT(TEXT(B92,"000"),1)*1)</f>
        <v/>
      </c>
      <c r="F92" s="2">
        <f>IF(B92="","",C92+D92+E92)</f>
        <v/>
      </c>
      <c r="G92" s="2">
        <f>IF(B92="","",MOD(F92,10))</f>
        <v/>
      </c>
      <c r="H92" s="2">
        <f>IF(B92="","",MAX(C92,D92,E92)-MIN(C92,D92,E92))</f>
        <v/>
      </c>
      <c r="I92" s="2">
        <f>IF(OR(B92="",H92=0),IF(H92=0,0.1,""),ROUND(F92/H92,2))</f>
        <v/>
      </c>
      <c r="J92" s="2">
        <f>IF(I92=0.1,"极紧凑",IF(I92&gt;3.5,"紧凑",IF(AND(I92&gt;=2,I92&lt;=3.5),"标准",IF(AND(I92&gt;=1,I92&lt;2),"松散",""))))</f>
        <v/>
      </c>
      <c r="K92" s="2">
        <f>IF(I92=0.1,"极紧凑-豹子号",IF(AND(I92&gt;=1,I92&lt;=1.29),"松散-极松散",IF(AND(I92&gt;=1.33,I92&lt;=1.8),"松散-标准松散",IF(AND(I92&gt;=1.83,I92&lt;=1.89),"松散-偏紧松散",IF(AND(I92&gt;=2,I92&lt;=2.5),"标准-偏松标准",IF(AND(I92&gt;=2.57,I92&lt;=3),"标准-核心标准",IF(AND(I92&gt;=3.17,I92&lt;=3.5),"标准-偏紧标准",IF(AND(I92&gt;=3.6,I92&lt;=5),"紧凑-标准紧凑",IF(AND(I92&gt;=5.25,I92&lt;=8),"紧凑-高度紧凑",IF(I92&gt;=8.5,"紧凑-极度紧凑",""))))))))))</f>
        <v/>
      </c>
      <c r="L92" s="2">
        <f>IF(I92=0.1,"极紧凑",IF(AND(I92&gt;=1,I92&lt;=1.89),"松散",IF(AND(I92&gt;=2,I92&lt;=3.5),"标准",IF(I92&gt;=3.6,"紧凑",""))))</f>
        <v/>
      </c>
      <c r="M92" s="2" t="inlineStr">
        <is>
          <t>极紧凑-豹子号</t>
        </is>
      </c>
      <c r="N92" s="2" t="inlineStr">
        <is>
          <t>松散-极松散</t>
        </is>
      </c>
      <c r="O92" s="2" t="inlineStr">
        <is>
          <t>松散-标准松散</t>
        </is>
      </c>
      <c r="P92" s="2" t="inlineStr">
        <is>
          <t>松散-偏紧松散</t>
        </is>
      </c>
      <c r="Q92" s="2" t="inlineStr">
        <is>
          <t>标准-偏松标准</t>
        </is>
      </c>
      <c r="R92" s="2" t="inlineStr">
        <is>
          <t>标准-核心标准</t>
        </is>
      </c>
      <c r="S92" s="2" t="inlineStr">
        <is>
          <t>标准-偏紧标准</t>
        </is>
      </c>
      <c r="T92" s="2" t="inlineStr">
        <is>
          <t>紧凑-标准紧凑</t>
        </is>
      </c>
      <c r="U92" s="2" t="inlineStr">
        <is>
          <t>紧凑-高度紧凑</t>
        </is>
      </c>
      <c r="V92" s="2" t="inlineStr">
        <is>
          <t>紧凑-极度紧凑</t>
        </is>
      </c>
    </row>
    <row r="93">
      <c r="A93" s="1" t="n">
        <v>2023011</v>
      </c>
      <c r="B93" s="3" t="inlineStr">
        <is>
          <t>083</t>
        </is>
      </c>
      <c r="C93" s="2">
        <f>IF(B93="","",LEFT(TEXT(B93,"000"),1)*1)</f>
        <v/>
      </c>
      <c r="D93" s="2">
        <f>IF(B93="","",MID(TEXT(B93,"000"),2,1)*1)</f>
        <v/>
      </c>
      <c r="E93" s="2">
        <f>IF(B93="","",RIGHT(TEXT(B93,"000"),1)*1)</f>
        <v/>
      </c>
      <c r="F93" s="2">
        <f>IF(B93="","",C93+D93+E93)</f>
        <v/>
      </c>
      <c r="G93" s="2">
        <f>IF(B93="","",MOD(F93,10))</f>
        <v/>
      </c>
      <c r="H93" s="2">
        <f>IF(B93="","",MAX(C93,D93,E93)-MIN(C93,D93,E93))</f>
        <v/>
      </c>
      <c r="I93" s="2">
        <f>IF(OR(B93="",H93=0),IF(H93=0,0.1,""),ROUND(F93/H93,2))</f>
        <v/>
      </c>
      <c r="J93" s="2">
        <f>IF(I93=0.1,"极紧凑",IF(I93&gt;3.5,"紧凑",IF(AND(I93&gt;=2,I93&lt;=3.5),"标准",IF(AND(I93&gt;=1,I93&lt;2),"松散",""))))</f>
        <v/>
      </c>
      <c r="K93" s="2">
        <f>IF(I93=0.1,"极紧凑-豹子号",IF(AND(I93&gt;=1,I93&lt;=1.29),"松散-极松散",IF(AND(I93&gt;=1.33,I93&lt;=1.8),"松散-标准松散",IF(AND(I93&gt;=1.83,I93&lt;=1.89),"松散-偏紧松散",IF(AND(I93&gt;=2,I93&lt;=2.5),"标准-偏松标准",IF(AND(I93&gt;=2.57,I93&lt;=3),"标准-核心标准",IF(AND(I93&gt;=3.17,I93&lt;=3.5),"标准-偏紧标准",IF(AND(I93&gt;=3.6,I93&lt;=5),"紧凑-标准紧凑",IF(AND(I93&gt;=5.25,I93&lt;=8),"紧凑-高度紧凑",IF(I93&gt;=8.5,"紧凑-极度紧凑",""))))))))))</f>
        <v/>
      </c>
      <c r="L93" s="2">
        <f>IF(I93=0.1,"极紧凑",IF(AND(I93&gt;=1,I93&lt;=1.89),"松散",IF(AND(I93&gt;=2,I93&lt;=3.5),"标准",IF(I93&gt;=3.6,"紧凑",""))))</f>
        <v/>
      </c>
      <c r="M93" s="2" t="inlineStr">
        <is>
          <t>极紧凑-豹子号</t>
        </is>
      </c>
      <c r="N93" s="2" t="inlineStr">
        <is>
          <t>松散-极松散</t>
        </is>
      </c>
      <c r="O93" s="2" t="inlineStr">
        <is>
          <t>松散-标准松散</t>
        </is>
      </c>
      <c r="P93" s="2" t="inlineStr">
        <is>
          <t>松散-偏紧松散</t>
        </is>
      </c>
      <c r="Q93" s="2" t="inlineStr">
        <is>
          <t>标准-偏松标准</t>
        </is>
      </c>
      <c r="R93" s="2" t="inlineStr">
        <is>
          <t>标准-核心标准</t>
        </is>
      </c>
      <c r="S93" s="2" t="inlineStr">
        <is>
          <t>标准-偏紧标准</t>
        </is>
      </c>
      <c r="T93" s="2" t="inlineStr">
        <is>
          <t>紧凑-标准紧凑</t>
        </is>
      </c>
      <c r="U93" s="2" t="inlineStr">
        <is>
          <t>紧凑-高度紧凑</t>
        </is>
      </c>
      <c r="V93" s="2" t="inlineStr">
        <is>
          <t>紧凑-极度紧凑</t>
        </is>
      </c>
    </row>
    <row r="94">
      <c r="A94" s="1" t="n">
        <v>2023012</v>
      </c>
      <c r="B94" s="3" t="inlineStr">
        <is>
          <t>780</t>
        </is>
      </c>
      <c r="C94" s="2">
        <f>IF(B94="","",LEFT(TEXT(B94,"000"),1)*1)</f>
        <v/>
      </c>
      <c r="D94" s="2">
        <f>IF(B94="","",MID(TEXT(B94,"000"),2,1)*1)</f>
        <v/>
      </c>
      <c r="E94" s="2">
        <f>IF(B94="","",RIGHT(TEXT(B94,"000"),1)*1)</f>
        <v/>
      </c>
      <c r="F94" s="2">
        <f>IF(B94="","",C94+D94+E94)</f>
        <v/>
      </c>
      <c r="G94" s="2">
        <f>IF(B94="","",MOD(F94,10))</f>
        <v/>
      </c>
      <c r="H94" s="2">
        <f>IF(B94="","",MAX(C94,D94,E94)-MIN(C94,D94,E94))</f>
        <v/>
      </c>
      <c r="I94" s="2">
        <f>IF(OR(B94="",H94=0),IF(H94=0,0.1,""),ROUND(F94/H94,2))</f>
        <v/>
      </c>
      <c r="J94" s="2">
        <f>IF(I94=0.1,"极紧凑",IF(I94&gt;3.5,"紧凑",IF(AND(I94&gt;=2,I94&lt;=3.5),"标准",IF(AND(I94&gt;=1,I94&lt;2),"松散",""))))</f>
        <v/>
      </c>
      <c r="K94" s="2">
        <f>IF(I94=0.1,"极紧凑-豹子号",IF(AND(I94&gt;=1,I94&lt;=1.29),"松散-极松散",IF(AND(I94&gt;=1.33,I94&lt;=1.8),"松散-标准松散",IF(AND(I94&gt;=1.83,I94&lt;=1.89),"松散-偏紧松散",IF(AND(I94&gt;=2,I94&lt;=2.5),"标准-偏松标准",IF(AND(I94&gt;=2.57,I94&lt;=3),"标准-核心标准",IF(AND(I94&gt;=3.17,I94&lt;=3.5),"标准-偏紧标准",IF(AND(I94&gt;=3.6,I94&lt;=5),"紧凑-标准紧凑",IF(AND(I94&gt;=5.25,I94&lt;=8),"紧凑-高度紧凑",IF(I94&gt;=8.5,"紧凑-极度紧凑",""))))))))))</f>
        <v/>
      </c>
      <c r="L94" s="2">
        <f>IF(I94=0.1,"极紧凑",IF(AND(I94&gt;=1,I94&lt;=1.89),"松散",IF(AND(I94&gt;=2,I94&lt;=3.5),"标准",IF(I94&gt;=3.6,"紧凑",""))))</f>
        <v/>
      </c>
      <c r="M94" s="2" t="inlineStr">
        <is>
          <t>极紧凑-豹子号</t>
        </is>
      </c>
      <c r="N94" s="2" t="inlineStr">
        <is>
          <t>松散-极松散</t>
        </is>
      </c>
      <c r="O94" s="2" t="inlineStr">
        <is>
          <t>松散-标准松散</t>
        </is>
      </c>
      <c r="P94" s="2" t="inlineStr">
        <is>
          <t>松散-偏紧松散</t>
        </is>
      </c>
      <c r="Q94" s="2" t="inlineStr">
        <is>
          <t>标准-偏松标准</t>
        </is>
      </c>
      <c r="R94" s="2" t="inlineStr">
        <is>
          <t>标准-核心标准</t>
        </is>
      </c>
      <c r="S94" s="2" t="inlineStr">
        <is>
          <t>标准-偏紧标准</t>
        </is>
      </c>
      <c r="T94" s="2" t="inlineStr">
        <is>
          <t>紧凑-标准紧凑</t>
        </is>
      </c>
      <c r="U94" s="2" t="inlineStr">
        <is>
          <t>紧凑-高度紧凑</t>
        </is>
      </c>
      <c r="V94" s="2" t="inlineStr">
        <is>
          <t>紧凑-极度紧凑</t>
        </is>
      </c>
    </row>
    <row r="95">
      <c r="A95" s="1" t="n">
        <v>2023013</v>
      </c>
      <c r="B95" s="3" t="inlineStr">
        <is>
          <t>282</t>
        </is>
      </c>
      <c r="C95" s="2">
        <f>IF(B95="","",LEFT(TEXT(B95,"000"),1)*1)</f>
        <v/>
      </c>
      <c r="D95" s="2">
        <f>IF(B95="","",MID(TEXT(B95,"000"),2,1)*1)</f>
        <v/>
      </c>
      <c r="E95" s="2">
        <f>IF(B95="","",RIGHT(TEXT(B95,"000"),1)*1)</f>
        <v/>
      </c>
      <c r="F95" s="2">
        <f>IF(B95="","",C95+D95+E95)</f>
        <v/>
      </c>
      <c r="G95" s="2">
        <f>IF(B95="","",MOD(F95,10))</f>
        <v/>
      </c>
      <c r="H95" s="2">
        <f>IF(B95="","",MAX(C95,D95,E95)-MIN(C95,D95,E95))</f>
        <v/>
      </c>
      <c r="I95" s="2">
        <f>IF(OR(B95="",H95=0),IF(H95=0,0.1,""),ROUND(F95/H95,2))</f>
        <v/>
      </c>
      <c r="J95" s="2">
        <f>IF(I95=0.1,"极紧凑",IF(I95&gt;3.5,"紧凑",IF(AND(I95&gt;=2,I95&lt;=3.5),"标准",IF(AND(I95&gt;=1,I95&lt;2),"松散",""))))</f>
        <v/>
      </c>
      <c r="K95" s="2">
        <f>IF(I95=0.1,"极紧凑-豹子号",IF(AND(I95&gt;=1,I95&lt;=1.29),"松散-极松散",IF(AND(I95&gt;=1.33,I95&lt;=1.8),"松散-标准松散",IF(AND(I95&gt;=1.83,I95&lt;=1.89),"松散-偏紧松散",IF(AND(I95&gt;=2,I95&lt;=2.5),"标准-偏松标准",IF(AND(I95&gt;=2.57,I95&lt;=3),"标准-核心标准",IF(AND(I95&gt;=3.17,I95&lt;=3.5),"标准-偏紧标准",IF(AND(I95&gt;=3.6,I95&lt;=5),"紧凑-标准紧凑",IF(AND(I95&gt;=5.25,I95&lt;=8),"紧凑-高度紧凑",IF(I95&gt;=8.5,"紧凑-极度紧凑",""))))))))))</f>
        <v/>
      </c>
      <c r="L95" s="2">
        <f>IF(I95=0.1,"极紧凑",IF(AND(I95&gt;=1,I95&lt;=1.89),"松散",IF(AND(I95&gt;=2,I95&lt;=3.5),"标准",IF(I95&gt;=3.6,"紧凑",""))))</f>
        <v/>
      </c>
      <c r="M95" s="2" t="inlineStr">
        <is>
          <t>极紧凑-豹子号</t>
        </is>
      </c>
      <c r="N95" s="2" t="inlineStr">
        <is>
          <t>松散-极松散</t>
        </is>
      </c>
      <c r="O95" s="2" t="inlineStr">
        <is>
          <t>松散-标准松散</t>
        </is>
      </c>
      <c r="P95" s="2" t="inlineStr">
        <is>
          <t>松散-偏紧松散</t>
        </is>
      </c>
      <c r="Q95" s="2" t="inlineStr">
        <is>
          <t>标准-偏松标准</t>
        </is>
      </c>
      <c r="R95" s="2" t="inlineStr">
        <is>
          <t>标准-核心标准</t>
        </is>
      </c>
      <c r="S95" s="2" t="inlineStr">
        <is>
          <t>标准-偏紧标准</t>
        </is>
      </c>
      <c r="T95" s="2" t="inlineStr">
        <is>
          <t>紧凑-标准紧凑</t>
        </is>
      </c>
      <c r="U95" s="2" t="inlineStr">
        <is>
          <t>紧凑-高度紧凑</t>
        </is>
      </c>
      <c r="V95" s="2" t="inlineStr">
        <is>
          <t>紧凑-极度紧凑</t>
        </is>
      </c>
    </row>
    <row r="96">
      <c r="A96" s="1" t="n">
        <v>2023014</v>
      </c>
      <c r="B96" s="3" t="inlineStr">
        <is>
          <t>022</t>
        </is>
      </c>
      <c r="C96" s="2">
        <f>IF(B96="","",LEFT(TEXT(B96,"000"),1)*1)</f>
        <v/>
      </c>
      <c r="D96" s="2">
        <f>IF(B96="","",MID(TEXT(B96,"000"),2,1)*1)</f>
        <v/>
      </c>
      <c r="E96" s="2">
        <f>IF(B96="","",RIGHT(TEXT(B96,"000"),1)*1)</f>
        <v/>
      </c>
      <c r="F96" s="2">
        <f>IF(B96="","",C96+D96+E96)</f>
        <v/>
      </c>
      <c r="G96" s="2">
        <f>IF(B96="","",MOD(F96,10))</f>
        <v/>
      </c>
      <c r="H96" s="2">
        <f>IF(B96="","",MAX(C96,D96,E96)-MIN(C96,D96,E96))</f>
        <v/>
      </c>
      <c r="I96" s="2">
        <f>IF(OR(B96="",H96=0),IF(H96=0,0.1,""),ROUND(F96/H96,2))</f>
        <v/>
      </c>
      <c r="J96" s="2">
        <f>IF(I96=0.1,"极紧凑",IF(I96&gt;3.5,"紧凑",IF(AND(I96&gt;=2,I96&lt;=3.5),"标准",IF(AND(I96&gt;=1,I96&lt;2),"松散",""))))</f>
        <v/>
      </c>
      <c r="K96" s="2">
        <f>IF(I96=0.1,"极紧凑-豹子号",IF(AND(I96&gt;=1,I96&lt;=1.29),"松散-极松散",IF(AND(I96&gt;=1.33,I96&lt;=1.8),"松散-标准松散",IF(AND(I96&gt;=1.83,I96&lt;=1.89),"松散-偏紧松散",IF(AND(I96&gt;=2,I96&lt;=2.5),"标准-偏松标准",IF(AND(I96&gt;=2.57,I96&lt;=3),"标准-核心标准",IF(AND(I96&gt;=3.17,I96&lt;=3.5),"标准-偏紧标准",IF(AND(I96&gt;=3.6,I96&lt;=5),"紧凑-标准紧凑",IF(AND(I96&gt;=5.25,I96&lt;=8),"紧凑-高度紧凑",IF(I96&gt;=8.5,"紧凑-极度紧凑",""))))))))))</f>
        <v/>
      </c>
      <c r="L96" s="2">
        <f>IF(I96=0.1,"极紧凑",IF(AND(I96&gt;=1,I96&lt;=1.89),"松散",IF(AND(I96&gt;=2,I96&lt;=3.5),"标准",IF(I96&gt;=3.6,"紧凑",""))))</f>
        <v/>
      </c>
      <c r="M96" s="2" t="inlineStr">
        <is>
          <t>极紧凑-豹子号</t>
        </is>
      </c>
      <c r="N96" s="2" t="inlineStr">
        <is>
          <t>松散-极松散</t>
        </is>
      </c>
      <c r="O96" s="2" t="inlineStr">
        <is>
          <t>松散-标准松散</t>
        </is>
      </c>
      <c r="P96" s="2" t="inlineStr">
        <is>
          <t>松散-偏紧松散</t>
        </is>
      </c>
      <c r="Q96" s="2" t="inlineStr">
        <is>
          <t>标准-偏松标准</t>
        </is>
      </c>
      <c r="R96" s="2" t="inlineStr">
        <is>
          <t>标准-核心标准</t>
        </is>
      </c>
      <c r="S96" s="2" t="inlineStr">
        <is>
          <t>标准-偏紧标准</t>
        </is>
      </c>
      <c r="T96" s="2" t="inlineStr">
        <is>
          <t>紧凑-标准紧凑</t>
        </is>
      </c>
      <c r="U96" s="2" t="inlineStr">
        <is>
          <t>紧凑-高度紧凑</t>
        </is>
      </c>
      <c r="V96" s="2" t="inlineStr">
        <is>
          <t>紧凑-极度紧凑</t>
        </is>
      </c>
    </row>
    <row r="97">
      <c r="A97" s="1" t="n">
        <v>2023015</v>
      </c>
      <c r="B97" s="3" t="inlineStr">
        <is>
          <t>606</t>
        </is>
      </c>
      <c r="C97" s="2">
        <f>IF(B97="","",LEFT(TEXT(B97,"000"),1)*1)</f>
        <v/>
      </c>
      <c r="D97" s="2">
        <f>IF(B97="","",MID(TEXT(B97,"000"),2,1)*1)</f>
        <v/>
      </c>
      <c r="E97" s="2">
        <f>IF(B97="","",RIGHT(TEXT(B97,"000"),1)*1)</f>
        <v/>
      </c>
      <c r="F97" s="2">
        <f>IF(B97="","",C97+D97+E97)</f>
        <v/>
      </c>
      <c r="G97" s="2">
        <f>IF(B97="","",MOD(F97,10))</f>
        <v/>
      </c>
      <c r="H97" s="2">
        <f>IF(B97="","",MAX(C97,D97,E97)-MIN(C97,D97,E97))</f>
        <v/>
      </c>
      <c r="I97" s="2">
        <f>IF(OR(B97="",H97=0),IF(H97=0,0.1,""),ROUND(F97/H97,2))</f>
        <v/>
      </c>
      <c r="J97" s="2">
        <f>IF(I97=0.1,"极紧凑",IF(I97&gt;3.5,"紧凑",IF(AND(I97&gt;=2,I97&lt;=3.5),"标准",IF(AND(I97&gt;=1,I97&lt;2),"松散",""))))</f>
        <v/>
      </c>
      <c r="K97" s="2">
        <f>IF(I97=0.1,"极紧凑-豹子号",IF(AND(I97&gt;=1,I97&lt;=1.29),"松散-极松散",IF(AND(I97&gt;=1.33,I97&lt;=1.8),"松散-标准松散",IF(AND(I97&gt;=1.83,I97&lt;=1.89),"松散-偏紧松散",IF(AND(I97&gt;=2,I97&lt;=2.5),"标准-偏松标准",IF(AND(I97&gt;=2.57,I97&lt;=3),"标准-核心标准",IF(AND(I97&gt;=3.17,I97&lt;=3.5),"标准-偏紧标准",IF(AND(I97&gt;=3.6,I97&lt;=5),"紧凑-标准紧凑",IF(AND(I97&gt;=5.25,I97&lt;=8),"紧凑-高度紧凑",IF(I97&gt;=8.5,"紧凑-极度紧凑",""))))))))))</f>
        <v/>
      </c>
      <c r="L97" s="2">
        <f>IF(I97=0.1,"极紧凑",IF(AND(I97&gt;=1,I97&lt;=1.89),"松散",IF(AND(I97&gt;=2,I97&lt;=3.5),"标准",IF(I97&gt;=3.6,"紧凑",""))))</f>
        <v/>
      </c>
      <c r="M97" s="2" t="inlineStr">
        <is>
          <t>极紧凑-豹子号</t>
        </is>
      </c>
      <c r="N97" s="2" t="inlineStr">
        <is>
          <t>松散-极松散</t>
        </is>
      </c>
      <c r="O97" s="2" t="inlineStr">
        <is>
          <t>松散-标准松散</t>
        </is>
      </c>
      <c r="P97" s="2" t="inlineStr">
        <is>
          <t>松散-偏紧松散</t>
        </is>
      </c>
      <c r="Q97" s="2" t="inlineStr">
        <is>
          <t>标准-偏松标准</t>
        </is>
      </c>
      <c r="R97" s="2" t="inlineStr">
        <is>
          <t>标准-核心标准</t>
        </is>
      </c>
      <c r="S97" s="2" t="inlineStr">
        <is>
          <t>标准-偏紧标准</t>
        </is>
      </c>
      <c r="T97" s="2" t="inlineStr">
        <is>
          <t>紧凑-标准紧凑</t>
        </is>
      </c>
      <c r="U97" s="2" t="inlineStr">
        <is>
          <t>紧凑-高度紧凑</t>
        </is>
      </c>
      <c r="V97" s="2" t="inlineStr">
        <is>
          <t>紧凑-极度紧凑</t>
        </is>
      </c>
    </row>
    <row r="98">
      <c r="A98" s="1" t="n">
        <v>2023016</v>
      </c>
      <c r="B98" s="3" t="inlineStr">
        <is>
          <t>714</t>
        </is>
      </c>
      <c r="C98" s="2">
        <f>IF(B98="","",LEFT(TEXT(B98,"000"),1)*1)</f>
        <v/>
      </c>
      <c r="D98" s="2">
        <f>IF(B98="","",MID(TEXT(B98,"000"),2,1)*1)</f>
        <v/>
      </c>
      <c r="E98" s="2">
        <f>IF(B98="","",RIGHT(TEXT(B98,"000"),1)*1)</f>
        <v/>
      </c>
      <c r="F98" s="2">
        <f>IF(B98="","",C98+D98+E98)</f>
        <v/>
      </c>
      <c r="G98" s="2">
        <f>IF(B98="","",MOD(F98,10))</f>
        <v/>
      </c>
      <c r="H98" s="2">
        <f>IF(B98="","",MAX(C98,D98,E98)-MIN(C98,D98,E98))</f>
        <v/>
      </c>
      <c r="I98" s="2">
        <f>IF(OR(B98="",H98=0),IF(H98=0,0.1,""),ROUND(F98/H98,2))</f>
        <v/>
      </c>
      <c r="J98" s="2">
        <f>IF(I98=0.1,"极紧凑",IF(I98&gt;3.5,"紧凑",IF(AND(I98&gt;=2,I98&lt;=3.5),"标准",IF(AND(I98&gt;=1,I98&lt;2),"松散",""))))</f>
        <v/>
      </c>
      <c r="K98" s="2">
        <f>IF(I98=0.1,"极紧凑-豹子号",IF(AND(I98&gt;=1,I98&lt;=1.29),"松散-极松散",IF(AND(I98&gt;=1.33,I98&lt;=1.8),"松散-标准松散",IF(AND(I98&gt;=1.83,I98&lt;=1.89),"松散-偏紧松散",IF(AND(I98&gt;=2,I98&lt;=2.5),"标准-偏松标准",IF(AND(I98&gt;=2.57,I98&lt;=3),"标准-核心标准",IF(AND(I98&gt;=3.17,I98&lt;=3.5),"标准-偏紧标准",IF(AND(I98&gt;=3.6,I98&lt;=5),"紧凑-标准紧凑",IF(AND(I98&gt;=5.25,I98&lt;=8),"紧凑-高度紧凑",IF(I98&gt;=8.5,"紧凑-极度紧凑",""))))))))))</f>
        <v/>
      </c>
      <c r="L98" s="2">
        <f>IF(I98=0.1,"极紧凑",IF(AND(I98&gt;=1,I98&lt;=1.89),"松散",IF(AND(I98&gt;=2,I98&lt;=3.5),"标准",IF(I98&gt;=3.6,"紧凑",""))))</f>
        <v/>
      </c>
      <c r="M98" s="2" t="inlineStr">
        <is>
          <t>极紧凑-豹子号</t>
        </is>
      </c>
      <c r="N98" s="2" t="inlineStr">
        <is>
          <t>松散-极松散</t>
        </is>
      </c>
      <c r="O98" s="2" t="inlineStr">
        <is>
          <t>松散-标准松散</t>
        </is>
      </c>
      <c r="P98" s="2" t="inlineStr">
        <is>
          <t>松散-偏紧松散</t>
        </is>
      </c>
      <c r="Q98" s="2" t="inlineStr">
        <is>
          <t>标准-偏松标准</t>
        </is>
      </c>
      <c r="R98" s="2" t="inlineStr">
        <is>
          <t>标准-核心标准</t>
        </is>
      </c>
      <c r="S98" s="2" t="inlineStr">
        <is>
          <t>标准-偏紧标准</t>
        </is>
      </c>
      <c r="T98" s="2" t="inlineStr">
        <is>
          <t>紧凑-标准紧凑</t>
        </is>
      </c>
      <c r="U98" s="2" t="inlineStr">
        <is>
          <t>紧凑-高度紧凑</t>
        </is>
      </c>
      <c r="V98" s="2" t="inlineStr">
        <is>
          <t>紧凑-极度紧凑</t>
        </is>
      </c>
    </row>
    <row r="99">
      <c r="A99" s="1" t="n">
        <v>2023017</v>
      </c>
      <c r="B99" s="3" t="inlineStr">
        <is>
          <t>172</t>
        </is>
      </c>
      <c r="C99" s="2">
        <f>IF(B99="","",LEFT(TEXT(B99,"000"),1)*1)</f>
        <v/>
      </c>
      <c r="D99" s="2">
        <f>IF(B99="","",MID(TEXT(B99,"000"),2,1)*1)</f>
        <v/>
      </c>
      <c r="E99" s="2">
        <f>IF(B99="","",RIGHT(TEXT(B99,"000"),1)*1)</f>
        <v/>
      </c>
      <c r="F99" s="2">
        <f>IF(B99="","",C99+D99+E99)</f>
        <v/>
      </c>
      <c r="G99" s="2">
        <f>IF(B99="","",MOD(F99,10))</f>
        <v/>
      </c>
      <c r="H99" s="2">
        <f>IF(B99="","",MAX(C99,D99,E99)-MIN(C99,D99,E99))</f>
        <v/>
      </c>
      <c r="I99" s="2">
        <f>IF(OR(B99="",H99=0),IF(H99=0,0.1,""),ROUND(F99/H99,2))</f>
        <v/>
      </c>
      <c r="J99" s="2">
        <f>IF(I99=0.1,"极紧凑",IF(I99&gt;3.5,"紧凑",IF(AND(I99&gt;=2,I99&lt;=3.5),"标准",IF(AND(I99&gt;=1,I99&lt;2),"松散",""))))</f>
        <v/>
      </c>
      <c r="K99" s="2">
        <f>IF(I99=0.1,"极紧凑-豹子号",IF(AND(I99&gt;=1,I99&lt;=1.29),"松散-极松散",IF(AND(I99&gt;=1.33,I99&lt;=1.8),"松散-标准松散",IF(AND(I99&gt;=1.83,I99&lt;=1.89),"松散-偏紧松散",IF(AND(I99&gt;=2,I99&lt;=2.5),"标准-偏松标准",IF(AND(I99&gt;=2.57,I99&lt;=3),"标准-核心标准",IF(AND(I99&gt;=3.17,I99&lt;=3.5),"标准-偏紧标准",IF(AND(I99&gt;=3.6,I99&lt;=5),"紧凑-标准紧凑",IF(AND(I99&gt;=5.25,I99&lt;=8),"紧凑-高度紧凑",IF(I99&gt;=8.5,"紧凑-极度紧凑",""))))))))))</f>
        <v/>
      </c>
      <c r="L99" s="2">
        <f>IF(I99=0.1,"极紧凑",IF(AND(I99&gt;=1,I99&lt;=1.89),"松散",IF(AND(I99&gt;=2,I99&lt;=3.5),"标准",IF(I99&gt;=3.6,"紧凑",""))))</f>
        <v/>
      </c>
      <c r="M99" s="2" t="inlineStr">
        <is>
          <t>极紧凑-豹子号</t>
        </is>
      </c>
      <c r="N99" s="2" t="inlineStr">
        <is>
          <t>松散-极松散</t>
        </is>
      </c>
      <c r="O99" s="2" t="inlineStr">
        <is>
          <t>松散-标准松散</t>
        </is>
      </c>
      <c r="P99" s="2" t="inlineStr">
        <is>
          <t>松散-偏紧松散</t>
        </is>
      </c>
      <c r="Q99" s="2" t="inlineStr">
        <is>
          <t>标准-偏松标准</t>
        </is>
      </c>
      <c r="R99" s="2" t="inlineStr">
        <is>
          <t>标准-核心标准</t>
        </is>
      </c>
      <c r="S99" s="2" t="inlineStr">
        <is>
          <t>标准-偏紧标准</t>
        </is>
      </c>
      <c r="T99" s="2" t="inlineStr">
        <is>
          <t>紧凑-标准紧凑</t>
        </is>
      </c>
      <c r="U99" s="2" t="inlineStr">
        <is>
          <t>紧凑-高度紧凑</t>
        </is>
      </c>
      <c r="V99" s="2" t="inlineStr">
        <is>
          <t>紧凑-极度紧凑</t>
        </is>
      </c>
    </row>
    <row r="100">
      <c r="A100" s="1" t="n">
        <v>2023018</v>
      </c>
      <c r="B100" s="3" t="inlineStr">
        <is>
          <t>237</t>
        </is>
      </c>
      <c r="C100" s="2">
        <f>IF(B100="","",LEFT(TEXT(B100,"000"),1)*1)</f>
        <v/>
      </c>
      <c r="D100" s="2">
        <f>IF(B100="","",MID(TEXT(B100,"000"),2,1)*1)</f>
        <v/>
      </c>
      <c r="E100" s="2">
        <f>IF(B100="","",RIGHT(TEXT(B100,"000"),1)*1)</f>
        <v/>
      </c>
      <c r="F100" s="2">
        <f>IF(B100="","",C100+D100+E100)</f>
        <v/>
      </c>
      <c r="G100" s="2">
        <f>IF(B100="","",MOD(F100,10))</f>
        <v/>
      </c>
      <c r="H100" s="2">
        <f>IF(B100="","",MAX(C100,D100,E100)-MIN(C100,D100,E100))</f>
        <v/>
      </c>
      <c r="I100" s="2">
        <f>IF(OR(B100="",H100=0),IF(H100=0,0.1,""),ROUND(F100/H100,2))</f>
        <v/>
      </c>
      <c r="J100" s="2">
        <f>IF(I100=0.1,"极紧凑",IF(I100&gt;3.5,"紧凑",IF(AND(I100&gt;=2,I100&lt;=3.5),"标准",IF(AND(I100&gt;=1,I100&lt;2),"松散",""))))</f>
        <v/>
      </c>
      <c r="K100" s="2">
        <f>IF(I100=0.1,"极紧凑-豹子号",IF(AND(I100&gt;=1,I100&lt;=1.29),"松散-极松散",IF(AND(I100&gt;=1.33,I100&lt;=1.8),"松散-标准松散",IF(AND(I100&gt;=1.83,I100&lt;=1.89),"松散-偏紧松散",IF(AND(I100&gt;=2,I100&lt;=2.5),"标准-偏松标准",IF(AND(I100&gt;=2.57,I100&lt;=3),"标准-核心标准",IF(AND(I100&gt;=3.17,I100&lt;=3.5),"标准-偏紧标准",IF(AND(I100&gt;=3.6,I100&lt;=5),"紧凑-标准紧凑",IF(AND(I100&gt;=5.25,I100&lt;=8),"紧凑-高度紧凑",IF(I100&gt;=8.5,"紧凑-极度紧凑",""))))))))))</f>
        <v/>
      </c>
      <c r="L100" s="2">
        <f>IF(I100=0.1,"极紧凑",IF(AND(I100&gt;=1,I100&lt;=1.89),"松散",IF(AND(I100&gt;=2,I100&lt;=3.5),"标准",IF(I100&gt;=3.6,"紧凑",""))))</f>
        <v/>
      </c>
      <c r="M100" s="2" t="inlineStr">
        <is>
          <t>极紧凑-豹子号</t>
        </is>
      </c>
      <c r="N100" s="2" t="inlineStr">
        <is>
          <t>松散-极松散</t>
        </is>
      </c>
      <c r="O100" s="2" t="inlineStr">
        <is>
          <t>松散-标准松散</t>
        </is>
      </c>
      <c r="P100" s="2" t="inlineStr">
        <is>
          <t>松散-偏紧松散</t>
        </is>
      </c>
      <c r="Q100" s="2" t="inlineStr">
        <is>
          <t>标准-偏松标准</t>
        </is>
      </c>
      <c r="R100" s="2" t="inlineStr">
        <is>
          <t>标准-核心标准</t>
        </is>
      </c>
      <c r="S100" s="2" t="inlineStr">
        <is>
          <t>标准-偏紧标准</t>
        </is>
      </c>
      <c r="T100" s="2" t="inlineStr">
        <is>
          <t>紧凑-标准紧凑</t>
        </is>
      </c>
      <c r="U100" s="2" t="inlineStr">
        <is>
          <t>紧凑-高度紧凑</t>
        </is>
      </c>
      <c r="V100" s="2" t="inlineStr">
        <is>
          <t>紧凑-极度紧凑</t>
        </is>
      </c>
    </row>
    <row r="101">
      <c r="A101" s="1" t="n">
        <v>2023019</v>
      </c>
      <c r="B101" s="3" t="inlineStr">
        <is>
          <t>790</t>
        </is>
      </c>
      <c r="C101" s="2">
        <f>IF(B101="","",LEFT(TEXT(B101,"000"),1)*1)</f>
        <v/>
      </c>
      <c r="D101" s="2">
        <f>IF(B101="","",MID(TEXT(B101,"000"),2,1)*1)</f>
        <v/>
      </c>
      <c r="E101" s="2">
        <f>IF(B101="","",RIGHT(TEXT(B101,"000"),1)*1)</f>
        <v/>
      </c>
      <c r="F101" s="2">
        <f>IF(B101="","",C101+D101+E101)</f>
        <v/>
      </c>
      <c r="G101" s="2">
        <f>IF(B101="","",MOD(F101,10))</f>
        <v/>
      </c>
      <c r="H101" s="2">
        <f>IF(B101="","",MAX(C101,D101,E101)-MIN(C101,D101,E101))</f>
        <v/>
      </c>
      <c r="I101" s="2">
        <f>IF(OR(B101="",H101=0),IF(H101=0,0.1,""),ROUND(F101/H101,2))</f>
        <v/>
      </c>
      <c r="J101" s="2">
        <f>IF(I101=0.1,"极紧凑",IF(I101&gt;3.5,"紧凑",IF(AND(I101&gt;=2,I101&lt;=3.5),"标准",IF(AND(I101&gt;=1,I101&lt;2),"松散",""))))</f>
        <v/>
      </c>
      <c r="K101" s="2">
        <f>IF(I101=0.1,"极紧凑-豹子号",IF(AND(I101&gt;=1,I101&lt;=1.29),"松散-极松散",IF(AND(I101&gt;=1.33,I101&lt;=1.8),"松散-标准松散",IF(AND(I101&gt;=1.83,I101&lt;=1.89),"松散-偏紧松散",IF(AND(I101&gt;=2,I101&lt;=2.5),"标准-偏松标准",IF(AND(I101&gt;=2.57,I101&lt;=3),"标准-核心标准",IF(AND(I101&gt;=3.17,I101&lt;=3.5),"标准-偏紧标准",IF(AND(I101&gt;=3.6,I101&lt;=5),"紧凑-标准紧凑",IF(AND(I101&gt;=5.25,I101&lt;=8),"紧凑-高度紧凑",IF(I101&gt;=8.5,"紧凑-极度紧凑",""))))))))))</f>
        <v/>
      </c>
      <c r="L101" s="2">
        <f>IF(I101=0.1,"极紧凑",IF(AND(I101&gt;=1,I101&lt;=1.89),"松散",IF(AND(I101&gt;=2,I101&lt;=3.5),"标准",IF(I101&gt;=3.6,"紧凑",""))))</f>
        <v/>
      </c>
      <c r="M101" s="2" t="inlineStr">
        <is>
          <t>极紧凑-豹子号</t>
        </is>
      </c>
      <c r="N101" s="2" t="inlineStr">
        <is>
          <t>松散-极松散</t>
        </is>
      </c>
      <c r="O101" s="2" t="inlineStr">
        <is>
          <t>松散-标准松散</t>
        </is>
      </c>
      <c r="P101" s="2" t="inlineStr">
        <is>
          <t>松散-偏紧松散</t>
        </is>
      </c>
      <c r="Q101" s="2" t="inlineStr">
        <is>
          <t>标准-偏松标准</t>
        </is>
      </c>
      <c r="R101" s="2" t="inlineStr">
        <is>
          <t>标准-核心标准</t>
        </is>
      </c>
      <c r="S101" s="2" t="inlineStr">
        <is>
          <t>标准-偏紧标准</t>
        </is>
      </c>
      <c r="T101" s="2" t="inlineStr">
        <is>
          <t>紧凑-标准紧凑</t>
        </is>
      </c>
      <c r="U101" s="2" t="inlineStr">
        <is>
          <t>紧凑-高度紧凑</t>
        </is>
      </c>
      <c r="V101" s="2" t="inlineStr">
        <is>
          <t>紧凑-极度紧凑</t>
        </is>
      </c>
    </row>
    <row r="102">
      <c r="A102" s="1" t="n">
        <v>2023020</v>
      </c>
      <c r="B102" s="3" t="inlineStr">
        <is>
          <t>488</t>
        </is>
      </c>
      <c r="C102" s="2">
        <f>IF(B102="","",LEFT(TEXT(B102,"000"),1)*1)</f>
        <v/>
      </c>
      <c r="D102" s="2">
        <f>IF(B102="","",MID(TEXT(B102,"000"),2,1)*1)</f>
        <v/>
      </c>
      <c r="E102" s="2">
        <f>IF(B102="","",RIGHT(TEXT(B102,"000"),1)*1)</f>
        <v/>
      </c>
      <c r="F102" s="2">
        <f>IF(B102="","",C102+D102+E102)</f>
        <v/>
      </c>
      <c r="G102" s="2">
        <f>IF(B102="","",MOD(F102,10))</f>
        <v/>
      </c>
      <c r="H102" s="2">
        <f>IF(B102="","",MAX(C102,D102,E102)-MIN(C102,D102,E102))</f>
        <v/>
      </c>
      <c r="I102" s="2">
        <f>IF(OR(B102="",H102=0),IF(H102=0,0.1,""),ROUND(F102/H102,2))</f>
        <v/>
      </c>
      <c r="J102" s="2">
        <f>IF(I102=0.1,"极紧凑",IF(I102&gt;3.5,"紧凑",IF(AND(I102&gt;=2,I102&lt;=3.5),"标准",IF(AND(I102&gt;=1,I102&lt;2),"松散",""))))</f>
        <v/>
      </c>
      <c r="K102" s="2">
        <f>IF(I102=0.1,"极紧凑-豹子号",IF(AND(I102&gt;=1,I102&lt;=1.29),"松散-极松散",IF(AND(I102&gt;=1.33,I102&lt;=1.8),"松散-标准松散",IF(AND(I102&gt;=1.83,I102&lt;=1.89),"松散-偏紧松散",IF(AND(I102&gt;=2,I102&lt;=2.5),"标准-偏松标准",IF(AND(I102&gt;=2.57,I102&lt;=3),"标准-核心标准",IF(AND(I102&gt;=3.17,I102&lt;=3.5),"标准-偏紧标准",IF(AND(I102&gt;=3.6,I102&lt;=5),"紧凑-标准紧凑",IF(AND(I102&gt;=5.25,I102&lt;=8),"紧凑-高度紧凑",IF(I102&gt;=8.5,"紧凑-极度紧凑",""))))))))))</f>
        <v/>
      </c>
      <c r="L102" s="2">
        <f>IF(I102=0.1,"极紧凑",IF(AND(I102&gt;=1,I102&lt;=1.89),"松散",IF(AND(I102&gt;=2,I102&lt;=3.5),"标准",IF(I102&gt;=3.6,"紧凑",""))))</f>
        <v/>
      </c>
      <c r="M102" s="2" t="inlineStr">
        <is>
          <t>极紧凑-豹子号</t>
        </is>
      </c>
      <c r="N102" s="2" t="inlineStr">
        <is>
          <t>松散-极松散</t>
        </is>
      </c>
      <c r="O102" s="2" t="inlineStr">
        <is>
          <t>松散-标准松散</t>
        </is>
      </c>
      <c r="P102" s="2" t="inlineStr">
        <is>
          <t>松散-偏紧松散</t>
        </is>
      </c>
      <c r="Q102" s="2" t="inlineStr">
        <is>
          <t>标准-偏松标准</t>
        </is>
      </c>
      <c r="R102" s="2" t="inlineStr">
        <is>
          <t>标准-核心标准</t>
        </is>
      </c>
      <c r="S102" s="2" t="inlineStr">
        <is>
          <t>标准-偏紧标准</t>
        </is>
      </c>
      <c r="T102" s="2" t="inlineStr">
        <is>
          <t>紧凑-标准紧凑</t>
        </is>
      </c>
      <c r="U102" s="2" t="inlineStr">
        <is>
          <t>紧凑-高度紧凑</t>
        </is>
      </c>
      <c r="V102" s="2" t="inlineStr">
        <is>
          <t>紧凑-极度紧凑</t>
        </is>
      </c>
    </row>
    <row r="103">
      <c r="A103" s="1" t="n">
        <v>2023021</v>
      </c>
      <c r="B103" s="3" t="inlineStr">
        <is>
          <t>911</t>
        </is>
      </c>
      <c r="C103" s="2">
        <f>IF(B103="","",LEFT(TEXT(B103,"000"),1)*1)</f>
        <v/>
      </c>
      <c r="D103" s="2">
        <f>IF(B103="","",MID(TEXT(B103,"000"),2,1)*1)</f>
        <v/>
      </c>
      <c r="E103" s="2">
        <f>IF(B103="","",RIGHT(TEXT(B103,"000"),1)*1)</f>
        <v/>
      </c>
      <c r="F103" s="2">
        <f>IF(B103="","",C103+D103+E103)</f>
        <v/>
      </c>
      <c r="G103" s="2">
        <f>IF(B103="","",MOD(F103,10))</f>
        <v/>
      </c>
      <c r="H103" s="2">
        <f>IF(B103="","",MAX(C103,D103,E103)-MIN(C103,D103,E103))</f>
        <v/>
      </c>
      <c r="I103" s="2">
        <f>IF(OR(B103="",H103=0),IF(H103=0,0.1,""),ROUND(F103/H103,2))</f>
        <v/>
      </c>
      <c r="J103" s="2">
        <f>IF(I103=0.1,"极紧凑",IF(I103&gt;3.5,"紧凑",IF(AND(I103&gt;=2,I103&lt;=3.5),"标准",IF(AND(I103&gt;=1,I103&lt;2),"松散",""))))</f>
        <v/>
      </c>
      <c r="K103" s="2">
        <f>IF(I103=0.1,"极紧凑-豹子号",IF(AND(I103&gt;=1,I103&lt;=1.29),"松散-极松散",IF(AND(I103&gt;=1.33,I103&lt;=1.8),"松散-标准松散",IF(AND(I103&gt;=1.83,I103&lt;=1.89),"松散-偏紧松散",IF(AND(I103&gt;=2,I103&lt;=2.5),"标准-偏松标准",IF(AND(I103&gt;=2.57,I103&lt;=3),"标准-核心标准",IF(AND(I103&gt;=3.17,I103&lt;=3.5),"标准-偏紧标准",IF(AND(I103&gt;=3.6,I103&lt;=5),"紧凑-标准紧凑",IF(AND(I103&gt;=5.25,I103&lt;=8),"紧凑-高度紧凑",IF(I103&gt;=8.5,"紧凑-极度紧凑",""))))))))))</f>
        <v/>
      </c>
      <c r="L103" s="2">
        <f>IF(I103=0.1,"极紧凑",IF(AND(I103&gt;=1,I103&lt;=1.89),"松散",IF(AND(I103&gt;=2,I103&lt;=3.5),"标准",IF(I103&gt;=3.6,"紧凑",""))))</f>
        <v/>
      </c>
      <c r="M103" s="2" t="inlineStr">
        <is>
          <t>极紧凑-豹子号</t>
        </is>
      </c>
      <c r="N103" s="2" t="inlineStr">
        <is>
          <t>松散-极松散</t>
        </is>
      </c>
      <c r="O103" s="2" t="inlineStr">
        <is>
          <t>松散-标准松散</t>
        </is>
      </c>
      <c r="P103" s="2" t="inlineStr">
        <is>
          <t>松散-偏紧松散</t>
        </is>
      </c>
      <c r="Q103" s="2" t="inlineStr">
        <is>
          <t>标准-偏松标准</t>
        </is>
      </c>
      <c r="R103" s="2" t="inlineStr">
        <is>
          <t>标准-核心标准</t>
        </is>
      </c>
      <c r="S103" s="2" t="inlineStr">
        <is>
          <t>标准-偏紧标准</t>
        </is>
      </c>
      <c r="T103" s="2" t="inlineStr">
        <is>
          <t>紧凑-标准紧凑</t>
        </is>
      </c>
      <c r="U103" s="2" t="inlineStr">
        <is>
          <t>紧凑-高度紧凑</t>
        </is>
      </c>
      <c r="V103" s="2" t="inlineStr">
        <is>
          <t>紧凑-极度紧凑</t>
        </is>
      </c>
    </row>
    <row r="104">
      <c r="A104" s="1" t="n">
        <v>2023022</v>
      </c>
      <c r="B104" s="3" t="inlineStr">
        <is>
          <t>114</t>
        </is>
      </c>
      <c r="C104" s="2">
        <f>IF(B104="","",LEFT(TEXT(B104,"000"),1)*1)</f>
        <v/>
      </c>
      <c r="D104" s="2">
        <f>IF(B104="","",MID(TEXT(B104,"000"),2,1)*1)</f>
        <v/>
      </c>
      <c r="E104" s="2">
        <f>IF(B104="","",RIGHT(TEXT(B104,"000"),1)*1)</f>
        <v/>
      </c>
      <c r="F104" s="2">
        <f>IF(B104="","",C104+D104+E104)</f>
        <v/>
      </c>
      <c r="G104" s="2">
        <f>IF(B104="","",MOD(F104,10))</f>
        <v/>
      </c>
      <c r="H104" s="2">
        <f>IF(B104="","",MAX(C104,D104,E104)-MIN(C104,D104,E104))</f>
        <v/>
      </c>
      <c r="I104" s="2">
        <f>IF(OR(B104="",H104=0),IF(H104=0,0.1,""),ROUND(F104/H104,2))</f>
        <v/>
      </c>
      <c r="J104" s="2">
        <f>IF(I104=0.1,"极紧凑",IF(I104&gt;3.5,"紧凑",IF(AND(I104&gt;=2,I104&lt;=3.5),"标准",IF(AND(I104&gt;=1,I104&lt;2),"松散",""))))</f>
        <v/>
      </c>
      <c r="K104" s="2">
        <f>IF(I104=0.1,"极紧凑-豹子号",IF(AND(I104&gt;=1,I104&lt;=1.29),"松散-极松散",IF(AND(I104&gt;=1.33,I104&lt;=1.8),"松散-标准松散",IF(AND(I104&gt;=1.83,I104&lt;=1.89),"松散-偏紧松散",IF(AND(I104&gt;=2,I104&lt;=2.5),"标准-偏松标准",IF(AND(I104&gt;=2.57,I104&lt;=3),"标准-核心标准",IF(AND(I104&gt;=3.17,I104&lt;=3.5),"标准-偏紧标准",IF(AND(I104&gt;=3.6,I104&lt;=5),"紧凑-标准紧凑",IF(AND(I104&gt;=5.25,I104&lt;=8),"紧凑-高度紧凑",IF(I104&gt;=8.5,"紧凑-极度紧凑",""))))))))))</f>
        <v/>
      </c>
      <c r="L104" s="2">
        <f>IF(I104=0.1,"极紧凑",IF(AND(I104&gt;=1,I104&lt;=1.89),"松散",IF(AND(I104&gt;=2,I104&lt;=3.5),"标准",IF(I104&gt;=3.6,"紧凑",""))))</f>
        <v/>
      </c>
      <c r="M104" s="2" t="inlineStr">
        <is>
          <t>极紧凑-豹子号</t>
        </is>
      </c>
      <c r="N104" s="2" t="inlineStr">
        <is>
          <t>松散-极松散</t>
        </is>
      </c>
      <c r="O104" s="2" t="inlineStr">
        <is>
          <t>松散-标准松散</t>
        </is>
      </c>
      <c r="P104" s="2" t="inlineStr">
        <is>
          <t>松散-偏紧松散</t>
        </is>
      </c>
      <c r="Q104" s="2" t="inlineStr">
        <is>
          <t>标准-偏松标准</t>
        </is>
      </c>
      <c r="R104" s="2" t="inlineStr">
        <is>
          <t>标准-核心标准</t>
        </is>
      </c>
      <c r="S104" s="2" t="inlineStr">
        <is>
          <t>标准-偏紧标准</t>
        </is>
      </c>
      <c r="T104" s="2" t="inlineStr">
        <is>
          <t>紧凑-标准紧凑</t>
        </is>
      </c>
      <c r="U104" s="2" t="inlineStr">
        <is>
          <t>紧凑-高度紧凑</t>
        </is>
      </c>
      <c r="V104" s="2" t="inlineStr">
        <is>
          <t>紧凑-极度紧凑</t>
        </is>
      </c>
    </row>
    <row r="105">
      <c r="A105" s="1" t="n">
        <v>2023023</v>
      </c>
      <c r="B105" s="3" t="inlineStr">
        <is>
          <t>342</t>
        </is>
      </c>
      <c r="C105" s="2">
        <f>IF(B105="","",LEFT(TEXT(B105,"000"),1)*1)</f>
        <v/>
      </c>
      <c r="D105" s="2">
        <f>IF(B105="","",MID(TEXT(B105,"000"),2,1)*1)</f>
        <v/>
      </c>
      <c r="E105" s="2">
        <f>IF(B105="","",RIGHT(TEXT(B105,"000"),1)*1)</f>
        <v/>
      </c>
      <c r="F105" s="2">
        <f>IF(B105="","",C105+D105+E105)</f>
        <v/>
      </c>
      <c r="G105" s="2">
        <f>IF(B105="","",MOD(F105,10))</f>
        <v/>
      </c>
      <c r="H105" s="2">
        <f>IF(B105="","",MAX(C105,D105,E105)-MIN(C105,D105,E105))</f>
        <v/>
      </c>
      <c r="I105" s="2">
        <f>IF(OR(B105="",H105=0),IF(H105=0,0.1,""),ROUND(F105/H105,2))</f>
        <v/>
      </c>
      <c r="J105" s="2">
        <f>IF(I105=0.1,"极紧凑",IF(I105&gt;3.5,"紧凑",IF(AND(I105&gt;=2,I105&lt;=3.5),"标准",IF(AND(I105&gt;=1,I105&lt;2),"松散",""))))</f>
        <v/>
      </c>
      <c r="K105" s="2">
        <f>IF(I105=0.1,"极紧凑-豹子号",IF(AND(I105&gt;=1,I105&lt;=1.29),"松散-极松散",IF(AND(I105&gt;=1.33,I105&lt;=1.8),"松散-标准松散",IF(AND(I105&gt;=1.83,I105&lt;=1.89),"松散-偏紧松散",IF(AND(I105&gt;=2,I105&lt;=2.5),"标准-偏松标准",IF(AND(I105&gt;=2.57,I105&lt;=3),"标准-核心标准",IF(AND(I105&gt;=3.17,I105&lt;=3.5),"标准-偏紧标准",IF(AND(I105&gt;=3.6,I105&lt;=5),"紧凑-标准紧凑",IF(AND(I105&gt;=5.25,I105&lt;=8),"紧凑-高度紧凑",IF(I105&gt;=8.5,"紧凑-极度紧凑",""))))))))))</f>
        <v/>
      </c>
      <c r="L105" s="2">
        <f>IF(I105=0.1,"极紧凑",IF(AND(I105&gt;=1,I105&lt;=1.89),"松散",IF(AND(I105&gt;=2,I105&lt;=3.5),"标准",IF(I105&gt;=3.6,"紧凑",""))))</f>
        <v/>
      </c>
      <c r="M105" s="2" t="inlineStr">
        <is>
          <t>极紧凑-豹子号</t>
        </is>
      </c>
      <c r="N105" s="2" t="inlineStr">
        <is>
          <t>松散-极松散</t>
        </is>
      </c>
      <c r="O105" s="2" t="inlineStr">
        <is>
          <t>松散-标准松散</t>
        </is>
      </c>
      <c r="P105" s="2" t="inlineStr">
        <is>
          <t>松散-偏紧松散</t>
        </is>
      </c>
      <c r="Q105" s="2" t="inlineStr">
        <is>
          <t>标准-偏松标准</t>
        </is>
      </c>
      <c r="R105" s="2" t="inlineStr">
        <is>
          <t>标准-核心标准</t>
        </is>
      </c>
      <c r="S105" s="2" t="inlineStr">
        <is>
          <t>标准-偏紧标准</t>
        </is>
      </c>
      <c r="T105" s="2" t="inlineStr">
        <is>
          <t>紧凑-标准紧凑</t>
        </is>
      </c>
      <c r="U105" s="2" t="inlineStr">
        <is>
          <t>紧凑-高度紧凑</t>
        </is>
      </c>
      <c r="V105" s="2" t="inlineStr">
        <is>
          <t>紧凑-极度紧凑</t>
        </is>
      </c>
    </row>
    <row r="106">
      <c r="A106" s="1" t="n">
        <v>2023024</v>
      </c>
      <c r="B106" s="3" t="inlineStr">
        <is>
          <t>060</t>
        </is>
      </c>
      <c r="C106" s="2">
        <f>IF(B106="","",LEFT(TEXT(B106,"000"),1)*1)</f>
        <v/>
      </c>
      <c r="D106" s="2">
        <f>IF(B106="","",MID(TEXT(B106,"000"),2,1)*1)</f>
        <v/>
      </c>
      <c r="E106" s="2">
        <f>IF(B106="","",RIGHT(TEXT(B106,"000"),1)*1)</f>
        <v/>
      </c>
      <c r="F106" s="2">
        <f>IF(B106="","",C106+D106+E106)</f>
        <v/>
      </c>
      <c r="G106" s="2">
        <f>IF(B106="","",MOD(F106,10))</f>
        <v/>
      </c>
      <c r="H106" s="2">
        <f>IF(B106="","",MAX(C106,D106,E106)-MIN(C106,D106,E106))</f>
        <v/>
      </c>
      <c r="I106" s="2">
        <f>IF(OR(B106="",H106=0),IF(H106=0,0.1,""),ROUND(F106/H106,2))</f>
        <v/>
      </c>
      <c r="J106" s="2">
        <f>IF(I106=0.1,"极紧凑",IF(I106&gt;3.5,"紧凑",IF(AND(I106&gt;=2,I106&lt;=3.5),"标准",IF(AND(I106&gt;=1,I106&lt;2),"松散",""))))</f>
        <v/>
      </c>
      <c r="K106" s="2">
        <f>IF(I106=0.1,"极紧凑-豹子号",IF(AND(I106&gt;=1,I106&lt;=1.29),"松散-极松散",IF(AND(I106&gt;=1.33,I106&lt;=1.8),"松散-标准松散",IF(AND(I106&gt;=1.83,I106&lt;=1.89),"松散-偏紧松散",IF(AND(I106&gt;=2,I106&lt;=2.5),"标准-偏松标准",IF(AND(I106&gt;=2.57,I106&lt;=3),"标准-核心标准",IF(AND(I106&gt;=3.17,I106&lt;=3.5),"标准-偏紧标准",IF(AND(I106&gt;=3.6,I106&lt;=5),"紧凑-标准紧凑",IF(AND(I106&gt;=5.25,I106&lt;=8),"紧凑-高度紧凑",IF(I106&gt;=8.5,"紧凑-极度紧凑",""))))))))))</f>
        <v/>
      </c>
      <c r="L106" s="2">
        <f>IF(I106=0.1,"极紧凑",IF(AND(I106&gt;=1,I106&lt;=1.89),"松散",IF(AND(I106&gt;=2,I106&lt;=3.5),"标准",IF(I106&gt;=3.6,"紧凑",""))))</f>
        <v/>
      </c>
      <c r="M106" s="2" t="inlineStr">
        <is>
          <t>极紧凑-豹子号</t>
        </is>
      </c>
      <c r="N106" s="2" t="inlineStr">
        <is>
          <t>松散-极松散</t>
        </is>
      </c>
      <c r="O106" s="2" t="inlineStr">
        <is>
          <t>松散-标准松散</t>
        </is>
      </c>
      <c r="P106" s="2" t="inlineStr">
        <is>
          <t>松散-偏紧松散</t>
        </is>
      </c>
      <c r="Q106" s="2" t="inlineStr">
        <is>
          <t>标准-偏松标准</t>
        </is>
      </c>
      <c r="R106" s="2" t="inlineStr">
        <is>
          <t>标准-核心标准</t>
        </is>
      </c>
      <c r="S106" s="2" t="inlineStr">
        <is>
          <t>标准-偏紧标准</t>
        </is>
      </c>
      <c r="T106" s="2" t="inlineStr">
        <is>
          <t>紧凑-标准紧凑</t>
        </is>
      </c>
      <c r="U106" s="2" t="inlineStr">
        <is>
          <t>紧凑-高度紧凑</t>
        </is>
      </c>
      <c r="V106" s="2" t="inlineStr">
        <is>
          <t>紧凑-极度紧凑</t>
        </is>
      </c>
    </row>
    <row r="107">
      <c r="A107" s="1" t="n">
        <v>2023025</v>
      </c>
      <c r="B107" s="3" t="inlineStr">
        <is>
          <t>357</t>
        </is>
      </c>
      <c r="C107" s="2">
        <f>IF(B107="","",LEFT(TEXT(B107,"000"),1)*1)</f>
        <v/>
      </c>
      <c r="D107" s="2">
        <f>IF(B107="","",MID(TEXT(B107,"000"),2,1)*1)</f>
        <v/>
      </c>
      <c r="E107" s="2">
        <f>IF(B107="","",RIGHT(TEXT(B107,"000"),1)*1)</f>
        <v/>
      </c>
      <c r="F107" s="2">
        <f>IF(B107="","",C107+D107+E107)</f>
        <v/>
      </c>
      <c r="G107" s="2">
        <f>IF(B107="","",MOD(F107,10))</f>
        <v/>
      </c>
      <c r="H107" s="2">
        <f>IF(B107="","",MAX(C107,D107,E107)-MIN(C107,D107,E107))</f>
        <v/>
      </c>
      <c r="I107" s="2">
        <f>IF(OR(B107="",H107=0),IF(H107=0,0.1,""),ROUND(F107/H107,2))</f>
        <v/>
      </c>
      <c r="J107" s="2">
        <f>IF(I107=0.1,"极紧凑",IF(I107&gt;3.5,"紧凑",IF(AND(I107&gt;=2,I107&lt;=3.5),"标准",IF(AND(I107&gt;=1,I107&lt;2),"松散",""))))</f>
        <v/>
      </c>
      <c r="K107" s="2">
        <f>IF(I107=0.1,"极紧凑-豹子号",IF(AND(I107&gt;=1,I107&lt;=1.29),"松散-极松散",IF(AND(I107&gt;=1.33,I107&lt;=1.8),"松散-标准松散",IF(AND(I107&gt;=1.83,I107&lt;=1.89),"松散-偏紧松散",IF(AND(I107&gt;=2,I107&lt;=2.5),"标准-偏松标准",IF(AND(I107&gt;=2.57,I107&lt;=3),"标准-核心标准",IF(AND(I107&gt;=3.17,I107&lt;=3.5),"标准-偏紧标准",IF(AND(I107&gt;=3.6,I107&lt;=5),"紧凑-标准紧凑",IF(AND(I107&gt;=5.25,I107&lt;=8),"紧凑-高度紧凑",IF(I107&gt;=8.5,"紧凑-极度紧凑",""))))))))))</f>
        <v/>
      </c>
      <c r="L107" s="2">
        <f>IF(I107=0.1,"极紧凑",IF(AND(I107&gt;=1,I107&lt;=1.89),"松散",IF(AND(I107&gt;=2,I107&lt;=3.5),"标准",IF(I107&gt;=3.6,"紧凑",""))))</f>
        <v/>
      </c>
      <c r="M107" s="2" t="inlineStr">
        <is>
          <t>极紧凑-豹子号</t>
        </is>
      </c>
      <c r="N107" s="2" t="inlineStr">
        <is>
          <t>松散-极松散</t>
        </is>
      </c>
      <c r="O107" s="2" t="inlineStr">
        <is>
          <t>松散-标准松散</t>
        </is>
      </c>
      <c r="P107" s="2" t="inlineStr">
        <is>
          <t>松散-偏紧松散</t>
        </is>
      </c>
      <c r="Q107" s="2" t="inlineStr">
        <is>
          <t>标准-偏松标准</t>
        </is>
      </c>
      <c r="R107" s="2" t="inlineStr">
        <is>
          <t>标准-核心标准</t>
        </is>
      </c>
      <c r="S107" s="2" t="inlineStr">
        <is>
          <t>标准-偏紧标准</t>
        </is>
      </c>
      <c r="T107" s="2" t="inlineStr">
        <is>
          <t>紧凑-标准紧凑</t>
        </is>
      </c>
      <c r="U107" s="2" t="inlineStr">
        <is>
          <t>紧凑-高度紧凑</t>
        </is>
      </c>
      <c r="V107" s="2" t="inlineStr">
        <is>
          <t>紧凑-极度紧凑</t>
        </is>
      </c>
    </row>
    <row r="108">
      <c r="A108" s="1" t="n">
        <v>2023026</v>
      </c>
      <c r="B108" s="3" t="inlineStr">
        <is>
          <t>665</t>
        </is>
      </c>
      <c r="C108" s="2">
        <f>IF(B108="","",LEFT(TEXT(B108,"000"),1)*1)</f>
        <v/>
      </c>
      <c r="D108" s="2">
        <f>IF(B108="","",MID(TEXT(B108,"000"),2,1)*1)</f>
        <v/>
      </c>
      <c r="E108" s="2">
        <f>IF(B108="","",RIGHT(TEXT(B108,"000"),1)*1)</f>
        <v/>
      </c>
      <c r="F108" s="2">
        <f>IF(B108="","",C108+D108+E108)</f>
        <v/>
      </c>
      <c r="G108" s="2">
        <f>IF(B108="","",MOD(F108,10))</f>
        <v/>
      </c>
      <c r="H108" s="2">
        <f>IF(B108="","",MAX(C108,D108,E108)-MIN(C108,D108,E108))</f>
        <v/>
      </c>
      <c r="I108" s="2">
        <f>IF(OR(B108="",H108=0),IF(H108=0,0.1,""),ROUND(F108/H108,2))</f>
        <v/>
      </c>
      <c r="J108" s="2">
        <f>IF(I108=0.1,"极紧凑",IF(I108&gt;3.5,"紧凑",IF(AND(I108&gt;=2,I108&lt;=3.5),"标准",IF(AND(I108&gt;=1,I108&lt;2),"松散",""))))</f>
        <v/>
      </c>
      <c r="K108" s="2">
        <f>IF(I108=0.1,"极紧凑-豹子号",IF(AND(I108&gt;=1,I108&lt;=1.29),"松散-极松散",IF(AND(I108&gt;=1.33,I108&lt;=1.8),"松散-标准松散",IF(AND(I108&gt;=1.83,I108&lt;=1.89),"松散-偏紧松散",IF(AND(I108&gt;=2,I108&lt;=2.5),"标准-偏松标准",IF(AND(I108&gt;=2.57,I108&lt;=3),"标准-核心标准",IF(AND(I108&gt;=3.17,I108&lt;=3.5),"标准-偏紧标准",IF(AND(I108&gt;=3.6,I108&lt;=5),"紧凑-标准紧凑",IF(AND(I108&gt;=5.25,I108&lt;=8),"紧凑-高度紧凑",IF(I108&gt;=8.5,"紧凑-极度紧凑",""))))))))))</f>
        <v/>
      </c>
      <c r="L108" s="2">
        <f>IF(I108=0.1,"极紧凑",IF(AND(I108&gt;=1,I108&lt;=1.89),"松散",IF(AND(I108&gt;=2,I108&lt;=3.5),"标准",IF(I108&gt;=3.6,"紧凑",""))))</f>
        <v/>
      </c>
      <c r="M108" s="2" t="inlineStr">
        <is>
          <t>极紧凑-豹子号</t>
        </is>
      </c>
      <c r="N108" s="2" t="inlineStr">
        <is>
          <t>松散-极松散</t>
        </is>
      </c>
      <c r="O108" s="2" t="inlineStr">
        <is>
          <t>松散-标准松散</t>
        </is>
      </c>
      <c r="P108" s="2" t="inlineStr">
        <is>
          <t>松散-偏紧松散</t>
        </is>
      </c>
      <c r="Q108" s="2" t="inlineStr">
        <is>
          <t>标准-偏松标准</t>
        </is>
      </c>
      <c r="R108" s="2" t="inlineStr">
        <is>
          <t>标准-核心标准</t>
        </is>
      </c>
      <c r="S108" s="2" t="inlineStr">
        <is>
          <t>标准-偏紧标准</t>
        </is>
      </c>
      <c r="T108" s="2" t="inlineStr">
        <is>
          <t>紧凑-标准紧凑</t>
        </is>
      </c>
      <c r="U108" s="2" t="inlineStr">
        <is>
          <t>紧凑-高度紧凑</t>
        </is>
      </c>
      <c r="V108" s="2" t="inlineStr">
        <is>
          <t>紧凑-极度紧凑</t>
        </is>
      </c>
    </row>
    <row r="109">
      <c r="A109" s="1" t="n">
        <v>2023027</v>
      </c>
      <c r="B109" s="3" t="inlineStr">
        <is>
          <t>348</t>
        </is>
      </c>
      <c r="C109" s="2">
        <f>IF(B109="","",LEFT(TEXT(B109,"000"),1)*1)</f>
        <v/>
      </c>
      <c r="D109" s="2">
        <f>IF(B109="","",MID(TEXT(B109,"000"),2,1)*1)</f>
        <v/>
      </c>
      <c r="E109" s="2">
        <f>IF(B109="","",RIGHT(TEXT(B109,"000"),1)*1)</f>
        <v/>
      </c>
      <c r="F109" s="2">
        <f>IF(B109="","",C109+D109+E109)</f>
        <v/>
      </c>
      <c r="G109" s="2">
        <f>IF(B109="","",MOD(F109,10))</f>
        <v/>
      </c>
      <c r="H109" s="2">
        <f>IF(B109="","",MAX(C109,D109,E109)-MIN(C109,D109,E109))</f>
        <v/>
      </c>
      <c r="I109" s="2">
        <f>IF(OR(B109="",H109=0),IF(H109=0,0.1,""),ROUND(F109/H109,2))</f>
        <v/>
      </c>
      <c r="J109" s="2">
        <f>IF(I109=0.1,"极紧凑",IF(I109&gt;3.5,"紧凑",IF(AND(I109&gt;=2,I109&lt;=3.5),"标准",IF(AND(I109&gt;=1,I109&lt;2),"松散",""))))</f>
        <v/>
      </c>
      <c r="K109" s="2">
        <f>IF(I109=0.1,"极紧凑-豹子号",IF(AND(I109&gt;=1,I109&lt;=1.29),"松散-极松散",IF(AND(I109&gt;=1.33,I109&lt;=1.8),"松散-标准松散",IF(AND(I109&gt;=1.83,I109&lt;=1.89),"松散-偏紧松散",IF(AND(I109&gt;=2,I109&lt;=2.5),"标准-偏松标准",IF(AND(I109&gt;=2.57,I109&lt;=3),"标准-核心标准",IF(AND(I109&gt;=3.17,I109&lt;=3.5),"标准-偏紧标准",IF(AND(I109&gt;=3.6,I109&lt;=5),"紧凑-标准紧凑",IF(AND(I109&gt;=5.25,I109&lt;=8),"紧凑-高度紧凑",IF(I109&gt;=8.5,"紧凑-极度紧凑",""))))))))))</f>
        <v/>
      </c>
      <c r="L109" s="2">
        <f>IF(I109=0.1,"极紧凑",IF(AND(I109&gt;=1,I109&lt;=1.89),"松散",IF(AND(I109&gt;=2,I109&lt;=3.5),"标准",IF(I109&gt;=3.6,"紧凑",""))))</f>
        <v/>
      </c>
      <c r="M109" s="2" t="inlineStr">
        <is>
          <t>极紧凑-豹子号</t>
        </is>
      </c>
      <c r="N109" s="2" t="inlineStr">
        <is>
          <t>松散-极松散</t>
        </is>
      </c>
      <c r="O109" s="2" t="inlineStr">
        <is>
          <t>松散-标准松散</t>
        </is>
      </c>
      <c r="P109" s="2" t="inlineStr">
        <is>
          <t>松散-偏紧松散</t>
        </is>
      </c>
      <c r="Q109" s="2" t="inlineStr">
        <is>
          <t>标准-偏松标准</t>
        </is>
      </c>
      <c r="R109" s="2" t="inlineStr">
        <is>
          <t>标准-核心标准</t>
        </is>
      </c>
      <c r="S109" s="2" t="inlineStr">
        <is>
          <t>标准-偏紧标准</t>
        </is>
      </c>
      <c r="T109" s="2" t="inlineStr">
        <is>
          <t>紧凑-标准紧凑</t>
        </is>
      </c>
      <c r="U109" s="2" t="inlineStr">
        <is>
          <t>紧凑-高度紧凑</t>
        </is>
      </c>
      <c r="V109" s="2" t="inlineStr">
        <is>
          <t>紧凑-极度紧凑</t>
        </is>
      </c>
    </row>
    <row r="110">
      <c r="A110" s="1" t="n">
        <v>2023028</v>
      </c>
      <c r="B110" s="3" t="inlineStr">
        <is>
          <t>127</t>
        </is>
      </c>
      <c r="C110" s="2">
        <f>IF(B110="","",LEFT(TEXT(B110,"000"),1)*1)</f>
        <v/>
      </c>
      <c r="D110" s="2">
        <f>IF(B110="","",MID(TEXT(B110,"000"),2,1)*1)</f>
        <v/>
      </c>
      <c r="E110" s="2">
        <f>IF(B110="","",RIGHT(TEXT(B110,"000"),1)*1)</f>
        <v/>
      </c>
      <c r="F110" s="2">
        <f>IF(B110="","",C110+D110+E110)</f>
        <v/>
      </c>
      <c r="G110" s="2">
        <f>IF(B110="","",MOD(F110,10))</f>
        <v/>
      </c>
      <c r="H110" s="2">
        <f>IF(B110="","",MAX(C110,D110,E110)-MIN(C110,D110,E110))</f>
        <v/>
      </c>
      <c r="I110" s="2">
        <f>IF(OR(B110="",H110=0),IF(H110=0,0.1,""),ROUND(F110/H110,2))</f>
        <v/>
      </c>
      <c r="J110" s="2">
        <f>IF(I110=0.1,"极紧凑",IF(I110&gt;3.5,"紧凑",IF(AND(I110&gt;=2,I110&lt;=3.5),"标准",IF(AND(I110&gt;=1,I110&lt;2),"松散",""))))</f>
        <v/>
      </c>
      <c r="K110" s="2">
        <f>IF(I110=0.1,"极紧凑-豹子号",IF(AND(I110&gt;=1,I110&lt;=1.29),"松散-极松散",IF(AND(I110&gt;=1.33,I110&lt;=1.8),"松散-标准松散",IF(AND(I110&gt;=1.83,I110&lt;=1.89),"松散-偏紧松散",IF(AND(I110&gt;=2,I110&lt;=2.5),"标准-偏松标准",IF(AND(I110&gt;=2.57,I110&lt;=3),"标准-核心标准",IF(AND(I110&gt;=3.17,I110&lt;=3.5),"标准-偏紧标准",IF(AND(I110&gt;=3.6,I110&lt;=5),"紧凑-标准紧凑",IF(AND(I110&gt;=5.25,I110&lt;=8),"紧凑-高度紧凑",IF(I110&gt;=8.5,"紧凑-极度紧凑",""))))))))))</f>
        <v/>
      </c>
      <c r="L110" s="2">
        <f>IF(I110=0.1,"极紧凑",IF(AND(I110&gt;=1,I110&lt;=1.89),"松散",IF(AND(I110&gt;=2,I110&lt;=3.5),"标准",IF(I110&gt;=3.6,"紧凑",""))))</f>
        <v/>
      </c>
      <c r="M110" s="2" t="inlineStr">
        <is>
          <t>极紧凑-豹子号</t>
        </is>
      </c>
      <c r="N110" s="2" t="inlineStr">
        <is>
          <t>松散-极松散</t>
        </is>
      </c>
      <c r="O110" s="2" t="inlineStr">
        <is>
          <t>松散-标准松散</t>
        </is>
      </c>
      <c r="P110" s="2" t="inlineStr">
        <is>
          <t>松散-偏紧松散</t>
        </is>
      </c>
      <c r="Q110" s="2" t="inlineStr">
        <is>
          <t>标准-偏松标准</t>
        </is>
      </c>
      <c r="R110" s="2" t="inlineStr">
        <is>
          <t>标准-核心标准</t>
        </is>
      </c>
      <c r="S110" s="2" t="inlineStr">
        <is>
          <t>标准-偏紧标准</t>
        </is>
      </c>
      <c r="T110" s="2" t="inlineStr">
        <is>
          <t>紧凑-标准紧凑</t>
        </is>
      </c>
      <c r="U110" s="2" t="inlineStr">
        <is>
          <t>紧凑-高度紧凑</t>
        </is>
      </c>
      <c r="V110" s="2" t="inlineStr">
        <is>
          <t>紧凑-极度紧凑</t>
        </is>
      </c>
    </row>
    <row r="111">
      <c r="A111" s="1" t="n">
        <v>2023029</v>
      </c>
      <c r="B111" s="3" t="inlineStr">
        <is>
          <t>499</t>
        </is>
      </c>
      <c r="C111" s="2">
        <f>IF(B111="","",LEFT(TEXT(B111,"000"),1)*1)</f>
        <v/>
      </c>
      <c r="D111" s="2">
        <f>IF(B111="","",MID(TEXT(B111,"000"),2,1)*1)</f>
        <v/>
      </c>
      <c r="E111" s="2">
        <f>IF(B111="","",RIGHT(TEXT(B111,"000"),1)*1)</f>
        <v/>
      </c>
      <c r="F111" s="2">
        <f>IF(B111="","",C111+D111+E111)</f>
        <v/>
      </c>
      <c r="G111" s="2">
        <f>IF(B111="","",MOD(F111,10))</f>
        <v/>
      </c>
      <c r="H111" s="2">
        <f>IF(B111="","",MAX(C111,D111,E111)-MIN(C111,D111,E111))</f>
        <v/>
      </c>
      <c r="I111" s="2">
        <f>IF(OR(B111="",H111=0),IF(H111=0,0.1,""),ROUND(F111/H111,2))</f>
        <v/>
      </c>
      <c r="J111" s="2">
        <f>IF(I111=0.1,"极紧凑",IF(I111&gt;3.5,"紧凑",IF(AND(I111&gt;=2,I111&lt;=3.5),"标准",IF(AND(I111&gt;=1,I111&lt;2),"松散",""))))</f>
        <v/>
      </c>
      <c r="K111" s="2">
        <f>IF(I111=0.1,"极紧凑-豹子号",IF(AND(I111&gt;=1,I111&lt;=1.29),"松散-极松散",IF(AND(I111&gt;=1.33,I111&lt;=1.8),"松散-标准松散",IF(AND(I111&gt;=1.83,I111&lt;=1.89),"松散-偏紧松散",IF(AND(I111&gt;=2,I111&lt;=2.5),"标准-偏松标准",IF(AND(I111&gt;=2.57,I111&lt;=3),"标准-核心标准",IF(AND(I111&gt;=3.17,I111&lt;=3.5),"标准-偏紧标准",IF(AND(I111&gt;=3.6,I111&lt;=5),"紧凑-标准紧凑",IF(AND(I111&gt;=5.25,I111&lt;=8),"紧凑-高度紧凑",IF(I111&gt;=8.5,"紧凑-极度紧凑",""))))))))))</f>
        <v/>
      </c>
      <c r="L111" s="2">
        <f>IF(I111=0.1,"极紧凑",IF(AND(I111&gt;=1,I111&lt;=1.89),"松散",IF(AND(I111&gt;=2,I111&lt;=3.5),"标准",IF(I111&gt;=3.6,"紧凑",""))))</f>
        <v/>
      </c>
      <c r="M111" s="2" t="inlineStr">
        <is>
          <t>极紧凑-豹子号</t>
        </is>
      </c>
      <c r="N111" s="2" t="inlineStr">
        <is>
          <t>松散-极松散</t>
        </is>
      </c>
      <c r="O111" s="2" t="inlineStr">
        <is>
          <t>松散-标准松散</t>
        </is>
      </c>
      <c r="P111" s="2" t="inlineStr">
        <is>
          <t>松散-偏紧松散</t>
        </is>
      </c>
      <c r="Q111" s="2" t="inlineStr">
        <is>
          <t>标准-偏松标准</t>
        </is>
      </c>
      <c r="R111" s="2" t="inlineStr">
        <is>
          <t>标准-核心标准</t>
        </is>
      </c>
      <c r="S111" s="2" t="inlineStr">
        <is>
          <t>标准-偏紧标准</t>
        </is>
      </c>
      <c r="T111" s="2" t="inlineStr">
        <is>
          <t>紧凑-标准紧凑</t>
        </is>
      </c>
      <c r="U111" s="2" t="inlineStr">
        <is>
          <t>紧凑-高度紧凑</t>
        </is>
      </c>
      <c r="V111" s="2" t="inlineStr">
        <is>
          <t>紧凑-极度紧凑</t>
        </is>
      </c>
    </row>
    <row r="112">
      <c r="A112" s="1" t="n">
        <v>2023030</v>
      </c>
      <c r="B112" s="3" t="inlineStr">
        <is>
          <t>754</t>
        </is>
      </c>
      <c r="C112" s="2">
        <f>IF(B112="","",LEFT(TEXT(B112,"000"),1)*1)</f>
        <v/>
      </c>
      <c r="D112" s="2">
        <f>IF(B112="","",MID(TEXT(B112,"000"),2,1)*1)</f>
        <v/>
      </c>
      <c r="E112" s="2">
        <f>IF(B112="","",RIGHT(TEXT(B112,"000"),1)*1)</f>
        <v/>
      </c>
      <c r="F112" s="2">
        <f>IF(B112="","",C112+D112+E112)</f>
        <v/>
      </c>
      <c r="G112" s="2">
        <f>IF(B112="","",MOD(F112,10))</f>
        <v/>
      </c>
      <c r="H112" s="2">
        <f>IF(B112="","",MAX(C112,D112,E112)-MIN(C112,D112,E112))</f>
        <v/>
      </c>
      <c r="I112" s="2">
        <f>IF(OR(B112="",H112=0),IF(H112=0,0.1,""),ROUND(F112/H112,2))</f>
        <v/>
      </c>
      <c r="J112" s="2">
        <f>IF(I112=0.1,"极紧凑",IF(I112&gt;3.5,"紧凑",IF(AND(I112&gt;=2,I112&lt;=3.5),"标准",IF(AND(I112&gt;=1,I112&lt;2),"松散",""))))</f>
        <v/>
      </c>
      <c r="K112" s="2">
        <f>IF(I112=0.1,"极紧凑-豹子号",IF(AND(I112&gt;=1,I112&lt;=1.29),"松散-极松散",IF(AND(I112&gt;=1.33,I112&lt;=1.8),"松散-标准松散",IF(AND(I112&gt;=1.83,I112&lt;=1.89),"松散-偏紧松散",IF(AND(I112&gt;=2,I112&lt;=2.5),"标准-偏松标准",IF(AND(I112&gt;=2.57,I112&lt;=3),"标准-核心标准",IF(AND(I112&gt;=3.17,I112&lt;=3.5),"标准-偏紧标准",IF(AND(I112&gt;=3.6,I112&lt;=5),"紧凑-标准紧凑",IF(AND(I112&gt;=5.25,I112&lt;=8),"紧凑-高度紧凑",IF(I112&gt;=8.5,"紧凑-极度紧凑",""))))))))))</f>
        <v/>
      </c>
      <c r="L112" s="2">
        <f>IF(I112=0.1,"极紧凑",IF(AND(I112&gt;=1,I112&lt;=1.89),"松散",IF(AND(I112&gt;=2,I112&lt;=3.5),"标准",IF(I112&gt;=3.6,"紧凑",""))))</f>
        <v/>
      </c>
      <c r="M112" s="2" t="inlineStr">
        <is>
          <t>极紧凑-豹子号</t>
        </is>
      </c>
      <c r="N112" s="2" t="inlineStr">
        <is>
          <t>松散-极松散</t>
        </is>
      </c>
      <c r="O112" s="2" t="inlineStr">
        <is>
          <t>松散-标准松散</t>
        </is>
      </c>
      <c r="P112" s="2" t="inlineStr">
        <is>
          <t>松散-偏紧松散</t>
        </is>
      </c>
      <c r="Q112" s="2" t="inlineStr">
        <is>
          <t>标准-偏松标准</t>
        </is>
      </c>
      <c r="R112" s="2" t="inlineStr">
        <is>
          <t>标准-核心标准</t>
        </is>
      </c>
      <c r="S112" s="2" t="inlineStr">
        <is>
          <t>标准-偏紧标准</t>
        </is>
      </c>
      <c r="T112" s="2" t="inlineStr">
        <is>
          <t>紧凑-标准紧凑</t>
        </is>
      </c>
      <c r="U112" s="2" t="inlineStr">
        <is>
          <t>紧凑-高度紧凑</t>
        </is>
      </c>
      <c r="V112" s="2" t="inlineStr">
        <is>
          <t>紧凑-极度紧凑</t>
        </is>
      </c>
    </row>
    <row r="113">
      <c r="A113" s="1" t="n">
        <v>2023031</v>
      </c>
      <c r="B113" s="3" t="inlineStr">
        <is>
          <t>975</t>
        </is>
      </c>
      <c r="C113" s="2">
        <f>IF(B113="","",LEFT(TEXT(B113,"000"),1)*1)</f>
        <v/>
      </c>
      <c r="D113" s="2">
        <f>IF(B113="","",MID(TEXT(B113,"000"),2,1)*1)</f>
        <v/>
      </c>
      <c r="E113" s="2">
        <f>IF(B113="","",RIGHT(TEXT(B113,"000"),1)*1)</f>
        <v/>
      </c>
      <c r="F113" s="2">
        <f>IF(B113="","",C113+D113+E113)</f>
        <v/>
      </c>
      <c r="G113" s="2">
        <f>IF(B113="","",MOD(F113,10))</f>
        <v/>
      </c>
      <c r="H113" s="2">
        <f>IF(B113="","",MAX(C113,D113,E113)-MIN(C113,D113,E113))</f>
        <v/>
      </c>
      <c r="I113" s="2">
        <f>IF(OR(B113="",H113=0),IF(H113=0,0.1,""),ROUND(F113/H113,2))</f>
        <v/>
      </c>
      <c r="J113" s="2">
        <f>IF(I113=0.1,"极紧凑",IF(I113&gt;3.5,"紧凑",IF(AND(I113&gt;=2,I113&lt;=3.5),"标准",IF(AND(I113&gt;=1,I113&lt;2),"松散",""))))</f>
        <v/>
      </c>
      <c r="K113" s="2">
        <f>IF(I113=0.1,"极紧凑-豹子号",IF(AND(I113&gt;=1,I113&lt;=1.29),"松散-极松散",IF(AND(I113&gt;=1.33,I113&lt;=1.8),"松散-标准松散",IF(AND(I113&gt;=1.83,I113&lt;=1.89),"松散-偏紧松散",IF(AND(I113&gt;=2,I113&lt;=2.5),"标准-偏松标准",IF(AND(I113&gt;=2.57,I113&lt;=3),"标准-核心标准",IF(AND(I113&gt;=3.17,I113&lt;=3.5),"标准-偏紧标准",IF(AND(I113&gt;=3.6,I113&lt;=5),"紧凑-标准紧凑",IF(AND(I113&gt;=5.25,I113&lt;=8),"紧凑-高度紧凑",IF(I113&gt;=8.5,"紧凑-极度紧凑",""))))))))))</f>
        <v/>
      </c>
      <c r="L113" s="2">
        <f>IF(I113=0.1,"极紧凑",IF(AND(I113&gt;=1,I113&lt;=1.89),"松散",IF(AND(I113&gt;=2,I113&lt;=3.5),"标准",IF(I113&gt;=3.6,"紧凑",""))))</f>
        <v/>
      </c>
      <c r="M113" s="2" t="inlineStr">
        <is>
          <t>极紧凑-豹子号</t>
        </is>
      </c>
      <c r="N113" s="2" t="inlineStr">
        <is>
          <t>松散-极松散</t>
        </is>
      </c>
      <c r="O113" s="2" t="inlineStr">
        <is>
          <t>松散-标准松散</t>
        </is>
      </c>
      <c r="P113" s="2" t="inlineStr">
        <is>
          <t>松散-偏紧松散</t>
        </is>
      </c>
      <c r="Q113" s="2" t="inlineStr">
        <is>
          <t>标准-偏松标准</t>
        </is>
      </c>
      <c r="R113" s="2" t="inlineStr">
        <is>
          <t>标准-核心标准</t>
        </is>
      </c>
      <c r="S113" s="2" t="inlineStr">
        <is>
          <t>标准-偏紧标准</t>
        </is>
      </c>
      <c r="T113" s="2" t="inlineStr">
        <is>
          <t>紧凑-标准紧凑</t>
        </is>
      </c>
      <c r="U113" s="2" t="inlineStr">
        <is>
          <t>紧凑-高度紧凑</t>
        </is>
      </c>
      <c r="V113" s="2" t="inlineStr">
        <is>
          <t>紧凑-极度紧凑</t>
        </is>
      </c>
    </row>
    <row r="114">
      <c r="A114" s="1" t="n">
        <v>2023032</v>
      </c>
      <c r="B114" s="3" t="inlineStr">
        <is>
          <t>090</t>
        </is>
      </c>
      <c r="C114" s="2">
        <f>IF(B114="","",LEFT(TEXT(B114,"000"),1)*1)</f>
        <v/>
      </c>
      <c r="D114" s="2">
        <f>IF(B114="","",MID(TEXT(B114,"000"),2,1)*1)</f>
        <v/>
      </c>
      <c r="E114" s="2">
        <f>IF(B114="","",RIGHT(TEXT(B114,"000"),1)*1)</f>
        <v/>
      </c>
      <c r="F114" s="2">
        <f>IF(B114="","",C114+D114+E114)</f>
        <v/>
      </c>
      <c r="G114" s="2">
        <f>IF(B114="","",MOD(F114,10))</f>
        <v/>
      </c>
      <c r="H114" s="2">
        <f>IF(B114="","",MAX(C114,D114,E114)-MIN(C114,D114,E114))</f>
        <v/>
      </c>
      <c r="I114" s="2">
        <f>IF(OR(B114="",H114=0),IF(H114=0,0.1,""),ROUND(F114/H114,2))</f>
        <v/>
      </c>
      <c r="J114" s="2">
        <f>IF(I114=0.1,"极紧凑",IF(I114&gt;3.5,"紧凑",IF(AND(I114&gt;=2,I114&lt;=3.5),"标准",IF(AND(I114&gt;=1,I114&lt;2),"松散",""))))</f>
        <v/>
      </c>
      <c r="K114" s="2">
        <f>IF(I114=0.1,"极紧凑-豹子号",IF(AND(I114&gt;=1,I114&lt;=1.29),"松散-极松散",IF(AND(I114&gt;=1.33,I114&lt;=1.8),"松散-标准松散",IF(AND(I114&gt;=1.83,I114&lt;=1.89),"松散-偏紧松散",IF(AND(I114&gt;=2,I114&lt;=2.5),"标准-偏松标准",IF(AND(I114&gt;=2.57,I114&lt;=3),"标准-核心标准",IF(AND(I114&gt;=3.17,I114&lt;=3.5),"标准-偏紧标准",IF(AND(I114&gt;=3.6,I114&lt;=5),"紧凑-标准紧凑",IF(AND(I114&gt;=5.25,I114&lt;=8),"紧凑-高度紧凑",IF(I114&gt;=8.5,"紧凑-极度紧凑",""))))))))))</f>
        <v/>
      </c>
      <c r="L114" s="2">
        <f>IF(I114=0.1,"极紧凑",IF(AND(I114&gt;=1,I114&lt;=1.89),"松散",IF(AND(I114&gt;=2,I114&lt;=3.5),"标准",IF(I114&gt;=3.6,"紧凑",""))))</f>
        <v/>
      </c>
      <c r="M114" s="2" t="inlineStr">
        <is>
          <t>极紧凑-豹子号</t>
        </is>
      </c>
      <c r="N114" s="2" t="inlineStr">
        <is>
          <t>松散-极松散</t>
        </is>
      </c>
      <c r="O114" s="2" t="inlineStr">
        <is>
          <t>松散-标准松散</t>
        </is>
      </c>
      <c r="P114" s="2" t="inlineStr">
        <is>
          <t>松散-偏紧松散</t>
        </is>
      </c>
      <c r="Q114" s="2" t="inlineStr">
        <is>
          <t>标准-偏松标准</t>
        </is>
      </c>
      <c r="R114" s="2" t="inlineStr">
        <is>
          <t>标准-核心标准</t>
        </is>
      </c>
      <c r="S114" s="2" t="inlineStr">
        <is>
          <t>标准-偏紧标准</t>
        </is>
      </c>
      <c r="T114" s="2" t="inlineStr">
        <is>
          <t>紧凑-标准紧凑</t>
        </is>
      </c>
      <c r="U114" s="2" t="inlineStr">
        <is>
          <t>紧凑-高度紧凑</t>
        </is>
      </c>
      <c r="V114" s="2" t="inlineStr">
        <is>
          <t>紧凑-极度紧凑</t>
        </is>
      </c>
    </row>
    <row r="115">
      <c r="A115" s="1" t="n">
        <v>2023033</v>
      </c>
      <c r="B115" s="3" t="inlineStr">
        <is>
          <t>679</t>
        </is>
      </c>
      <c r="C115" s="2">
        <f>IF(B115="","",LEFT(TEXT(B115,"000"),1)*1)</f>
        <v/>
      </c>
      <c r="D115" s="2">
        <f>IF(B115="","",MID(TEXT(B115,"000"),2,1)*1)</f>
        <v/>
      </c>
      <c r="E115" s="2">
        <f>IF(B115="","",RIGHT(TEXT(B115,"000"),1)*1)</f>
        <v/>
      </c>
      <c r="F115" s="2">
        <f>IF(B115="","",C115+D115+E115)</f>
        <v/>
      </c>
      <c r="G115" s="2">
        <f>IF(B115="","",MOD(F115,10))</f>
        <v/>
      </c>
      <c r="H115" s="2">
        <f>IF(B115="","",MAX(C115,D115,E115)-MIN(C115,D115,E115))</f>
        <v/>
      </c>
      <c r="I115" s="2">
        <f>IF(OR(B115="",H115=0),IF(H115=0,0.1,""),ROUND(F115/H115,2))</f>
        <v/>
      </c>
      <c r="J115" s="2">
        <f>IF(I115=0.1,"极紧凑",IF(I115&gt;3.5,"紧凑",IF(AND(I115&gt;=2,I115&lt;=3.5),"标准",IF(AND(I115&gt;=1,I115&lt;2),"松散",""))))</f>
        <v/>
      </c>
      <c r="K115" s="2">
        <f>IF(I115=0.1,"极紧凑-豹子号",IF(AND(I115&gt;=1,I115&lt;=1.29),"松散-极松散",IF(AND(I115&gt;=1.33,I115&lt;=1.8),"松散-标准松散",IF(AND(I115&gt;=1.83,I115&lt;=1.89),"松散-偏紧松散",IF(AND(I115&gt;=2,I115&lt;=2.5),"标准-偏松标准",IF(AND(I115&gt;=2.57,I115&lt;=3),"标准-核心标准",IF(AND(I115&gt;=3.17,I115&lt;=3.5),"标准-偏紧标准",IF(AND(I115&gt;=3.6,I115&lt;=5),"紧凑-标准紧凑",IF(AND(I115&gt;=5.25,I115&lt;=8),"紧凑-高度紧凑",IF(I115&gt;=8.5,"紧凑-极度紧凑",""))))))))))</f>
        <v/>
      </c>
      <c r="L115" s="2">
        <f>IF(I115=0.1,"极紧凑",IF(AND(I115&gt;=1,I115&lt;=1.89),"松散",IF(AND(I115&gt;=2,I115&lt;=3.5),"标准",IF(I115&gt;=3.6,"紧凑",""))))</f>
        <v/>
      </c>
      <c r="M115" s="2" t="inlineStr">
        <is>
          <t>极紧凑-豹子号</t>
        </is>
      </c>
      <c r="N115" s="2" t="inlineStr">
        <is>
          <t>松散-极松散</t>
        </is>
      </c>
      <c r="O115" s="2" t="inlineStr">
        <is>
          <t>松散-标准松散</t>
        </is>
      </c>
      <c r="P115" s="2" t="inlineStr">
        <is>
          <t>松散-偏紧松散</t>
        </is>
      </c>
      <c r="Q115" s="2" t="inlineStr">
        <is>
          <t>标准-偏松标准</t>
        </is>
      </c>
      <c r="R115" s="2" t="inlineStr">
        <is>
          <t>标准-核心标准</t>
        </is>
      </c>
      <c r="S115" s="2" t="inlineStr">
        <is>
          <t>标准-偏紧标准</t>
        </is>
      </c>
      <c r="T115" s="2" t="inlineStr">
        <is>
          <t>紧凑-标准紧凑</t>
        </is>
      </c>
      <c r="U115" s="2" t="inlineStr">
        <is>
          <t>紧凑-高度紧凑</t>
        </is>
      </c>
      <c r="V115" s="2" t="inlineStr">
        <is>
          <t>紧凑-极度紧凑</t>
        </is>
      </c>
    </row>
    <row r="116">
      <c r="A116" s="1" t="n">
        <v>2023034</v>
      </c>
      <c r="B116" s="3" t="inlineStr">
        <is>
          <t>901</t>
        </is>
      </c>
      <c r="C116" s="2">
        <f>IF(B116="","",LEFT(TEXT(B116,"000"),1)*1)</f>
        <v/>
      </c>
      <c r="D116" s="2">
        <f>IF(B116="","",MID(TEXT(B116,"000"),2,1)*1)</f>
        <v/>
      </c>
      <c r="E116" s="2">
        <f>IF(B116="","",RIGHT(TEXT(B116,"000"),1)*1)</f>
        <v/>
      </c>
      <c r="F116" s="2">
        <f>IF(B116="","",C116+D116+E116)</f>
        <v/>
      </c>
      <c r="G116" s="2">
        <f>IF(B116="","",MOD(F116,10))</f>
        <v/>
      </c>
      <c r="H116" s="2">
        <f>IF(B116="","",MAX(C116,D116,E116)-MIN(C116,D116,E116))</f>
        <v/>
      </c>
      <c r="I116" s="2">
        <f>IF(OR(B116="",H116=0),IF(H116=0,0.1,""),ROUND(F116/H116,2))</f>
        <v/>
      </c>
      <c r="J116" s="2">
        <f>IF(I116=0.1,"极紧凑",IF(I116&gt;3.5,"紧凑",IF(AND(I116&gt;=2,I116&lt;=3.5),"标准",IF(AND(I116&gt;=1,I116&lt;2),"松散",""))))</f>
        <v/>
      </c>
      <c r="K116" s="2">
        <f>IF(I116=0.1,"极紧凑-豹子号",IF(AND(I116&gt;=1,I116&lt;=1.29),"松散-极松散",IF(AND(I116&gt;=1.33,I116&lt;=1.8),"松散-标准松散",IF(AND(I116&gt;=1.83,I116&lt;=1.89),"松散-偏紧松散",IF(AND(I116&gt;=2,I116&lt;=2.5),"标准-偏松标准",IF(AND(I116&gt;=2.57,I116&lt;=3),"标准-核心标准",IF(AND(I116&gt;=3.17,I116&lt;=3.5),"标准-偏紧标准",IF(AND(I116&gt;=3.6,I116&lt;=5),"紧凑-标准紧凑",IF(AND(I116&gt;=5.25,I116&lt;=8),"紧凑-高度紧凑",IF(I116&gt;=8.5,"紧凑-极度紧凑",""))))))))))</f>
        <v/>
      </c>
      <c r="L116" s="2">
        <f>IF(I116=0.1,"极紧凑",IF(AND(I116&gt;=1,I116&lt;=1.89),"松散",IF(AND(I116&gt;=2,I116&lt;=3.5),"标准",IF(I116&gt;=3.6,"紧凑",""))))</f>
        <v/>
      </c>
      <c r="M116" s="2" t="inlineStr">
        <is>
          <t>极紧凑-豹子号</t>
        </is>
      </c>
      <c r="N116" s="2" t="inlineStr">
        <is>
          <t>松散-极松散</t>
        </is>
      </c>
      <c r="O116" s="2" t="inlineStr">
        <is>
          <t>松散-标准松散</t>
        </is>
      </c>
      <c r="P116" s="2" t="inlineStr">
        <is>
          <t>松散-偏紧松散</t>
        </is>
      </c>
      <c r="Q116" s="2" t="inlineStr">
        <is>
          <t>标准-偏松标准</t>
        </is>
      </c>
      <c r="R116" s="2" t="inlineStr">
        <is>
          <t>标准-核心标准</t>
        </is>
      </c>
      <c r="S116" s="2" t="inlineStr">
        <is>
          <t>标准-偏紧标准</t>
        </is>
      </c>
      <c r="T116" s="2" t="inlineStr">
        <is>
          <t>紧凑-标准紧凑</t>
        </is>
      </c>
      <c r="U116" s="2" t="inlineStr">
        <is>
          <t>紧凑-高度紧凑</t>
        </is>
      </c>
      <c r="V116" s="2" t="inlineStr">
        <is>
          <t>紧凑-极度紧凑</t>
        </is>
      </c>
    </row>
    <row r="117">
      <c r="A117" s="1" t="n">
        <v>2023035</v>
      </c>
      <c r="B117" s="3" t="inlineStr">
        <is>
          <t>649</t>
        </is>
      </c>
      <c r="C117" s="2">
        <f>IF(B117="","",LEFT(TEXT(B117,"000"),1)*1)</f>
        <v/>
      </c>
      <c r="D117" s="2">
        <f>IF(B117="","",MID(TEXT(B117,"000"),2,1)*1)</f>
        <v/>
      </c>
      <c r="E117" s="2">
        <f>IF(B117="","",RIGHT(TEXT(B117,"000"),1)*1)</f>
        <v/>
      </c>
      <c r="F117" s="2">
        <f>IF(B117="","",C117+D117+E117)</f>
        <v/>
      </c>
      <c r="G117" s="2">
        <f>IF(B117="","",MOD(F117,10))</f>
        <v/>
      </c>
      <c r="H117" s="2">
        <f>IF(B117="","",MAX(C117,D117,E117)-MIN(C117,D117,E117))</f>
        <v/>
      </c>
      <c r="I117" s="2">
        <f>IF(OR(B117="",H117=0),IF(H117=0,0.1,""),ROUND(F117/H117,2))</f>
        <v/>
      </c>
      <c r="J117" s="2">
        <f>IF(I117=0.1,"极紧凑",IF(I117&gt;3.5,"紧凑",IF(AND(I117&gt;=2,I117&lt;=3.5),"标准",IF(AND(I117&gt;=1,I117&lt;2),"松散",""))))</f>
        <v/>
      </c>
      <c r="K117" s="2">
        <f>IF(I117=0.1,"极紧凑-豹子号",IF(AND(I117&gt;=1,I117&lt;=1.29),"松散-极松散",IF(AND(I117&gt;=1.33,I117&lt;=1.8),"松散-标准松散",IF(AND(I117&gt;=1.83,I117&lt;=1.89),"松散-偏紧松散",IF(AND(I117&gt;=2,I117&lt;=2.5),"标准-偏松标准",IF(AND(I117&gt;=2.57,I117&lt;=3),"标准-核心标准",IF(AND(I117&gt;=3.17,I117&lt;=3.5),"标准-偏紧标准",IF(AND(I117&gt;=3.6,I117&lt;=5),"紧凑-标准紧凑",IF(AND(I117&gt;=5.25,I117&lt;=8),"紧凑-高度紧凑",IF(I117&gt;=8.5,"紧凑-极度紧凑",""))))))))))</f>
        <v/>
      </c>
      <c r="L117" s="2">
        <f>IF(I117=0.1,"极紧凑",IF(AND(I117&gt;=1,I117&lt;=1.89),"松散",IF(AND(I117&gt;=2,I117&lt;=3.5),"标准",IF(I117&gt;=3.6,"紧凑",""))))</f>
        <v/>
      </c>
      <c r="M117" s="2" t="inlineStr">
        <is>
          <t>极紧凑-豹子号</t>
        </is>
      </c>
      <c r="N117" s="2" t="inlineStr">
        <is>
          <t>松散-极松散</t>
        </is>
      </c>
      <c r="O117" s="2" t="inlineStr">
        <is>
          <t>松散-标准松散</t>
        </is>
      </c>
      <c r="P117" s="2" t="inlineStr">
        <is>
          <t>松散-偏紧松散</t>
        </is>
      </c>
      <c r="Q117" s="2" t="inlineStr">
        <is>
          <t>标准-偏松标准</t>
        </is>
      </c>
      <c r="R117" s="2" t="inlineStr">
        <is>
          <t>标准-核心标准</t>
        </is>
      </c>
      <c r="S117" s="2" t="inlineStr">
        <is>
          <t>标准-偏紧标准</t>
        </is>
      </c>
      <c r="T117" s="2" t="inlineStr">
        <is>
          <t>紧凑-标准紧凑</t>
        </is>
      </c>
      <c r="U117" s="2" t="inlineStr">
        <is>
          <t>紧凑-高度紧凑</t>
        </is>
      </c>
      <c r="V117" s="2" t="inlineStr">
        <is>
          <t>紧凑-极度紧凑</t>
        </is>
      </c>
    </row>
    <row r="118">
      <c r="A118" s="1" t="n">
        <v>2023036</v>
      </c>
      <c r="B118" s="3" t="inlineStr">
        <is>
          <t>656</t>
        </is>
      </c>
      <c r="C118" s="2">
        <f>IF(B118="","",LEFT(TEXT(B118,"000"),1)*1)</f>
        <v/>
      </c>
      <c r="D118" s="2">
        <f>IF(B118="","",MID(TEXT(B118,"000"),2,1)*1)</f>
        <v/>
      </c>
      <c r="E118" s="2">
        <f>IF(B118="","",RIGHT(TEXT(B118,"000"),1)*1)</f>
        <v/>
      </c>
      <c r="F118" s="2">
        <f>IF(B118="","",C118+D118+E118)</f>
        <v/>
      </c>
      <c r="G118" s="2">
        <f>IF(B118="","",MOD(F118,10))</f>
        <v/>
      </c>
      <c r="H118" s="2">
        <f>IF(B118="","",MAX(C118,D118,E118)-MIN(C118,D118,E118))</f>
        <v/>
      </c>
      <c r="I118" s="2">
        <f>IF(OR(B118="",H118=0),IF(H118=0,0.1,""),ROUND(F118/H118,2))</f>
        <v/>
      </c>
      <c r="J118" s="2">
        <f>IF(I118=0.1,"极紧凑",IF(I118&gt;3.5,"紧凑",IF(AND(I118&gt;=2,I118&lt;=3.5),"标准",IF(AND(I118&gt;=1,I118&lt;2),"松散",""))))</f>
        <v/>
      </c>
      <c r="K118" s="2">
        <f>IF(I118=0.1,"极紧凑-豹子号",IF(AND(I118&gt;=1,I118&lt;=1.29),"松散-极松散",IF(AND(I118&gt;=1.33,I118&lt;=1.8),"松散-标准松散",IF(AND(I118&gt;=1.83,I118&lt;=1.89),"松散-偏紧松散",IF(AND(I118&gt;=2,I118&lt;=2.5),"标准-偏松标准",IF(AND(I118&gt;=2.57,I118&lt;=3),"标准-核心标准",IF(AND(I118&gt;=3.17,I118&lt;=3.5),"标准-偏紧标准",IF(AND(I118&gt;=3.6,I118&lt;=5),"紧凑-标准紧凑",IF(AND(I118&gt;=5.25,I118&lt;=8),"紧凑-高度紧凑",IF(I118&gt;=8.5,"紧凑-极度紧凑",""))))))))))</f>
        <v/>
      </c>
      <c r="L118" s="2">
        <f>IF(I118=0.1,"极紧凑",IF(AND(I118&gt;=1,I118&lt;=1.89),"松散",IF(AND(I118&gt;=2,I118&lt;=3.5),"标准",IF(I118&gt;=3.6,"紧凑",""))))</f>
        <v/>
      </c>
      <c r="M118" s="2" t="inlineStr">
        <is>
          <t>极紧凑-豹子号</t>
        </is>
      </c>
      <c r="N118" s="2" t="inlineStr">
        <is>
          <t>松散-极松散</t>
        </is>
      </c>
      <c r="O118" s="2" t="inlineStr">
        <is>
          <t>松散-标准松散</t>
        </is>
      </c>
      <c r="P118" s="2" t="inlineStr">
        <is>
          <t>松散-偏紧松散</t>
        </is>
      </c>
      <c r="Q118" s="2" t="inlineStr">
        <is>
          <t>标准-偏松标准</t>
        </is>
      </c>
      <c r="R118" s="2" t="inlineStr">
        <is>
          <t>标准-核心标准</t>
        </is>
      </c>
      <c r="S118" s="2" t="inlineStr">
        <is>
          <t>标准-偏紧标准</t>
        </is>
      </c>
      <c r="T118" s="2" t="inlineStr">
        <is>
          <t>紧凑-标准紧凑</t>
        </is>
      </c>
      <c r="U118" s="2" t="inlineStr">
        <is>
          <t>紧凑-高度紧凑</t>
        </is>
      </c>
      <c r="V118" s="2" t="inlineStr">
        <is>
          <t>紧凑-极度紧凑</t>
        </is>
      </c>
    </row>
    <row r="119">
      <c r="A119" s="1" t="n">
        <v>2023037</v>
      </c>
      <c r="B119" s="3" t="inlineStr">
        <is>
          <t>771</t>
        </is>
      </c>
      <c r="C119" s="2">
        <f>IF(B119="","",LEFT(TEXT(B119,"000"),1)*1)</f>
        <v/>
      </c>
      <c r="D119" s="2">
        <f>IF(B119="","",MID(TEXT(B119,"000"),2,1)*1)</f>
        <v/>
      </c>
      <c r="E119" s="2">
        <f>IF(B119="","",RIGHT(TEXT(B119,"000"),1)*1)</f>
        <v/>
      </c>
      <c r="F119" s="2">
        <f>IF(B119="","",C119+D119+E119)</f>
        <v/>
      </c>
      <c r="G119" s="2">
        <f>IF(B119="","",MOD(F119,10))</f>
        <v/>
      </c>
      <c r="H119" s="2">
        <f>IF(B119="","",MAX(C119,D119,E119)-MIN(C119,D119,E119))</f>
        <v/>
      </c>
      <c r="I119" s="2">
        <f>IF(OR(B119="",H119=0),IF(H119=0,0.1,""),ROUND(F119/H119,2))</f>
        <v/>
      </c>
      <c r="J119" s="2">
        <f>IF(I119=0.1,"极紧凑",IF(I119&gt;3.5,"紧凑",IF(AND(I119&gt;=2,I119&lt;=3.5),"标准",IF(AND(I119&gt;=1,I119&lt;2),"松散",""))))</f>
        <v/>
      </c>
      <c r="K119" s="2">
        <f>IF(I119=0.1,"极紧凑-豹子号",IF(AND(I119&gt;=1,I119&lt;=1.29),"松散-极松散",IF(AND(I119&gt;=1.33,I119&lt;=1.8),"松散-标准松散",IF(AND(I119&gt;=1.83,I119&lt;=1.89),"松散-偏紧松散",IF(AND(I119&gt;=2,I119&lt;=2.5),"标准-偏松标准",IF(AND(I119&gt;=2.57,I119&lt;=3),"标准-核心标准",IF(AND(I119&gt;=3.17,I119&lt;=3.5),"标准-偏紧标准",IF(AND(I119&gt;=3.6,I119&lt;=5),"紧凑-标准紧凑",IF(AND(I119&gt;=5.25,I119&lt;=8),"紧凑-高度紧凑",IF(I119&gt;=8.5,"紧凑-极度紧凑",""))))))))))</f>
        <v/>
      </c>
      <c r="L119" s="2">
        <f>IF(I119=0.1,"极紧凑",IF(AND(I119&gt;=1,I119&lt;=1.89),"松散",IF(AND(I119&gt;=2,I119&lt;=3.5),"标准",IF(I119&gt;=3.6,"紧凑",""))))</f>
        <v/>
      </c>
      <c r="M119" s="2" t="inlineStr">
        <is>
          <t>极紧凑-豹子号</t>
        </is>
      </c>
      <c r="N119" s="2" t="inlineStr">
        <is>
          <t>松散-极松散</t>
        </is>
      </c>
      <c r="O119" s="2" t="inlineStr">
        <is>
          <t>松散-标准松散</t>
        </is>
      </c>
      <c r="P119" s="2" t="inlineStr">
        <is>
          <t>松散-偏紧松散</t>
        </is>
      </c>
      <c r="Q119" s="2" t="inlineStr">
        <is>
          <t>标准-偏松标准</t>
        </is>
      </c>
      <c r="R119" s="2" t="inlineStr">
        <is>
          <t>标准-核心标准</t>
        </is>
      </c>
      <c r="S119" s="2" t="inlineStr">
        <is>
          <t>标准-偏紧标准</t>
        </is>
      </c>
      <c r="T119" s="2" t="inlineStr">
        <is>
          <t>紧凑-标准紧凑</t>
        </is>
      </c>
      <c r="U119" s="2" t="inlineStr">
        <is>
          <t>紧凑-高度紧凑</t>
        </is>
      </c>
      <c r="V119" s="2" t="inlineStr">
        <is>
          <t>紧凑-极度紧凑</t>
        </is>
      </c>
    </row>
    <row r="120">
      <c r="A120" s="1" t="n">
        <v>2023038</v>
      </c>
      <c r="B120" s="3" t="inlineStr">
        <is>
          <t>091</t>
        </is>
      </c>
      <c r="C120" s="2">
        <f>IF(B120="","",LEFT(TEXT(B120,"000"),1)*1)</f>
        <v/>
      </c>
      <c r="D120" s="2">
        <f>IF(B120="","",MID(TEXT(B120,"000"),2,1)*1)</f>
        <v/>
      </c>
      <c r="E120" s="2">
        <f>IF(B120="","",RIGHT(TEXT(B120,"000"),1)*1)</f>
        <v/>
      </c>
      <c r="F120" s="2">
        <f>IF(B120="","",C120+D120+E120)</f>
        <v/>
      </c>
      <c r="G120" s="2">
        <f>IF(B120="","",MOD(F120,10))</f>
        <v/>
      </c>
      <c r="H120" s="2">
        <f>IF(B120="","",MAX(C120,D120,E120)-MIN(C120,D120,E120))</f>
        <v/>
      </c>
      <c r="I120" s="2">
        <f>IF(OR(B120="",H120=0),IF(H120=0,0.1,""),ROUND(F120/H120,2))</f>
        <v/>
      </c>
      <c r="J120" s="2">
        <f>IF(I120=0.1,"极紧凑",IF(I120&gt;3.5,"紧凑",IF(AND(I120&gt;=2,I120&lt;=3.5),"标准",IF(AND(I120&gt;=1,I120&lt;2),"松散",""))))</f>
        <v/>
      </c>
      <c r="K120" s="2">
        <f>IF(I120=0.1,"极紧凑-豹子号",IF(AND(I120&gt;=1,I120&lt;=1.29),"松散-极松散",IF(AND(I120&gt;=1.33,I120&lt;=1.8),"松散-标准松散",IF(AND(I120&gt;=1.83,I120&lt;=1.89),"松散-偏紧松散",IF(AND(I120&gt;=2,I120&lt;=2.5),"标准-偏松标准",IF(AND(I120&gt;=2.57,I120&lt;=3),"标准-核心标准",IF(AND(I120&gt;=3.17,I120&lt;=3.5),"标准-偏紧标准",IF(AND(I120&gt;=3.6,I120&lt;=5),"紧凑-标准紧凑",IF(AND(I120&gt;=5.25,I120&lt;=8),"紧凑-高度紧凑",IF(I120&gt;=8.5,"紧凑-极度紧凑",""))))))))))</f>
        <v/>
      </c>
      <c r="L120" s="2">
        <f>IF(I120=0.1,"极紧凑",IF(AND(I120&gt;=1,I120&lt;=1.89),"松散",IF(AND(I120&gt;=2,I120&lt;=3.5),"标准",IF(I120&gt;=3.6,"紧凑",""))))</f>
        <v/>
      </c>
      <c r="M120" s="2" t="inlineStr">
        <is>
          <t>极紧凑-豹子号</t>
        </is>
      </c>
      <c r="N120" s="2" t="inlineStr">
        <is>
          <t>松散-极松散</t>
        </is>
      </c>
      <c r="O120" s="2" t="inlineStr">
        <is>
          <t>松散-标准松散</t>
        </is>
      </c>
      <c r="P120" s="2" t="inlineStr">
        <is>
          <t>松散-偏紧松散</t>
        </is>
      </c>
      <c r="Q120" s="2" t="inlineStr">
        <is>
          <t>标准-偏松标准</t>
        </is>
      </c>
      <c r="R120" s="2" t="inlineStr">
        <is>
          <t>标准-核心标准</t>
        </is>
      </c>
      <c r="S120" s="2" t="inlineStr">
        <is>
          <t>标准-偏紧标准</t>
        </is>
      </c>
      <c r="T120" s="2" t="inlineStr">
        <is>
          <t>紧凑-标准紧凑</t>
        </is>
      </c>
      <c r="U120" s="2" t="inlineStr">
        <is>
          <t>紧凑-高度紧凑</t>
        </is>
      </c>
      <c r="V120" s="2" t="inlineStr">
        <is>
          <t>紧凑-极度紧凑</t>
        </is>
      </c>
    </row>
    <row r="121">
      <c r="A121" s="1" t="n">
        <v>2023039</v>
      </c>
      <c r="B121" s="3" t="inlineStr">
        <is>
          <t>753</t>
        </is>
      </c>
      <c r="C121" s="2">
        <f>IF(B121="","",LEFT(TEXT(B121,"000"),1)*1)</f>
        <v/>
      </c>
      <c r="D121" s="2">
        <f>IF(B121="","",MID(TEXT(B121,"000"),2,1)*1)</f>
        <v/>
      </c>
      <c r="E121" s="2">
        <f>IF(B121="","",RIGHT(TEXT(B121,"000"),1)*1)</f>
        <v/>
      </c>
      <c r="F121" s="2">
        <f>IF(B121="","",C121+D121+E121)</f>
        <v/>
      </c>
      <c r="G121" s="2">
        <f>IF(B121="","",MOD(F121,10))</f>
        <v/>
      </c>
      <c r="H121" s="2">
        <f>IF(B121="","",MAX(C121,D121,E121)-MIN(C121,D121,E121))</f>
        <v/>
      </c>
      <c r="I121" s="2">
        <f>IF(OR(B121="",H121=0),IF(H121=0,0.1,""),ROUND(F121/H121,2))</f>
        <v/>
      </c>
      <c r="J121" s="2">
        <f>IF(I121=0.1,"极紧凑",IF(I121&gt;3.5,"紧凑",IF(AND(I121&gt;=2,I121&lt;=3.5),"标准",IF(AND(I121&gt;=1,I121&lt;2),"松散",""))))</f>
        <v/>
      </c>
      <c r="K121" s="2">
        <f>IF(I121=0.1,"极紧凑-豹子号",IF(AND(I121&gt;=1,I121&lt;=1.29),"松散-极松散",IF(AND(I121&gt;=1.33,I121&lt;=1.8),"松散-标准松散",IF(AND(I121&gt;=1.83,I121&lt;=1.89),"松散-偏紧松散",IF(AND(I121&gt;=2,I121&lt;=2.5),"标准-偏松标准",IF(AND(I121&gt;=2.57,I121&lt;=3),"标准-核心标准",IF(AND(I121&gt;=3.17,I121&lt;=3.5),"标准-偏紧标准",IF(AND(I121&gt;=3.6,I121&lt;=5),"紧凑-标准紧凑",IF(AND(I121&gt;=5.25,I121&lt;=8),"紧凑-高度紧凑",IF(I121&gt;=8.5,"紧凑-极度紧凑",""))))))))))</f>
        <v/>
      </c>
      <c r="L121" s="2">
        <f>IF(I121=0.1,"极紧凑",IF(AND(I121&gt;=1,I121&lt;=1.89),"松散",IF(AND(I121&gt;=2,I121&lt;=3.5),"标准",IF(I121&gt;=3.6,"紧凑",""))))</f>
        <v/>
      </c>
      <c r="M121" s="2" t="inlineStr">
        <is>
          <t>极紧凑-豹子号</t>
        </is>
      </c>
      <c r="N121" s="2" t="inlineStr">
        <is>
          <t>松散-极松散</t>
        </is>
      </c>
      <c r="O121" s="2" t="inlineStr">
        <is>
          <t>松散-标准松散</t>
        </is>
      </c>
      <c r="P121" s="2" t="inlineStr">
        <is>
          <t>松散-偏紧松散</t>
        </is>
      </c>
      <c r="Q121" s="2" t="inlineStr">
        <is>
          <t>标准-偏松标准</t>
        </is>
      </c>
      <c r="R121" s="2" t="inlineStr">
        <is>
          <t>标准-核心标准</t>
        </is>
      </c>
      <c r="S121" s="2" t="inlineStr">
        <is>
          <t>标准-偏紧标准</t>
        </is>
      </c>
      <c r="T121" s="2" t="inlineStr">
        <is>
          <t>紧凑-标准紧凑</t>
        </is>
      </c>
      <c r="U121" s="2" t="inlineStr">
        <is>
          <t>紧凑-高度紧凑</t>
        </is>
      </c>
      <c r="V121" s="2" t="inlineStr">
        <is>
          <t>紧凑-极度紧凑</t>
        </is>
      </c>
    </row>
    <row r="122">
      <c r="A122" s="1" t="n">
        <v>2023040</v>
      </c>
      <c r="B122" s="3" t="inlineStr">
        <is>
          <t>334</t>
        </is>
      </c>
      <c r="C122" s="2">
        <f>IF(B122="","",LEFT(TEXT(B122,"000"),1)*1)</f>
        <v/>
      </c>
      <c r="D122" s="2">
        <f>IF(B122="","",MID(TEXT(B122,"000"),2,1)*1)</f>
        <v/>
      </c>
      <c r="E122" s="2">
        <f>IF(B122="","",RIGHT(TEXT(B122,"000"),1)*1)</f>
        <v/>
      </c>
      <c r="F122" s="2">
        <f>IF(B122="","",C122+D122+E122)</f>
        <v/>
      </c>
      <c r="G122" s="2">
        <f>IF(B122="","",MOD(F122,10))</f>
        <v/>
      </c>
      <c r="H122" s="2">
        <f>IF(B122="","",MAX(C122,D122,E122)-MIN(C122,D122,E122))</f>
        <v/>
      </c>
      <c r="I122" s="2">
        <f>IF(OR(B122="",H122=0),IF(H122=0,0.1,""),ROUND(F122/H122,2))</f>
        <v/>
      </c>
      <c r="J122" s="2">
        <f>IF(I122=0.1,"极紧凑",IF(I122&gt;3.5,"紧凑",IF(AND(I122&gt;=2,I122&lt;=3.5),"标准",IF(AND(I122&gt;=1,I122&lt;2),"松散",""))))</f>
        <v/>
      </c>
      <c r="K122" s="2">
        <f>IF(I122=0.1,"极紧凑-豹子号",IF(AND(I122&gt;=1,I122&lt;=1.29),"松散-极松散",IF(AND(I122&gt;=1.33,I122&lt;=1.8),"松散-标准松散",IF(AND(I122&gt;=1.83,I122&lt;=1.89),"松散-偏紧松散",IF(AND(I122&gt;=2,I122&lt;=2.5),"标准-偏松标准",IF(AND(I122&gt;=2.57,I122&lt;=3),"标准-核心标准",IF(AND(I122&gt;=3.17,I122&lt;=3.5),"标准-偏紧标准",IF(AND(I122&gt;=3.6,I122&lt;=5),"紧凑-标准紧凑",IF(AND(I122&gt;=5.25,I122&lt;=8),"紧凑-高度紧凑",IF(I122&gt;=8.5,"紧凑-极度紧凑",""))))))))))</f>
        <v/>
      </c>
      <c r="L122" s="2">
        <f>IF(I122=0.1,"极紧凑",IF(AND(I122&gt;=1,I122&lt;=1.89),"松散",IF(AND(I122&gt;=2,I122&lt;=3.5),"标准",IF(I122&gt;=3.6,"紧凑",""))))</f>
        <v/>
      </c>
      <c r="M122" s="2" t="inlineStr">
        <is>
          <t>极紧凑-豹子号</t>
        </is>
      </c>
      <c r="N122" s="2" t="inlineStr">
        <is>
          <t>松散-极松散</t>
        </is>
      </c>
      <c r="O122" s="2" t="inlineStr">
        <is>
          <t>松散-标准松散</t>
        </is>
      </c>
      <c r="P122" s="2" t="inlineStr">
        <is>
          <t>松散-偏紧松散</t>
        </is>
      </c>
      <c r="Q122" s="2" t="inlineStr">
        <is>
          <t>标准-偏松标准</t>
        </is>
      </c>
      <c r="R122" s="2" t="inlineStr">
        <is>
          <t>标准-核心标准</t>
        </is>
      </c>
      <c r="S122" s="2" t="inlineStr">
        <is>
          <t>标准-偏紧标准</t>
        </is>
      </c>
      <c r="T122" s="2" t="inlineStr">
        <is>
          <t>紧凑-标准紧凑</t>
        </is>
      </c>
      <c r="U122" s="2" t="inlineStr">
        <is>
          <t>紧凑-高度紧凑</t>
        </is>
      </c>
      <c r="V122" s="2" t="inlineStr">
        <is>
          <t>紧凑-极度紧凑</t>
        </is>
      </c>
    </row>
    <row r="123">
      <c r="A123" s="1" t="n">
        <v>2023041</v>
      </c>
      <c r="B123" s="3" t="inlineStr">
        <is>
          <t>606</t>
        </is>
      </c>
      <c r="C123" s="2">
        <f>IF(B123="","",LEFT(TEXT(B123,"000"),1)*1)</f>
        <v/>
      </c>
      <c r="D123" s="2">
        <f>IF(B123="","",MID(TEXT(B123,"000"),2,1)*1)</f>
        <v/>
      </c>
      <c r="E123" s="2">
        <f>IF(B123="","",RIGHT(TEXT(B123,"000"),1)*1)</f>
        <v/>
      </c>
      <c r="F123" s="2">
        <f>IF(B123="","",C123+D123+E123)</f>
        <v/>
      </c>
      <c r="G123" s="2">
        <f>IF(B123="","",MOD(F123,10))</f>
        <v/>
      </c>
      <c r="H123" s="2">
        <f>IF(B123="","",MAX(C123,D123,E123)-MIN(C123,D123,E123))</f>
        <v/>
      </c>
      <c r="I123" s="2">
        <f>IF(OR(B123="",H123=0),IF(H123=0,0.1,""),ROUND(F123/H123,2))</f>
        <v/>
      </c>
      <c r="J123" s="2">
        <f>IF(I123=0.1,"极紧凑",IF(I123&gt;3.5,"紧凑",IF(AND(I123&gt;=2,I123&lt;=3.5),"标准",IF(AND(I123&gt;=1,I123&lt;2),"松散",""))))</f>
        <v/>
      </c>
      <c r="K123" s="2">
        <f>IF(I123=0.1,"极紧凑-豹子号",IF(AND(I123&gt;=1,I123&lt;=1.29),"松散-极松散",IF(AND(I123&gt;=1.33,I123&lt;=1.8),"松散-标准松散",IF(AND(I123&gt;=1.83,I123&lt;=1.89),"松散-偏紧松散",IF(AND(I123&gt;=2,I123&lt;=2.5),"标准-偏松标准",IF(AND(I123&gt;=2.57,I123&lt;=3),"标准-核心标准",IF(AND(I123&gt;=3.17,I123&lt;=3.5),"标准-偏紧标准",IF(AND(I123&gt;=3.6,I123&lt;=5),"紧凑-标准紧凑",IF(AND(I123&gt;=5.25,I123&lt;=8),"紧凑-高度紧凑",IF(I123&gt;=8.5,"紧凑-极度紧凑",""))))))))))</f>
        <v/>
      </c>
      <c r="L123" s="2">
        <f>IF(I123=0.1,"极紧凑",IF(AND(I123&gt;=1,I123&lt;=1.89),"松散",IF(AND(I123&gt;=2,I123&lt;=3.5),"标准",IF(I123&gt;=3.6,"紧凑",""))))</f>
        <v/>
      </c>
      <c r="M123" s="2" t="inlineStr">
        <is>
          <t>极紧凑-豹子号</t>
        </is>
      </c>
      <c r="N123" s="2" t="inlineStr">
        <is>
          <t>松散-极松散</t>
        </is>
      </c>
      <c r="O123" s="2" t="inlineStr">
        <is>
          <t>松散-标准松散</t>
        </is>
      </c>
      <c r="P123" s="2" t="inlineStr">
        <is>
          <t>松散-偏紧松散</t>
        </is>
      </c>
      <c r="Q123" s="2" t="inlineStr">
        <is>
          <t>标准-偏松标准</t>
        </is>
      </c>
      <c r="R123" s="2" t="inlineStr">
        <is>
          <t>标准-核心标准</t>
        </is>
      </c>
      <c r="S123" s="2" t="inlineStr">
        <is>
          <t>标准-偏紧标准</t>
        </is>
      </c>
      <c r="T123" s="2" t="inlineStr">
        <is>
          <t>紧凑-标准紧凑</t>
        </is>
      </c>
      <c r="U123" s="2" t="inlineStr">
        <is>
          <t>紧凑-高度紧凑</t>
        </is>
      </c>
      <c r="V123" s="2" t="inlineStr">
        <is>
          <t>紧凑-极度紧凑</t>
        </is>
      </c>
    </row>
    <row r="124">
      <c r="A124" s="1" t="n">
        <v>2023042</v>
      </c>
      <c r="B124" s="3" t="inlineStr">
        <is>
          <t>231</t>
        </is>
      </c>
      <c r="C124" s="2">
        <f>IF(B124="","",LEFT(TEXT(B124,"000"),1)*1)</f>
        <v/>
      </c>
      <c r="D124" s="2">
        <f>IF(B124="","",MID(TEXT(B124,"000"),2,1)*1)</f>
        <v/>
      </c>
      <c r="E124" s="2">
        <f>IF(B124="","",RIGHT(TEXT(B124,"000"),1)*1)</f>
        <v/>
      </c>
      <c r="F124" s="2">
        <f>IF(B124="","",C124+D124+E124)</f>
        <v/>
      </c>
      <c r="G124" s="2">
        <f>IF(B124="","",MOD(F124,10))</f>
        <v/>
      </c>
      <c r="H124" s="2">
        <f>IF(B124="","",MAX(C124,D124,E124)-MIN(C124,D124,E124))</f>
        <v/>
      </c>
      <c r="I124" s="2">
        <f>IF(OR(B124="",H124=0),IF(H124=0,0.1,""),ROUND(F124/H124,2))</f>
        <v/>
      </c>
      <c r="J124" s="2">
        <f>IF(I124=0.1,"极紧凑",IF(I124&gt;3.5,"紧凑",IF(AND(I124&gt;=2,I124&lt;=3.5),"标准",IF(AND(I124&gt;=1,I124&lt;2),"松散",""))))</f>
        <v/>
      </c>
      <c r="K124" s="2">
        <f>IF(I124=0.1,"极紧凑-豹子号",IF(AND(I124&gt;=1,I124&lt;=1.29),"松散-极松散",IF(AND(I124&gt;=1.33,I124&lt;=1.8),"松散-标准松散",IF(AND(I124&gt;=1.83,I124&lt;=1.89),"松散-偏紧松散",IF(AND(I124&gt;=2,I124&lt;=2.5),"标准-偏松标准",IF(AND(I124&gt;=2.57,I124&lt;=3),"标准-核心标准",IF(AND(I124&gt;=3.17,I124&lt;=3.5),"标准-偏紧标准",IF(AND(I124&gt;=3.6,I124&lt;=5),"紧凑-标准紧凑",IF(AND(I124&gt;=5.25,I124&lt;=8),"紧凑-高度紧凑",IF(I124&gt;=8.5,"紧凑-极度紧凑",""))))))))))</f>
        <v/>
      </c>
      <c r="L124" s="2">
        <f>IF(I124=0.1,"极紧凑",IF(AND(I124&gt;=1,I124&lt;=1.89),"松散",IF(AND(I124&gt;=2,I124&lt;=3.5),"标准",IF(I124&gt;=3.6,"紧凑",""))))</f>
        <v/>
      </c>
      <c r="M124" s="2" t="inlineStr">
        <is>
          <t>极紧凑-豹子号</t>
        </is>
      </c>
      <c r="N124" s="2" t="inlineStr">
        <is>
          <t>松散-极松散</t>
        </is>
      </c>
      <c r="O124" s="2" t="inlineStr">
        <is>
          <t>松散-标准松散</t>
        </is>
      </c>
      <c r="P124" s="2" t="inlineStr">
        <is>
          <t>松散-偏紧松散</t>
        </is>
      </c>
      <c r="Q124" s="2" t="inlineStr">
        <is>
          <t>标准-偏松标准</t>
        </is>
      </c>
      <c r="R124" s="2" t="inlineStr">
        <is>
          <t>标准-核心标准</t>
        </is>
      </c>
      <c r="S124" s="2" t="inlineStr">
        <is>
          <t>标准-偏紧标准</t>
        </is>
      </c>
      <c r="T124" s="2" t="inlineStr">
        <is>
          <t>紧凑-标准紧凑</t>
        </is>
      </c>
      <c r="U124" s="2" t="inlineStr">
        <is>
          <t>紧凑-高度紧凑</t>
        </is>
      </c>
      <c r="V124" s="2" t="inlineStr">
        <is>
          <t>紧凑-极度紧凑</t>
        </is>
      </c>
    </row>
    <row r="125">
      <c r="A125" s="1" t="n">
        <v>2023043</v>
      </c>
      <c r="B125" s="3" t="inlineStr">
        <is>
          <t>568</t>
        </is>
      </c>
      <c r="C125" s="2">
        <f>IF(B125="","",LEFT(TEXT(B125,"000"),1)*1)</f>
        <v/>
      </c>
      <c r="D125" s="2">
        <f>IF(B125="","",MID(TEXT(B125,"000"),2,1)*1)</f>
        <v/>
      </c>
      <c r="E125" s="2">
        <f>IF(B125="","",RIGHT(TEXT(B125,"000"),1)*1)</f>
        <v/>
      </c>
      <c r="F125" s="2">
        <f>IF(B125="","",C125+D125+E125)</f>
        <v/>
      </c>
      <c r="G125" s="2">
        <f>IF(B125="","",MOD(F125,10))</f>
        <v/>
      </c>
      <c r="H125" s="2">
        <f>IF(B125="","",MAX(C125,D125,E125)-MIN(C125,D125,E125))</f>
        <v/>
      </c>
      <c r="I125" s="2">
        <f>IF(OR(B125="",H125=0),IF(H125=0,0.1,""),ROUND(F125/H125,2))</f>
        <v/>
      </c>
      <c r="J125" s="2">
        <f>IF(I125=0.1,"极紧凑",IF(I125&gt;3.5,"紧凑",IF(AND(I125&gt;=2,I125&lt;=3.5),"标准",IF(AND(I125&gt;=1,I125&lt;2),"松散",""))))</f>
        <v/>
      </c>
      <c r="K125" s="2">
        <f>IF(I125=0.1,"极紧凑-豹子号",IF(AND(I125&gt;=1,I125&lt;=1.29),"松散-极松散",IF(AND(I125&gt;=1.33,I125&lt;=1.8),"松散-标准松散",IF(AND(I125&gt;=1.83,I125&lt;=1.89),"松散-偏紧松散",IF(AND(I125&gt;=2,I125&lt;=2.5),"标准-偏松标准",IF(AND(I125&gt;=2.57,I125&lt;=3),"标准-核心标准",IF(AND(I125&gt;=3.17,I125&lt;=3.5),"标准-偏紧标准",IF(AND(I125&gt;=3.6,I125&lt;=5),"紧凑-标准紧凑",IF(AND(I125&gt;=5.25,I125&lt;=8),"紧凑-高度紧凑",IF(I125&gt;=8.5,"紧凑-极度紧凑",""))))))))))</f>
        <v/>
      </c>
      <c r="L125" s="2">
        <f>IF(I125=0.1,"极紧凑",IF(AND(I125&gt;=1,I125&lt;=1.89),"松散",IF(AND(I125&gt;=2,I125&lt;=3.5),"标准",IF(I125&gt;=3.6,"紧凑",""))))</f>
        <v/>
      </c>
      <c r="M125" s="2" t="inlineStr">
        <is>
          <t>极紧凑-豹子号</t>
        </is>
      </c>
      <c r="N125" s="2" t="inlineStr">
        <is>
          <t>松散-极松散</t>
        </is>
      </c>
      <c r="O125" s="2" t="inlineStr">
        <is>
          <t>松散-标准松散</t>
        </is>
      </c>
      <c r="P125" s="2" t="inlineStr">
        <is>
          <t>松散-偏紧松散</t>
        </is>
      </c>
      <c r="Q125" s="2" t="inlineStr">
        <is>
          <t>标准-偏松标准</t>
        </is>
      </c>
      <c r="R125" s="2" t="inlineStr">
        <is>
          <t>标准-核心标准</t>
        </is>
      </c>
      <c r="S125" s="2" t="inlineStr">
        <is>
          <t>标准-偏紧标准</t>
        </is>
      </c>
      <c r="T125" s="2" t="inlineStr">
        <is>
          <t>紧凑-标准紧凑</t>
        </is>
      </c>
      <c r="U125" s="2" t="inlineStr">
        <is>
          <t>紧凑-高度紧凑</t>
        </is>
      </c>
      <c r="V125" s="2" t="inlineStr">
        <is>
          <t>紧凑-极度紧凑</t>
        </is>
      </c>
    </row>
    <row r="126">
      <c r="A126" s="1" t="n">
        <v>2023044</v>
      </c>
      <c r="B126" s="3" t="inlineStr">
        <is>
          <t>082</t>
        </is>
      </c>
      <c r="C126" s="2">
        <f>IF(B126="","",LEFT(TEXT(B126,"000"),1)*1)</f>
        <v/>
      </c>
      <c r="D126" s="2">
        <f>IF(B126="","",MID(TEXT(B126,"000"),2,1)*1)</f>
        <v/>
      </c>
      <c r="E126" s="2">
        <f>IF(B126="","",RIGHT(TEXT(B126,"000"),1)*1)</f>
        <v/>
      </c>
      <c r="F126" s="2">
        <f>IF(B126="","",C126+D126+E126)</f>
        <v/>
      </c>
      <c r="G126" s="2">
        <f>IF(B126="","",MOD(F126,10))</f>
        <v/>
      </c>
      <c r="H126" s="2">
        <f>IF(B126="","",MAX(C126,D126,E126)-MIN(C126,D126,E126))</f>
        <v/>
      </c>
      <c r="I126" s="2">
        <f>IF(OR(B126="",H126=0),IF(H126=0,0.1,""),ROUND(F126/H126,2))</f>
        <v/>
      </c>
      <c r="J126" s="2">
        <f>IF(I126=0.1,"极紧凑",IF(I126&gt;3.5,"紧凑",IF(AND(I126&gt;=2,I126&lt;=3.5),"标准",IF(AND(I126&gt;=1,I126&lt;2),"松散",""))))</f>
        <v/>
      </c>
      <c r="K126" s="2">
        <f>IF(I126=0.1,"极紧凑-豹子号",IF(AND(I126&gt;=1,I126&lt;=1.29),"松散-极松散",IF(AND(I126&gt;=1.33,I126&lt;=1.8),"松散-标准松散",IF(AND(I126&gt;=1.83,I126&lt;=1.89),"松散-偏紧松散",IF(AND(I126&gt;=2,I126&lt;=2.5),"标准-偏松标准",IF(AND(I126&gt;=2.57,I126&lt;=3),"标准-核心标准",IF(AND(I126&gt;=3.17,I126&lt;=3.5),"标准-偏紧标准",IF(AND(I126&gt;=3.6,I126&lt;=5),"紧凑-标准紧凑",IF(AND(I126&gt;=5.25,I126&lt;=8),"紧凑-高度紧凑",IF(I126&gt;=8.5,"紧凑-极度紧凑",""))))))))))</f>
        <v/>
      </c>
      <c r="L126" s="2">
        <f>IF(I126=0.1,"极紧凑",IF(AND(I126&gt;=1,I126&lt;=1.89),"松散",IF(AND(I126&gt;=2,I126&lt;=3.5),"标准",IF(I126&gt;=3.6,"紧凑",""))))</f>
        <v/>
      </c>
      <c r="M126" s="2" t="inlineStr">
        <is>
          <t>极紧凑-豹子号</t>
        </is>
      </c>
      <c r="N126" s="2" t="inlineStr">
        <is>
          <t>松散-极松散</t>
        </is>
      </c>
      <c r="O126" s="2" t="inlineStr">
        <is>
          <t>松散-标准松散</t>
        </is>
      </c>
      <c r="P126" s="2" t="inlineStr">
        <is>
          <t>松散-偏紧松散</t>
        </is>
      </c>
      <c r="Q126" s="2" t="inlineStr">
        <is>
          <t>标准-偏松标准</t>
        </is>
      </c>
      <c r="R126" s="2" t="inlineStr">
        <is>
          <t>标准-核心标准</t>
        </is>
      </c>
      <c r="S126" s="2" t="inlineStr">
        <is>
          <t>标准-偏紧标准</t>
        </is>
      </c>
      <c r="T126" s="2" t="inlineStr">
        <is>
          <t>紧凑-标准紧凑</t>
        </is>
      </c>
      <c r="U126" s="2" t="inlineStr">
        <is>
          <t>紧凑-高度紧凑</t>
        </is>
      </c>
      <c r="V126" s="2" t="inlineStr">
        <is>
          <t>紧凑-极度紧凑</t>
        </is>
      </c>
    </row>
    <row r="127">
      <c r="A127" s="1" t="n">
        <v>2023045</v>
      </c>
      <c r="B127" s="2" t="n">
        <v>659</v>
      </c>
      <c r="C127" s="2">
        <f>IF(B127="","",LEFT(TEXT(B127,"000"),1)*1)</f>
        <v/>
      </c>
      <c r="D127" s="2">
        <f>IF(B127="","",MID(TEXT(B127,"000"),2,1)*1)</f>
        <v/>
      </c>
      <c r="E127" s="2">
        <f>IF(B127="","",RIGHT(TEXT(B127,"000"),1)*1)</f>
        <v/>
      </c>
      <c r="F127" s="2">
        <f>IF(B127="","",C127+D127+E127)</f>
        <v/>
      </c>
      <c r="G127" s="2">
        <f>IF(B127="","",MOD(F127,10))</f>
        <v/>
      </c>
      <c r="H127" s="2">
        <f>IF(B127="","",MAX(C127,D127,E127)-MIN(C127,D127,E127))</f>
        <v/>
      </c>
      <c r="I127" s="2">
        <f>IF(OR(B127="",H127=0),IF(H127=0,0.1,""),ROUND(F127/H127,2))</f>
        <v/>
      </c>
      <c r="J127" s="2">
        <f>IF(I127=0.1,"极紧凑",IF(I127&gt;3.5,"紧凑",IF(AND(I127&gt;=2,I127&lt;=3.5),"标准",IF(AND(I127&gt;=1,I127&lt;2),"松散",""))))</f>
        <v/>
      </c>
      <c r="K127" s="2">
        <f>IF(I127=0.1,"极紧凑-豹子号",IF(AND(I127&gt;=1,I127&lt;=1.29),"松散-极松散",IF(AND(I127&gt;=1.33,I127&lt;=1.8),"松散-标准松散",IF(AND(I127&gt;=1.83,I127&lt;=1.89),"松散-偏紧松散",IF(AND(I127&gt;=2,I127&lt;=2.5),"标准-偏松标准",IF(AND(I127&gt;=2.57,I127&lt;=3),"标准-核心标准",IF(AND(I127&gt;=3.17,I127&lt;=3.5),"标准-偏紧标准",IF(AND(I127&gt;=3.6,I127&lt;=5),"紧凑-标准紧凑",IF(AND(I127&gt;=5.25,I127&lt;=8),"紧凑-高度紧凑",IF(I127&gt;=8.5,"紧凑-极度紧凑",""))))))))))</f>
        <v/>
      </c>
      <c r="L127" s="2">
        <f>IF(I127=0.1,"极紧凑",IF(AND(I127&gt;=1,I127&lt;=1.89),"松散",IF(AND(I127&gt;=2,I127&lt;=3.5),"标准",IF(I127&gt;=3.6,"紧凑",""))))</f>
        <v/>
      </c>
      <c r="M127" s="2" t="inlineStr">
        <is>
          <t>极紧凑-豹子号</t>
        </is>
      </c>
      <c r="N127" s="2" t="inlineStr">
        <is>
          <t>松散-极松散</t>
        </is>
      </c>
      <c r="O127" s="2" t="inlineStr">
        <is>
          <t>松散-标准松散</t>
        </is>
      </c>
      <c r="P127" s="2" t="inlineStr">
        <is>
          <t>松散-偏紧松散</t>
        </is>
      </c>
      <c r="Q127" s="2" t="inlineStr">
        <is>
          <t>标准-偏松标准</t>
        </is>
      </c>
      <c r="R127" s="2" t="inlineStr">
        <is>
          <t>标准-核心标准</t>
        </is>
      </c>
      <c r="S127" s="2" t="inlineStr">
        <is>
          <t>标准-偏紧标准</t>
        </is>
      </c>
      <c r="T127" s="2" t="inlineStr">
        <is>
          <t>紧凑-标准紧凑</t>
        </is>
      </c>
      <c r="U127" s="2" t="inlineStr">
        <is>
          <t>紧凑-高度紧凑</t>
        </is>
      </c>
      <c r="V127" s="2" t="inlineStr">
        <is>
          <t>紧凑-极度紧凑</t>
        </is>
      </c>
    </row>
    <row r="128">
      <c r="A128" s="1" t="n">
        <v>2023046</v>
      </c>
      <c r="B128" s="3" t="inlineStr">
        <is>
          <t>885</t>
        </is>
      </c>
      <c r="C128" s="2">
        <f>IF(B128="","",LEFT(TEXT(B128,"000"),1)*1)</f>
        <v/>
      </c>
      <c r="D128" s="2">
        <f>IF(B128="","",MID(TEXT(B128,"000"),2,1)*1)</f>
        <v/>
      </c>
      <c r="E128" s="2">
        <f>IF(B128="","",RIGHT(TEXT(B128,"000"),1)*1)</f>
        <v/>
      </c>
      <c r="F128" s="2">
        <f>IF(B128="","",C128+D128+E128)</f>
        <v/>
      </c>
      <c r="G128" s="2">
        <f>IF(B128="","",MOD(F128,10))</f>
        <v/>
      </c>
      <c r="H128" s="2">
        <f>IF(B128="","",MAX(C128,D128,E128)-MIN(C128,D128,E128))</f>
        <v/>
      </c>
      <c r="I128" s="2">
        <f>IF(OR(B128="",H128=0),IF(H128=0,0.1,""),ROUND(F128/H128,2))</f>
        <v/>
      </c>
      <c r="J128" s="2">
        <f>IF(I128=0.1,"极紧凑",IF(I128&gt;3.5,"紧凑",IF(AND(I128&gt;=2,I128&lt;=3.5),"标准",IF(AND(I128&gt;=1,I128&lt;2),"松散",""))))</f>
        <v/>
      </c>
      <c r="K128" s="2">
        <f>IF(I128=0.1,"极紧凑-豹子号",IF(AND(I128&gt;=1,I128&lt;=1.29),"松散-极松散",IF(AND(I128&gt;=1.33,I128&lt;=1.8),"松散-标准松散",IF(AND(I128&gt;=1.83,I128&lt;=1.89),"松散-偏紧松散",IF(AND(I128&gt;=2,I128&lt;=2.5),"标准-偏松标准",IF(AND(I128&gt;=2.57,I128&lt;=3),"标准-核心标准",IF(AND(I128&gt;=3.17,I128&lt;=3.5),"标准-偏紧标准",IF(AND(I128&gt;=3.6,I128&lt;=5),"紧凑-标准紧凑",IF(AND(I128&gt;=5.25,I128&lt;=8),"紧凑-高度紧凑",IF(I128&gt;=8.5,"紧凑-极度紧凑",""))))))))))</f>
        <v/>
      </c>
      <c r="L128" s="2">
        <f>IF(I128=0.1,"极紧凑",IF(AND(I128&gt;=1,I128&lt;=1.89),"松散",IF(AND(I128&gt;=2,I128&lt;=3.5),"标准",IF(I128&gt;=3.6,"紧凑",""))))</f>
        <v/>
      </c>
      <c r="M128" s="2" t="inlineStr">
        <is>
          <t>极紧凑-豹子号</t>
        </is>
      </c>
      <c r="N128" s="2" t="inlineStr">
        <is>
          <t>松散-极松散</t>
        </is>
      </c>
      <c r="O128" s="2" t="inlineStr">
        <is>
          <t>松散-标准松散</t>
        </is>
      </c>
      <c r="P128" s="2" t="inlineStr">
        <is>
          <t>松散-偏紧松散</t>
        </is>
      </c>
      <c r="Q128" s="2" t="inlineStr">
        <is>
          <t>标准-偏松标准</t>
        </is>
      </c>
      <c r="R128" s="2" t="inlineStr">
        <is>
          <t>标准-核心标准</t>
        </is>
      </c>
      <c r="S128" s="2" t="inlineStr">
        <is>
          <t>标准-偏紧标准</t>
        </is>
      </c>
      <c r="T128" s="2" t="inlineStr">
        <is>
          <t>紧凑-标准紧凑</t>
        </is>
      </c>
      <c r="U128" s="2" t="inlineStr">
        <is>
          <t>紧凑-高度紧凑</t>
        </is>
      </c>
      <c r="V128" s="2" t="inlineStr">
        <is>
          <t>紧凑-极度紧凑</t>
        </is>
      </c>
    </row>
    <row r="129">
      <c r="A129" s="1" t="n">
        <v>2023047</v>
      </c>
      <c r="B129" s="3" t="inlineStr">
        <is>
          <t>578</t>
        </is>
      </c>
      <c r="C129" s="2">
        <f>IF(B129="","",LEFT(TEXT(B129,"000"),1)*1)</f>
        <v/>
      </c>
      <c r="D129" s="2">
        <f>IF(B129="","",MID(TEXT(B129,"000"),2,1)*1)</f>
        <v/>
      </c>
      <c r="E129" s="2">
        <f>IF(B129="","",RIGHT(TEXT(B129,"000"),1)*1)</f>
        <v/>
      </c>
      <c r="F129" s="2">
        <f>IF(B129="","",C129+D129+E129)</f>
        <v/>
      </c>
      <c r="G129" s="2">
        <f>IF(B129="","",MOD(F129,10))</f>
        <v/>
      </c>
      <c r="H129" s="2">
        <f>IF(B129="","",MAX(C129,D129,E129)-MIN(C129,D129,E129))</f>
        <v/>
      </c>
      <c r="I129" s="2">
        <f>IF(OR(B129="",H129=0),IF(H129=0,0.1,""),ROUND(F129/H129,2))</f>
        <v/>
      </c>
      <c r="J129" s="2">
        <f>IF(I129=0.1,"极紧凑",IF(I129&gt;3.5,"紧凑",IF(AND(I129&gt;=2,I129&lt;=3.5),"标准",IF(AND(I129&gt;=1,I129&lt;2),"松散",""))))</f>
        <v/>
      </c>
      <c r="K129" s="2">
        <f>IF(I129=0.1,"极紧凑-豹子号",IF(AND(I129&gt;=1,I129&lt;=1.29),"松散-极松散",IF(AND(I129&gt;=1.33,I129&lt;=1.8),"松散-标准松散",IF(AND(I129&gt;=1.83,I129&lt;=1.89),"松散-偏紧松散",IF(AND(I129&gt;=2,I129&lt;=2.5),"标准-偏松标准",IF(AND(I129&gt;=2.57,I129&lt;=3),"标准-核心标准",IF(AND(I129&gt;=3.17,I129&lt;=3.5),"标准-偏紧标准",IF(AND(I129&gt;=3.6,I129&lt;=5),"紧凑-标准紧凑",IF(AND(I129&gt;=5.25,I129&lt;=8),"紧凑-高度紧凑",IF(I129&gt;=8.5,"紧凑-极度紧凑",""))))))))))</f>
        <v/>
      </c>
      <c r="L129" s="2">
        <f>IF(I129=0.1,"极紧凑",IF(AND(I129&gt;=1,I129&lt;=1.89),"松散",IF(AND(I129&gt;=2,I129&lt;=3.5),"标准",IF(I129&gt;=3.6,"紧凑",""))))</f>
        <v/>
      </c>
      <c r="M129" s="2" t="inlineStr">
        <is>
          <t>极紧凑-豹子号</t>
        </is>
      </c>
      <c r="N129" s="2" t="inlineStr">
        <is>
          <t>松散-极松散</t>
        </is>
      </c>
      <c r="O129" s="2" t="inlineStr">
        <is>
          <t>松散-标准松散</t>
        </is>
      </c>
      <c r="P129" s="2" t="inlineStr">
        <is>
          <t>松散-偏紧松散</t>
        </is>
      </c>
      <c r="Q129" s="2" t="inlineStr">
        <is>
          <t>标准-偏松标准</t>
        </is>
      </c>
      <c r="R129" s="2" t="inlineStr">
        <is>
          <t>标准-核心标准</t>
        </is>
      </c>
      <c r="S129" s="2" t="inlineStr">
        <is>
          <t>标准-偏紧标准</t>
        </is>
      </c>
      <c r="T129" s="2" t="inlineStr">
        <is>
          <t>紧凑-标准紧凑</t>
        </is>
      </c>
      <c r="U129" s="2" t="inlineStr">
        <is>
          <t>紧凑-高度紧凑</t>
        </is>
      </c>
      <c r="V129" s="2" t="inlineStr">
        <is>
          <t>紧凑-极度紧凑</t>
        </is>
      </c>
    </row>
    <row r="130">
      <c r="A130" s="1" t="n">
        <v>2023048</v>
      </c>
      <c r="B130" s="2" t="n">
        <v>581</v>
      </c>
      <c r="C130" s="2">
        <f>IF(B130="","",LEFT(TEXT(B130,"000"),1)*1)</f>
        <v/>
      </c>
      <c r="D130" s="2">
        <f>IF(B130="","",MID(TEXT(B130,"000"),2,1)*1)</f>
        <v/>
      </c>
      <c r="E130" s="2">
        <f>IF(B130="","",RIGHT(TEXT(B130,"000"),1)*1)</f>
        <v/>
      </c>
      <c r="F130" s="2">
        <f>IF(B130="","",C130+D130+E130)</f>
        <v/>
      </c>
      <c r="G130" s="2">
        <f>IF(B130="","",MOD(F130,10))</f>
        <v/>
      </c>
      <c r="H130" s="2">
        <f>IF(B130="","",MAX(C130,D130,E130)-MIN(C130,D130,E130))</f>
        <v/>
      </c>
      <c r="I130" s="2">
        <f>IF(OR(B130="",H130=0),IF(H130=0,0.1,""),ROUND(F130/H130,2))</f>
        <v/>
      </c>
      <c r="J130" s="2">
        <f>IF(I130=0.1,"极紧凑",IF(I130&gt;3.5,"紧凑",IF(AND(I130&gt;=2,I130&lt;=3.5),"标准",IF(AND(I130&gt;=1,I130&lt;2),"松散",""))))</f>
        <v/>
      </c>
      <c r="K130" s="2">
        <f>IF(I130=0.1,"极紧凑-豹子号",IF(AND(I130&gt;=1,I130&lt;=1.29),"松散-极松散",IF(AND(I130&gt;=1.33,I130&lt;=1.8),"松散-标准松散",IF(AND(I130&gt;=1.83,I130&lt;=1.89),"松散-偏紧松散",IF(AND(I130&gt;=2,I130&lt;=2.5),"标准-偏松标准",IF(AND(I130&gt;=2.57,I130&lt;=3),"标准-核心标准",IF(AND(I130&gt;=3.17,I130&lt;=3.5),"标准-偏紧标准",IF(AND(I130&gt;=3.6,I130&lt;=5),"紧凑-标准紧凑",IF(AND(I130&gt;=5.25,I130&lt;=8),"紧凑-高度紧凑",IF(I130&gt;=8.5,"紧凑-极度紧凑",""))))))))))</f>
        <v/>
      </c>
      <c r="L130" s="2">
        <f>IF(I130=0.1,"极紧凑",IF(AND(I130&gt;=1,I130&lt;=1.89),"松散",IF(AND(I130&gt;=2,I130&lt;=3.5),"标准",IF(I130&gt;=3.6,"紧凑",""))))</f>
        <v/>
      </c>
      <c r="M130" s="2" t="inlineStr">
        <is>
          <t>极紧凑-豹子号</t>
        </is>
      </c>
      <c r="N130" s="2" t="inlineStr">
        <is>
          <t>松散-极松散</t>
        </is>
      </c>
      <c r="O130" s="2" t="inlineStr">
        <is>
          <t>松散-标准松散</t>
        </is>
      </c>
      <c r="P130" s="2" t="inlineStr">
        <is>
          <t>松散-偏紧松散</t>
        </is>
      </c>
      <c r="Q130" s="2" t="inlineStr">
        <is>
          <t>标准-偏松标准</t>
        </is>
      </c>
      <c r="R130" s="2" t="inlineStr">
        <is>
          <t>标准-核心标准</t>
        </is>
      </c>
      <c r="S130" s="2" t="inlineStr">
        <is>
          <t>标准-偏紧标准</t>
        </is>
      </c>
      <c r="T130" s="2" t="inlineStr">
        <is>
          <t>紧凑-标准紧凑</t>
        </is>
      </c>
      <c r="U130" s="2" t="inlineStr">
        <is>
          <t>紧凑-高度紧凑</t>
        </is>
      </c>
      <c r="V130" s="2" t="inlineStr">
        <is>
          <t>紧凑-极度紧凑</t>
        </is>
      </c>
    </row>
    <row r="131">
      <c r="A131" s="1" t="n">
        <v>2023049</v>
      </c>
      <c r="B131" s="3" t="inlineStr">
        <is>
          <t>928</t>
        </is>
      </c>
      <c r="C131" s="2">
        <f>IF(B131="","",LEFT(TEXT(B131,"000"),1)*1)</f>
        <v/>
      </c>
      <c r="D131" s="2">
        <f>IF(B131="","",MID(TEXT(B131,"000"),2,1)*1)</f>
        <v/>
      </c>
      <c r="E131" s="2">
        <f>IF(B131="","",RIGHT(TEXT(B131,"000"),1)*1)</f>
        <v/>
      </c>
      <c r="F131" s="2">
        <f>IF(B131="","",C131+D131+E131)</f>
        <v/>
      </c>
      <c r="G131" s="2">
        <f>IF(B131="","",MOD(F131,10))</f>
        <v/>
      </c>
      <c r="H131" s="2">
        <f>IF(B131="","",MAX(C131,D131,E131)-MIN(C131,D131,E131))</f>
        <v/>
      </c>
      <c r="I131" s="2">
        <f>IF(OR(B131="",H131=0),IF(H131=0,0.1,""),ROUND(F131/H131,2))</f>
        <v/>
      </c>
      <c r="J131" s="2">
        <f>IF(I131=0.1,"极紧凑",IF(I131&gt;3.5,"紧凑",IF(AND(I131&gt;=2,I131&lt;=3.5),"标准",IF(AND(I131&gt;=1,I131&lt;2),"松散",""))))</f>
        <v/>
      </c>
      <c r="K131" s="2">
        <f>IF(I131=0.1,"极紧凑-豹子号",IF(AND(I131&gt;=1,I131&lt;=1.29),"松散-极松散",IF(AND(I131&gt;=1.33,I131&lt;=1.8),"松散-标准松散",IF(AND(I131&gt;=1.83,I131&lt;=1.89),"松散-偏紧松散",IF(AND(I131&gt;=2,I131&lt;=2.5),"标准-偏松标准",IF(AND(I131&gt;=2.57,I131&lt;=3),"标准-核心标准",IF(AND(I131&gt;=3.17,I131&lt;=3.5),"标准-偏紧标准",IF(AND(I131&gt;=3.6,I131&lt;=5),"紧凑-标准紧凑",IF(AND(I131&gt;=5.25,I131&lt;=8),"紧凑-高度紧凑",IF(I131&gt;=8.5,"紧凑-极度紧凑",""))))))))))</f>
        <v/>
      </c>
      <c r="L131" s="2">
        <f>IF(I131=0.1,"极紧凑",IF(AND(I131&gt;=1,I131&lt;=1.89),"松散",IF(AND(I131&gt;=2,I131&lt;=3.5),"标准",IF(I131&gt;=3.6,"紧凑",""))))</f>
        <v/>
      </c>
      <c r="M131" s="2" t="inlineStr">
        <is>
          <t>极紧凑-豹子号</t>
        </is>
      </c>
      <c r="N131" s="2" t="inlineStr">
        <is>
          <t>松散-极松散</t>
        </is>
      </c>
      <c r="O131" s="2" t="inlineStr">
        <is>
          <t>松散-标准松散</t>
        </is>
      </c>
      <c r="P131" s="2" t="inlineStr">
        <is>
          <t>松散-偏紧松散</t>
        </is>
      </c>
      <c r="Q131" s="2" t="inlineStr">
        <is>
          <t>标准-偏松标准</t>
        </is>
      </c>
      <c r="R131" s="2" t="inlineStr">
        <is>
          <t>标准-核心标准</t>
        </is>
      </c>
      <c r="S131" s="2" t="inlineStr">
        <is>
          <t>标准-偏紧标准</t>
        </is>
      </c>
      <c r="T131" s="2" t="inlineStr">
        <is>
          <t>紧凑-标准紧凑</t>
        </is>
      </c>
      <c r="U131" s="2" t="inlineStr">
        <is>
          <t>紧凑-高度紧凑</t>
        </is>
      </c>
      <c r="V131" s="2" t="inlineStr">
        <is>
          <t>紧凑-极度紧凑</t>
        </is>
      </c>
    </row>
    <row r="132">
      <c r="A132" s="1" t="n">
        <v>2023050</v>
      </c>
      <c r="B132" s="3" t="inlineStr">
        <is>
          <t>714</t>
        </is>
      </c>
      <c r="C132" s="2">
        <f>IF(B132="","",LEFT(TEXT(B132,"000"),1)*1)</f>
        <v/>
      </c>
      <c r="D132" s="2">
        <f>IF(B132="","",MID(TEXT(B132,"000"),2,1)*1)</f>
        <v/>
      </c>
      <c r="E132" s="2">
        <f>IF(B132="","",RIGHT(TEXT(B132,"000"),1)*1)</f>
        <v/>
      </c>
      <c r="F132" s="2">
        <f>IF(B132="","",C132+D132+E132)</f>
        <v/>
      </c>
      <c r="G132" s="2">
        <f>IF(B132="","",MOD(F132,10))</f>
        <v/>
      </c>
      <c r="H132" s="2">
        <f>IF(B132="","",MAX(C132,D132,E132)-MIN(C132,D132,E132))</f>
        <v/>
      </c>
      <c r="I132" s="2">
        <f>IF(OR(B132="",H132=0),IF(H132=0,0.1,""),ROUND(F132/H132,2))</f>
        <v/>
      </c>
      <c r="J132" s="2">
        <f>IF(I132=0.1,"极紧凑",IF(I132&gt;3.5,"紧凑",IF(AND(I132&gt;=2,I132&lt;=3.5),"标准",IF(AND(I132&gt;=1,I132&lt;2),"松散",""))))</f>
        <v/>
      </c>
      <c r="K132" s="2">
        <f>IF(I132=0.1,"极紧凑-豹子号",IF(AND(I132&gt;=1,I132&lt;=1.29),"松散-极松散",IF(AND(I132&gt;=1.33,I132&lt;=1.8),"松散-标准松散",IF(AND(I132&gt;=1.83,I132&lt;=1.89),"松散-偏紧松散",IF(AND(I132&gt;=2,I132&lt;=2.5),"标准-偏松标准",IF(AND(I132&gt;=2.57,I132&lt;=3),"标准-核心标准",IF(AND(I132&gt;=3.17,I132&lt;=3.5),"标准-偏紧标准",IF(AND(I132&gt;=3.6,I132&lt;=5),"紧凑-标准紧凑",IF(AND(I132&gt;=5.25,I132&lt;=8),"紧凑-高度紧凑",IF(I132&gt;=8.5,"紧凑-极度紧凑",""))))))))))</f>
        <v/>
      </c>
      <c r="L132" s="2">
        <f>IF(I132=0.1,"极紧凑",IF(AND(I132&gt;=1,I132&lt;=1.89),"松散",IF(AND(I132&gt;=2,I132&lt;=3.5),"标准",IF(I132&gt;=3.6,"紧凑",""))))</f>
        <v/>
      </c>
      <c r="M132" s="2" t="inlineStr">
        <is>
          <t>极紧凑-豹子号</t>
        </is>
      </c>
      <c r="N132" s="2" t="inlineStr">
        <is>
          <t>松散-极松散</t>
        </is>
      </c>
      <c r="O132" s="2" t="inlineStr">
        <is>
          <t>松散-标准松散</t>
        </is>
      </c>
      <c r="P132" s="2" t="inlineStr">
        <is>
          <t>松散-偏紧松散</t>
        </is>
      </c>
      <c r="Q132" s="2" t="inlineStr">
        <is>
          <t>标准-偏松标准</t>
        </is>
      </c>
      <c r="R132" s="2" t="inlineStr">
        <is>
          <t>标准-核心标准</t>
        </is>
      </c>
      <c r="S132" s="2" t="inlineStr">
        <is>
          <t>标准-偏紧标准</t>
        </is>
      </c>
      <c r="T132" s="2" t="inlineStr">
        <is>
          <t>紧凑-标准紧凑</t>
        </is>
      </c>
      <c r="U132" s="2" t="inlineStr">
        <is>
          <t>紧凑-高度紧凑</t>
        </is>
      </c>
      <c r="V132" s="2" t="inlineStr">
        <is>
          <t>紧凑-极度紧凑</t>
        </is>
      </c>
    </row>
    <row r="133">
      <c r="A133" s="1" t="n">
        <v>2023051</v>
      </c>
      <c r="B133" s="3" t="inlineStr">
        <is>
          <t>940</t>
        </is>
      </c>
      <c r="C133" s="2">
        <f>IF(B133="","",LEFT(TEXT(B133,"000"),1)*1)</f>
        <v/>
      </c>
      <c r="D133" s="2">
        <f>IF(B133="","",MID(TEXT(B133,"000"),2,1)*1)</f>
        <v/>
      </c>
      <c r="E133" s="2">
        <f>IF(B133="","",RIGHT(TEXT(B133,"000"),1)*1)</f>
        <v/>
      </c>
      <c r="F133" s="2">
        <f>IF(B133="","",C133+D133+E133)</f>
        <v/>
      </c>
      <c r="G133" s="2">
        <f>IF(B133="","",MOD(F133,10))</f>
        <v/>
      </c>
      <c r="H133" s="2">
        <f>IF(B133="","",MAX(C133,D133,E133)-MIN(C133,D133,E133))</f>
        <v/>
      </c>
      <c r="I133" s="2">
        <f>IF(OR(B133="",H133=0),IF(H133=0,0.1,""),ROUND(F133/H133,2))</f>
        <v/>
      </c>
      <c r="J133" s="2">
        <f>IF(I133=0.1,"极紧凑",IF(I133&gt;3.5,"紧凑",IF(AND(I133&gt;=2,I133&lt;=3.5),"标准",IF(AND(I133&gt;=1,I133&lt;2),"松散",""))))</f>
        <v/>
      </c>
      <c r="K133" s="2">
        <f>IF(I133=0.1,"极紧凑-豹子号",IF(AND(I133&gt;=1,I133&lt;=1.29),"松散-极松散",IF(AND(I133&gt;=1.33,I133&lt;=1.8),"松散-标准松散",IF(AND(I133&gt;=1.83,I133&lt;=1.89),"松散-偏紧松散",IF(AND(I133&gt;=2,I133&lt;=2.5),"标准-偏松标准",IF(AND(I133&gt;=2.57,I133&lt;=3),"标准-核心标准",IF(AND(I133&gt;=3.17,I133&lt;=3.5),"标准-偏紧标准",IF(AND(I133&gt;=3.6,I133&lt;=5),"紧凑-标准紧凑",IF(AND(I133&gt;=5.25,I133&lt;=8),"紧凑-高度紧凑",IF(I133&gt;=8.5,"紧凑-极度紧凑",""))))))))))</f>
        <v/>
      </c>
      <c r="L133" s="2">
        <f>IF(I133=0.1,"极紧凑",IF(AND(I133&gt;=1,I133&lt;=1.89),"松散",IF(AND(I133&gt;=2,I133&lt;=3.5),"标准",IF(I133&gt;=3.6,"紧凑",""))))</f>
        <v/>
      </c>
      <c r="M133" s="2" t="inlineStr">
        <is>
          <t>极紧凑-豹子号</t>
        </is>
      </c>
      <c r="N133" s="2" t="inlineStr">
        <is>
          <t>松散-极松散</t>
        </is>
      </c>
      <c r="O133" s="2" t="inlineStr">
        <is>
          <t>松散-标准松散</t>
        </is>
      </c>
      <c r="P133" s="2" t="inlineStr">
        <is>
          <t>松散-偏紧松散</t>
        </is>
      </c>
      <c r="Q133" s="2" t="inlineStr">
        <is>
          <t>标准-偏松标准</t>
        </is>
      </c>
      <c r="R133" s="2" t="inlineStr">
        <is>
          <t>标准-核心标准</t>
        </is>
      </c>
      <c r="S133" s="2" t="inlineStr">
        <is>
          <t>标准-偏紧标准</t>
        </is>
      </c>
      <c r="T133" s="2" t="inlineStr">
        <is>
          <t>紧凑-标准紧凑</t>
        </is>
      </c>
      <c r="U133" s="2" t="inlineStr">
        <is>
          <t>紧凑-高度紧凑</t>
        </is>
      </c>
      <c r="V133" s="2" t="inlineStr">
        <is>
          <t>紧凑-极度紧凑</t>
        </is>
      </c>
    </row>
    <row r="134">
      <c r="A134" s="1" t="n">
        <v>2023052</v>
      </c>
      <c r="B134" s="3" t="inlineStr">
        <is>
          <t>383</t>
        </is>
      </c>
      <c r="C134" s="2">
        <f>IF(B134="","",LEFT(TEXT(B134,"000"),1)*1)</f>
        <v/>
      </c>
      <c r="D134" s="2">
        <f>IF(B134="","",MID(TEXT(B134,"000"),2,1)*1)</f>
        <v/>
      </c>
      <c r="E134" s="2">
        <f>IF(B134="","",RIGHT(TEXT(B134,"000"),1)*1)</f>
        <v/>
      </c>
      <c r="F134" s="2">
        <f>IF(B134="","",C134+D134+E134)</f>
        <v/>
      </c>
      <c r="G134" s="2">
        <f>IF(B134="","",MOD(F134,10))</f>
        <v/>
      </c>
      <c r="H134" s="2">
        <f>IF(B134="","",MAX(C134,D134,E134)-MIN(C134,D134,E134))</f>
        <v/>
      </c>
      <c r="I134" s="2">
        <f>IF(OR(B134="",H134=0),IF(H134=0,0.1,""),ROUND(F134/H134,2))</f>
        <v/>
      </c>
      <c r="J134" s="2">
        <f>IF(I134=0.1,"极紧凑",IF(I134&gt;3.5,"紧凑",IF(AND(I134&gt;=2,I134&lt;=3.5),"标准",IF(AND(I134&gt;=1,I134&lt;2),"松散",""))))</f>
        <v/>
      </c>
      <c r="K134" s="2">
        <f>IF(I134=0.1,"极紧凑-豹子号",IF(AND(I134&gt;=1,I134&lt;=1.29),"松散-极松散",IF(AND(I134&gt;=1.33,I134&lt;=1.8),"松散-标准松散",IF(AND(I134&gt;=1.83,I134&lt;=1.89),"松散-偏紧松散",IF(AND(I134&gt;=2,I134&lt;=2.5),"标准-偏松标准",IF(AND(I134&gt;=2.57,I134&lt;=3),"标准-核心标准",IF(AND(I134&gt;=3.17,I134&lt;=3.5),"标准-偏紧标准",IF(AND(I134&gt;=3.6,I134&lt;=5),"紧凑-标准紧凑",IF(AND(I134&gt;=5.25,I134&lt;=8),"紧凑-高度紧凑",IF(I134&gt;=8.5,"紧凑-极度紧凑",""))))))))))</f>
        <v/>
      </c>
      <c r="L134" s="2">
        <f>IF(I134=0.1,"极紧凑",IF(AND(I134&gt;=1,I134&lt;=1.89),"松散",IF(AND(I134&gt;=2,I134&lt;=3.5),"标准",IF(I134&gt;=3.6,"紧凑",""))))</f>
        <v/>
      </c>
      <c r="M134" s="2" t="inlineStr">
        <is>
          <t>极紧凑-豹子号</t>
        </is>
      </c>
      <c r="N134" s="2" t="inlineStr">
        <is>
          <t>松散-极松散</t>
        </is>
      </c>
      <c r="O134" s="2" t="inlineStr">
        <is>
          <t>松散-标准松散</t>
        </is>
      </c>
      <c r="P134" s="2" t="inlineStr">
        <is>
          <t>松散-偏紧松散</t>
        </is>
      </c>
      <c r="Q134" s="2" t="inlineStr">
        <is>
          <t>标准-偏松标准</t>
        </is>
      </c>
      <c r="R134" s="2" t="inlineStr">
        <is>
          <t>标准-核心标准</t>
        </is>
      </c>
      <c r="S134" s="2" t="inlineStr">
        <is>
          <t>标准-偏紧标准</t>
        </is>
      </c>
      <c r="T134" s="2" t="inlineStr">
        <is>
          <t>紧凑-标准紧凑</t>
        </is>
      </c>
      <c r="U134" s="2" t="inlineStr">
        <is>
          <t>紧凑-高度紧凑</t>
        </is>
      </c>
      <c r="V134" s="2" t="inlineStr">
        <is>
          <t>紧凑-极度紧凑</t>
        </is>
      </c>
    </row>
    <row r="135">
      <c r="A135" s="1" t="n">
        <v>2023053</v>
      </c>
      <c r="B135" s="3" t="inlineStr">
        <is>
          <t>364</t>
        </is>
      </c>
      <c r="C135" s="2">
        <f>IF(B135="","",LEFT(TEXT(B135,"000"),1)*1)</f>
        <v/>
      </c>
      <c r="D135" s="2">
        <f>IF(B135="","",MID(TEXT(B135,"000"),2,1)*1)</f>
        <v/>
      </c>
      <c r="E135" s="2">
        <f>IF(B135="","",RIGHT(TEXT(B135,"000"),1)*1)</f>
        <v/>
      </c>
      <c r="F135" s="2">
        <f>IF(B135="","",C135+D135+E135)</f>
        <v/>
      </c>
      <c r="G135" s="2">
        <f>IF(B135="","",MOD(F135,10))</f>
        <v/>
      </c>
      <c r="H135" s="2">
        <f>IF(B135="","",MAX(C135,D135,E135)-MIN(C135,D135,E135))</f>
        <v/>
      </c>
      <c r="I135" s="2">
        <f>IF(OR(B135="",H135=0),IF(H135=0,0.1,""),ROUND(F135/H135,2))</f>
        <v/>
      </c>
      <c r="J135" s="2">
        <f>IF(I135=0.1,"极紧凑",IF(I135&gt;3.5,"紧凑",IF(AND(I135&gt;=2,I135&lt;=3.5),"标准",IF(AND(I135&gt;=1,I135&lt;2),"松散",""))))</f>
        <v/>
      </c>
      <c r="K135" s="2">
        <f>IF(I135=0.1,"极紧凑-豹子号",IF(AND(I135&gt;=1,I135&lt;=1.29),"松散-极松散",IF(AND(I135&gt;=1.33,I135&lt;=1.8),"松散-标准松散",IF(AND(I135&gt;=1.83,I135&lt;=1.89),"松散-偏紧松散",IF(AND(I135&gt;=2,I135&lt;=2.5),"标准-偏松标准",IF(AND(I135&gt;=2.57,I135&lt;=3),"标准-核心标准",IF(AND(I135&gt;=3.17,I135&lt;=3.5),"标准-偏紧标准",IF(AND(I135&gt;=3.6,I135&lt;=5),"紧凑-标准紧凑",IF(AND(I135&gt;=5.25,I135&lt;=8),"紧凑-高度紧凑",IF(I135&gt;=8.5,"紧凑-极度紧凑",""))))))))))</f>
        <v/>
      </c>
      <c r="L135" s="2">
        <f>IF(I135=0.1,"极紧凑",IF(AND(I135&gt;=1,I135&lt;=1.89),"松散",IF(AND(I135&gt;=2,I135&lt;=3.5),"标准",IF(I135&gt;=3.6,"紧凑",""))))</f>
        <v/>
      </c>
      <c r="M135" s="2" t="inlineStr">
        <is>
          <t>极紧凑-豹子号</t>
        </is>
      </c>
      <c r="N135" s="2" t="inlineStr">
        <is>
          <t>松散-极松散</t>
        </is>
      </c>
      <c r="O135" s="2" t="inlineStr">
        <is>
          <t>松散-标准松散</t>
        </is>
      </c>
      <c r="P135" s="2" t="inlineStr">
        <is>
          <t>松散-偏紧松散</t>
        </is>
      </c>
      <c r="Q135" s="2" t="inlineStr">
        <is>
          <t>标准-偏松标准</t>
        </is>
      </c>
      <c r="R135" s="2" t="inlineStr">
        <is>
          <t>标准-核心标准</t>
        </is>
      </c>
      <c r="S135" s="2" t="inlineStr">
        <is>
          <t>标准-偏紧标准</t>
        </is>
      </c>
      <c r="T135" s="2" t="inlineStr">
        <is>
          <t>紧凑-标准紧凑</t>
        </is>
      </c>
      <c r="U135" s="2" t="inlineStr">
        <is>
          <t>紧凑-高度紧凑</t>
        </is>
      </c>
      <c r="V135" s="2" t="inlineStr">
        <is>
          <t>紧凑-极度紧凑</t>
        </is>
      </c>
    </row>
    <row r="136">
      <c r="A136" s="1" t="n">
        <v>2023054</v>
      </c>
      <c r="B136" s="3" t="inlineStr">
        <is>
          <t>348</t>
        </is>
      </c>
      <c r="C136" s="2">
        <f>IF(B136="","",LEFT(TEXT(B136,"000"),1)*1)</f>
        <v/>
      </c>
      <c r="D136" s="2">
        <f>IF(B136="","",MID(TEXT(B136,"000"),2,1)*1)</f>
        <v/>
      </c>
      <c r="E136" s="2">
        <f>IF(B136="","",RIGHT(TEXT(B136,"000"),1)*1)</f>
        <v/>
      </c>
      <c r="F136" s="2">
        <f>IF(B136="","",C136+D136+E136)</f>
        <v/>
      </c>
      <c r="G136" s="2">
        <f>IF(B136="","",MOD(F136,10))</f>
        <v/>
      </c>
      <c r="H136" s="2">
        <f>IF(B136="","",MAX(C136,D136,E136)-MIN(C136,D136,E136))</f>
        <v/>
      </c>
      <c r="I136" s="2">
        <f>IF(OR(B136="",H136=0),IF(H136=0,0.1,""),ROUND(F136/H136,2))</f>
        <v/>
      </c>
      <c r="J136" s="2">
        <f>IF(I136=0.1,"极紧凑",IF(I136&gt;3.5,"紧凑",IF(AND(I136&gt;=2,I136&lt;=3.5),"标准",IF(AND(I136&gt;=1,I136&lt;2),"松散",""))))</f>
        <v/>
      </c>
      <c r="K136" s="2">
        <f>IF(I136=0.1,"极紧凑-豹子号",IF(AND(I136&gt;=1,I136&lt;=1.29),"松散-极松散",IF(AND(I136&gt;=1.33,I136&lt;=1.8),"松散-标准松散",IF(AND(I136&gt;=1.83,I136&lt;=1.89),"松散-偏紧松散",IF(AND(I136&gt;=2,I136&lt;=2.5),"标准-偏松标准",IF(AND(I136&gt;=2.57,I136&lt;=3),"标准-核心标准",IF(AND(I136&gt;=3.17,I136&lt;=3.5),"标准-偏紧标准",IF(AND(I136&gt;=3.6,I136&lt;=5),"紧凑-标准紧凑",IF(AND(I136&gt;=5.25,I136&lt;=8),"紧凑-高度紧凑",IF(I136&gt;=8.5,"紧凑-极度紧凑",""))))))))))</f>
        <v/>
      </c>
      <c r="L136" s="2">
        <f>IF(I136=0.1,"极紧凑",IF(AND(I136&gt;=1,I136&lt;=1.89),"松散",IF(AND(I136&gt;=2,I136&lt;=3.5),"标准",IF(I136&gt;=3.6,"紧凑",""))))</f>
        <v/>
      </c>
      <c r="M136" s="2" t="inlineStr">
        <is>
          <t>极紧凑-豹子号</t>
        </is>
      </c>
      <c r="N136" s="2" t="inlineStr">
        <is>
          <t>松散-极松散</t>
        </is>
      </c>
      <c r="O136" s="2" t="inlineStr">
        <is>
          <t>松散-标准松散</t>
        </is>
      </c>
      <c r="P136" s="2" t="inlineStr">
        <is>
          <t>松散-偏紧松散</t>
        </is>
      </c>
      <c r="Q136" s="2" t="inlineStr">
        <is>
          <t>标准-偏松标准</t>
        </is>
      </c>
      <c r="R136" s="2" t="inlineStr">
        <is>
          <t>标准-核心标准</t>
        </is>
      </c>
      <c r="S136" s="2" t="inlineStr">
        <is>
          <t>标准-偏紧标准</t>
        </is>
      </c>
      <c r="T136" s="2" t="inlineStr">
        <is>
          <t>紧凑-标准紧凑</t>
        </is>
      </c>
      <c r="U136" s="2" t="inlineStr">
        <is>
          <t>紧凑-高度紧凑</t>
        </is>
      </c>
      <c r="V136" s="2" t="inlineStr">
        <is>
          <t>紧凑-极度紧凑</t>
        </is>
      </c>
    </row>
    <row r="137">
      <c r="A137" s="1" t="n">
        <v>2023055</v>
      </c>
      <c r="B137" s="3" t="inlineStr">
        <is>
          <t>882</t>
        </is>
      </c>
      <c r="C137" s="2">
        <f>IF(B137="","",LEFT(TEXT(B137,"000"),1)*1)</f>
        <v/>
      </c>
      <c r="D137" s="2">
        <f>IF(B137="","",MID(TEXT(B137,"000"),2,1)*1)</f>
        <v/>
      </c>
      <c r="E137" s="2">
        <f>IF(B137="","",RIGHT(TEXT(B137,"000"),1)*1)</f>
        <v/>
      </c>
      <c r="F137" s="2">
        <f>IF(B137="","",C137+D137+E137)</f>
        <v/>
      </c>
      <c r="G137" s="2">
        <f>IF(B137="","",MOD(F137,10))</f>
        <v/>
      </c>
      <c r="H137" s="2">
        <f>IF(B137="","",MAX(C137,D137,E137)-MIN(C137,D137,E137))</f>
        <v/>
      </c>
      <c r="I137" s="2">
        <f>IF(OR(B137="",H137=0),IF(H137=0,0.1,""),ROUND(F137/H137,2))</f>
        <v/>
      </c>
      <c r="J137" s="2">
        <f>IF(I137=0.1,"极紧凑",IF(I137&gt;3.5,"紧凑",IF(AND(I137&gt;=2,I137&lt;=3.5),"标准",IF(AND(I137&gt;=1,I137&lt;2),"松散",""))))</f>
        <v/>
      </c>
      <c r="K137" s="2">
        <f>IF(I137=0.1,"极紧凑-豹子号",IF(AND(I137&gt;=1,I137&lt;=1.29),"松散-极松散",IF(AND(I137&gt;=1.33,I137&lt;=1.8),"松散-标准松散",IF(AND(I137&gt;=1.83,I137&lt;=1.89),"松散-偏紧松散",IF(AND(I137&gt;=2,I137&lt;=2.5),"标准-偏松标准",IF(AND(I137&gt;=2.57,I137&lt;=3),"标准-核心标准",IF(AND(I137&gt;=3.17,I137&lt;=3.5),"标准-偏紧标准",IF(AND(I137&gt;=3.6,I137&lt;=5),"紧凑-标准紧凑",IF(AND(I137&gt;=5.25,I137&lt;=8),"紧凑-高度紧凑",IF(I137&gt;=8.5,"紧凑-极度紧凑",""))))))))))</f>
        <v/>
      </c>
      <c r="L137" s="2">
        <f>IF(I137=0.1,"极紧凑",IF(AND(I137&gt;=1,I137&lt;=1.89),"松散",IF(AND(I137&gt;=2,I137&lt;=3.5),"标准",IF(I137&gt;=3.6,"紧凑",""))))</f>
        <v/>
      </c>
      <c r="M137" s="2" t="inlineStr">
        <is>
          <t>极紧凑-豹子号</t>
        </is>
      </c>
      <c r="N137" s="2" t="inlineStr">
        <is>
          <t>松散-极松散</t>
        </is>
      </c>
      <c r="O137" s="2" t="inlineStr">
        <is>
          <t>松散-标准松散</t>
        </is>
      </c>
      <c r="P137" s="2" t="inlineStr">
        <is>
          <t>松散-偏紧松散</t>
        </is>
      </c>
      <c r="Q137" s="2" t="inlineStr">
        <is>
          <t>标准-偏松标准</t>
        </is>
      </c>
      <c r="R137" s="2" t="inlineStr">
        <is>
          <t>标准-核心标准</t>
        </is>
      </c>
      <c r="S137" s="2" t="inlineStr">
        <is>
          <t>标准-偏紧标准</t>
        </is>
      </c>
      <c r="T137" s="2" t="inlineStr">
        <is>
          <t>紧凑-标准紧凑</t>
        </is>
      </c>
      <c r="U137" s="2" t="inlineStr">
        <is>
          <t>紧凑-高度紧凑</t>
        </is>
      </c>
      <c r="V137" s="2" t="inlineStr">
        <is>
          <t>紧凑-极度紧凑</t>
        </is>
      </c>
    </row>
    <row r="138">
      <c r="A138" s="1" t="n">
        <v>2023056</v>
      </c>
      <c r="B138" s="3" t="inlineStr">
        <is>
          <t>108</t>
        </is>
      </c>
      <c r="C138" s="2">
        <f>IF(B138="","",LEFT(TEXT(B138,"000"),1)*1)</f>
        <v/>
      </c>
      <c r="D138" s="2">
        <f>IF(B138="","",MID(TEXT(B138,"000"),2,1)*1)</f>
        <v/>
      </c>
      <c r="E138" s="2">
        <f>IF(B138="","",RIGHT(TEXT(B138,"000"),1)*1)</f>
        <v/>
      </c>
      <c r="F138" s="2">
        <f>IF(B138="","",C138+D138+E138)</f>
        <v/>
      </c>
      <c r="G138" s="2">
        <f>IF(B138="","",MOD(F138,10))</f>
        <v/>
      </c>
      <c r="H138" s="2">
        <f>IF(B138="","",MAX(C138,D138,E138)-MIN(C138,D138,E138))</f>
        <v/>
      </c>
      <c r="I138" s="2">
        <f>IF(OR(B138="",H138=0),IF(H138=0,0.1,""),ROUND(F138/H138,2))</f>
        <v/>
      </c>
      <c r="J138" s="2">
        <f>IF(I138=0.1,"极紧凑",IF(I138&gt;3.5,"紧凑",IF(AND(I138&gt;=2,I138&lt;=3.5),"标准",IF(AND(I138&gt;=1,I138&lt;2),"松散",""))))</f>
        <v/>
      </c>
      <c r="K138" s="2">
        <f>IF(I138=0.1,"极紧凑-豹子号",IF(AND(I138&gt;=1,I138&lt;=1.29),"松散-极松散",IF(AND(I138&gt;=1.33,I138&lt;=1.8),"松散-标准松散",IF(AND(I138&gt;=1.83,I138&lt;=1.89),"松散-偏紧松散",IF(AND(I138&gt;=2,I138&lt;=2.5),"标准-偏松标准",IF(AND(I138&gt;=2.57,I138&lt;=3),"标准-核心标准",IF(AND(I138&gt;=3.17,I138&lt;=3.5),"标准-偏紧标准",IF(AND(I138&gt;=3.6,I138&lt;=5),"紧凑-标准紧凑",IF(AND(I138&gt;=5.25,I138&lt;=8),"紧凑-高度紧凑",IF(I138&gt;=8.5,"紧凑-极度紧凑",""))))))))))</f>
        <v/>
      </c>
      <c r="L138" s="2">
        <f>IF(I138=0.1,"极紧凑",IF(AND(I138&gt;=1,I138&lt;=1.89),"松散",IF(AND(I138&gt;=2,I138&lt;=3.5),"标准",IF(I138&gt;=3.6,"紧凑",""))))</f>
        <v/>
      </c>
      <c r="M138" s="2" t="inlineStr">
        <is>
          <t>极紧凑-豹子号</t>
        </is>
      </c>
      <c r="N138" s="2" t="inlineStr">
        <is>
          <t>松散-极松散</t>
        </is>
      </c>
      <c r="O138" s="2" t="inlineStr">
        <is>
          <t>松散-标准松散</t>
        </is>
      </c>
      <c r="P138" s="2" t="inlineStr">
        <is>
          <t>松散-偏紧松散</t>
        </is>
      </c>
      <c r="Q138" s="2" t="inlineStr">
        <is>
          <t>标准-偏松标准</t>
        </is>
      </c>
      <c r="R138" s="2" t="inlineStr">
        <is>
          <t>标准-核心标准</t>
        </is>
      </c>
      <c r="S138" s="2" t="inlineStr">
        <is>
          <t>标准-偏紧标准</t>
        </is>
      </c>
      <c r="T138" s="2" t="inlineStr">
        <is>
          <t>紧凑-标准紧凑</t>
        </is>
      </c>
      <c r="U138" s="2" t="inlineStr">
        <is>
          <t>紧凑-高度紧凑</t>
        </is>
      </c>
      <c r="V138" s="2" t="inlineStr">
        <is>
          <t>紧凑-极度紧凑</t>
        </is>
      </c>
    </row>
    <row r="139">
      <c r="A139" s="1" t="n">
        <v>2023057</v>
      </c>
      <c r="B139" s="3" t="inlineStr">
        <is>
          <t>464</t>
        </is>
      </c>
      <c r="C139" s="2">
        <f>IF(B139="","",LEFT(TEXT(B139,"000"),1)*1)</f>
        <v/>
      </c>
      <c r="D139" s="2">
        <f>IF(B139="","",MID(TEXT(B139,"000"),2,1)*1)</f>
        <v/>
      </c>
      <c r="E139" s="2">
        <f>IF(B139="","",RIGHT(TEXT(B139,"000"),1)*1)</f>
        <v/>
      </c>
      <c r="F139" s="2">
        <f>IF(B139="","",C139+D139+E139)</f>
        <v/>
      </c>
      <c r="G139" s="2">
        <f>IF(B139="","",MOD(F139,10))</f>
        <v/>
      </c>
      <c r="H139" s="2">
        <f>IF(B139="","",MAX(C139,D139,E139)-MIN(C139,D139,E139))</f>
        <v/>
      </c>
      <c r="I139" s="2">
        <f>IF(OR(B139="",H139=0),IF(H139=0,0.1,""),ROUND(F139/H139,2))</f>
        <v/>
      </c>
      <c r="J139" s="2">
        <f>IF(I139=0.1,"极紧凑",IF(I139&gt;3.5,"紧凑",IF(AND(I139&gt;=2,I139&lt;=3.5),"标准",IF(AND(I139&gt;=1,I139&lt;2),"松散",""))))</f>
        <v/>
      </c>
      <c r="K139" s="2">
        <f>IF(I139=0.1,"极紧凑-豹子号",IF(AND(I139&gt;=1,I139&lt;=1.29),"松散-极松散",IF(AND(I139&gt;=1.33,I139&lt;=1.8),"松散-标准松散",IF(AND(I139&gt;=1.83,I139&lt;=1.89),"松散-偏紧松散",IF(AND(I139&gt;=2,I139&lt;=2.5),"标准-偏松标准",IF(AND(I139&gt;=2.57,I139&lt;=3),"标准-核心标准",IF(AND(I139&gt;=3.17,I139&lt;=3.5),"标准-偏紧标准",IF(AND(I139&gt;=3.6,I139&lt;=5),"紧凑-标准紧凑",IF(AND(I139&gt;=5.25,I139&lt;=8),"紧凑-高度紧凑",IF(I139&gt;=8.5,"紧凑-极度紧凑",""))))))))))</f>
        <v/>
      </c>
      <c r="L139" s="2">
        <f>IF(I139=0.1,"极紧凑",IF(AND(I139&gt;=1,I139&lt;=1.89),"松散",IF(AND(I139&gt;=2,I139&lt;=3.5),"标准",IF(I139&gt;=3.6,"紧凑",""))))</f>
        <v/>
      </c>
      <c r="M139" s="2" t="inlineStr">
        <is>
          <t>极紧凑-豹子号</t>
        </is>
      </c>
      <c r="N139" s="2" t="inlineStr">
        <is>
          <t>松散-极松散</t>
        </is>
      </c>
      <c r="O139" s="2" t="inlineStr">
        <is>
          <t>松散-标准松散</t>
        </is>
      </c>
      <c r="P139" s="2" t="inlineStr">
        <is>
          <t>松散-偏紧松散</t>
        </is>
      </c>
      <c r="Q139" s="2" t="inlineStr">
        <is>
          <t>标准-偏松标准</t>
        </is>
      </c>
      <c r="R139" s="2" t="inlineStr">
        <is>
          <t>标准-核心标准</t>
        </is>
      </c>
      <c r="S139" s="2" t="inlineStr">
        <is>
          <t>标准-偏紧标准</t>
        </is>
      </c>
      <c r="T139" s="2" t="inlineStr">
        <is>
          <t>紧凑-标准紧凑</t>
        </is>
      </c>
      <c r="U139" s="2" t="inlineStr">
        <is>
          <t>紧凑-高度紧凑</t>
        </is>
      </c>
      <c r="V139" s="2" t="inlineStr">
        <is>
          <t>紧凑-极度紧凑</t>
        </is>
      </c>
    </row>
    <row r="140">
      <c r="A140" s="1" t="n">
        <v>2023058</v>
      </c>
      <c r="B140" s="3" t="inlineStr">
        <is>
          <t>693</t>
        </is>
      </c>
      <c r="C140" s="2">
        <f>IF(B140="","",LEFT(TEXT(B140,"000"),1)*1)</f>
        <v/>
      </c>
      <c r="D140" s="2">
        <f>IF(B140="","",MID(TEXT(B140,"000"),2,1)*1)</f>
        <v/>
      </c>
      <c r="E140" s="2">
        <f>IF(B140="","",RIGHT(TEXT(B140,"000"),1)*1)</f>
        <v/>
      </c>
      <c r="F140" s="2">
        <f>IF(B140="","",C140+D140+E140)</f>
        <v/>
      </c>
      <c r="G140" s="2">
        <f>IF(B140="","",MOD(F140,10))</f>
        <v/>
      </c>
      <c r="H140" s="2">
        <f>IF(B140="","",MAX(C140,D140,E140)-MIN(C140,D140,E140))</f>
        <v/>
      </c>
      <c r="I140" s="2">
        <f>IF(OR(B140="",H140=0),IF(H140=0,0.1,""),ROUND(F140/H140,2))</f>
        <v/>
      </c>
      <c r="J140" s="2">
        <f>IF(I140=0.1,"极紧凑",IF(I140&gt;3.5,"紧凑",IF(AND(I140&gt;=2,I140&lt;=3.5),"标准",IF(AND(I140&gt;=1,I140&lt;2),"松散",""))))</f>
        <v/>
      </c>
      <c r="K140" s="2">
        <f>IF(I140=0.1,"极紧凑-豹子号",IF(AND(I140&gt;=1,I140&lt;=1.29),"松散-极松散",IF(AND(I140&gt;=1.33,I140&lt;=1.8),"松散-标准松散",IF(AND(I140&gt;=1.83,I140&lt;=1.89),"松散-偏紧松散",IF(AND(I140&gt;=2,I140&lt;=2.5),"标准-偏松标准",IF(AND(I140&gt;=2.57,I140&lt;=3),"标准-核心标准",IF(AND(I140&gt;=3.17,I140&lt;=3.5),"标准-偏紧标准",IF(AND(I140&gt;=3.6,I140&lt;=5),"紧凑-标准紧凑",IF(AND(I140&gt;=5.25,I140&lt;=8),"紧凑-高度紧凑",IF(I140&gt;=8.5,"紧凑-极度紧凑",""))))))))))</f>
        <v/>
      </c>
      <c r="L140" s="2">
        <f>IF(I140=0.1,"极紧凑",IF(AND(I140&gt;=1,I140&lt;=1.89),"松散",IF(AND(I140&gt;=2,I140&lt;=3.5),"标准",IF(I140&gt;=3.6,"紧凑",""))))</f>
        <v/>
      </c>
      <c r="M140" s="2" t="inlineStr">
        <is>
          <t>极紧凑-豹子号</t>
        </is>
      </c>
      <c r="N140" s="2" t="inlineStr">
        <is>
          <t>松散-极松散</t>
        </is>
      </c>
      <c r="O140" s="2" t="inlineStr">
        <is>
          <t>松散-标准松散</t>
        </is>
      </c>
      <c r="P140" s="2" t="inlineStr">
        <is>
          <t>松散-偏紧松散</t>
        </is>
      </c>
      <c r="Q140" s="2" t="inlineStr">
        <is>
          <t>标准-偏松标准</t>
        </is>
      </c>
      <c r="R140" s="2" t="inlineStr">
        <is>
          <t>标准-核心标准</t>
        </is>
      </c>
      <c r="S140" s="2" t="inlineStr">
        <is>
          <t>标准-偏紧标准</t>
        </is>
      </c>
      <c r="T140" s="2" t="inlineStr">
        <is>
          <t>紧凑-标准紧凑</t>
        </is>
      </c>
      <c r="U140" s="2" t="inlineStr">
        <is>
          <t>紧凑-高度紧凑</t>
        </is>
      </c>
      <c r="V140" s="2" t="inlineStr">
        <is>
          <t>紧凑-极度紧凑</t>
        </is>
      </c>
    </row>
    <row r="141">
      <c r="A141" s="1" t="n">
        <v>2023059</v>
      </c>
      <c r="B141" s="3" t="inlineStr">
        <is>
          <t>518</t>
        </is>
      </c>
      <c r="C141" s="2">
        <f>IF(B141="","",LEFT(TEXT(B141,"000"),1)*1)</f>
        <v/>
      </c>
      <c r="D141" s="2">
        <f>IF(B141="","",MID(TEXT(B141,"000"),2,1)*1)</f>
        <v/>
      </c>
      <c r="E141" s="2">
        <f>IF(B141="","",RIGHT(TEXT(B141,"000"),1)*1)</f>
        <v/>
      </c>
      <c r="F141" s="2">
        <f>IF(B141="","",C141+D141+E141)</f>
        <v/>
      </c>
      <c r="G141" s="2">
        <f>IF(B141="","",MOD(F141,10))</f>
        <v/>
      </c>
      <c r="H141" s="2">
        <f>IF(B141="","",MAX(C141,D141,E141)-MIN(C141,D141,E141))</f>
        <v/>
      </c>
      <c r="I141" s="2">
        <f>IF(OR(B141="",H141=0),IF(H141=0,0.1,""),ROUND(F141/H141,2))</f>
        <v/>
      </c>
      <c r="J141" s="2">
        <f>IF(I141=0.1,"极紧凑",IF(I141&gt;3.5,"紧凑",IF(AND(I141&gt;=2,I141&lt;=3.5),"标准",IF(AND(I141&gt;=1,I141&lt;2),"松散",""))))</f>
        <v/>
      </c>
      <c r="K141" s="2">
        <f>IF(I141=0.1,"极紧凑-豹子号",IF(AND(I141&gt;=1,I141&lt;=1.29),"松散-极松散",IF(AND(I141&gt;=1.33,I141&lt;=1.8),"松散-标准松散",IF(AND(I141&gt;=1.83,I141&lt;=1.89),"松散-偏紧松散",IF(AND(I141&gt;=2,I141&lt;=2.5),"标准-偏松标准",IF(AND(I141&gt;=2.57,I141&lt;=3),"标准-核心标准",IF(AND(I141&gt;=3.17,I141&lt;=3.5),"标准-偏紧标准",IF(AND(I141&gt;=3.6,I141&lt;=5),"紧凑-标准紧凑",IF(AND(I141&gt;=5.25,I141&lt;=8),"紧凑-高度紧凑",IF(I141&gt;=8.5,"紧凑-极度紧凑",""))))))))))</f>
        <v/>
      </c>
      <c r="L141" s="2">
        <f>IF(I141=0.1,"极紧凑",IF(AND(I141&gt;=1,I141&lt;=1.89),"松散",IF(AND(I141&gt;=2,I141&lt;=3.5),"标准",IF(I141&gt;=3.6,"紧凑",""))))</f>
        <v/>
      </c>
      <c r="M141" s="2" t="inlineStr">
        <is>
          <t>极紧凑-豹子号</t>
        </is>
      </c>
      <c r="N141" s="2" t="inlineStr">
        <is>
          <t>松散-极松散</t>
        </is>
      </c>
      <c r="O141" s="2" t="inlineStr">
        <is>
          <t>松散-标准松散</t>
        </is>
      </c>
      <c r="P141" s="2" t="inlineStr">
        <is>
          <t>松散-偏紧松散</t>
        </is>
      </c>
      <c r="Q141" s="2" t="inlineStr">
        <is>
          <t>标准-偏松标准</t>
        </is>
      </c>
      <c r="R141" s="2" t="inlineStr">
        <is>
          <t>标准-核心标准</t>
        </is>
      </c>
      <c r="S141" s="2" t="inlineStr">
        <is>
          <t>标准-偏紧标准</t>
        </is>
      </c>
      <c r="T141" s="2" t="inlineStr">
        <is>
          <t>紧凑-标准紧凑</t>
        </is>
      </c>
      <c r="U141" s="2" t="inlineStr">
        <is>
          <t>紧凑-高度紧凑</t>
        </is>
      </c>
      <c r="V141" s="2" t="inlineStr">
        <is>
          <t>紧凑-极度紧凑</t>
        </is>
      </c>
    </row>
    <row r="142">
      <c r="A142" s="1" t="n">
        <v>2023060</v>
      </c>
      <c r="B142" s="3" t="inlineStr">
        <is>
          <t>792</t>
        </is>
      </c>
      <c r="C142" s="2">
        <f>IF(B142="","",LEFT(TEXT(B142,"000"),1)*1)</f>
        <v/>
      </c>
      <c r="D142" s="2">
        <f>IF(B142="","",MID(TEXT(B142,"000"),2,1)*1)</f>
        <v/>
      </c>
      <c r="E142" s="2">
        <f>IF(B142="","",RIGHT(TEXT(B142,"000"),1)*1)</f>
        <v/>
      </c>
      <c r="F142" s="2">
        <f>IF(B142="","",C142+D142+E142)</f>
        <v/>
      </c>
      <c r="G142" s="2">
        <f>IF(B142="","",MOD(F142,10))</f>
        <v/>
      </c>
      <c r="H142" s="2">
        <f>IF(B142="","",MAX(C142,D142,E142)-MIN(C142,D142,E142))</f>
        <v/>
      </c>
      <c r="I142" s="2">
        <f>IF(OR(B142="",H142=0),IF(H142=0,0.1,""),ROUND(F142/H142,2))</f>
        <v/>
      </c>
      <c r="J142" s="2">
        <f>IF(I142=0.1,"极紧凑",IF(I142&gt;3.5,"紧凑",IF(AND(I142&gt;=2,I142&lt;=3.5),"标准",IF(AND(I142&gt;=1,I142&lt;2),"松散",""))))</f>
        <v/>
      </c>
      <c r="K142" s="2">
        <f>IF(I142=0.1,"极紧凑-豹子号",IF(AND(I142&gt;=1,I142&lt;=1.29),"松散-极松散",IF(AND(I142&gt;=1.33,I142&lt;=1.8),"松散-标准松散",IF(AND(I142&gt;=1.83,I142&lt;=1.89),"松散-偏紧松散",IF(AND(I142&gt;=2,I142&lt;=2.5),"标准-偏松标准",IF(AND(I142&gt;=2.57,I142&lt;=3),"标准-核心标准",IF(AND(I142&gt;=3.17,I142&lt;=3.5),"标准-偏紧标准",IF(AND(I142&gt;=3.6,I142&lt;=5),"紧凑-标准紧凑",IF(AND(I142&gt;=5.25,I142&lt;=8),"紧凑-高度紧凑",IF(I142&gt;=8.5,"紧凑-极度紧凑",""))))))))))</f>
        <v/>
      </c>
      <c r="L142" s="2">
        <f>IF(I142=0.1,"极紧凑",IF(AND(I142&gt;=1,I142&lt;=1.89),"松散",IF(AND(I142&gt;=2,I142&lt;=3.5),"标准",IF(I142&gt;=3.6,"紧凑",""))))</f>
        <v/>
      </c>
      <c r="M142" s="2" t="inlineStr">
        <is>
          <t>极紧凑-豹子号</t>
        </is>
      </c>
      <c r="N142" s="2" t="inlineStr">
        <is>
          <t>松散-极松散</t>
        </is>
      </c>
      <c r="O142" s="2" t="inlineStr">
        <is>
          <t>松散-标准松散</t>
        </is>
      </c>
      <c r="P142" s="2" t="inlineStr">
        <is>
          <t>松散-偏紧松散</t>
        </is>
      </c>
      <c r="Q142" s="2" t="inlineStr">
        <is>
          <t>标准-偏松标准</t>
        </is>
      </c>
      <c r="R142" s="2" t="inlineStr">
        <is>
          <t>标准-核心标准</t>
        </is>
      </c>
      <c r="S142" s="2" t="inlineStr">
        <is>
          <t>标准-偏紧标准</t>
        </is>
      </c>
      <c r="T142" s="2" t="inlineStr">
        <is>
          <t>紧凑-标准紧凑</t>
        </is>
      </c>
      <c r="U142" s="2" t="inlineStr">
        <is>
          <t>紧凑-高度紧凑</t>
        </is>
      </c>
      <c r="V142" s="2" t="inlineStr">
        <is>
          <t>紧凑-极度紧凑</t>
        </is>
      </c>
    </row>
    <row r="143">
      <c r="A143" s="1" t="n">
        <v>2023061</v>
      </c>
      <c r="B143" s="3" t="inlineStr">
        <is>
          <t>711</t>
        </is>
      </c>
      <c r="C143" s="2">
        <f>IF(B143="","",LEFT(TEXT(B143,"000"),1)*1)</f>
        <v/>
      </c>
      <c r="D143" s="2">
        <f>IF(B143="","",MID(TEXT(B143,"000"),2,1)*1)</f>
        <v/>
      </c>
      <c r="E143" s="2">
        <f>IF(B143="","",RIGHT(TEXT(B143,"000"),1)*1)</f>
        <v/>
      </c>
      <c r="F143" s="2">
        <f>IF(B143="","",C143+D143+E143)</f>
        <v/>
      </c>
      <c r="G143" s="2">
        <f>IF(B143="","",MOD(F143,10))</f>
        <v/>
      </c>
      <c r="H143" s="2">
        <f>IF(B143="","",MAX(C143,D143,E143)-MIN(C143,D143,E143))</f>
        <v/>
      </c>
      <c r="I143" s="2">
        <f>IF(OR(B143="",H143=0),IF(H143=0,0.1,""),ROUND(F143/H143,2))</f>
        <v/>
      </c>
      <c r="J143" s="2">
        <f>IF(I143=0.1,"极紧凑",IF(I143&gt;3.5,"紧凑",IF(AND(I143&gt;=2,I143&lt;=3.5),"标准",IF(AND(I143&gt;=1,I143&lt;2),"松散",""))))</f>
        <v/>
      </c>
      <c r="K143" s="2">
        <f>IF(I143=0.1,"极紧凑-豹子号",IF(AND(I143&gt;=1,I143&lt;=1.29),"松散-极松散",IF(AND(I143&gt;=1.33,I143&lt;=1.8),"松散-标准松散",IF(AND(I143&gt;=1.83,I143&lt;=1.89),"松散-偏紧松散",IF(AND(I143&gt;=2,I143&lt;=2.5),"标准-偏松标准",IF(AND(I143&gt;=2.57,I143&lt;=3),"标准-核心标准",IF(AND(I143&gt;=3.17,I143&lt;=3.5),"标准-偏紧标准",IF(AND(I143&gt;=3.6,I143&lt;=5),"紧凑-标准紧凑",IF(AND(I143&gt;=5.25,I143&lt;=8),"紧凑-高度紧凑",IF(I143&gt;=8.5,"紧凑-极度紧凑",""))))))))))</f>
        <v/>
      </c>
      <c r="L143" s="2">
        <f>IF(I143=0.1,"极紧凑",IF(AND(I143&gt;=1,I143&lt;=1.89),"松散",IF(AND(I143&gt;=2,I143&lt;=3.5),"标准",IF(I143&gt;=3.6,"紧凑",""))))</f>
        <v/>
      </c>
      <c r="M143" s="2" t="inlineStr">
        <is>
          <t>极紧凑-豹子号</t>
        </is>
      </c>
      <c r="N143" s="2" t="inlineStr">
        <is>
          <t>松散-极松散</t>
        </is>
      </c>
      <c r="O143" s="2" t="inlineStr">
        <is>
          <t>松散-标准松散</t>
        </is>
      </c>
      <c r="P143" s="2" t="inlineStr">
        <is>
          <t>松散-偏紧松散</t>
        </is>
      </c>
      <c r="Q143" s="2" t="inlineStr">
        <is>
          <t>标准-偏松标准</t>
        </is>
      </c>
      <c r="R143" s="2" t="inlineStr">
        <is>
          <t>标准-核心标准</t>
        </is>
      </c>
      <c r="S143" s="2" t="inlineStr">
        <is>
          <t>标准-偏紧标准</t>
        </is>
      </c>
      <c r="T143" s="2" t="inlineStr">
        <is>
          <t>紧凑-标准紧凑</t>
        </is>
      </c>
      <c r="U143" s="2" t="inlineStr">
        <is>
          <t>紧凑-高度紧凑</t>
        </is>
      </c>
      <c r="V143" s="2" t="inlineStr">
        <is>
          <t>紧凑-极度紧凑</t>
        </is>
      </c>
    </row>
    <row r="144">
      <c r="A144" s="1" t="n">
        <v>2023062</v>
      </c>
      <c r="B144" s="3" t="inlineStr">
        <is>
          <t>006</t>
        </is>
      </c>
      <c r="C144" s="2">
        <f>IF(B144="","",LEFT(TEXT(B144,"000"),1)*1)</f>
        <v/>
      </c>
      <c r="D144" s="2">
        <f>IF(B144="","",MID(TEXT(B144,"000"),2,1)*1)</f>
        <v/>
      </c>
      <c r="E144" s="2">
        <f>IF(B144="","",RIGHT(TEXT(B144,"000"),1)*1)</f>
        <v/>
      </c>
      <c r="F144" s="2">
        <f>IF(B144="","",C144+D144+E144)</f>
        <v/>
      </c>
      <c r="G144" s="2">
        <f>IF(B144="","",MOD(F144,10))</f>
        <v/>
      </c>
      <c r="H144" s="2">
        <f>IF(B144="","",MAX(C144,D144,E144)-MIN(C144,D144,E144))</f>
        <v/>
      </c>
      <c r="I144" s="2">
        <f>IF(OR(B144="",H144=0),IF(H144=0,0.1,""),ROUND(F144/H144,2))</f>
        <v/>
      </c>
      <c r="J144" s="2">
        <f>IF(I144=0.1,"极紧凑",IF(I144&gt;3.5,"紧凑",IF(AND(I144&gt;=2,I144&lt;=3.5),"标准",IF(AND(I144&gt;=1,I144&lt;2),"松散",""))))</f>
        <v/>
      </c>
      <c r="K144" s="2">
        <f>IF(I144=0.1,"极紧凑-豹子号",IF(AND(I144&gt;=1,I144&lt;=1.29),"松散-极松散",IF(AND(I144&gt;=1.33,I144&lt;=1.8),"松散-标准松散",IF(AND(I144&gt;=1.83,I144&lt;=1.89),"松散-偏紧松散",IF(AND(I144&gt;=2,I144&lt;=2.5),"标准-偏松标准",IF(AND(I144&gt;=2.57,I144&lt;=3),"标准-核心标准",IF(AND(I144&gt;=3.17,I144&lt;=3.5),"标准-偏紧标准",IF(AND(I144&gt;=3.6,I144&lt;=5),"紧凑-标准紧凑",IF(AND(I144&gt;=5.25,I144&lt;=8),"紧凑-高度紧凑",IF(I144&gt;=8.5,"紧凑-极度紧凑",""))))))))))</f>
        <v/>
      </c>
      <c r="L144" s="2">
        <f>IF(I144=0.1,"极紧凑",IF(AND(I144&gt;=1,I144&lt;=1.89),"松散",IF(AND(I144&gt;=2,I144&lt;=3.5),"标准",IF(I144&gt;=3.6,"紧凑",""))))</f>
        <v/>
      </c>
      <c r="M144" s="2" t="inlineStr">
        <is>
          <t>极紧凑-豹子号</t>
        </is>
      </c>
      <c r="N144" s="2" t="inlineStr">
        <is>
          <t>松散-极松散</t>
        </is>
      </c>
      <c r="O144" s="2" t="inlineStr">
        <is>
          <t>松散-标准松散</t>
        </is>
      </c>
      <c r="P144" s="2" t="inlineStr">
        <is>
          <t>松散-偏紧松散</t>
        </is>
      </c>
      <c r="Q144" s="2" t="inlineStr">
        <is>
          <t>标准-偏松标准</t>
        </is>
      </c>
      <c r="R144" s="2" t="inlineStr">
        <is>
          <t>标准-核心标准</t>
        </is>
      </c>
      <c r="S144" s="2" t="inlineStr">
        <is>
          <t>标准-偏紧标准</t>
        </is>
      </c>
      <c r="T144" s="2" t="inlineStr">
        <is>
          <t>紧凑-标准紧凑</t>
        </is>
      </c>
      <c r="U144" s="2" t="inlineStr">
        <is>
          <t>紧凑-高度紧凑</t>
        </is>
      </c>
      <c r="V144" s="2" t="inlineStr">
        <is>
          <t>紧凑-极度紧凑</t>
        </is>
      </c>
    </row>
    <row r="145">
      <c r="A145" s="1" t="n">
        <v>2023063</v>
      </c>
      <c r="B145" s="3" t="inlineStr">
        <is>
          <t>437</t>
        </is>
      </c>
      <c r="C145" s="2">
        <f>IF(B145="","",LEFT(TEXT(B145,"000"),1)*1)</f>
        <v/>
      </c>
      <c r="D145" s="2">
        <f>IF(B145="","",MID(TEXT(B145,"000"),2,1)*1)</f>
        <v/>
      </c>
      <c r="E145" s="2">
        <f>IF(B145="","",RIGHT(TEXT(B145,"000"),1)*1)</f>
        <v/>
      </c>
      <c r="F145" s="2">
        <f>IF(B145="","",C145+D145+E145)</f>
        <v/>
      </c>
      <c r="G145" s="2">
        <f>IF(B145="","",MOD(F145,10))</f>
        <v/>
      </c>
      <c r="H145" s="2">
        <f>IF(B145="","",MAX(C145,D145,E145)-MIN(C145,D145,E145))</f>
        <v/>
      </c>
      <c r="I145" s="2">
        <f>IF(OR(B145="",H145=0),IF(H145=0,0.1,""),ROUND(F145/H145,2))</f>
        <v/>
      </c>
      <c r="J145" s="2">
        <f>IF(I145=0.1,"极紧凑",IF(I145&gt;3.5,"紧凑",IF(AND(I145&gt;=2,I145&lt;=3.5),"标准",IF(AND(I145&gt;=1,I145&lt;2),"松散",""))))</f>
        <v/>
      </c>
      <c r="K145" s="2">
        <f>IF(I145=0.1,"极紧凑-豹子号",IF(AND(I145&gt;=1,I145&lt;=1.29),"松散-极松散",IF(AND(I145&gt;=1.33,I145&lt;=1.8),"松散-标准松散",IF(AND(I145&gt;=1.83,I145&lt;=1.89),"松散-偏紧松散",IF(AND(I145&gt;=2,I145&lt;=2.5),"标准-偏松标准",IF(AND(I145&gt;=2.57,I145&lt;=3),"标准-核心标准",IF(AND(I145&gt;=3.17,I145&lt;=3.5),"标准-偏紧标准",IF(AND(I145&gt;=3.6,I145&lt;=5),"紧凑-标准紧凑",IF(AND(I145&gt;=5.25,I145&lt;=8),"紧凑-高度紧凑",IF(I145&gt;=8.5,"紧凑-极度紧凑",""))))))))))</f>
        <v/>
      </c>
      <c r="L145" s="2">
        <f>IF(I145=0.1,"极紧凑",IF(AND(I145&gt;=1,I145&lt;=1.89),"松散",IF(AND(I145&gt;=2,I145&lt;=3.5),"标准",IF(I145&gt;=3.6,"紧凑",""))))</f>
        <v/>
      </c>
      <c r="M145" s="2" t="inlineStr">
        <is>
          <t>极紧凑-豹子号</t>
        </is>
      </c>
      <c r="N145" s="2" t="inlineStr">
        <is>
          <t>松散-极松散</t>
        </is>
      </c>
      <c r="O145" s="2" t="inlineStr">
        <is>
          <t>松散-标准松散</t>
        </is>
      </c>
      <c r="P145" s="2" t="inlineStr">
        <is>
          <t>松散-偏紧松散</t>
        </is>
      </c>
      <c r="Q145" s="2" t="inlineStr">
        <is>
          <t>标准-偏松标准</t>
        </is>
      </c>
      <c r="R145" s="2" t="inlineStr">
        <is>
          <t>标准-核心标准</t>
        </is>
      </c>
      <c r="S145" s="2" t="inlineStr">
        <is>
          <t>标准-偏紧标准</t>
        </is>
      </c>
      <c r="T145" s="2" t="inlineStr">
        <is>
          <t>紧凑-标准紧凑</t>
        </is>
      </c>
      <c r="U145" s="2" t="inlineStr">
        <is>
          <t>紧凑-高度紧凑</t>
        </is>
      </c>
      <c r="V145" s="2" t="inlineStr">
        <is>
          <t>紧凑-极度紧凑</t>
        </is>
      </c>
    </row>
    <row r="146">
      <c r="A146" s="1" t="n">
        <v>2023064</v>
      </c>
      <c r="B146" s="3" t="inlineStr">
        <is>
          <t>065</t>
        </is>
      </c>
      <c r="C146" s="2">
        <f>IF(B146="","",LEFT(TEXT(B146,"000"),1)*1)</f>
        <v/>
      </c>
      <c r="D146" s="2">
        <f>IF(B146="","",MID(TEXT(B146,"000"),2,1)*1)</f>
        <v/>
      </c>
      <c r="E146" s="2">
        <f>IF(B146="","",RIGHT(TEXT(B146,"000"),1)*1)</f>
        <v/>
      </c>
      <c r="F146" s="2">
        <f>IF(B146="","",C146+D146+E146)</f>
        <v/>
      </c>
      <c r="G146" s="2">
        <f>IF(B146="","",MOD(F146,10))</f>
        <v/>
      </c>
      <c r="H146" s="2">
        <f>IF(B146="","",MAX(C146,D146,E146)-MIN(C146,D146,E146))</f>
        <v/>
      </c>
      <c r="I146" s="2">
        <f>IF(OR(B146="",H146=0),IF(H146=0,0.1,""),ROUND(F146/H146,2))</f>
        <v/>
      </c>
      <c r="J146" s="2">
        <f>IF(I146=0.1,"极紧凑",IF(I146&gt;3.5,"紧凑",IF(AND(I146&gt;=2,I146&lt;=3.5),"标准",IF(AND(I146&gt;=1,I146&lt;2),"松散",""))))</f>
        <v/>
      </c>
      <c r="K146" s="2">
        <f>IF(I146=0.1,"极紧凑-豹子号",IF(AND(I146&gt;=1,I146&lt;=1.29),"松散-极松散",IF(AND(I146&gt;=1.33,I146&lt;=1.8),"松散-标准松散",IF(AND(I146&gt;=1.83,I146&lt;=1.89),"松散-偏紧松散",IF(AND(I146&gt;=2,I146&lt;=2.5),"标准-偏松标准",IF(AND(I146&gt;=2.57,I146&lt;=3),"标准-核心标准",IF(AND(I146&gt;=3.17,I146&lt;=3.5),"标准-偏紧标准",IF(AND(I146&gt;=3.6,I146&lt;=5),"紧凑-标准紧凑",IF(AND(I146&gt;=5.25,I146&lt;=8),"紧凑-高度紧凑",IF(I146&gt;=8.5,"紧凑-极度紧凑",""))))))))))</f>
        <v/>
      </c>
      <c r="L146" s="2">
        <f>IF(I146=0.1,"极紧凑",IF(AND(I146&gt;=1,I146&lt;=1.89),"松散",IF(AND(I146&gt;=2,I146&lt;=3.5),"标准",IF(I146&gt;=3.6,"紧凑",""))))</f>
        <v/>
      </c>
      <c r="M146" s="2" t="inlineStr">
        <is>
          <t>极紧凑-豹子号</t>
        </is>
      </c>
      <c r="N146" s="2" t="inlineStr">
        <is>
          <t>松散-极松散</t>
        </is>
      </c>
      <c r="O146" s="2" t="inlineStr">
        <is>
          <t>松散-标准松散</t>
        </is>
      </c>
      <c r="P146" s="2" t="inlineStr">
        <is>
          <t>松散-偏紧松散</t>
        </is>
      </c>
      <c r="Q146" s="2" t="inlineStr">
        <is>
          <t>标准-偏松标准</t>
        </is>
      </c>
      <c r="R146" s="2" t="inlineStr">
        <is>
          <t>标准-核心标准</t>
        </is>
      </c>
      <c r="S146" s="2" t="inlineStr">
        <is>
          <t>标准-偏紧标准</t>
        </is>
      </c>
      <c r="T146" s="2" t="inlineStr">
        <is>
          <t>紧凑-标准紧凑</t>
        </is>
      </c>
      <c r="U146" s="2" t="inlineStr">
        <is>
          <t>紧凑-高度紧凑</t>
        </is>
      </c>
      <c r="V146" s="2" t="inlineStr">
        <is>
          <t>紧凑-极度紧凑</t>
        </is>
      </c>
    </row>
    <row r="147">
      <c r="A147" s="1" t="n">
        <v>2023065</v>
      </c>
      <c r="B147" s="3" t="inlineStr">
        <is>
          <t>468</t>
        </is>
      </c>
      <c r="C147" s="2">
        <f>IF(B147="","",LEFT(TEXT(B147,"000"),1)*1)</f>
        <v/>
      </c>
      <c r="D147" s="2">
        <f>IF(B147="","",MID(TEXT(B147,"000"),2,1)*1)</f>
        <v/>
      </c>
      <c r="E147" s="2">
        <f>IF(B147="","",RIGHT(TEXT(B147,"000"),1)*1)</f>
        <v/>
      </c>
      <c r="F147" s="2">
        <f>IF(B147="","",C147+D147+E147)</f>
        <v/>
      </c>
      <c r="G147" s="2">
        <f>IF(B147="","",MOD(F147,10))</f>
        <v/>
      </c>
      <c r="H147" s="2">
        <f>IF(B147="","",MAX(C147,D147,E147)-MIN(C147,D147,E147))</f>
        <v/>
      </c>
      <c r="I147" s="2">
        <f>IF(OR(B147="",H147=0),IF(H147=0,0.1,""),ROUND(F147/H147,2))</f>
        <v/>
      </c>
      <c r="J147" s="2">
        <f>IF(I147=0.1,"极紧凑",IF(I147&gt;3.5,"紧凑",IF(AND(I147&gt;=2,I147&lt;=3.5),"标准",IF(AND(I147&gt;=1,I147&lt;2),"松散",""))))</f>
        <v/>
      </c>
      <c r="K147" s="2">
        <f>IF(I147=0.1,"极紧凑-豹子号",IF(AND(I147&gt;=1,I147&lt;=1.29),"松散-极松散",IF(AND(I147&gt;=1.33,I147&lt;=1.8),"松散-标准松散",IF(AND(I147&gt;=1.83,I147&lt;=1.89),"松散-偏紧松散",IF(AND(I147&gt;=2,I147&lt;=2.5),"标准-偏松标准",IF(AND(I147&gt;=2.57,I147&lt;=3),"标准-核心标准",IF(AND(I147&gt;=3.17,I147&lt;=3.5),"标准-偏紧标准",IF(AND(I147&gt;=3.6,I147&lt;=5),"紧凑-标准紧凑",IF(AND(I147&gt;=5.25,I147&lt;=8),"紧凑-高度紧凑",IF(I147&gt;=8.5,"紧凑-极度紧凑",""))))))))))</f>
        <v/>
      </c>
      <c r="L147" s="2">
        <f>IF(I147=0.1,"极紧凑",IF(AND(I147&gt;=1,I147&lt;=1.89),"松散",IF(AND(I147&gt;=2,I147&lt;=3.5),"标准",IF(I147&gt;=3.6,"紧凑",""))))</f>
        <v/>
      </c>
      <c r="M147" s="2" t="inlineStr">
        <is>
          <t>极紧凑-豹子号</t>
        </is>
      </c>
      <c r="N147" s="2" t="inlineStr">
        <is>
          <t>松散-极松散</t>
        </is>
      </c>
      <c r="O147" s="2" t="inlineStr">
        <is>
          <t>松散-标准松散</t>
        </is>
      </c>
      <c r="P147" s="2" t="inlineStr">
        <is>
          <t>松散-偏紧松散</t>
        </is>
      </c>
      <c r="Q147" s="2" t="inlineStr">
        <is>
          <t>标准-偏松标准</t>
        </is>
      </c>
      <c r="R147" s="2" t="inlineStr">
        <is>
          <t>标准-核心标准</t>
        </is>
      </c>
      <c r="S147" s="2" t="inlineStr">
        <is>
          <t>标准-偏紧标准</t>
        </is>
      </c>
      <c r="T147" s="2" t="inlineStr">
        <is>
          <t>紧凑-标准紧凑</t>
        </is>
      </c>
      <c r="U147" s="2" t="inlineStr">
        <is>
          <t>紧凑-高度紧凑</t>
        </is>
      </c>
      <c r="V147" s="2" t="inlineStr">
        <is>
          <t>紧凑-极度紧凑</t>
        </is>
      </c>
    </row>
    <row r="148">
      <c r="A148" s="1" t="n">
        <v>2023066</v>
      </c>
      <c r="B148" s="3" t="inlineStr">
        <is>
          <t>550</t>
        </is>
      </c>
      <c r="C148" s="2">
        <f>IF(B148="","",LEFT(TEXT(B148,"000"),1)*1)</f>
        <v/>
      </c>
      <c r="D148" s="2">
        <f>IF(B148="","",MID(TEXT(B148,"000"),2,1)*1)</f>
        <v/>
      </c>
      <c r="E148" s="2">
        <f>IF(B148="","",RIGHT(TEXT(B148,"000"),1)*1)</f>
        <v/>
      </c>
      <c r="F148" s="2">
        <f>IF(B148="","",C148+D148+E148)</f>
        <v/>
      </c>
      <c r="G148" s="2">
        <f>IF(B148="","",MOD(F148,10))</f>
        <v/>
      </c>
      <c r="H148" s="2">
        <f>IF(B148="","",MAX(C148,D148,E148)-MIN(C148,D148,E148))</f>
        <v/>
      </c>
      <c r="I148" s="2">
        <f>IF(OR(B148="",H148=0),IF(H148=0,0.1,""),ROUND(F148/H148,2))</f>
        <v/>
      </c>
      <c r="J148" s="2">
        <f>IF(I148=0.1,"极紧凑",IF(I148&gt;3.5,"紧凑",IF(AND(I148&gt;=2,I148&lt;=3.5),"标准",IF(AND(I148&gt;=1,I148&lt;2),"松散",""))))</f>
        <v/>
      </c>
      <c r="K148" s="2">
        <f>IF(I148=0.1,"极紧凑-豹子号",IF(AND(I148&gt;=1,I148&lt;=1.29),"松散-极松散",IF(AND(I148&gt;=1.33,I148&lt;=1.8),"松散-标准松散",IF(AND(I148&gt;=1.83,I148&lt;=1.89),"松散-偏紧松散",IF(AND(I148&gt;=2,I148&lt;=2.5),"标准-偏松标准",IF(AND(I148&gt;=2.57,I148&lt;=3),"标准-核心标准",IF(AND(I148&gt;=3.17,I148&lt;=3.5),"标准-偏紧标准",IF(AND(I148&gt;=3.6,I148&lt;=5),"紧凑-标准紧凑",IF(AND(I148&gt;=5.25,I148&lt;=8),"紧凑-高度紧凑",IF(I148&gt;=8.5,"紧凑-极度紧凑",""))))))))))</f>
        <v/>
      </c>
      <c r="L148" s="2">
        <f>IF(I148=0.1,"极紧凑",IF(AND(I148&gt;=1,I148&lt;=1.89),"松散",IF(AND(I148&gt;=2,I148&lt;=3.5),"标准",IF(I148&gt;=3.6,"紧凑",""))))</f>
        <v/>
      </c>
      <c r="M148" s="2" t="inlineStr">
        <is>
          <t>极紧凑-豹子号</t>
        </is>
      </c>
      <c r="N148" s="2" t="inlineStr">
        <is>
          <t>松散-极松散</t>
        </is>
      </c>
      <c r="O148" s="2" t="inlineStr">
        <is>
          <t>松散-标准松散</t>
        </is>
      </c>
      <c r="P148" s="2" t="inlineStr">
        <is>
          <t>松散-偏紧松散</t>
        </is>
      </c>
      <c r="Q148" s="2" t="inlineStr">
        <is>
          <t>标准-偏松标准</t>
        </is>
      </c>
      <c r="R148" s="2" t="inlineStr">
        <is>
          <t>标准-核心标准</t>
        </is>
      </c>
      <c r="S148" s="2" t="inlineStr">
        <is>
          <t>标准-偏紧标准</t>
        </is>
      </c>
      <c r="T148" s="2" t="inlineStr">
        <is>
          <t>紧凑-标准紧凑</t>
        </is>
      </c>
      <c r="U148" s="2" t="inlineStr">
        <is>
          <t>紧凑-高度紧凑</t>
        </is>
      </c>
      <c r="V148" s="2" t="inlineStr">
        <is>
          <t>紧凑-极度紧凑</t>
        </is>
      </c>
    </row>
    <row r="149">
      <c r="A149" s="1" t="n">
        <v>2023067</v>
      </c>
      <c r="B149" s="3" t="inlineStr">
        <is>
          <t>854</t>
        </is>
      </c>
      <c r="C149" s="2">
        <f>IF(B149="","",LEFT(TEXT(B149,"000"),1)*1)</f>
        <v/>
      </c>
      <c r="D149" s="2">
        <f>IF(B149="","",MID(TEXT(B149,"000"),2,1)*1)</f>
        <v/>
      </c>
      <c r="E149" s="2">
        <f>IF(B149="","",RIGHT(TEXT(B149,"000"),1)*1)</f>
        <v/>
      </c>
      <c r="F149" s="2">
        <f>IF(B149="","",C149+D149+E149)</f>
        <v/>
      </c>
      <c r="G149" s="2">
        <f>IF(B149="","",MOD(F149,10))</f>
        <v/>
      </c>
      <c r="H149" s="2">
        <f>IF(B149="","",MAX(C149,D149,E149)-MIN(C149,D149,E149))</f>
        <v/>
      </c>
      <c r="I149" s="2">
        <f>IF(OR(B149="",H149=0),IF(H149=0,0.1,""),ROUND(F149/H149,2))</f>
        <v/>
      </c>
      <c r="J149" s="2">
        <f>IF(I149=0.1,"极紧凑",IF(I149&gt;3.5,"紧凑",IF(AND(I149&gt;=2,I149&lt;=3.5),"标准",IF(AND(I149&gt;=1,I149&lt;2),"松散",""))))</f>
        <v/>
      </c>
      <c r="K149" s="2">
        <f>IF(I149=0.1,"极紧凑-豹子号",IF(AND(I149&gt;=1,I149&lt;=1.29),"松散-极松散",IF(AND(I149&gt;=1.33,I149&lt;=1.8),"松散-标准松散",IF(AND(I149&gt;=1.83,I149&lt;=1.89),"松散-偏紧松散",IF(AND(I149&gt;=2,I149&lt;=2.5),"标准-偏松标准",IF(AND(I149&gt;=2.57,I149&lt;=3),"标准-核心标准",IF(AND(I149&gt;=3.17,I149&lt;=3.5),"标准-偏紧标准",IF(AND(I149&gt;=3.6,I149&lt;=5),"紧凑-标准紧凑",IF(AND(I149&gt;=5.25,I149&lt;=8),"紧凑-高度紧凑",IF(I149&gt;=8.5,"紧凑-极度紧凑",""))))))))))</f>
        <v/>
      </c>
      <c r="L149" s="2">
        <f>IF(I149=0.1,"极紧凑",IF(AND(I149&gt;=1,I149&lt;=1.89),"松散",IF(AND(I149&gt;=2,I149&lt;=3.5),"标准",IF(I149&gt;=3.6,"紧凑",""))))</f>
        <v/>
      </c>
      <c r="M149" s="2" t="inlineStr">
        <is>
          <t>极紧凑-豹子号</t>
        </is>
      </c>
      <c r="N149" s="2" t="inlineStr">
        <is>
          <t>松散-极松散</t>
        </is>
      </c>
      <c r="O149" s="2" t="inlineStr">
        <is>
          <t>松散-标准松散</t>
        </is>
      </c>
      <c r="P149" s="2" t="inlineStr">
        <is>
          <t>松散-偏紧松散</t>
        </is>
      </c>
      <c r="Q149" s="2" t="inlineStr">
        <is>
          <t>标准-偏松标准</t>
        </is>
      </c>
      <c r="R149" s="2" t="inlineStr">
        <is>
          <t>标准-核心标准</t>
        </is>
      </c>
      <c r="S149" s="2" t="inlineStr">
        <is>
          <t>标准-偏紧标准</t>
        </is>
      </c>
      <c r="T149" s="2" t="inlineStr">
        <is>
          <t>紧凑-标准紧凑</t>
        </is>
      </c>
      <c r="U149" s="2" t="inlineStr">
        <is>
          <t>紧凑-高度紧凑</t>
        </is>
      </c>
      <c r="V149" s="2" t="inlineStr">
        <is>
          <t>紧凑-极度紧凑</t>
        </is>
      </c>
    </row>
    <row r="150">
      <c r="A150" s="1" t="n">
        <v>2023068</v>
      </c>
      <c r="B150" s="3" t="inlineStr">
        <is>
          <t>366</t>
        </is>
      </c>
      <c r="C150" s="2">
        <f>IF(B150="","",LEFT(TEXT(B150,"000"),1)*1)</f>
        <v/>
      </c>
      <c r="D150" s="2">
        <f>IF(B150="","",MID(TEXT(B150,"000"),2,1)*1)</f>
        <v/>
      </c>
      <c r="E150" s="2">
        <f>IF(B150="","",RIGHT(TEXT(B150,"000"),1)*1)</f>
        <v/>
      </c>
      <c r="F150" s="2">
        <f>IF(B150="","",C150+D150+E150)</f>
        <v/>
      </c>
      <c r="G150" s="2">
        <f>IF(B150="","",MOD(F150,10))</f>
        <v/>
      </c>
      <c r="H150" s="2">
        <f>IF(B150="","",MAX(C150,D150,E150)-MIN(C150,D150,E150))</f>
        <v/>
      </c>
      <c r="I150" s="2">
        <f>IF(OR(B150="",H150=0),IF(H150=0,0.1,""),ROUND(F150/H150,2))</f>
        <v/>
      </c>
      <c r="J150" s="2">
        <f>IF(I150=0.1,"极紧凑",IF(I150&gt;3.5,"紧凑",IF(AND(I150&gt;=2,I150&lt;=3.5),"标准",IF(AND(I150&gt;=1,I150&lt;2),"松散",""))))</f>
        <v/>
      </c>
      <c r="K150" s="2">
        <f>IF(I150=0.1,"极紧凑-豹子号",IF(AND(I150&gt;=1,I150&lt;=1.29),"松散-极松散",IF(AND(I150&gt;=1.33,I150&lt;=1.8),"松散-标准松散",IF(AND(I150&gt;=1.83,I150&lt;=1.89),"松散-偏紧松散",IF(AND(I150&gt;=2,I150&lt;=2.5),"标准-偏松标准",IF(AND(I150&gt;=2.57,I150&lt;=3),"标准-核心标准",IF(AND(I150&gt;=3.17,I150&lt;=3.5),"标准-偏紧标准",IF(AND(I150&gt;=3.6,I150&lt;=5),"紧凑-标准紧凑",IF(AND(I150&gt;=5.25,I150&lt;=8),"紧凑-高度紧凑",IF(I150&gt;=8.5,"紧凑-极度紧凑",""))))))))))</f>
        <v/>
      </c>
      <c r="L150" s="2">
        <f>IF(I150=0.1,"极紧凑",IF(AND(I150&gt;=1,I150&lt;=1.89),"松散",IF(AND(I150&gt;=2,I150&lt;=3.5),"标准",IF(I150&gt;=3.6,"紧凑",""))))</f>
        <v/>
      </c>
      <c r="M150" s="2" t="inlineStr">
        <is>
          <t>极紧凑-豹子号</t>
        </is>
      </c>
      <c r="N150" s="2" t="inlineStr">
        <is>
          <t>松散-极松散</t>
        </is>
      </c>
      <c r="O150" s="2" t="inlineStr">
        <is>
          <t>松散-标准松散</t>
        </is>
      </c>
      <c r="P150" s="2" t="inlineStr">
        <is>
          <t>松散-偏紧松散</t>
        </is>
      </c>
      <c r="Q150" s="2" t="inlineStr">
        <is>
          <t>标准-偏松标准</t>
        </is>
      </c>
      <c r="R150" s="2" t="inlineStr">
        <is>
          <t>标准-核心标准</t>
        </is>
      </c>
      <c r="S150" s="2" t="inlineStr">
        <is>
          <t>标准-偏紧标准</t>
        </is>
      </c>
      <c r="T150" s="2" t="inlineStr">
        <is>
          <t>紧凑-标准紧凑</t>
        </is>
      </c>
      <c r="U150" s="2" t="inlineStr">
        <is>
          <t>紧凑-高度紧凑</t>
        </is>
      </c>
      <c r="V150" s="2" t="inlineStr">
        <is>
          <t>紧凑-极度紧凑</t>
        </is>
      </c>
    </row>
    <row r="151">
      <c r="A151" s="1" t="n">
        <v>2023069</v>
      </c>
      <c r="B151" s="3" t="inlineStr">
        <is>
          <t>932</t>
        </is>
      </c>
      <c r="C151" s="2">
        <f>IF(B151="","",LEFT(TEXT(B151,"000"),1)*1)</f>
        <v/>
      </c>
      <c r="D151" s="2">
        <f>IF(B151="","",MID(TEXT(B151,"000"),2,1)*1)</f>
        <v/>
      </c>
      <c r="E151" s="2">
        <f>IF(B151="","",RIGHT(TEXT(B151,"000"),1)*1)</f>
        <v/>
      </c>
      <c r="F151" s="2">
        <f>IF(B151="","",C151+D151+E151)</f>
        <v/>
      </c>
      <c r="G151" s="2">
        <f>IF(B151="","",MOD(F151,10))</f>
        <v/>
      </c>
      <c r="H151" s="2">
        <f>IF(B151="","",MAX(C151,D151,E151)-MIN(C151,D151,E151))</f>
        <v/>
      </c>
      <c r="I151" s="2">
        <f>IF(OR(B151="",H151=0),IF(H151=0,0.1,""),ROUND(F151/H151,2))</f>
        <v/>
      </c>
      <c r="J151" s="2">
        <f>IF(I151=0.1,"极紧凑",IF(I151&gt;3.5,"紧凑",IF(AND(I151&gt;=2,I151&lt;=3.5),"标准",IF(AND(I151&gt;=1,I151&lt;2),"松散",""))))</f>
        <v/>
      </c>
      <c r="K151" s="2">
        <f>IF(I151=0.1,"极紧凑-豹子号",IF(AND(I151&gt;=1,I151&lt;=1.29),"松散-极松散",IF(AND(I151&gt;=1.33,I151&lt;=1.8),"松散-标准松散",IF(AND(I151&gt;=1.83,I151&lt;=1.89),"松散-偏紧松散",IF(AND(I151&gt;=2,I151&lt;=2.5),"标准-偏松标准",IF(AND(I151&gt;=2.57,I151&lt;=3),"标准-核心标准",IF(AND(I151&gt;=3.17,I151&lt;=3.5),"标准-偏紧标准",IF(AND(I151&gt;=3.6,I151&lt;=5),"紧凑-标准紧凑",IF(AND(I151&gt;=5.25,I151&lt;=8),"紧凑-高度紧凑",IF(I151&gt;=8.5,"紧凑-极度紧凑",""))))))))))</f>
        <v/>
      </c>
      <c r="L151" s="2">
        <f>IF(I151=0.1,"极紧凑",IF(AND(I151&gt;=1,I151&lt;=1.89),"松散",IF(AND(I151&gt;=2,I151&lt;=3.5),"标准",IF(I151&gt;=3.6,"紧凑",""))))</f>
        <v/>
      </c>
      <c r="M151" s="2" t="inlineStr">
        <is>
          <t>极紧凑-豹子号</t>
        </is>
      </c>
      <c r="N151" s="2" t="inlineStr">
        <is>
          <t>松散-极松散</t>
        </is>
      </c>
      <c r="O151" s="2" t="inlineStr">
        <is>
          <t>松散-标准松散</t>
        </is>
      </c>
      <c r="P151" s="2" t="inlineStr">
        <is>
          <t>松散-偏紧松散</t>
        </is>
      </c>
      <c r="Q151" s="2" t="inlineStr">
        <is>
          <t>标准-偏松标准</t>
        </is>
      </c>
      <c r="R151" s="2" t="inlineStr">
        <is>
          <t>标准-核心标准</t>
        </is>
      </c>
      <c r="S151" s="2" t="inlineStr">
        <is>
          <t>标准-偏紧标准</t>
        </is>
      </c>
      <c r="T151" s="2" t="inlineStr">
        <is>
          <t>紧凑-标准紧凑</t>
        </is>
      </c>
      <c r="U151" s="2" t="inlineStr">
        <is>
          <t>紧凑-高度紧凑</t>
        </is>
      </c>
      <c r="V151" s="2" t="inlineStr">
        <is>
          <t>紧凑-极度紧凑</t>
        </is>
      </c>
    </row>
    <row r="152">
      <c r="A152" s="1" t="n">
        <v>2023070</v>
      </c>
      <c r="B152" s="3" t="inlineStr">
        <is>
          <t>567</t>
        </is>
      </c>
      <c r="C152" s="2">
        <f>IF(B152="","",LEFT(TEXT(B152,"000"),1)*1)</f>
        <v/>
      </c>
      <c r="D152" s="2">
        <f>IF(B152="","",MID(TEXT(B152,"000"),2,1)*1)</f>
        <v/>
      </c>
      <c r="E152" s="2">
        <f>IF(B152="","",RIGHT(TEXT(B152,"000"),1)*1)</f>
        <v/>
      </c>
      <c r="F152" s="2">
        <f>IF(B152="","",C152+D152+E152)</f>
        <v/>
      </c>
      <c r="G152" s="2">
        <f>IF(B152="","",MOD(F152,10))</f>
        <v/>
      </c>
      <c r="H152" s="2">
        <f>IF(B152="","",MAX(C152,D152,E152)-MIN(C152,D152,E152))</f>
        <v/>
      </c>
      <c r="I152" s="2">
        <f>IF(OR(B152="",H152=0),IF(H152=0,0.1,""),ROUND(F152/H152,2))</f>
        <v/>
      </c>
      <c r="J152" s="2">
        <f>IF(I152=0.1,"极紧凑",IF(I152&gt;3.5,"紧凑",IF(AND(I152&gt;=2,I152&lt;=3.5),"标准",IF(AND(I152&gt;=1,I152&lt;2),"松散",""))))</f>
        <v/>
      </c>
      <c r="K152" s="2">
        <f>IF(I152=0.1,"极紧凑-豹子号",IF(AND(I152&gt;=1,I152&lt;=1.29),"松散-极松散",IF(AND(I152&gt;=1.33,I152&lt;=1.8),"松散-标准松散",IF(AND(I152&gt;=1.83,I152&lt;=1.89),"松散-偏紧松散",IF(AND(I152&gt;=2,I152&lt;=2.5),"标准-偏松标准",IF(AND(I152&gt;=2.57,I152&lt;=3),"标准-核心标准",IF(AND(I152&gt;=3.17,I152&lt;=3.5),"标准-偏紧标准",IF(AND(I152&gt;=3.6,I152&lt;=5),"紧凑-标准紧凑",IF(AND(I152&gt;=5.25,I152&lt;=8),"紧凑-高度紧凑",IF(I152&gt;=8.5,"紧凑-极度紧凑",""))))))))))</f>
        <v/>
      </c>
      <c r="L152" s="2">
        <f>IF(I152=0.1,"极紧凑",IF(AND(I152&gt;=1,I152&lt;=1.89),"松散",IF(AND(I152&gt;=2,I152&lt;=3.5),"标准",IF(I152&gt;=3.6,"紧凑",""))))</f>
        <v/>
      </c>
      <c r="M152" s="2" t="inlineStr">
        <is>
          <t>极紧凑-豹子号</t>
        </is>
      </c>
      <c r="N152" s="2" t="inlineStr">
        <is>
          <t>松散-极松散</t>
        </is>
      </c>
      <c r="O152" s="2" t="inlineStr">
        <is>
          <t>松散-标准松散</t>
        </is>
      </c>
      <c r="P152" s="2" t="inlineStr">
        <is>
          <t>松散-偏紧松散</t>
        </is>
      </c>
      <c r="Q152" s="2" t="inlineStr">
        <is>
          <t>标准-偏松标准</t>
        </is>
      </c>
      <c r="R152" s="2" t="inlineStr">
        <is>
          <t>标准-核心标准</t>
        </is>
      </c>
      <c r="S152" s="2" t="inlineStr">
        <is>
          <t>标准-偏紧标准</t>
        </is>
      </c>
      <c r="T152" s="2" t="inlineStr">
        <is>
          <t>紧凑-标准紧凑</t>
        </is>
      </c>
      <c r="U152" s="2" t="inlineStr">
        <is>
          <t>紧凑-高度紧凑</t>
        </is>
      </c>
      <c r="V152" s="2" t="inlineStr">
        <is>
          <t>紧凑-极度紧凑</t>
        </is>
      </c>
    </row>
    <row r="153">
      <c r="A153" s="1" t="n">
        <v>2023071</v>
      </c>
      <c r="B153" s="2" t="inlineStr">
        <is>
          <t>017</t>
        </is>
      </c>
      <c r="C153" s="2">
        <f>IF(B153="","",LEFT(TEXT(B153,"000"),1)*1)</f>
        <v/>
      </c>
      <c r="D153" s="2">
        <f>IF(B153="","",MID(TEXT(B153,"000"),2,1)*1)</f>
        <v/>
      </c>
      <c r="E153" s="2">
        <f>IF(B153="","",RIGHT(TEXT(B153,"000"),1)*1)</f>
        <v/>
      </c>
      <c r="F153" s="2">
        <f>IF(B153="","",C153+D153+E153)</f>
        <v/>
      </c>
      <c r="G153" s="2">
        <f>IF(B153="","",MOD(F153,10))</f>
        <v/>
      </c>
      <c r="H153" s="2">
        <f>IF(B153="","",MAX(C153,D153,E153)-MIN(C153,D153,E153))</f>
        <v/>
      </c>
      <c r="I153" s="2">
        <f>IF(OR(B153="",H153=0),IF(H153=0,0.1,""),ROUND(F153/H153,2))</f>
        <v/>
      </c>
      <c r="J153" s="2">
        <f>IF(I153=0.1,"极紧凑",IF(I153&gt;3.5,"紧凑",IF(AND(I153&gt;=2,I153&lt;=3.5),"标准",IF(AND(I153&gt;=1,I153&lt;2),"松散",""))))</f>
        <v/>
      </c>
      <c r="K153" s="2">
        <f>IF(I153=0.1,"极紧凑-豹子号",IF(AND(I153&gt;=1,I153&lt;=1.29),"松散-极松散",IF(AND(I153&gt;=1.33,I153&lt;=1.8),"松散-标准松散",IF(AND(I153&gt;=1.83,I153&lt;=1.89),"松散-偏紧松散",IF(AND(I153&gt;=2,I153&lt;=2.5),"标准-偏松标准",IF(AND(I153&gt;=2.57,I153&lt;=3),"标准-核心标准",IF(AND(I153&gt;=3.17,I153&lt;=3.5),"标准-偏紧标准",IF(AND(I153&gt;=3.6,I153&lt;=5),"紧凑-标准紧凑",IF(AND(I153&gt;=5.25,I153&lt;=8),"紧凑-高度紧凑",IF(I153&gt;=8.5,"紧凑-极度紧凑",""))))))))))</f>
        <v/>
      </c>
      <c r="L153" s="2">
        <f>IF(I153=0.1,"极紧凑",IF(AND(I153&gt;=1,I153&lt;=1.89),"松散",IF(AND(I153&gt;=2,I153&lt;=3.5),"标准",IF(I153&gt;=3.6,"紧凑",""))))</f>
        <v/>
      </c>
      <c r="M153" s="2" t="inlineStr">
        <is>
          <t>极紧凑-豹子号</t>
        </is>
      </c>
      <c r="N153" s="2" t="inlineStr">
        <is>
          <t>松散-极松散</t>
        </is>
      </c>
      <c r="O153" s="2" t="inlineStr">
        <is>
          <t>松散-标准松散</t>
        </is>
      </c>
      <c r="P153" s="2" t="inlineStr">
        <is>
          <t>松散-偏紧松散</t>
        </is>
      </c>
      <c r="Q153" s="2" t="inlineStr">
        <is>
          <t>标准-偏松标准</t>
        </is>
      </c>
      <c r="R153" s="2" t="inlineStr">
        <is>
          <t>标准-核心标准</t>
        </is>
      </c>
      <c r="S153" s="2" t="inlineStr">
        <is>
          <t>标准-偏紧标准</t>
        </is>
      </c>
      <c r="T153" s="2" t="inlineStr">
        <is>
          <t>紧凑-标准紧凑</t>
        </is>
      </c>
      <c r="U153" s="2" t="inlineStr">
        <is>
          <t>紧凑-高度紧凑</t>
        </is>
      </c>
      <c r="V153" s="2" t="inlineStr">
        <is>
          <t>紧凑-极度紧凑</t>
        </is>
      </c>
    </row>
    <row r="154">
      <c r="A154" s="1" t="n">
        <v>2023072</v>
      </c>
      <c r="B154" s="3" t="inlineStr">
        <is>
          <t>447</t>
        </is>
      </c>
      <c r="C154" s="2">
        <f>IF(B154="","",LEFT(TEXT(B154,"000"),1)*1)</f>
        <v/>
      </c>
      <c r="D154" s="2">
        <f>IF(B154="","",MID(TEXT(B154,"000"),2,1)*1)</f>
        <v/>
      </c>
      <c r="E154" s="2">
        <f>IF(B154="","",RIGHT(TEXT(B154,"000"),1)*1)</f>
        <v/>
      </c>
      <c r="F154" s="2">
        <f>IF(B154="","",C154+D154+E154)</f>
        <v/>
      </c>
      <c r="G154" s="2">
        <f>IF(B154="","",MOD(F154,10))</f>
        <v/>
      </c>
      <c r="H154" s="2">
        <f>IF(B154="","",MAX(C154,D154,E154)-MIN(C154,D154,E154))</f>
        <v/>
      </c>
      <c r="I154" s="2">
        <f>IF(OR(B154="",H154=0),IF(H154=0,0.1,""),ROUND(F154/H154,2))</f>
        <v/>
      </c>
      <c r="J154" s="2">
        <f>IF(I154=0.1,"极紧凑",IF(I154&gt;3.5,"紧凑",IF(AND(I154&gt;=2,I154&lt;=3.5),"标准",IF(AND(I154&gt;=1,I154&lt;2),"松散",""))))</f>
        <v/>
      </c>
      <c r="K154" s="2">
        <f>IF(I154=0.1,"极紧凑-豹子号",IF(AND(I154&gt;=1,I154&lt;=1.29),"松散-极松散",IF(AND(I154&gt;=1.33,I154&lt;=1.8),"松散-标准松散",IF(AND(I154&gt;=1.83,I154&lt;=1.89),"松散-偏紧松散",IF(AND(I154&gt;=2,I154&lt;=2.5),"标准-偏松标准",IF(AND(I154&gt;=2.57,I154&lt;=3),"标准-核心标准",IF(AND(I154&gt;=3.17,I154&lt;=3.5),"标准-偏紧标准",IF(AND(I154&gt;=3.6,I154&lt;=5),"紧凑-标准紧凑",IF(AND(I154&gt;=5.25,I154&lt;=8),"紧凑-高度紧凑",IF(I154&gt;=8.5,"紧凑-极度紧凑",""))))))))))</f>
        <v/>
      </c>
      <c r="L154" s="2">
        <f>IF(I154=0.1,"极紧凑",IF(AND(I154&gt;=1,I154&lt;=1.89),"松散",IF(AND(I154&gt;=2,I154&lt;=3.5),"标准",IF(I154&gt;=3.6,"紧凑",""))))</f>
        <v/>
      </c>
      <c r="M154" s="2" t="inlineStr">
        <is>
          <t>极紧凑-豹子号</t>
        </is>
      </c>
      <c r="N154" s="2" t="inlineStr">
        <is>
          <t>松散-极松散</t>
        </is>
      </c>
      <c r="O154" s="2" t="inlineStr">
        <is>
          <t>松散-标准松散</t>
        </is>
      </c>
      <c r="P154" s="2" t="inlineStr">
        <is>
          <t>松散-偏紧松散</t>
        </is>
      </c>
      <c r="Q154" s="2" t="inlineStr">
        <is>
          <t>标准-偏松标准</t>
        </is>
      </c>
      <c r="R154" s="2" t="inlineStr">
        <is>
          <t>标准-核心标准</t>
        </is>
      </c>
      <c r="S154" s="2" t="inlineStr">
        <is>
          <t>标准-偏紧标准</t>
        </is>
      </c>
      <c r="T154" s="2" t="inlineStr">
        <is>
          <t>紧凑-标准紧凑</t>
        </is>
      </c>
      <c r="U154" s="2" t="inlineStr">
        <is>
          <t>紧凑-高度紧凑</t>
        </is>
      </c>
      <c r="V154" s="2" t="inlineStr">
        <is>
          <t>紧凑-极度紧凑</t>
        </is>
      </c>
    </row>
    <row r="155">
      <c r="A155" s="1" t="n">
        <v>2023073</v>
      </c>
      <c r="B155" s="3" t="inlineStr">
        <is>
          <t>130</t>
        </is>
      </c>
      <c r="C155" s="2">
        <f>IF(B155="","",LEFT(TEXT(B155,"000"),1)*1)</f>
        <v/>
      </c>
      <c r="D155" s="2">
        <f>IF(B155="","",MID(TEXT(B155,"000"),2,1)*1)</f>
        <v/>
      </c>
      <c r="E155" s="2">
        <f>IF(B155="","",RIGHT(TEXT(B155,"000"),1)*1)</f>
        <v/>
      </c>
      <c r="F155" s="2">
        <f>IF(B155="","",C155+D155+E155)</f>
        <v/>
      </c>
      <c r="G155" s="2">
        <f>IF(B155="","",MOD(F155,10))</f>
        <v/>
      </c>
      <c r="H155" s="2">
        <f>IF(B155="","",MAX(C155,D155,E155)-MIN(C155,D155,E155))</f>
        <v/>
      </c>
      <c r="I155" s="2">
        <f>IF(OR(B155="",H155=0),IF(H155=0,0.1,""),ROUND(F155/H155,2))</f>
        <v/>
      </c>
      <c r="J155" s="2">
        <f>IF(I155=0.1,"极紧凑",IF(I155&gt;3.5,"紧凑",IF(AND(I155&gt;=2,I155&lt;=3.5),"标准",IF(AND(I155&gt;=1,I155&lt;2),"松散",""))))</f>
        <v/>
      </c>
      <c r="K155" s="2">
        <f>IF(I155=0.1,"极紧凑-豹子号",IF(AND(I155&gt;=1,I155&lt;=1.29),"松散-极松散",IF(AND(I155&gt;=1.33,I155&lt;=1.8),"松散-标准松散",IF(AND(I155&gt;=1.83,I155&lt;=1.89),"松散-偏紧松散",IF(AND(I155&gt;=2,I155&lt;=2.5),"标准-偏松标准",IF(AND(I155&gt;=2.57,I155&lt;=3),"标准-核心标准",IF(AND(I155&gt;=3.17,I155&lt;=3.5),"标准-偏紧标准",IF(AND(I155&gt;=3.6,I155&lt;=5),"紧凑-标准紧凑",IF(AND(I155&gt;=5.25,I155&lt;=8),"紧凑-高度紧凑",IF(I155&gt;=8.5,"紧凑-极度紧凑",""))))))))))</f>
        <v/>
      </c>
      <c r="L155" s="2">
        <f>IF(I155=0.1,"极紧凑",IF(AND(I155&gt;=1,I155&lt;=1.89),"松散",IF(AND(I155&gt;=2,I155&lt;=3.5),"标准",IF(I155&gt;=3.6,"紧凑",""))))</f>
        <v/>
      </c>
      <c r="M155" s="2" t="inlineStr">
        <is>
          <t>极紧凑-豹子号</t>
        </is>
      </c>
      <c r="N155" s="2" t="inlineStr">
        <is>
          <t>松散-极松散</t>
        </is>
      </c>
      <c r="O155" s="2" t="inlineStr">
        <is>
          <t>松散-标准松散</t>
        </is>
      </c>
      <c r="P155" s="2" t="inlineStr">
        <is>
          <t>松散-偏紧松散</t>
        </is>
      </c>
      <c r="Q155" s="2" t="inlineStr">
        <is>
          <t>标准-偏松标准</t>
        </is>
      </c>
      <c r="R155" s="2" t="inlineStr">
        <is>
          <t>标准-核心标准</t>
        </is>
      </c>
      <c r="S155" s="2" t="inlineStr">
        <is>
          <t>标准-偏紧标准</t>
        </is>
      </c>
      <c r="T155" s="2" t="inlineStr">
        <is>
          <t>紧凑-标准紧凑</t>
        </is>
      </c>
      <c r="U155" s="2" t="inlineStr">
        <is>
          <t>紧凑-高度紧凑</t>
        </is>
      </c>
      <c r="V155" s="2" t="inlineStr">
        <is>
          <t>紧凑-极度紧凑</t>
        </is>
      </c>
    </row>
    <row r="156">
      <c r="A156" s="1" t="n">
        <v>2023074</v>
      </c>
      <c r="B156" s="3" t="inlineStr">
        <is>
          <t>071</t>
        </is>
      </c>
      <c r="C156" s="2">
        <f>IF(B156="","",LEFT(TEXT(B156,"000"),1)*1)</f>
        <v/>
      </c>
      <c r="D156" s="2">
        <f>IF(B156="","",MID(TEXT(B156,"000"),2,1)*1)</f>
        <v/>
      </c>
      <c r="E156" s="2">
        <f>IF(B156="","",RIGHT(TEXT(B156,"000"),1)*1)</f>
        <v/>
      </c>
      <c r="F156" s="2">
        <f>IF(B156="","",C156+D156+E156)</f>
        <v/>
      </c>
      <c r="G156" s="2">
        <f>IF(B156="","",MOD(F156,10))</f>
        <v/>
      </c>
      <c r="H156" s="2">
        <f>IF(B156="","",MAX(C156,D156,E156)-MIN(C156,D156,E156))</f>
        <v/>
      </c>
      <c r="I156" s="2">
        <f>IF(OR(B156="",H156=0),IF(H156=0,0.1,""),ROUND(F156/H156,2))</f>
        <v/>
      </c>
      <c r="J156" s="2">
        <f>IF(I156=0.1,"极紧凑",IF(I156&gt;3.5,"紧凑",IF(AND(I156&gt;=2,I156&lt;=3.5),"标准",IF(AND(I156&gt;=1,I156&lt;2),"松散",""))))</f>
        <v/>
      </c>
      <c r="K156" s="2">
        <f>IF(I156=0.1,"极紧凑-豹子号",IF(AND(I156&gt;=1,I156&lt;=1.29),"松散-极松散",IF(AND(I156&gt;=1.33,I156&lt;=1.8),"松散-标准松散",IF(AND(I156&gt;=1.83,I156&lt;=1.89),"松散-偏紧松散",IF(AND(I156&gt;=2,I156&lt;=2.5),"标准-偏松标准",IF(AND(I156&gt;=2.57,I156&lt;=3),"标准-核心标准",IF(AND(I156&gt;=3.17,I156&lt;=3.5),"标准-偏紧标准",IF(AND(I156&gt;=3.6,I156&lt;=5),"紧凑-标准紧凑",IF(AND(I156&gt;=5.25,I156&lt;=8),"紧凑-高度紧凑",IF(I156&gt;=8.5,"紧凑-极度紧凑",""))))))))))</f>
        <v/>
      </c>
      <c r="L156" s="2">
        <f>IF(I156=0.1,"极紧凑",IF(AND(I156&gt;=1,I156&lt;=1.89),"松散",IF(AND(I156&gt;=2,I156&lt;=3.5),"标准",IF(I156&gt;=3.6,"紧凑",""))))</f>
        <v/>
      </c>
      <c r="M156" s="2" t="inlineStr">
        <is>
          <t>极紧凑-豹子号</t>
        </is>
      </c>
      <c r="N156" s="2" t="inlineStr">
        <is>
          <t>松散-极松散</t>
        </is>
      </c>
      <c r="O156" s="2" t="inlineStr">
        <is>
          <t>松散-标准松散</t>
        </is>
      </c>
      <c r="P156" s="2" t="inlineStr">
        <is>
          <t>松散-偏紧松散</t>
        </is>
      </c>
      <c r="Q156" s="2" t="inlineStr">
        <is>
          <t>标准-偏松标准</t>
        </is>
      </c>
      <c r="R156" s="2" t="inlineStr">
        <is>
          <t>标准-核心标准</t>
        </is>
      </c>
      <c r="S156" s="2" t="inlineStr">
        <is>
          <t>标准-偏紧标准</t>
        </is>
      </c>
      <c r="T156" s="2" t="inlineStr">
        <is>
          <t>紧凑-标准紧凑</t>
        </is>
      </c>
      <c r="U156" s="2" t="inlineStr">
        <is>
          <t>紧凑-高度紧凑</t>
        </is>
      </c>
      <c r="V156" s="2" t="inlineStr">
        <is>
          <t>紧凑-极度紧凑</t>
        </is>
      </c>
    </row>
    <row r="157">
      <c r="A157" s="1" t="n">
        <v>2023075</v>
      </c>
      <c r="B157" s="3" t="inlineStr">
        <is>
          <t>738</t>
        </is>
      </c>
      <c r="C157" s="2">
        <f>IF(B157="","",LEFT(TEXT(B157,"000"),1)*1)</f>
        <v/>
      </c>
      <c r="D157" s="2">
        <f>IF(B157="","",MID(TEXT(B157,"000"),2,1)*1)</f>
        <v/>
      </c>
      <c r="E157" s="2">
        <f>IF(B157="","",RIGHT(TEXT(B157,"000"),1)*1)</f>
        <v/>
      </c>
      <c r="F157" s="2">
        <f>IF(B157="","",C157+D157+E157)</f>
        <v/>
      </c>
      <c r="G157" s="2">
        <f>IF(B157="","",MOD(F157,10))</f>
        <v/>
      </c>
      <c r="H157" s="2">
        <f>IF(B157="","",MAX(C157,D157,E157)-MIN(C157,D157,E157))</f>
        <v/>
      </c>
      <c r="I157" s="2">
        <f>IF(OR(B157="",H157=0),IF(H157=0,0.1,""),ROUND(F157/H157,2))</f>
        <v/>
      </c>
      <c r="J157" s="2">
        <f>IF(I157=0.1,"极紧凑",IF(I157&gt;3.5,"紧凑",IF(AND(I157&gt;=2,I157&lt;=3.5),"标准",IF(AND(I157&gt;=1,I157&lt;2),"松散",""))))</f>
        <v/>
      </c>
      <c r="K157" s="2">
        <f>IF(I157=0.1,"极紧凑-豹子号",IF(AND(I157&gt;=1,I157&lt;=1.29),"松散-极松散",IF(AND(I157&gt;=1.33,I157&lt;=1.8),"松散-标准松散",IF(AND(I157&gt;=1.83,I157&lt;=1.89),"松散-偏紧松散",IF(AND(I157&gt;=2,I157&lt;=2.5),"标准-偏松标准",IF(AND(I157&gt;=2.57,I157&lt;=3),"标准-核心标准",IF(AND(I157&gt;=3.17,I157&lt;=3.5),"标准-偏紧标准",IF(AND(I157&gt;=3.6,I157&lt;=5),"紧凑-标准紧凑",IF(AND(I157&gt;=5.25,I157&lt;=8),"紧凑-高度紧凑",IF(I157&gt;=8.5,"紧凑-极度紧凑",""))))))))))</f>
        <v/>
      </c>
      <c r="L157" s="2">
        <f>IF(I157=0.1,"极紧凑",IF(AND(I157&gt;=1,I157&lt;=1.89),"松散",IF(AND(I157&gt;=2,I157&lt;=3.5),"标准",IF(I157&gt;=3.6,"紧凑",""))))</f>
        <v/>
      </c>
      <c r="M157" s="2" t="inlineStr">
        <is>
          <t>极紧凑-豹子号</t>
        </is>
      </c>
      <c r="N157" s="2" t="inlineStr">
        <is>
          <t>松散-极松散</t>
        </is>
      </c>
      <c r="O157" s="2" t="inlineStr">
        <is>
          <t>松散-标准松散</t>
        </is>
      </c>
      <c r="P157" s="2" t="inlineStr">
        <is>
          <t>松散-偏紧松散</t>
        </is>
      </c>
      <c r="Q157" s="2" t="inlineStr">
        <is>
          <t>标准-偏松标准</t>
        </is>
      </c>
      <c r="R157" s="2" t="inlineStr">
        <is>
          <t>标准-核心标准</t>
        </is>
      </c>
      <c r="S157" s="2" t="inlineStr">
        <is>
          <t>标准-偏紧标准</t>
        </is>
      </c>
      <c r="T157" s="2" t="inlineStr">
        <is>
          <t>紧凑-标准紧凑</t>
        </is>
      </c>
      <c r="U157" s="2" t="inlineStr">
        <is>
          <t>紧凑-高度紧凑</t>
        </is>
      </c>
      <c r="V157" s="2" t="inlineStr">
        <is>
          <t>紧凑-极度紧凑</t>
        </is>
      </c>
    </row>
    <row r="158">
      <c r="A158" s="1" t="n">
        <v>2023076</v>
      </c>
      <c r="B158" s="3" t="inlineStr">
        <is>
          <t>503</t>
        </is>
      </c>
      <c r="C158" s="2">
        <f>IF(B158="","",LEFT(TEXT(B158,"000"),1)*1)</f>
        <v/>
      </c>
      <c r="D158" s="2">
        <f>IF(B158="","",MID(TEXT(B158,"000"),2,1)*1)</f>
        <v/>
      </c>
      <c r="E158" s="2">
        <f>IF(B158="","",RIGHT(TEXT(B158,"000"),1)*1)</f>
        <v/>
      </c>
      <c r="F158" s="2">
        <f>IF(B158="","",C158+D158+E158)</f>
        <v/>
      </c>
      <c r="G158" s="2">
        <f>IF(B158="","",MOD(F158,10))</f>
        <v/>
      </c>
      <c r="H158" s="2">
        <f>IF(B158="","",MAX(C158,D158,E158)-MIN(C158,D158,E158))</f>
        <v/>
      </c>
      <c r="I158" s="2">
        <f>IF(OR(B158="",H158=0),IF(H158=0,0.1,""),ROUND(F158/H158,2))</f>
        <v/>
      </c>
      <c r="J158" s="2">
        <f>IF(I158=0.1,"极紧凑",IF(I158&gt;3.5,"紧凑",IF(AND(I158&gt;=2,I158&lt;=3.5),"标准",IF(AND(I158&gt;=1,I158&lt;2),"松散",""))))</f>
        <v/>
      </c>
      <c r="K158" s="2">
        <f>IF(I158=0.1,"极紧凑-豹子号",IF(AND(I158&gt;=1,I158&lt;=1.29),"松散-极松散",IF(AND(I158&gt;=1.33,I158&lt;=1.8),"松散-标准松散",IF(AND(I158&gt;=1.83,I158&lt;=1.89),"松散-偏紧松散",IF(AND(I158&gt;=2,I158&lt;=2.5),"标准-偏松标准",IF(AND(I158&gt;=2.57,I158&lt;=3),"标准-核心标准",IF(AND(I158&gt;=3.17,I158&lt;=3.5),"标准-偏紧标准",IF(AND(I158&gt;=3.6,I158&lt;=5),"紧凑-标准紧凑",IF(AND(I158&gt;=5.25,I158&lt;=8),"紧凑-高度紧凑",IF(I158&gt;=8.5,"紧凑-极度紧凑",""))))))))))</f>
        <v/>
      </c>
      <c r="L158" s="2">
        <f>IF(I158=0.1,"极紧凑",IF(AND(I158&gt;=1,I158&lt;=1.89),"松散",IF(AND(I158&gt;=2,I158&lt;=3.5),"标准",IF(I158&gt;=3.6,"紧凑",""))))</f>
        <v/>
      </c>
      <c r="M158" s="2" t="inlineStr">
        <is>
          <t>极紧凑-豹子号</t>
        </is>
      </c>
      <c r="N158" s="2" t="inlineStr">
        <is>
          <t>松散-极松散</t>
        </is>
      </c>
      <c r="O158" s="2" t="inlineStr">
        <is>
          <t>松散-标准松散</t>
        </is>
      </c>
      <c r="P158" s="2" t="inlineStr">
        <is>
          <t>松散-偏紧松散</t>
        </is>
      </c>
      <c r="Q158" s="2" t="inlineStr">
        <is>
          <t>标准-偏松标准</t>
        </is>
      </c>
      <c r="R158" s="2" t="inlineStr">
        <is>
          <t>标准-核心标准</t>
        </is>
      </c>
      <c r="S158" s="2" t="inlineStr">
        <is>
          <t>标准-偏紧标准</t>
        </is>
      </c>
      <c r="T158" s="2" t="inlineStr">
        <is>
          <t>紧凑-标准紧凑</t>
        </is>
      </c>
      <c r="U158" s="2" t="inlineStr">
        <is>
          <t>紧凑-高度紧凑</t>
        </is>
      </c>
      <c r="V158" s="2" t="inlineStr">
        <is>
          <t>紧凑-极度紧凑</t>
        </is>
      </c>
    </row>
    <row r="159">
      <c r="A159" s="1" t="n">
        <v>2023077</v>
      </c>
      <c r="B159" s="3" t="inlineStr">
        <is>
          <t>209</t>
        </is>
      </c>
      <c r="C159" s="2">
        <f>IF(B159="","",LEFT(TEXT(B159,"000"),1)*1)</f>
        <v/>
      </c>
      <c r="D159" s="2">
        <f>IF(B159="","",MID(TEXT(B159,"000"),2,1)*1)</f>
        <v/>
      </c>
      <c r="E159" s="2">
        <f>IF(B159="","",RIGHT(TEXT(B159,"000"),1)*1)</f>
        <v/>
      </c>
      <c r="F159" s="2">
        <f>IF(B159="","",C159+D159+E159)</f>
        <v/>
      </c>
      <c r="G159" s="2">
        <f>IF(B159="","",MOD(F159,10))</f>
        <v/>
      </c>
      <c r="H159" s="2">
        <f>IF(B159="","",MAX(C159,D159,E159)-MIN(C159,D159,E159))</f>
        <v/>
      </c>
      <c r="I159" s="2">
        <f>IF(OR(B159="",H159=0),IF(H159=0,0.1,""),ROUND(F159/H159,2))</f>
        <v/>
      </c>
      <c r="J159" s="2">
        <f>IF(I159=0.1,"极紧凑",IF(I159&gt;3.5,"紧凑",IF(AND(I159&gt;=2,I159&lt;=3.5),"标准",IF(AND(I159&gt;=1,I159&lt;2),"松散",""))))</f>
        <v/>
      </c>
      <c r="K159" s="2">
        <f>IF(I159=0.1,"极紧凑-豹子号",IF(AND(I159&gt;=1,I159&lt;=1.29),"松散-极松散",IF(AND(I159&gt;=1.33,I159&lt;=1.8),"松散-标准松散",IF(AND(I159&gt;=1.83,I159&lt;=1.89),"松散-偏紧松散",IF(AND(I159&gt;=2,I159&lt;=2.5),"标准-偏松标准",IF(AND(I159&gt;=2.57,I159&lt;=3),"标准-核心标准",IF(AND(I159&gt;=3.17,I159&lt;=3.5),"标准-偏紧标准",IF(AND(I159&gt;=3.6,I159&lt;=5),"紧凑-标准紧凑",IF(AND(I159&gt;=5.25,I159&lt;=8),"紧凑-高度紧凑",IF(I159&gt;=8.5,"紧凑-极度紧凑",""))))))))))</f>
        <v/>
      </c>
      <c r="L159" s="2">
        <f>IF(I159=0.1,"极紧凑",IF(AND(I159&gt;=1,I159&lt;=1.89),"松散",IF(AND(I159&gt;=2,I159&lt;=3.5),"标准",IF(I159&gt;=3.6,"紧凑",""))))</f>
        <v/>
      </c>
      <c r="M159" s="2" t="inlineStr">
        <is>
          <t>极紧凑-豹子号</t>
        </is>
      </c>
      <c r="N159" s="2" t="inlineStr">
        <is>
          <t>松散-极松散</t>
        </is>
      </c>
      <c r="O159" s="2" t="inlineStr">
        <is>
          <t>松散-标准松散</t>
        </is>
      </c>
      <c r="P159" s="2" t="inlineStr">
        <is>
          <t>松散-偏紧松散</t>
        </is>
      </c>
      <c r="Q159" s="2" t="inlineStr">
        <is>
          <t>标准-偏松标准</t>
        </is>
      </c>
      <c r="R159" s="2" t="inlineStr">
        <is>
          <t>标准-核心标准</t>
        </is>
      </c>
      <c r="S159" s="2" t="inlineStr">
        <is>
          <t>标准-偏紧标准</t>
        </is>
      </c>
      <c r="T159" s="2" t="inlineStr">
        <is>
          <t>紧凑-标准紧凑</t>
        </is>
      </c>
      <c r="U159" s="2" t="inlineStr">
        <is>
          <t>紧凑-高度紧凑</t>
        </is>
      </c>
      <c r="V159" s="2" t="inlineStr">
        <is>
          <t>紧凑-极度紧凑</t>
        </is>
      </c>
    </row>
    <row r="160">
      <c r="A160" s="1" t="n">
        <v>2023078</v>
      </c>
      <c r="B160" s="3" t="inlineStr">
        <is>
          <t>316</t>
        </is>
      </c>
      <c r="C160" s="2">
        <f>IF(B160="","",LEFT(TEXT(B160,"000"),1)*1)</f>
        <v/>
      </c>
      <c r="D160" s="2">
        <f>IF(B160="","",MID(TEXT(B160,"000"),2,1)*1)</f>
        <v/>
      </c>
      <c r="E160" s="2">
        <f>IF(B160="","",RIGHT(TEXT(B160,"000"),1)*1)</f>
        <v/>
      </c>
      <c r="F160" s="2">
        <f>IF(B160="","",C160+D160+E160)</f>
        <v/>
      </c>
      <c r="G160" s="2">
        <f>IF(B160="","",MOD(F160,10))</f>
        <v/>
      </c>
      <c r="H160" s="2">
        <f>IF(B160="","",MAX(C160,D160,E160)-MIN(C160,D160,E160))</f>
        <v/>
      </c>
      <c r="I160" s="2">
        <f>IF(OR(B160="",H160=0),IF(H160=0,0.1,""),ROUND(F160/H160,2))</f>
        <v/>
      </c>
      <c r="J160" s="2">
        <f>IF(I160=0.1,"极紧凑",IF(I160&gt;3.5,"紧凑",IF(AND(I160&gt;=2,I160&lt;=3.5),"标准",IF(AND(I160&gt;=1,I160&lt;2),"松散",""))))</f>
        <v/>
      </c>
      <c r="K160" s="2">
        <f>IF(I160=0.1,"极紧凑-豹子号",IF(AND(I160&gt;=1,I160&lt;=1.29),"松散-极松散",IF(AND(I160&gt;=1.33,I160&lt;=1.8),"松散-标准松散",IF(AND(I160&gt;=1.83,I160&lt;=1.89),"松散-偏紧松散",IF(AND(I160&gt;=2,I160&lt;=2.5),"标准-偏松标准",IF(AND(I160&gt;=2.57,I160&lt;=3),"标准-核心标准",IF(AND(I160&gt;=3.17,I160&lt;=3.5),"标准-偏紧标准",IF(AND(I160&gt;=3.6,I160&lt;=5),"紧凑-标准紧凑",IF(AND(I160&gt;=5.25,I160&lt;=8),"紧凑-高度紧凑",IF(I160&gt;=8.5,"紧凑-极度紧凑",""))))))))))</f>
        <v/>
      </c>
      <c r="L160" s="2">
        <f>IF(I160=0.1,"极紧凑",IF(AND(I160&gt;=1,I160&lt;=1.89),"松散",IF(AND(I160&gt;=2,I160&lt;=3.5),"标准",IF(I160&gt;=3.6,"紧凑",""))))</f>
        <v/>
      </c>
      <c r="M160" s="2" t="inlineStr">
        <is>
          <t>极紧凑-豹子号</t>
        </is>
      </c>
      <c r="N160" s="2" t="inlineStr">
        <is>
          <t>松散-极松散</t>
        </is>
      </c>
      <c r="O160" s="2" t="inlineStr">
        <is>
          <t>松散-标准松散</t>
        </is>
      </c>
      <c r="P160" s="2" t="inlineStr">
        <is>
          <t>松散-偏紧松散</t>
        </is>
      </c>
      <c r="Q160" s="2" t="inlineStr">
        <is>
          <t>标准-偏松标准</t>
        </is>
      </c>
      <c r="R160" s="2" t="inlineStr">
        <is>
          <t>标准-核心标准</t>
        </is>
      </c>
      <c r="S160" s="2" t="inlineStr">
        <is>
          <t>标准-偏紧标准</t>
        </is>
      </c>
      <c r="T160" s="2" t="inlineStr">
        <is>
          <t>紧凑-标准紧凑</t>
        </is>
      </c>
      <c r="U160" s="2" t="inlineStr">
        <is>
          <t>紧凑-高度紧凑</t>
        </is>
      </c>
      <c r="V160" s="2" t="inlineStr">
        <is>
          <t>紧凑-极度紧凑</t>
        </is>
      </c>
    </row>
    <row r="161">
      <c r="A161" s="1" t="n">
        <v>2023079</v>
      </c>
      <c r="B161" s="3" t="inlineStr">
        <is>
          <t>014</t>
        </is>
      </c>
      <c r="C161" s="2">
        <f>IF(B161="","",LEFT(TEXT(B161,"000"),1)*1)</f>
        <v/>
      </c>
      <c r="D161" s="2">
        <f>IF(B161="","",MID(TEXT(B161,"000"),2,1)*1)</f>
        <v/>
      </c>
      <c r="E161" s="2">
        <f>IF(B161="","",RIGHT(TEXT(B161,"000"),1)*1)</f>
        <v/>
      </c>
      <c r="F161" s="2">
        <f>IF(B161="","",C161+D161+E161)</f>
        <v/>
      </c>
      <c r="G161" s="2">
        <f>IF(B161="","",MOD(F161,10))</f>
        <v/>
      </c>
      <c r="H161" s="2">
        <f>IF(B161="","",MAX(C161,D161,E161)-MIN(C161,D161,E161))</f>
        <v/>
      </c>
      <c r="I161" s="2">
        <f>IF(OR(B161="",H161=0),IF(H161=0,0.1,""),ROUND(F161/H161,2))</f>
        <v/>
      </c>
      <c r="J161" s="2">
        <f>IF(I161=0.1,"极紧凑",IF(I161&gt;3.5,"紧凑",IF(AND(I161&gt;=2,I161&lt;=3.5),"标准",IF(AND(I161&gt;=1,I161&lt;2),"松散",""))))</f>
        <v/>
      </c>
      <c r="K161" s="2">
        <f>IF(I161=0.1,"极紧凑-豹子号",IF(AND(I161&gt;=1,I161&lt;=1.29),"松散-极松散",IF(AND(I161&gt;=1.33,I161&lt;=1.8),"松散-标准松散",IF(AND(I161&gt;=1.83,I161&lt;=1.89),"松散-偏紧松散",IF(AND(I161&gt;=2,I161&lt;=2.5),"标准-偏松标准",IF(AND(I161&gt;=2.57,I161&lt;=3),"标准-核心标准",IF(AND(I161&gt;=3.17,I161&lt;=3.5),"标准-偏紧标准",IF(AND(I161&gt;=3.6,I161&lt;=5),"紧凑-标准紧凑",IF(AND(I161&gt;=5.25,I161&lt;=8),"紧凑-高度紧凑",IF(I161&gt;=8.5,"紧凑-极度紧凑",""))))))))))</f>
        <v/>
      </c>
      <c r="L161" s="2">
        <f>IF(I161=0.1,"极紧凑",IF(AND(I161&gt;=1,I161&lt;=1.89),"松散",IF(AND(I161&gt;=2,I161&lt;=3.5),"标准",IF(I161&gt;=3.6,"紧凑",""))))</f>
        <v/>
      </c>
      <c r="M161" s="2" t="inlineStr">
        <is>
          <t>极紧凑-豹子号</t>
        </is>
      </c>
      <c r="N161" s="2" t="inlineStr">
        <is>
          <t>松散-极松散</t>
        </is>
      </c>
      <c r="O161" s="2" t="inlineStr">
        <is>
          <t>松散-标准松散</t>
        </is>
      </c>
      <c r="P161" s="2" t="inlineStr">
        <is>
          <t>松散-偏紧松散</t>
        </is>
      </c>
      <c r="Q161" s="2" t="inlineStr">
        <is>
          <t>标准-偏松标准</t>
        </is>
      </c>
      <c r="R161" s="2" t="inlineStr">
        <is>
          <t>标准-核心标准</t>
        </is>
      </c>
      <c r="S161" s="2" t="inlineStr">
        <is>
          <t>标准-偏紧标准</t>
        </is>
      </c>
      <c r="T161" s="2" t="inlineStr">
        <is>
          <t>紧凑-标准紧凑</t>
        </is>
      </c>
      <c r="U161" s="2" t="inlineStr">
        <is>
          <t>紧凑-高度紧凑</t>
        </is>
      </c>
      <c r="V161" s="2" t="inlineStr">
        <is>
          <t>紧凑-极度紧凑</t>
        </is>
      </c>
    </row>
    <row r="162">
      <c r="A162" s="1" t="n">
        <v>2023080</v>
      </c>
      <c r="B162" s="3" t="inlineStr">
        <is>
          <t>484</t>
        </is>
      </c>
      <c r="C162" s="2">
        <f>IF(B162="","",LEFT(TEXT(B162,"000"),1)*1)</f>
        <v/>
      </c>
      <c r="D162" s="2">
        <f>IF(B162="","",MID(TEXT(B162,"000"),2,1)*1)</f>
        <v/>
      </c>
      <c r="E162" s="2">
        <f>IF(B162="","",RIGHT(TEXT(B162,"000"),1)*1)</f>
        <v/>
      </c>
      <c r="F162" s="2">
        <f>IF(B162="","",C162+D162+E162)</f>
        <v/>
      </c>
      <c r="G162" s="2">
        <f>IF(B162="","",MOD(F162,10))</f>
        <v/>
      </c>
      <c r="H162" s="2">
        <f>IF(B162="","",MAX(C162,D162,E162)-MIN(C162,D162,E162))</f>
        <v/>
      </c>
      <c r="I162" s="2">
        <f>IF(OR(B162="",H162=0),IF(H162=0,0.1,""),ROUND(F162/H162,2))</f>
        <v/>
      </c>
      <c r="J162" s="2">
        <f>IF(I162=0.1,"极紧凑",IF(I162&gt;3.5,"紧凑",IF(AND(I162&gt;=2,I162&lt;=3.5),"标准",IF(AND(I162&gt;=1,I162&lt;2),"松散",""))))</f>
        <v/>
      </c>
      <c r="K162" s="2">
        <f>IF(I162=0.1,"极紧凑-豹子号",IF(AND(I162&gt;=1,I162&lt;=1.29),"松散-极松散",IF(AND(I162&gt;=1.33,I162&lt;=1.8),"松散-标准松散",IF(AND(I162&gt;=1.83,I162&lt;=1.89),"松散-偏紧松散",IF(AND(I162&gt;=2,I162&lt;=2.5),"标准-偏松标准",IF(AND(I162&gt;=2.57,I162&lt;=3),"标准-核心标准",IF(AND(I162&gt;=3.17,I162&lt;=3.5),"标准-偏紧标准",IF(AND(I162&gt;=3.6,I162&lt;=5),"紧凑-标准紧凑",IF(AND(I162&gt;=5.25,I162&lt;=8),"紧凑-高度紧凑",IF(I162&gt;=8.5,"紧凑-极度紧凑",""))))))))))</f>
        <v/>
      </c>
      <c r="L162" s="2">
        <f>IF(I162=0.1,"极紧凑",IF(AND(I162&gt;=1,I162&lt;=1.89),"松散",IF(AND(I162&gt;=2,I162&lt;=3.5),"标准",IF(I162&gt;=3.6,"紧凑",""))))</f>
        <v/>
      </c>
      <c r="M162" s="2" t="inlineStr">
        <is>
          <t>极紧凑-豹子号</t>
        </is>
      </c>
      <c r="N162" s="2" t="inlineStr">
        <is>
          <t>松散-极松散</t>
        </is>
      </c>
      <c r="O162" s="2" t="inlineStr">
        <is>
          <t>松散-标准松散</t>
        </is>
      </c>
      <c r="P162" s="2" t="inlineStr">
        <is>
          <t>松散-偏紧松散</t>
        </is>
      </c>
      <c r="Q162" s="2" t="inlineStr">
        <is>
          <t>标准-偏松标准</t>
        </is>
      </c>
      <c r="R162" s="2" t="inlineStr">
        <is>
          <t>标准-核心标准</t>
        </is>
      </c>
      <c r="S162" s="2" t="inlineStr">
        <is>
          <t>标准-偏紧标准</t>
        </is>
      </c>
      <c r="T162" s="2" t="inlineStr">
        <is>
          <t>紧凑-标准紧凑</t>
        </is>
      </c>
      <c r="U162" s="2" t="inlineStr">
        <is>
          <t>紧凑-高度紧凑</t>
        </is>
      </c>
      <c r="V162" s="2" t="inlineStr">
        <is>
          <t>紧凑-极度紧凑</t>
        </is>
      </c>
    </row>
    <row r="163">
      <c r="A163" s="1" t="n">
        <v>2023081</v>
      </c>
      <c r="B163" s="3" t="inlineStr">
        <is>
          <t>978</t>
        </is>
      </c>
      <c r="C163" s="2">
        <f>IF(B163="","",LEFT(TEXT(B163,"000"),1)*1)</f>
        <v/>
      </c>
      <c r="D163" s="2">
        <f>IF(B163="","",MID(TEXT(B163,"000"),2,1)*1)</f>
        <v/>
      </c>
      <c r="E163" s="2">
        <f>IF(B163="","",RIGHT(TEXT(B163,"000"),1)*1)</f>
        <v/>
      </c>
      <c r="F163" s="2">
        <f>IF(B163="","",C163+D163+E163)</f>
        <v/>
      </c>
      <c r="G163" s="2">
        <f>IF(B163="","",MOD(F163,10))</f>
        <v/>
      </c>
      <c r="H163" s="2">
        <f>IF(B163="","",MAX(C163,D163,E163)-MIN(C163,D163,E163))</f>
        <v/>
      </c>
      <c r="I163" s="2">
        <f>IF(OR(B163="",H163=0),IF(H163=0,0.1,""),ROUND(F163/H163,2))</f>
        <v/>
      </c>
      <c r="J163" s="2">
        <f>IF(I163=0.1,"极紧凑",IF(I163&gt;3.5,"紧凑",IF(AND(I163&gt;=2,I163&lt;=3.5),"标准",IF(AND(I163&gt;=1,I163&lt;2),"松散",""))))</f>
        <v/>
      </c>
      <c r="K163" s="2">
        <f>IF(I163=0.1,"极紧凑-豹子号",IF(AND(I163&gt;=1,I163&lt;=1.29),"松散-极松散",IF(AND(I163&gt;=1.33,I163&lt;=1.8),"松散-标准松散",IF(AND(I163&gt;=1.83,I163&lt;=1.89),"松散-偏紧松散",IF(AND(I163&gt;=2,I163&lt;=2.5),"标准-偏松标准",IF(AND(I163&gt;=2.57,I163&lt;=3),"标准-核心标准",IF(AND(I163&gt;=3.17,I163&lt;=3.5),"标准-偏紧标准",IF(AND(I163&gt;=3.6,I163&lt;=5),"紧凑-标准紧凑",IF(AND(I163&gt;=5.25,I163&lt;=8),"紧凑-高度紧凑",IF(I163&gt;=8.5,"紧凑-极度紧凑",""))))))))))</f>
        <v/>
      </c>
      <c r="L163" s="2">
        <f>IF(I163=0.1,"极紧凑",IF(AND(I163&gt;=1,I163&lt;=1.89),"松散",IF(AND(I163&gt;=2,I163&lt;=3.5),"标准",IF(I163&gt;=3.6,"紧凑",""))))</f>
        <v/>
      </c>
      <c r="M163" s="2" t="inlineStr">
        <is>
          <t>极紧凑-豹子号</t>
        </is>
      </c>
      <c r="N163" s="2" t="inlineStr">
        <is>
          <t>松散-极松散</t>
        </is>
      </c>
      <c r="O163" s="2" t="inlineStr">
        <is>
          <t>松散-标准松散</t>
        </is>
      </c>
      <c r="P163" s="2" t="inlineStr">
        <is>
          <t>松散-偏紧松散</t>
        </is>
      </c>
      <c r="Q163" s="2" t="inlineStr">
        <is>
          <t>标准-偏松标准</t>
        </is>
      </c>
      <c r="R163" s="2" t="inlineStr">
        <is>
          <t>标准-核心标准</t>
        </is>
      </c>
      <c r="S163" s="2" t="inlineStr">
        <is>
          <t>标准-偏紧标准</t>
        </is>
      </c>
      <c r="T163" s="2" t="inlineStr">
        <is>
          <t>紧凑-标准紧凑</t>
        </is>
      </c>
      <c r="U163" s="2" t="inlineStr">
        <is>
          <t>紧凑-高度紧凑</t>
        </is>
      </c>
      <c r="V163" s="2" t="inlineStr">
        <is>
          <t>紧凑-极度紧凑</t>
        </is>
      </c>
    </row>
    <row r="164">
      <c r="A164" s="1" t="n">
        <v>2023082</v>
      </c>
      <c r="B164" s="3" t="inlineStr">
        <is>
          <t>739</t>
        </is>
      </c>
      <c r="C164" s="2">
        <f>IF(B164="","",LEFT(TEXT(B164,"000"),1)*1)</f>
        <v/>
      </c>
      <c r="D164" s="2">
        <f>IF(B164="","",MID(TEXT(B164,"000"),2,1)*1)</f>
        <v/>
      </c>
      <c r="E164" s="2">
        <f>IF(B164="","",RIGHT(TEXT(B164,"000"),1)*1)</f>
        <v/>
      </c>
      <c r="F164" s="2">
        <f>IF(B164="","",C164+D164+E164)</f>
        <v/>
      </c>
      <c r="G164" s="2">
        <f>IF(B164="","",MOD(F164,10))</f>
        <v/>
      </c>
      <c r="H164" s="2">
        <f>IF(B164="","",MAX(C164,D164,E164)-MIN(C164,D164,E164))</f>
        <v/>
      </c>
      <c r="I164" s="2">
        <f>IF(OR(B164="",H164=0),IF(H164=0,0.1,""),ROUND(F164/H164,2))</f>
        <v/>
      </c>
      <c r="J164" s="2">
        <f>IF(I164=0.1,"极紧凑",IF(I164&gt;3.5,"紧凑",IF(AND(I164&gt;=2,I164&lt;=3.5),"标准",IF(AND(I164&gt;=1,I164&lt;2),"松散",""))))</f>
        <v/>
      </c>
      <c r="K164" s="2">
        <f>IF(I164=0.1,"极紧凑-豹子号",IF(AND(I164&gt;=1,I164&lt;=1.29),"松散-极松散",IF(AND(I164&gt;=1.33,I164&lt;=1.8),"松散-标准松散",IF(AND(I164&gt;=1.83,I164&lt;=1.89),"松散-偏紧松散",IF(AND(I164&gt;=2,I164&lt;=2.5),"标准-偏松标准",IF(AND(I164&gt;=2.57,I164&lt;=3),"标准-核心标准",IF(AND(I164&gt;=3.17,I164&lt;=3.5),"标准-偏紧标准",IF(AND(I164&gt;=3.6,I164&lt;=5),"紧凑-标准紧凑",IF(AND(I164&gt;=5.25,I164&lt;=8),"紧凑-高度紧凑",IF(I164&gt;=8.5,"紧凑-极度紧凑",""))))))))))</f>
        <v/>
      </c>
      <c r="L164" s="2">
        <f>IF(I164=0.1,"极紧凑",IF(AND(I164&gt;=1,I164&lt;=1.89),"松散",IF(AND(I164&gt;=2,I164&lt;=3.5),"标准",IF(I164&gt;=3.6,"紧凑",""))))</f>
        <v/>
      </c>
      <c r="M164" s="2" t="inlineStr">
        <is>
          <t>极紧凑-豹子号</t>
        </is>
      </c>
      <c r="N164" s="2" t="inlineStr">
        <is>
          <t>松散-极松散</t>
        </is>
      </c>
      <c r="O164" s="2" t="inlineStr">
        <is>
          <t>松散-标准松散</t>
        </is>
      </c>
      <c r="P164" s="2" t="inlineStr">
        <is>
          <t>松散-偏紧松散</t>
        </is>
      </c>
      <c r="Q164" s="2" t="inlineStr">
        <is>
          <t>标准-偏松标准</t>
        </is>
      </c>
      <c r="R164" s="2" t="inlineStr">
        <is>
          <t>标准-核心标准</t>
        </is>
      </c>
      <c r="S164" s="2" t="inlineStr">
        <is>
          <t>标准-偏紧标准</t>
        </is>
      </c>
      <c r="T164" s="2" t="inlineStr">
        <is>
          <t>紧凑-标准紧凑</t>
        </is>
      </c>
      <c r="U164" s="2" t="inlineStr">
        <is>
          <t>紧凑-高度紧凑</t>
        </is>
      </c>
      <c r="V164" s="2" t="inlineStr">
        <is>
          <t>紧凑-极度紧凑</t>
        </is>
      </c>
    </row>
    <row r="165">
      <c r="A165" s="1" t="n">
        <v>2023083</v>
      </c>
      <c r="B165" s="3" t="inlineStr">
        <is>
          <t>024</t>
        </is>
      </c>
      <c r="C165" s="2">
        <f>IF(B165="","",LEFT(TEXT(B165,"000"),1)*1)</f>
        <v/>
      </c>
      <c r="D165" s="2">
        <f>IF(B165="","",MID(TEXT(B165,"000"),2,1)*1)</f>
        <v/>
      </c>
      <c r="E165" s="2">
        <f>IF(B165="","",RIGHT(TEXT(B165,"000"),1)*1)</f>
        <v/>
      </c>
      <c r="F165" s="2">
        <f>IF(B165="","",C165+D165+E165)</f>
        <v/>
      </c>
      <c r="G165" s="2">
        <f>IF(B165="","",MOD(F165,10))</f>
        <v/>
      </c>
      <c r="H165" s="2">
        <f>IF(B165="","",MAX(C165,D165,E165)-MIN(C165,D165,E165))</f>
        <v/>
      </c>
      <c r="I165" s="2">
        <f>IF(OR(B165="",H165=0),IF(H165=0,0.1,""),ROUND(F165/H165,2))</f>
        <v/>
      </c>
      <c r="J165" s="2">
        <f>IF(I165=0.1,"极紧凑",IF(I165&gt;3.5,"紧凑",IF(AND(I165&gt;=2,I165&lt;=3.5),"标准",IF(AND(I165&gt;=1,I165&lt;2),"松散",""))))</f>
        <v/>
      </c>
      <c r="K165" s="2">
        <f>IF(I165=0.1,"极紧凑-豹子号",IF(AND(I165&gt;=1,I165&lt;=1.29),"松散-极松散",IF(AND(I165&gt;=1.33,I165&lt;=1.8),"松散-标准松散",IF(AND(I165&gt;=1.83,I165&lt;=1.89),"松散-偏紧松散",IF(AND(I165&gt;=2,I165&lt;=2.5),"标准-偏松标准",IF(AND(I165&gt;=2.57,I165&lt;=3),"标准-核心标准",IF(AND(I165&gt;=3.17,I165&lt;=3.5),"标准-偏紧标准",IF(AND(I165&gt;=3.6,I165&lt;=5),"紧凑-标准紧凑",IF(AND(I165&gt;=5.25,I165&lt;=8),"紧凑-高度紧凑",IF(I165&gt;=8.5,"紧凑-极度紧凑",""))))))))))</f>
        <v/>
      </c>
      <c r="L165" s="2">
        <f>IF(I165=0.1,"极紧凑",IF(AND(I165&gt;=1,I165&lt;=1.89),"松散",IF(AND(I165&gt;=2,I165&lt;=3.5),"标准",IF(I165&gt;=3.6,"紧凑",""))))</f>
        <v/>
      </c>
      <c r="M165" s="2" t="inlineStr">
        <is>
          <t>极紧凑-豹子号</t>
        </is>
      </c>
      <c r="N165" s="2" t="inlineStr">
        <is>
          <t>松散-极松散</t>
        </is>
      </c>
      <c r="O165" s="2" t="inlineStr">
        <is>
          <t>松散-标准松散</t>
        </is>
      </c>
      <c r="P165" s="2" t="inlineStr">
        <is>
          <t>松散-偏紧松散</t>
        </is>
      </c>
      <c r="Q165" s="2" t="inlineStr">
        <is>
          <t>标准-偏松标准</t>
        </is>
      </c>
      <c r="R165" s="2" t="inlineStr">
        <is>
          <t>标准-核心标准</t>
        </is>
      </c>
      <c r="S165" s="2" t="inlineStr">
        <is>
          <t>标准-偏紧标准</t>
        </is>
      </c>
      <c r="T165" s="2" t="inlineStr">
        <is>
          <t>紧凑-标准紧凑</t>
        </is>
      </c>
      <c r="U165" s="2" t="inlineStr">
        <is>
          <t>紧凑-高度紧凑</t>
        </is>
      </c>
      <c r="V165" s="2" t="inlineStr">
        <is>
          <t>紧凑-极度紧凑</t>
        </is>
      </c>
    </row>
    <row r="166">
      <c r="A166" s="1" t="n">
        <v>2023084</v>
      </c>
      <c r="B166" s="3" t="inlineStr">
        <is>
          <t>055</t>
        </is>
      </c>
      <c r="C166" s="2">
        <f>IF(B166="","",LEFT(TEXT(B166,"000"),1)*1)</f>
        <v/>
      </c>
      <c r="D166" s="2">
        <f>IF(B166="","",MID(TEXT(B166,"000"),2,1)*1)</f>
        <v/>
      </c>
      <c r="E166" s="2">
        <f>IF(B166="","",RIGHT(TEXT(B166,"000"),1)*1)</f>
        <v/>
      </c>
      <c r="F166" s="2">
        <f>IF(B166="","",C166+D166+E166)</f>
        <v/>
      </c>
      <c r="G166" s="2">
        <f>IF(B166="","",MOD(F166,10))</f>
        <v/>
      </c>
      <c r="H166" s="2">
        <f>IF(B166="","",MAX(C166,D166,E166)-MIN(C166,D166,E166))</f>
        <v/>
      </c>
      <c r="I166" s="2">
        <f>IF(OR(B166="",H166=0),IF(H166=0,0.1,""),ROUND(F166/H166,2))</f>
        <v/>
      </c>
      <c r="J166" s="2">
        <f>IF(I166=0.1,"极紧凑",IF(I166&gt;3.5,"紧凑",IF(AND(I166&gt;=2,I166&lt;=3.5),"标准",IF(AND(I166&gt;=1,I166&lt;2),"松散",""))))</f>
        <v/>
      </c>
      <c r="K166" s="2">
        <f>IF(I166=0.1,"极紧凑-豹子号",IF(AND(I166&gt;=1,I166&lt;=1.29),"松散-极松散",IF(AND(I166&gt;=1.33,I166&lt;=1.8),"松散-标准松散",IF(AND(I166&gt;=1.83,I166&lt;=1.89),"松散-偏紧松散",IF(AND(I166&gt;=2,I166&lt;=2.5),"标准-偏松标准",IF(AND(I166&gt;=2.57,I166&lt;=3),"标准-核心标准",IF(AND(I166&gt;=3.17,I166&lt;=3.5),"标准-偏紧标准",IF(AND(I166&gt;=3.6,I166&lt;=5),"紧凑-标准紧凑",IF(AND(I166&gt;=5.25,I166&lt;=8),"紧凑-高度紧凑",IF(I166&gt;=8.5,"紧凑-极度紧凑",""))))))))))</f>
        <v/>
      </c>
      <c r="L166" s="2">
        <f>IF(I166=0.1,"极紧凑",IF(AND(I166&gt;=1,I166&lt;=1.89),"松散",IF(AND(I166&gt;=2,I166&lt;=3.5),"标准",IF(I166&gt;=3.6,"紧凑",""))))</f>
        <v/>
      </c>
      <c r="M166" s="2" t="inlineStr">
        <is>
          <t>极紧凑-豹子号</t>
        </is>
      </c>
      <c r="N166" s="2" t="inlineStr">
        <is>
          <t>松散-极松散</t>
        </is>
      </c>
      <c r="O166" s="2" t="inlineStr">
        <is>
          <t>松散-标准松散</t>
        </is>
      </c>
      <c r="P166" s="2" t="inlineStr">
        <is>
          <t>松散-偏紧松散</t>
        </is>
      </c>
      <c r="Q166" s="2" t="inlineStr">
        <is>
          <t>标准-偏松标准</t>
        </is>
      </c>
      <c r="R166" s="2" t="inlineStr">
        <is>
          <t>标准-核心标准</t>
        </is>
      </c>
      <c r="S166" s="2" t="inlineStr">
        <is>
          <t>标准-偏紧标准</t>
        </is>
      </c>
      <c r="T166" s="2" t="inlineStr">
        <is>
          <t>紧凑-标准紧凑</t>
        </is>
      </c>
      <c r="U166" s="2" t="inlineStr">
        <is>
          <t>紧凑-高度紧凑</t>
        </is>
      </c>
      <c r="V166" s="2" t="inlineStr">
        <is>
          <t>紧凑-极度紧凑</t>
        </is>
      </c>
    </row>
    <row r="167">
      <c r="A167" s="1" t="n">
        <v>2023085</v>
      </c>
      <c r="B167" s="3" t="inlineStr">
        <is>
          <t>557</t>
        </is>
      </c>
      <c r="C167" s="2">
        <f>IF(B167="","",LEFT(TEXT(B167,"000"),1)*1)</f>
        <v/>
      </c>
      <c r="D167" s="2">
        <f>IF(B167="","",MID(TEXT(B167,"000"),2,1)*1)</f>
        <v/>
      </c>
      <c r="E167" s="2">
        <f>IF(B167="","",RIGHT(TEXT(B167,"000"),1)*1)</f>
        <v/>
      </c>
      <c r="F167" s="2">
        <f>IF(B167="","",C167+D167+E167)</f>
        <v/>
      </c>
      <c r="G167" s="2">
        <f>IF(B167="","",MOD(F167,10))</f>
        <v/>
      </c>
      <c r="H167" s="2">
        <f>IF(B167="","",MAX(C167,D167,E167)-MIN(C167,D167,E167))</f>
        <v/>
      </c>
      <c r="I167" s="2">
        <f>IF(OR(B167="",H167=0),IF(H167=0,0.1,""),ROUND(F167/H167,2))</f>
        <v/>
      </c>
      <c r="J167" s="2">
        <f>IF(I167=0.1,"极紧凑",IF(I167&gt;3.5,"紧凑",IF(AND(I167&gt;=2,I167&lt;=3.5),"标准",IF(AND(I167&gt;=1,I167&lt;2),"松散",""))))</f>
        <v/>
      </c>
      <c r="K167" s="2">
        <f>IF(I167=0.1,"极紧凑-豹子号",IF(AND(I167&gt;=1,I167&lt;=1.29),"松散-极松散",IF(AND(I167&gt;=1.33,I167&lt;=1.8),"松散-标准松散",IF(AND(I167&gt;=1.83,I167&lt;=1.89),"松散-偏紧松散",IF(AND(I167&gt;=2,I167&lt;=2.5),"标准-偏松标准",IF(AND(I167&gt;=2.57,I167&lt;=3),"标准-核心标准",IF(AND(I167&gt;=3.17,I167&lt;=3.5),"标准-偏紧标准",IF(AND(I167&gt;=3.6,I167&lt;=5),"紧凑-标准紧凑",IF(AND(I167&gt;=5.25,I167&lt;=8),"紧凑-高度紧凑",IF(I167&gt;=8.5,"紧凑-极度紧凑",""))))))))))</f>
        <v/>
      </c>
      <c r="L167" s="2">
        <f>IF(I167=0.1,"极紧凑",IF(AND(I167&gt;=1,I167&lt;=1.89),"松散",IF(AND(I167&gt;=2,I167&lt;=3.5),"标准",IF(I167&gt;=3.6,"紧凑",""))))</f>
        <v/>
      </c>
      <c r="M167" s="2" t="inlineStr">
        <is>
          <t>极紧凑-豹子号</t>
        </is>
      </c>
      <c r="N167" s="2" t="inlineStr">
        <is>
          <t>松散-极松散</t>
        </is>
      </c>
      <c r="O167" s="2" t="inlineStr">
        <is>
          <t>松散-标准松散</t>
        </is>
      </c>
      <c r="P167" s="2" t="inlineStr">
        <is>
          <t>松散-偏紧松散</t>
        </is>
      </c>
      <c r="Q167" s="2" t="inlineStr">
        <is>
          <t>标准-偏松标准</t>
        </is>
      </c>
      <c r="R167" s="2" t="inlineStr">
        <is>
          <t>标准-核心标准</t>
        </is>
      </c>
      <c r="S167" s="2" t="inlineStr">
        <is>
          <t>标准-偏紧标准</t>
        </is>
      </c>
      <c r="T167" s="2" t="inlineStr">
        <is>
          <t>紧凑-标准紧凑</t>
        </is>
      </c>
      <c r="U167" s="2" t="inlineStr">
        <is>
          <t>紧凑-高度紧凑</t>
        </is>
      </c>
      <c r="V167" s="2" t="inlineStr">
        <is>
          <t>紧凑-极度紧凑</t>
        </is>
      </c>
    </row>
    <row r="168">
      <c r="A168" s="1" t="n">
        <v>2023086</v>
      </c>
      <c r="B168" s="3" t="inlineStr">
        <is>
          <t>915</t>
        </is>
      </c>
      <c r="C168" s="2">
        <f>IF(B168="","",LEFT(TEXT(B168,"000"),1)*1)</f>
        <v/>
      </c>
      <c r="D168" s="2">
        <f>IF(B168="","",MID(TEXT(B168,"000"),2,1)*1)</f>
        <v/>
      </c>
      <c r="E168" s="2">
        <f>IF(B168="","",RIGHT(TEXT(B168,"000"),1)*1)</f>
        <v/>
      </c>
      <c r="F168" s="2">
        <f>IF(B168="","",C168+D168+E168)</f>
        <v/>
      </c>
      <c r="G168" s="2">
        <f>IF(B168="","",MOD(F168,10))</f>
        <v/>
      </c>
      <c r="H168" s="2">
        <f>IF(B168="","",MAX(C168,D168,E168)-MIN(C168,D168,E168))</f>
        <v/>
      </c>
      <c r="I168" s="2">
        <f>IF(OR(B168="",H168=0),IF(H168=0,0.1,""),ROUND(F168/H168,2))</f>
        <v/>
      </c>
      <c r="J168" s="2">
        <f>IF(I168=0.1,"极紧凑",IF(I168&gt;3.5,"紧凑",IF(AND(I168&gt;=2,I168&lt;=3.5),"标准",IF(AND(I168&gt;=1,I168&lt;2),"松散",""))))</f>
        <v/>
      </c>
      <c r="K168" s="2">
        <f>IF(I168=0.1,"极紧凑-豹子号",IF(AND(I168&gt;=1,I168&lt;=1.29),"松散-极松散",IF(AND(I168&gt;=1.33,I168&lt;=1.8),"松散-标准松散",IF(AND(I168&gt;=1.83,I168&lt;=1.89),"松散-偏紧松散",IF(AND(I168&gt;=2,I168&lt;=2.5),"标准-偏松标准",IF(AND(I168&gt;=2.57,I168&lt;=3),"标准-核心标准",IF(AND(I168&gt;=3.17,I168&lt;=3.5),"标准-偏紧标准",IF(AND(I168&gt;=3.6,I168&lt;=5),"紧凑-标准紧凑",IF(AND(I168&gt;=5.25,I168&lt;=8),"紧凑-高度紧凑",IF(I168&gt;=8.5,"紧凑-极度紧凑",""))))))))))</f>
        <v/>
      </c>
      <c r="L168" s="2">
        <f>IF(I168=0.1,"极紧凑",IF(AND(I168&gt;=1,I168&lt;=1.89),"松散",IF(AND(I168&gt;=2,I168&lt;=3.5),"标准",IF(I168&gt;=3.6,"紧凑",""))))</f>
        <v/>
      </c>
      <c r="M168" s="2" t="inlineStr">
        <is>
          <t>极紧凑-豹子号</t>
        </is>
      </c>
      <c r="N168" s="2" t="inlineStr">
        <is>
          <t>松散-极松散</t>
        </is>
      </c>
      <c r="O168" s="2" t="inlineStr">
        <is>
          <t>松散-标准松散</t>
        </is>
      </c>
      <c r="P168" s="2" t="inlineStr">
        <is>
          <t>松散-偏紧松散</t>
        </is>
      </c>
      <c r="Q168" s="2" t="inlineStr">
        <is>
          <t>标准-偏松标准</t>
        </is>
      </c>
      <c r="R168" s="2" t="inlineStr">
        <is>
          <t>标准-核心标准</t>
        </is>
      </c>
      <c r="S168" s="2" t="inlineStr">
        <is>
          <t>标准-偏紧标准</t>
        </is>
      </c>
      <c r="T168" s="2" t="inlineStr">
        <is>
          <t>紧凑-标准紧凑</t>
        </is>
      </c>
      <c r="U168" s="2" t="inlineStr">
        <is>
          <t>紧凑-高度紧凑</t>
        </is>
      </c>
      <c r="V168" s="2" t="inlineStr">
        <is>
          <t>紧凑-极度紧凑</t>
        </is>
      </c>
    </row>
    <row r="169">
      <c r="A169" s="1" t="n">
        <v>2023087</v>
      </c>
      <c r="B169" s="3" t="inlineStr">
        <is>
          <t>329</t>
        </is>
      </c>
      <c r="C169" s="2">
        <f>IF(B169="","",LEFT(TEXT(B169,"000"),1)*1)</f>
        <v/>
      </c>
      <c r="D169" s="2">
        <f>IF(B169="","",MID(TEXT(B169,"000"),2,1)*1)</f>
        <v/>
      </c>
      <c r="E169" s="2">
        <f>IF(B169="","",RIGHT(TEXT(B169,"000"),1)*1)</f>
        <v/>
      </c>
      <c r="F169" s="2">
        <f>IF(B169="","",C169+D169+E169)</f>
        <v/>
      </c>
      <c r="G169" s="2">
        <f>IF(B169="","",MOD(F169,10))</f>
        <v/>
      </c>
      <c r="H169" s="2">
        <f>IF(B169="","",MAX(C169,D169,E169)-MIN(C169,D169,E169))</f>
        <v/>
      </c>
      <c r="I169" s="2">
        <f>IF(OR(B169="",H169=0),IF(H169=0,0.1,""),ROUND(F169/H169,2))</f>
        <v/>
      </c>
      <c r="J169" s="2">
        <f>IF(I169=0.1,"极紧凑",IF(I169&gt;3.5,"紧凑",IF(AND(I169&gt;=2,I169&lt;=3.5),"标准",IF(AND(I169&gt;=1,I169&lt;2),"松散",""))))</f>
        <v/>
      </c>
      <c r="K169" s="2">
        <f>IF(I169=0.1,"极紧凑-豹子号",IF(AND(I169&gt;=1,I169&lt;=1.29),"松散-极松散",IF(AND(I169&gt;=1.33,I169&lt;=1.8),"松散-标准松散",IF(AND(I169&gt;=1.83,I169&lt;=1.89),"松散-偏紧松散",IF(AND(I169&gt;=2,I169&lt;=2.5),"标准-偏松标准",IF(AND(I169&gt;=2.57,I169&lt;=3),"标准-核心标准",IF(AND(I169&gt;=3.17,I169&lt;=3.5),"标准-偏紧标准",IF(AND(I169&gt;=3.6,I169&lt;=5),"紧凑-标准紧凑",IF(AND(I169&gt;=5.25,I169&lt;=8),"紧凑-高度紧凑",IF(I169&gt;=8.5,"紧凑-极度紧凑",""))))))))))</f>
        <v/>
      </c>
      <c r="L169" s="2">
        <f>IF(I169=0.1,"极紧凑",IF(AND(I169&gt;=1,I169&lt;=1.89),"松散",IF(AND(I169&gt;=2,I169&lt;=3.5),"标准",IF(I169&gt;=3.6,"紧凑",""))))</f>
        <v/>
      </c>
      <c r="M169" s="2" t="inlineStr">
        <is>
          <t>极紧凑-豹子号</t>
        </is>
      </c>
      <c r="N169" s="2" t="inlineStr">
        <is>
          <t>松散-极松散</t>
        </is>
      </c>
      <c r="O169" s="2" t="inlineStr">
        <is>
          <t>松散-标准松散</t>
        </is>
      </c>
      <c r="P169" s="2" t="inlineStr">
        <is>
          <t>松散-偏紧松散</t>
        </is>
      </c>
      <c r="Q169" s="2" t="inlineStr">
        <is>
          <t>标准-偏松标准</t>
        </is>
      </c>
      <c r="R169" s="2" t="inlineStr">
        <is>
          <t>标准-核心标准</t>
        </is>
      </c>
      <c r="S169" s="2" t="inlineStr">
        <is>
          <t>标准-偏紧标准</t>
        </is>
      </c>
      <c r="T169" s="2" t="inlineStr">
        <is>
          <t>紧凑-标准紧凑</t>
        </is>
      </c>
      <c r="U169" s="2" t="inlineStr">
        <is>
          <t>紧凑-高度紧凑</t>
        </is>
      </c>
      <c r="V169" s="2" t="inlineStr">
        <is>
          <t>紧凑-极度紧凑</t>
        </is>
      </c>
    </row>
    <row r="170">
      <c r="A170" s="1" t="n">
        <v>2023088</v>
      </c>
      <c r="B170" s="3" t="inlineStr">
        <is>
          <t>292</t>
        </is>
      </c>
      <c r="C170" s="2">
        <f>IF(B170="","",LEFT(TEXT(B170,"000"),1)*1)</f>
        <v/>
      </c>
      <c r="D170" s="2">
        <f>IF(B170="","",MID(TEXT(B170,"000"),2,1)*1)</f>
        <v/>
      </c>
      <c r="E170" s="2">
        <f>IF(B170="","",RIGHT(TEXT(B170,"000"),1)*1)</f>
        <v/>
      </c>
      <c r="F170" s="2">
        <f>IF(B170="","",C170+D170+E170)</f>
        <v/>
      </c>
      <c r="G170" s="2">
        <f>IF(B170="","",MOD(F170,10))</f>
        <v/>
      </c>
      <c r="H170" s="2">
        <f>IF(B170="","",MAX(C170,D170,E170)-MIN(C170,D170,E170))</f>
        <v/>
      </c>
      <c r="I170" s="2">
        <f>IF(OR(B170="",H170=0),IF(H170=0,0.1,""),ROUND(F170/H170,2))</f>
        <v/>
      </c>
      <c r="J170" s="2">
        <f>IF(I170=0.1,"极紧凑",IF(I170&gt;3.5,"紧凑",IF(AND(I170&gt;=2,I170&lt;=3.5),"标准",IF(AND(I170&gt;=1,I170&lt;2),"松散",""))))</f>
        <v/>
      </c>
      <c r="K170" s="2">
        <f>IF(I170=0.1,"极紧凑-豹子号",IF(AND(I170&gt;=1,I170&lt;=1.29),"松散-极松散",IF(AND(I170&gt;=1.33,I170&lt;=1.8),"松散-标准松散",IF(AND(I170&gt;=1.83,I170&lt;=1.89),"松散-偏紧松散",IF(AND(I170&gt;=2,I170&lt;=2.5),"标准-偏松标准",IF(AND(I170&gt;=2.57,I170&lt;=3),"标准-核心标准",IF(AND(I170&gt;=3.17,I170&lt;=3.5),"标准-偏紧标准",IF(AND(I170&gt;=3.6,I170&lt;=5),"紧凑-标准紧凑",IF(AND(I170&gt;=5.25,I170&lt;=8),"紧凑-高度紧凑",IF(I170&gt;=8.5,"紧凑-极度紧凑",""))))))))))</f>
        <v/>
      </c>
      <c r="L170" s="2">
        <f>IF(I170=0.1,"极紧凑",IF(AND(I170&gt;=1,I170&lt;=1.89),"松散",IF(AND(I170&gt;=2,I170&lt;=3.5),"标准",IF(I170&gt;=3.6,"紧凑",""))))</f>
        <v/>
      </c>
      <c r="M170" s="2" t="inlineStr">
        <is>
          <t>极紧凑-豹子号</t>
        </is>
      </c>
      <c r="N170" s="2" t="inlineStr">
        <is>
          <t>松散-极松散</t>
        </is>
      </c>
      <c r="O170" s="2" t="inlineStr">
        <is>
          <t>松散-标准松散</t>
        </is>
      </c>
      <c r="P170" s="2" t="inlineStr">
        <is>
          <t>松散-偏紧松散</t>
        </is>
      </c>
      <c r="Q170" s="2" t="inlineStr">
        <is>
          <t>标准-偏松标准</t>
        </is>
      </c>
      <c r="R170" s="2" t="inlineStr">
        <is>
          <t>标准-核心标准</t>
        </is>
      </c>
      <c r="S170" s="2" t="inlineStr">
        <is>
          <t>标准-偏紧标准</t>
        </is>
      </c>
      <c r="T170" s="2" t="inlineStr">
        <is>
          <t>紧凑-标准紧凑</t>
        </is>
      </c>
      <c r="U170" s="2" t="inlineStr">
        <is>
          <t>紧凑-高度紧凑</t>
        </is>
      </c>
      <c r="V170" s="2" t="inlineStr">
        <is>
          <t>紧凑-极度紧凑</t>
        </is>
      </c>
    </row>
    <row r="171">
      <c r="A171" s="1" t="n">
        <v>2023089</v>
      </c>
      <c r="B171" s="3" t="inlineStr">
        <is>
          <t>940</t>
        </is>
      </c>
      <c r="C171" s="2">
        <f>IF(B171="","",LEFT(TEXT(B171,"000"),1)*1)</f>
        <v/>
      </c>
      <c r="D171" s="2">
        <f>IF(B171="","",MID(TEXT(B171,"000"),2,1)*1)</f>
        <v/>
      </c>
      <c r="E171" s="2">
        <f>IF(B171="","",RIGHT(TEXT(B171,"000"),1)*1)</f>
        <v/>
      </c>
      <c r="F171" s="2">
        <f>IF(B171="","",C171+D171+E171)</f>
        <v/>
      </c>
      <c r="G171" s="2">
        <f>IF(B171="","",MOD(F171,10))</f>
        <v/>
      </c>
      <c r="H171" s="2">
        <f>IF(B171="","",MAX(C171,D171,E171)-MIN(C171,D171,E171))</f>
        <v/>
      </c>
      <c r="I171" s="2">
        <f>IF(OR(B171="",H171=0),IF(H171=0,0.1,""),ROUND(F171/H171,2))</f>
        <v/>
      </c>
      <c r="J171" s="2">
        <f>IF(I171=0.1,"极紧凑",IF(I171&gt;3.5,"紧凑",IF(AND(I171&gt;=2,I171&lt;=3.5),"标准",IF(AND(I171&gt;=1,I171&lt;2),"松散",""))))</f>
        <v/>
      </c>
      <c r="K171" s="2">
        <f>IF(I171=0.1,"极紧凑-豹子号",IF(AND(I171&gt;=1,I171&lt;=1.29),"松散-极松散",IF(AND(I171&gt;=1.33,I171&lt;=1.8),"松散-标准松散",IF(AND(I171&gt;=1.83,I171&lt;=1.89),"松散-偏紧松散",IF(AND(I171&gt;=2,I171&lt;=2.5),"标准-偏松标准",IF(AND(I171&gt;=2.57,I171&lt;=3),"标准-核心标准",IF(AND(I171&gt;=3.17,I171&lt;=3.5),"标准-偏紧标准",IF(AND(I171&gt;=3.6,I171&lt;=5),"紧凑-标准紧凑",IF(AND(I171&gt;=5.25,I171&lt;=8),"紧凑-高度紧凑",IF(I171&gt;=8.5,"紧凑-极度紧凑",""))))))))))</f>
        <v/>
      </c>
      <c r="L171" s="2">
        <f>IF(I171=0.1,"极紧凑",IF(AND(I171&gt;=1,I171&lt;=1.89),"松散",IF(AND(I171&gt;=2,I171&lt;=3.5),"标准",IF(I171&gt;=3.6,"紧凑",""))))</f>
        <v/>
      </c>
      <c r="M171" s="2" t="inlineStr">
        <is>
          <t>极紧凑-豹子号</t>
        </is>
      </c>
      <c r="N171" s="2" t="inlineStr">
        <is>
          <t>松散-极松散</t>
        </is>
      </c>
      <c r="O171" s="2" t="inlineStr">
        <is>
          <t>松散-标准松散</t>
        </is>
      </c>
      <c r="P171" s="2" t="inlineStr">
        <is>
          <t>松散-偏紧松散</t>
        </is>
      </c>
      <c r="Q171" s="2" t="inlineStr">
        <is>
          <t>标准-偏松标准</t>
        </is>
      </c>
      <c r="R171" s="2" t="inlineStr">
        <is>
          <t>标准-核心标准</t>
        </is>
      </c>
      <c r="S171" s="2" t="inlineStr">
        <is>
          <t>标准-偏紧标准</t>
        </is>
      </c>
      <c r="T171" s="2" t="inlineStr">
        <is>
          <t>紧凑-标准紧凑</t>
        </is>
      </c>
      <c r="U171" s="2" t="inlineStr">
        <is>
          <t>紧凑-高度紧凑</t>
        </is>
      </c>
      <c r="V171" s="2" t="inlineStr">
        <is>
          <t>紧凑-极度紧凑</t>
        </is>
      </c>
    </row>
    <row r="172">
      <c r="A172" s="1" t="n">
        <v>2023090</v>
      </c>
      <c r="B172" s="3" t="inlineStr">
        <is>
          <t>585</t>
        </is>
      </c>
      <c r="C172" s="2">
        <f>IF(B172="","",LEFT(TEXT(B172,"000"),1)*1)</f>
        <v/>
      </c>
      <c r="D172" s="2">
        <f>IF(B172="","",MID(TEXT(B172,"000"),2,1)*1)</f>
        <v/>
      </c>
      <c r="E172" s="2">
        <f>IF(B172="","",RIGHT(TEXT(B172,"000"),1)*1)</f>
        <v/>
      </c>
      <c r="F172" s="2">
        <f>IF(B172="","",C172+D172+E172)</f>
        <v/>
      </c>
      <c r="G172" s="2">
        <f>IF(B172="","",MOD(F172,10))</f>
        <v/>
      </c>
      <c r="H172" s="2">
        <f>IF(B172="","",MAX(C172,D172,E172)-MIN(C172,D172,E172))</f>
        <v/>
      </c>
      <c r="I172" s="2">
        <f>IF(OR(B172="",H172=0),IF(H172=0,0.1,""),ROUND(F172/H172,2))</f>
        <v/>
      </c>
      <c r="J172" s="2">
        <f>IF(I172=0.1,"极紧凑",IF(I172&gt;3.5,"紧凑",IF(AND(I172&gt;=2,I172&lt;=3.5),"标准",IF(AND(I172&gt;=1,I172&lt;2),"松散",""))))</f>
        <v/>
      </c>
      <c r="K172" s="2">
        <f>IF(I172=0.1,"极紧凑-豹子号",IF(AND(I172&gt;=1,I172&lt;=1.29),"松散-极松散",IF(AND(I172&gt;=1.33,I172&lt;=1.8),"松散-标准松散",IF(AND(I172&gt;=1.83,I172&lt;=1.89),"松散-偏紧松散",IF(AND(I172&gt;=2,I172&lt;=2.5),"标准-偏松标准",IF(AND(I172&gt;=2.57,I172&lt;=3),"标准-核心标准",IF(AND(I172&gt;=3.17,I172&lt;=3.5),"标准-偏紧标准",IF(AND(I172&gt;=3.6,I172&lt;=5),"紧凑-标准紧凑",IF(AND(I172&gt;=5.25,I172&lt;=8),"紧凑-高度紧凑",IF(I172&gt;=8.5,"紧凑-极度紧凑",""))))))))))</f>
        <v/>
      </c>
      <c r="L172" s="2">
        <f>IF(I172=0.1,"极紧凑",IF(AND(I172&gt;=1,I172&lt;=1.89),"松散",IF(AND(I172&gt;=2,I172&lt;=3.5),"标准",IF(I172&gt;=3.6,"紧凑",""))))</f>
        <v/>
      </c>
      <c r="M172" s="2" t="inlineStr">
        <is>
          <t>极紧凑-豹子号</t>
        </is>
      </c>
      <c r="N172" s="2" t="inlineStr">
        <is>
          <t>松散-极松散</t>
        </is>
      </c>
      <c r="O172" s="2" t="inlineStr">
        <is>
          <t>松散-标准松散</t>
        </is>
      </c>
      <c r="P172" s="2" t="inlineStr">
        <is>
          <t>松散-偏紧松散</t>
        </is>
      </c>
      <c r="Q172" s="2" t="inlineStr">
        <is>
          <t>标准-偏松标准</t>
        </is>
      </c>
      <c r="R172" s="2" t="inlineStr">
        <is>
          <t>标准-核心标准</t>
        </is>
      </c>
      <c r="S172" s="2" t="inlineStr">
        <is>
          <t>标准-偏紧标准</t>
        </is>
      </c>
      <c r="T172" s="2" t="inlineStr">
        <is>
          <t>紧凑-标准紧凑</t>
        </is>
      </c>
      <c r="U172" s="2" t="inlineStr">
        <is>
          <t>紧凑-高度紧凑</t>
        </is>
      </c>
      <c r="V172" s="2" t="inlineStr">
        <is>
          <t>紧凑-极度紧凑</t>
        </is>
      </c>
    </row>
    <row r="173">
      <c r="A173" s="1" t="n">
        <v>2023091</v>
      </c>
      <c r="B173" s="3" t="inlineStr">
        <is>
          <t>795</t>
        </is>
      </c>
      <c r="C173" s="2">
        <f>IF(B173="","",LEFT(TEXT(B173,"000"),1)*1)</f>
        <v/>
      </c>
      <c r="D173" s="2">
        <f>IF(B173="","",MID(TEXT(B173,"000"),2,1)*1)</f>
        <v/>
      </c>
      <c r="E173" s="2">
        <f>IF(B173="","",RIGHT(TEXT(B173,"000"),1)*1)</f>
        <v/>
      </c>
      <c r="F173" s="2">
        <f>IF(B173="","",C173+D173+E173)</f>
        <v/>
      </c>
      <c r="G173" s="2">
        <f>IF(B173="","",MOD(F173,10))</f>
        <v/>
      </c>
      <c r="H173" s="2">
        <f>IF(B173="","",MAX(C173,D173,E173)-MIN(C173,D173,E173))</f>
        <v/>
      </c>
      <c r="I173" s="2">
        <f>IF(OR(B173="",H173=0),IF(H173=0,0.1,""),ROUND(F173/H173,2))</f>
        <v/>
      </c>
      <c r="J173" s="2">
        <f>IF(I173=0.1,"极紧凑",IF(I173&gt;3.5,"紧凑",IF(AND(I173&gt;=2,I173&lt;=3.5),"标准",IF(AND(I173&gt;=1,I173&lt;2),"松散",""))))</f>
        <v/>
      </c>
      <c r="K173" s="2">
        <f>IF(I173=0.1,"极紧凑-豹子号",IF(AND(I173&gt;=1,I173&lt;=1.29),"松散-极松散",IF(AND(I173&gt;=1.33,I173&lt;=1.8),"松散-标准松散",IF(AND(I173&gt;=1.83,I173&lt;=1.89),"松散-偏紧松散",IF(AND(I173&gt;=2,I173&lt;=2.5),"标准-偏松标准",IF(AND(I173&gt;=2.57,I173&lt;=3),"标准-核心标准",IF(AND(I173&gt;=3.17,I173&lt;=3.5),"标准-偏紧标准",IF(AND(I173&gt;=3.6,I173&lt;=5),"紧凑-标准紧凑",IF(AND(I173&gt;=5.25,I173&lt;=8),"紧凑-高度紧凑",IF(I173&gt;=8.5,"紧凑-极度紧凑",""))))))))))</f>
        <v/>
      </c>
      <c r="L173" s="2">
        <f>IF(I173=0.1,"极紧凑",IF(AND(I173&gt;=1,I173&lt;=1.89),"松散",IF(AND(I173&gt;=2,I173&lt;=3.5),"标准",IF(I173&gt;=3.6,"紧凑",""))))</f>
        <v/>
      </c>
      <c r="M173" s="2" t="inlineStr">
        <is>
          <t>极紧凑-豹子号</t>
        </is>
      </c>
      <c r="N173" s="2" t="inlineStr">
        <is>
          <t>松散-极松散</t>
        </is>
      </c>
      <c r="O173" s="2" t="inlineStr">
        <is>
          <t>松散-标准松散</t>
        </is>
      </c>
      <c r="P173" s="2" t="inlineStr">
        <is>
          <t>松散-偏紧松散</t>
        </is>
      </c>
      <c r="Q173" s="2" t="inlineStr">
        <is>
          <t>标准-偏松标准</t>
        </is>
      </c>
      <c r="R173" s="2" t="inlineStr">
        <is>
          <t>标准-核心标准</t>
        </is>
      </c>
      <c r="S173" s="2" t="inlineStr">
        <is>
          <t>标准-偏紧标准</t>
        </is>
      </c>
      <c r="T173" s="2" t="inlineStr">
        <is>
          <t>紧凑-标准紧凑</t>
        </is>
      </c>
      <c r="U173" s="2" t="inlineStr">
        <is>
          <t>紧凑-高度紧凑</t>
        </is>
      </c>
      <c r="V173" s="2" t="inlineStr">
        <is>
          <t>紧凑-极度紧凑</t>
        </is>
      </c>
    </row>
    <row r="174">
      <c r="A174" s="1" t="n">
        <v>2023092</v>
      </c>
      <c r="B174" s="3" t="inlineStr">
        <is>
          <t>883</t>
        </is>
      </c>
      <c r="C174" s="2">
        <f>IF(B174="","",LEFT(TEXT(B174,"000"),1)*1)</f>
        <v/>
      </c>
      <c r="D174" s="2">
        <f>IF(B174="","",MID(TEXT(B174,"000"),2,1)*1)</f>
        <v/>
      </c>
      <c r="E174" s="2">
        <f>IF(B174="","",RIGHT(TEXT(B174,"000"),1)*1)</f>
        <v/>
      </c>
      <c r="F174" s="2">
        <f>IF(B174="","",C174+D174+E174)</f>
        <v/>
      </c>
      <c r="G174" s="2">
        <f>IF(B174="","",MOD(F174,10))</f>
        <v/>
      </c>
      <c r="H174" s="2">
        <f>IF(B174="","",MAX(C174,D174,E174)-MIN(C174,D174,E174))</f>
        <v/>
      </c>
      <c r="I174" s="2">
        <f>IF(OR(B174="",H174=0),IF(H174=0,0.1,""),ROUND(F174/H174,2))</f>
        <v/>
      </c>
      <c r="J174" s="2">
        <f>IF(I174=0.1,"极紧凑",IF(I174&gt;3.5,"紧凑",IF(AND(I174&gt;=2,I174&lt;=3.5),"标准",IF(AND(I174&gt;=1,I174&lt;2),"松散",""))))</f>
        <v/>
      </c>
      <c r="K174" s="2">
        <f>IF(I174=0.1,"极紧凑-豹子号",IF(AND(I174&gt;=1,I174&lt;=1.29),"松散-极松散",IF(AND(I174&gt;=1.33,I174&lt;=1.8),"松散-标准松散",IF(AND(I174&gt;=1.83,I174&lt;=1.89),"松散-偏紧松散",IF(AND(I174&gt;=2,I174&lt;=2.5),"标准-偏松标准",IF(AND(I174&gt;=2.57,I174&lt;=3),"标准-核心标准",IF(AND(I174&gt;=3.17,I174&lt;=3.5),"标准-偏紧标准",IF(AND(I174&gt;=3.6,I174&lt;=5),"紧凑-标准紧凑",IF(AND(I174&gt;=5.25,I174&lt;=8),"紧凑-高度紧凑",IF(I174&gt;=8.5,"紧凑-极度紧凑",""))))))))))</f>
        <v/>
      </c>
      <c r="L174" s="2">
        <f>IF(I174=0.1,"极紧凑",IF(AND(I174&gt;=1,I174&lt;=1.89),"松散",IF(AND(I174&gt;=2,I174&lt;=3.5),"标准",IF(I174&gt;=3.6,"紧凑",""))))</f>
        <v/>
      </c>
      <c r="M174" s="2" t="inlineStr">
        <is>
          <t>极紧凑-豹子号</t>
        </is>
      </c>
      <c r="N174" s="2" t="inlineStr">
        <is>
          <t>松散-极松散</t>
        </is>
      </c>
      <c r="O174" s="2" t="inlineStr">
        <is>
          <t>松散-标准松散</t>
        </is>
      </c>
      <c r="P174" s="2" t="inlineStr">
        <is>
          <t>松散-偏紧松散</t>
        </is>
      </c>
      <c r="Q174" s="2" t="inlineStr">
        <is>
          <t>标准-偏松标准</t>
        </is>
      </c>
      <c r="R174" s="2" t="inlineStr">
        <is>
          <t>标准-核心标准</t>
        </is>
      </c>
      <c r="S174" s="2" t="inlineStr">
        <is>
          <t>标准-偏紧标准</t>
        </is>
      </c>
      <c r="T174" s="2" t="inlineStr">
        <is>
          <t>紧凑-标准紧凑</t>
        </is>
      </c>
      <c r="U174" s="2" t="inlineStr">
        <is>
          <t>紧凑-高度紧凑</t>
        </is>
      </c>
      <c r="V174" s="2" t="inlineStr">
        <is>
          <t>紧凑-极度紧凑</t>
        </is>
      </c>
    </row>
    <row r="175">
      <c r="A175" s="1" t="n">
        <v>2023093</v>
      </c>
      <c r="B175" s="3" t="inlineStr">
        <is>
          <t>536</t>
        </is>
      </c>
      <c r="C175" s="2">
        <f>IF(B175="","",LEFT(TEXT(B175,"000"),1)*1)</f>
        <v/>
      </c>
      <c r="D175" s="2">
        <f>IF(B175="","",MID(TEXT(B175,"000"),2,1)*1)</f>
        <v/>
      </c>
      <c r="E175" s="2">
        <f>IF(B175="","",RIGHT(TEXT(B175,"000"),1)*1)</f>
        <v/>
      </c>
      <c r="F175" s="2">
        <f>IF(B175="","",C175+D175+E175)</f>
        <v/>
      </c>
      <c r="G175" s="2">
        <f>IF(B175="","",MOD(F175,10))</f>
        <v/>
      </c>
      <c r="H175" s="2">
        <f>IF(B175="","",MAX(C175,D175,E175)-MIN(C175,D175,E175))</f>
        <v/>
      </c>
      <c r="I175" s="2">
        <f>IF(OR(B175="",H175=0),IF(H175=0,0.1,""),ROUND(F175/H175,2))</f>
        <v/>
      </c>
      <c r="J175" s="2">
        <f>IF(I175=0.1,"极紧凑",IF(I175&gt;3.5,"紧凑",IF(AND(I175&gt;=2,I175&lt;=3.5),"标准",IF(AND(I175&gt;=1,I175&lt;2),"松散",""))))</f>
        <v/>
      </c>
      <c r="K175" s="2">
        <f>IF(I175=0.1,"极紧凑-豹子号",IF(AND(I175&gt;=1,I175&lt;=1.29),"松散-极松散",IF(AND(I175&gt;=1.33,I175&lt;=1.8),"松散-标准松散",IF(AND(I175&gt;=1.83,I175&lt;=1.89),"松散-偏紧松散",IF(AND(I175&gt;=2,I175&lt;=2.5),"标准-偏松标准",IF(AND(I175&gt;=2.57,I175&lt;=3),"标准-核心标准",IF(AND(I175&gt;=3.17,I175&lt;=3.5),"标准-偏紧标准",IF(AND(I175&gt;=3.6,I175&lt;=5),"紧凑-标准紧凑",IF(AND(I175&gt;=5.25,I175&lt;=8),"紧凑-高度紧凑",IF(I175&gt;=8.5,"紧凑-极度紧凑",""))))))))))</f>
        <v/>
      </c>
      <c r="L175" s="2">
        <f>IF(I175=0.1,"极紧凑",IF(AND(I175&gt;=1,I175&lt;=1.89),"松散",IF(AND(I175&gt;=2,I175&lt;=3.5),"标准",IF(I175&gt;=3.6,"紧凑",""))))</f>
        <v/>
      </c>
      <c r="M175" s="2" t="inlineStr">
        <is>
          <t>极紧凑-豹子号</t>
        </is>
      </c>
      <c r="N175" s="2" t="inlineStr">
        <is>
          <t>松散-极松散</t>
        </is>
      </c>
      <c r="O175" s="2" t="inlineStr">
        <is>
          <t>松散-标准松散</t>
        </is>
      </c>
      <c r="P175" s="2" t="inlineStr">
        <is>
          <t>松散-偏紧松散</t>
        </is>
      </c>
      <c r="Q175" s="2" t="inlineStr">
        <is>
          <t>标准-偏松标准</t>
        </is>
      </c>
      <c r="R175" s="2" t="inlineStr">
        <is>
          <t>标准-核心标准</t>
        </is>
      </c>
      <c r="S175" s="2" t="inlineStr">
        <is>
          <t>标准-偏紧标准</t>
        </is>
      </c>
      <c r="T175" s="2" t="inlineStr">
        <is>
          <t>紧凑-标准紧凑</t>
        </is>
      </c>
      <c r="U175" s="2" t="inlineStr">
        <is>
          <t>紧凑-高度紧凑</t>
        </is>
      </c>
      <c r="V175" s="2" t="inlineStr">
        <is>
          <t>紧凑-极度紧凑</t>
        </is>
      </c>
    </row>
    <row r="176">
      <c r="A176" s="1" t="n">
        <v>2023094</v>
      </c>
      <c r="B176" s="2" t="n">
        <v>533</v>
      </c>
      <c r="C176" s="2">
        <f>IF(B176="","",LEFT(TEXT(B176,"000"),1)*1)</f>
        <v/>
      </c>
      <c r="D176" s="2">
        <f>IF(B176="","",MID(TEXT(B176,"000"),2,1)*1)</f>
        <v/>
      </c>
      <c r="E176" s="2">
        <f>IF(B176="","",RIGHT(TEXT(B176,"000"),1)*1)</f>
        <v/>
      </c>
      <c r="F176" s="2">
        <f>IF(B176="","",C176+D176+E176)</f>
        <v/>
      </c>
      <c r="G176" s="2">
        <f>IF(B176="","",MOD(F176,10))</f>
        <v/>
      </c>
      <c r="H176" s="2">
        <f>IF(B176="","",MAX(C176,D176,E176)-MIN(C176,D176,E176))</f>
        <v/>
      </c>
      <c r="I176" s="2">
        <f>IF(OR(B176="",H176=0),IF(H176=0,0.1,""),ROUND(F176/H176,2))</f>
        <v/>
      </c>
      <c r="J176" s="2">
        <f>IF(I176=0.1,"极紧凑",IF(I176&gt;3.5,"紧凑",IF(AND(I176&gt;=2,I176&lt;=3.5),"标准",IF(AND(I176&gt;=1,I176&lt;2),"松散",""))))</f>
        <v/>
      </c>
      <c r="K176" s="2">
        <f>IF(I176=0.1,"极紧凑-豹子号",IF(AND(I176&gt;=1,I176&lt;=1.29),"松散-极松散",IF(AND(I176&gt;=1.33,I176&lt;=1.8),"松散-标准松散",IF(AND(I176&gt;=1.83,I176&lt;=1.89),"松散-偏紧松散",IF(AND(I176&gt;=2,I176&lt;=2.5),"标准-偏松标准",IF(AND(I176&gt;=2.57,I176&lt;=3),"标准-核心标准",IF(AND(I176&gt;=3.17,I176&lt;=3.5),"标准-偏紧标准",IF(AND(I176&gt;=3.6,I176&lt;=5),"紧凑-标准紧凑",IF(AND(I176&gt;=5.25,I176&lt;=8),"紧凑-高度紧凑",IF(I176&gt;=8.5,"紧凑-极度紧凑",""))))))))))</f>
        <v/>
      </c>
      <c r="L176" s="2">
        <f>IF(I176=0.1,"极紧凑",IF(AND(I176&gt;=1,I176&lt;=1.89),"松散",IF(AND(I176&gt;=2,I176&lt;=3.5),"标准",IF(I176&gt;=3.6,"紧凑",""))))</f>
        <v/>
      </c>
      <c r="M176" s="2" t="inlineStr">
        <is>
          <t>极紧凑-豹子号</t>
        </is>
      </c>
      <c r="N176" s="2" t="inlineStr">
        <is>
          <t>松散-极松散</t>
        </is>
      </c>
      <c r="O176" s="2" t="inlineStr">
        <is>
          <t>松散-标准松散</t>
        </is>
      </c>
      <c r="P176" s="2" t="inlineStr">
        <is>
          <t>松散-偏紧松散</t>
        </is>
      </c>
      <c r="Q176" s="2" t="inlineStr">
        <is>
          <t>标准-偏松标准</t>
        </is>
      </c>
      <c r="R176" s="2" t="inlineStr">
        <is>
          <t>标准-核心标准</t>
        </is>
      </c>
      <c r="S176" s="2" t="inlineStr">
        <is>
          <t>标准-偏紧标准</t>
        </is>
      </c>
      <c r="T176" s="2" t="inlineStr">
        <is>
          <t>紧凑-标准紧凑</t>
        </is>
      </c>
      <c r="U176" s="2" t="inlineStr">
        <is>
          <t>紧凑-高度紧凑</t>
        </is>
      </c>
      <c r="V176" s="2" t="inlineStr">
        <is>
          <t>紧凑-极度紧凑</t>
        </is>
      </c>
    </row>
    <row r="177">
      <c r="A177" s="1" t="n">
        <v>2023095</v>
      </c>
      <c r="B177" s="3" t="inlineStr">
        <is>
          <t>488</t>
        </is>
      </c>
      <c r="C177" s="2">
        <f>IF(B177="","",LEFT(TEXT(B177,"000"),1)*1)</f>
        <v/>
      </c>
      <c r="D177" s="2">
        <f>IF(B177="","",MID(TEXT(B177,"000"),2,1)*1)</f>
        <v/>
      </c>
      <c r="E177" s="2">
        <f>IF(B177="","",RIGHT(TEXT(B177,"000"),1)*1)</f>
        <v/>
      </c>
      <c r="F177" s="2">
        <f>IF(B177="","",C177+D177+E177)</f>
        <v/>
      </c>
      <c r="G177" s="2">
        <f>IF(B177="","",MOD(F177,10))</f>
        <v/>
      </c>
      <c r="H177" s="2">
        <f>IF(B177="","",MAX(C177,D177,E177)-MIN(C177,D177,E177))</f>
        <v/>
      </c>
      <c r="I177" s="2">
        <f>IF(OR(B177="",H177=0),IF(H177=0,0.1,""),ROUND(F177/H177,2))</f>
        <v/>
      </c>
      <c r="J177" s="2">
        <f>IF(I177=0.1,"极紧凑",IF(I177&gt;3.5,"紧凑",IF(AND(I177&gt;=2,I177&lt;=3.5),"标准",IF(AND(I177&gt;=1,I177&lt;2),"松散",""))))</f>
        <v/>
      </c>
      <c r="K177" s="2">
        <f>IF(I177=0.1,"极紧凑-豹子号",IF(AND(I177&gt;=1,I177&lt;=1.29),"松散-极松散",IF(AND(I177&gt;=1.33,I177&lt;=1.8),"松散-标准松散",IF(AND(I177&gt;=1.83,I177&lt;=1.89),"松散-偏紧松散",IF(AND(I177&gt;=2,I177&lt;=2.5),"标准-偏松标准",IF(AND(I177&gt;=2.57,I177&lt;=3),"标准-核心标准",IF(AND(I177&gt;=3.17,I177&lt;=3.5),"标准-偏紧标准",IF(AND(I177&gt;=3.6,I177&lt;=5),"紧凑-标准紧凑",IF(AND(I177&gt;=5.25,I177&lt;=8),"紧凑-高度紧凑",IF(I177&gt;=8.5,"紧凑-极度紧凑",""))))))))))</f>
        <v/>
      </c>
      <c r="L177" s="2">
        <f>IF(I177=0.1,"极紧凑",IF(AND(I177&gt;=1,I177&lt;=1.89),"松散",IF(AND(I177&gt;=2,I177&lt;=3.5),"标准",IF(I177&gt;=3.6,"紧凑",""))))</f>
        <v/>
      </c>
      <c r="M177" s="2" t="inlineStr">
        <is>
          <t>极紧凑-豹子号</t>
        </is>
      </c>
      <c r="N177" s="2" t="inlineStr">
        <is>
          <t>松散-极松散</t>
        </is>
      </c>
      <c r="O177" s="2" t="inlineStr">
        <is>
          <t>松散-标准松散</t>
        </is>
      </c>
      <c r="P177" s="2" t="inlineStr">
        <is>
          <t>松散-偏紧松散</t>
        </is>
      </c>
      <c r="Q177" s="2" t="inlineStr">
        <is>
          <t>标准-偏松标准</t>
        </is>
      </c>
      <c r="R177" s="2" t="inlineStr">
        <is>
          <t>标准-核心标准</t>
        </is>
      </c>
      <c r="S177" s="2" t="inlineStr">
        <is>
          <t>标准-偏紧标准</t>
        </is>
      </c>
      <c r="T177" s="2" t="inlineStr">
        <is>
          <t>紧凑-标准紧凑</t>
        </is>
      </c>
      <c r="U177" s="2" t="inlineStr">
        <is>
          <t>紧凑-高度紧凑</t>
        </is>
      </c>
      <c r="V177" s="2" t="inlineStr">
        <is>
          <t>紧凑-极度紧凑</t>
        </is>
      </c>
    </row>
    <row r="178">
      <c r="A178" s="1" t="n">
        <v>2023096</v>
      </c>
      <c r="B178" s="3" t="inlineStr">
        <is>
          <t>763</t>
        </is>
      </c>
      <c r="C178" s="2">
        <f>IF(B178="","",LEFT(TEXT(B178,"000"),1)*1)</f>
        <v/>
      </c>
      <c r="D178" s="2">
        <f>IF(B178="","",MID(TEXT(B178,"000"),2,1)*1)</f>
        <v/>
      </c>
      <c r="E178" s="2">
        <f>IF(B178="","",RIGHT(TEXT(B178,"000"),1)*1)</f>
        <v/>
      </c>
      <c r="F178" s="2">
        <f>IF(B178="","",C178+D178+E178)</f>
        <v/>
      </c>
      <c r="G178" s="2">
        <f>IF(B178="","",MOD(F178,10))</f>
        <v/>
      </c>
      <c r="H178" s="2">
        <f>IF(B178="","",MAX(C178,D178,E178)-MIN(C178,D178,E178))</f>
        <v/>
      </c>
      <c r="I178" s="2">
        <f>IF(OR(B178="",H178=0),IF(H178=0,0.1,""),ROUND(F178/H178,2))</f>
        <v/>
      </c>
      <c r="J178" s="2">
        <f>IF(I178=0.1,"极紧凑",IF(I178&gt;3.5,"紧凑",IF(AND(I178&gt;=2,I178&lt;=3.5),"标准",IF(AND(I178&gt;=1,I178&lt;2),"松散",""))))</f>
        <v/>
      </c>
      <c r="K178" s="2">
        <f>IF(I178=0.1,"极紧凑-豹子号",IF(AND(I178&gt;=1,I178&lt;=1.29),"松散-极松散",IF(AND(I178&gt;=1.33,I178&lt;=1.8),"松散-标准松散",IF(AND(I178&gt;=1.83,I178&lt;=1.89),"松散-偏紧松散",IF(AND(I178&gt;=2,I178&lt;=2.5),"标准-偏松标准",IF(AND(I178&gt;=2.57,I178&lt;=3),"标准-核心标准",IF(AND(I178&gt;=3.17,I178&lt;=3.5),"标准-偏紧标准",IF(AND(I178&gt;=3.6,I178&lt;=5),"紧凑-标准紧凑",IF(AND(I178&gt;=5.25,I178&lt;=8),"紧凑-高度紧凑",IF(I178&gt;=8.5,"紧凑-极度紧凑",""))))))))))</f>
        <v/>
      </c>
      <c r="L178" s="2">
        <f>IF(I178=0.1,"极紧凑",IF(AND(I178&gt;=1,I178&lt;=1.89),"松散",IF(AND(I178&gt;=2,I178&lt;=3.5),"标准",IF(I178&gt;=3.6,"紧凑",""))))</f>
        <v/>
      </c>
      <c r="M178" s="2" t="inlineStr">
        <is>
          <t>极紧凑-豹子号</t>
        </is>
      </c>
      <c r="N178" s="2" t="inlineStr">
        <is>
          <t>松散-极松散</t>
        </is>
      </c>
      <c r="O178" s="2" t="inlineStr">
        <is>
          <t>松散-标准松散</t>
        </is>
      </c>
      <c r="P178" s="2" t="inlineStr">
        <is>
          <t>松散-偏紧松散</t>
        </is>
      </c>
      <c r="Q178" s="2" t="inlineStr">
        <is>
          <t>标准-偏松标准</t>
        </is>
      </c>
      <c r="R178" s="2" t="inlineStr">
        <is>
          <t>标准-核心标准</t>
        </is>
      </c>
      <c r="S178" s="2" t="inlineStr">
        <is>
          <t>标准-偏紧标准</t>
        </is>
      </c>
      <c r="T178" s="2" t="inlineStr">
        <is>
          <t>紧凑-标准紧凑</t>
        </is>
      </c>
      <c r="U178" s="2" t="inlineStr">
        <is>
          <t>紧凑-高度紧凑</t>
        </is>
      </c>
      <c r="V178" s="2" t="inlineStr">
        <is>
          <t>紧凑-极度紧凑</t>
        </is>
      </c>
    </row>
    <row r="179">
      <c r="A179" s="1" t="n">
        <v>2023097</v>
      </c>
      <c r="B179" s="3" t="inlineStr">
        <is>
          <t>685</t>
        </is>
      </c>
      <c r="C179" s="2">
        <f>IF(B179="","",LEFT(TEXT(B179,"000"),1)*1)</f>
        <v/>
      </c>
      <c r="D179" s="2">
        <f>IF(B179="","",MID(TEXT(B179,"000"),2,1)*1)</f>
        <v/>
      </c>
      <c r="E179" s="2">
        <f>IF(B179="","",RIGHT(TEXT(B179,"000"),1)*1)</f>
        <v/>
      </c>
      <c r="F179" s="2">
        <f>IF(B179="","",C179+D179+E179)</f>
        <v/>
      </c>
      <c r="G179" s="2">
        <f>IF(B179="","",MOD(F179,10))</f>
        <v/>
      </c>
      <c r="H179" s="2">
        <f>IF(B179="","",MAX(C179,D179,E179)-MIN(C179,D179,E179))</f>
        <v/>
      </c>
      <c r="I179" s="2">
        <f>IF(OR(B179="",H179=0),IF(H179=0,0.1,""),ROUND(F179/H179,2))</f>
        <v/>
      </c>
      <c r="J179" s="2">
        <f>IF(I179=0.1,"极紧凑",IF(I179&gt;3.5,"紧凑",IF(AND(I179&gt;=2,I179&lt;=3.5),"标准",IF(AND(I179&gt;=1,I179&lt;2),"松散",""))))</f>
        <v/>
      </c>
      <c r="K179" s="2">
        <f>IF(I179=0.1,"极紧凑-豹子号",IF(AND(I179&gt;=1,I179&lt;=1.29),"松散-极松散",IF(AND(I179&gt;=1.33,I179&lt;=1.8),"松散-标准松散",IF(AND(I179&gt;=1.83,I179&lt;=1.89),"松散-偏紧松散",IF(AND(I179&gt;=2,I179&lt;=2.5),"标准-偏松标准",IF(AND(I179&gt;=2.57,I179&lt;=3),"标准-核心标准",IF(AND(I179&gt;=3.17,I179&lt;=3.5),"标准-偏紧标准",IF(AND(I179&gt;=3.6,I179&lt;=5),"紧凑-标准紧凑",IF(AND(I179&gt;=5.25,I179&lt;=8),"紧凑-高度紧凑",IF(I179&gt;=8.5,"紧凑-极度紧凑",""))))))))))</f>
        <v/>
      </c>
      <c r="L179" s="2">
        <f>IF(I179=0.1,"极紧凑",IF(AND(I179&gt;=1,I179&lt;=1.89),"松散",IF(AND(I179&gt;=2,I179&lt;=3.5),"标准",IF(I179&gt;=3.6,"紧凑",""))))</f>
        <v/>
      </c>
      <c r="M179" s="2" t="inlineStr">
        <is>
          <t>极紧凑-豹子号</t>
        </is>
      </c>
      <c r="N179" s="2" t="inlineStr">
        <is>
          <t>松散-极松散</t>
        </is>
      </c>
      <c r="O179" s="2" t="inlineStr">
        <is>
          <t>松散-标准松散</t>
        </is>
      </c>
      <c r="P179" s="2" t="inlineStr">
        <is>
          <t>松散-偏紧松散</t>
        </is>
      </c>
      <c r="Q179" s="2" t="inlineStr">
        <is>
          <t>标准-偏松标准</t>
        </is>
      </c>
      <c r="R179" s="2" t="inlineStr">
        <is>
          <t>标准-核心标准</t>
        </is>
      </c>
      <c r="S179" s="2" t="inlineStr">
        <is>
          <t>标准-偏紧标准</t>
        </is>
      </c>
      <c r="T179" s="2" t="inlineStr">
        <is>
          <t>紧凑-标准紧凑</t>
        </is>
      </c>
      <c r="U179" s="2" t="inlineStr">
        <is>
          <t>紧凑-高度紧凑</t>
        </is>
      </c>
      <c r="V179" s="2" t="inlineStr">
        <is>
          <t>紧凑-极度紧凑</t>
        </is>
      </c>
    </row>
    <row r="180">
      <c r="A180" s="1" t="n">
        <v>2023098</v>
      </c>
      <c r="B180" s="3" t="inlineStr">
        <is>
          <t>223</t>
        </is>
      </c>
      <c r="C180" s="2">
        <f>IF(B180="","",LEFT(TEXT(B180,"000"),1)*1)</f>
        <v/>
      </c>
      <c r="D180" s="2">
        <f>IF(B180="","",MID(TEXT(B180,"000"),2,1)*1)</f>
        <v/>
      </c>
      <c r="E180" s="2">
        <f>IF(B180="","",RIGHT(TEXT(B180,"000"),1)*1)</f>
        <v/>
      </c>
      <c r="F180" s="2">
        <f>IF(B180="","",C180+D180+E180)</f>
        <v/>
      </c>
      <c r="G180" s="2">
        <f>IF(B180="","",MOD(F180,10))</f>
        <v/>
      </c>
      <c r="H180" s="2">
        <f>IF(B180="","",MAX(C180,D180,E180)-MIN(C180,D180,E180))</f>
        <v/>
      </c>
      <c r="I180" s="2">
        <f>IF(OR(B180="",H180=0),IF(H180=0,0.1,""),ROUND(F180/H180,2))</f>
        <v/>
      </c>
      <c r="J180" s="2">
        <f>IF(I180=0.1,"极紧凑",IF(I180&gt;3.5,"紧凑",IF(AND(I180&gt;=2,I180&lt;=3.5),"标准",IF(AND(I180&gt;=1,I180&lt;2),"松散",""))))</f>
        <v/>
      </c>
      <c r="K180" s="2">
        <f>IF(I180=0.1,"极紧凑-豹子号",IF(AND(I180&gt;=1,I180&lt;=1.29),"松散-极松散",IF(AND(I180&gt;=1.33,I180&lt;=1.8),"松散-标准松散",IF(AND(I180&gt;=1.83,I180&lt;=1.89),"松散-偏紧松散",IF(AND(I180&gt;=2,I180&lt;=2.5),"标准-偏松标准",IF(AND(I180&gt;=2.57,I180&lt;=3),"标准-核心标准",IF(AND(I180&gt;=3.17,I180&lt;=3.5),"标准-偏紧标准",IF(AND(I180&gt;=3.6,I180&lt;=5),"紧凑-标准紧凑",IF(AND(I180&gt;=5.25,I180&lt;=8),"紧凑-高度紧凑",IF(I180&gt;=8.5,"紧凑-极度紧凑",""))))))))))</f>
        <v/>
      </c>
      <c r="L180" s="2">
        <f>IF(I180=0.1,"极紧凑",IF(AND(I180&gt;=1,I180&lt;=1.89),"松散",IF(AND(I180&gt;=2,I180&lt;=3.5),"标准",IF(I180&gt;=3.6,"紧凑",""))))</f>
        <v/>
      </c>
      <c r="M180" s="2" t="inlineStr">
        <is>
          <t>极紧凑-豹子号</t>
        </is>
      </c>
      <c r="N180" s="2" t="inlineStr">
        <is>
          <t>松散-极松散</t>
        </is>
      </c>
      <c r="O180" s="2" t="inlineStr">
        <is>
          <t>松散-标准松散</t>
        </is>
      </c>
      <c r="P180" s="2" t="inlineStr">
        <is>
          <t>松散-偏紧松散</t>
        </is>
      </c>
      <c r="Q180" s="2" t="inlineStr">
        <is>
          <t>标准-偏松标准</t>
        </is>
      </c>
      <c r="R180" s="2" t="inlineStr">
        <is>
          <t>标准-核心标准</t>
        </is>
      </c>
      <c r="S180" s="2" t="inlineStr">
        <is>
          <t>标准-偏紧标准</t>
        </is>
      </c>
      <c r="T180" s="2" t="inlineStr">
        <is>
          <t>紧凑-标准紧凑</t>
        </is>
      </c>
      <c r="U180" s="2" t="inlineStr">
        <is>
          <t>紧凑-高度紧凑</t>
        </is>
      </c>
      <c r="V180" s="2" t="inlineStr">
        <is>
          <t>紧凑-极度紧凑</t>
        </is>
      </c>
    </row>
    <row r="181">
      <c r="A181" s="1" t="n">
        <v>2023099</v>
      </c>
      <c r="B181" s="3" t="inlineStr">
        <is>
          <t>551</t>
        </is>
      </c>
      <c r="C181" s="2">
        <f>IF(B181="","",LEFT(TEXT(B181,"000"),1)*1)</f>
        <v/>
      </c>
      <c r="D181" s="2">
        <f>IF(B181="","",MID(TEXT(B181,"000"),2,1)*1)</f>
        <v/>
      </c>
      <c r="E181" s="2">
        <f>IF(B181="","",RIGHT(TEXT(B181,"000"),1)*1)</f>
        <v/>
      </c>
      <c r="F181" s="2">
        <f>IF(B181="","",C181+D181+E181)</f>
        <v/>
      </c>
      <c r="G181" s="2">
        <f>IF(B181="","",MOD(F181,10))</f>
        <v/>
      </c>
      <c r="H181" s="2">
        <f>IF(B181="","",MAX(C181,D181,E181)-MIN(C181,D181,E181))</f>
        <v/>
      </c>
      <c r="I181" s="2">
        <f>IF(OR(B181="",H181=0),IF(H181=0,0.1,""),ROUND(F181/H181,2))</f>
        <v/>
      </c>
      <c r="J181" s="2">
        <f>IF(I181=0.1,"极紧凑",IF(I181&gt;3.5,"紧凑",IF(AND(I181&gt;=2,I181&lt;=3.5),"标准",IF(AND(I181&gt;=1,I181&lt;2),"松散",""))))</f>
        <v/>
      </c>
      <c r="K181" s="2">
        <f>IF(I181=0.1,"极紧凑-豹子号",IF(AND(I181&gt;=1,I181&lt;=1.29),"松散-极松散",IF(AND(I181&gt;=1.33,I181&lt;=1.8),"松散-标准松散",IF(AND(I181&gt;=1.83,I181&lt;=1.89),"松散-偏紧松散",IF(AND(I181&gt;=2,I181&lt;=2.5),"标准-偏松标准",IF(AND(I181&gt;=2.57,I181&lt;=3),"标准-核心标准",IF(AND(I181&gt;=3.17,I181&lt;=3.5),"标准-偏紧标准",IF(AND(I181&gt;=3.6,I181&lt;=5),"紧凑-标准紧凑",IF(AND(I181&gt;=5.25,I181&lt;=8),"紧凑-高度紧凑",IF(I181&gt;=8.5,"紧凑-极度紧凑",""))))))))))</f>
        <v/>
      </c>
      <c r="L181" s="2">
        <f>IF(I181=0.1,"极紧凑",IF(AND(I181&gt;=1,I181&lt;=1.89),"松散",IF(AND(I181&gt;=2,I181&lt;=3.5),"标准",IF(I181&gt;=3.6,"紧凑",""))))</f>
        <v/>
      </c>
      <c r="M181" s="2" t="inlineStr">
        <is>
          <t>极紧凑-豹子号</t>
        </is>
      </c>
      <c r="N181" s="2" t="inlineStr">
        <is>
          <t>松散-极松散</t>
        </is>
      </c>
      <c r="O181" s="2" t="inlineStr">
        <is>
          <t>松散-标准松散</t>
        </is>
      </c>
      <c r="P181" s="2" t="inlineStr">
        <is>
          <t>松散-偏紧松散</t>
        </is>
      </c>
      <c r="Q181" s="2" t="inlineStr">
        <is>
          <t>标准-偏松标准</t>
        </is>
      </c>
      <c r="R181" s="2" t="inlineStr">
        <is>
          <t>标准-核心标准</t>
        </is>
      </c>
      <c r="S181" s="2" t="inlineStr">
        <is>
          <t>标准-偏紧标准</t>
        </is>
      </c>
      <c r="T181" s="2" t="inlineStr">
        <is>
          <t>紧凑-标准紧凑</t>
        </is>
      </c>
      <c r="U181" s="2" t="inlineStr">
        <is>
          <t>紧凑-高度紧凑</t>
        </is>
      </c>
      <c r="V181" s="2" t="inlineStr">
        <is>
          <t>紧凑-极度紧凑</t>
        </is>
      </c>
    </row>
    <row r="182">
      <c r="A182" s="1" t="n">
        <v>2023100</v>
      </c>
      <c r="B182" s="3" t="inlineStr">
        <is>
          <t>632</t>
        </is>
      </c>
      <c r="C182" s="2">
        <f>IF(B182="","",LEFT(TEXT(B182,"000"),1)*1)</f>
        <v/>
      </c>
      <c r="D182" s="2">
        <f>IF(B182="","",MID(TEXT(B182,"000"),2,1)*1)</f>
        <v/>
      </c>
      <c r="E182" s="2">
        <f>IF(B182="","",RIGHT(TEXT(B182,"000"),1)*1)</f>
        <v/>
      </c>
      <c r="F182" s="2">
        <f>IF(B182="","",C182+D182+E182)</f>
        <v/>
      </c>
      <c r="G182" s="2">
        <f>IF(B182="","",MOD(F182,10))</f>
        <v/>
      </c>
      <c r="H182" s="2">
        <f>IF(B182="","",MAX(C182,D182,E182)-MIN(C182,D182,E182))</f>
        <v/>
      </c>
      <c r="I182" s="2">
        <f>IF(OR(B182="",H182=0),IF(H182=0,0.1,""),ROUND(F182/H182,2))</f>
        <v/>
      </c>
      <c r="J182" s="2">
        <f>IF(I182=0.1,"极紧凑",IF(I182&gt;3.5,"紧凑",IF(AND(I182&gt;=2,I182&lt;=3.5),"标准",IF(AND(I182&gt;=1,I182&lt;2),"松散",""))))</f>
        <v/>
      </c>
      <c r="K182" s="2">
        <f>IF(I182=0.1,"极紧凑-豹子号",IF(AND(I182&gt;=1,I182&lt;=1.29),"松散-极松散",IF(AND(I182&gt;=1.33,I182&lt;=1.8),"松散-标准松散",IF(AND(I182&gt;=1.83,I182&lt;=1.89),"松散-偏紧松散",IF(AND(I182&gt;=2,I182&lt;=2.5),"标准-偏松标准",IF(AND(I182&gt;=2.57,I182&lt;=3),"标准-核心标准",IF(AND(I182&gt;=3.17,I182&lt;=3.5),"标准-偏紧标准",IF(AND(I182&gt;=3.6,I182&lt;=5),"紧凑-标准紧凑",IF(AND(I182&gt;=5.25,I182&lt;=8),"紧凑-高度紧凑",IF(I182&gt;=8.5,"紧凑-极度紧凑",""))))))))))</f>
        <v/>
      </c>
      <c r="L182" s="2">
        <f>IF(I182=0.1,"极紧凑",IF(AND(I182&gt;=1,I182&lt;=1.89),"松散",IF(AND(I182&gt;=2,I182&lt;=3.5),"标准",IF(I182&gt;=3.6,"紧凑",""))))</f>
        <v/>
      </c>
      <c r="M182" s="2" t="inlineStr">
        <is>
          <t>极紧凑-豹子号</t>
        </is>
      </c>
      <c r="N182" s="2" t="inlineStr">
        <is>
          <t>松散-极松散</t>
        </is>
      </c>
      <c r="O182" s="2" t="inlineStr">
        <is>
          <t>松散-标准松散</t>
        </is>
      </c>
      <c r="P182" s="2" t="inlineStr">
        <is>
          <t>松散-偏紧松散</t>
        </is>
      </c>
      <c r="Q182" s="2" t="inlineStr">
        <is>
          <t>标准-偏松标准</t>
        </is>
      </c>
      <c r="R182" s="2" t="inlineStr">
        <is>
          <t>标准-核心标准</t>
        </is>
      </c>
      <c r="S182" s="2" t="inlineStr">
        <is>
          <t>标准-偏紧标准</t>
        </is>
      </c>
      <c r="T182" s="2" t="inlineStr">
        <is>
          <t>紧凑-标准紧凑</t>
        </is>
      </c>
      <c r="U182" s="2" t="inlineStr">
        <is>
          <t>紧凑-高度紧凑</t>
        </is>
      </c>
      <c r="V182" s="2" t="inlineStr">
        <is>
          <t>紧凑-极度紧凑</t>
        </is>
      </c>
    </row>
    <row r="183">
      <c r="A183" s="1" t="n">
        <v>2023101</v>
      </c>
      <c r="B183" s="3" t="inlineStr">
        <is>
          <t>531</t>
        </is>
      </c>
      <c r="C183" s="2">
        <f>IF(B183="","",LEFT(TEXT(B183,"000"),1)*1)</f>
        <v/>
      </c>
      <c r="D183" s="2">
        <f>IF(B183="","",MID(TEXT(B183,"000"),2,1)*1)</f>
        <v/>
      </c>
      <c r="E183" s="2">
        <f>IF(B183="","",RIGHT(TEXT(B183,"000"),1)*1)</f>
        <v/>
      </c>
      <c r="F183" s="2">
        <f>IF(B183="","",C183+D183+E183)</f>
        <v/>
      </c>
      <c r="G183" s="2">
        <f>IF(B183="","",MOD(F183,10))</f>
        <v/>
      </c>
      <c r="H183" s="2">
        <f>IF(B183="","",MAX(C183,D183,E183)-MIN(C183,D183,E183))</f>
        <v/>
      </c>
      <c r="I183" s="2">
        <f>IF(OR(B183="",H183=0),IF(H183=0,0.1,""),ROUND(F183/H183,2))</f>
        <v/>
      </c>
      <c r="J183" s="2">
        <f>IF(I183=0.1,"极紧凑",IF(I183&gt;3.5,"紧凑",IF(AND(I183&gt;=2,I183&lt;=3.5),"标准",IF(AND(I183&gt;=1,I183&lt;2),"松散",""))))</f>
        <v/>
      </c>
      <c r="K183" s="2">
        <f>IF(I183=0.1,"极紧凑-豹子号",IF(AND(I183&gt;=1,I183&lt;=1.29),"松散-极松散",IF(AND(I183&gt;=1.33,I183&lt;=1.8),"松散-标准松散",IF(AND(I183&gt;=1.83,I183&lt;=1.89),"松散-偏紧松散",IF(AND(I183&gt;=2,I183&lt;=2.5),"标准-偏松标准",IF(AND(I183&gt;=2.57,I183&lt;=3),"标准-核心标准",IF(AND(I183&gt;=3.17,I183&lt;=3.5),"标准-偏紧标准",IF(AND(I183&gt;=3.6,I183&lt;=5),"紧凑-标准紧凑",IF(AND(I183&gt;=5.25,I183&lt;=8),"紧凑-高度紧凑",IF(I183&gt;=8.5,"紧凑-极度紧凑",""))))))))))</f>
        <v/>
      </c>
      <c r="L183" s="2">
        <f>IF(I183=0.1,"极紧凑",IF(AND(I183&gt;=1,I183&lt;=1.89),"松散",IF(AND(I183&gt;=2,I183&lt;=3.5),"标准",IF(I183&gt;=3.6,"紧凑",""))))</f>
        <v/>
      </c>
      <c r="M183" s="2" t="inlineStr">
        <is>
          <t>极紧凑-豹子号</t>
        </is>
      </c>
      <c r="N183" s="2" t="inlineStr">
        <is>
          <t>松散-极松散</t>
        </is>
      </c>
      <c r="O183" s="2" t="inlineStr">
        <is>
          <t>松散-标准松散</t>
        </is>
      </c>
      <c r="P183" s="2" t="inlineStr">
        <is>
          <t>松散-偏紧松散</t>
        </is>
      </c>
      <c r="Q183" s="2" t="inlineStr">
        <is>
          <t>标准-偏松标准</t>
        </is>
      </c>
      <c r="R183" s="2" t="inlineStr">
        <is>
          <t>标准-核心标准</t>
        </is>
      </c>
      <c r="S183" s="2" t="inlineStr">
        <is>
          <t>标准-偏紧标准</t>
        </is>
      </c>
      <c r="T183" s="2" t="inlineStr">
        <is>
          <t>紧凑-标准紧凑</t>
        </is>
      </c>
      <c r="U183" s="2" t="inlineStr">
        <is>
          <t>紧凑-高度紧凑</t>
        </is>
      </c>
      <c r="V183" s="2" t="inlineStr">
        <is>
          <t>紧凑-极度紧凑</t>
        </is>
      </c>
    </row>
    <row r="184">
      <c r="A184" s="1" t="n">
        <v>2023102</v>
      </c>
      <c r="B184" s="3" t="inlineStr">
        <is>
          <t>704</t>
        </is>
      </c>
      <c r="C184" s="2">
        <f>IF(B184="","",LEFT(TEXT(B184,"000"),1)*1)</f>
        <v/>
      </c>
      <c r="D184" s="2">
        <f>IF(B184="","",MID(TEXT(B184,"000"),2,1)*1)</f>
        <v/>
      </c>
      <c r="E184" s="2">
        <f>IF(B184="","",RIGHT(TEXT(B184,"000"),1)*1)</f>
        <v/>
      </c>
      <c r="F184" s="2">
        <f>IF(B184="","",C184+D184+E184)</f>
        <v/>
      </c>
      <c r="G184" s="2">
        <f>IF(B184="","",MOD(F184,10))</f>
        <v/>
      </c>
      <c r="H184" s="2">
        <f>IF(B184="","",MAX(C184,D184,E184)-MIN(C184,D184,E184))</f>
        <v/>
      </c>
      <c r="I184" s="2">
        <f>IF(OR(B184="",H184=0),IF(H184=0,0.1,""),ROUND(F184/H184,2))</f>
        <v/>
      </c>
      <c r="J184" s="2">
        <f>IF(I184=0.1,"极紧凑",IF(I184&gt;3.5,"紧凑",IF(AND(I184&gt;=2,I184&lt;=3.5),"标准",IF(AND(I184&gt;=1,I184&lt;2),"松散",""))))</f>
        <v/>
      </c>
      <c r="K184" s="2">
        <f>IF(I184=0.1,"极紧凑-豹子号",IF(AND(I184&gt;=1,I184&lt;=1.29),"松散-极松散",IF(AND(I184&gt;=1.33,I184&lt;=1.8),"松散-标准松散",IF(AND(I184&gt;=1.83,I184&lt;=1.89),"松散-偏紧松散",IF(AND(I184&gt;=2,I184&lt;=2.5),"标准-偏松标准",IF(AND(I184&gt;=2.57,I184&lt;=3),"标准-核心标准",IF(AND(I184&gt;=3.17,I184&lt;=3.5),"标准-偏紧标准",IF(AND(I184&gt;=3.6,I184&lt;=5),"紧凑-标准紧凑",IF(AND(I184&gt;=5.25,I184&lt;=8),"紧凑-高度紧凑",IF(I184&gt;=8.5,"紧凑-极度紧凑",""))))))))))</f>
        <v/>
      </c>
      <c r="L184" s="2">
        <f>IF(I184=0.1,"极紧凑",IF(AND(I184&gt;=1,I184&lt;=1.89),"松散",IF(AND(I184&gt;=2,I184&lt;=3.5),"标准",IF(I184&gt;=3.6,"紧凑",""))))</f>
        <v/>
      </c>
      <c r="M184" s="2" t="inlineStr">
        <is>
          <t>极紧凑-豹子号</t>
        </is>
      </c>
      <c r="N184" s="2" t="inlineStr">
        <is>
          <t>松散-极松散</t>
        </is>
      </c>
      <c r="O184" s="2" t="inlineStr">
        <is>
          <t>松散-标准松散</t>
        </is>
      </c>
      <c r="P184" s="2" t="inlineStr">
        <is>
          <t>松散-偏紧松散</t>
        </is>
      </c>
      <c r="Q184" s="2" t="inlineStr">
        <is>
          <t>标准-偏松标准</t>
        </is>
      </c>
      <c r="R184" s="2" t="inlineStr">
        <is>
          <t>标准-核心标准</t>
        </is>
      </c>
      <c r="S184" s="2" t="inlineStr">
        <is>
          <t>标准-偏紧标准</t>
        </is>
      </c>
      <c r="T184" s="2" t="inlineStr">
        <is>
          <t>紧凑-标准紧凑</t>
        </is>
      </c>
      <c r="U184" s="2" t="inlineStr">
        <is>
          <t>紧凑-高度紧凑</t>
        </is>
      </c>
      <c r="V184" s="2" t="inlineStr">
        <is>
          <t>紧凑-极度紧凑</t>
        </is>
      </c>
    </row>
    <row r="185">
      <c r="A185" s="1" t="n">
        <v>2023103</v>
      </c>
      <c r="B185" s="3" t="inlineStr">
        <is>
          <t>976</t>
        </is>
      </c>
      <c r="C185" s="2">
        <f>IF(B185="","",LEFT(TEXT(B185,"000"),1)*1)</f>
        <v/>
      </c>
      <c r="D185" s="2">
        <f>IF(B185="","",MID(TEXT(B185,"000"),2,1)*1)</f>
        <v/>
      </c>
      <c r="E185" s="2">
        <f>IF(B185="","",RIGHT(TEXT(B185,"000"),1)*1)</f>
        <v/>
      </c>
      <c r="F185" s="2">
        <f>IF(B185="","",C185+D185+E185)</f>
        <v/>
      </c>
      <c r="G185" s="2">
        <f>IF(B185="","",MOD(F185,10))</f>
        <v/>
      </c>
      <c r="H185" s="2">
        <f>IF(B185="","",MAX(C185,D185,E185)-MIN(C185,D185,E185))</f>
        <v/>
      </c>
      <c r="I185" s="2">
        <f>IF(OR(B185="",H185=0),IF(H185=0,0.1,""),ROUND(F185/H185,2))</f>
        <v/>
      </c>
      <c r="J185" s="2">
        <f>IF(I185=0.1,"极紧凑",IF(I185&gt;3.5,"紧凑",IF(AND(I185&gt;=2,I185&lt;=3.5),"标准",IF(AND(I185&gt;=1,I185&lt;2),"松散",""))))</f>
        <v/>
      </c>
      <c r="K185" s="2">
        <f>IF(I185=0.1,"极紧凑-豹子号",IF(AND(I185&gt;=1,I185&lt;=1.29),"松散-极松散",IF(AND(I185&gt;=1.33,I185&lt;=1.8),"松散-标准松散",IF(AND(I185&gt;=1.83,I185&lt;=1.89),"松散-偏紧松散",IF(AND(I185&gt;=2,I185&lt;=2.5),"标准-偏松标准",IF(AND(I185&gt;=2.57,I185&lt;=3),"标准-核心标准",IF(AND(I185&gt;=3.17,I185&lt;=3.5),"标准-偏紧标准",IF(AND(I185&gt;=3.6,I185&lt;=5),"紧凑-标准紧凑",IF(AND(I185&gt;=5.25,I185&lt;=8),"紧凑-高度紧凑",IF(I185&gt;=8.5,"紧凑-极度紧凑",""))))))))))</f>
        <v/>
      </c>
      <c r="L185" s="2">
        <f>IF(I185=0.1,"极紧凑",IF(AND(I185&gt;=1,I185&lt;=1.89),"松散",IF(AND(I185&gt;=2,I185&lt;=3.5),"标准",IF(I185&gt;=3.6,"紧凑",""))))</f>
        <v/>
      </c>
      <c r="M185" s="2" t="inlineStr">
        <is>
          <t>极紧凑-豹子号</t>
        </is>
      </c>
      <c r="N185" s="2" t="inlineStr">
        <is>
          <t>松散-极松散</t>
        </is>
      </c>
      <c r="O185" s="2" t="inlineStr">
        <is>
          <t>松散-标准松散</t>
        </is>
      </c>
      <c r="P185" s="2" t="inlineStr">
        <is>
          <t>松散-偏紧松散</t>
        </is>
      </c>
      <c r="Q185" s="2" t="inlineStr">
        <is>
          <t>标准-偏松标准</t>
        </is>
      </c>
      <c r="R185" s="2" t="inlineStr">
        <is>
          <t>标准-核心标准</t>
        </is>
      </c>
      <c r="S185" s="2" t="inlineStr">
        <is>
          <t>标准-偏紧标准</t>
        </is>
      </c>
      <c r="T185" s="2" t="inlineStr">
        <is>
          <t>紧凑-标准紧凑</t>
        </is>
      </c>
      <c r="U185" s="2" t="inlineStr">
        <is>
          <t>紧凑-高度紧凑</t>
        </is>
      </c>
      <c r="V185" s="2" t="inlineStr">
        <is>
          <t>紧凑-极度紧凑</t>
        </is>
      </c>
    </row>
    <row r="186">
      <c r="A186" s="1" t="n">
        <v>2023104</v>
      </c>
      <c r="B186" s="3" t="inlineStr">
        <is>
          <t>643</t>
        </is>
      </c>
      <c r="C186" s="2">
        <f>IF(B186="","",LEFT(TEXT(B186,"000"),1)*1)</f>
        <v/>
      </c>
      <c r="D186" s="2">
        <f>IF(B186="","",MID(TEXT(B186,"000"),2,1)*1)</f>
        <v/>
      </c>
      <c r="E186" s="2">
        <f>IF(B186="","",RIGHT(TEXT(B186,"000"),1)*1)</f>
        <v/>
      </c>
      <c r="F186" s="2">
        <f>IF(B186="","",C186+D186+E186)</f>
        <v/>
      </c>
      <c r="G186" s="2">
        <f>IF(B186="","",MOD(F186,10))</f>
        <v/>
      </c>
      <c r="H186" s="2">
        <f>IF(B186="","",MAX(C186,D186,E186)-MIN(C186,D186,E186))</f>
        <v/>
      </c>
      <c r="I186" s="2">
        <f>IF(OR(B186="",H186=0),IF(H186=0,0.1,""),ROUND(F186/H186,2))</f>
        <v/>
      </c>
      <c r="J186" s="2">
        <f>IF(I186=0.1,"极紧凑",IF(I186&gt;3.5,"紧凑",IF(AND(I186&gt;=2,I186&lt;=3.5),"标准",IF(AND(I186&gt;=1,I186&lt;2),"松散",""))))</f>
        <v/>
      </c>
      <c r="K186" s="2">
        <f>IF(I186=0.1,"极紧凑-豹子号",IF(AND(I186&gt;=1,I186&lt;=1.29),"松散-极松散",IF(AND(I186&gt;=1.33,I186&lt;=1.8),"松散-标准松散",IF(AND(I186&gt;=1.83,I186&lt;=1.89),"松散-偏紧松散",IF(AND(I186&gt;=2,I186&lt;=2.5),"标准-偏松标准",IF(AND(I186&gt;=2.57,I186&lt;=3),"标准-核心标准",IF(AND(I186&gt;=3.17,I186&lt;=3.5),"标准-偏紧标准",IF(AND(I186&gt;=3.6,I186&lt;=5),"紧凑-标准紧凑",IF(AND(I186&gt;=5.25,I186&lt;=8),"紧凑-高度紧凑",IF(I186&gt;=8.5,"紧凑-极度紧凑",""))))))))))</f>
        <v/>
      </c>
      <c r="L186" s="2">
        <f>IF(I186=0.1,"极紧凑",IF(AND(I186&gt;=1,I186&lt;=1.89),"松散",IF(AND(I186&gt;=2,I186&lt;=3.5),"标准",IF(I186&gt;=3.6,"紧凑",""))))</f>
        <v/>
      </c>
      <c r="M186" s="2" t="inlineStr">
        <is>
          <t>极紧凑-豹子号</t>
        </is>
      </c>
      <c r="N186" s="2" t="inlineStr">
        <is>
          <t>松散-极松散</t>
        </is>
      </c>
      <c r="O186" s="2" t="inlineStr">
        <is>
          <t>松散-标准松散</t>
        </is>
      </c>
      <c r="P186" s="2" t="inlineStr">
        <is>
          <t>松散-偏紧松散</t>
        </is>
      </c>
      <c r="Q186" s="2" t="inlineStr">
        <is>
          <t>标准-偏松标准</t>
        </is>
      </c>
      <c r="R186" s="2" t="inlineStr">
        <is>
          <t>标准-核心标准</t>
        </is>
      </c>
      <c r="S186" s="2" t="inlineStr">
        <is>
          <t>标准-偏紧标准</t>
        </is>
      </c>
      <c r="T186" s="2" t="inlineStr">
        <is>
          <t>紧凑-标准紧凑</t>
        </is>
      </c>
      <c r="U186" s="2" t="inlineStr">
        <is>
          <t>紧凑-高度紧凑</t>
        </is>
      </c>
      <c r="V186" s="2" t="inlineStr">
        <is>
          <t>紧凑-极度紧凑</t>
        </is>
      </c>
    </row>
    <row r="187">
      <c r="A187" s="1" t="n">
        <v>2023105</v>
      </c>
      <c r="B187" s="3" t="inlineStr">
        <is>
          <t>570</t>
        </is>
      </c>
      <c r="C187" s="2">
        <f>IF(B187="","",LEFT(TEXT(B187,"000"),1)*1)</f>
        <v/>
      </c>
      <c r="D187" s="2">
        <f>IF(B187="","",MID(TEXT(B187,"000"),2,1)*1)</f>
        <v/>
      </c>
      <c r="E187" s="2">
        <f>IF(B187="","",RIGHT(TEXT(B187,"000"),1)*1)</f>
        <v/>
      </c>
      <c r="F187" s="2">
        <f>IF(B187="","",C187+D187+E187)</f>
        <v/>
      </c>
      <c r="G187" s="2">
        <f>IF(B187="","",MOD(F187,10))</f>
        <v/>
      </c>
      <c r="H187" s="2">
        <f>IF(B187="","",MAX(C187,D187,E187)-MIN(C187,D187,E187))</f>
        <v/>
      </c>
      <c r="I187" s="2">
        <f>IF(OR(B187="",H187=0),IF(H187=0,0.1,""),ROUND(F187/H187,2))</f>
        <v/>
      </c>
      <c r="J187" s="2">
        <f>IF(I187=0.1,"极紧凑",IF(I187&gt;3.5,"紧凑",IF(AND(I187&gt;=2,I187&lt;=3.5),"标准",IF(AND(I187&gt;=1,I187&lt;2),"松散",""))))</f>
        <v/>
      </c>
      <c r="K187" s="2">
        <f>IF(I187=0.1,"极紧凑-豹子号",IF(AND(I187&gt;=1,I187&lt;=1.29),"松散-极松散",IF(AND(I187&gt;=1.33,I187&lt;=1.8),"松散-标准松散",IF(AND(I187&gt;=1.83,I187&lt;=1.89),"松散-偏紧松散",IF(AND(I187&gt;=2,I187&lt;=2.5),"标准-偏松标准",IF(AND(I187&gt;=2.57,I187&lt;=3),"标准-核心标准",IF(AND(I187&gt;=3.17,I187&lt;=3.5),"标准-偏紧标准",IF(AND(I187&gt;=3.6,I187&lt;=5),"紧凑-标准紧凑",IF(AND(I187&gt;=5.25,I187&lt;=8),"紧凑-高度紧凑",IF(I187&gt;=8.5,"紧凑-极度紧凑",""))))))))))</f>
        <v/>
      </c>
      <c r="L187" s="2">
        <f>IF(I187=0.1,"极紧凑",IF(AND(I187&gt;=1,I187&lt;=1.89),"松散",IF(AND(I187&gt;=2,I187&lt;=3.5),"标准",IF(I187&gt;=3.6,"紧凑",""))))</f>
        <v/>
      </c>
      <c r="M187" s="2" t="inlineStr">
        <is>
          <t>极紧凑-豹子号</t>
        </is>
      </c>
      <c r="N187" s="2" t="inlineStr">
        <is>
          <t>松散-极松散</t>
        </is>
      </c>
      <c r="O187" s="2" t="inlineStr">
        <is>
          <t>松散-标准松散</t>
        </is>
      </c>
      <c r="P187" s="2" t="inlineStr">
        <is>
          <t>松散-偏紧松散</t>
        </is>
      </c>
      <c r="Q187" s="2" t="inlineStr">
        <is>
          <t>标准-偏松标准</t>
        </is>
      </c>
      <c r="R187" s="2" t="inlineStr">
        <is>
          <t>标准-核心标准</t>
        </is>
      </c>
      <c r="S187" s="2" t="inlineStr">
        <is>
          <t>标准-偏紧标准</t>
        </is>
      </c>
      <c r="T187" s="2" t="inlineStr">
        <is>
          <t>紧凑-标准紧凑</t>
        </is>
      </c>
      <c r="U187" s="2" t="inlineStr">
        <is>
          <t>紧凑-高度紧凑</t>
        </is>
      </c>
      <c r="V187" s="2" t="inlineStr">
        <is>
          <t>紧凑-极度紧凑</t>
        </is>
      </c>
    </row>
    <row r="188">
      <c r="A188" s="1" t="n">
        <v>2023106</v>
      </c>
      <c r="B188" s="3" t="inlineStr">
        <is>
          <t>282</t>
        </is>
      </c>
      <c r="C188" s="2">
        <f>IF(B188="","",LEFT(TEXT(B188,"000"),1)*1)</f>
        <v/>
      </c>
      <c r="D188" s="2">
        <f>IF(B188="","",MID(TEXT(B188,"000"),2,1)*1)</f>
        <v/>
      </c>
      <c r="E188" s="2">
        <f>IF(B188="","",RIGHT(TEXT(B188,"000"),1)*1)</f>
        <v/>
      </c>
      <c r="F188" s="2">
        <f>IF(B188="","",C188+D188+E188)</f>
        <v/>
      </c>
      <c r="G188" s="2">
        <f>IF(B188="","",MOD(F188,10))</f>
        <v/>
      </c>
      <c r="H188" s="2">
        <f>IF(B188="","",MAX(C188,D188,E188)-MIN(C188,D188,E188))</f>
        <v/>
      </c>
      <c r="I188" s="2">
        <f>IF(OR(B188="",H188=0),IF(H188=0,0.1,""),ROUND(F188/H188,2))</f>
        <v/>
      </c>
      <c r="J188" s="2">
        <f>IF(I188=0.1,"极紧凑",IF(I188&gt;3.5,"紧凑",IF(AND(I188&gt;=2,I188&lt;=3.5),"标准",IF(AND(I188&gt;=1,I188&lt;2),"松散",""))))</f>
        <v/>
      </c>
      <c r="K188" s="2">
        <f>IF(I188=0.1,"极紧凑-豹子号",IF(AND(I188&gt;=1,I188&lt;=1.29),"松散-极松散",IF(AND(I188&gt;=1.33,I188&lt;=1.8),"松散-标准松散",IF(AND(I188&gt;=1.83,I188&lt;=1.89),"松散-偏紧松散",IF(AND(I188&gt;=2,I188&lt;=2.5),"标准-偏松标准",IF(AND(I188&gt;=2.57,I188&lt;=3),"标准-核心标准",IF(AND(I188&gt;=3.17,I188&lt;=3.5),"标准-偏紧标准",IF(AND(I188&gt;=3.6,I188&lt;=5),"紧凑-标准紧凑",IF(AND(I188&gt;=5.25,I188&lt;=8),"紧凑-高度紧凑",IF(I188&gt;=8.5,"紧凑-极度紧凑",""))))))))))</f>
        <v/>
      </c>
      <c r="L188" s="2">
        <f>IF(I188=0.1,"极紧凑",IF(AND(I188&gt;=1,I188&lt;=1.89),"松散",IF(AND(I188&gt;=2,I188&lt;=3.5),"标准",IF(I188&gt;=3.6,"紧凑",""))))</f>
        <v/>
      </c>
      <c r="M188" s="2" t="inlineStr">
        <is>
          <t>极紧凑-豹子号</t>
        </is>
      </c>
      <c r="N188" s="2" t="inlineStr">
        <is>
          <t>松散-极松散</t>
        </is>
      </c>
      <c r="O188" s="2" t="inlineStr">
        <is>
          <t>松散-标准松散</t>
        </is>
      </c>
      <c r="P188" s="2" t="inlineStr">
        <is>
          <t>松散-偏紧松散</t>
        </is>
      </c>
      <c r="Q188" s="2" t="inlineStr">
        <is>
          <t>标准-偏松标准</t>
        </is>
      </c>
      <c r="R188" s="2" t="inlineStr">
        <is>
          <t>标准-核心标准</t>
        </is>
      </c>
      <c r="S188" s="2" t="inlineStr">
        <is>
          <t>标准-偏紧标准</t>
        </is>
      </c>
      <c r="T188" s="2" t="inlineStr">
        <is>
          <t>紧凑-标准紧凑</t>
        </is>
      </c>
      <c r="U188" s="2" t="inlineStr">
        <is>
          <t>紧凑-高度紧凑</t>
        </is>
      </c>
      <c r="V188" s="2" t="inlineStr">
        <is>
          <t>紧凑-极度紧凑</t>
        </is>
      </c>
    </row>
    <row r="189">
      <c r="A189" s="1" t="n">
        <v>2023107</v>
      </c>
      <c r="B189" s="3" t="inlineStr">
        <is>
          <t>519</t>
        </is>
      </c>
      <c r="C189" s="2">
        <f>IF(B189="","",LEFT(TEXT(B189,"000"),1)*1)</f>
        <v/>
      </c>
      <c r="D189" s="2">
        <f>IF(B189="","",MID(TEXT(B189,"000"),2,1)*1)</f>
        <v/>
      </c>
      <c r="E189" s="2">
        <f>IF(B189="","",RIGHT(TEXT(B189,"000"),1)*1)</f>
        <v/>
      </c>
      <c r="F189" s="2">
        <f>IF(B189="","",C189+D189+E189)</f>
        <v/>
      </c>
      <c r="G189" s="2">
        <f>IF(B189="","",MOD(F189,10))</f>
        <v/>
      </c>
      <c r="H189" s="2">
        <f>IF(B189="","",MAX(C189,D189,E189)-MIN(C189,D189,E189))</f>
        <v/>
      </c>
      <c r="I189" s="2">
        <f>IF(OR(B189="",H189=0),IF(H189=0,0.1,""),ROUND(F189/H189,2))</f>
        <v/>
      </c>
      <c r="J189" s="2">
        <f>IF(I189=0.1,"极紧凑",IF(I189&gt;3.5,"紧凑",IF(AND(I189&gt;=2,I189&lt;=3.5),"标准",IF(AND(I189&gt;=1,I189&lt;2),"松散",""))))</f>
        <v/>
      </c>
      <c r="K189" s="2">
        <f>IF(I189=0.1,"极紧凑-豹子号",IF(AND(I189&gt;=1,I189&lt;=1.29),"松散-极松散",IF(AND(I189&gt;=1.33,I189&lt;=1.8),"松散-标准松散",IF(AND(I189&gt;=1.83,I189&lt;=1.89),"松散-偏紧松散",IF(AND(I189&gt;=2,I189&lt;=2.5),"标准-偏松标准",IF(AND(I189&gt;=2.57,I189&lt;=3),"标准-核心标准",IF(AND(I189&gt;=3.17,I189&lt;=3.5),"标准-偏紧标准",IF(AND(I189&gt;=3.6,I189&lt;=5),"紧凑-标准紧凑",IF(AND(I189&gt;=5.25,I189&lt;=8),"紧凑-高度紧凑",IF(I189&gt;=8.5,"紧凑-极度紧凑",""))))))))))</f>
        <v/>
      </c>
      <c r="L189" s="2">
        <f>IF(I189=0.1,"极紧凑",IF(AND(I189&gt;=1,I189&lt;=1.89),"松散",IF(AND(I189&gt;=2,I189&lt;=3.5),"标准",IF(I189&gt;=3.6,"紧凑",""))))</f>
        <v/>
      </c>
      <c r="M189" s="2" t="inlineStr">
        <is>
          <t>极紧凑-豹子号</t>
        </is>
      </c>
      <c r="N189" s="2" t="inlineStr">
        <is>
          <t>松散-极松散</t>
        </is>
      </c>
      <c r="O189" s="2" t="inlineStr">
        <is>
          <t>松散-标准松散</t>
        </is>
      </c>
      <c r="P189" s="2" t="inlineStr">
        <is>
          <t>松散-偏紧松散</t>
        </is>
      </c>
      <c r="Q189" s="2" t="inlineStr">
        <is>
          <t>标准-偏松标准</t>
        </is>
      </c>
      <c r="R189" s="2" t="inlineStr">
        <is>
          <t>标准-核心标准</t>
        </is>
      </c>
      <c r="S189" s="2" t="inlineStr">
        <is>
          <t>标准-偏紧标准</t>
        </is>
      </c>
      <c r="T189" s="2" t="inlineStr">
        <is>
          <t>紧凑-标准紧凑</t>
        </is>
      </c>
      <c r="U189" s="2" t="inlineStr">
        <is>
          <t>紧凑-高度紧凑</t>
        </is>
      </c>
      <c r="V189" s="2" t="inlineStr">
        <is>
          <t>紧凑-极度紧凑</t>
        </is>
      </c>
    </row>
    <row r="190">
      <c r="A190" s="1" t="n">
        <v>2023108</v>
      </c>
      <c r="B190" s="3" t="inlineStr">
        <is>
          <t>477</t>
        </is>
      </c>
      <c r="C190" s="2">
        <f>IF(B190="","",LEFT(TEXT(B190,"000"),1)*1)</f>
        <v/>
      </c>
      <c r="D190" s="2">
        <f>IF(B190="","",MID(TEXT(B190,"000"),2,1)*1)</f>
        <v/>
      </c>
      <c r="E190" s="2">
        <f>IF(B190="","",RIGHT(TEXT(B190,"000"),1)*1)</f>
        <v/>
      </c>
      <c r="F190" s="2">
        <f>IF(B190="","",C190+D190+E190)</f>
        <v/>
      </c>
      <c r="G190" s="2">
        <f>IF(B190="","",MOD(F190,10))</f>
        <v/>
      </c>
      <c r="H190" s="2">
        <f>IF(B190="","",MAX(C190,D190,E190)-MIN(C190,D190,E190))</f>
        <v/>
      </c>
      <c r="I190" s="2">
        <f>IF(OR(B190="",H190=0),IF(H190=0,0.1,""),ROUND(F190/H190,2))</f>
        <v/>
      </c>
      <c r="J190" s="2">
        <f>IF(I190=0.1,"极紧凑",IF(I190&gt;3.5,"紧凑",IF(AND(I190&gt;=2,I190&lt;=3.5),"标准",IF(AND(I190&gt;=1,I190&lt;2),"松散",""))))</f>
        <v/>
      </c>
      <c r="K190" s="2">
        <f>IF(I190=0.1,"极紧凑-豹子号",IF(AND(I190&gt;=1,I190&lt;=1.29),"松散-极松散",IF(AND(I190&gt;=1.33,I190&lt;=1.8),"松散-标准松散",IF(AND(I190&gt;=1.83,I190&lt;=1.89),"松散-偏紧松散",IF(AND(I190&gt;=2,I190&lt;=2.5),"标准-偏松标准",IF(AND(I190&gt;=2.57,I190&lt;=3),"标准-核心标准",IF(AND(I190&gt;=3.17,I190&lt;=3.5),"标准-偏紧标准",IF(AND(I190&gt;=3.6,I190&lt;=5),"紧凑-标准紧凑",IF(AND(I190&gt;=5.25,I190&lt;=8),"紧凑-高度紧凑",IF(I190&gt;=8.5,"紧凑-极度紧凑",""))))))))))</f>
        <v/>
      </c>
      <c r="L190" s="2">
        <f>IF(I190=0.1,"极紧凑",IF(AND(I190&gt;=1,I190&lt;=1.89),"松散",IF(AND(I190&gt;=2,I190&lt;=3.5),"标准",IF(I190&gt;=3.6,"紧凑",""))))</f>
        <v/>
      </c>
      <c r="M190" s="2" t="inlineStr">
        <is>
          <t>极紧凑-豹子号</t>
        </is>
      </c>
      <c r="N190" s="2" t="inlineStr">
        <is>
          <t>松散-极松散</t>
        </is>
      </c>
      <c r="O190" s="2" t="inlineStr">
        <is>
          <t>松散-标准松散</t>
        </is>
      </c>
      <c r="P190" s="2" t="inlineStr">
        <is>
          <t>松散-偏紧松散</t>
        </is>
      </c>
      <c r="Q190" s="2" t="inlineStr">
        <is>
          <t>标准-偏松标准</t>
        </is>
      </c>
      <c r="R190" s="2" t="inlineStr">
        <is>
          <t>标准-核心标准</t>
        </is>
      </c>
      <c r="S190" s="2" t="inlineStr">
        <is>
          <t>标准-偏紧标准</t>
        </is>
      </c>
      <c r="T190" s="2" t="inlineStr">
        <is>
          <t>紧凑-标准紧凑</t>
        </is>
      </c>
      <c r="U190" s="2" t="inlineStr">
        <is>
          <t>紧凑-高度紧凑</t>
        </is>
      </c>
      <c r="V190" s="2" t="inlineStr">
        <is>
          <t>紧凑-极度紧凑</t>
        </is>
      </c>
    </row>
    <row r="191">
      <c r="A191" s="1" t="n">
        <v>2023109</v>
      </c>
      <c r="B191" s="3" t="inlineStr">
        <is>
          <t>303</t>
        </is>
      </c>
      <c r="C191" s="2">
        <f>IF(B191="","",LEFT(TEXT(B191,"000"),1)*1)</f>
        <v/>
      </c>
      <c r="D191" s="2">
        <f>IF(B191="","",MID(TEXT(B191,"000"),2,1)*1)</f>
        <v/>
      </c>
      <c r="E191" s="2">
        <f>IF(B191="","",RIGHT(TEXT(B191,"000"),1)*1)</f>
        <v/>
      </c>
      <c r="F191" s="2">
        <f>IF(B191="","",C191+D191+E191)</f>
        <v/>
      </c>
      <c r="G191" s="2">
        <f>IF(B191="","",MOD(F191,10))</f>
        <v/>
      </c>
      <c r="H191" s="2">
        <f>IF(B191="","",MAX(C191,D191,E191)-MIN(C191,D191,E191))</f>
        <v/>
      </c>
      <c r="I191" s="2">
        <f>IF(OR(B191="",H191=0),IF(H191=0,0.1,""),ROUND(F191/H191,2))</f>
        <v/>
      </c>
      <c r="J191" s="2">
        <f>IF(I191=0.1,"极紧凑",IF(I191&gt;3.5,"紧凑",IF(AND(I191&gt;=2,I191&lt;=3.5),"标准",IF(AND(I191&gt;=1,I191&lt;2),"松散",""))))</f>
        <v/>
      </c>
      <c r="K191" s="2">
        <f>IF(I191=0.1,"极紧凑-豹子号",IF(AND(I191&gt;=1,I191&lt;=1.29),"松散-极松散",IF(AND(I191&gt;=1.33,I191&lt;=1.8),"松散-标准松散",IF(AND(I191&gt;=1.83,I191&lt;=1.89),"松散-偏紧松散",IF(AND(I191&gt;=2,I191&lt;=2.5),"标准-偏松标准",IF(AND(I191&gt;=2.57,I191&lt;=3),"标准-核心标准",IF(AND(I191&gt;=3.17,I191&lt;=3.5),"标准-偏紧标准",IF(AND(I191&gt;=3.6,I191&lt;=5),"紧凑-标准紧凑",IF(AND(I191&gt;=5.25,I191&lt;=8),"紧凑-高度紧凑",IF(I191&gt;=8.5,"紧凑-极度紧凑",""))))))))))</f>
        <v/>
      </c>
      <c r="L191" s="2">
        <f>IF(I191=0.1,"极紧凑",IF(AND(I191&gt;=1,I191&lt;=1.89),"松散",IF(AND(I191&gt;=2,I191&lt;=3.5),"标准",IF(I191&gt;=3.6,"紧凑",""))))</f>
        <v/>
      </c>
      <c r="M191" s="2" t="inlineStr">
        <is>
          <t>极紧凑-豹子号</t>
        </is>
      </c>
      <c r="N191" s="2" t="inlineStr">
        <is>
          <t>松散-极松散</t>
        </is>
      </c>
      <c r="O191" s="2" t="inlineStr">
        <is>
          <t>松散-标准松散</t>
        </is>
      </c>
      <c r="P191" s="2" t="inlineStr">
        <is>
          <t>松散-偏紧松散</t>
        </is>
      </c>
      <c r="Q191" s="2" t="inlineStr">
        <is>
          <t>标准-偏松标准</t>
        </is>
      </c>
      <c r="R191" s="2" t="inlineStr">
        <is>
          <t>标准-核心标准</t>
        </is>
      </c>
      <c r="S191" s="2" t="inlineStr">
        <is>
          <t>标准-偏紧标准</t>
        </is>
      </c>
      <c r="T191" s="2" t="inlineStr">
        <is>
          <t>紧凑-标准紧凑</t>
        </is>
      </c>
      <c r="U191" s="2" t="inlineStr">
        <is>
          <t>紧凑-高度紧凑</t>
        </is>
      </c>
      <c r="V191" s="2" t="inlineStr">
        <is>
          <t>紧凑-极度紧凑</t>
        </is>
      </c>
    </row>
    <row r="192">
      <c r="A192" s="1" t="n">
        <v>2023110</v>
      </c>
      <c r="B192" s="3" t="inlineStr">
        <is>
          <t>433</t>
        </is>
      </c>
      <c r="C192" s="2">
        <f>IF(B192="","",LEFT(TEXT(B192,"000"),1)*1)</f>
        <v/>
      </c>
      <c r="D192" s="2">
        <f>IF(B192="","",MID(TEXT(B192,"000"),2,1)*1)</f>
        <v/>
      </c>
      <c r="E192" s="2">
        <f>IF(B192="","",RIGHT(TEXT(B192,"000"),1)*1)</f>
        <v/>
      </c>
      <c r="F192" s="2">
        <f>IF(B192="","",C192+D192+E192)</f>
        <v/>
      </c>
      <c r="G192" s="2">
        <f>IF(B192="","",MOD(F192,10))</f>
        <v/>
      </c>
      <c r="H192" s="2">
        <f>IF(B192="","",MAX(C192,D192,E192)-MIN(C192,D192,E192))</f>
        <v/>
      </c>
      <c r="I192" s="2">
        <f>IF(OR(B192="",H192=0),IF(H192=0,0.1,""),ROUND(F192/H192,2))</f>
        <v/>
      </c>
      <c r="J192" s="2">
        <f>IF(I192=0.1,"极紧凑",IF(I192&gt;3.5,"紧凑",IF(AND(I192&gt;=2,I192&lt;=3.5),"标准",IF(AND(I192&gt;=1,I192&lt;2),"松散",""))))</f>
        <v/>
      </c>
      <c r="K192" s="2">
        <f>IF(I192=0.1,"极紧凑-豹子号",IF(AND(I192&gt;=1,I192&lt;=1.29),"松散-极松散",IF(AND(I192&gt;=1.33,I192&lt;=1.8),"松散-标准松散",IF(AND(I192&gt;=1.83,I192&lt;=1.89),"松散-偏紧松散",IF(AND(I192&gt;=2,I192&lt;=2.5),"标准-偏松标准",IF(AND(I192&gt;=2.57,I192&lt;=3),"标准-核心标准",IF(AND(I192&gt;=3.17,I192&lt;=3.5),"标准-偏紧标准",IF(AND(I192&gt;=3.6,I192&lt;=5),"紧凑-标准紧凑",IF(AND(I192&gt;=5.25,I192&lt;=8),"紧凑-高度紧凑",IF(I192&gt;=8.5,"紧凑-极度紧凑",""))))))))))</f>
        <v/>
      </c>
      <c r="L192" s="2">
        <f>IF(I192=0.1,"极紧凑",IF(AND(I192&gt;=1,I192&lt;=1.89),"松散",IF(AND(I192&gt;=2,I192&lt;=3.5),"标准",IF(I192&gt;=3.6,"紧凑",""))))</f>
        <v/>
      </c>
      <c r="M192" s="2" t="inlineStr">
        <is>
          <t>极紧凑-豹子号</t>
        </is>
      </c>
      <c r="N192" s="2" t="inlineStr">
        <is>
          <t>松散-极松散</t>
        </is>
      </c>
      <c r="O192" s="2" t="inlineStr">
        <is>
          <t>松散-标准松散</t>
        </is>
      </c>
      <c r="P192" s="2" t="inlineStr">
        <is>
          <t>松散-偏紧松散</t>
        </is>
      </c>
      <c r="Q192" s="2" t="inlineStr">
        <is>
          <t>标准-偏松标准</t>
        </is>
      </c>
      <c r="R192" s="2" t="inlineStr">
        <is>
          <t>标准-核心标准</t>
        </is>
      </c>
      <c r="S192" s="2" t="inlineStr">
        <is>
          <t>标准-偏紧标准</t>
        </is>
      </c>
      <c r="T192" s="2" t="inlineStr">
        <is>
          <t>紧凑-标准紧凑</t>
        </is>
      </c>
      <c r="U192" s="2" t="inlineStr">
        <is>
          <t>紧凑-高度紧凑</t>
        </is>
      </c>
      <c r="V192" s="2" t="inlineStr">
        <is>
          <t>紧凑-极度紧凑</t>
        </is>
      </c>
    </row>
    <row r="193">
      <c r="A193" s="1" t="n">
        <v>2023111</v>
      </c>
      <c r="B193" s="3" t="inlineStr">
        <is>
          <t>659</t>
        </is>
      </c>
      <c r="C193" s="2">
        <f>IF(B193="","",LEFT(TEXT(B193,"000"),1)*1)</f>
        <v/>
      </c>
      <c r="D193" s="2">
        <f>IF(B193="","",MID(TEXT(B193,"000"),2,1)*1)</f>
        <v/>
      </c>
      <c r="E193" s="2">
        <f>IF(B193="","",RIGHT(TEXT(B193,"000"),1)*1)</f>
        <v/>
      </c>
      <c r="F193" s="2">
        <f>IF(B193="","",C193+D193+E193)</f>
        <v/>
      </c>
      <c r="G193" s="2">
        <f>IF(B193="","",MOD(F193,10))</f>
        <v/>
      </c>
      <c r="H193" s="2">
        <f>IF(B193="","",MAX(C193,D193,E193)-MIN(C193,D193,E193))</f>
        <v/>
      </c>
      <c r="I193" s="2">
        <f>IF(OR(B193="",H193=0),IF(H193=0,0.1,""),ROUND(F193/H193,2))</f>
        <v/>
      </c>
      <c r="J193" s="2">
        <f>IF(I193=0.1,"极紧凑",IF(I193&gt;3.5,"紧凑",IF(AND(I193&gt;=2,I193&lt;=3.5),"标准",IF(AND(I193&gt;=1,I193&lt;2),"松散",""))))</f>
        <v/>
      </c>
      <c r="K193" s="2">
        <f>IF(I193=0.1,"极紧凑-豹子号",IF(AND(I193&gt;=1,I193&lt;=1.29),"松散-极松散",IF(AND(I193&gt;=1.33,I193&lt;=1.8),"松散-标准松散",IF(AND(I193&gt;=1.83,I193&lt;=1.89),"松散-偏紧松散",IF(AND(I193&gt;=2,I193&lt;=2.5),"标准-偏松标准",IF(AND(I193&gt;=2.57,I193&lt;=3),"标准-核心标准",IF(AND(I193&gt;=3.17,I193&lt;=3.5),"标准-偏紧标准",IF(AND(I193&gt;=3.6,I193&lt;=5),"紧凑-标准紧凑",IF(AND(I193&gt;=5.25,I193&lt;=8),"紧凑-高度紧凑",IF(I193&gt;=8.5,"紧凑-极度紧凑",""))))))))))</f>
        <v/>
      </c>
      <c r="L193" s="2">
        <f>IF(I193=0.1,"极紧凑",IF(AND(I193&gt;=1,I193&lt;=1.89),"松散",IF(AND(I193&gt;=2,I193&lt;=3.5),"标准",IF(I193&gt;=3.6,"紧凑",""))))</f>
        <v/>
      </c>
      <c r="M193" s="2" t="inlineStr">
        <is>
          <t>极紧凑-豹子号</t>
        </is>
      </c>
      <c r="N193" s="2" t="inlineStr">
        <is>
          <t>松散-极松散</t>
        </is>
      </c>
      <c r="O193" s="2" t="inlineStr">
        <is>
          <t>松散-标准松散</t>
        </is>
      </c>
      <c r="P193" s="2" t="inlineStr">
        <is>
          <t>松散-偏紧松散</t>
        </is>
      </c>
      <c r="Q193" s="2" t="inlineStr">
        <is>
          <t>标准-偏松标准</t>
        </is>
      </c>
      <c r="R193" s="2" t="inlineStr">
        <is>
          <t>标准-核心标准</t>
        </is>
      </c>
      <c r="S193" s="2" t="inlineStr">
        <is>
          <t>标准-偏紧标准</t>
        </is>
      </c>
      <c r="T193" s="2" t="inlineStr">
        <is>
          <t>紧凑-标准紧凑</t>
        </is>
      </c>
      <c r="U193" s="2" t="inlineStr">
        <is>
          <t>紧凑-高度紧凑</t>
        </is>
      </c>
      <c r="V193" s="2" t="inlineStr">
        <is>
          <t>紧凑-极度紧凑</t>
        </is>
      </c>
    </row>
    <row r="194">
      <c r="A194" s="1" t="n">
        <v>2023112</v>
      </c>
      <c r="B194" s="3" t="inlineStr">
        <is>
          <t>127</t>
        </is>
      </c>
      <c r="C194" s="2">
        <f>IF(B194="","",LEFT(TEXT(B194,"000"),1)*1)</f>
        <v/>
      </c>
      <c r="D194" s="2">
        <f>IF(B194="","",MID(TEXT(B194,"000"),2,1)*1)</f>
        <v/>
      </c>
      <c r="E194" s="2">
        <f>IF(B194="","",RIGHT(TEXT(B194,"000"),1)*1)</f>
        <v/>
      </c>
      <c r="F194" s="2">
        <f>IF(B194="","",C194+D194+E194)</f>
        <v/>
      </c>
      <c r="G194" s="2">
        <f>IF(B194="","",MOD(F194,10))</f>
        <v/>
      </c>
      <c r="H194" s="2">
        <f>IF(B194="","",MAX(C194,D194,E194)-MIN(C194,D194,E194))</f>
        <v/>
      </c>
      <c r="I194" s="2">
        <f>IF(OR(B194="",H194=0),IF(H194=0,0.1,""),ROUND(F194/H194,2))</f>
        <v/>
      </c>
      <c r="J194" s="2">
        <f>IF(I194=0.1,"极紧凑",IF(I194&gt;3.5,"紧凑",IF(AND(I194&gt;=2,I194&lt;=3.5),"标准",IF(AND(I194&gt;=1,I194&lt;2),"松散",""))))</f>
        <v/>
      </c>
      <c r="K194" s="2">
        <f>IF(I194=0.1,"极紧凑-豹子号",IF(AND(I194&gt;=1,I194&lt;=1.29),"松散-极松散",IF(AND(I194&gt;=1.33,I194&lt;=1.8),"松散-标准松散",IF(AND(I194&gt;=1.83,I194&lt;=1.89),"松散-偏紧松散",IF(AND(I194&gt;=2,I194&lt;=2.5),"标准-偏松标准",IF(AND(I194&gt;=2.57,I194&lt;=3),"标准-核心标准",IF(AND(I194&gt;=3.17,I194&lt;=3.5),"标准-偏紧标准",IF(AND(I194&gt;=3.6,I194&lt;=5),"紧凑-标准紧凑",IF(AND(I194&gt;=5.25,I194&lt;=8),"紧凑-高度紧凑",IF(I194&gt;=8.5,"紧凑-极度紧凑",""))))))))))</f>
        <v/>
      </c>
      <c r="L194" s="2">
        <f>IF(I194=0.1,"极紧凑",IF(AND(I194&gt;=1,I194&lt;=1.89),"松散",IF(AND(I194&gt;=2,I194&lt;=3.5),"标准",IF(I194&gt;=3.6,"紧凑",""))))</f>
        <v/>
      </c>
      <c r="M194" s="2" t="inlineStr">
        <is>
          <t>极紧凑-豹子号</t>
        </is>
      </c>
      <c r="N194" s="2" t="inlineStr">
        <is>
          <t>松散-极松散</t>
        </is>
      </c>
      <c r="O194" s="2" t="inlineStr">
        <is>
          <t>松散-标准松散</t>
        </is>
      </c>
      <c r="P194" s="2" t="inlineStr">
        <is>
          <t>松散-偏紧松散</t>
        </is>
      </c>
      <c r="Q194" s="2" t="inlineStr">
        <is>
          <t>标准-偏松标准</t>
        </is>
      </c>
      <c r="R194" s="2" t="inlineStr">
        <is>
          <t>标准-核心标准</t>
        </is>
      </c>
      <c r="S194" s="2" t="inlineStr">
        <is>
          <t>标准-偏紧标准</t>
        </is>
      </c>
      <c r="T194" s="2" t="inlineStr">
        <is>
          <t>紧凑-标准紧凑</t>
        </is>
      </c>
      <c r="U194" s="2" t="inlineStr">
        <is>
          <t>紧凑-高度紧凑</t>
        </is>
      </c>
      <c r="V194" s="2" t="inlineStr">
        <is>
          <t>紧凑-极度紧凑</t>
        </is>
      </c>
    </row>
    <row r="195">
      <c r="A195" s="1" t="n">
        <v>2023113</v>
      </c>
      <c r="B195" s="3" t="inlineStr">
        <is>
          <t>224</t>
        </is>
      </c>
      <c r="C195" s="2">
        <f>IF(B195="","",LEFT(TEXT(B195,"000"),1)*1)</f>
        <v/>
      </c>
      <c r="D195" s="2">
        <f>IF(B195="","",MID(TEXT(B195,"000"),2,1)*1)</f>
        <v/>
      </c>
      <c r="E195" s="2">
        <f>IF(B195="","",RIGHT(TEXT(B195,"000"),1)*1)</f>
        <v/>
      </c>
      <c r="F195" s="2">
        <f>IF(B195="","",C195+D195+E195)</f>
        <v/>
      </c>
      <c r="G195" s="2">
        <f>IF(B195="","",MOD(F195,10))</f>
        <v/>
      </c>
      <c r="H195" s="2">
        <f>IF(B195="","",MAX(C195,D195,E195)-MIN(C195,D195,E195))</f>
        <v/>
      </c>
      <c r="I195" s="2">
        <f>IF(OR(B195="",H195=0),IF(H195=0,0.1,""),ROUND(F195/H195,2))</f>
        <v/>
      </c>
      <c r="J195" s="2">
        <f>IF(I195=0.1,"极紧凑",IF(I195&gt;3.5,"紧凑",IF(AND(I195&gt;=2,I195&lt;=3.5),"标准",IF(AND(I195&gt;=1,I195&lt;2),"松散",""))))</f>
        <v/>
      </c>
      <c r="K195" s="2">
        <f>IF(I195=0.1,"极紧凑-豹子号",IF(AND(I195&gt;=1,I195&lt;=1.29),"松散-极松散",IF(AND(I195&gt;=1.33,I195&lt;=1.8),"松散-标准松散",IF(AND(I195&gt;=1.83,I195&lt;=1.89),"松散-偏紧松散",IF(AND(I195&gt;=2,I195&lt;=2.5),"标准-偏松标准",IF(AND(I195&gt;=2.57,I195&lt;=3),"标准-核心标准",IF(AND(I195&gt;=3.17,I195&lt;=3.5),"标准-偏紧标准",IF(AND(I195&gt;=3.6,I195&lt;=5),"紧凑-标准紧凑",IF(AND(I195&gt;=5.25,I195&lt;=8),"紧凑-高度紧凑",IF(I195&gt;=8.5,"紧凑-极度紧凑",""))))))))))</f>
        <v/>
      </c>
      <c r="L195" s="2">
        <f>IF(I195=0.1,"极紧凑",IF(AND(I195&gt;=1,I195&lt;=1.89),"松散",IF(AND(I195&gt;=2,I195&lt;=3.5),"标准",IF(I195&gt;=3.6,"紧凑",""))))</f>
        <v/>
      </c>
      <c r="M195" s="2" t="inlineStr">
        <is>
          <t>极紧凑-豹子号</t>
        </is>
      </c>
      <c r="N195" s="2" t="inlineStr">
        <is>
          <t>松散-极松散</t>
        </is>
      </c>
      <c r="O195" s="2" t="inlineStr">
        <is>
          <t>松散-标准松散</t>
        </is>
      </c>
      <c r="P195" s="2" t="inlineStr">
        <is>
          <t>松散-偏紧松散</t>
        </is>
      </c>
      <c r="Q195" s="2" t="inlineStr">
        <is>
          <t>标准-偏松标准</t>
        </is>
      </c>
      <c r="R195" s="2" t="inlineStr">
        <is>
          <t>标准-核心标准</t>
        </is>
      </c>
      <c r="S195" s="2" t="inlineStr">
        <is>
          <t>标准-偏紧标准</t>
        </is>
      </c>
      <c r="T195" s="2" t="inlineStr">
        <is>
          <t>紧凑-标准紧凑</t>
        </is>
      </c>
      <c r="U195" s="2" t="inlineStr">
        <is>
          <t>紧凑-高度紧凑</t>
        </is>
      </c>
      <c r="V195" s="2" t="inlineStr">
        <is>
          <t>紧凑-极度紧凑</t>
        </is>
      </c>
    </row>
    <row r="196">
      <c r="A196" s="1" t="n">
        <v>2023114</v>
      </c>
      <c r="B196" s="3" t="inlineStr">
        <is>
          <t>810</t>
        </is>
      </c>
      <c r="C196" s="2">
        <f>IF(B196="","",LEFT(TEXT(B196,"000"),1)*1)</f>
        <v/>
      </c>
      <c r="D196" s="2">
        <f>IF(B196="","",MID(TEXT(B196,"000"),2,1)*1)</f>
        <v/>
      </c>
      <c r="E196" s="2">
        <f>IF(B196="","",RIGHT(TEXT(B196,"000"),1)*1)</f>
        <v/>
      </c>
      <c r="F196" s="2">
        <f>IF(B196="","",C196+D196+E196)</f>
        <v/>
      </c>
      <c r="G196" s="2">
        <f>IF(B196="","",MOD(F196,10))</f>
        <v/>
      </c>
      <c r="H196" s="2">
        <f>IF(B196="","",MAX(C196,D196,E196)-MIN(C196,D196,E196))</f>
        <v/>
      </c>
      <c r="I196" s="2">
        <f>IF(OR(B196="",H196=0),IF(H196=0,0.1,""),ROUND(F196/H196,2))</f>
        <v/>
      </c>
      <c r="J196" s="2">
        <f>IF(I196=0.1,"极紧凑",IF(I196&gt;3.5,"紧凑",IF(AND(I196&gt;=2,I196&lt;=3.5),"标准",IF(AND(I196&gt;=1,I196&lt;2),"松散",""))))</f>
        <v/>
      </c>
      <c r="K196" s="2">
        <f>IF(I196=0.1,"极紧凑-豹子号",IF(AND(I196&gt;=1,I196&lt;=1.29),"松散-极松散",IF(AND(I196&gt;=1.33,I196&lt;=1.8),"松散-标准松散",IF(AND(I196&gt;=1.83,I196&lt;=1.89),"松散-偏紧松散",IF(AND(I196&gt;=2,I196&lt;=2.5),"标准-偏松标准",IF(AND(I196&gt;=2.57,I196&lt;=3),"标准-核心标准",IF(AND(I196&gt;=3.17,I196&lt;=3.5),"标准-偏紧标准",IF(AND(I196&gt;=3.6,I196&lt;=5),"紧凑-标准紧凑",IF(AND(I196&gt;=5.25,I196&lt;=8),"紧凑-高度紧凑",IF(I196&gt;=8.5,"紧凑-极度紧凑",""))))))))))</f>
        <v/>
      </c>
      <c r="L196" s="2">
        <f>IF(I196=0.1,"极紧凑",IF(AND(I196&gt;=1,I196&lt;=1.89),"松散",IF(AND(I196&gt;=2,I196&lt;=3.5),"标准",IF(I196&gt;=3.6,"紧凑",""))))</f>
        <v/>
      </c>
      <c r="M196" s="2" t="inlineStr">
        <is>
          <t>极紧凑-豹子号</t>
        </is>
      </c>
      <c r="N196" s="2" t="inlineStr">
        <is>
          <t>松散-极松散</t>
        </is>
      </c>
      <c r="O196" s="2" t="inlineStr">
        <is>
          <t>松散-标准松散</t>
        </is>
      </c>
      <c r="P196" s="2" t="inlineStr">
        <is>
          <t>松散-偏紧松散</t>
        </is>
      </c>
      <c r="Q196" s="2" t="inlineStr">
        <is>
          <t>标准-偏松标准</t>
        </is>
      </c>
      <c r="R196" s="2" t="inlineStr">
        <is>
          <t>标准-核心标准</t>
        </is>
      </c>
      <c r="S196" s="2" t="inlineStr">
        <is>
          <t>标准-偏紧标准</t>
        </is>
      </c>
      <c r="T196" s="2" t="inlineStr">
        <is>
          <t>紧凑-标准紧凑</t>
        </is>
      </c>
      <c r="U196" s="2" t="inlineStr">
        <is>
          <t>紧凑-高度紧凑</t>
        </is>
      </c>
      <c r="V196" s="2" t="inlineStr">
        <is>
          <t>紧凑-极度紧凑</t>
        </is>
      </c>
    </row>
    <row r="197">
      <c r="A197" s="1" t="n">
        <v>2023115</v>
      </c>
      <c r="B197" s="3" t="inlineStr">
        <is>
          <t>527</t>
        </is>
      </c>
      <c r="C197" s="2">
        <f>IF(B197="","",LEFT(TEXT(B197,"000"),1)*1)</f>
        <v/>
      </c>
      <c r="D197" s="2">
        <f>IF(B197="","",MID(TEXT(B197,"000"),2,1)*1)</f>
        <v/>
      </c>
      <c r="E197" s="2">
        <f>IF(B197="","",RIGHT(TEXT(B197,"000"),1)*1)</f>
        <v/>
      </c>
      <c r="F197" s="2">
        <f>IF(B197="","",C197+D197+E197)</f>
        <v/>
      </c>
      <c r="G197" s="2">
        <f>IF(B197="","",MOD(F197,10))</f>
        <v/>
      </c>
      <c r="H197" s="2">
        <f>IF(B197="","",MAX(C197,D197,E197)-MIN(C197,D197,E197))</f>
        <v/>
      </c>
      <c r="I197" s="2">
        <f>IF(OR(B197="",H197=0),IF(H197=0,0.1,""),ROUND(F197/H197,2))</f>
        <v/>
      </c>
      <c r="J197" s="2">
        <f>IF(I197=0.1,"极紧凑",IF(I197&gt;3.5,"紧凑",IF(AND(I197&gt;=2,I197&lt;=3.5),"标准",IF(AND(I197&gt;=1,I197&lt;2),"松散",""))))</f>
        <v/>
      </c>
      <c r="K197" s="2">
        <f>IF(I197=0.1,"极紧凑-豹子号",IF(AND(I197&gt;=1,I197&lt;=1.29),"松散-极松散",IF(AND(I197&gt;=1.33,I197&lt;=1.8),"松散-标准松散",IF(AND(I197&gt;=1.83,I197&lt;=1.89),"松散-偏紧松散",IF(AND(I197&gt;=2,I197&lt;=2.5),"标准-偏松标准",IF(AND(I197&gt;=2.57,I197&lt;=3),"标准-核心标准",IF(AND(I197&gt;=3.17,I197&lt;=3.5),"标准-偏紧标准",IF(AND(I197&gt;=3.6,I197&lt;=5),"紧凑-标准紧凑",IF(AND(I197&gt;=5.25,I197&lt;=8),"紧凑-高度紧凑",IF(I197&gt;=8.5,"紧凑-极度紧凑",""))))))))))</f>
        <v/>
      </c>
      <c r="L197" s="2">
        <f>IF(I197=0.1,"极紧凑",IF(AND(I197&gt;=1,I197&lt;=1.89),"松散",IF(AND(I197&gt;=2,I197&lt;=3.5),"标准",IF(I197&gt;=3.6,"紧凑",""))))</f>
        <v/>
      </c>
      <c r="M197" s="2" t="inlineStr">
        <is>
          <t>极紧凑-豹子号</t>
        </is>
      </c>
      <c r="N197" s="2" t="inlineStr">
        <is>
          <t>松散-极松散</t>
        </is>
      </c>
      <c r="O197" s="2" t="inlineStr">
        <is>
          <t>松散-标准松散</t>
        </is>
      </c>
      <c r="P197" s="2" t="inlineStr">
        <is>
          <t>松散-偏紧松散</t>
        </is>
      </c>
      <c r="Q197" s="2" t="inlineStr">
        <is>
          <t>标准-偏松标准</t>
        </is>
      </c>
      <c r="R197" s="2" t="inlineStr">
        <is>
          <t>标准-核心标准</t>
        </is>
      </c>
      <c r="S197" s="2" t="inlineStr">
        <is>
          <t>标准-偏紧标准</t>
        </is>
      </c>
      <c r="T197" s="2" t="inlineStr">
        <is>
          <t>紧凑-标准紧凑</t>
        </is>
      </c>
      <c r="U197" s="2" t="inlineStr">
        <is>
          <t>紧凑-高度紧凑</t>
        </is>
      </c>
      <c r="V197" s="2" t="inlineStr">
        <is>
          <t>紧凑-极度紧凑</t>
        </is>
      </c>
    </row>
    <row r="198">
      <c r="A198" s="1" t="n">
        <v>2023116</v>
      </c>
      <c r="B198" s="3" t="inlineStr">
        <is>
          <t>920</t>
        </is>
      </c>
      <c r="C198" s="2">
        <f>IF(B198="","",LEFT(TEXT(B198,"000"),1)*1)</f>
        <v/>
      </c>
      <c r="D198" s="2">
        <f>IF(B198="","",MID(TEXT(B198,"000"),2,1)*1)</f>
        <v/>
      </c>
      <c r="E198" s="2">
        <f>IF(B198="","",RIGHT(TEXT(B198,"000"),1)*1)</f>
        <v/>
      </c>
      <c r="F198" s="2">
        <f>IF(B198="","",C198+D198+E198)</f>
        <v/>
      </c>
      <c r="G198" s="2">
        <f>IF(B198="","",MOD(F198,10))</f>
        <v/>
      </c>
      <c r="H198" s="2">
        <f>IF(B198="","",MAX(C198,D198,E198)-MIN(C198,D198,E198))</f>
        <v/>
      </c>
      <c r="I198" s="2">
        <f>IF(OR(B198="",H198=0),IF(H198=0,0.1,""),ROUND(F198/H198,2))</f>
        <v/>
      </c>
      <c r="J198" s="2">
        <f>IF(I198=0.1,"极紧凑",IF(I198&gt;3.5,"紧凑",IF(AND(I198&gt;=2,I198&lt;=3.5),"标准",IF(AND(I198&gt;=1,I198&lt;2),"松散",""))))</f>
        <v/>
      </c>
      <c r="K198" s="2">
        <f>IF(I198=0.1,"极紧凑-豹子号",IF(AND(I198&gt;=1,I198&lt;=1.29),"松散-极松散",IF(AND(I198&gt;=1.33,I198&lt;=1.8),"松散-标准松散",IF(AND(I198&gt;=1.83,I198&lt;=1.89),"松散-偏紧松散",IF(AND(I198&gt;=2,I198&lt;=2.5),"标准-偏松标准",IF(AND(I198&gt;=2.57,I198&lt;=3),"标准-核心标准",IF(AND(I198&gt;=3.17,I198&lt;=3.5),"标准-偏紧标准",IF(AND(I198&gt;=3.6,I198&lt;=5),"紧凑-标准紧凑",IF(AND(I198&gt;=5.25,I198&lt;=8),"紧凑-高度紧凑",IF(I198&gt;=8.5,"紧凑-极度紧凑",""))))))))))</f>
        <v/>
      </c>
      <c r="L198" s="2">
        <f>IF(I198=0.1,"极紧凑",IF(AND(I198&gt;=1,I198&lt;=1.89),"松散",IF(AND(I198&gt;=2,I198&lt;=3.5),"标准",IF(I198&gt;=3.6,"紧凑",""))))</f>
        <v/>
      </c>
      <c r="M198" s="2" t="inlineStr">
        <is>
          <t>极紧凑-豹子号</t>
        </is>
      </c>
      <c r="N198" s="2" t="inlineStr">
        <is>
          <t>松散-极松散</t>
        </is>
      </c>
      <c r="O198" s="2" t="inlineStr">
        <is>
          <t>松散-标准松散</t>
        </is>
      </c>
      <c r="P198" s="2" t="inlineStr">
        <is>
          <t>松散-偏紧松散</t>
        </is>
      </c>
      <c r="Q198" s="2" t="inlineStr">
        <is>
          <t>标准-偏松标准</t>
        </is>
      </c>
      <c r="R198" s="2" t="inlineStr">
        <is>
          <t>标准-核心标准</t>
        </is>
      </c>
      <c r="S198" s="2" t="inlineStr">
        <is>
          <t>标准-偏紧标准</t>
        </is>
      </c>
      <c r="T198" s="2" t="inlineStr">
        <is>
          <t>紧凑-标准紧凑</t>
        </is>
      </c>
      <c r="U198" s="2" t="inlineStr">
        <is>
          <t>紧凑-高度紧凑</t>
        </is>
      </c>
      <c r="V198" s="2" t="inlineStr">
        <is>
          <t>紧凑-极度紧凑</t>
        </is>
      </c>
    </row>
    <row r="199">
      <c r="A199" s="1" t="n">
        <v>2023117</v>
      </c>
      <c r="B199" s="2" t="n">
        <v>493</v>
      </c>
      <c r="C199" s="2">
        <f>IF(B199="","",LEFT(TEXT(B199,"000"),1)*1)</f>
        <v/>
      </c>
      <c r="D199" s="2">
        <f>IF(B199="","",MID(TEXT(B199,"000"),2,1)*1)</f>
        <v/>
      </c>
      <c r="E199" s="2">
        <f>IF(B199="","",RIGHT(TEXT(B199,"000"),1)*1)</f>
        <v/>
      </c>
      <c r="F199" s="2">
        <f>IF(B199="","",C199+D199+E199)</f>
        <v/>
      </c>
      <c r="G199" s="2">
        <f>IF(B199="","",MOD(F199,10))</f>
        <v/>
      </c>
      <c r="H199" s="2">
        <f>IF(B199="","",MAX(C199,D199,E199)-MIN(C199,D199,E199))</f>
        <v/>
      </c>
      <c r="I199" s="2">
        <f>IF(OR(B199="",H199=0),IF(H199=0,0.1,""),ROUND(F199/H199,2))</f>
        <v/>
      </c>
      <c r="J199" s="2">
        <f>IF(I199=0.1,"极紧凑",IF(I199&gt;3.5,"紧凑",IF(AND(I199&gt;=2,I199&lt;=3.5),"标准",IF(AND(I199&gt;=1,I199&lt;2),"松散",""))))</f>
        <v/>
      </c>
      <c r="K199" s="2">
        <f>IF(I199=0.1,"极紧凑-豹子号",IF(AND(I199&gt;=1,I199&lt;=1.29),"松散-极松散",IF(AND(I199&gt;=1.33,I199&lt;=1.8),"松散-标准松散",IF(AND(I199&gt;=1.83,I199&lt;=1.89),"松散-偏紧松散",IF(AND(I199&gt;=2,I199&lt;=2.5),"标准-偏松标准",IF(AND(I199&gt;=2.57,I199&lt;=3),"标准-核心标准",IF(AND(I199&gt;=3.17,I199&lt;=3.5),"标准-偏紧标准",IF(AND(I199&gt;=3.6,I199&lt;=5),"紧凑-标准紧凑",IF(AND(I199&gt;=5.25,I199&lt;=8),"紧凑-高度紧凑",IF(I199&gt;=8.5,"紧凑-极度紧凑",""))))))))))</f>
        <v/>
      </c>
      <c r="L199" s="2">
        <f>IF(I199=0.1,"极紧凑",IF(AND(I199&gt;=1,I199&lt;=1.89),"松散",IF(AND(I199&gt;=2,I199&lt;=3.5),"标准",IF(I199&gt;=3.6,"紧凑",""))))</f>
        <v/>
      </c>
      <c r="M199" s="2" t="inlineStr">
        <is>
          <t>极紧凑-豹子号</t>
        </is>
      </c>
      <c r="N199" s="2" t="inlineStr">
        <is>
          <t>松散-极松散</t>
        </is>
      </c>
      <c r="O199" s="2" t="inlineStr">
        <is>
          <t>松散-标准松散</t>
        </is>
      </c>
      <c r="P199" s="2" t="inlineStr">
        <is>
          <t>松散-偏紧松散</t>
        </is>
      </c>
      <c r="Q199" s="2" t="inlineStr">
        <is>
          <t>标准-偏松标准</t>
        </is>
      </c>
      <c r="R199" s="2" t="inlineStr">
        <is>
          <t>标准-核心标准</t>
        </is>
      </c>
      <c r="S199" s="2" t="inlineStr">
        <is>
          <t>标准-偏紧标准</t>
        </is>
      </c>
      <c r="T199" s="2" t="inlineStr">
        <is>
          <t>紧凑-标准紧凑</t>
        </is>
      </c>
      <c r="U199" s="2" t="inlineStr">
        <is>
          <t>紧凑-高度紧凑</t>
        </is>
      </c>
      <c r="V199" s="2" t="inlineStr">
        <is>
          <t>紧凑-极度紧凑</t>
        </is>
      </c>
    </row>
    <row r="200">
      <c r="A200" s="1" t="n">
        <v>2023118</v>
      </c>
      <c r="B200" s="3" t="inlineStr">
        <is>
          <t>646</t>
        </is>
      </c>
      <c r="C200" s="2">
        <f>IF(B200="","",LEFT(TEXT(B200,"000"),1)*1)</f>
        <v/>
      </c>
      <c r="D200" s="2">
        <f>IF(B200="","",MID(TEXT(B200,"000"),2,1)*1)</f>
        <v/>
      </c>
      <c r="E200" s="2">
        <f>IF(B200="","",RIGHT(TEXT(B200,"000"),1)*1)</f>
        <v/>
      </c>
      <c r="F200" s="2">
        <f>IF(B200="","",C200+D200+E200)</f>
        <v/>
      </c>
      <c r="G200" s="2">
        <f>IF(B200="","",MOD(F200,10))</f>
        <v/>
      </c>
      <c r="H200" s="2">
        <f>IF(B200="","",MAX(C200,D200,E200)-MIN(C200,D200,E200))</f>
        <v/>
      </c>
      <c r="I200" s="2">
        <f>IF(OR(B200="",H200=0),IF(H200=0,0.1,""),ROUND(F200/H200,2))</f>
        <v/>
      </c>
      <c r="J200" s="2">
        <f>IF(I200=0.1,"极紧凑",IF(I200&gt;3.5,"紧凑",IF(AND(I200&gt;=2,I200&lt;=3.5),"标准",IF(AND(I200&gt;=1,I200&lt;2),"松散",""))))</f>
        <v/>
      </c>
      <c r="K200" s="2">
        <f>IF(I200=0.1,"极紧凑-豹子号",IF(AND(I200&gt;=1,I200&lt;=1.29),"松散-极松散",IF(AND(I200&gt;=1.33,I200&lt;=1.8),"松散-标准松散",IF(AND(I200&gt;=1.83,I200&lt;=1.89),"松散-偏紧松散",IF(AND(I200&gt;=2,I200&lt;=2.5),"标准-偏松标准",IF(AND(I200&gt;=2.57,I200&lt;=3),"标准-核心标准",IF(AND(I200&gt;=3.17,I200&lt;=3.5),"标准-偏紧标准",IF(AND(I200&gt;=3.6,I200&lt;=5),"紧凑-标准紧凑",IF(AND(I200&gt;=5.25,I200&lt;=8),"紧凑-高度紧凑",IF(I200&gt;=8.5,"紧凑-极度紧凑",""))))))))))</f>
        <v/>
      </c>
      <c r="L200" s="2">
        <f>IF(I200=0.1,"极紧凑",IF(AND(I200&gt;=1,I200&lt;=1.89),"松散",IF(AND(I200&gt;=2,I200&lt;=3.5),"标准",IF(I200&gt;=3.6,"紧凑",""))))</f>
        <v/>
      </c>
      <c r="M200" s="2" t="inlineStr">
        <is>
          <t>极紧凑-豹子号</t>
        </is>
      </c>
      <c r="N200" s="2" t="inlineStr">
        <is>
          <t>松散-极松散</t>
        </is>
      </c>
      <c r="O200" s="2" t="inlineStr">
        <is>
          <t>松散-标准松散</t>
        </is>
      </c>
      <c r="P200" s="2" t="inlineStr">
        <is>
          <t>松散-偏紧松散</t>
        </is>
      </c>
      <c r="Q200" s="2" t="inlineStr">
        <is>
          <t>标准-偏松标准</t>
        </is>
      </c>
      <c r="R200" s="2" t="inlineStr">
        <is>
          <t>标准-核心标准</t>
        </is>
      </c>
      <c r="S200" s="2" t="inlineStr">
        <is>
          <t>标准-偏紧标准</t>
        </is>
      </c>
      <c r="T200" s="2" t="inlineStr">
        <is>
          <t>紧凑-标准紧凑</t>
        </is>
      </c>
      <c r="U200" s="2" t="inlineStr">
        <is>
          <t>紧凑-高度紧凑</t>
        </is>
      </c>
      <c r="V200" s="2" t="inlineStr">
        <is>
          <t>紧凑-极度紧凑</t>
        </is>
      </c>
    </row>
    <row r="201">
      <c r="A201" s="1" t="n">
        <v>2023119</v>
      </c>
      <c r="B201" s="3" t="inlineStr">
        <is>
          <t>056</t>
        </is>
      </c>
      <c r="C201" s="2">
        <f>IF(B201="","",LEFT(TEXT(B201,"000"),1)*1)</f>
        <v/>
      </c>
      <c r="D201" s="2">
        <f>IF(B201="","",MID(TEXT(B201,"000"),2,1)*1)</f>
        <v/>
      </c>
      <c r="E201" s="2">
        <f>IF(B201="","",RIGHT(TEXT(B201,"000"),1)*1)</f>
        <v/>
      </c>
      <c r="F201" s="2">
        <f>IF(B201="","",C201+D201+E201)</f>
        <v/>
      </c>
      <c r="G201" s="2">
        <f>IF(B201="","",MOD(F201,10))</f>
        <v/>
      </c>
      <c r="H201" s="2">
        <f>IF(B201="","",MAX(C201,D201,E201)-MIN(C201,D201,E201))</f>
        <v/>
      </c>
      <c r="I201" s="2">
        <f>IF(OR(B201="",H201=0),IF(H201=0,0.1,""),ROUND(F201/H201,2))</f>
        <v/>
      </c>
      <c r="J201" s="2">
        <f>IF(I201=0.1,"极紧凑",IF(I201&gt;3.5,"紧凑",IF(AND(I201&gt;=2,I201&lt;=3.5),"标准",IF(AND(I201&gt;=1,I201&lt;2),"松散",""))))</f>
        <v/>
      </c>
      <c r="K201" s="2">
        <f>IF(I201=0.1,"极紧凑-豹子号",IF(AND(I201&gt;=1,I201&lt;=1.29),"松散-极松散",IF(AND(I201&gt;=1.33,I201&lt;=1.8),"松散-标准松散",IF(AND(I201&gt;=1.83,I201&lt;=1.89),"松散-偏紧松散",IF(AND(I201&gt;=2,I201&lt;=2.5),"标准-偏松标准",IF(AND(I201&gt;=2.57,I201&lt;=3),"标准-核心标准",IF(AND(I201&gt;=3.17,I201&lt;=3.5),"标准-偏紧标准",IF(AND(I201&gt;=3.6,I201&lt;=5),"紧凑-标准紧凑",IF(AND(I201&gt;=5.25,I201&lt;=8),"紧凑-高度紧凑",IF(I201&gt;=8.5,"紧凑-极度紧凑",""))))))))))</f>
        <v/>
      </c>
      <c r="L201" s="2">
        <f>IF(I201=0.1,"极紧凑",IF(AND(I201&gt;=1,I201&lt;=1.89),"松散",IF(AND(I201&gt;=2,I201&lt;=3.5),"标准",IF(I201&gt;=3.6,"紧凑",""))))</f>
        <v/>
      </c>
      <c r="M201" s="2" t="inlineStr">
        <is>
          <t>极紧凑-豹子号</t>
        </is>
      </c>
      <c r="N201" s="2" t="inlineStr">
        <is>
          <t>松散-极松散</t>
        </is>
      </c>
      <c r="O201" s="2" t="inlineStr">
        <is>
          <t>松散-标准松散</t>
        </is>
      </c>
      <c r="P201" s="2" t="inlineStr">
        <is>
          <t>松散-偏紧松散</t>
        </is>
      </c>
      <c r="Q201" s="2" t="inlineStr">
        <is>
          <t>标准-偏松标准</t>
        </is>
      </c>
      <c r="R201" s="2" t="inlineStr">
        <is>
          <t>标准-核心标准</t>
        </is>
      </c>
      <c r="S201" s="2" t="inlineStr">
        <is>
          <t>标准-偏紧标准</t>
        </is>
      </c>
      <c r="T201" s="2" t="inlineStr">
        <is>
          <t>紧凑-标准紧凑</t>
        </is>
      </c>
      <c r="U201" s="2" t="inlineStr">
        <is>
          <t>紧凑-高度紧凑</t>
        </is>
      </c>
      <c r="V201" s="2" t="inlineStr">
        <is>
          <t>紧凑-极度紧凑</t>
        </is>
      </c>
    </row>
    <row r="202">
      <c r="A202" s="1" t="n">
        <v>2023120</v>
      </c>
      <c r="B202" s="3" t="inlineStr">
        <is>
          <t>091</t>
        </is>
      </c>
      <c r="C202" s="2">
        <f>IF(B202="","",LEFT(TEXT(B202,"000"),1)*1)</f>
        <v/>
      </c>
      <c r="D202" s="2">
        <f>IF(B202="","",MID(TEXT(B202,"000"),2,1)*1)</f>
        <v/>
      </c>
      <c r="E202" s="2">
        <f>IF(B202="","",RIGHT(TEXT(B202,"000"),1)*1)</f>
        <v/>
      </c>
      <c r="F202" s="2">
        <f>IF(B202="","",C202+D202+E202)</f>
        <v/>
      </c>
      <c r="G202" s="2">
        <f>IF(B202="","",MOD(F202,10))</f>
        <v/>
      </c>
      <c r="H202" s="2">
        <f>IF(B202="","",MAX(C202,D202,E202)-MIN(C202,D202,E202))</f>
        <v/>
      </c>
      <c r="I202" s="2">
        <f>IF(OR(B202="",H202=0),IF(H202=0,0.1,""),ROUND(F202/H202,2))</f>
        <v/>
      </c>
      <c r="J202" s="2">
        <f>IF(I202=0.1,"极紧凑",IF(I202&gt;3.5,"紧凑",IF(AND(I202&gt;=2,I202&lt;=3.5),"标准",IF(AND(I202&gt;=1,I202&lt;2),"松散",""))))</f>
        <v/>
      </c>
      <c r="K202" s="2">
        <f>IF(I202=0.1,"极紧凑-豹子号",IF(AND(I202&gt;=1,I202&lt;=1.29),"松散-极松散",IF(AND(I202&gt;=1.33,I202&lt;=1.8),"松散-标准松散",IF(AND(I202&gt;=1.83,I202&lt;=1.89),"松散-偏紧松散",IF(AND(I202&gt;=2,I202&lt;=2.5),"标准-偏松标准",IF(AND(I202&gt;=2.57,I202&lt;=3),"标准-核心标准",IF(AND(I202&gt;=3.17,I202&lt;=3.5),"标准-偏紧标准",IF(AND(I202&gt;=3.6,I202&lt;=5),"紧凑-标准紧凑",IF(AND(I202&gt;=5.25,I202&lt;=8),"紧凑-高度紧凑",IF(I202&gt;=8.5,"紧凑-极度紧凑",""))))))))))</f>
        <v/>
      </c>
      <c r="L202" s="2">
        <f>IF(I202=0.1,"极紧凑",IF(AND(I202&gt;=1,I202&lt;=1.89),"松散",IF(AND(I202&gt;=2,I202&lt;=3.5),"标准",IF(I202&gt;=3.6,"紧凑",""))))</f>
        <v/>
      </c>
      <c r="M202" s="2" t="inlineStr">
        <is>
          <t>极紧凑-豹子号</t>
        </is>
      </c>
      <c r="N202" s="2" t="inlineStr">
        <is>
          <t>松散-极松散</t>
        </is>
      </c>
      <c r="O202" s="2" t="inlineStr">
        <is>
          <t>松散-标准松散</t>
        </is>
      </c>
      <c r="P202" s="2" t="inlineStr">
        <is>
          <t>松散-偏紧松散</t>
        </is>
      </c>
      <c r="Q202" s="2" t="inlineStr">
        <is>
          <t>标准-偏松标准</t>
        </is>
      </c>
      <c r="R202" s="2" t="inlineStr">
        <is>
          <t>标准-核心标准</t>
        </is>
      </c>
      <c r="S202" s="2" t="inlineStr">
        <is>
          <t>标准-偏紧标准</t>
        </is>
      </c>
      <c r="T202" s="2" t="inlineStr">
        <is>
          <t>紧凑-标准紧凑</t>
        </is>
      </c>
      <c r="U202" s="2" t="inlineStr">
        <is>
          <t>紧凑-高度紧凑</t>
        </is>
      </c>
      <c r="V202" s="2" t="inlineStr">
        <is>
          <t>紧凑-极度紧凑</t>
        </is>
      </c>
    </row>
    <row r="203">
      <c r="A203" s="1" t="n">
        <v>2023121</v>
      </c>
      <c r="B203" s="3" t="inlineStr">
        <is>
          <t>668</t>
        </is>
      </c>
      <c r="C203" s="2">
        <f>IF(B203="","",LEFT(TEXT(B203,"000"),1)*1)</f>
        <v/>
      </c>
      <c r="D203" s="2">
        <f>IF(B203="","",MID(TEXT(B203,"000"),2,1)*1)</f>
        <v/>
      </c>
      <c r="E203" s="2">
        <f>IF(B203="","",RIGHT(TEXT(B203,"000"),1)*1)</f>
        <v/>
      </c>
      <c r="F203" s="2">
        <f>IF(B203="","",C203+D203+E203)</f>
        <v/>
      </c>
      <c r="G203" s="2">
        <f>IF(B203="","",MOD(F203,10))</f>
        <v/>
      </c>
      <c r="H203" s="2">
        <f>IF(B203="","",MAX(C203,D203,E203)-MIN(C203,D203,E203))</f>
        <v/>
      </c>
      <c r="I203" s="2">
        <f>IF(OR(B203="",H203=0),IF(H203=0,0.1,""),ROUND(F203/H203,2))</f>
        <v/>
      </c>
      <c r="J203" s="2">
        <f>IF(I203=0.1,"极紧凑",IF(I203&gt;3.5,"紧凑",IF(AND(I203&gt;=2,I203&lt;=3.5),"标准",IF(AND(I203&gt;=1,I203&lt;2),"松散",""))))</f>
        <v/>
      </c>
      <c r="K203" s="2">
        <f>IF(I203=0.1,"极紧凑-豹子号",IF(AND(I203&gt;=1,I203&lt;=1.29),"松散-极松散",IF(AND(I203&gt;=1.33,I203&lt;=1.8),"松散-标准松散",IF(AND(I203&gt;=1.83,I203&lt;=1.89),"松散-偏紧松散",IF(AND(I203&gt;=2,I203&lt;=2.5),"标准-偏松标准",IF(AND(I203&gt;=2.57,I203&lt;=3),"标准-核心标准",IF(AND(I203&gt;=3.17,I203&lt;=3.5),"标准-偏紧标准",IF(AND(I203&gt;=3.6,I203&lt;=5),"紧凑-标准紧凑",IF(AND(I203&gt;=5.25,I203&lt;=8),"紧凑-高度紧凑",IF(I203&gt;=8.5,"紧凑-极度紧凑",""))))))))))</f>
        <v/>
      </c>
      <c r="L203" s="2">
        <f>IF(I203=0.1,"极紧凑",IF(AND(I203&gt;=1,I203&lt;=1.89),"松散",IF(AND(I203&gt;=2,I203&lt;=3.5),"标准",IF(I203&gt;=3.6,"紧凑",""))))</f>
        <v/>
      </c>
      <c r="M203" s="2" t="inlineStr">
        <is>
          <t>极紧凑-豹子号</t>
        </is>
      </c>
      <c r="N203" s="2" t="inlineStr">
        <is>
          <t>松散-极松散</t>
        </is>
      </c>
      <c r="O203" s="2" t="inlineStr">
        <is>
          <t>松散-标准松散</t>
        </is>
      </c>
      <c r="P203" s="2" t="inlineStr">
        <is>
          <t>松散-偏紧松散</t>
        </is>
      </c>
      <c r="Q203" s="2" t="inlineStr">
        <is>
          <t>标准-偏松标准</t>
        </is>
      </c>
      <c r="R203" s="2" t="inlineStr">
        <is>
          <t>标准-核心标准</t>
        </is>
      </c>
      <c r="S203" s="2" t="inlineStr">
        <is>
          <t>标准-偏紧标准</t>
        </is>
      </c>
      <c r="T203" s="2" t="inlineStr">
        <is>
          <t>紧凑-标准紧凑</t>
        </is>
      </c>
      <c r="U203" s="2" t="inlineStr">
        <is>
          <t>紧凑-高度紧凑</t>
        </is>
      </c>
      <c r="V203" s="2" t="inlineStr">
        <is>
          <t>紧凑-极度紧凑</t>
        </is>
      </c>
    </row>
    <row r="204">
      <c r="A204" s="1" t="n">
        <v>2023122</v>
      </c>
      <c r="B204" s="3" t="inlineStr">
        <is>
          <t>827</t>
        </is>
      </c>
      <c r="C204" s="2">
        <f>IF(B204="","",LEFT(TEXT(B204,"000"),1)*1)</f>
        <v/>
      </c>
      <c r="D204" s="2">
        <f>IF(B204="","",MID(TEXT(B204,"000"),2,1)*1)</f>
        <v/>
      </c>
      <c r="E204" s="2">
        <f>IF(B204="","",RIGHT(TEXT(B204,"000"),1)*1)</f>
        <v/>
      </c>
      <c r="F204" s="2">
        <f>IF(B204="","",C204+D204+E204)</f>
        <v/>
      </c>
      <c r="G204" s="2">
        <f>IF(B204="","",MOD(F204,10))</f>
        <v/>
      </c>
      <c r="H204" s="2">
        <f>IF(B204="","",MAX(C204,D204,E204)-MIN(C204,D204,E204))</f>
        <v/>
      </c>
      <c r="I204" s="2">
        <f>IF(OR(B204="",H204=0),IF(H204=0,0.1,""),ROUND(F204/H204,2))</f>
        <v/>
      </c>
      <c r="J204" s="2">
        <f>IF(I204=0.1,"极紧凑",IF(I204&gt;3.5,"紧凑",IF(AND(I204&gt;=2,I204&lt;=3.5),"标准",IF(AND(I204&gt;=1,I204&lt;2),"松散",""))))</f>
        <v/>
      </c>
      <c r="K204" s="2">
        <f>IF(I204=0.1,"极紧凑-豹子号",IF(AND(I204&gt;=1,I204&lt;=1.29),"松散-极松散",IF(AND(I204&gt;=1.33,I204&lt;=1.8),"松散-标准松散",IF(AND(I204&gt;=1.83,I204&lt;=1.89),"松散-偏紧松散",IF(AND(I204&gt;=2,I204&lt;=2.5),"标准-偏松标准",IF(AND(I204&gt;=2.57,I204&lt;=3),"标准-核心标准",IF(AND(I204&gt;=3.17,I204&lt;=3.5),"标准-偏紧标准",IF(AND(I204&gt;=3.6,I204&lt;=5),"紧凑-标准紧凑",IF(AND(I204&gt;=5.25,I204&lt;=8),"紧凑-高度紧凑",IF(I204&gt;=8.5,"紧凑-极度紧凑",""))))))))))</f>
        <v/>
      </c>
      <c r="L204" s="2">
        <f>IF(I204=0.1,"极紧凑",IF(AND(I204&gt;=1,I204&lt;=1.89),"松散",IF(AND(I204&gt;=2,I204&lt;=3.5),"标准",IF(I204&gt;=3.6,"紧凑",""))))</f>
        <v/>
      </c>
      <c r="M204" s="2" t="inlineStr">
        <is>
          <t>极紧凑-豹子号</t>
        </is>
      </c>
      <c r="N204" s="2" t="inlineStr">
        <is>
          <t>松散-极松散</t>
        </is>
      </c>
      <c r="O204" s="2" t="inlineStr">
        <is>
          <t>松散-标准松散</t>
        </is>
      </c>
      <c r="P204" s="2" t="inlineStr">
        <is>
          <t>松散-偏紧松散</t>
        </is>
      </c>
      <c r="Q204" s="2" t="inlineStr">
        <is>
          <t>标准-偏松标准</t>
        </is>
      </c>
      <c r="R204" s="2" t="inlineStr">
        <is>
          <t>标准-核心标准</t>
        </is>
      </c>
      <c r="S204" s="2" t="inlineStr">
        <is>
          <t>标准-偏紧标准</t>
        </is>
      </c>
      <c r="T204" s="2" t="inlineStr">
        <is>
          <t>紧凑-标准紧凑</t>
        </is>
      </c>
      <c r="U204" s="2" t="inlineStr">
        <is>
          <t>紧凑-高度紧凑</t>
        </is>
      </c>
      <c r="V204" s="2" t="inlineStr">
        <is>
          <t>紧凑-极度紧凑</t>
        </is>
      </c>
    </row>
    <row r="205">
      <c r="A205" s="1" t="n">
        <v>2023123</v>
      </c>
      <c r="B205" s="3" t="inlineStr">
        <is>
          <t>557</t>
        </is>
      </c>
      <c r="C205" s="2">
        <f>IF(B205="","",LEFT(TEXT(B205,"000"),1)*1)</f>
        <v/>
      </c>
      <c r="D205" s="2">
        <f>IF(B205="","",MID(TEXT(B205,"000"),2,1)*1)</f>
        <v/>
      </c>
      <c r="E205" s="2">
        <f>IF(B205="","",RIGHT(TEXT(B205,"000"),1)*1)</f>
        <v/>
      </c>
      <c r="F205" s="2">
        <f>IF(B205="","",C205+D205+E205)</f>
        <v/>
      </c>
      <c r="G205" s="2">
        <f>IF(B205="","",MOD(F205,10))</f>
        <v/>
      </c>
      <c r="H205" s="2">
        <f>IF(B205="","",MAX(C205,D205,E205)-MIN(C205,D205,E205))</f>
        <v/>
      </c>
      <c r="I205" s="2">
        <f>IF(OR(B205="",H205=0),IF(H205=0,0.1,""),ROUND(F205/H205,2))</f>
        <v/>
      </c>
      <c r="J205" s="2">
        <f>IF(I205=0.1,"极紧凑",IF(I205&gt;3.5,"紧凑",IF(AND(I205&gt;=2,I205&lt;=3.5),"标准",IF(AND(I205&gt;=1,I205&lt;2),"松散",""))))</f>
        <v/>
      </c>
      <c r="K205" s="2">
        <f>IF(I205=0.1,"极紧凑-豹子号",IF(AND(I205&gt;=1,I205&lt;=1.29),"松散-极松散",IF(AND(I205&gt;=1.33,I205&lt;=1.8),"松散-标准松散",IF(AND(I205&gt;=1.83,I205&lt;=1.89),"松散-偏紧松散",IF(AND(I205&gt;=2,I205&lt;=2.5),"标准-偏松标准",IF(AND(I205&gt;=2.57,I205&lt;=3),"标准-核心标准",IF(AND(I205&gt;=3.17,I205&lt;=3.5),"标准-偏紧标准",IF(AND(I205&gt;=3.6,I205&lt;=5),"紧凑-标准紧凑",IF(AND(I205&gt;=5.25,I205&lt;=8),"紧凑-高度紧凑",IF(I205&gt;=8.5,"紧凑-极度紧凑",""))))))))))</f>
        <v/>
      </c>
      <c r="L205" s="2">
        <f>IF(I205=0.1,"极紧凑",IF(AND(I205&gt;=1,I205&lt;=1.89),"松散",IF(AND(I205&gt;=2,I205&lt;=3.5),"标准",IF(I205&gt;=3.6,"紧凑",""))))</f>
        <v/>
      </c>
      <c r="M205" s="2" t="inlineStr">
        <is>
          <t>极紧凑-豹子号</t>
        </is>
      </c>
      <c r="N205" s="2" t="inlineStr">
        <is>
          <t>松散-极松散</t>
        </is>
      </c>
      <c r="O205" s="2" t="inlineStr">
        <is>
          <t>松散-标准松散</t>
        </is>
      </c>
      <c r="P205" s="2" t="inlineStr">
        <is>
          <t>松散-偏紧松散</t>
        </is>
      </c>
      <c r="Q205" s="2" t="inlineStr">
        <is>
          <t>标准-偏松标准</t>
        </is>
      </c>
      <c r="R205" s="2" t="inlineStr">
        <is>
          <t>标准-核心标准</t>
        </is>
      </c>
      <c r="S205" s="2" t="inlineStr">
        <is>
          <t>标准-偏紧标准</t>
        </is>
      </c>
      <c r="T205" s="2" t="inlineStr">
        <is>
          <t>紧凑-标准紧凑</t>
        </is>
      </c>
      <c r="U205" s="2" t="inlineStr">
        <is>
          <t>紧凑-高度紧凑</t>
        </is>
      </c>
      <c r="V205" s="2" t="inlineStr">
        <is>
          <t>紧凑-极度紧凑</t>
        </is>
      </c>
    </row>
    <row r="206">
      <c r="A206" s="1" t="n">
        <v>2023124</v>
      </c>
      <c r="B206" s="3" t="inlineStr">
        <is>
          <t>071</t>
        </is>
      </c>
      <c r="C206" s="2">
        <f>IF(B206="","",LEFT(TEXT(B206,"000"),1)*1)</f>
        <v/>
      </c>
      <c r="D206" s="2">
        <f>IF(B206="","",MID(TEXT(B206,"000"),2,1)*1)</f>
        <v/>
      </c>
      <c r="E206" s="2">
        <f>IF(B206="","",RIGHT(TEXT(B206,"000"),1)*1)</f>
        <v/>
      </c>
      <c r="F206" s="2">
        <f>IF(B206="","",C206+D206+E206)</f>
        <v/>
      </c>
      <c r="G206" s="2">
        <f>IF(B206="","",MOD(F206,10))</f>
        <v/>
      </c>
      <c r="H206" s="2">
        <f>IF(B206="","",MAX(C206,D206,E206)-MIN(C206,D206,E206))</f>
        <v/>
      </c>
      <c r="I206" s="2">
        <f>IF(OR(B206="",H206=0),IF(H206=0,0.1,""),ROUND(F206/H206,2))</f>
        <v/>
      </c>
      <c r="J206" s="2">
        <f>IF(I206=0.1,"极紧凑",IF(I206&gt;3.5,"紧凑",IF(AND(I206&gt;=2,I206&lt;=3.5),"标准",IF(AND(I206&gt;=1,I206&lt;2),"松散",""))))</f>
        <v/>
      </c>
      <c r="K206" s="2">
        <f>IF(I206=0.1,"极紧凑-豹子号",IF(AND(I206&gt;=1,I206&lt;=1.29),"松散-极松散",IF(AND(I206&gt;=1.33,I206&lt;=1.8),"松散-标准松散",IF(AND(I206&gt;=1.83,I206&lt;=1.89),"松散-偏紧松散",IF(AND(I206&gt;=2,I206&lt;=2.5),"标准-偏松标准",IF(AND(I206&gt;=2.57,I206&lt;=3),"标准-核心标准",IF(AND(I206&gt;=3.17,I206&lt;=3.5),"标准-偏紧标准",IF(AND(I206&gt;=3.6,I206&lt;=5),"紧凑-标准紧凑",IF(AND(I206&gt;=5.25,I206&lt;=8),"紧凑-高度紧凑",IF(I206&gt;=8.5,"紧凑-极度紧凑",""))))))))))</f>
        <v/>
      </c>
      <c r="L206" s="2">
        <f>IF(I206=0.1,"极紧凑",IF(AND(I206&gt;=1,I206&lt;=1.89),"松散",IF(AND(I206&gt;=2,I206&lt;=3.5),"标准",IF(I206&gt;=3.6,"紧凑",""))))</f>
        <v/>
      </c>
      <c r="M206" s="2" t="inlineStr">
        <is>
          <t>极紧凑-豹子号</t>
        </is>
      </c>
      <c r="N206" s="2" t="inlineStr">
        <is>
          <t>松散-极松散</t>
        </is>
      </c>
      <c r="O206" s="2" t="inlineStr">
        <is>
          <t>松散-标准松散</t>
        </is>
      </c>
      <c r="P206" s="2" t="inlineStr">
        <is>
          <t>松散-偏紧松散</t>
        </is>
      </c>
      <c r="Q206" s="2" t="inlineStr">
        <is>
          <t>标准-偏松标准</t>
        </is>
      </c>
      <c r="R206" s="2" t="inlineStr">
        <is>
          <t>标准-核心标准</t>
        </is>
      </c>
      <c r="S206" s="2" t="inlineStr">
        <is>
          <t>标准-偏紧标准</t>
        </is>
      </c>
      <c r="T206" s="2" t="inlineStr">
        <is>
          <t>紧凑-标准紧凑</t>
        </is>
      </c>
      <c r="U206" s="2" t="inlineStr">
        <is>
          <t>紧凑-高度紧凑</t>
        </is>
      </c>
      <c r="V206" s="2" t="inlineStr">
        <is>
          <t>紧凑-极度紧凑</t>
        </is>
      </c>
    </row>
    <row r="207">
      <c r="A207" s="1" t="n">
        <v>2023125</v>
      </c>
      <c r="B207" s="3" t="inlineStr">
        <is>
          <t>558</t>
        </is>
      </c>
      <c r="C207" s="2">
        <f>IF(B207="","",LEFT(TEXT(B207,"000"),1)*1)</f>
        <v/>
      </c>
      <c r="D207" s="2">
        <f>IF(B207="","",MID(TEXT(B207,"000"),2,1)*1)</f>
        <v/>
      </c>
      <c r="E207" s="2">
        <f>IF(B207="","",RIGHT(TEXT(B207,"000"),1)*1)</f>
        <v/>
      </c>
      <c r="F207" s="2">
        <f>IF(B207="","",C207+D207+E207)</f>
        <v/>
      </c>
      <c r="G207" s="2">
        <f>IF(B207="","",MOD(F207,10))</f>
        <v/>
      </c>
      <c r="H207" s="2">
        <f>IF(B207="","",MAX(C207,D207,E207)-MIN(C207,D207,E207))</f>
        <v/>
      </c>
      <c r="I207" s="2">
        <f>IF(OR(B207="",H207=0),IF(H207=0,0.1,""),ROUND(F207/H207,2))</f>
        <v/>
      </c>
      <c r="J207" s="2">
        <f>IF(I207=0.1,"极紧凑",IF(I207&gt;3.5,"紧凑",IF(AND(I207&gt;=2,I207&lt;=3.5),"标准",IF(AND(I207&gt;=1,I207&lt;2),"松散",""))))</f>
        <v/>
      </c>
      <c r="K207" s="2">
        <f>IF(I207=0.1,"极紧凑-豹子号",IF(AND(I207&gt;=1,I207&lt;=1.29),"松散-极松散",IF(AND(I207&gt;=1.33,I207&lt;=1.8),"松散-标准松散",IF(AND(I207&gt;=1.83,I207&lt;=1.89),"松散-偏紧松散",IF(AND(I207&gt;=2,I207&lt;=2.5),"标准-偏松标准",IF(AND(I207&gt;=2.57,I207&lt;=3),"标准-核心标准",IF(AND(I207&gt;=3.17,I207&lt;=3.5),"标准-偏紧标准",IF(AND(I207&gt;=3.6,I207&lt;=5),"紧凑-标准紧凑",IF(AND(I207&gt;=5.25,I207&lt;=8),"紧凑-高度紧凑",IF(I207&gt;=8.5,"紧凑-极度紧凑",""))))))))))</f>
        <v/>
      </c>
      <c r="L207" s="2">
        <f>IF(I207=0.1,"极紧凑",IF(AND(I207&gt;=1,I207&lt;=1.89),"松散",IF(AND(I207&gt;=2,I207&lt;=3.5),"标准",IF(I207&gt;=3.6,"紧凑",""))))</f>
        <v/>
      </c>
      <c r="M207" s="2" t="inlineStr">
        <is>
          <t>极紧凑-豹子号</t>
        </is>
      </c>
      <c r="N207" s="2" t="inlineStr">
        <is>
          <t>松散-极松散</t>
        </is>
      </c>
      <c r="O207" s="2" t="inlineStr">
        <is>
          <t>松散-标准松散</t>
        </is>
      </c>
      <c r="P207" s="2" t="inlineStr">
        <is>
          <t>松散-偏紧松散</t>
        </is>
      </c>
      <c r="Q207" s="2" t="inlineStr">
        <is>
          <t>标准-偏松标准</t>
        </is>
      </c>
      <c r="R207" s="2" t="inlineStr">
        <is>
          <t>标准-核心标准</t>
        </is>
      </c>
      <c r="S207" s="2" t="inlineStr">
        <is>
          <t>标准-偏紧标准</t>
        </is>
      </c>
      <c r="T207" s="2" t="inlineStr">
        <is>
          <t>紧凑-标准紧凑</t>
        </is>
      </c>
      <c r="U207" s="2" t="inlineStr">
        <is>
          <t>紧凑-高度紧凑</t>
        </is>
      </c>
      <c r="V207" s="2" t="inlineStr">
        <is>
          <t>紧凑-极度紧凑</t>
        </is>
      </c>
    </row>
    <row r="208">
      <c r="A208" s="1" t="n">
        <v>2023126</v>
      </c>
      <c r="B208" s="3" t="inlineStr">
        <is>
          <t>984</t>
        </is>
      </c>
      <c r="C208" s="2">
        <f>IF(B208="","",LEFT(TEXT(B208,"000"),1)*1)</f>
        <v/>
      </c>
      <c r="D208" s="2">
        <f>IF(B208="","",MID(TEXT(B208,"000"),2,1)*1)</f>
        <v/>
      </c>
      <c r="E208" s="2">
        <f>IF(B208="","",RIGHT(TEXT(B208,"000"),1)*1)</f>
        <v/>
      </c>
      <c r="F208" s="2">
        <f>IF(B208="","",C208+D208+E208)</f>
        <v/>
      </c>
      <c r="G208" s="2">
        <f>IF(B208="","",MOD(F208,10))</f>
        <v/>
      </c>
      <c r="H208" s="2">
        <f>IF(B208="","",MAX(C208,D208,E208)-MIN(C208,D208,E208))</f>
        <v/>
      </c>
      <c r="I208" s="2">
        <f>IF(OR(B208="",H208=0),IF(H208=0,0.1,""),ROUND(F208/H208,2))</f>
        <v/>
      </c>
      <c r="J208" s="2">
        <f>IF(I208=0.1,"极紧凑",IF(I208&gt;3.5,"紧凑",IF(AND(I208&gt;=2,I208&lt;=3.5),"标准",IF(AND(I208&gt;=1,I208&lt;2),"松散",""))))</f>
        <v/>
      </c>
      <c r="K208" s="2">
        <f>IF(I208=0.1,"极紧凑-豹子号",IF(AND(I208&gt;=1,I208&lt;=1.29),"松散-极松散",IF(AND(I208&gt;=1.33,I208&lt;=1.8),"松散-标准松散",IF(AND(I208&gt;=1.83,I208&lt;=1.89),"松散-偏紧松散",IF(AND(I208&gt;=2,I208&lt;=2.5),"标准-偏松标准",IF(AND(I208&gt;=2.57,I208&lt;=3),"标准-核心标准",IF(AND(I208&gt;=3.17,I208&lt;=3.5),"标准-偏紧标准",IF(AND(I208&gt;=3.6,I208&lt;=5),"紧凑-标准紧凑",IF(AND(I208&gt;=5.25,I208&lt;=8),"紧凑-高度紧凑",IF(I208&gt;=8.5,"紧凑-极度紧凑",""))))))))))</f>
        <v/>
      </c>
      <c r="L208" s="2">
        <f>IF(I208=0.1,"极紧凑",IF(AND(I208&gt;=1,I208&lt;=1.89),"松散",IF(AND(I208&gt;=2,I208&lt;=3.5),"标准",IF(I208&gt;=3.6,"紧凑",""))))</f>
        <v/>
      </c>
      <c r="M208" s="2" t="inlineStr">
        <is>
          <t>极紧凑-豹子号</t>
        </is>
      </c>
      <c r="N208" s="2" t="inlineStr">
        <is>
          <t>松散-极松散</t>
        </is>
      </c>
      <c r="O208" s="2" t="inlineStr">
        <is>
          <t>松散-标准松散</t>
        </is>
      </c>
      <c r="P208" s="2" t="inlineStr">
        <is>
          <t>松散-偏紧松散</t>
        </is>
      </c>
      <c r="Q208" s="2" t="inlineStr">
        <is>
          <t>标准-偏松标准</t>
        </is>
      </c>
      <c r="R208" s="2" t="inlineStr">
        <is>
          <t>标准-核心标准</t>
        </is>
      </c>
      <c r="S208" s="2" t="inlineStr">
        <is>
          <t>标准-偏紧标准</t>
        </is>
      </c>
      <c r="T208" s="2" t="inlineStr">
        <is>
          <t>紧凑-标准紧凑</t>
        </is>
      </c>
      <c r="U208" s="2" t="inlineStr">
        <is>
          <t>紧凑-高度紧凑</t>
        </is>
      </c>
      <c r="V208" s="2" t="inlineStr">
        <is>
          <t>紧凑-极度紧凑</t>
        </is>
      </c>
    </row>
    <row r="209">
      <c r="A209" s="1" t="n">
        <v>2023127</v>
      </c>
      <c r="B209" s="3" t="inlineStr">
        <is>
          <t>110</t>
        </is>
      </c>
      <c r="C209" s="2">
        <f>IF(B209="","",LEFT(TEXT(B209,"000"),1)*1)</f>
        <v/>
      </c>
      <c r="D209" s="2">
        <f>IF(B209="","",MID(TEXT(B209,"000"),2,1)*1)</f>
        <v/>
      </c>
      <c r="E209" s="2">
        <f>IF(B209="","",RIGHT(TEXT(B209,"000"),1)*1)</f>
        <v/>
      </c>
      <c r="F209" s="2">
        <f>IF(B209="","",C209+D209+E209)</f>
        <v/>
      </c>
      <c r="G209" s="2">
        <f>IF(B209="","",MOD(F209,10))</f>
        <v/>
      </c>
      <c r="H209" s="2">
        <f>IF(B209="","",MAX(C209,D209,E209)-MIN(C209,D209,E209))</f>
        <v/>
      </c>
      <c r="I209" s="2">
        <f>IF(OR(B209="",H209=0),IF(H209=0,0.1,""),ROUND(F209/H209,2))</f>
        <v/>
      </c>
      <c r="J209" s="2">
        <f>IF(I209=0.1,"极紧凑",IF(I209&gt;3.5,"紧凑",IF(AND(I209&gt;=2,I209&lt;=3.5),"标准",IF(AND(I209&gt;=1,I209&lt;2),"松散",""))))</f>
        <v/>
      </c>
      <c r="K209" s="2">
        <f>IF(I209=0.1,"极紧凑-豹子号",IF(AND(I209&gt;=1,I209&lt;=1.29),"松散-极松散",IF(AND(I209&gt;=1.33,I209&lt;=1.8),"松散-标准松散",IF(AND(I209&gt;=1.83,I209&lt;=1.89),"松散-偏紧松散",IF(AND(I209&gt;=2,I209&lt;=2.5),"标准-偏松标准",IF(AND(I209&gt;=2.57,I209&lt;=3),"标准-核心标准",IF(AND(I209&gt;=3.17,I209&lt;=3.5),"标准-偏紧标准",IF(AND(I209&gt;=3.6,I209&lt;=5),"紧凑-标准紧凑",IF(AND(I209&gt;=5.25,I209&lt;=8),"紧凑-高度紧凑",IF(I209&gt;=8.5,"紧凑-极度紧凑",""))))))))))</f>
        <v/>
      </c>
      <c r="L209" s="2">
        <f>IF(I209=0.1,"极紧凑",IF(AND(I209&gt;=1,I209&lt;=1.89),"松散",IF(AND(I209&gt;=2,I209&lt;=3.5),"标准",IF(I209&gt;=3.6,"紧凑",""))))</f>
        <v/>
      </c>
      <c r="M209" s="2" t="inlineStr">
        <is>
          <t>极紧凑-豹子号</t>
        </is>
      </c>
      <c r="N209" s="2" t="inlineStr">
        <is>
          <t>松散-极松散</t>
        </is>
      </c>
      <c r="O209" s="2" t="inlineStr">
        <is>
          <t>松散-标准松散</t>
        </is>
      </c>
      <c r="P209" s="2" t="inlineStr">
        <is>
          <t>松散-偏紧松散</t>
        </is>
      </c>
      <c r="Q209" s="2" t="inlineStr">
        <is>
          <t>标准-偏松标准</t>
        </is>
      </c>
      <c r="R209" s="2" t="inlineStr">
        <is>
          <t>标准-核心标准</t>
        </is>
      </c>
      <c r="S209" s="2" t="inlineStr">
        <is>
          <t>标准-偏紧标准</t>
        </is>
      </c>
      <c r="T209" s="2" t="inlineStr">
        <is>
          <t>紧凑-标准紧凑</t>
        </is>
      </c>
      <c r="U209" s="2" t="inlineStr">
        <is>
          <t>紧凑-高度紧凑</t>
        </is>
      </c>
      <c r="V209" s="2" t="inlineStr">
        <is>
          <t>紧凑-极度紧凑</t>
        </is>
      </c>
    </row>
    <row r="210">
      <c r="A210" s="1" t="n">
        <v>2023128</v>
      </c>
      <c r="B210" s="3" t="inlineStr">
        <is>
          <t>810</t>
        </is>
      </c>
      <c r="C210" s="2">
        <f>IF(B210="","",LEFT(TEXT(B210,"000"),1)*1)</f>
        <v/>
      </c>
      <c r="D210" s="2">
        <f>IF(B210="","",MID(TEXT(B210,"000"),2,1)*1)</f>
        <v/>
      </c>
      <c r="E210" s="2">
        <f>IF(B210="","",RIGHT(TEXT(B210,"000"),1)*1)</f>
        <v/>
      </c>
      <c r="F210" s="2">
        <f>IF(B210="","",C210+D210+E210)</f>
        <v/>
      </c>
      <c r="G210" s="2">
        <f>IF(B210="","",MOD(F210,10))</f>
        <v/>
      </c>
      <c r="H210" s="2">
        <f>IF(B210="","",MAX(C210,D210,E210)-MIN(C210,D210,E210))</f>
        <v/>
      </c>
      <c r="I210" s="2">
        <f>IF(OR(B210="",H210=0),IF(H210=0,0.1,""),ROUND(F210/H210,2))</f>
        <v/>
      </c>
      <c r="J210" s="2">
        <f>IF(I210=0.1,"极紧凑",IF(I210&gt;3.5,"紧凑",IF(AND(I210&gt;=2,I210&lt;=3.5),"标准",IF(AND(I210&gt;=1,I210&lt;2),"松散",""))))</f>
        <v/>
      </c>
      <c r="K210" s="2">
        <f>IF(I210=0.1,"极紧凑-豹子号",IF(AND(I210&gt;=1,I210&lt;=1.29),"松散-极松散",IF(AND(I210&gt;=1.33,I210&lt;=1.8),"松散-标准松散",IF(AND(I210&gt;=1.83,I210&lt;=1.89),"松散-偏紧松散",IF(AND(I210&gt;=2,I210&lt;=2.5),"标准-偏松标准",IF(AND(I210&gt;=2.57,I210&lt;=3),"标准-核心标准",IF(AND(I210&gt;=3.17,I210&lt;=3.5),"标准-偏紧标准",IF(AND(I210&gt;=3.6,I210&lt;=5),"紧凑-标准紧凑",IF(AND(I210&gt;=5.25,I210&lt;=8),"紧凑-高度紧凑",IF(I210&gt;=8.5,"紧凑-极度紧凑",""))))))))))</f>
        <v/>
      </c>
      <c r="L210" s="2">
        <f>IF(I210=0.1,"极紧凑",IF(AND(I210&gt;=1,I210&lt;=1.89),"松散",IF(AND(I210&gt;=2,I210&lt;=3.5),"标准",IF(I210&gt;=3.6,"紧凑",""))))</f>
        <v/>
      </c>
      <c r="M210" s="2" t="inlineStr">
        <is>
          <t>极紧凑-豹子号</t>
        </is>
      </c>
      <c r="N210" s="2" t="inlineStr">
        <is>
          <t>松散-极松散</t>
        </is>
      </c>
      <c r="O210" s="2" t="inlineStr">
        <is>
          <t>松散-标准松散</t>
        </is>
      </c>
      <c r="P210" s="2" t="inlineStr">
        <is>
          <t>松散-偏紧松散</t>
        </is>
      </c>
      <c r="Q210" s="2" t="inlineStr">
        <is>
          <t>标准-偏松标准</t>
        </is>
      </c>
      <c r="R210" s="2" t="inlineStr">
        <is>
          <t>标准-核心标准</t>
        </is>
      </c>
      <c r="S210" s="2" t="inlineStr">
        <is>
          <t>标准-偏紧标准</t>
        </is>
      </c>
      <c r="T210" s="2" t="inlineStr">
        <is>
          <t>紧凑-标准紧凑</t>
        </is>
      </c>
      <c r="U210" s="2" t="inlineStr">
        <is>
          <t>紧凑-高度紧凑</t>
        </is>
      </c>
      <c r="V210" s="2" t="inlineStr">
        <is>
          <t>紧凑-极度紧凑</t>
        </is>
      </c>
    </row>
    <row r="211">
      <c r="A211" s="1" t="n">
        <v>2023129</v>
      </c>
      <c r="B211" s="3" t="inlineStr">
        <is>
          <t>334</t>
        </is>
      </c>
      <c r="C211" s="2">
        <f>IF(B211="","",LEFT(TEXT(B211,"000"),1)*1)</f>
        <v/>
      </c>
      <c r="D211" s="2">
        <f>IF(B211="","",MID(TEXT(B211,"000"),2,1)*1)</f>
        <v/>
      </c>
      <c r="E211" s="2">
        <f>IF(B211="","",RIGHT(TEXT(B211,"000"),1)*1)</f>
        <v/>
      </c>
      <c r="F211" s="2">
        <f>IF(B211="","",C211+D211+E211)</f>
        <v/>
      </c>
      <c r="G211" s="2">
        <f>IF(B211="","",MOD(F211,10))</f>
        <v/>
      </c>
      <c r="H211" s="2">
        <f>IF(B211="","",MAX(C211,D211,E211)-MIN(C211,D211,E211))</f>
        <v/>
      </c>
      <c r="I211" s="2">
        <f>IF(OR(B211="",H211=0),IF(H211=0,0.1,""),ROUND(F211/H211,2))</f>
        <v/>
      </c>
      <c r="J211" s="2">
        <f>IF(I211=0.1,"极紧凑",IF(I211&gt;3.5,"紧凑",IF(AND(I211&gt;=2,I211&lt;=3.5),"标准",IF(AND(I211&gt;=1,I211&lt;2),"松散",""))))</f>
        <v/>
      </c>
      <c r="K211" s="2">
        <f>IF(I211=0.1,"极紧凑-豹子号",IF(AND(I211&gt;=1,I211&lt;=1.29),"松散-极松散",IF(AND(I211&gt;=1.33,I211&lt;=1.8),"松散-标准松散",IF(AND(I211&gt;=1.83,I211&lt;=1.89),"松散-偏紧松散",IF(AND(I211&gt;=2,I211&lt;=2.5),"标准-偏松标准",IF(AND(I211&gt;=2.57,I211&lt;=3),"标准-核心标准",IF(AND(I211&gt;=3.17,I211&lt;=3.5),"标准-偏紧标准",IF(AND(I211&gt;=3.6,I211&lt;=5),"紧凑-标准紧凑",IF(AND(I211&gt;=5.25,I211&lt;=8),"紧凑-高度紧凑",IF(I211&gt;=8.5,"紧凑-极度紧凑",""))))))))))</f>
        <v/>
      </c>
      <c r="L211" s="2">
        <f>IF(I211=0.1,"极紧凑",IF(AND(I211&gt;=1,I211&lt;=1.89),"松散",IF(AND(I211&gt;=2,I211&lt;=3.5),"标准",IF(I211&gt;=3.6,"紧凑",""))))</f>
        <v/>
      </c>
      <c r="M211" s="2" t="inlineStr">
        <is>
          <t>极紧凑-豹子号</t>
        </is>
      </c>
      <c r="N211" s="2" t="inlineStr">
        <is>
          <t>松散-极松散</t>
        </is>
      </c>
      <c r="O211" s="2" t="inlineStr">
        <is>
          <t>松散-标准松散</t>
        </is>
      </c>
      <c r="P211" s="2" t="inlineStr">
        <is>
          <t>松散-偏紧松散</t>
        </is>
      </c>
      <c r="Q211" s="2" t="inlineStr">
        <is>
          <t>标准-偏松标准</t>
        </is>
      </c>
      <c r="R211" s="2" t="inlineStr">
        <is>
          <t>标准-核心标准</t>
        </is>
      </c>
      <c r="S211" s="2" t="inlineStr">
        <is>
          <t>标准-偏紧标准</t>
        </is>
      </c>
      <c r="T211" s="2" t="inlineStr">
        <is>
          <t>紧凑-标准紧凑</t>
        </is>
      </c>
      <c r="U211" s="2" t="inlineStr">
        <is>
          <t>紧凑-高度紧凑</t>
        </is>
      </c>
      <c r="V211" s="2" t="inlineStr">
        <is>
          <t>紧凑-极度紧凑</t>
        </is>
      </c>
    </row>
    <row r="212">
      <c r="A212" s="1" t="n">
        <v>2023130</v>
      </c>
      <c r="B212" s="3" t="inlineStr">
        <is>
          <t>521</t>
        </is>
      </c>
      <c r="C212" s="2">
        <f>IF(B212="","",LEFT(TEXT(B212,"000"),1)*1)</f>
        <v/>
      </c>
      <c r="D212" s="2">
        <f>IF(B212="","",MID(TEXT(B212,"000"),2,1)*1)</f>
        <v/>
      </c>
      <c r="E212" s="2">
        <f>IF(B212="","",RIGHT(TEXT(B212,"000"),1)*1)</f>
        <v/>
      </c>
      <c r="F212" s="2">
        <f>IF(B212="","",C212+D212+E212)</f>
        <v/>
      </c>
      <c r="G212" s="2">
        <f>IF(B212="","",MOD(F212,10))</f>
        <v/>
      </c>
      <c r="H212" s="2">
        <f>IF(B212="","",MAX(C212,D212,E212)-MIN(C212,D212,E212))</f>
        <v/>
      </c>
      <c r="I212" s="2">
        <f>IF(OR(B212="",H212=0),IF(H212=0,0.1,""),ROUND(F212/H212,2))</f>
        <v/>
      </c>
      <c r="J212" s="2">
        <f>IF(I212=0.1,"极紧凑",IF(I212&gt;3.5,"紧凑",IF(AND(I212&gt;=2,I212&lt;=3.5),"标准",IF(AND(I212&gt;=1,I212&lt;2),"松散",""))))</f>
        <v/>
      </c>
      <c r="K212" s="2">
        <f>IF(I212=0.1,"极紧凑-豹子号",IF(AND(I212&gt;=1,I212&lt;=1.29),"松散-极松散",IF(AND(I212&gt;=1.33,I212&lt;=1.8),"松散-标准松散",IF(AND(I212&gt;=1.83,I212&lt;=1.89),"松散-偏紧松散",IF(AND(I212&gt;=2,I212&lt;=2.5),"标准-偏松标准",IF(AND(I212&gt;=2.57,I212&lt;=3),"标准-核心标准",IF(AND(I212&gt;=3.17,I212&lt;=3.5),"标准-偏紧标准",IF(AND(I212&gt;=3.6,I212&lt;=5),"紧凑-标准紧凑",IF(AND(I212&gt;=5.25,I212&lt;=8),"紧凑-高度紧凑",IF(I212&gt;=8.5,"紧凑-极度紧凑",""))))))))))</f>
        <v/>
      </c>
      <c r="L212" s="2">
        <f>IF(I212=0.1,"极紧凑",IF(AND(I212&gt;=1,I212&lt;=1.89),"松散",IF(AND(I212&gt;=2,I212&lt;=3.5),"标准",IF(I212&gt;=3.6,"紧凑",""))))</f>
        <v/>
      </c>
      <c r="M212" s="2" t="inlineStr">
        <is>
          <t>极紧凑-豹子号</t>
        </is>
      </c>
      <c r="N212" s="2" t="inlineStr">
        <is>
          <t>松散-极松散</t>
        </is>
      </c>
      <c r="O212" s="2" t="inlineStr">
        <is>
          <t>松散-标准松散</t>
        </is>
      </c>
      <c r="P212" s="2" t="inlineStr">
        <is>
          <t>松散-偏紧松散</t>
        </is>
      </c>
      <c r="Q212" s="2" t="inlineStr">
        <is>
          <t>标准-偏松标准</t>
        </is>
      </c>
      <c r="R212" s="2" t="inlineStr">
        <is>
          <t>标准-核心标准</t>
        </is>
      </c>
      <c r="S212" s="2" t="inlineStr">
        <is>
          <t>标准-偏紧标准</t>
        </is>
      </c>
      <c r="T212" s="2" t="inlineStr">
        <is>
          <t>紧凑-标准紧凑</t>
        </is>
      </c>
      <c r="U212" s="2" t="inlineStr">
        <is>
          <t>紧凑-高度紧凑</t>
        </is>
      </c>
      <c r="V212" s="2" t="inlineStr">
        <is>
          <t>紧凑-极度紧凑</t>
        </is>
      </c>
    </row>
    <row r="213">
      <c r="A213" s="1" t="n">
        <v>2023131</v>
      </c>
      <c r="B213" s="3" t="inlineStr">
        <is>
          <t>583</t>
        </is>
      </c>
      <c r="C213" s="2">
        <f>IF(B213="","",LEFT(TEXT(B213,"000"),1)*1)</f>
        <v/>
      </c>
      <c r="D213" s="2">
        <f>IF(B213="","",MID(TEXT(B213,"000"),2,1)*1)</f>
        <v/>
      </c>
      <c r="E213" s="2">
        <f>IF(B213="","",RIGHT(TEXT(B213,"000"),1)*1)</f>
        <v/>
      </c>
      <c r="F213" s="2">
        <f>IF(B213="","",C213+D213+E213)</f>
        <v/>
      </c>
      <c r="G213" s="2">
        <f>IF(B213="","",MOD(F213,10))</f>
        <v/>
      </c>
      <c r="H213" s="2">
        <f>IF(B213="","",MAX(C213,D213,E213)-MIN(C213,D213,E213))</f>
        <v/>
      </c>
      <c r="I213" s="2">
        <f>IF(OR(B213="",H213=0),IF(H213=0,0.1,""),ROUND(F213/H213,2))</f>
        <v/>
      </c>
      <c r="J213" s="2">
        <f>IF(I213=0.1,"极紧凑",IF(I213&gt;3.5,"紧凑",IF(AND(I213&gt;=2,I213&lt;=3.5),"标准",IF(AND(I213&gt;=1,I213&lt;2),"松散",""))))</f>
        <v/>
      </c>
      <c r="K213" s="2">
        <f>IF(I213=0.1,"极紧凑-豹子号",IF(AND(I213&gt;=1,I213&lt;=1.29),"松散-极松散",IF(AND(I213&gt;=1.33,I213&lt;=1.8),"松散-标准松散",IF(AND(I213&gt;=1.83,I213&lt;=1.89),"松散-偏紧松散",IF(AND(I213&gt;=2,I213&lt;=2.5),"标准-偏松标准",IF(AND(I213&gt;=2.57,I213&lt;=3),"标准-核心标准",IF(AND(I213&gt;=3.17,I213&lt;=3.5),"标准-偏紧标准",IF(AND(I213&gt;=3.6,I213&lt;=5),"紧凑-标准紧凑",IF(AND(I213&gt;=5.25,I213&lt;=8),"紧凑-高度紧凑",IF(I213&gt;=8.5,"紧凑-极度紧凑",""))))))))))</f>
        <v/>
      </c>
      <c r="L213" s="2">
        <f>IF(I213=0.1,"极紧凑",IF(AND(I213&gt;=1,I213&lt;=1.89),"松散",IF(AND(I213&gt;=2,I213&lt;=3.5),"标准",IF(I213&gt;=3.6,"紧凑",""))))</f>
        <v/>
      </c>
      <c r="M213" s="2" t="inlineStr">
        <is>
          <t>极紧凑-豹子号</t>
        </is>
      </c>
      <c r="N213" s="2" t="inlineStr">
        <is>
          <t>松散-极松散</t>
        </is>
      </c>
      <c r="O213" s="2" t="inlineStr">
        <is>
          <t>松散-标准松散</t>
        </is>
      </c>
      <c r="P213" s="2" t="inlineStr">
        <is>
          <t>松散-偏紧松散</t>
        </is>
      </c>
      <c r="Q213" s="2" t="inlineStr">
        <is>
          <t>标准-偏松标准</t>
        </is>
      </c>
      <c r="R213" s="2" t="inlineStr">
        <is>
          <t>标准-核心标准</t>
        </is>
      </c>
      <c r="S213" s="2" t="inlineStr">
        <is>
          <t>标准-偏紧标准</t>
        </is>
      </c>
      <c r="T213" s="2" t="inlineStr">
        <is>
          <t>紧凑-标准紧凑</t>
        </is>
      </c>
      <c r="U213" s="2" t="inlineStr">
        <is>
          <t>紧凑-高度紧凑</t>
        </is>
      </c>
      <c r="V213" s="2" t="inlineStr">
        <is>
          <t>紧凑-极度紧凑</t>
        </is>
      </c>
    </row>
    <row r="214">
      <c r="A214" s="1" t="n">
        <v>2023132</v>
      </c>
      <c r="B214" s="3" t="inlineStr">
        <is>
          <t>010</t>
        </is>
      </c>
      <c r="C214" s="2">
        <f>IF(B214="","",LEFT(TEXT(B214,"000"),1)*1)</f>
        <v/>
      </c>
      <c r="D214" s="2">
        <f>IF(B214="","",MID(TEXT(B214,"000"),2,1)*1)</f>
        <v/>
      </c>
      <c r="E214" s="2">
        <f>IF(B214="","",RIGHT(TEXT(B214,"000"),1)*1)</f>
        <v/>
      </c>
      <c r="F214" s="2">
        <f>IF(B214="","",C214+D214+E214)</f>
        <v/>
      </c>
      <c r="G214" s="2">
        <f>IF(B214="","",MOD(F214,10))</f>
        <v/>
      </c>
      <c r="H214" s="2">
        <f>IF(B214="","",MAX(C214,D214,E214)-MIN(C214,D214,E214))</f>
        <v/>
      </c>
      <c r="I214" s="2">
        <f>IF(OR(B214="",H214=0),IF(H214=0,0.1,""),ROUND(F214/H214,2))</f>
        <v/>
      </c>
      <c r="J214" s="2">
        <f>IF(I214=0.1,"极紧凑",IF(I214&gt;3.5,"紧凑",IF(AND(I214&gt;=2,I214&lt;=3.5),"标准",IF(AND(I214&gt;=1,I214&lt;2),"松散",""))))</f>
        <v/>
      </c>
      <c r="K214" s="2">
        <f>IF(I214=0.1,"极紧凑-豹子号",IF(AND(I214&gt;=1,I214&lt;=1.29),"松散-极松散",IF(AND(I214&gt;=1.33,I214&lt;=1.8),"松散-标准松散",IF(AND(I214&gt;=1.83,I214&lt;=1.89),"松散-偏紧松散",IF(AND(I214&gt;=2,I214&lt;=2.5),"标准-偏松标准",IF(AND(I214&gt;=2.57,I214&lt;=3),"标准-核心标准",IF(AND(I214&gt;=3.17,I214&lt;=3.5),"标准-偏紧标准",IF(AND(I214&gt;=3.6,I214&lt;=5),"紧凑-标准紧凑",IF(AND(I214&gt;=5.25,I214&lt;=8),"紧凑-高度紧凑",IF(I214&gt;=8.5,"紧凑-极度紧凑",""))))))))))</f>
        <v/>
      </c>
      <c r="L214" s="2">
        <f>IF(I214=0.1,"极紧凑",IF(AND(I214&gt;=1,I214&lt;=1.89),"松散",IF(AND(I214&gt;=2,I214&lt;=3.5),"标准",IF(I214&gt;=3.6,"紧凑",""))))</f>
        <v/>
      </c>
      <c r="M214" s="2" t="inlineStr">
        <is>
          <t>极紧凑-豹子号</t>
        </is>
      </c>
      <c r="N214" s="2" t="inlineStr">
        <is>
          <t>松散-极松散</t>
        </is>
      </c>
      <c r="O214" s="2" t="inlineStr">
        <is>
          <t>松散-标准松散</t>
        </is>
      </c>
      <c r="P214" s="2" t="inlineStr">
        <is>
          <t>松散-偏紧松散</t>
        </is>
      </c>
      <c r="Q214" s="2" t="inlineStr">
        <is>
          <t>标准-偏松标准</t>
        </is>
      </c>
      <c r="R214" s="2" t="inlineStr">
        <is>
          <t>标准-核心标准</t>
        </is>
      </c>
      <c r="S214" s="2" t="inlineStr">
        <is>
          <t>标准-偏紧标准</t>
        </is>
      </c>
      <c r="T214" s="2" t="inlineStr">
        <is>
          <t>紧凑-标准紧凑</t>
        </is>
      </c>
      <c r="U214" s="2" t="inlineStr">
        <is>
          <t>紧凑-高度紧凑</t>
        </is>
      </c>
      <c r="V214" s="2" t="inlineStr">
        <is>
          <t>紧凑-极度紧凑</t>
        </is>
      </c>
    </row>
    <row r="215">
      <c r="A215" s="1" t="n">
        <v>2023133</v>
      </c>
      <c r="B215" s="3" t="inlineStr">
        <is>
          <t>434</t>
        </is>
      </c>
      <c r="C215" s="2">
        <f>IF(B215="","",LEFT(TEXT(B215,"000"),1)*1)</f>
        <v/>
      </c>
      <c r="D215" s="2">
        <f>IF(B215="","",MID(TEXT(B215,"000"),2,1)*1)</f>
        <v/>
      </c>
      <c r="E215" s="2">
        <f>IF(B215="","",RIGHT(TEXT(B215,"000"),1)*1)</f>
        <v/>
      </c>
      <c r="F215" s="2">
        <f>IF(B215="","",C215+D215+E215)</f>
        <v/>
      </c>
      <c r="G215" s="2">
        <f>IF(B215="","",MOD(F215,10))</f>
        <v/>
      </c>
      <c r="H215" s="2">
        <f>IF(B215="","",MAX(C215,D215,E215)-MIN(C215,D215,E215))</f>
        <v/>
      </c>
      <c r="I215" s="2">
        <f>IF(OR(B215="",H215=0),IF(H215=0,0.1,""),ROUND(F215/H215,2))</f>
        <v/>
      </c>
      <c r="J215" s="2">
        <f>IF(I215=0.1,"极紧凑",IF(I215&gt;3.5,"紧凑",IF(AND(I215&gt;=2,I215&lt;=3.5),"标准",IF(AND(I215&gt;=1,I215&lt;2),"松散",""))))</f>
        <v/>
      </c>
      <c r="K215" s="2">
        <f>IF(I215=0.1,"极紧凑-豹子号",IF(AND(I215&gt;=1,I215&lt;=1.29),"松散-极松散",IF(AND(I215&gt;=1.33,I215&lt;=1.8),"松散-标准松散",IF(AND(I215&gt;=1.83,I215&lt;=1.89),"松散-偏紧松散",IF(AND(I215&gt;=2,I215&lt;=2.5),"标准-偏松标准",IF(AND(I215&gt;=2.57,I215&lt;=3),"标准-核心标准",IF(AND(I215&gt;=3.17,I215&lt;=3.5),"标准-偏紧标准",IF(AND(I215&gt;=3.6,I215&lt;=5),"紧凑-标准紧凑",IF(AND(I215&gt;=5.25,I215&lt;=8),"紧凑-高度紧凑",IF(I215&gt;=8.5,"紧凑-极度紧凑",""))))))))))</f>
        <v/>
      </c>
      <c r="L215" s="2">
        <f>IF(I215=0.1,"极紧凑",IF(AND(I215&gt;=1,I215&lt;=1.89),"松散",IF(AND(I215&gt;=2,I215&lt;=3.5),"标准",IF(I215&gt;=3.6,"紧凑",""))))</f>
        <v/>
      </c>
      <c r="M215" s="2" t="inlineStr">
        <is>
          <t>极紧凑-豹子号</t>
        </is>
      </c>
      <c r="N215" s="2" t="inlineStr">
        <is>
          <t>松散-极松散</t>
        </is>
      </c>
      <c r="O215" s="2" t="inlineStr">
        <is>
          <t>松散-标准松散</t>
        </is>
      </c>
      <c r="P215" s="2" t="inlineStr">
        <is>
          <t>松散-偏紧松散</t>
        </is>
      </c>
      <c r="Q215" s="2" t="inlineStr">
        <is>
          <t>标准-偏松标准</t>
        </is>
      </c>
      <c r="R215" s="2" t="inlineStr">
        <is>
          <t>标准-核心标准</t>
        </is>
      </c>
      <c r="S215" s="2" t="inlineStr">
        <is>
          <t>标准-偏紧标准</t>
        </is>
      </c>
      <c r="T215" s="2" t="inlineStr">
        <is>
          <t>紧凑-标准紧凑</t>
        </is>
      </c>
      <c r="U215" s="2" t="inlineStr">
        <is>
          <t>紧凑-高度紧凑</t>
        </is>
      </c>
      <c r="V215" s="2" t="inlineStr">
        <is>
          <t>紧凑-极度紧凑</t>
        </is>
      </c>
    </row>
    <row r="216">
      <c r="A216" s="1" t="n">
        <v>2023134</v>
      </c>
      <c r="B216" s="3" t="inlineStr">
        <is>
          <t>220</t>
        </is>
      </c>
      <c r="C216" s="2">
        <f>IF(B216="","",LEFT(TEXT(B216,"000"),1)*1)</f>
        <v/>
      </c>
      <c r="D216" s="2">
        <f>IF(B216="","",MID(TEXT(B216,"000"),2,1)*1)</f>
        <v/>
      </c>
      <c r="E216" s="2">
        <f>IF(B216="","",RIGHT(TEXT(B216,"000"),1)*1)</f>
        <v/>
      </c>
      <c r="F216" s="2">
        <f>IF(B216="","",C216+D216+E216)</f>
        <v/>
      </c>
      <c r="G216" s="2">
        <f>IF(B216="","",MOD(F216,10))</f>
        <v/>
      </c>
      <c r="H216" s="2">
        <f>IF(B216="","",MAX(C216,D216,E216)-MIN(C216,D216,E216))</f>
        <v/>
      </c>
      <c r="I216" s="2">
        <f>IF(OR(B216="",H216=0),IF(H216=0,0.1,""),ROUND(F216/H216,2))</f>
        <v/>
      </c>
      <c r="J216" s="2">
        <f>IF(I216=0.1,"极紧凑",IF(I216&gt;3.5,"紧凑",IF(AND(I216&gt;=2,I216&lt;=3.5),"标准",IF(AND(I216&gt;=1,I216&lt;2),"松散",""))))</f>
        <v/>
      </c>
      <c r="K216" s="2">
        <f>IF(I216=0.1,"极紧凑-豹子号",IF(AND(I216&gt;=1,I216&lt;=1.29),"松散-极松散",IF(AND(I216&gt;=1.33,I216&lt;=1.8),"松散-标准松散",IF(AND(I216&gt;=1.83,I216&lt;=1.89),"松散-偏紧松散",IF(AND(I216&gt;=2,I216&lt;=2.5),"标准-偏松标准",IF(AND(I216&gt;=2.57,I216&lt;=3),"标准-核心标准",IF(AND(I216&gt;=3.17,I216&lt;=3.5),"标准-偏紧标准",IF(AND(I216&gt;=3.6,I216&lt;=5),"紧凑-标准紧凑",IF(AND(I216&gt;=5.25,I216&lt;=8),"紧凑-高度紧凑",IF(I216&gt;=8.5,"紧凑-极度紧凑",""))))))))))</f>
        <v/>
      </c>
      <c r="L216" s="2">
        <f>IF(I216=0.1,"极紧凑",IF(AND(I216&gt;=1,I216&lt;=1.89),"松散",IF(AND(I216&gt;=2,I216&lt;=3.5),"标准",IF(I216&gt;=3.6,"紧凑",""))))</f>
        <v/>
      </c>
      <c r="M216" s="2" t="inlineStr">
        <is>
          <t>极紧凑-豹子号</t>
        </is>
      </c>
      <c r="N216" s="2" t="inlineStr">
        <is>
          <t>松散-极松散</t>
        </is>
      </c>
      <c r="O216" s="2" t="inlineStr">
        <is>
          <t>松散-标准松散</t>
        </is>
      </c>
      <c r="P216" s="2" t="inlineStr">
        <is>
          <t>松散-偏紧松散</t>
        </is>
      </c>
      <c r="Q216" s="2" t="inlineStr">
        <is>
          <t>标准-偏松标准</t>
        </is>
      </c>
      <c r="R216" s="2" t="inlineStr">
        <is>
          <t>标准-核心标准</t>
        </is>
      </c>
      <c r="S216" s="2" t="inlineStr">
        <is>
          <t>标准-偏紧标准</t>
        </is>
      </c>
      <c r="T216" s="2" t="inlineStr">
        <is>
          <t>紧凑-标准紧凑</t>
        </is>
      </c>
      <c r="U216" s="2" t="inlineStr">
        <is>
          <t>紧凑-高度紧凑</t>
        </is>
      </c>
      <c r="V216" s="2" t="inlineStr">
        <is>
          <t>紧凑-极度紧凑</t>
        </is>
      </c>
    </row>
    <row r="217">
      <c r="A217" s="1" t="n">
        <v>2023135</v>
      </c>
      <c r="B217" s="3" t="inlineStr">
        <is>
          <t>467</t>
        </is>
      </c>
      <c r="C217" s="2">
        <f>IF(B217="","",LEFT(TEXT(B217,"000"),1)*1)</f>
        <v/>
      </c>
      <c r="D217" s="2">
        <f>IF(B217="","",MID(TEXT(B217,"000"),2,1)*1)</f>
        <v/>
      </c>
      <c r="E217" s="2">
        <f>IF(B217="","",RIGHT(TEXT(B217,"000"),1)*1)</f>
        <v/>
      </c>
      <c r="F217" s="2">
        <f>IF(B217="","",C217+D217+E217)</f>
        <v/>
      </c>
      <c r="G217" s="2">
        <f>IF(B217="","",MOD(F217,10))</f>
        <v/>
      </c>
      <c r="H217" s="2">
        <f>IF(B217="","",MAX(C217,D217,E217)-MIN(C217,D217,E217))</f>
        <v/>
      </c>
      <c r="I217" s="2">
        <f>IF(OR(B217="",H217=0),IF(H217=0,0.1,""),ROUND(F217/H217,2))</f>
        <v/>
      </c>
      <c r="J217" s="2">
        <f>IF(I217=0.1,"极紧凑",IF(I217&gt;3.5,"紧凑",IF(AND(I217&gt;=2,I217&lt;=3.5),"标准",IF(AND(I217&gt;=1,I217&lt;2),"松散",""))))</f>
        <v/>
      </c>
      <c r="K217" s="2">
        <f>IF(I217=0.1,"极紧凑-豹子号",IF(AND(I217&gt;=1,I217&lt;=1.29),"松散-极松散",IF(AND(I217&gt;=1.33,I217&lt;=1.8),"松散-标准松散",IF(AND(I217&gt;=1.83,I217&lt;=1.89),"松散-偏紧松散",IF(AND(I217&gt;=2,I217&lt;=2.5),"标准-偏松标准",IF(AND(I217&gt;=2.57,I217&lt;=3),"标准-核心标准",IF(AND(I217&gt;=3.17,I217&lt;=3.5),"标准-偏紧标准",IF(AND(I217&gt;=3.6,I217&lt;=5),"紧凑-标准紧凑",IF(AND(I217&gt;=5.25,I217&lt;=8),"紧凑-高度紧凑",IF(I217&gt;=8.5,"紧凑-极度紧凑",""))))))))))</f>
        <v/>
      </c>
      <c r="L217" s="2">
        <f>IF(I217=0.1,"极紧凑",IF(AND(I217&gt;=1,I217&lt;=1.89),"松散",IF(AND(I217&gt;=2,I217&lt;=3.5),"标准",IF(I217&gt;=3.6,"紧凑",""))))</f>
        <v/>
      </c>
      <c r="M217" s="2" t="inlineStr">
        <is>
          <t>极紧凑-豹子号</t>
        </is>
      </c>
      <c r="N217" s="2" t="inlineStr">
        <is>
          <t>松散-极松散</t>
        </is>
      </c>
      <c r="O217" s="2" t="inlineStr">
        <is>
          <t>松散-标准松散</t>
        </is>
      </c>
      <c r="P217" s="2" t="inlineStr">
        <is>
          <t>松散-偏紧松散</t>
        </is>
      </c>
      <c r="Q217" s="2" t="inlineStr">
        <is>
          <t>标准-偏松标准</t>
        </is>
      </c>
      <c r="R217" s="2" t="inlineStr">
        <is>
          <t>标准-核心标准</t>
        </is>
      </c>
      <c r="S217" s="2" t="inlineStr">
        <is>
          <t>标准-偏紧标准</t>
        </is>
      </c>
      <c r="T217" s="2" t="inlineStr">
        <is>
          <t>紧凑-标准紧凑</t>
        </is>
      </c>
      <c r="U217" s="2" t="inlineStr">
        <is>
          <t>紧凑-高度紧凑</t>
        </is>
      </c>
      <c r="V217" s="2" t="inlineStr">
        <is>
          <t>紧凑-极度紧凑</t>
        </is>
      </c>
    </row>
    <row r="218">
      <c r="A218" s="1" t="n">
        <v>2023136</v>
      </c>
      <c r="B218" s="3" t="inlineStr">
        <is>
          <t>929</t>
        </is>
      </c>
      <c r="C218" s="2">
        <f>IF(B218="","",LEFT(TEXT(B218,"000"),1)*1)</f>
        <v/>
      </c>
      <c r="D218" s="2">
        <f>IF(B218="","",MID(TEXT(B218,"000"),2,1)*1)</f>
        <v/>
      </c>
      <c r="E218" s="2">
        <f>IF(B218="","",RIGHT(TEXT(B218,"000"),1)*1)</f>
        <v/>
      </c>
      <c r="F218" s="2">
        <f>IF(B218="","",C218+D218+E218)</f>
        <v/>
      </c>
      <c r="G218" s="2">
        <f>IF(B218="","",MOD(F218,10))</f>
        <v/>
      </c>
      <c r="H218" s="2">
        <f>IF(B218="","",MAX(C218,D218,E218)-MIN(C218,D218,E218))</f>
        <v/>
      </c>
      <c r="I218" s="2">
        <f>IF(OR(B218="",H218=0),IF(H218=0,0.1,""),ROUND(F218/H218,2))</f>
        <v/>
      </c>
      <c r="J218" s="2">
        <f>IF(I218=0.1,"极紧凑",IF(I218&gt;3.5,"紧凑",IF(AND(I218&gt;=2,I218&lt;=3.5),"标准",IF(AND(I218&gt;=1,I218&lt;2),"松散",""))))</f>
        <v/>
      </c>
      <c r="K218" s="2">
        <f>IF(I218=0.1,"极紧凑-豹子号",IF(AND(I218&gt;=1,I218&lt;=1.29),"松散-极松散",IF(AND(I218&gt;=1.33,I218&lt;=1.8),"松散-标准松散",IF(AND(I218&gt;=1.83,I218&lt;=1.89),"松散-偏紧松散",IF(AND(I218&gt;=2,I218&lt;=2.5),"标准-偏松标准",IF(AND(I218&gt;=2.57,I218&lt;=3),"标准-核心标准",IF(AND(I218&gt;=3.17,I218&lt;=3.5),"标准-偏紧标准",IF(AND(I218&gt;=3.6,I218&lt;=5),"紧凑-标准紧凑",IF(AND(I218&gt;=5.25,I218&lt;=8),"紧凑-高度紧凑",IF(I218&gt;=8.5,"紧凑-极度紧凑",""))))))))))</f>
        <v/>
      </c>
      <c r="L218" s="2">
        <f>IF(I218=0.1,"极紧凑",IF(AND(I218&gt;=1,I218&lt;=1.89),"松散",IF(AND(I218&gt;=2,I218&lt;=3.5),"标准",IF(I218&gt;=3.6,"紧凑",""))))</f>
        <v/>
      </c>
      <c r="M218" s="2" t="inlineStr">
        <is>
          <t>极紧凑-豹子号</t>
        </is>
      </c>
      <c r="N218" s="2" t="inlineStr">
        <is>
          <t>松散-极松散</t>
        </is>
      </c>
      <c r="O218" s="2" t="inlineStr">
        <is>
          <t>松散-标准松散</t>
        </is>
      </c>
      <c r="P218" s="2" t="inlineStr">
        <is>
          <t>松散-偏紧松散</t>
        </is>
      </c>
      <c r="Q218" s="2" t="inlineStr">
        <is>
          <t>标准-偏松标准</t>
        </is>
      </c>
      <c r="R218" s="2" t="inlineStr">
        <is>
          <t>标准-核心标准</t>
        </is>
      </c>
      <c r="S218" s="2" t="inlineStr">
        <is>
          <t>标准-偏紧标准</t>
        </is>
      </c>
      <c r="T218" s="2" t="inlineStr">
        <is>
          <t>紧凑-标准紧凑</t>
        </is>
      </c>
      <c r="U218" s="2" t="inlineStr">
        <is>
          <t>紧凑-高度紧凑</t>
        </is>
      </c>
      <c r="V218" s="2" t="inlineStr">
        <is>
          <t>紧凑-极度紧凑</t>
        </is>
      </c>
    </row>
    <row r="219">
      <c r="A219" s="1" t="n">
        <v>2023137</v>
      </c>
      <c r="B219" s="3" t="inlineStr">
        <is>
          <t>791</t>
        </is>
      </c>
      <c r="C219" s="2">
        <f>IF(B219="","",LEFT(TEXT(B219,"000"),1)*1)</f>
        <v/>
      </c>
      <c r="D219" s="2">
        <f>IF(B219="","",MID(TEXT(B219,"000"),2,1)*1)</f>
        <v/>
      </c>
      <c r="E219" s="2">
        <f>IF(B219="","",RIGHT(TEXT(B219,"000"),1)*1)</f>
        <v/>
      </c>
      <c r="F219" s="2">
        <f>IF(B219="","",C219+D219+E219)</f>
        <v/>
      </c>
      <c r="G219" s="2">
        <f>IF(B219="","",MOD(F219,10))</f>
        <v/>
      </c>
      <c r="H219" s="2">
        <f>IF(B219="","",MAX(C219,D219,E219)-MIN(C219,D219,E219))</f>
        <v/>
      </c>
      <c r="I219" s="2">
        <f>IF(OR(B219="",H219=0),IF(H219=0,0.1,""),ROUND(F219/H219,2))</f>
        <v/>
      </c>
      <c r="J219" s="2">
        <f>IF(I219=0.1,"极紧凑",IF(I219&gt;3.5,"紧凑",IF(AND(I219&gt;=2,I219&lt;=3.5),"标准",IF(AND(I219&gt;=1,I219&lt;2),"松散",""))))</f>
        <v/>
      </c>
      <c r="K219" s="2">
        <f>IF(I219=0.1,"极紧凑-豹子号",IF(AND(I219&gt;=1,I219&lt;=1.29),"松散-极松散",IF(AND(I219&gt;=1.33,I219&lt;=1.8),"松散-标准松散",IF(AND(I219&gt;=1.83,I219&lt;=1.89),"松散-偏紧松散",IF(AND(I219&gt;=2,I219&lt;=2.5),"标准-偏松标准",IF(AND(I219&gt;=2.57,I219&lt;=3),"标准-核心标准",IF(AND(I219&gt;=3.17,I219&lt;=3.5),"标准-偏紧标准",IF(AND(I219&gt;=3.6,I219&lt;=5),"紧凑-标准紧凑",IF(AND(I219&gt;=5.25,I219&lt;=8),"紧凑-高度紧凑",IF(I219&gt;=8.5,"紧凑-极度紧凑",""))))))))))</f>
        <v/>
      </c>
      <c r="L219" s="2">
        <f>IF(I219=0.1,"极紧凑",IF(AND(I219&gt;=1,I219&lt;=1.89),"松散",IF(AND(I219&gt;=2,I219&lt;=3.5),"标准",IF(I219&gt;=3.6,"紧凑",""))))</f>
        <v/>
      </c>
      <c r="M219" s="2" t="inlineStr">
        <is>
          <t>极紧凑-豹子号</t>
        </is>
      </c>
      <c r="N219" s="2" t="inlineStr">
        <is>
          <t>松散-极松散</t>
        </is>
      </c>
      <c r="O219" s="2" t="inlineStr">
        <is>
          <t>松散-标准松散</t>
        </is>
      </c>
      <c r="P219" s="2" t="inlineStr">
        <is>
          <t>松散-偏紧松散</t>
        </is>
      </c>
      <c r="Q219" s="2" t="inlineStr">
        <is>
          <t>标准-偏松标准</t>
        </is>
      </c>
      <c r="R219" s="2" t="inlineStr">
        <is>
          <t>标准-核心标准</t>
        </is>
      </c>
      <c r="S219" s="2" t="inlineStr">
        <is>
          <t>标准-偏紧标准</t>
        </is>
      </c>
      <c r="T219" s="2" t="inlineStr">
        <is>
          <t>紧凑-标准紧凑</t>
        </is>
      </c>
      <c r="U219" s="2" t="inlineStr">
        <is>
          <t>紧凑-高度紧凑</t>
        </is>
      </c>
      <c r="V219" s="2" t="inlineStr">
        <is>
          <t>紧凑-极度紧凑</t>
        </is>
      </c>
    </row>
    <row r="220">
      <c r="A220" s="1" t="n">
        <v>2023138</v>
      </c>
      <c r="B220" s="3" t="inlineStr">
        <is>
          <t>440</t>
        </is>
      </c>
      <c r="C220" s="2">
        <f>IF(B220="","",LEFT(TEXT(B220,"000"),1)*1)</f>
        <v/>
      </c>
      <c r="D220" s="2">
        <f>IF(B220="","",MID(TEXT(B220,"000"),2,1)*1)</f>
        <v/>
      </c>
      <c r="E220" s="2">
        <f>IF(B220="","",RIGHT(TEXT(B220,"000"),1)*1)</f>
        <v/>
      </c>
      <c r="F220" s="2">
        <f>IF(B220="","",C220+D220+E220)</f>
        <v/>
      </c>
      <c r="G220" s="2">
        <f>IF(B220="","",MOD(F220,10))</f>
        <v/>
      </c>
      <c r="H220" s="2">
        <f>IF(B220="","",MAX(C220,D220,E220)-MIN(C220,D220,E220))</f>
        <v/>
      </c>
      <c r="I220" s="2">
        <f>IF(OR(B220="",H220=0),IF(H220=0,0.1,""),ROUND(F220/H220,2))</f>
        <v/>
      </c>
      <c r="J220" s="2">
        <f>IF(I220=0.1,"极紧凑",IF(I220&gt;3.5,"紧凑",IF(AND(I220&gt;=2,I220&lt;=3.5),"标准",IF(AND(I220&gt;=1,I220&lt;2),"松散",""))))</f>
        <v/>
      </c>
      <c r="K220" s="2">
        <f>IF(I220=0.1,"极紧凑-豹子号",IF(AND(I220&gt;=1,I220&lt;=1.29),"松散-极松散",IF(AND(I220&gt;=1.33,I220&lt;=1.8),"松散-标准松散",IF(AND(I220&gt;=1.83,I220&lt;=1.89),"松散-偏紧松散",IF(AND(I220&gt;=2,I220&lt;=2.5),"标准-偏松标准",IF(AND(I220&gt;=2.57,I220&lt;=3),"标准-核心标准",IF(AND(I220&gt;=3.17,I220&lt;=3.5),"标准-偏紧标准",IF(AND(I220&gt;=3.6,I220&lt;=5),"紧凑-标准紧凑",IF(AND(I220&gt;=5.25,I220&lt;=8),"紧凑-高度紧凑",IF(I220&gt;=8.5,"紧凑-极度紧凑",""))))))))))</f>
        <v/>
      </c>
      <c r="L220" s="2">
        <f>IF(I220=0.1,"极紧凑",IF(AND(I220&gt;=1,I220&lt;=1.89),"松散",IF(AND(I220&gt;=2,I220&lt;=3.5),"标准",IF(I220&gt;=3.6,"紧凑",""))))</f>
        <v/>
      </c>
      <c r="M220" s="2" t="inlineStr">
        <is>
          <t>极紧凑-豹子号</t>
        </is>
      </c>
      <c r="N220" s="2" t="inlineStr">
        <is>
          <t>松散-极松散</t>
        </is>
      </c>
      <c r="O220" s="2" t="inlineStr">
        <is>
          <t>松散-标准松散</t>
        </is>
      </c>
      <c r="P220" s="2" t="inlineStr">
        <is>
          <t>松散-偏紧松散</t>
        </is>
      </c>
      <c r="Q220" s="2" t="inlineStr">
        <is>
          <t>标准-偏松标准</t>
        </is>
      </c>
      <c r="R220" s="2" t="inlineStr">
        <is>
          <t>标准-核心标准</t>
        </is>
      </c>
      <c r="S220" s="2" t="inlineStr">
        <is>
          <t>标准-偏紧标准</t>
        </is>
      </c>
      <c r="T220" s="2" t="inlineStr">
        <is>
          <t>紧凑-标准紧凑</t>
        </is>
      </c>
      <c r="U220" s="2" t="inlineStr">
        <is>
          <t>紧凑-高度紧凑</t>
        </is>
      </c>
      <c r="V220" s="2" t="inlineStr">
        <is>
          <t>紧凑-极度紧凑</t>
        </is>
      </c>
    </row>
    <row r="221">
      <c r="A221" s="1" t="n">
        <v>2023139</v>
      </c>
      <c r="B221" s="3" t="inlineStr">
        <is>
          <t>429</t>
        </is>
      </c>
      <c r="C221" s="2">
        <f>IF(B221="","",LEFT(TEXT(B221,"000"),1)*1)</f>
        <v/>
      </c>
      <c r="D221" s="2">
        <f>IF(B221="","",MID(TEXT(B221,"000"),2,1)*1)</f>
        <v/>
      </c>
      <c r="E221" s="2">
        <f>IF(B221="","",RIGHT(TEXT(B221,"000"),1)*1)</f>
        <v/>
      </c>
      <c r="F221" s="2">
        <f>IF(B221="","",C221+D221+E221)</f>
        <v/>
      </c>
      <c r="G221" s="2">
        <f>IF(B221="","",MOD(F221,10))</f>
        <v/>
      </c>
      <c r="H221" s="2">
        <f>IF(B221="","",MAX(C221,D221,E221)-MIN(C221,D221,E221))</f>
        <v/>
      </c>
      <c r="I221" s="2">
        <f>IF(OR(B221="",H221=0),IF(H221=0,0.1,""),ROUND(F221/H221,2))</f>
        <v/>
      </c>
      <c r="J221" s="2">
        <f>IF(I221=0.1,"极紧凑",IF(I221&gt;3.5,"紧凑",IF(AND(I221&gt;=2,I221&lt;=3.5),"标准",IF(AND(I221&gt;=1,I221&lt;2),"松散",""))))</f>
        <v/>
      </c>
      <c r="K221" s="2">
        <f>IF(I221=0.1,"极紧凑-豹子号",IF(AND(I221&gt;=1,I221&lt;=1.29),"松散-极松散",IF(AND(I221&gt;=1.33,I221&lt;=1.8),"松散-标准松散",IF(AND(I221&gt;=1.83,I221&lt;=1.89),"松散-偏紧松散",IF(AND(I221&gt;=2,I221&lt;=2.5),"标准-偏松标准",IF(AND(I221&gt;=2.57,I221&lt;=3),"标准-核心标准",IF(AND(I221&gt;=3.17,I221&lt;=3.5),"标准-偏紧标准",IF(AND(I221&gt;=3.6,I221&lt;=5),"紧凑-标准紧凑",IF(AND(I221&gt;=5.25,I221&lt;=8),"紧凑-高度紧凑",IF(I221&gt;=8.5,"紧凑-极度紧凑",""))))))))))</f>
        <v/>
      </c>
      <c r="L221" s="2">
        <f>IF(I221=0.1,"极紧凑",IF(AND(I221&gt;=1,I221&lt;=1.89),"松散",IF(AND(I221&gt;=2,I221&lt;=3.5),"标准",IF(I221&gt;=3.6,"紧凑",""))))</f>
        <v/>
      </c>
      <c r="M221" s="2" t="inlineStr">
        <is>
          <t>极紧凑-豹子号</t>
        </is>
      </c>
      <c r="N221" s="2" t="inlineStr">
        <is>
          <t>松散-极松散</t>
        </is>
      </c>
      <c r="O221" s="2" t="inlineStr">
        <is>
          <t>松散-标准松散</t>
        </is>
      </c>
      <c r="P221" s="2" t="inlineStr">
        <is>
          <t>松散-偏紧松散</t>
        </is>
      </c>
      <c r="Q221" s="2" t="inlineStr">
        <is>
          <t>标准-偏松标准</t>
        </is>
      </c>
      <c r="R221" s="2" t="inlineStr">
        <is>
          <t>标准-核心标准</t>
        </is>
      </c>
      <c r="S221" s="2" t="inlineStr">
        <is>
          <t>标准-偏紧标准</t>
        </is>
      </c>
      <c r="T221" s="2" t="inlineStr">
        <is>
          <t>紧凑-标准紧凑</t>
        </is>
      </c>
      <c r="U221" s="2" t="inlineStr">
        <is>
          <t>紧凑-高度紧凑</t>
        </is>
      </c>
      <c r="V221" s="2" t="inlineStr">
        <is>
          <t>紧凑-极度紧凑</t>
        </is>
      </c>
    </row>
    <row r="222">
      <c r="A222" s="1" t="n">
        <v>2023140</v>
      </c>
      <c r="B222" s="2" t="inlineStr">
        <is>
          <t>093</t>
        </is>
      </c>
      <c r="C222" s="2">
        <f>IF(B222="","",LEFT(TEXT(B222,"000"),1)*1)</f>
        <v/>
      </c>
      <c r="D222" s="2">
        <f>IF(B222="","",MID(TEXT(B222,"000"),2,1)*1)</f>
        <v/>
      </c>
      <c r="E222" s="2">
        <f>IF(B222="","",RIGHT(TEXT(B222,"000"),1)*1)</f>
        <v/>
      </c>
      <c r="F222" s="2">
        <f>IF(B222="","",C222+D222+E222)</f>
        <v/>
      </c>
      <c r="G222" s="2">
        <f>IF(B222="","",MOD(F222,10))</f>
        <v/>
      </c>
      <c r="H222" s="2">
        <f>IF(B222="","",MAX(C222,D222,E222)-MIN(C222,D222,E222))</f>
        <v/>
      </c>
      <c r="I222" s="2">
        <f>IF(OR(B222="",H222=0),IF(H222=0,0.1,""),ROUND(F222/H222,2))</f>
        <v/>
      </c>
      <c r="J222" s="2">
        <f>IF(I222=0.1,"极紧凑",IF(I222&gt;3.5,"紧凑",IF(AND(I222&gt;=2,I222&lt;=3.5),"标准",IF(AND(I222&gt;=1,I222&lt;2),"松散",""))))</f>
        <v/>
      </c>
      <c r="K222" s="2">
        <f>IF(I222=0.1,"极紧凑-豹子号",IF(AND(I222&gt;=1,I222&lt;=1.29),"松散-极松散",IF(AND(I222&gt;=1.33,I222&lt;=1.8),"松散-标准松散",IF(AND(I222&gt;=1.83,I222&lt;=1.89),"松散-偏紧松散",IF(AND(I222&gt;=2,I222&lt;=2.5),"标准-偏松标准",IF(AND(I222&gt;=2.57,I222&lt;=3),"标准-核心标准",IF(AND(I222&gt;=3.17,I222&lt;=3.5),"标准-偏紧标准",IF(AND(I222&gt;=3.6,I222&lt;=5),"紧凑-标准紧凑",IF(AND(I222&gt;=5.25,I222&lt;=8),"紧凑-高度紧凑",IF(I222&gt;=8.5,"紧凑-极度紧凑",""))))))))))</f>
        <v/>
      </c>
      <c r="L222" s="2">
        <f>IF(I222=0.1,"极紧凑",IF(AND(I222&gt;=1,I222&lt;=1.89),"松散",IF(AND(I222&gt;=2,I222&lt;=3.5),"标准",IF(I222&gt;=3.6,"紧凑",""))))</f>
        <v/>
      </c>
      <c r="M222" s="2" t="inlineStr">
        <is>
          <t>极紧凑-豹子号</t>
        </is>
      </c>
      <c r="N222" s="2" t="inlineStr">
        <is>
          <t>松散-极松散</t>
        </is>
      </c>
      <c r="O222" s="2" t="inlineStr">
        <is>
          <t>松散-标准松散</t>
        </is>
      </c>
      <c r="P222" s="2" t="inlineStr">
        <is>
          <t>松散-偏紧松散</t>
        </is>
      </c>
      <c r="Q222" s="2" t="inlineStr">
        <is>
          <t>标准-偏松标准</t>
        </is>
      </c>
      <c r="R222" s="2" t="inlineStr">
        <is>
          <t>标准-核心标准</t>
        </is>
      </c>
      <c r="S222" s="2" t="inlineStr">
        <is>
          <t>标准-偏紧标准</t>
        </is>
      </c>
      <c r="T222" s="2" t="inlineStr">
        <is>
          <t>紧凑-标准紧凑</t>
        </is>
      </c>
      <c r="U222" s="2" t="inlineStr">
        <is>
          <t>紧凑-高度紧凑</t>
        </is>
      </c>
      <c r="V222" s="2" t="inlineStr">
        <is>
          <t>紧凑-极度紧凑</t>
        </is>
      </c>
    </row>
    <row r="223">
      <c r="A223" s="1" t="n">
        <v>2023141</v>
      </c>
      <c r="B223" s="3" t="inlineStr">
        <is>
          <t>743</t>
        </is>
      </c>
      <c r="C223" s="2">
        <f>IF(B223="","",LEFT(TEXT(B223,"000"),1)*1)</f>
        <v/>
      </c>
      <c r="D223" s="2">
        <f>IF(B223="","",MID(TEXT(B223,"000"),2,1)*1)</f>
        <v/>
      </c>
      <c r="E223" s="2">
        <f>IF(B223="","",RIGHT(TEXT(B223,"000"),1)*1)</f>
        <v/>
      </c>
      <c r="F223" s="2">
        <f>IF(B223="","",C223+D223+E223)</f>
        <v/>
      </c>
      <c r="G223" s="2">
        <f>IF(B223="","",MOD(F223,10))</f>
        <v/>
      </c>
      <c r="H223" s="2">
        <f>IF(B223="","",MAX(C223,D223,E223)-MIN(C223,D223,E223))</f>
        <v/>
      </c>
      <c r="I223" s="2">
        <f>IF(OR(B223="",H223=0),IF(H223=0,0.1,""),ROUND(F223/H223,2))</f>
        <v/>
      </c>
      <c r="J223" s="2">
        <f>IF(I223=0.1,"极紧凑",IF(I223&gt;3.5,"紧凑",IF(AND(I223&gt;=2,I223&lt;=3.5),"标准",IF(AND(I223&gt;=1,I223&lt;2),"松散",""))))</f>
        <v/>
      </c>
      <c r="K223" s="2">
        <f>IF(I223=0.1,"极紧凑-豹子号",IF(AND(I223&gt;=1,I223&lt;=1.29),"松散-极松散",IF(AND(I223&gt;=1.33,I223&lt;=1.8),"松散-标准松散",IF(AND(I223&gt;=1.83,I223&lt;=1.89),"松散-偏紧松散",IF(AND(I223&gt;=2,I223&lt;=2.5),"标准-偏松标准",IF(AND(I223&gt;=2.57,I223&lt;=3),"标准-核心标准",IF(AND(I223&gt;=3.17,I223&lt;=3.5),"标准-偏紧标准",IF(AND(I223&gt;=3.6,I223&lt;=5),"紧凑-标准紧凑",IF(AND(I223&gt;=5.25,I223&lt;=8),"紧凑-高度紧凑",IF(I223&gt;=8.5,"紧凑-极度紧凑",""))))))))))</f>
        <v/>
      </c>
      <c r="L223" s="2">
        <f>IF(I223=0.1,"极紧凑",IF(AND(I223&gt;=1,I223&lt;=1.89),"松散",IF(AND(I223&gt;=2,I223&lt;=3.5),"标准",IF(I223&gt;=3.6,"紧凑",""))))</f>
        <v/>
      </c>
      <c r="M223" s="2" t="inlineStr">
        <is>
          <t>极紧凑-豹子号</t>
        </is>
      </c>
      <c r="N223" s="2" t="inlineStr">
        <is>
          <t>松散-极松散</t>
        </is>
      </c>
      <c r="O223" s="2" t="inlineStr">
        <is>
          <t>松散-标准松散</t>
        </is>
      </c>
      <c r="P223" s="2" t="inlineStr">
        <is>
          <t>松散-偏紧松散</t>
        </is>
      </c>
      <c r="Q223" s="2" t="inlineStr">
        <is>
          <t>标准-偏松标准</t>
        </is>
      </c>
      <c r="R223" s="2" t="inlineStr">
        <is>
          <t>标准-核心标准</t>
        </is>
      </c>
      <c r="S223" s="2" t="inlineStr">
        <is>
          <t>标准-偏紧标准</t>
        </is>
      </c>
      <c r="T223" s="2" t="inlineStr">
        <is>
          <t>紧凑-标准紧凑</t>
        </is>
      </c>
      <c r="U223" s="2" t="inlineStr">
        <is>
          <t>紧凑-高度紧凑</t>
        </is>
      </c>
      <c r="V223" s="2" t="inlineStr">
        <is>
          <t>紧凑-极度紧凑</t>
        </is>
      </c>
    </row>
    <row r="224">
      <c r="A224" s="1" t="n">
        <v>2023142</v>
      </c>
      <c r="B224" s="3" t="inlineStr">
        <is>
          <t>157</t>
        </is>
      </c>
      <c r="C224" s="2">
        <f>IF(B224="","",LEFT(TEXT(B224,"000"),1)*1)</f>
        <v/>
      </c>
      <c r="D224" s="2">
        <f>IF(B224="","",MID(TEXT(B224,"000"),2,1)*1)</f>
        <v/>
      </c>
      <c r="E224" s="2">
        <f>IF(B224="","",RIGHT(TEXT(B224,"000"),1)*1)</f>
        <v/>
      </c>
      <c r="F224" s="2">
        <f>IF(B224="","",C224+D224+E224)</f>
        <v/>
      </c>
      <c r="G224" s="2">
        <f>IF(B224="","",MOD(F224,10))</f>
        <v/>
      </c>
      <c r="H224" s="2">
        <f>IF(B224="","",MAX(C224,D224,E224)-MIN(C224,D224,E224))</f>
        <v/>
      </c>
      <c r="I224" s="2">
        <f>IF(OR(B224="",H224=0),IF(H224=0,0.1,""),ROUND(F224/H224,2))</f>
        <v/>
      </c>
      <c r="J224" s="2">
        <f>IF(I224=0.1,"极紧凑",IF(I224&gt;3.5,"紧凑",IF(AND(I224&gt;=2,I224&lt;=3.5),"标准",IF(AND(I224&gt;=1,I224&lt;2),"松散",""))))</f>
        <v/>
      </c>
      <c r="K224" s="2">
        <f>IF(I224=0.1,"极紧凑-豹子号",IF(AND(I224&gt;=1,I224&lt;=1.29),"松散-极松散",IF(AND(I224&gt;=1.33,I224&lt;=1.8),"松散-标准松散",IF(AND(I224&gt;=1.83,I224&lt;=1.89),"松散-偏紧松散",IF(AND(I224&gt;=2,I224&lt;=2.5),"标准-偏松标准",IF(AND(I224&gt;=2.57,I224&lt;=3),"标准-核心标准",IF(AND(I224&gt;=3.17,I224&lt;=3.5),"标准-偏紧标准",IF(AND(I224&gt;=3.6,I224&lt;=5),"紧凑-标准紧凑",IF(AND(I224&gt;=5.25,I224&lt;=8),"紧凑-高度紧凑",IF(I224&gt;=8.5,"紧凑-极度紧凑",""))))))))))</f>
        <v/>
      </c>
      <c r="L224" s="2">
        <f>IF(I224=0.1,"极紧凑",IF(AND(I224&gt;=1,I224&lt;=1.89),"松散",IF(AND(I224&gt;=2,I224&lt;=3.5),"标准",IF(I224&gt;=3.6,"紧凑",""))))</f>
        <v/>
      </c>
      <c r="M224" s="2" t="inlineStr">
        <is>
          <t>极紧凑-豹子号</t>
        </is>
      </c>
      <c r="N224" s="2" t="inlineStr">
        <is>
          <t>松散-极松散</t>
        </is>
      </c>
      <c r="O224" s="2" t="inlineStr">
        <is>
          <t>松散-标准松散</t>
        </is>
      </c>
      <c r="P224" s="2" t="inlineStr">
        <is>
          <t>松散-偏紧松散</t>
        </is>
      </c>
      <c r="Q224" s="2" t="inlineStr">
        <is>
          <t>标准-偏松标准</t>
        </is>
      </c>
      <c r="R224" s="2" t="inlineStr">
        <is>
          <t>标准-核心标准</t>
        </is>
      </c>
      <c r="S224" s="2" t="inlineStr">
        <is>
          <t>标准-偏紧标准</t>
        </is>
      </c>
      <c r="T224" s="2" t="inlineStr">
        <is>
          <t>紧凑-标准紧凑</t>
        </is>
      </c>
      <c r="U224" s="2" t="inlineStr">
        <is>
          <t>紧凑-高度紧凑</t>
        </is>
      </c>
      <c r="V224" s="2" t="inlineStr">
        <is>
          <t>紧凑-极度紧凑</t>
        </is>
      </c>
    </row>
    <row r="225">
      <c r="A225" s="1" t="n">
        <v>2023143</v>
      </c>
      <c r="B225" s="3" t="inlineStr">
        <is>
          <t>848</t>
        </is>
      </c>
      <c r="C225" s="2">
        <f>IF(B225="","",LEFT(TEXT(B225,"000"),1)*1)</f>
        <v/>
      </c>
      <c r="D225" s="2">
        <f>IF(B225="","",MID(TEXT(B225,"000"),2,1)*1)</f>
        <v/>
      </c>
      <c r="E225" s="2">
        <f>IF(B225="","",RIGHT(TEXT(B225,"000"),1)*1)</f>
        <v/>
      </c>
      <c r="F225" s="2">
        <f>IF(B225="","",C225+D225+E225)</f>
        <v/>
      </c>
      <c r="G225" s="2">
        <f>IF(B225="","",MOD(F225,10))</f>
        <v/>
      </c>
      <c r="H225" s="2">
        <f>IF(B225="","",MAX(C225,D225,E225)-MIN(C225,D225,E225))</f>
        <v/>
      </c>
      <c r="I225" s="2">
        <f>IF(OR(B225="",H225=0),IF(H225=0,0.1,""),ROUND(F225/H225,2))</f>
        <v/>
      </c>
      <c r="J225" s="2">
        <f>IF(I225=0.1,"极紧凑",IF(I225&gt;3.5,"紧凑",IF(AND(I225&gt;=2,I225&lt;=3.5),"标准",IF(AND(I225&gt;=1,I225&lt;2),"松散",""))))</f>
        <v/>
      </c>
      <c r="K225" s="2">
        <f>IF(I225=0.1,"极紧凑-豹子号",IF(AND(I225&gt;=1,I225&lt;=1.29),"松散-极松散",IF(AND(I225&gt;=1.33,I225&lt;=1.8),"松散-标准松散",IF(AND(I225&gt;=1.83,I225&lt;=1.89),"松散-偏紧松散",IF(AND(I225&gt;=2,I225&lt;=2.5),"标准-偏松标准",IF(AND(I225&gt;=2.57,I225&lt;=3),"标准-核心标准",IF(AND(I225&gt;=3.17,I225&lt;=3.5),"标准-偏紧标准",IF(AND(I225&gt;=3.6,I225&lt;=5),"紧凑-标准紧凑",IF(AND(I225&gt;=5.25,I225&lt;=8),"紧凑-高度紧凑",IF(I225&gt;=8.5,"紧凑-极度紧凑",""))))))))))</f>
        <v/>
      </c>
      <c r="L225" s="2">
        <f>IF(I225=0.1,"极紧凑",IF(AND(I225&gt;=1,I225&lt;=1.89),"松散",IF(AND(I225&gt;=2,I225&lt;=3.5),"标准",IF(I225&gt;=3.6,"紧凑",""))))</f>
        <v/>
      </c>
      <c r="M225" s="2" t="inlineStr">
        <is>
          <t>极紧凑-豹子号</t>
        </is>
      </c>
      <c r="N225" s="2" t="inlineStr">
        <is>
          <t>松散-极松散</t>
        </is>
      </c>
      <c r="O225" s="2" t="inlineStr">
        <is>
          <t>松散-标准松散</t>
        </is>
      </c>
      <c r="P225" s="2" t="inlineStr">
        <is>
          <t>松散-偏紧松散</t>
        </is>
      </c>
      <c r="Q225" s="2" t="inlineStr">
        <is>
          <t>标准-偏松标准</t>
        </is>
      </c>
      <c r="R225" s="2" t="inlineStr">
        <is>
          <t>标准-核心标准</t>
        </is>
      </c>
      <c r="S225" s="2" t="inlineStr">
        <is>
          <t>标准-偏紧标准</t>
        </is>
      </c>
      <c r="T225" s="2" t="inlineStr">
        <is>
          <t>紧凑-标准紧凑</t>
        </is>
      </c>
      <c r="U225" s="2" t="inlineStr">
        <is>
          <t>紧凑-高度紧凑</t>
        </is>
      </c>
      <c r="V225" s="2" t="inlineStr">
        <is>
          <t>紧凑-极度紧凑</t>
        </is>
      </c>
    </row>
    <row r="226">
      <c r="A226" s="1" t="n">
        <v>2023144</v>
      </c>
      <c r="B226" s="3" t="inlineStr">
        <is>
          <t>563</t>
        </is>
      </c>
      <c r="C226" s="2">
        <f>IF(B226="","",LEFT(TEXT(B226,"000"),1)*1)</f>
        <v/>
      </c>
      <c r="D226" s="2">
        <f>IF(B226="","",MID(TEXT(B226,"000"),2,1)*1)</f>
        <v/>
      </c>
      <c r="E226" s="2">
        <f>IF(B226="","",RIGHT(TEXT(B226,"000"),1)*1)</f>
        <v/>
      </c>
      <c r="F226" s="2">
        <f>IF(B226="","",C226+D226+E226)</f>
        <v/>
      </c>
      <c r="G226" s="2">
        <f>IF(B226="","",MOD(F226,10))</f>
        <v/>
      </c>
      <c r="H226" s="2">
        <f>IF(B226="","",MAX(C226,D226,E226)-MIN(C226,D226,E226))</f>
        <v/>
      </c>
      <c r="I226" s="2">
        <f>IF(OR(B226="",H226=0),IF(H226=0,0.1,""),ROUND(F226/H226,2))</f>
        <v/>
      </c>
      <c r="J226" s="2">
        <f>IF(I226=0.1,"极紧凑",IF(I226&gt;3.5,"紧凑",IF(AND(I226&gt;=2,I226&lt;=3.5),"标准",IF(AND(I226&gt;=1,I226&lt;2),"松散",""))))</f>
        <v/>
      </c>
      <c r="K226" s="2">
        <f>IF(I226=0.1,"极紧凑-豹子号",IF(AND(I226&gt;=1,I226&lt;=1.29),"松散-极松散",IF(AND(I226&gt;=1.33,I226&lt;=1.8),"松散-标准松散",IF(AND(I226&gt;=1.83,I226&lt;=1.89),"松散-偏紧松散",IF(AND(I226&gt;=2,I226&lt;=2.5),"标准-偏松标准",IF(AND(I226&gt;=2.57,I226&lt;=3),"标准-核心标准",IF(AND(I226&gt;=3.17,I226&lt;=3.5),"标准-偏紧标准",IF(AND(I226&gt;=3.6,I226&lt;=5),"紧凑-标准紧凑",IF(AND(I226&gt;=5.25,I226&lt;=8),"紧凑-高度紧凑",IF(I226&gt;=8.5,"紧凑-极度紧凑",""))))))))))</f>
        <v/>
      </c>
      <c r="L226" s="2">
        <f>IF(I226=0.1,"极紧凑",IF(AND(I226&gt;=1,I226&lt;=1.89),"松散",IF(AND(I226&gt;=2,I226&lt;=3.5),"标准",IF(I226&gt;=3.6,"紧凑",""))))</f>
        <v/>
      </c>
      <c r="M226" s="2" t="inlineStr">
        <is>
          <t>极紧凑-豹子号</t>
        </is>
      </c>
      <c r="N226" s="2" t="inlineStr">
        <is>
          <t>松散-极松散</t>
        </is>
      </c>
      <c r="O226" s="2" t="inlineStr">
        <is>
          <t>松散-标准松散</t>
        </is>
      </c>
      <c r="P226" s="2" t="inlineStr">
        <is>
          <t>松散-偏紧松散</t>
        </is>
      </c>
      <c r="Q226" s="2" t="inlineStr">
        <is>
          <t>标准-偏松标准</t>
        </is>
      </c>
      <c r="R226" s="2" t="inlineStr">
        <is>
          <t>标准-核心标准</t>
        </is>
      </c>
      <c r="S226" s="2" t="inlineStr">
        <is>
          <t>标准-偏紧标准</t>
        </is>
      </c>
      <c r="T226" s="2" t="inlineStr">
        <is>
          <t>紧凑-标准紧凑</t>
        </is>
      </c>
      <c r="U226" s="2" t="inlineStr">
        <is>
          <t>紧凑-高度紧凑</t>
        </is>
      </c>
      <c r="V226" s="2" t="inlineStr">
        <is>
          <t>紧凑-极度紧凑</t>
        </is>
      </c>
    </row>
    <row r="227">
      <c r="A227" s="1" t="n">
        <v>2023145</v>
      </c>
      <c r="B227" s="3" t="inlineStr">
        <is>
          <t>883</t>
        </is>
      </c>
      <c r="C227" s="2">
        <f>IF(B227="","",LEFT(TEXT(B227,"000"),1)*1)</f>
        <v/>
      </c>
      <c r="D227" s="2">
        <f>IF(B227="","",MID(TEXT(B227,"000"),2,1)*1)</f>
        <v/>
      </c>
      <c r="E227" s="2">
        <f>IF(B227="","",RIGHT(TEXT(B227,"000"),1)*1)</f>
        <v/>
      </c>
      <c r="F227" s="2">
        <f>IF(B227="","",C227+D227+E227)</f>
        <v/>
      </c>
      <c r="G227" s="2">
        <f>IF(B227="","",MOD(F227,10))</f>
        <v/>
      </c>
      <c r="H227" s="2">
        <f>IF(B227="","",MAX(C227,D227,E227)-MIN(C227,D227,E227))</f>
        <v/>
      </c>
      <c r="I227" s="2">
        <f>IF(OR(B227="",H227=0),IF(H227=0,0.1,""),ROUND(F227/H227,2))</f>
        <v/>
      </c>
      <c r="J227" s="2">
        <f>IF(I227=0.1,"极紧凑",IF(I227&gt;3.5,"紧凑",IF(AND(I227&gt;=2,I227&lt;=3.5),"标准",IF(AND(I227&gt;=1,I227&lt;2),"松散",""))))</f>
        <v/>
      </c>
      <c r="K227" s="2">
        <f>IF(I227=0.1,"极紧凑-豹子号",IF(AND(I227&gt;=1,I227&lt;=1.29),"松散-极松散",IF(AND(I227&gt;=1.33,I227&lt;=1.8),"松散-标准松散",IF(AND(I227&gt;=1.83,I227&lt;=1.89),"松散-偏紧松散",IF(AND(I227&gt;=2,I227&lt;=2.5),"标准-偏松标准",IF(AND(I227&gt;=2.57,I227&lt;=3),"标准-核心标准",IF(AND(I227&gt;=3.17,I227&lt;=3.5),"标准-偏紧标准",IF(AND(I227&gt;=3.6,I227&lt;=5),"紧凑-标准紧凑",IF(AND(I227&gt;=5.25,I227&lt;=8),"紧凑-高度紧凑",IF(I227&gt;=8.5,"紧凑-极度紧凑",""))))))))))</f>
        <v/>
      </c>
      <c r="L227" s="2">
        <f>IF(I227=0.1,"极紧凑",IF(AND(I227&gt;=1,I227&lt;=1.89),"松散",IF(AND(I227&gt;=2,I227&lt;=3.5),"标准",IF(I227&gt;=3.6,"紧凑",""))))</f>
        <v/>
      </c>
      <c r="M227" s="2" t="inlineStr">
        <is>
          <t>极紧凑-豹子号</t>
        </is>
      </c>
      <c r="N227" s="2" t="inlineStr">
        <is>
          <t>松散-极松散</t>
        </is>
      </c>
      <c r="O227" s="2" t="inlineStr">
        <is>
          <t>松散-标准松散</t>
        </is>
      </c>
      <c r="P227" s="2" t="inlineStr">
        <is>
          <t>松散-偏紧松散</t>
        </is>
      </c>
      <c r="Q227" s="2" t="inlineStr">
        <is>
          <t>标准-偏松标准</t>
        </is>
      </c>
      <c r="R227" s="2" t="inlineStr">
        <is>
          <t>标准-核心标准</t>
        </is>
      </c>
      <c r="S227" s="2" t="inlineStr">
        <is>
          <t>标准-偏紧标准</t>
        </is>
      </c>
      <c r="T227" s="2" t="inlineStr">
        <is>
          <t>紧凑-标准紧凑</t>
        </is>
      </c>
      <c r="U227" s="2" t="inlineStr">
        <is>
          <t>紧凑-高度紧凑</t>
        </is>
      </c>
      <c r="V227" s="2" t="inlineStr">
        <is>
          <t>紧凑-极度紧凑</t>
        </is>
      </c>
    </row>
    <row r="228">
      <c r="A228" s="1" t="n">
        <v>2023146</v>
      </c>
      <c r="B228" s="3" t="inlineStr">
        <is>
          <t>587</t>
        </is>
      </c>
      <c r="C228" s="2">
        <f>IF(B228="","",LEFT(TEXT(B228,"000"),1)*1)</f>
        <v/>
      </c>
      <c r="D228" s="2">
        <f>IF(B228="","",MID(TEXT(B228,"000"),2,1)*1)</f>
        <v/>
      </c>
      <c r="E228" s="2">
        <f>IF(B228="","",RIGHT(TEXT(B228,"000"),1)*1)</f>
        <v/>
      </c>
      <c r="F228" s="2">
        <f>IF(B228="","",C228+D228+E228)</f>
        <v/>
      </c>
      <c r="G228" s="2">
        <f>IF(B228="","",MOD(F228,10))</f>
        <v/>
      </c>
      <c r="H228" s="2">
        <f>IF(B228="","",MAX(C228,D228,E228)-MIN(C228,D228,E228))</f>
        <v/>
      </c>
      <c r="I228" s="2">
        <f>IF(OR(B228="",H228=0),IF(H228=0,0.1,""),ROUND(F228/H228,2))</f>
        <v/>
      </c>
      <c r="J228" s="2">
        <f>IF(I228=0.1,"极紧凑",IF(I228&gt;3.5,"紧凑",IF(AND(I228&gt;=2,I228&lt;=3.5),"标准",IF(AND(I228&gt;=1,I228&lt;2),"松散",""))))</f>
        <v/>
      </c>
      <c r="K228" s="2">
        <f>IF(I228=0.1,"极紧凑-豹子号",IF(AND(I228&gt;=1,I228&lt;=1.29),"松散-极松散",IF(AND(I228&gt;=1.33,I228&lt;=1.8),"松散-标准松散",IF(AND(I228&gt;=1.83,I228&lt;=1.89),"松散-偏紧松散",IF(AND(I228&gt;=2,I228&lt;=2.5),"标准-偏松标准",IF(AND(I228&gt;=2.57,I228&lt;=3),"标准-核心标准",IF(AND(I228&gt;=3.17,I228&lt;=3.5),"标准-偏紧标准",IF(AND(I228&gt;=3.6,I228&lt;=5),"紧凑-标准紧凑",IF(AND(I228&gt;=5.25,I228&lt;=8),"紧凑-高度紧凑",IF(I228&gt;=8.5,"紧凑-极度紧凑",""))))))))))</f>
        <v/>
      </c>
      <c r="L228" s="2">
        <f>IF(I228=0.1,"极紧凑",IF(AND(I228&gt;=1,I228&lt;=1.89),"松散",IF(AND(I228&gt;=2,I228&lt;=3.5),"标准",IF(I228&gt;=3.6,"紧凑",""))))</f>
        <v/>
      </c>
      <c r="M228" s="2" t="inlineStr">
        <is>
          <t>极紧凑-豹子号</t>
        </is>
      </c>
      <c r="N228" s="2" t="inlineStr">
        <is>
          <t>松散-极松散</t>
        </is>
      </c>
      <c r="O228" s="2" t="inlineStr">
        <is>
          <t>松散-标准松散</t>
        </is>
      </c>
      <c r="P228" s="2" t="inlineStr">
        <is>
          <t>松散-偏紧松散</t>
        </is>
      </c>
      <c r="Q228" s="2" t="inlineStr">
        <is>
          <t>标准-偏松标准</t>
        </is>
      </c>
      <c r="R228" s="2" t="inlineStr">
        <is>
          <t>标准-核心标准</t>
        </is>
      </c>
      <c r="S228" s="2" t="inlineStr">
        <is>
          <t>标准-偏紧标准</t>
        </is>
      </c>
      <c r="T228" s="2" t="inlineStr">
        <is>
          <t>紧凑-标准紧凑</t>
        </is>
      </c>
      <c r="U228" s="2" t="inlineStr">
        <is>
          <t>紧凑-高度紧凑</t>
        </is>
      </c>
      <c r="V228" s="2" t="inlineStr">
        <is>
          <t>紧凑-极度紧凑</t>
        </is>
      </c>
    </row>
    <row r="229">
      <c r="A229" s="1" t="n">
        <v>2023147</v>
      </c>
      <c r="B229" s="3" t="inlineStr">
        <is>
          <t>863</t>
        </is>
      </c>
      <c r="C229" s="2">
        <f>IF(B229="","",LEFT(TEXT(B229,"000"),1)*1)</f>
        <v/>
      </c>
      <c r="D229" s="2">
        <f>IF(B229="","",MID(TEXT(B229,"000"),2,1)*1)</f>
        <v/>
      </c>
      <c r="E229" s="2">
        <f>IF(B229="","",RIGHT(TEXT(B229,"000"),1)*1)</f>
        <v/>
      </c>
      <c r="F229" s="2">
        <f>IF(B229="","",C229+D229+E229)</f>
        <v/>
      </c>
      <c r="G229" s="2">
        <f>IF(B229="","",MOD(F229,10))</f>
        <v/>
      </c>
      <c r="H229" s="2">
        <f>IF(B229="","",MAX(C229,D229,E229)-MIN(C229,D229,E229))</f>
        <v/>
      </c>
      <c r="I229" s="2">
        <f>IF(OR(B229="",H229=0),IF(H229=0,0.1,""),ROUND(F229/H229,2))</f>
        <v/>
      </c>
      <c r="J229" s="2">
        <f>IF(I229=0.1,"极紧凑",IF(I229&gt;3.5,"紧凑",IF(AND(I229&gt;=2,I229&lt;=3.5),"标准",IF(AND(I229&gt;=1,I229&lt;2),"松散",""))))</f>
        <v/>
      </c>
      <c r="K229" s="2">
        <f>IF(I229=0.1,"极紧凑-豹子号",IF(AND(I229&gt;=1,I229&lt;=1.29),"松散-极松散",IF(AND(I229&gt;=1.33,I229&lt;=1.8),"松散-标准松散",IF(AND(I229&gt;=1.83,I229&lt;=1.89),"松散-偏紧松散",IF(AND(I229&gt;=2,I229&lt;=2.5),"标准-偏松标准",IF(AND(I229&gt;=2.57,I229&lt;=3),"标准-核心标准",IF(AND(I229&gt;=3.17,I229&lt;=3.5),"标准-偏紧标准",IF(AND(I229&gt;=3.6,I229&lt;=5),"紧凑-标准紧凑",IF(AND(I229&gt;=5.25,I229&lt;=8),"紧凑-高度紧凑",IF(I229&gt;=8.5,"紧凑-极度紧凑",""))))))))))</f>
        <v/>
      </c>
      <c r="L229" s="2">
        <f>IF(I229=0.1,"极紧凑",IF(AND(I229&gt;=1,I229&lt;=1.89),"松散",IF(AND(I229&gt;=2,I229&lt;=3.5),"标准",IF(I229&gt;=3.6,"紧凑",""))))</f>
        <v/>
      </c>
      <c r="M229" s="2" t="inlineStr">
        <is>
          <t>极紧凑-豹子号</t>
        </is>
      </c>
      <c r="N229" s="2" t="inlineStr">
        <is>
          <t>松散-极松散</t>
        </is>
      </c>
      <c r="O229" s="2" t="inlineStr">
        <is>
          <t>松散-标准松散</t>
        </is>
      </c>
      <c r="P229" s="2" t="inlineStr">
        <is>
          <t>松散-偏紧松散</t>
        </is>
      </c>
      <c r="Q229" s="2" t="inlineStr">
        <is>
          <t>标准-偏松标准</t>
        </is>
      </c>
      <c r="R229" s="2" t="inlineStr">
        <is>
          <t>标准-核心标准</t>
        </is>
      </c>
      <c r="S229" s="2" t="inlineStr">
        <is>
          <t>标准-偏紧标准</t>
        </is>
      </c>
      <c r="T229" s="2" t="inlineStr">
        <is>
          <t>紧凑-标准紧凑</t>
        </is>
      </c>
      <c r="U229" s="2" t="inlineStr">
        <is>
          <t>紧凑-高度紧凑</t>
        </is>
      </c>
      <c r="V229" s="2" t="inlineStr">
        <is>
          <t>紧凑-极度紧凑</t>
        </is>
      </c>
    </row>
    <row r="230">
      <c r="A230" s="1" t="n">
        <v>2023148</v>
      </c>
      <c r="B230" s="3" t="inlineStr">
        <is>
          <t>336</t>
        </is>
      </c>
      <c r="C230" s="2">
        <f>IF(B230="","",LEFT(TEXT(B230,"000"),1)*1)</f>
        <v/>
      </c>
      <c r="D230" s="2">
        <f>IF(B230="","",MID(TEXT(B230,"000"),2,1)*1)</f>
        <v/>
      </c>
      <c r="E230" s="2">
        <f>IF(B230="","",RIGHT(TEXT(B230,"000"),1)*1)</f>
        <v/>
      </c>
      <c r="F230" s="2">
        <f>IF(B230="","",C230+D230+E230)</f>
        <v/>
      </c>
      <c r="G230" s="2">
        <f>IF(B230="","",MOD(F230,10))</f>
        <v/>
      </c>
      <c r="H230" s="2">
        <f>IF(B230="","",MAX(C230,D230,E230)-MIN(C230,D230,E230))</f>
        <v/>
      </c>
      <c r="I230" s="2">
        <f>IF(OR(B230="",H230=0),IF(H230=0,0.1,""),ROUND(F230/H230,2))</f>
        <v/>
      </c>
      <c r="J230" s="2">
        <f>IF(I230=0.1,"极紧凑",IF(I230&gt;3.5,"紧凑",IF(AND(I230&gt;=2,I230&lt;=3.5),"标准",IF(AND(I230&gt;=1,I230&lt;2),"松散",""))))</f>
        <v/>
      </c>
      <c r="K230" s="2">
        <f>IF(I230=0.1,"极紧凑-豹子号",IF(AND(I230&gt;=1,I230&lt;=1.29),"松散-极松散",IF(AND(I230&gt;=1.33,I230&lt;=1.8),"松散-标准松散",IF(AND(I230&gt;=1.83,I230&lt;=1.89),"松散-偏紧松散",IF(AND(I230&gt;=2,I230&lt;=2.5),"标准-偏松标准",IF(AND(I230&gt;=2.57,I230&lt;=3),"标准-核心标准",IF(AND(I230&gt;=3.17,I230&lt;=3.5),"标准-偏紧标准",IF(AND(I230&gt;=3.6,I230&lt;=5),"紧凑-标准紧凑",IF(AND(I230&gt;=5.25,I230&lt;=8),"紧凑-高度紧凑",IF(I230&gt;=8.5,"紧凑-极度紧凑",""))))))))))</f>
        <v/>
      </c>
      <c r="L230" s="2">
        <f>IF(I230=0.1,"极紧凑",IF(AND(I230&gt;=1,I230&lt;=1.89),"松散",IF(AND(I230&gt;=2,I230&lt;=3.5),"标准",IF(I230&gt;=3.6,"紧凑",""))))</f>
        <v/>
      </c>
      <c r="M230" s="2" t="inlineStr">
        <is>
          <t>极紧凑-豹子号</t>
        </is>
      </c>
      <c r="N230" s="2" t="inlineStr">
        <is>
          <t>松散-极松散</t>
        </is>
      </c>
      <c r="O230" s="2" t="inlineStr">
        <is>
          <t>松散-标准松散</t>
        </is>
      </c>
      <c r="P230" s="2" t="inlineStr">
        <is>
          <t>松散-偏紧松散</t>
        </is>
      </c>
      <c r="Q230" s="2" t="inlineStr">
        <is>
          <t>标准-偏松标准</t>
        </is>
      </c>
      <c r="R230" s="2" t="inlineStr">
        <is>
          <t>标准-核心标准</t>
        </is>
      </c>
      <c r="S230" s="2" t="inlineStr">
        <is>
          <t>标准-偏紧标准</t>
        </is>
      </c>
      <c r="T230" s="2" t="inlineStr">
        <is>
          <t>紧凑-标准紧凑</t>
        </is>
      </c>
      <c r="U230" s="2" t="inlineStr">
        <is>
          <t>紧凑-高度紧凑</t>
        </is>
      </c>
      <c r="V230" s="2" t="inlineStr">
        <is>
          <t>紧凑-极度紧凑</t>
        </is>
      </c>
    </row>
    <row r="231">
      <c r="A231" s="1" t="n">
        <v>2023149</v>
      </c>
      <c r="B231" s="3" t="inlineStr">
        <is>
          <t>023</t>
        </is>
      </c>
      <c r="C231" s="2">
        <f>IF(B231="","",LEFT(TEXT(B231,"000"),1)*1)</f>
        <v/>
      </c>
      <c r="D231" s="2">
        <f>IF(B231="","",MID(TEXT(B231,"000"),2,1)*1)</f>
        <v/>
      </c>
      <c r="E231" s="2">
        <f>IF(B231="","",RIGHT(TEXT(B231,"000"),1)*1)</f>
        <v/>
      </c>
      <c r="F231" s="2">
        <f>IF(B231="","",C231+D231+E231)</f>
        <v/>
      </c>
      <c r="G231" s="2">
        <f>IF(B231="","",MOD(F231,10))</f>
        <v/>
      </c>
      <c r="H231" s="2">
        <f>IF(B231="","",MAX(C231,D231,E231)-MIN(C231,D231,E231))</f>
        <v/>
      </c>
      <c r="I231" s="2">
        <f>IF(OR(B231="",H231=0),IF(H231=0,0.1,""),ROUND(F231/H231,2))</f>
        <v/>
      </c>
      <c r="J231" s="2">
        <f>IF(I231=0.1,"极紧凑",IF(I231&gt;3.5,"紧凑",IF(AND(I231&gt;=2,I231&lt;=3.5),"标准",IF(AND(I231&gt;=1,I231&lt;2),"松散",""))))</f>
        <v/>
      </c>
      <c r="K231" s="2">
        <f>IF(I231=0.1,"极紧凑-豹子号",IF(AND(I231&gt;=1,I231&lt;=1.29),"松散-极松散",IF(AND(I231&gt;=1.33,I231&lt;=1.8),"松散-标准松散",IF(AND(I231&gt;=1.83,I231&lt;=1.89),"松散-偏紧松散",IF(AND(I231&gt;=2,I231&lt;=2.5),"标准-偏松标准",IF(AND(I231&gt;=2.57,I231&lt;=3),"标准-核心标准",IF(AND(I231&gt;=3.17,I231&lt;=3.5),"标准-偏紧标准",IF(AND(I231&gt;=3.6,I231&lt;=5),"紧凑-标准紧凑",IF(AND(I231&gt;=5.25,I231&lt;=8),"紧凑-高度紧凑",IF(I231&gt;=8.5,"紧凑-极度紧凑",""))))))))))</f>
        <v/>
      </c>
      <c r="L231" s="2">
        <f>IF(I231=0.1,"极紧凑",IF(AND(I231&gt;=1,I231&lt;=1.89),"松散",IF(AND(I231&gt;=2,I231&lt;=3.5),"标准",IF(I231&gt;=3.6,"紧凑",""))))</f>
        <v/>
      </c>
      <c r="M231" s="2" t="inlineStr">
        <is>
          <t>极紧凑-豹子号</t>
        </is>
      </c>
      <c r="N231" s="2" t="inlineStr">
        <is>
          <t>松散-极松散</t>
        </is>
      </c>
      <c r="O231" s="2" t="inlineStr">
        <is>
          <t>松散-标准松散</t>
        </is>
      </c>
      <c r="P231" s="2" t="inlineStr">
        <is>
          <t>松散-偏紧松散</t>
        </is>
      </c>
      <c r="Q231" s="2" t="inlineStr">
        <is>
          <t>标准-偏松标准</t>
        </is>
      </c>
      <c r="R231" s="2" t="inlineStr">
        <is>
          <t>标准-核心标准</t>
        </is>
      </c>
      <c r="S231" s="2" t="inlineStr">
        <is>
          <t>标准-偏紧标准</t>
        </is>
      </c>
      <c r="T231" s="2" t="inlineStr">
        <is>
          <t>紧凑-标准紧凑</t>
        </is>
      </c>
      <c r="U231" s="2" t="inlineStr">
        <is>
          <t>紧凑-高度紧凑</t>
        </is>
      </c>
      <c r="V231" s="2" t="inlineStr">
        <is>
          <t>紧凑-极度紧凑</t>
        </is>
      </c>
    </row>
    <row r="232">
      <c r="A232" s="1" t="n">
        <v>2023150</v>
      </c>
      <c r="B232" s="3" t="inlineStr">
        <is>
          <t>039</t>
        </is>
      </c>
      <c r="C232" s="2">
        <f>IF(B232="","",LEFT(TEXT(B232,"000"),1)*1)</f>
        <v/>
      </c>
      <c r="D232" s="2">
        <f>IF(B232="","",MID(TEXT(B232,"000"),2,1)*1)</f>
        <v/>
      </c>
      <c r="E232" s="2">
        <f>IF(B232="","",RIGHT(TEXT(B232,"000"),1)*1)</f>
        <v/>
      </c>
      <c r="F232" s="2">
        <f>IF(B232="","",C232+D232+E232)</f>
        <v/>
      </c>
      <c r="G232" s="2">
        <f>IF(B232="","",MOD(F232,10))</f>
        <v/>
      </c>
      <c r="H232" s="2">
        <f>IF(B232="","",MAX(C232,D232,E232)-MIN(C232,D232,E232))</f>
        <v/>
      </c>
      <c r="I232" s="2">
        <f>IF(OR(B232="",H232=0),IF(H232=0,0.1,""),ROUND(F232/H232,2))</f>
        <v/>
      </c>
      <c r="J232" s="2">
        <f>IF(I232=0.1,"极紧凑",IF(I232&gt;3.5,"紧凑",IF(AND(I232&gt;=2,I232&lt;=3.5),"标准",IF(AND(I232&gt;=1,I232&lt;2),"松散",""))))</f>
        <v/>
      </c>
      <c r="K232" s="2">
        <f>IF(I232=0.1,"极紧凑-豹子号",IF(AND(I232&gt;=1,I232&lt;=1.29),"松散-极松散",IF(AND(I232&gt;=1.33,I232&lt;=1.8),"松散-标准松散",IF(AND(I232&gt;=1.83,I232&lt;=1.89),"松散-偏紧松散",IF(AND(I232&gt;=2,I232&lt;=2.5),"标准-偏松标准",IF(AND(I232&gt;=2.57,I232&lt;=3),"标准-核心标准",IF(AND(I232&gt;=3.17,I232&lt;=3.5),"标准-偏紧标准",IF(AND(I232&gt;=3.6,I232&lt;=5),"紧凑-标准紧凑",IF(AND(I232&gt;=5.25,I232&lt;=8),"紧凑-高度紧凑",IF(I232&gt;=8.5,"紧凑-极度紧凑",""))))))))))</f>
        <v/>
      </c>
      <c r="L232" s="2">
        <f>IF(I232=0.1,"极紧凑",IF(AND(I232&gt;=1,I232&lt;=1.89),"松散",IF(AND(I232&gt;=2,I232&lt;=3.5),"标准",IF(I232&gt;=3.6,"紧凑",""))))</f>
        <v/>
      </c>
      <c r="M232" s="2" t="inlineStr">
        <is>
          <t>极紧凑-豹子号</t>
        </is>
      </c>
      <c r="N232" s="2" t="inlineStr">
        <is>
          <t>松散-极松散</t>
        </is>
      </c>
      <c r="O232" s="2" t="inlineStr">
        <is>
          <t>松散-标准松散</t>
        </is>
      </c>
      <c r="P232" s="2" t="inlineStr">
        <is>
          <t>松散-偏紧松散</t>
        </is>
      </c>
      <c r="Q232" s="2" t="inlineStr">
        <is>
          <t>标准-偏松标准</t>
        </is>
      </c>
      <c r="R232" s="2" t="inlineStr">
        <is>
          <t>标准-核心标准</t>
        </is>
      </c>
      <c r="S232" s="2" t="inlineStr">
        <is>
          <t>标准-偏紧标准</t>
        </is>
      </c>
      <c r="T232" s="2" t="inlineStr">
        <is>
          <t>紧凑-标准紧凑</t>
        </is>
      </c>
      <c r="U232" s="2" t="inlineStr">
        <is>
          <t>紧凑-高度紧凑</t>
        </is>
      </c>
      <c r="V232" s="2" t="inlineStr">
        <is>
          <t>紧凑-极度紧凑</t>
        </is>
      </c>
    </row>
    <row r="233">
      <c r="A233" s="1" t="n">
        <v>2023151</v>
      </c>
      <c r="B233" s="3" t="inlineStr">
        <is>
          <t>383</t>
        </is>
      </c>
      <c r="C233" s="2">
        <f>IF(B233="","",LEFT(TEXT(B233,"000"),1)*1)</f>
        <v/>
      </c>
      <c r="D233" s="2">
        <f>IF(B233="","",MID(TEXT(B233,"000"),2,1)*1)</f>
        <v/>
      </c>
      <c r="E233" s="2">
        <f>IF(B233="","",RIGHT(TEXT(B233,"000"),1)*1)</f>
        <v/>
      </c>
      <c r="F233" s="2">
        <f>IF(B233="","",C233+D233+E233)</f>
        <v/>
      </c>
      <c r="G233" s="2">
        <f>IF(B233="","",MOD(F233,10))</f>
        <v/>
      </c>
      <c r="H233" s="2">
        <f>IF(B233="","",MAX(C233,D233,E233)-MIN(C233,D233,E233))</f>
        <v/>
      </c>
      <c r="I233" s="2">
        <f>IF(OR(B233="",H233=0),IF(H233=0,0.1,""),ROUND(F233/H233,2))</f>
        <v/>
      </c>
      <c r="J233" s="2">
        <f>IF(I233=0.1,"极紧凑",IF(I233&gt;3.5,"紧凑",IF(AND(I233&gt;=2,I233&lt;=3.5),"标准",IF(AND(I233&gt;=1,I233&lt;2),"松散",""))))</f>
        <v/>
      </c>
      <c r="K233" s="2">
        <f>IF(I233=0.1,"极紧凑-豹子号",IF(AND(I233&gt;=1,I233&lt;=1.29),"松散-极松散",IF(AND(I233&gt;=1.33,I233&lt;=1.8),"松散-标准松散",IF(AND(I233&gt;=1.83,I233&lt;=1.89),"松散-偏紧松散",IF(AND(I233&gt;=2,I233&lt;=2.5),"标准-偏松标准",IF(AND(I233&gt;=2.57,I233&lt;=3),"标准-核心标准",IF(AND(I233&gt;=3.17,I233&lt;=3.5),"标准-偏紧标准",IF(AND(I233&gt;=3.6,I233&lt;=5),"紧凑-标准紧凑",IF(AND(I233&gt;=5.25,I233&lt;=8),"紧凑-高度紧凑",IF(I233&gt;=8.5,"紧凑-极度紧凑",""))))))))))</f>
        <v/>
      </c>
      <c r="L233" s="2">
        <f>IF(I233=0.1,"极紧凑",IF(AND(I233&gt;=1,I233&lt;=1.89),"松散",IF(AND(I233&gt;=2,I233&lt;=3.5),"标准",IF(I233&gt;=3.6,"紧凑",""))))</f>
        <v/>
      </c>
      <c r="M233" s="2" t="inlineStr">
        <is>
          <t>极紧凑-豹子号</t>
        </is>
      </c>
      <c r="N233" s="2" t="inlineStr">
        <is>
          <t>松散-极松散</t>
        </is>
      </c>
      <c r="O233" s="2" t="inlineStr">
        <is>
          <t>松散-标准松散</t>
        </is>
      </c>
      <c r="P233" s="2" t="inlineStr">
        <is>
          <t>松散-偏紧松散</t>
        </is>
      </c>
      <c r="Q233" s="2" t="inlineStr">
        <is>
          <t>标准-偏松标准</t>
        </is>
      </c>
      <c r="R233" s="2" t="inlineStr">
        <is>
          <t>标准-核心标准</t>
        </is>
      </c>
      <c r="S233" s="2" t="inlineStr">
        <is>
          <t>标准-偏紧标准</t>
        </is>
      </c>
      <c r="T233" s="2" t="inlineStr">
        <is>
          <t>紧凑-标准紧凑</t>
        </is>
      </c>
      <c r="U233" s="2" t="inlineStr">
        <is>
          <t>紧凑-高度紧凑</t>
        </is>
      </c>
      <c r="V233" s="2" t="inlineStr">
        <is>
          <t>紧凑-极度紧凑</t>
        </is>
      </c>
    </row>
    <row r="234">
      <c r="A234" s="1" t="n">
        <v>2023152</v>
      </c>
      <c r="B234" s="3" t="inlineStr">
        <is>
          <t>318</t>
        </is>
      </c>
      <c r="C234" s="2">
        <f>IF(B234="","",LEFT(TEXT(B234,"000"),1)*1)</f>
        <v/>
      </c>
      <c r="D234" s="2">
        <f>IF(B234="","",MID(TEXT(B234,"000"),2,1)*1)</f>
        <v/>
      </c>
      <c r="E234" s="2">
        <f>IF(B234="","",RIGHT(TEXT(B234,"000"),1)*1)</f>
        <v/>
      </c>
      <c r="F234" s="2">
        <f>IF(B234="","",C234+D234+E234)</f>
        <v/>
      </c>
      <c r="G234" s="2">
        <f>IF(B234="","",MOD(F234,10))</f>
        <v/>
      </c>
      <c r="H234" s="2">
        <f>IF(B234="","",MAX(C234,D234,E234)-MIN(C234,D234,E234))</f>
        <v/>
      </c>
      <c r="I234" s="2">
        <f>IF(OR(B234="",H234=0),IF(H234=0,0.1,""),ROUND(F234/H234,2))</f>
        <v/>
      </c>
      <c r="J234" s="2">
        <f>IF(I234=0.1,"极紧凑",IF(I234&gt;3.5,"紧凑",IF(AND(I234&gt;=2,I234&lt;=3.5),"标准",IF(AND(I234&gt;=1,I234&lt;2),"松散",""))))</f>
        <v/>
      </c>
      <c r="K234" s="2">
        <f>IF(I234=0.1,"极紧凑-豹子号",IF(AND(I234&gt;=1,I234&lt;=1.29),"松散-极松散",IF(AND(I234&gt;=1.33,I234&lt;=1.8),"松散-标准松散",IF(AND(I234&gt;=1.83,I234&lt;=1.89),"松散-偏紧松散",IF(AND(I234&gt;=2,I234&lt;=2.5),"标准-偏松标准",IF(AND(I234&gt;=2.57,I234&lt;=3),"标准-核心标准",IF(AND(I234&gt;=3.17,I234&lt;=3.5),"标准-偏紧标准",IF(AND(I234&gt;=3.6,I234&lt;=5),"紧凑-标准紧凑",IF(AND(I234&gt;=5.25,I234&lt;=8),"紧凑-高度紧凑",IF(I234&gt;=8.5,"紧凑-极度紧凑",""))))))))))</f>
        <v/>
      </c>
      <c r="L234" s="2">
        <f>IF(I234=0.1,"极紧凑",IF(AND(I234&gt;=1,I234&lt;=1.89),"松散",IF(AND(I234&gt;=2,I234&lt;=3.5),"标准",IF(I234&gt;=3.6,"紧凑",""))))</f>
        <v/>
      </c>
      <c r="M234" s="2" t="inlineStr">
        <is>
          <t>极紧凑-豹子号</t>
        </is>
      </c>
      <c r="N234" s="2" t="inlineStr">
        <is>
          <t>松散-极松散</t>
        </is>
      </c>
      <c r="O234" s="2" t="inlineStr">
        <is>
          <t>松散-标准松散</t>
        </is>
      </c>
      <c r="P234" s="2" t="inlineStr">
        <is>
          <t>松散-偏紧松散</t>
        </is>
      </c>
      <c r="Q234" s="2" t="inlineStr">
        <is>
          <t>标准-偏松标准</t>
        </is>
      </c>
      <c r="R234" s="2" t="inlineStr">
        <is>
          <t>标准-核心标准</t>
        </is>
      </c>
      <c r="S234" s="2" t="inlineStr">
        <is>
          <t>标准-偏紧标准</t>
        </is>
      </c>
      <c r="T234" s="2" t="inlineStr">
        <is>
          <t>紧凑-标准紧凑</t>
        </is>
      </c>
      <c r="U234" s="2" t="inlineStr">
        <is>
          <t>紧凑-高度紧凑</t>
        </is>
      </c>
      <c r="V234" s="2" t="inlineStr">
        <is>
          <t>紧凑-极度紧凑</t>
        </is>
      </c>
    </row>
    <row r="235">
      <c r="A235" s="1" t="n">
        <v>2023153</v>
      </c>
      <c r="B235" s="3" t="inlineStr">
        <is>
          <t>750</t>
        </is>
      </c>
      <c r="C235" s="2">
        <f>IF(B235="","",LEFT(TEXT(B235,"000"),1)*1)</f>
        <v/>
      </c>
      <c r="D235" s="2">
        <f>IF(B235="","",MID(TEXT(B235,"000"),2,1)*1)</f>
        <v/>
      </c>
      <c r="E235" s="2">
        <f>IF(B235="","",RIGHT(TEXT(B235,"000"),1)*1)</f>
        <v/>
      </c>
      <c r="F235" s="2">
        <f>IF(B235="","",C235+D235+E235)</f>
        <v/>
      </c>
      <c r="G235" s="2">
        <f>IF(B235="","",MOD(F235,10))</f>
        <v/>
      </c>
      <c r="H235" s="2">
        <f>IF(B235="","",MAX(C235,D235,E235)-MIN(C235,D235,E235))</f>
        <v/>
      </c>
      <c r="I235" s="2">
        <f>IF(OR(B235="",H235=0),IF(H235=0,0.1,""),ROUND(F235/H235,2))</f>
        <v/>
      </c>
      <c r="J235" s="2">
        <f>IF(I235=0.1,"极紧凑",IF(I235&gt;3.5,"紧凑",IF(AND(I235&gt;=2,I235&lt;=3.5),"标准",IF(AND(I235&gt;=1,I235&lt;2),"松散",""))))</f>
        <v/>
      </c>
      <c r="K235" s="2">
        <f>IF(I235=0.1,"极紧凑-豹子号",IF(AND(I235&gt;=1,I235&lt;=1.29),"松散-极松散",IF(AND(I235&gt;=1.33,I235&lt;=1.8),"松散-标准松散",IF(AND(I235&gt;=1.83,I235&lt;=1.89),"松散-偏紧松散",IF(AND(I235&gt;=2,I235&lt;=2.5),"标准-偏松标准",IF(AND(I235&gt;=2.57,I235&lt;=3),"标准-核心标准",IF(AND(I235&gt;=3.17,I235&lt;=3.5),"标准-偏紧标准",IF(AND(I235&gt;=3.6,I235&lt;=5),"紧凑-标准紧凑",IF(AND(I235&gt;=5.25,I235&lt;=8),"紧凑-高度紧凑",IF(I235&gt;=8.5,"紧凑-极度紧凑",""))))))))))</f>
        <v/>
      </c>
      <c r="L235" s="2">
        <f>IF(I235=0.1,"极紧凑",IF(AND(I235&gt;=1,I235&lt;=1.89),"松散",IF(AND(I235&gt;=2,I235&lt;=3.5),"标准",IF(I235&gt;=3.6,"紧凑",""))))</f>
        <v/>
      </c>
      <c r="M235" s="2" t="inlineStr">
        <is>
          <t>极紧凑-豹子号</t>
        </is>
      </c>
      <c r="N235" s="2" t="inlineStr">
        <is>
          <t>松散-极松散</t>
        </is>
      </c>
      <c r="O235" s="2" t="inlineStr">
        <is>
          <t>松散-标准松散</t>
        </is>
      </c>
      <c r="P235" s="2" t="inlineStr">
        <is>
          <t>松散-偏紧松散</t>
        </is>
      </c>
      <c r="Q235" s="2" t="inlineStr">
        <is>
          <t>标准-偏松标准</t>
        </is>
      </c>
      <c r="R235" s="2" t="inlineStr">
        <is>
          <t>标准-核心标准</t>
        </is>
      </c>
      <c r="S235" s="2" t="inlineStr">
        <is>
          <t>标准-偏紧标准</t>
        </is>
      </c>
      <c r="T235" s="2" t="inlineStr">
        <is>
          <t>紧凑-标准紧凑</t>
        </is>
      </c>
      <c r="U235" s="2" t="inlineStr">
        <is>
          <t>紧凑-高度紧凑</t>
        </is>
      </c>
      <c r="V235" s="2" t="inlineStr">
        <is>
          <t>紧凑-极度紧凑</t>
        </is>
      </c>
    </row>
    <row r="236">
      <c r="A236" s="1" t="n">
        <v>2023154</v>
      </c>
      <c r="B236" s="3" t="inlineStr">
        <is>
          <t>433</t>
        </is>
      </c>
      <c r="C236" s="2">
        <f>IF(B236="","",LEFT(TEXT(B236,"000"),1)*1)</f>
        <v/>
      </c>
      <c r="D236" s="2">
        <f>IF(B236="","",MID(TEXT(B236,"000"),2,1)*1)</f>
        <v/>
      </c>
      <c r="E236" s="2">
        <f>IF(B236="","",RIGHT(TEXT(B236,"000"),1)*1)</f>
        <v/>
      </c>
      <c r="F236" s="2">
        <f>IF(B236="","",C236+D236+E236)</f>
        <v/>
      </c>
      <c r="G236" s="2">
        <f>IF(B236="","",MOD(F236,10))</f>
        <v/>
      </c>
      <c r="H236" s="2">
        <f>IF(B236="","",MAX(C236,D236,E236)-MIN(C236,D236,E236))</f>
        <v/>
      </c>
      <c r="I236" s="2">
        <f>IF(OR(B236="",H236=0),IF(H236=0,0.1,""),ROUND(F236/H236,2))</f>
        <v/>
      </c>
      <c r="J236" s="2">
        <f>IF(I236=0.1,"极紧凑",IF(I236&gt;3.5,"紧凑",IF(AND(I236&gt;=2,I236&lt;=3.5),"标准",IF(AND(I236&gt;=1,I236&lt;2),"松散",""))))</f>
        <v/>
      </c>
      <c r="K236" s="2">
        <f>IF(I236=0.1,"极紧凑-豹子号",IF(AND(I236&gt;=1,I236&lt;=1.29),"松散-极松散",IF(AND(I236&gt;=1.33,I236&lt;=1.8),"松散-标准松散",IF(AND(I236&gt;=1.83,I236&lt;=1.89),"松散-偏紧松散",IF(AND(I236&gt;=2,I236&lt;=2.5),"标准-偏松标准",IF(AND(I236&gt;=2.57,I236&lt;=3),"标准-核心标准",IF(AND(I236&gt;=3.17,I236&lt;=3.5),"标准-偏紧标准",IF(AND(I236&gt;=3.6,I236&lt;=5),"紧凑-标准紧凑",IF(AND(I236&gt;=5.25,I236&lt;=8),"紧凑-高度紧凑",IF(I236&gt;=8.5,"紧凑-极度紧凑",""))))))))))</f>
        <v/>
      </c>
      <c r="L236" s="2">
        <f>IF(I236=0.1,"极紧凑",IF(AND(I236&gt;=1,I236&lt;=1.89),"松散",IF(AND(I236&gt;=2,I236&lt;=3.5),"标准",IF(I236&gt;=3.6,"紧凑",""))))</f>
        <v/>
      </c>
      <c r="M236" s="2" t="inlineStr">
        <is>
          <t>极紧凑-豹子号</t>
        </is>
      </c>
      <c r="N236" s="2" t="inlineStr">
        <is>
          <t>松散-极松散</t>
        </is>
      </c>
      <c r="O236" s="2" t="inlineStr">
        <is>
          <t>松散-标准松散</t>
        </is>
      </c>
      <c r="P236" s="2" t="inlineStr">
        <is>
          <t>松散-偏紧松散</t>
        </is>
      </c>
      <c r="Q236" s="2" t="inlineStr">
        <is>
          <t>标准-偏松标准</t>
        </is>
      </c>
      <c r="R236" s="2" t="inlineStr">
        <is>
          <t>标准-核心标准</t>
        </is>
      </c>
      <c r="S236" s="2" t="inlineStr">
        <is>
          <t>标准-偏紧标准</t>
        </is>
      </c>
      <c r="T236" s="2" t="inlineStr">
        <is>
          <t>紧凑-标准紧凑</t>
        </is>
      </c>
      <c r="U236" s="2" t="inlineStr">
        <is>
          <t>紧凑-高度紧凑</t>
        </is>
      </c>
      <c r="V236" s="2" t="inlineStr">
        <is>
          <t>紧凑-极度紧凑</t>
        </is>
      </c>
    </row>
    <row r="237">
      <c r="A237" s="1" t="n">
        <v>2023155</v>
      </c>
      <c r="B237" s="3" t="inlineStr">
        <is>
          <t>853</t>
        </is>
      </c>
      <c r="C237" s="2">
        <f>IF(B237="","",LEFT(TEXT(B237,"000"),1)*1)</f>
        <v/>
      </c>
      <c r="D237" s="2">
        <f>IF(B237="","",MID(TEXT(B237,"000"),2,1)*1)</f>
        <v/>
      </c>
      <c r="E237" s="2">
        <f>IF(B237="","",RIGHT(TEXT(B237,"000"),1)*1)</f>
        <v/>
      </c>
      <c r="F237" s="2">
        <f>IF(B237="","",C237+D237+E237)</f>
        <v/>
      </c>
      <c r="G237" s="2">
        <f>IF(B237="","",MOD(F237,10))</f>
        <v/>
      </c>
      <c r="H237" s="2">
        <f>IF(B237="","",MAX(C237,D237,E237)-MIN(C237,D237,E237))</f>
        <v/>
      </c>
      <c r="I237" s="2">
        <f>IF(OR(B237="",H237=0),IF(H237=0,0.1,""),ROUND(F237/H237,2))</f>
        <v/>
      </c>
      <c r="J237" s="2">
        <f>IF(I237=0.1,"极紧凑",IF(I237&gt;3.5,"紧凑",IF(AND(I237&gt;=2,I237&lt;=3.5),"标准",IF(AND(I237&gt;=1,I237&lt;2),"松散",""))))</f>
        <v/>
      </c>
      <c r="K237" s="2">
        <f>IF(I237=0.1,"极紧凑-豹子号",IF(AND(I237&gt;=1,I237&lt;=1.29),"松散-极松散",IF(AND(I237&gt;=1.33,I237&lt;=1.8),"松散-标准松散",IF(AND(I237&gt;=1.83,I237&lt;=1.89),"松散-偏紧松散",IF(AND(I237&gt;=2,I237&lt;=2.5),"标准-偏松标准",IF(AND(I237&gt;=2.57,I237&lt;=3),"标准-核心标准",IF(AND(I237&gt;=3.17,I237&lt;=3.5),"标准-偏紧标准",IF(AND(I237&gt;=3.6,I237&lt;=5),"紧凑-标准紧凑",IF(AND(I237&gt;=5.25,I237&lt;=8),"紧凑-高度紧凑",IF(I237&gt;=8.5,"紧凑-极度紧凑",""))))))))))</f>
        <v/>
      </c>
      <c r="L237" s="2">
        <f>IF(I237=0.1,"极紧凑",IF(AND(I237&gt;=1,I237&lt;=1.89),"松散",IF(AND(I237&gt;=2,I237&lt;=3.5),"标准",IF(I237&gt;=3.6,"紧凑",""))))</f>
        <v/>
      </c>
      <c r="M237" s="2" t="inlineStr">
        <is>
          <t>极紧凑-豹子号</t>
        </is>
      </c>
      <c r="N237" s="2" t="inlineStr">
        <is>
          <t>松散-极松散</t>
        </is>
      </c>
      <c r="O237" s="2" t="inlineStr">
        <is>
          <t>松散-标准松散</t>
        </is>
      </c>
      <c r="P237" s="2" t="inlineStr">
        <is>
          <t>松散-偏紧松散</t>
        </is>
      </c>
      <c r="Q237" s="2" t="inlineStr">
        <is>
          <t>标准-偏松标准</t>
        </is>
      </c>
      <c r="R237" s="2" t="inlineStr">
        <is>
          <t>标准-核心标准</t>
        </is>
      </c>
      <c r="S237" s="2" t="inlineStr">
        <is>
          <t>标准-偏紧标准</t>
        </is>
      </c>
      <c r="T237" s="2" t="inlineStr">
        <is>
          <t>紧凑-标准紧凑</t>
        </is>
      </c>
      <c r="U237" s="2" t="inlineStr">
        <is>
          <t>紧凑-高度紧凑</t>
        </is>
      </c>
      <c r="V237" s="2" t="inlineStr">
        <is>
          <t>紧凑-极度紧凑</t>
        </is>
      </c>
    </row>
    <row r="238">
      <c r="A238" s="1" t="n">
        <v>2023156</v>
      </c>
      <c r="B238" s="3" t="inlineStr">
        <is>
          <t>251</t>
        </is>
      </c>
      <c r="C238" s="2">
        <f>IF(B238="","",LEFT(TEXT(B238,"000"),1)*1)</f>
        <v/>
      </c>
      <c r="D238" s="2">
        <f>IF(B238="","",MID(TEXT(B238,"000"),2,1)*1)</f>
        <v/>
      </c>
      <c r="E238" s="2">
        <f>IF(B238="","",RIGHT(TEXT(B238,"000"),1)*1)</f>
        <v/>
      </c>
      <c r="F238" s="2">
        <f>IF(B238="","",C238+D238+E238)</f>
        <v/>
      </c>
      <c r="G238" s="2">
        <f>IF(B238="","",MOD(F238,10))</f>
        <v/>
      </c>
      <c r="H238" s="2">
        <f>IF(B238="","",MAX(C238,D238,E238)-MIN(C238,D238,E238))</f>
        <v/>
      </c>
      <c r="I238" s="2">
        <f>IF(OR(B238="",H238=0),IF(H238=0,0.1,""),ROUND(F238/H238,2))</f>
        <v/>
      </c>
      <c r="J238" s="2">
        <f>IF(I238=0.1,"极紧凑",IF(I238&gt;3.5,"紧凑",IF(AND(I238&gt;=2,I238&lt;=3.5),"标准",IF(AND(I238&gt;=1,I238&lt;2),"松散",""))))</f>
        <v/>
      </c>
      <c r="K238" s="2">
        <f>IF(I238=0.1,"极紧凑-豹子号",IF(AND(I238&gt;=1,I238&lt;=1.29),"松散-极松散",IF(AND(I238&gt;=1.33,I238&lt;=1.8),"松散-标准松散",IF(AND(I238&gt;=1.83,I238&lt;=1.89),"松散-偏紧松散",IF(AND(I238&gt;=2,I238&lt;=2.5),"标准-偏松标准",IF(AND(I238&gt;=2.57,I238&lt;=3),"标准-核心标准",IF(AND(I238&gt;=3.17,I238&lt;=3.5),"标准-偏紧标准",IF(AND(I238&gt;=3.6,I238&lt;=5),"紧凑-标准紧凑",IF(AND(I238&gt;=5.25,I238&lt;=8),"紧凑-高度紧凑",IF(I238&gt;=8.5,"紧凑-极度紧凑",""))))))))))</f>
        <v/>
      </c>
      <c r="L238" s="2">
        <f>IF(I238=0.1,"极紧凑",IF(AND(I238&gt;=1,I238&lt;=1.89),"松散",IF(AND(I238&gt;=2,I238&lt;=3.5),"标准",IF(I238&gt;=3.6,"紧凑",""))))</f>
        <v/>
      </c>
      <c r="M238" s="2" t="inlineStr">
        <is>
          <t>极紧凑-豹子号</t>
        </is>
      </c>
      <c r="N238" s="2" t="inlineStr">
        <is>
          <t>松散-极松散</t>
        </is>
      </c>
      <c r="O238" s="2" t="inlineStr">
        <is>
          <t>松散-标准松散</t>
        </is>
      </c>
      <c r="P238" s="2" t="inlineStr">
        <is>
          <t>松散-偏紧松散</t>
        </is>
      </c>
      <c r="Q238" s="2" t="inlineStr">
        <is>
          <t>标准-偏松标准</t>
        </is>
      </c>
      <c r="R238" s="2" t="inlineStr">
        <is>
          <t>标准-核心标准</t>
        </is>
      </c>
      <c r="S238" s="2" t="inlineStr">
        <is>
          <t>标准-偏紧标准</t>
        </is>
      </c>
      <c r="T238" s="2" t="inlineStr">
        <is>
          <t>紧凑-标准紧凑</t>
        </is>
      </c>
      <c r="U238" s="2" t="inlineStr">
        <is>
          <t>紧凑-高度紧凑</t>
        </is>
      </c>
      <c r="V238" s="2" t="inlineStr">
        <is>
          <t>紧凑-极度紧凑</t>
        </is>
      </c>
    </row>
    <row r="239">
      <c r="A239" s="1" t="n">
        <v>2023157</v>
      </c>
      <c r="B239" s="3" t="inlineStr">
        <is>
          <t>786</t>
        </is>
      </c>
      <c r="C239" s="2">
        <f>IF(B239="","",LEFT(TEXT(B239,"000"),1)*1)</f>
        <v/>
      </c>
      <c r="D239" s="2">
        <f>IF(B239="","",MID(TEXT(B239,"000"),2,1)*1)</f>
        <v/>
      </c>
      <c r="E239" s="2">
        <f>IF(B239="","",RIGHT(TEXT(B239,"000"),1)*1)</f>
        <v/>
      </c>
      <c r="F239" s="2">
        <f>IF(B239="","",C239+D239+E239)</f>
        <v/>
      </c>
      <c r="G239" s="2">
        <f>IF(B239="","",MOD(F239,10))</f>
        <v/>
      </c>
      <c r="H239" s="2">
        <f>IF(B239="","",MAX(C239,D239,E239)-MIN(C239,D239,E239))</f>
        <v/>
      </c>
      <c r="I239" s="2">
        <f>IF(OR(B239="",H239=0),IF(H239=0,0.1,""),ROUND(F239/H239,2))</f>
        <v/>
      </c>
      <c r="J239" s="2">
        <f>IF(I239=0.1,"极紧凑",IF(I239&gt;3.5,"紧凑",IF(AND(I239&gt;=2,I239&lt;=3.5),"标准",IF(AND(I239&gt;=1,I239&lt;2),"松散",""))))</f>
        <v/>
      </c>
      <c r="K239" s="2">
        <f>IF(I239=0.1,"极紧凑-豹子号",IF(AND(I239&gt;=1,I239&lt;=1.29),"松散-极松散",IF(AND(I239&gt;=1.33,I239&lt;=1.8),"松散-标准松散",IF(AND(I239&gt;=1.83,I239&lt;=1.89),"松散-偏紧松散",IF(AND(I239&gt;=2,I239&lt;=2.5),"标准-偏松标准",IF(AND(I239&gt;=2.57,I239&lt;=3),"标准-核心标准",IF(AND(I239&gt;=3.17,I239&lt;=3.5),"标准-偏紧标准",IF(AND(I239&gt;=3.6,I239&lt;=5),"紧凑-标准紧凑",IF(AND(I239&gt;=5.25,I239&lt;=8),"紧凑-高度紧凑",IF(I239&gt;=8.5,"紧凑-极度紧凑",""))))))))))</f>
        <v/>
      </c>
      <c r="L239" s="2">
        <f>IF(I239=0.1,"极紧凑",IF(AND(I239&gt;=1,I239&lt;=1.89),"松散",IF(AND(I239&gt;=2,I239&lt;=3.5),"标准",IF(I239&gt;=3.6,"紧凑",""))))</f>
        <v/>
      </c>
      <c r="M239" s="2" t="inlineStr">
        <is>
          <t>极紧凑-豹子号</t>
        </is>
      </c>
      <c r="N239" s="2" t="inlineStr">
        <is>
          <t>松散-极松散</t>
        </is>
      </c>
      <c r="O239" s="2" t="inlineStr">
        <is>
          <t>松散-标准松散</t>
        </is>
      </c>
      <c r="P239" s="2" t="inlineStr">
        <is>
          <t>松散-偏紧松散</t>
        </is>
      </c>
      <c r="Q239" s="2" t="inlineStr">
        <is>
          <t>标准-偏松标准</t>
        </is>
      </c>
      <c r="R239" s="2" t="inlineStr">
        <is>
          <t>标准-核心标准</t>
        </is>
      </c>
      <c r="S239" s="2" t="inlineStr">
        <is>
          <t>标准-偏紧标准</t>
        </is>
      </c>
      <c r="T239" s="2" t="inlineStr">
        <is>
          <t>紧凑-标准紧凑</t>
        </is>
      </c>
      <c r="U239" s="2" t="inlineStr">
        <is>
          <t>紧凑-高度紧凑</t>
        </is>
      </c>
      <c r="V239" s="2" t="inlineStr">
        <is>
          <t>紧凑-极度紧凑</t>
        </is>
      </c>
    </row>
    <row r="240">
      <c r="A240" s="1" t="n">
        <v>2023158</v>
      </c>
      <c r="B240" s="3" t="inlineStr">
        <is>
          <t>447</t>
        </is>
      </c>
      <c r="C240" s="2">
        <f>IF(B240="","",LEFT(TEXT(B240,"000"),1)*1)</f>
        <v/>
      </c>
      <c r="D240" s="2">
        <f>IF(B240="","",MID(TEXT(B240,"000"),2,1)*1)</f>
        <v/>
      </c>
      <c r="E240" s="2">
        <f>IF(B240="","",RIGHT(TEXT(B240,"000"),1)*1)</f>
        <v/>
      </c>
      <c r="F240" s="2">
        <f>IF(B240="","",C240+D240+E240)</f>
        <v/>
      </c>
      <c r="G240" s="2">
        <f>IF(B240="","",MOD(F240,10))</f>
        <v/>
      </c>
      <c r="H240" s="2">
        <f>IF(B240="","",MAX(C240,D240,E240)-MIN(C240,D240,E240))</f>
        <v/>
      </c>
      <c r="I240" s="2">
        <f>IF(OR(B240="",H240=0),IF(H240=0,0.1,""),ROUND(F240/H240,2))</f>
        <v/>
      </c>
      <c r="J240" s="2">
        <f>IF(I240=0.1,"极紧凑",IF(I240&gt;3.5,"紧凑",IF(AND(I240&gt;=2,I240&lt;=3.5),"标准",IF(AND(I240&gt;=1,I240&lt;2),"松散",""))))</f>
        <v/>
      </c>
      <c r="K240" s="2">
        <f>IF(I240=0.1,"极紧凑-豹子号",IF(AND(I240&gt;=1,I240&lt;=1.29),"松散-极松散",IF(AND(I240&gt;=1.33,I240&lt;=1.8),"松散-标准松散",IF(AND(I240&gt;=1.83,I240&lt;=1.89),"松散-偏紧松散",IF(AND(I240&gt;=2,I240&lt;=2.5),"标准-偏松标准",IF(AND(I240&gt;=2.57,I240&lt;=3),"标准-核心标准",IF(AND(I240&gt;=3.17,I240&lt;=3.5),"标准-偏紧标准",IF(AND(I240&gt;=3.6,I240&lt;=5),"紧凑-标准紧凑",IF(AND(I240&gt;=5.25,I240&lt;=8),"紧凑-高度紧凑",IF(I240&gt;=8.5,"紧凑-极度紧凑",""))))))))))</f>
        <v/>
      </c>
      <c r="L240" s="2">
        <f>IF(I240=0.1,"极紧凑",IF(AND(I240&gt;=1,I240&lt;=1.89),"松散",IF(AND(I240&gt;=2,I240&lt;=3.5),"标准",IF(I240&gt;=3.6,"紧凑",""))))</f>
        <v/>
      </c>
      <c r="M240" s="2" t="inlineStr">
        <is>
          <t>极紧凑-豹子号</t>
        </is>
      </c>
      <c r="N240" s="2" t="inlineStr">
        <is>
          <t>松散-极松散</t>
        </is>
      </c>
      <c r="O240" s="2" t="inlineStr">
        <is>
          <t>松散-标准松散</t>
        </is>
      </c>
      <c r="P240" s="2" t="inlineStr">
        <is>
          <t>松散-偏紧松散</t>
        </is>
      </c>
      <c r="Q240" s="2" t="inlineStr">
        <is>
          <t>标准-偏松标准</t>
        </is>
      </c>
      <c r="R240" s="2" t="inlineStr">
        <is>
          <t>标准-核心标准</t>
        </is>
      </c>
      <c r="S240" s="2" t="inlineStr">
        <is>
          <t>标准-偏紧标准</t>
        </is>
      </c>
      <c r="T240" s="2" t="inlineStr">
        <is>
          <t>紧凑-标准紧凑</t>
        </is>
      </c>
      <c r="U240" s="2" t="inlineStr">
        <is>
          <t>紧凑-高度紧凑</t>
        </is>
      </c>
      <c r="V240" s="2" t="inlineStr">
        <is>
          <t>紧凑-极度紧凑</t>
        </is>
      </c>
    </row>
    <row r="241">
      <c r="A241" s="1" t="n">
        <v>2023159</v>
      </c>
      <c r="B241" s="3" t="inlineStr">
        <is>
          <t>319</t>
        </is>
      </c>
      <c r="C241" s="2">
        <f>IF(B241="","",LEFT(TEXT(B241,"000"),1)*1)</f>
        <v/>
      </c>
      <c r="D241" s="2">
        <f>IF(B241="","",MID(TEXT(B241,"000"),2,1)*1)</f>
        <v/>
      </c>
      <c r="E241" s="2">
        <f>IF(B241="","",RIGHT(TEXT(B241,"000"),1)*1)</f>
        <v/>
      </c>
      <c r="F241" s="2">
        <f>IF(B241="","",C241+D241+E241)</f>
        <v/>
      </c>
      <c r="G241" s="2">
        <f>IF(B241="","",MOD(F241,10))</f>
        <v/>
      </c>
      <c r="H241" s="2">
        <f>IF(B241="","",MAX(C241,D241,E241)-MIN(C241,D241,E241))</f>
        <v/>
      </c>
      <c r="I241" s="2">
        <f>IF(OR(B241="",H241=0),IF(H241=0,0.1,""),ROUND(F241/H241,2))</f>
        <v/>
      </c>
      <c r="J241" s="2">
        <f>IF(I241=0.1,"极紧凑",IF(I241&gt;3.5,"紧凑",IF(AND(I241&gt;=2,I241&lt;=3.5),"标准",IF(AND(I241&gt;=1,I241&lt;2),"松散",""))))</f>
        <v/>
      </c>
      <c r="K241" s="2">
        <f>IF(I241=0.1,"极紧凑-豹子号",IF(AND(I241&gt;=1,I241&lt;=1.29),"松散-极松散",IF(AND(I241&gt;=1.33,I241&lt;=1.8),"松散-标准松散",IF(AND(I241&gt;=1.83,I241&lt;=1.89),"松散-偏紧松散",IF(AND(I241&gt;=2,I241&lt;=2.5),"标准-偏松标准",IF(AND(I241&gt;=2.57,I241&lt;=3),"标准-核心标准",IF(AND(I241&gt;=3.17,I241&lt;=3.5),"标准-偏紧标准",IF(AND(I241&gt;=3.6,I241&lt;=5),"紧凑-标准紧凑",IF(AND(I241&gt;=5.25,I241&lt;=8),"紧凑-高度紧凑",IF(I241&gt;=8.5,"紧凑-极度紧凑",""))))))))))</f>
        <v/>
      </c>
      <c r="L241" s="2">
        <f>IF(I241=0.1,"极紧凑",IF(AND(I241&gt;=1,I241&lt;=1.89),"松散",IF(AND(I241&gt;=2,I241&lt;=3.5),"标准",IF(I241&gt;=3.6,"紧凑",""))))</f>
        <v/>
      </c>
      <c r="M241" s="2" t="inlineStr">
        <is>
          <t>极紧凑-豹子号</t>
        </is>
      </c>
      <c r="N241" s="2" t="inlineStr">
        <is>
          <t>松散-极松散</t>
        </is>
      </c>
      <c r="O241" s="2" t="inlineStr">
        <is>
          <t>松散-标准松散</t>
        </is>
      </c>
      <c r="P241" s="2" t="inlineStr">
        <is>
          <t>松散-偏紧松散</t>
        </is>
      </c>
      <c r="Q241" s="2" t="inlineStr">
        <is>
          <t>标准-偏松标准</t>
        </is>
      </c>
      <c r="R241" s="2" t="inlineStr">
        <is>
          <t>标准-核心标准</t>
        </is>
      </c>
      <c r="S241" s="2" t="inlineStr">
        <is>
          <t>标准-偏紧标准</t>
        </is>
      </c>
      <c r="T241" s="2" t="inlineStr">
        <is>
          <t>紧凑-标准紧凑</t>
        </is>
      </c>
      <c r="U241" s="2" t="inlineStr">
        <is>
          <t>紧凑-高度紧凑</t>
        </is>
      </c>
      <c r="V241" s="2" t="inlineStr">
        <is>
          <t>紧凑-极度紧凑</t>
        </is>
      </c>
    </row>
    <row r="242">
      <c r="A242" s="1" t="n">
        <v>2023160</v>
      </c>
      <c r="B242" s="3" t="inlineStr">
        <is>
          <t>393</t>
        </is>
      </c>
      <c r="C242" s="2">
        <f>IF(B242="","",LEFT(TEXT(B242,"000"),1)*1)</f>
        <v/>
      </c>
      <c r="D242" s="2">
        <f>IF(B242="","",MID(TEXT(B242,"000"),2,1)*1)</f>
        <v/>
      </c>
      <c r="E242" s="2">
        <f>IF(B242="","",RIGHT(TEXT(B242,"000"),1)*1)</f>
        <v/>
      </c>
      <c r="F242" s="2">
        <f>IF(B242="","",C242+D242+E242)</f>
        <v/>
      </c>
      <c r="G242" s="2">
        <f>IF(B242="","",MOD(F242,10))</f>
        <v/>
      </c>
      <c r="H242" s="2">
        <f>IF(B242="","",MAX(C242,D242,E242)-MIN(C242,D242,E242))</f>
        <v/>
      </c>
      <c r="I242" s="2">
        <f>IF(OR(B242="",H242=0),IF(H242=0,0.1,""),ROUND(F242/H242,2))</f>
        <v/>
      </c>
      <c r="J242" s="2">
        <f>IF(I242=0.1,"极紧凑",IF(I242&gt;3.5,"紧凑",IF(AND(I242&gt;=2,I242&lt;=3.5),"标准",IF(AND(I242&gt;=1,I242&lt;2),"松散",""))))</f>
        <v/>
      </c>
      <c r="K242" s="2">
        <f>IF(I242=0.1,"极紧凑-豹子号",IF(AND(I242&gt;=1,I242&lt;=1.29),"松散-极松散",IF(AND(I242&gt;=1.33,I242&lt;=1.8),"松散-标准松散",IF(AND(I242&gt;=1.83,I242&lt;=1.89),"松散-偏紧松散",IF(AND(I242&gt;=2,I242&lt;=2.5),"标准-偏松标准",IF(AND(I242&gt;=2.57,I242&lt;=3),"标准-核心标准",IF(AND(I242&gt;=3.17,I242&lt;=3.5),"标准-偏紧标准",IF(AND(I242&gt;=3.6,I242&lt;=5),"紧凑-标准紧凑",IF(AND(I242&gt;=5.25,I242&lt;=8),"紧凑-高度紧凑",IF(I242&gt;=8.5,"紧凑-极度紧凑",""))))))))))</f>
        <v/>
      </c>
      <c r="L242" s="2">
        <f>IF(I242=0.1,"极紧凑",IF(AND(I242&gt;=1,I242&lt;=1.89),"松散",IF(AND(I242&gt;=2,I242&lt;=3.5),"标准",IF(I242&gt;=3.6,"紧凑",""))))</f>
        <v/>
      </c>
      <c r="M242" s="2" t="inlineStr">
        <is>
          <t>极紧凑-豹子号</t>
        </is>
      </c>
      <c r="N242" s="2" t="inlineStr">
        <is>
          <t>松散-极松散</t>
        </is>
      </c>
      <c r="O242" s="2" t="inlineStr">
        <is>
          <t>松散-标准松散</t>
        </is>
      </c>
      <c r="P242" s="2" t="inlineStr">
        <is>
          <t>松散-偏紧松散</t>
        </is>
      </c>
      <c r="Q242" s="2" t="inlineStr">
        <is>
          <t>标准-偏松标准</t>
        </is>
      </c>
      <c r="R242" s="2" t="inlineStr">
        <is>
          <t>标准-核心标准</t>
        </is>
      </c>
      <c r="S242" s="2" t="inlineStr">
        <is>
          <t>标准-偏紧标准</t>
        </is>
      </c>
      <c r="T242" s="2" t="inlineStr">
        <is>
          <t>紧凑-标准紧凑</t>
        </is>
      </c>
      <c r="U242" s="2" t="inlineStr">
        <is>
          <t>紧凑-高度紧凑</t>
        </is>
      </c>
      <c r="V242" s="2" t="inlineStr">
        <is>
          <t>紧凑-极度紧凑</t>
        </is>
      </c>
    </row>
    <row r="243">
      <c r="A243" s="1" t="n">
        <v>2023161</v>
      </c>
      <c r="B243" s="3" t="inlineStr">
        <is>
          <t>536</t>
        </is>
      </c>
      <c r="C243" s="2">
        <f>IF(B243="","",LEFT(TEXT(B243,"000"),1)*1)</f>
        <v/>
      </c>
      <c r="D243" s="2">
        <f>IF(B243="","",MID(TEXT(B243,"000"),2,1)*1)</f>
        <v/>
      </c>
      <c r="E243" s="2">
        <f>IF(B243="","",RIGHT(TEXT(B243,"000"),1)*1)</f>
        <v/>
      </c>
      <c r="F243" s="2">
        <f>IF(B243="","",C243+D243+E243)</f>
        <v/>
      </c>
      <c r="G243" s="2">
        <f>IF(B243="","",MOD(F243,10))</f>
        <v/>
      </c>
      <c r="H243" s="2">
        <f>IF(B243="","",MAX(C243,D243,E243)-MIN(C243,D243,E243))</f>
        <v/>
      </c>
      <c r="I243" s="2">
        <f>IF(OR(B243="",H243=0),IF(H243=0,0.1,""),ROUND(F243/H243,2))</f>
        <v/>
      </c>
      <c r="J243" s="2">
        <f>IF(I243=0.1,"极紧凑",IF(I243&gt;3.5,"紧凑",IF(AND(I243&gt;=2,I243&lt;=3.5),"标准",IF(AND(I243&gt;=1,I243&lt;2),"松散",""))))</f>
        <v/>
      </c>
      <c r="K243" s="2">
        <f>IF(I243=0.1,"极紧凑-豹子号",IF(AND(I243&gt;=1,I243&lt;=1.29),"松散-极松散",IF(AND(I243&gt;=1.33,I243&lt;=1.8),"松散-标准松散",IF(AND(I243&gt;=1.83,I243&lt;=1.89),"松散-偏紧松散",IF(AND(I243&gt;=2,I243&lt;=2.5),"标准-偏松标准",IF(AND(I243&gt;=2.57,I243&lt;=3),"标准-核心标准",IF(AND(I243&gt;=3.17,I243&lt;=3.5),"标准-偏紧标准",IF(AND(I243&gt;=3.6,I243&lt;=5),"紧凑-标准紧凑",IF(AND(I243&gt;=5.25,I243&lt;=8),"紧凑-高度紧凑",IF(I243&gt;=8.5,"紧凑-极度紧凑",""))))))))))</f>
        <v/>
      </c>
      <c r="L243" s="2">
        <f>IF(I243=0.1,"极紧凑",IF(AND(I243&gt;=1,I243&lt;=1.89),"松散",IF(AND(I243&gt;=2,I243&lt;=3.5),"标准",IF(I243&gt;=3.6,"紧凑",""))))</f>
        <v/>
      </c>
      <c r="M243" s="2" t="inlineStr">
        <is>
          <t>极紧凑-豹子号</t>
        </is>
      </c>
      <c r="N243" s="2" t="inlineStr">
        <is>
          <t>松散-极松散</t>
        </is>
      </c>
      <c r="O243" s="2" t="inlineStr">
        <is>
          <t>松散-标准松散</t>
        </is>
      </c>
      <c r="P243" s="2" t="inlineStr">
        <is>
          <t>松散-偏紧松散</t>
        </is>
      </c>
      <c r="Q243" s="2" t="inlineStr">
        <is>
          <t>标准-偏松标准</t>
        </is>
      </c>
      <c r="R243" s="2" t="inlineStr">
        <is>
          <t>标准-核心标准</t>
        </is>
      </c>
      <c r="S243" s="2" t="inlineStr">
        <is>
          <t>标准-偏紧标准</t>
        </is>
      </c>
      <c r="T243" s="2" t="inlineStr">
        <is>
          <t>紧凑-标准紧凑</t>
        </is>
      </c>
      <c r="U243" s="2" t="inlineStr">
        <is>
          <t>紧凑-高度紧凑</t>
        </is>
      </c>
      <c r="V243" s="2" t="inlineStr">
        <is>
          <t>紧凑-极度紧凑</t>
        </is>
      </c>
    </row>
    <row r="244">
      <c r="A244" s="1" t="n">
        <v>2023162</v>
      </c>
      <c r="B244" s="3" t="inlineStr">
        <is>
          <t>094</t>
        </is>
      </c>
      <c r="C244" s="2">
        <f>IF(B244="","",LEFT(TEXT(B244,"000"),1)*1)</f>
        <v/>
      </c>
      <c r="D244" s="2">
        <f>IF(B244="","",MID(TEXT(B244,"000"),2,1)*1)</f>
        <v/>
      </c>
      <c r="E244" s="2">
        <f>IF(B244="","",RIGHT(TEXT(B244,"000"),1)*1)</f>
        <v/>
      </c>
      <c r="F244" s="2">
        <f>IF(B244="","",C244+D244+E244)</f>
        <v/>
      </c>
      <c r="G244" s="2">
        <f>IF(B244="","",MOD(F244,10))</f>
        <v/>
      </c>
      <c r="H244" s="2">
        <f>IF(B244="","",MAX(C244,D244,E244)-MIN(C244,D244,E244))</f>
        <v/>
      </c>
      <c r="I244" s="2">
        <f>IF(OR(B244="",H244=0),IF(H244=0,0.1,""),ROUND(F244/H244,2))</f>
        <v/>
      </c>
      <c r="J244" s="2">
        <f>IF(I244=0.1,"极紧凑",IF(I244&gt;3.5,"紧凑",IF(AND(I244&gt;=2,I244&lt;=3.5),"标准",IF(AND(I244&gt;=1,I244&lt;2),"松散",""))))</f>
        <v/>
      </c>
      <c r="K244" s="2">
        <f>IF(I244=0.1,"极紧凑-豹子号",IF(AND(I244&gt;=1,I244&lt;=1.29),"松散-极松散",IF(AND(I244&gt;=1.33,I244&lt;=1.8),"松散-标准松散",IF(AND(I244&gt;=1.83,I244&lt;=1.89),"松散-偏紧松散",IF(AND(I244&gt;=2,I244&lt;=2.5),"标准-偏松标准",IF(AND(I244&gt;=2.57,I244&lt;=3),"标准-核心标准",IF(AND(I244&gt;=3.17,I244&lt;=3.5),"标准-偏紧标准",IF(AND(I244&gt;=3.6,I244&lt;=5),"紧凑-标准紧凑",IF(AND(I244&gt;=5.25,I244&lt;=8),"紧凑-高度紧凑",IF(I244&gt;=8.5,"紧凑-极度紧凑",""))))))))))</f>
        <v/>
      </c>
      <c r="L244" s="2">
        <f>IF(I244=0.1,"极紧凑",IF(AND(I244&gt;=1,I244&lt;=1.89),"松散",IF(AND(I244&gt;=2,I244&lt;=3.5),"标准",IF(I244&gt;=3.6,"紧凑",""))))</f>
        <v/>
      </c>
      <c r="M244" s="2" t="inlineStr">
        <is>
          <t>极紧凑-豹子号</t>
        </is>
      </c>
      <c r="N244" s="2" t="inlineStr">
        <is>
          <t>松散-极松散</t>
        </is>
      </c>
      <c r="O244" s="2" t="inlineStr">
        <is>
          <t>松散-标准松散</t>
        </is>
      </c>
      <c r="P244" s="2" t="inlineStr">
        <is>
          <t>松散-偏紧松散</t>
        </is>
      </c>
      <c r="Q244" s="2" t="inlineStr">
        <is>
          <t>标准-偏松标准</t>
        </is>
      </c>
      <c r="R244" s="2" t="inlineStr">
        <is>
          <t>标准-核心标准</t>
        </is>
      </c>
      <c r="S244" s="2" t="inlineStr">
        <is>
          <t>标准-偏紧标准</t>
        </is>
      </c>
      <c r="T244" s="2" t="inlineStr">
        <is>
          <t>紧凑-标准紧凑</t>
        </is>
      </c>
      <c r="U244" s="2" t="inlineStr">
        <is>
          <t>紧凑-高度紧凑</t>
        </is>
      </c>
      <c r="V244" s="2" t="inlineStr">
        <is>
          <t>紧凑-极度紧凑</t>
        </is>
      </c>
    </row>
    <row r="245">
      <c r="A245" s="1" t="n">
        <v>2023163</v>
      </c>
      <c r="B245" s="2" t="n">
        <v>127</v>
      </c>
      <c r="C245" s="2">
        <f>IF(B245="","",LEFT(TEXT(B245,"000"),1)*1)</f>
        <v/>
      </c>
      <c r="D245" s="2">
        <f>IF(B245="","",MID(TEXT(B245,"000"),2,1)*1)</f>
        <v/>
      </c>
      <c r="E245" s="2">
        <f>IF(B245="","",RIGHT(TEXT(B245,"000"),1)*1)</f>
        <v/>
      </c>
      <c r="F245" s="2">
        <f>IF(B245="","",C245+D245+E245)</f>
        <v/>
      </c>
      <c r="G245" s="2">
        <f>IF(B245="","",MOD(F245,10))</f>
        <v/>
      </c>
      <c r="H245" s="2">
        <f>IF(B245="","",MAX(C245,D245,E245)-MIN(C245,D245,E245))</f>
        <v/>
      </c>
      <c r="I245" s="2">
        <f>IF(OR(B245="",H245=0),IF(H245=0,0.1,""),ROUND(F245/H245,2))</f>
        <v/>
      </c>
      <c r="J245" s="2">
        <f>IF(I245=0.1,"极紧凑",IF(I245&gt;3.5,"紧凑",IF(AND(I245&gt;=2,I245&lt;=3.5),"标准",IF(AND(I245&gt;=1,I245&lt;2),"松散",""))))</f>
        <v/>
      </c>
      <c r="K245" s="2">
        <f>IF(I245=0.1,"极紧凑-豹子号",IF(AND(I245&gt;=1,I245&lt;=1.29),"松散-极松散",IF(AND(I245&gt;=1.33,I245&lt;=1.8),"松散-标准松散",IF(AND(I245&gt;=1.83,I245&lt;=1.89),"松散-偏紧松散",IF(AND(I245&gt;=2,I245&lt;=2.5),"标准-偏松标准",IF(AND(I245&gt;=2.57,I245&lt;=3),"标准-核心标准",IF(AND(I245&gt;=3.17,I245&lt;=3.5),"标准-偏紧标准",IF(AND(I245&gt;=3.6,I245&lt;=5),"紧凑-标准紧凑",IF(AND(I245&gt;=5.25,I245&lt;=8),"紧凑-高度紧凑",IF(I245&gt;=8.5,"紧凑-极度紧凑",""))))))))))</f>
        <v/>
      </c>
      <c r="L245" s="2">
        <f>IF(I245=0.1,"极紧凑",IF(AND(I245&gt;=1,I245&lt;=1.89),"松散",IF(AND(I245&gt;=2,I245&lt;=3.5),"标准",IF(I245&gt;=3.6,"紧凑",""))))</f>
        <v/>
      </c>
      <c r="M245" s="2" t="inlineStr">
        <is>
          <t>极紧凑-豹子号</t>
        </is>
      </c>
      <c r="N245" s="2" t="inlineStr">
        <is>
          <t>松散-极松散</t>
        </is>
      </c>
      <c r="O245" s="2" t="inlineStr">
        <is>
          <t>松散-标准松散</t>
        </is>
      </c>
      <c r="P245" s="2" t="inlineStr">
        <is>
          <t>松散-偏紧松散</t>
        </is>
      </c>
      <c r="Q245" s="2" t="inlineStr">
        <is>
          <t>标准-偏松标准</t>
        </is>
      </c>
      <c r="R245" s="2" t="inlineStr">
        <is>
          <t>标准-核心标准</t>
        </is>
      </c>
      <c r="S245" s="2" t="inlineStr">
        <is>
          <t>标准-偏紧标准</t>
        </is>
      </c>
      <c r="T245" s="2" t="inlineStr">
        <is>
          <t>紧凑-标准紧凑</t>
        </is>
      </c>
      <c r="U245" s="2" t="inlineStr">
        <is>
          <t>紧凑-高度紧凑</t>
        </is>
      </c>
      <c r="V245" s="2" t="inlineStr">
        <is>
          <t>紧凑-极度紧凑</t>
        </is>
      </c>
    </row>
    <row r="246">
      <c r="A246" s="1" t="n">
        <v>2023164</v>
      </c>
      <c r="B246" s="3" t="inlineStr">
        <is>
          <t>215</t>
        </is>
      </c>
      <c r="C246" s="2">
        <f>IF(B246="","",LEFT(TEXT(B246,"000"),1)*1)</f>
        <v/>
      </c>
      <c r="D246" s="2">
        <f>IF(B246="","",MID(TEXT(B246,"000"),2,1)*1)</f>
        <v/>
      </c>
      <c r="E246" s="2">
        <f>IF(B246="","",RIGHT(TEXT(B246,"000"),1)*1)</f>
        <v/>
      </c>
      <c r="F246" s="2">
        <f>IF(B246="","",C246+D246+E246)</f>
        <v/>
      </c>
      <c r="G246" s="2">
        <f>IF(B246="","",MOD(F246,10))</f>
        <v/>
      </c>
      <c r="H246" s="2">
        <f>IF(B246="","",MAX(C246,D246,E246)-MIN(C246,D246,E246))</f>
        <v/>
      </c>
      <c r="I246" s="2">
        <f>IF(OR(B246="",H246=0),IF(H246=0,0.1,""),ROUND(F246/H246,2))</f>
        <v/>
      </c>
      <c r="J246" s="2">
        <f>IF(I246=0.1,"极紧凑",IF(I246&gt;3.5,"紧凑",IF(AND(I246&gt;=2,I246&lt;=3.5),"标准",IF(AND(I246&gt;=1,I246&lt;2),"松散",""))))</f>
        <v/>
      </c>
      <c r="K246" s="2">
        <f>IF(I246=0.1,"极紧凑-豹子号",IF(AND(I246&gt;=1,I246&lt;=1.29),"松散-极松散",IF(AND(I246&gt;=1.33,I246&lt;=1.8),"松散-标准松散",IF(AND(I246&gt;=1.83,I246&lt;=1.89),"松散-偏紧松散",IF(AND(I246&gt;=2,I246&lt;=2.5),"标准-偏松标准",IF(AND(I246&gt;=2.57,I246&lt;=3),"标准-核心标准",IF(AND(I246&gt;=3.17,I246&lt;=3.5),"标准-偏紧标准",IF(AND(I246&gt;=3.6,I246&lt;=5),"紧凑-标准紧凑",IF(AND(I246&gt;=5.25,I246&lt;=8),"紧凑-高度紧凑",IF(I246&gt;=8.5,"紧凑-极度紧凑",""))))))))))</f>
        <v/>
      </c>
      <c r="L246" s="2">
        <f>IF(I246=0.1,"极紧凑",IF(AND(I246&gt;=1,I246&lt;=1.89),"松散",IF(AND(I246&gt;=2,I246&lt;=3.5),"标准",IF(I246&gt;=3.6,"紧凑",""))))</f>
        <v/>
      </c>
      <c r="M246" s="2" t="inlineStr">
        <is>
          <t>极紧凑-豹子号</t>
        </is>
      </c>
      <c r="N246" s="2" t="inlineStr">
        <is>
          <t>松散-极松散</t>
        </is>
      </c>
      <c r="O246" s="2" t="inlineStr">
        <is>
          <t>松散-标准松散</t>
        </is>
      </c>
      <c r="P246" s="2" t="inlineStr">
        <is>
          <t>松散-偏紧松散</t>
        </is>
      </c>
      <c r="Q246" s="2" t="inlineStr">
        <is>
          <t>标准-偏松标准</t>
        </is>
      </c>
      <c r="R246" s="2" t="inlineStr">
        <is>
          <t>标准-核心标准</t>
        </is>
      </c>
      <c r="S246" s="2" t="inlineStr">
        <is>
          <t>标准-偏紧标准</t>
        </is>
      </c>
      <c r="T246" s="2" t="inlineStr">
        <is>
          <t>紧凑-标准紧凑</t>
        </is>
      </c>
      <c r="U246" s="2" t="inlineStr">
        <is>
          <t>紧凑-高度紧凑</t>
        </is>
      </c>
      <c r="V246" s="2" t="inlineStr">
        <is>
          <t>紧凑-极度紧凑</t>
        </is>
      </c>
    </row>
    <row r="247">
      <c r="A247" s="1" t="n">
        <v>2023165</v>
      </c>
      <c r="B247" s="3" t="inlineStr">
        <is>
          <t>251</t>
        </is>
      </c>
      <c r="C247" s="2">
        <f>IF(B247="","",LEFT(TEXT(B247,"000"),1)*1)</f>
        <v/>
      </c>
      <c r="D247" s="2">
        <f>IF(B247="","",MID(TEXT(B247,"000"),2,1)*1)</f>
        <v/>
      </c>
      <c r="E247" s="2">
        <f>IF(B247="","",RIGHT(TEXT(B247,"000"),1)*1)</f>
        <v/>
      </c>
      <c r="F247" s="2">
        <f>IF(B247="","",C247+D247+E247)</f>
        <v/>
      </c>
      <c r="G247" s="2">
        <f>IF(B247="","",MOD(F247,10))</f>
        <v/>
      </c>
      <c r="H247" s="2">
        <f>IF(B247="","",MAX(C247,D247,E247)-MIN(C247,D247,E247))</f>
        <v/>
      </c>
      <c r="I247" s="2">
        <f>IF(OR(B247="",H247=0),IF(H247=0,0.1,""),ROUND(F247/H247,2))</f>
        <v/>
      </c>
      <c r="J247" s="2">
        <f>IF(I247=0.1,"极紧凑",IF(I247&gt;3.5,"紧凑",IF(AND(I247&gt;=2,I247&lt;=3.5),"标准",IF(AND(I247&gt;=1,I247&lt;2),"松散",""))))</f>
        <v/>
      </c>
      <c r="K247" s="2">
        <f>IF(I247=0.1,"极紧凑-豹子号",IF(AND(I247&gt;=1,I247&lt;=1.29),"松散-极松散",IF(AND(I247&gt;=1.33,I247&lt;=1.8),"松散-标准松散",IF(AND(I247&gt;=1.83,I247&lt;=1.89),"松散-偏紧松散",IF(AND(I247&gt;=2,I247&lt;=2.5),"标准-偏松标准",IF(AND(I247&gt;=2.57,I247&lt;=3),"标准-核心标准",IF(AND(I247&gt;=3.17,I247&lt;=3.5),"标准-偏紧标准",IF(AND(I247&gt;=3.6,I247&lt;=5),"紧凑-标准紧凑",IF(AND(I247&gt;=5.25,I247&lt;=8),"紧凑-高度紧凑",IF(I247&gt;=8.5,"紧凑-极度紧凑",""))))))))))</f>
        <v/>
      </c>
      <c r="L247" s="2">
        <f>IF(I247=0.1,"极紧凑",IF(AND(I247&gt;=1,I247&lt;=1.89),"松散",IF(AND(I247&gt;=2,I247&lt;=3.5),"标准",IF(I247&gt;=3.6,"紧凑",""))))</f>
        <v/>
      </c>
      <c r="M247" s="2" t="inlineStr">
        <is>
          <t>极紧凑-豹子号</t>
        </is>
      </c>
      <c r="N247" s="2" t="inlineStr">
        <is>
          <t>松散-极松散</t>
        </is>
      </c>
      <c r="O247" s="2" t="inlineStr">
        <is>
          <t>松散-标准松散</t>
        </is>
      </c>
      <c r="P247" s="2" t="inlineStr">
        <is>
          <t>松散-偏紧松散</t>
        </is>
      </c>
      <c r="Q247" s="2" t="inlineStr">
        <is>
          <t>标准-偏松标准</t>
        </is>
      </c>
      <c r="R247" s="2" t="inlineStr">
        <is>
          <t>标准-核心标准</t>
        </is>
      </c>
      <c r="S247" s="2" t="inlineStr">
        <is>
          <t>标准-偏紧标准</t>
        </is>
      </c>
      <c r="T247" s="2" t="inlineStr">
        <is>
          <t>紧凑-标准紧凑</t>
        </is>
      </c>
      <c r="U247" s="2" t="inlineStr">
        <is>
          <t>紧凑-高度紧凑</t>
        </is>
      </c>
      <c r="V247" s="2" t="inlineStr">
        <is>
          <t>紧凑-极度紧凑</t>
        </is>
      </c>
    </row>
    <row r="248">
      <c r="A248" s="1" t="n">
        <v>2023166</v>
      </c>
      <c r="B248" s="3" t="inlineStr">
        <is>
          <t>128</t>
        </is>
      </c>
      <c r="C248" s="2">
        <f>IF(B248="","",LEFT(TEXT(B248,"000"),1)*1)</f>
        <v/>
      </c>
      <c r="D248" s="2">
        <f>IF(B248="","",MID(TEXT(B248,"000"),2,1)*1)</f>
        <v/>
      </c>
      <c r="E248" s="2">
        <f>IF(B248="","",RIGHT(TEXT(B248,"000"),1)*1)</f>
        <v/>
      </c>
      <c r="F248" s="2">
        <f>IF(B248="","",C248+D248+E248)</f>
        <v/>
      </c>
      <c r="G248" s="2">
        <f>IF(B248="","",MOD(F248,10))</f>
        <v/>
      </c>
      <c r="H248" s="2">
        <f>IF(B248="","",MAX(C248,D248,E248)-MIN(C248,D248,E248))</f>
        <v/>
      </c>
      <c r="I248" s="2">
        <f>IF(OR(B248="",H248=0),IF(H248=0,0.1,""),ROUND(F248/H248,2))</f>
        <v/>
      </c>
      <c r="J248" s="2">
        <f>IF(I248=0.1,"极紧凑",IF(I248&gt;3.5,"紧凑",IF(AND(I248&gt;=2,I248&lt;=3.5),"标准",IF(AND(I248&gt;=1,I248&lt;2),"松散",""))))</f>
        <v/>
      </c>
      <c r="K248" s="2">
        <f>IF(I248=0.1,"极紧凑-豹子号",IF(AND(I248&gt;=1,I248&lt;=1.29),"松散-极松散",IF(AND(I248&gt;=1.33,I248&lt;=1.8),"松散-标准松散",IF(AND(I248&gt;=1.83,I248&lt;=1.89),"松散-偏紧松散",IF(AND(I248&gt;=2,I248&lt;=2.5),"标准-偏松标准",IF(AND(I248&gt;=2.57,I248&lt;=3),"标准-核心标准",IF(AND(I248&gt;=3.17,I248&lt;=3.5),"标准-偏紧标准",IF(AND(I248&gt;=3.6,I248&lt;=5),"紧凑-标准紧凑",IF(AND(I248&gt;=5.25,I248&lt;=8),"紧凑-高度紧凑",IF(I248&gt;=8.5,"紧凑-极度紧凑",""))))))))))</f>
        <v/>
      </c>
      <c r="L248" s="2">
        <f>IF(I248=0.1,"极紧凑",IF(AND(I248&gt;=1,I248&lt;=1.89),"松散",IF(AND(I248&gt;=2,I248&lt;=3.5),"标准",IF(I248&gt;=3.6,"紧凑",""))))</f>
        <v/>
      </c>
      <c r="M248" s="2" t="inlineStr">
        <is>
          <t>极紧凑-豹子号</t>
        </is>
      </c>
      <c r="N248" s="2" t="inlineStr">
        <is>
          <t>松散-极松散</t>
        </is>
      </c>
      <c r="O248" s="2" t="inlineStr">
        <is>
          <t>松散-标准松散</t>
        </is>
      </c>
      <c r="P248" s="2" t="inlineStr">
        <is>
          <t>松散-偏紧松散</t>
        </is>
      </c>
      <c r="Q248" s="2" t="inlineStr">
        <is>
          <t>标准-偏松标准</t>
        </is>
      </c>
      <c r="R248" s="2" t="inlineStr">
        <is>
          <t>标准-核心标准</t>
        </is>
      </c>
      <c r="S248" s="2" t="inlineStr">
        <is>
          <t>标准-偏紧标准</t>
        </is>
      </c>
      <c r="T248" s="2" t="inlineStr">
        <is>
          <t>紧凑-标准紧凑</t>
        </is>
      </c>
      <c r="U248" s="2" t="inlineStr">
        <is>
          <t>紧凑-高度紧凑</t>
        </is>
      </c>
      <c r="V248" s="2" t="inlineStr">
        <is>
          <t>紧凑-极度紧凑</t>
        </is>
      </c>
    </row>
    <row r="249">
      <c r="A249" s="1" t="n">
        <v>2023167</v>
      </c>
      <c r="B249" s="3" t="inlineStr">
        <is>
          <t>190</t>
        </is>
      </c>
      <c r="C249" s="2">
        <f>IF(B249="","",LEFT(TEXT(B249,"000"),1)*1)</f>
        <v/>
      </c>
      <c r="D249" s="2">
        <f>IF(B249="","",MID(TEXT(B249,"000"),2,1)*1)</f>
        <v/>
      </c>
      <c r="E249" s="2">
        <f>IF(B249="","",RIGHT(TEXT(B249,"000"),1)*1)</f>
        <v/>
      </c>
      <c r="F249" s="2">
        <f>IF(B249="","",C249+D249+E249)</f>
        <v/>
      </c>
      <c r="G249" s="2">
        <f>IF(B249="","",MOD(F249,10))</f>
        <v/>
      </c>
      <c r="H249" s="2">
        <f>IF(B249="","",MAX(C249,D249,E249)-MIN(C249,D249,E249))</f>
        <v/>
      </c>
      <c r="I249" s="2">
        <f>IF(OR(B249="",H249=0),IF(H249=0,0.1,""),ROUND(F249/H249,2))</f>
        <v/>
      </c>
      <c r="J249" s="2">
        <f>IF(I249=0.1,"极紧凑",IF(I249&gt;3.5,"紧凑",IF(AND(I249&gt;=2,I249&lt;=3.5),"标准",IF(AND(I249&gt;=1,I249&lt;2),"松散",""))))</f>
        <v/>
      </c>
      <c r="K249" s="2">
        <f>IF(I249=0.1,"极紧凑-豹子号",IF(AND(I249&gt;=1,I249&lt;=1.29),"松散-极松散",IF(AND(I249&gt;=1.33,I249&lt;=1.8),"松散-标准松散",IF(AND(I249&gt;=1.83,I249&lt;=1.89),"松散-偏紧松散",IF(AND(I249&gt;=2,I249&lt;=2.5),"标准-偏松标准",IF(AND(I249&gt;=2.57,I249&lt;=3),"标准-核心标准",IF(AND(I249&gt;=3.17,I249&lt;=3.5),"标准-偏紧标准",IF(AND(I249&gt;=3.6,I249&lt;=5),"紧凑-标准紧凑",IF(AND(I249&gt;=5.25,I249&lt;=8),"紧凑-高度紧凑",IF(I249&gt;=8.5,"紧凑-极度紧凑",""))))))))))</f>
        <v/>
      </c>
      <c r="L249" s="2">
        <f>IF(I249=0.1,"极紧凑",IF(AND(I249&gt;=1,I249&lt;=1.89),"松散",IF(AND(I249&gt;=2,I249&lt;=3.5),"标准",IF(I249&gt;=3.6,"紧凑",""))))</f>
        <v/>
      </c>
      <c r="M249" s="2" t="inlineStr">
        <is>
          <t>极紧凑-豹子号</t>
        </is>
      </c>
      <c r="N249" s="2" t="inlineStr">
        <is>
          <t>松散-极松散</t>
        </is>
      </c>
      <c r="O249" s="2" t="inlineStr">
        <is>
          <t>松散-标准松散</t>
        </is>
      </c>
      <c r="P249" s="2" t="inlineStr">
        <is>
          <t>松散-偏紧松散</t>
        </is>
      </c>
      <c r="Q249" s="2" t="inlineStr">
        <is>
          <t>标准-偏松标准</t>
        </is>
      </c>
      <c r="R249" s="2" t="inlineStr">
        <is>
          <t>标准-核心标准</t>
        </is>
      </c>
      <c r="S249" s="2" t="inlineStr">
        <is>
          <t>标准-偏紧标准</t>
        </is>
      </c>
      <c r="T249" s="2" t="inlineStr">
        <is>
          <t>紧凑-标准紧凑</t>
        </is>
      </c>
      <c r="U249" s="2" t="inlineStr">
        <is>
          <t>紧凑-高度紧凑</t>
        </is>
      </c>
      <c r="V249" s="2" t="inlineStr">
        <is>
          <t>紧凑-极度紧凑</t>
        </is>
      </c>
    </row>
    <row r="250">
      <c r="A250" s="1" t="n">
        <v>2023168</v>
      </c>
      <c r="B250" s="3" t="inlineStr">
        <is>
          <t>933</t>
        </is>
      </c>
      <c r="C250" s="2">
        <f>IF(B250="","",LEFT(TEXT(B250,"000"),1)*1)</f>
        <v/>
      </c>
      <c r="D250" s="2">
        <f>IF(B250="","",MID(TEXT(B250,"000"),2,1)*1)</f>
        <v/>
      </c>
      <c r="E250" s="2">
        <f>IF(B250="","",RIGHT(TEXT(B250,"000"),1)*1)</f>
        <v/>
      </c>
      <c r="F250" s="2">
        <f>IF(B250="","",C250+D250+E250)</f>
        <v/>
      </c>
      <c r="G250" s="2">
        <f>IF(B250="","",MOD(F250,10))</f>
        <v/>
      </c>
      <c r="H250" s="2">
        <f>IF(B250="","",MAX(C250,D250,E250)-MIN(C250,D250,E250))</f>
        <v/>
      </c>
      <c r="I250" s="2">
        <f>IF(OR(B250="",H250=0),IF(H250=0,0.1,""),ROUND(F250/H250,2))</f>
        <v/>
      </c>
      <c r="J250" s="2">
        <f>IF(I250=0.1,"极紧凑",IF(I250&gt;3.5,"紧凑",IF(AND(I250&gt;=2,I250&lt;=3.5),"标准",IF(AND(I250&gt;=1,I250&lt;2),"松散",""))))</f>
        <v/>
      </c>
      <c r="K250" s="2">
        <f>IF(I250=0.1,"极紧凑-豹子号",IF(AND(I250&gt;=1,I250&lt;=1.29),"松散-极松散",IF(AND(I250&gt;=1.33,I250&lt;=1.8),"松散-标准松散",IF(AND(I250&gt;=1.83,I250&lt;=1.89),"松散-偏紧松散",IF(AND(I250&gt;=2,I250&lt;=2.5),"标准-偏松标准",IF(AND(I250&gt;=2.57,I250&lt;=3),"标准-核心标准",IF(AND(I250&gt;=3.17,I250&lt;=3.5),"标准-偏紧标准",IF(AND(I250&gt;=3.6,I250&lt;=5),"紧凑-标准紧凑",IF(AND(I250&gt;=5.25,I250&lt;=8),"紧凑-高度紧凑",IF(I250&gt;=8.5,"紧凑-极度紧凑",""))))))))))</f>
        <v/>
      </c>
      <c r="L250" s="2">
        <f>IF(I250=0.1,"极紧凑",IF(AND(I250&gt;=1,I250&lt;=1.89),"松散",IF(AND(I250&gt;=2,I250&lt;=3.5),"标准",IF(I250&gt;=3.6,"紧凑",""))))</f>
        <v/>
      </c>
      <c r="M250" s="2" t="inlineStr">
        <is>
          <t>极紧凑-豹子号</t>
        </is>
      </c>
      <c r="N250" s="2" t="inlineStr">
        <is>
          <t>松散-极松散</t>
        </is>
      </c>
      <c r="O250" s="2" t="inlineStr">
        <is>
          <t>松散-标准松散</t>
        </is>
      </c>
      <c r="P250" s="2" t="inlineStr">
        <is>
          <t>松散-偏紧松散</t>
        </is>
      </c>
      <c r="Q250" s="2" t="inlineStr">
        <is>
          <t>标准-偏松标准</t>
        </is>
      </c>
      <c r="R250" s="2" t="inlineStr">
        <is>
          <t>标准-核心标准</t>
        </is>
      </c>
      <c r="S250" s="2" t="inlineStr">
        <is>
          <t>标准-偏紧标准</t>
        </is>
      </c>
      <c r="T250" s="2" t="inlineStr">
        <is>
          <t>紧凑-标准紧凑</t>
        </is>
      </c>
      <c r="U250" s="2" t="inlineStr">
        <is>
          <t>紧凑-高度紧凑</t>
        </is>
      </c>
      <c r="V250" s="2" t="inlineStr">
        <is>
          <t>紧凑-极度紧凑</t>
        </is>
      </c>
    </row>
    <row r="251">
      <c r="A251" s="1" t="n">
        <v>2023169</v>
      </c>
      <c r="B251" s="3" t="inlineStr">
        <is>
          <t>721</t>
        </is>
      </c>
      <c r="C251" s="2">
        <f>IF(B251="","",LEFT(TEXT(B251,"000"),1)*1)</f>
        <v/>
      </c>
      <c r="D251" s="2">
        <f>IF(B251="","",MID(TEXT(B251,"000"),2,1)*1)</f>
        <v/>
      </c>
      <c r="E251" s="2">
        <f>IF(B251="","",RIGHT(TEXT(B251,"000"),1)*1)</f>
        <v/>
      </c>
      <c r="F251" s="2">
        <f>IF(B251="","",C251+D251+E251)</f>
        <v/>
      </c>
      <c r="G251" s="2">
        <f>IF(B251="","",MOD(F251,10))</f>
        <v/>
      </c>
      <c r="H251" s="2">
        <f>IF(B251="","",MAX(C251,D251,E251)-MIN(C251,D251,E251))</f>
        <v/>
      </c>
      <c r="I251" s="2">
        <f>IF(OR(B251="",H251=0),IF(H251=0,0.1,""),ROUND(F251/H251,2))</f>
        <v/>
      </c>
      <c r="J251" s="2">
        <f>IF(I251=0.1,"极紧凑",IF(I251&gt;3.5,"紧凑",IF(AND(I251&gt;=2,I251&lt;=3.5),"标准",IF(AND(I251&gt;=1,I251&lt;2),"松散",""))))</f>
        <v/>
      </c>
      <c r="K251" s="2">
        <f>IF(I251=0.1,"极紧凑-豹子号",IF(AND(I251&gt;=1,I251&lt;=1.29),"松散-极松散",IF(AND(I251&gt;=1.33,I251&lt;=1.8),"松散-标准松散",IF(AND(I251&gt;=1.83,I251&lt;=1.89),"松散-偏紧松散",IF(AND(I251&gt;=2,I251&lt;=2.5),"标准-偏松标准",IF(AND(I251&gt;=2.57,I251&lt;=3),"标准-核心标准",IF(AND(I251&gt;=3.17,I251&lt;=3.5),"标准-偏紧标准",IF(AND(I251&gt;=3.6,I251&lt;=5),"紧凑-标准紧凑",IF(AND(I251&gt;=5.25,I251&lt;=8),"紧凑-高度紧凑",IF(I251&gt;=8.5,"紧凑-极度紧凑",""))))))))))</f>
        <v/>
      </c>
      <c r="L251" s="2">
        <f>IF(I251=0.1,"极紧凑",IF(AND(I251&gt;=1,I251&lt;=1.89),"松散",IF(AND(I251&gt;=2,I251&lt;=3.5),"标准",IF(I251&gt;=3.6,"紧凑",""))))</f>
        <v/>
      </c>
      <c r="M251" s="2" t="inlineStr">
        <is>
          <t>极紧凑-豹子号</t>
        </is>
      </c>
      <c r="N251" s="2" t="inlineStr">
        <is>
          <t>松散-极松散</t>
        </is>
      </c>
      <c r="O251" s="2" t="inlineStr">
        <is>
          <t>松散-标准松散</t>
        </is>
      </c>
      <c r="P251" s="2" t="inlineStr">
        <is>
          <t>松散-偏紧松散</t>
        </is>
      </c>
      <c r="Q251" s="2" t="inlineStr">
        <is>
          <t>标准-偏松标准</t>
        </is>
      </c>
      <c r="R251" s="2" t="inlineStr">
        <is>
          <t>标准-核心标准</t>
        </is>
      </c>
      <c r="S251" s="2" t="inlineStr">
        <is>
          <t>标准-偏紧标准</t>
        </is>
      </c>
      <c r="T251" s="2" t="inlineStr">
        <is>
          <t>紧凑-标准紧凑</t>
        </is>
      </c>
      <c r="U251" s="2" t="inlineStr">
        <is>
          <t>紧凑-高度紧凑</t>
        </is>
      </c>
      <c r="V251" s="2" t="inlineStr">
        <is>
          <t>紧凑-极度紧凑</t>
        </is>
      </c>
    </row>
    <row r="252">
      <c r="A252" s="1" t="n">
        <v>2023170</v>
      </c>
      <c r="B252" s="3" t="inlineStr">
        <is>
          <t>082</t>
        </is>
      </c>
      <c r="C252" s="2">
        <f>IF(B252="","",LEFT(TEXT(B252,"000"),1)*1)</f>
        <v/>
      </c>
      <c r="D252" s="2">
        <f>IF(B252="","",MID(TEXT(B252,"000"),2,1)*1)</f>
        <v/>
      </c>
      <c r="E252" s="2">
        <f>IF(B252="","",RIGHT(TEXT(B252,"000"),1)*1)</f>
        <v/>
      </c>
      <c r="F252" s="2">
        <f>IF(B252="","",C252+D252+E252)</f>
        <v/>
      </c>
      <c r="G252" s="2">
        <f>IF(B252="","",MOD(F252,10))</f>
        <v/>
      </c>
      <c r="H252" s="2">
        <f>IF(B252="","",MAX(C252,D252,E252)-MIN(C252,D252,E252))</f>
        <v/>
      </c>
      <c r="I252" s="2">
        <f>IF(OR(B252="",H252=0),IF(H252=0,0.1,""),ROUND(F252/H252,2))</f>
        <v/>
      </c>
      <c r="J252" s="2">
        <f>IF(I252=0.1,"极紧凑",IF(I252&gt;3.5,"紧凑",IF(AND(I252&gt;=2,I252&lt;=3.5),"标准",IF(AND(I252&gt;=1,I252&lt;2),"松散",""))))</f>
        <v/>
      </c>
      <c r="K252" s="2">
        <f>IF(I252=0.1,"极紧凑-豹子号",IF(AND(I252&gt;=1,I252&lt;=1.29),"松散-极松散",IF(AND(I252&gt;=1.33,I252&lt;=1.8),"松散-标准松散",IF(AND(I252&gt;=1.83,I252&lt;=1.89),"松散-偏紧松散",IF(AND(I252&gt;=2,I252&lt;=2.5),"标准-偏松标准",IF(AND(I252&gt;=2.57,I252&lt;=3),"标准-核心标准",IF(AND(I252&gt;=3.17,I252&lt;=3.5),"标准-偏紧标准",IF(AND(I252&gt;=3.6,I252&lt;=5),"紧凑-标准紧凑",IF(AND(I252&gt;=5.25,I252&lt;=8),"紧凑-高度紧凑",IF(I252&gt;=8.5,"紧凑-极度紧凑",""))))))))))</f>
        <v/>
      </c>
      <c r="L252" s="2">
        <f>IF(I252=0.1,"极紧凑",IF(AND(I252&gt;=1,I252&lt;=1.89),"松散",IF(AND(I252&gt;=2,I252&lt;=3.5),"标准",IF(I252&gt;=3.6,"紧凑",""))))</f>
        <v/>
      </c>
      <c r="M252" s="2" t="inlineStr">
        <is>
          <t>极紧凑-豹子号</t>
        </is>
      </c>
      <c r="N252" s="2" t="inlineStr">
        <is>
          <t>松散-极松散</t>
        </is>
      </c>
      <c r="O252" s="2" t="inlineStr">
        <is>
          <t>松散-标准松散</t>
        </is>
      </c>
      <c r="P252" s="2" t="inlineStr">
        <is>
          <t>松散-偏紧松散</t>
        </is>
      </c>
      <c r="Q252" s="2" t="inlineStr">
        <is>
          <t>标准-偏松标准</t>
        </is>
      </c>
      <c r="R252" s="2" t="inlineStr">
        <is>
          <t>标准-核心标准</t>
        </is>
      </c>
      <c r="S252" s="2" t="inlineStr">
        <is>
          <t>标准-偏紧标准</t>
        </is>
      </c>
      <c r="T252" s="2" t="inlineStr">
        <is>
          <t>紧凑-标准紧凑</t>
        </is>
      </c>
      <c r="U252" s="2" t="inlineStr">
        <is>
          <t>紧凑-高度紧凑</t>
        </is>
      </c>
      <c r="V252" s="2" t="inlineStr">
        <is>
          <t>紧凑-极度紧凑</t>
        </is>
      </c>
    </row>
    <row r="253">
      <c r="A253" s="1" t="n">
        <v>2023171</v>
      </c>
      <c r="B253" s="3" t="inlineStr">
        <is>
          <t>226</t>
        </is>
      </c>
      <c r="C253" s="2">
        <f>IF(B253="","",LEFT(TEXT(B253,"000"),1)*1)</f>
        <v/>
      </c>
      <c r="D253" s="2">
        <f>IF(B253="","",MID(TEXT(B253,"000"),2,1)*1)</f>
        <v/>
      </c>
      <c r="E253" s="2">
        <f>IF(B253="","",RIGHT(TEXT(B253,"000"),1)*1)</f>
        <v/>
      </c>
      <c r="F253" s="2">
        <f>IF(B253="","",C253+D253+E253)</f>
        <v/>
      </c>
      <c r="G253" s="2">
        <f>IF(B253="","",MOD(F253,10))</f>
        <v/>
      </c>
      <c r="H253" s="2">
        <f>IF(B253="","",MAX(C253,D253,E253)-MIN(C253,D253,E253))</f>
        <v/>
      </c>
      <c r="I253" s="2">
        <f>IF(OR(B253="",H253=0),IF(H253=0,0.1,""),ROUND(F253/H253,2))</f>
        <v/>
      </c>
      <c r="J253" s="2">
        <f>IF(I253=0.1,"极紧凑",IF(I253&gt;3.5,"紧凑",IF(AND(I253&gt;=2,I253&lt;=3.5),"标准",IF(AND(I253&gt;=1,I253&lt;2),"松散",""))))</f>
        <v/>
      </c>
      <c r="K253" s="2">
        <f>IF(I253=0.1,"极紧凑-豹子号",IF(AND(I253&gt;=1,I253&lt;=1.29),"松散-极松散",IF(AND(I253&gt;=1.33,I253&lt;=1.8),"松散-标准松散",IF(AND(I253&gt;=1.83,I253&lt;=1.89),"松散-偏紧松散",IF(AND(I253&gt;=2,I253&lt;=2.5),"标准-偏松标准",IF(AND(I253&gt;=2.57,I253&lt;=3),"标准-核心标准",IF(AND(I253&gt;=3.17,I253&lt;=3.5),"标准-偏紧标准",IF(AND(I253&gt;=3.6,I253&lt;=5),"紧凑-标准紧凑",IF(AND(I253&gt;=5.25,I253&lt;=8),"紧凑-高度紧凑",IF(I253&gt;=8.5,"紧凑-极度紧凑",""))))))))))</f>
        <v/>
      </c>
      <c r="L253" s="2">
        <f>IF(I253=0.1,"极紧凑",IF(AND(I253&gt;=1,I253&lt;=1.89),"松散",IF(AND(I253&gt;=2,I253&lt;=3.5),"标准",IF(I253&gt;=3.6,"紧凑",""))))</f>
        <v/>
      </c>
      <c r="M253" s="2" t="inlineStr">
        <is>
          <t>极紧凑-豹子号</t>
        </is>
      </c>
      <c r="N253" s="2" t="inlineStr">
        <is>
          <t>松散-极松散</t>
        </is>
      </c>
      <c r="O253" s="2" t="inlineStr">
        <is>
          <t>松散-标准松散</t>
        </is>
      </c>
      <c r="P253" s="2" t="inlineStr">
        <is>
          <t>松散-偏紧松散</t>
        </is>
      </c>
      <c r="Q253" s="2" t="inlineStr">
        <is>
          <t>标准-偏松标准</t>
        </is>
      </c>
      <c r="R253" s="2" t="inlineStr">
        <is>
          <t>标准-核心标准</t>
        </is>
      </c>
      <c r="S253" s="2" t="inlineStr">
        <is>
          <t>标准-偏紧标准</t>
        </is>
      </c>
      <c r="T253" s="2" t="inlineStr">
        <is>
          <t>紧凑-标准紧凑</t>
        </is>
      </c>
      <c r="U253" s="2" t="inlineStr">
        <is>
          <t>紧凑-高度紧凑</t>
        </is>
      </c>
      <c r="V253" s="2" t="inlineStr">
        <is>
          <t>紧凑-极度紧凑</t>
        </is>
      </c>
    </row>
    <row r="254">
      <c r="A254" s="1" t="n">
        <v>2023172</v>
      </c>
      <c r="B254" s="3" t="inlineStr">
        <is>
          <t>780</t>
        </is>
      </c>
      <c r="C254" s="2">
        <f>IF(B254="","",LEFT(TEXT(B254,"000"),1)*1)</f>
        <v/>
      </c>
      <c r="D254" s="2">
        <f>IF(B254="","",MID(TEXT(B254,"000"),2,1)*1)</f>
        <v/>
      </c>
      <c r="E254" s="2">
        <f>IF(B254="","",RIGHT(TEXT(B254,"000"),1)*1)</f>
        <v/>
      </c>
      <c r="F254" s="2">
        <f>IF(B254="","",C254+D254+E254)</f>
        <v/>
      </c>
      <c r="G254" s="2">
        <f>IF(B254="","",MOD(F254,10))</f>
        <v/>
      </c>
      <c r="H254" s="2">
        <f>IF(B254="","",MAX(C254,D254,E254)-MIN(C254,D254,E254))</f>
        <v/>
      </c>
      <c r="I254" s="2">
        <f>IF(OR(B254="",H254=0),IF(H254=0,0.1,""),ROUND(F254/H254,2))</f>
        <v/>
      </c>
      <c r="J254" s="2">
        <f>IF(I254=0.1,"极紧凑",IF(I254&gt;3.5,"紧凑",IF(AND(I254&gt;=2,I254&lt;=3.5),"标准",IF(AND(I254&gt;=1,I254&lt;2),"松散",""))))</f>
        <v/>
      </c>
      <c r="K254" s="2">
        <f>IF(I254=0.1,"极紧凑-豹子号",IF(AND(I254&gt;=1,I254&lt;=1.29),"松散-极松散",IF(AND(I254&gt;=1.33,I254&lt;=1.8),"松散-标准松散",IF(AND(I254&gt;=1.83,I254&lt;=1.89),"松散-偏紧松散",IF(AND(I254&gt;=2,I254&lt;=2.5),"标准-偏松标准",IF(AND(I254&gt;=2.57,I254&lt;=3),"标准-核心标准",IF(AND(I254&gt;=3.17,I254&lt;=3.5),"标准-偏紧标准",IF(AND(I254&gt;=3.6,I254&lt;=5),"紧凑-标准紧凑",IF(AND(I254&gt;=5.25,I254&lt;=8),"紧凑-高度紧凑",IF(I254&gt;=8.5,"紧凑-极度紧凑",""))))))))))</f>
        <v/>
      </c>
      <c r="L254" s="2">
        <f>IF(I254=0.1,"极紧凑",IF(AND(I254&gt;=1,I254&lt;=1.89),"松散",IF(AND(I254&gt;=2,I254&lt;=3.5),"标准",IF(I254&gt;=3.6,"紧凑",""))))</f>
        <v/>
      </c>
      <c r="M254" s="2" t="inlineStr">
        <is>
          <t>极紧凑-豹子号</t>
        </is>
      </c>
      <c r="N254" s="2" t="inlineStr">
        <is>
          <t>松散-极松散</t>
        </is>
      </c>
      <c r="O254" s="2" t="inlineStr">
        <is>
          <t>松散-标准松散</t>
        </is>
      </c>
      <c r="P254" s="2" t="inlineStr">
        <is>
          <t>松散-偏紧松散</t>
        </is>
      </c>
      <c r="Q254" s="2" t="inlineStr">
        <is>
          <t>标准-偏松标准</t>
        </is>
      </c>
      <c r="R254" s="2" t="inlineStr">
        <is>
          <t>标准-核心标准</t>
        </is>
      </c>
      <c r="S254" s="2" t="inlineStr">
        <is>
          <t>标准-偏紧标准</t>
        </is>
      </c>
      <c r="T254" s="2" t="inlineStr">
        <is>
          <t>紧凑-标准紧凑</t>
        </is>
      </c>
      <c r="U254" s="2" t="inlineStr">
        <is>
          <t>紧凑-高度紧凑</t>
        </is>
      </c>
      <c r="V254" s="2" t="inlineStr">
        <is>
          <t>紧凑-极度紧凑</t>
        </is>
      </c>
    </row>
    <row r="255">
      <c r="A255" s="1" t="n">
        <v>2023173</v>
      </c>
      <c r="B255" s="3" t="inlineStr">
        <is>
          <t>013</t>
        </is>
      </c>
      <c r="C255" s="2">
        <f>IF(B255="","",LEFT(TEXT(B255,"000"),1)*1)</f>
        <v/>
      </c>
      <c r="D255" s="2">
        <f>IF(B255="","",MID(TEXT(B255,"000"),2,1)*1)</f>
        <v/>
      </c>
      <c r="E255" s="2">
        <f>IF(B255="","",RIGHT(TEXT(B255,"000"),1)*1)</f>
        <v/>
      </c>
      <c r="F255" s="2">
        <f>IF(B255="","",C255+D255+E255)</f>
        <v/>
      </c>
      <c r="G255" s="2">
        <f>IF(B255="","",MOD(F255,10))</f>
        <v/>
      </c>
      <c r="H255" s="2">
        <f>IF(B255="","",MAX(C255,D255,E255)-MIN(C255,D255,E255))</f>
        <v/>
      </c>
      <c r="I255" s="2">
        <f>IF(OR(B255="",H255=0),IF(H255=0,0.1,""),ROUND(F255/H255,2))</f>
        <v/>
      </c>
      <c r="J255" s="2">
        <f>IF(I255=0.1,"极紧凑",IF(I255&gt;3.5,"紧凑",IF(AND(I255&gt;=2,I255&lt;=3.5),"标准",IF(AND(I255&gt;=1,I255&lt;2),"松散",""))))</f>
        <v/>
      </c>
      <c r="K255" s="2">
        <f>IF(I255=0.1,"极紧凑-豹子号",IF(AND(I255&gt;=1,I255&lt;=1.29),"松散-极松散",IF(AND(I255&gt;=1.33,I255&lt;=1.8),"松散-标准松散",IF(AND(I255&gt;=1.83,I255&lt;=1.89),"松散-偏紧松散",IF(AND(I255&gt;=2,I255&lt;=2.5),"标准-偏松标准",IF(AND(I255&gt;=2.57,I255&lt;=3),"标准-核心标准",IF(AND(I255&gt;=3.17,I255&lt;=3.5),"标准-偏紧标准",IF(AND(I255&gt;=3.6,I255&lt;=5),"紧凑-标准紧凑",IF(AND(I255&gt;=5.25,I255&lt;=8),"紧凑-高度紧凑",IF(I255&gt;=8.5,"紧凑-极度紧凑",""))))))))))</f>
        <v/>
      </c>
      <c r="L255" s="2">
        <f>IF(I255=0.1,"极紧凑",IF(AND(I255&gt;=1,I255&lt;=1.89),"松散",IF(AND(I255&gt;=2,I255&lt;=3.5),"标准",IF(I255&gt;=3.6,"紧凑",""))))</f>
        <v/>
      </c>
      <c r="M255" s="2" t="inlineStr">
        <is>
          <t>极紧凑-豹子号</t>
        </is>
      </c>
      <c r="N255" s="2" t="inlineStr">
        <is>
          <t>松散-极松散</t>
        </is>
      </c>
      <c r="O255" s="2" t="inlineStr">
        <is>
          <t>松散-标准松散</t>
        </is>
      </c>
      <c r="P255" s="2" t="inlineStr">
        <is>
          <t>松散-偏紧松散</t>
        </is>
      </c>
      <c r="Q255" s="2" t="inlineStr">
        <is>
          <t>标准-偏松标准</t>
        </is>
      </c>
      <c r="R255" s="2" t="inlineStr">
        <is>
          <t>标准-核心标准</t>
        </is>
      </c>
      <c r="S255" s="2" t="inlineStr">
        <is>
          <t>标准-偏紧标准</t>
        </is>
      </c>
      <c r="T255" s="2" t="inlineStr">
        <is>
          <t>紧凑-标准紧凑</t>
        </is>
      </c>
      <c r="U255" s="2" t="inlineStr">
        <is>
          <t>紧凑-高度紧凑</t>
        </is>
      </c>
      <c r="V255" s="2" t="inlineStr">
        <is>
          <t>紧凑-极度紧凑</t>
        </is>
      </c>
    </row>
    <row r="256">
      <c r="A256" s="1" t="n">
        <v>2023174</v>
      </c>
      <c r="B256" s="3" t="inlineStr">
        <is>
          <t>829</t>
        </is>
      </c>
      <c r="C256" s="2">
        <f>IF(B256="","",LEFT(TEXT(B256,"000"),1)*1)</f>
        <v/>
      </c>
      <c r="D256" s="2">
        <f>IF(B256="","",MID(TEXT(B256,"000"),2,1)*1)</f>
        <v/>
      </c>
      <c r="E256" s="2">
        <f>IF(B256="","",RIGHT(TEXT(B256,"000"),1)*1)</f>
        <v/>
      </c>
      <c r="F256" s="2">
        <f>IF(B256="","",C256+D256+E256)</f>
        <v/>
      </c>
      <c r="G256" s="2">
        <f>IF(B256="","",MOD(F256,10))</f>
        <v/>
      </c>
      <c r="H256" s="2">
        <f>IF(B256="","",MAX(C256,D256,E256)-MIN(C256,D256,E256))</f>
        <v/>
      </c>
      <c r="I256" s="2">
        <f>IF(OR(B256="",H256=0),IF(H256=0,0.1,""),ROUND(F256/H256,2))</f>
        <v/>
      </c>
      <c r="J256" s="2">
        <f>IF(I256=0.1,"极紧凑",IF(I256&gt;3.5,"紧凑",IF(AND(I256&gt;=2,I256&lt;=3.5),"标准",IF(AND(I256&gt;=1,I256&lt;2),"松散",""))))</f>
        <v/>
      </c>
      <c r="K256" s="2">
        <f>IF(I256=0.1,"极紧凑-豹子号",IF(AND(I256&gt;=1,I256&lt;=1.29),"松散-极松散",IF(AND(I256&gt;=1.33,I256&lt;=1.8),"松散-标准松散",IF(AND(I256&gt;=1.83,I256&lt;=1.89),"松散-偏紧松散",IF(AND(I256&gt;=2,I256&lt;=2.5),"标准-偏松标准",IF(AND(I256&gt;=2.57,I256&lt;=3),"标准-核心标准",IF(AND(I256&gt;=3.17,I256&lt;=3.5),"标准-偏紧标准",IF(AND(I256&gt;=3.6,I256&lt;=5),"紧凑-标准紧凑",IF(AND(I256&gt;=5.25,I256&lt;=8),"紧凑-高度紧凑",IF(I256&gt;=8.5,"紧凑-极度紧凑",""))))))))))</f>
        <v/>
      </c>
      <c r="L256" s="2">
        <f>IF(I256=0.1,"极紧凑",IF(AND(I256&gt;=1,I256&lt;=1.89),"松散",IF(AND(I256&gt;=2,I256&lt;=3.5),"标准",IF(I256&gt;=3.6,"紧凑",""))))</f>
        <v/>
      </c>
      <c r="M256" s="2" t="inlineStr">
        <is>
          <t>极紧凑-豹子号</t>
        </is>
      </c>
      <c r="N256" s="2" t="inlineStr">
        <is>
          <t>松散-极松散</t>
        </is>
      </c>
      <c r="O256" s="2" t="inlineStr">
        <is>
          <t>松散-标准松散</t>
        </is>
      </c>
      <c r="P256" s="2" t="inlineStr">
        <is>
          <t>松散-偏紧松散</t>
        </is>
      </c>
      <c r="Q256" s="2" t="inlineStr">
        <is>
          <t>标准-偏松标准</t>
        </is>
      </c>
      <c r="R256" s="2" t="inlineStr">
        <is>
          <t>标准-核心标准</t>
        </is>
      </c>
      <c r="S256" s="2" t="inlineStr">
        <is>
          <t>标准-偏紧标准</t>
        </is>
      </c>
      <c r="T256" s="2" t="inlineStr">
        <is>
          <t>紧凑-标准紧凑</t>
        </is>
      </c>
      <c r="U256" s="2" t="inlineStr">
        <is>
          <t>紧凑-高度紧凑</t>
        </is>
      </c>
      <c r="V256" s="2" t="inlineStr">
        <is>
          <t>紧凑-极度紧凑</t>
        </is>
      </c>
    </row>
    <row r="257">
      <c r="A257" s="1" t="n">
        <v>2023175</v>
      </c>
      <c r="B257" s="3" t="inlineStr">
        <is>
          <t>280</t>
        </is>
      </c>
      <c r="C257" s="2">
        <f>IF(B257="","",LEFT(TEXT(B257,"000"),1)*1)</f>
        <v/>
      </c>
      <c r="D257" s="2">
        <f>IF(B257="","",MID(TEXT(B257,"000"),2,1)*1)</f>
        <v/>
      </c>
      <c r="E257" s="2">
        <f>IF(B257="","",RIGHT(TEXT(B257,"000"),1)*1)</f>
        <v/>
      </c>
      <c r="F257" s="2">
        <f>IF(B257="","",C257+D257+E257)</f>
        <v/>
      </c>
      <c r="G257" s="2">
        <f>IF(B257="","",MOD(F257,10))</f>
        <v/>
      </c>
      <c r="H257" s="2">
        <f>IF(B257="","",MAX(C257,D257,E257)-MIN(C257,D257,E257))</f>
        <v/>
      </c>
      <c r="I257" s="2">
        <f>IF(OR(B257="",H257=0),IF(H257=0,0.1,""),ROUND(F257/H257,2))</f>
        <v/>
      </c>
      <c r="J257" s="2">
        <f>IF(I257=0.1,"极紧凑",IF(I257&gt;3.5,"紧凑",IF(AND(I257&gt;=2,I257&lt;=3.5),"标准",IF(AND(I257&gt;=1,I257&lt;2),"松散",""))))</f>
        <v/>
      </c>
      <c r="K257" s="2">
        <f>IF(I257=0.1,"极紧凑-豹子号",IF(AND(I257&gt;=1,I257&lt;=1.29),"松散-极松散",IF(AND(I257&gt;=1.33,I257&lt;=1.8),"松散-标准松散",IF(AND(I257&gt;=1.83,I257&lt;=1.89),"松散-偏紧松散",IF(AND(I257&gt;=2,I257&lt;=2.5),"标准-偏松标准",IF(AND(I257&gt;=2.57,I257&lt;=3),"标准-核心标准",IF(AND(I257&gt;=3.17,I257&lt;=3.5),"标准-偏紧标准",IF(AND(I257&gt;=3.6,I257&lt;=5),"紧凑-标准紧凑",IF(AND(I257&gt;=5.25,I257&lt;=8),"紧凑-高度紧凑",IF(I257&gt;=8.5,"紧凑-极度紧凑",""))))))))))</f>
        <v/>
      </c>
      <c r="L257" s="2">
        <f>IF(I257=0.1,"极紧凑",IF(AND(I257&gt;=1,I257&lt;=1.89),"松散",IF(AND(I257&gt;=2,I257&lt;=3.5),"标准",IF(I257&gt;=3.6,"紧凑",""))))</f>
        <v/>
      </c>
      <c r="M257" s="2" t="inlineStr">
        <is>
          <t>极紧凑-豹子号</t>
        </is>
      </c>
      <c r="N257" s="2" t="inlineStr">
        <is>
          <t>松散-极松散</t>
        </is>
      </c>
      <c r="O257" s="2" t="inlineStr">
        <is>
          <t>松散-标准松散</t>
        </is>
      </c>
      <c r="P257" s="2" t="inlineStr">
        <is>
          <t>松散-偏紧松散</t>
        </is>
      </c>
      <c r="Q257" s="2" t="inlineStr">
        <is>
          <t>标准-偏松标准</t>
        </is>
      </c>
      <c r="R257" s="2" t="inlineStr">
        <is>
          <t>标准-核心标准</t>
        </is>
      </c>
      <c r="S257" s="2" t="inlineStr">
        <is>
          <t>标准-偏紧标准</t>
        </is>
      </c>
      <c r="T257" s="2" t="inlineStr">
        <is>
          <t>紧凑-标准紧凑</t>
        </is>
      </c>
      <c r="U257" s="2" t="inlineStr">
        <is>
          <t>紧凑-高度紧凑</t>
        </is>
      </c>
      <c r="V257" s="2" t="inlineStr">
        <is>
          <t>紧凑-极度紧凑</t>
        </is>
      </c>
    </row>
    <row r="258">
      <c r="A258" s="1" t="n">
        <v>2023176</v>
      </c>
      <c r="B258" s="3" t="inlineStr">
        <is>
          <t>071</t>
        </is>
      </c>
      <c r="C258" s="2">
        <f>IF(B258="","",LEFT(TEXT(B258,"000"),1)*1)</f>
        <v/>
      </c>
      <c r="D258" s="2">
        <f>IF(B258="","",MID(TEXT(B258,"000"),2,1)*1)</f>
        <v/>
      </c>
      <c r="E258" s="2">
        <f>IF(B258="","",RIGHT(TEXT(B258,"000"),1)*1)</f>
        <v/>
      </c>
      <c r="F258" s="2">
        <f>IF(B258="","",C258+D258+E258)</f>
        <v/>
      </c>
      <c r="G258" s="2">
        <f>IF(B258="","",MOD(F258,10))</f>
        <v/>
      </c>
      <c r="H258" s="2">
        <f>IF(B258="","",MAX(C258,D258,E258)-MIN(C258,D258,E258))</f>
        <v/>
      </c>
      <c r="I258" s="2">
        <f>IF(OR(B258="",H258=0),IF(H258=0,0.1,""),ROUND(F258/H258,2))</f>
        <v/>
      </c>
      <c r="J258" s="2">
        <f>IF(I258=0.1,"极紧凑",IF(I258&gt;3.5,"紧凑",IF(AND(I258&gt;=2,I258&lt;=3.5),"标准",IF(AND(I258&gt;=1,I258&lt;2),"松散",""))))</f>
        <v/>
      </c>
      <c r="K258" s="2">
        <f>IF(I258=0.1,"极紧凑-豹子号",IF(AND(I258&gt;=1,I258&lt;=1.29),"松散-极松散",IF(AND(I258&gt;=1.33,I258&lt;=1.8),"松散-标准松散",IF(AND(I258&gt;=1.83,I258&lt;=1.89),"松散-偏紧松散",IF(AND(I258&gt;=2,I258&lt;=2.5),"标准-偏松标准",IF(AND(I258&gt;=2.57,I258&lt;=3),"标准-核心标准",IF(AND(I258&gt;=3.17,I258&lt;=3.5),"标准-偏紧标准",IF(AND(I258&gt;=3.6,I258&lt;=5),"紧凑-标准紧凑",IF(AND(I258&gt;=5.25,I258&lt;=8),"紧凑-高度紧凑",IF(I258&gt;=8.5,"紧凑-极度紧凑",""))))))))))</f>
        <v/>
      </c>
      <c r="L258" s="2">
        <f>IF(I258=0.1,"极紧凑",IF(AND(I258&gt;=1,I258&lt;=1.89),"松散",IF(AND(I258&gt;=2,I258&lt;=3.5),"标准",IF(I258&gt;=3.6,"紧凑",""))))</f>
        <v/>
      </c>
      <c r="M258" s="2" t="inlineStr">
        <is>
          <t>极紧凑-豹子号</t>
        </is>
      </c>
      <c r="N258" s="2" t="inlineStr">
        <is>
          <t>松散-极松散</t>
        </is>
      </c>
      <c r="O258" s="2" t="inlineStr">
        <is>
          <t>松散-标准松散</t>
        </is>
      </c>
      <c r="P258" s="2" t="inlineStr">
        <is>
          <t>松散-偏紧松散</t>
        </is>
      </c>
      <c r="Q258" s="2" t="inlineStr">
        <is>
          <t>标准-偏松标准</t>
        </is>
      </c>
      <c r="R258" s="2" t="inlineStr">
        <is>
          <t>标准-核心标准</t>
        </is>
      </c>
      <c r="S258" s="2" t="inlineStr">
        <is>
          <t>标准-偏紧标准</t>
        </is>
      </c>
      <c r="T258" s="2" t="inlineStr">
        <is>
          <t>紧凑-标准紧凑</t>
        </is>
      </c>
      <c r="U258" s="2" t="inlineStr">
        <is>
          <t>紧凑-高度紧凑</t>
        </is>
      </c>
      <c r="V258" s="2" t="inlineStr">
        <is>
          <t>紧凑-极度紧凑</t>
        </is>
      </c>
    </row>
    <row r="259">
      <c r="A259" s="1" t="n">
        <v>2023177</v>
      </c>
      <c r="B259" s="3" t="inlineStr">
        <is>
          <t>709</t>
        </is>
      </c>
      <c r="C259" s="2">
        <f>IF(B259="","",LEFT(TEXT(B259,"000"),1)*1)</f>
        <v/>
      </c>
      <c r="D259" s="2">
        <f>IF(B259="","",MID(TEXT(B259,"000"),2,1)*1)</f>
        <v/>
      </c>
      <c r="E259" s="2">
        <f>IF(B259="","",RIGHT(TEXT(B259,"000"),1)*1)</f>
        <v/>
      </c>
      <c r="F259" s="2">
        <f>IF(B259="","",C259+D259+E259)</f>
        <v/>
      </c>
      <c r="G259" s="2">
        <f>IF(B259="","",MOD(F259,10))</f>
        <v/>
      </c>
      <c r="H259" s="2">
        <f>IF(B259="","",MAX(C259,D259,E259)-MIN(C259,D259,E259))</f>
        <v/>
      </c>
      <c r="I259" s="2">
        <f>IF(OR(B259="",H259=0),IF(H259=0,0.1,""),ROUND(F259/H259,2))</f>
        <v/>
      </c>
      <c r="J259" s="2">
        <f>IF(I259=0.1,"极紧凑",IF(I259&gt;3.5,"紧凑",IF(AND(I259&gt;=2,I259&lt;=3.5),"标准",IF(AND(I259&gt;=1,I259&lt;2),"松散",""))))</f>
        <v/>
      </c>
      <c r="K259" s="2">
        <f>IF(I259=0.1,"极紧凑-豹子号",IF(AND(I259&gt;=1,I259&lt;=1.29),"松散-极松散",IF(AND(I259&gt;=1.33,I259&lt;=1.8),"松散-标准松散",IF(AND(I259&gt;=1.83,I259&lt;=1.89),"松散-偏紧松散",IF(AND(I259&gt;=2,I259&lt;=2.5),"标准-偏松标准",IF(AND(I259&gt;=2.57,I259&lt;=3),"标准-核心标准",IF(AND(I259&gt;=3.17,I259&lt;=3.5),"标准-偏紧标准",IF(AND(I259&gt;=3.6,I259&lt;=5),"紧凑-标准紧凑",IF(AND(I259&gt;=5.25,I259&lt;=8),"紧凑-高度紧凑",IF(I259&gt;=8.5,"紧凑-极度紧凑",""))))))))))</f>
        <v/>
      </c>
      <c r="L259" s="2">
        <f>IF(I259=0.1,"极紧凑",IF(AND(I259&gt;=1,I259&lt;=1.89),"松散",IF(AND(I259&gt;=2,I259&lt;=3.5),"标准",IF(I259&gt;=3.6,"紧凑",""))))</f>
        <v/>
      </c>
      <c r="M259" s="2" t="inlineStr">
        <is>
          <t>极紧凑-豹子号</t>
        </is>
      </c>
      <c r="N259" s="2" t="inlineStr">
        <is>
          <t>松散-极松散</t>
        </is>
      </c>
      <c r="O259" s="2" t="inlineStr">
        <is>
          <t>松散-标准松散</t>
        </is>
      </c>
      <c r="P259" s="2" t="inlineStr">
        <is>
          <t>松散-偏紧松散</t>
        </is>
      </c>
      <c r="Q259" s="2" t="inlineStr">
        <is>
          <t>标准-偏松标准</t>
        </is>
      </c>
      <c r="R259" s="2" t="inlineStr">
        <is>
          <t>标准-核心标准</t>
        </is>
      </c>
      <c r="S259" s="2" t="inlineStr">
        <is>
          <t>标准-偏紧标准</t>
        </is>
      </c>
      <c r="T259" s="2" t="inlineStr">
        <is>
          <t>紧凑-标准紧凑</t>
        </is>
      </c>
      <c r="U259" s="2" t="inlineStr">
        <is>
          <t>紧凑-高度紧凑</t>
        </is>
      </c>
      <c r="V259" s="2" t="inlineStr">
        <is>
          <t>紧凑-极度紧凑</t>
        </is>
      </c>
    </row>
    <row r="260">
      <c r="A260" s="1" t="n">
        <v>2023178</v>
      </c>
      <c r="B260" s="3" t="inlineStr">
        <is>
          <t>711</t>
        </is>
      </c>
      <c r="C260" s="2">
        <f>IF(B260="","",LEFT(TEXT(B260,"000"),1)*1)</f>
        <v/>
      </c>
      <c r="D260" s="2">
        <f>IF(B260="","",MID(TEXT(B260,"000"),2,1)*1)</f>
        <v/>
      </c>
      <c r="E260" s="2">
        <f>IF(B260="","",RIGHT(TEXT(B260,"000"),1)*1)</f>
        <v/>
      </c>
      <c r="F260" s="2">
        <f>IF(B260="","",C260+D260+E260)</f>
        <v/>
      </c>
      <c r="G260" s="2">
        <f>IF(B260="","",MOD(F260,10))</f>
        <v/>
      </c>
      <c r="H260" s="2">
        <f>IF(B260="","",MAX(C260,D260,E260)-MIN(C260,D260,E260))</f>
        <v/>
      </c>
      <c r="I260" s="2">
        <f>IF(OR(B260="",H260=0),IF(H260=0,0.1,""),ROUND(F260/H260,2))</f>
        <v/>
      </c>
      <c r="J260" s="2">
        <f>IF(I260=0.1,"极紧凑",IF(I260&gt;3.5,"紧凑",IF(AND(I260&gt;=2,I260&lt;=3.5),"标准",IF(AND(I260&gt;=1,I260&lt;2),"松散",""))))</f>
        <v/>
      </c>
      <c r="K260" s="2">
        <f>IF(I260=0.1,"极紧凑-豹子号",IF(AND(I260&gt;=1,I260&lt;=1.29),"松散-极松散",IF(AND(I260&gt;=1.33,I260&lt;=1.8),"松散-标准松散",IF(AND(I260&gt;=1.83,I260&lt;=1.89),"松散-偏紧松散",IF(AND(I260&gt;=2,I260&lt;=2.5),"标准-偏松标准",IF(AND(I260&gt;=2.57,I260&lt;=3),"标准-核心标准",IF(AND(I260&gt;=3.17,I260&lt;=3.5),"标准-偏紧标准",IF(AND(I260&gt;=3.6,I260&lt;=5),"紧凑-标准紧凑",IF(AND(I260&gt;=5.25,I260&lt;=8),"紧凑-高度紧凑",IF(I260&gt;=8.5,"紧凑-极度紧凑",""))))))))))</f>
        <v/>
      </c>
      <c r="L260" s="2">
        <f>IF(I260=0.1,"极紧凑",IF(AND(I260&gt;=1,I260&lt;=1.89),"松散",IF(AND(I260&gt;=2,I260&lt;=3.5),"标准",IF(I260&gt;=3.6,"紧凑",""))))</f>
        <v/>
      </c>
      <c r="M260" s="2" t="inlineStr">
        <is>
          <t>极紧凑-豹子号</t>
        </is>
      </c>
      <c r="N260" s="2" t="inlineStr">
        <is>
          <t>松散-极松散</t>
        </is>
      </c>
      <c r="O260" s="2" t="inlineStr">
        <is>
          <t>松散-标准松散</t>
        </is>
      </c>
      <c r="P260" s="2" t="inlineStr">
        <is>
          <t>松散-偏紧松散</t>
        </is>
      </c>
      <c r="Q260" s="2" t="inlineStr">
        <is>
          <t>标准-偏松标准</t>
        </is>
      </c>
      <c r="R260" s="2" t="inlineStr">
        <is>
          <t>标准-核心标准</t>
        </is>
      </c>
      <c r="S260" s="2" t="inlineStr">
        <is>
          <t>标准-偏紧标准</t>
        </is>
      </c>
      <c r="T260" s="2" t="inlineStr">
        <is>
          <t>紧凑-标准紧凑</t>
        </is>
      </c>
      <c r="U260" s="2" t="inlineStr">
        <is>
          <t>紧凑-高度紧凑</t>
        </is>
      </c>
      <c r="V260" s="2" t="inlineStr">
        <is>
          <t>紧凑-极度紧凑</t>
        </is>
      </c>
    </row>
    <row r="261">
      <c r="A261" s="1" t="n">
        <v>2023179</v>
      </c>
      <c r="B261" s="3" t="inlineStr">
        <is>
          <t>499</t>
        </is>
      </c>
      <c r="C261" s="2">
        <f>IF(B261="","",LEFT(TEXT(B261,"000"),1)*1)</f>
        <v/>
      </c>
      <c r="D261" s="2">
        <f>IF(B261="","",MID(TEXT(B261,"000"),2,1)*1)</f>
        <v/>
      </c>
      <c r="E261" s="2">
        <f>IF(B261="","",RIGHT(TEXT(B261,"000"),1)*1)</f>
        <v/>
      </c>
      <c r="F261" s="2">
        <f>IF(B261="","",C261+D261+E261)</f>
        <v/>
      </c>
      <c r="G261" s="2">
        <f>IF(B261="","",MOD(F261,10))</f>
        <v/>
      </c>
      <c r="H261" s="2">
        <f>IF(B261="","",MAX(C261,D261,E261)-MIN(C261,D261,E261))</f>
        <v/>
      </c>
      <c r="I261" s="2">
        <f>IF(OR(B261="",H261=0),IF(H261=0,0.1,""),ROUND(F261/H261,2))</f>
        <v/>
      </c>
      <c r="J261" s="2">
        <f>IF(I261=0.1,"极紧凑",IF(I261&gt;3.5,"紧凑",IF(AND(I261&gt;=2,I261&lt;=3.5),"标准",IF(AND(I261&gt;=1,I261&lt;2),"松散",""))))</f>
        <v/>
      </c>
      <c r="K261" s="2">
        <f>IF(I261=0.1,"极紧凑-豹子号",IF(AND(I261&gt;=1,I261&lt;=1.29),"松散-极松散",IF(AND(I261&gt;=1.33,I261&lt;=1.8),"松散-标准松散",IF(AND(I261&gt;=1.83,I261&lt;=1.89),"松散-偏紧松散",IF(AND(I261&gt;=2,I261&lt;=2.5),"标准-偏松标准",IF(AND(I261&gt;=2.57,I261&lt;=3),"标准-核心标准",IF(AND(I261&gt;=3.17,I261&lt;=3.5),"标准-偏紧标准",IF(AND(I261&gt;=3.6,I261&lt;=5),"紧凑-标准紧凑",IF(AND(I261&gt;=5.25,I261&lt;=8),"紧凑-高度紧凑",IF(I261&gt;=8.5,"紧凑-极度紧凑",""))))))))))</f>
        <v/>
      </c>
      <c r="L261" s="2">
        <f>IF(I261=0.1,"极紧凑",IF(AND(I261&gt;=1,I261&lt;=1.89),"松散",IF(AND(I261&gt;=2,I261&lt;=3.5),"标准",IF(I261&gt;=3.6,"紧凑",""))))</f>
        <v/>
      </c>
      <c r="M261" s="2" t="inlineStr">
        <is>
          <t>极紧凑-豹子号</t>
        </is>
      </c>
      <c r="N261" s="2" t="inlineStr">
        <is>
          <t>松散-极松散</t>
        </is>
      </c>
      <c r="O261" s="2" t="inlineStr">
        <is>
          <t>松散-标准松散</t>
        </is>
      </c>
      <c r="P261" s="2" t="inlineStr">
        <is>
          <t>松散-偏紧松散</t>
        </is>
      </c>
      <c r="Q261" s="2" t="inlineStr">
        <is>
          <t>标准-偏松标准</t>
        </is>
      </c>
      <c r="R261" s="2" t="inlineStr">
        <is>
          <t>标准-核心标准</t>
        </is>
      </c>
      <c r="S261" s="2" t="inlineStr">
        <is>
          <t>标准-偏紧标准</t>
        </is>
      </c>
      <c r="T261" s="2" t="inlineStr">
        <is>
          <t>紧凑-标准紧凑</t>
        </is>
      </c>
      <c r="U261" s="2" t="inlineStr">
        <is>
          <t>紧凑-高度紧凑</t>
        </is>
      </c>
      <c r="V261" s="2" t="inlineStr">
        <is>
          <t>紧凑-极度紧凑</t>
        </is>
      </c>
    </row>
    <row r="262">
      <c r="A262" s="1" t="n">
        <v>2023180</v>
      </c>
      <c r="B262" s="3" t="inlineStr">
        <is>
          <t>687</t>
        </is>
      </c>
      <c r="C262" s="2">
        <f>IF(B262="","",LEFT(TEXT(B262,"000"),1)*1)</f>
        <v/>
      </c>
      <c r="D262" s="2">
        <f>IF(B262="","",MID(TEXT(B262,"000"),2,1)*1)</f>
        <v/>
      </c>
      <c r="E262" s="2">
        <f>IF(B262="","",RIGHT(TEXT(B262,"000"),1)*1)</f>
        <v/>
      </c>
      <c r="F262" s="2">
        <f>IF(B262="","",C262+D262+E262)</f>
        <v/>
      </c>
      <c r="G262" s="2">
        <f>IF(B262="","",MOD(F262,10))</f>
        <v/>
      </c>
      <c r="H262" s="2">
        <f>IF(B262="","",MAX(C262,D262,E262)-MIN(C262,D262,E262))</f>
        <v/>
      </c>
      <c r="I262" s="2">
        <f>IF(OR(B262="",H262=0),IF(H262=0,0.1,""),ROUND(F262/H262,2))</f>
        <v/>
      </c>
      <c r="J262" s="2">
        <f>IF(I262=0.1,"极紧凑",IF(I262&gt;3.5,"紧凑",IF(AND(I262&gt;=2,I262&lt;=3.5),"标准",IF(AND(I262&gt;=1,I262&lt;2),"松散",""))))</f>
        <v/>
      </c>
      <c r="K262" s="2">
        <f>IF(I262=0.1,"极紧凑-豹子号",IF(AND(I262&gt;=1,I262&lt;=1.29),"松散-极松散",IF(AND(I262&gt;=1.33,I262&lt;=1.8),"松散-标准松散",IF(AND(I262&gt;=1.83,I262&lt;=1.89),"松散-偏紧松散",IF(AND(I262&gt;=2,I262&lt;=2.5),"标准-偏松标准",IF(AND(I262&gt;=2.57,I262&lt;=3),"标准-核心标准",IF(AND(I262&gt;=3.17,I262&lt;=3.5),"标准-偏紧标准",IF(AND(I262&gt;=3.6,I262&lt;=5),"紧凑-标准紧凑",IF(AND(I262&gt;=5.25,I262&lt;=8),"紧凑-高度紧凑",IF(I262&gt;=8.5,"紧凑-极度紧凑",""))))))))))</f>
        <v/>
      </c>
      <c r="L262" s="2">
        <f>IF(I262=0.1,"极紧凑",IF(AND(I262&gt;=1,I262&lt;=1.89),"松散",IF(AND(I262&gt;=2,I262&lt;=3.5),"标准",IF(I262&gt;=3.6,"紧凑",""))))</f>
        <v/>
      </c>
      <c r="M262" s="2" t="inlineStr">
        <is>
          <t>极紧凑-豹子号</t>
        </is>
      </c>
      <c r="N262" s="2" t="inlineStr">
        <is>
          <t>松散-极松散</t>
        </is>
      </c>
      <c r="O262" s="2" t="inlineStr">
        <is>
          <t>松散-标准松散</t>
        </is>
      </c>
      <c r="P262" s="2" t="inlineStr">
        <is>
          <t>松散-偏紧松散</t>
        </is>
      </c>
      <c r="Q262" s="2" t="inlineStr">
        <is>
          <t>标准-偏松标准</t>
        </is>
      </c>
      <c r="R262" s="2" t="inlineStr">
        <is>
          <t>标准-核心标准</t>
        </is>
      </c>
      <c r="S262" s="2" t="inlineStr">
        <is>
          <t>标准-偏紧标准</t>
        </is>
      </c>
      <c r="T262" s="2" t="inlineStr">
        <is>
          <t>紧凑-标准紧凑</t>
        </is>
      </c>
      <c r="U262" s="2" t="inlineStr">
        <is>
          <t>紧凑-高度紧凑</t>
        </is>
      </c>
      <c r="V262" s="2" t="inlineStr">
        <is>
          <t>紧凑-极度紧凑</t>
        </is>
      </c>
    </row>
    <row r="263">
      <c r="A263" s="1" t="n">
        <v>2023181</v>
      </c>
      <c r="B263" s="3" t="inlineStr">
        <is>
          <t>779</t>
        </is>
      </c>
      <c r="C263" s="2">
        <f>IF(B263="","",LEFT(TEXT(B263,"000"),1)*1)</f>
        <v/>
      </c>
      <c r="D263" s="2">
        <f>IF(B263="","",MID(TEXT(B263,"000"),2,1)*1)</f>
        <v/>
      </c>
      <c r="E263" s="2">
        <f>IF(B263="","",RIGHT(TEXT(B263,"000"),1)*1)</f>
        <v/>
      </c>
      <c r="F263" s="2">
        <f>IF(B263="","",C263+D263+E263)</f>
        <v/>
      </c>
      <c r="G263" s="2">
        <f>IF(B263="","",MOD(F263,10))</f>
        <v/>
      </c>
      <c r="H263" s="2">
        <f>IF(B263="","",MAX(C263,D263,E263)-MIN(C263,D263,E263))</f>
        <v/>
      </c>
      <c r="I263" s="2">
        <f>IF(OR(B263="",H263=0),IF(H263=0,0.1,""),ROUND(F263/H263,2))</f>
        <v/>
      </c>
      <c r="J263" s="2">
        <f>IF(I263=0.1,"极紧凑",IF(I263&gt;3.5,"紧凑",IF(AND(I263&gt;=2,I263&lt;=3.5),"标准",IF(AND(I263&gt;=1,I263&lt;2),"松散",""))))</f>
        <v/>
      </c>
      <c r="K263" s="2">
        <f>IF(I263=0.1,"极紧凑-豹子号",IF(AND(I263&gt;=1,I263&lt;=1.29),"松散-极松散",IF(AND(I263&gt;=1.33,I263&lt;=1.8),"松散-标准松散",IF(AND(I263&gt;=1.83,I263&lt;=1.89),"松散-偏紧松散",IF(AND(I263&gt;=2,I263&lt;=2.5),"标准-偏松标准",IF(AND(I263&gt;=2.57,I263&lt;=3),"标准-核心标准",IF(AND(I263&gt;=3.17,I263&lt;=3.5),"标准-偏紧标准",IF(AND(I263&gt;=3.6,I263&lt;=5),"紧凑-标准紧凑",IF(AND(I263&gt;=5.25,I263&lt;=8),"紧凑-高度紧凑",IF(I263&gt;=8.5,"紧凑-极度紧凑",""))))))))))</f>
        <v/>
      </c>
      <c r="L263" s="2">
        <f>IF(I263=0.1,"极紧凑",IF(AND(I263&gt;=1,I263&lt;=1.89),"松散",IF(AND(I263&gt;=2,I263&lt;=3.5),"标准",IF(I263&gt;=3.6,"紧凑",""))))</f>
        <v/>
      </c>
      <c r="M263" s="2" t="inlineStr">
        <is>
          <t>极紧凑-豹子号</t>
        </is>
      </c>
      <c r="N263" s="2" t="inlineStr">
        <is>
          <t>松散-极松散</t>
        </is>
      </c>
      <c r="O263" s="2" t="inlineStr">
        <is>
          <t>松散-标准松散</t>
        </is>
      </c>
      <c r="P263" s="2" t="inlineStr">
        <is>
          <t>松散-偏紧松散</t>
        </is>
      </c>
      <c r="Q263" s="2" t="inlineStr">
        <is>
          <t>标准-偏松标准</t>
        </is>
      </c>
      <c r="R263" s="2" t="inlineStr">
        <is>
          <t>标准-核心标准</t>
        </is>
      </c>
      <c r="S263" s="2" t="inlineStr">
        <is>
          <t>标准-偏紧标准</t>
        </is>
      </c>
      <c r="T263" s="2" t="inlineStr">
        <is>
          <t>紧凑-标准紧凑</t>
        </is>
      </c>
      <c r="U263" s="2" t="inlineStr">
        <is>
          <t>紧凑-高度紧凑</t>
        </is>
      </c>
      <c r="V263" s="2" t="inlineStr">
        <is>
          <t>紧凑-极度紧凑</t>
        </is>
      </c>
    </row>
    <row r="264">
      <c r="A264" s="1" t="n">
        <v>2023182</v>
      </c>
      <c r="B264" s="3" t="inlineStr">
        <is>
          <t>121</t>
        </is>
      </c>
      <c r="C264" s="2">
        <f>IF(B264="","",LEFT(TEXT(B264,"000"),1)*1)</f>
        <v/>
      </c>
      <c r="D264" s="2">
        <f>IF(B264="","",MID(TEXT(B264,"000"),2,1)*1)</f>
        <v/>
      </c>
      <c r="E264" s="2">
        <f>IF(B264="","",RIGHT(TEXT(B264,"000"),1)*1)</f>
        <v/>
      </c>
      <c r="F264" s="2">
        <f>IF(B264="","",C264+D264+E264)</f>
        <v/>
      </c>
      <c r="G264" s="2">
        <f>IF(B264="","",MOD(F264,10))</f>
        <v/>
      </c>
      <c r="H264" s="2">
        <f>IF(B264="","",MAX(C264,D264,E264)-MIN(C264,D264,E264))</f>
        <v/>
      </c>
      <c r="I264" s="2">
        <f>IF(OR(B264="",H264=0),IF(H264=0,0.1,""),ROUND(F264/H264,2))</f>
        <v/>
      </c>
      <c r="J264" s="2">
        <f>IF(I264=0.1,"极紧凑",IF(I264&gt;3.5,"紧凑",IF(AND(I264&gt;=2,I264&lt;=3.5),"标准",IF(AND(I264&gt;=1,I264&lt;2),"松散",""))))</f>
        <v/>
      </c>
      <c r="K264" s="2">
        <f>IF(I264=0.1,"极紧凑-豹子号",IF(AND(I264&gt;=1,I264&lt;=1.29),"松散-极松散",IF(AND(I264&gt;=1.33,I264&lt;=1.8),"松散-标准松散",IF(AND(I264&gt;=1.83,I264&lt;=1.89),"松散-偏紧松散",IF(AND(I264&gt;=2,I264&lt;=2.5),"标准-偏松标准",IF(AND(I264&gt;=2.57,I264&lt;=3),"标准-核心标准",IF(AND(I264&gt;=3.17,I264&lt;=3.5),"标准-偏紧标准",IF(AND(I264&gt;=3.6,I264&lt;=5),"紧凑-标准紧凑",IF(AND(I264&gt;=5.25,I264&lt;=8),"紧凑-高度紧凑",IF(I264&gt;=8.5,"紧凑-极度紧凑",""))))))))))</f>
        <v/>
      </c>
      <c r="L264" s="2">
        <f>IF(I264=0.1,"极紧凑",IF(AND(I264&gt;=1,I264&lt;=1.89),"松散",IF(AND(I264&gt;=2,I264&lt;=3.5),"标准",IF(I264&gt;=3.6,"紧凑",""))))</f>
        <v/>
      </c>
      <c r="M264" s="2" t="inlineStr">
        <is>
          <t>极紧凑-豹子号</t>
        </is>
      </c>
      <c r="N264" s="2" t="inlineStr">
        <is>
          <t>松散-极松散</t>
        </is>
      </c>
      <c r="O264" s="2" t="inlineStr">
        <is>
          <t>松散-标准松散</t>
        </is>
      </c>
      <c r="P264" s="2" t="inlineStr">
        <is>
          <t>松散-偏紧松散</t>
        </is>
      </c>
      <c r="Q264" s="2" t="inlineStr">
        <is>
          <t>标准-偏松标准</t>
        </is>
      </c>
      <c r="R264" s="2" t="inlineStr">
        <is>
          <t>标准-核心标准</t>
        </is>
      </c>
      <c r="S264" s="2" t="inlineStr">
        <is>
          <t>标准-偏紧标准</t>
        </is>
      </c>
      <c r="T264" s="2" t="inlineStr">
        <is>
          <t>紧凑-标准紧凑</t>
        </is>
      </c>
      <c r="U264" s="2" t="inlineStr">
        <is>
          <t>紧凑-高度紧凑</t>
        </is>
      </c>
      <c r="V264" s="2" t="inlineStr">
        <is>
          <t>紧凑-极度紧凑</t>
        </is>
      </c>
    </row>
    <row r="265">
      <c r="A265" s="1" t="n">
        <v>2023183</v>
      </c>
      <c r="B265" s="3" t="inlineStr">
        <is>
          <t>806</t>
        </is>
      </c>
      <c r="C265" s="2">
        <f>IF(B265="","",LEFT(TEXT(B265,"000"),1)*1)</f>
        <v/>
      </c>
      <c r="D265" s="2">
        <f>IF(B265="","",MID(TEXT(B265,"000"),2,1)*1)</f>
        <v/>
      </c>
      <c r="E265" s="2">
        <f>IF(B265="","",RIGHT(TEXT(B265,"000"),1)*1)</f>
        <v/>
      </c>
      <c r="F265" s="2">
        <f>IF(B265="","",C265+D265+E265)</f>
        <v/>
      </c>
      <c r="G265" s="2">
        <f>IF(B265="","",MOD(F265,10))</f>
        <v/>
      </c>
      <c r="H265" s="2">
        <f>IF(B265="","",MAX(C265,D265,E265)-MIN(C265,D265,E265))</f>
        <v/>
      </c>
      <c r="I265" s="2">
        <f>IF(OR(B265="",H265=0),IF(H265=0,0.1,""),ROUND(F265/H265,2))</f>
        <v/>
      </c>
      <c r="J265" s="2">
        <f>IF(I265=0.1,"极紧凑",IF(I265&gt;3.5,"紧凑",IF(AND(I265&gt;=2,I265&lt;=3.5),"标准",IF(AND(I265&gt;=1,I265&lt;2),"松散",""))))</f>
        <v/>
      </c>
      <c r="K265" s="2">
        <f>IF(I265=0.1,"极紧凑-豹子号",IF(AND(I265&gt;=1,I265&lt;=1.29),"松散-极松散",IF(AND(I265&gt;=1.33,I265&lt;=1.8),"松散-标准松散",IF(AND(I265&gt;=1.83,I265&lt;=1.89),"松散-偏紧松散",IF(AND(I265&gt;=2,I265&lt;=2.5),"标准-偏松标准",IF(AND(I265&gt;=2.57,I265&lt;=3),"标准-核心标准",IF(AND(I265&gt;=3.17,I265&lt;=3.5),"标准-偏紧标准",IF(AND(I265&gt;=3.6,I265&lt;=5),"紧凑-标准紧凑",IF(AND(I265&gt;=5.25,I265&lt;=8),"紧凑-高度紧凑",IF(I265&gt;=8.5,"紧凑-极度紧凑",""))))))))))</f>
        <v/>
      </c>
      <c r="L265" s="2">
        <f>IF(I265=0.1,"极紧凑",IF(AND(I265&gt;=1,I265&lt;=1.89),"松散",IF(AND(I265&gt;=2,I265&lt;=3.5),"标准",IF(I265&gt;=3.6,"紧凑",""))))</f>
        <v/>
      </c>
      <c r="M265" s="2" t="inlineStr">
        <is>
          <t>极紧凑-豹子号</t>
        </is>
      </c>
      <c r="N265" s="2" t="inlineStr">
        <is>
          <t>松散-极松散</t>
        </is>
      </c>
      <c r="O265" s="2" t="inlineStr">
        <is>
          <t>松散-标准松散</t>
        </is>
      </c>
      <c r="P265" s="2" t="inlineStr">
        <is>
          <t>松散-偏紧松散</t>
        </is>
      </c>
      <c r="Q265" s="2" t="inlineStr">
        <is>
          <t>标准-偏松标准</t>
        </is>
      </c>
      <c r="R265" s="2" t="inlineStr">
        <is>
          <t>标准-核心标准</t>
        </is>
      </c>
      <c r="S265" s="2" t="inlineStr">
        <is>
          <t>标准-偏紧标准</t>
        </is>
      </c>
      <c r="T265" s="2" t="inlineStr">
        <is>
          <t>紧凑-标准紧凑</t>
        </is>
      </c>
      <c r="U265" s="2" t="inlineStr">
        <is>
          <t>紧凑-高度紧凑</t>
        </is>
      </c>
      <c r="V265" s="2" t="inlineStr">
        <is>
          <t>紧凑-极度紧凑</t>
        </is>
      </c>
    </row>
    <row r="266">
      <c r="A266" s="1" t="n">
        <v>2023184</v>
      </c>
      <c r="B266" s="3" t="inlineStr">
        <is>
          <t>946</t>
        </is>
      </c>
      <c r="C266" s="2">
        <f>IF(B266="","",LEFT(TEXT(B266,"000"),1)*1)</f>
        <v/>
      </c>
      <c r="D266" s="2">
        <f>IF(B266="","",MID(TEXT(B266,"000"),2,1)*1)</f>
        <v/>
      </c>
      <c r="E266" s="2">
        <f>IF(B266="","",RIGHT(TEXT(B266,"000"),1)*1)</f>
        <v/>
      </c>
      <c r="F266" s="2">
        <f>IF(B266="","",C266+D266+E266)</f>
        <v/>
      </c>
      <c r="G266" s="2">
        <f>IF(B266="","",MOD(F266,10))</f>
        <v/>
      </c>
      <c r="H266" s="2">
        <f>IF(B266="","",MAX(C266,D266,E266)-MIN(C266,D266,E266))</f>
        <v/>
      </c>
      <c r="I266" s="2">
        <f>IF(OR(B266="",H266=0),IF(H266=0,0.1,""),ROUND(F266/H266,2))</f>
        <v/>
      </c>
      <c r="J266" s="2">
        <f>IF(I266=0.1,"极紧凑",IF(I266&gt;3.5,"紧凑",IF(AND(I266&gt;=2,I266&lt;=3.5),"标准",IF(AND(I266&gt;=1,I266&lt;2),"松散",""))))</f>
        <v/>
      </c>
      <c r="K266" s="2">
        <f>IF(I266=0.1,"极紧凑-豹子号",IF(AND(I266&gt;=1,I266&lt;=1.29),"松散-极松散",IF(AND(I266&gt;=1.33,I266&lt;=1.8),"松散-标准松散",IF(AND(I266&gt;=1.83,I266&lt;=1.89),"松散-偏紧松散",IF(AND(I266&gt;=2,I266&lt;=2.5),"标准-偏松标准",IF(AND(I266&gt;=2.57,I266&lt;=3),"标准-核心标准",IF(AND(I266&gt;=3.17,I266&lt;=3.5),"标准-偏紧标准",IF(AND(I266&gt;=3.6,I266&lt;=5),"紧凑-标准紧凑",IF(AND(I266&gt;=5.25,I266&lt;=8),"紧凑-高度紧凑",IF(I266&gt;=8.5,"紧凑-极度紧凑",""))))))))))</f>
        <v/>
      </c>
      <c r="L266" s="2">
        <f>IF(I266=0.1,"极紧凑",IF(AND(I266&gt;=1,I266&lt;=1.89),"松散",IF(AND(I266&gt;=2,I266&lt;=3.5),"标准",IF(I266&gt;=3.6,"紧凑",""))))</f>
        <v/>
      </c>
      <c r="M266" s="2" t="inlineStr">
        <is>
          <t>极紧凑-豹子号</t>
        </is>
      </c>
      <c r="N266" s="2" t="inlineStr">
        <is>
          <t>松散-极松散</t>
        </is>
      </c>
      <c r="O266" s="2" t="inlineStr">
        <is>
          <t>松散-标准松散</t>
        </is>
      </c>
      <c r="P266" s="2" t="inlineStr">
        <is>
          <t>松散-偏紧松散</t>
        </is>
      </c>
      <c r="Q266" s="2" t="inlineStr">
        <is>
          <t>标准-偏松标准</t>
        </is>
      </c>
      <c r="R266" s="2" t="inlineStr">
        <is>
          <t>标准-核心标准</t>
        </is>
      </c>
      <c r="S266" s="2" t="inlineStr">
        <is>
          <t>标准-偏紧标准</t>
        </is>
      </c>
      <c r="T266" s="2" t="inlineStr">
        <is>
          <t>紧凑-标准紧凑</t>
        </is>
      </c>
      <c r="U266" s="2" t="inlineStr">
        <is>
          <t>紧凑-高度紧凑</t>
        </is>
      </c>
      <c r="V266" s="2" t="inlineStr">
        <is>
          <t>紧凑-极度紧凑</t>
        </is>
      </c>
    </row>
    <row r="267">
      <c r="A267" s="1" t="n">
        <v>2023185</v>
      </c>
      <c r="B267" s="3" t="inlineStr">
        <is>
          <t>468</t>
        </is>
      </c>
      <c r="C267" s="2">
        <f>IF(B267="","",LEFT(TEXT(B267,"000"),1)*1)</f>
        <v/>
      </c>
      <c r="D267" s="2">
        <f>IF(B267="","",MID(TEXT(B267,"000"),2,1)*1)</f>
        <v/>
      </c>
      <c r="E267" s="2">
        <f>IF(B267="","",RIGHT(TEXT(B267,"000"),1)*1)</f>
        <v/>
      </c>
      <c r="F267" s="2">
        <f>IF(B267="","",C267+D267+E267)</f>
        <v/>
      </c>
      <c r="G267" s="2">
        <f>IF(B267="","",MOD(F267,10))</f>
        <v/>
      </c>
      <c r="H267" s="2">
        <f>IF(B267="","",MAX(C267,D267,E267)-MIN(C267,D267,E267))</f>
        <v/>
      </c>
      <c r="I267" s="2">
        <f>IF(OR(B267="",H267=0),IF(H267=0,0.1,""),ROUND(F267/H267,2))</f>
        <v/>
      </c>
      <c r="J267" s="2">
        <f>IF(I267=0.1,"极紧凑",IF(I267&gt;3.5,"紧凑",IF(AND(I267&gt;=2,I267&lt;=3.5),"标准",IF(AND(I267&gt;=1,I267&lt;2),"松散",""))))</f>
        <v/>
      </c>
      <c r="K267" s="2">
        <f>IF(I267=0.1,"极紧凑-豹子号",IF(AND(I267&gt;=1,I267&lt;=1.29),"松散-极松散",IF(AND(I267&gt;=1.33,I267&lt;=1.8),"松散-标准松散",IF(AND(I267&gt;=1.83,I267&lt;=1.89),"松散-偏紧松散",IF(AND(I267&gt;=2,I267&lt;=2.5),"标准-偏松标准",IF(AND(I267&gt;=2.57,I267&lt;=3),"标准-核心标准",IF(AND(I267&gt;=3.17,I267&lt;=3.5),"标准-偏紧标准",IF(AND(I267&gt;=3.6,I267&lt;=5),"紧凑-标准紧凑",IF(AND(I267&gt;=5.25,I267&lt;=8),"紧凑-高度紧凑",IF(I267&gt;=8.5,"紧凑-极度紧凑",""))))))))))</f>
        <v/>
      </c>
      <c r="L267" s="2">
        <f>IF(I267=0.1,"极紧凑",IF(AND(I267&gt;=1,I267&lt;=1.89),"松散",IF(AND(I267&gt;=2,I267&lt;=3.5),"标准",IF(I267&gt;=3.6,"紧凑",""))))</f>
        <v/>
      </c>
      <c r="M267" s="2" t="inlineStr">
        <is>
          <t>极紧凑-豹子号</t>
        </is>
      </c>
      <c r="N267" s="2" t="inlineStr">
        <is>
          <t>松散-极松散</t>
        </is>
      </c>
      <c r="O267" s="2" t="inlineStr">
        <is>
          <t>松散-标准松散</t>
        </is>
      </c>
      <c r="P267" s="2" t="inlineStr">
        <is>
          <t>松散-偏紧松散</t>
        </is>
      </c>
      <c r="Q267" s="2" t="inlineStr">
        <is>
          <t>标准-偏松标准</t>
        </is>
      </c>
      <c r="R267" s="2" t="inlineStr">
        <is>
          <t>标准-核心标准</t>
        </is>
      </c>
      <c r="S267" s="2" t="inlineStr">
        <is>
          <t>标准-偏紧标准</t>
        </is>
      </c>
      <c r="T267" s="2" t="inlineStr">
        <is>
          <t>紧凑-标准紧凑</t>
        </is>
      </c>
      <c r="U267" s="2" t="inlineStr">
        <is>
          <t>紧凑-高度紧凑</t>
        </is>
      </c>
      <c r="V267" s="2" t="inlineStr">
        <is>
          <t>紧凑-极度紧凑</t>
        </is>
      </c>
    </row>
    <row r="268">
      <c r="A268" s="1" t="n">
        <v>2023186</v>
      </c>
      <c r="B268" s="2" t="n">
        <v>707</v>
      </c>
      <c r="C268" s="2">
        <f>IF(B268="","",LEFT(TEXT(B268,"000"),1)*1)</f>
        <v/>
      </c>
      <c r="D268" s="2">
        <f>IF(B268="","",MID(TEXT(B268,"000"),2,1)*1)</f>
        <v/>
      </c>
      <c r="E268" s="2">
        <f>IF(B268="","",RIGHT(TEXT(B268,"000"),1)*1)</f>
        <v/>
      </c>
      <c r="F268" s="2">
        <f>IF(B268="","",C268+D268+E268)</f>
        <v/>
      </c>
      <c r="G268" s="2">
        <f>IF(B268="","",MOD(F268,10))</f>
        <v/>
      </c>
      <c r="H268" s="2">
        <f>IF(B268="","",MAX(C268,D268,E268)-MIN(C268,D268,E268))</f>
        <v/>
      </c>
      <c r="I268" s="2">
        <f>IF(OR(B268="",H268=0),IF(H268=0,0.1,""),ROUND(F268/H268,2))</f>
        <v/>
      </c>
      <c r="J268" s="2">
        <f>IF(I268=0.1,"极紧凑",IF(I268&gt;3.5,"紧凑",IF(AND(I268&gt;=2,I268&lt;=3.5),"标准",IF(AND(I268&gt;=1,I268&lt;2),"松散",""))))</f>
        <v/>
      </c>
      <c r="K268" s="2">
        <f>IF(I268=0.1,"极紧凑-豹子号",IF(AND(I268&gt;=1,I268&lt;=1.29),"松散-极松散",IF(AND(I268&gt;=1.33,I268&lt;=1.8),"松散-标准松散",IF(AND(I268&gt;=1.83,I268&lt;=1.89),"松散-偏紧松散",IF(AND(I268&gt;=2,I268&lt;=2.5),"标准-偏松标准",IF(AND(I268&gt;=2.57,I268&lt;=3),"标准-核心标准",IF(AND(I268&gt;=3.17,I268&lt;=3.5),"标准-偏紧标准",IF(AND(I268&gt;=3.6,I268&lt;=5),"紧凑-标准紧凑",IF(AND(I268&gt;=5.25,I268&lt;=8),"紧凑-高度紧凑",IF(I268&gt;=8.5,"紧凑-极度紧凑",""))))))))))</f>
        <v/>
      </c>
      <c r="L268" s="2">
        <f>IF(I268=0.1,"极紧凑",IF(AND(I268&gt;=1,I268&lt;=1.89),"松散",IF(AND(I268&gt;=2,I268&lt;=3.5),"标准",IF(I268&gt;=3.6,"紧凑",""))))</f>
        <v/>
      </c>
      <c r="M268" s="2" t="inlineStr">
        <is>
          <t>极紧凑-豹子号</t>
        </is>
      </c>
      <c r="N268" s="2" t="inlineStr">
        <is>
          <t>松散-极松散</t>
        </is>
      </c>
      <c r="O268" s="2" t="inlineStr">
        <is>
          <t>松散-标准松散</t>
        </is>
      </c>
      <c r="P268" s="2" t="inlineStr">
        <is>
          <t>松散-偏紧松散</t>
        </is>
      </c>
      <c r="Q268" s="2" t="inlineStr">
        <is>
          <t>标准-偏松标准</t>
        </is>
      </c>
      <c r="R268" s="2" t="inlineStr">
        <is>
          <t>标准-核心标准</t>
        </is>
      </c>
      <c r="S268" s="2" t="inlineStr">
        <is>
          <t>标准-偏紧标准</t>
        </is>
      </c>
      <c r="T268" s="2" t="inlineStr">
        <is>
          <t>紧凑-标准紧凑</t>
        </is>
      </c>
      <c r="U268" s="2" t="inlineStr">
        <is>
          <t>紧凑-高度紧凑</t>
        </is>
      </c>
      <c r="V268" s="2" t="inlineStr">
        <is>
          <t>紧凑-极度紧凑</t>
        </is>
      </c>
    </row>
    <row r="269">
      <c r="A269" s="1" t="n">
        <v>2023187</v>
      </c>
      <c r="B269" s="3" t="inlineStr">
        <is>
          <t>765</t>
        </is>
      </c>
      <c r="C269" s="2">
        <f>IF(B269="","",LEFT(TEXT(B269,"000"),1)*1)</f>
        <v/>
      </c>
      <c r="D269" s="2">
        <f>IF(B269="","",MID(TEXT(B269,"000"),2,1)*1)</f>
        <v/>
      </c>
      <c r="E269" s="2">
        <f>IF(B269="","",RIGHT(TEXT(B269,"000"),1)*1)</f>
        <v/>
      </c>
      <c r="F269" s="2">
        <f>IF(B269="","",C269+D269+E269)</f>
        <v/>
      </c>
      <c r="G269" s="2">
        <f>IF(B269="","",MOD(F269,10))</f>
        <v/>
      </c>
      <c r="H269" s="2">
        <f>IF(B269="","",MAX(C269,D269,E269)-MIN(C269,D269,E269))</f>
        <v/>
      </c>
      <c r="I269" s="2">
        <f>IF(OR(B269="",H269=0),IF(H269=0,0.1,""),ROUND(F269/H269,2))</f>
        <v/>
      </c>
      <c r="J269" s="2">
        <f>IF(I269=0.1,"极紧凑",IF(I269&gt;3.5,"紧凑",IF(AND(I269&gt;=2,I269&lt;=3.5),"标准",IF(AND(I269&gt;=1,I269&lt;2),"松散",""))))</f>
        <v/>
      </c>
      <c r="K269" s="2">
        <f>IF(I269=0.1,"极紧凑-豹子号",IF(AND(I269&gt;=1,I269&lt;=1.29),"松散-极松散",IF(AND(I269&gt;=1.33,I269&lt;=1.8),"松散-标准松散",IF(AND(I269&gt;=1.83,I269&lt;=1.89),"松散-偏紧松散",IF(AND(I269&gt;=2,I269&lt;=2.5),"标准-偏松标准",IF(AND(I269&gt;=2.57,I269&lt;=3),"标准-核心标准",IF(AND(I269&gt;=3.17,I269&lt;=3.5),"标准-偏紧标准",IF(AND(I269&gt;=3.6,I269&lt;=5),"紧凑-标准紧凑",IF(AND(I269&gt;=5.25,I269&lt;=8),"紧凑-高度紧凑",IF(I269&gt;=8.5,"紧凑-极度紧凑",""))))))))))</f>
        <v/>
      </c>
      <c r="L269" s="2">
        <f>IF(I269=0.1,"极紧凑",IF(AND(I269&gt;=1,I269&lt;=1.89),"松散",IF(AND(I269&gt;=2,I269&lt;=3.5),"标准",IF(I269&gt;=3.6,"紧凑",""))))</f>
        <v/>
      </c>
      <c r="M269" s="2" t="inlineStr">
        <is>
          <t>极紧凑-豹子号</t>
        </is>
      </c>
      <c r="N269" s="2" t="inlineStr">
        <is>
          <t>松散-极松散</t>
        </is>
      </c>
      <c r="O269" s="2" t="inlineStr">
        <is>
          <t>松散-标准松散</t>
        </is>
      </c>
      <c r="P269" s="2" t="inlineStr">
        <is>
          <t>松散-偏紧松散</t>
        </is>
      </c>
      <c r="Q269" s="2" t="inlineStr">
        <is>
          <t>标准-偏松标准</t>
        </is>
      </c>
      <c r="R269" s="2" t="inlineStr">
        <is>
          <t>标准-核心标准</t>
        </is>
      </c>
      <c r="S269" s="2" t="inlineStr">
        <is>
          <t>标准-偏紧标准</t>
        </is>
      </c>
      <c r="T269" s="2" t="inlineStr">
        <is>
          <t>紧凑-标准紧凑</t>
        </is>
      </c>
      <c r="U269" s="2" t="inlineStr">
        <is>
          <t>紧凑-高度紧凑</t>
        </is>
      </c>
      <c r="V269" s="2" t="inlineStr">
        <is>
          <t>紧凑-极度紧凑</t>
        </is>
      </c>
    </row>
    <row r="270">
      <c r="A270" s="1" t="n">
        <v>2023188</v>
      </c>
      <c r="B270" s="3" t="inlineStr">
        <is>
          <t>284</t>
        </is>
      </c>
      <c r="C270" s="2">
        <f>IF(B270="","",LEFT(TEXT(B270,"000"),1)*1)</f>
        <v/>
      </c>
      <c r="D270" s="2">
        <f>IF(B270="","",MID(TEXT(B270,"000"),2,1)*1)</f>
        <v/>
      </c>
      <c r="E270" s="2">
        <f>IF(B270="","",RIGHT(TEXT(B270,"000"),1)*1)</f>
        <v/>
      </c>
      <c r="F270" s="2">
        <f>IF(B270="","",C270+D270+E270)</f>
        <v/>
      </c>
      <c r="G270" s="2">
        <f>IF(B270="","",MOD(F270,10))</f>
        <v/>
      </c>
      <c r="H270" s="2">
        <f>IF(B270="","",MAX(C270,D270,E270)-MIN(C270,D270,E270))</f>
        <v/>
      </c>
      <c r="I270" s="2">
        <f>IF(OR(B270="",H270=0),IF(H270=0,0.1,""),ROUND(F270/H270,2))</f>
        <v/>
      </c>
      <c r="J270" s="2">
        <f>IF(I270=0.1,"极紧凑",IF(I270&gt;3.5,"紧凑",IF(AND(I270&gt;=2,I270&lt;=3.5),"标准",IF(AND(I270&gt;=1,I270&lt;2),"松散",""))))</f>
        <v/>
      </c>
      <c r="K270" s="2">
        <f>IF(I270=0.1,"极紧凑-豹子号",IF(AND(I270&gt;=1,I270&lt;=1.29),"松散-极松散",IF(AND(I270&gt;=1.33,I270&lt;=1.8),"松散-标准松散",IF(AND(I270&gt;=1.83,I270&lt;=1.89),"松散-偏紧松散",IF(AND(I270&gt;=2,I270&lt;=2.5),"标准-偏松标准",IF(AND(I270&gt;=2.57,I270&lt;=3),"标准-核心标准",IF(AND(I270&gt;=3.17,I270&lt;=3.5),"标准-偏紧标准",IF(AND(I270&gt;=3.6,I270&lt;=5),"紧凑-标准紧凑",IF(AND(I270&gt;=5.25,I270&lt;=8),"紧凑-高度紧凑",IF(I270&gt;=8.5,"紧凑-极度紧凑",""))))))))))</f>
        <v/>
      </c>
      <c r="L270" s="2">
        <f>IF(I270=0.1,"极紧凑",IF(AND(I270&gt;=1,I270&lt;=1.89),"松散",IF(AND(I270&gt;=2,I270&lt;=3.5),"标准",IF(I270&gt;=3.6,"紧凑",""))))</f>
        <v/>
      </c>
      <c r="M270" s="2" t="inlineStr">
        <is>
          <t>极紧凑-豹子号</t>
        </is>
      </c>
      <c r="N270" s="2" t="inlineStr">
        <is>
          <t>松散-极松散</t>
        </is>
      </c>
      <c r="O270" s="2" t="inlineStr">
        <is>
          <t>松散-标准松散</t>
        </is>
      </c>
      <c r="P270" s="2" t="inlineStr">
        <is>
          <t>松散-偏紧松散</t>
        </is>
      </c>
      <c r="Q270" s="2" t="inlineStr">
        <is>
          <t>标准-偏松标准</t>
        </is>
      </c>
      <c r="R270" s="2" t="inlineStr">
        <is>
          <t>标准-核心标准</t>
        </is>
      </c>
      <c r="S270" s="2" t="inlineStr">
        <is>
          <t>标准-偏紧标准</t>
        </is>
      </c>
      <c r="T270" s="2" t="inlineStr">
        <is>
          <t>紧凑-标准紧凑</t>
        </is>
      </c>
      <c r="U270" s="2" t="inlineStr">
        <is>
          <t>紧凑-高度紧凑</t>
        </is>
      </c>
      <c r="V270" s="2" t="inlineStr">
        <is>
          <t>紧凑-极度紧凑</t>
        </is>
      </c>
    </row>
    <row r="271">
      <c r="A271" s="1" t="n">
        <v>2023189</v>
      </c>
      <c r="B271" s="3" t="inlineStr">
        <is>
          <t>070</t>
        </is>
      </c>
      <c r="C271" s="2">
        <f>IF(B271="","",LEFT(TEXT(B271,"000"),1)*1)</f>
        <v/>
      </c>
      <c r="D271" s="2">
        <f>IF(B271="","",MID(TEXT(B271,"000"),2,1)*1)</f>
        <v/>
      </c>
      <c r="E271" s="2">
        <f>IF(B271="","",RIGHT(TEXT(B271,"000"),1)*1)</f>
        <v/>
      </c>
      <c r="F271" s="2">
        <f>IF(B271="","",C271+D271+E271)</f>
        <v/>
      </c>
      <c r="G271" s="2">
        <f>IF(B271="","",MOD(F271,10))</f>
        <v/>
      </c>
      <c r="H271" s="2">
        <f>IF(B271="","",MAX(C271,D271,E271)-MIN(C271,D271,E271))</f>
        <v/>
      </c>
      <c r="I271" s="2">
        <f>IF(OR(B271="",H271=0),IF(H271=0,0.1,""),ROUND(F271/H271,2))</f>
        <v/>
      </c>
      <c r="J271" s="2">
        <f>IF(I271=0.1,"极紧凑",IF(I271&gt;3.5,"紧凑",IF(AND(I271&gt;=2,I271&lt;=3.5),"标准",IF(AND(I271&gt;=1,I271&lt;2),"松散",""))))</f>
        <v/>
      </c>
      <c r="K271" s="2">
        <f>IF(I271=0.1,"极紧凑-豹子号",IF(AND(I271&gt;=1,I271&lt;=1.29),"松散-极松散",IF(AND(I271&gt;=1.33,I271&lt;=1.8),"松散-标准松散",IF(AND(I271&gt;=1.83,I271&lt;=1.89),"松散-偏紧松散",IF(AND(I271&gt;=2,I271&lt;=2.5),"标准-偏松标准",IF(AND(I271&gt;=2.57,I271&lt;=3),"标准-核心标准",IF(AND(I271&gt;=3.17,I271&lt;=3.5),"标准-偏紧标准",IF(AND(I271&gt;=3.6,I271&lt;=5),"紧凑-标准紧凑",IF(AND(I271&gt;=5.25,I271&lt;=8),"紧凑-高度紧凑",IF(I271&gt;=8.5,"紧凑-极度紧凑",""))))))))))</f>
        <v/>
      </c>
      <c r="L271" s="2">
        <f>IF(I271=0.1,"极紧凑",IF(AND(I271&gt;=1,I271&lt;=1.89),"松散",IF(AND(I271&gt;=2,I271&lt;=3.5),"标准",IF(I271&gt;=3.6,"紧凑",""))))</f>
        <v/>
      </c>
      <c r="M271" s="2" t="inlineStr">
        <is>
          <t>极紧凑-豹子号</t>
        </is>
      </c>
      <c r="N271" s="2" t="inlineStr">
        <is>
          <t>松散-极松散</t>
        </is>
      </c>
      <c r="O271" s="2" t="inlineStr">
        <is>
          <t>松散-标准松散</t>
        </is>
      </c>
      <c r="P271" s="2" t="inlineStr">
        <is>
          <t>松散-偏紧松散</t>
        </is>
      </c>
      <c r="Q271" s="2" t="inlineStr">
        <is>
          <t>标准-偏松标准</t>
        </is>
      </c>
      <c r="R271" s="2" t="inlineStr">
        <is>
          <t>标准-核心标准</t>
        </is>
      </c>
      <c r="S271" s="2" t="inlineStr">
        <is>
          <t>标准-偏紧标准</t>
        </is>
      </c>
      <c r="T271" s="2" t="inlineStr">
        <is>
          <t>紧凑-标准紧凑</t>
        </is>
      </c>
      <c r="U271" s="2" t="inlineStr">
        <is>
          <t>紧凑-高度紧凑</t>
        </is>
      </c>
      <c r="V271" s="2" t="inlineStr">
        <is>
          <t>紧凑-极度紧凑</t>
        </is>
      </c>
    </row>
    <row r="272">
      <c r="A272" s="1" t="n">
        <v>2023190</v>
      </c>
      <c r="B272" s="3" t="inlineStr">
        <is>
          <t>600</t>
        </is>
      </c>
      <c r="C272" s="2">
        <f>IF(B272="","",LEFT(TEXT(B272,"000"),1)*1)</f>
        <v/>
      </c>
      <c r="D272" s="2">
        <f>IF(B272="","",MID(TEXT(B272,"000"),2,1)*1)</f>
        <v/>
      </c>
      <c r="E272" s="2">
        <f>IF(B272="","",RIGHT(TEXT(B272,"000"),1)*1)</f>
        <v/>
      </c>
      <c r="F272" s="2">
        <f>IF(B272="","",C272+D272+E272)</f>
        <v/>
      </c>
      <c r="G272" s="2">
        <f>IF(B272="","",MOD(F272,10))</f>
        <v/>
      </c>
      <c r="H272" s="2">
        <f>IF(B272="","",MAX(C272,D272,E272)-MIN(C272,D272,E272))</f>
        <v/>
      </c>
      <c r="I272" s="2">
        <f>IF(OR(B272="",H272=0),IF(H272=0,0.1,""),ROUND(F272/H272,2))</f>
        <v/>
      </c>
      <c r="J272" s="2">
        <f>IF(I272=0.1,"极紧凑",IF(I272&gt;3.5,"紧凑",IF(AND(I272&gt;=2,I272&lt;=3.5),"标准",IF(AND(I272&gt;=1,I272&lt;2),"松散",""))))</f>
        <v/>
      </c>
      <c r="K272" s="2">
        <f>IF(I272=0.1,"极紧凑-豹子号",IF(AND(I272&gt;=1,I272&lt;=1.29),"松散-极松散",IF(AND(I272&gt;=1.33,I272&lt;=1.8),"松散-标准松散",IF(AND(I272&gt;=1.83,I272&lt;=1.89),"松散-偏紧松散",IF(AND(I272&gt;=2,I272&lt;=2.5),"标准-偏松标准",IF(AND(I272&gt;=2.57,I272&lt;=3),"标准-核心标准",IF(AND(I272&gt;=3.17,I272&lt;=3.5),"标准-偏紧标准",IF(AND(I272&gt;=3.6,I272&lt;=5),"紧凑-标准紧凑",IF(AND(I272&gt;=5.25,I272&lt;=8),"紧凑-高度紧凑",IF(I272&gt;=8.5,"紧凑-极度紧凑",""))))))))))</f>
        <v/>
      </c>
      <c r="L272" s="2">
        <f>IF(I272=0.1,"极紧凑",IF(AND(I272&gt;=1,I272&lt;=1.89),"松散",IF(AND(I272&gt;=2,I272&lt;=3.5),"标准",IF(I272&gt;=3.6,"紧凑",""))))</f>
        <v/>
      </c>
      <c r="M272" s="2" t="inlineStr">
        <is>
          <t>极紧凑-豹子号</t>
        </is>
      </c>
      <c r="N272" s="2" t="inlineStr">
        <is>
          <t>松散-极松散</t>
        </is>
      </c>
      <c r="O272" s="2" t="inlineStr">
        <is>
          <t>松散-标准松散</t>
        </is>
      </c>
      <c r="P272" s="2" t="inlineStr">
        <is>
          <t>松散-偏紧松散</t>
        </is>
      </c>
      <c r="Q272" s="2" t="inlineStr">
        <is>
          <t>标准-偏松标准</t>
        </is>
      </c>
      <c r="R272" s="2" t="inlineStr">
        <is>
          <t>标准-核心标准</t>
        </is>
      </c>
      <c r="S272" s="2" t="inlineStr">
        <is>
          <t>标准-偏紧标准</t>
        </is>
      </c>
      <c r="T272" s="2" t="inlineStr">
        <is>
          <t>紧凑-标准紧凑</t>
        </is>
      </c>
      <c r="U272" s="2" t="inlineStr">
        <is>
          <t>紧凑-高度紧凑</t>
        </is>
      </c>
      <c r="V272" s="2" t="inlineStr">
        <is>
          <t>紧凑-极度紧凑</t>
        </is>
      </c>
    </row>
    <row r="273">
      <c r="A273" s="1" t="n">
        <v>2023191</v>
      </c>
      <c r="B273" s="3" t="inlineStr">
        <is>
          <t>360</t>
        </is>
      </c>
      <c r="C273" s="2">
        <f>IF(B273="","",LEFT(TEXT(B273,"000"),1)*1)</f>
        <v/>
      </c>
      <c r="D273" s="2">
        <f>IF(B273="","",MID(TEXT(B273,"000"),2,1)*1)</f>
        <v/>
      </c>
      <c r="E273" s="2">
        <f>IF(B273="","",RIGHT(TEXT(B273,"000"),1)*1)</f>
        <v/>
      </c>
      <c r="F273" s="2">
        <f>IF(B273="","",C273+D273+E273)</f>
        <v/>
      </c>
      <c r="G273" s="2">
        <f>IF(B273="","",MOD(F273,10))</f>
        <v/>
      </c>
      <c r="H273" s="2">
        <f>IF(B273="","",MAX(C273,D273,E273)-MIN(C273,D273,E273))</f>
        <v/>
      </c>
      <c r="I273" s="2">
        <f>IF(OR(B273="",H273=0),IF(H273=0,0.1,""),ROUND(F273/H273,2))</f>
        <v/>
      </c>
      <c r="J273" s="2">
        <f>IF(I273=0.1,"极紧凑",IF(I273&gt;3.5,"紧凑",IF(AND(I273&gt;=2,I273&lt;=3.5),"标准",IF(AND(I273&gt;=1,I273&lt;2),"松散",""))))</f>
        <v/>
      </c>
      <c r="K273" s="2">
        <f>IF(I273=0.1,"极紧凑-豹子号",IF(AND(I273&gt;=1,I273&lt;=1.29),"松散-极松散",IF(AND(I273&gt;=1.33,I273&lt;=1.8),"松散-标准松散",IF(AND(I273&gt;=1.83,I273&lt;=1.89),"松散-偏紧松散",IF(AND(I273&gt;=2,I273&lt;=2.5),"标准-偏松标准",IF(AND(I273&gt;=2.57,I273&lt;=3),"标准-核心标准",IF(AND(I273&gt;=3.17,I273&lt;=3.5),"标准-偏紧标准",IF(AND(I273&gt;=3.6,I273&lt;=5),"紧凑-标准紧凑",IF(AND(I273&gt;=5.25,I273&lt;=8),"紧凑-高度紧凑",IF(I273&gt;=8.5,"紧凑-极度紧凑",""))))))))))</f>
        <v/>
      </c>
      <c r="L273" s="2">
        <f>IF(I273=0.1,"极紧凑",IF(AND(I273&gt;=1,I273&lt;=1.89),"松散",IF(AND(I273&gt;=2,I273&lt;=3.5),"标准",IF(I273&gt;=3.6,"紧凑",""))))</f>
        <v/>
      </c>
      <c r="M273" s="2" t="inlineStr">
        <is>
          <t>极紧凑-豹子号</t>
        </is>
      </c>
      <c r="N273" s="2" t="inlineStr">
        <is>
          <t>松散-极松散</t>
        </is>
      </c>
      <c r="O273" s="2" t="inlineStr">
        <is>
          <t>松散-标准松散</t>
        </is>
      </c>
      <c r="P273" s="2" t="inlineStr">
        <is>
          <t>松散-偏紧松散</t>
        </is>
      </c>
      <c r="Q273" s="2" t="inlineStr">
        <is>
          <t>标准-偏松标准</t>
        </is>
      </c>
      <c r="R273" s="2" t="inlineStr">
        <is>
          <t>标准-核心标准</t>
        </is>
      </c>
      <c r="S273" s="2" t="inlineStr">
        <is>
          <t>标准-偏紧标准</t>
        </is>
      </c>
      <c r="T273" s="2" t="inlineStr">
        <is>
          <t>紧凑-标准紧凑</t>
        </is>
      </c>
      <c r="U273" s="2" t="inlineStr">
        <is>
          <t>紧凑-高度紧凑</t>
        </is>
      </c>
      <c r="V273" s="2" t="inlineStr">
        <is>
          <t>紧凑-极度紧凑</t>
        </is>
      </c>
    </row>
    <row r="274">
      <c r="A274" s="1" t="n">
        <v>2023192</v>
      </c>
      <c r="B274" s="3" t="inlineStr">
        <is>
          <t>214</t>
        </is>
      </c>
      <c r="C274" s="2">
        <f>IF(B274="","",LEFT(TEXT(B274,"000"),1)*1)</f>
        <v/>
      </c>
      <c r="D274" s="2">
        <f>IF(B274="","",MID(TEXT(B274,"000"),2,1)*1)</f>
        <v/>
      </c>
      <c r="E274" s="2">
        <f>IF(B274="","",RIGHT(TEXT(B274,"000"),1)*1)</f>
        <v/>
      </c>
      <c r="F274" s="2">
        <f>IF(B274="","",C274+D274+E274)</f>
        <v/>
      </c>
      <c r="G274" s="2">
        <f>IF(B274="","",MOD(F274,10))</f>
        <v/>
      </c>
      <c r="H274" s="2">
        <f>IF(B274="","",MAX(C274,D274,E274)-MIN(C274,D274,E274))</f>
        <v/>
      </c>
      <c r="I274" s="2">
        <f>IF(OR(B274="",H274=0),IF(H274=0,0.1,""),ROUND(F274/H274,2))</f>
        <v/>
      </c>
      <c r="J274" s="2">
        <f>IF(I274=0.1,"极紧凑",IF(I274&gt;3.5,"紧凑",IF(AND(I274&gt;=2,I274&lt;=3.5),"标准",IF(AND(I274&gt;=1,I274&lt;2),"松散",""))))</f>
        <v/>
      </c>
      <c r="K274" s="2">
        <f>IF(I274=0.1,"极紧凑-豹子号",IF(AND(I274&gt;=1,I274&lt;=1.29),"松散-极松散",IF(AND(I274&gt;=1.33,I274&lt;=1.8),"松散-标准松散",IF(AND(I274&gt;=1.83,I274&lt;=1.89),"松散-偏紧松散",IF(AND(I274&gt;=2,I274&lt;=2.5),"标准-偏松标准",IF(AND(I274&gt;=2.57,I274&lt;=3),"标准-核心标准",IF(AND(I274&gt;=3.17,I274&lt;=3.5),"标准-偏紧标准",IF(AND(I274&gt;=3.6,I274&lt;=5),"紧凑-标准紧凑",IF(AND(I274&gt;=5.25,I274&lt;=8),"紧凑-高度紧凑",IF(I274&gt;=8.5,"紧凑-极度紧凑",""))))))))))</f>
        <v/>
      </c>
      <c r="L274" s="2">
        <f>IF(I274=0.1,"极紧凑",IF(AND(I274&gt;=1,I274&lt;=1.89),"松散",IF(AND(I274&gt;=2,I274&lt;=3.5),"标准",IF(I274&gt;=3.6,"紧凑",""))))</f>
        <v/>
      </c>
      <c r="M274" s="2" t="inlineStr">
        <is>
          <t>极紧凑-豹子号</t>
        </is>
      </c>
      <c r="N274" s="2" t="inlineStr">
        <is>
          <t>松散-极松散</t>
        </is>
      </c>
      <c r="O274" s="2" t="inlineStr">
        <is>
          <t>松散-标准松散</t>
        </is>
      </c>
      <c r="P274" s="2" t="inlineStr">
        <is>
          <t>松散-偏紧松散</t>
        </is>
      </c>
      <c r="Q274" s="2" t="inlineStr">
        <is>
          <t>标准-偏松标准</t>
        </is>
      </c>
      <c r="R274" s="2" t="inlineStr">
        <is>
          <t>标准-核心标准</t>
        </is>
      </c>
      <c r="S274" s="2" t="inlineStr">
        <is>
          <t>标准-偏紧标准</t>
        </is>
      </c>
      <c r="T274" s="2" t="inlineStr">
        <is>
          <t>紧凑-标准紧凑</t>
        </is>
      </c>
      <c r="U274" s="2" t="inlineStr">
        <is>
          <t>紧凑-高度紧凑</t>
        </is>
      </c>
      <c r="V274" s="2" t="inlineStr">
        <is>
          <t>紧凑-极度紧凑</t>
        </is>
      </c>
    </row>
    <row r="275">
      <c r="A275" s="1" t="n">
        <v>2023193</v>
      </c>
      <c r="B275" s="3" t="inlineStr">
        <is>
          <t>419</t>
        </is>
      </c>
      <c r="C275" s="2">
        <f>IF(B275="","",LEFT(TEXT(B275,"000"),1)*1)</f>
        <v/>
      </c>
      <c r="D275" s="2">
        <f>IF(B275="","",MID(TEXT(B275,"000"),2,1)*1)</f>
        <v/>
      </c>
      <c r="E275" s="2">
        <f>IF(B275="","",RIGHT(TEXT(B275,"000"),1)*1)</f>
        <v/>
      </c>
      <c r="F275" s="2">
        <f>IF(B275="","",C275+D275+E275)</f>
        <v/>
      </c>
      <c r="G275" s="2">
        <f>IF(B275="","",MOD(F275,10))</f>
        <v/>
      </c>
      <c r="H275" s="2">
        <f>IF(B275="","",MAX(C275,D275,E275)-MIN(C275,D275,E275))</f>
        <v/>
      </c>
      <c r="I275" s="2">
        <f>IF(OR(B275="",H275=0),IF(H275=0,0.1,""),ROUND(F275/H275,2))</f>
        <v/>
      </c>
      <c r="J275" s="2">
        <f>IF(I275=0.1,"极紧凑",IF(I275&gt;3.5,"紧凑",IF(AND(I275&gt;=2,I275&lt;=3.5),"标准",IF(AND(I275&gt;=1,I275&lt;2),"松散",""))))</f>
        <v/>
      </c>
      <c r="K275" s="2">
        <f>IF(I275=0.1,"极紧凑-豹子号",IF(AND(I275&gt;=1,I275&lt;=1.29),"松散-极松散",IF(AND(I275&gt;=1.33,I275&lt;=1.8),"松散-标准松散",IF(AND(I275&gt;=1.83,I275&lt;=1.89),"松散-偏紧松散",IF(AND(I275&gt;=2,I275&lt;=2.5),"标准-偏松标准",IF(AND(I275&gt;=2.57,I275&lt;=3),"标准-核心标准",IF(AND(I275&gt;=3.17,I275&lt;=3.5),"标准-偏紧标准",IF(AND(I275&gt;=3.6,I275&lt;=5),"紧凑-标准紧凑",IF(AND(I275&gt;=5.25,I275&lt;=8),"紧凑-高度紧凑",IF(I275&gt;=8.5,"紧凑-极度紧凑",""))))))))))</f>
        <v/>
      </c>
      <c r="L275" s="2">
        <f>IF(I275=0.1,"极紧凑",IF(AND(I275&gt;=1,I275&lt;=1.89),"松散",IF(AND(I275&gt;=2,I275&lt;=3.5),"标准",IF(I275&gt;=3.6,"紧凑",""))))</f>
        <v/>
      </c>
      <c r="M275" s="2" t="inlineStr">
        <is>
          <t>极紧凑-豹子号</t>
        </is>
      </c>
      <c r="N275" s="2" t="inlineStr">
        <is>
          <t>松散-极松散</t>
        </is>
      </c>
      <c r="O275" s="2" t="inlineStr">
        <is>
          <t>松散-标准松散</t>
        </is>
      </c>
      <c r="P275" s="2" t="inlineStr">
        <is>
          <t>松散-偏紧松散</t>
        </is>
      </c>
      <c r="Q275" s="2" t="inlineStr">
        <is>
          <t>标准-偏松标准</t>
        </is>
      </c>
      <c r="R275" s="2" t="inlineStr">
        <is>
          <t>标准-核心标准</t>
        </is>
      </c>
      <c r="S275" s="2" t="inlineStr">
        <is>
          <t>标准-偏紧标准</t>
        </is>
      </c>
      <c r="T275" s="2" t="inlineStr">
        <is>
          <t>紧凑-标准紧凑</t>
        </is>
      </c>
      <c r="U275" s="2" t="inlineStr">
        <is>
          <t>紧凑-高度紧凑</t>
        </is>
      </c>
      <c r="V275" s="2" t="inlineStr">
        <is>
          <t>紧凑-极度紧凑</t>
        </is>
      </c>
    </row>
    <row r="276">
      <c r="A276" s="1" t="n">
        <v>2023194</v>
      </c>
      <c r="B276" s="3" t="inlineStr">
        <is>
          <t>303</t>
        </is>
      </c>
      <c r="C276" s="2">
        <f>IF(B276="","",LEFT(TEXT(B276,"000"),1)*1)</f>
        <v/>
      </c>
      <c r="D276" s="2">
        <f>IF(B276="","",MID(TEXT(B276,"000"),2,1)*1)</f>
        <v/>
      </c>
      <c r="E276" s="2">
        <f>IF(B276="","",RIGHT(TEXT(B276,"000"),1)*1)</f>
        <v/>
      </c>
      <c r="F276" s="2">
        <f>IF(B276="","",C276+D276+E276)</f>
        <v/>
      </c>
      <c r="G276" s="2">
        <f>IF(B276="","",MOD(F276,10))</f>
        <v/>
      </c>
      <c r="H276" s="2">
        <f>IF(B276="","",MAX(C276,D276,E276)-MIN(C276,D276,E276))</f>
        <v/>
      </c>
      <c r="I276" s="2">
        <f>IF(OR(B276="",H276=0),IF(H276=0,0.1,""),ROUND(F276/H276,2))</f>
        <v/>
      </c>
      <c r="J276" s="2">
        <f>IF(I276=0.1,"极紧凑",IF(I276&gt;3.5,"紧凑",IF(AND(I276&gt;=2,I276&lt;=3.5),"标准",IF(AND(I276&gt;=1,I276&lt;2),"松散",""))))</f>
        <v/>
      </c>
      <c r="K276" s="2">
        <f>IF(I276=0.1,"极紧凑-豹子号",IF(AND(I276&gt;=1,I276&lt;=1.29),"松散-极松散",IF(AND(I276&gt;=1.33,I276&lt;=1.8),"松散-标准松散",IF(AND(I276&gt;=1.83,I276&lt;=1.89),"松散-偏紧松散",IF(AND(I276&gt;=2,I276&lt;=2.5),"标准-偏松标准",IF(AND(I276&gt;=2.57,I276&lt;=3),"标准-核心标准",IF(AND(I276&gt;=3.17,I276&lt;=3.5),"标准-偏紧标准",IF(AND(I276&gt;=3.6,I276&lt;=5),"紧凑-标准紧凑",IF(AND(I276&gt;=5.25,I276&lt;=8),"紧凑-高度紧凑",IF(I276&gt;=8.5,"紧凑-极度紧凑",""))))))))))</f>
        <v/>
      </c>
      <c r="L276" s="2">
        <f>IF(I276=0.1,"极紧凑",IF(AND(I276&gt;=1,I276&lt;=1.89),"松散",IF(AND(I276&gt;=2,I276&lt;=3.5),"标准",IF(I276&gt;=3.6,"紧凑",""))))</f>
        <v/>
      </c>
      <c r="M276" s="2" t="inlineStr">
        <is>
          <t>极紧凑-豹子号</t>
        </is>
      </c>
      <c r="N276" s="2" t="inlineStr">
        <is>
          <t>松散-极松散</t>
        </is>
      </c>
      <c r="O276" s="2" t="inlineStr">
        <is>
          <t>松散-标准松散</t>
        </is>
      </c>
      <c r="P276" s="2" t="inlineStr">
        <is>
          <t>松散-偏紧松散</t>
        </is>
      </c>
      <c r="Q276" s="2" t="inlineStr">
        <is>
          <t>标准-偏松标准</t>
        </is>
      </c>
      <c r="R276" s="2" t="inlineStr">
        <is>
          <t>标准-核心标准</t>
        </is>
      </c>
      <c r="S276" s="2" t="inlineStr">
        <is>
          <t>标准-偏紧标准</t>
        </is>
      </c>
      <c r="T276" s="2" t="inlineStr">
        <is>
          <t>紧凑-标准紧凑</t>
        </is>
      </c>
      <c r="U276" s="2" t="inlineStr">
        <is>
          <t>紧凑-高度紧凑</t>
        </is>
      </c>
      <c r="V276" s="2" t="inlineStr">
        <is>
          <t>紧凑-极度紧凑</t>
        </is>
      </c>
    </row>
    <row r="277">
      <c r="A277" s="1" t="n">
        <v>2023195</v>
      </c>
      <c r="B277" s="3" t="inlineStr">
        <is>
          <t>367</t>
        </is>
      </c>
      <c r="C277" s="2">
        <f>IF(B277="","",LEFT(TEXT(B277,"000"),1)*1)</f>
        <v/>
      </c>
      <c r="D277" s="2">
        <f>IF(B277="","",MID(TEXT(B277,"000"),2,1)*1)</f>
        <v/>
      </c>
      <c r="E277" s="2">
        <f>IF(B277="","",RIGHT(TEXT(B277,"000"),1)*1)</f>
        <v/>
      </c>
      <c r="F277" s="2">
        <f>IF(B277="","",C277+D277+E277)</f>
        <v/>
      </c>
      <c r="G277" s="2">
        <f>IF(B277="","",MOD(F277,10))</f>
        <v/>
      </c>
      <c r="H277" s="2">
        <f>IF(B277="","",MAX(C277,D277,E277)-MIN(C277,D277,E277))</f>
        <v/>
      </c>
      <c r="I277" s="2">
        <f>IF(OR(B277="",H277=0),IF(H277=0,0.1,""),ROUND(F277/H277,2))</f>
        <v/>
      </c>
      <c r="J277" s="2">
        <f>IF(I277=0.1,"极紧凑",IF(I277&gt;3.5,"紧凑",IF(AND(I277&gt;=2,I277&lt;=3.5),"标准",IF(AND(I277&gt;=1,I277&lt;2),"松散",""))))</f>
        <v/>
      </c>
      <c r="K277" s="2">
        <f>IF(I277=0.1,"极紧凑-豹子号",IF(AND(I277&gt;=1,I277&lt;=1.29),"松散-极松散",IF(AND(I277&gt;=1.33,I277&lt;=1.8),"松散-标准松散",IF(AND(I277&gt;=1.83,I277&lt;=1.89),"松散-偏紧松散",IF(AND(I277&gt;=2,I277&lt;=2.5),"标准-偏松标准",IF(AND(I277&gt;=2.57,I277&lt;=3),"标准-核心标准",IF(AND(I277&gt;=3.17,I277&lt;=3.5),"标准-偏紧标准",IF(AND(I277&gt;=3.6,I277&lt;=5),"紧凑-标准紧凑",IF(AND(I277&gt;=5.25,I277&lt;=8),"紧凑-高度紧凑",IF(I277&gt;=8.5,"紧凑-极度紧凑",""))))))))))</f>
        <v/>
      </c>
      <c r="L277" s="2">
        <f>IF(I277=0.1,"极紧凑",IF(AND(I277&gt;=1,I277&lt;=1.89),"松散",IF(AND(I277&gt;=2,I277&lt;=3.5),"标准",IF(I277&gt;=3.6,"紧凑",""))))</f>
        <v/>
      </c>
      <c r="M277" s="2" t="inlineStr">
        <is>
          <t>极紧凑-豹子号</t>
        </is>
      </c>
      <c r="N277" s="2" t="inlineStr">
        <is>
          <t>松散-极松散</t>
        </is>
      </c>
      <c r="O277" s="2" t="inlineStr">
        <is>
          <t>松散-标准松散</t>
        </is>
      </c>
      <c r="P277" s="2" t="inlineStr">
        <is>
          <t>松散-偏紧松散</t>
        </is>
      </c>
      <c r="Q277" s="2" t="inlineStr">
        <is>
          <t>标准-偏松标准</t>
        </is>
      </c>
      <c r="R277" s="2" t="inlineStr">
        <is>
          <t>标准-核心标准</t>
        </is>
      </c>
      <c r="S277" s="2" t="inlineStr">
        <is>
          <t>标准-偏紧标准</t>
        </is>
      </c>
      <c r="T277" s="2" t="inlineStr">
        <is>
          <t>紧凑-标准紧凑</t>
        </is>
      </c>
      <c r="U277" s="2" t="inlineStr">
        <is>
          <t>紧凑-高度紧凑</t>
        </is>
      </c>
      <c r="V277" s="2" t="inlineStr">
        <is>
          <t>紧凑-极度紧凑</t>
        </is>
      </c>
    </row>
    <row r="278">
      <c r="A278" s="1" t="n">
        <v>2023196</v>
      </c>
      <c r="B278" s="3" t="inlineStr">
        <is>
          <t>800</t>
        </is>
      </c>
      <c r="C278" s="2">
        <f>IF(B278="","",LEFT(TEXT(B278,"000"),1)*1)</f>
        <v/>
      </c>
      <c r="D278" s="2">
        <f>IF(B278="","",MID(TEXT(B278,"000"),2,1)*1)</f>
        <v/>
      </c>
      <c r="E278" s="2">
        <f>IF(B278="","",RIGHT(TEXT(B278,"000"),1)*1)</f>
        <v/>
      </c>
      <c r="F278" s="2">
        <f>IF(B278="","",C278+D278+E278)</f>
        <v/>
      </c>
      <c r="G278" s="2">
        <f>IF(B278="","",MOD(F278,10))</f>
        <v/>
      </c>
      <c r="H278" s="2">
        <f>IF(B278="","",MAX(C278,D278,E278)-MIN(C278,D278,E278))</f>
        <v/>
      </c>
      <c r="I278" s="2">
        <f>IF(OR(B278="",H278=0),IF(H278=0,0.1,""),ROUND(F278/H278,2))</f>
        <v/>
      </c>
      <c r="J278" s="2">
        <f>IF(I278=0.1,"极紧凑",IF(I278&gt;3.5,"紧凑",IF(AND(I278&gt;=2,I278&lt;=3.5),"标准",IF(AND(I278&gt;=1,I278&lt;2),"松散",""))))</f>
        <v/>
      </c>
      <c r="K278" s="2">
        <f>IF(I278=0.1,"极紧凑-豹子号",IF(AND(I278&gt;=1,I278&lt;=1.29),"松散-极松散",IF(AND(I278&gt;=1.33,I278&lt;=1.8),"松散-标准松散",IF(AND(I278&gt;=1.83,I278&lt;=1.89),"松散-偏紧松散",IF(AND(I278&gt;=2,I278&lt;=2.5),"标准-偏松标准",IF(AND(I278&gt;=2.57,I278&lt;=3),"标准-核心标准",IF(AND(I278&gt;=3.17,I278&lt;=3.5),"标准-偏紧标准",IF(AND(I278&gt;=3.6,I278&lt;=5),"紧凑-标准紧凑",IF(AND(I278&gt;=5.25,I278&lt;=8),"紧凑-高度紧凑",IF(I278&gt;=8.5,"紧凑-极度紧凑",""))))))))))</f>
        <v/>
      </c>
      <c r="L278" s="2">
        <f>IF(I278=0.1,"极紧凑",IF(AND(I278&gt;=1,I278&lt;=1.89),"松散",IF(AND(I278&gt;=2,I278&lt;=3.5),"标准",IF(I278&gt;=3.6,"紧凑",""))))</f>
        <v/>
      </c>
      <c r="M278" s="2" t="inlineStr">
        <is>
          <t>极紧凑-豹子号</t>
        </is>
      </c>
      <c r="N278" s="2" t="inlineStr">
        <is>
          <t>松散-极松散</t>
        </is>
      </c>
      <c r="O278" s="2" t="inlineStr">
        <is>
          <t>松散-标准松散</t>
        </is>
      </c>
      <c r="P278" s="2" t="inlineStr">
        <is>
          <t>松散-偏紧松散</t>
        </is>
      </c>
      <c r="Q278" s="2" t="inlineStr">
        <is>
          <t>标准-偏松标准</t>
        </is>
      </c>
      <c r="R278" s="2" t="inlineStr">
        <is>
          <t>标准-核心标准</t>
        </is>
      </c>
      <c r="S278" s="2" t="inlineStr">
        <is>
          <t>标准-偏紧标准</t>
        </is>
      </c>
      <c r="T278" s="2" t="inlineStr">
        <is>
          <t>紧凑-标准紧凑</t>
        </is>
      </c>
      <c r="U278" s="2" t="inlineStr">
        <is>
          <t>紧凑-高度紧凑</t>
        </is>
      </c>
      <c r="V278" s="2" t="inlineStr">
        <is>
          <t>紧凑-极度紧凑</t>
        </is>
      </c>
    </row>
    <row r="279">
      <c r="A279" s="1" t="n">
        <v>2023197</v>
      </c>
      <c r="B279" s="3" t="inlineStr">
        <is>
          <t>307</t>
        </is>
      </c>
      <c r="C279" s="2">
        <f>IF(B279="","",LEFT(TEXT(B279,"000"),1)*1)</f>
        <v/>
      </c>
      <c r="D279" s="2">
        <f>IF(B279="","",MID(TEXT(B279,"000"),2,1)*1)</f>
        <v/>
      </c>
      <c r="E279" s="2">
        <f>IF(B279="","",RIGHT(TEXT(B279,"000"),1)*1)</f>
        <v/>
      </c>
      <c r="F279" s="2">
        <f>IF(B279="","",C279+D279+E279)</f>
        <v/>
      </c>
      <c r="G279" s="2">
        <f>IF(B279="","",MOD(F279,10))</f>
        <v/>
      </c>
      <c r="H279" s="2">
        <f>IF(B279="","",MAX(C279,D279,E279)-MIN(C279,D279,E279))</f>
        <v/>
      </c>
      <c r="I279" s="2">
        <f>IF(OR(B279="",H279=0),IF(H279=0,0.1,""),ROUND(F279/H279,2))</f>
        <v/>
      </c>
      <c r="J279" s="2">
        <f>IF(I279=0.1,"极紧凑",IF(I279&gt;3.5,"紧凑",IF(AND(I279&gt;=2,I279&lt;=3.5),"标准",IF(AND(I279&gt;=1,I279&lt;2),"松散",""))))</f>
        <v/>
      </c>
      <c r="K279" s="2">
        <f>IF(I279=0.1,"极紧凑-豹子号",IF(AND(I279&gt;=1,I279&lt;=1.29),"松散-极松散",IF(AND(I279&gt;=1.33,I279&lt;=1.8),"松散-标准松散",IF(AND(I279&gt;=1.83,I279&lt;=1.89),"松散-偏紧松散",IF(AND(I279&gt;=2,I279&lt;=2.5),"标准-偏松标准",IF(AND(I279&gt;=2.57,I279&lt;=3),"标准-核心标准",IF(AND(I279&gt;=3.17,I279&lt;=3.5),"标准-偏紧标准",IF(AND(I279&gt;=3.6,I279&lt;=5),"紧凑-标准紧凑",IF(AND(I279&gt;=5.25,I279&lt;=8),"紧凑-高度紧凑",IF(I279&gt;=8.5,"紧凑-极度紧凑",""))))))))))</f>
        <v/>
      </c>
      <c r="L279" s="2">
        <f>IF(I279=0.1,"极紧凑",IF(AND(I279&gt;=1,I279&lt;=1.89),"松散",IF(AND(I279&gt;=2,I279&lt;=3.5),"标准",IF(I279&gt;=3.6,"紧凑",""))))</f>
        <v/>
      </c>
      <c r="M279" s="2" t="inlineStr">
        <is>
          <t>极紧凑-豹子号</t>
        </is>
      </c>
      <c r="N279" s="2" t="inlineStr">
        <is>
          <t>松散-极松散</t>
        </is>
      </c>
      <c r="O279" s="2" t="inlineStr">
        <is>
          <t>松散-标准松散</t>
        </is>
      </c>
      <c r="P279" s="2" t="inlineStr">
        <is>
          <t>松散-偏紧松散</t>
        </is>
      </c>
      <c r="Q279" s="2" t="inlineStr">
        <is>
          <t>标准-偏松标准</t>
        </is>
      </c>
      <c r="R279" s="2" t="inlineStr">
        <is>
          <t>标准-核心标准</t>
        </is>
      </c>
      <c r="S279" s="2" t="inlineStr">
        <is>
          <t>标准-偏紧标准</t>
        </is>
      </c>
      <c r="T279" s="2" t="inlineStr">
        <is>
          <t>紧凑-标准紧凑</t>
        </is>
      </c>
      <c r="U279" s="2" t="inlineStr">
        <is>
          <t>紧凑-高度紧凑</t>
        </is>
      </c>
      <c r="V279" s="2" t="inlineStr">
        <is>
          <t>紧凑-极度紧凑</t>
        </is>
      </c>
    </row>
    <row r="280">
      <c r="A280" s="1" t="n">
        <v>2023198</v>
      </c>
      <c r="B280" s="3" t="inlineStr">
        <is>
          <t>079</t>
        </is>
      </c>
      <c r="C280" s="2">
        <f>IF(B280="","",LEFT(TEXT(B280,"000"),1)*1)</f>
        <v/>
      </c>
      <c r="D280" s="2">
        <f>IF(B280="","",MID(TEXT(B280,"000"),2,1)*1)</f>
        <v/>
      </c>
      <c r="E280" s="2">
        <f>IF(B280="","",RIGHT(TEXT(B280,"000"),1)*1)</f>
        <v/>
      </c>
      <c r="F280" s="2">
        <f>IF(B280="","",C280+D280+E280)</f>
        <v/>
      </c>
      <c r="G280" s="2">
        <f>IF(B280="","",MOD(F280,10))</f>
        <v/>
      </c>
      <c r="H280" s="2">
        <f>IF(B280="","",MAX(C280,D280,E280)-MIN(C280,D280,E280))</f>
        <v/>
      </c>
      <c r="I280" s="2">
        <f>IF(OR(B280="",H280=0),IF(H280=0,0.1,""),ROUND(F280/H280,2))</f>
        <v/>
      </c>
      <c r="J280" s="2">
        <f>IF(I280=0.1,"极紧凑",IF(I280&gt;3.5,"紧凑",IF(AND(I280&gt;=2,I280&lt;=3.5),"标准",IF(AND(I280&gt;=1,I280&lt;2),"松散",""))))</f>
        <v/>
      </c>
      <c r="K280" s="2">
        <f>IF(I280=0.1,"极紧凑-豹子号",IF(AND(I280&gt;=1,I280&lt;=1.29),"松散-极松散",IF(AND(I280&gt;=1.33,I280&lt;=1.8),"松散-标准松散",IF(AND(I280&gt;=1.83,I280&lt;=1.89),"松散-偏紧松散",IF(AND(I280&gt;=2,I280&lt;=2.5),"标准-偏松标准",IF(AND(I280&gt;=2.57,I280&lt;=3),"标准-核心标准",IF(AND(I280&gt;=3.17,I280&lt;=3.5),"标准-偏紧标准",IF(AND(I280&gt;=3.6,I280&lt;=5),"紧凑-标准紧凑",IF(AND(I280&gt;=5.25,I280&lt;=8),"紧凑-高度紧凑",IF(I280&gt;=8.5,"紧凑-极度紧凑",""))))))))))</f>
        <v/>
      </c>
      <c r="L280" s="2">
        <f>IF(I280=0.1,"极紧凑",IF(AND(I280&gt;=1,I280&lt;=1.89),"松散",IF(AND(I280&gt;=2,I280&lt;=3.5),"标准",IF(I280&gt;=3.6,"紧凑",""))))</f>
        <v/>
      </c>
      <c r="M280" s="2" t="inlineStr">
        <is>
          <t>极紧凑-豹子号</t>
        </is>
      </c>
      <c r="N280" s="2" t="inlineStr">
        <is>
          <t>松散-极松散</t>
        </is>
      </c>
      <c r="O280" s="2" t="inlineStr">
        <is>
          <t>松散-标准松散</t>
        </is>
      </c>
      <c r="P280" s="2" t="inlineStr">
        <is>
          <t>松散-偏紧松散</t>
        </is>
      </c>
      <c r="Q280" s="2" t="inlineStr">
        <is>
          <t>标准-偏松标准</t>
        </is>
      </c>
      <c r="R280" s="2" t="inlineStr">
        <is>
          <t>标准-核心标准</t>
        </is>
      </c>
      <c r="S280" s="2" t="inlineStr">
        <is>
          <t>标准-偏紧标准</t>
        </is>
      </c>
      <c r="T280" s="2" t="inlineStr">
        <is>
          <t>紧凑-标准紧凑</t>
        </is>
      </c>
      <c r="U280" s="2" t="inlineStr">
        <is>
          <t>紧凑-高度紧凑</t>
        </is>
      </c>
      <c r="V280" s="2" t="inlineStr">
        <is>
          <t>紧凑-极度紧凑</t>
        </is>
      </c>
    </row>
    <row r="281">
      <c r="A281" s="1" t="n">
        <v>2023199</v>
      </c>
      <c r="B281" s="3" t="inlineStr">
        <is>
          <t>723</t>
        </is>
      </c>
      <c r="C281" s="2">
        <f>IF(B281="","",LEFT(TEXT(B281,"000"),1)*1)</f>
        <v/>
      </c>
      <c r="D281" s="2">
        <f>IF(B281="","",MID(TEXT(B281,"000"),2,1)*1)</f>
        <v/>
      </c>
      <c r="E281" s="2">
        <f>IF(B281="","",RIGHT(TEXT(B281,"000"),1)*1)</f>
        <v/>
      </c>
      <c r="F281" s="2">
        <f>IF(B281="","",C281+D281+E281)</f>
        <v/>
      </c>
      <c r="G281" s="2">
        <f>IF(B281="","",MOD(F281,10))</f>
        <v/>
      </c>
      <c r="H281" s="2">
        <f>IF(B281="","",MAX(C281,D281,E281)-MIN(C281,D281,E281))</f>
        <v/>
      </c>
      <c r="I281" s="2">
        <f>IF(OR(B281="",H281=0),IF(H281=0,0.1,""),ROUND(F281/H281,2))</f>
        <v/>
      </c>
      <c r="J281" s="2">
        <f>IF(I281=0.1,"极紧凑",IF(I281&gt;3.5,"紧凑",IF(AND(I281&gt;=2,I281&lt;=3.5),"标准",IF(AND(I281&gt;=1,I281&lt;2),"松散",""))))</f>
        <v/>
      </c>
      <c r="K281" s="2">
        <f>IF(I281=0.1,"极紧凑-豹子号",IF(AND(I281&gt;=1,I281&lt;=1.29),"松散-极松散",IF(AND(I281&gt;=1.33,I281&lt;=1.8),"松散-标准松散",IF(AND(I281&gt;=1.83,I281&lt;=1.89),"松散-偏紧松散",IF(AND(I281&gt;=2,I281&lt;=2.5),"标准-偏松标准",IF(AND(I281&gt;=2.57,I281&lt;=3),"标准-核心标准",IF(AND(I281&gt;=3.17,I281&lt;=3.5),"标准-偏紧标准",IF(AND(I281&gt;=3.6,I281&lt;=5),"紧凑-标准紧凑",IF(AND(I281&gt;=5.25,I281&lt;=8),"紧凑-高度紧凑",IF(I281&gt;=8.5,"紧凑-极度紧凑",""))))))))))</f>
        <v/>
      </c>
      <c r="L281" s="2">
        <f>IF(I281=0.1,"极紧凑",IF(AND(I281&gt;=1,I281&lt;=1.89),"松散",IF(AND(I281&gt;=2,I281&lt;=3.5),"标准",IF(I281&gt;=3.6,"紧凑",""))))</f>
        <v/>
      </c>
      <c r="M281" s="2" t="inlineStr">
        <is>
          <t>极紧凑-豹子号</t>
        </is>
      </c>
      <c r="N281" s="2" t="inlineStr">
        <is>
          <t>松散-极松散</t>
        </is>
      </c>
      <c r="O281" s="2" t="inlineStr">
        <is>
          <t>松散-标准松散</t>
        </is>
      </c>
      <c r="P281" s="2" t="inlineStr">
        <is>
          <t>松散-偏紧松散</t>
        </is>
      </c>
      <c r="Q281" s="2" t="inlineStr">
        <is>
          <t>标准-偏松标准</t>
        </is>
      </c>
      <c r="R281" s="2" t="inlineStr">
        <is>
          <t>标准-核心标准</t>
        </is>
      </c>
      <c r="S281" s="2" t="inlineStr">
        <is>
          <t>标准-偏紧标准</t>
        </is>
      </c>
      <c r="T281" s="2" t="inlineStr">
        <is>
          <t>紧凑-标准紧凑</t>
        </is>
      </c>
      <c r="U281" s="2" t="inlineStr">
        <is>
          <t>紧凑-高度紧凑</t>
        </is>
      </c>
      <c r="V281" s="2" t="inlineStr">
        <is>
          <t>紧凑-极度紧凑</t>
        </is>
      </c>
    </row>
    <row r="282">
      <c r="A282" s="1" t="n">
        <v>2023200</v>
      </c>
      <c r="B282" s="3" t="inlineStr">
        <is>
          <t>514</t>
        </is>
      </c>
      <c r="C282" s="2">
        <f>IF(B282="","",LEFT(TEXT(B282,"000"),1)*1)</f>
        <v/>
      </c>
      <c r="D282" s="2">
        <f>IF(B282="","",MID(TEXT(B282,"000"),2,1)*1)</f>
        <v/>
      </c>
      <c r="E282" s="2">
        <f>IF(B282="","",RIGHT(TEXT(B282,"000"),1)*1)</f>
        <v/>
      </c>
      <c r="F282" s="2">
        <f>IF(B282="","",C282+D282+E282)</f>
        <v/>
      </c>
      <c r="G282" s="2">
        <f>IF(B282="","",MOD(F282,10))</f>
        <v/>
      </c>
      <c r="H282" s="2">
        <f>IF(B282="","",MAX(C282,D282,E282)-MIN(C282,D282,E282))</f>
        <v/>
      </c>
      <c r="I282" s="2">
        <f>IF(OR(B282="",H282=0),IF(H282=0,0.1,""),ROUND(F282/H282,2))</f>
        <v/>
      </c>
      <c r="J282" s="2">
        <f>IF(I282=0.1,"极紧凑",IF(I282&gt;3.5,"紧凑",IF(AND(I282&gt;=2,I282&lt;=3.5),"标准",IF(AND(I282&gt;=1,I282&lt;2),"松散",""))))</f>
        <v/>
      </c>
      <c r="K282" s="2">
        <f>IF(I282=0.1,"极紧凑-豹子号",IF(AND(I282&gt;=1,I282&lt;=1.29),"松散-极松散",IF(AND(I282&gt;=1.33,I282&lt;=1.8),"松散-标准松散",IF(AND(I282&gt;=1.83,I282&lt;=1.89),"松散-偏紧松散",IF(AND(I282&gt;=2,I282&lt;=2.5),"标准-偏松标准",IF(AND(I282&gt;=2.57,I282&lt;=3),"标准-核心标准",IF(AND(I282&gt;=3.17,I282&lt;=3.5),"标准-偏紧标准",IF(AND(I282&gt;=3.6,I282&lt;=5),"紧凑-标准紧凑",IF(AND(I282&gt;=5.25,I282&lt;=8),"紧凑-高度紧凑",IF(I282&gt;=8.5,"紧凑-极度紧凑",""))))))))))</f>
        <v/>
      </c>
      <c r="L282" s="2">
        <f>IF(I282=0.1,"极紧凑",IF(AND(I282&gt;=1,I282&lt;=1.89),"松散",IF(AND(I282&gt;=2,I282&lt;=3.5),"标准",IF(I282&gt;=3.6,"紧凑",""))))</f>
        <v/>
      </c>
      <c r="M282" s="2" t="inlineStr">
        <is>
          <t>极紧凑-豹子号</t>
        </is>
      </c>
      <c r="N282" s="2" t="inlineStr">
        <is>
          <t>松散-极松散</t>
        </is>
      </c>
      <c r="O282" s="2" t="inlineStr">
        <is>
          <t>松散-标准松散</t>
        </is>
      </c>
      <c r="P282" s="2" t="inlineStr">
        <is>
          <t>松散-偏紧松散</t>
        </is>
      </c>
      <c r="Q282" s="2" t="inlineStr">
        <is>
          <t>标准-偏松标准</t>
        </is>
      </c>
      <c r="R282" s="2" t="inlineStr">
        <is>
          <t>标准-核心标准</t>
        </is>
      </c>
      <c r="S282" s="2" t="inlineStr">
        <is>
          <t>标准-偏紧标准</t>
        </is>
      </c>
      <c r="T282" s="2" t="inlineStr">
        <is>
          <t>紧凑-标准紧凑</t>
        </is>
      </c>
      <c r="U282" s="2" t="inlineStr">
        <is>
          <t>紧凑-高度紧凑</t>
        </is>
      </c>
      <c r="V282" s="2" t="inlineStr">
        <is>
          <t>紧凑-极度紧凑</t>
        </is>
      </c>
    </row>
    <row r="283">
      <c r="A283" s="1" t="n">
        <v>2023201</v>
      </c>
      <c r="B283" s="3" t="inlineStr">
        <is>
          <t>734</t>
        </is>
      </c>
      <c r="C283" s="2">
        <f>IF(B283="","",LEFT(TEXT(B283,"000"),1)*1)</f>
        <v/>
      </c>
      <c r="D283" s="2">
        <f>IF(B283="","",MID(TEXT(B283,"000"),2,1)*1)</f>
        <v/>
      </c>
      <c r="E283" s="2">
        <f>IF(B283="","",RIGHT(TEXT(B283,"000"),1)*1)</f>
        <v/>
      </c>
      <c r="F283" s="2">
        <f>IF(B283="","",C283+D283+E283)</f>
        <v/>
      </c>
      <c r="G283" s="2">
        <f>IF(B283="","",MOD(F283,10))</f>
        <v/>
      </c>
      <c r="H283" s="2">
        <f>IF(B283="","",MAX(C283,D283,E283)-MIN(C283,D283,E283))</f>
        <v/>
      </c>
      <c r="I283" s="2">
        <f>IF(OR(B283="",H283=0),IF(H283=0,0.1,""),ROUND(F283/H283,2))</f>
        <v/>
      </c>
      <c r="J283" s="2">
        <f>IF(I283=0.1,"极紧凑",IF(I283&gt;3.5,"紧凑",IF(AND(I283&gt;=2,I283&lt;=3.5),"标准",IF(AND(I283&gt;=1,I283&lt;2),"松散",""))))</f>
        <v/>
      </c>
      <c r="K283" s="2">
        <f>IF(I283=0.1,"极紧凑-豹子号",IF(AND(I283&gt;=1,I283&lt;=1.29),"松散-极松散",IF(AND(I283&gt;=1.33,I283&lt;=1.8),"松散-标准松散",IF(AND(I283&gt;=1.83,I283&lt;=1.89),"松散-偏紧松散",IF(AND(I283&gt;=2,I283&lt;=2.5),"标准-偏松标准",IF(AND(I283&gt;=2.57,I283&lt;=3),"标准-核心标准",IF(AND(I283&gt;=3.17,I283&lt;=3.5),"标准-偏紧标准",IF(AND(I283&gt;=3.6,I283&lt;=5),"紧凑-标准紧凑",IF(AND(I283&gt;=5.25,I283&lt;=8),"紧凑-高度紧凑",IF(I283&gt;=8.5,"紧凑-极度紧凑",""))))))))))</f>
        <v/>
      </c>
      <c r="L283" s="2">
        <f>IF(I283=0.1,"极紧凑",IF(AND(I283&gt;=1,I283&lt;=1.89),"松散",IF(AND(I283&gt;=2,I283&lt;=3.5),"标准",IF(I283&gt;=3.6,"紧凑",""))))</f>
        <v/>
      </c>
      <c r="M283" s="2" t="inlineStr">
        <is>
          <t>极紧凑-豹子号</t>
        </is>
      </c>
      <c r="N283" s="2" t="inlineStr">
        <is>
          <t>松散-极松散</t>
        </is>
      </c>
      <c r="O283" s="2" t="inlineStr">
        <is>
          <t>松散-标准松散</t>
        </is>
      </c>
      <c r="P283" s="2" t="inlineStr">
        <is>
          <t>松散-偏紧松散</t>
        </is>
      </c>
      <c r="Q283" s="2" t="inlineStr">
        <is>
          <t>标准-偏松标准</t>
        </is>
      </c>
      <c r="R283" s="2" t="inlineStr">
        <is>
          <t>标准-核心标准</t>
        </is>
      </c>
      <c r="S283" s="2" t="inlineStr">
        <is>
          <t>标准-偏紧标准</t>
        </is>
      </c>
      <c r="T283" s="2" t="inlineStr">
        <is>
          <t>紧凑-标准紧凑</t>
        </is>
      </c>
      <c r="U283" s="2" t="inlineStr">
        <is>
          <t>紧凑-高度紧凑</t>
        </is>
      </c>
      <c r="V283" s="2" t="inlineStr">
        <is>
          <t>紧凑-极度紧凑</t>
        </is>
      </c>
    </row>
    <row r="284">
      <c r="A284" s="1" t="n">
        <v>2023202</v>
      </c>
      <c r="B284" s="3" t="inlineStr">
        <is>
          <t>758</t>
        </is>
      </c>
      <c r="C284" s="2">
        <f>IF(B284="","",LEFT(TEXT(B284,"000"),1)*1)</f>
        <v/>
      </c>
      <c r="D284" s="2">
        <f>IF(B284="","",MID(TEXT(B284,"000"),2,1)*1)</f>
        <v/>
      </c>
      <c r="E284" s="2">
        <f>IF(B284="","",RIGHT(TEXT(B284,"000"),1)*1)</f>
        <v/>
      </c>
      <c r="F284" s="2">
        <f>IF(B284="","",C284+D284+E284)</f>
        <v/>
      </c>
      <c r="G284" s="2">
        <f>IF(B284="","",MOD(F284,10))</f>
        <v/>
      </c>
      <c r="H284" s="2">
        <f>IF(B284="","",MAX(C284,D284,E284)-MIN(C284,D284,E284))</f>
        <v/>
      </c>
      <c r="I284" s="2">
        <f>IF(OR(B284="",H284=0),IF(H284=0,0.1,""),ROUND(F284/H284,2))</f>
        <v/>
      </c>
      <c r="J284" s="2">
        <f>IF(I284=0.1,"极紧凑",IF(I284&gt;3.5,"紧凑",IF(AND(I284&gt;=2,I284&lt;=3.5),"标准",IF(AND(I284&gt;=1,I284&lt;2),"松散",""))))</f>
        <v/>
      </c>
      <c r="K284" s="2">
        <f>IF(I284=0.1,"极紧凑-豹子号",IF(AND(I284&gt;=1,I284&lt;=1.29),"松散-极松散",IF(AND(I284&gt;=1.33,I284&lt;=1.8),"松散-标准松散",IF(AND(I284&gt;=1.83,I284&lt;=1.89),"松散-偏紧松散",IF(AND(I284&gt;=2,I284&lt;=2.5),"标准-偏松标准",IF(AND(I284&gt;=2.57,I284&lt;=3),"标准-核心标准",IF(AND(I284&gt;=3.17,I284&lt;=3.5),"标准-偏紧标准",IF(AND(I284&gt;=3.6,I284&lt;=5),"紧凑-标准紧凑",IF(AND(I284&gt;=5.25,I284&lt;=8),"紧凑-高度紧凑",IF(I284&gt;=8.5,"紧凑-极度紧凑",""))))))))))</f>
        <v/>
      </c>
      <c r="L284" s="2">
        <f>IF(I284=0.1,"极紧凑",IF(AND(I284&gt;=1,I284&lt;=1.89),"松散",IF(AND(I284&gt;=2,I284&lt;=3.5),"标准",IF(I284&gt;=3.6,"紧凑",""))))</f>
        <v/>
      </c>
      <c r="M284" s="2" t="inlineStr">
        <is>
          <t>极紧凑-豹子号</t>
        </is>
      </c>
      <c r="N284" s="2" t="inlineStr">
        <is>
          <t>松散-极松散</t>
        </is>
      </c>
      <c r="O284" s="2" t="inlineStr">
        <is>
          <t>松散-标准松散</t>
        </is>
      </c>
      <c r="P284" s="2" t="inlineStr">
        <is>
          <t>松散-偏紧松散</t>
        </is>
      </c>
      <c r="Q284" s="2" t="inlineStr">
        <is>
          <t>标准-偏松标准</t>
        </is>
      </c>
      <c r="R284" s="2" t="inlineStr">
        <is>
          <t>标准-核心标准</t>
        </is>
      </c>
      <c r="S284" s="2" t="inlineStr">
        <is>
          <t>标准-偏紧标准</t>
        </is>
      </c>
      <c r="T284" s="2" t="inlineStr">
        <is>
          <t>紧凑-标准紧凑</t>
        </is>
      </c>
      <c r="U284" s="2" t="inlineStr">
        <is>
          <t>紧凑-高度紧凑</t>
        </is>
      </c>
      <c r="V284" s="2" t="inlineStr">
        <is>
          <t>紧凑-极度紧凑</t>
        </is>
      </c>
    </row>
    <row r="285">
      <c r="A285" s="1" t="n">
        <v>2023203</v>
      </c>
      <c r="B285" s="3" t="inlineStr">
        <is>
          <t>140</t>
        </is>
      </c>
      <c r="C285" s="2">
        <f>IF(B285="","",LEFT(TEXT(B285,"000"),1)*1)</f>
        <v/>
      </c>
      <c r="D285" s="2">
        <f>IF(B285="","",MID(TEXT(B285,"000"),2,1)*1)</f>
        <v/>
      </c>
      <c r="E285" s="2">
        <f>IF(B285="","",RIGHT(TEXT(B285,"000"),1)*1)</f>
        <v/>
      </c>
      <c r="F285" s="2">
        <f>IF(B285="","",C285+D285+E285)</f>
        <v/>
      </c>
      <c r="G285" s="2">
        <f>IF(B285="","",MOD(F285,10))</f>
        <v/>
      </c>
      <c r="H285" s="2">
        <f>IF(B285="","",MAX(C285,D285,E285)-MIN(C285,D285,E285))</f>
        <v/>
      </c>
      <c r="I285" s="2">
        <f>IF(OR(B285="",H285=0),IF(H285=0,0.1,""),ROUND(F285/H285,2))</f>
        <v/>
      </c>
      <c r="J285" s="2">
        <f>IF(I285=0.1,"极紧凑",IF(I285&gt;3.5,"紧凑",IF(AND(I285&gt;=2,I285&lt;=3.5),"标准",IF(AND(I285&gt;=1,I285&lt;2),"松散",""))))</f>
        <v/>
      </c>
      <c r="K285" s="2">
        <f>IF(I285=0.1,"极紧凑-豹子号",IF(AND(I285&gt;=1,I285&lt;=1.29),"松散-极松散",IF(AND(I285&gt;=1.33,I285&lt;=1.8),"松散-标准松散",IF(AND(I285&gt;=1.83,I285&lt;=1.89),"松散-偏紧松散",IF(AND(I285&gt;=2,I285&lt;=2.5),"标准-偏松标准",IF(AND(I285&gt;=2.57,I285&lt;=3),"标准-核心标准",IF(AND(I285&gt;=3.17,I285&lt;=3.5),"标准-偏紧标准",IF(AND(I285&gt;=3.6,I285&lt;=5),"紧凑-标准紧凑",IF(AND(I285&gt;=5.25,I285&lt;=8),"紧凑-高度紧凑",IF(I285&gt;=8.5,"紧凑-极度紧凑",""))))))))))</f>
        <v/>
      </c>
      <c r="L285" s="2">
        <f>IF(I285=0.1,"极紧凑",IF(AND(I285&gt;=1,I285&lt;=1.89),"松散",IF(AND(I285&gt;=2,I285&lt;=3.5),"标准",IF(I285&gt;=3.6,"紧凑",""))))</f>
        <v/>
      </c>
      <c r="M285" s="2" t="inlineStr">
        <is>
          <t>极紧凑-豹子号</t>
        </is>
      </c>
      <c r="N285" s="2" t="inlineStr">
        <is>
          <t>松散-极松散</t>
        </is>
      </c>
      <c r="O285" s="2" t="inlineStr">
        <is>
          <t>松散-标准松散</t>
        </is>
      </c>
      <c r="P285" s="2" t="inlineStr">
        <is>
          <t>松散-偏紧松散</t>
        </is>
      </c>
      <c r="Q285" s="2" t="inlineStr">
        <is>
          <t>标准-偏松标准</t>
        </is>
      </c>
      <c r="R285" s="2" t="inlineStr">
        <is>
          <t>标准-核心标准</t>
        </is>
      </c>
      <c r="S285" s="2" t="inlineStr">
        <is>
          <t>标准-偏紧标准</t>
        </is>
      </c>
      <c r="T285" s="2" t="inlineStr">
        <is>
          <t>紧凑-标准紧凑</t>
        </is>
      </c>
      <c r="U285" s="2" t="inlineStr">
        <is>
          <t>紧凑-高度紧凑</t>
        </is>
      </c>
      <c r="V285" s="2" t="inlineStr">
        <is>
          <t>紧凑-极度紧凑</t>
        </is>
      </c>
    </row>
    <row r="286">
      <c r="A286" s="1" t="n">
        <v>2023204</v>
      </c>
      <c r="B286" s="3" t="inlineStr">
        <is>
          <t>014</t>
        </is>
      </c>
      <c r="C286" s="2">
        <f>IF(B286="","",LEFT(TEXT(B286,"000"),1)*1)</f>
        <v/>
      </c>
      <c r="D286" s="2">
        <f>IF(B286="","",MID(TEXT(B286,"000"),2,1)*1)</f>
        <v/>
      </c>
      <c r="E286" s="2">
        <f>IF(B286="","",RIGHT(TEXT(B286,"000"),1)*1)</f>
        <v/>
      </c>
      <c r="F286" s="2">
        <f>IF(B286="","",C286+D286+E286)</f>
        <v/>
      </c>
      <c r="G286" s="2">
        <f>IF(B286="","",MOD(F286,10))</f>
        <v/>
      </c>
      <c r="H286" s="2">
        <f>IF(B286="","",MAX(C286,D286,E286)-MIN(C286,D286,E286))</f>
        <v/>
      </c>
      <c r="I286" s="2">
        <f>IF(OR(B286="",H286=0),IF(H286=0,0.1,""),ROUND(F286/H286,2))</f>
        <v/>
      </c>
      <c r="J286" s="2">
        <f>IF(I286=0.1,"极紧凑",IF(I286&gt;3.5,"紧凑",IF(AND(I286&gt;=2,I286&lt;=3.5),"标准",IF(AND(I286&gt;=1,I286&lt;2),"松散",""))))</f>
        <v/>
      </c>
      <c r="K286" s="2">
        <f>IF(I286=0.1,"极紧凑-豹子号",IF(AND(I286&gt;=1,I286&lt;=1.29),"松散-极松散",IF(AND(I286&gt;=1.33,I286&lt;=1.8),"松散-标准松散",IF(AND(I286&gt;=1.83,I286&lt;=1.89),"松散-偏紧松散",IF(AND(I286&gt;=2,I286&lt;=2.5),"标准-偏松标准",IF(AND(I286&gt;=2.57,I286&lt;=3),"标准-核心标准",IF(AND(I286&gt;=3.17,I286&lt;=3.5),"标准-偏紧标准",IF(AND(I286&gt;=3.6,I286&lt;=5),"紧凑-标准紧凑",IF(AND(I286&gt;=5.25,I286&lt;=8),"紧凑-高度紧凑",IF(I286&gt;=8.5,"紧凑-极度紧凑",""))))))))))</f>
        <v/>
      </c>
      <c r="L286" s="2">
        <f>IF(I286=0.1,"极紧凑",IF(AND(I286&gt;=1,I286&lt;=1.89),"松散",IF(AND(I286&gt;=2,I286&lt;=3.5),"标准",IF(I286&gt;=3.6,"紧凑",""))))</f>
        <v/>
      </c>
      <c r="M286" s="2" t="inlineStr">
        <is>
          <t>极紧凑-豹子号</t>
        </is>
      </c>
      <c r="N286" s="2" t="inlineStr">
        <is>
          <t>松散-极松散</t>
        </is>
      </c>
      <c r="O286" s="2" t="inlineStr">
        <is>
          <t>松散-标准松散</t>
        </is>
      </c>
      <c r="P286" s="2" t="inlineStr">
        <is>
          <t>松散-偏紧松散</t>
        </is>
      </c>
      <c r="Q286" s="2" t="inlineStr">
        <is>
          <t>标准-偏松标准</t>
        </is>
      </c>
      <c r="R286" s="2" t="inlineStr">
        <is>
          <t>标准-核心标准</t>
        </is>
      </c>
      <c r="S286" s="2" t="inlineStr">
        <is>
          <t>标准-偏紧标准</t>
        </is>
      </c>
      <c r="T286" s="2" t="inlineStr">
        <is>
          <t>紧凑-标准紧凑</t>
        </is>
      </c>
      <c r="U286" s="2" t="inlineStr">
        <is>
          <t>紧凑-高度紧凑</t>
        </is>
      </c>
      <c r="V286" s="2" t="inlineStr">
        <is>
          <t>紧凑-极度紧凑</t>
        </is>
      </c>
    </row>
    <row r="287">
      <c r="A287" s="1" t="n">
        <v>2023205</v>
      </c>
      <c r="B287" s="3" t="inlineStr">
        <is>
          <t>097</t>
        </is>
      </c>
      <c r="C287" s="2">
        <f>IF(B287="","",LEFT(TEXT(B287,"000"),1)*1)</f>
        <v/>
      </c>
      <c r="D287" s="2">
        <f>IF(B287="","",MID(TEXT(B287,"000"),2,1)*1)</f>
        <v/>
      </c>
      <c r="E287" s="2">
        <f>IF(B287="","",RIGHT(TEXT(B287,"000"),1)*1)</f>
        <v/>
      </c>
      <c r="F287" s="2">
        <f>IF(B287="","",C287+D287+E287)</f>
        <v/>
      </c>
      <c r="G287" s="2">
        <f>IF(B287="","",MOD(F287,10))</f>
        <v/>
      </c>
      <c r="H287" s="2">
        <f>IF(B287="","",MAX(C287,D287,E287)-MIN(C287,D287,E287))</f>
        <v/>
      </c>
      <c r="I287" s="2">
        <f>IF(OR(B287="",H287=0),IF(H287=0,0.1,""),ROUND(F287/H287,2))</f>
        <v/>
      </c>
      <c r="J287" s="2">
        <f>IF(I287=0.1,"极紧凑",IF(I287&gt;3.5,"紧凑",IF(AND(I287&gt;=2,I287&lt;=3.5),"标准",IF(AND(I287&gt;=1,I287&lt;2),"松散",""))))</f>
        <v/>
      </c>
      <c r="K287" s="2">
        <f>IF(I287=0.1,"极紧凑-豹子号",IF(AND(I287&gt;=1,I287&lt;=1.29),"松散-极松散",IF(AND(I287&gt;=1.33,I287&lt;=1.8),"松散-标准松散",IF(AND(I287&gt;=1.83,I287&lt;=1.89),"松散-偏紧松散",IF(AND(I287&gt;=2,I287&lt;=2.5),"标准-偏松标准",IF(AND(I287&gt;=2.57,I287&lt;=3),"标准-核心标准",IF(AND(I287&gt;=3.17,I287&lt;=3.5),"标准-偏紧标准",IF(AND(I287&gt;=3.6,I287&lt;=5),"紧凑-标准紧凑",IF(AND(I287&gt;=5.25,I287&lt;=8),"紧凑-高度紧凑",IF(I287&gt;=8.5,"紧凑-极度紧凑",""))))))))))</f>
        <v/>
      </c>
      <c r="L287" s="2">
        <f>IF(I287=0.1,"极紧凑",IF(AND(I287&gt;=1,I287&lt;=1.89),"松散",IF(AND(I287&gt;=2,I287&lt;=3.5),"标准",IF(I287&gt;=3.6,"紧凑",""))))</f>
        <v/>
      </c>
      <c r="M287" s="2" t="inlineStr">
        <is>
          <t>极紧凑-豹子号</t>
        </is>
      </c>
      <c r="N287" s="2" t="inlineStr">
        <is>
          <t>松散-极松散</t>
        </is>
      </c>
      <c r="O287" s="2" t="inlineStr">
        <is>
          <t>松散-标准松散</t>
        </is>
      </c>
      <c r="P287" s="2" t="inlineStr">
        <is>
          <t>松散-偏紧松散</t>
        </is>
      </c>
      <c r="Q287" s="2" t="inlineStr">
        <is>
          <t>标准-偏松标准</t>
        </is>
      </c>
      <c r="R287" s="2" t="inlineStr">
        <is>
          <t>标准-核心标准</t>
        </is>
      </c>
      <c r="S287" s="2" t="inlineStr">
        <is>
          <t>标准-偏紧标准</t>
        </is>
      </c>
      <c r="T287" s="2" t="inlineStr">
        <is>
          <t>紧凑-标准紧凑</t>
        </is>
      </c>
      <c r="U287" s="2" t="inlineStr">
        <is>
          <t>紧凑-高度紧凑</t>
        </is>
      </c>
      <c r="V287" s="2" t="inlineStr">
        <is>
          <t>紧凑-极度紧凑</t>
        </is>
      </c>
    </row>
    <row r="288">
      <c r="A288" s="1" t="n">
        <v>2023206</v>
      </c>
      <c r="B288" s="3" t="inlineStr">
        <is>
          <t>448</t>
        </is>
      </c>
      <c r="C288" s="2">
        <f>IF(B288="","",LEFT(TEXT(B288,"000"),1)*1)</f>
        <v/>
      </c>
      <c r="D288" s="2">
        <f>IF(B288="","",MID(TEXT(B288,"000"),2,1)*1)</f>
        <v/>
      </c>
      <c r="E288" s="2">
        <f>IF(B288="","",RIGHT(TEXT(B288,"000"),1)*1)</f>
        <v/>
      </c>
      <c r="F288" s="2">
        <f>IF(B288="","",C288+D288+E288)</f>
        <v/>
      </c>
      <c r="G288" s="2">
        <f>IF(B288="","",MOD(F288,10))</f>
        <v/>
      </c>
      <c r="H288" s="2">
        <f>IF(B288="","",MAX(C288,D288,E288)-MIN(C288,D288,E288))</f>
        <v/>
      </c>
      <c r="I288" s="2">
        <f>IF(OR(B288="",H288=0),IF(H288=0,0.1,""),ROUND(F288/H288,2))</f>
        <v/>
      </c>
      <c r="J288" s="2">
        <f>IF(I288=0.1,"极紧凑",IF(I288&gt;3.5,"紧凑",IF(AND(I288&gt;=2,I288&lt;=3.5),"标准",IF(AND(I288&gt;=1,I288&lt;2),"松散",""))))</f>
        <v/>
      </c>
      <c r="K288" s="2">
        <f>IF(I288=0.1,"极紧凑-豹子号",IF(AND(I288&gt;=1,I288&lt;=1.29),"松散-极松散",IF(AND(I288&gt;=1.33,I288&lt;=1.8),"松散-标准松散",IF(AND(I288&gt;=1.83,I288&lt;=1.89),"松散-偏紧松散",IF(AND(I288&gt;=2,I288&lt;=2.5),"标准-偏松标准",IF(AND(I288&gt;=2.57,I288&lt;=3),"标准-核心标准",IF(AND(I288&gt;=3.17,I288&lt;=3.5),"标准-偏紧标准",IF(AND(I288&gt;=3.6,I288&lt;=5),"紧凑-标准紧凑",IF(AND(I288&gt;=5.25,I288&lt;=8),"紧凑-高度紧凑",IF(I288&gt;=8.5,"紧凑-极度紧凑",""))))))))))</f>
        <v/>
      </c>
      <c r="L288" s="2">
        <f>IF(I288=0.1,"极紧凑",IF(AND(I288&gt;=1,I288&lt;=1.89),"松散",IF(AND(I288&gt;=2,I288&lt;=3.5),"标准",IF(I288&gt;=3.6,"紧凑",""))))</f>
        <v/>
      </c>
      <c r="M288" s="2" t="inlineStr">
        <is>
          <t>极紧凑-豹子号</t>
        </is>
      </c>
      <c r="N288" s="2" t="inlineStr">
        <is>
          <t>松散-极松散</t>
        </is>
      </c>
      <c r="O288" s="2" t="inlineStr">
        <is>
          <t>松散-标准松散</t>
        </is>
      </c>
      <c r="P288" s="2" t="inlineStr">
        <is>
          <t>松散-偏紧松散</t>
        </is>
      </c>
      <c r="Q288" s="2" t="inlineStr">
        <is>
          <t>标准-偏松标准</t>
        </is>
      </c>
      <c r="R288" s="2" t="inlineStr">
        <is>
          <t>标准-核心标准</t>
        </is>
      </c>
      <c r="S288" s="2" t="inlineStr">
        <is>
          <t>标准-偏紧标准</t>
        </is>
      </c>
      <c r="T288" s="2" t="inlineStr">
        <is>
          <t>紧凑-标准紧凑</t>
        </is>
      </c>
      <c r="U288" s="2" t="inlineStr">
        <is>
          <t>紧凑-高度紧凑</t>
        </is>
      </c>
      <c r="V288" s="2" t="inlineStr">
        <is>
          <t>紧凑-极度紧凑</t>
        </is>
      </c>
    </row>
    <row r="289">
      <c r="A289" s="1" t="n">
        <v>2023207</v>
      </c>
      <c r="B289" s="3" t="inlineStr">
        <is>
          <t>126</t>
        </is>
      </c>
      <c r="C289" s="2">
        <f>IF(B289="","",LEFT(TEXT(B289,"000"),1)*1)</f>
        <v/>
      </c>
      <c r="D289" s="2">
        <f>IF(B289="","",MID(TEXT(B289,"000"),2,1)*1)</f>
        <v/>
      </c>
      <c r="E289" s="2">
        <f>IF(B289="","",RIGHT(TEXT(B289,"000"),1)*1)</f>
        <v/>
      </c>
      <c r="F289" s="2">
        <f>IF(B289="","",C289+D289+E289)</f>
        <v/>
      </c>
      <c r="G289" s="2">
        <f>IF(B289="","",MOD(F289,10))</f>
        <v/>
      </c>
      <c r="H289" s="2">
        <f>IF(B289="","",MAX(C289,D289,E289)-MIN(C289,D289,E289))</f>
        <v/>
      </c>
      <c r="I289" s="2">
        <f>IF(OR(B289="",H289=0),IF(H289=0,0.1,""),ROUND(F289/H289,2))</f>
        <v/>
      </c>
      <c r="J289" s="2">
        <f>IF(I289=0.1,"极紧凑",IF(I289&gt;3.5,"紧凑",IF(AND(I289&gt;=2,I289&lt;=3.5),"标准",IF(AND(I289&gt;=1,I289&lt;2),"松散",""))))</f>
        <v/>
      </c>
      <c r="K289" s="2">
        <f>IF(I289=0.1,"极紧凑-豹子号",IF(AND(I289&gt;=1,I289&lt;=1.29),"松散-极松散",IF(AND(I289&gt;=1.33,I289&lt;=1.8),"松散-标准松散",IF(AND(I289&gt;=1.83,I289&lt;=1.89),"松散-偏紧松散",IF(AND(I289&gt;=2,I289&lt;=2.5),"标准-偏松标准",IF(AND(I289&gt;=2.57,I289&lt;=3),"标准-核心标准",IF(AND(I289&gt;=3.17,I289&lt;=3.5),"标准-偏紧标准",IF(AND(I289&gt;=3.6,I289&lt;=5),"紧凑-标准紧凑",IF(AND(I289&gt;=5.25,I289&lt;=8),"紧凑-高度紧凑",IF(I289&gt;=8.5,"紧凑-极度紧凑",""))))))))))</f>
        <v/>
      </c>
      <c r="L289" s="2">
        <f>IF(I289=0.1,"极紧凑",IF(AND(I289&gt;=1,I289&lt;=1.89),"松散",IF(AND(I289&gt;=2,I289&lt;=3.5),"标准",IF(I289&gt;=3.6,"紧凑",""))))</f>
        <v/>
      </c>
      <c r="M289" s="2" t="inlineStr">
        <is>
          <t>极紧凑-豹子号</t>
        </is>
      </c>
      <c r="N289" s="2" t="inlineStr">
        <is>
          <t>松散-极松散</t>
        </is>
      </c>
      <c r="O289" s="2" t="inlineStr">
        <is>
          <t>松散-标准松散</t>
        </is>
      </c>
      <c r="P289" s="2" t="inlineStr">
        <is>
          <t>松散-偏紧松散</t>
        </is>
      </c>
      <c r="Q289" s="2" t="inlineStr">
        <is>
          <t>标准-偏松标准</t>
        </is>
      </c>
      <c r="R289" s="2" t="inlineStr">
        <is>
          <t>标准-核心标准</t>
        </is>
      </c>
      <c r="S289" s="2" t="inlineStr">
        <is>
          <t>标准-偏紧标准</t>
        </is>
      </c>
      <c r="T289" s="2" t="inlineStr">
        <is>
          <t>紧凑-标准紧凑</t>
        </is>
      </c>
      <c r="U289" s="2" t="inlineStr">
        <is>
          <t>紧凑-高度紧凑</t>
        </is>
      </c>
      <c r="V289" s="2" t="inlineStr">
        <is>
          <t>紧凑-极度紧凑</t>
        </is>
      </c>
    </row>
    <row r="290">
      <c r="A290" s="1" t="n">
        <v>2023208</v>
      </c>
      <c r="B290" s="3" t="inlineStr">
        <is>
          <t>669</t>
        </is>
      </c>
      <c r="C290" s="2">
        <f>IF(B290="","",LEFT(TEXT(B290,"000"),1)*1)</f>
        <v/>
      </c>
      <c r="D290" s="2">
        <f>IF(B290="","",MID(TEXT(B290,"000"),2,1)*1)</f>
        <v/>
      </c>
      <c r="E290" s="2">
        <f>IF(B290="","",RIGHT(TEXT(B290,"000"),1)*1)</f>
        <v/>
      </c>
      <c r="F290" s="2">
        <f>IF(B290="","",C290+D290+E290)</f>
        <v/>
      </c>
      <c r="G290" s="2">
        <f>IF(B290="","",MOD(F290,10))</f>
        <v/>
      </c>
      <c r="H290" s="2">
        <f>IF(B290="","",MAX(C290,D290,E290)-MIN(C290,D290,E290))</f>
        <v/>
      </c>
      <c r="I290" s="2">
        <f>IF(OR(B290="",H290=0),IF(H290=0,0.1,""),ROUND(F290/H290,2))</f>
        <v/>
      </c>
      <c r="J290" s="2">
        <f>IF(I290=0.1,"极紧凑",IF(I290&gt;3.5,"紧凑",IF(AND(I290&gt;=2,I290&lt;=3.5),"标准",IF(AND(I290&gt;=1,I290&lt;2),"松散",""))))</f>
        <v/>
      </c>
      <c r="K290" s="2">
        <f>IF(I290=0.1,"极紧凑-豹子号",IF(AND(I290&gt;=1,I290&lt;=1.29),"松散-极松散",IF(AND(I290&gt;=1.33,I290&lt;=1.8),"松散-标准松散",IF(AND(I290&gt;=1.83,I290&lt;=1.89),"松散-偏紧松散",IF(AND(I290&gt;=2,I290&lt;=2.5),"标准-偏松标准",IF(AND(I290&gt;=2.57,I290&lt;=3),"标准-核心标准",IF(AND(I290&gt;=3.17,I290&lt;=3.5),"标准-偏紧标准",IF(AND(I290&gt;=3.6,I290&lt;=5),"紧凑-标准紧凑",IF(AND(I290&gt;=5.25,I290&lt;=8),"紧凑-高度紧凑",IF(I290&gt;=8.5,"紧凑-极度紧凑",""))))))))))</f>
        <v/>
      </c>
      <c r="L290" s="2">
        <f>IF(I290=0.1,"极紧凑",IF(AND(I290&gt;=1,I290&lt;=1.89),"松散",IF(AND(I290&gt;=2,I290&lt;=3.5),"标准",IF(I290&gt;=3.6,"紧凑",""))))</f>
        <v/>
      </c>
      <c r="M290" s="2" t="inlineStr">
        <is>
          <t>极紧凑-豹子号</t>
        </is>
      </c>
      <c r="N290" s="2" t="inlineStr">
        <is>
          <t>松散-极松散</t>
        </is>
      </c>
      <c r="O290" s="2" t="inlineStr">
        <is>
          <t>松散-标准松散</t>
        </is>
      </c>
      <c r="P290" s="2" t="inlineStr">
        <is>
          <t>松散-偏紧松散</t>
        </is>
      </c>
      <c r="Q290" s="2" t="inlineStr">
        <is>
          <t>标准-偏松标准</t>
        </is>
      </c>
      <c r="R290" s="2" t="inlineStr">
        <is>
          <t>标准-核心标准</t>
        </is>
      </c>
      <c r="S290" s="2" t="inlineStr">
        <is>
          <t>标准-偏紧标准</t>
        </is>
      </c>
      <c r="T290" s="2" t="inlineStr">
        <is>
          <t>紧凑-标准紧凑</t>
        </is>
      </c>
      <c r="U290" s="2" t="inlineStr">
        <is>
          <t>紧凑-高度紧凑</t>
        </is>
      </c>
      <c r="V290" s="2" t="inlineStr">
        <is>
          <t>紧凑-极度紧凑</t>
        </is>
      </c>
    </row>
    <row r="291">
      <c r="A291" s="1" t="n">
        <v>2023209</v>
      </c>
      <c r="B291" s="2" t="n">
        <v>217</v>
      </c>
      <c r="C291" s="2">
        <f>IF(B291="","",LEFT(TEXT(B291,"000"),1)*1)</f>
        <v/>
      </c>
      <c r="D291" s="2">
        <f>IF(B291="","",MID(TEXT(B291,"000"),2,1)*1)</f>
        <v/>
      </c>
      <c r="E291" s="2">
        <f>IF(B291="","",RIGHT(TEXT(B291,"000"),1)*1)</f>
        <v/>
      </c>
      <c r="F291" s="2">
        <f>IF(B291="","",C291+D291+E291)</f>
        <v/>
      </c>
      <c r="G291" s="2">
        <f>IF(B291="","",MOD(F291,10))</f>
        <v/>
      </c>
      <c r="H291" s="2">
        <f>IF(B291="","",MAX(C291,D291,E291)-MIN(C291,D291,E291))</f>
        <v/>
      </c>
      <c r="I291" s="2">
        <f>IF(OR(B291="",H291=0),IF(H291=0,0.1,""),ROUND(F291/H291,2))</f>
        <v/>
      </c>
      <c r="J291" s="2">
        <f>IF(I291=0.1,"极紧凑",IF(I291&gt;3.5,"紧凑",IF(AND(I291&gt;=2,I291&lt;=3.5),"标准",IF(AND(I291&gt;=1,I291&lt;2),"松散",""))))</f>
        <v/>
      </c>
      <c r="K291" s="2">
        <f>IF(I291=0.1,"极紧凑-豹子号",IF(AND(I291&gt;=1,I291&lt;=1.29),"松散-极松散",IF(AND(I291&gt;=1.33,I291&lt;=1.8),"松散-标准松散",IF(AND(I291&gt;=1.83,I291&lt;=1.89),"松散-偏紧松散",IF(AND(I291&gt;=2,I291&lt;=2.5),"标准-偏松标准",IF(AND(I291&gt;=2.57,I291&lt;=3),"标准-核心标准",IF(AND(I291&gt;=3.17,I291&lt;=3.5),"标准-偏紧标准",IF(AND(I291&gt;=3.6,I291&lt;=5),"紧凑-标准紧凑",IF(AND(I291&gt;=5.25,I291&lt;=8),"紧凑-高度紧凑",IF(I291&gt;=8.5,"紧凑-极度紧凑",""))))))))))</f>
        <v/>
      </c>
      <c r="L291" s="2">
        <f>IF(I291=0.1,"极紧凑",IF(AND(I291&gt;=1,I291&lt;=1.89),"松散",IF(AND(I291&gt;=2,I291&lt;=3.5),"标准",IF(I291&gt;=3.6,"紧凑",""))))</f>
        <v/>
      </c>
      <c r="M291" s="2" t="inlineStr">
        <is>
          <t>极紧凑-豹子号</t>
        </is>
      </c>
      <c r="N291" s="2" t="inlineStr">
        <is>
          <t>松散-极松散</t>
        </is>
      </c>
      <c r="O291" s="2" t="inlineStr">
        <is>
          <t>松散-标准松散</t>
        </is>
      </c>
      <c r="P291" s="2" t="inlineStr">
        <is>
          <t>松散-偏紧松散</t>
        </is>
      </c>
      <c r="Q291" s="2" t="inlineStr">
        <is>
          <t>标准-偏松标准</t>
        </is>
      </c>
      <c r="R291" s="2" t="inlineStr">
        <is>
          <t>标准-核心标准</t>
        </is>
      </c>
      <c r="S291" s="2" t="inlineStr">
        <is>
          <t>标准-偏紧标准</t>
        </is>
      </c>
      <c r="T291" s="2" t="inlineStr">
        <is>
          <t>紧凑-标准紧凑</t>
        </is>
      </c>
      <c r="U291" s="2" t="inlineStr">
        <is>
          <t>紧凑-高度紧凑</t>
        </is>
      </c>
      <c r="V291" s="2" t="inlineStr">
        <is>
          <t>紧凑-极度紧凑</t>
        </is>
      </c>
    </row>
    <row r="292">
      <c r="A292" s="1" t="n">
        <v>2023210</v>
      </c>
      <c r="B292" s="3" t="inlineStr">
        <is>
          <t>936</t>
        </is>
      </c>
      <c r="C292" s="2">
        <f>IF(B292="","",LEFT(TEXT(B292,"000"),1)*1)</f>
        <v/>
      </c>
      <c r="D292" s="2">
        <f>IF(B292="","",MID(TEXT(B292,"000"),2,1)*1)</f>
        <v/>
      </c>
      <c r="E292" s="2">
        <f>IF(B292="","",RIGHT(TEXT(B292,"000"),1)*1)</f>
        <v/>
      </c>
      <c r="F292" s="2">
        <f>IF(B292="","",C292+D292+E292)</f>
        <v/>
      </c>
      <c r="G292" s="2">
        <f>IF(B292="","",MOD(F292,10))</f>
        <v/>
      </c>
      <c r="H292" s="2">
        <f>IF(B292="","",MAX(C292,D292,E292)-MIN(C292,D292,E292))</f>
        <v/>
      </c>
      <c r="I292" s="2">
        <f>IF(OR(B292="",H292=0),IF(H292=0,0.1,""),ROUND(F292/H292,2))</f>
        <v/>
      </c>
      <c r="J292" s="2">
        <f>IF(I292=0.1,"极紧凑",IF(I292&gt;3.5,"紧凑",IF(AND(I292&gt;=2,I292&lt;=3.5),"标准",IF(AND(I292&gt;=1,I292&lt;2),"松散",""))))</f>
        <v/>
      </c>
      <c r="K292" s="2">
        <f>IF(I292=0.1,"极紧凑-豹子号",IF(AND(I292&gt;=1,I292&lt;=1.29),"松散-极松散",IF(AND(I292&gt;=1.33,I292&lt;=1.8),"松散-标准松散",IF(AND(I292&gt;=1.83,I292&lt;=1.89),"松散-偏紧松散",IF(AND(I292&gt;=2,I292&lt;=2.5),"标准-偏松标准",IF(AND(I292&gt;=2.57,I292&lt;=3),"标准-核心标准",IF(AND(I292&gt;=3.17,I292&lt;=3.5),"标准-偏紧标准",IF(AND(I292&gt;=3.6,I292&lt;=5),"紧凑-标准紧凑",IF(AND(I292&gt;=5.25,I292&lt;=8),"紧凑-高度紧凑",IF(I292&gt;=8.5,"紧凑-极度紧凑",""))))))))))</f>
        <v/>
      </c>
      <c r="L292" s="2">
        <f>IF(I292=0.1,"极紧凑",IF(AND(I292&gt;=1,I292&lt;=1.89),"松散",IF(AND(I292&gt;=2,I292&lt;=3.5),"标准",IF(I292&gt;=3.6,"紧凑",""))))</f>
        <v/>
      </c>
      <c r="M292" s="2" t="inlineStr">
        <is>
          <t>极紧凑-豹子号</t>
        </is>
      </c>
      <c r="N292" s="2" t="inlineStr">
        <is>
          <t>松散-极松散</t>
        </is>
      </c>
      <c r="O292" s="2" t="inlineStr">
        <is>
          <t>松散-标准松散</t>
        </is>
      </c>
      <c r="P292" s="2" t="inlineStr">
        <is>
          <t>松散-偏紧松散</t>
        </is>
      </c>
      <c r="Q292" s="2" t="inlineStr">
        <is>
          <t>标准-偏松标准</t>
        </is>
      </c>
      <c r="R292" s="2" t="inlineStr">
        <is>
          <t>标准-核心标准</t>
        </is>
      </c>
      <c r="S292" s="2" t="inlineStr">
        <is>
          <t>标准-偏紧标准</t>
        </is>
      </c>
      <c r="T292" s="2" t="inlineStr">
        <is>
          <t>紧凑-标准紧凑</t>
        </is>
      </c>
      <c r="U292" s="2" t="inlineStr">
        <is>
          <t>紧凑-高度紧凑</t>
        </is>
      </c>
      <c r="V292" s="2" t="inlineStr">
        <is>
          <t>紧凑-极度紧凑</t>
        </is>
      </c>
    </row>
    <row r="293">
      <c r="A293" s="1" t="n">
        <v>2023211</v>
      </c>
      <c r="B293" s="3" t="inlineStr">
        <is>
          <t>792</t>
        </is>
      </c>
      <c r="C293" s="2">
        <f>IF(B293="","",LEFT(TEXT(B293,"000"),1)*1)</f>
        <v/>
      </c>
      <c r="D293" s="2">
        <f>IF(B293="","",MID(TEXT(B293,"000"),2,1)*1)</f>
        <v/>
      </c>
      <c r="E293" s="2">
        <f>IF(B293="","",RIGHT(TEXT(B293,"000"),1)*1)</f>
        <v/>
      </c>
      <c r="F293" s="2">
        <f>IF(B293="","",C293+D293+E293)</f>
        <v/>
      </c>
      <c r="G293" s="2">
        <f>IF(B293="","",MOD(F293,10))</f>
        <v/>
      </c>
      <c r="H293" s="2">
        <f>IF(B293="","",MAX(C293,D293,E293)-MIN(C293,D293,E293))</f>
        <v/>
      </c>
      <c r="I293" s="2">
        <f>IF(OR(B293="",H293=0),IF(H293=0,0.1,""),ROUND(F293/H293,2))</f>
        <v/>
      </c>
      <c r="J293" s="2">
        <f>IF(I293=0.1,"极紧凑",IF(I293&gt;3.5,"紧凑",IF(AND(I293&gt;=2,I293&lt;=3.5),"标准",IF(AND(I293&gt;=1,I293&lt;2),"松散",""))))</f>
        <v/>
      </c>
      <c r="K293" s="2">
        <f>IF(I293=0.1,"极紧凑-豹子号",IF(AND(I293&gt;=1,I293&lt;=1.29),"松散-极松散",IF(AND(I293&gt;=1.33,I293&lt;=1.8),"松散-标准松散",IF(AND(I293&gt;=1.83,I293&lt;=1.89),"松散-偏紧松散",IF(AND(I293&gt;=2,I293&lt;=2.5),"标准-偏松标准",IF(AND(I293&gt;=2.57,I293&lt;=3),"标准-核心标准",IF(AND(I293&gt;=3.17,I293&lt;=3.5),"标准-偏紧标准",IF(AND(I293&gt;=3.6,I293&lt;=5),"紧凑-标准紧凑",IF(AND(I293&gt;=5.25,I293&lt;=8),"紧凑-高度紧凑",IF(I293&gt;=8.5,"紧凑-极度紧凑",""))))))))))</f>
        <v/>
      </c>
      <c r="L293" s="2">
        <f>IF(I293=0.1,"极紧凑",IF(AND(I293&gt;=1,I293&lt;=1.89),"松散",IF(AND(I293&gt;=2,I293&lt;=3.5),"标准",IF(I293&gt;=3.6,"紧凑",""))))</f>
        <v/>
      </c>
      <c r="M293" s="2" t="inlineStr">
        <is>
          <t>极紧凑-豹子号</t>
        </is>
      </c>
      <c r="N293" s="2" t="inlineStr">
        <is>
          <t>松散-极松散</t>
        </is>
      </c>
      <c r="O293" s="2" t="inlineStr">
        <is>
          <t>松散-标准松散</t>
        </is>
      </c>
      <c r="P293" s="2" t="inlineStr">
        <is>
          <t>松散-偏紧松散</t>
        </is>
      </c>
      <c r="Q293" s="2" t="inlineStr">
        <is>
          <t>标准-偏松标准</t>
        </is>
      </c>
      <c r="R293" s="2" t="inlineStr">
        <is>
          <t>标准-核心标准</t>
        </is>
      </c>
      <c r="S293" s="2" t="inlineStr">
        <is>
          <t>标准-偏紧标准</t>
        </is>
      </c>
      <c r="T293" s="2" t="inlineStr">
        <is>
          <t>紧凑-标准紧凑</t>
        </is>
      </c>
      <c r="U293" s="2" t="inlineStr">
        <is>
          <t>紧凑-高度紧凑</t>
        </is>
      </c>
      <c r="V293" s="2" t="inlineStr">
        <is>
          <t>紧凑-极度紧凑</t>
        </is>
      </c>
    </row>
    <row r="294">
      <c r="A294" s="1" t="n">
        <v>2023212</v>
      </c>
      <c r="B294" s="3" t="inlineStr">
        <is>
          <t>853</t>
        </is>
      </c>
      <c r="C294" s="2">
        <f>IF(B294="","",LEFT(TEXT(B294,"000"),1)*1)</f>
        <v/>
      </c>
      <c r="D294" s="2">
        <f>IF(B294="","",MID(TEXT(B294,"000"),2,1)*1)</f>
        <v/>
      </c>
      <c r="E294" s="2">
        <f>IF(B294="","",RIGHT(TEXT(B294,"000"),1)*1)</f>
        <v/>
      </c>
      <c r="F294" s="2">
        <f>IF(B294="","",C294+D294+E294)</f>
        <v/>
      </c>
      <c r="G294" s="2">
        <f>IF(B294="","",MOD(F294,10))</f>
        <v/>
      </c>
      <c r="H294" s="2">
        <f>IF(B294="","",MAX(C294,D294,E294)-MIN(C294,D294,E294))</f>
        <v/>
      </c>
      <c r="I294" s="2">
        <f>IF(OR(B294="",H294=0),IF(H294=0,0.1,""),ROUND(F294/H294,2))</f>
        <v/>
      </c>
      <c r="J294" s="2">
        <f>IF(I294=0.1,"极紧凑",IF(I294&gt;3.5,"紧凑",IF(AND(I294&gt;=2,I294&lt;=3.5),"标准",IF(AND(I294&gt;=1,I294&lt;2),"松散",""))))</f>
        <v/>
      </c>
      <c r="K294" s="2">
        <f>IF(I294=0.1,"极紧凑-豹子号",IF(AND(I294&gt;=1,I294&lt;=1.29),"松散-极松散",IF(AND(I294&gt;=1.33,I294&lt;=1.8),"松散-标准松散",IF(AND(I294&gt;=1.83,I294&lt;=1.89),"松散-偏紧松散",IF(AND(I294&gt;=2,I294&lt;=2.5),"标准-偏松标准",IF(AND(I294&gt;=2.57,I294&lt;=3),"标准-核心标准",IF(AND(I294&gt;=3.17,I294&lt;=3.5),"标准-偏紧标准",IF(AND(I294&gt;=3.6,I294&lt;=5),"紧凑-标准紧凑",IF(AND(I294&gt;=5.25,I294&lt;=8),"紧凑-高度紧凑",IF(I294&gt;=8.5,"紧凑-极度紧凑",""))))))))))</f>
        <v/>
      </c>
      <c r="L294" s="2">
        <f>IF(I294=0.1,"极紧凑",IF(AND(I294&gt;=1,I294&lt;=1.89),"松散",IF(AND(I294&gt;=2,I294&lt;=3.5),"标准",IF(I294&gt;=3.6,"紧凑",""))))</f>
        <v/>
      </c>
      <c r="M294" s="2" t="inlineStr">
        <is>
          <t>极紧凑-豹子号</t>
        </is>
      </c>
      <c r="N294" s="2" t="inlineStr">
        <is>
          <t>松散-极松散</t>
        </is>
      </c>
      <c r="O294" s="2" t="inlineStr">
        <is>
          <t>松散-标准松散</t>
        </is>
      </c>
      <c r="P294" s="2" t="inlineStr">
        <is>
          <t>松散-偏紧松散</t>
        </is>
      </c>
      <c r="Q294" s="2" t="inlineStr">
        <is>
          <t>标准-偏松标准</t>
        </is>
      </c>
      <c r="R294" s="2" t="inlineStr">
        <is>
          <t>标准-核心标准</t>
        </is>
      </c>
      <c r="S294" s="2" t="inlineStr">
        <is>
          <t>标准-偏紧标准</t>
        </is>
      </c>
      <c r="T294" s="2" t="inlineStr">
        <is>
          <t>紧凑-标准紧凑</t>
        </is>
      </c>
      <c r="U294" s="2" t="inlineStr">
        <is>
          <t>紧凑-高度紧凑</t>
        </is>
      </c>
      <c r="V294" s="2" t="inlineStr">
        <is>
          <t>紧凑-极度紧凑</t>
        </is>
      </c>
    </row>
    <row r="295">
      <c r="A295" s="1" t="n">
        <v>2023213</v>
      </c>
      <c r="B295" s="3" t="inlineStr">
        <is>
          <t>077</t>
        </is>
      </c>
      <c r="C295" s="2">
        <f>IF(B295="","",LEFT(TEXT(B295,"000"),1)*1)</f>
        <v/>
      </c>
      <c r="D295" s="2">
        <f>IF(B295="","",MID(TEXT(B295,"000"),2,1)*1)</f>
        <v/>
      </c>
      <c r="E295" s="2">
        <f>IF(B295="","",RIGHT(TEXT(B295,"000"),1)*1)</f>
        <v/>
      </c>
      <c r="F295" s="2">
        <f>IF(B295="","",C295+D295+E295)</f>
        <v/>
      </c>
      <c r="G295" s="2">
        <f>IF(B295="","",MOD(F295,10))</f>
        <v/>
      </c>
      <c r="H295" s="2">
        <f>IF(B295="","",MAX(C295,D295,E295)-MIN(C295,D295,E295))</f>
        <v/>
      </c>
      <c r="I295" s="2">
        <f>IF(OR(B295="",H295=0),IF(H295=0,0.1,""),ROUND(F295/H295,2))</f>
        <v/>
      </c>
      <c r="J295" s="2">
        <f>IF(I295=0.1,"极紧凑",IF(I295&gt;3.5,"紧凑",IF(AND(I295&gt;=2,I295&lt;=3.5),"标准",IF(AND(I295&gt;=1,I295&lt;2),"松散",""))))</f>
        <v/>
      </c>
      <c r="K295" s="2">
        <f>IF(I295=0.1,"极紧凑-豹子号",IF(AND(I295&gt;=1,I295&lt;=1.29),"松散-极松散",IF(AND(I295&gt;=1.33,I295&lt;=1.8),"松散-标准松散",IF(AND(I295&gt;=1.83,I295&lt;=1.89),"松散-偏紧松散",IF(AND(I295&gt;=2,I295&lt;=2.5),"标准-偏松标准",IF(AND(I295&gt;=2.57,I295&lt;=3),"标准-核心标准",IF(AND(I295&gt;=3.17,I295&lt;=3.5),"标准-偏紧标准",IF(AND(I295&gt;=3.6,I295&lt;=5),"紧凑-标准紧凑",IF(AND(I295&gt;=5.25,I295&lt;=8),"紧凑-高度紧凑",IF(I295&gt;=8.5,"紧凑-极度紧凑",""))))))))))</f>
        <v/>
      </c>
      <c r="L295" s="2">
        <f>IF(I295=0.1,"极紧凑",IF(AND(I295&gt;=1,I295&lt;=1.89),"松散",IF(AND(I295&gt;=2,I295&lt;=3.5),"标准",IF(I295&gt;=3.6,"紧凑",""))))</f>
        <v/>
      </c>
      <c r="M295" s="2" t="inlineStr">
        <is>
          <t>极紧凑-豹子号</t>
        </is>
      </c>
      <c r="N295" s="2" t="inlineStr">
        <is>
          <t>松散-极松散</t>
        </is>
      </c>
      <c r="O295" s="2" t="inlineStr">
        <is>
          <t>松散-标准松散</t>
        </is>
      </c>
      <c r="P295" s="2" t="inlineStr">
        <is>
          <t>松散-偏紧松散</t>
        </is>
      </c>
      <c r="Q295" s="2" t="inlineStr">
        <is>
          <t>标准-偏松标准</t>
        </is>
      </c>
      <c r="R295" s="2" t="inlineStr">
        <is>
          <t>标准-核心标准</t>
        </is>
      </c>
      <c r="S295" s="2" t="inlineStr">
        <is>
          <t>标准-偏紧标准</t>
        </is>
      </c>
      <c r="T295" s="2" t="inlineStr">
        <is>
          <t>紧凑-标准紧凑</t>
        </is>
      </c>
      <c r="U295" s="2" t="inlineStr">
        <is>
          <t>紧凑-高度紧凑</t>
        </is>
      </c>
      <c r="V295" s="2" t="inlineStr">
        <is>
          <t>紧凑-极度紧凑</t>
        </is>
      </c>
    </row>
    <row r="296">
      <c r="A296" s="1" t="n">
        <v>2023214</v>
      </c>
      <c r="B296" s="3" t="inlineStr">
        <is>
          <t>101</t>
        </is>
      </c>
      <c r="C296" s="2">
        <f>IF(B296="","",LEFT(TEXT(B296,"000"),1)*1)</f>
        <v/>
      </c>
      <c r="D296" s="2">
        <f>IF(B296="","",MID(TEXT(B296,"000"),2,1)*1)</f>
        <v/>
      </c>
      <c r="E296" s="2">
        <f>IF(B296="","",RIGHT(TEXT(B296,"000"),1)*1)</f>
        <v/>
      </c>
      <c r="F296" s="2">
        <f>IF(B296="","",C296+D296+E296)</f>
        <v/>
      </c>
      <c r="G296" s="2">
        <f>IF(B296="","",MOD(F296,10))</f>
        <v/>
      </c>
      <c r="H296" s="2">
        <f>IF(B296="","",MAX(C296,D296,E296)-MIN(C296,D296,E296))</f>
        <v/>
      </c>
      <c r="I296" s="2">
        <f>IF(OR(B296="",H296=0),IF(H296=0,0.1,""),ROUND(F296/H296,2))</f>
        <v/>
      </c>
      <c r="J296" s="2">
        <f>IF(I296=0.1,"极紧凑",IF(I296&gt;3.5,"紧凑",IF(AND(I296&gt;=2,I296&lt;=3.5),"标准",IF(AND(I296&gt;=1,I296&lt;2),"松散",""))))</f>
        <v/>
      </c>
      <c r="K296" s="2">
        <f>IF(I296=0.1,"极紧凑-豹子号",IF(AND(I296&gt;=1,I296&lt;=1.29),"松散-极松散",IF(AND(I296&gt;=1.33,I296&lt;=1.8),"松散-标准松散",IF(AND(I296&gt;=1.83,I296&lt;=1.89),"松散-偏紧松散",IF(AND(I296&gt;=2,I296&lt;=2.5),"标准-偏松标准",IF(AND(I296&gt;=2.57,I296&lt;=3),"标准-核心标准",IF(AND(I296&gt;=3.17,I296&lt;=3.5),"标准-偏紧标准",IF(AND(I296&gt;=3.6,I296&lt;=5),"紧凑-标准紧凑",IF(AND(I296&gt;=5.25,I296&lt;=8),"紧凑-高度紧凑",IF(I296&gt;=8.5,"紧凑-极度紧凑",""))))))))))</f>
        <v/>
      </c>
      <c r="L296" s="2">
        <f>IF(I296=0.1,"极紧凑",IF(AND(I296&gt;=1,I296&lt;=1.89),"松散",IF(AND(I296&gt;=2,I296&lt;=3.5),"标准",IF(I296&gt;=3.6,"紧凑",""))))</f>
        <v/>
      </c>
      <c r="M296" s="2" t="inlineStr">
        <is>
          <t>极紧凑-豹子号</t>
        </is>
      </c>
      <c r="N296" s="2" t="inlineStr">
        <is>
          <t>松散-极松散</t>
        </is>
      </c>
      <c r="O296" s="2" t="inlineStr">
        <is>
          <t>松散-标准松散</t>
        </is>
      </c>
      <c r="P296" s="2" t="inlineStr">
        <is>
          <t>松散-偏紧松散</t>
        </is>
      </c>
      <c r="Q296" s="2" t="inlineStr">
        <is>
          <t>标准-偏松标准</t>
        </is>
      </c>
      <c r="R296" s="2" t="inlineStr">
        <is>
          <t>标准-核心标准</t>
        </is>
      </c>
      <c r="S296" s="2" t="inlineStr">
        <is>
          <t>标准-偏紧标准</t>
        </is>
      </c>
      <c r="T296" s="2" t="inlineStr">
        <is>
          <t>紧凑-标准紧凑</t>
        </is>
      </c>
      <c r="U296" s="2" t="inlineStr">
        <is>
          <t>紧凑-高度紧凑</t>
        </is>
      </c>
      <c r="V296" s="2" t="inlineStr">
        <is>
          <t>紧凑-极度紧凑</t>
        </is>
      </c>
    </row>
    <row r="297">
      <c r="A297" s="1" t="n">
        <v>2023215</v>
      </c>
      <c r="B297" s="3" t="inlineStr">
        <is>
          <t>480</t>
        </is>
      </c>
      <c r="C297" s="2">
        <f>IF(B297="","",LEFT(TEXT(B297,"000"),1)*1)</f>
        <v/>
      </c>
      <c r="D297" s="2">
        <f>IF(B297="","",MID(TEXT(B297,"000"),2,1)*1)</f>
        <v/>
      </c>
      <c r="E297" s="2">
        <f>IF(B297="","",RIGHT(TEXT(B297,"000"),1)*1)</f>
        <v/>
      </c>
      <c r="F297" s="2">
        <f>IF(B297="","",C297+D297+E297)</f>
        <v/>
      </c>
      <c r="G297" s="2">
        <f>IF(B297="","",MOD(F297,10))</f>
        <v/>
      </c>
      <c r="H297" s="2">
        <f>IF(B297="","",MAX(C297,D297,E297)-MIN(C297,D297,E297))</f>
        <v/>
      </c>
      <c r="I297" s="2">
        <f>IF(OR(B297="",H297=0),IF(H297=0,0.1,""),ROUND(F297/H297,2))</f>
        <v/>
      </c>
      <c r="J297" s="2">
        <f>IF(I297=0.1,"极紧凑",IF(I297&gt;3.5,"紧凑",IF(AND(I297&gt;=2,I297&lt;=3.5),"标准",IF(AND(I297&gt;=1,I297&lt;2),"松散",""))))</f>
        <v/>
      </c>
      <c r="K297" s="2">
        <f>IF(I297=0.1,"极紧凑-豹子号",IF(AND(I297&gt;=1,I297&lt;=1.29),"松散-极松散",IF(AND(I297&gt;=1.33,I297&lt;=1.8),"松散-标准松散",IF(AND(I297&gt;=1.83,I297&lt;=1.89),"松散-偏紧松散",IF(AND(I297&gt;=2,I297&lt;=2.5),"标准-偏松标准",IF(AND(I297&gt;=2.57,I297&lt;=3),"标准-核心标准",IF(AND(I297&gt;=3.17,I297&lt;=3.5),"标准-偏紧标准",IF(AND(I297&gt;=3.6,I297&lt;=5),"紧凑-标准紧凑",IF(AND(I297&gt;=5.25,I297&lt;=8),"紧凑-高度紧凑",IF(I297&gt;=8.5,"紧凑-极度紧凑",""))))))))))</f>
        <v/>
      </c>
      <c r="L297" s="2">
        <f>IF(I297=0.1,"极紧凑",IF(AND(I297&gt;=1,I297&lt;=1.89),"松散",IF(AND(I297&gt;=2,I297&lt;=3.5),"标准",IF(I297&gt;=3.6,"紧凑",""))))</f>
        <v/>
      </c>
      <c r="M297" s="2" t="inlineStr">
        <is>
          <t>极紧凑-豹子号</t>
        </is>
      </c>
      <c r="N297" s="2" t="inlineStr">
        <is>
          <t>松散-极松散</t>
        </is>
      </c>
      <c r="O297" s="2" t="inlineStr">
        <is>
          <t>松散-标准松散</t>
        </is>
      </c>
      <c r="P297" s="2" t="inlineStr">
        <is>
          <t>松散-偏紧松散</t>
        </is>
      </c>
      <c r="Q297" s="2" t="inlineStr">
        <is>
          <t>标准-偏松标准</t>
        </is>
      </c>
      <c r="R297" s="2" t="inlineStr">
        <is>
          <t>标准-核心标准</t>
        </is>
      </c>
      <c r="S297" s="2" t="inlineStr">
        <is>
          <t>标准-偏紧标准</t>
        </is>
      </c>
      <c r="T297" s="2" t="inlineStr">
        <is>
          <t>紧凑-标准紧凑</t>
        </is>
      </c>
      <c r="U297" s="2" t="inlineStr">
        <is>
          <t>紧凑-高度紧凑</t>
        </is>
      </c>
      <c r="V297" s="2" t="inlineStr">
        <is>
          <t>紧凑-极度紧凑</t>
        </is>
      </c>
    </row>
    <row r="298">
      <c r="A298" s="1" t="n">
        <v>2023216</v>
      </c>
      <c r="B298" s="3" t="inlineStr">
        <is>
          <t>138</t>
        </is>
      </c>
      <c r="C298" s="2">
        <f>IF(B298="","",LEFT(TEXT(B298,"000"),1)*1)</f>
        <v/>
      </c>
      <c r="D298" s="2">
        <f>IF(B298="","",MID(TEXT(B298,"000"),2,1)*1)</f>
        <v/>
      </c>
      <c r="E298" s="2">
        <f>IF(B298="","",RIGHT(TEXT(B298,"000"),1)*1)</f>
        <v/>
      </c>
      <c r="F298" s="2">
        <f>IF(B298="","",C298+D298+E298)</f>
        <v/>
      </c>
      <c r="G298" s="2">
        <f>IF(B298="","",MOD(F298,10))</f>
        <v/>
      </c>
      <c r="H298" s="2">
        <f>IF(B298="","",MAX(C298,D298,E298)-MIN(C298,D298,E298))</f>
        <v/>
      </c>
      <c r="I298" s="2">
        <f>IF(OR(B298="",H298=0),IF(H298=0,0.1,""),ROUND(F298/H298,2))</f>
        <v/>
      </c>
      <c r="J298" s="2">
        <f>IF(I298=0.1,"极紧凑",IF(I298&gt;3.5,"紧凑",IF(AND(I298&gt;=2,I298&lt;=3.5),"标准",IF(AND(I298&gt;=1,I298&lt;2),"松散",""))))</f>
        <v/>
      </c>
      <c r="K298" s="2">
        <f>IF(I298=0.1,"极紧凑-豹子号",IF(AND(I298&gt;=1,I298&lt;=1.29),"松散-极松散",IF(AND(I298&gt;=1.33,I298&lt;=1.8),"松散-标准松散",IF(AND(I298&gt;=1.83,I298&lt;=1.89),"松散-偏紧松散",IF(AND(I298&gt;=2,I298&lt;=2.5),"标准-偏松标准",IF(AND(I298&gt;=2.57,I298&lt;=3),"标准-核心标准",IF(AND(I298&gt;=3.17,I298&lt;=3.5),"标准-偏紧标准",IF(AND(I298&gt;=3.6,I298&lt;=5),"紧凑-标准紧凑",IF(AND(I298&gt;=5.25,I298&lt;=8),"紧凑-高度紧凑",IF(I298&gt;=8.5,"紧凑-极度紧凑",""))))))))))</f>
        <v/>
      </c>
      <c r="L298" s="2">
        <f>IF(I298=0.1,"极紧凑",IF(AND(I298&gt;=1,I298&lt;=1.89),"松散",IF(AND(I298&gt;=2,I298&lt;=3.5),"标准",IF(I298&gt;=3.6,"紧凑",""))))</f>
        <v/>
      </c>
      <c r="M298" s="2" t="inlineStr">
        <is>
          <t>极紧凑-豹子号</t>
        </is>
      </c>
      <c r="N298" s="2" t="inlineStr">
        <is>
          <t>松散-极松散</t>
        </is>
      </c>
      <c r="O298" s="2" t="inlineStr">
        <is>
          <t>松散-标准松散</t>
        </is>
      </c>
      <c r="P298" s="2" t="inlineStr">
        <is>
          <t>松散-偏紧松散</t>
        </is>
      </c>
      <c r="Q298" s="2" t="inlineStr">
        <is>
          <t>标准-偏松标准</t>
        </is>
      </c>
      <c r="R298" s="2" t="inlineStr">
        <is>
          <t>标准-核心标准</t>
        </is>
      </c>
      <c r="S298" s="2" t="inlineStr">
        <is>
          <t>标准-偏紧标准</t>
        </is>
      </c>
      <c r="T298" s="2" t="inlineStr">
        <is>
          <t>紧凑-标准紧凑</t>
        </is>
      </c>
      <c r="U298" s="2" t="inlineStr">
        <is>
          <t>紧凑-高度紧凑</t>
        </is>
      </c>
      <c r="V298" s="2" t="inlineStr">
        <is>
          <t>紧凑-极度紧凑</t>
        </is>
      </c>
    </row>
    <row r="299">
      <c r="A299" s="1" t="n">
        <v>2023217</v>
      </c>
      <c r="B299" s="3" t="inlineStr">
        <is>
          <t>748</t>
        </is>
      </c>
      <c r="C299" s="2">
        <f>IF(B299="","",LEFT(TEXT(B299,"000"),1)*1)</f>
        <v/>
      </c>
      <c r="D299" s="2">
        <f>IF(B299="","",MID(TEXT(B299,"000"),2,1)*1)</f>
        <v/>
      </c>
      <c r="E299" s="2">
        <f>IF(B299="","",RIGHT(TEXT(B299,"000"),1)*1)</f>
        <v/>
      </c>
      <c r="F299" s="2">
        <f>IF(B299="","",C299+D299+E299)</f>
        <v/>
      </c>
      <c r="G299" s="2">
        <f>IF(B299="","",MOD(F299,10))</f>
        <v/>
      </c>
      <c r="H299" s="2">
        <f>IF(B299="","",MAX(C299,D299,E299)-MIN(C299,D299,E299))</f>
        <v/>
      </c>
      <c r="I299" s="2">
        <f>IF(OR(B299="",H299=0),IF(H299=0,0.1,""),ROUND(F299/H299,2))</f>
        <v/>
      </c>
      <c r="J299" s="2">
        <f>IF(I299=0.1,"极紧凑",IF(I299&gt;3.5,"紧凑",IF(AND(I299&gt;=2,I299&lt;=3.5),"标准",IF(AND(I299&gt;=1,I299&lt;2),"松散",""))))</f>
        <v/>
      </c>
      <c r="K299" s="2">
        <f>IF(I299=0.1,"极紧凑-豹子号",IF(AND(I299&gt;=1,I299&lt;=1.29),"松散-极松散",IF(AND(I299&gt;=1.33,I299&lt;=1.8),"松散-标准松散",IF(AND(I299&gt;=1.83,I299&lt;=1.89),"松散-偏紧松散",IF(AND(I299&gt;=2,I299&lt;=2.5),"标准-偏松标准",IF(AND(I299&gt;=2.57,I299&lt;=3),"标准-核心标准",IF(AND(I299&gt;=3.17,I299&lt;=3.5),"标准-偏紧标准",IF(AND(I299&gt;=3.6,I299&lt;=5),"紧凑-标准紧凑",IF(AND(I299&gt;=5.25,I299&lt;=8),"紧凑-高度紧凑",IF(I299&gt;=8.5,"紧凑-极度紧凑",""))))))))))</f>
        <v/>
      </c>
      <c r="L299" s="2">
        <f>IF(I299=0.1,"极紧凑",IF(AND(I299&gt;=1,I299&lt;=1.89),"松散",IF(AND(I299&gt;=2,I299&lt;=3.5),"标准",IF(I299&gt;=3.6,"紧凑",""))))</f>
        <v/>
      </c>
      <c r="M299" s="2" t="inlineStr">
        <is>
          <t>极紧凑-豹子号</t>
        </is>
      </c>
      <c r="N299" s="2" t="inlineStr">
        <is>
          <t>松散-极松散</t>
        </is>
      </c>
      <c r="O299" s="2" t="inlineStr">
        <is>
          <t>松散-标准松散</t>
        </is>
      </c>
      <c r="P299" s="2" t="inlineStr">
        <is>
          <t>松散-偏紧松散</t>
        </is>
      </c>
      <c r="Q299" s="2" t="inlineStr">
        <is>
          <t>标准-偏松标准</t>
        </is>
      </c>
      <c r="R299" s="2" t="inlineStr">
        <is>
          <t>标准-核心标准</t>
        </is>
      </c>
      <c r="S299" s="2" t="inlineStr">
        <is>
          <t>标准-偏紧标准</t>
        </is>
      </c>
      <c r="T299" s="2" t="inlineStr">
        <is>
          <t>紧凑-标准紧凑</t>
        </is>
      </c>
      <c r="U299" s="2" t="inlineStr">
        <is>
          <t>紧凑-高度紧凑</t>
        </is>
      </c>
      <c r="V299" s="2" t="inlineStr">
        <is>
          <t>紧凑-极度紧凑</t>
        </is>
      </c>
    </row>
    <row r="300">
      <c r="A300" s="1" t="n">
        <v>2023218</v>
      </c>
      <c r="B300" s="3" t="inlineStr">
        <is>
          <t>942</t>
        </is>
      </c>
      <c r="C300" s="2">
        <f>IF(B300="","",LEFT(TEXT(B300,"000"),1)*1)</f>
        <v/>
      </c>
      <c r="D300" s="2">
        <f>IF(B300="","",MID(TEXT(B300,"000"),2,1)*1)</f>
        <v/>
      </c>
      <c r="E300" s="2">
        <f>IF(B300="","",RIGHT(TEXT(B300,"000"),1)*1)</f>
        <v/>
      </c>
      <c r="F300" s="2">
        <f>IF(B300="","",C300+D300+E300)</f>
        <v/>
      </c>
      <c r="G300" s="2">
        <f>IF(B300="","",MOD(F300,10))</f>
        <v/>
      </c>
      <c r="H300" s="2">
        <f>IF(B300="","",MAX(C300,D300,E300)-MIN(C300,D300,E300))</f>
        <v/>
      </c>
      <c r="I300" s="2">
        <f>IF(OR(B300="",H300=0),IF(H300=0,0.1,""),ROUND(F300/H300,2))</f>
        <v/>
      </c>
      <c r="J300" s="2">
        <f>IF(I300=0.1,"极紧凑",IF(I300&gt;3.5,"紧凑",IF(AND(I300&gt;=2,I300&lt;=3.5),"标准",IF(AND(I300&gt;=1,I300&lt;2),"松散",""))))</f>
        <v/>
      </c>
      <c r="K300" s="2">
        <f>IF(I300=0.1,"极紧凑-豹子号",IF(AND(I300&gt;=1,I300&lt;=1.29),"松散-极松散",IF(AND(I300&gt;=1.33,I300&lt;=1.8),"松散-标准松散",IF(AND(I300&gt;=1.83,I300&lt;=1.89),"松散-偏紧松散",IF(AND(I300&gt;=2,I300&lt;=2.5),"标准-偏松标准",IF(AND(I300&gt;=2.57,I300&lt;=3),"标准-核心标准",IF(AND(I300&gt;=3.17,I300&lt;=3.5),"标准-偏紧标准",IF(AND(I300&gt;=3.6,I300&lt;=5),"紧凑-标准紧凑",IF(AND(I300&gt;=5.25,I300&lt;=8),"紧凑-高度紧凑",IF(I300&gt;=8.5,"紧凑-极度紧凑",""))))))))))</f>
        <v/>
      </c>
      <c r="L300" s="2">
        <f>IF(I300=0.1,"极紧凑",IF(AND(I300&gt;=1,I300&lt;=1.89),"松散",IF(AND(I300&gt;=2,I300&lt;=3.5),"标准",IF(I300&gt;=3.6,"紧凑",""))))</f>
        <v/>
      </c>
      <c r="M300" s="2" t="inlineStr">
        <is>
          <t>极紧凑-豹子号</t>
        </is>
      </c>
      <c r="N300" s="2" t="inlineStr">
        <is>
          <t>松散-极松散</t>
        </is>
      </c>
      <c r="O300" s="2" t="inlineStr">
        <is>
          <t>松散-标准松散</t>
        </is>
      </c>
      <c r="P300" s="2" t="inlineStr">
        <is>
          <t>松散-偏紧松散</t>
        </is>
      </c>
      <c r="Q300" s="2" t="inlineStr">
        <is>
          <t>标准-偏松标准</t>
        </is>
      </c>
      <c r="R300" s="2" t="inlineStr">
        <is>
          <t>标准-核心标准</t>
        </is>
      </c>
      <c r="S300" s="2" t="inlineStr">
        <is>
          <t>标准-偏紧标准</t>
        </is>
      </c>
      <c r="T300" s="2" t="inlineStr">
        <is>
          <t>紧凑-标准紧凑</t>
        </is>
      </c>
      <c r="U300" s="2" t="inlineStr">
        <is>
          <t>紧凑-高度紧凑</t>
        </is>
      </c>
      <c r="V300" s="2" t="inlineStr">
        <is>
          <t>紧凑-极度紧凑</t>
        </is>
      </c>
    </row>
    <row r="301">
      <c r="A301" s="1" t="n">
        <v>2023219</v>
      </c>
      <c r="B301" s="3" t="inlineStr">
        <is>
          <t>738</t>
        </is>
      </c>
      <c r="C301" s="2">
        <f>IF(B301="","",LEFT(TEXT(B301,"000"),1)*1)</f>
        <v/>
      </c>
      <c r="D301" s="2">
        <f>IF(B301="","",MID(TEXT(B301,"000"),2,1)*1)</f>
        <v/>
      </c>
      <c r="E301" s="2">
        <f>IF(B301="","",RIGHT(TEXT(B301,"000"),1)*1)</f>
        <v/>
      </c>
      <c r="F301" s="2">
        <f>IF(B301="","",C301+D301+E301)</f>
        <v/>
      </c>
      <c r="G301" s="2">
        <f>IF(B301="","",MOD(F301,10))</f>
        <v/>
      </c>
      <c r="H301" s="2">
        <f>IF(B301="","",MAX(C301,D301,E301)-MIN(C301,D301,E301))</f>
        <v/>
      </c>
      <c r="I301" s="2">
        <f>IF(OR(B301="",H301=0),IF(H301=0,0.1,""),ROUND(F301/H301,2))</f>
        <v/>
      </c>
      <c r="J301" s="2">
        <f>IF(I301=0.1,"极紧凑",IF(I301&gt;3.5,"紧凑",IF(AND(I301&gt;=2,I301&lt;=3.5),"标准",IF(AND(I301&gt;=1,I301&lt;2),"松散",""))))</f>
        <v/>
      </c>
      <c r="K301" s="2">
        <f>IF(I301=0.1,"极紧凑-豹子号",IF(AND(I301&gt;=1,I301&lt;=1.29),"松散-极松散",IF(AND(I301&gt;=1.33,I301&lt;=1.8),"松散-标准松散",IF(AND(I301&gt;=1.83,I301&lt;=1.89),"松散-偏紧松散",IF(AND(I301&gt;=2,I301&lt;=2.5),"标准-偏松标准",IF(AND(I301&gt;=2.57,I301&lt;=3),"标准-核心标准",IF(AND(I301&gt;=3.17,I301&lt;=3.5),"标准-偏紧标准",IF(AND(I301&gt;=3.6,I301&lt;=5),"紧凑-标准紧凑",IF(AND(I301&gt;=5.25,I301&lt;=8),"紧凑-高度紧凑",IF(I301&gt;=8.5,"紧凑-极度紧凑",""))))))))))</f>
        <v/>
      </c>
      <c r="L301" s="2">
        <f>IF(I301=0.1,"极紧凑",IF(AND(I301&gt;=1,I301&lt;=1.89),"松散",IF(AND(I301&gt;=2,I301&lt;=3.5),"标准",IF(I301&gt;=3.6,"紧凑",""))))</f>
        <v/>
      </c>
      <c r="M301" s="2" t="inlineStr">
        <is>
          <t>极紧凑-豹子号</t>
        </is>
      </c>
      <c r="N301" s="2" t="inlineStr">
        <is>
          <t>松散-极松散</t>
        </is>
      </c>
      <c r="O301" s="2" t="inlineStr">
        <is>
          <t>松散-标准松散</t>
        </is>
      </c>
      <c r="P301" s="2" t="inlineStr">
        <is>
          <t>松散-偏紧松散</t>
        </is>
      </c>
      <c r="Q301" s="2" t="inlineStr">
        <is>
          <t>标准-偏松标准</t>
        </is>
      </c>
      <c r="R301" s="2" t="inlineStr">
        <is>
          <t>标准-核心标准</t>
        </is>
      </c>
      <c r="S301" s="2" t="inlineStr">
        <is>
          <t>标准-偏紧标准</t>
        </is>
      </c>
      <c r="T301" s="2" t="inlineStr">
        <is>
          <t>紧凑-标准紧凑</t>
        </is>
      </c>
      <c r="U301" s="2" t="inlineStr">
        <is>
          <t>紧凑-高度紧凑</t>
        </is>
      </c>
      <c r="V301" s="2" t="inlineStr">
        <is>
          <t>紧凑-极度紧凑</t>
        </is>
      </c>
    </row>
    <row r="302">
      <c r="A302" s="1" t="n">
        <v>2023220</v>
      </c>
      <c r="B302" s="3" t="inlineStr">
        <is>
          <t>035</t>
        </is>
      </c>
      <c r="C302" s="2">
        <f>IF(B302="","",LEFT(TEXT(B302,"000"),1)*1)</f>
        <v/>
      </c>
      <c r="D302" s="2">
        <f>IF(B302="","",MID(TEXT(B302,"000"),2,1)*1)</f>
        <v/>
      </c>
      <c r="E302" s="2">
        <f>IF(B302="","",RIGHT(TEXT(B302,"000"),1)*1)</f>
        <v/>
      </c>
      <c r="F302" s="2">
        <f>IF(B302="","",C302+D302+E302)</f>
        <v/>
      </c>
      <c r="G302" s="2">
        <f>IF(B302="","",MOD(F302,10))</f>
        <v/>
      </c>
      <c r="H302" s="2">
        <f>IF(B302="","",MAX(C302,D302,E302)-MIN(C302,D302,E302))</f>
        <v/>
      </c>
      <c r="I302" s="2">
        <f>IF(OR(B302="",H302=0),IF(H302=0,0.1,""),ROUND(F302/H302,2))</f>
        <v/>
      </c>
      <c r="J302" s="2">
        <f>IF(I302=0.1,"极紧凑",IF(I302&gt;3.5,"紧凑",IF(AND(I302&gt;=2,I302&lt;=3.5),"标准",IF(AND(I302&gt;=1,I302&lt;2),"松散",""))))</f>
        <v/>
      </c>
      <c r="K302" s="2">
        <f>IF(I302=0.1,"极紧凑-豹子号",IF(AND(I302&gt;=1,I302&lt;=1.29),"松散-极松散",IF(AND(I302&gt;=1.33,I302&lt;=1.8),"松散-标准松散",IF(AND(I302&gt;=1.83,I302&lt;=1.89),"松散-偏紧松散",IF(AND(I302&gt;=2,I302&lt;=2.5),"标准-偏松标准",IF(AND(I302&gt;=2.57,I302&lt;=3),"标准-核心标准",IF(AND(I302&gt;=3.17,I302&lt;=3.5),"标准-偏紧标准",IF(AND(I302&gt;=3.6,I302&lt;=5),"紧凑-标准紧凑",IF(AND(I302&gt;=5.25,I302&lt;=8),"紧凑-高度紧凑",IF(I302&gt;=8.5,"紧凑-极度紧凑",""))))))))))</f>
        <v/>
      </c>
      <c r="L302" s="2">
        <f>IF(I302=0.1,"极紧凑",IF(AND(I302&gt;=1,I302&lt;=1.89),"松散",IF(AND(I302&gt;=2,I302&lt;=3.5),"标准",IF(I302&gt;=3.6,"紧凑",""))))</f>
        <v/>
      </c>
      <c r="M302" s="2" t="inlineStr">
        <is>
          <t>极紧凑-豹子号</t>
        </is>
      </c>
      <c r="N302" s="2" t="inlineStr">
        <is>
          <t>松散-极松散</t>
        </is>
      </c>
      <c r="O302" s="2" t="inlineStr">
        <is>
          <t>松散-标准松散</t>
        </is>
      </c>
      <c r="P302" s="2" t="inlineStr">
        <is>
          <t>松散-偏紧松散</t>
        </is>
      </c>
      <c r="Q302" s="2" t="inlineStr">
        <is>
          <t>标准-偏松标准</t>
        </is>
      </c>
      <c r="R302" s="2" t="inlineStr">
        <is>
          <t>标准-核心标准</t>
        </is>
      </c>
      <c r="S302" s="2" t="inlineStr">
        <is>
          <t>标准-偏紧标准</t>
        </is>
      </c>
      <c r="T302" s="2" t="inlineStr">
        <is>
          <t>紧凑-标准紧凑</t>
        </is>
      </c>
      <c r="U302" s="2" t="inlineStr">
        <is>
          <t>紧凑-高度紧凑</t>
        </is>
      </c>
      <c r="V302" s="2" t="inlineStr">
        <is>
          <t>紧凑-极度紧凑</t>
        </is>
      </c>
    </row>
    <row r="303">
      <c r="A303" s="1" t="n">
        <v>2023221</v>
      </c>
      <c r="B303" s="3" t="inlineStr">
        <is>
          <t>649</t>
        </is>
      </c>
      <c r="C303" s="2">
        <f>IF(B303="","",LEFT(TEXT(B303,"000"),1)*1)</f>
        <v/>
      </c>
      <c r="D303" s="2">
        <f>IF(B303="","",MID(TEXT(B303,"000"),2,1)*1)</f>
        <v/>
      </c>
      <c r="E303" s="2">
        <f>IF(B303="","",RIGHT(TEXT(B303,"000"),1)*1)</f>
        <v/>
      </c>
      <c r="F303" s="2">
        <f>IF(B303="","",C303+D303+E303)</f>
        <v/>
      </c>
      <c r="G303" s="2">
        <f>IF(B303="","",MOD(F303,10))</f>
        <v/>
      </c>
      <c r="H303" s="2">
        <f>IF(B303="","",MAX(C303,D303,E303)-MIN(C303,D303,E303))</f>
        <v/>
      </c>
      <c r="I303" s="2">
        <f>IF(OR(B303="",H303=0),IF(H303=0,0.1,""),ROUND(F303/H303,2))</f>
        <v/>
      </c>
      <c r="J303" s="2">
        <f>IF(I303=0.1,"极紧凑",IF(I303&gt;3.5,"紧凑",IF(AND(I303&gt;=2,I303&lt;=3.5),"标准",IF(AND(I303&gt;=1,I303&lt;2),"松散",""))))</f>
        <v/>
      </c>
      <c r="K303" s="2">
        <f>IF(I303=0.1,"极紧凑-豹子号",IF(AND(I303&gt;=1,I303&lt;=1.29),"松散-极松散",IF(AND(I303&gt;=1.33,I303&lt;=1.8),"松散-标准松散",IF(AND(I303&gt;=1.83,I303&lt;=1.89),"松散-偏紧松散",IF(AND(I303&gt;=2,I303&lt;=2.5),"标准-偏松标准",IF(AND(I303&gt;=2.57,I303&lt;=3),"标准-核心标准",IF(AND(I303&gt;=3.17,I303&lt;=3.5),"标准-偏紧标准",IF(AND(I303&gt;=3.6,I303&lt;=5),"紧凑-标准紧凑",IF(AND(I303&gt;=5.25,I303&lt;=8),"紧凑-高度紧凑",IF(I303&gt;=8.5,"紧凑-极度紧凑",""))))))))))</f>
        <v/>
      </c>
      <c r="L303" s="2">
        <f>IF(I303=0.1,"极紧凑",IF(AND(I303&gt;=1,I303&lt;=1.89),"松散",IF(AND(I303&gt;=2,I303&lt;=3.5),"标准",IF(I303&gt;=3.6,"紧凑",""))))</f>
        <v/>
      </c>
      <c r="M303" s="2" t="inlineStr">
        <is>
          <t>极紧凑-豹子号</t>
        </is>
      </c>
      <c r="N303" s="2" t="inlineStr">
        <is>
          <t>松散-极松散</t>
        </is>
      </c>
      <c r="O303" s="2" t="inlineStr">
        <is>
          <t>松散-标准松散</t>
        </is>
      </c>
      <c r="P303" s="2" t="inlineStr">
        <is>
          <t>松散-偏紧松散</t>
        </is>
      </c>
      <c r="Q303" s="2" t="inlineStr">
        <is>
          <t>标准-偏松标准</t>
        </is>
      </c>
      <c r="R303" s="2" t="inlineStr">
        <is>
          <t>标准-核心标准</t>
        </is>
      </c>
      <c r="S303" s="2" t="inlineStr">
        <is>
          <t>标准-偏紧标准</t>
        </is>
      </c>
      <c r="T303" s="2" t="inlineStr">
        <is>
          <t>紧凑-标准紧凑</t>
        </is>
      </c>
      <c r="U303" s="2" t="inlineStr">
        <is>
          <t>紧凑-高度紧凑</t>
        </is>
      </c>
      <c r="V303" s="2" t="inlineStr">
        <is>
          <t>紧凑-极度紧凑</t>
        </is>
      </c>
    </row>
    <row r="304">
      <c r="A304" s="1" t="n">
        <v>2023222</v>
      </c>
      <c r="B304" s="3" t="inlineStr">
        <is>
          <t>977</t>
        </is>
      </c>
      <c r="C304" s="2">
        <f>IF(B304="","",LEFT(TEXT(B304,"000"),1)*1)</f>
        <v/>
      </c>
      <c r="D304" s="2">
        <f>IF(B304="","",MID(TEXT(B304,"000"),2,1)*1)</f>
        <v/>
      </c>
      <c r="E304" s="2">
        <f>IF(B304="","",RIGHT(TEXT(B304,"000"),1)*1)</f>
        <v/>
      </c>
      <c r="F304" s="2">
        <f>IF(B304="","",C304+D304+E304)</f>
        <v/>
      </c>
      <c r="G304" s="2">
        <f>IF(B304="","",MOD(F304,10))</f>
        <v/>
      </c>
      <c r="H304" s="2">
        <f>IF(B304="","",MAX(C304,D304,E304)-MIN(C304,D304,E304))</f>
        <v/>
      </c>
      <c r="I304" s="2">
        <f>IF(OR(B304="",H304=0),IF(H304=0,0.1,""),ROUND(F304/H304,2))</f>
        <v/>
      </c>
      <c r="J304" s="2">
        <f>IF(I304=0.1,"极紧凑",IF(I304&gt;3.5,"紧凑",IF(AND(I304&gt;=2,I304&lt;=3.5),"标准",IF(AND(I304&gt;=1,I304&lt;2),"松散",""))))</f>
        <v/>
      </c>
      <c r="K304" s="2">
        <f>IF(I304=0.1,"极紧凑-豹子号",IF(AND(I304&gt;=1,I304&lt;=1.29),"松散-极松散",IF(AND(I304&gt;=1.33,I304&lt;=1.8),"松散-标准松散",IF(AND(I304&gt;=1.83,I304&lt;=1.89),"松散-偏紧松散",IF(AND(I304&gt;=2,I304&lt;=2.5),"标准-偏松标准",IF(AND(I304&gt;=2.57,I304&lt;=3),"标准-核心标准",IF(AND(I304&gt;=3.17,I304&lt;=3.5),"标准-偏紧标准",IF(AND(I304&gt;=3.6,I304&lt;=5),"紧凑-标准紧凑",IF(AND(I304&gt;=5.25,I304&lt;=8),"紧凑-高度紧凑",IF(I304&gt;=8.5,"紧凑-极度紧凑",""))))))))))</f>
        <v/>
      </c>
      <c r="L304" s="2">
        <f>IF(I304=0.1,"极紧凑",IF(AND(I304&gt;=1,I304&lt;=1.89),"松散",IF(AND(I304&gt;=2,I304&lt;=3.5),"标准",IF(I304&gt;=3.6,"紧凑",""))))</f>
        <v/>
      </c>
      <c r="M304" s="2" t="inlineStr">
        <is>
          <t>极紧凑-豹子号</t>
        </is>
      </c>
      <c r="N304" s="2" t="inlineStr">
        <is>
          <t>松散-极松散</t>
        </is>
      </c>
      <c r="O304" s="2" t="inlineStr">
        <is>
          <t>松散-标准松散</t>
        </is>
      </c>
      <c r="P304" s="2" t="inlineStr">
        <is>
          <t>松散-偏紧松散</t>
        </is>
      </c>
      <c r="Q304" s="2" t="inlineStr">
        <is>
          <t>标准-偏松标准</t>
        </is>
      </c>
      <c r="R304" s="2" t="inlineStr">
        <is>
          <t>标准-核心标准</t>
        </is>
      </c>
      <c r="S304" s="2" t="inlineStr">
        <is>
          <t>标准-偏紧标准</t>
        </is>
      </c>
      <c r="T304" s="2" t="inlineStr">
        <is>
          <t>紧凑-标准紧凑</t>
        </is>
      </c>
      <c r="U304" s="2" t="inlineStr">
        <is>
          <t>紧凑-高度紧凑</t>
        </is>
      </c>
      <c r="V304" s="2" t="inlineStr">
        <is>
          <t>紧凑-极度紧凑</t>
        </is>
      </c>
    </row>
    <row r="305">
      <c r="A305" s="1" t="n">
        <v>2023223</v>
      </c>
      <c r="B305" s="3" t="inlineStr">
        <is>
          <t>740</t>
        </is>
      </c>
      <c r="C305" s="2">
        <f>IF(B305="","",LEFT(TEXT(B305,"000"),1)*1)</f>
        <v/>
      </c>
      <c r="D305" s="2">
        <f>IF(B305="","",MID(TEXT(B305,"000"),2,1)*1)</f>
        <v/>
      </c>
      <c r="E305" s="2">
        <f>IF(B305="","",RIGHT(TEXT(B305,"000"),1)*1)</f>
        <v/>
      </c>
      <c r="F305" s="2">
        <f>IF(B305="","",C305+D305+E305)</f>
        <v/>
      </c>
      <c r="G305" s="2">
        <f>IF(B305="","",MOD(F305,10))</f>
        <v/>
      </c>
      <c r="H305" s="2">
        <f>IF(B305="","",MAX(C305,D305,E305)-MIN(C305,D305,E305))</f>
        <v/>
      </c>
      <c r="I305" s="2">
        <f>IF(OR(B305="",H305=0),IF(H305=0,0.1,""),ROUND(F305/H305,2))</f>
        <v/>
      </c>
      <c r="J305" s="2">
        <f>IF(I305=0.1,"极紧凑",IF(I305&gt;3.5,"紧凑",IF(AND(I305&gt;=2,I305&lt;=3.5),"标准",IF(AND(I305&gt;=1,I305&lt;2),"松散",""))))</f>
        <v/>
      </c>
      <c r="K305" s="2">
        <f>IF(I305=0.1,"极紧凑-豹子号",IF(AND(I305&gt;=1,I305&lt;=1.29),"松散-极松散",IF(AND(I305&gt;=1.33,I305&lt;=1.8),"松散-标准松散",IF(AND(I305&gt;=1.83,I305&lt;=1.89),"松散-偏紧松散",IF(AND(I305&gt;=2,I305&lt;=2.5),"标准-偏松标准",IF(AND(I305&gt;=2.57,I305&lt;=3),"标准-核心标准",IF(AND(I305&gt;=3.17,I305&lt;=3.5),"标准-偏紧标准",IF(AND(I305&gt;=3.6,I305&lt;=5),"紧凑-标准紧凑",IF(AND(I305&gt;=5.25,I305&lt;=8),"紧凑-高度紧凑",IF(I305&gt;=8.5,"紧凑-极度紧凑",""))))))))))</f>
        <v/>
      </c>
      <c r="L305" s="2">
        <f>IF(I305=0.1,"极紧凑",IF(AND(I305&gt;=1,I305&lt;=1.89),"松散",IF(AND(I305&gt;=2,I305&lt;=3.5),"标准",IF(I305&gt;=3.6,"紧凑",""))))</f>
        <v/>
      </c>
      <c r="M305" s="2" t="inlineStr">
        <is>
          <t>极紧凑-豹子号</t>
        </is>
      </c>
      <c r="N305" s="2" t="inlineStr">
        <is>
          <t>松散-极松散</t>
        </is>
      </c>
      <c r="O305" s="2" t="inlineStr">
        <is>
          <t>松散-标准松散</t>
        </is>
      </c>
      <c r="P305" s="2" t="inlineStr">
        <is>
          <t>松散-偏紧松散</t>
        </is>
      </c>
      <c r="Q305" s="2" t="inlineStr">
        <is>
          <t>标准-偏松标准</t>
        </is>
      </c>
      <c r="R305" s="2" t="inlineStr">
        <is>
          <t>标准-核心标准</t>
        </is>
      </c>
      <c r="S305" s="2" t="inlineStr">
        <is>
          <t>标准-偏紧标准</t>
        </is>
      </c>
      <c r="T305" s="2" t="inlineStr">
        <is>
          <t>紧凑-标准紧凑</t>
        </is>
      </c>
      <c r="U305" s="2" t="inlineStr">
        <is>
          <t>紧凑-高度紧凑</t>
        </is>
      </c>
      <c r="V305" s="2" t="inlineStr">
        <is>
          <t>紧凑-极度紧凑</t>
        </is>
      </c>
    </row>
    <row r="306">
      <c r="A306" s="1" t="n">
        <v>2023224</v>
      </c>
      <c r="B306" s="3" t="inlineStr">
        <is>
          <t>374</t>
        </is>
      </c>
      <c r="C306" s="2">
        <f>IF(B306="","",LEFT(TEXT(B306,"000"),1)*1)</f>
        <v/>
      </c>
      <c r="D306" s="2">
        <f>IF(B306="","",MID(TEXT(B306,"000"),2,1)*1)</f>
        <v/>
      </c>
      <c r="E306" s="2">
        <f>IF(B306="","",RIGHT(TEXT(B306,"000"),1)*1)</f>
        <v/>
      </c>
      <c r="F306" s="2">
        <f>IF(B306="","",C306+D306+E306)</f>
        <v/>
      </c>
      <c r="G306" s="2">
        <f>IF(B306="","",MOD(F306,10))</f>
        <v/>
      </c>
      <c r="H306" s="2">
        <f>IF(B306="","",MAX(C306,D306,E306)-MIN(C306,D306,E306))</f>
        <v/>
      </c>
      <c r="I306" s="2">
        <f>IF(OR(B306="",H306=0),IF(H306=0,0.1,""),ROUND(F306/H306,2))</f>
        <v/>
      </c>
      <c r="J306" s="2">
        <f>IF(I306=0.1,"极紧凑",IF(I306&gt;3.5,"紧凑",IF(AND(I306&gt;=2,I306&lt;=3.5),"标准",IF(AND(I306&gt;=1,I306&lt;2),"松散",""))))</f>
        <v/>
      </c>
      <c r="K306" s="2">
        <f>IF(I306=0.1,"极紧凑-豹子号",IF(AND(I306&gt;=1,I306&lt;=1.29),"松散-极松散",IF(AND(I306&gt;=1.33,I306&lt;=1.8),"松散-标准松散",IF(AND(I306&gt;=1.83,I306&lt;=1.89),"松散-偏紧松散",IF(AND(I306&gt;=2,I306&lt;=2.5),"标准-偏松标准",IF(AND(I306&gt;=2.57,I306&lt;=3),"标准-核心标准",IF(AND(I306&gt;=3.17,I306&lt;=3.5),"标准-偏紧标准",IF(AND(I306&gt;=3.6,I306&lt;=5),"紧凑-标准紧凑",IF(AND(I306&gt;=5.25,I306&lt;=8),"紧凑-高度紧凑",IF(I306&gt;=8.5,"紧凑-极度紧凑",""))))))))))</f>
        <v/>
      </c>
      <c r="L306" s="2">
        <f>IF(I306=0.1,"极紧凑",IF(AND(I306&gt;=1,I306&lt;=1.89),"松散",IF(AND(I306&gt;=2,I306&lt;=3.5),"标准",IF(I306&gt;=3.6,"紧凑",""))))</f>
        <v/>
      </c>
      <c r="M306" s="2" t="inlineStr">
        <is>
          <t>极紧凑-豹子号</t>
        </is>
      </c>
      <c r="N306" s="2" t="inlineStr">
        <is>
          <t>松散-极松散</t>
        </is>
      </c>
      <c r="O306" s="2" t="inlineStr">
        <is>
          <t>松散-标准松散</t>
        </is>
      </c>
      <c r="P306" s="2" t="inlineStr">
        <is>
          <t>松散-偏紧松散</t>
        </is>
      </c>
      <c r="Q306" s="2" t="inlineStr">
        <is>
          <t>标准-偏松标准</t>
        </is>
      </c>
      <c r="R306" s="2" t="inlineStr">
        <is>
          <t>标准-核心标准</t>
        </is>
      </c>
      <c r="S306" s="2" t="inlineStr">
        <is>
          <t>标准-偏紧标准</t>
        </is>
      </c>
      <c r="T306" s="2" t="inlineStr">
        <is>
          <t>紧凑-标准紧凑</t>
        </is>
      </c>
      <c r="U306" s="2" t="inlineStr">
        <is>
          <t>紧凑-高度紧凑</t>
        </is>
      </c>
      <c r="V306" s="2" t="inlineStr">
        <is>
          <t>紧凑-极度紧凑</t>
        </is>
      </c>
    </row>
    <row r="307">
      <c r="A307" s="1" t="n">
        <v>2023225</v>
      </c>
      <c r="B307" s="3" t="inlineStr">
        <is>
          <t>118</t>
        </is>
      </c>
      <c r="C307" s="2">
        <f>IF(B307="","",LEFT(TEXT(B307,"000"),1)*1)</f>
        <v/>
      </c>
      <c r="D307" s="2">
        <f>IF(B307="","",MID(TEXT(B307,"000"),2,1)*1)</f>
        <v/>
      </c>
      <c r="E307" s="2">
        <f>IF(B307="","",RIGHT(TEXT(B307,"000"),1)*1)</f>
        <v/>
      </c>
      <c r="F307" s="2">
        <f>IF(B307="","",C307+D307+E307)</f>
        <v/>
      </c>
      <c r="G307" s="2">
        <f>IF(B307="","",MOD(F307,10))</f>
        <v/>
      </c>
      <c r="H307" s="2">
        <f>IF(B307="","",MAX(C307,D307,E307)-MIN(C307,D307,E307))</f>
        <v/>
      </c>
      <c r="I307" s="2">
        <f>IF(OR(B307="",H307=0),IF(H307=0,0.1,""),ROUND(F307/H307,2))</f>
        <v/>
      </c>
      <c r="J307" s="2">
        <f>IF(I307=0.1,"极紧凑",IF(I307&gt;3.5,"紧凑",IF(AND(I307&gt;=2,I307&lt;=3.5),"标准",IF(AND(I307&gt;=1,I307&lt;2),"松散",""))))</f>
        <v/>
      </c>
      <c r="K307" s="2">
        <f>IF(I307=0.1,"极紧凑-豹子号",IF(AND(I307&gt;=1,I307&lt;=1.29),"松散-极松散",IF(AND(I307&gt;=1.33,I307&lt;=1.8),"松散-标准松散",IF(AND(I307&gt;=1.83,I307&lt;=1.89),"松散-偏紧松散",IF(AND(I307&gt;=2,I307&lt;=2.5),"标准-偏松标准",IF(AND(I307&gt;=2.57,I307&lt;=3),"标准-核心标准",IF(AND(I307&gt;=3.17,I307&lt;=3.5),"标准-偏紧标准",IF(AND(I307&gt;=3.6,I307&lt;=5),"紧凑-标准紧凑",IF(AND(I307&gt;=5.25,I307&lt;=8),"紧凑-高度紧凑",IF(I307&gt;=8.5,"紧凑-极度紧凑",""))))))))))</f>
        <v/>
      </c>
      <c r="L307" s="2">
        <f>IF(I307=0.1,"极紧凑",IF(AND(I307&gt;=1,I307&lt;=1.89),"松散",IF(AND(I307&gt;=2,I307&lt;=3.5),"标准",IF(I307&gt;=3.6,"紧凑",""))))</f>
        <v/>
      </c>
      <c r="M307" s="2" t="inlineStr">
        <is>
          <t>极紧凑-豹子号</t>
        </is>
      </c>
      <c r="N307" s="2" t="inlineStr">
        <is>
          <t>松散-极松散</t>
        </is>
      </c>
      <c r="O307" s="2" t="inlineStr">
        <is>
          <t>松散-标准松散</t>
        </is>
      </c>
      <c r="P307" s="2" t="inlineStr">
        <is>
          <t>松散-偏紧松散</t>
        </is>
      </c>
      <c r="Q307" s="2" t="inlineStr">
        <is>
          <t>标准-偏松标准</t>
        </is>
      </c>
      <c r="R307" s="2" t="inlineStr">
        <is>
          <t>标准-核心标准</t>
        </is>
      </c>
      <c r="S307" s="2" t="inlineStr">
        <is>
          <t>标准-偏紧标准</t>
        </is>
      </c>
      <c r="T307" s="2" t="inlineStr">
        <is>
          <t>紧凑-标准紧凑</t>
        </is>
      </c>
      <c r="U307" s="2" t="inlineStr">
        <is>
          <t>紧凑-高度紧凑</t>
        </is>
      </c>
      <c r="V307" s="2" t="inlineStr">
        <is>
          <t>紧凑-极度紧凑</t>
        </is>
      </c>
    </row>
    <row r="308">
      <c r="A308" s="1" t="n">
        <v>2023226</v>
      </c>
      <c r="B308" s="3" t="inlineStr">
        <is>
          <t>535</t>
        </is>
      </c>
      <c r="C308" s="2">
        <f>IF(B308="","",LEFT(TEXT(B308,"000"),1)*1)</f>
        <v/>
      </c>
      <c r="D308" s="2">
        <f>IF(B308="","",MID(TEXT(B308,"000"),2,1)*1)</f>
        <v/>
      </c>
      <c r="E308" s="2">
        <f>IF(B308="","",RIGHT(TEXT(B308,"000"),1)*1)</f>
        <v/>
      </c>
      <c r="F308" s="2">
        <f>IF(B308="","",C308+D308+E308)</f>
        <v/>
      </c>
      <c r="G308" s="2">
        <f>IF(B308="","",MOD(F308,10))</f>
        <v/>
      </c>
      <c r="H308" s="2">
        <f>IF(B308="","",MAX(C308,D308,E308)-MIN(C308,D308,E308))</f>
        <v/>
      </c>
      <c r="I308" s="2">
        <f>IF(OR(B308="",H308=0),IF(H308=0,0.1,""),ROUND(F308/H308,2))</f>
        <v/>
      </c>
      <c r="J308" s="2">
        <f>IF(I308=0.1,"极紧凑",IF(I308&gt;3.5,"紧凑",IF(AND(I308&gt;=2,I308&lt;=3.5),"标准",IF(AND(I308&gt;=1,I308&lt;2),"松散",""))))</f>
        <v/>
      </c>
      <c r="K308" s="2">
        <f>IF(I308=0.1,"极紧凑-豹子号",IF(AND(I308&gt;=1,I308&lt;=1.29),"松散-极松散",IF(AND(I308&gt;=1.33,I308&lt;=1.8),"松散-标准松散",IF(AND(I308&gt;=1.83,I308&lt;=1.89),"松散-偏紧松散",IF(AND(I308&gt;=2,I308&lt;=2.5),"标准-偏松标准",IF(AND(I308&gt;=2.57,I308&lt;=3),"标准-核心标准",IF(AND(I308&gt;=3.17,I308&lt;=3.5),"标准-偏紧标准",IF(AND(I308&gt;=3.6,I308&lt;=5),"紧凑-标准紧凑",IF(AND(I308&gt;=5.25,I308&lt;=8),"紧凑-高度紧凑",IF(I308&gt;=8.5,"紧凑-极度紧凑",""))))))))))</f>
        <v/>
      </c>
      <c r="L308" s="2">
        <f>IF(I308=0.1,"极紧凑",IF(AND(I308&gt;=1,I308&lt;=1.89),"松散",IF(AND(I308&gt;=2,I308&lt;=3.5),"标准",IF(I308&gt;=3.6,"紧凑",""))))</f>
        <v/>
      </c>
      <c r="M308" s="2" t="inlineStr">
        <is>
          <t>极紧凑-豹子号</t>
        </is>
      </c>
      <c r="N308" s="2" t="inlineStr">
        <is>
          <t>松散-极松散</t>
        </is>
      </c>
      <c r="O308" s="2" t="inlineStr">
        <is>
          <t>松散-标准松散</t>
        </is>
      </c>
      <c r="P308" s="2" t="inlineStr">
        <is>
          <t>松散-偏紧松散</t>
        </is>
      </c>
      <c r="Q308" s="2" t="inlineStr">
        <is>
          <t>标准-偏松标准</t>
        </is>
      </c>
      <c r="R308" s="2" t="inlineStr">
        <is>
          <t>标准-核心标准</t>
        </is>
      </c>
      <c r="S308" s="2" t="inlineStr">
        <is>
          <t>标准-偏紧标准</t>
        </is>
      </c>
      <c r="T308" s="2" t="inlineStr">
        <is>
          <t>紧凑-标准紧凑</t>
        </is>
      </c>
      <c r="U308" s="2" t="inlineStr">
        <is>
          <t>紧凑-高度紧凑</t>
        </is>
      </c>
      <c r="V308" s="2" t="inlineStr">
        <is>
          <t>紧凑-极度紧凑</t>
        </is>
      </c>
    </row>
    <row r="309">
      <c r="A309" s="1" t="n">
        <v>2023227</v>
      </c>
      <c r="B309" s="3" t="inlineStr">
        <is>
          <t>901</t>
        </is>
      </c>
      <c r="C309" s="2">
        <f>IF(B309="","",LEFT(TEXT(B309,"000"),1)*1)</f>
        <v/>
      </c>
      <c r="D309" s="2">
        <f>IF(B309="","",MID(TEXT(B309,"000"),2,1)*1)</f>
        <v/>
      </c>
      <c r="E309" s="2">
        <f>IF(B309="","",RIGHT(TEXT(B309,"000"),1)*1)</f>
        <v/>
      </c>
      <c r="F309" s="2">
        <f>IF(B309="","",C309+D309+E309)</f>
        <v/>
      </c>
      <c r="G309" s="2">
        <f>IF(B309="","",MOD(F309,10))</f>
        <v/>
      </c>
      <c r="H309" s="2">
        <f>IF(B309="","",MAX(C309,D309,E309)-MIN(C309,D309,E309))</f>
        <v/>
      </c>
      <c r="I309" s="2">
        <f>IF(OR(B309="",H309=0),IF(H309=0,0.1,""),ROUND(F309/H309,2))</f>
        <v/>
      </c>
      <c r="J309" s="2">
        <f>IF(I309=0.1,"极紧凑",IF(I309&gt;3.5,"紧凑",IF(AND(I309&gt;=2,I309&lt;=3.5),"标准",IF(AND(I309&gt;=1,I309&lt;2),"松散",""))))</f>
        <v/>
      </c>
      <c r="K309" s="2">
        <f>IF(I309=0.1,"极紧凑-豹子号",IF(AND(I309&gt;=1,I309&lt;=1.29),"松散-极松散",IF(AND(I309&gt;=1.33,I309&lt;=1.8),"松散-标准松散",IF(AND(I309&gt;=1.83,I309&lt;=1.89),"松散-偏紧松散",IF(AND(I309&gt;=2,I309&lt;=2.5),"标准-偏松标准",IF(AND(I309&gt;=2.57,I309&lt;=3),"标准-核心标准",IF(AND(I309&gt;=3.17,I309&lt;=3.5),"标准-偏紧标准",IF(AND(I309&gt;=3.6,I309&lt;=5),"紧凑-标准紧凑",IF(AND(I309&gt;=5.25,I309&lt;=8),"紧凑-高度紧凑",IF(I309&gt;=8.5,"紧凑-极度紧凑",""))))))))))</f>
        <v/>
      </c>
      <c r="L309" s="2">
        <f>IF(I309=0.1,"极紧凑",IF(AND(I309&gt;=1,I309&lt;=1.89),"松散",IF(AND(I309&gt;=2,I309&lt;=3.5),"标准",IF(I309&gt;=3.6,"紧凑",""))))</f>
        <v/>
      </c>
      <c r="M309" s="2" t="inlineStr">
        <is>
          <t>极紧凑-豹子号</t>
        </is>
      </c>
      <c r="N309" s="2" t="inlineStr">
        <is>
          <t>松散-极松散</t>
        </is>
      </c>
      <c r="O309" s="2" t="inlineStr">
        <is>
          <t>松散-标准松散</t>
        </is>
      </c>
      <c r="P309" s="2" t="inlineStr">
        <is>
          <t>松散-偏紧松散</t>
        </is>
      </c>
      <c r="Q309" s="2" t="inlineStr">
        <is>
          <t>标准-偏松标准</t>
        </is>
      </c>
      <c r="R309" s="2" t="inlineStr">
        <is>
          <t>标准-核心标准</t>
        </is>
      </c>
      <c r="S309" s="2" t="inlineStr">
        <is>
          <t>标准-偏紧标准</t>
        </is>
      </c>
      <c r="T309" s="2" t="inlineStr">
        <is>
          <t>紧凑-标准紧凑</t>
        </is>
      </c>
      <c r="U309" s="2" t="inlineStr">
        <is>
          <t>紧凑-高度紧凑</t>
        </is>
      </c>
      <c r="V309" s="2" t="inlineStr">
        <is>
          <t>紧凑-极度紧凑</t>
        </is>
      </c>
    </row>
    <row r="310">
      <c r="A310" s="1" t="n">
        <v>2023228</v>
      </c>
      <c r="B310" s="3" t="inlineStr">
        <is>
          <t>773</t>
        </is>
      </c>
      <c r="C310" s="2">
        <f>IF(B310="","",LEFT(TEXT(B310,"000"),1)*1)</f>
        <v/>
      </c>
      <c r="D310" s="2">
        <f>IF(B310="","",MID(TEXT(B310,"000"),2,1)*1)</f>
        <v/>
      </c>
      <c r="E310" s="2">
        <f>IF(B310="","",RIGHT(TEXT(B310,"000"),1)*1)</f>
        <v/>
      </c>
      <c r="F310" s="2">
        <f>IF(B310="","",C310+D310+E310)</f>
        <v/>
      </c>
      <c r="G310" s="2">
        <f>IF(B310="","",MOD(F310,10))</f>
        <v/>
      </c>
      <c r="H310" s="2">
        <f>IF(B310="","",MAX(C310,D310,E310)-MIN(C310,D310,E310))</f>
        <v/>
      </c>
      <c r="I310" s="2">
        <f>IF(OR(B310="",H310=0),IF(H310=0,0.1,""),ROUND(F310/H310,2))</f>
        <v/>
      </c>
      <c r="J310" s="2">
        <f>IF(I310=0.1,"极紧凑",IF(I310&gt;3.5,"紧凑",IF(AND(I310&gt;=2,I310&lt;=3.5),"标准",IF(AND(I310&gt;=1,I310&lt;2),"松散",""))))</f>
        <v/>
      </c>
      <c r="K310" s="2">
        <f>IF(I310=0.1,"极紧凑-豹子号",IF(AND(I310&gt;=1,I310&lt;=1.29),"松散-极松散",IF(AND(I310&gt;=1.33,I310&lt;=1.8),"松散-标准松散",IF(AND(I310&gt;=1.83,I310&lt;=1.89),"松散-偏紧松散",IF(AND(I310&gt;=2,I310&lt;=2.5),"标准-偏松标准",IF(AND(I310&gt;=2.57,I310&lt;=3),"标准-核心标准",IF(AND(I310&gt;=3.17,I310&lt;=3.5),"标准-偏紧标准",IF(AND(I310&gt;=3.6,I310&lt;=5),"紧凑-标准紧凑",IF(AND(I310&gt;=5.25,I310&lt;=8),"紧凑-高度紧凑",IF(I310&gt;=8.5,"紧凑-极度紧凑",""))))))))))</f>
        <v/>
      </c>
      <c r="L310" s="2">
        <f>IF(I310=0.1,"极紧凑",IF(AND(I310&gt;=1,I310&lt;=1.89),"松散",IF(AND(I310&gt;=2,I310&lt;=3.5),"标准",IF(I310&gt;=3.6,"紧凑",""))))</f>
        <v/>
      </c>
      <c r="M310" s="2" t="inlineStr">
        <is>
          <t>极紧凑-豹子号</t>
        </is>
      </c>
      <c r="N310" s="2" t="inlineStr">
        <is>
          <t>松散-极松散</t>
        </is>
      </c>
      <c r="O310" s="2" t="inlineStr">
        <is>
          <t>松散-标准松散</t>
        </is>
      </c>
      <c r="P310" s="2" t="inlineStr">
        <is>
          <t>松散-偏紧松散</t>
        </is>
      </c>
      <c r="Q310" s="2" t="inlineStr">
        <is>
          <t>标准-偏松标准</t>
        </is>
      </c>
      <c r="R310" s="2" t="inlineStr">
        <is>
          <t>标准-核心标准</t>
        </is>
      </c>
      <c r="S310" s="2" t="inlineStr">
        <is>
          <t>标准-偏紧标准</t>
        </is>
      </c>
      <c r="T310" s="2" t="inlineStr">
        <is>
          <t>紧凑-标准紧凑</t>
        </is>
      </c>
      <c r="U310" s="2" t="inlineStr">
        <is>
          <t>紧凑-高度紧凑</t>
        </is>
      </c>
      <c r="V310" s="2" t="inlineStr">
        <is>
          <t>紧凑-极度紧凑</t>
        </is>
      </c>
    </row>
    <row r="311">
      <c r="A311" s="1" t="n">
        <v>2023229</v>
      </c>
      <c r="B311" s="3" t="inlineStr">
        <is>
          <t>678</t>
        </is>
      </c>
      <c r="C311" s="2">
        <f>IF(B311="","",LEFT(TEXT(B311,"000"),1)*1)</f>
        <v/>
      </c>
      <c r="D311" s="2">
        <f>IF(B311="","",MID(TEXT(B311,"000"),2,1)*1)</f>
        <v/>
      </c>
      <c r="E311" s="2">
        <f>IF(B311="","",RIGHT(TEXT(B311,"000"),1)*1)</f>
        <v/>
      </c>
      <c r="F311" s="2">
        <f>IF(B311="","",C311+D311+E311)</f>
        <v/>
      </c>
      <c r="G311" s="2">
        <f>IF(B311="","",MOD(F311,10))</f>
        <v/>
      </c>
      <c r="H311" s="2">
        <f>IF(B311="","",MAX(C311,D311,E311)-MIN(C311,D311,E311))</f>
        <v/>
      </c>
      <c r="I311" s="2">
        <f>IF(OR(B311="",H311=0),IF(H311=0,0.1,""),ROUND(F311/H311,2))</f>
        <v/>
      </c>
      <c r="J311" s="2">
        <f>IF(I311=0.1,"极紧凑",IF(I311&gt;3.5,"紧凑",IF(AND(I311&gt;=2,I311&lt;=3.5),"标准",IF(AND(I311&gt;=1,I311&lt;2),"松散",""))))</f>
        <v/>
      </c>
      <c r="K311" s="2">
        <f>IF(I311=0.1,"极紧凑-豹子号",IF(AND(I311&gt;=1,I311&lt;=1.29),"松散-极松散",IF(AND(I311&gt;=1.33,I311&lt;=1.8),"松散-标准松散",IF(AND(I311&gt;=1.83,I311&lt;=1.89),"松散-偏紧松散",IF(AND(I311&gt;=2,I311&lt;=2.5),"标准-偏松标准",IF(AND(I311&gt;=2.57,I311&lt;=3),"标准-核心标准",IF(AND(I311&gt;=3.17,I311&lt;=3.5),"标准-偏紧标准",IF(AND(I311&gt;=3.6,I311&lt;=5),"紧凑-标准紧凑",IF(AND(I311&gt;=5.25,I311&lt;=8),"紧凑-高度紧凑",IF(I311&gt;=8.5,"紧凑-极度紧凑",""))))))))))</f>
        <v/>
      </c>
      <c r="L311" s="2">
        <f>IF(I311=0.1,"极紧凑",IF(AND(I311&gt;=1,I311&lt;=1.89),"松散",IF(AND(I311&gt;=2,I311&lt;=3.5),"标准",IF(I311&gt;=3.6,"紧凑",""))))</f>
        <v/>
      </c>
      <c r="M311" s="2" t="inlineStr">
        <is>
          <t>极紧凑-豹子号</t>
        </is>
      </c>
      <c r="N311" s="2" t="inlineStr">
        <is>
          <t>松散-极松散</t>
        </is>
      </c>
      <c r="O311" s="2" t="inlineStr">
        <is>
          <t>松散-标准松散</t>
        </is>
      </c>
      <c r="P311" s="2" t="inlineStr">
        <is>
          <t>松散-偏紧松散</t>
        </is>
      </c>
      <c r="Q311" s="2" t="inlineStr">
        <is>
          <t>标准-偏松标准</t>
        </is>
      </c>
      <c r="R311" s="2" t="inlineStr">
        <is>
          <t>标准-核心标准</t>
        </is>
      </c>
      <c r="S311" s="2" t="inlineStr">
        <is>
          <t>标准-偏紧标准</t>
        </is>
      </c>
      <c r="T311" s="2" t="inlineStr">
        <is>
          <t>紧凑-标准紧凑</t>
        </is>
      </c>
      <c r="U311" s="2" t="inlineStr">
        <is>
          <t>紧凑-高度紧凑</t>
        </is>
      </c>
      <c r="V311" s="2" t="inlineStr">
        <is>
          <t>紧凑-极度紧凑</t>
        </is>
      </c>
    </row>
    <row r="312">
      <c r="A312" s="1" t="n">
        <v>2023230</v>
      </c>
      <c r="B312" s="3" t="inlineStr">
        <is>
          <t>949</t>
        </is>
      </c>
      <c r="C312" s="2">
        <f>IF(B312="","",LEFT(TEXT(B312,"000"),1)*1)</f>
        <v/>
      </c>
      <c r="D312" s="2">
        <f>IF(B312="","",MID(TEXT(B312,"000"),2,1)*1)</f>
        <v/>
      </c>
      <c r="E312" s="2">
        <f>IF(B312="","",RIGHT(TEXT(B312,"000"),1)*1)</f>
        <v/>
      </c>
      <c r="F312" s="2">
        <f>IF(B312="","",C312+D312+E312)</f>
        <v/>
      </c>
      <c r="G312" s="2">
        <f>IF(B312="","",MOD(F312,10))</f>
        <v/>
      </c>
      <c r="H312" s="2">
        <f>IF(B312="","",MAX(C312,D312,E312)-MIN(C312,D312,E312))</f>
        <v/>
      </c>
      <c r="I312" s="2">
        <f>IF(OR(B312="",H312=0),IF(H312=0,0.1,""),ROUND(F312/H312,2))</f>
        <v/>
      </c>
      <c r="J312" s="2">
        <f>IF(I312=0.1,"极紧凑",IF(I312&gt;3.5,"紧凑",IF(AND(I312&gt;=2,I312&lt;=3.5),"标准",IF(AND(I312&gt;=1,I312&lt;2),"松散",""))))</f>
        <v/>
      </c>
      <c r="K312" s="2">
        <f>IF(I312=0.1,"极紧凑-豹子号",IF(AND(I312&gt;=1,I312&lt;=1.29),"松散-极松散",IF(AND(I312&gt;=1.33,I312&lt;=1.8),"松散-标准松散",IF(AND(I312&gt;=1.83,I312&lt;=1.89),"松散-偏紧松散",IF(AND(I312&gt;=2,I312&lt;=2.5),"标准-偏松标准",IF(AND(I312&gt;=2.57,I312&lt;=3),"标准-核心标准",IF(AND(I312&gt;=3.17,I312&lt;=3.5),"标准-偏紧标准",IF(AND(I312&gt;=3.6,I312&lt;=5),"紧凑-标准紧凑",IF(AND(I312&gt;=5.25,I312&lt;=8),"紧凑-高度紧凑",IF(I312&gt;=8.5,"紧凑-极度紧凑",""))))))))))</f>
        <v/>
      </c>
      <c r="L312" s="2">
        <f>IF(I312=0.1,"极紧凑",IF(AND(I312&gt;=1,I312&lt;=1.89),"松散",IF(AND(I312&gt;=2,I312&lt;=3.5),"标准",IF(I312&gt;=3.6,"紧凑",""))))</f>
        <v/>
      </c>
      <c r="M312" s="2" t="inlineStr">
        <is>
          <t>极紧凑-豹子号</t>
        </is>
      </c>
      <c r="N312" s="2" t="inlineStr">
        <is>
          <t>松散-极松散</t>
        </is>
      </c>
      <c r="O312" s="2" t="inlineStr">
        <is>
          <t>松散-标准松散</t>
        </is>
      </c>
      <c r="P312" s="2" t="inlineStr">
        <is>
          <t>松散-偏紧松散</t>
        </is>
      </c>
      <c r="Q312" s="2" t="inlineStr">
        <is>
          <t>标准-偏松标准</t>
        </is>
      </c>
      <c r="R312" s="2" t="inlineStr">
        <is>
          <t>标准-核心标准</t>
        </is>
      </c>
      <c r="S312" s="2" t="inlineStr">
        <is>
          <t>标准-偏紧标准</t>
        </is>
      </c>
      <c r="T312" s="2" t="inlineStr">
        <is>
          <t>紧凑-标准紧凑</t>
        </is>
      </c>
      <c r="U312" s="2" t="inlineStr">
        <is>
          <t>紧凑-高度紧凑</t>
        </is>
      </c>
      <c r="V312" s="2" t="inlineStr">
        <is>
          <t>紧凑-极度紧凑</t>
        </is>
      </c>
    </row>
    <row r="313">
      <c r="A313" s="1" t="n">
        <v>2023231</v>
      </c>
      <c r="B313" s="3" t="inlineStr">
        <is>
          <t>365</t>
        </is>
      </c>
      <c r="C313" s="2">
        <f>IF(B313="","",LEFT(TEXT(B313,"000"),1)*1)</f>
        <v/>
      </c>
      <c r="D313" s="2">
        <f>IF(B313="","",MID(TEXT(B313,"000"),2,1)*1)</f>
        <v/>
      </c>
      <c r="E313" s="2">
        <f>IF(B313="","",RIGHT(TEXT(B313,"000"),1)*1)</f>
        <v/>
      </c>
      <c r="F313" s="2">
        <f>IF(B313="","",C313+D313+E313)</f>
        <v/>
      </c>
      <c r="G313" s="2">
        <f>IF(B313="","",MOD(F313,10))</f>
        <v/>
      </c>
      <c r="H313" s="2">
        <f>IF(B313="","",MAX(C313,D313,E313)-MIN(C313,D313,E313))</f>
        <v/>
      </c>
      <c r="I313" s="2">
        <f>IF(OR(B313="",H313=0),IF(H313=0,0.1,""),ROUND(F313/H313,2))</f>
        <v/>
      </c>
      <c r="J313" s="2">
        <f>IF(I313=0.1,"极紧凑",IF(I313&gt;3.5,"紧凑",IF(AND(I313&gt;=2,I313&lt;=3.5),"标准",IF(AND(I313&gt;=1,I313&lt;2),"松散",""))))</f>
        <v/>
      </c>
      <c r="K313" s="2">
        <f>IF(I313=0.1,"极紧凑-豹子号",IF(AND(I313&gt;=1,I313&lt;=1.29),"松散-极松散",IF(AND(I313&gt;=1.33,I313&lt;=1.8),"松散-标准松散",IF(AND(I313&gt;=1.83,I313&lt;=1.89),"松散-偏紧松散",IF(AND(I313&gt;=2,I313&lt;=2.5),"标准-偏松标准",IF(AND(I313&gt;=2.57,I313&lt;=3),"标准-核心标准",IF(AND(I313&gt;=3.17,I313&lt;=3.5),"标准-偏紧标准",IF(AND(I313&gt;=3.6,I313&lt;=5),"紧凑-标准紧凑",IF(AND(I313&gt;=5.25,I313&lt;=8),"紧凑-高度紧凑",IF(I313&gt;=8.5,"紧凑-极度紧凑",""))))))))))</f>
        <v/>
      </c>
      <c r="L313" s="2">
        <f>IF(I313=0.1,"极紧凑",IF(AND(I313&gt;=1,I313&lt;=1.89),"松散",IF(AND(I313&gt;=2,I313&lt;=3.5),"标准",IF(I313&gt;=3.6,"紧凑",""))))</f>
        <v/>
      </c>
      <c r="M313" s="2" t="inlineStr">
        <is>
          <t>极紧凑-豹子号</t>
        </is>
      </c>
      <c r="N313" s="2" t="inlineStr">
        <is>
          <t>松散-极松散</t>
        </is>
      </c>
      <c r="O313" s="2" t="inlineStr">
        <is>
          <t>松散-标准松散</t>
        </is>
      </c>
      <c r="P313" s="2" t="inlineStr">
        <is>
          <t>松散-偏紧松散</t>
        </is>
      </c>
      <c r="Q313" s="2" t="inlineStr">
        <is>
          <t>标准-偏松标准</t>
        </is>
      </c>
      <c r="R313" s="2" t="inlineStr">
        <is>
          <t>标准-核心标准</t>
        </is>
      </c>
      <c r="S313" s="2" t="inlineStr">
        <is>
          <t>标准-偏紧标准</t>
        </is>
      </c>
      <c r="T313" s="2" t="inlineStr">
        <is>
          <t>紧凑-标准紧凑</t>
        </is>
      </c>
      <c r="U313" s="2" t="inlineStr">
        <is>
          <t>紧凑-高度紧凑</t>
        </is>
      </c>
      <c r="V313" s="2" t="inlineStr">
        <is>
          <t>紧凑-极度紧凑</t>
        </is>
      </c>
    </row>
    <row r="314">
      <c r="A314" s="1" t="n">
        <v>2023232</v>
      </c>
      <c r="B314" s="2" t="n">
        <v>860</v>
      </c>
      <c r="C314" s="2">
        <f>IF(B314="","",LEFT(TEXT(B314,"000"),1)*1)</f>
        <v/>
      </c>
      <c r="D314" s="2">
        <f>IF(B314="","",MID(TEXT(B314,"000"),2,1)*1)</f>
        <v/>
      </c>
      <c r="E314" s="2">
        <f>IF(B314="","",RIGHT(TEXT(B314,"000"),1)*1)</f>
        <v/>
      </c>
      <c r="F314" s="2">
        <f>IF(B314="","",C314+D314+E314)</f>
        <v/>
      </c>
      <c r="G314" s="2">
        <f>IF(B314="","",MOD(F314,10))</f>
        <v/>
      </c>
      <c r="H314" s="2">
        <f>IF(B314="","",MAX(C314,D314,E314)-MIN(C314,D314,E314))</f>
        <v/>
      </c>
      <c r="I314" s="2">
        <f>IF(OR(B314="",H314=0),IF(H314=0,0.1,""),ROUND(F314/H314,2))</f>
        <v/>
      </c>
      <c r="J314" s="2">
        <f>IF(I314=0.1,"极紧凑",IF(I314&gt;3.5,"紧凑",IF(AND(I314&gt;=2,I314&lt;=3.5),"标准",IF(AND(I314&gt;=1,I314&lt;2),"松散",""))))</f>
        <v/>
      </c>
      <c r="K314" s="2">
        <f>IF(I314=0.1,"极紧凑-豹子号",IF(AND(I314&gt;=1,I314&lt;=1.29),"松散-极松散",IF(AND(I314&gt;=1.33,I314&lt;=1.8),"松散-标准松散",IF(AND(I314&gt;=1.83,I314&lt;=1.89),"松散-偏紧松散",IF(AND(I314&gt;=2,I314&lt;=2.5),"标准-偏松标准",IF(AND(I314&gt;=2.57,I314&lt;=3),"标准-核心标准",IF(AND(I314&gt;=3.17,I314&lt;=3.5),"标准-偏紧标准",IF(AND(I314&gt;=3.6,I314&lt;=5),"紧凑-标准紧凑",IF(AND(I314&gt;=5.25,I314&lt;=8),"紧凑-高度紧凑",IF(I314&gt;=8.5,"紧凑-极度紧凑",""))))))))))</f>
        <v/>
      </c>
      <c r="L314" s="2">
        <f>IF(I314=0.1,"极紧凑",IF(AND(I314&gt;=1,I314&lt;=1.89),"松散",IF(AND(I314&gt;=2,I314&lt;=3.5),"标准",IF(I314&gt;=3.6,"紧凑",""))))</f>
        <v/>
      </c>
      <c r="M314" s="2" t="inlineStr">
        <is>
          <t>极紧凑-豹子号</t>
        </is>
      </c>
      <c r="N314" s="2" t="inlineStr">
        <is>
          <t>松散-极松散</t>
        </is>
      </c>
      <c r="O314" s="2" t="inlineStr">
        <is>
          <t>松散-标准松散</t>
        </is>
      </c>
      <c r="P314" s="2" t="inlineStr">
        <is>
          <t>松散-偏紧松散</t>
        </is>
      </c>
      <c r="Q314" s="2" t="inlineStr">
        <is>
          <t>标准-偏松标准</t>
        </is>
      </c>
      <c r="R314" s="2" t="inlineStr">
        <is>
          <t>标准-核心标准</t>
        </is>
      </c>
      <c r="S314" s="2" t="inlineStr">
        <is>
          <t>标准-偏紧标准</t>
        </is>
      </c>
      <c r="T314" s="2" t="inlineStr">
        <is>
          <t>紧凑-标准紧凑</t>
        </is>
      </c>
      <c r="U314" s="2" t="inlineStr">
        <is>
          <t>紧凑-高度紧凑</t>
        </is>
      </c>
      <c r="V314" s="2" t="inlineStr">
        <is>
          <t>紧凑-极度紧凑</t>
        </is>
      </c>
    </row>
    <row r="315">
      <c r="A315" s="1" t="n">
        <v>2023233</v>
      </c>
      <c r="B315" s="3" t="inlineStr">
        <is>
          <t>124</t>
        </is>
      </c>
      <c r="C315" s="2">
        <f>IF(B315="","",LEFT(TEXT(B315,"000"),1)*1)</f>
        <v/>
      </c>
      <c r="D315" s="2">
        <f>IF(B315="","",MID(TEXT(B315,"000"),2,1)*1)</f>
        <v/>
      </c>
      <c r="E315" s="2">
        <f>IF(B315="","",RIGHT(TEXT(B315,"000"),1)*1)</f>
        <v/>
      </c>
      <c r="F315" s="2">
        <f>IF(B315="","",C315+D315+E315)</f>
        <v/>
      </c>
      <c r="G315" s="2">
        <f>IF(B315="","",MOD(F315,10))</f>
        <v/>
      </c>
      <c r="H315" s="2">
        <f>IF(B315="","",MAX(C315,D315,E315)-MIN(C315,D315,E315))</f>
        <v/>
      </c>
      <c r="I315" s="2">
        <f>IF(OR(B315="",H315=0),IF(H315=0,0.1,""),ROUND(F315/H315,2))</f>
        <v/>
      </c>
      <c r="J315" s="2">
        <f>IF(I315=0.1,"极紧凑",IF(I315&gt;3.5,"紧凑",IF(AND(I315&gt;=2,I315&lt;=3.5),"标准",IF(AND(I315&gt;=1,I315&lt;2),"松散",""))))</f>
        <v/>
      </c>
      <c r="K315" s="2">
        <f>IF(I315=0.1,"极紧凑-豹子号",IF(AND(I315&gt;=1,I315&lt;=1.29),"松散-极松散",IF(AND(I315&gt;=1.33,I315&lt;=1.8),"松散-标准松散",IF(AND(I315&gt;=1.83,I315&lt;=1.89),"松散-偏紧松散",IF(AND(I315&gt;=2,I315&lt;=2.5),"标准-偏松标准",IF(AND(I315&gt;=2.57,I315&lt;=3),"标准-核心标准",IF(AND(I315&gt;=3.17,I315&lt;=3.5),"标准-偏紧标准",IF(AND(I315&gt;=3.6,I315&lt;=5),"紧凑-标准紧凑",IF(AND(I315&gt;=5.25,I315&lt;=8),"紧凑-高度紧凑",IF(I315&gt;=8.5,"紧凑-极度紧凑",""))))))))))</f>
        <v/>
      </c>
      <c r="L315" s="2">
        <f>IF(I315=0.1,"极紧凑",IF(AND(I315&gt;=1,I315&lt;=1.89),"松散",IF(AND(I315&gt;=2,I315&lt;=3.5),"标准",IF(I315&gt;=3.6,"紧凑",""))))</f>
        <v/>
      </c>
      <c r="M315" s="2" t="inlineStr">
        <is>
          <t>极紧凑-豹子号</t>
        </is>
      </c>
      <c r="N315" s="2" t="inlineStr">
        <is>
          <t>松散-极松散</t>
        </is>
      </c>
      <c r="O315" s="2" t="inlineStr">
        <is>
          <t>松散-标准松散</t>
        </is>
      </c>
      <c r="P315" s="2" t="inlineStr">
        <is>
          <t>松散-偏紧松散</t>
        </is>
      </c>
      <c r="Q315" s="2" t="inlineStr">
        <is>
          <t>标准-偏松标准</t>
        </is>
      </c>
      <c r="R315" s="2" t="inlineStr">
        <is>
          <t>标准-核心标准</t>
        </is>
      </c>
      <c r="S315" s="2" t="inlineStr">
        <is>
          <t>标准-偏紧标准</t>
        </is>
      </c>
      <c r="T315" s="2" t="inlineStr">
        <is>
          <t>紧凑-标准紧凑</t>
        </is>
      </c>
      <c r="U315" s="2" t="inlineStr">
        <is>
          <t>紧凑-高度紧凑</t>
        </is>
      </c>
      <c r="V315" s="2" t="inlineStr">
        <is>
          <t>紧凑-极度紧凑</t>
        </is>
      </c>
    </row>
    <row r="316">
      <c r="A316" s="1" t="n">
        <v>2023234</v>
      </c>
      <c r="B316" s="3" t="inlineStr">
        <is>
          <t>805</t>
        </is>
      </c>
      <c r="C316" s="2">
        <f>IF(B316="","",LEFT(TEXT(B316,"000"),1)*1)</f>
        <v/>
      </c>
      <c r="D316" s="2">
        <f>IF(B316="","",MID(TEXT(B316,"000"),2,1)*1)</f>
        <v/>
      </c>
      <c r="E316" s="2">
        <f>IF(B316="","",RIGHT(TEXT(B316,"000"),1)*1)</f>
        <v/>
      </c>
      <c r="F316" s="2">
        <f>IF(B316="","",C316+D316+E316)</f>
        <v/>
      </c>
      <c r="G316" s="2">
        <f>IF(B316="","",MOD(F316,10))</f>
        <v/>
      </c>
      <c r="H316" s="2">
        <f>IF(B316="","",MAX(C316,D316,E316)-MIN(C316,D316,E316))</f>
        <v/>
      </c>
      <c r="I316" s="2">
        <f>IF(OR(B316="",H316=0),IF(H316=0,0.1,""),ROUND(F316/H316,2))</f>
        <v/>
      </c>
      <c r="J316" s="2">
        <f>IF(I316=0.1,"极紧凑",IF(I316&gt;3.5,"紧凑",IF(AND(I316&gt;=2,I316&lt;=3.5),"标准",IF(AND(I316&gt;=1,I316&lt;2),"松散",""))))</f>
        <v/>
      </c>
      <c r="K316" s="2">
        <f>IF(I316=0.1,"极紧凑-豹子号",IF(AND(I316&gt;=1,I316&lt;=1.29),"松散-极松散",IF(AND(I316&gt;=1.33,I316&lt;=1.8),"松散-标准松散",IF(AND(I316&gt;=1.83,I316&lt;=1.89),"松散-偏紧松散",IF(AND(I316&gt;=2,I316&lt;=2.5),"标准-偏松标准",IF(AND(I316&gt;=2.57,I316&lt;=3),"标准-核心标准",IF(AND(I316&gt;=3.17,I316&lt;=3.5),"标准-偏紧标准",IF(AND(I316&gt;=3.6,I316&lt;=5),"紧凑-标准紧凑",IF(AND(I316&gt;=5.25,I316&lt;=8),"紧凑-高度紧凑",IF(I316&gt;=8.5,"紧凑-极度紧凑",""))))))))))</f>
        <v/>
      </c>
      <c r="L316" s="2">
        <f>IF(I316=0.1,"极紧凑",IF(AND(I316&gt;=1,I316&lt;=1.89),"松散",IF(AND(I316&gt;=2,I316&lt;=3.5),"标准",IF(I316&gt;=3.6,"紧凑",""))))</f>
        <v/>
      </c>
      <c r="M316" s="2" t="inlineStr">
        <is>
          <t>极紧凑-豹子号</t>
        </is>
      </c>
      <c r="N316" s="2" t="inlineStr">
        <is>
          <t>松散-极松散</t>
        </is>
      </c>
      <c r="O316" s="2" t="inlineStr">
        <is>
          <t>松散-标准松散</t>
        </is>
      </c>
      <c r="P316" s="2" t="inlineStr">
        <is>
          <t>松散-偏紧松散</t>
        </is>
      </c>
      <c r="Q316" s="2" t="inlineStr">
        <is>
          <t>标准-偏松标准</t>
        </is>
      </c>
      <c r="R316" s="2" t="inlineStr">
        <is>
          <t>标准-核心标准</t>
        </is>
      </c>
      <c r="S316" s="2" t="inlineStr">
        <is>
          <t>标准-偏紧标准</t>
        </is>
      </c>
      <c r="T316" s="2" t="inlineStr">
        <is>
          <t>紧凑-标准紧凑</t>
        </is>
      </c>
      <c r="U316" s="2" t="inlineStr">
        <is>
          <t>紧凑-高度紧凑</t>
        </is>
      </c>
      <c r="V316" s="2" t="inlineStr">
        <is>
          <t>紧凑-极度紧凑</t>
        </is>
      </c>
    </row>
    <row r="317">
      <c r="A317" s="1" t="n">
        <v>2023235</v>
      </c>
      <c r="B317" s="3" t="inlineStr">
        <is>
          <t>424</t>
        </is>
      </c>
      <c r="C317" s="2">
        <f>IF(B317="","",LEFT(TEXT(B317,"000"),1)*1)</f>
        <v/>
      </c>
      <c r="D317" s="2">
        <f>IF(B317="","",MID(TEXT(B317,"000"),2,1)*1)</f>
        <v/>
      </c>
      <c r="E317" s="2">
        <f>IF(B317="","",RIGHT(TEXT(B317,"000"),1)*1)</f>
        <v/>
      </c>
      <c r="F317" s="2">
        <f>IF(B317="","",C317+D317+E317)</f>
        <v/>
      </c>
      <c r="G317" s="2">
        <f>IF(B317="","",MOD(F317,10))</f>
        <v/>
      </c>
      <c r="H317" s="2">
        <f>IF(B317="","",MAX(C317,D317,E317)-MIN(C317,D317,E317))</f>
        <v/>
      </c>
      <c r="I317" s="2">
        <f>IF(OR(B317="",H317=0),IF(H317=0,0.1,""),ROUND(F317/H317,2))</f>
        <v/>
      </c>
      <c r="J317" s="2">
        <f>IF(I317=0.1,"极紧凑",IF(I317&gt;3.5,"紧凑",IF(AND(I317&gt;=2,I317&lt;=3.5),"标准",IF(AND(I317&gt;=1,I317&lt;2),"松散",""))))</f>
        <v/>
      </c>
      <c r="K317" s="2">
        <f>IF(I317=0.1,"极紧凑-豹子号",IF(AND(I317&gt;=1,I317&lt;=1.29),"松散-极松散",IF(AND(I317&gt;=1.33,I317&lt;=1.8),"松散-标准松散",IF(AND(I317&gt;=1.83,I317&lt;=1.89),"松散-偏紧松散",IF(AND(I317&gt;=2,I317&lt;=2.5),"标准-偏松标准",IF(AND(I317&gt;=2.57,I317&lt;=3),"标准-核心标准",IF(AND(I317&gt;=3.17,I317&lt;=3.5),"标准-偏紧标准",IF(AND(I317&gt;=3.6,I317&lt;=5),"紧凑-标准紧凑",IF(AND(I317&gt;=5.25,I317&lt;=8),"紧凑-高度紧凑",IF(I317&gt;=8.5,"紧凑-极度紧凑",""))))))))))</f>
        <v/>
      </c>
      <c r="L317" s="2">
        <f>IF(I317=0.1,"极紧凑",IF(AND(I317&gt;=1,I317&lt;=1.89),"松散",IF(AND(I317&gt;=2,I317&lt;=3.5),"标准",IF(I317&gt;=3.6,"紧凑",""))))</f>
        <v/>
      </c>
      <c r="M317" s="2" t="inlineStr">
        <is>
          <t>极紧凑-豹子号</t>
        </is>
      </c>
      <c r="N317" s="2" t="inlineStr">
        <is>
          <t>松散-极松散</t>
        </is>
      </c>
      <c r="O317" s="2" t="inlineStr">
        <is>
          <t>松散-标准松散</t>
        </is>
      </c>
      <c r="P317" s="2" t="inlineStr">
        <is>
          <t>松散-偏紧松散</t>
        </is>
      </c>
      <c r="Q317" s="2" t="inlineStr">
        <is>
          <t>标准-偏松标准</t>
        </is>
      </c>
      <c r="R317" s="2" t="inlineStr">
        <is>
          <t>标准-核心标准</t>
        </is>
      </c>
      <c r="S317" s="2" t="inlineStr">
        <is>
          <t>标准-偏紧标准</t>
        </is>
      </c>
      <c r="T317" s="2" t="inlineStr">
        <is>
          <t>紧凑-标准紧凑</t>
        </is>
      </c>
      <c r="U317" s="2" t="inlineStr">
        <is>
          <t>紧凑-高度紧凑</t>
        </is>
      </c>
      <c r="V317" s="2" t="inlineStr">
        <is>
          <t>紧凑-极度紧凑</t>
        </is>
      </c>
    </row>
    <row r="318">
      <c r="A318" s="1" t="n">
        <v>2023236</v>
      </c>
      <c r="B318" s="3" t="inlineStr">
        <is>
          <t>270</t>
        </is>
      </c>
      <c r="C318" s="2">
        <f>IF(B318="","",LEFT(TEXT(B318,"000"),1)*1)</f>
        <v/>
      </c>
      <c r="D318" s="2">
        <f>IF(B318="","",MID(TEXT(B318,"000"),2,1)*1)</f>
        <v/>
      </c>
      <c r="E318" s="2">
        <f>IF(B318="","",RIGHT(TEXT(B318,"000"),1)*1)</f>
        <v/>
      </c>
      <c r="F318" s="2">
        <f>IF(B318="","",C318+D318+E318)</f>
        <v/>
      </c>
      <c r="G318" s="2">
        <f>IF(B318="","",MOD(F318,10))</f>
        <v/>
      </c>
      <c r="H318" s="2">
        <f>IF(B318="","",MAX(C318,D318,E318)-MIN(C318,D318,E318))</f>
        <v/>
      </c>
      <c r="I318" s="2">
        <f>IF(OR(B318="",H318=0),IF(H318=0,0.1,""),ROUND(F318/H318,2))</f>
        <v/>
      </c>
      <c r="J318" s="2">
        <f>IF(I318=0.1,"极紧凑",IF(I318&gt;3.5,"紧凑",IF(AND(I318&gt;=2,I318&lt;=3.5),"标准",IF(AND(I318&gt;=1,I318&lt;2),"松散",""))))</f>
        <v/>
      </c>
      <c r="K318" s="2">
        <f>IF(I318=0.1,"极紧凑-豹子号",IF(AND(I318&gt;=1,I318&lt;=1.29),"松散-极松散",IF(AND(I318&gt;=1.33,I318&lt;=1.8),"松散-标准松散",IF(AND(I318&gt;=1.83,I318&lt;=1.89),"松散-偏紧松散",IF(AND(I318&gt;=2,I318&lt;=2.5),"标准-偏松标准",IF(AND(I318&gt;=2.57,I318&lt;=3),"标准-核心标准",IF(AND(I318&gt;=3.17,I318&lt;=3.5),"标准-偏紧标准",IF(AND(I318&gt;=3.6,I318&lt;=5),"紧凑-标准紧凑",IF(AND(I318&gt;=5.25,I318&lt;=8),"紧凑-高度紧凑",IF(I318&gt;=8.5,"紧凑-极度紧凑",""))))))))))</f>
        <v/>
      </c>
      <c r="L318" s="2">
        <f>IF(I318=0.1,"极紧凑",IF(AND(I318&gt;=1,I318&lt;=1.89),"松散",IF(AND(I318&gt;=2,I318&lt;=3.5),"标准",IF(I318&gt;=3.6,"紧凑",""))))</f>
        <v/>
      </c>
      <c r="M318" s="2" t="inlineStr">
        <is>
          <t>极紧凑-豹子号</t>
        </is>
      </c>
      <c r="N318" s="2" t="inlineStr">
        <is>
          <t>松散-极松散</t>
        </is>
      </c>
      <c r="O318" s="2" t="inlineStr">
        <is>
          <t>松散-标准松散</t>
        </is>
      </c>
      <c r="P318" s="2" t="inlineStr">
        <is>
          <t>松散-偏紧松散</t>
        </is>
      </c>
      <c r="Q318" s="2" t="inlineStr">
        <is>
          <t>标准-偏松标准</t>
        </is>
      </c>
      <c r="R318" s="2" t="inlineStr">
        <is>
          <t>标准-核心标准</t>
        </is>
      </c>
      <c r="S318" s="2" t="inlineStr">
        <is>
          <t>标准-偏紧标准</t>
        </is>
      </c>
      <c r="T318" s="2" t="inlineStr">
        <is>
          <t>紧凑-标准紧凑</t>
        </is>
      </c>
      <c r="U318" s="2" t="inlineStr">
        <is>
          <t>紧凑-高度紧凑</t>
        </is>
      </c>
      <c r="V318" s="2" t="inlineStr">
        <is>
          <t>紧凑-极度紧凑</t>
        </is>
      </c>
    </row>
    <row r="319">
      <c r="A319" s="1" t="n">
        <v>2023237</v>
      </c>
      <c r="B319" s="3" t="inlineStr">
        <is>
          <t>798</t>
        </is>
      </c>
      <c r="C319" s="2">
        <f>IF(B319="","",LEFT(TEXT(B319,"000"),1)*1)</f>
        <v/>
      </c>
      <c r="D319" s="2">
        <f>IF(B319="","",MID(TEXT(B319,"000"),2,1)*1)</f>
        <v/>
      </c>
      <c r="E319" s="2">
        <f>IF(B319="","",RIGHT(TEXT(B319,"000"),1)*1)</f>
        <v/>
      </c>
      <c r="F319" s="2">
        <f>IF(B319="","",C319+D319+E319)</f>
        <v/>
      </c>
      <c r="G319" s="2">
        <f>IF(B319="","",MOD(F319,10))</f>
        <v/>
      </c>
      <c r="H319" s="2">
        <f>IF(B319="","",MAX(C319,D319,E319)-MIN(C319,D319,E319))</f>
        <v/>
      </c>
      <c r="I319" s="2">
        <f>IF(OR(B319="",H319=0),IF(H319=0,0.1,""),ROUND(F319/H319,2))</f>
        <v/>
      </c>
      <c r="J319" s="2">
        <f>IF(I319=0.1,"极紧凑",IF(I319&gt;3.5,"紧凑",IF(AND(I319&gt;=2,I319&lt;=3.5),"标准",IF(AND(I319&gt;=1,I319&lt;2),"松散",""))))</f>
        <v/>
      </c>
      <c r="K319" s="2">
        <f>IF(I319=0.1,"极紧凑-豹子号",IF(AND(I319&gt;=1,I319&lt;=1.29),"松散-极松散",IF(AND(I319&gt;=1.33,I319&lt;=1.8),"松散-标准松散",IF(AND(I319&gt;=1.83,I319&lt;=1.89),"松散-偏紧松散",IF(AND(I319&gt;=2,I319&lt;=2.5),"标准-偏松标准",IF(AND(I319&gt;=2.57,I319&lt;=3),"标准-核心标准",IF(AND(I319&gt;=3.17,I319&lt;=3.5),"标准-偏紧标准",IF(AND(I319&gt;=3.6,I319&lt;=5),"紧凑-标准紧凑",IF(AND(I319&gt;=5.25,I319&lt;=8),"紧凑-高度紧凑",IF(I319&gt;=8.5,"紧凑-极度紧凑",""))))))))))</f>
        <v/>
      </c>
      <c r="L319" s="2">
        <f>IF(I319=0.1,"极紧凑",IF(AND(I319&gt;=1,I319&lt;=1.89),"松散",IF(AND(I319&gt;=2,I319&lt;=3.5),"标准",IF(I319&gt;=3.6,"紧凑",""))))</f>
        <v/>
      </c>
      <c r="M319" s="2" t="inlineStr">
        <is>
          <t>极紧凑-豹子号</t>
        </is>
      </c>
      <c r="N319" s="2" t="inlineStr">
        <is>
          <t>松散-极松散</t>
        </is>
      </c>
      <c r="O319" s="2" t="inlineStr">
        <is>
          <t>松散-标准松散</t>
        </is>
      </c>
      <c r="P319" s="2" t="inlineStr">
        <is>
          <t>松散-偏紧松散</t>
        </is>
      </c>
      <c r="Q319" s="2" t="inlineStr">
        <is>
          <t>标准-偏松标准</t>
        </is>
      </c>
      <c r="R319" s="2" t="inlineStr">
        <is>
          <t>标准-核心标准</t>
        </is>
      </c>
      <c r="S319" s="2" t="inlineStr">
        <is>
          <t>标准-偏紧标准</t>
        </is>
      </c>
      <c r="T319" s="2" t="inlineStr">
        <is>
          <t>紧凑-标准紧凑</t>
        </is>
      </c>
      <c r="U319" s="2" t="inlineStr">
        <is>
          <t>紧凑-高度紧凑</t>
        </is>
      </c>
      <c r="V319" s="2" t="inlineStr">
        <is>
          <t>紧凑-极度紧凑</t>
        </is>
      </c>
    </row>
    <row r="320">
      <c r="A320" s="1" t="n">
        <v>2023238</v>
      </c>
      <c r="B320" s="3" t="inlineStr">
        <is>
          <t>562</t>
        </is>
      </c>
      <c r="C320" s="2">
        <f>IF(B320="","",LEFT(TEXT(B320,"000"),1)*1)</f>
        <v/>
      </c>
      <c r="D320" s="2">
        <f>IF(B320="","",MID(TEXT(B320,"000"),2,1)*1)</f>
        <v/>
      </c>
      <c r="E320" s="2">
        <f>IF(B320="","",RIGHT(TEXT(B320,"000"),1)*1)</f>
        <v/>
      </c>
      <c r="F320" s="2">
        <f>IF(B320="","",C320+D320+E320)</f>
        <v/>
      </c>
      <c r="G320" s="2">
        <f>IF(B320="","",MOD(F320,10))</f>
        <v/>
      </c>
      <c r="H320" s="2">
        <f>IF(B320="","",MAX(C320,D320,E320)-MIN(C320,D320,E320))</f>
        <v/>
      </c>
      <c r="I320" s="2">
        <f>IF(OR(B320="",H320=0),IF(H320=0,0.1,""),ROUND(F320/H320,2))</f>
        <v/>
      </c>
      <c r="J320" s="2">
        <f>IF(I320=0.1,"极紧凑",IF(I320&gt;3.5,"紧凑",IF(AND(I320&gt;=2,I320&lt;=3.5),"标准",IF(AND(I320&gt;=1,I320&lt;2),"松散",""))))</f>
        <v/>
      </c>
      <c r="K320" s="2">
        <f>IF(I320=0.1,"极紧凑-豹子号",IF(AND(I320&gt;=1,I320&lt;=1.29),"松散-极松散",IF(AND(I320&gt;=1.33,I320&lt;=1.8),"松散-标准松散",IF(AND(I320&gt;=1.83,I320&lt;=1.89),"松散-偏紧松散",IF(AND(I320&gt;=2,I320&lt;=2.5),"标准-偏松标准",IF(AND(I320&gt;=2.57,I320&lt;=3),"标准-核心标准",IF(AND(I320&gt;=3.17,I320&lt;=3.5),"标准-偏紧标准",IF(AND(I320&gt;=3.6,I320&lt;=5),"紧凑-标准紧凑",IF(AND(I320&gt;=5.25,I320&lt;=8),"紧凑-高度紧凑",IF(I320&gt;=8.5,"紧凑-极度紧凑",""))))))))))</f>
        <v/>
      </c>
      <c r="L320" s="2">
        <f>IF(I320=0.1,"极紧凑",IF(AND(I320&gt;=1,I320&lt;=1.89),"松散",IF(AND(I320&gt;=2,I320&lt;=3.5),"标准",IF(I320&gt;=3.6,"紧凑",""))))</f>
        <v/>
      </c>
      <c r="M320" s="2" t="inlineStr">
        <is>
          <t>极紧凑-豹子号</t>
        </is>
      </c>
      <c r="N320" s="2" t="inlineStr">
        <is>
          <t>松散-极松散</t>
        </is>
      </c>
      <c r="O320" s="2" t="inlineStr">
        <is>
          <t>松散-标准松散</t>
        </is>
      </c>
      <c r="P320" s="2" t="inlineStr">
        <is>
          <t>松散-偏紧松散</t>
        </is>
      </c>
      <c r="Q320" s="2" t="inlineStr">
        <is>
          <t>标准-偏松标准</t>
        </is>
      </c>
      <c r="R320" s="2" t="inlineStr">
        <is>
          <t>标准-核心标准</t>
        </is>
      </c>
      <c r="S320" s="2" t="inlineStr">
        <is>
          <t>标准-偏紧标准</t>
        </is>
      </c>
      <c r="T320" s="2" t="inlineStr">
        <is>
          <t>紧凑-标准紧凑</t>
        </is>
      </c>
      <c r="U320" s="2" t="inlineStr">
        <is>
          <t>紧凑-高度紧凑</t>
        </is>
      </c>
      <c r="V320" s="2" t="inlineStr">
        <is>
          <t>紧凑-极度紧凑</t>
        </is>
      </c>
    </row>
    <row r="321">
      <c r="A321" s="1" t="n">
        <v>2023239</v>
      </c>
      <c r="B321" s="3" t="inlineStr">
        <is>
          <t>440</t>
        </is>
      </c>
      <c r="C321" s="2">
        <f>IF(B321="","",LEFT(TEXT(B321,"000"),1)*1)</f>
        <v/>
      </c>
      <c r="D321" s="2">
        <f>IF(B321="","",MID(TEXT(B321,"000"),2,1)*1)</f>
        <v/>
      </c>
      <c r="E321" s="2">
        <f>IF(B321="","",RIGHT(TEXT(B321,"000"),1)*1)</f>
        <v/>
      </c>
      <c r="F321" s="2">
        <f>IF(B321="","",C321+D321+E321)</f>
        <v/>
      </c>
      <c r="G321" s="2">
        <f>IF(B321="","",MOD(F321,10))</f>
        <v/>
      </c>
      <c r="H321" s="2">
        <f>IF(B321="","",MAX(C321,D321,E321)-MIN(C321,D321,E321))</f>
        <v/>
      </c>
      <c r="I321" s="2">
        <f>IF(OR(B321="",H321=0),IF(H321=0,0.1,""),ROUND(F321/H321,2))</f>
        <v/>
      </c>
      <c r="J321" s="2">
        <f>IF(I321=0.1,"极紧凑",IF(I321&gt;3.5,"紧凑",IF(AND(I321&gt;=2,I321&lt;=3.5),"标准",IF(AND(I321&gt;=1,I321&lt;2),"松散",""))))</f>
        <v/>
      </c>
      <c r="K321" s="2">
        <f>IF(I321=0.1,"极紧凑-豹子号",IF(AND(I321&gt;=1,I321&lt;=1.29),"松散-极松散",IF(AND(I321&gt;=1.33,I321&lt;=1.8),"松散-标准松散",IF(AND(I321&gt;=1.83,I321&lt;=1.89),"松散-偏紧松散",IF(AND(I321&gt;=2,I321&lt;=2.5),"标准-偏松标准",IF(AND(I321&gt;=2.57,I321&lt;=3),"标准-核心标准",IF(AND(I321&gt;=3.17,I321&lt;=3.5),"标准-偏紧标准",IF(AND(I321&gt;=3.6,I321&lt;=5),"紧凑-标准紧凑",IF(AND(I321&gt;=5.25,I321&lt;=8),"紧凑-高度紧凑",IF(I321&gt;=8.5,"紧凑-极度紧凑",""))))))))))</f>
        <v/>
      </c>
      <c r="L321" s="2">
        <f>IF(I321=0.1,"极紧凑",IF(AND(I321&gt;=1,I321&lt;=1.89),"松散",IF(AND(I321&gt;=2,I321&lt;=3.5),"标准",IF(I321&gt;=3.6,"紧凑",""))))</f>
        <v/>
      </c>
      <c r="M321" s="2" t="inlineStr">
        <is>
          <t>极紧凑-豹子号</t>
        </is>
      </c>
      <c r="N321" s="2" t="inlineStr">
        <is>
          <t>松散-极松散</t>
        </is>
      </c>
      <c r="O321" s="2" t="inlineStr">
        <is>
          <t>松散-标准松散</t>
        </is>
      </c>
      <c r="P321" s="2" t="inlineStr">
        <is>
          <t>松散-偏紧松散</t>
        </is>
      </c>
      <c r="Q321" s="2" t="inlineStr">
        <is>
          <t>标准-偏松标准</t>
        </is>
      </c>
      <c r="R321" s="2" t="inlineStr">
        <is>
          <t>标准-核心标准</t>
        </is>
      </c>
      <c r="S321" s="2" t="inlineStr">
        <is>
          <t>标准-偏紧标准</t>
        </is>
      </c>
      <c r="T321" s="2" t="inlineStr">
        <is>
          <t>紧凑-标准紧凑</t>
        </is>
      </c>
      <c r="U321" s="2" t="inlineStr">
        <is>
          <t>紧凑-高度紧凑</t>
        </is>
      </c>
      <c r="V321" s="2" t="inlineStr">
        <is>
          <t>紧凑-极度紧凑</t>
        </is>
      </c>
    </row>
    <row r="322">
      <c r="A322" s="1" t="n">
        <v>2023240</v>
      </c>
      <c r="B322" s="3" t="inlineStr">
        <is>
          <t>702</t>
        </is>
      </c>
      <c r="C322" s="2">
        <f>IF(B322="","",LEFT(TEXT(B322,"000"),1)*1)</f>
        <v/>
      </c>
      <c r="D322" s="2">
        <f>IF(B322="","",MID(TEXT(B322,"000"),2,1)*1)</f>
        <v/>
      </c>
      <c r="E322" s="2">
        <f>IF(B322="","",RIGHT(TEXT(B322,"000"),1)*1)</f>
        <v/>
      </c>
      <c r="F322" s="2">
        <f>IF(B322="","",C322+D322+E322)</f>
        <v/>
      </c>
      <c r="G322" s="2">
        <f>IF(B322="","",MOD(F322,10))</f>
        <v/>
      </c>
      <c r="H322" s="2">
        <f>IF(B322="","",MAX(C322,D322,E322)-MIN(C322,D322,E322))</f>
        <v/>
      </c>
      <c r="I322" s="2">
        <f>IF(OR(B322="",H322=0),IF(H322=0,0.1,""),ROUND(F322/H322,2))</f>
        <v/>
      </c>
      <c r="J322" s="2">
        <f>IF(I322=0.1,"极紧凑",IF(I322&gt;3.5,"紧凑",IF(AND(I322&gt;=2,I322&lt;=3.5),"标准",IF(AND(I322&gt;=1,I322&lt;2),"松散",""))))</f>
        <v/>
      </c>
      <c r="K322" s="2">
        <f>IF(I322=0.1,"极紧凑-豹子号",IF(AND(I322&gt;=1,I322&lt;=1.29),"松散-极松散",IF(AND(I322&gt;=1.33,I322&lt;=1.8),"松散-标准松散",IF(AND(I322&gt;=1.83,I322&lt;=1.89),"松散-偏紧松散",IF(AND(I322&gt;=2,I322&lt;=2.5),"标准-偏松标准",IF(AND(I322&gt;=2.57,I322&lt;=3),"标准-核心标准",IF(AND(I322&gt;=3.17,I322&lt;=3.5),"标准-偏紧标准",IF(AND(I322&gt;=3.6,I322&lt;=5),"紧凑-标准紧凑",IF(AND(I322&gt;=5.25,I322&lt;=8),"紧凑-高度紧凑",IF(I322&gt;=8.5,"紧凑-极度紧凑",""))))))))))</f>
        <v/>
      </c>
      <c r="L322" s="2">
        <f>IF(I322=0.1,"极紧凑",IF(AND(I322&gt;=1,I322&lt;=1.89),"松散",IF(AND(I322&gt;=2,I322&lt;=3.5),"标准",IF(I322&gt;=3.6,"紧凑",""))))</f>
        <v/>
      </c>
      <c r="M322" s="2" t="inlineStr">
        <is>
          <t>极紧凑-豹子号</t>
        </is>
      </c>
      <c r="N322" s="2" t="inlineStr">
        <is>
          <t>松散-极松散</t>
        </is>
      </c>
      <c r="O322" s="2" t="inlineStr">
        <is>
          <t>松散-标准松散</t>
        </is>
      </c>
      <c r="P322" s="2" t="inlineStr">
        <is>
          <t>松散-偏紧松散</t>
        </is>
      </c>
      <c r="Q322" s="2" t="inlineStr">
        <is>
          <t>标准-偏松标准</t>
        </is>
      </c>
      <c r="R322" s="2" t="inlineStr">
        <is>
          <t>标准-核心标准</t>
        </is>
      </c>
      <c r="S322" s="2" t="inlineStr">
        <is>
          <t>标准-偏紧标准</t>
        </is>
      </c>
      <c r="T322" s="2" t="inlineStr">
        <is>
          <t>紧凑-标准紧凑</t>
        </is>
      </c>
      <c r="U322" s="2" t="inlineStr">
        <is>
          <t>紧凑-高度紧凑</t>
        </is>
      </c>
      <c r="V322" s="2" t="inlineStr">
        <is>
          <t>紧凑-极度紧凑</t>
        </is>
      </c>
    </row>
    <row r="323">
      <c r="A323" s="1" t="n">
        <v>2023241</v>
      </c>
      <c r="B323" s="3" t="inlineStr">
        <is>
          <t>935</t>
        </is>
      </c>
      <c r="C323" s="2">
        <f>IF(B323="","",LEFT(TEXT(B323,"000"),1)*1)</f>
        <v/>
      </c>
      <c r="D323" s="2">
        <f>IF(B323="","",MID(TEXT(B323,"000"),2,1)*1)</f>
        <v/>
      </c>
      <c r="E323" s="2">
        <f>IF(B323="","",RIGHT(TEXT(B323,"000"),1)*1)</f>
        <v/>
      </c>
      <c r="F323" s="2">
        <f>IF(B323="","",C323+D323+E323)</f>
        <v/>
      </c>
      <c r="G323" s="2">
        <f>IF(B323="","",MOD(F323,10))</f>
        <v/>
      </c>
      <c r="H323" s="2">
        <f>IF(B323="","",MAX(C323,D323,E323)-MIN(C323,D323,E323))</f>
        <v/>
      </c>
      <c r="I323" s="2">
        <f>IF(OR(B323="",H323=0),IF(H323=0,0.1,""),ROUND(F323/H323,2))</f>
        <v/>
      </c>
      <c r="J323" s="2">
        <f>IF(I323=0.1,"极紧凑",IF(I323&gt;3.5,"紧凑",IF(AND(I323&gt;=2,I323&lt;=3.5),"标准",IF(AND(I323&gt;=1,I323&lt;2),"松散",""))))</f>
        <v/>
      </c>
      <c r="K323" s="2">
        <f>IF(I323=0.1,"极紧凑-豹子号",IF(AND(I323&gt;=1,I323&lt;=1.29),"松散-极松散",IF(AND(I323&gt;=1.33,I323&lt;=1.8),"松散-标准松散",IF(AND(I323&gt;=1.83,I323&lt;=1.89),"松散-偏紧松散",IF(AND(I323&gt;=2,I323&lt;=2.5),"标准-偏松标准",IF(AND(I323&gt;=2.57,I323&lt;=3),"标准-核心标准",IF(AND(I323&gt;=3.17,I323&lt;=3.5),"标准-偏紧标准",IF(AND(I323&gt;=3.6,I323&lt;=5),"紧凑-标准紧凑",IF(AND(I323&gt;=5.25,I323&lt;=8),"紧凑-高度紧凑",IF(I323&gt;=8.5,"紧凑-极度紧凑",""))))))))))</f>
        <v/>
      </c>
      <c r="L323" s="2">
        <f>IF(I323=0.1,"极紧凑",IF(AND(I323&gt;=1,I323&lt;=1.89),"松散",IF(AND(I323&gt;=2,I323&lt;=3.5),"标准",IF(I323&gt;=3.6,"紧凑",""))))</f>
        <v/>
      </c>
      <c r="M323" s="2" t="inlineStr">
        <is>
          <t>极紧凑-豹子号</t>
        </is>
      </c>
      <c r="N323" s="2" t="inlineStr">
        <is>
          <t>松散-极松散</t>
        </is>
      </c>
      <c r="O323" s="2" t="inlineStr">
        <is>
          <t>松散-标准松散</t>
        </is>
      </c>
      <c r="P323" s="2" t="inlineStr">
        <is>
          <t>松散-偏紧松散</t>
        </is>
      </c>
      <c r="Q323" s="2" t="inlineStr">
        <is>
          <t>标准-偏松标准</t>
        </is>
      </c>
      <c r="R323" s="2" t="inlineStr">
        <is>
          <t>标准-核心标准</t>
        </is>
      </c>
      <c r="S323" s="2" t="inlineStr">
        <is>
          <t>标准-偏紧标准</t>
        </is>
      </c>
      <c r="T323" s="2" t="inlineStr">
        <is>
          <t>紧凑-标准紧凑</t>
        </is>
      </c>
      <c r="U323" s="2" t="inlineStr">
        <is>
          <t>紧凑-高度紧凑</t>
        </is>
      </c>
      <c r="V323" s="2" t="inlineStr">
        <is>
          <t>紧凑-极度紧凑</t>
        </is>
      </c>
    </row>
    <row r="324">
      <c r="A324" s="1" t="n">
        <v>2023242</v>
      </c>
      <c r="B324" s="3" t="inlineStr">
        <is>
          <t>987</t>
        </is>
      </c>
      <c r="C324" s="2">
        <f>IF(B324="","",LEFT(TEXT(B324,"000"),1)*1)</f>
        <v/>
      </c>
      <c r="D324" s="2">
        <f>IF(B324="","",MID(TEXT(B324,"000"),2,1)*1)</f>
        <v/>
      </c>
      <c r="E324" s="2">
        <f>IF(B324="","",RIGHT(TEXT(B324,"000"),1)*1)</f>
        <v/>
      </c>
      <c r="F324" s="2">
        <f>IF(B324="","",C324+D324+E324)</f>
        <v/>
      </c>
      <c r="G324" s="2">
        <f>IF(B324="","",MOD(F324,10))</f>
        <v/>
      </c>
      <c r="H324" s="2">
        <f>IF(B324="","",MAX(C324,D324,E324)-MIN(C324,D324,E324))</f>
        <v/>
      </c>
      <c r="I324" s="2">
        <f>IF(OR(B324="",H324=0),IF(H324=0,0.1,""),ROUND(F324/H324,2))</f>
        <v/>
      </c>
      <c r="J324" s="2">
        <f>IF(I324=0.1,"极紧凑",IF(I324&gt;3.5,"紧凑",IF(AND(I324&gt;=2,I324&lt;=3.5),"标准",IF(AND(I324&gt;=1,I324&lt;2),"松散",""))))</f>
        <v/>
      </c>
      <c r="K324" s="2">
        <f>IF(I324=0.1,"极紧凑-豹子号",IF(AND(I324&gt;=1,I324&lt;=1.29),"松散-极松散",IF(AND(I324&gt;=1.33,I324&lt;=1.8),"松散-标准松散",IF(AND(I324&gt;=1.83,I324&lt;=1.89),"松散-偏紧松散",IF(AND(I324&gt;=2,I324&lt;=2.5),"标准-偏松标准",IF(AND(I324&gt;=2.57,I324&lt;=3),"标准-核心标准",IF(AND(I324&gt;=3.17,I324&lt;=3.5),"标准-偏紧标准",IF(AND(I324&gt;=3.6,I324&lt;=5),"紧凑-标准紧凑",IF(AND(I324&gt;=5.25,I324&lt;=8),"紧凑-高度紧凑",IF(I324&gt;=8.5,"紧凑-极度紧凑",""))))))))))</f>
        <v/>
      </c>
      <c r="L324" s="2">
        <f>IF(I324=0.1,"极紧凑",IF(AND(I324&gt;=1,I324&lt;=1.89),"松散",IF(AND(I324&gt;=2,I324&lt;=3.5),"标准",IF(I324&gt;=3.6,"紧凑",""))))</f>
        <v/>
      </c>
      <c r="M324" s="2" t="inlineStr">
        <is>
          <t>极紧凑-豹子号</t>
        </is>
      </c>
      <c r="N324" s="2" t="inlineStr">
        <is>
          <t>松散-极松散</t>
        </is>
      </c>
      <c r="O324" s="2" t="inlineStr">
        <is>
          <t>松散-标准松散</t>
        </is>
      </c>
      <c r="P324" s="2" t="inlineStr">
        <is>
          <t>松散-偏紧松散</t>
        </is>
      </c>
      <c r="Q324" s="2" t="inlineStr">
        <is>
          <t>标准-偏松标准</t>
        </is>
      </c>
      <c r="R324" s="2" t="inlineStr">
        <is>
          <t>标准-核心标准</t>
        </is>
      </c>
      <c r="S324" s="2" t="inlineStr">
        <is>
          <t>标准-偏紧标准</t>
        </is>
      </c>
      <c r="T324" s="2" t="inlineStr">
        <is>
          <t>紧凑-标准紧凑</t>
        </is>
      </c>
      <c r="U324" s="2" t="inlineStr">
        <is>
          <t>紧凑-高度紧凑</t>
        </is>
      </c>
      <c r="V324" s="2" t="inlineStr">
        <is>
          <t>紧凑-极度紧凑</t>
        </is>
      </c>
    </row>
    <row r="325">
      <c r="A325" s="1" t="n">
        <v>2023243</v>
      </c>
      <c r="B325" s="3" t="inlineStr">
        <is>
          <t>966</t>
        </is>
      </c>
      <c r="C325" s="2">
        <f>IF(B325="","",LEFT(TEXT(B325,"000"),1)*1)</f>
        <v/>
      </c>
      <c r="D325" s="2">
        <f>IF(B325="","",MID(TEXT(B325,"000"),2,1)*1)</f>
        <v/>
      </c>
      <c r="E325" s="2">
        <f>IF(B325="","",RIGHT(TEXT(B325,"000"),1)*1)</f>
        <v/>
      </c>
      <c r="F325" s="2">
        <f>IF(B325="","",C325+D325+E325)</f>
        <v/>
      </c>
      <c r="G325" s="2">
        <f>IF(B325="","",MOD(F325,10))</f>
        <v/>
      </c>
      <c r="H325" s="2">
        <f>IF(B325="","",MAX(C325,D325,E325)-MIN(C325,D325,E325))</f>
        <v/>
      </c>
      <c r="I325" s="2">
        <f>IF(OR(B325="",H325=0),IF(H325=0,0.1,""),ROUND(F325/H325,2))</f>
        <v/>
      </c>
      <c r="J325" s="2">
        <f>IF(I325=0.1,"极紧凑",IF(I325&gt;3.5,"紧凑",IF(AND(I325&gt;=2,I325&lt;=3.5),"标准",IF(AND(I325&gt;=1,I325&lt;2),"松散",""))))</f>
        <v/>
      </c>
      <c r="K325" s="2">
        <f>IF(I325=0.1,"极紧凑-豹子号",IF(AND(I325&gt;=1,I325&lt;=1.29),"松散-极松散",IF(AND(I325&gt;=1.33,I325&lt;=1.8),"松散-标准松散",IF(AND(I325&gt;=1.83,I325&lt;=1.89),"松散-偏紧松散",IF(AND(I325&gt;=2,I325&lt;=2.5),"标准-偏松标准",IF(AND(I325&gt;=2.57,I325&lt;=3),"标准-核心标准",IF(AND(I325&gt;=3.17,I325&lt;=3.5),"标准-偏紧标准",IF(AND(I325&gt;=3.6,I325&lt;=5),"紧凑-标准紧凑",IF(AND(I325&gt;=5.25,I325&lt;=8),"紧凑-高度紧凑",IF(I325&gt;=8.5,"紧凑-极度紧凑",""))))))))))</f>
        <v/>
      </c>
      <c r="L325" s="2">
        <f>IF(I325=0.1,"极紧凑",IF(AND(I325&gt;=1,I325&lt;=1.89),"松散",IF(AND(I325&gt;=2,I325&lt;=3.5),"标准",IF(I325&gt;=3.6,"紧凑",""))))</f>
        <v/>
      </c>
      <c r="M325" s="2" t="inlineStr">
        <is>
          <t>极紧凑-豹子号</t>
        </is>
      </c>
      <c r="N325" s="2" t="inlineStr">
        <is>
          <t>松散-极松散</t>
        </is>
      </c>
      <c r="O325" s="2" t="inlineStr">
        <is>
          <t>松散-标准松散</t>
        </is>
      </c>
      <c r="P325" s="2" t="inlineStr">
        <is>
          <t>松散-偏紧松散</t>
        </is>
      </c>
      <c r="Q325" s="2" t="inlineStr">
        <is>
          <t>标准-偏松标准</t>
        </is>
      </c>
      <c r="R325" s="2" t="inlineStr">
        <is>
          <t>标准-核心标准</t>
        </is>
      </c>
      <c r="S325" s="2" t="inlineStr">
        <is>
          <t>标准-偏紧标准</t>
        </is>
      </c>
      <c r="T325" s="2" t="inlineStr">
        <is>
          <t>紧凑-标准紧凑</t>
        </is>
      </c>
      <c r="U325" s="2" t="inlineStr">
        <is>
          <t>紧凑-高度紧凑</t>
        </is>
      </c>
      <c r="V325" s="2" t="inlineStr">
        <is>
          <t>紧凑-极度紧凑</t>
        </is>
      </c>
    </row>
    <row r="326">
      <c r="A326" s="1" t="n">
        <v>2023244</v>
      </c>
      <c r="B326" s="3" t="inlineStr">
        <is>
          <t>315</t>
        </is>
      </c>
      <c r="C326" s="2">
        <f>IF(B326="","",LEFT(TEXT(B326,"000"),1)*1)</f>
        <v/>
      </c>
      <c r="D326" s="2">
        <f>IF(B326="","",MID(TEXT(B326,"000"),2,1)*1)</f>
        <v/>
      </c>
      <c r="E326" s="2">
        <f>IF(B326="","",RIGHT(TEXT(B326,"000"),1)*1)</f>
        <v/>
      </c>
      <c r="F326" s="2">
        <f>IF(B326="","",C326+D326+E326)</f>
        <v/>
      </c>
      <c r="G326" s="2">
        <f>IF(B326="","",MOD(F326,10))</f>
        <v/>
      </c>
      <c r="H326" s="2">
        <f>IF(B326="","",MAX(C326,D326,E326)-MIN(C326,D326,E326))</f>
        <v/>
      </c>
      <c r="I326" s="2">
        <f>IF(OR(B326="",H326=0),IF(H326=0,0.1,""),ROUND(F326/H326,2))</f>
        <v/>
      </c>
      <c r="J326" s="2">
        <f>IF(I326=0.1,"极紧凑",IF(I326&gt;3.5,"紧凑",IF(AND(I326&gt;=2,I326&lt;=3.5),"标准",IF(AND(I326&gt;=1,I326&lt;2),"松散",""))))</f>
        <v/>
      </c>
      <c r="K326" s="2">
        <f>IF(I326=0.1,"极紧凑-豹子号",IF(AND(I326&gt;=1,I326&lt;=1.29),"松散-极松散",IF(AND(I326&gt;=1.33,I326&lt;=1.8),"松散-标准松散",IF(AND(I326&gt;=1.83,I326&lt;=1.89),"松散-偏紧松散",IF(AND(I326&gt;=2,I326&lt;=2.5),"标准-偏松标准",IF(AND(I326&gt;=2.57,I326&lt;=3),"标准-核心标准",IF(AND(I326&gt;=3.17,I326&lt;=3.5),"标准-偏紧标准",IF(AND(I326&gt;=3.6,I326&lt;=5),"紧凑-标准紧凑",IF(AND(I326&gt;=5.25,I326&lt;=8),"紧凑-高度紧凑",IF(I326&gt;=8.5,"紧凑-极度紧凑",""))))))))))</f>
        <v/>
      </c>
      <c r="L326" s="2">
        <f>IF(I326=0.1,"极紧凑",IF(AND(I326&gt;=1,I326&lt;=1.89),"松散",IF(AND(I326&gt;=2,I326&lt;=3.5),"标准",IF(I326&gt;=3.6,"紧凑",""))))</f>
        <v/>
      </c>
      <c r="M326" s="2" t="inlineStr">
        <is>
          <t>极紧凑-豹子号</t>
        </is>
      </c>
      <c r="N326" s="2" t="inlineStr">
        <is>
          <t>松散-极松散</t>
        </is>
      </c>
      <c r="O326" s="2" t="inlineStr">
        <is>
          <t>松散-标准松散</t>
        </is>
      </c>
      <c r="P326" s="2" t="inlineStr">
        <is>
          <t>松散-偏紧松散</t>
        </is>
      </c>
      <c r="Q326" s="2" t="inlineStr">
        <is>
          <t>标准-偏松标准</t>
        </is>
      </c>
      <c r="R326" s="2" t="inlineStr">
        <is>
          <t>标准-核心标准</t>
        </is>
      </c>
      <c r="S326" s="2" t="inlineStr">
        <is>
          <t>标准-偏紧标准</t>
        </is>
      </c>
      <c r="T326" s="2" t="inlineStr">
        <is>
          <t>紧凑-标准紧凑</t>
        </is>
      </c>
      <c r="U326" s="2" t="inlineStr">
        <is>
          <t>紧凑-高度紧凑</t>
        </is>
      </c>
      <c r="V326" s="2" t="inlineStr">
        <is>
          <t>紧凑-极度紧凑</t>
        </is>
      </c>
    </row>
    <row r="327">
      <c r="A327" s="1" t="n">
        <v>2023245</v>
      </c>
      <c r="B327" s="3" t="inlineStr">
        <is>
          <t>480</t>
        </is>
      </c>
      <c r="C327" s="2">
        <f>IF(B327="","",LEFT(TEXT(B327,"000"),1)*1)</f>
        <v/>
      </c>
      <c r="D327" s="2">
        <f>IF(B327="","",MID(TEXT(B327,"000"),2,1)*1)</f>
        <v/>
      </c>
      <c r="E327" s="2">
        <f>IF(B327="","",RIGHT(TEXT(B327,"000"),1)*1)</f>
        <v/>
      </c>
      <c r="F327" s="2">
        <f>IF(B327="","",C327+D327+E327)</f>
        <v/>
      </c>
      <c r="G327" s="2">
        <f>IF(B327="","",MOD(F327,10))</f>
        <v/>
      </c>
      <c r="H327" s="2">
        <f>IF(B327="","",MAX(C327,D327,E327)-MIN(C327,D327,E327))</f>
        <v/>
      </c>
      <c r="I327" s="2">
        <f>IF(OR(B327="",H327=0),IF(H327=0,0.1,""),ROUND(F327/H327,2))</f>
        <v/>
      </c>
      <c r="J327" s="2">
        <f>IF(I327=0.1,"极紧凑",IF(I327&gt;3.5,"紧凑",IF(AND(I327&gt;=2,I327&lt;=3.5),"标准",IF(AND(I327&gt;=1,I327&lt;2),"松散",""))))</f>
        <v/>
      </c>
      <c r="K327" s="2">
        <f>IF(I327=0.1,"极紧凑-豹子号",IF(AND(I327&gt;=1,I327&lt;=1.29),"松散-极松散",IF(AND(I327&gt;=1.33,I327&lt;=1.8),"松散-标准松散",IF(AND(I327&gt;=1.83,I327&lt;=1.89),"松散-偏紧松散",IF(AND(I327&gt;=2,I327&lt;=2.5),"标准-偏松标准",IF(AND(I327&gt;=2.57,I327&lt;=3),"标准-核心标准",IF(AND(I327&gt;=3.17,I327&lt;=3.5),"标准-偏紧标准",IF(AND(I327&gt;=3.6,I327&lt;=5),"紧凑-标准紧凑",IF(AND(I327&gt;=5.25,I327&lt;=8),"紧凑-高度紧凑",IF(I327&gt;=8.5,"紧凑-极度紧凑",""))))))))))</f>
        <v/>
      </c>
      <c r="L327" s="2">
        <f>IF(I327=0.1,"极紧凑",IF(AND(I327&gt;=1,I327&lt;=1.89),"松散",IF(AND(I327&gt;=2,I327&lt;=3.5),"标准",IF(I327&gt;=3.6,"紧凑",""))))</f>
        <v/>
      </c>
      <c r="M327" s="2" t="inlineStr">
        <is>
          <t>极紧凑-豹子号</t>
        </is>
      </c>
      <c r="N327" s="2" t="inlineStr">
        <is>
          <t>松散-极松散</t>
        </is>
      </c>
      <c r="O327" s="2" t="inlineStr">
        <is>
          <t>松散-标准松散</t>
        </is>
      </c>
      <c r="P327" s="2" t="inlineStr">
        <is>
          <t>松散-偏紧松散</t>
        </is>
      </c>
      <c r="Q327" s="2" t="inlineStr">
        <is>
          <t>标准-偏松标准</t>
        </is>
      </c>
      <c r="R327" s="2" t="inlineStr">
        <is>
          <t>标准-核心标准</t>
        </is>
      </c>
      <c r="S327" s="2" t="inlineStr">
        <is>
          <t>标准-偏紧标准</t>
        </is>
      </c>
      <c r="T327" s="2" t="inlineStr">
        <is>
          <t>紧凑-标准紧凑</t>
        </is>
      </c>
      <c r="U327" s="2" t="inlineStr">
        <is>
          <t>紧凑-高度紧凑</t>
        </is>
      </c>
      <c r="V327" s="2" t="inlineStr">
        <is>
          <t>紧凑-极度紧凑</t>
        </is>
      </c>
    </row>
    <row r="328">
      <c r="A328" s="1" t="n">
        <v>2023246</v>
      </c>
      <c r="B328" s="3" t="inlineStr">
        <is>
          <t>422</t>
        </is>
      </c>
      <c r="C328" s="2">
        <f>IF(B328="","",LEFT(TEXT(B328,"000"),1)*1)</f>
        <v/>
      </c>
      <c r="D328" s="2">
        <f>IF(B328="","",MID(TEXT(B328,"000"),2,1)*1)</f>
        <v/>
      </c>
      <c r="E328" s="2">
        <f>IF(B328="","",RIGHT(TEXT(B328,"000"),1)*1)</f>
        <v/>
      </c>
      <c r="F328" s="2">
        <f>IF(B328="","",C328+D328+E328)</f>
        <v/>
      </c>
      <c r="G328" s="2">
        <f>IF(B328="","",MOD(F328,10))</f>
        <v/>
      </c>
      <c r="H328" s="2">
        <f>IF(B328="","",MAX(C328,D328,E328)-MIN(C328,D328,E328))</f>
        <v/>
      </c>
      <c r="I328" s="2">
        <f>IF(OR(B328="",H328=0),IF(H328=0,0.1,""),ROUND(F328/H328,2))</f>
        <v/>
      </c>
      <c r="J328" s="2">
        <f>IF(I328=0.1,"极紧凑",IF(I328&gt;3.5,"紧凑",IF(AND(I328&gt;=2,I328&lt;=3.5),"标准",IF(AND(I328&gt;=1,I328&lt;2),"松散",""))))</f>
        <v/>
      </c>
      <c r="K328" s="2">
        <f>IF(I328=0.1,"极紧凑-豹子号",IF(AND(I328&gt;=1,I328&lt;=1.29),"松散-极松散",IF(AND(I328&gt;=1.33,I328&lt;=1.8),"松散-标准松散",IF(AND(I328&gt;=1.83,I328&lt;=1.89),"松散-偏紧松散",IF(AND(I328&gt;=2,I328&lt;=2.5),"标准-偏松标准",IF(AND(I328&gt;=2.57,I328&lt;=3),"标准-核心标准",IF(AND(I328&gt;=3.17,I328&lt;=3.5),"标准-偏紧标准",IF(AND(I328&gt;=3.6,I328&lt;=5),"紧凑-标准紧凑",IF(AND(I328&gt;=5.25,I328&lt;=8),"紧凑-高度紧凑",IF(I328&gt;=8.5,"紧凑-极度紧凑",""))))))))))</f>
        <v/>
      </c>
      <c r="L328" s="2">
        <f>IF(I328=0.1,"极紧凑",IF(AND(I328&gt;=1,I328&lt;=1.89),"松散",IF(AND(I328&gt;=2,I328&lt;=3.5),"标准",IF(I328&gt;=3.6,"紧凑",""))))</f>
        <v/>
      </c>
      <c r="M328" s="2" t="inlineStr">
        <is>
          <t>极紧凑-豹子号</t>
        </is>
      </c>
      <c r="N328" s="2" t="inlineStr">
        <is>
          <t>松散-极松散</t>
        </is>
      </c>
      <c r="O328" s="2" t="inlineStr">
        <is>
          <t>松散-标准松散</t>
        </is>
      </c>
      <c r="P328" s="2" t="inlineStr">
        <is>
          <t>松散-偏紧松散</t>
        </is>
      </c>
      <c r="Q328" s="2" t="inlineStr">
        <is>
          <t>标准-偏松标准</t>
        </is>
      </c>
      <c r="R328" s="2" t="inlineStr">
        <is>
          <t>标准-核心标准</t>
        </is>
      </c>
      <c r="S328" s="2" t="inlineStr">
        <is>
          <t>标准-偏紧标准</t>
        </is>
      </c>
      <c r="T328" s="2" t="inlineStr">
        <is>
          <t>紧凑-标准紧凑</t>
        </is>
      </c>
      <c r="U328" s="2" t="inlineStr">
        <is>
          <t>紧凑-高度紧凑</t>
        </is>
      </c>
      <c r="V328" s="2" t="inlineStr">
        <is>
          <t>紧凑-极度紧凑</t>
        </is>
      </c>
    </row>
    <row r="329">
      <c r="A329" s="1" t="n">
        <v>2023247</v>
      </c>
      <c r="B329" s="3" t="inlineStr">
        <is>
          <t>937</t>
        </is>
      </c>
      <c r="C329" s="2">
        <f>IF(B329="","",LEFT(TEXT(B329,"000"),1)*1)</f>
        <v/>
      </c>
      <c r="D329" s="2">
        <f>IF(B329="","",MID(TEXT(B329,"000"),2,1)*1)</f>
        <v/>
      </c>
      <c r="E329" s="2">
        <f>IF(B329="","",RIGHT(TEXT(B329,"000"),1)*1)</f>
        <v/>
      </c>
      <c r="F329" s="2">
        <f>IF(B329="","",C329+D329+E329)</f>
        <v/>
      </c>
      <c r="G329" s="2">
        <f>IF(B329="","",MOD(F329,10))</f>
        <v/>
      </c>
      <c r="H329" s="2">
        <f>IF(B329="","",MAX(C329,D329,E329)-MIN(C329,D329,E329))</f>
        <v/>
      </c>
      <c r="I329" s="2">
        <f>IF(OR(B329="",H329=0),IF(H329=0,0.1,""),ROUND(F329/H329,2))</f>
        <v/>
      </c>
      <c r="J329" s="2">
        <f>IF(I329=0.1,"极紧凑",IF(I329&gt;3.5,"紧凑",IF(AND(I329&gt;=2,I329&lt;=3.5),"标准",IF(AND(I329&gt;=1,I329&lt;2),"松散",""))))</f>
        <v/>
      </c>
      <c r="K329" s="2">
        <f>IF(I329=0.1,"极紧凑-豹子号",IF(AND(I329&gt;=1,I329&lt;=1.29),"松散-极松散",IF(AND(I329&gt;=1.33,I329&lt;=1.8),"松散-标准松散",IF(AND(I329&gt;=1.83,I329&lt;=1.89),"松散-偏紧松散",IF(AND(I329&gt;=2,I329&lt;=2.5),"标准-偏松标准",IF(AND(I329&gt;=2.57,I329&lt;=3),"标准-核心标准",IF(AND(I329&gt;=3.17,I329&lt;=3.5),"标准-偏紧标准",IF(AND(I329&gt;=3.6,I329&lt;=5),"紧凑-标准紧凑",IF(AND(I329&gt;=5.25,I329&lt;=8),"紧凑-高度紧凑",IF(I329&gt;=8.5,"紧凑-极度紧凑",""))))))))))</f>
        <v/>
      </c>
      <c r="L329" s="2">
        <f>IF(I329=0.1,"极紧凑",IF(AND(I329&gt;=1,I329&lt;=1.89),"松散",IF(AND(I329&gt;=2,I329&lt;=3.5),"标准",IF(I329&gt;=3.6,"紧凑",""))))</f>
        <v/>
      </c>
      <c r="M329" s="2" t="inlineStr">
        <is>
          <t>极紧凑-豹子号</t>
        </is>
      </c>
      <c r="N329" s="2" t="inlineStr">
        <is>
          <t>松散-极松散</t>
        </is>
      </c>
      <c r="O329" s="2" t="inlineStr">
        <is>
          <t>松散-标准松散</t>
        </is>
      </c>
      <c r="P329" s="2" t="inlineStr">
        <is>
          <t>松散-偏紧松散</t>
        </is>
      </c>
      <c r="Q329" s="2" t="inlineStr">
        <is>
          <t>标准-偏松标准</t>
        </is>
      </c>
      <c r="R329" s="2" t="inlineStr">
        <is>
          <t>标准-核心标准</t>
        </is>
      </c>
      <c r="S329" s="2" t="inlineStr">
        <is>
          <t>标准-偏紧标准</t>
        </is>
      </c>
      <c r="T329" s="2" t="inlineStr">
        <is>
          <t>紧凑-标准紧凑</t>
        </is>
      </c>
      <c r="U329" s="2" t="inlineStr">
        <is>
          <t>紧凑-高度紧凑</t>
        </is>
      </c>
      <c r="V329" s="2" t="inlineStr">
        <is>
          <t>紧凑-极度紧凑</t>
        </is>
      </c>
    </row>
    <row r="330">
      <c r="A330" s="1" t="n">
        <v>2023248</v>
      </c>
      <c r="B330" s="3" t="inlineStr">
        <is>
          <t>696</t>
        </is>
      </c>
      <c r="C330" s="2">
        <f>IF(B330="","",LEFT(TEXT(B330,"000"),1)*1)</f>
        <v/>
      </c>
      <c r="D330" s="2">
        <f>IF(B330="","",MID(TEXT(B330,"000"),2,1)*1)</f>
        <v/>
      </c>
      <c r="E330" s="2">
        <f>IF(B330="","",RIGHT(TEXT(B330,"000"),1)*1)</f>
        <v/>
      </c>
      <c r="F330" s="2">
        <f>IF(B330="","",C330+D330+E330)</f>
        <v/>
      </c>
      <c r="G330" s="2">
        <f>IF(B330="","",MOD(F330,10))</f>
        <v/>
      </c>
      <c r="H330" s="2">
        <f>IF(B330="","",MAX(C330,D330,E330)-MIN(C330,D330,E330))</f>
        <v/>
      </c>
      <c r="I330" s="2">
        <f>IF(OR(B330="",H330=0),IF(H330=0,0.1,""),ROUND(F330/H330,2))</f>
        <v/>
      </c>
      <c r="J330" s="2">
        <f>IF(I330=0.1,"极紧凑",IF(I330&gt;3.5,"紧凑",IF(AND(I330&gt;=2,I330&lt;=3.5),"标准",IF(AND(I330&gt;=1,I330&lt;2),"松散",""))))</f>
        <v/>
      </c>
      <c r="K330" s="2">
        <f>IF(I330=0.1,"极紧凑-豹子号",IF(AND(I330&gt;=1,I330&lt;=1.29),"松散-极松散",IF(AND(I330&gt;=1.33,I330&lt;=1.8),"松散-标准松散",IF(AND(I330&gt;=1.83,I330&lt;=1.89),"松散-偏紧松散",IF(AND(I330&gt;=2,I330&lt;=2.5),"标准-偏松标准",IF(AND(I330&gt;=2.57,I330&lt;=3),"标准-核心标准",IF(AND(I330&gt;=3.17,I330&lt;=3.5),"标准-偏紧标准",IF(AND(I330&gt;=3.6,I330&lt;=5),"紧凑-标准紧凑",IF(AND(I330&gt;=5.25,I330&lt;=8),"紧凑-高度紧凑",IF(I330&gt;=8.5,"紧凑-极度紧凑",""))))))))))</f>
        <v/>
      </c>
      <c r="L330" s="2">
        <f>IF(I330=0.1,"极紧凑",IF(AND(I330&gt;=1,I330&lt;=1.89),"松散",IF(AND(I330&gt;=2,I330&lt;=3.5),"标准",IF(I330&gt;=3.6,"紧凑",""))))</f>
        <v/>
      </c>
      <c r="M330" s="2" t="inlineStr">
        <is>
          <t>极紧凑-豹子号</t>
        </is>
      </c>
      <c r="N330" s="2" t="inlineStr">
        <is>
          <t>松散-极松散</t>
        </is>
      </c>
      <c r="O330" s="2" t="inlineStr">
        <is>
          <t>松散-标准松散</t>
        </is>
      </c>
      <c r="P330" s="2" t="inlineStr">
        <is>
          <t>松散-偏紧松散</t>
        </is>
      </c>
      <c r="Q330" s="2" t="inlineStr">
        <is>
          <t>标准-偏松标准</t>
        </is>
      </c>
      <c r="R330" s="2" t="inlineStr">
        <is>
          <t>标准-核心标准</t>
        </is>
      </c>
      <c r="S330" s="2" t="inlineStr">
        <is>
          <t>标准-偏紧标准</t>
        </is>
      </c>
      <c r="T330" s="2" t="inlineStr">
        <is>
          <t>紧凑-标准紧凑</t>
        </is>
      </c>
      <c r="U330" s="2" t="inlineStr">
        <is>
          <t>紧凑-高度紧凑</t>
        </is>
      </c>
      <c r="V330" s="2" t="inlineStr">
        <is>
          <t>紧凑-极度紧凑</t>
        </is>
      </c>
    </row>
    <row r="331">
      <c r="A331" s="1" t="n">
        <v>2023249</v>
      </c>
      <c r="B331" s="3" t="inlineStr">
        <is>
          <t>039</t>
        </is>
      </c>
      <c r="C331" s="2">
        <f>IF(B331="","",LEFT(TEXT(B331,"000"),1)*1)</f>
        <v/>
      </c>
      <c r="D331" s="2">
        <f>IF(B331="","",MID(TEXT(B331,"000"),2,1)*1)</f>
        <v/>
      </c>
      <c r="E331" s="2">
        <f>IF(B331="","",RIGHT(TEXT(B331,"000"),1)*1)</f>
        <v/>
      </c>
      <c r="F331" s="2">
        <f>IF(B331="","",C331+D331+E331)</f>
        <v/>
      </c>
      <c r="G331" s="2">
        <f>IF(B331="","",MOD(F331,10))</f>
        <v/>
      </c>
      <c r="H331" s="2">
        <f>IF(B331="","",MAX(C331,D331,E331)-MIN(C331,D331,E331))</f>
        <v/>
      </c>
      <c r="I331" s="2">
        <f>IF(OR(B331="",H331=0),IF(H331=0,0.1,""),ROUND(F331/H331,2))</f>
        <v/>
      </c>
      <c r="J331" s="2">
        <f>IF(I331=0.1,"极紧凑",IF(I331&gt;3.5,"紧凑",IF(AND(I331&gt;=2,I331&lt;=3.5),"标准",IF(AND(I331&gt;=1,I331&lt;2),"松散",""))))</f>
        <v/>
      </c>
      <c r="K331" s="2">
        <f>IF(I331=0.1,"极紧凑-豹子号",IF(AND(I331&gt;=1,I331&lt;=1.29),"松散-极松散",IF(AND(I331&gt;=1.33,I331&lt;=1.8),"松散-标准松散",IF(AND(I331&gt;=1.83,I331&lt;=1.89),"松散-偏紧松散",IF(AND(I331&gt;=2,I331&lt;=2.5),"标准-偏松标准",IF(AND(I331&gt;=2.57,I331&lt;=3),"标准-核心标准",IF(AND(I331&gt;=3.17,I331&lt;=3.5),"标准-偏紧标准",IF(AND(I331&gt;=3.6,I331&lt;=5),"紧凑-标准紧凑",IF(AND(I331&gt;=5.25,I331&lt;=8),"紧凑-高度紧凑",IF(I331&gt;=8.5,"紧凑-极度紧凑",""))))))))))</f>
        <v/>
      </c>
      <c r="L331" s="2">
        <f>IF(I331=0.1,"极紧凑",IF(AND(I331&gt;=1,I331&lt;=1.89),"松散",IF(AND(I331&gt;=2,I331&lt;=3.5),"标准",IF(I331&gt;=3.6,"紧凑",""))))</f>
        <v/>
      </c>
      <c r="M331" s="2" t="inlineStr">
        <is>
          <t>极紧凑-豹子号</t>
        </is>
      </c>
      <c r="N331" s="2" t="inlineStr">
        <is>
          <t>松散-极松散</t>
        </is>
      </c>
      <c r="O331" s="2" t="inlineStr">
        <is>
          <t>松散-标准松散</t>
        </is>
      </c>
      <c r="P331" s="2" t="inlineStr">
        <is>
          <t>松散-偏紧松散</t>
        </is>
      </c>
      <c r="Q331" s="2" t="inlineStr">
        <is>
          <t>标准-偏松标准</t>
        </is>
      </c>
      <c r="R331" s="2" t="inlineStr">
        <is>
          <t>标准-核心标准</t>
        </is>
      </c>
      <c r="S331" s="2" t="inlineStr">
        <is>
          <t>标准-偏紧标准</t>
        </is>
      </c>
      <c r="T331" s="2" t="inlineStr">
        <is>
          <t>紧凑-标准紧凑</t>
        </is>
      </c>
      <c r="U331" s="2" t="inlineStr">
        <is>
          <t>紧凑-高度紧凑</t>
        </is>
      </c>
      <c r="V331" s="2" t="inlineStr">
        <is>
          <t>紧凑-极度紧凑</t>
        </is>
      </c>
    </row>
    <row r="332">
      <c r="A332" s="1" t="n">
        <v>2023250</v>
      </c>
      <c r="B332" s="3" t="inlineStr">
        <is>
          <t>180</t>
        </is>
      </c>
      <c r="C332" s="2">
        <f>IF(B332="","",LEFT(TEXT(B332,"000"),1)*1)</f>
        <v/>
      </c>
      <c r="D332" s="2">
        <f>IF(B332="","",MID(TEXT(B332,"000"),2,1)*1)</f>
        <v/>
      </c>
      <c r="E332" s="2">
        <f>IF(B332="","",RIGHT(TEXT(B332,"000"),1)*1)</f>
        <v/>
      </c>
      <c r="F332" s="2">
        <f>IF(B332="","",C332+D332+E332)</f>
        <v/>
      </c>
      <c r="G332" s="2">
        <f>IF(B332="","",MOD(F332,10))</f>
        <v/>
      </c>
      <c r="H332" s="2">
        <f>IF(B332="","",MAX(C332,D332,E332)-MIN(C332,D332,E332))</f>
        <v/>
      </c>
      <c r="I332" s="2">
        <f>IF(OR(B332="",H332=0),IF(H332=0,0.1,""),ROUND(F332/H332,2))</f>
        <v/>
      </c>
      <c r="J332" s="2">
        <f>IF(I332=0.1,"极紧凑",IF(I332&gt;3.5,"紧凑",IF(AND(I332&gt;=2,I332&lt;=3.5),"标准",IF(AND(I332&gt;=1,I332&lt;2),"松散",""))))</f>
        <v/>
      </c>
      <c r="K332" s="2">
        <f>IF(I332=0.1,"极紧凑-豹子号",IF(AND(I332&gt;=1,I332&lt;=1.29),"松散-极松散",IF(AND(I332&gt;=1.33,I332&lt;=1.8),"松散-标准松散",IF(AND(I332&gt;=1.83,I332&lt;=1.89),"松散-偏紧松散",IF(AND(I332&gt;=2,I332&lt;=2.5),"标准-偏松标准",IF(AND(I332&gt;=2.57,I332&lt;=3),"标准-核心标准",IF(AND(I332&gt;=3.17,I332&lt;=3.5),"标准-偏紧标准",IF(AND(I332&gt;=3.6,I332&lt;=5),"紧凑-标准紧凑",IF(AND(I332&gt;=5.25,I332&lt;=8),"紧凑-高度紧凑",IF(I332&gt;=8.5,"紧凑-极度紧凑",""))))))))))</f>
        <v/>
      </c>
      <c r="L332" s="2">
        <f>IF(I332=0.1,"极紧凑",IF(AND(I332&gt;=1,I332&lt;=1.89),"松散",IF(AND(I332&gt;=2,I332&lt;=3.5),"标准",IF(I332&gt;=3.6,"紧凑",""))))</f>
        <v/>
      </c>
      <c r="M332" s="2" t="inlineStr">
        <is>
          <t>极紧凑-豹子号</t>
        </is>
      </c>
      <c r="N332" s="2" t="inlineStr">
        <is>
          <t>松散-极松散</t>
        </is>
      </c>
      <c r="O332" s="2" t="inlineStr">
        <is>
          <t>松散-标准松散</t>
        </is>
      </c>
      <c r="P332" s="2" t="inlineStr">
        <is>
          <t>松散-偏紧松散</t>
        </is>
      </c>
      <c r="Q332" s="2" t="inlineStr">
        <is>
          <t>标准-偏松标准</t>
        </is>
      </c>
      <c r="R332" s="2" t="inlineStr">
        <is>
          <t>标准-核心标准</t>
        </is>
      </c>
      <c r="S332" s="2" t="inlineStr">
        <is>
          <t>标准-偏紧标准</t>
        </is>
      </c>
      <c r="T332" s="2" t="inlineStr">
        <is>
          <t>紧凑-标准紧凑</t>
        </is>
      </c>
      <c r="U332" s="2" t="inlineStr">
        <is>
          <t>紧凑-高度紧凑</t>
        </is>
      </c>
      <c r="V332" s="2" t="inlineStr">
        <is>
          <t>紧凑-极度紧凑</t>
        </is>
      </c>
    </row>
    <row r="333">
      <c r="A333" s="1" t="n">
        <v>2023251</v>
      </c>
      <c r="B333" s="3" t="inlineStr">
        <is>
          <t>736</t>
        </is>
      </c>
      <c r="C333" s="2">
        <f>IF(B333="","",LEFT(TEXT(B333,"000"),1)*1)</f>
        <v/>
      </c>
      <c r="D333" s="2">
        <f>IF(B333="","",MID(TEXT(B333,"000"),2,1)*1)</f>
        <v/>
      </c>
      <c r="E333" s="2">
        <f>IF(B333="","",RIGHT(TEXT(B333,"000"),1)*1)</f>
        <v/>
      </c>
      <c r="F333" s="2">
        <f>IF(B333="","",C333+D333+E333)</f>
        <v/>
      </c>
      <c r="G333" s="2">
        <f>IF(B333="","",MOD(F333,10))</f>
        <v/>
      </c>
      <c r="H333" s="2">
        <f>IF(B333="","",MAX(C333,D333,E333)-MIN(C333,D333,E333))</f>
        <v/>
      </c>
      <c r="I333" s="2">
        <f>IF(OR(B333="",H333=0),IF(H333=0,0.1,""),ROUND(F333/H333,2))</f>
        <v/>
      </c>
      <c r="J333" s="2">
        <f>IF(I333=0.1,"极紧凑",IF(I333&gt;3.5,"紧凑",IF(AND(I333&gt;=2,I333&lt;=3.5),"标准",IF(AND(I333&gt;=1,I333&lt;2),"松散",""))))</f>
        <v/>
      </c>
      <c r="K333" s="2">
        <f>IF(I333=0.1,"极紧凑-豹子号",IF(AND(I333&gt;=1,I333&lt;=1.29),"松散-极松散",IF(AND(I333&gt;=1.33,I333&lt;=1.8),"松散-标准松散",IF(AND(I333&gt;=1.83,I333&lt;=1.89),"松散-偏紧松散",IF(AND(I333&gt;=2,I333&lt;=2.5),"标准-偏松标准",IF(AND(I333&gt;=2.57,I333&lt;=3),"标准-核心标准",IF(AND(I333&gt;=3.17,I333&lt;=3.5),"标准-偏紧标准",IF(AND(I333&gt;=3.6,I333&lt;=5),"紧凑-标准紧凑",IF(AND(I333&gt;=5.25,I333&lt;=8),"紧凑-高度紧凑",IF(I333&gt;=8.5,"紧凑-极度紧凑",""))))))))))</f>
        <v/>
      </c>
      <c r="L333" s="2">
        <f>IF(I333=0.1,"极紧凑",IF(AND(I333&gt;=1,I333&lt;=1.89),"松散",IF(AND(I333&gt;=2,I333&lt;=3.5),"标准",IF(I333&gt;=3.6,"紧凑",""))))</f>
        <v/>
      </c>
      <c r="M333" s="2" t="inlineStr">
        <is>
          <t>极紧凑-豹子号</t>
        </is>
      </c>
      <c r="N333" s="2" t="inlineStr">
        <is>
          <t>松散-极松散</t>
        </is>
      </c>
      <c r="O333" s="2" t="inlineStr">
        <is>
          <t>松散-标准松散</t>
        </is>
      </c>
      <c r="P333" s="2" t="inlineStr">
        <is>
          <t>松散-偏紧松散</t>
        </is>
      </c>
      <c r="Q333" s="2" t="inlineStr">
        <is>
          <t>标准-偏松标准</t>
        </is>
      </c>
      <c r="R333" s="2" t="inlineStr">
        <is>
          <t>标准-核心标准</t>
        </is>
      </c>
      <c r="S333" s="2" t="inlineStr">
        <is>
          <t>标准-偏紧标准</t>
        </is>
      </c>
      <c r="T333" s="2" t="inlineStr">
        <is>
          <t>紧凑-标准紧凑</t>
        </is>
      </c>
      <c r="U333" s="2" t="inlineStr">
        <is>
          <t>紧凑-高度紧凑</t>
        </is>
      </c>
      <c r="V333" s="2" t="inlineStr">
        <is>
          <t>紧凑-极度紧凑</t>
        </is>
      </c>
    </row>
    <row r="334">
      <c r="A334" s="1" t="n">
        <v>2023252</v>
      </c>
      <c r="B334" s="3" t="inlineStr">
        <is>
          <t>961</t>
        </is>
      </c>
      <c r="C334" s="2">
        <f>IF(B334="","",LEFT(TEXT(B334,"000"),1)*1)</f>
        <v/>
      </c>
      <c r="D334" s="2">
        <f>IF(B334="","",MID(TEXT(B334,"000"),2,1)*1)</f>
        <v/>
      </c>
      <c r="E334" s="2">
        <f>IF(B334="","",RIGHT(TEXT(B334,"000"),1)*1)</f>
        <v/>
      </c>
      <c r="F334" s="2">
        <f>IF(B334="","",C334+D334+E334)</f>
        <v/>
      </c>
      <c r="G334" s="2">
        <f>IF(B334="","",MOD(F334,10))</f>
        <v/>
      </c>
      <c r="H334" s="2">
        <f>IF(B334="","",MAX(C334,D334,E334)-MIN(C334,D334,E334))</f>
        <v/>
      </c>
      <c r="I334" s="2">
        <f>IF(OR(B334="",H334=0),IF(H334=0,0.1,""),ROUND(F334/H334,2))</f>
        <v/>
      </c>
      <c r="J334" s="2">
        <f>IF(I334=0.1,"极紧凑",IF(I334&gt;3.5,"紧凑",IF(AND(I334&gt;=2,I334&lt;=3.5),"标准",IF(AND(I334&gt;=1,I334&lt;2),"松散",""))))</f>
        <v/>
      </c>
      <c r="K334" s="2">
        <f>IF(I334=0.1,"极紧凑-豹子号",IF(AND(I334&gt;=1,I334&lt;=1.29),"松散-极松散",IF(AND(I334&gt;=1.33,I334&lt;=1.8),"松散-标准松散",IF(AND(I334&gt;=1.83,I334&lt;=1.89),"松散-偏紧松散",IF(AND(I334&gt;=2,I334&lt;=2.5),"标准-偏松标准",IF(AND(I334&gt;=2.57,I334&lt;=3),"标准-核心标准",IF(AND(I334&gt;=3.17,I334&lt;=3.5),"标准-偏紧标准",IF(AND(I334&gt;=3.6,I334&lt;=5),"紧凑-标准紧凑",IF(AND(I334&gt;=5.25,I334&lt;=8),"紧凑-高度紧凑",IF(I334&gt;=8.5,"紧凑-极度紧凑",""))))))))))</f>
        <v/>
      </c>
      <c r="L334" s="2">
        <f>IF(I334=0.1,"极紧凑",IF(AND(I334&gt;=1,I334&lt;=1.89),"松散",IF(AND(I334&gt;=2,I334&lt;=3.5),"标准",IF(I334&gt;=3.6,"紧凑",""))))</f>
        <v/>
      </c>
      <c r="M334" s="2" t="inlineStr">
        <is>
          <t>极紧凑-豹子号</t>
        </is>
      </c>
      <c r="N334" s="2" t="inlineStr">
        <is>
          <t>松散-极松散</t>
        </is>
      </c>
      <c r="O334" s="2" t="inlineStr">
        <is>
          <t>松散-标准松散</t>
        </is>
      </c>
      <c r="P334" s="2" t="inlineStr">
        <is>
          <t>松散-偏紧松散</t>
        </is>
      </c>
      <c r="Q334" s="2" t="inlineStr">
        <is>
          <t>标准-偏松标准</t>
        </is>
      </c>
      <c r="R334" s="2" t="inlineStr">
        <is>
          <t>标准-核心标准</t>
        </is>
      </c>
      <c r="S334" s="2" t="inlineStr">
        <is>
          <t>标准-偏紧标准</t>
        </is>
      </c>
      <c r="T334" s="2" t="inlineStr">
        <is>
          <t>紧凑-标准紧凑</t>
        </is>
      </c>
      <c r="U334" s="2" t="inlineStr">
        <is>
          <t>紧凑-高度紧凑</t>
        </is>
      </c>
      <c r="V334" s="2" t="inlineStr">
        <is>
          <t>紧凑-极度紧凑</t>
        </is>
      </c>
    </row>
    <row r="335">
      <c r="A335" s="1" t="n">
        <v>2023253</v>
      </c>
      <c r="B335" s="3" t="inlineStr">
        <is>
          <t>986</t>
        </is>
      </c>
      <c r="C335" s="2">
        <f>IF(B335="","",LEFT(TEXT(B335,"000"),1)*1)</f>
        <v/>
      </c>
      <c r="D335" s="2">
        <f>IF(B335="","",MID(TEXT(B335,"000"),2,1)*1)</f>
        <v/>
      </c>
      <c r="E335" s="2">
        <f>IF(B335="","",RIGHT(TEXT(B335,"000"),1)*1)</f>
        <v/>
      </c>
      <c r="F335" s="2">
        <f>IF(B335="","",C335+D335+E335)</f>
        <v/>
      </c>
      <c r="G335" s="2">
        <f>IF(B335="","",MOD(F335,10))</f>
        <v/>
      </c>
      <c r="H335" s="2">
        <f>IF(B335="","",MAX(C335,D335,E335)-MIN(C335,D335,E335))</f>
        <v/>
      </c>
      <c r="I335" s="2">
        <f>IF(OR(B335="",H335=0),IF(H335=0,0.1,""),ROUND(F335/H335,2))</f>
        <v/>
      </c>
      <c r="J335" s="2">
        <f>IF(I335=0.1,"极紧凑",IF(I335&gt;3.5,"紧凑",IF(AND(I335&gt;=2,I335&lt;=3.5),"标准",IF(AND(I335&gt;=1,I335&lt;2),"松散",""))))</f>
        <v/>
      </c>
      <c r="K335" s="2">
        <f>IF(I335=0.1,"极紧凑-豹子号",IF(AND(I335&gt;=1,I335&lt;=1.29),"松散-极松散",IF(AND(I335&gt;=1.33,I335&lt;=1.8),"松散-标准松散",IF(AND(I335&gt;=1.83,I335&lt;=1.89),"松散-偏紧松散",IF(AND(I335&gt;=2,I335&lt;=2.5),"标准-偏松标准",IF(AND(I335&gt;=2.57,I335&lt;=3),"标准-核心标准",IF(AND(I335&gt;=3.17,I335&lt;=3.5),"标准-偏紧标准",IF(AND(I335&gt;=3.6,I335&lt;=5),"紧凑-标准紧凑",IF(AND(I335&gt;=5.25,I335&lt;=8),"紧凑-高度紧凑",IF(I335&gt;=8.5,"紧凑-极度紧凑",""))))))))))</f>
        <v/>
      </c>
      <c r="L335" s="2">
        <f>IF(I335=0.1,"极紧凑",IF(AND(I335&gt;=1,I335&lt;=1.89),"松散",IF(AND(I335&gt;=2,I335&lt;=3.5),"标准",IF(I335&gt;=3.6,"紧凑",""))))</f>
        <v/>
      </c>
      <c r="M335" s="2" t="inlineStr">
        <is>
          <t>极紧凑-豹子号</t>
        </is>
      </c>
      <c r="N335" s="2" t="inlineStr">
        <is>
          <t>松散-极松散</t>
        </is>
      </c>
      <c r="O335" s="2" t="inlineStr">
        <is>
          <t>松散-标准松散</t>
        </is>
      </c>
      <c r="P335" s="2" t="inlineStr">
        <is>
          <t>松散-偏紧松散</t>
        </is>
      </c>
      <c r="Q335" s="2" t="inlineStr">
        <is>
          <t>标准-偏松标准</t>
        </is>
      </c>
      <c r="R335" s="2" t="inlineStr">
        <is>
          <t>标准-核心标准</t>
        </is>
      </c>
      <c r="S335" s="2" t="inlineStr">
        <is>
          <t>标准-偏紧标准</t>
        </is>
      </c>
      <c r="T335" s="2" t="inlineStr">
        <is>
          <t>紧凑-标准紧凑</t>
        </is>
      </c>
      <c r="U335" s="2" t="inlineStr">
        <is>
          <t>紧凑-高度紧凑</t>
        </is>
      </c>
      <c r="V335" s="2" t="inlineStr">
        <is>
          <t>紧凑-极度紧凑</t>
        </is>
      </c>
    </row>
    <row r="336">
      <c r="A336" s="1" t="n">
        <v>2023254</v>
      </c>
      <c r="B336" s="3" t="inlineStr">
        <is>
          <t>991</t>
        </is>
      </c>
      <c r="C336" s="2">
        <f>IF(B336="","",LEFT(TEXT(B336,"000"),1)*1)</f>
        <v/>
      </c>
      <c r="D336" s="2">
        <f>IF(B336="","",MID(TEXT(B336,"000"),2,1)*1)</f>
        <v/>
      </c>
      <c r="E336" s="2">
        <f>IF(B336="","",RIGHT(TEXT(B336,"000"),1)*1)</f>
        <v/>
      </c>
      <c r="F336" s="2">
        <f>IF(B336="","",C336+D336+E336)</f>
        <v/>
      </c>
      <c r="G336" s="2">
        <f>IF(B336="","",MOD(F336,10))</f>
        <v/>
      </c>
      <c r="H336" s="2">
        <f>IF(B336="","",MAX(C336,D336,E336)-MIN(C336,D336,E336))</f>
        <v/>
      </c>
      <c r="I336" s="2">
        <f>IF(OR(B336="",H336=0),IF(H336=0,0.1,""),ROUND(F336/H336,2))</f>
        <v/>
      </c>
      <c r="J336" s="2">
        <f>IF(I336=0.1,"极紧凑",IF(I336&gt;3.5,"紧凑",IF(AND(I336&gt;=2,I336&lt;=3.5),"标准",IF(AND(I336&gt;=1,I336&lt;2),"松散",""))))</f>
        <v/>
      </c>
      <c r="K336" s="2">
        <f>IF(I336=0.1,"极紧凑-豹子号",IF(AND(I336&gt;=1,I336&lt;=1.29),"松散-极松散",IF(AND(I336&gt;=1.33,I336&lt;=1.8),"松散-标准松散",IF(AND(I336&gt;=1.83,I336&lt;=1.89),"松散-偏紧松散",IF(AND(I336&gt;=2,I336&lt;=2.5),"标准-偏松标准",IF(AND(I336&gt;=2.57,I336&lt;=3),"标准-核心标准",IF(AND(I336&gt;=3.17,I336&lt;=3.5),"标准-偏紧标准",IF(AND(I336&gt;=3.6,I336&lt;=5),"紧凑-标准紧凑",IF(AND(I336&gt;=5.25,I336&lt;=8),"紧凑-高度紧凑",IF(I336&gt;=8.5,"紧凑-极度紧凑",""))))))))))</f>
        <v/>
      </c>
      <c r="L336" s="2">
        <f>IF(I336=0.1,"极紧凑",IF(AND(I336&gt;=1,I336&lt;=1.89),"松散",IF(AND(I336&gt;=2,I336&lt;=3.5),"标准",IF(I336&gt;=3.6,"紧凑",""))))</f>
        <v/>
      </c>
      <c r="M336" s="2" t="inlineStr">
        <is>
          <t>极紧凑-豹子号</t>
        </is>
      </c>
      <c r="N336" s="2" t="inlineStr">
        <is>
          <t>松散-极松散</t>
        </is>
      </c>
      <c r="O336" s="2" t="inlineStr">
        <is>
          <t>松散-标准松散</t>
        </is>
      </c>
      <c r="P336" s="2" t="inlineStr">
        <is>
          <t>松散-偏紧松散</t>
        </is>
      </c>
      <c r="Q336" s="2" t="inlineStr">
        <is>
          <t>标准-偏松标准</t>
        </is>
      </c>
      <c r="R336" s="2" t="inlineStr">
        <is>
          <t>标准-核心标准</t>
        </is>
      </c>
      <c r="S336" s="2" t="inlineStr">
        <is>
          <t>标准-偏紧标准</t>
        </is>
      </c>
      <c r="T336" s="2" t="inlineStr">
        <is>
          <t>紧凑-标准紧凑</t>
        </is>
      </c>
      <c r="U336" s="2" t="inlineStr">
        <is>
          <t>紧凑-高度紧凑</t>
        </is>
      </c>
      <c r="V336" s="2" t="inlineStr">
        <is>
          <t>紧凑-极度紧凑</t>
        </is>
      </c>
    </row>
    <row r="337">
      <c r="A337" s="1" t="n">
        <v>2023255</v>
      </c>
      <c r="B337" s="2" t="inlineStr">
        <is>
          <t>056</t>
        </is>
      </c>
      <c r="C337" s="2">
        <f>IF(B337="","",LEFT(TEXT(B337,"000"),1)*1)</f>
        <v/>
      </c>
      <c r="D337" s="2">
        <f>IF(B337="","",MID(TEXT(B337,"000"),2,1)*1)</f>
        <v/>
      </c>
      <c r="E337" s="2">
        <f>IF(B337="","",RIGHT(TEXT(B337,"000"),1)*1)</f>
        <v/>
      </c>
      <c r="F337" s="2">
        <f>IF(B337="","",C337+D337+E337)</f>
        <v/>
      </c>
      <c r="G337" s="2">
        <f>IF(B337="","",MOD(F337,10))</f>
        <v/>
      </c>
      <c r="H337" s="2">
        <f>IF(B337="","",MAX(C337,D337,E337)-MIN(C337,D337,E337))</f>
        <v/>
      </c>
      <c r="I337" s="2">
        <f>IF(OR(B337="",H337=0),IF(H337=0,0.1,""),ROUND(F337/H337,2))</f>
        <v/>
      </c>
      <c r="J337" s="2">
        <f>IF(I337=0.1,"极紧凑",IF(I337&gt;3.5,"紧凑",IF(AND(I337&gt;=2,I337&lt;=3.5),"标准",IF(AND(I337&gt;=1,I337&lt;2),"松散",""))))</f>
        <v/>
      </c>
      <c r="K337" s="2">
        <f>IF(I337=0.1,"极紧凑-豹子号",IF(AND(I337&gt;=1,I337&lt;=1.29),"松散-极松散",IF(AND(I337&gt;=1.33,I337&lt;=1.8),"松散-标准松散",IF(AND(I337&gt;=1.83,I337&lt;=1.89),"松散-偏紧松散",IF(AND(I337&gt;=2,I337&lt;=2.5),"标准-偏松标准",IF(AND(I337&gt;=2.57,I337&lt;=3),"标准-核心标准",IF(AND(I337&gt;=3.17,I337&lt;=3.5),"标准-偏紧标准",IF(AND(I337&gt;=3.6,I337&lt;=5),"紧凑-标准紧凑",IF(AND(I337&gt;=5.25,I337&lt;=8),"紧凑-高度紧凑",IF(I337&gt;=8.5,"紧凑-极度紧凑",""))))))))))</f>
        <v/>
      </c>
      <c r="L337" s="2">
        <f>IF(I337=0.1,"极紧凑",IF(AND(I337&gt;=1,I337&lt;=1.89),"松散",IF(AND(I337&gt;=2,I337&lt;=3.5),"标准",IF(I337&gt;=3.6,"紧凑",""))))</f>
        <v/>
      </c>
      <c r="M337" s="2" t="inlineStr">
        <is>
          <t>极紧凑-豹子号</t>
        </is>
      </c>
      <c r="N337" s="2" t="inlineStr">
        <is>
          <t>松散-极松散</t>
        </is>
      </c>
      <c r="O337" s="2" t="inlineStr">
        <is>
          <t>松散-标准松散</t>
        </is>
      </c>
      <c r="P337" s="2" t="inlineStr">
        <is>
          <t>松散-偏紧松散</t>
        </is>
      </c>
      <c r="Q337" s="2" t="inlineStr">
        <is>
          <t>标准-偏松标准</t>
        </is>
      </c>
      <c r="R337" s="2" t="inlineStr">
        <is>
          <t>标准-核心标准</t>
        </is>
      </c>
      <c r="S337" s="2" t="inlineStr">
        <is>
          <t>标准-偏紧标准</t>
        </is>
      </c>
      <c r="T337" s="2" t="inlineStr">
        <is>
          <t>紧凑-标准紧凑</t>
        </is>
      </c>
      <c r="U337" s="2" t="inlineStr">
        <is>
          <t>紧凑-高度紧凑</t>
        </is>
      </c>
      <c r="V337" s="2" t="inlineStr">
        <is>
          <t>紧凑-极度紧凑</t>
        </is>
      </c>
    </row>
    <row r="338">
      <c r="A338" s="1" t="n">
        <v>2023256</v>
      </c>
      <c r="B338" s="3" t="inlineStr">
        <is>
          <t>840</t>
        </is>
      </c>
      <c r="C338" s="2">
        <f>IF(B338="","",LEFT(TEXT(B338,"000"),1)*1)</f>
        <v/>
      </c>
      <c r="D338" s="2">
        <f>IF(B338="","",MID(TEXT(B338,"000"),2,1)*1)</f>
        <v/>
      </c>
      <c r="E338" s="2">
        <f>IF(B338="","",RIGHT(TEXT(B338,"000"),1)*1)</f>
        <v/>
      </c>
      <c r="F338" s="2">
        <f>IF(B338="","",C338+D338+E338)</f>
        <v/>
      </c>
      <c r="G338" s="2">
        <f>IF(B338="","",MOD(F338,10))</f>
        <v/>
      </c>
      <c r="H338" s="2">
        <f>IF(B338="","",MAX(C338,D338,E338)-MIN(C338,D338,E338))</f>
        <v/>
      </c>
      <c r="I338" s="2">
        <f>IF(OR(B338="",H338=0),IF(H338=0,0.1,""),ROUND(F338/H338,2))</f>
        <v/>
      </c>
      <c r="J338" s="2">
        <f>IF(I338=0.1,"极紧凑",IF(I338&gt;3.5,"紧凑",IF(AND(I338&gt;=2,I338&lt;=3.5),"标准",IF(AND(I338&gt;=1,I338&lt;2),"松散",""))))</f>
        <v/>
      </c>
      <c r="K338" s="2">
        <f>IF(I338=0.1,"极紧凑-豹子号",IF(AND(I338&gt;=1,I338&lt;=1.29),"松散-极松散",IF(AND(I338&gt;=1.33,I338&lt;=1.8),"松散-标准松散",IF(AND(I338&gt;=1.83,I338&lt;=1.89),"松散-偏紧松散",IF(AND(I338&gt;=2,I338&lt;=2.5),"标准-偏松标准",IF(AND(I338&gt;=2.57,I338&lt;=3),"标准-核心标准",IF(AND(I338&gt;=3.17,I338&lt;=3.5),"标准-偏紧标准",IF(AND(I338&gt;=3.6,I338&lt;=5),"紧凑-标准紧凑",IF(AND(I338&gt;=5.25,I338&lt;=8),"紧凑-高度紧凑",IF(I338&gt;=8.5,"紧凑-极度紧凑",""))))))))))</f>
        <v/>
      </c>
      <c r="L338" s="2">
        <f>IF(I338=0.1,"极紧凑",IF(AND(I338&gt;=1,I338&lt;=1.89),"松散",IF(AND(I338&gt;=2,I338&lt;=3.5),"标准",IF(I338&gt;=3.6,"紧凑",""))))</f>
        <v/>
      </c>
      <c r="M338" s="2" t="inlineStr">
        <is>
          <t>极紧凑-豹子号</t>
        </is>
      </c>
      <c r="N338" s="2" t="inlineStr">
        <is>
          <t>松散-极松散</t>
        </is>
      </c>
      <c r="O338" s="2" t="inlineStr">
        <is>
          <t>松散-标准松散</t>
        </is>
      </c>
      <c r="P338" s="2" t="inlineStr">
        <is>
          <t>松散-偏紧松散</t>
        </is>
      </c>
      <c r="Q338" s="2" t="inlineStr">
        <is>
          <t>标准-偏松标准</t>
        </is>
      </c>
      <c r="R338" s="2" t="inlineStr">
        <is>
          <t>标准-核心标准</t>
        </is>
      </c>
      <c r="S338" s="2" t="inlineStr">
        <is>
          <t>标准-偏紧标准</t>
        </is>
      </c>
      <c r="T338" s="2" t="inlineStr">
        <is>
          <t>紧凑-标准紧凑</t>
        </is>
      </c>
      <c r="U338" s="2" t="inlineStr">
        <is>
          <t>紧凑-高度紧凑</t>
        </is>
      </c>
      <c r="V338" s="2" t="inlineStr">
        <is>
          <t>紧凑-极度紧凑</t>
        </is>
      </c>
    </row>
    <row r="339">
      <c r="A339" s="1" t="n">
        <v>2023257</v>
      </c>
      <c r="B339" s="3" t="inlineStr">
        <is>
          <t>908</t>
        </is>
      </c>
      <c r="C339" s="2">
        <f>IF(B339="","",LEFT(TEXT(B339,"000"),1)*1)</f>
        <v/>
      </c>
      <c r="D339" s="2">
        <f>IF(B339="","",MID(TEXT(B339,"000"),2,1)*1)</f>
        <v/>
      </c>
      <c r="E339" s="2">
        <f>IF(B339="","",RIGHT(TEXT(B339,"000"),1)*1)</f>
        <v/>
      </c>
      <c r="F339" s="2">
        <f>IF(B339="","",C339+D339+E339)</f>
        <v/>
      </c>
      <c r="G339" s="2">
        <f>IF(B339="","",MOD(F339,10))</f>
        <v/>
      </c>
      <c r="H339" s="2">
        <f>IF(B339="","",MAX(C339,D339,E339)-MIN(C339,D339,E339))</f>
        <v/>
      </c>
      <c r="I339" s="2">
        <f>IF(OR(B339="",H339=0),IF(H339=0,0.1,""),ROUND(F339/H339,2))</f>
        <v/>
      </c>
      <c r="J339" s="2">
        <f>IF(I339=0.1,"极紧凑",IF(I339&gt;3.5,"紧凑",IF(AND(I339&gt;=2,I339&lt;=3.5),"标准",IF(AND(I339&gt;=1,I339&lt;2),"松散",""))))</f>
        <v/>
      </c>
      <c r="K339" s="2">
        <f>IF(I339=0.1,"极紧凑-豹子号",IF(AND(I339&gt;=1,I339&lt;=1.29),"松散-极松散",IF(AND(I339&gt;=1.33,I339&lt;=1.8),"松散-标准松散",IF(AND(I339&gt;=1.83,I339&lt;=1.89),"松散-偏紧松散",IF(AND(I339&gt;=2,I339&lt;=2.5),"标准-偏松标准",IF(AND(I339&gt;=2.57,I339&lt;=3),"标准-核心标准",IF(AND(I339&gt;=3.17,I339&lt;=3.5),"标准-偏紧标准",IF(AND(I339&gt;=3.6,I339&lt;=5),"紧凑-标准紧凑",IF(AND(I339&gt;=5.25,I339&lt;=8),"紧凑-高度紧凑",IF(I339&gt;=8.5,"紧凑-极度紧凑",""))))))))))</f>
        <v/>
      </c>
      <c r="L339" s="2">
        <f>IF(I339=0.1,"极紧凑",IF(AND(I339&gt;=1,I339&lt;=1.89),"松散",IF(AND(I339&gt;=2,I339&lt;=3.5),"标准",IF(I339&gt;=3.6,"紧凑",""))))</f>
        <v/>
      </c>
      <c r="M339" s="2" t="inlineStr">
        <is>
          <t>极紧凑-豹子号</t>
        </is>
      </c>
      <c r="N339" s="2" t="inlineStr">
        <is>
          <t>松散-极松散</t>
        </is>
      </c>
      <c r="O339" s="2" t="inlineStr">
        <is>
          <t>松散-标准松散</t>
        </is>
      </c>
      <c r="P339" s="2" t="inlineStr">
        <is>
          <t>松散-偏紧松散</t>
        </is>
      </c>
      <c r="Q339" s="2" t="inlineStr">
        <is>
          <t>标准-偏松标准</t>
        </is>
      </c>
      <c r="R339" s="2" t="inlineStr">
        <is>
          <t>标准-核心标准</t>
        </is>
      </c>
      <c r="S339" s="2" t="inlineStr">
        <is>
          <t>标准-偏紧标准</t>
        </is>
      </c>
      <c r="T339" s="2" t="inlineStr">
        <is>
          <t>紧凑-标准紧凑</t>
        </is>
      </c>
      <c r="U339" s="2" t="inlineStr">
        <is>
          <t>紧凑-高度紧凑</t>
        </is>
      </c>
      <c r="V339" s="2" t="inlineStr">
        <is>
          <t>紧凑-极度紧凑</t>
        </is>
      </c>
    </row>
    <row r="340">
      <c r="A340" s="1" t="n">
        <v>2023258</v>
      </c>
      <c r="B340" s="3" t="inlineStr">
        <is>
          <t>915</t>
        </is>
      </c>
      <c r="C340" s="2">
        <f>IF(B340="","",LEFT(TEXT(B340,"000"),1)*1)</f>
        <v/>
      </c>
      <c r="D340" s="2">
        <f>IF(B340="","",MID(TEXT(B340,"000"),2,1)*1)</f>
        <v/>
      </c>
      <c r="E340" s="2">
        <f>IF(B340="","",RIGHT(TEXT(B340,"000"),1)*1)</f>
        <v/>
      </c>
      <c r="F340" s="2">
        <f>IF(B340="","",C340+D340+E340)</f>
        <v/>
      </c>
      <c r="G340" s="2">
        <f>IF(B340="","",MOD(F340,10))</f>
        <v/>
      </c>
      <c r="H340" s="2">
        <f>IF(B340="","",MAX(C340,D340,E340)-MIN(C340,D340,E340))</f>
        <v/>
      </c>
      <c r="I340" s="2">
        <f>IF(OR(B340="",H340=0),IF(H340=0,0.1,""),ROUND(F340/H340,2))</f>
        <v/>
      </c>
      <c r="J340" s="2">
        <f>IF(I340=0.1,"极紧凑",IF(I340&gt;3.5,"紧凑",IF(AND(I340&gt;=2,I340&lt;=3.5),"标准",IF(AND(I340&gt;=1,I340&lt;2),"松散",""))))</f>
        <v/>
      </c>
      <c r="K340" s="2">
        <f>IF(I340=0.1,"极紧凑-豹子号",IF(AND(I340&gt;=1,I340&lt;=1.29),"松散-极松散",IF(AND(I340&gt;=1.33,I340&lt;=1.8),"松散-标准松散",IF(AND(I340&gt;=1.83,I340&lt;=1.89),"松散-偏紧松散",IF(AND(I340&gt;=2,I340&lt;=2.5),"标准-偏松标准",IF(AND(I340&gt;=2.57,I340&lt;=3),"标准-核心标准",IF(AND(I340&gt;=3.17,I340&lt;=3.5),"标准-偏紧标准",IF(AND(I340&gt;=3.6,I340&lt;=5),"紧凑-标准紧凑",IF(AND(I340&gt;=5.25,I340&lt;=8),"紧凑-高度紧凑",IF(I340&gt;=8.5,"紧凑-极度紧凑",""))))))))))</f>
        <v/>
      </c>
      <c r="L340" s="2">
        <f>IF(I340=0.1,"极紧凑",IF(AND(I340&gt;=1,I340&lt;=1.89),"松散",IF(AND(I340&gt;=2,I340&lt;=3.5),"标准",IF(I340&gt;=3.6,"紧凑",""))))</f>
        <v/>
      </c>
      <c r="M340" s="2" t="inlineStr">
        <is>
          <t>极紧凑-豹子号</t>
        </is>
      </c>
      <c r="N340" s="2" t="inlineStr">
        <is>
          <t>松散-极松散</t>
        </is>
      </c>
      <c r="O340" s="2" t="inlineStr">
        <is>
          <t>松散-标准松散</t>
        </is>
      </c>
      <c r="P340" s="2" t="inlineStr">
        <is>
          <t>松散-偏紧松散</t>
        </is>
      </c>
      <c r="Q340" s="2" t="inlineStr">
        <is>
          <t>标准-偏松标准</t>
        </is>
      </c>
      <c r="R340" s="2" t="inlineStr">
        <is>
          <t>标准-核心标准</t>
        </is>
      </c>
      <c r="S340" s="2" t="inlineStr">
        <is>
          <t>标准-偏紧标准</t>
        </is>
      </c>
      <c r="T340" s="2" t="inlineStr">
        <is>
          <t>紧凑-标准紧凑</t>
        </is>
      </c>
      <c r="U340" s="2" t="inlineStr">
        <is>
          <t>紧凑-高度紧凑</t>
        </is>
      </c>
      <c r="V340" s="2" t="inlineStr">
        <is>
          <t>紧凑-极度紧凑</t>
        </is>
      </c>
    </row>
    <row r="341">
      <c r="A341" s="1" t="n">
        <v>2023259</v>
      </c>
      <c r="B341" s="3" t="inlineStr">
        <is>
          <t>088</t>
        </is>
      </c>
      <c r="C341" s="2">
        <f>IF(B341="","",LEFT(TEXT(B341,"000"),1)*1)</f>
        <v/>
      </c>
      <c r="D341" s="2">
        <f>IF(B341="","",MID(TEXT(B341,"000"),2,1)*1)</f>
        <v/>
      </c>
      <c r="E341" s="2">
        <f>IF(B341="","",RIGHT(TEXT(B341,"000"),1)*1)</f>
        <v/>
      </c>
      <c r="F341" s="2">
        <f>IF(B341="","",C341+D341+E341)</f>
        <v/>
      </c>
      <c r="G341" s="2">
        <f>IF(B341="","",MOD(F341,10))</f>
        <v/>
      </c>
      <c r="H341" s="2">
        <f>IF(B341="","",MAX(C341,D341,E341)-MIN(C341,D341,E341))</f>
        <v/>
      </c>
      <c r="I341" s="2">
        <f>IF(OR(B341="",H341=0),IF(H341=0,0.1,""),ROUND(F341/H341,2))</f>
        <v/>
      </c>
      <c r="J341" s="2">
        <f>IF(I341=0.1,"极紧凑",IF(I341&gt;3.5,"紧凑",IF(AND(I341&gt;=2,I341&lt;=3.5),"标准",IF(AND(I341&gt;=1,I341&lt;2),"松散",""))))</f>
        <v/>
      </c>
      <c r="K341" s="2">
        <f>IF(I341=0.1,"极紧凑-豹子号",IF(AND(I341&gt;=1,I341&lt;=1.29),"松散-极松散",IF(AND(I341&gt;=1.33,I341&lt;=1.8),"松散-标准松散",IF(AND(I341&gt;=1.83,I341&lt;=1.89),"松散-偏紧松散",IF(AND(I341&gt;=2,I341&lt;=2.5),"标准-偏松标准",IF(AND(I341&gt;=2.57,I341&lt;=3),"标准-核心标准",IF(AND(I341&gt;=3.17,I341&lt;=3.5),"标准-偏紧标准",IF(AND(I341&gt;=3.6,I341&lt;=5),"紧凑-标准紧凑",IF(AND(I341&gt;=5.25,I341&lt;=8),"紧凑-高度紧凑",IF(I341&gt;=8.5,"紧凑-极度紧凑",""))))))))))</f>
        <v/>
      </c>
      <c r="L341" s="2">
        <f>IF(I341=0.1,"极紧凑",IF(AND(I341&gt;=1,I341&lt;=1.89),"松散",IF(AND(I341&gt;=2,I341&lt;=3.5),"标准",IF(I341&gt;=3.6,"紧凑",""))))</f>
        <v/>
      </c>
      <c r="M341" s="2" t="inlineStr">
        <is>
          <t>极紧凑-豹子号</t>
        </is>
      </c>
      <c r="N341" s="2" t="inlineStr">
        <is>
          <t>松散-极松散</t>
        </is>
      </c>
      <c r="O341" s="2" t="inlineStr">
        <is>
          <t>松散-标准松散</t>
        </is>
      </c>
      <c r="P341" s="2" t="inlineStr">
        <is>
          <t>松散-偏紧松散</t>
        </is>
      </c>
      <c r="Q341" s="2" t="inlineStr">
        <is>
          <t>标准-偏松标准</t>
        </is>
      </c>
      <c r="R341" s="2" t="inlineStr">
        <is>
          <t>标准-核心标准</t>
        </is>
      </c>
      <c r="S341" s="2" t="inlineStr">
        <is>
          <t>标准-偏紧标准</t>
        </is>
      </c>
      <c r="T341" s="2" t="inlineStr">
        <is>
          <t>紧凑-标准紧凑</t>
        </is>
      </c>
      <c r="U341" s="2" t="inlineStr">
        <is>
          <t>紧凑-高度紧凑</t>
        </is>
      </c>
      <c r="V341" s="2" t="inlineStr">
        <is>
          <t>紧凑-极度紧凑</t>
        </is>
      </c>
    </row>
    <row r="342">
      <c r="A342" s="1" t="n">
        <v>2023260</v>
      </c>
      <c r="B342" s="3" t="inlineStr">
        <is>
          <t>247</t>
        </is>
      </c>
      <c r="C342" s="2">
        <f>IF(B342="","",LEFT(TEXT(B342,"000"),1)*1)</f>
        <v/>
      </c>
      <c r="D342" s="2">
        <f>IF(B342="","",MID(TEXT(B342,"000"),2,1)*1)</f>
        <v/>
      </c>
      <c r="E342" s="2">
        <f>IF(B342="","",RIGHT(TEXT(B342,"000"),1)*1)</f>
        <v/>
      </c>
      <c r="F342" s="2">
        <f>IF(B342="","",C342+D342+E342)</f>
        <v/>
      </c>
      <c r="G342" s="2">
        <f>IF(B342="","",MOD(F342,10))</f>
        <v/>
      </c>
      <c r="H342" s="2">
        <f>IF(B342="","",MAX(C342,D342,E342)-MIN(C342,D342,E342))</f>
        <v/>
      </c>
      <c r="I342" s="2">
        <f>IF(OR(B342="",H342=0),IF(H342=0,0.1,""),ROUND(F342/H342,2))</f>
        <v/>
      </c>
      <c r="J342" s="2">
        <f>IF(I342=0.1,"极紧凑",IF(I342&gt;3.5,"紧凑",IF(AND(I342&gt;=2,I342&lt;=3.5),"标准",IF(AND(I342&gt;=1,I342&lt;2),"松散",""))))</f>
        <v/>
      </c>
      <c r="K342" s="2">
        <f>IF(I342=0.1,"极紧凑-豹子号",IF(AND(I342&gt;=1,I342&lt;=1.29),"松散-极松散",IF(AND(I342&gt;=1.33,I342&lt;=1.8),"松散-标准松散",IF(AND(I342&gt;=1.83,I342&lt;=1.89),"松散-偏紧松散",IF(AND(I342&gt;=2,I342&lt;=2.5),"标准-偏松标准",IF(AND(I342&gt;=2.57,I342&lt;=3),"标准-核心标准",IF(AND(I342&gt;=3.17,I342&lt;=3.5),"标准-偏紧标准",IF(AND(I342&gt;=3.6,I342&lt;=5),"紧凑-标准紧凑",IF(AND(I342&gt;=5.25,I342&lt;=8),"紧凑-高度紧凑",IF(I342&gt;=8.5,"紧凑-极度紧凑",""))))))))))</f>
        <v/>
      </c>
      <c r="L342" s="2">
        <f>IF(I342=0.1,"极紧凑",IF(AND(I342&gt;=1,I342&lt;=1.89),"松散",IF(AND(I342&gt;=2,I342&lt;=3.5),"标准",IF(I342&gt;=3.6,"紧凑",""))))</f>
        <v/>
      </c>
      <c r="M342" s="2" t="inlineStr">
        <is>
          <t>极紧凑-豹子号</t>
        </is>
      </c>
      <c r="N342" s="2" t="inlineStr">
        <is>
          <t>松散-极松散</t>
        </is>
      </c>
      <c r="O342" s="2" t="inlineStr">
        <is>
          <t>松散-标准松散</t>
        </is>
      </c>
      <c r="P342" s="2" t="inlineStr">
        <is>
          <t>松散-偏紧松散</t>
        </is>
      </c>
      <c r="Q342" s="2" t="inlineStr">
        <is>
          <t>标准-偏松标准</t>
        </is>
      </c>
      <c r="R342" s="2" t="inlineStr">
        <is>
          <t>标准-核心标准</t>
        </is>
      </c>
      <c r="S342" s="2" t="inlineStr">
        <is>
          <t>标准-偏紧标准</t>
        </is>
      </c>
      <c r="T342" s="2" t="inlineStr">
        <is>
          <t>紧凑-标准紧凑</t>
        </is>
      </c>
      <c r="U342" s="2" t="inlineStr">
        <is>
          <t>紧凑-高度紧凑</t>
        </is>
      </c>
      <c r="V342" s="2" t="inlineStr">
        <is>
          <t>紧凑-极度紧凑</t>
        </is>
      </c>
    </row>
    <row r="343">
      <c r="A343" s="1" t="n">
        <v>2023261</v>
      </c>
      <c r="B343" s="3" t="inlineStr">
        <is>
          <t>930</t>
        </is>
      </c>
      <c r="C343" s="2">
        <f>IF(B343="","",LEFT(TEXT(B343,"000"),1)*1)</f>
        <v/>
      </c>
      <c r="D343" s="2">
        <f>IF(B343="","",MID(TEXT(B343,"000"),2,1)*1)</f>
        <v/>
      </c>
      <c r="E343" s="2">
        <f>IF(B343="","",RIGHT(TEXT(B343,"000"),1)*1)</f>
        <v/>
      </c>
      <c r="F343" s="2">
        <f>IF(B343="","",C343+D343+E343)</f>
        <v/>
      </c>
      <c r="G343" s="2">
        <f>IF(B343="","",MOD(F343,10))</f>
        <v/>
      </c>
      <c r="H343" s="2">
        <f>IF(B343="","",MAX(C343,D343,E343)-MIN(C343,D343,E343))</f>
        <v/>
      </c>
      <c r="I343" s="2">
        <f>IF(OR(B343="",H343=0),IF(H343=0,0.1,""),ROUND(F343/H343,2))</f>
        <v/>
      </c>
      <c r="J343" s="2">
        <f>IF(I343=0.1,"极紧凑",IF(I343&gt;3.5,"紧凑",IF(AND(I343&gt;=2,I343&lt;=3.5),"标准",IF(AND(I343&gt;=1,I343&lt;2),"松散",""))))</f>
        <v/>
      </c>
      <c r="K343" s="2">
        <f>IF(I343=0.1,"极紧凑-豹子号",IF(AND(I343&gt;=1,I343&lt;=1.29),"松散-极松散",IF(AND(I343&gt;=1.33,I343&lt;=1.8),"松散-标准松散",IF(AND(I343&gt;=1.83,I343&lt;=1.89),"松散-偏紧松散",IF(AND(I343&gt;=2,I343&lt;=2.5),"标准-偏松标准",IF(AND(I343&gt;=2.57,I343&lt;=3),"标准-核心标准",IF(AND(I343&gt;=3.17,I343&lt;=3.5),"标准-偏紧标准",IF(AND(I343&gt;=3.6,I343&lt;=5),"紧凑-标准紧凑",IF(AND(I343&gt;=5.25,I343&lt;=8),"紧凑-高度紧凑",IF(I343&gt;=8.5,"紧凑-极度紧凑",""))))))))))</f>
        <v/>
      </c>
      <c r="L343" s="2">
        <f>IF(I343=0.1,"极紧凑",IF(AND(I343&gt;=1,I343&lt;=1.89),"松散",IF(AND(I343&gt;=2,I343&lt;=3.5),"标准",IF(I343&gt;=3.6,"紧凑",""))))</f>
        <v/>
      </c>
      <c r="M343" s="2" t="inlineStr">
        <is>
          <t>极紧凑-豹子号</t>
        </is>
      </c>
      <c r="N343" s="2" t="inlineStr">
        <is>
          <t>松散-极松散</t>
        </is>
      </c>
      <c r="O343" s="2" t="inlineStr">
        <is>
          <t>松散-标准松散</t>
        </is>
      </c>
      <c r="P343" s="2" t="inlineStr">
        <is>
          <t>松散-偏紧松散</t>
        </is>
      </c>
      <c r="Q343" s="2" t="inlineStr">
        <is>
          <t>标准-偏松标准</t>
        </is>
      </c>
      <c r="R343" s="2" t="inlineStr">
        <is>
          <t>标准-核心标准</t>
        </is>
      </c>
      <c r="S343" s="2" t="inlineStr">
        <is>
          <t>标准-偏紧标准</t>
        </is>
      </c>
      <c r="T343" s="2" t="inlineStr">
        <is>
          <t>紧凑-标准紧凑</t>
        </is>
      </c>
      <c r="U343" s="2" t="inlineStr">
        <is>
          <t>紧凑-高度紧凑</t>
        </is>
      </c>
      <c r="V343" s="2" t="inlineStr">
        <is>
          <t>紧凑-极度紧凑</t>
        </is>
      </c>
    </row>
    <row r="344">
      <c r="A344" s="1" t="n">
        <v>2023262</v>
      </c>
      <c r="B344" s="3" t="inlineStr">
        <is>
          <t>717</t>
        </is>
      </c>
      <c r="C344" s="2">
        <f>IF(B344="","",LEFT(TEXT(B344,"000"),1)*1)</f>
        <v/>
      </c>
      <c r="D344" s="2">
        <f>IF(B344="","",MID(TEXT(B344,"000"),2,1)*1)</f>
        <v/>
      </c>
      <c r="E344" s="2">
        <f>IF(B344="","",RIGHT(TEXT(B344,"000"),1)*1)</f>
        <v/>
      </c>
      <c r="F344" s="2">
        <f>IF(B344="","",C344+D344+E344)</f>
        <v/>
      </c>
      <c r="G344" s="2">
        <f>IF(B344="","",MOD(F344,10))</f>
        <v/>
      </c>
      <c r="H344" s="2">
        <f>IF(B344="","",MAX(C344,D344,E344)-MIN(C344,D344,E344))</f>
        <v/>
      </c>
      <c r="I344" s="2">
        <f>IF(OR(B344="",H344=0),IF(H344=0,0.1,""),ROUND(F344/H344,2))</f>
        <v/>
      </c>
      <c r="J344" s="2">
        <f>IF(I344=0.1,"极紧凑",IF(I344&gt;3.5,"紧凑",IF(AND(I344&gt;=2,I344&lt;=3.5),"标准",IF(AND(I344&gt;=1,I344&lt;2),"松散",""))))</f>
        <v/>
      </c>
      <c r="K344" s="2">
        <f>IF(I344=0.1,"极紧凑-豹子号",IF(AND(I344&gt;=1,I344&lt;=1.29),"松散-极松散",IF(AND(I344&gt;=1.33,I344&lt;=1.8),"松散-标准松散",IF(AND(I344&gt;=1.83,I344&lt;=1.89),"松散-偏紧松散",IF(AND(I344&gt;=2,I344&lt;=2.5),"标准-偏松标准",IF(AND(I344&gt;=2.57,I344&lt;=3),"标准-核心标准",IF(AND(I344&gt;=3.17,I344&lt;=3.5),"标准-偏紧标准",IF(AND(I344&gt;=3.6,I344&lt;=5),"紧凑-标准紧凑",IF(AND(I344&gt;=5.25,I344&lt;=8),"紧凑-高度紧凑",IF(I344&gt;=8.5,"紧凑-极度紧凑",""))))))))))</f>
        <v/>
      </c>
      <c r="L344" s="2">
        <f>IF(I344=0.1,"极紧凑",IF(AND(I344&gt;=1,I344&lt;=1.89),"松散",IF(AND(I344&gt;=2,I344&lt;=3.5),"标准",IF(I344&gt;=3.6,"紧凑",""))))</f>
        <v/>
      </c>
      <c r="M344" s="2" t="inlineStr">
        <is>
          <t>极紧凑-豹子号</t>
        </is>
      </c>
      <c r="N344" s="2" t="inlineStr">
        <is>
          <t>松散-极松散</t>
        </is>
      </c>
      <c r="O344" s="2" t="inlineStr">
        <is>
          <t>松散-标准松散</t>
        </is>
      </c>
      <c r="P344" s="2" t="inlineStr">
        <is>
          <t>松散-偏紧松散</t>
        </is>
      </c>
      <c r="Q344" s="2" t="inlineStr">
        <is>
          <t>标准-偏松标准</t>
        </is>
      </c>
      <c r="R344" s="2" t="inlineStr">
        <is>
          <t>标准-核心标准</t>
        </is>
      </c>
      <c r="S344" s="2" t="inlineStr">
        <is>
          <t>标准-偏紧标准</t>
        </is>
      </c>
      <c r="T344" s="2" t="inlineStr">
        <is>
          <t>紧凑-标准紧凑</t>
        </is>
      </c>
      <c r="U344" s="2" t="inlineStr">
        <is>
          <t>紧凑-高度紧凑</t>
        </is>
      </c>
      <c r="V344" s="2" t="inlineStr">
        <is>
          <t>紧凑-极度紧凑</t>
        </is>
      </c>
    </row>
    <row r="345">
      <c r="A345" s="1" t="n">
        <v>2023263</v>
      </c>
      <c r="B345" s="3" t="inlineStr">
        <is>
          <t>993</t>
        </is>
      </c>
      <c r="C345" s="2">
        <f>IF(B345="","",LEFT(TEXT(B345,"000"),1)*1)</f>
        <v/>
      </c>
      <c r="D345" s="2">
        <f>IF(B345="","",MID(TEXT(B345,"000"),2,1)*1)</f>
        <v/>
      </c>
      <c r="E345" s="2">
        <f>IF(B345="","",RIGHT(TEXT(B345,"000"),1)*1)</f>
        <v/>
      </c>
      <c r="F345" s="2">
        <f>IF(B345="","",C345+D345+E345)</f>
        <v/>
      </c>
      <c r="G345" s="2">
        <f>IF(B345="","",MOD(F345,10))</f>
        <v/>
      </c>
      <c r="H345" s="2">
        <f>IF(B345="","",MAX(C345,D345,E345)-MIN(C345,D345,E345))</f>
        <v/>
      </c>
      <c r="I345" s="2">
        <f>IF(OR(B345="",H345=0),IF(H345=0,0.1,""),ROUND(F345/H345,2))</f>
        <v/>
      </c>
      <c r="J345" s="2">
        <f>IF(I345=0.1,"极紧凑",IF(I345&gt;3.5,"紧凑",IF(AND(I345&gt;=2,I345&lt;=3.5),"标准",IF(AND(I345&gt;=1,I345&lt;2),"松散",""))))</f>
        <v/>
      </c>
      <c r="K345" s="2">
        <f>IF(I345=0.1,"极紧凑-豹子号",IF(AND(I345&gt;=1,I345&lt;=1.29),"松散-极松散",IF(AND(I345&gt;=1.33,I345&lt;=1.8),"松散-标准松散",IF(AND(I345&gt;=1.83,I345&lt;=1.89),"松散-偏紧松散",IF(AND(I345&gt;=2,I345&lt;=2.5),"标准-偏松标准",IF(AND(I345&gt;=2.57,I345&lt;=3),"标准-核心标准",IF(AND(I345&gt;=3.17,I345&lt;=3.5),"标准-偏紧标准",IF(AND(I345&gt;=3.6,I345&lt;=5),"紧凑-标准紧凑",IF(AND(I345&gt;=5.25,I345&lt;=8),"紧凑-高度紧凑",IF(I345&gt;=8.5,"紧凑-极度紧凑",""))))))))))</f>
        <v/>
      </c>
      <c r="L345" s="2">
        <f>IF(I345=0.1,"极紧凑",IF(AND(I345&gt;=1,I345&lt;=1.89),"松散",IF(AND(I345&gt;=2,I345&lt;=3.5),"标准",IF(I345&gt;=3.6,"紧凑",""))))</f>
        <v/>
      </c>
      <c r="M345" s="2" t="inlineStr">
        <is>
          <t>极紧凑-豹子号</t>
        </is>
      </c>
      <c r="N345" s="2" t="inlineStr">
        <is>
          <t>松散-极松散</t>
        </is>
      </c>
      <c r="O345" s="2" t="inlineStr">
        <is>
          <t>松散-标准松散</t>
        </is>
      </c>
      <c r="P345" s="2" t="inlineStr">
        <is>
          <t>松散-偏紧松散</t>
        </is>
      </c>
      <c r="Q345" s="2" t="inlineStr">
        <is>
          <t>标准-偏松标准</t>
        </is>
      </c>
      <c r="R345" s="2" t="inlineStr">
        <is>
          <t>标准-核心标准</t>
        </is>
      </c>
      <c r="S345" s="2" t="inlineStr">
        <is>
          <t>标准-偏紧标准</t>
        </is>
      </c>
      <c r="T345" s="2" t="inlineStr">
        <is>
          <t>紧凑-标准紧凑</t>
        </is>
      </c>
      <c r="U345" s="2" t="inlineStr">
        <is>
          <t>紧凑-高度紧凑</t>
        </is>
      </c>
      <c r="V345" s="2" t="inlineStr">
        <is>
          <t>紧凑-极度紧凑</t>
        </is>
      </c>
    </row>
    <row r="346">
      <c r="A346" s="1" t="n">
        <v>2023264</v>
      </c>
      <c r="B346" s="3" t="inlineStr">
        <is>
          <t>925</t>
        </is>
      </c>
      <c r="C346" s="2">
        <f>IF(B346="","",LEFT(TEXT(B346,"000"),1)*1)</f>
        <v/>
      </c>
      <c r="D346" s="2">
        <f>IF(B346="","",MID(TEXT(B346,"000"),2,1)*1)</f>
        <v/>
      </c>
      <c r="E346" s="2">
        <f>IF(B346="","",RIGHT(TEXT(B346,"000"),1)*1)</f>
        <v/>
      </c>
      <c r="F346" s="2">
        <f>IF(B346="","",C346+D346+E346)</f>
        <v/>
      </c>
      <c r="G346" s="2">
        <f>IF(B346="","",MOD(F346,10))</f>
        <v/>
      </c>
      <c r="H346" s="2">
        <f>IF(B346="","",MAX(C346,D346,E346)-MIN(C346,D346,E346))</f>
        <v/>
      </c>
      <c r="I346" s="2">
        <f>IF(OR(B346="",H346=0),IF(H346=0,0.1,""),ROUND(F346/H346,2))</f>
        <v/>
      </c>
      <c r="J346" s="2">
        <f>IF(I346=0.1,"极紧凑",IF(I346&gt;3.5,"紧凑",IF(AND(I346&gt;=2,I346&lt;=3.5),"标准",IF(AND(I346&gt;=1,I346&lt;2),"松散",""))))</f>
        <v/>
      </c>
      <c r="K346" s="2">
        <f>IF(I346=0.1,"极紧凑-豹子号",IF(AND(I346&gt;=1,I346&lt;=1.29),"松散-极松散",IF(AND(I346&gt;=1.33,I346&lt;=1.8),"松散-标准松散",IF(AND(I346&gt;=1.83,I346&lt;=1.89),"松散-偏紧松散",IF(AND(I346&gt;=2,I346&lt;=2.5),"标准-偏松标准",IF(AND(I346&gt;=2.57,I346&lt;=3),"标准-核心标准",IF(AND(I346&gt;=3.17,I346&lt;=3.5),"标准-偏紧标准",IF(AND(I346&gt;=3.6,I346&lt;=5),"紧凑-标准紧凑",IF(AND(I346&gt;=5.25,I346&lt;=8),"紧凑-高度紧凑",IF(I346&gt;=8.5,"紧凑-极度紧凑",""))))))))))</f>
        <v/>
      </c>
      <c r="L346" s="2">
        <f>IF(I346=0.1,"极紧凑",IF(AND(I346&gt;=1,I346&lt;=1.89),"松散",IF(AND(I346&gt;=2,I346&lt;=3.5),"标准",IF(I346&gt;=3.6,"紧凑",""))))</f>
        <v/>
      </c>
      <c r="M346" s="2" t="inlineStr">
        <is>
          <t>极紧凑-豹子号</t>
        </is>
      </c>
      <c r="N346" s="2" t="inlineStr">
        <is>
          <t>松散-极松散</t>
        </is>
      </c>
      <c r="O346" s="2" t="inlineStr">
        <is>
          <t>松散-标准松散</t>
        </is>
      </c>
      <c r="P346" s="2" t="inlineStr">
        <is>
          <t>松散-偏紧松散</t>
        </is>
      </c>
      <c r="Q346" s="2" t="inlineStr">
        <is>
          <t>标准-偏松标准</t>
        </is>
      </c>
      <c r="R346" s="2" t="inlineStr">
        <is>
          <t>标准-核心标准</t>
        </is>
      </c>
      <c r="S346" s="2" t="inlineStr">
        <is>
          <t>标准-偏紧标准</t>
        </is>
      </c>
      <c r="T346" s="2" t="inlineStr">
        <is>
          <t>紧凑-标准紧凑</t>
        </is>
      </c>
      <c r="U346" s="2" t="inlineStr">
        <is>
          <t>紧凑-高度紧凑</t>
        </is>
      </c>
      <c r="V346" s="2" t="inlineStr">
        <is>
          <t>紧凑-极度紧凑</t>
        </is>
      </c>
    </row>
    <row r="347">
      <c r="A347" s="1" t="n">
        <v>2023265</v>
      </c>
      <c r="B347" s="3" t="inlineStr">
        <is>
          <t>224</t>
        </is>
      </c>
      <c r="C347" s="2">
        <f>IF(B347="","",LEFT(TEXT(B347,"000"),1)*1)</f>
        <v/>
      </c>
      <c r="D347" s="2">
        <f>IF(B347="","",MID(TEXT(B347,"000"),2,1)*1)</f>
        <v/>
      </c>
      <c r="E347" s="2">
        <f>IF(B347="","",RIGHT(TEXT(B347,"000"),1)*1)</f>
        <v/>
      </c>
      <c r="F347" s="2">
        <f>IF(B347="","",C347+D347+E347)</f>
        <v/>
      </c>
      <c r="G347" s="2">
        <f>IF(B347="","",MOD(F347,10))</f>
        <v/>
      </c>
      <c r="H347" s="2">
        <f>IF(B347="","",MAX(C347,D347,E347)-MIN(C347,D347,E347))</f>
        <v/>
      </c>
      <c r="I347" s="2">
        <f>IF(OR(B347="",H347=0),IF(H347=0,0.1,""),ROUND(F347/H347,2))</f>
        <v/>
      </c>
      <c r="J347" s="2">
        <f>IF(I347=0.1,"极紧凑",IF(I347&gt;3.5,"紧凑",IF(AND(I347&gt;=2,I347&lt;=3.5),"标准",IF(AND(I347&gt;=1,I347&lt;2),"松散",""))))</f>
        <v/>
      </c>
      <c r="K347" s="2">
        <f>IF(I347=0.1,"极紧凑-豹子号",IF(AND(I347&gt;=1,I347&lt;=1.29),"松散-极松散",IF(AND(I347&gt;=1.33,I347&lt;=1.8),"松散-标准松散",IF(AND(I347&gt;=1.83,I347&lt;=1.89),"松散-偏紧松散",IF(AND(I347&gt;=2,I347&lt;=2.5),"标准-偏松标准",IF(AND(I347&gt;=2.57,I347&lt;=3),"标准-核心标准",IF(AND(I347&gt;=3.17,I347&lt;=3.5),"标准-偏紧标准",IF(AND(I347&gt;=3.6,I347&lt;=5),"紧凑-标准紧凑",IF(AND(I347&gt;=5.25,I347&lt;=8),"紧凑-高度紧凑",IF(I347&gt;=8.5,"紧凑-极度紧凑",""))))))))))</f>
        <v/>
      </c>
      <c r="L347" s="2">
        <f>IF(I347=0.1,"极紧凑",IF(AND(I347&gt;=1,I347&lt;=1.89),"松散",IF(AND(I347&gt;=2,I347&lt;=3.5),"标准",IF(I347&gt;=3.6,"紧凑",""))))</f>
        <v/>
      </c>
      <c r="M347" s="2" t="inlineStr">
        <is>
          <t>极紧凑-豹子号</t>
        </is>
      </c>
      <c r="N347" s="2" t="inlineStr">
        <is>
          <t>松散-极松散</t>
        </is>
      </c>
      <c r="O347" s="2" t="inlineStr">
        <is>
          <t>松散-标准松散</t>
        </is>
      </c>
      <c r="P347" s="2" t="inlineStr">
        <is>
          <t>松散-偏紧松散</t>
        </is>
      </c>
      <c r="Q347" s="2" t="inlineStr">
        <is>
          <t>标准-偏松标准</t>
        </is>
      </c>
      <c r="R347" s="2" t="inlineStr">
        <is>
          <t>标准-核心标准</t>
        </is>
      </c>
      <c r="S347" s="2" t="inlineStr">
        <is>
          <t>标准-偏紧标准</t>
        </is>
      </c>
      <c r="T347" s="2" t="inlineStr">
        <is>
          <t>紧凑-标准紧凑</t>
        </is>
      </c>
      <c r="U347" s="2" t="inlineStr">
        <is>
          <t>紧凑-高度紧凑</t>
        </is>
      </c>
      <c r="V347" s="2" t="inlineStr">
        <is>
          <t>紧凑-极度紧凑</t>
        </is>
      </c>
    </row>
    <row r="348">
      <c r="A348" s="1" t="n">
        <v>2023266</v>
      </c>
      <c r="B348" s="3" t="inlineStr">
        <is>
          <t>133</t>
        </is>
      </c>
      <c r="C348" s="2">
        <f>IF(B348="","",LEFT(TEXT(B348,"000"),1)*1)</f>
        <v/>
      </c>
      <c r="D348" s="2">
        <f>IF(B348="","",MID(TEXT(B348,"000"),2,1)*1)</f>
        <v/>
      </c>
      <c r="E348" s="2">
        <f>IF(B348="","",RIGHT(TEXT(B348,"000"),1)*1)</f>
        <v/>
      </c>
      <c r="F348" s="2">
        <f>IF(B348="","",C348+D348+E348)</f>
        <v/>
      </c>
      <c r="G348" s="2">
        <f>IF(B348="","",MOD(F348,10))</f>
        <v/>
      </c>
      <c r="H348" s="2">
        <f>IF(B348="","",MAX(C348,D348,E348)-MIN(C348,D348,E348))</f>
        <v/>
      </c>
      <c r="I348" s="2">
        <f>IF(OR(B348="",H348=0),IF(H348=0,0.1,""),ROUND(F348/H348,2))</f>
        <v/>
      </c>
      <c r="J348" s="2">
        <f>IF(I348=0.1,"极紧凑",IF(I348&gt;3.5,"紧凑",IF(AND(I348&gt;=2,I348&lt;=3.5),"标准",IF(AND(I348&gt;=1,I348&lt;2),"松散",""))))</f>
        <v/>
      </c>
      <c r="K348" s="2">
        <f>IF(I348=0.1,"极紧凑-豹子号",IF(AND(I348&gt;=1,I348&lt;=1.29),"松散-极松散",IF(AND(I348&gt;=1.33,I348&lt;=1.8),"松散-标准松散",IF(AND(I348&gt;=1.83,I348&lt;=1.89),"松散-偏紧松散",IF(AND(I348&gt;=2,I348&lt;=2.5),"标准-偏松标准",IF(AND(I348&gt;=2.57,I348&lt;=3),"标准-核心标准",IF(AND(I348&gt;=3.17,I348&lt;=3.5),"标准-偏紧标准",IF(AND(I348&gt;=3.6,I348&lt;=5),"紧凑-标准紧凑",IF(AND(I348&gt;=5.25,I348&lt;=8),"紧凑-高度紧凑",IF(I348&gt;=8.5,"紧凑-极度紧凑",""))))))))))</f>
        <v/>
      </c>
      <c r="L348" s="2">
        <f>IF(I348=0.1,"极紧凑",IF(AND(I348&gt;=1,I348&lt;=1.89),"松散",IF(AND(I348&gt;=2,I348&lt;=3.5),"标准",IF(I348&gt;=3.6,"紧凑",""))))</f>
        <v/>
      </c>
      <c r="M348" s="2" t="inlineStr">
        <is>
          <t>极紧凑-豹子号</t>
        </is>
      </c>
      <c r="N348" s="2" t="inlineStr">
        <is>
          <t>松散-极松散</t>
        </is>
      </c>
      <c r="O348" s="2" t="inlineStr">
        <is>
          <t>松散-标准松散</t>
        </is>
      </c>
      <c r="P348" s="2" t="inlineStr">
        <is>
          <t>松散-偏紧松散</t>
        </is>
      </c>
      <c r="Q348" s="2" t="inlineStr">
        <is>
          <t>标准-偏松标准</t>
        </is>
      </c>
      <c r="R348" s="2" t="inlineStr">
        <is>
          <t>标准-核心标准</t>
        </is>
      </c>
      <c r="S348" s="2" t="inlineStr">
        <is>
          <t>标准-偏紧标准</t>
        </is>
      </c>
      <c r="T348" s="2" t="inlineStr">
        <is>
          <t>紧凑-标准紧凑</t>
        </is>
      </c>
      <c r="U348" s="2" t="inlineStr">
        <is>
          <t>紧凑-高度紧凑</t>
        </is>
      </c>
      <c r="V348" s="2" t="inlineStr">
        <is>
          <t>紧凑-极度紧凑</t>
        </is>
      </c>
    </row>
    <row r="349">
      <c r="A349" s="1" t="n">
        <v>2023267</v>
      </c>
      <c r="B349" s="3" t="inlineStr">
        <is>
          <t>554</t>
        </is>
      </c>
      <c r="C349" s="2">
        <f>IF(B349="","",LEFT(TEXT(B349,"000"),1)*1)</f>
        <v/>
      </c>
      <c r="D349" s="2">
        <f>IF(B349="","",MID(TEXT(B349,"000"),2,1)*1)</f>
        <v/>
      </c>
      <c r="E349" s="2">
        <f>IF(B349="","",RIGHT(TEXT(B349,"000"),1)*1)</f>
        <v/>
      </c>
      <c r="F349" s="2">
        <f>IF(B349="","",C349+D349+E349)</f>
        <v/>
      </c>
      <c r="G349" s="2">
        <f>IF(B349="","",MOD(F349,10))</f>
        <v/>
      </c>
      <c r="H349" s="2">
        <f>IF(B349="","",MAX(C349,D349,E349)-MIN(C349,D349,E349))</f>
        <v/>
      </c>
      <c r="I349" s="2">
        <f>IF(OR(B349="",H349=0),IF(H349=0,0.1,""),ROUND(F349/H349,2))</f>
        <v/>
      </c>
      <c r="J349" s="2">
        <f>IF(I349=0.1,"极紧凑",IF(I349&gt;3.5,"紧凑",IF(AND(I349&gt;=2,I349&lt;=3.5),"标准",IF(AND(I349&gt;=1,I349&lt;2),"松散",""))))</f>
        <v/>
      </c>
      <c r="K349" s="2">
        <f>IF(I349=0.1,"极紧凑-豹子号",IF(AND(I349&gt;=1,I349&lt;=1.29),"松散-极松散",IF(AND(I349&gt;=1.33,I349&lt;=1.8),"松散-标准松散",IF(AND(I349&gt;=1.83,I349&lt;=1.89),"松散-偏紧松散",IF(AND(I349&gt;=2,I349&lt;=2.5),"标准-偏松标准",IF(AND(I349&gt;=2.57,I349&lt;=3),"标准-核心标准",IF(AND(I349&gt;=3.17,I349&lt;=3.5),"标准-偏紧标准",IF(AND(I349&gt;=3.6,I349&lt;=5),"紧凑-标准紧凑",IF(AND(I349&gt;=5.25,I349&lt;=8),"紧凑-高度紧凑",IF(I349&gt;=8.5,"紧凑-极度紧凑",""))))))))))</f>
        <v/>
      </c>
      <c r="L349" s="2">
        <f>IF(I349=0.1,"极紧凑",IF(AND(I349&gt;=1,I349&lt;=1.89),"松散",IF(AND(I349&gt;=2,I349&lt;=3.5),"标准",IF(I349&gt;=3.6,"紧凑",""))))</f>
        <v/>
      </c>
      <c r="M349" s="2" t="inlineStr">
        <is>
          <t>极紧凑-豹子号</t>
        </is>
      </c>
      <c r="N349" s="2" t="inlineStr">
        <is>
          <t>松散-极松散</t>
        </is>
      </c>
      <c r="O349" s="2" t="inlineStr">
        <is>
          <t>松散-标准松散</t>
        </is>
      </c>
      <c r="P349" s="2" t="inlineStr">
        <is>
          <t>松散-偏紧松散</t>
        </is>
      </c>
      <c r="Q349" s="2" t="inlineStr">
        <is>
          <t>标准-偏松标准</t>
        </is>
      </c>
      <c r="R349" s="2" t="inlineStr">
        <is>
          <t>标准-核心标准</t>
        </is>
      </c>
      <c r="S349" s="2" t="inlineStr">
        <is>
          <t>标准-偏紧标准</t>
        </is>
      </c>
      <c r="T349" s="2" t="inlineStr">
        <is>
          <t>紧凑-标准紧凑</t>
        </is>
      </c>
      <c r="U349" s="2" t="inlineStr">
        <is>
          <t>紧凑-高度紧凑</t>
        </is>
      </c>
      <c r="V349" s="2" t="inlineStr">
        <is>
          <t>紧凑-极度紧凑</t>
        </is>
      </c>
    </row>
    <row r="350">
      <c r="A350" s="1" t="n">
        <v>2023268</v>
      </c>
      <c r="B350" s="3" t="inlineStr">
        <is>
          <t>975</t>
        </is>
      </c>
      <c r="C350" s="2">
        <f>IF(B350="","",LEFT(TEXT(B350,"000"),1)*1)</f>
        <v/>
      </c>
      <c r="D350" s="2">
        <f>IF(B350="","",MID(TEXT(B350,"000"),2,1)*1)</f>
        <v/>
      </c>
      <c r="E350" s="2">
        <f>IF(B350="","",RIGHT(TEXT(B350,"000"),1)*1)</f>
        <v/>
      </c>
      <c r="F350" s="2">
        <f>IF(B350="","",C350+D350+E350)</f>
        <v/>
      </c>
      <c r="G350" s="2">
        <f>IF(B350="","",MOD(F350,10))</f>
        <v/>
      </c>
      <c r="H350" s="2">
        <f>IF(B350="","",MAX(C350,D350,E350)-MIN(C350,D350,E350))</f>
        <v/>
      </c>
      <c r="I350" s="2">
        <f>IF(OR(B350="",H350=0),IF(H350=0,0.1,""),ROUND(F350/H350,2))</f>
        <v/>
      </c>
      <c r="J350" s="2">
        <f>IF(I350=0.1,"极紧凑",IF(I350&gt;3.5,"紧凑",IF(AND(I350&gt;=2,I350&lt;=3.5),"标准",IF(AND(I350&gt;=1,I350&lt;2),"松散",""))))</f>
        <v/>
      </c>
      <c r="K350" s="2">
        <f>IF(I350=0.1,"极紧凑-豹子号",IF(AND(I350&gt;=1,I350&lt;=1.29),"松散-极松散",IF(AND(I350&gt;=1.33,I350&lt;=1.8),"松散-标准松散",IF(AND(I350&gt;=1.83,I350&lt;=1.89),"松散-偏紧松散",IF(AND(I350&gt;=2,I350&lt;=2.5),"标准-偏松标准",IF(AND(I350&gt;=2.57,I350&lt;=3),"标准-核心标准",IF(AND(I350&gt;=3.17,I350&lt;=3.5),"标准-偏紧标准",IF(AND(I350&gt;=3.6,I350&lt;=5),"紧凑-标准紧凑",IF(AND(I350&gt;=5.25,I350&lt;=8),"紧凑-高度紧凑",IF(I350&gt;=8.5,"紧凑-极度紧凑",""))))))))))</f>
        <v/>
      </c>
      <c r="L350" s="2">
        <f>IF(I350=0.1,"极紧凑",IF(AND(I350&gt;=1,I350&lt;=1.89),"松散",IF(AND(I350&gt;=2,I350&lt;=3.5),"标准",IF(I350&gt;=3.6,"紧凑",""))))</f>
        <v/>
      </c>
      <c r="M350" s="2" t="inlineStr">
        <is>
          <t>极紧凑-豹子号</t>
        </is>
      </c>
      <c r="N350" s="2" t="inlineStr">
        <is>
          <t>松散-极松散</t>
        </is>
      </c>
      <c r="O350" s="2" t="inlineStr">
        <is>
          <t>松散-标准松散</t>
        </is>
      </c>
      <c r="P350" s="2" t="inlineStr">
        <is>
          <t>松散-偏紧松散</t>
        </is>
      </c>
      <c r="Q350" s="2" t="inlineStr">
        <is>
          <t>标准-偏松标准</t>
        </is>
      </c>
      <c r="R350" s="2" t="inlineStr">
        <is>
          <t>标准-核心标准</t>
        </is>
      </c>
      <c r="S350" s="2" t="inlineStr">
        <is>
          <t>标准-偏紧标准</t>
        </is>
      </c>
      <c r="T350" s="2" t="inlineStr">
        <is>
          <t>紧凑-标准紧凑</t>
        </is>
      </c>
      <c r="U350" s="2" t="inlineStr">
        <is>
          <t>紧凑-高度紧凑</t>
        </is>
      </c>
      <c r="V350" s="2" t="inlineStr">
        <is>
          <t>紧凑-极度紧凑</t>
        </is>
      </c>
    </row>
    <row r="351">
      <c r="A351" s="1" t="n">
        <v>2023269</v>
      </c>
      <c r="B351" s="3" t="inlineStr">
        <is>
          <t>234</t>
        </is>
      </c>
      <c r="C351" s="2">
        <f>IF(B351="","",LEFT(TEXT(B351,"000"),1)*1)</f>
        <v/>
      </c>
      <c r="D351" s="2">
        <f>IF(B351="","",MID(TEXT(B351,"000"),2,1)*1)</f>
        <v/>
      </c>
      <c r="E351" s="2">
        <f>IF(B351="","",RIGHT(TEXT(B351,"000"),1)*1)</f>
        <v/>
      </c>
      <c r="F351" s="2">
        <f>IF(B351="","",C351+D351+E351)</f>
        <v/>
      </c>
      <c r="G351" s="2">
        <f>IF(B351="","",MOD(F351,10))</f>
        <v/>
      </c>
      <c r="H351" s="2">
        <f>IF(B351="","",MAX(C351,D351,E351)-MIN(C351,D351,E351))</f>
        <v/>
      </c>
      <c r="I351" s="2">
        <f>IF(OR(B351="",H351=0),IF(H351=0,0.1,""),ROUND(F351/H351,2))</f>
        <v/>
      </c>
      <c r="J351" s="2">
        <f>IF(I351=0.1,"极紧凑",IF(I351&gt;3.5,"紧凑",IF(AND(I351&gt;=2,I351&lt;=3.5),"标准",IF(AND(I351&gt;=1,I351&lt;2),"松散",""))))</f>
        <v/>
      </c>
      <c r="K351" s="2">
        <f>IF(I351=0.1,"极紧凑-豹子号",IF(AND(I351&gt;=1,I351&lt;=1.29),"松散-极松散",IF(AND(I351&gt;=1.33,I351&lt;=1.8),"松散-标准松散",IF(AND(I351&gt;=1.83,I351&lt;=1.89),"松散-偏紧松散",IF(AND(I351&gt;=2,I351&lt;=2.5),"标准-偏松标准",IF(AND(I351&gt;=2.57,I351&lt;=3),"标准-核心标准",IF(AND(I351&gt;=3.17,I351&lt;=3.5),"标准-偏紧标准",IF(AND(I351&gt;=3.6,I351&lt;=5),"紧凑-标准紧凑",IF(AND(I351&gt;=5.25,I351&lt;=8),"紧凑-高度紧凑",IF(I351&gt;=8.5,"紧凑-极度紧凑",""))))))))))</f>
        <v/>
      </c>
      <c r="L351" s="2">
        <f>IF(I351=0.1,"极紧凑",IF(AND(I351&gt;=1,I351&lt;=1.89),"松散",IF(AND(I351&gt;=2,I351&lt;=3.5),"标准",IF(I351&gt;=3.6,"紧凑",""))))</f>
        <v/>
      </c>
      <c r="M351" s="2" t="inlineStr">
        <is>
          <t>极紧凑-豹子号</t>
        </is>
      </c>
      <c r="N351" s="2" t="inlineStr">
        <is>
          <t>松散-极松散</t>
        </is>
      </c>
      <c r="O351" s="2" t="inlineStr">
        <is>
          <t>松散-标准松散</t>
        </is>
      </c>
      <c r="P351" s="2" t="inlineStr">
        <is>
          <t>松散-偏紧松散</t>
        </is>
      </c>
      <c r="Q351" s="2" t="inlineStr">
        <is>
          <t>标准-偏松标准</t>
        </is>
      </c>
      <c r="R351" s="2" t="inlineStr">
        <is>
          <t>标准-核心标准</t>
        </is>
      </c>
      <c r="S351" s="2" t="inlineStr">
        <is>
          <t>标准-偏紧标准</t>
        </is>
      </c>
      <c r="T351" s="2" t="inlineStr">
        <is>
          <t>紧凑-标准紧凑</t>
        </is>
      </c>
      <c r="U351" s="2" t="inlineStr">
        <is>
          <t>紧凑-高度紧凑</t>
        </is>
      </c>
      <c r="V351" s="2" t="inlineStr">
        <is>
          <t>紧凑-极度紧凑</t>
        </is>
      </c>
    </row>
    <row r="352">
      <c r="A352" s="1" t="n">
        <v>2023270</v>
      </c>
      <c r="B352" s="3" t="inlineStr">
        <is>
          <t>355</t>
        </is>
      </c>
      <c r="C352" s="2">
        <f>IF(B352="","",LEFT(TEXT(B352,"000"),1)*1)</f>
        <v/>
      </c>
      <c r="D352" s="2">
        <f>IF(B352="","",MID(TEXT(B352,"000"),2,1)*1)</f>
        <v/>
      </c>
      <c r="E352" s="2">
        <f>IF(B352="","",RIGHT(TEXT(B352,"000"),1)*1)</f>
        <v/>
      </c>
      <c r="F352" s="2">
        <f>IF(B352="","",C352+D352+E352)</f>
        <v/>
      </c>
      <c r="G352" s="2">
        <f>IF(B352="","",MOD(F352,10))</f>
        <v/>
      </c>
      <c r="H352" s="2">
        <f>IF(B352="","",MAX(C352,D352,E352)-MIN(C352,D352,E352))</f>
        <v/>
      </c>
      <c r="I352" s="2">
        <f>IF(OR(B352="",H352=0),IF(H352=0,0.1,""),ROUND(F352/H352,2))</f>
        <v/>
      </c>
      <c r="J352" s="2">
        <f>IF(I352=0.1,"极紧凑",IF(I352&gt;3.5,"紧凑",IF(AND(I352&gt;=2,I352&lt;=3.5),"标准",IF(AND(I352&gt;=1,I352&lt;2),"松散",""))))</f>
        <v/>
      </c>
      <c r="K352" s="2">
        <f>IF(I352=0.1,"极紧凑-豹子号",IF(AND(I352&gt;=1,I352&lt;=1.29),"松散-极松散",IF(AND(I352&gt;=1.33,I352&lt;=1.8),"松散-标准松散",IF(AND(I352&gt;=1.83,I352&lt;=1.89),"松散-偏紧松散",IF(AND(I352&gt;=2,I352&lt;=2.5),"标准-偏松标准",IF(AND(I352&gt;=2.57,I352&lt;=3),"标准-核心标准",IF(AND(I352&gt;=3.17,I352&lt;=3.5),"标准-偏紧标准",IF(AND(I352&gt;=3.6,I352&lt;=5),"紧凑-标准紧凑",IF(AND(I352&gt;=5.25,I352&lt;=8),"紧凑-高度紧凑",IF(I352&gt;=8.5,"紧凑-极度紧凑",""))))))))))</f>
        <v/>
      </c>
      <c r="L352" s="2">
        <f>IF(I352=0.1,"极紧凑",IF(AND(I352&gt;=1,I352&lt;=1.89),"松散",IF(AND(I352&gt;=2,I352&lt;=3.5),"标准",IF(I352&gt;=3.6,"紧凑",""))))</f>
        <v/>
      </c>
      <c r="M352" s="2" t="inlineStr">
        <is>
          <t>极紧凑-豹子号</t>
        </is>
      </c>
      <c r="N352" s="2" t="inlineStr">
        <is>
          <t>松散-极松散</t>
        </is>
      </c>
      <c r="O352" s="2" t="inlineStr">
        <is>
          <t>松散-标准松散</t>
        </is>
      </c>
      <c r="P352" s="2" t="inlineStr">
        <is>
          <t>松散-偏紧松散</t>
        </is>
      </c>
      <c r="Q352" s="2" t="inlineStr">
        <is>
          <t>标准-偏松标准</t>
        </is>
      </c>
      <c r="R352" s="2" t="inlineStr">
        <is>
          <t>标准-核心标准</t>
        </is>
      </c>
      <c r="S352" s="2" t="inlineStr">
        <is>
          <t>标准-偏紧标准</t>
        </is>
      </c>
      <c r="T352" s="2" t="inlineStr">
        <is>
          <t>紧凑-标准紧凑</t>
        </is>
      </c>
      <c r="U352" s="2" t="inlineStr">
        <is>
          <t>紧凑-高度紧凑</t>
        </is>
      </c>
      <c r="V352" s="2" t="inlineStr">
        <is>
          <t>紧凑-极度紧凑</t>
        </is>
      </c>
    </row>
    <row r="353">
      <c r="A353" s="1" t="n">
        <v>2023271</v>
      </c>
      <c r="B353" s="3" t="inlineStr">
        <is>
          <t>096</t>
        </is>
      </c>
      <c r="C353" s="2">
        <f>IF(B353="","",LEFT(TEXT(B353,"000"),1)*1)</f>
        <v/>
      </c>
      <c r="D353" s="2">
        <f>IF(B353="","",MID(TEXT(B353,"000"),2,1)*1)</f>
        <v/>
      </c>
      <c r="E353" s="2">
        <f>IF(B353="","",RIGHT(TEXT(B353,"000"),1)*1)</f>
        <v/>
      </c>
      <c r="F353" s="2">
        <f>IF(B353="","",C353+D353+E353)</f>
        <v/>
      </c>
      <c r="G353" s="2">
        <f>IF(B353="","",MOD(F353,10))</f>
        <v/>
      </c>
      <c r="H353" s="2">
        <f>IF(B353="","",MAX(C353,D353,E353)-MIN(C353,D353,E353))</f>
        <v/>
      </c>
      <c r="I353" s="2">
        <f>IF(OR(B353="",H353=0),IF(H353=0,0.1,""),ROUND(F353/H353,2))</f>
        <v/>
      </c>
      <c r="J353" s="2">
        <f>IF(I353=0.1,"极紧凑",IF(I353&gt;3.5,"紧凑",IF(AND(I353&gt;=2,I353&lt;=3.5),"标准",IF(AND(I353&gt;=1,I353&lt;2),"松散",""))))</f>
        <v/>
      </c>
      <c r="K353" s="2">
        <f>IF(I353=0.1,"极紧凑-豹子号",IF(AND(I353&gt;=1,I353&lt;=1.29),"松散-极松散",IF(AND(I353&gt;=1.33,I353&lt;=1.8),"松散-标准松散",IF(AND(I353&gt;=1.83,I353&lt;=1.89),"松散-偏紧松散",IF(AND(I353&gt;=2,I353&lt;=2.5),"标准-偏松标准",IF(AND(I353&gt;=2.57,I353&lt;=3),"标准-核心标准",IF(AND(I353&gt;=3.17,I353&lt;=3.5),"标准-偏紧标准",IF(AND(I353&gt;=3.6,I353&lt;=5),"紧凑-标准紧凑",IF(AND(I353&gt;=5.25,I353&lt;=8),"紧凑-高度紧凑",IF(I353&gt;=8.5,"紧凑-极度紧凑",""))))))))))</f>
        <v/>
      </c>
      <c r="L353" s="2">
        <f>IF(I353=0.1,"极紧凑",IF(AND(I353&gt;=1,I353&lt;=1.89),"松散",IF(AND(I353&gt;=2,I353&lt;=3.5),"标准",IF(I353&gt;=3.6,"紧凑",""))))</f>
        <v/>
      </c>
      <c r="M353" s="2" t="inlineStr">
        <is>
          <t>极紧凑-豹子号</t>
        </is>
      </c>
      <c r="N353" s="2" t="inlineStr">
        <is>
          <t>松散-极松散</t>
        </is>
      </c>
      <c r="O353" s="2" t="inlineStr">
        <is>
          <t>松散-标准松散</t>
        </is>
      </c>
      <c r="P353" s="2" t="inlineStr">
        <is>
          <t>松散-偏紧松散</t>
        </is>
      </c>
      <c r="Q353" s="2" t="inlineStr">
        <is>
          <t>标准-偏松标准</t>
        </is>
      </c>
      <c r="R353" s="2" t="inlineStr">
        <is>
          <t>标准-核心标准</t>
        </is>
      </c>
      <c r="S353" s="2" t="inlineStr">
        <is>
          <t>标准-偏紧标准</t>
        </is>
      </c>
      <c r="T353" s="2" t="inlineStr">
        <is>
          <t>紧凑-标准紧凑</t>
        </is>
      </c>
      <c r="U353" s="2" t="inlineStr">
        <is>
          <t>紧凑-高度紧凑</t>
        </is>
      </c>
      <c r="V353" s="2" t="inlineStr">
        <is>
          <t>紧凑-极度紧凑</t>
        </is>
      </c>
    </row>
    <row r="354">
      <c r="A354" s="1" t="n">
        <v>2023272</v>
      </c>
      <c r="B354" s="3" t="inlineStr">
        <is>
          <t>419</t>
        </is>
      </c>
      <c r="C354" s="2">
        <f>IF(B354="","",LEFT(TEXT(B354,"000"),1)*1)</f>
        <v/>
      </c>
      <c r="D354" s="2">
        <f>IF(B354="","",MID(TEXT(B354,"000"),2,1)*1)</f>
        <v/>
      </c>
      <c r="E354" s="2">
        <f>IF(B354="","",RIGHT(TEXT(B354,"000"),1)*1)</f>
        <v/>
      </c>
      <c r="F354" s="2">
        <f>IF(B354="","",C354+D354+E354)</f>
        <v/>
      </c>
      <c r="G354" s="2">
        <f>IF(B354="","",MOD(F354,10))</f>
        <v/>
      </c>
      <c r="H354" s="2">
        <f>IF(B354="","",MAX(C354,D354,E354)-MIN(C354,D354,E354))</f>
        <v/>
      </c>
      <c r="I354" s="2">
        <f>IF(OR(B354="",H354=0),IF(H354=0,0.1,""),ROUND(F354/H354,2))</f>
        <v/>
      </c>
      <c r="J354" s="2">
        <f>IF(I354=0.1,"极紧凑",IF(I354&gt;3.5,"紧凑",IF(AND(I354&gt;=2,I354&lt;=3.5),"标准",IF(AND(I354&gt;=1,I354&lt;2),"松散",""))))</f>
        <v/>
      </c>
      <c r="K354" s="2">
        <f>IF(I354=0.1,"极紧凑-豹子号",IF(AND(I354&gt;=1,I354&lt;=1.29),"松散-极松散",IF(AND(I354&gt;=1.33,I354&lt;=1.8),"松散-标准松散",IF(AND(I354&gt;=1.83,I354&lt;=1.89),"松散-偏紧松散",IF(AND(I354&gt;=2,I354&lt;=2.5),"标准-偏松标准",IF(AND(I354&gt;=2.57,I354&lt;=3),"标准-核心标准",IF(AND(I354&gt;=3.17,I354&lt;=3.5),"标准-偏紧标准",IF(AND(I354&gt;=3.6,I354&lt;=5),"紧凑-标准紧凑",IF(AND(I354&gt;=5.25,I354&lt;=8),"紧凑-高度紧凑",IF(I354&gt;=8.5,"紧凑-极度紧凑",""))))))))))</f>
        <v/>
      </c>
      <c r="L354" s="2">
        <f>IF(I354=0.1,"极紧凑",IF(AND(I354&gt;=1,I354&lt;=1.89),"松散",IF(AND(I354&gt;=2,I354&lt;=3.5),"标准",IF(I354&gt;=3.6,"紧凑",""))))</f>
        <v/>
      </c>
      <c r="M354" s="2" t="inlineStr">
        <is>
          <t>极紧凑-豹子号</t>
        </is>
      </c>
      <c r="N354" s="2" t="inlineStr">
        <is>
          <t>松散-极松散</t>
        </is>
      </c>
      <c r="O354" s="2" t="inlineStr">
        <is>
          <t>松散-标准松散</t>
        </is>
      </c>
      <c r="P354" s="2" t="inlineStr">
        <is>
          <t>松散-偏紧松散</t>
        </is>
      </c>
      <c r="Q354" s="2" t="inlineStr">
        <is>
          <t>标准-偏松标准</t>
        </is>
      </c>
      <c r="R354" s="2" t="inlineStr">
        <is>
          <t>标准-核心标准</t>
        </is>
      </c>
      <c r="S354" s="2" t="inlineStr">
        <is>
          <t>标准-偏紧标准</t>
        </is>
      </c>
      <c r="T354" s="2" t="inlineStr">
        <is>
          <t>紧凑-标准紧凑</t>
        </is>
      </c>
      <c r="U354" s="2" t="inlineStr">
        <is>
          <t>紧凑-高度紧凑</t>
        </is>
      </c>
      <c r="V354" s="2" t="inlineStr">
        <is>
          <t>紧凑-极度紧凑</t>
        </is>
      </c>
    </row>
    <row r="355">
      <c r="A355" s="1" t="n">
        <v>2023273</v>
      </c>
      <c r="B355" s="3" t="inlineStr">
        <is>
          <t>121</t>
        </is>
      </c>
      <c r="C355" s="2">
        <f>IF(B355="","",LEFT(TEXT(B355,"000"),1)*1)</f>
        <v/>
      </c>
      <c r="D355" s="2">
        <f>IF(B355="","",MID(TEXT(B355,"000"),2,1)*1)</f>
        <v/>
      </c>
      <c r="E355" s="2">
        <f>IF(B355="","",RIGHT(TEXT(B355,"000"),1)*1)</f>
        <v/>
      </c>
      <c r="F355" s="2">
        <f>IF(B355="","",C355+D355+E355)</f>
        <v/>
      </c>
      <c r="G355" s="2">
        <f>IF(B355="","",MOD(F355,10))</f>
        <v/>
      </c>
      <c r="H355" s="2">
        <f>IF(B355="","",MAX(C355,D355,E355)-MIN(C355,D355,E355))</f>
        <v/>
      </c>
      <c r="I355" s="2">
        <f>IF(OR(B355="",H355=0),IF(H355=0,0.1,""),ROUND(F355/H355,2))</f>
        <v/>
      </c>
      <c r="J355" s="2">
        <f>IF(I355=0.1,"极紧凑",IF(I355&gt;3.5,"紧凑",IF(AND(I355&gt;=2,I355&lt;=3.5),"标准",IF(AND(I355&gt;=1,I355&lt;2),"松散",""))))</f>
        <v/>
      </c>
      <c r="K355" s="2">
        <f>IF(I355=0.1,"极紧凑-豹子号",IF(AND(I355&gt;=1,I355&lt;=1.29),"松散-极松散",IF(AND(I355&gt;=1.33,I355&lt;=1.8),"松散-标准松散",IF(AND(I355&gt;=1.83,I355&lt;=1.89),"松散-偏紧松散",IF(AND(I355&gt;=2,I355&lt;=2.5),"标准-偏松标准",IF(AND(I355&gt;=2.57,I355&lt;=3),"标准-核心标准",IF(AND(I355&gt;=3.17,I355&lt;=3.5),"标准-偏紧标准",IF(AND(I355&gt;=3.6,I355&lt;=5),"紧凑-标准紧凑",IF(AND(I355&gt;=5.25,I355&lt;=8),"紧凑-高度紧凑",IF(I355&gt;=8.5,"紧凑-极度紧凑",""))))))))))</f>
        <v/>
      </c>
      <c r="L355" s="2">
        <f>IF(I355=0.1,"极紧凑",IF(AND(I355&gt;=1,I355&lt;=1.89),"松散",IF(AND(I355&gt;=2,I355&lt;=3.5),"标准",IF(I355&gt;=3.6,"紧凑",""))))</f>
        <v/>
      </c>
      <c r="M355" s="2" t="inlineStr">
        <is>
          <t>极紧凑-豹子号</t>
        </is>
      </c>
      <c r="N355" s="2" t="inlineStr">
        <is>
          <t>松散-极松散</t>
        </is>
      </c>
      <c r="O355" s="2" t="inlineStr">
        <is>
          <t>松散-标准松散</t>
        </is>
      </c>
      <c r="P355" s="2" t="inlineStr">
        <is>
          <t>松散-偏紧松散</t>
        </is>
      </c>
      <c r="Q355" s="2" t="inlineStr">
        <is>
          <t>标准-偏松标准</t>
        </is>
      </c>
      <c r="R355" s="2" t="inlineStr">
        <is>
          <t>标准-核心标准</t>
        </is>
      </c>
      <c r="S355" s="2" t="inlineStr">
        <is>
          <t>标准-偏紧标准</t>
        </is>
      </c>
      <c r="T355" s="2" t="inlineStr">
        <is>
          <t>紧凑-标准紧凑</t>
        </is>
      </c>
      <c r="U355" s="2" t="inlineStr">
        <is>
          <t>紧凑-高度紧凑</t>
        </is>
      </c>
      <c r="V355" s="2" t="inlineStr">
        <is>
          <t>紧凑-极度紧凑</t>
        </is>
      </c>
    </row>
    <row r="356">
      <c r="A356" s="1" t="n">
        <v>2023274</v>
      </c>
      <c r="B356" s="3" t="inlineStr">
        <is>
          <t>669</t>
        </is>
      </c>
      <c r="C356" s="2">
        <f>IF(B356="","",LEFT(TEXT(B356,"000"),1)*1)</f>
        <v/>
      </c>
      <c r="D356" s="2">
        <f>IF(B356="","",MID(TEXT(B356,"000"),2,1)*1)</f>
        <v/>
      </c>
      <c r="E356" s="2">
        <f>IF(B356="","",RIGHT(TEXT(B356,"000"),1)*1)</f>
        <v/>
      </c>
      <c r="F356" s="2">
        <f>IF(B356="","",C356+D356+E356)</f>
        <v/>
      </c>
      <c r="G356" s="2">
        <f>IF(B356="","",MOD(F356,10))</f>
        <v/>
      </c>
      <c r="H356" s="2">
        <f>IF(B356="","",MAX(C356,D356,E356)-MIN(C356,D356,E356))</f>
        <v/>
      </c>
      <c r="I356" s="2">
        <f>IF(OR(B356="",H356=0),IF(H356=0,0.1,""),ROUND(F356/H356,2))</f>
        <v/>
      </c>
      <c r="J356" s="2">
        <f>IF(I356=0.1,"极紧凑",IF(I356&gt;3.5,"紧凑",IF(AND(I356&gt;=2,I356&lt;=3.5),"标准",IF(AND(I356&gt;=1,I356&lt;2),"松散",""))))</f>
        <v/>
      </c>
      <c r="K356" s="2">
        <f>IF(I356=0.1,"极紧凑-豹子号",IF(AND(I356&gt;=1,I356&lt;=1.29),"松散-极松散",IF(AND(I356&gt;=1.33,I356&lt;=1.8),"松散-标准松散",IF(AND(I356&gt;=1.83,I356&lt;=1.89),"松散-偏紧松散",IF(AND(I356&gt;=2,I356&lt;=2.5),"标准-偏松标准",IF(AND(I356&gt;=2.57,I356&lt;=3),"标准-核心标准",IF(AND(I356&gt;=3.17,I356&lt;=3.5),"标准-偏紧标准",IF(AND(I356&gt;=3.6,I356&lt;=5),"紧凑-标准紧凑",IF(AND(I356&gt;=5.25,I356&lt;=8),"紧凑-高度紧凑",IF(I356&gt;=8.5,"紧凑-极度紧凑",""))))))))))</f>
        <v/>
      </c>
      <c r="L356" s="2">
        <f>IF(I356=0.1,"极紧凑",IF(AND(I356&gt;=1,I356&lt;=1.89),"松散",IF(AND(I356&gt;=2,I356&lt;=3.5),"标准",IF(I356&gt;=3.6,"紧凑",""))))</f>
        <v/>
      </c>
      <c r="M356" s="2" t="inlineStr">
        <is>
          <t>极紧凑-豹子号</t>
        </is>
      </c>
      <c r="N356" s="2" t="inlineStr">
        <is>
          <t>松散-极松散</t>
        </is>
      </c>
      <c r="O356" s="2" t="inlineStr">
        <is>
          <t>松散-标准松散</t>
        </is>
      </c>
      <c r="P356" s="2" t="inlineStr">
        <is>
          <t>松散-偏紧松散</t>
        </is>
      </c>
      <c r="Q356" s="2" t="inlineStr">
        <is>
          <t>标准-偏松标准</t>
        </is>
      </c>
      <c r="R356" s="2" t="inlineStr">
        <is>
          <t>标准-核心标准</t>
        </is>
      </c>
      <c r="S356" s="2" t="inlineStr">
        <is>
          <t>标准-偏紧标准</t>
        </is>
      </c>
      <c r="T356" s="2" t="inlineStr">
        <is>
          <t>紧凑-标准紧凑</t>
        </is>
      </c>
      <c r="U356" s="2" t="inlineStr">
        <is>
          <t>紧凑-高度紧凑</t>
        </is>
      </c>
      <c r="V356" s="2" t="inlineStr">
        <is>
          <t>紧凑-极度紧凑</t>
        </is>
      </c>
    </row>
    <row r="357">
      <c r="A357" s="1" t="n">
        <v>2023275</v>
      </c>
      <c r="B357" s="3" t="inlineStr">
        <is>
          <t>984</t>
        </is>
      </c>
      <c r="C357" s="2">
        <f>IF(B357="","",LEFT(TEXT(B357,"000"),1)*1)</f>
        <v/>
      </c>
      <c r="D357" s="2">
        <f>IF(B357="","",MID(TEXT(B357,"000"),2,1)*1)</f>
        <v/>
      </c>
      <c r="E357" s="2">
        <f>IF(B357="","",RIGHT(TEXT(B357,"000"),1)*1)</f>
        <v/>
      </c>
      <c r="F357" s="2">
        <f>IF(B357="","",C357+D357+E357)</f>
        <v/>
      </c>
      <c r="G357" s="2">
        <f>IF(B357="","",MOD(F357,10))</f>
        <v/>
      </c>
      <c r="H357" s="2">
        <f>IF(B357="","",MAX(C357,D357,E357)-MIN(C357,D357,E357))</f>
        <v/>
      </c>
      <c r="I357" s="2">
        <f>IF(OR(B357="",H357=0),IF(H357=0,0.1,""),ROUND(F357/H357,2))</f>
        <v/>
      </c>
      <c r="J357" s="2">
        <f>IF(I357=0.1,"极紧凑",IF(I357&gt;3.5,"紧凑",IF(AND(I357&gt;=2,I357&lt;=3.5),"标准",IF(AND(I357&gt;=1,I357&lt;2),"松散",""))))</f>
        <v/>
      </c>
      <c r="K357" s="2">
        <f>IF(I357=0.1,"极紧凑-豹子号",IF(AND(I357&gt;=1,I357&lt;=1.29),"松散-极松散",IF(AND(I357&gt;=1.33,I357&lt;=1.8),"松散-标准松散",IF(AND(I357&gt;=1.83,I357&lt;=1.89),"松散-偏紧松散",IF(AND(I357&gt;=2,I357&lt;=2.5),"标准-偏松标准",IF(AND(I357&gt;=2.57,I357&lt;=3),"标准-核心标准",IF(AND(I357&gt;=3.17,I357&lt;=3.5),"标准-偏紧标准",IF(AND(I357&gt;=3.6,I357&lt;=5),"紧凑-标准紧凑",IF(AND(I357&gt;=5.25,I357&lt;=8),"紧凑-高度紧凑",IF(I357&gt;=8.5,"紧凑-极度紧凑",""))))))))))</f>
        <v/>
      </c>
      <c r="L357" s="2">
        <f>IF(I357=0.1,"极紧凑",IF(AND(I357&gt;=1,I357&lt;=1.89),"松散",IF(AND(I357&gt;=2,I357&lt;=3.5),"标准",IF(I357&gt;=3.6,"紧凑",""))))</f>
        <v/>
      </c>
      <c r="M357" s="2" t="inlineStr">
        <is>
          <t>极紧凑-豹子号</t>
        </is>
      </c>
      <c r="N357" s="2" t="inlineStr">
        <is>
          <t>松散-极松散</t>
        </is>
      </c>
      <c r="O357" s="2" t="inlineStr">
        <is>
          <t>松散-标准松散</t>
        </is>
      </c>
      <c r="P357" s="2" t="inlineStr">
        <is>
          <t>松散-偏紧松散</t>
        </is>
      </c>
      <c r="Q357" s="2" t="inlineStr">
        <is>
          <t>标准-偏松标准</t>
        </is>
      </c>
      <c r="R357" s="2" t="inlineStr">
        <is>
          <t>标准-核心标准</t>
        </is>
      </c>
      <c r="S357" s="2" t="inlineStr">
        <is>
          <t>标准-偏紧标准</t>
        </is>
      </c>
      <c r="T357" s="2" t="inlineStr">
        <is>
          <t>紧凑-标准紧凑</t>
        </is>
      </c>
      <c r="U357" s="2" t="inlineStr">
        <is>
          <t>紧凑-高度紧凑</t>
        </is>
      </c>
      <c r="V357" s="2" t="inlineStr">
        <is>
          <t>紧凑-极度紧凑</t>
        </is>
      </c>
    </row>
    <row r="358">
      <c r="A358" s="1" t="n">
        <v>2023276</v>
      </c>
      <c r="B358" s="3" t="inlineStr">
        <is>
          <t>606</t>
        </is>
      </c>
      <c r="C358" s="2">
        <f>IF(B358="","",LEFT(TEXT(B358,"000"),1)*1)</f>
        <v/>
      </c>
      <c r="D358" s="2">
        <f>IF(B358="","",MID(TEXT(B358,"000"),2,1)*1)</f>
        <v/>
      </c>
      <c r="E358" s="2">
        <f>IF(B358="","",RIGHT(TEXT(B358,"000"),1)*1)</f>
        <v/>
      </c>
      <c r="F358" s="2">
        <f>IF(B358="","",C358+D358+E358)</f>
        <v/>
      </c>
      <c r="G358" s="2">
        <f>IF(B358="","",MOD(F358,10))</f>
        <v/>
      </c>
      <c r="H358" s="2">
        <f>IF(B358="","",MAX(C358,D358,E358)-MIN(C358,D358,E358))</f>
        <v/>
      </c>
      <c r="I358" s="2">
        <f>IF(OR(B358="",H358=0),IF(H358=0,0.1,""),ROUND(F358/H358,2))</f>
        <v/>
      </c>
      <c r="J358" s="2">
        <f>IF(I358=0.1,"极紧凑",IF(I358&gt;3.5,"紧凑",IF(AND(I358&gt;=2,I358&lt;=3.5),"标准",IF(AND(I358&gt;=1,I358&lt;2),"松散",""))))</f>
        <v/>
      </c>
      <c r="K358" s="2">
        <f>IF(I358=0.1,"极紧凑-豹子号",IF(AND(I358&gt;=1,I358&lt;=1.29),"松散-极松散",IF(AND(I358&gt;=1.33,I358&lt;=1.8),"松散-标准松散",IF(AND(I358&gt;=1.83,I358&lt;=1.89),"松散-偏紧松散",IF(AND(I358&gt;=2,I358&lt;=2.5),"标准-偏松标准",IF(AND(I358&gt;=2.57,I358&lt;=3),"标准-核心标准",IF(AND(I358&gt;=3.17,I358&lt;=3.5),"标准-偏紧标准",IF(AND(I358&gt;=3.6,I358&lt;=5),"紧凑-标准紧凑",IF(AND(I358&gt;=5.25,I358&lt;=8),"紧凑-高度紧凑",IF(I358&gt;=8.5,"紧凑-极度紧凑",""))))))))))</f>
        <v/>
      </c>
      <c r="L358" s="2">
        <f>IF(I358=0.1,"极紧凑",IF(AND(I358&gt;=1,I358&lt;=1.89),"松散",IF(AND(I358&gt;=2,I358&lt;=3.5),"标准",IF(I358&gt;=3.6,"紧凑",""))))</f>
        <v/>
      </c>
      <c r="M358" s="2" t="inlineStr">
        <is>
          <t>极紧凑-豹子号</t>
        </is>
      </c>
      <c r="N358" s="2" t="inlineStr">
        <is>
          <t>松散-极松散</t>
        </is>
      </c>
      <c r="O358" s="2" t="inlineStr">
        <is>
          <t>松散-标准松散</t>
        </is>
      </c>
      <c r="P358" s="2" t="inlineStr">
        <is>
          <t>松散-偏紧松散</t>
        </is>
      </c>
      <c r="Q358" s="2" t="inlineStr">
        <is>
          <t>标准-偏松标准</t>
        </is>
      </c>
      <c r="R358" s="2" t="inlineStr">
        <is>
          <t>标准-核心标准</t>
        </is>
      </c>
      <c r="S358" s="2" t="inlineStr">
        <is>
          <t>标准-偏紧标准</t>
        </is>
      </c>
      <c r="T358" s="2" t="inlineStr">
        <is>
          <t>紧凑-标准紧凑</t>
        </is>
      </c>
      <c r="U358" s="2" t="inlineStr">
        <is>
          <t>紧凑-高度紧凑</t>
        </is>
      </c>
      <c r="V358" s="2" t="inlineStr">
        <is>
          <t>紧凑-极度紧凑</t>
        </is>
      </c>
    </row>
    <row r="359">
      <c r="A359" s="1" t="n">
        <v>2023277</v>
      </c>
      <c r="B359" s="3" t="inlineStr">
        <is>
          <t>028</t>
        </is>
      </c>
      <c r="C359" s="2">
        <f>IF(B359="","",LEFT(TEXT(B359,"000"),1)*1)</f>
        <v/>
      </c>
      <c r="D359" s="2">
        <f>IF(B359="","",MID(TEXT(B359,"000"),2,1)*1)</f>
        <v/>
      </c>
      <c r="E359" s="2">
        <f>IF(B359="","",RIGHT(TEXT(B359,"000"),1)*1)</f>
        <v/>
      </c>
      <c r="F359" s="2">
        <f>IF(B359="","",C359+D359+E359)</f>
        <v/>
      </c>
      <c r="G359" s="2">
        <f>IF(B359="","",MOD(F359,10))</f>
        <v/>
      </c>
      <c r="H359" s="2">
        <f>IF(B359="","",MAX(C359,D359,E359)-MIN(C359,D359,E359))</f>
        <v/>
      </c>
      <c r="I359" s="2">
        <f>IF(OR(B359="",H359=0),IF(H359=0,0.1,""),ROUND(F359/H359,2))</f>
        <v/>
      </c>
      <c r="J359" s="2">
        <f>IF(I359=0.1,"极紧凑",IF(I359&gt;3.5,"紧凑",IF(AND(I359&gt;=2,I359&lt;=3.5),"标准",IF(AND(I359&gt;=1,I359&lt;2),"松散",""))))</f>
        <v/>
      </c>
      <c r="K359" s="2">
        <f>IF(I359=0.1,"极紧凑-豹子号",IF(AND(I359&gt;=1,I359&lt;=1.29),"松散-极松散",IF(AND(I359&gt;=1.33,I359&lt;=1.8),"松散-标准松散",IF(AND(I359&gt;=1.83,I359&lt;=1.89),"松散-偏紧松散",IF(AND(I359&gt;=2,I359&lt;=2.5),"标准-偏松标准",IF(AND(I359&gt;=2.57,I359&lt;=3),"标准-核心标准",IF(AND(I359&gt;=3.17,I359&lt;=3.5),"标准-偏紧标准",IF(AND(I359&gt;=3.6,I359&lt;=5),"紧凑-标准紧凑",IF(AND(I359&gt;=5.25,I359&lt;=8),"紧凑-高度紧凑",IF(I359&gt;=8.5,"紧凑-极度紧凑",""))))))))))</f>
        <v/>
      </c>
      <c r="L359" s="2">
        <f>IF(I359=0.1,"极紧凑",IF(AND(I359&gt;=1,I359&lt;=1.89),"松散",IF(AND(I359&gt;=2,I359&lt;=3.5),"标准",IF(I359&gt;=3.6,"紧凑",""))))</f>
        <v/>
      </c>
      <c r="M359" s="2" t="inlineStr">
        <is>
          <t>极紧凑-豹子号</t>
        </is>
      </c>
      <c r="N359" s="2" t="inlineStr">
        <is>
          <t>松散-极松散</t>
        </is>
      </c>
      <c r="O359" s="2" t="inlineStr">
        <is>
          <t>松散-标准松散</t>
        </is>
      </c>
      <c r="P359" s="2" t="inlineStr">
        <is>
          <t>松散-偏紧松散</t>
        </is>
      </c>
      <c r="Q359" s="2" t="inlineStr">
        <is>
          <t>标准-偏松标准</t>
        </is>
      </c>
      <c r="R359" s="2" t="inlineStr">
        <is>
          <t>标准-核心标准</t>
        </is>
      </c>
      <c r="S359" s="2" t="inlineStr">
        <is>
          <t>标准-偏紧标准</t>
        </is>
      </c>
      <c r="T359" s="2" t="inlineStr">
        <is>
          <t>紧凑-标准紧凑</t>
        </is>
      </c>
      <c r="U359" s="2" t="inlineStr">
        <is>
          <t>紧凑-高度紧凑</t>
        </is>
      </c>
      <c r="V359" s="2" t="inlineStr">
        <is>
          <t>紧凑-极度紧凑</t>
        </is>
      </c>
    </row>
    <row r="360">
      <c r="A360" s="1" t="n">
        <v>2023278</v>
      </c>
      <c r="B360" s="2" t="inlineStr">
        <is>
          <t>070</t>
        </is>
      </c>
      <c r="C360" s="2">
        <f>IF(B360="","",LEFT(TEXT(B360,"000"),1)*1)</f>
        <v/>
      </c>
      <c r="D360" s="2">
        <f>IF(B360="","",MID(TEXT(B360,"000"),2,1)*1)</f>
        <v/>
      </c>
      <c r="E360" s="2">
        <f>IF(B360="","",RIGHT(TEXT(B360,"000"),1)*1)</f>
        <v/>
      </c>
      <c r="F360" s="2">
        <f>IF(B360="","",C360+D360+E360)</f>
        <v/>
      </c>
      <c r="G360" s="2">
        <f>IF(B360="","",MOD(F360,10))</f>
        <v/>
      </c>
      <c r="H360" s="2">
        <f>IF(B360="","",MAX(C360,D360,E360)-MIN(C360,D360,E360))</f>
        <v/>
      </c>
      <c r="I360" s="2">
        <f>IF(OR(B360="",H360=0),IF(H360=0,0.1,""),ROUND(F360/H360,2))</f>
        <v/>
      </c>
      <c r="J360" s="2">
        <f>IF(I360=0.1,"极紧凑",IF(I360&gt;3.5,"紧凑",IF(AND(I360&gt;=2,I360&lt;=3.5),"标准",IF(AND(I360&gt;=1,I360&lt;2),"松散",""))))</f>
        <v/>
      </c>
      <c r="K360" s="2">
        <f>IF(I360=0.1,"极紧凑-豹子号",IF(AND(I360&gt;=1,I360&lt;=1.29),"松散-极松散",IF(AND(I360&gt;=1.33,I360&lt;=1.8),"松散-标准松散",IF(AND(I360&gt;=1.83,I360&lt;=1.89),"松散-偏紧松散",IF(AND(I360&gt;=2,I360&lt;=2.5),"标准-偏松标准",IF(AND(I360&gt;=2.57,I360&lt;=3),"标准-核心标准",IF(AND(I360&gt;=3.17,I360&lt;=3.5),"标准-偏紧标准",IF(AND(I360&gt;=3.6,I360&lt;=5),"紧凑-标准紧凑",IF(AND(I360&gt;=5.25,I360&lt;=8),"紧凑-高度紧凑",IF(I360&gt;=8.5,"紧凑-极度紧凑",""))))))))))</f>
        <v/>
      </c>
      <c r="L360" s="2">
        <f>IF(I360=0.1,"极紧凑",IF(AND(I360&gt;=1,I360&lt;=1.89),"松散",IF(AND(I360&gt;=2,I360&lt;=3.5),"标准",IF(I360&gt;=3.6,"紧凑",""))))</f>
        <v/>
      </c>
      <c r="M360" s="2" t="inlineStr">
        <is>
          <t>极紧凑-豹子号</t>
        </is>
      </c>
      <c r="N360" s="2" t="inlineStr">
        <is>
          <t>松散-极松散</t>
        </is>
      </c>
      <c r="O360" s="2" t="inlineStr">
        <is>
          <t>松散-标准松散</t>
        </is>
      </c>
      <c r="P360" s="2" t="inlineStr">
        <is>
          <t>松散-偏紧松散</t>
        </is>
      </c>
      <c r="Q360" s="2" t="inlineStr">
        <is>
          <t>标准-偏松标准</t>
        </is>
      </c>
      <c r="R360" s="2" t="inlineStr">
        <is>
          <t>标准-核心标准</t>
        </is>
      </c>
      <c r="S360" s="2" t="inlineStr">
        <is>
          <t>标准-偏紧标准</t>
        </is>
      </c>
      <c r="T360" s="2" t="inlineStr">
        <is>
          <t>紧凑-标准紧凑</t>
        </is>
      </c>
      <c r="U360" s="2" t="inlineStr">
        <is>
          <t>紧凑-高度紧凑</t>
        </is>
      </c>
      <c r="V360" s="2" t="inlineStr">
        <is>
          <t>紧凑-极度紧凑</t>
        </is>
      </c>
    </row>
    <row r="361">
      <c r="A361" s="1" t="n">
        <v>2023279</v>
      </c>
      <c r="B361" s="3" t="inlineStr">
        <is>
          <t>391</t>
        </is>
      </c>
      <c r="C361" s="2">
        <f>IF(B361="","",LEFT(TEXT(B361,"000"),1)*1)</f>
        <v/>
      </c>
      <c r="D361" s="2">
        <f>IF(B361="","",MID(TEXT(B361,"000"),2,1)*1)</f>
        <v/>
      </c>
      <c r="E361" s="2">
        <f>IF(B361="","",RIGHT(TEXT(B361,"000"),1)*1)</f>
        <v/>
      </c>
      <c r="F361" s="2">
        <f>IF(B361="","",C361+D361+E361)</f>
        <v/>
      </c>
      <c r="G361" s="2">
        <f>IF(B361="","",MOD(F361,10))</f>
        <v/>
      </c>
      <c r="H361" s="2">
        <f>IF(B361="","",MAX(C361,D361,E361)-MIN(C361,D361,E361))</f>
        <v/>
      </c>
      <c r="I361" s="2">
        <f>IF(OR(B361="",H361=0),IF(H361=0,0.1,""),ROUND(F361/H361,2))</f>
        <v/>
      </c>
      <c r="J361" s="2">
        <f>IF(I361=0.1,"极紧凑",IF(I361&gt;3.5,"紧凑",IF(AND(I361&gt;=2,I361&lt;=3.5),"标准",IF(AND(I361&gt;=1,I361&lt;2),"松散",""))))</f>
        <v/>
      </c>
      <c r="K361" s="2">
        <f>IF(I361=0.1,"极紧凑-豹子号",IF(AND(I361&gt;=1,I361&lt;=1.29),"松散-极松散",IF(AND(I361&gt;=1.33,I361&lt;=1.8),"松散-标准松散",IF(AND(I361&gt;=1.83,I361&lt;=1.89),"松散-偏紧松散",IF(AND(I361&gt;=2,I361&lt;=2.5),"标准-偏松标准",IF(AND(I361&gt;=2.57,I361&lt;=3),"标准-核心标准",IF(AND(I361&gt;=3.17,I361&lt;=3.5),"标准-偏紧标准",IF(AND(I361&gt;=3.6,I361&lt;=5),"紧凑-标准紧凑",IF(AND(I361&gt;=5.25,I361&lt;=8),"紧凑-高度紧凑",IF(I361&gt;=8.5,"紧凑-极度紧凑",""))))))))))</f>
        <v/>
      </c>
      <c r="L361" s="2">
        <f>IF(I361=0.1,"极紧凑",IF(AND(I361&gt;=1,I361&lt;=1.89),"松散",IF(AND(I361&gt;=2,I361&lt;=3.5),"标准",IF(I361&gt;=3.6,"紧凑",""))))</f>
        <v/>
      </c>
      <c r="M361" s="2" t="inlineStr">
        <is>
          <t>极紧凑-豹子号</t>
        </is>
      </c>
      <c r="N361" s="2" t="inlineStr">
        <is>
          <t>松散-极松散</t>
        </is>
      </c>
      <c r="O361" s="2" t="inlineStr">
        <is>
          <t>松散-标准松散</t>
        </is>
      </c>
      <c r="P361" s="2" t="inlineStr">
        <is>
          <t>松散-偏紧松散</t>
        </is>
      </c>
      <c r="Q361" s="2" t="inlineStr">
        <is>
          <t>标准-偏松标准</t>
        </is>
      </c>
      <c r="R361" s="2" t="inlineStr">
        <is>
          <t>标准-核心标准</t>
        </is>
      </c>
      <c r="S361" s="2" t="inlineStr">
        <is>
          <t>标准-偏紧标准</t>
        </is>
      </c>
      <c r="T361" s="2" t="inlineStr">
        <is>
          <t>紧凑-标准紧凑</t>
        </is>
      </c>
      <c r="U361" s="2" t="inlineStr">
        <is>
          <t>紧凑-高度紧凑</t>
        </is>
      </c>
      <c r="V361" s="2" t="inlineStr">
        <is>
          <t>紧凑-极度紧凑</t>
        </is>
      </c>
    </row>
    <row r="362">
      <c r="A362" s="1" t="n">
        <v>2023280</v>
      </c>
      <c r="B362" s="3" t="inlineStr">
        <is>
          <t>601</t>
        </is>
      </c>
      <c r="C362" s="2">
        <f>IF(B362="","",LEFT(TEXT(B362,"000"),1)*1)</f>
        <v/>
      </c>
      <c r="D362" s="2">
        <f>IF(B362="","",MID(TEXT(B362,"000"),2,1)*1)</f>
        <v/>
      </c>
      <c r="E362" s="2">
        <f>IF(B362="","",RIGHT(TEXT(B362,"000"),1)*1)</f>
        <v/>
      </c>
      <c r="F362" s="2">
        <f>IF(B362="","",C362+D362+E362)</f>
        <v/>
      </c>
      <c r="G362" s="2">
        <f>IF(B362="","",MOD(F362,10))</f>
        <v/>
      </c>
      <c r="H362" s="2">
        <f>IF(B362="","",MAX(C362,D362,E362)-MIN(C362,D362,E362))</f>
        <v/>
      </c>
      <c r="I362" s="2">
        <f>IF(OR(B362="",H362=0),IF(H362=0,0.1,""),ROUND(F362/H362,2))</f>
        <v/>
      </c>
      <c r="J362" s="2">
        <f>IF(I362=0.1,"极紧凑",IF(I362&gt;3.5,"紧凑",IF(AND(I362&gt;=2,I362&lt;=3.5),"标准",IF(AND(I362&gt;=1,I362&lt;2),"松散",""))))</f>
        <v/>
      </c>
      <c r="K362" s="2">
        <f>IF(I362=0.1,"极紧凑-豹子号",IF(AND(I362&gt;=1,I362&lt;=1.29),"松散-极松散",IF(AND(I362&gt;=1.33,I362&lt;=1.8),"松散-标准松散",IF(AND(I362&gt;=1.83,I362&lt;=1.89),"松散-偏紧松散",IF(AND(I362&gt;=2,I362&lt;=2.5),"标准-偏松标准",IF(AND(I362&gt;=2.57,I362&lt;=3),"标准-核心标准",IF(AND(I362&gt;=3.17,I362&lt;=3.5),"标准-偏紧标准",IF(AND(I362&gt;=3.6,I362&lt;=5),"紧凑-标准紧凑",IF(AND(I362&gt;=5.25,I362&lt;=8),"紧凑-高度紧凑",IF(I362&gt;=8.5,"紧凑-极度紧凑",""))))))))))</f>
        <v/>
      </c>
      <c r="L362" s="2">
        <f>IF(I362=0.1,"极紧凑",IF(AND(I362&gt;=1,I362&lt;=1.89),"松散",IF(AND(I362&gt;=2,I362&lt;=3.5),"标准",IF(I362&gt;=3.6,"紧凑",""))))</f>
        <v/>
      </c>
      <c r="M362" s="2" t="inlineStr">
        <is>
          <t>极紧凑-豹子号</t>
        </is>
      </c>
      <c r="N362" s="2" t="inlineStr">
        <is>
          <t>松散-极松散</t>
        </is>
      </c>
      <c r="O362" s="2" t="inlineStr">
        <is>
          <t>松散-标准松散</t>
        </is>
      </c>
      <c r="P362" s="2" t="inlineStr">
        <is>
          <t>松散-偏紧松散</t>
        </is>
      </c>
      <c r="Q362" s="2" t="inlineStr">
        <is>
          <t>标准-偏松标准</t>
        </is>
      </c>
      <c r="R362" s="2" t="inlineStr">
        <is>
          <t>标准-核心标准</t>
        </is>
      </c>
      <c r="S362" s="2" t="inlineStr">
        <is>
          <t>标准-偏紧标准</t>
        </is>
      </c>
      <c r="T362" s="2" t="inlineStr">
        <is>
          <t>紧凑-标准紧凑</t>
        </is>
      </c>
      <c r="U362" s="2" t="inlineStr">
        <is>
          <t>紧凑-高度紧凑</t>
        </is>
      </c>
      <c r="V362" s="2" t="inlineStr">
        <is>
          <t>紧凑-极度紧凑</t>
        </is>
      </c>
    </row>
    <row r="363">
      <c r="A363" s="1" t="n">
        <v>2023281</v>
      </c>
      <c r="B363" s="3" t="inlineStr">
        <is>
          <t>344</t>
        </is>
      </c>
      <c r="C363" s="2">
        <f>IF(B363="","",LEFT(TEXT(B363,"000"),1)*1)</f>
        <v/>
      </c>
      <c r="D363" s="2">
        <f>IF(B363="","",MID(TEXT(B363,"000"),2,1)*1)</f>
        <v/>
      </c>
      <c r="E363" s="2">
        <f>IF(B363="","",RIGHT(TEXT(B363,"000"),1)*1)</f>
        <v/>
      </c>
      <c r="F363" s="2">
        <f>IF(B363="","",C363+D363+E363)</f>
        <v/>
      </c>
      <c r="G363" s="2">
        <f>IF(B363="","",MOD(F363,10))</f>
        <v/>
      </c>
      <c r="H363" s="2">
        <f>IF(B363="","",MAX(C363,D363,E363)-MIN(C363,D363,E363))</f>
        <v/>
      </c>
      <c r="I363" s="2">
        <f>IF(OR(B363="",H363=0),IF(H363=0,0.1,""),ROUND(F363/H363,2))</f>
        <v/>
      </c>
      <c r="J363" s="2">
        <f>IF(I363=0.1,"极紧凑",IF(I363&gt;3.5,"紧凑",IF(AND(I363&gt;=2,I363&lt;=3.5),"标准",IF(AND(I363&gt;=1,I363&lt;2),"松散",""))))</f>
        <v/>
      </c>
      <c r="K363" s="2">
        <f>IF(I363=0.1,"极紧凑-豹子号",IF(AND(I363&gt;=1,I363&lt;=1.29),"松散-极松散",IF(AND(I363&gt;=1.33,I363&lt;=1.8),"松散-标准松散",IF(AND(I363&gt;=1.83,I363&lt;=1.89),"松散-偏紧松散",IF(AND(I363&gt;=2,I363&lt;=2.5),"标准-偏松标准",IF(AND(I363&gt;=2.57,I363&lt;=3),"标准-核心标准",IF(AND(I363&gt;=3.17,I363&lt;=3.5),"标准-偏紧标准",IF(AND(I363&gt;=3.6,I363&lt;=5),"紧凑-标准紧凑",IF(AND(I363&gt;=5.25,I363&lt;=8),"紧凑-高度紧凑",IF(I363&gt;=8.5,"紧凑-极度紧凑",""))))))))))</f>
        <v/>
      </c>
      <c r="L363" s="2">
        <f>IF(I363=0.1,"极紧凑",IF(AND(I363&gt;=1,I363&lt;=1.89),"松散",IF(AND(I363&gt;=2,I363&lt;=3.5),"标准",IF(I363&gt;=3.6,"紧凑",""))))</f>
        <v/>
      </c>
      <c r="M363" s="2" t="inlineStr">
        <is>
          <t>极紧凑-豹子号</t>
        </is>
      </c>
      <c r="N363" s="2" t="inlineStr">
        <is>
          <t>松散-极松散</t>
        </is>
      </c>
      <c r="O363" s="2" t="inlineStr">
        <is>
          <t>松散-标准松散</t>
        </is>
      </c>
      <c r="P363" s="2" t="inlineStr">
        <is>
          <t>松散-偏紧松散</t>
        </is>
      </c>
      <c r="Q363" s="2" t="inlineStr">
        <is>
          <t>标准-偏松标准</t>
        </is>
      </c>
      <c r="R363" s="2" t="inlineStr">
        <is>
          <t>标准-核心标准</t>
        </is>
      </c>
      <c r="S363" s="2" t="inlineStr">
        <is>
          <t>标准-偏紧标准</t>
        </is>
      </c>
      <c r="T363" s="2" t="inlineStr">
        <is>
          <t>紧凑-标准紧凑</t>
        </is>
      </c>
      <c r="U363" s="2" t="inlineStr">
        <is>
          <t>紧凑-高度紧凑</t>
        </is>
      </c>
      <c r="V363" s="2" t="inlineStr">
        <is>
          <t>紧凑-极度紧凑</t>
        </is>
      </c>
    </row>
    <row r="364">
      <c r="A364" s="1" t="n">
        <v>2023282</v>
      </c>
      <c r="B364" s="3" t="inlineStr">
        <is>
          <t>308</t>
        </is>
      </c>
      <c r="C364" s="2">
        <f>IF(B364="","",LEFT(TEXT(B364,"000"),1)*1)</f>
        <v/>
      </c>
      <c r="D364" s="2">
        <f>IF(B364="","",MID(TEXT(B364,"000"),2,1)*1)</f>
        <v/>
      </c>
      <c r="E364" s="2">
        <f>IF(B364="","",RIGHT(TEXT(B364,"000"),1)*1)</f>
        <v/>
      </c>
      <c r="F364" s="2">
        <f>IF(B364="","",C364+D364+E364)</f>
        <v/>
      </c>
      <c r="G364" s="2">
        <f>IF(B364="","",MOD(F364,10))</f>
        <v/>
      </c>
      <c r="H364" s="2">
        <f>IF(B364="","",MAX(C364,D364,E364)-MIN(C364,D364,E364))</f>
        <v/>
      </c>
      <c r="I364" s="2">
        <f>IF(OR(B364="",H364=0),IF(H364=0,0.1,""),ROUND(F364/H364,2))</f>
        <v/>
      </c>
      <c r="J364" s="2">
        <f>IF(I364=0.1,"极紧凑",IF(I364&gt;3.5,"紧凑",IF(AND(I364&gt;=2,I364&lt;=3.5),"标准",IF(AND(I364&gt;=1,I364&lt;2),"松散",""))))</f>
        <v/>
      </c>
      <c r="K364" s="2">
        <f>IF(I364=0.1,"极紧凑-豹子号",IF(AND(I364&gt;=1,I364&lt;=1.29),"松散-极松散",IF(AND(I364&gt;=1.33,I364&lt;=1.8),"松散-标准松散",IF(AND(I364&gt;=1.83,I364&lt;=1.89),"松散-偏紧松散",IF(AND(I364&gt;=2,I364&lt;=2.5),"标准-偏松标准",IF(AND(I364&gt;=2.57,I364&lt;=3),"标准-核心标准",IF(AND(I364&gt;=3.17,I364&lt;=3.5),"标准-偏紧标准",IF(AND(I364&gt;=3.6,I364&lt;=5),"紧凑-标准紧凑",IF(AND(I364&gt;=5.25,I364&lt;=8),"紧凑-高度紧凑",IF(I364&gt;=8.5,"紧凑-极度紧凑",""))))))))))</f>
        <v/>
      </c>
      <c r="L364" s="2">
        <f>IF(I364=0.1,"极紧凑",IF(AND(I364&gt;=1,I364&lt;=1.89),"松散",IF(AND(I364&gt;=2,I364&lt;=3.5),"标准",IF(I364&gt;=3.6,"紧凑",""))))</f>
        <v/>
      </c>
      <c r="M364" s="2" t="inlineStr">
        <is>
          <t>极紧凑-豹子号</t>
        </is>
      </c>
      <c r="N364" s="2" t="inlineStr">
        <is>
          <t>松散-极松散</t>
        </is>
      </c>
      <c r="O364" s="2" t="inlineStr">
        <is>
          <t>松散-标准松散</t>
        </is>
      </c>
      <c r="P364" s="2" t="inlineStr">
        <is>
          <t>松散-偏紧松散</t>
        </is>
      </c>
      <c r="Q364" s="2" t="inlineStr">
        <is>
          <t>标准-偏松标准</t>
        </is>
      </c>
      <c r="R364" s="2" t="inlineStr">
        <is>
          <t>标准-核心标准</t>
        </is>
      </c>
      <c r="S364" s="2" t="inlineStr">
        <is>
          <t>标准-偏紧标准</t>
        </is>
      </c>
      <c r="T364" s="2" t="inlineStr">
        <is>
          <t>紧凑-标准紧凑</t>
        </is>
      </c>
      <c r="U364" s="2" t="inlineStr">
        <is>
          <t>紧凑-高度紧凑</t>
        </is>
      </c>
      <c r="V364" s="2" t="inlineStr">
        <is>
          <t>紧凑-极度紧凑</t>
        </is>
      </c>
    </row>
    <row r="365">
      <c r="A365" s="1" t="n">
        <v>2023283</v>
      </c>
      <c r="B365" s="3" t="inlineStr">
        <is>
          <t>029</t>
        </is>
      </c>
      <c r="C365" s="2">
        <f>IF(B365="","",LEFT(TEXT(B365,"000"),1)*1)</f>
        <v/>
      </c>
      <c r="D365" s="2">
        <f>IF(B365="","",MID(TEXT(B365,"000"),2,1)*1)</f>
        <v/>
      </c>
      <c r="E365" s="2">
        <f>IF(B365="","",RIGHT(TEXT(B365,"000"),1)*1)</f>
        <v/>
      </c>
      <c r="F365" s="2">
        <f>IF(B365="","",C365+D365+E365)</f>
        <v/>
      </c>
      <c r="G365" s="2">
        <f>IF(B365="","",MOD(F365,10))</f>
        <v/>
      </c>
      <c r="H365" s="2">
        <f>IF(B365="","",MAX(C365,D365,E365)-MIN(C365,D365,E365))</f>
        <v/>
      </c>
      <c r="I365" s="2">
        <f>IF(OR(B365="",H365=0),IF(H365=0,0.1,""),ROUND(F365/H365,2))</f>
        <v/>
      </c>
      <c r="J365" s="2">
        <f>IF(I365=0.1,"极紧凑",IF(I365&gt;3.5,"紧凑",IF(AND(I365&gt;=2,I365&lt;=3.5),"标准",IF(AND(I365&gt;=1,I365&lt;2),"松散",""))))</f>
        <v/>
      </c>
      <c r="K365" s="2">
        <f>IF(I365=0.1,"极紧凑-豹子号",IF(AND(I365&gt;=1,I365&lt;=1.29),"松散-极松散",IF(AND(I365&gt;=1.33,I365&lt;=1.8),"松散-标准松散",IF(AND(I365&gt;=1.83,I365&lt;=1.89),"松散-偏紧松散",IF(AND(I365&gt;=2,I365&lt;=2.5),"标准-偏松标准",IF(AND(I365&gt;=2.57,I365&lt;=3),"标准-核心标准",IF(AND(I365&gt;=3.17,I365&lt;=3.5),"标准-偏紧标准",IF(AND(I365&gt;=3.6,I365&lt;=5),"紧凑-标准紧凑",IF(AND(I365&gt;=5.25,I365&lt;=8),"紧凑-高度紧凑",IF(I365&gt;=8.5,"紧凑-极度紧凑",""))))))))))</f>
        <v/>
      </c>
      <c r="L365" s="2">
        <f>IF(I365=0.1,"极紧凑",IF(AND(I365&gt;=1,I365&lt;=1.89),"松散",IF(AND(I365&gt;=2,I365&lt;=3.5),"标准",IF(I365&gt;=3.6,"紧凑",""))))</f>
        <v/>
      </c>
      <c r="M365" s="2" t="inlineStr">
        <is>
          <t>极紧凑-豹子号</t>
        </is>
      </c>
      <c r="N365" s="2" t="inlineStr">
        <is>
          <t>松散-极松散</t>
        </is>
      </c>
      <c r="O365" s="2" t="inlineStr">
        <is>
          <t>松散-标准松散</t>
        </is>
      </c>
      <c r="P365" s="2" t="inlineStr">
        <is>
          <t>松散-偏紧松散</t>
        </is>
      </c>
      <c r="Q365" s="2" t="inlineStr">
        <is>
          <t>标准-偏松标准</t>
        </is>
      </c>
      <c r="R365" s="2" t="inlineStr">
        <is>
          <t>标准-核心标准</t>
        </is>
      </c>
      <c r="S365" s="2" t="inlineStr">
        <is>
          <t>标准-偏紧标准</t>
        </is>
      </c>
      <c r="T365" s="2" t="inlineStr">
        <is>
          <t>紧凑-标准紧凑</t>
        </is>
      </c>
      <c r="U365" s="2" t="inlineStr">
        <is>
          <t>紧凑-高度紧凑</t>
        </is>
      </c>
      <c r="V365" s="2" t="inlineStr">
        <is>
          <t>紧凑-极度紧凑</t>
        </is>
      </c>
    </row>
    <row r="366">
      <c r="A366" s="1" t="n">
        <v>2023284</v>
      </c>
      <c r="B366" s="3" t="inlineStr">
        <is>
          <t>382</t>
        </is>
      </c>
      <c r="C366" s="2">
        <f>IF(B366="","",LEFT(TEXT(B366,"000"),1)*1)</f>
        <v/>
      </c>
      <c r="D366" s="2">
        <f>IF(B366="","",MID(TEXT(B366,"000"),2,1)*1)</f>
        <v/>
      </c>
      <c r="E366" s="2">
        <f>IF(B366="","",RIGHT(TEXT(B366,"000"),1)*1)</f>
        <v/>
      </c>
      <c r="F366" s="2">
        <f>IF(B366="","",C366+D366+E366)</f>
        <v/>
      </c>
      <c r="G366" s="2">
        <f>IF(B366="","",MOD(F366,10))</f>
        <v/>
      </c>
      <c r="H366" s="2">
        <f>IF(B366="","",MAX(C366,D366,E366)-MIN(C366,D366,E366))</f>
        <v/>
      </c>
      <c r="I366" s="2">
        <f>IF(OR(B366="",H366=0),IF(H366=0,0.1,""),ROUND(F366/H366,2))</f>
        <v/>
      </c>
      <c r="J366" s="2">
        <f>IF(I366=0.1,"极紧凑",IF(I366&gt;3.5,"紧凑",IF(AND(I366&gt;=2,I366&lt;=3.5),"标准",IF(AND(I366&gt;=1,I366&lt;2),"松散",""))))</f>
        <v/>
      </c>
      <c r="K366" s="2">
        <f>IF(I366=0.1,"极紧凑-豹子号",IF(AND(I366&gt;=1,I366&lt;=1.29),"松散-极松散",IF(AND(I366&gt;=1.33,I366&lt;=1.8),"松散-标准松散",IF(AND(I366&gt;=1.83,I366&lt;=1.89),"松散-偏紧松散",IF(AND(I366&gt;=2,I366&lt;=2.5),"标准-偏松标准",IF(AND(I366&gt;=2.57,I366&lt;=3),"标准-核心标准",IF(AND(I366&gt;=3.17,I366&lt;=3.5),"标准-偏紧标准",IF(AND(I366&gt;=3.6,I366&lt;=5),"紧凑-标准紧凑",IF(AND(I366&gt;=5.25,I366&lt;=8),"紧凑-高度紧凑",IF(I366&gt;=8.5,"紧凑-极度紧凑",""))))))))))</f>
        <v/>
      </c>
      <c r="L366" s="2">
        <f>IF(I366=0.1,"极紧凑",IF(AND(I366&gt;=1,I366&lt;=1.89),"松散",IF(AND(I366&gt;=2,I366&lt;=3.5),"标准",IF(I366&gt;=3.6,"紧凑",""))))</f>
        <v/>
      </c>
      <c r="M366" s="2" t="inlineStr">
        <is>
          <t>极紧凑-豹子号</t>
        </is>
      </c>
      <c r="N366" s="2" t="inlineStr">
        <is>
          <t>松散-极松散</t>
        </is>
      </c>
      <c r="O366" s="2" t="inlineStr">
        <is>
          <t>松散-标准松散</t>
        </is>
      </c>
      <c r="P366" s="2" t="inlineStr">
        <is>
          <t>松散-偏紧松散</t>
        </is>
      </c>
      <c r="Q366" s="2" t="inlineStr">
        <is>
          <t>标准-偏松标准</t>
        </is>
      </c>
      <c r="R366" s="2" t="inlineStr">
        <is>
          <t>标准-核心标准</t>
        </is>
      </c>
      <c r="S366" s="2" t="inlineStr">
        <is>
          <t>标准-偏紧标准</t>
        </is>
      </c>
      <c r="T366" s="2" t="inlineStr">
        <is>
          <t>紧凑-标准紧凑</t>
        </is>
      </c>
      <c r="U366" s="2" t="inlineStr">
        <is>
          <t>紧凑-高度紧凑</t>
        </is>
      </c>
      <c r="V366" s="2" t="inlineStr">
        <is>
          <t>紧凑-极度紧凑</t>
        </is>
      </c>
    </row>
    <row r="367">
      <c r="A367" s="1" t="n">
        <v>2023285</v>
      </c>
      <c r="B367" s="3" t="inlineStr">
        <is>
          <t>716</t>
        </is>
      </c>
      <c r="C367" s="2">
        <f>IF(B367="","",LEFT(TEXT(B367,"000"),1)*1)</f>
        <v/>
      </c>
      <c r="D367" s="2">
        <f>IF(B367="","",MID(TEXT(B367,"000"),2,1)*1)</f>
        <v/>
      </c>
      <c r="E367" s="2">
        <f>IF(B367="","",RIGHT(TEXT(B367,"000"),1)*1)</f>
        <v/>
      </c>
      <c r="F367" s="2">
        <f>IF(B367="","",C367+D367+E367)</f>
        <v/>
      </c>
      <c r="G367" s="2">
        <f>IF(B367="","",MOD(F367,10))</f>
        <v/>
      </c>
      <c r="H367" s="2">
        <f>IF(B367="","",MAX(C367,D367,E367)-MIN(C367,D367,E367))</f>
        <v/>
      </c>
      <c r="I367" s="2">
        <f>IF(OR(B367="",H367=0),IF(H367=0,0.1,""),ROUND(F367/H367,2))</f>
        <v/>
      </c>
      <c r="J367" s="2">
        <f>IF(I367=0.1,"极紧凑",IF(I367&gt;3.5,"紧凑",IF(AND(I367&gt;=2,I367&lt;=3.5),"标准",IF(AND(I367&gt;=1,I367&lt;2),"松散",""))))</f>
        <v/>
      </c>
      <c r="K367" s="2">
        <f>IF(I367=0.1,"极紧凑-豹子号",IF(AND(I367&gt;=1,I367&lt;=1.29),"松散-极松散",IF(AND(I367&gt;=1.33,I367&lt;=1.8),"松散-标准松散",IF(AND(I367&gt;=1.83,I367&lt;=1.89),"松散-偏紧松散",IF(AND(I367&gt;=2,I367&lt;=2.5),"标准-偏松标准",IF(AND(I367&gt;=2.57,I367&lt;=3),"标准-核心标准",IF(AND(I367&gt;=3.17,I367&lt;=3.5),"标准-偏紧标准",IF(AND(I367&gt;=3.6,I367&lt;=5),"紧凑-标准紧凑",IF(AND(I367&gt;=5.25,I367&lt;=8),"紧凑-高度紧凑",IF(I367&gt;=8.5,"紧凑-极度紧凑",""))))))))))</f>
        <v/>
      </c>
      <c r="L367" s="2">
        <f>IF(I367=0.1,"极紧凑",IF(AND(I367&gt;=1,I367&lt;=1.89),"松散",IF(AND(I367&gt;=2,I367&lt;=3.5),"标准",IF(I367&gt;=3.6,"紧凑",""))))</f>
        <v/>
      </c>
      <c r="M367" s="2" t="inlineStr">
        <is>
          <t>极紧凑-豹子号</t>
        </is>
      </c>
      <c r="N367" s="2" t="inlineStr">
        <is>
          <t>松散-极松散</t>
        </is>
      </c>
      <c r="O367" s="2" t="inlineStr">
        <is>
          <t>松散-标准松散</t>
        </is>
      </c>
      <c r="P367" s="2" t="inlineStr">
        <is>
          <t>松散-偏紧松散</t>
        </is>
      </c>
      <c r="Q367" s="2" t="inlineStr">
        <is>
          <t>标准-偏松标准</t>
        </is>
      </c>
      <c r="R367" s="2" t="inlineStr">
        <is>
          <t>标准-核心标准</t>
        </is>
      </c>
      <c r="S367" s="2" t="inlineStr">
        <is>
          <t>标准-偏紧标准</t>
        </is>
      </c>
      <c r="T367" s="2" t="inlineStr">
        <is>
          <t>紧凑-标准紧凑</t>
        </is>
      </c>
      <c r="U367" s="2" t="inlineStr">
        <is>
          <t>紧凑-高度紧凑</t>
        </is>
      </c>
      <c r="V367" s="2" t="inlineStr">
        <is>
          <t>紧凑-极度紧凑</t>
        </is>
      </c>
    </row>
    <row r="368">
      <c r="A368" s="1" t="n">
        <v>2023286</v>
      </c>
      <c r="B368" s="3" t="inlineStr">
        <is>
          <t>116</t>
        </is>
      </c>
      <c r="C368" s="2">
        <f>IF(B368="","",LEFT(TEXT(B368,"000"),1)*1)</f>
        <v/>
      </c>
      <c r="D368" s="2">
        <f>IF(B368="","",MID(TEXT(B368,"000"),2,1)*1)</f>
        <v/>
      </c>
      <c r="E368" s="2">
        <f>IF(B368="","",RIGHT(TEXT(B368,"000"),1)*1)</f>
        <v/>
      </c>
      <c r="F368" s="2">
        <f>IF(B368="","",C368+D368+E368)</f>
        <v/>
      </c>
      <c r="G368" s="2">
        <f>IF(B368="","",MOD(F368,10))</f>
        <v/>
      </c>
      <c r="H368" s="2">
        <f>IF(B368="","",MAX(C368,D368,E368)-MIN(C368,D368,E368))</f>
        <v/>
      </c>
      <c r="I368" s="2">
        <f>IF(OR(B368="",H368=0),IF(H368=0,0.1,""),ROUND(F368/H368,2))</f>
        <v/>
      </c>
      <c r="J368" s="2">
        <f>IF(I368=0.1,"极紧凑",IF(I368&gt;3.5,"紧凑",IF(AND(I368&gt;=2,I368&lt;=3.5),"标准",IF(AND(I368&gt;=1,I368&lt;2),"松散",""))))</f>
        <v/>
      </c>
      <c r="K368" s="2">
        <f>IF(I368=0.1,"极紧凑-豹子号",IF(AND(I368&gt;=1,I368&lt;=1.29),"松散-极松散",IF(AND(I368&gt;=1.33,I368&lt;=1.8),"松散-标准松散",IF(AND(I368&gt;=1.83,I368&lt;=1.89),"松散-偏紧松散",IF(AND(I368&gt;=2,I368&lt;=2.5),"标准-偏松标准",IF(AND(I368&gt;=2.57,I368&lt;=3),"标准-核心标准",IF(AND(I368&gt;=3.17,I368&lt;=3.5),"标准-偏紧标准",IF(AND(I368&gt;=3.6,I368&lt;=5),"紧凑-标准紧凑",IF(AND(I368&gt;=5.25,I368&lt;=8),"紧凑-高度紧凑",IF(I368&gt;=8.5,"紧凑-极度紧凑",""))))))))))</f>
        <v/>
      </c>
      <c r="L368" s="2">
        <f>IF(I368=0.1,"极紧凑",IF(AND(I368&gt;=1,I368&lt;=1.89),"松散",IF(AND(I368&gt;=2,I368&lt;=3.5),"标准",IF(I368&gt;=3.6,"紧凑",""))))</f>
        <v/>
      </c>
      <c r="M368" s="2" t="inlineStr">
        <is>
          <t>极紧凑-豹子号</t>
        </is>
      </c>
      <c r="N368" s="2" t="inlineStr">
        <is>
          <t>松散-极松散</t>
        </is>
      </c>
      <c r="O368" s="2" t="inlineStr">
        <is>
          <t>松散-标准松散</t>
        </is>
      </c>
      <c r="P368" s="2" t="inlineStr">
        <is>
          <t>松散-偏紧松散</t>
        </is>
      </c>
      <c r="Q368" s="2" t="inlineStr">
        <is>
          <t>标准-偏松标准</t>
        </is>
      </c>
      <c r="R368" s="2" t="inlineStr">
        <is>
          <t>标准-核心标准</t>
        </is>
      </c>
      <c r="S368" s="2" t="inlineStr">
        <is>
          <t>标准-偏紧标准</t>
        </is>
      </c>
      <c r="T368" s="2" t="inlineStr">
        <is>
          <t>紧凑-标准紧凑</t>
        </is>
      </c>
      <c r="U368" s="2" t="inlineStr">
        <is>
          <t>紧凑-高度紧凑</t>
        </is>
      </c>
      <c r="V368" s="2" t="inlineStr">
        <is>
          <t>紧凑-极度紧凑</t>
        </is>
      </c>
    </row>
    <row r="369">
      <c r="A369" s="1" t="n">
        <v>2023287</v>
      </c>
      <c r="B369" s="3" t="inlineStr">
        <is>
          <t>894</t>
        </is>
      </c>
      <c r="C369" s="2">
        <f>IF(B369="","",LEFT(TEXT(B369,"000"),1)*1)</f>
        <v/>
      </c>
      <c r="D369" s="2">
        <f>IF(B369="","",MID(TEXT(B369,"000"),2,1)*1)</f>
        <v/>
      </c>
      <c r="E369" s="2">
        <f>IF(B369="","",RIGHT(TEXT(B369,"000"),1)*1)</f>
        <v/>
      </c>
      <c r="F369" s="2">
        <f>IF(B369="","",C369+D369+E369)</f>
        <v/>
      </c>
      <c r="G369" s="2">
        <f>IF(B369="","",MOD(F369,10))</f>
        <v/>
      </c>
      <c r="H369" s="2">
        <f>IF(B369="","",MAX(C369,D369,E369)-MIN(C369,D369,E369))</f>
        <v/>
      </c>
      <c r="I369" s="2">
        <f>IF(OR(B369="",H369=0),IF(H369=0,0.1,""),ROUND(F369/H369,2))</f>
        <v/>
      </c>
      <c r="J369" s="2">
        <f>IF(I369=0.1,"极紧凑",IF(I369&gt;3.5,"紧凑",IF(AND(I369&gt;=2,I369&lt;=3.5),"标准",IF(AND(I369&gt;=1,I369&lt;2),"松散",""))))</f>
        <v/>
      </c>
      <c r="K369" s="2">
        <f>IF(I369=0.1,"极紧凑-豹子号",IF(AND(I369&gt;=1,I369&lt;=1.29),"松散-极松散",IF(AND(I369&gt;=1.33,I369&lt;=1.8),"松散-标准松散",IF(AND(I369&gt;=1.83,I369&lt;=1.89),"松散-偏紧松散",IF(AND(I369&gt;=2,I369&lt;=2.5),"标准-偏松标准",IF(AND(I369&gt;=2.57,I369&lt;=3),"标准-核心标准",IF(AND(I369&gt;=3.17,I369&lt;=3.5),"标准-偏紧标准",IF(AND(I369&gt;=3.6,I369&lt;=5),"紧凑-标准紧凑",IF(AND(I369&gt;=5.25,I369&lt;=8),"紧凑-高度紧凑",IF(I369&gt;=8.5,"紧凑-极度紧凑",""))))))))))</f>
        <v/>
      </c>
      <c r="L369" s="2">
        <f>IF(I369=0.1,"极紧凑",IF(AND(I369&gt;=1,I369&lt;=1.89),"松散",IF(AND(I369&gt;=2,I369&lt;=3.5),"标准",IF(I369&gt;=3.6,"紧凑",""))))</f>
        <v/>
      </c>
      <c r="M369" s="2" t="inlineStr">
        <is>
          <t>极紧凑-豹子号</t>
        </is>
      </c>
      <c r="N369" s="2" t="inlineStr">
        <is>
          <t>松散-极松散</t>
        </is>
      </c>
      <c r="O369" s="2" t="inlineStr">
        <is>
          <t>松散-标准松散</t>
        </is>
      </c>
      <c r="P369" s="2" t="inlineStr">
        <is>
          <t>松散-偏紧松散</t>
        </is>
      </c>
      <c r="Q369" s="2" t="inlineStr">
        <is>
          <t>标准-偏松标准</t>
        </is>
      </c>
      <c r="R369" s="2" t="inlineStr">
        <is>
          <t>标准-核心标准</t>
        </is>
      </c>
      <c r="S369" s="2" t="inlineStr">
        <is>
          <t>标准-偏紧标准</t>
        </is>
      </c>
      <c r="T369" s="2" t="inlineStr">
        <is>
          <t>紧凑-标准紧凑</t>
        </is>
      </c>
      <c r="U369" s="2" t="inlineStr">
        <is>
          <t>紧凑-高度紧凑</t>
        </is>
      </c>
      <c r="V369" s="2" t="inlineStr">
        <is>
          <t>紧凑-极度紧凑</t>
        </is>
      </c>
    </row>
    <row r="370">
      <c r="A370" s="1" t="n">
        <v>2023288</v>
      </c>
      <c r="B370" s="3" t="inlineStr">
        <is>
          <t>314</t>
        </is>
      </c>
      <c r="C370" s="2">
        <f>IF(B370="","",LEFT(TEXT(B370,"000"),1)*1)</f>
        <v/>
      </c>
      <c r="D370" s="2">
        <f>IF(B370="","",MID(TEXT(B370,"000"),2,1)*1)</f>
        <v/>
      </c>
      <c r="E370" s="2">
        <f>IF(B370="","",RIGHT(TEXT(B370,"000"),1)*1)</f>
        <v/>
      </c>
      <c r="F370" s="2">
        <f>IF(B370="","",C370+D370+E370)</f>
        <v/>
      </c>
      <c r="G370" s="2">
        <f>IF(B370="","",MOD(F370,10))</f>
        <v/>
      </c>
      <c r="H370" s="2">
        <f>IF(B370="","",MAX(C370,D370,E370)-MIN(C370,D370,E370))</f>
        <v/>
      </c>
      <c r="I370" s="2">
        <f>IF(OR(B370="",H370=0),IF(H370=0,0.1,""),ROUND(F370/H370,2))</f>
        <v/>
      </c>
      <c r="J370" s="2">
        <f>IF(I370=0.1,"极紧凑",IF(I370&gt;3.5,"紧凑",IF(AND(I370&gt;=2,I370&lt;=3.5),"标准",IF(AND(I370&gt;=1,I370&lt;2),"松散",""))))</f>
        <v/>
      </c>
      <c r="K370" s="2">
        <f>IF(I370=0.1,"极紧凑-豹子号",IF(AND(I370&gt;=1,I370&lt;=1.29),"松散-极松散",IF(AND(I370&gt;=1.33,I370&lt;=1.8),"松散-标准松散",IF(AND(I370&gt;=1.83,I370&lt;=1.89),"松散-偏紧松散",IF(AND(I370&gt;=2,I370&lt;=2.5),"标准-偏松标准",IF(AND(I370&gt;=2.57,I370&lt;=3),"标准-核心标准",IF(AND(I370&gt;=3.17,I370&lt;=3.5),"标准-偏紧标准",IF(AND(I370&gt;=3.6,I370&lt;=5),"紧凑-标准紧凑",IF(AND(I370&gt;=5.25,I370&lt;=8),"紧凑-高度紧凑",IF(I370&gt;=8.5,"紧凑-极度紧凑",""))))))))))</f>
        <v/>
      </c>
      <c r="L370" s="2">
        <f>IF(I370=0.1,"极紧凑",IF(AND(I370&gt;=1,I370&lt;=1.89),"松散",IF(AND(I370&gt;=2,I370&lt;=3.5),"标准",IF(I370&gt;=3.6,"紧凑",""))))</f>
        <v/>
      </c>
      <c r="M370" s="2" t="inlineStr">
        <is>
          <t>极紧凑-豹子号</t>
        </is>
      </c>
      <c r="N370" s="2" t="inlineStr">
        <is>
          <t>松散-极松散</t>
        </is>
      </c>
      <c r="O370" s="2" t="inlineStr">
        <is>
          <t>松散-标准松散</t>
        </is>
      </c>
      <c r="P370" s="2" t="inlineStr">
        <is>
          <t>松散-偏紧松散</t>
        </is>
      </c>
      <c r="Q370" s="2" t="inlineStr">
        <is>
          <t>标准-偏松标准</t>
        </is>
      </c>
      <c r="R370" s="2" t="inlineStr">
        <is>
          <t>标准-核心标准</t>
        </is>
      </c>
      <c r="S370" s="2" t="inlineStr">
        <is>
          <t>标准-偏紧标准</t>
        </is>
      </c>
      <c r="T370" s="2" t="inlineStr">
        <is>
          <t>紧凑-标准紧凑</t>
        </is>
      </c>
      <c r="U370" s="2" t="inlineStr">
        <is>
          <t>紧凑-高度紧凑</t>
        </is>
      </c>
      <c r="V370" s="2" t="inlineStr">
        <is>
          <t>紧凑-极度紧凑</t>
        </is>
      </c>
    </row>
    <row r="371">
      <c r="A371" s="1" t="n">
        <v>2023289</v>
      </c>
      <c r="B371" s="3" t="inlineStr">
        <is>
          <t>996</t>
        </is>
      </c>
      <c r="C371" s="2">
        <f>IF(B371="","",LEFT(TEXT(B371,"000"),1)*1)</f>
        <v/>
      </c>
      <c r="D371" s="2">
        <f>IF(B371="","",MID(TEXT(B371,"000"),2,1)*1)</f>
        <v/>
      </c>
      <c r="E371" s="2">
        <f>IF(B371="","",RIGHT(TEXT(B371,"000"),1)*1)</f>
        <v/>
      </c>
      <c r="F371" s="2">
        <f>IF(B371="","",C371+D371+E371)</f>
        <v/>
      </c>
      <c r="G371" s="2">
        <f>IF(B371="","",MOD(F371,10))</f>
        <v/>
      </c>
      <c r="H371" s="2">
        <f>IF(B371="","",MAX(C371,D371,E371)-MIN(C371,D371,E371))</f>
        <v/>
      </c>
      <c r="I371" s="2">
        <f>IF(OR(B371="",H371=0),IF(H371=0,0.1,""),ROUND(F371/H371,2))</f>
        <v/>
      </c>
      <c r="J371" s="2">
        <f>IF(I371=0.1,"极紧凑",IF(I371&gt;3.5,"紧凑",IF(AND(I371&gt;=2,I371&lt;=3.5),"标准",IF(AND(I371&gt;=1,I371&lt;2),"松散",""))))</f>
        <v/>
      </c>
      <c r="K371" s="2">
        <f>IF(I371=0.1,"极紧凑-豹子号",IF(AND(I371&gt;=1,I371&lt;=1.29),"松散-极松散",IF(AND(I371&gt;=1.33,I371&lt;=1.8),"松散-标准松散",IF(AND(I371&gt;=1.83,I371&lt;=1.89),"松散-偏紧松散",IF(AND(I371&gt;=2,I371&lt;=2.5),"标准-偏松标准",IF(AND(I371&gt;=2.57,I371&lt;=3),"标准-核心标准",IF(AND(I371&gt;=3.17,I371&lt;=3.5),"标准-偏紧标准",IF(AND(I371&gt;=3.6,I371&lt;=5),"紧凑-标准紧凑",IF(AND(I371&gt;=5.25,I371&lt;=8),"紧凑-高度紧凑",IF(I371&gt;=8.5,"紧凑-极度紧凑",""))))))))))</f>
        <v/>
      </c>
      <c r="L371" s="2">
        <f>IF(I371=0.1,"极紧凑",IF(AND(I371&gt;=1,I371&lt;=1.89),"松散",IF(AND(I371&gt;=2,I371&lt;=3.5),"标准",IF(I371&gt;=3.6,"紧凑",""))))</f>
        <v/>
      </c>
      <c r="M371" s="2" t="inlineStr">
        <is>
          <t>极紧凑-豹子号</t>
        </is>
      </c>
      <c r="N371" s="2" t="inlineStr">
        <is>
          <t>松散-极松散</t>
        </is>
      </c>
      <c r="O371" s="2" t="inlineStr">
        <is>
          <t>松散-标准松散</t>
        </is>
      </c>
      <c r="P371" s="2" t="inlineStr">
        <is>
          <t>松散-偏紧松散</t>
        </is>
      </c>
      <c r="Q371" s="2" t="inlineStr">
        <is>
          <t>标准-偏松标准</t>
        </is>
      </c>
      <c r="R371" s="2" t="inlineStr">
        <is>
          <t>标准-核心标准</t>
        </is>
      </c>
      <c r="S371" s="2" t="inlineStr">
        <is>
          <t>标准-偏紧标准</t>
        </is>
      </c>
      <c r="T371" s="2" t="inlineStr">
        <is>
          <t>紧凑-标准紧凑</t>
        </is>
      </c>
      <c r="U371" s="2" t="inlineStr">
        <is>
          <t>紧凑-高度紧凑</t>
        </is>
      </c>
      <c r="V371" s="2" t="inlineStr">
        <is>
          <t>紧凑-极度紧凑</t>
        </is>
      </c>
    </row>
    <row r="372">
      <c r="A372" s="1" t="n">
        <v>2023290</v>
      </c>
      <c r="B372" s="3" t="inlineStr">
        <is>
          <t>154</t>
        </is>
      </c>
      <c r="C372" s="2">
        <f>IF(B372="","",LEFT(TEXT(B372,"000"),1)*1)</f>
        <v/>
      </c>
      <c r="D372" s="2">
        <f>IF(B372="","",MID(TEXT(B372,"000"),2,1)*1)</f>
        <v/>
      </c>
      <c r="E372" s="2">
        <f>IF(B372="","",RIGHT(TEXT(B372,"000"),1)*1)</f>
        <v/>
      </c>
      <c r="F372" s="2">
        <f>IF(B372="","",C372+D372+E372)</f>
        <v/>
      </c>
      <c r="G372" s="2">
        <f>IF(B372="","",MOD(F372,10))</f>
        <v/>
      </c>
      <c r="H372" s="2">
        <f>IF(B372="","",MAX(C372,D372,E372)-MIN(C372,D372,E372))</f>
        <v/>
      </c>
      <c r="I372" s="2">
        <f>IF(OR(B372="",H372=0),IF(H372=0,0.1,""),ROUND(F372/H372,2))</f>
        <v/>
      </c>
      <c r="J372" s="2">
        <f>IF(I372=0.1,"极紧凑",IF(I372&gt;3.5,"紧凑",IF(AND(I372&gt;=2,I372&lt;=3.5),"标准",IF(AND(I372&gt;=1,I372&lt;2),"松散",""))))</f>
        <v/>
      </c>
      <c r="K372" s="2">
        <f>IF(I372=0.1,"极紧凑-豹子号",IF(AND(I372&gt;=1,I372&lt;=1.29),"松散-极松散",IF(AND(I372&gt;=1.33,I372&lt;=1.8),"松散-标准松散",IF(AND(I372&gt;=1.83,I372&lt;=1.89),"松散-偏紧松散",IF(AND(I372&gt;=2,I372&lt;=2.5),"标准-偏松标准",IF(AND(I372&gt;=2.57,I372&lt;=3),"标准-核心标准",IF(AND(I372&gt;=3.17,I372&lt;=3.5),"标准-偏紧标准",IF(AND(I372&gt;=3.6,I372&lt;=5),"紧凑-标准紧凑",IF(AND(I372&gt;=5.25,I372&lt;=8),"紧凑-高度紧凑",IF(I372&gt;=8.5,"紧凑-极度紧凑",""))))))))))</f>
        <v/>
      </c>
      <c r="L372" s="2">
        <f>IF(I372=0.1,"极紧凑",IF(AND(I372&gt;=1,I372&lt;=1.89),"松散",IF(AND(I372&gt;=2,I372&lt;=3.5),"标准",IF(I372&gt;=3.6,"紧凑",""))))</f>
        <v/>
      </c>
      <c r="M372" s="2" t="inlineStr">
        <is>
          <t>极紧凑-豹子号</t>
        </is>
      </c>
      <c r="N372" s="2" t="inlineStr">
        <is>
          <t>松散-极松散</t>
        </is>
      </c>
      <c r="O372" s="2" t="inlineStr">
        <is>
          <t>松散-标准松散</t>
        </is>
      </c>
      <c r="P372" s="2" t="inlineStr">
        <is>
          <t>松散-偏紧松散</t>
        </is>
      </c>
      <c r="Q372" s="2" t="inlineStr">
        <is>
          <t>标准-偏松标准</t>
        </is>
      </c>
      <c r="R372" s="2" t="inlineStr">
        <is>
          <t>标准-核心标准</t>
        </is>
      </c>
      <c r="S372" s="2" t="inlineStr">
        <is>
          <t>标准-偏紧标准</t>
        </is>
      </c>
      <c r="T372" s="2" t="inlineStr">
        <is>
          <t>紧凑-标准紧凑</t>
        </is>
      </c>
      <c r="U372" s="2" t="inlineStr">
        <is>
          <t>紧凑-高度紧凑</t>
        </is>
      </c>
      <c r="V372" s="2" t="inlineStr">
        <is>
          <t>紧凑-极度紧凑</t>
        </is>
      </c>
    </row>
    <row r="373">
      <c r="A373" s="1" t="n">
        <v>2023291</v>
      </c>
      <c r="B373" s="3" t="inlineStr">
        <is>
          <t>150</t>
        </is>
      </c>
      <c r="C373" s="2">
        <f>IF(B373="","",LEFT(TEXT(B373,"000"),1)*1)</f>
        <v/>
      </c>
      <c r="D373" s="2">
        <f>IF(B373="","",MID(TEXT(B373,"000"),2,1)*1)</f>
        <v/>
      </c>
      <c r="E373" s="2">
        <f>IF(B373="","",RIGHT(TEXT(B373,"000"),1)*1)</f>
        <v/>
      </c>
      <c r="F373" s="2">
        <f>IF(B373="","",C373+D373+E373)</f>
        <v/>
      </c>
      <c r="G373" s="2">
        <f>IF(B373="","",MOD(F373,10))</f>
        <v/>
      </c>
      <c r="H373" s="2">
        <f>IF(B373="","",MAX(C373,D373,E373)-MIN(C373,D373,E373))</f>
        <v/>
      </c>
      <c r="I373" s="2">
        <f>IF(OR(B373="",H373=0),IF(H373=0,0.1,""),ROUND(F373/H373,2))</f>
        <v/>
      </c>
      <c r="J373" s="2">
        <f>IF(I373=0.1,"极紧凑",IF(I373&gt;3.5,"紧凑",IF(AND(I373&gt;=2,I373&lt;=3.5),"标准",IF(AND(I373&gt;=1,I373&lt;2),"松散",""))))</f>
        <v/>
      </c>
      <c r="K373" s="2">
        <f>IF(I373=0.1,"极紧凑-豹子号",IF(AND(I373&gt;=1,I373&lt;=1.29),"松散-极松散",IF(AND(I373&gt;=1.33,I373&lt;=1.8),"松散-标准松散",IF(AND(I373&gt;=1.83,I373&lt;=1.89),"松散-偏紧松散",IF(AND(I373&gt;=2,I373&lt;=2.5),"标准-偏松标准",IF(AND(I373&gt;=2.57,I373&lt;=3),"标准-核心标准",IF(AND(I373&gt;=3.17,I373&lt;=3.5),"标准-偏紧标准",IF(AND(I373&gt;=3.6,I373&lt;=5),"紧凑-标准紧凑",IF(AND(I373&gt;=5.25,I373&lt;=8),"紧凑-高度紧凑",IF(I373&gt;=8.5,"紧凑-极度紧凑",""))))))))))</f>
        <v/>
      </c>
      <c r="L373" s="2">
        <f>IF(I373=0.1,"极紧凑",IF(AND(I373&gt;=1,I373&lt;=1.89),"松散",IF(AND(I373&gt;=2,I373&lt;=3.5),"标准",IF(I373&gt;=3.6,"紧凑",""))))</f>
        <v/>
      </c>
      <c r="M373" s="2" t="inlineStr">
        <is>
          <t>极紧凑-豹子号</t>
        </is>
      </c>
      <c r="N373" s="2" t="inlineStr">
        <is>
          <t>松散-极松散</t>
        </is>
      </c>
      <c r="O373" s="2" t="inlineStr">
        <is>
          <t>松散-标准松散</t>
        </is>
      </c>
      <c r="P373" s="2" t="inlineStr">
        <is>
          <t>松散-偏紧松散</t>
        </is>
      </c>
      <c r="Q373" s="2" t="inlineStr">
        <is>
          <t>标准-偏松标准</t>
        </is>
      </c>
      <c r="R373" s="2" t="inlineStr">
        <is>
          <t>标准-核心标准</t>
        </is>
      </c>
      <c r="S373" s="2" t="inlineStr">
        <is>
          <t>标准-偏紧标准</t>
        </is>
      </c>
      <c r="T373" s="2" t="inlineStr">
        <is>
          <t>紧凑-标准紧凑</t>
        </is>
      </c>
      <c r="U373" s="2" t="inlineStr">
        <is>
          <t>紧凑-高度紧凑</t>
        </is>
      </c>
      <c r="V373" s="2" t="inlineStr">
        <is>
          <t>紧凑-极度紧凑</t>
        </is>
      </c>
    </row>
    <row r="374">
      <c r="A374" s="1" t="n">
        <v>2023292</v>
      </c>
      <c r="B374" s="3" t="inlineStr">
        <is>
          <t>968</t>
        </is>
      </c>
      <c r="C374" s="2">
        <f>IF(B374="","",LEFT(TEXT(B374,"000"),1)*1)</f>
        <v/>
      </c>
      <c r="D374" s="2">
        <f>IF(B374="","",MID(TEXT(B374,"000"),2,1)*1)</f>
        <v/>
      </c>
      <c r="E374" s="2">
        <f>IF(B374="","",RIGHT(TEXT(B374,"000"),1)*1)</f>
        <v/>
      </c>
      <c r="F374" s="2">
        <f>IF(B374="","",C374+D374+E374)</f>
        <v/>
      </c>
      <c r="G374" s="2">
        <f>IF(B374="","",MOD(F374,10))</f>
        <v/>
      </c>
      <c r="H374" s="2">
        <f>IF(B374="","",MAX(C374,D374,E374)-MIN(C374,D374,E374))</f>
        <v/>
      </c>
      <c r="I374" s="2">
        <f>IF(OR(B374="",H374=0),IF(H374=0,0.1,""),ROUND(F374/H374,2))</f>
        <v/>
      </c>
      <c r="J374" s="2">
        <f>IF(I374=0.1,"极紧凑",IF(I374&gt;3.5,"紧凑",IF(AND(I374&gt;=2,I374&lt;=3.5),"标准",IF(AND(I374&gt;=1,I374&lt;2),"松散",""))))</f>
        <v/>
      </c>
      <c r="K374" s="2">
        <f>IF(I374=0.1,"极紧凑-豹子号",IF(AND(I374&gt;=1,I374&lt;=1.29),"松散-极松散",IF(AND(I374&gt;=1.33,I374&lt;=1.8),"松散-标准松散",IF(AND(I374&gt;=1.83,I374&lt;=1.89),"松散-偏紧松散",IF(AND(I374&gt;=2,I374&lt;=2.5),"标准-偏松标准",IF(AND(I374&gt;=2.57,I374&lt;=3),"标准-核心标准",IF(AND(I374&gt;=3.17,I374&lt;=3.5),"标准-偏紧标准",IF(AND(I374&gt;=3.6,I374&lt;=5),"紧凑-标准紧凑",IF(AND(I374&gt;=5.25,I374&lt;=8),"紧凑-高度紧凑",IF(I374&gt;=8.5,"紧凑-极度紧凑",""))))))))))</f>
        <v/>
      </c>
      <c r="L374" s="2">
        <f>IF(I374=0.1,"极紧凑",IF(AND(I374&gt;=1,I374&lt;=1.89),"松散",IF(AND(I374&gt;=2,I374&lt;=3.5),"标准",IF(I374&gt;=3.6,"紧凑",""))))</f>
        <v/>
      </c>
      <c r="M374" s="2" t="inlineStr">
        <is>
          <t>极紧凑-豹子号</t>
        </is>
      </c>
      <c r="N374" s="2" t="inlineStr">
        <is>
          <t>松散-极松散</t>
        </is>
      </c>
      <c r="O374" s="2" t="inlineStr">
        <is>
          <t>松散-标准松散</t>
        </is>
      </c>
      <c r="P374" s="2" t="inlineStr">
        <is>
          <t>松散-偏紧松散</t>
        </is>
      </c>
      <c r="Q374" s="2" t="inlineStr">
        <is>
          <t>标准-偏松标准</t>
        </is>
      </c>
      <c r="R374" s="2" t="inlineStr">
        <is>
          <t>标准-核心标准</t>
        </is>
      </c>
      <c r="S374" s="2" t="inlineStr">
        <is>
          <t>标准-偏紧标准</t>
        </is>
      </c>
      <c r="T374" s="2" t="inlineStr">
        <is>
          <t>紧凑-标准紧凑</t>
        </is>
      </c>
      <c r="U374" s="2" t="inlineStr">
        <is>
          <t>紧凑-高度紧凑</t>
        </is>
      </c>
      <c r="V374" s="2" t="inlineStr">
        <is>
          <t>紧凑-极度紧凑</t>
        </is>
      </c>
    </row>
    <row r="375">
      <c r="A375" s="1" t="n">
        <v>2023293</v>
      </c>
      <c r="B375" s="3" t="inlineStr">
        <is>
          <t>434</t>
        </is>
      </c>
      <c r="C375" s="2">
        <f>IF(B375="","",LEFT(TEXT(B375,"000"),1)*1)</f>
        <v/>
      </c>
      <c r="D375" s="2">
        <f>IF(B375="","",MID(TEXT(B375,"000"),2,1)*1)</f>
        <v/>
      </c>
      <c r="E375" s="2">
        <f>IF(B375="","",RIGHT(TEXT(B375,"000"),1)*1)</f>
        <v/>
      </c>
      <c r="F375" s="2">
        <f>IF(B375="","",C375+D375+E375)</f>
        <v/>
      </c>
      <c r="G375" s="2">
        <f>IF(B375="","",MOD(F375,10))</f>
        <v/>
      </c>
      <c r="H375" s="2">
        <f>IF(B375="","",MAX(C375,D375,E375)-MIN(C375,D375,E375))</f>
        <v/>
      </c>
      <c r="I375" s="2">
        <f>IF(OR(B375="",H375=0),IF(H375=0,0.1,""),ROUND(F375/H375,2))</f>
        <v/>
      </c>
      <c r="J375" s="2">
        <f>IF(I375=0.1,"极紧凑",IF(I375&gt;3.5,"紧凑",IF(AND(I375&gt;=2,I375&lt;=3.5),"标准",IF(AND(I375&gt;=1,I375&lt;2),"松散",""))))</f>
        <v/>
      </c>
      <c r="K375" s="2">
        <f>IF(I375=0.1,"极紧凑-豹子号",IF(AND(I375&gt;=1,I375&lt;=1.29),"松散-极松散",IF(AND(I375&gt;=1.33,I375&lt;=1.8),"松散-标准松散",IF(AND(I375&gt;=1.83,I375&lt;=1.89),"松散-偏紧松散",IF(AND(I375&gt;=2,I375&lt;=2.5),"标准-偏松标准",IF(AND(I375&gt;=2.57,I375&lt;=3),"标准-核心标准",IF(AND(I375&gt;=3.17,I375&lt;=3.5),"标准-偏紧标准",IF(AND(I375&gt;=3.6,I375&lt;=5),"紧凑-标准紧凑",IF(AND(I375&gt;=5.25,I375&lt;=8),"紧凑-高度紧凑",IF(I375&gt;=8.5,"紧凑-极度紧凑",""))))))))))</f>
        <v/>
      </c>
      <c r="L375" s="2">
        <f>IF(I375=0.1,"极紧凑",IF(AND(I375&gt;=1,I375&lt;=1.89),"松散",IF(AND(I375&gt;=2,I375&lt;=3.5),"标准",IF(I375&gt;=3.6,"紧凑",""))))</f>
        <v/>
      </c>
      <c r="M375" s="2" t="inlineStr">
        <is>
          <t>极紧凑-豹子号</t>
        </is>
      </c>
      <c r="N375" s="2" t="inlineStr">
        <is>
          <t>松散-极松散</t>
        </is>
      </c>
      <c r="O375" s="2" t="inlineStr">
        <is>
          <t>松散-标准松散</t>
        </is>
      </c>
      <c r="P375" s="2" t="inlineStr">
        <is>
          <t>松散-偏紧松散</t>
        </is>
      </c>
      <c r="Q375" s="2" t="inlineStr">
        <is>
          <t>标准-偏松标准</t>
        </is>
      </c>
      <c r="R375" s="2" t="inlineStr">
        <is>
          <t>标准-核心标准</t>
        </is>
      </c>
      <c r="S375" s="2" t="inlineStr">
        <is>
          <t>标准-偏紧标准</t>
        </is>
      </c>
      <c r="T375" s="2" t="inlineStr">
        <is>
          <t>紧凑-标准紧凑</t>
        </is>
      </c>
      <c r="U375" s="2" t="inlineStr">
        <is>
          <t>紧凑-高度紧凑</t>
        </is>
      </c>
      <c r="V375" s="2" t="inlineStr">
        <is>
          <t>紧凑-极度紧凑</t>
        </is>
      </c>
    </row>
    <row r="376">
      <c r="A376" s="1" t="n">
        <v>2023294</v>
      </c>
      <c r="B376" s="3" t="inlineStr">
        <is>
          <t>667</t>
        </is>
      </c>
      <c r="C376" s="2">
        <f>IF(B376="","",LEFT(TEXT(B376,"000"),1)*1)</f>
        <v/>
      </c>
      <c r="D376" s="2">
        <f>IF(B376="","",MID(TEXT(B376,"000"),2,1)*1)</f>
        <v/>
      </c>
      <c r="E376" s="2">
        <f>IF(B376="","",RIGHT(TEXT(B376,"000"),1)*1)</f>
        <v/>
      </c>
      <c r="F376" s="2">
        <f>IF(B376="","",C376+D376+E376)</f>
        <v/>
      </c>
      <c r="G376" s="2">
        <f>IF(B376="","",MOD(F376,10))</f>
        <v/>
      </c>
      <c r="H376" s="2">
        <f>IF(B376="","",MAX(C376,D376,E376)-MIN(C376,D376,E376))</f>
        <v/>
      </c>
      <c r="I376" s="2">
        <f>IF(OR(B376="",H376=0),IF(H376=0,0.1,""),ROUND(F376/H376,2))</f>
        <v/>
      </c>
      <c r="J376" s="2">
        <f>IF(I376=0.1,"极紧凑",IF(I376&gt;3.5,"紧凑",IF(AND(I376&gt;=2,I376&lt;=3.5),"标准",IF(AND(I376&gt;=1,I376&lt;2),"松散",""))))</f>
        <v/>
      </c>
      <c r="K376" s="2">
        <f>IF(I376=0.1,"极紧凑-豹子号",IF(AND(I376&gt;=1,I376&lt;=1.29),"松散-极松散",IF(AND(I376&gt;=1.33,I376&lt;=1.8),"松散-标准松散",IF(AND(I376&gt;=1.83,I376&lt;=1.89),"松散-偏紧松散",IF(AND(I376&gt;=2,I376&lt;=2.5),"标准-偏松标准",IF(AND(I376&gt;=2.57,I376&lt;=3),"标准-核心标准",IF(AND(I376&gt;=3.17,I376&lt;=3.5),"标准-偏紧标准",IF(AND(I376&gt;=3.6,I376&lt;=5),"紧凑-标准紧凑",IF(AND(I376&gt;=5.25,I376&lt;=8),"紧凑-高度紧凑",IF(I376&gt;=8.5,"紧凑-极度紧凑",""))))))))))</f>
        <v/>
      </c>
      <c r="L376" s="2">
        <f>IF(I376=0.1,"极紧凑",IF(AND(I376&gt;=1,I376&lt;=1.89),"松散",IF(AND(I376&gt;=2,I376&lt;=3.5),"标准",IF(I376&gt;=3.6,"紧凑",""))))</f>
        <v/>
      </c>
      <c r="M376" s="2" t="inlineStr">
        <is>
          <t>极紧凑-豹子号</t>
        </is>
      </c>
      <c r="N376" s="2" t="inlineStr">
        <is>
          <t>松散-极松散</t>
        </is>
      </c>
      <c r="O376" s="2" t="inlineStr">
        <is>
          <t>松散-标准松散</t>
        </is>
      </c>
      <c r="P376" s="2" t="inlineStr">
        <is>
          <t>松散-偏紧松散</t>
        </is>
      </c>
      <c r="Q376" s="2" t="inlineStr">
        <is>
          <t>标准-偏松标准</t>
        </is>
      </c>
      <c r="R376" s="2" t="inlineStr">
        <is>
          <t>标准-核心标准</t>
        </is>
      </c>
      <c r="S376" s="2" t="inlineStr">
        <is>
          <t>标准-偏紧标准</t>
        </is>
      </c>
      <c r="T376" s="2" t="inlineStr">
        <is>
          <t>紧凑-标准紧凑</t>
        </is>
      </c>
      <c r="U376" s="2" t="inlineStr">
        <is>
          <t>紧凑-高度紧凑</t>
        </is>
      </c>
      <c r="V376" s="2" t="inlineStr">
        <is>
          <t>紧凑-极度紧凑</t>
        </is>
      </c>
    </row>
    <row r="377">
      <c r="A377" s="1" t="n">
        <v>2023295</v>
      </c>
      <c r="B377" s="3" t="inlineStr">
        <is>
          <t>882</t>
        </is>
      </c>
      <c r="C377" s="2">
        <f>IF(B377="","",LEFT(TEXT(B377,"000"),1)*1)</f>
        <v/>
      </c>
      <c r="D377" s="2">
        <f>IF(B377="","",MID(TEXT(B377,"000"),2,1)*1)</f>
        <v/>
      </c>
      <c r="E377" s="2">
        <f>IF(B377="","",RIGHT(TEXT(B377,"000"),1)*1)</f>
        <v/>
      </c>
      <c r="F377" s="2">
        <f>IF(B377="","",C377+D377+E377)</f>
        <v/>
      </c>
      <c r="G377" s="2">
        <f>IF(B377="","",MOD(F377,10))</f>
        <v/>
      </c>
      <c r="H377" s="2">
        <f>IF(B377="","",MAX(C377,D377,E377)-MIN(C377,D377,E377))</f>
        <v/>
      </c>
      <c r="I377" s="2">
        <f>IF(OR(B377="",H377=0),IF(H377=0,0.1,""),ROUND(F377/H377,2))</f>
        <v/>
      </c>
      <c r="J377" s="2">
        <f>IF(I377=0.1,"极紧凑",IF(I377&gt;3.5,"紧凑",IF(AND(I377&gt;=2,I377&lt;=3.5),"标准",IF(AND(I377&gt;=1,I377&lt;2),"松散",""))))</f>
        <v/>
      </c>
      <c r="K377" s="2">
        <f>IF(I377=0.1,"极紧凑-豹子号",IF(AND(I377&gt;=1,I377&lt;=1.29),"松散-极松散",IF(AND(I377&gt;=1.33,I377&lt;=1.8),"松散-标准松散",IF(AND(I377&gt;=1.83,I377&lt;=1.89),"松散-偏紧松散",IF(AND(I377&gt;=2,I377&lt;=2.5),"标准-偏松标准",IF(AND(I377&gt;=2.57,I377&lt;=3),"标准-核心标准",IF(AND(I377&gt;=3.17,I377&lt;=3.5),"标准-偏紧标准",IF(AND(I377&gt;=3.6,I377&lt;=5),"紧凑-标准紧凑",IF(AND(I377&gt;=5.25,I377&lt;=8),"紧凑-高度紧凑",IF(I377&gt;=8.5,"紧凑-极度紧凑",""))))))))))</f>
        <v/>
      </c>
      <c r="L377" s="2">
        <f>IF(I377=0.1,"极紧凑",IF(AND(I377&gt;=1,I377&lt;=1.89),"松散",IF(AND(I377&gt;=2,I377&lt;=3.5),"标准",IF(I377&gt;=3.6,"紧凑",""))))</f>
        <v/>
      </c>
      <c r="M377" s="2" t="inlineStr">
        <is>
          <t>极紧凑-豹子号</t>
        </is>
      </c>
      <c r="N377" s="2" t="inlineStr">
        <is>
          <t>松散-极松散</t>
        </is>
      </c>
      <c r="O377" s="2" t="inlineStr">
        <is>
          <t>松散-标准松散</t>
        </is>
      </c>
      <c r="P377" s="2" t="inlineStr">
        <is>
          <t>松散-偏紧松散</t>
        </is>
      </c>
      <c r="Q377" s="2" t="inlineStr">
        <is>
          <t>标准-偏松标准</t>
        </is>
      </c>
      <c r="R377" s="2" t="inlineStr">
        <is>
          <t>标准-核心标准</t>
        </is>
      </c>
      <c r="S377" s="2" t="inlineStr">
        <is>
          <t>标准-偏紧标准</t>
        </is>
      </c>
      <c r="T377" s="2" t="inlineStr">
        <is>
          <t>紧凑-标准紧凑</t>
        </is>
      </c>
      <c r="U377" s="2" t="inlineStr">
        <is>
          <t>紧凑-高度紧凑</t>
        </is>
      </c>
      <c r="V377" s="2" t="inlineStr">
        <is>
          <t>紧凑-极度紧凑</t>
        </is>
      </c>
    </row>
    <row r="378">
      <c r="A378" s="1" t="n">
        <v>2023296</v>
      </c>
      <c r="B378" s="3" t="inlineStr">
        <is>
          <t>807</t>
        </is>
      </c>
      <c r="C378" s="2">
        <f>IF(B378="","",LEFT(TEXT(B378,"000"),1)*1)</f>
        <v/>
      </c>
      <c r="D378" s="2">
        <f>IF(B378="","",MID(TEXT(B378,"000"),2,1)*1)</f>
        <v/>
      </c>
      <c r="E378" s="2">
        <f>IF(B378="","",RIGHT(TEXT(B378,"000"),1)*1)</f>
        <v/>
      </c>
      <c r="F378" s="2">
        <f>IF(B378="","",C378+D378+E378)</f>
        <v/>
      </c>
      <c r="G378" s="2">
        <f>IF(B378="","",MOD(F378,10))</f>
        <v/>
      </c>
      <c r="H378" s="2">
        <f>IF(B378="","",MAX(C378,D378,E378)-MIN(C378,D378,E378))</f>
        <v/>
      </c>
      <c r="I378" s="2">
        <f>IF(OR(B378="",H378=0),IF(H378=0,0.1,""),ROUND(F378/H378,2))</f>
        <v/>
      </c>
      <c r="J378" s="2">
        <f>IF(I378=0.1,"极紧凑",IF(I378&gt;3.5,"紧凑",IF(AND(I378&gt;=2,I378&lt;=3.5),"标准",IF(AND(I378&gt;=1,I378&lt;2),"松散",""))))</f>
        <v/>
      </c>
      <c r="K378" s="2">
        <f>IF(I378=0.1,"极紧凑-豹子号",IF(AND(I378&gt;=1,I378&lt;=1.29),"松散-极松散",IF(AND(I378&gt;=1.33,I378&lt;=1.8),"松散-标准松散",IF(AND(I378&gt;=1.83,I378&lt;=1.89),"松散-偏紧松散",IF(AND(I378&gt;=2,I378&lt;=2.5),"标准-偏松标准",IF(AND(I378&gt;=2.57,I378&lt;=3),"标准-核心标准",IF(AND(I378&gt;=3.17,I378&lt;=3.5),"标准-偏紧标准",IF(AND(I378&gt;=3.6,I378&lt;=5),"紧凑-标准紧凑",IF(AND(I378&gt;=5.25,I378&lt;=8),"紧凑-高度紧凑",IF(I378&gt;=8.5,"紧凑-极度紧凑",""))))))))))</f>
        <v/>
      </c>
      <c r="L378" s="2">
        <f>IF(I378=0.1,"极紧凑",IF(AND(I378&gt;=1,I378&lt;=1.89),"松散",IF(AND(I378&gt;=2,I378&lt;=3.5),"标准",IF(I378&gt;=3.6,"紧凑",""))))</f>
        <v/>
      </c>
      <c r="M378" s="2" t="inlineStr">
        <is>
          <t>极紧凑-豹子号</t>
        </is>
      </c>
      <c r="N378" s="2" t="inlineStr">
        <is>
          <t>松散-极松散</t>
        </is>
      </c>
      <c r="O378" s="2" t="inlineStr">
        <is>
          <t>松散-标准松散</t>
        </is>
      </c>
      <c r="P378" s="2" t="inlineStr">
        <is>
          <t>松散-偏紧松散</t>
        </is>
      </c>
      <c r="Q378" s="2" t="inlineStr">
        <is>
          <t>标准-偏松标准</t>
        </is>
      </c>
      <c r="R378" s="2" t="inlineStr">
        <is>
          <t>标准-核心标准</t>
        </is>
      </c>
      <c r="S378" s="2" t="inlineStr">
        <is>
          <t>标准-偏紧标准</t>
        </is>
      </c>
      <c r="T378" s="2" t="inlineStr">
        <is>
          <t>紧凑-标准紧凑</t>
        </is>
      </c>
      <c r="U378" s="2" t="inlineStr">
        <is>
          <t>紧凑-高度紧凑</t>
        </is>
      </c>
      <c r="V378" s="2" t="inlineStr">
        <is>
          <t>紧凑-极度紧凑</t>
        </is>
      </c>
    </row>
    <row r="379">
      <c r="A379" s="1" t="n">
        <v>2023297</v>
      </c>
      <c r="B379" s="3" t="inlineStr">
        <is>
          <t>761</t>
        </is>
      </c>
      <c r="C379" s="2">
        <f>IF(B379="","",LEFT(TEXT(B379,"000"),1)*1)</f>
        <v/>
      </c>
      <c r="D379" s="2">
        <f>IF(B379="","",MID(TEXT(B379,"000"),2,1)*1)</f>
        <v/>
      </c>
      <c r="E379" s="2">
        <f>IF(B379="","",RIGHT(TEXT(B379,"000"),1)*1)</f>
        <v/>
      </c>
      <c r="F379" s="2">
        <f>IF(B379="","",C379+D379+E379)</f>
        <v/>
      </c>
      <c r="G379" s="2">
        <f>IF(B379="","",MOD(F379,10))</f>
        <v/>
      </c>
      <c r="H379" s="2">
        <f>IF(B379="","",MAX(C379,D379,E379)-MIN(C379,D379,E379))</f>
        <v/>
      </c>
      <c r="I379" s="2">
        <f>IF(OR(B379="",H379=0),IF(H379=0,0.1,""),ROUND(F379/H379,2))</f>
        <v/>
      </c>
      <c r="J379" s="2">
        <f>IF(I379=0.1,"极紧凑",IF(I379&gt;3.5,"紧凑",IF(AND(I379&gt;=2,I379&lt;=3.5),"标准",IF(AND(I379&gt;=1,I379&lt;2),"松散",""))))</f>
        <v/>
      </c>
      <c r="K379" s="2">
        <f>IF(I379=0.1,"极紧凑-豹子号",IF(AND(I379&gt;=1,I379&lt;=1.29),"松散-极松散",IF(AND(I379&gt;=1.33,I379&lt;=1.8),"松散-标准松散",IF(AND(I379&gt;=1.83,I379&lt;=1.89),"松散-偏紧松散",IF(AND(I379&gt;=2,I379&lt;=2.5),"标准-偏松标准",IF(AND(I379&gt;=2.57,I379&lt;=3),"标准-核心标准",IF(AND(I379&gt;=3.17,I379&lt;=3.5),"标准-偏紧标准",IF(AND(I379&gt;=3.6,I379&lt;=5),"紧凑-标准紧凑",IF(AND(I379&gt;=5.25,I379&lt;=8),"紧凑-高度紧凑",IF(I379&gt;=8.5,"紧凑-极度紧凑",""))))))))))</f>
        <v/>
      </c>
      <c r="L379" s="2">
        <f>IF(I379=0.1,"极紧凑",IF(AND(I379&gt;=1,I379&lt;=1.89),"松散",IF(AND(I379&gt;=2,I379&lt;=3.5),"标准",IF(I379&gt;=3.6,"紧凑",""))))</f>
        <v/>
      </c>
      <c r="M379" s="2" t="inlineStr">
        <is>
          <t>极紧凑-豹子号</t>
        </is>
      </c>
      <c r="N379" s="2" t="inlineStr">
        <is>
          <t>松散-极松散</t>
        </is>
      </c>
      <c r="O379" s="2" t="inlineStr">
        <is>
          <t>松散-标准松散</t>
        </is>
      </c>
      <c r="P379" s="2" t="inlineStr">
        <is>
          <t>松散-偏紧松散</t>
        </is>
      </c>
      <c r="Q379" s="2" t="inlineStr">
        <is>
          <t>标准-偏松标准</t>
        </is>
      </c>
      <c r="R379" s="2" t="inlineStr">
        <is>
          <t>标准-核心标准</t>
        </is>
      </c>
      <c r="S379" s="2" t="inlineStr">
        <is>
          <t>标准-偏紧标准</t>
        </is>
      </c>
      <c r="T379" s="2" t="inlineStr">
        <is>
          <t>紧凑-标准紧凑</t>
        </is>
      </c>
      <c r="U379" s="2" t="inlineStr">
        <is>
          <t>紧凑-高度紧凑</t>
        </is>
      </c>
      <c r="V379" s="2" t="inlineStr">
        <is>
          <t>紧凑-极度紧凑</t>
        </is>
      </c>
    </row>
    <row r="380">
      <c r="A380" s="1" t="n">
        <v>2023298</v>
      </c>
      <c r="B380" s="3" t="inlineStr">
        <is>
          <t>365</t>
        </is>
      </c>
      <c r="C380" s="2">
        <f>IF(B380="","",LEFT(TEXT(B380,"000"),1)*1)</f>
        <v/>
      </c>
      <c r="D380" s="2">
        <f>IF(B380="","",MID(TEXT(B380,"000"),2,1)*1)</f>
        <v/>
      </c>
      <c r="E380" s="2">
        <f>IF(B380="","",RIGHT(TEXT(B380,"000"),1)*1)</f>
        <v/>
      </c>
      <c r="F380" s="2">
        <f>IF(B380="","",C380+D380+E380)</f>
        <v/>
      </c>
      <c r="G380" s="2">
        <f>IF(B380="","",MOD(F380,10))</f>
        <v/>
      </c>
      <c r="H380" s="2">
        <f>IF(B380="","",MAX(C380,D380,E380)-MIN(C380,D380,E380))</f>
        <v/>
      </c>
      <c r="I380" s="2">
        <f>IF(OR(B380="",H380=0),IF(H380=0,0.1,""),ROUND(F380/H380,2))</f>
        <v/>
      </c>
      <c r="J380" s="2">
        <f>IF(I380=0.1,"极紧凑",IF(I380&gt;3.5,"紧凑",IF(AND(I380&gt;=2,I380&lt;=3.5),"标准",IF(AND(I380&gt;=1,I380&lt;2),"松散",""))))</f>
        <v/>
      </c>
      <c r="K380" s="2">
        <f>IF(I380=0.1,"极紧凑-豹子号",IF(AND(I380&gt;=1,I380&lt;=1.29),"松散-极松散",IF(AND(I380&gt;=1.33,I380&lt;=1.8),"松散-标准松散",IF(AND(I380&gt;=1.83,I380&lt;=1.89),"松散-偏紧松散",IF(AND(I380&gt;=2,I380&lt;=2.5),"标准-偏松标准",IF(AND(I380&gt;=2.57,I380&lt;=3),"标准-核心标准",IF(AND(I380&gt;=3.17,I380&lt;=3.5),"标准-偏紧标准",IF(AND(I380&gt;=3.6,I380&lt;=5),"紧凑-标准紧凑",IF(AND(I380&gt;=5.25,I380&lt;=8),"紧凑-高度紧凑",IF(I380&gt;=8.5,"紧凑-极度紧凑",""))))))))))</f>
        <v/>
      </c>
      <c r="L380" s="2">
        <f>IF(I380=0.1,"极紧凑",IF(AND(I380&gt;=1,I380&lt;=1.89),"松散",IF(AND(I380&gt;=2,I380&lt;=3.5),"标准",IF(I380&gt;=3.6,"紧凑",""))))</f>
        <v/>
      </c>
      <c r="M380" s="2" t="inlineStr">
        <is>
          <t>极紧凑-豹子号</t>
        </is>
      </c>
      <c r="N380" s="2" t="inlineStr">
        <is>
          <t>松散-极松散</t>
        </is>
      </c>
      <c r="O380" s="2" t="inlineStr">
        <is>
          <t>松散-标准松散</t>
        </is>
      </c>
      <c r="P380" s="2" t="inlineStr">
        <is>
          <t>松散-偏紧松散</t>
        </is>
      </c>
      <c r="Q380" s="2" t="inlineStr">
        <is>
          <t>标准-偏松标准</t>
        </is>
      </c>
      <c r="R380" s="2" t="inlineStr">
        <is>
          <t>标准-核心标准</t>
        </is>
      </c>
      <c r="S380" s="2" t="inlineStr">
        <is>
          <t>标准-偏紧标准</t>
        </is>
      </c>
      <c r="T380" s="2" t="inlineStr">
        <is>
          <t>紧凑-标准紧凑</t>
        </is>
      </c>
      <c r="U380" s="2" t="inlineStr">
        <is>
          <t>紧凑-高度紧凑</t>
        </is>
      </c>
      <c r="V380" s="2" t="inlineStr">
        <is>
          <t>紧凑-极度紧凑</t>
        </is>
      </c>
    </row>
    <row r="381">
      <c r="A381" s="1" t="n">
        <v>2023299</v>
      </c>
      <c r="B381" s="3" t="inlineStr">
        <is>
          <t>808</t>
        </is>
      </c>
      <c r="C381" s="2">
        <f>IF(B381="","",LEFT(TEXT(B381,"000"),1)*1)</f>
        <v/>
      </c>
      <c r="D381" s="2">
        <f>IF(B381="","",MID(TEXT(B381,"000"),2,1)*1)</f>
        <v/>
      </c>
      <c r="E381" s="2">
        <f>IF(B381="","",RIGHT(TEXT(B381,"000"),1)*1)</f>
        <v/>
      </c>
      <c r="F381" s="2">
        <f>IF(B381="","",C381+D381+E381)</f>
        <v/>
      </c>
      <c r="G381" s="2">
        <f>IF(B381="","",MOD(F381,10))</f>
        <v/>
      </c>
      <c r="H381" s="2">
        <f>IF(B381="","",MAX(C381,D381,E381)-MIN(C381,D381,E381))</f>
        <v/>
      </c>
      <c r="I381" s="2">
        <f>IF(OR(B381="",H381=0),IF(H381=0,0.1,""),ROUND(F381/H381,2))</f>
        <v/>
      </c>
      <c r="J381" s="2">
        <f>IF(I381=0.1,"极紧凑",IF(I381&gt;3.5,"紧凑",IF(AND(I381&gt;=2,I381&lt;=3.5),"标准",IF(AND(I381&gt;=1,I381&lt;2),"松散",""))))</f>
        <v/>
      </c>
      <c r="K381" s="2">
        <f>IF(I381=0.1,"极紧凑-豹子号",IF(AND(I381&gt;=1,I381&lt;=1.29),"松散-极松散",IF(AND(I381&gt;=1.33,I381&lt;=1.8),"松散-标准松散",IF(AND(I381&gt;=1.83,I381&lt;=1.89),"松散-偏紧松散",IF(AND(I381&gt;=2,I381&lt;=2.5),"标准-偏松标准",IF(AND(I381&gt;=2.57,I381&lt;=3),"标准-核心标准",IF(AND(I381&gt;=3.17,I381&lt;=3.5),"标准-偏紧标准",IF(AND(I381&gt;=3.6,I381&lt;=5),"紧凑-标准紧凑",IF(AND(I381&gt;=5.25,I381&lt;=8),"紧凑-高度紧凑",IF(I381&gt;=8.5,"紧凑-极度紧凑",""))))))))))</f>
        <v/>
      </c>
      <c r="L381" s="2">
        <f>IF(I381=0.1,"极紧凑",IF(AND(I381&gt;=1,I381&lt;=1.89),"松散",IF(AND(I381&gt;=2,I381&lt;=3.5),"标准",IF(I381&gt;=3.6,"紧凑",""))))</f>
        <v/>
      </c>
      <c r="M381" s="2" t="inlineStr">
        <is>
          <t>极紧凑-豹子号</t>
        </is>
      </c>
      <c r="N381" s="2" t="inlineStr">
        <is>
          <t>松散-极松散</t>
        </is>
      </c>
      <c r="O381" s="2" t="inlineStr">
        <is>
          <t>松散-标准松散</t>
        </is>
      </c>
      <c r="P381" s="2" t="inlineStr">
        <is>
          <t>松散-偏紧松散</t>
        </is>
      </c>
      <c r="Q381" s="2" t="inlineStr">
        <is>
          <t>标准-偏松标准</t>
        </is>
      </c>
      <c r="R381" s="2" t="inlineStr">
        <is>
          <t>标准-核心标准</t>
        </is>
      </c>
      <c r="S381" s="2" t="inlineStr">
        <is>
          <t>标准-偏紧标准</t>
        </is>
      </c>
      <c r="T381" s="2" t="inlineStr">
        <is>
          <t>紧凑-标准紧凑</t>
        </is>
      </c>
      <c r="U381" s="2" t="inlineStr">
        <is>
          <t>紧凑-高度紧凑</t>
        </is>
      </c>
      <c r="V381" s="2" t="inlineStr">
        <is>
          <t>紧凑-极度紧凑</t>
        </is>
      </c>
    </row>
    <row r="382">
      <c r="A382" s="1" t="n">
        <v>2023300</v>
      </c>
      <c r="B382" s="3" t="inlineStr">
        <is>
          <t>296</t>
        </is>
      </c>
      <c r="C382" s="2">
        <f>IF(B382="","",LEFT(TEXT(B382,"000"),1)*1)</f>
        <v/>
      </c>
      <c r="D382" s="2">
        <f>IF(B382="","",MID(TEXT(B382,"000"),2,1)*1)</f>
        <v/>
      </c>
      <c r="E382" s="2">
        <f>IF(B382="","",RIGHT(TEXT(B382,"000"),1)*1)</f>
        <v/>
      </c>
      <c r="F382" s="2">
        <f>IF(B382="","",C382+D382+E382)</f>
        <v/>
      </c>
      <c r="G382" s="2">
        <f>IF(B382="","",MOD(F382,10))</f>
        <v/>
      </c>
      <c r="H382" s="2">
        <f>IF(B382="","",MAX(C382,D382,E382)-MIN(C382,D382,E382))</f>
        <v/>
      </c>
      <c r="I382" s="2">
        <f>IF(OR(B382="",H382=0),IF(H382=0,0.1,""),ROUND(F382/H382,2))</f>
        <v/>
      </c>
      <c r="J382" s="2">
        <f>IF(I382=0.1,"极紧凑",IF(I382&gt;3.5,"紧凑",IF(AND(I382&gt;=2,I382&lt;=3.5),"标准",IF(AND(I382&gt;=1,I382&lt;2),"松散",""))))</f>
        <v/>
      </c>
      <c r="K382" s="2">
        <f>IF(I382=0.1,"极紧凑-豹子号",IF(AND(I382&gt;=1,I382&lt;=1.29),"松散-极松散",IF(AND(I382&gt;=1.33,I382&lt;=1.8),"松散-标准松散",IF(AND(I382&gt;=1.83,I382&lt;=1.89),"松散-偏紧松散",IF(AND(I382&gt;=2,I382&lt;=2.5),"标准-偏松标准",IF(AND(I382&gt;=2.57,I382&lt;=3),"标准-核心标准",IF(AND(I382&gt;=3.17,I382&lt;=3.5),"标准-偏紧标准",IF(AND(I382&gt;=3.6,I382&lt;=5),"紧凑-标准紧凑",IF(AND(I382&gt;=5.25,I382&lt;=8),"紧凑-高度紧凑",IF(I382&gt;=8.5,"紧凑-极度紧凑",""))))))))))</f>
        <v/>
      </c>
      <c r="L382" s="2">
        <f>IF(I382=0.1,"极紧凑",IF(AND(I382&gt;=1,I382&lt;=1.89),"松散",IF(AND(I382&gt;=2,I382&lt;=3.5),"标准",IF(I382&gt;=3.6,"紧凑",""))))</f>
        <v/>
      </c>
      <c r="M382" s="2" t="inlineStr">
        <is>
          <t>极紧凑-豹子号</t>
        </is>
      </c>
      <c r="N382" s="2" t="inlineStr">
        <is>
          <t>松散-极松散</t>
        </is>
      </c>
      <c r="O382" s="2" t="inlineStr">
        <is>
          <t>松散-标准松散</t>
        </is>
      </c>
      <c r="P382" s="2" t="inlineStr">
        <is>
          <t>松散-偏紧松散</t>
        </is>
      </c>
      <c r="Q382" s="2" t="inlineStr">
        <is>
          <t>标准-偏松标准</t>
        </is>
      </c>
      <c r="R382" s="2" t="inlineStr">
        <is>
          <t>标准-核心标准</t>
        </is>
      </c>
      <c r="S382" s="2" t="inlineStr">
        <is>
          <t>标准-偏紧标准</t>
        </is>
      </c>
      <c r="T382" s="2" t="inlineStr">
        <is>
          <t>紧凑-标准紧凑</t>
        </is>
      </c>
      <c r="U382" s="2" t="inlineStr">
        <is>
          <t>紧凑-高度紧凑</t>
        </is>
      </c>
      <c r="V382" s="2" t="inlineStr">
        <is>
          <t>紧凑-极度紧凑</t>
        </is>
      </c>
    </row>
    <row r="383">
      <c r="A383" s="1" t="n">
        <v>2023301</v>
      </c>
      <c r="B383" s="2" t="inlineStr">
        <is>
          <t>041</t>
        </is>
      </c>
      <c r="C383" s="2">
        <f>IF(B383="","",LEFT(TEXT(B383,"000"),1)*1)</f>
        <v/>
      </c>
      <c r="D383" s="2">
        <f>IF(B383="","",MID(TEXT(B383,"000"),2,1)*1)</f>
        <v/>
      </c>
      <c r="E383" s="2">
        <f>IF(B383="","",RIGHT(TEXT(B383,"000"),1)*1)</f>
        <v/>
      </c>
      <c r="F383" s="2">
        <f>IF(B383="","",C383+D383+E383)</f>
        <v/>
      </c>
      <c r="G383" s="2">
        <f>IF(B383="","",MOD(F383,10))</f>
        <v/>
      </c>
      <c r="H383" s="2">
        <f>IF(B383="","",MAX(C383,D383,E383)-MIN(C383,D383,E383))</f>
        <v/>
      </c>
      <c r="I383" s="2">
        <f>IF(OR(B383="",H383=0),IF(H383=0,0.1,""),ROUND(F383/H383,2))</f>
        <v/>
      </c>
      <c r="J383" s="2">
        <f>IF(I383=0.1,"极紧凑",IF(I383&gt;3.5,"紧凑",IF(AND(I383&gt;=2,I383&lt;=3.5),"标准",IF(AND(I383&gt;=1,I383&lt;2),"松散",""))))</f>
        <v/>
      </c>
      <c r="K383" s="2">
        <f>IF(I383=0.1,"极紧凑-豹子号",IF(AND(I383&gt;=1,I383&lt;=1.29),"松散-极松散",IF(AND(I383&gt;=1.33,I383&lt;=1.8),"松散-标准松散",IF(AND(I383&gt;=1.83,I383&lt;=1.89),"松散-偏紧松散",IF(AND(I383&gt;=2,I383&lt;=2.5),"标准-偏松标准",IF(AND(I383&gt;=2.57,I383&lt;=3),"标准-核心标准",IF(AND(I383&gt;=3.17,I383&lt;=3.5),"标准-偏紧标准",IF(AND(I383&gt;=3.6,I383&lt;=5),"紧凑-标准紧凑",IF(AND(I383&gt;=5.25,I383&lt;=8),"紧凑-高度紧凑",IF(I383&gt;=8.5,"紧凑-极度紧凑",""))))))))))</f>
        <v/>
      </c>
      <c r="L383" s="2">
        <f>IF(I383=0.1,"极紧凑",IF(AND(I383&gt;=1,I383&lt;=1.89),"松散",IF(AND(I383&gt;=2,I383&lt;=3.5),"标准",IF(I383&gt;=3.6,"紧凑",""))))</f>
        <v/>
      </c>
      <c r="M383" s="2" t="inlineStr">
        <is>
          <t>极紧凑-豹子号</t>
        </is>
      </c>
      <c r="N383" s="2" t="inlineStr">
        <is>
          <t>松散-极松散</t>
        </is>
      </c>
      <c r="O383" s="2" t="inlineStr">
        <is>
          <t>松散-标准松散</t>
        </is>
      </c>
      <c r="P383" s="2" t="inlineStr">
        <is>
          <t>松散-偏紧松散</t>
        </is>
      </c>
      <c r="Q383" s="2" t="inlineStr">
        <is>
          <t>标准-偏松标准</t>
        </is>
      </c>
      <c r="R383" s="2" t="inlineStr">
        <is>
          <t>标准-核心标准</t>
        </is>
      </c>
      <c r="S383" s="2" t="inlineStr">
        <is>
          <t>标准-偏紧标准</t>
        </is>
      </c>
      <c r="T383" s="2" t="inlineStr">
        <is>
          <t>紧凑-标准紧凑</t>
        </is>
      </c>
      <c r="U383" s="2" t="inlineStr">
        <is>
          <t>紧凑-高度紧凑</t>
        </is>
      </c>
      <c r="V383" s="2" t="inlineStr">
        <is>
          <t>紧凑-极度紧凑</t>
        </is>
      </c>
    </row>
    <row r="384">
      <c r="A384" s="1" t="n">
        <v>2023302</v>
      </c>
      <c r="B384" s="3" t="inlineStr">
        <is>
          <t>161</t>
        </is>
      </c>
      <c r="C384" s="2">
        <f>IF(B384="","",LEFT(TEXT(B384,"000"),1)*1)</f>
        <v/>
      </c>
      <c r="D384" s="2">
        <f>IF(B384="","",MID(TEXT(B384,"000"),2,1)*1)</f>
        <v/>
      </c>
      <c r="E384" s="2">
        <f>IF(B384="","",RIGHT(TEXT(B384,"000"),1)*1)</f>
        <v/>
      </c>
      <c r="F384" s="2">
        <f>IF(B384="","",C384+D384+E384)</f>
        <v/>
      </c>
      <c r="G384" s="2">
        <f>IF(B384="","",MOD(F384,10))</f>
        <v/>
      </c>
      <c r="H384" s="2">
        <f>IF(B384="","",MAX(C384,D384,E384)-MIN(C384,D384,E384))</f>
        <v/>
      </c>
      <c r="I384" s="2">
        <f>IF(OR(B384="",H384=0),IF(H384=0,0.1,""),ROUND(F384/H384,2))</f>
        <v/>
      </c>
      <c r="J384" s="2">
        <f>IF(I384=0.1,"极紧凑",IF(I384&gt;3.5,"紧凑",IF(AND(I384&gt;=2,I384&lt;=3.5),"标准",IF(AND(I384&gt;=1,I384&lt;2),"松散",""))))</f>
        <v/>
      </c>
      <c r="K384" s="2">
        <f>IF(I384=0.1,"极紧凑-豹子号",IF(AND(I384&gt;=1,I384&lt;=1.29),"松散-极松散",IF(AND(I384&gt;=1.33,I384&lt;=1.8),"松散-标准松散",IF(AND(I384&gt;=1.83,I384&lt;=1.89),"松散-偏紧松散",IF(AND(I384&gt;=2,I384&lt;=2.5),"标准-偏松标准",IF(AND(I384&gt;=2.57,I384&lt;=3),"标准-核心标准",IF(AND(I384&gt;=3.17,I384&lt;=3.5),"标准-偏紧标准",IF(AND(I384&gt;=3.6,I384&lt;=5),"紧凑-标准紧凑",IF(AND(I384&gt;=5.25,I384&lt;=8),"紧凑-高度紧凑",IF(I384&gt;=8.5,"紧凑-极度紧凑",""))))))))))</f>
        <v/>
      </c>
      <c r="L384" s="2">
        <f>IF(I384=0.1,"极紧凑",IF(AND(I384&gt;=1,I384&lt;=1.89),"松散",IF(AND(I384&gt;=2,I384&lt;=3.5),"标准",IF(I384&gt;=3.6,"紧凑",""))))</f>
        <v/>
      </c>
      <c r="M384" s="2" t="inlineStr">
        <is>
          <t>极紧凑-豹子号</t>
        </is>
      </c>
      <c r="N384" s="2" t="inlineStr">
        <is>
          <t>松散-极松散</t>
        </is>
      </c>
      <c r="O384" s="2" t="inlineStr">
        <is>
          <t>松散-标准松散</t>
        </is>
      </c>
      <c r="P384" s="2" t="inlineStr">
        <is>
          <t>松散-偏紧松散</t>
        </is>
      </c>
      <c r="Q384" s="2" t="inlineStr">
        <is>
          <t>标准-偏松标准</t>
        </is>
      </c>
      <c r="R384" s="2" t="inlineStr">
        <is>
          <t>标准-核心标准</t>
        </is>
      </c>
      <c r="S384" s="2" t="inlineStr">
        <is>
          <t>标准-偏紧标准</t>
        </is>
      </c>
      <c r="T384" s="2" t="inlineStr">
        <is>
          <t>紧凑-标准紧凑</t>
        </is>
      </c>
      <c r="U384" s="2" t="inlineStr">
        <is>
          <t>紧凑-高度紧凑</t>
        </is>
      </c>
      <c r="V384" s="2" t="inlineStr">
        <is>
          <t>紧凑-极度紧凑</t>
        </is>
      </c>
    </row>
    <row r="385">
      <c r="A385" s="1" t="n">
        <v>2023303</v>
      </c>
      <c r="B385" s="3" t="inlineStr">
        <is>
          <t>572</t>
        </is>
      </c>
      <c r="C385" s="2">
        <f>IF(B385="","",LEFT(TEXT(B385,"000"),1)*1)</f>
        <v/>
      </c>
      <c r="D385" s="2">
        <f>IF(B385="","",MID(TEXT(B385,"000"),2,1)*1)</f>
        <v/>
      </c>
      <c r="E385" s="2">
        <f>IF(B385="","",RIGHT(TEXT(B385,"000"),1)*1)</f>
        <v/>
      </c>
      <c r="F385" s="2">
        <f>IF(B385="","",C385+D385+E385)</f>
        <v/>
      </c>
      <c r="G385" s="2">
        <f>IF(B385="","",MOD(F385,10))</f>
        <v/>
      </c>
      <c r="H385" s="2">
        <f>IF(B385="","",MAX(C385,D385,E385)-MIN(C385,D385,E385))</f>
        <v/>
      </c>
      <c r="I385" s="2">
        <f>IF(OR(B385="",H385=0),IF(H385=0,0.1,""),ROUND(F385/H385,2))</f>
        <v/>
      </c>
      <c r="J385" s="2">
        <f>IF(I385=0.1,"极紧凑",IF(I385&gt;3.5,"紧凑",IF(AND(I385&gt;=2,I385&lt;=3.5),"标准",IF(AND(I385&gt;=1,I385&lt;2),"松散",""))))</f>
        <v/>
      </c>
      <c r="K385" s="2">
        <f>IF(I385=0.1,"极紧凑-豹子号",IF(AND(I385&gt;=1,I385&lt;=1.29),"松散-极松散",IF(AND(I385&gt;=1.33,I385&lt;=1.8),"松散-标准松散",IF(AND(I385&gt;=1.83,I385&lt;=1.89),"松散-偏紧松散",IF(AND(I385&gt;=2,I385&lt;=2.5),"标准-偏松标准",IF(AND(I385&gt;=2.57,I385&lt;=3),"标准-核心标准",IF(AND(I385&gt;=3.17,I385&lt;=3.5),"标准-偏紧标准",IF(AND(I385&gt;=3.6,I385&lt;=5),"紧凑-标准紧凑",IF(AND(I385&gt;=5.25,I385&lt;=8),"紧凑-高度紧凑",IF(I385&gt;=8.5,"紧凑-极度紧凑",""))))))))))</f>
        <v/>
      </c>
      <c r="L385" s="2">
        <f>IF(I385=0.1,"极紧凑",IF(AND(I385&gt;=1,I385&lt;=1.89),"松散",IF(AND(I385&gt;=2,I385&lt;=3.5),"标准",IF(I385&gt;=3.6,"紧凑",""))))</f>
        <v/>
      </c>
      <c r="M385" s="2" t="inlineStr">
        <is>
          <t>极紧凑-豹子号</t>
        </is>
      </c>
      <c r="N385" s="2" t="inlineStr">
        <is>
          <t>松散-极松散</t>
        </is>
      </c>
      <c r="O385" s="2" t="inlineStr">
        <is>
          <t>松散-标准松散</t>
        </is>
      </c>
      <c r="P385" s="2" t="inlineStr">
        <is>
          <t>松散-偏紧松散</t>
        </is>
      </c>
      <c r="Q385" s="2" t="inlineStr">
        <is>
          <t>标准-偏松标准</t>
        </is>
      </c>
      <c r="R385" s="2" t="inlineStr">
        <is>
          <t>标准-核心标准</t>
        </is>
      </c>
      <c r="S385" s="2" t="inlineStr">
        <is>
          <t>标准-偏紧标准</t>
        </is>
      </c>
      <c r="T385" s="2" t="inlineStr">
        <is>
          <t>紧凑-标准紧凑</t>
        </is>
      </c>
      <c r="U385" s="2" t="inlineStr">
        <is>
          <t>紧凑-高度紧凑</t>
        </is>
      </c>
      <c r="V385" s="2" t="inlineStr">
        <is>
          <t>紧凑-极度紧凑</t>
        </is>
      </c>
    </row>
    <row r="386">
      <c r="A386" s="1" t="n">
        <v>2023304</v>
      </c>
      <c r="B386" s="3" t="inlineStr">
        <is>
          <t>728</t>
        </is>
      </c>
      <c r="C386" s="2">
        <f>IF(B386="","",LEFT(TEXT(B386,"000"),1)*1)</f>
        <v/>
      </c>
      <c r="D386" s="2">
        <f>IF(B386="","",MID(TEXT(B386,"000"),2,1)*1)</f>
        <v/>
      </c>
      <c r="E386" s="2">
        <f>IF(B386="","",RIGHT(TEXT(B386,"000"),1)*1)</f>
        <v/>
      </c>
      <c r="F386" s="2">
        <f>IF(B386="","",C386+D386+E386)</f>
        <v/>
      </c>
      <c r="G386" s="2">
        <f>IF(B386="","",MOD(F386,10))</f>
        <v/>
      </c>
      <c r="H386" s="2">
        <f>IF(B386="","",MAX(C386,D386,E386)-MIN(C386,D386,E386))</f>
        <v/>
      </c>
      <c r="I386" s="2">
        <f>IF(OR(B386="",H386=0),IF(H386=0,0.1,""),ROUND(F386/H386,2))</f>
        <v/>
      </c>
      <c r="J386" s="2">
        <f>IF(I386=0.1,"极紧凑",IF(I386&gt;3.5,"紧凑",IF(AND(I386&gt;=2,I386&lt;=3.5),"标准",IF(AND(I386&gt;=1,I386&lt;2),"松散",""))))</f>
        <v/>
      </c>
      <c r="K386" s="2">
        <f>IF(I386=0.1,"极紧凑-豹子号",IF(AND(I386&gt;=1,I386&lt;=1.29),"松散-极松散",IF(AND(I386&gt;=1.33,I386&lt;=1.8),"松散-标准松散",IF(AND(I386&gt;=1.83,I386&lt;=1.89),"松散-偏紧松散",IF(AND(I386&gt;=2,I386&lt;=2.5),"标准-偏松标准",IF(AND(I386&gt;=2.57,I386&lt;=3),"标准-核心标准",IF(AND(I386&gt;=3.17,I386&lt;=3.5),"标准-偏紧标准",IF(AND(I386&gt;=3.6,I386&lt;=5),"紧凑-标准紧凑",IF(AND(I386&gt;=5.25,I386&lt;=8),"紧凑-高度紧凑",IF(I386&gt;=8.5,"紧凑-极度紧凑",""))))))))))</f>
        <v/>
      </c>
      <c r="L386" s="2">
        <f>IF(I386=0.1,"极紧凑",IF(AND(I386&gt;=1,I386&lt;=1.89),"松散",IF(AND(I386&gt;=2,I386&lt;=3.5),"标准",IF(I386&gt;=3.6,"紧凑",""))))</f>
        <v/>
      </c>
      <c r="M386" s="2" t="inlineStr">
        <is>
          <t>极紧凑-豹子号</t>
        </is>
      </c>
      <c r="N386" s="2" t="inlineStr">
        <is>
          <t>松散-极松散</t>
        </is>
      </c>
      <c r="O386" s="2" t="inlineStr">
        <is>
          <t>松散-标准松散</t>
        </is>
      </c>
      <c r="P386" s="2" t="inlineStr">
        <is>
          <t>松散-偏紧松散</t>
        </is>
      </c>
      <c r="Q386" s="2" t="inlineStr">
        <is>
          <t>标准-偏松标准</t>
        </is>
      </c>
      <c r="R386" s="2" t="inlineStr">
        <is>
          <t>标准-核心标准</t>
        </is>
      </c>
      <c r="S386" s="2" t="inlineStr">
        <is>
          <t>标准-偏紧标准</t>
        </is>
      </c>
      <c r="T386" s="2" t="inlineStr">
        <is>
          <t>紧凑-标准紧凑</t>
        </is>
      </c>
      <c r="U386" s="2" t="inlineStr">
        <is>
          <t>紧凑-高度紧凑</t>
        </is>
      </c>
      <c r="V386" s="2" t="inlineStr">
        <is>
          <t>紧凑-极度紧凑</t>
        </is>
      </c>
    </row>
    <row r="387">
      <c r="A387" s="1" t="n">
        <v>2023305</v>
      </c>
      <c r="B387" s="3" t="inlineStr">
        <is>
          <t>679</t>
        </is>
      </c>
      <c r="C387" s="2">
        <f>IF(B387="","",LEFT(TEXT(B387,"000"),1)*1)</f>
        <v/>
      </c>
      <c r="D387" s="2">
        <f>IF(B387="","",MID(TEXT(B387,"000"),2,1)*1)</f>
        <v/>
      </c>
      <c r="E387" s="2">
        <f>IF(B387="","",RIGHT(TEXT(B387,"000"),1)*1)</f>
        <v/>
      </c>
      <c r="F387" s="2">
        <f>IF(B387="","",C387+D387+E387)</f>
        <v/>
      </c>
      <c r="G387" s="2">
        <f>IF(B387="","",MOD(F387,10))</f>
        <v/>
      </c>
      <c r="H387" s="2">
        <f>IF(B387="","",MAX(C387,D387,E387)-MIN(C387,D387,E387))</f>
        <v/>
      </c>
      <c r="I387" s="2">
        <f>IF(OR(B387="",H387=0),IF(H387=0,0.1,""),ROUND(F387/H387,2))</f>
        <v/>
      </c>
      <c r="J387" s="2">
        <f>IF(I387=0.1,"极紧凑",IF(I387&gt;3.5,"紧凑",IF(AND(I387&gt;=2,I387&lt;=3.5),"标准",IF(AND(I387&gt;=1,I387&lt;2),"松散",""))))</f>
        <v/>
      </c>
      <c r="K387" s="2">
        <f>IF(I387=0.1,"极紧凑-豹子号",IF(AND(I387&gt;=1,I387&lt;=1.29),"松散-极松散",IF(AND(I387&gt;=1.33,I387&lt;=1.8),"松散-标准松散",IF(AND(I387&gt;=1.83,I387&lt;=1.89),"松散-偏紧松散",IF(AND(I387&gt;=2,I387&lt;=2.5),"标准-偏松标准",IF(AND(I387&gt;=2.57,I387&lt;=3),"标准-核心标准",IF(AND(I387&gt;=3.17,I387&lt;=3.5),"标准-偏紧标准",IF(AND(I387&gt;=3.6,I387&lt;=5),"紧凑-标准紧凑",IF(AND(I387&gt;=5.25,I387&lt;=8),"紧凑-高度紧凑",IF(I387&gt;=8.5,"紧凑-极度紧凑",""))))))))))</f>
        <v/>
      </c>
      <c r="L387" s="2">
        <f>IF(I387=0.1,"极紧凑",IF(AND(I387&gt;=1,I387&lt;=1.89),"松散",IF(AND(I387&gt;=2,I387&lt;=3.5),"标准",IF(I387&gt;=3.6,"紧凑",""))))</f>
        <v/>
      </c>
      <c r="M387" s="2" t="inlineStr">
        <is>
          <t>极紧凑-豹子号</t>
        </is>
      </c>
      <c r="N387" s="2" t="inlineStr">
        <is>
          <t>松散-极松散</t>
        </is>
      </c>
      <c r="O387" s="2" t="inlineStr">
        <is>
          <t>松散-标准松散</t>
        </is>
      </c>
      <c r="P387" s="2" t="inlineStr">
        <is>
          <t>松散-偏紧松散</t>
        </is>
      </c>
      <c r="Q387" s="2" t="inlineStr">
        <is>
          <t>标准-偏松标准</t>
        </is>
      </c>
      <c r="R387" s="2" t="inlineStr">
        <is>
          <t>标准-核心标准</t>
        </is>
      </c>
      <c r="S387" s="2" t="inlineStr">
        <is>
          <t>标准-偏紧标准</t>
        </is>
      </c>
      <c r="T387" s="2" t="inlineStr">
        <is>
          <t>紧凑-标准紧凑</t>
        </is>
      </c>
      <c r="U387" s="2" t="inlineStr">
        <is>
          <t>紧凑-高度紧凑</t>
        </is>
      </c>
      <c r="V387" s="2" t="inlineStr">
        <is>
          <t>紧凑-极度紧凑</t>
        </is>
      </c>
    </row>
    <row r="388">
      <c r="A388" s="1" t="n">
        <v>2023306</v>
      </c>
      <c r="B388" s="3" t="inlineStr">
        <is>
          <t>330</t>
        </is>
      </c>
      <c r="C388" s="2">
        <f>IF(B388="","",LEFT(TEXT(B388,"000"),1)*1)</f>
        <v/>
      </c>
      <c r="D388" s="2">
        <f>IF(B388="","",MID(TEXT(B388,"000"),2,1)*1)</f>
        <v/>
      </c>
      <c r="E388" s="2">
        <f>IF(B388="","",RIGHT(TEXT(B388,"000"),1)*1)</f>
        <v/>
      </c>
      <c r="F388" s="2">
        <f>IF(B388="","",C388+D388+E388)</f>
        <v/>
      </c>
      <c r="G388" s="2">
        <f>IF(B388="","",MOD(F388,10))</f>
        <v/>
      </c>
      <c r="H388" s="2">
        <f>IF(B388="","",MAX(C388,D388,E388)-MIN(C388,D388,E388))</f>
        <v/>
      </c>
      <c r="I388" s="2">
        <f>IF(OR(B388="",H388=0),IF(H388=0,0.1,""),ROUND(F388/H388,2))</f>
        <v/>
      </c>
      <c r="J388" s="2">
        <f>IF(I388=0.1,"极紧凑",IF(I388&gt;3.5,"紧凑",IF(AND(I388&gt;=2,I388&lt;=3.5),"标准",IF(AND(I388&gt;=1,I388&lt;2),"松散",""))))</f>
        <v/>
      </c>
      <c r="K388" s="2">
        <f>IF(I388=0.1,"极紧凑-豹子号",IF(AND(I388&gt;=1,I388&lt;=1.29),"松散-极松散",IF(AND(I388&gt;=1.33,I388&lt;=1.8),"松散-标准松散",IF(AND(I388&gt;=1.83,I388&lt;=1.89),"松散-偏紧松散",IF(AND(I388&gt;=2,I388&lt;=2.5),"标准-偏松标准",IF(AND(I388&gt;=2.57,I388&lt;=3),"标准-核心标准",IF(AND(I388&gt;=3.17,I388&lt;=3.5),"标准-偏紧标准",IF(AND(I388&gt;=3.6,I388&lt;=5),"紧凑-标准紧凑",IF(AND(I388&gt;=5.25,I388&lt;=8),"紧凑-高度紧凑",IF(I388&gt;=8.5,"紧凑-极度紧凑",""))))))))))</f>
        <v/>
      </c>
      <c r="L388" s="2">
        <f>IF(I388=0.1,"极紧凑",IF(AND(I388&gt;=1,I388&lt;=1.89),"松散",IF(AND(I388&gt;=2,I388&lt;=3.5),"标准",IF(I388&gt;=3.6,"紧凑",""))))</f>
        <v/>
      </c>
      <c r="M388" s="2" t="inlineStr">
        <is>
          <t>极紧凑-豹子号</t>
        </is>
      </c>
      <c r="N388" s="2" t="inlineStr">
        <is>
          <t>松散-极松散</t>
        </is>
      </c>
      <c r="O388" s="2" t="inlineStr">
        <is>
          <t>松散-标准松散</t>
        </is>
      </c>
      <c r="P388" s="2" t="inlineStr">
        <is>
          <t>松散-偏紧松散</t>
        </is>
      </c>
      <c r="Q388" s="2" t="inlineStr">
        <is>
          <t>标准-偏松标准</t>
        </is>
      </c>
      <c r="R388" s="2" t="inlineStr">
        <is>
          <t>标准-核心标准</t>
        </is>
      </c>
      <c r="S388" s="2" t="inlineStr">
        <is>
          <t>标准-偏紧标准</t>
        </is>
      </c>
      <c r="T388" s="2" t="inlineStr">
        <is>
          <t>紧凑-标准紧凑</t>
        </is>
      </c>
      <c r="U388" s="2" t="inlineStr">
        <is>
          <t>紧凑-高度紧凑</t>
        </is>
      </c>
      <c r="V388" s="2" t="inlineStr">
        <is>
          <t>紧凑-极度紧凑</t>
        </is>
      </c>
    </row>
    <row r="389">
      <c r="A389" s="1" t="n">
        <v>2023307</v>
      </c>
      <c r="B389" s="3" t="inlineStr">
        <is>
          <t>936</t>
        </is>
      </c>
      <c r="C389" s="2">
        <f>IF(B389="","",LEFT(TEXT(B389,"000"),1)*1)</f>
        <v/>
      </c>
      <c r="D389" s="2">
        <f>IF(B389="","",MID(TEXT(B389,"000"),2,1)*1)</f>
        <v/>
      </c>
      <c r="E389" s="2">
        <f>IF(B389="","",RIGHT(TEXT(B389,"000"),1)*1)</f>
        <v/>
      </c>
      <c r="F389" s="2">
        <f>IF(B389="","",C389+D389+E389)</f>
        <v/>
      </c>
      <c r="G389" s="2">
        <f>IF(B389="","",MOD(F389,10))</f>
        <v/>
      </c>
      <c r="H389" s="2">
        <f>IF(B389="","",MAX(C389,D389,E389)-MIN(C389,D389,E389))</f>
        <v/>
      </c>
      <c r="I389" s="2">
        <f>IF(OR(B389="",H389=0),IF(H389=0,0.1,""),ROUND(F389/H389,2))</f>
        <v/>
      </c>
      <c r="J389" s="2">
        <f>IF(I389=0.1,"极紧凑",IF(I389&gt;3.5,"紧凑",IF(AND(I389&gt;=2,I389&lt;=3.5),"标准",IF(AND(I389&gt;=1,I389&lt;2),"松散",""))))</f>
        <v/>
      </c>
      <c r="K389" s="2">
        <f>IF(I389=0.1,"极紧凑-豹子号",IF(AND(I389&gt;=1,I389&lt;=1.29),"松散-极松散",IF(AND(I389&gt;=1.33,I389&lt;=1.8),"松散-标准松散",IF(AND(I389&gt;=1.83,I389&lt;=1.89),"松散-偏紧松散",IF(AND(I389&gt;=2,I389&lt;=2.5),"标准-偏松标准",IF(AND(I389&gt;=2.57,I389&lt;=3),"标准-核心标准",IF(AND(I389&gt;=3.17,I389&lt;=3.5),"标准-偏紧标准",IF(AND(I389&gt;=3.6,I389&lt;=5),"紧凑-标准紧凑",IF(AND(I389&gt;=5.25,I389&lt;=8),"紧凑-高度紧凑",IF(I389&gt;=8.5,"紧凑-极度紧凑",""))))))))))</f>
        <v/>
      </c>
      <c r="L389" s="2">
        <f>IF(I389=0.1,"极紧凑",IF(AND(I389&gt;=1,I389&lt;=1.89),"松散",IF(AND(I389&gt;=2,I389&lt;=3.5),"标准",IF(I389&gt;=3.6,"紧凑",""))))</f>
        <v/>
      </c>
      <c r="M389" s="2" t="inlineStr">
        <is>
          <t>极紧凑-豹子号</t>
        </is>
      </c>
      <c r="N389" s="2" t="inlineStr">
        <is>
          <t>松散-极松散</t>
        </is>
      </c>
      <c r="O389" s="2" t="inlineStr">
        <is>
          <t>松散-标准松散</t>
        </is>
      </c>
      <c r="P389" s="2" t="inlineStr">
        <is>
          <t>松散-偏紧松散</t>
        </is>
      </c>
      <c r="Q389" s="2" t="inlineStr">
        <is>
          <t>标准-偏松标准</t>
        </is>
      </c>
      <c r="R389" s="2" t="inlineStr">
        <is>
          <t>标准-核心标准</t>
        </is>
      </c>
      <c r="S389" s="2" t="inlineStr">
        <is>
          <t>标准-偏紧标准</t>
        </is>
      </c>
      <c r="T389" s="2" t="inlineStr">
        <is>
          <t>紧凑-标准紧凑</t>
        </is>
      </c>
      <c r="U389" s="2" t="inlineStr">
        <is>
          <t>紧凑-高度紧凑</t>
        </is>
      </c>
      <c r="V389" s="2" t="inlineStr">
        <is>
          <t>紧凑-极度紧凑</t>
        </is>
      </c>
    </row>
    <row r="390">
      <c r="A390" s="1" t="n">
        <v>2023308</v>
      </c>
      <c r="B390" s="3" t="inlineStr">
        <is>
          <t>619</t>
        </is>
      </c>
      <c r="C390" s="2">
        <f>IF(B390="","",LEFT(TEXT(B390,"000"),1)*1)</f>
        <v/>
      </c>
      <c r="D390" s="2">
        <f>IF(B390="","",MID(TEXT(B390,"000"),2,1)*1)</f>
        <v/>
      </c>
      <c r="E390" s="2">
        <f>IF(B390="","",RIGHT(TEXT(B390,"000"),1)*1)</f>
        <v/>
      </c>
      <c r="F390" s="2">
        <f>IF(B390="","",C390+D390+E390)</f>
        <v/>
      </c>
      <c r="G390" s="2">
        <f>IF(B390="","",MOD(F390,10))</f>
        <v/>
      </c>
      <c r="H390" s="2">
        <f>IF(B390="","",MAX(C390,D390,E390)-MIN(C390,D390,E390))</f>
        <v/>
      </c>
      <c r="I390" s="2">
        <f>IF(OR(B390="",H390=0),IF(H390=0,0.1,""),ROUND(F390/H390,2))</f>
        <v/>
      </c>
      <c r="J390" s="2">
        <f>IF(I390=0.1,"极紧凑",IF(I390&gt;3.5,"紧凑",IF(AND(I390&gt;=2,I390&lt;=3.5),"标准",IF(AND(I390&gt;=1,I390&lt;2),"松散",""))))</f>
        <v/>
      </c>
      <c r="K390" s="2">
        <f>IF(I390=0.1,"极紧凑-豹子号",IF(AND(I390&gt;=1,I390&lt;=1.29),"松散-极松散",IF(AND(I390&gt;=1.33,I390&lt;=1.8),"松散-标准松散",IF(AND(I390&gt;=1.83,I390&lt;=1.89),"松散-偏紧松散",IF(AND(I390&gt;=2,I390&lt;=2.5),"标准-偏松标准",IF(AND(I390&gt;=2.57,I390&lt;=3),"标准-核心标准",IF(AND(I390&gt;=3.17,I390&lt;=3.5),"标准-偏紧标准",IF(AND(I390&gt;=3.6,I390&lt;=5),"紧凑-标准紧凑",IF(AND(I390&gt;=5.25,I390&lt;=8),"紧凑-高度紧凑",IF(I390&gt;=8.5,"紧凑-极度紧凑",""))))))))))</f>
        <v/>
      </c>
      <c r="L390" s="2">
        <f>IF(I390=0.1,"极紧凑",IF(AND(I390&gt;=1,I390&lt;=1.89),"松散",IF(AND(I390&gt;=2,I390&lt;=3.5),"标准",IF(I390&gt;=3.6,"紧凑",""))))</f>
        <v/>
      </c>
      <c r="M390" s="2" t="inlineStr">
        <is>
          <t>极紧凑-豹子号</t>
        </is>
      </c>
      <c r="N390" s="2" t="inlineStr">
        <is>
          <t>松散-极松散</t>
        </is>
      </c>
      <c r="O390" s="2" t="inlineStr">
        <is>
          <t>松散-标准松散</t>
        </is>
      </c>
      <c r="P390" s="2" t="inlineStr">
        <is>
          <t>松散-偏紧松散</t>
        </is>
      </c>
      <c r="Q390" s="2" t="inlineStr">
        <is>
          <t>标准-偏松标准</t>
        </is>
      </c>
      <c r="R390" s="2" t="inlineStr">
        <is>
          <t>标准-核心标准</t>
        </is>
      </c>
      <c r="S390" s="2" t="inlineStr">
        <is>
          <t>标准-偏紧标准</t>
        </is>
      </c>
      <c r="T390" s="2" t="inlineStr">
        <is>
          <t>紧凑-标准紧凑</t>
        </is>
      </c>
      <c r="U390" s="2" t="inlineStr">
        <is>
          <t>紧凑-高度紧凑</t>
        </is>
      </c>
      <c r="V390" s="2" t="inlineStr">
        <is>
          <t>紧凑-极度紧凑</t>
        </is>
      </c>
    </row>
    <row r="391">
      <c r="A391" s="1" t="n">
        <v>2023309</v>
      </c>
      <c r="B391" s="3" t="inlineStr">
        <is>
          <t>329</t>
        </is>
      </c>
      <c r="C391" s="2">
        <f>IF(B391="","",LEFT(TEXT(B391,"000"),1)*1)</f>
        <v/>
      </c>
      <c r="D391" s="2">
        <f>IF(B391="","",MID(TEXT(B391,"000"),2,1)*1)</f>
        <v/>
      </c>
      <c r="E391" s="2">
        <f>IF(B391="","",RIGHT(TEXT(B391,"000"),1)*1)</f>
        <v/>
      </c>
      <c r="F391" s="2">
        <f>IF(B391="","",C391+D391+E391)</f>
        <v/>
      </c>
      <c r="G391" s="2">
        <f>IF(B391="","",MOD(F391,10))</f>
        <v/>
      </c>
      <c r="H391" s="2">
        <f>IF(B391="","",MAX(C391,D391,E391)-MIN(C391,D391,E391))</f>
        <v/>
      </c>
      <c r="I391" s="2">
        <f>IF(OR(B391="",H391=0),IF(H391=0,0.1,""),ROUND(F391/H391,2))</f>
        <v/>
      </c>
      <c r="J391" s="2">
        <f>IF(I391=0.1,"极紧凑",IF(I391&gt;3.5,"紧凑",IF(AND(I391&gt;=2,I391&lt;=3.5),"标准",IF(AND(I391&gt;=1,I391&lt;2),"松散",""))))</f>
        <v/>
      </c>
      <c r="K391" s="2">
        <f>IF(I391=0.1,"极紧凑-豹子号",IF(AND(I391&gt;=1,I391&lt;=1.29),"松散-极松散",IF(AND(I391&gt;=1.33,I391&lt;=1.8),"松散-标准松散",IF(AND(I391&gt;=1.83,I391&lt;=1.89),"松散-偏紧松散",IF(AND(I391&gt;=2,I391&lt;=2.5),"标准-偏松标准",IF(AND(I391&gt;=2.57,I391&lt;=3),"标准-核心标准",IF(AND(I391&gt;=3.17,I391&lt;=3.5),"标准-偏紧标准",IF(AND(I391&gt;=3.6,I391&lt;=5),"紧凑-标准紧凑",IF(AND(I391&gt;=5.25,I391&lt;=8),"紧凑-高度紧凑",IF(I391&gt;=8.5,"紧凑-极度紧凑",""))))))))))</f>
        <v/>
      </c>
      <c r="L391" s="2">
        <f>IF(I391=0.1,"极紧凑",IF(AND(I391&gt;=1,I391&lt;=1.89),"松散",IF(AND(I391&gt;=2,I391&lt;=3.5),"标准",IF(I391&gt;=3.6,"紧凑",""))))</f>
        <v/>
      </c>
      <c r="M391" s="2" t="inlineStr">
        <is>
          <t>极紧凑-豹子号</t>
        </is>
      </c>
      <c r="N391" s="2" t="inlineStr">
        <is>
          <t>松散-极松散</t>
        </is>
      </c>
      <c r="O391" s="2" t="inlineStr">
        <is>
          <t>松散-标准松散</t>
        </is>
      </c>
      <c r="P391" s="2" t="inlineStr">
        <is>
          <t>松散-偏紧松散</t>
        </is>
      </c>
      <c r="Q391" s="2" t="inlineStr">
        <is>
          <t>标准-偏松标准</t>
        </is>
      </c>
      <c r="R391" s="2" t="inlineStr">
        <is>
          <t>标准-核心标准</t>
        </is>
      </c>
      <c r="S391" s="2" t="inlineStr">
        <is>
          <t>标准-偏紧标准</t>
        </is>
      </c>
      <c r="T391" s="2" t="inlineStr">
        <is>
          <t>紧凑-标准紧凑</t>
        </is>
      </c>
      <c r="U391" s="2" t="inlineStr">
        <is>
          <t>紧凑-高度紧凑</t>
        </is>
      </c>
      <c r="V391" s="2" t="inlineStr">
        <is>
          <t>紧凑-极度紧凑</t>
        </is>
      </c>
    </row>
    <row r="392">
      <c r="A392" s="1" t="n">
        <v>2023310</v>
      </c>
      <c r="B392" s="3" t="inlineStr">
        <is>
          <t>417</t>
        </is>
      </c>
      <c r="C392" s="2">
        <f>IF(B392="","",LEFT(TEXT(B392,"000"),1)*1)</f>
        <v/>
      </c>
      <c r="D392" s="2">
        <f>IF(B392="","",MID(TEXT(B392,"000"),2,1)*1)</f>
        <v/>
      </c>
      <c r="E392" s="2">
        <f>IF(B392="","",RIGHT(TEXT(B392,"000"),1)*1)</f>
        <v/>
      </c>
      <c r="F392" s="2">
        <f>IF(B392="","",C392+D392+E392)</f>
        <v/>
      </c>
      <c r="G392" s="2">
        <f>IF(B392="","",MOD(F392,10))</f>
        <v/>
      </c>
      <c r="H392" s="2">
        <f>IF(B392="","",MAX(C392,D392,E392)-MIN(C392,D392,E392))</f>
        <v/>
      </c>
      <c r="I392" s="2">
        <f>IF(OR(B392="",H392=0),IF(H392=0,0.1,""),ROUND(F392/H392,2))</f>
        <v/>
      </c>
      <c r="J392" s="2">
        <f>IF(I392=0.1,"极紧凑",IF(I392&gt;3.5,"紧凑",IF(AND(I392&gt;=2,I392&lt;=3.5),"标准",IF(AND(I392&gt;=1,I392&lt;2),"松散",""))))</f>
        <v/>
      </c>
      <c r="K392" s="2">
        <f>IF(I392=0.1,"极紧凑-豹子号",IF(AND(I392&gt;=1,I392&lt;=1.29),"松散-极松散",IF(AND(I392&gt;=1.33,I392&lt;=1.8),"松散-标准松散",IF(AND(I392&gt;=1.83,I392&lt;=1.89),"松散-偏紧松散",IF(AND(I392&gt;=2,I392&lt;=2.5),"标准-偏松标准",IF(AND(I392&gt;=2.57,I392&lt;=3),"标准-核心标准",IF(AND(I392&gt;=3.17,I392&lt;=3.5),"标准-偏紧标准",IF(AND(I392&gt;=3.6,I392&lt;=5),"紧凑-标准紧凑",IF(AND(I392&gt;=5.25,I392&lt;=8),"紧凑-高度紧凑",IF(I392&gt;=8.5,"紧凑-极度紧凑",""))))))))))</f>
        <v/>
      </c>
      <c r="L392" s="2">
        <f>IF(I392=0.1,"极紧凑",IF(AND(I392&gt;=1,I392&lt;=1.89),"松散",IF(AND(I392&gt;=2,I392&lt;=3.5),"标准",IF(I392&gt;=3.6,"紧凑",""))))</f>
        <v/>
      </c>
      <c r="M392" s="2" t="inlineStr">
        <is>
          <t>极紧凑-豹子号</t>
        </is>
      </c>
      <c r="N392" s="2" t="inlineStr">
        <is>
          <t>松散-极松散</t>
        </is>
      </c>
      <c r="O392" s="2" t="inlineStr">
        <is>
          <t>松散-标准松散</t>
        </is>
      </c>
      <c r="P392" s="2" t="inlineStr">
        <is>
          <t>松散-偏紧松散</t>
        </is>
      </c>
      <c r="Q392" s="2" t="inlineStr">
        <is>
          <t>标准-偏松标准</t>
        </is>
      </c>
      <c r="R392" s="2" t="inlineStr">
        <is>
          <t>标准-核心标准</t>
        </is>
      </c>
      <c r="S392" s="2" t="inlineStr">
        <is>
          <t>标准-偏紧标准</t>
        </is>
      </c>
      <c r="T392" s="2" t="inlineStr">
        <is>
          <t>紧凑-标准紧凑</t>
        </is>
      </c>
      <c r="U392" s="2" t="inlineStr">
        <is>
          <t>紧凑-高度紧凑</t>
        </is>
      </c>
      <c r="V392" s="2" t="inlineStr">
        <is>
          <t>紧凑-极度紧凑</t>
        </is>
      </c>
    </row>
    <row r="393">
      <c r="A393" s="1" t="n">
        <v>2023311</v>
      </c>
      <c r="B393" s="3" t="inlineStr">
        <is>
          <t>583</t>
        </is>
      </c>
      <c r="C393" s="2">
        <f>IF(B393="","",LEFT(TEXT(B393,"000"),1)*1)</f>
        <v/>
      </c>
      <c r="D393" s="2">
        <f>IF(B393="","",MID(TEXT(B393,"000"),2,1)*1)</f>
        <v/>
      </c>
      <c r="E393" s="2">
        <f>IF(B393="","",RIGHT(TEXT(B393,"000"),1)*1)</f>
        <v/>
      </c>
      <c r="F393" s="2">
        <f>IF(B393="","",C393+D393+E393)</f>
        <v/>
      </c>
      <c r="G393" s="2">
        <f>IF(B393="","",MOD(F393,10))</f>
        <v/>
      </c>
      <c r="H393" s="2">
        <f>IF(B393="","",MAX(C393,D393,E393)-MIN(C393,D393,E393))</f>
        <v/>
      </c>
      <c r="I393" s="2">
        <f>IF(OR(B393="",H393=0),IF(H393=0,0.1,""),ROUND(F393/H393,2))</f>
        <v/>
      </c>
      <c r="J393" s="2">
        <f>IF(I393=0.1,"极紧凑",IF(I393&gt;3.5,"紧凑",IF(AND(I393&gt;=2,I393&lt;=3.5),"标准",IF(AND(I393&gt;=1,I393&lt;2),"松散",""))))</f>
        <v/>
      </c>
      <c r="K393" s="2">
        <f>IF(I393=0.1,"极紧凑-豹子号",IF(AND(I393&gt;=1,I393&lt;=1.29),"松散-极松散",IF(AND(I393&gt;=1.33,I393&lt;=1.8),"松散-标准松散",IF(AND(I393&gt;=1.83,I393&lt;=1.89),"松散-偏紧松散",IF(AND(I393&gt;=2,I393&lt;=2.5),"标准-偏松标准",IF(AND(I393&gt;=2.57,I393&lt;=3),"标准-核心标准",IF(AND(I393&gt;=3.17,I393&lt;=3.5),"标准-偏紧标准",IF(AND(I393&gt;=3.6,I393&lt;=5),"紧凑-标准紧凑",IF(AND(I393&gt;=5.25,I393&lt;=8),"紧凑-高度紧凑",IF(I393&gt;=8.5,"紧凑-极度紧凑",""))))))))))</f>
        <v/>
      </c>
      <c r="L393" s="2">
        <f>IF(I393=0.1,"极紧凑",IF(AND(I393&gt;=1,I393&lt;=1.89),"松散",IF(AND(I393&gt;=2,I393&lt;=3.5),"标准",IF(I393&gt;=3.6,"紧凑",""))))</f>
        <v/>
      </c>
      <c r="M393" s="2" t="inlineStr">
        <is>
          <t>极紧凑-豹子号</t>
        </is>
      </c>
      <c r="N393" s="2" t="inlineStr">
        <is>
          <t>松散-极松散</t>
        </is>
      </c>
      <c r="O393" s="2" t="inlineStr">
        <is>
          <t>松散-标准松散</t>
        </is>
      </c>
      <c r="P393" s="2" t="inlineStr">
        <is>
          <t>松散-偏紧松散</t>
        </is>
      </c>
      <c r="Q393" s="2" t="inlineStr">
        <is>
          <t>标准-偏松标准</t>
        </is>
      </c>
      <c r="R393" s="2" t="inlineStr">
        <is>
          <t>标准-核心标准</t>
        </is>
      </c>
      <c r="S393" s="2" t="inlineStr">
        <is>
          <t>标准-偏紧标准</t>
        </is>
      </c>
      <c r="T393" s="2" t="inlineStr">
        <is>
          <t>紧凑-标准紧凑</t>
        </is>
      </c>
      <c r="U393" s="2" t="inlineStr">
        <is>
          <t>紧凑-高度紧凑</t>
        </is>
      </c>
      <c r="V393" s="2" t="inlineStr">
        <is>
          <t>紧凑-极度紧凑</t>
        </is>
      </c>
    </row>
    <row r="394">
      <c r="A394" s="1" t="n">
        <v>2023312</v>
      </c>
      <c r="B394" s="3" t="inlineStr">
        <is>
          <t>442</t>
        </is>
      </c>
      <c r="C394" s="2">
        <f>IF(B394="","",LEFT(TEXT(B394,"000"),1)*1)</f>
        <v/>
      </c>
      <c r="D394" s="2">
        <f>IF(B394="","",MID(TEXT(B394,"000"),2,1)*1)</f>
        <v/>
      </c>
      <c r="E394" s="2">
        <f>IF(B394="","",RIGHT(TEXT(B394,"000"),1)*1)</f>
        <v/>
      </c>
      <c r="F394" s="2">
        <f>IF(B394="","",C394+D394+E394)</f>
        <v/>
      </c>
      <c r="G394" s="2">
        <f>IF(B394="","",MOD(F394,10))</f>
        <v/>
      </c>
      <c r="H394" s="2">
        <f>IF(B394="","",MAX(C394,D394,E394)-MIN(C394,D394,E394))</f>
        <v/>
      </c>
      <c r="I394" s="2">
        <f>IF(OR(B394="",H394=0),IF(H394=0,0.1,""),ROUND(F394/H394,2))</f>
        <v/>
      </c>
      <c r="J394" s="2">
        <f>IF(I394=0.1,"极紧凑",IF(I394&gt;3.5,"紧凑",IF(AND(I394&gt;=2,I394&lt;=3.5),"标准",IF(AND(I394&gt;=1,I394&lt;2),"松散",""))))</f>
        <v/>
      </c>
      <c r="K394" s="2">
        <f>IF(I394=0.1,"极紧凑-豹子号",IF(AND(I394&gt;=1,I394&lt;=1.29),"松散-极松散",IF(AND(I394&gt;=1.33,I394&lt;=1.8),"松散-标准松散",IF(AND(I394&gt;=1.83,I394&lt;=1.89),"松散-偏紧松散",IF(AND(I394&gt;=2,I394&lt;=2.5),"标准-偏松标准",IF(AND(I394&gt;=2.57,I394&lt;=3),"标准-核心标准",IF(AND(I394&gt;=3.17,I394&lt;=3.5),"标准-偏紧标准",IF(AND(I394&gt;=3.6,I394&lt;=5),"紧凑-标准紧凑",IF(AND(I394&gt;=5.25,I394&lt;=8),"紧凑-高度紧凑",IF(I394&gt;=8.5,"紧凑-极度紧凑",""))))))))))</f>
        <v/>
      </c>
      <c r="L394" s="2">
        <f>IF(I394=0.1,"极紧凑",IF(AND(I394&gt;=1,I394&lt;=1.89),"松散",IF(AND(I394&gt;=2,I394&lt;=3.5),"标准",IF(I394&gt;=3.6,"紧凑",""))))</f>
        <v/>
      </c>
      <c r="M394" s="2" t="inlineStr">
        <is>
          <t>极紧凑-豹子号</t>
        </is>
      </c>
      <c r="N394" s="2" t="inlineStr">
        <is>
          <t>松散-极松散</t>
        </is>
      </c>
      <c r="O394" s="2" t="inlineStr">
        <is>
          <t>松散-标准松散</t>
        </is>
      </c>
      <c r="P394" s="2" t="inlineStr">
        <is>
          <t>松散-偏紧松散</t>
        </is>
      </c>
      <c r="Q394" s="2" t="inlineStr">
        <is>
          <t>标准-偏松标准</t>
        </is>
      </c>
      <c r="R394" s="2" t="inlineStr">
        <is>
          <t>标准-核心标准</t>
        </is>
      </c>
      <c r="S394" s="2" t="inlineStr">
        <is>
          <t>标准-偏紧标准</t>
        </is>
      </c>
      <c r="T394" s="2" t="inlineStr">
        <is>
          <t>紧凑-标准紧凑</t>
        </is>
      </c>
      <c r="U394" s="2" t="inlineStr">
        <is>
          <t>紧凑-高度紧凑</t>
        </is>
      </c>
      <c r="V394" s="2" t="inlineStr">
        <is>
          <t>紧凑-极度紧凑</t>
        </is>
      </c>
    </row>
    <row r="395">
      <c r="A395" s="1" t="n">
        <v>2023313</v>
      </c>
      <c r="B395" s="3" t="inlineStr">
        <is>
          <t>414</t>
        </is>
      </c>
      <c r="C395" s="2">
        <f>IF(B395="","",LEFT(TEXT(B395,"000"),1)*1)</f>
        <v/>
      </c>
      <c r="D395" s="2">
        <f>IF(B395="","",MID(TEXT(B395,"000"),2,1)*1)</f>
        <v/>
      </c>
      <c r="E395" s="2">
        <f>IF(B395="","",RIGHT(TEXT(B395,"000"),1)*1)</f>
        <v/>
      </c>
      <c r="F395" s="2">
        <f>IF(B395="","",C395+D395+E395)</f>
        <v/>
      </c>
      <c r="G395" s="2">
        <f>IF(B395="","",MOD(F395,10))</f>
        <v/>
      </c>
      <c r="H395" s="2">
        <f>IF(B395="","",MAX(C395,D395,E395)-MIN(C395,D395,E395))</f>
        <v/>
      </c>
      <c r="I395" s="2">
        <f>IF(OR(B395="",H395=0),IF(H395=0,0.1,""),ROUND(F395/H395,2))</f>
        <v/>
      </c>
      <c r="J395" s="2">
        <f>IF(I395=0.1,"极紧凑",IF(I395&gt;3.5,"紧凑",IF(AND(I395&gt;=2,I395&lt;=3.5),"标准",IF(AND(I395&gt;=1,I395&lt;2),"松散",""))))</f>
        <v/>
      </c>
      <c r="K395" s="2">
        <f>IF(I395=0.1,"极紧凑-豹子号",IF(AND(I395&gt;=1,I395&lt;=1.29),"松散-极松散",IF(AND(I395&gt;=1.33,I395&lt;=1.8),"松散-标准松散",IF(AND(I395&gt;=1.83,I395&lt;=1.89),"松散-偏紧松散",IF(AND(I395&gt;=2,I395&lt;=2.5),"标准-偏松标准",IF(AND(I395&gt;=2.57,I395&lt;=3),"标准-核心标准",IF(AND(I395&gt;=3.17,I395&lt;=3.5),"标准-偏紧标准",IF(AND(I395&gt;=3.6,I395&lt;=5),"紧凑-标准紧凑",IF(AND(I395&gt;=5.25,I395&lt;=8),"紧凑-高度紧凑",IF(I395&gt;=8.5,"紧凑-极度紧凑",""))))))))))</f>
        <v/>
      </c>
      <c r="L395" s="2">
        <f>IF(I395=0.1,"极紧凑",IF(AND(I395&gt;=1,I395&lt;=1.89),"松散",IF(AND(I395&gt;=2,I395&lt;=3.5),"标准",IF(I395&gt;=3.6,"紧凑",""))))</f>
        <v/>
      </c>
      <c r="M395" s="2" t="inlineStr">
        <is>
          <t>极紧凑-豹子号</t>
        </is>
      </c>
      <c r="N395" s="2" t="inlineStr">
        <is>
          <t>松散-极松散</t>
        </is>
      </c>
      <c r="O395" s="2" t="inlineStr">
        <is>
          <t>松散-标准松散</t>
        </is>
      </c>
      <c r="P395" s="2" t="inlineStr">
        <is>
          <t>松散-偏紧松散</t>
        </is>
      </c>
      <c r="Q395" s="2" t="inlineStr">
        <is>
          <t>标准-偏松标准</t>
        </is>
      </c>
      <c r="R395" s="2" t="inlineStr">
        <is>
          <t>标准-核心标准</t>
        </is>
      </c>
      <c r="S395" s="2" t="inlineStr">
        <is>
          <t>标准-偏紧标准</t>
        </is>
      </c>
      <c r="T395" s="2" t="inlineStr">
        <is>
          <t>紧凑-标准紧凑</t>
        </is>
      </c>
      <c r="U395" s="2" t="inlineStr">
        <is>
          <t>紧凑-高度紧凑</t>
        </is>
      </c>
      <c r="V395" s="2" t="inlineStr">
        <is>
          <t>紧凑-极度紧凑</t>
        </is>
      </c>
    </row>
    <row r="396">
      <c r="A396" s="1" t="n">
        <v>2023314</v>
      </c>
      <c r="B396" s="3" t="inlineStr">
        <is>
          <t>355</t>
        </is>
      </c>
      <c r="C396" s="2">
        <f>IF(B396="","",LEFT(TEXT(B396,"000"),1)*1)</f>
        <v/>
      </c>
      <c r="D396" s="2">
        <f>IF(B396="","",MID(TEXT(B396,"000"),2,1)*1)</f>
        <v/>
      </c>
      <c r="E396" s="2">
        <f>IF(B396="","",RIGHT(TEXT(B396,"000"),1)*1)</f>
        <v/>
      </c>
      <c r="F396" s="2">
        <f>IF(B396="","",C396+D396+E396)</f>
        <v/>
      </c>
      <c r="G396" s="2">
        <f>IF(B396="","",MOD(F396,10))</f>
        <v/>
      </c>
      <c r="H396" s="2">
        <f>IF(B396="","",MAX(C396,D396,E396)-MIN(C396,D396,E396))</f>
        <v/>
      </c>
      <c r="I396" s="2">
        <f>IF(OR(B396="",H396=0),IF(H396=0,0.1,""),ROUND(F396/H396,2))</f>
        <v/>
      </c>
      <c r="J396" s="2">
        <f>IF(I396=0.1,"极紧凑",IF(I396&gt;3.5,"紧凑",IF(AND(I396&gt;=2,I396&lt;=3.5),"标准",IF(AND(I396&gt;=1,I396&lt;2),"松散",""))))</f>
        <v/>
      </c>
      <c r="K396" s="2">
        <f>IF(I396=0.1,"极紧凑-豹子号",IF(AND(I396&gt;=1,I396&lt;=1.29),"松散-极松散",IF(AND(I396&gt;=1.33,I396&lt;=1.8),"松散-标准松散",IF(AND(I396&gt;=1.83,I396&lt;=1.89),"松散-偏紧松散",IF(AND(I396&gt;=2,I396&lt;=2.5),"标准-偏松标准",IF(AND(I396&gt;=2.57,I396&lt;=3),"标准-核心标准",IF(AND(I396&gt;=3.17,I396&lt;=3.5),"标准-偏紧标准",IF(AND(I396&gt;=3.6,I396&lt;=5),"紧凑-标准紧凑",IF(AND(I396&gt;=5.25,I396&lt;=8),"紧凑-高度紧凑",IF(I396&gt;=8.5,"紧凑-极度紧凑",""))))))))))</f>
        <v/>
      </c>
      <c r="L396" s="2">
        <f>IF(I396=0.1,"极紧凑",IF(AND(I396&gt;=1,I396&lt;=1.89),"松散",IF(AND(I396&gt;=2,I396&lt;=3.5),"标准",IF(I396&gt;=3.6,"紧凑",""))))</f>
        <v/>
      </c>
      <c r="M396" s="2" t="inlineStr">
        <is>
          <t>极紧凑-豹子号</t>
        </is>
      </c>
      <c r="N396" s="2" t="inlineStr">
        <is>
          <t>松散-极松散</t>
        </is>
      </c>
      <c r="O396" s="2" t="inlineStr">
        <is>
          <t>松散-标准松散</t>
        </is>
      </c>
      <c r="P396" s="2" t="inlineStr">
        <is>
          <t>松散-偏紧松散</t>
        </is>
      </c>
      <c r="Q396" s="2" t="inlineStr">
        <is>
          <t>标准-偏松标准</t>
        </is>
      </c>
      <c r="R396" s="2" t="inlineStr">
        <is>
          <t>标准-核心标准</t>
        </is>
      </c>
      <c r="S396" s="2" t="inlineStr">
        <is>
          <t>标准-偏紧标准</t>
        </is>
      </c>
      <c r="T396" s="2" t="inlineStr">
        <is>
          <t>紧凑-标准紧凑</t>
        </is>
      </c>
      <c r="U396" s="2" t="inlineStr">
        <is>
          <t>紧凑-高度紧凑</t>
        </is>
      </c>
      <c r="V396" s="2" t="inlineStr">
        <is>
          <t>紧凑-极度紧凑</t>
        </is>
      </c>
    </row>
    <row r="397">
      <c r="A397" s="1" t="n">
        <v>2023315</v>
      </c>
      <c r="B397" s="3" t="inlineStr">
        <is>
          <t>747</t>
        </is>
      </c>
      <c r="C397" s="2">
        <f>IF(B397="","",LEFT(TEXT(B397,"000"),1)*1)</f>
        <v/>
      </c>
      <c r="D397" s="2">
        <f>IF(B397="","",MID(TEXT(B397,"000"),2,1)*1)</f>
        <v/>
      </c>
      <c r="E397" s="2">
        <f>IF(B397="","",RIGHT(TEXT(B397,"000"),1)*1)</f>
        <v/>
      </c>
      <c r="F397" s="2">
        <f>IF(B397="","",C397+D397+E397)</f>
        <v/>
      </c>
      <c r="G397" s="2">
        <f>IF(B397="","",MOD(F397,10))</f>
        <v/>
      </c>
      <c r="H397" s="2">
        <f>IF(B397="","",MAX(C397,D397,E397)-MIN(C397,D397,E397))</f>
        <v/>
      </c>
      <c r="I397" s="2">
        <f>IF(OR(B397="",H397=0),IF(H397=0,0.1,""),ROUND(F397/H397,2))</f>
        <v/>
      </c>
      <c r="J397" s="2">
        <f>IF(I397=0.1,"极紧凑",IF(I397&gt;3.5,"紧凑",IF(AND(I397&gt;=2,I397&lt;=3.5),"标准",IF(AND(I397&gt;=1,I397&lt;2),"松散",""))))</f>
        <v/>
      </c>
      <c r="K397" s="2">
        <f>IF(I397=0.1,"极紧凑-豹子号",IF(AND(I397&gt;=1,I397&lt;=1.29),"松散-极松散",IF(AND(I397&gt;=1.33,I397&lt;=1.8),"松散-标准松散",IF(AND(I397&gt;=1.83,I397&lt;=1.89),"松散-偏紧松散",IF(AND(I397&gt;=2,I397&lt;=2.5),"标准-偏松标准",IF(AND(I397&gt;=2.57,I397&lt;=3),"标准-核心标准",IF(AND(I397&gt;=3.17,I397&lt;=3.5),"标准-偏紧标准",IF(AND(I397&gt;=3.6,I397&lt;=5),"紧凑-标准紧凑",IF(AND(I397&gt;=5.25,I397&lt;=8),"紧凑-高度紧凑",IF(I397&gt;=8.5,"紧凑-极度紧凑",""))))))))))</f>
        <v/>
      </c>
      <c r="L397" s="2">
        <f>IF(I397=0.1,"极紧凑",IF(AND(I397&gt;=1,I397&lt;=1.89),"松散",IF(AND(I397&gt;=2,I397&lt;=3.5),"标准",IF(I397&gt;=3.6,"紧凑",""))))</f>
        <v/>
      </c>
      <c r="M397" s="2" t="inlineStr">
        <is>
          <t>极紧凑-豹子号</t>
        </is>
      </c>
      <c r="N397" s="2" t="inlineStr">
        <is>
          <t>松散-极松散</t>
        </is>
      </c>
      <c r="O397" s="2" t="inlineStr">
        <is>
          <t>松散-标准松散</t>
        </is>
      </c>
      <c r="P397" s="2" t="inlineStr">
        <is>
          <t>松散-偏紧松散</t>
        </is>
      </c>
      <c r="Q397" s="2" t="inlineStr">
        <is>
          <t>标准-偏松标准</t>
        </is>
      </c>
      <c r="R397" s="2" t="inlineStr">
        <is>
          <t>标准-核心标准</t>
        </is>
      </c>
      <c r="S397" s="2" t="inlineStr">
        <is>
          <t>标准-偏紧标准</t>
        </is>
      </c>
      <c r="T397" s="2" t="inlineStr">
        <is>
          <t>紧凑-标准紧凑</t>
        </is>
      </c>
      <c r="U397" s="2" t="inlineStr">
        <is>
          <t>紧凑-高度紧凑</t>
        </is>
      </c>
      <c r="V397" s="2" t="inlineStr">
        <is>
          <t>紧凑-极度紧凑</t>
        </is>
      </c>
    </row>
    <row r="398">
      <c r="A398" s="1" t="n">
        <v>2023316</v>
      </c>
      <c r="B398" s="3" t="inlineStr">
        <is>
          <t>234</t>
        </is>
      </c>
      <c r="C398" s="2">
        <f>IF(B398="","",LEFT(TEXT(B398,"000"),1)*1)</f>
        <v/>
      </c>
      <c r="D398" s="2">
        <f>IF(B398="","",MID(TEXT(B398,"000"),2,1)*1)</f>
        <v/>
      </c>
      <c r="E398" s="2">
        <f>IF(B398="","",RIGHT(TEXT(B398,"000"),1)*1)</f>
        <v/>
      </c>
      <c r="F398" s="2">
        <f>IF(B398="","",C398+D398+E398)</f>
        <v/>
      </c>
      <c r="G398" s="2">
        <f>IF(B398="","",MOD(F398,10))</f>
        <v/>
      </c>
      <c r="H398" s="2">
        <f>IF(B398="","",MAX(C398,D398,E398)-MIN(C398,D398,E398))</f>
        <v/>
      </c>
      <c r="I398" s="2">
        <f>IF(OR(B398="",H398=0),IF(H398=0,0.1,""),ROUND(F398/H398,2))</f>
        <v/>
      </c>
      <c r="J398" s="2">
        <f>IF(I398=0.1,"极紧凑",IF(I398&gt;3.5,"紧凑",IF(AND(I398&gt;=2,I398&lt;=3.5),"标准",IF(AND(I398&gt;=1,I398&lt;2),"松散",""))))</f>
        <v/>
      </c>
      <c r="K398" s="2">
        <f>IF(I398=0.1,"极紧凑-豹子号",IF(AND(I398&gt;=1,I398&lt;=1.29),"松散-极松散",IF(AND(I398&gt;=1.33,I398&lt;=1.8),"松散-标准松散",IF(AND(I398&gt;=1.83,I398&lt;=1.89),"松散-偏紧松散",IF(AND(I398&gt;=2,I398&lt;=2.5),"标准-偏松标准",IF(AND(I398&gt;=2.57,I398&lt;=3),"标准-核心标准",IF(AND(I398&gt;=3.17,I398&lt;=3.5),"标准-偏紧标准",IF(AND(I398&gt;=3.6,I398&lt;=5),"紧凑-标准紧凑",IF(AND(I398&gt;=5.25,I398&lt;=8),"紧凑-高度紧凑",IF(I398&gt;=8.5,"紧凑-极度紧凑",""))))))))))</f>
        <v/>
      </c>
      <c r="L398" s="2">
        <f>IF(I398=0.1,"极紧凑",IF(AND(I398&gt;=1,I398&lt;=1.89),"松散",IF(AND(I398&gt;=2,I398&lt;=3.5),"标准",IF(I398&gt;=3.6,"紧凑",""))))</f>
        <v/>
      </c>
      <c r="M398" s="2" t="inlineStr">
        <is>
          <t>极紧凑-豹子号</t>
        </is>
      </c>
      <c r="N398" s="2" t="inlineStr">
        <is>
          <t>松散-极松散</t>
        </is>
      </c>
      <c r="O398" s="2" t="inlineStr">
        <is>
          <t>松散-标准松散</t>
        </is>
      </c>
      <c r="P398" s="2" t="inlineStr">
        <is>
          <t>松散-偏紧松散</t>
        </is>
      </c>
      <c r="Q398" s="2" t="inlineStr">
        <is>
          <t>标准-偏松标准</t>
        </is>
      </c>
      <c r="R398" s="2" t="inlineStr">
        <is>
          <t>标准-核心标准</t>
        </is>
      </c>
      <c r="S398" s="2" t="inlineStr">
        <is>
          <t>标准-偏紧标准</t>
        </is>
      </c>
      <c r="T398" s="2" t="inlineStr">
        <is>
          <t>紧凑-标准紧凑</t>
        </is>
      </c>
      <c r="U398" s="2" t="inlineStr">
        <is>
          <t>紧凑-高度紧凑</t>
        </is>
      </c>
      <c r="V398" s="2" t="inlineStr">
        <is>
          <t>紧凑-极度紧凑</t>
        </is>
      </c>
    </row>
    <row r="399">
      <c r="A399" s="1" t="n">
        <v>2023317</v>
      </c>
      <c r="B399" s="3" t="inlineStr">
        <is>
          <t>397</t>
        </is>
      </c>
      <c r="C399" s="2">
        <f>IF(B399="","",LEFT(TEXT(B399,"000"),1)*1)</f>
        <v/>
      </c>
      <c r="D399" s="2">
        <f>IF(B399="","",MID(TEXT(B399,"000"),2,1)*1)</f>
        <v/>
      </c>
      <c r="E399" s="2">
        <f>IF(B399="","",RIGHT(TEXT(B399,"000"),1)*1)</f>
        <v/>
      </c>
      <c r="F399" s="2">
        <f>IF(B399="","",C399+D399+E399)</f>
        <v/>
      </c>
      <c r="G399" s="2">
        <f>IF(B399="","",MOD(F399,10))</f>
        <v/>
      </c>
      <c r="H399" s="2">
        <f>IF(B399="","",MAX(C399,D399,E399)-MIN(C399,D399,E399))</f>
        <v/>
      </c>
      <c r="I399" s="2">
        <f>IF(OR(B399="",H399=0),IF(H399=0,0.1,""),ROUND(F399/H399,2))</f>
        <v/>
      </c>
      <c r="J399" s="2">
        <f>IF(I399=0.1,"极紧凑",IF(I399&gt;3.5,"紧凑",IF(AND(I399&gt;=2,I399&lt;=3.5),"标准",IF(AND(I399&gt;=1,I399&lt;2),"松散",""))))</f>
        <v/>
      </c>
      <c r="K399" s="2">
        <f>IF(I399=0.1,"极紧凑-豹子号",IF(AND(I399&gt;=1,I399&lt;=1.29),"松散-极松散",IF(AND(I399&gt;=1.33,I399&lt;=1.8),"松散-标准松散",IF(AND(I399&gt;=1.83,I399&lt;=1.89),"松散-偏紧松散",IF(AND(I399&gt;=2,I399&lt;=2.5),"标准-偏松标准",IF(AND(I399&gt;=2.57,I399&lt;=3),"标准-核心标准",IF(AND(I399&gt;=3.17,I399&lt;=3.5),"标准-偏紧标准",IF(AND(I399&gt;=3.6,I399&lt;=5),"紧凑-标准紧凑",IF(AND(I399&gt;=5.25,I399&lt;=8),"紧凑-高度紧凑",IF(I399&gt;=8.5,"紧凑-极度紧凑",""))))))))))</f>
        <v/>
      </c>
      <c r="L399" s="2">
        <f>IF(I399=0.1,"极紧凑",IF(AND(I399&gt;=1,I399&lt;=1.89),"松散",IF(AND(I399&gt;=2,I399&lt;=3.5),"标准",IF(I399&gt;=3.6,"紧凑",""))))</f>
        <v/>
      </c>
      <c r="M399" s="2" t="inlineStr">
        <is>
          <t>极紧凑-豹子号</t>
        </is>
      </c>
      <c r="N399" s="2" t="inlineStr">
        <is>
          <t>松散-极松散</t>
        </is>
      </c>
      <c r="O399" s="2" t="inlineStr">
        <is>
          <t>松散-标准松散</t>
        </is>
      </c>
      <c r="P399" s="2" t="inlineStr">
        <is>
          <t>松散-偏紧松散</t>
        </is>
      </c>
      <c r="Q399" s="2" t="inlineStr">
        <is>
          <t>标准-偏松标准</t>
        </is>
      </c>
      <c r="R399" s="2" t="inlineStr">
        <is>
          <t>标准-核心标准</t>
        </is>
      </c>
      <c r="S399" s="2" t="inlineStr">
        <is>
          <t>标准-偏紧标准</t>
        </is>
      </c>
      <c r="T399" s="2" t="inlineStr">
        <is>
          <t>紧凑-标准紧凑</t>
        </is>
      </c>
      <c r="U399" s="2" t="inlineStr">
        <is>
          <t>紧凑-高度紧凑</t>
        </is>
      </c>
      <c r="V399" s="2" t="inlineStr">
        <is>
          <t>紧凑-极度紧凑</t>
        </is>
      </c>
    </row>
    <row r="400">
      <c r="A400" s="1" t="n">
        <v>2023318</v>
      </c>
      <c r="B400" s="3" t="inlineStr">
        <is>
          <t>790</t>
        </is>
      </c>
      <c r="C400" s="2">
        <f>IF(B400="","",LEFT(TEXT(B400,"000"),1)*1)</f>
        <v/>
      </c>
      <c r="D400" s="2">
        <f>IF(B400="","",MID(TEXT(B400,"000"),2,1)*1)</f>
        <v/>
      </c>
      <c r="E400" s="2">
        <f>IF(B400="","",RIGHT(TEXT(B400,"000"),1)*1)</f>
        <v/>
      </c>
      <c r="F400" s="2">
        <f>IF(B400="","",C400+D400+E400)</f>
        <v/>
      </c>
      <c r="G400" s="2">
        <f>IF(B400="","",MOD(F400,10))</f>
        <v/>
      </c>
      <c r="H400" s="2">
        <f>IF(B400="","",MAX(C400,D400,E400)-MIN(C400,D400,E400))</f>
        <v/>
      </c>
      <c r="I400" s="2">
        <f>IF(OR(B400="",H400=0),IF(H400=0,0.1,""),ROUND(F400/H400,2))</f>
        <v/>
      </c>
      <c r="J400" s="2">
        <f>IF(I400=0.1,"极紧凑",IF(I400&gt;3.5,"紧凑",IF(AND(I400&gt;=2,I400&lt;=3.5),"标准",IF(AND(I400&gt;=1,I400&lt;2),"松散",""))))</f>
        <v/>
      </c>
      <c r="K400" s="2">
        <f>IF(I400=0.1,"极紧凑-豹子号",IF(AND(I400&gt;=1,I400&lt;=1.29),"松散-极松散",IF(AND(I400&gt;=1.33,I400&lt;=1.8),"松散-标准松散",IF(AND(I400&gt;=1.83,I400&lt;=1.89),"松散-偏紧松散",IF(AND(I400&gt;=2,I400&lt;=2.5),"标准-偏松标准",IF(AND(I400&gt;=2.57,I400&lt;=3),"标准-核心标准",IF(AND(I400&gt;=3.17,I400&lt;=3.5),"标准-偏紧标准",IF(AND(I400&gt;=3.6,I400&lt;=5),"紧凑-标准紧凑",IF(AND(I400&gt;=5.25,I400&lt;=8),"紧凑-高度紧凑",IF(I400&gt;=8.5,"紧凑-极度紧凑",""))))))))))</f>
        <v/>
      </c>
      <c r="L400" s="2">
        <f>IF(I400=0.1,"极紧凑",IF(AND(I400&gt;=1,I400&lt;=1.89),"松散",IF(AND(I400&gt;=2,I400&lt;=3.5),"标准",IF(I400&gt;=3.6,"紧凑",""))))</f>
        <v/>
      </c>
      <c r="M400" s="2" t="inlineStr">
        <is>
          <t>极紧凑-豹子号</t>
        </is>
      </c>
      <c r="N400" s="2" t="inlineStr">
        <is>
          <t>松散-极松散</t>
        </is>
      </c>
      <c r="O400" s="2" t="inlineStr">
        <is>
          <t>松散-标准松散</t>
        </is>
      </c>
      <c r="P400" s="2" t="inlineStr">
        <is>
          <t>松散-偏紧松散</t>
        </is>
      </c>
      <c r="Q400" s="2" t="inlineStr">
        <is>
          <t>标准-偏松标准</t>
        </is>
      </c>
      <c r="R400" s="2" t="inlineStr">
        <is>
          <t>标准-核心标准</t>
        </is>
      </c>
      <c r="S400" s="2" t="inlineStr">
        <is>
          <t>标准-偏紧标准</t>
        </is>
      </c>
      <c r="T400" s="2" t="inlineStr">
        <is>
          <t>紧凑-标准紧凑</t>
        </is>
      </c>
      <c r="U400" s="2" t="inlineStr">
        <is>
          <t>紧凑-高度紧凑</t>
        </is>
      </c>
      <c r="V400" s="2" t="inlineStr">
        <is>
          <t>紧凑-极度紧凑</t>
        </is>
      </c>
    </row>
    <row r="401">
      <c r="A401" s="1" t="n">
        <v>2023319</v>
      </c>
      <c r="B401" s="3" t="inlineStr">
        <is>
          <t>965</t>
        </is>
      </c>
      <c r="C401" s="2">
        <f>IF(B401="","",LEFT(TEXT(B401,"000"),1)*1)</f>
        <v/>
      </c>
      <c r="D401" s="2">
        <f>IF(B401="","",MID(TEXT(B401,"000"),2,1)*1)</f>
        <v/>
      </c>
      <c r="E401" s="2">
        <f>IF(B401="","",RIGHT(TEXT(B401,"000"),1)*1)</f>
        <v/>
      </c>
      <c r="F401" s="2">
        <f>IF(B401="","",C401+D401+E401)</f>
        <v/>
      </c>
      <c r="G401" s="2">
        <f>IF(B401="","",MOD(F401,10))</f>
        <v/>
      </c>
      <c r="H401" s="2">
        <f>IF(B401="","",MAX(C401,D401,E401)-MIN(C401,D401,E401))</f>
        <v/>
      </c>
      <c r="I401" s="2">
        <f>IF(OR(B401="",H401=0),IF(H401=0,0.1,""),ROUND(F401/H401,2))</f>
        <v/>
      </c>
      <c r="J401" s="2">
        <f>IF(I401=0.1,"极紧凑",IF(I401&gt;3.5,"紧凑",IF(AND(I401&gt;=2,I401&lt;=3.5),"标准",IF(AND(I401&gt;=1,I401&lt;2),"松散",""))))</f>
        <v/>
      </c>
      <c r="K401" s="2">
        <f>IF(I401=0.1,"极紧凑-豹子号",IF(AND(I401&gt;=1,I401&lt;=1.29),"松散-极松散",IF(AND(I401&gt;=1.33,I401&lt;=1.8),"松散-标准松散",IF(AND(I401&gt;=1.83,I401&lt;=1.89),"松散-偏紧松散",IF(AND(I401&gt;=2,I401&lt;=2.5),"标准-偏松标准",IF(AND(I401&gt;=2.57,I401&lt;=3),"标准-核心标准",IF(AND(I401&gt;=3.17,I401&lt;=3.5),"标准-偏紧标准",IF(AND(I401&gt;=3.6,I401&lt;=5),"紧凑-标准紧凑",IF(AND(I401&gt;=5.25,I401&lt;=8),"紧凑-高度紧凑",IF(I401&gt;=8.5,"紧凑-极度紧凑",""))))))))))</f>
        <v/>
      </c>
      <c r="L401" s="2">
        <f>IF(I401=0.1,"极紧凑",IF(AND(I401&gt;=1,I401&lt;=1.89),"松散",IF(AND(I401&gt;=2,I401&lt;=3.5),"标准",IF(I401&gt;=3.6,"紧凑",""))))</f>
        <v/>
      </c>
      <c r="M401" s="2" t="inlineStr">
        <is>
          <t>极紧凑-豹子号</t>
        </is>
      </c>
      <c r="N401" s="2" t="inlineStr">
        <is>
          <t>松散-极松散</t>
        </is>
      </c>
      <c r="O401" s="2" t="inlineStr">
        <is>
          <t>松散-标准松散</t>
        </is>
      </c>
      <c r="P401" s="2" t="inlineStr">
        <is>
          <t>松散-偏紧松散</t>
        </is>
      </c>
      <c r="Q401" s="2" t="inlineStr">
        <is>
          <t>标准-偏松标准</t>
        </is>
      </c>
      <c r="R401" s="2" t="inlineStr">
        <is>
          <t>标准-核心标准</t>
        </is>
      </c>
      <c r="S401" s="2" t="inlineStr">
        <is>
          <t>标准-偏紧标准</t>
        </is>
      </c>
      <c r="T401" s="2" t="inlineStr">
        <is>
          <t>紧凑-标准紧凑</t>
        </is>
      </c>
      <c r="U401" s="2" t="inlineStr">
        <is>
          <t>紧凑-高度紧凑</t>
        </is>
      </c>
      <c r="V401" s="2" t="inlineStr">
        <is>
          <t>紧凑-极度紧凑</t>
        </is>
      </c>
    </row>
    <row r="402">
      <c r="A402" s="1" t="n">
        <v>2023320</v>
      </c>
      <c r="B402" s="3" t="inlineStr">
        <is>
          <t>697</t>
        </is>
      </c>
      <c r="C402" s="2">
        <f>IF(B402="","",LEFT(TEXT(B402,"000"),1)*1)</f>
        <v/>
      </c>
      <c r="D402" s="2">
        <f>IF(B402="","",MID(TEXT(B402,"000"),2,1)*1)</f>
        <v/>
      </c>
      <c r="E402" s="2">
        <f>IF(B402="","",RIGHT(TEXT(B402,"000"),1)*1)</f>
        <v/>
      </c>
      <c r="F402" s="2">
        <f>IF(B402="","",C402+D402+E402)</f>
        <v/>
      </c>
      <c r="G402" s="2">
        <f>IF(B402="","",MOD(F402,10))</f>
        <v/>
      </c>
      <c r="H402" s="2">
        <f>IF(B402="","",MAX(C402,D402,E402)-MIN(C402,D402,E402))</f>
        <v/>
      </c>
      <c r="I402" s="2">
        <f>IF(OR(B402="",H402=0),IF(H402=0,0.1,""),ROUND(F402/H402,2))</f>
        <v/>
      </c>
      <c r="J402" s="2">
        <f>IF(I402=0.1,"极紧凑",IF(I402&gt;3.5,"紧凑",IF(AND(I402&gt;=2,I402&lt;=3.5),"标准",IF(AND(I402&gt;=1,I402&lt;2),"松散",""))))</f>
        <v/>
      </c>
      <c r="K402" s="2">
        <f>IF(I402=0.1,"极紧凑-豹子号",IF(AND(I402&gt;=1,I402&lt;=1.29),"松散-极松散",IF(AND(I402&gt;=1.33,I402&lt;=1.8),"松散-标准松散",IF(AND(I402&gt;=1.83,I402&lt;=1.89),"松散-偏紧松散",IF(AND(I402&gt;=2,I402&lt;=2.5),"标准-偏松标准",IF(AND(I402&gt;=2.57,I402&lt;=3),"标准-核心标准",IF(AND(I402&gt;=3.17,I402&lt;=3.5),"标准-偏紧标准",IF(AND(I402&gt;=3.6,I402&lt;=5),"紧凑-标准紧凑",IF(AND(I402&gt;=5.25,I402&lt;=8),"紧凑-高度紧凑",IF(I402&gt;=8.5,"紧凑-极度紧凑",""))))))))))</f>
        <v/>
      </c>
      <c r="L402" s="2">
        <f>IF(I402=0.1,"极紧凑",IF(AND(I402&gt;=1,I402&lt;=1.89),"松散",IF(AND(I402&gt;=2,I402&lt;=3.5),"标准",IF(I402&gt;=3.6,"紧凑",""))))</f>
        <v/>
      </c>
      <c r="M402" s="2" t="inlineStr">
        <is>
          <t>极紧凑-豹子号</t>
        </is>
      </c>
      <c r="N402" s="2" t="inlineStr">
        <is>
          <t>松散-极松散</t>
        </is>
      </c>
      <c r="O402" s="2" t="inlineStr">
        <is>
          <t>松散-标准松散</t>
        </is>
      </c>
      <c r="P402" s="2" t="inlineStr">
        <is>
          <t>松散-偏紧松散</t>
        </is>
      </c>
      <c r="Q402" s="2" t="inlineStr">
        <is>
          <t>标准-偏松标准</t>
        </is>
      </c>
      <c r="R402" s="2" t="inlineStr">
        <is>
          <t>标准-核心标准</t>
        </is>
      </c>
      <c r="S402" s="2" t="inlineStr">
        <is>
          <t>标准-偏紧标准</t>
        </is>
      </c>
      <c r="T402" s="2" t="inlineStr">
        <is>
          <t>紧凑-标准紧凑</t>
        </is>
      </c>
      <c r="U402" s="2" t="inlineStr">
        <is>
          <t>紧凑-高度紧凑</t>
        </is>
      </c>
      <c r="V402" s="2" t="inlineStr">
        <is>
          <t>紧凑-极度紧凑</t>
        </is>
      </c>
    </row>
    <row r="403">
      <c r="A403" s="1" t="n">
        <v>2023321</v>
      </c>
      <c r="B403" s="3" t="inlineStr">
        <is>
          <t>211</t>
        </is>
      </c>
      <c r="C403" s="2">
        <f>IF(B403="","",LEFT(TEXT(B403,"000"),1)*1)</f>
        <v/>
      </c>
      <c r="D403" s="2">
        <f>IF(B403="","",MID(TEXT(B403,"000"),2,1)*1)</f>
        <v/>
      </c>
      <c r="E403" s="2">
        <f>IF(B403="","",RIGHT(TEXT(B403,"000"),1)*1)</f>
        <v/>
      </c>
      <c r="F403" s="2">
        <f>IF(B403="","",C403+D403+E403)</f>
        <v/>
      </c>
      <c r="G403" s="2">
        <f>IF(B403="","",MOD(F403,10))</f>
        <v/>
      </c>
      <c r="H403" s="2">
        <f>IF(B403="","",MAX(C403,D403,E403)-MIN(C403,D403,E403))</f>
        <v/>
      </c>
      <c r="I403" s="2">
        <f>IF(OR(B403="",H403=0),IF(H403=0,0.1,""),ROUND(F403/H403,2))</f>
        <v/>
      </c>
      <c r="J403" s="2">
        <f>IF(I403=0.1,"极紧凑",IF(I403&gt;3.5,"紧凑",IF(AND(I403&gt;=2,I403&lt;=3.5),"标准",IF(AND(I403&gt;=1,I403&lt;2),"松散",""))))</f>
        <v/>
      </c>
      <c r="K403" s="2">
        <f>IF(I403=0.1,"极紧凑-豹子号",IF(AND(I403&gt;=1,I403&lt;=1.29),"松散-极松散",IF(AND(I403&gt;=1.33,I403&lt;=1.8),"松散-标准松散",IF(AND(I403&gt;=1.83,I403&lt;=1.89),"松散-偏紧松散",IF(AND(I403&gt;=2,I403&lt;=2.5),"标准-偏松标准",IF(AND(I403&gt;=2.57,I403&lt;=3),"标准-核心标准",IF(AND(I403&gt;=3.17,I403&lt;=3.5),"标准-偏紧标准",IF(AND(I403&gt;=3.6,I403&lt;=5),"紧凑-标准紧凑",IF(AND(I403&gt;=5.25,I403&lt;=8),"紧凑-高度紧凑",IF(I403&gt;=8.5,"紧凑-极度紧凑",""))))))))))</f>
        <v/>
      </c>
      <c r="L403" s="2">
        <f>IF(I403=0.1,"极紧凑",IF(AND(I403&gt;=1,I403&lt;=1.89),"松散",IF(AND(I403&gt;=2,I403&lt;=3.5),"标准",IF(I403&gt;=3.6,"紧凑",""))))</f>
        <v/>
      </c>
      <c r="M403" s="2" t="inlineStr">
        <is>
          <t>极紧凑-豹子号</t>
        </is>
      </c>
      <c r="N403" s="2" t="inlineStr">
        <is>
          <t>松散-极松散</t>
        </is>
      </c>
      <c r="O403" s="2" t="inlineStr">
        <is>
          <t>松散-标准松散</t>
        </is>
      </c>
      <c r="P403" s="2" t="inlineStr">
        <is>
          <t>松散-偏紧松散</t>
        </is>
      </c>
      <c r="Q403" s="2" t="inlineStr">
        <is>
          <t>标准-偏松标准</t>
        </is>
      </c>
      <c r="R403" s="2" t="inlineStr">
        <is>
          <t>标准-核心标准</t>
        </is>
      </c>
      <c r="S403" s="2" t="inlineStr">
        <is>
          <t>标准-偏紧标准</t>
        </is>
      </c>
      <c r="T403" s="2" t="inlineStr">
        <is>
          <t>紧凑-标准紧凑</t>
        </is>
      </c>
      <c r="U403" s="2" t="inlineStr">
        <is>
          <t>紧凑-高度紧凑</t>
        </is>
      </c>
      <c r="V403" s="2" t="inlineStr">
        <is>
          <t>紧凑-极度紧凑</t>
        </is>
      </c>
    </row>
    <row r="404">
      <c r="A404" s="1" t="n">
        <v>2023322</v>
      </c>
      <c r="B404" s="3" t="inlineStr">
        <is>
          <t>174</t>
        </is>
      </c>
      <c r="C404" s="2">
        <f>IF(B404="","",LEFT(TEXT(B404,"000"),1)*1)</f>
        <v/>
      </c>
      <c r="D404" s="2">
        <f>IF(B404="","",MID(TEXT(B404,"000"),2,1)*1)</f>
        <v/>
      </c>
      <c r="E404" s="2">
        <f>IF(B404="","",RIGHT(TEXT(B404,"000"),1)*1)</f>
        <v/>
      </c>
      <c r="F404" s="2">
        <f>IF(B404="","",C404+D404+E404)</f>
        <v/>
      </c>
      <c r="G404" s="2">
        <f>IF(B404="","",MOD(F404,10))</f>
        <v/>
      </c>
      <c r="H404" s="2">
        <f>IF(B404="","",MAX(C404,D404,E404)-MIN(C404,D404,E404))</f>
        <v/>
      </c>
      <c r="I404" s="2">
        <f>IF(OR(B404="",H404=0),IF(H404=0,0.1,""),ROUND(F404/H404,2))</f>
        <v/>
      </c>
      <c r="J404" s="2">
        <f>IF(I404=0.1,"极紧凑",IF(I404&gt;3.5,"紧凑",IF(AND(I404&gt;=2,I404&lt;=3.5),"标准",IF(AND(I404&gt;=1,I404&lt;2),"松散",""))))</f>
        <v/>
      </c>
      <c r="K404" s="2">
        <f>IF(I404=0.1,"极紧凑-豹子号",IF(AND(I404&gt;=1,I404&lt;=1.29),"松散-极松散",IF(AND(I404&gt;=1.33,I404&lt;=1.8),"松散-标准松散",IF(AND(I404&gt;=1.83,I404&lt;=1.89),"松散-偏紧松散",IF(AND(I404&gt;=2,I404&lt;=2.5),"标准-偏松标准",IF(AND(I404&gt;=2.57,I404&lt;=3),"标准-核心标准",IF(AND(I404&gt;=3.17,I404&lt;=3.5),"标准-偏紧标准",IF(AND(I404&gt;=3.6,I404&lt;=5),"紧凑-标准紧凑",IF(AND(I404&gt;=5.25,I404&lt;=8),"紧凑-高度紧凑",IF(I404&gt;=8.5,"紧凑-极度紧凑",""))))))))))</f>
        <v/>
      </c>
      <c r="L404" s="2">
        <f>IF(I404=0.1,"极紧凑",IF(AND(I404&gt;=1,I404&lt;=1.89),"松散",IF(AND(I404&gt;=2,I404&lt;=3.5),"标准",IF(I404&gt;=3.6,"紧凑",""))))</f>
        <v/>
      </c>
      <c r="M404" s="2" t="inlineStr">
        <is>
          <t>极紧凑-豹子号</t>
        </is>
      </c>
      <c r="N404" s="2" t="inlineStr">
        <is>
          <t>松散-极松散</t>
        </is>
      </c>
      <c r="O404" s="2" t="inlineStr">
        <is>
          <t>松散-标准松散</t>
        </is>
      </c>
      <c r="P404" s="2" t="inlineStr">
        <is>
          <t>松散-偏紧松散</t>
        </is>
      </c>
      <c r="Q404" s="2" t="inlineStr">
        <is>
          <t>标准-偏松标准</t>
        </is>
      </c>
      <c r="R404" s="2" t="inlineStr">
        <is>
          <t>标准-核心标准</t>
        </is>
      </c>
      <c r="S404" s="2" t="inlineStr">
        <is>
          <t>标准-偏紧标准</t>
        </is>
      </c>
      <c r="T404" s="2" t="inlineStr">
        <is>
          <t>紧凑-标准紧凑</t>
        </is>
      </c>
      <c r="U404" s="2" t="inlineStr">
        <is>
          <t>紧凑-高度紧凑</t>
        </is>
      </c>
      <c r="V404" s="2" t="inlineStr">
        <is>
          <t>紧凑-极度紧凑</t>
        </is>
      </c>
    </row>
    <row r="405">
      <c r="A405" s="1" t="n">
        <v>2023323</v>
      </c>
      <c r="B405" s="3" t="inlineStr">
        <is>
          <t>945</t>
        </is>
      </c>
      <c r="C405" s="2">
        <f>IF(B405="","",LEFT(TEXT(B405,"000"),1)*1)</f>
        <v/>
      </c>
      <c r="D405" s="2">
        <f>IF(B405="","",MID(TEXT(B405,"000"),2,1)*1)</f>
        <v/>
      </c>
      <c r="E405" s="2">
        <f>IF(B405="","",RIGHT(TEXT(B405,"000"),1)*1)</f>
        <v/>
      </c>
      <c r="F405" s="2">
        <f>IF(B405="","",C405+D405+E405)</f>
        <v/>
      </c>
      <c r="G405" s="2">
        <f>IF(B405="","",MOD(F405,10))</f>
        <v/>
      </c>
      <c r="H405" s="2">
        <f>IF(B405="","",MAX(C405,D405,E405)-MIN(C405,D405,E405))</f>
        <v/>
      </c>
      <c r="I405" s="2">
        <f>IF(OR(B405="",H405=0),IF(H405=0,0.1,""),ROUND(F405/H405,2))</f>
        <v/>
      </c>
      <c r="J405" s="2">
        <f>IF(I405=0.1,"极紧凑",IF(I405&gt;3.5,"紧凑",IF(AND(I405&gt;=2,I405&lt;=3.5),"标准",IF(AND(I405&gt;=1,I405&lt;2),"松散",""))))</f>
        <v/>
      </c>
      <c r="K405" s="2">
        <f>IF(I405=0.1,"极紧凑-豹子号",IF(AND(I405&gt;=1,I405&lt;=1.29),"松散-极松散",IF(AND(I405&gt;=1.33,I405&lt;=1.8),"松散-标准松散",IF(AND(I405&gt;=1.83,I405&lt;=1.89),"松散-偏紧松散",IF(AND(I405&gt;=2,I405&lt;=2.5),"标准-偏松标准",IF(AND(I405&gt;=2.57,I405&lt;=3),"标准-核心标准",IF(AND(I405&gt;=3.17,I405&lt;=3.5),"标准-偏紧标准",IF(AND(I405&gt;=3.6,I405&lt;=5),"紧凑-标准紧凑",IF(AND(I405&gt;=5.25,I405&lt;=8),"紧凑-高度紧凑",IF(I405&gt;=8.5,"紧凑-极度紧凑",""))))))))))</f>
        <v/>
      </c>
      <c r="L405" s="2">
        <f>IF(I405=0.1,"极紧凑",IF(AND(I405&gt;=1,I405&lt;=1.89),"松散",IF(AND(I405&gt;=2,I405&lt;=3.5),"标准",IF(I405&gt;=3.6,"紧凑",""))))</f>
        <v/>
      </c>
      <c r="M405" s="2" t="inlineStr">
        <is>
          <t>极紧凑-豹子号</t>
        </is>
      </c>
      <c r="N405" s="2" t="inlineStr">
        <is>
          <t>松散-极松散</t>
        </is>
      </c>
      <c r="O405" s="2" t="inlineStr">
        <is>
          <t>松散-标准松散</t>
        </is>
      </c>
      <c r="P405" s="2" t="inlineStr">
        <is>
          <t>松散-偏紧松散</t>
        </is>
      </c>
      <c r="Q405" s="2" t="inlineStr">
        <is>
          <t>标准-偏松标准</t>
        </is>
      </c>
      <c r="R405" s="2" t="inlineStr">
        <is>
          <t>标准-核心标准</t>
        </is>
      </c>
      <c r="S405" s="2" t="inlineStr">
        <is>
          <t>标准-偏紧标准</t>
        </is>
      </c>
      <c r="T405" s="2" t="inlineStr">
        <is>
          <t>紧凑-标准紧凑</t>
        </is>
      </c>
      <c r="U405" s="2" t="inlineStr">
        <is>
          <t>紧凑-高度紧凑</t>
        </is>
      </c>
      <c r="V405" s="2" t="inlineStr">
        <is>
          <t>紧凑-极度紧凑</t>
        </is>
      </c>
    </row>
    <row r="406">
      <c r="A406" s="1" t="n">
        <v>2023324</v>
      </c>
      <c r="B406" s="2" t="n">
        <v>602</v>
      </c>
      <c r="C406" s="2">
        <f>IF(B406="","",LEFT(TEXT(B406,"000"),1)*1)</f>
        <v/>
      </c>
      <c r="D406" s="2">
        <f>IF(B406="","",MID(TEXT(B406,"000"),2,1)*1)</f>
        <v/>
      </c>
      <c r="E406" s="2">
        <f>IF(B406="","",RIGHT(TEXT(B406,"000"),1)*1)</f>
        <v/>
      </c>
      <c r="F406" s="2">
        <f>IF(B406="","",C406+D406+E406)</f>
        <v/>
      </c>
      <c r="G406" s="2">
        <f>IF(B406="","",MOD(F406,10))</f>
        <v/>
      </c>
      <c r="H406" s="2">
        <f>IF(B406="","",MAX(C406,D406,E406)-MIN(C406,D406,E406))</f>
        <v/>
      </c>
      <c r="I406" s="2">
        <f>IF(OR(B406="",H406=0),IF(H406=0,0.1,""),ROUND(F406/H406,2))</f>
        <v/>
      </c>
      <c r="J406" s="2">
        <f>IF(I406=0.1,"极紧凑",IF(I406&gt;3.5,"紧凑",IF(AND(I406&gt;=2,I406&lt;=3.5),"标准",IF(AND(I406&gt;=1,I406&lt;2),"松散",""))))</f>
        <v/>
      </c>
      <c r="K406" s="2">
        <f>IF(I406=0.1,"极紧凑-豹子号",IF(AND(I406&gt;=1,I406&lt;=1.29),"松散-极松散",IF(AND(I406&gt;=1.33,I406&lt;=1.8),"松散-标准松散",IF(AND(I406&gt;=1.83,I406&lt;=1.89),"松散-偏紧松散",IF(AND(I406&gt;=2,I406&lt;=2.5),"标准-偏松标准",IF(AND(I406&gt;=2.57,I406&lt;=3),"标准-核心标准",IF(AND(I406&gt;=3.17,I406&lt;=3.5),"标准-偏紧标准",IF(AND(I406&gt;=3.6,I406&lt;=5),"紧凑-标准紧凑",IF(AND(I406&gt;=5.25,I406&lt;=8),"紧凑-高度紧凑",IF(I406&gt;=8.5,"紧凑-极度紧凑",""))))))))))</f>
        <v/>
      </c>
      <c r="L406" s="2">
        <f>IF(I406=0.1,"极紧凑",IF(AND(I406&gt;=1,I406&lt;=1.89),"松散",IF(AND(I406&gt;=2,I406&lt;=3.5),"标准",IF(I406&gt;=3.6,"紧凑",""))))</f>
        <v/>
      </c>
      <c r="M406" s="2" t="inlineStr">
        <is>
          <t>极紧凑-豹子号</t>
        </is>
      </c>
      <c r="N406" s="2" t="inlineStr">
        <is>
          <t>松散-极松散</t>
        </is>
      </c>
      <c r="O406" s="2" t="inlineStr">
        <is>
          <t>松散-标准松散</t>
        </is>
      </c>
      <c r="P406" s="2" t="inlineStr">
        <is>
          <t>松散-偏紧松散</t>
        </is>
      </c>
      <c r="Q406" s="2" t="inlineStr">
        <is>
          <t>标准-偏松标准</t>
        </is>
      </c>
      <c r="R406" s="2" t="inlineStr">
        <is>
          <t>标准-核心标准</t>
        </is>
      </c>
      <c r="S406" s="2" t="inlineStr">
        <is>
          <t>标准-偏紧标准</t>
        </is>
      </c>
      <c r="T406" s="2" t="inlineStr">
        <is>
          <t>紧凑-标准紧凑</t>
        </is>
      </c>
      <c r="U406" s="2" t="inlineStr">
        <is>
          <t>紧凑-高度紧凑</t>
        </is>
      </c>
      <c r="V406" s="2" t="inlineStr">
        <is>
          <t>紧凑-极度紧凑</t>
        </is>
      </c>
    </row>
    <row r="407">
      <c r="A407" s="1" t="n">
        <v>2023325</v>
      </c>
      <c r="B407" s="3" t="inlineStr">
        <is>
          <t>717</t>
        </is>
      </c>
      <c r="C407" s="2">
        <f>IF(B407="","",LEFT(TEXT(B407,"000"),1)*1)</f>
        <v/>
      </c>
      <c r="D407" s="2">
        <f>IF(B407="","",MID(TEXT(B407,"000"),2,1)*1)</f>
        <v/>
      </c>
      <c r="E407" s="2">
        <f>IF(B407="","",RIGHT(TEXT(B407,"000"),1)*1)</f>
        <v/>
      </c>
      <c r="F407" s="2">
        <f>IF(B407="","",C407+D407+E407)</f>
        <v/>
      </c>
      <c r="G407" s="2">
        <f>IF(B407="","",MOD(F407,10))</f>
        <v/>
      </c>
      <c r="H407" s="2">
        <f>IF(B407="","",MAX(C407,D407,E407)-MIN(C407,D407,E407))</f>
        <v/>
      </c>
      <c r="I407" s="2">
        <f>IF(OR(B407="",H407=0),IF(H407=0,0.1,""),ROUND(F407/H407,2))</f>
        <v/>
      </c>
      <c r="J407" s="2">
        <f>IF(I407=0.1,"极紧凑",IF(I407&gt;3.5,"紧凑",IF(AND(I407&gt;=2,I407&lt;=3.5),"标准",IF(AND(I407&gt;=1,I407&lt;2),"松散",""))))</f>
        <v/>
      </c>
      <c r="K407" s="2">
        <f>IF(I407=0.1,"极紧凑-豹子号",IF(AND(I407&gt;=1,I407&lt;=1.29),"松散-极松散",IF(AND(I407&gt;=1.33,I407&lt;=1.8),"松散-标准松散",IF(AND(I407&gt;=1.83,I407&lt;=1.89),"松散-偏紧松散",IF(AND(I407&gt;=2,I407&lt;=2.5),"标准-偏松标准",IF(AND(I407&gt;=2.57,I407&lt;=3),"标准-核心标准",IF(AND(I407&gt;=3.17,I407&lt;=3.5),"标准-偏紧标准",IF(AND(I407&gt;=3.6,I407&lt;=5),"紧凑-标准紧凑",IF(AND(I407&gt;=5.25,I407&lt;=8),"紧凑-高度紧凑",IF(I407&gt;=8.5,"紧凑-极度紧凑",""))))))))))</f>
        <v/>
      </c>
      <c r="L407" s="2">
        <f>IF(I407=0.1,"极紧凑",IF(AND(I407&gt;=1,I407&lt;=1.89),"松散",IF(AND(I407&gt;=2,I407&lt;=3.5),"标准",IF(I407&gt;=3.6,"紧凑",""))))</f>
        <v/>
      </c>
      <c r="M407" s="2" t="inlineStr">
        <is>
          <t>极紧凑-豹子号</t>
        </is>
      </c>
      <c r="N407" s="2" t="inlineStr">
        <is>
          <t>松散-极松散</t>
        </is>
      </c>
      <c r="O407" s="2" t="inlineStr">
        <is>
          <t>松散-标准松散</t>
        </is>
      </c>
      <c r="P407" s="2" t="inlineStr">
        <is>
          <t>松散-偏紧松散</t>
        </is>
      </c>
      <c r="Q407" s="2" t="inlineStr">
        <is>
          <t>标准-偏松标准</t>
        </is>
      </c>
      <c r="R407" s="2" t="inlineStr">
        <is>
          <t>标准-核心标准</t>
        </is>
      </c>
      <c r="S407" s="2" t="inlineStr">
        <is>
          <t>标准-偏紧标准</t>
        </is>
      </c>
      <c r="T407" s="2" t="inlineStr">
        <is>
          <t>紧凑-标准紧凑</t>
        </is>
      </c>
      <c r="U407" s="2" t="inlineStr">
        <is>
          <t>紧凑-高度紧凑</t>
        </is>
      </c>
      <c r="V407" s="2" t="inlineStr">
        <is>
          <t>紧凑-极度紧凑</t>
        </is>
      </c>
    </row>
    <row r="408">
      <c r="A408" s="1" t="n">
        <v>2023326</v>
      </c>
      <c r="B408" s="3" t="inlineStr">
        <is>
          <t>790</t>
        </is>
      </c>
      <c r="C408" s="2">
        <f>IF(B408="","",LEFT(TEXT(B408,"000"),1)*1)</f>
        <v/>
      </c>
      <c r="D408" s="2">
        <f>IF(B408="","",MID(TEXT(B408,"000"),2,1)*1)</f>
        <v/>
      </c>
      <c r="E408" s="2">
        <f>IF(B408="","",RIGHT(TEXT(B408,"000"),1)*1)</f>
        <v/>
      </c>
      <c r="F408" s="2">
        <f>IF(B408="","",C408+D408+E408)</f>
        <v/>
      </c>
      <c r="G408" s="2">
        <f>IF(B408="","",MOD(F408,10))</f>
        <v/>
      </c>
      <c r="H408" s="2">
        <f>IF(B408="","",MAX(C408,D408,E408)-MIN(C408,D408,E408))</f>
        <v/>
      </c>
      <c r="I408" s="2">
        <f>IF(OR(B408="",H408=0),IF(H408=0,0.1,""),ROUND(F408/H408,2))</f>
        <v/>
      </c>
      <c r="J408" s="2">
        <f>IF(I408=0.1,"极紧凑",IF(I408&gt;3.5,"紧凑",IF(AND(I408&gt;=2,I408&lt;=3.5),"标准",IF(AND(I408&gt;=1,I408&lt;2),"松散",""))))</f>
        <v/>
      </c>
      <c r="K408" s="2">
        <f>IF(I408=0.1,"极紧凑-豹子号",IF(AND(I408&gt;=1,I408&lt;=1.29),"松散-极松散",IF(AND(I408&gt;=1.33,I408&lt;=1.8),"松散-标准松散",IF(AND(I408&gt;=1.83,I408&lt;=1.89),"松散-偏紧松散",IF(AND(I408&gt;=2,I408&lt;=2.5),"标准-偏松标准",IF(AND(I408&gt;=2.57,I408&lt;=3),"标准-核心标准",IF(AND(I408&gt;=3.17,I408&lt;=3.5),"标准-偏紧标准",IF(AND(I408&gt;=3.6,I408&lt;=5),"紧凑-标准紧凑",IF(AND(I408&gt;=5.25,I408&lt;=8),"紧凑-高度紧凑",IF(I408&gt;=8.5,"紧凑-极度紧凑",""))))))))))</f>
        <v/>
      </c>
      <c r="L408" s="2">
        <f>IF(I408=0.1,"极紧凑",IF(AND(I408&gt;=1,I408&lt;=1.89),"松散",IF(AND(I408&gt;=2,I408&lt;=3.5),"标准",IF(I408&gt;=3.6,"紧凑",""))))</f>
        <v/>
      </c>
      <c r="M408" s="2" t="inlineStr">
        <is>
          <t>极紧凑-豹子号</t>
        </is>
      </c>
      <c r="N408" s="2" t="inlineStr">
        <is>
          <t>松散-极松散</t>
        </is>
      </c>
      <c r="O408" s="2" t="inlineStr">
        <is>
          <t>松散-标准松散</t>
        </is>
      </c>
      <c r="P408" s="2" t="inlineStr">
        <is>
          <t>松散-偏紧松散</t>
        </is>
      </c>
      <c r="Q408" s="2" t="inlineStr">
        <is>
          <t>标准-偏松标准</t>
        </is>
      </c>
      <c r="R408" s="2" t="inlineStr">
        <is>
          <t>标准-核心标准</t>
        </is>
      </c>
      <c r="S408" s="2" t="inlineStr">
        <is>
          <t>标准-偏紧标准</t>
        </is>
      </c>
      <c r="T408" s="2" t="inlineStr">
        <is>
          <t>紧凑-标准紧凑</t>
        </is>
      </c>
      <c r="U408" s="2" t="inlineStr">
        <is>
          <t>紧凑-高度紧凑</t>
        </is>
      </c>
      <c r="V408" s="2" t="inlineStr">
        <is>
          <t>紧凑-极度紧凑</t>
        </is>
      </c>
    </row>
    <row r="409">
      <c r="A409" s="1" t="n">
        <v>2023327</v>
      </c>
      <c r="B409" s="3" t="inlineStr">
        <is>
          <t>314</t>
        </is>
      </c>
      <c r="C409" s="2">
        <f>IF(B409="","",LEFT(TEXT(B409,"000"),1)*1)</f>
        <v/>
      </c>
      <c r="D409" s="2">
        <f>IF(B409="","",MID(TEXT(B409,"000"),2,1)*1)</f>
        <v/>
      </c>
      <c r="E409" s="2">
        <f>IF(B409="","",RIGHT(TEXT(B409,"000"),1)*1)</f>
        <v/>
      </c>
      <c r="F409" s="2">
        <f>IF(B409="","",C409+D409+E409)</f>
        <v/>
      </c>
      <c r="G409" s="2">
        <f>IF(B409="","",MOD(F409,10))</f>
        <v/>
      </c>
      <c r="H409" s="2">
        <f>IF(B409="","",MAX(C409,D409,E409)-MIN(C409,D409,E409))</f>
        <v/>
      </c>
      <c r="I409" s="2">
        <f>IF(OR(B409="",H409=0),IF(H409=0,0.1,""),ROUND(F409/H409,2))</f>
        <v/>
      </c>
      <c r="J409" s="2">
        <f>IF(I409=0.1,"极紧凑",IF(I409&gt;3.5,"紧凑",IF(AND(I409&gt;=2,I409&lt;=3.5),"标准",IF(AND(I409&gt;=1,I409&lt;2),"松散",""))))</f>
        <v/>
      </c>
      <c r="K409" s="2">
        <f>IF(I409=0.1,"极紧凑-豹子号",IF(AND(I409&gt;=1,I409&lt;=1.29),"松散-极松散",IF(AND(I409&gt;=1.33,I409&lt;=1.8),"松散-标准松散",IF(AND(I409&gt;=1.83,I409&lt;=1.89),"松散-偏紧松散",IF(AND(I409&gt;=2,I409&lt;=2.5),"标准-偏松标准",IF(AND(I409&gt;=2.57,I409&lt;=3),"标准-核心标准",IF(AND(I409&gt;=3.17,I409&lt;=3.5),"标准-偏紧标准",IF(AND(I409&gt;=3.6,I409&lt;=5),"紧凑-标准紧凑",IF(AND(I409&gt;=5.25,I409&lt;=8),"紧凑-高度紧凑",IF(I409&gt;=8.5,"紧凑-极度紧凑",""))))))))))</f>
        <v/>
      </c>
      <c r="L409" s="2">
        <f>IF(I409=0.1,"极紧凑",IF(AND(I409&gt;=1,I409&lt;=1.89),"松散",IF(AND(I409&gt;=2,I409&lt;=3.5),"标准",IF(I409&gt;=3.6,"紧凑",""))))</f>
        <v/>
      </c>
      <c r="M409" s="2" t="inlineStr">
        <is>
          <t>极紧凑-豹子号</t>
        </is>
      </c>
      <c r="N409" s="2" t="inlineStr">
        <is>
          <t>松散-极松散</t>
        </is>
      </c>
      <c r="O409" s="2" t="inlineStr">
        <is>
          <t>松散-标准松散</t>
        </is>
      </c>
      <c r="P409" s="2" t="inlineStr">
        <is>
          <t>松散-偏紧松散</t>
        </is>
      </c>
      <c r="Q409" s="2" t="inlineStr">
        <is>
          <t>标准-偏松标准</t>
        </is>
      </c>
      <c r="R409" s="2" t="inlineStr">
        <is>
          <t>标准-核心标准</t>
        </is>
      </c>
      <c r="S409" s="2" t="inlineStr">
        <is>
          <t>标准-偏紧标准</t>
        </is>
      </c>
      <c r="T409" s="2" t="inlineStr">
        <is>
          <t>紧凑-标准紧凑</t>
        </is>
      </c>
      <c r="U409" s="2" t="inlineStr">
        <is>
          <t>紧凑-高度紧凑</t>
        </is>
      </c>
      <c r="V409" s="2" t="inlineStr">
        <is>
          <t>紧凑-极度紧凑</t>
        </is>
      </c>
    </row>
    <row r="410">
      <c r="A410" s="1" t="n">
        <v>2023328</v>
      </c>
      <c r="B410" s="3" t="inlineStr">
        <is>
          <t>882</t>
        </is>
      </c>
      <c r="C410" s="2">
        <f>IF(B410="","",LEFT(TEXT(B410,"000"),1)*1)</f>
        <v/>
      </c>
      <c r="D410" s="2">
        <f>IF(B410="","",MID(TEXT(B410,"000"),2,1)*1)</f>
        <v/>
      </c>
      <c r="E410" s="2">
        <f>IF(B410="","",RIGHT(TEXT(B410,"000"),1)*1)</f>
        <v/>
      </c>
      <c r="F410" s="2">
        <f>IF(B410="","",C410+D410+E410)</f>
        <v/>
      </c>
      <c r="G410" s="2">
        <f>IF(B410="","",MOD(F410,10))</f>
        <v/>
      </c>
      <c r="H410" s="2">
        <f>IF(B410="","",MAX(C410,D410,E410)-MIN(C410,D410,E410))</f>
        <v/>
      </c>
      <c r="I410" s="2">
        <f>IF(OR(B410="",H410=0),IF(H410=0,0.1,""),ROUND(F410/H410,2))</f>
        <v/>
      </c>
      <c r="J410" s="2">
        <f>IF(I410=0.1,"极紧凑",IF(I410&gt;3.5,"紧凑",IF(AND(I410&gt;=2,I410&lt;=3.5),"标准",IF(AND(I410&gt;=1,I410&lt;2),"松散",""))))</f>
        <v/>
      </c>
      <c r="K410" s="2">
        <f>IF(I410=0.1,"极紧凑-豹子号",IF(AND(I410&gt;=1,I410&lt;=1.29),"松散-极松散",IF(AND(I410&gt;=1.33,I410&lt;=1.8),"松散-标准松散",IF(AND(I410&gt;=1.83,I410&lt;=1.89),"松散-偏紧松散",IF(AND(I410&gt;=2,I410&lt;=2.5),"标准-偏松标准",IF(AND(I410&gt;=2.57,I410&lt;=3),"标准-核心标准",IF(AND(I410&gt;=3.17,I410&lt;=3.5),"标准-偏紧标准",IF(AND(I410&gt;=3.6,I410&lt;=5),"紧凑-标准紧凑",IF(AND(I410&gt;=5.25,I410&lt;=8),"紧凑-高度紧凑",IF(I410&gt;=8.5,"紧凑-极度紧凑",""))))))))))</f>
        <v/>
      </c>
      <c r="L410" s="2">
        <f>IF(I410=0.1,"极紧凑",IF(AND(I410&gt;=1,I410&lt;=1.89),"松散",IF(AND(I410&gt;=2,I410&lt;=3.5),"标准",IF(I410&gt;=3.6,"紧凑",""))))</f>
        <v/>
      </c>
      <c r="M410" s="2" t="inlineStr">
        <is>
          <t>极紧凑-豹子号</t>
        </is>
      </c>
      <c r="N410" s="2" t="inlineStr">
        <is>
          <t>松散-极松散</t>
        </is>
      </c>
      <c r="O410" s="2" t="inlineStr">
        <is>
          <t>松散-标准松散</t>
        </is>
      </c>
      <c r="P410" s="2" t="inlineStr">
        <is>
          <t>松散-偏紧松散</t>
        </is>
      </c>
      <c r="Q410" s="2" t="inlineStr">
        <is>
          <t>标准-偏松标准</t>
        </is>
      </c>
      <c r="R410" s="2" t="inlineStr">
        <is>
          <t>标准-核心标准</t>
        </is>
      </c>
      <c r="S410" s="2" t="inlineStr">
        <is>
          <t>标准-偏紧标准</t>
        </is>
      </c>
      <c r="T410" s="2" t="inlineStr">
        <is>
          <t>紧凑-标准紧凑</t>
        </is>
      </c>
      <c r="U410" s="2" t="inlineStr">
        <is>
          <t>紧凑-高度紧凑</t>
        </is>
      </c>
      <c r="V410" s="2" t="inlineStr">
        <is>
          <t>紧凑-极度紧凑</t>
        </is>
      </c>
    </row>
    <row r="411">
      <c r="A411" s="1" t="n">
        <v>2023329</v>
      </c>
      <c r="B411" s="3" t="inlineStr">
        <is>
          <t>289</t>
        </is>
      </c>
      <c r="C411" s="2">
        <f>IF(B411="","",LEFT(TEXT(B411,"000"),1)*1)</f>
        <v/>
      </c>
      <c r="D411" s="2">
        <f>IF(B411="","",MID(TEXT(B411,"000"),2,1)*1)</f>
        <v/>
      </c>
      <c r="E411" s="2">
        <f>IF(B411="","",RIGHT(TEXT(B411,"000"),1)*1)</f>
        <v/>
      </c>
      <c r="F411" s="2">
        <f>IF(B411="","",C411+D411+E411)</f>
        <v/>
      </c>
      <c r="G411" s="2">
        <f>IF(B411="","",MOD(F411,10))</f>
        <v/>
      </c>
      <c r="H411" s="2">
        <f>IF(B411="","",MAX(C411,D411,E411)-MIN(C411,D411,E411))</f>
        <v/>
      </c>
      <c r="I411" s="2">
        <f>IF(OR(B411="",H411=0),IF(H411=0,0.1,""),ROUND(F411/H411,2))</f>
        <v/>
      </c>
      <c r="J411" s="2">
        <f>IF(I411=0.1,"极紧凑",IF(I411&gt;3.5,"紧凑",IF(AND(I411&gt;=2,I411&lt;=3.5),"标准",IF(AND(I411&gt;=1,I411&lt;2),"松散",""))))</f>
        <v/>
      </c>
      <c r="K411" s="2">
        <f>IF(I411=0.1,"极紧凑-豹子号",IF(AND(I411&gt;=1,I411&lt;=1.29),"松散-极松散",IF(AND(I411&gt;=1.33,I411&lt;=1.8),"松散-标准松散",IF(AND(I411&gt;=1.83,I411&lt;=1.89),"松散-偏紧松散",IF(AND(I411&gt;=2,I411&lt;=2.5),"标准-偏松标准",IF(AND(I411&gt;=2.57,I411&lt;=3),"标准-核心标准",IF(AND(I411&gt;=3.17,I411&lt;=3.5),"标准-偏紧标准",IF(AND(I411&gt;=3.6,I411&lt;=5),"紧凑-标准紧凑",IF(AND(I411&gt;=5.25,I411&lt;=8),"紧凑-高度紧凑",IF(I411&gt;=8.5,"紧凑-极度紧凑",""))))))))))</f>
        <v/>
      </c>
      <c r="L411" s="2">
        <f>IF(I411=0.1,"极紧凑",IF(AND(I411&gt;=1,I411&lt;=1.89),"松散",IF(AND(I411&gt;=2,I411&lt;=3.5),"标准",IF(I411&gt;=3.6,"紧凑",""))))</f>
        <v/>
      </c>
      <c r="M411" s="2" t="inlineStr">
        <is>
          <t>极紧凑-豹子号</t>
        </is>
      </c>
      <c r="N411" s="2" t="inlineStr">
        <is>
          <t>松散-极松散</t>
        </is>
      </c>
      <c r="O411" s="2" t="inlineStr">
        <is>
          <t>松散-标准松散</t>
        </is>
      </c>
      <c r="P411" s="2" t="inlineStr">
        <is>
          <t>松散-偏紧松散</t>
        </is>
      </c>
      <c r="Q411" s="2" t="inlineStr">
        <is>
          <t>标准-偏松标准</t>
        </is>
      </c>
      <c r="R411" s="2" t="inlineStr">
        <is>
          <t>标准-核心标准</t>
        </is>
      </c>
      <c r="S411" s="2" t="inlineStr">
        <is>
          <t>标准-偏紧标准</t>
        </is>
      </c>
      <c r="T411" s="2" t="inlineStr">
        <is>
          <t>紧凑-标准紧凑</t>
        </is>
      </c>
      <c r="U411" s="2" t="inlineStr">
        <is>
          <t>紧凑-高度紧凑</t>
        </is>
      </c>
      <c r="V411" s="2" t="inlineStr">
        <is>
          <t>紧凑-极度紧凑</t>
        </is>
      </c>
    </row>
    <row r="412">
      <c r="A412" s="1" t="n">
        <v>2023330</v>
      </c>
      <c r="B412" s="3" t="inlineStr">
        <is>
          <t>531</t>
        </is>
      </c>
      <c r="C412" s="2">
        <f>IF(B412="","",LEFT(TEXT(B412,"000"),1)*1)</f>
        <v/>
      </c>
      <c r="D412" s="2">
        <f>IF(B412="","",MID(TEXT(B412,"000"),2,1)*1)</f>
        <v/>
      </c>
      <c r="E412" s="2">
        <f>IF(B412="","",RIGHT(TEXT(B412,"000"),1)*1)</f>
        <v/>
      </c>
      <c r="F412" s="2">
        <f>IF(B412="","",C412+D412+E412)</f>
        <v/>
      </c>
      <c r="G412" s="2">
        <f>IF(B412="","",MOD(F412,10))</f>
        <v/>
      </c>
      <c r="H412" s="2">
        <f>IF(B412="","",MAX(C412,D412,E412)-MIN(C412,D412,E412))</f>
        <v/>
      </c>
      <c r="I412" s="2">
        <f>IF(OR(B412="",H412=0),IF(H412=0,0.1,""),ROUND(F412/H412,2))</f>
        <v/>
      </c>
      <c r="J412" s="2">
        <f>IF(I412=0.1,"极紧凑",IF(I412&gt;3.5,"紧凑",IF(AND(I412&gt;=2,I412&lt;=3.5),"标准",IF(AND(I412&gt;=1,I412&lt;2),"松散",""))))</f>
        <v/>
      </c>
      <c r="K412" s="2">
        <f>IF(I412=0.1,"极紧凑-豹子号",IF(AND(I412&gt;=1,I412&lt;=1.29),"松散-极松散",IF(AND(I412&gt;=1.33,I412&lt;=1.8),"松散-标准松散",IF(AND(I412&gt;=1.83,I412&lt;=1.89),"松散-偏紧松散",IF(AND(I412&gt;=2,I412&lt;=2.5),"标准-偏松标准",IF(AND(I412&gt;=2.57,I412&lt;=3),"标准-核心标准",IF(AND(I412&gt;=3.17,I412&lt;=3.5),"标准-偏紧标准",IF(AND(I412&gt;=3.6,I412&lt;=5),"紧凑-标准紧凑",IF(AND(I412&gt;=5.25,I412&lt;=8),"紧凑-高度紧凑",IF(I412&gt;=8.5,"紧凑-极度紧凑",""))))))))))</f>
        <v/>
      </c>
      <c r="L412" s="2">
        <f>IF(I412=0.1,"极紧凑",IF(AND(I412&gt;=1,I412&lt;=1.89),"松散",IF(AND(I412&gt;=2,I412&lt;=3.5),"标准",IF(I412&gt;=3.6,"紧凑",""))))</f>
        <v/>
      </c>
      <c r="M412" s="2" t="inlineStr">
        <is>
          <t>极紧凑-豹子号</t>
        </is>
      </c>
      <c r="N412" s="2" t="inlineStr">
        <is>
          <t>松散-极松散</t>
        </is>
      </c>
      <c r="O412" s="2" t="inlineStr">
        <is>
          <t>松散-标准松散</t>
        </is>
      </c>
      <c r="P412" s="2" t="inlineStr">
        <is>
          <t>松散-偏紧松散</t>
        </is>
      </c>
      <c r="Q412" s="2" t="inlineStr">
        <is>
          <t>标准-偏松标准</t>
        </is>
      </c>
      <c r="R412" s="2" t="inlineStr">
        <is>
          <t>标准-核心标准</t>
        </is>
      </c>
      <c r="S412" s="2" t="inlineStr">
        <is>
          <t>标准-偏紧标准</t>
        </is>
      </c>
      <c r="T412" s="2" t="inlineStr">
        <is>
          <t>紧凑-标准紧凑</t>
        </is>
      </c>
      <c r="U412" s="2" t="inlineStr">
        <is>
          <t>紧凑-高度紧凑</t>
        </is>
      </c>
      <c r="V412" s="2" t="inlineStr">
        <is>
          <t>紧凑-极度紧凑</t>
        </is>
      </c>
    </row>
    <row r="413">
      <c r="A413" s="1" t="n">
        <v>2023331</v>
      </c>
      <c r="B413" s="3" t="inlineStr">
        <is>
          <t>402</t>
        </is>
      </c>
      <c r="C413" s="2">
        <f>IF(B413="","",LEFT(TEXT(B413,"000"),1)*1)</f>
        <v/>
      </c>
      <c r="D413" s="2">
        <f>IF(B413="","",MID(TEXT(B413,"000"),2,1)*1)</f>
        <v/>
      </c>
      <c r="E413" s="2">
        <f>IF(B413="","",RIGHT(TEXT(B413,"000"),1)*1)</f>
        <v/>
      </c>
      <c r="F413" s="2">
        <f>IF(B413="","",C413+D413+E413)</f>
        <v/>
      </c>
      <c r="G413" s="2">
        <f>IF(B413="","",MOD(F413,10))</f>
        <v/>
      </c>
      <c r="H413" s="2">
        <f>IF(B413="","",MAX(C413,D413,E413)-MIN(C413,D413,E413))</f>
        <v/>
      </c>
      <c r="I413" s="2">
        <f>IF(OR(B413="",H413=0),IF(H413=0,0.1,""),ROUND(F413/H413,2))</f>
        <v/>
      </c>
      <c r="J413" s="2">
        <f>IF(I413=0.1,"极紧凑",IF(I413&gt;3.5,"紧凑",IF(AND(I413&gt;=2,I413&lt;=3.5),"标准",IF(AND(I413&gt;=1,I413&lt;2),"松散",""))))</f>
        <v/>
      </c>
      <c r="K413" s="2">
        <f>IF(I413=0.1,"极紧凑-豹子号",IF(AND(I413&gt;=1,I413&lt;=1.29),"松散-极松散",IF(AND(I413&gt;=1.33,I413&lt;=1.8),"松散-标准松散",IF(AND(I413&gt;=1.83,I413&lt;=1.89),"松散-偏紧松散",IF(AND(I413&gt;=2,I413&lt;=2.5),"标准-偏松标准",IF(AND(I413&gt;=2.57,I413&lt;=3),"标准-核心标准",IF(AND(I413&gt;=3.17,I413&lt;=3.5),"标准-偏紧标准",IF(AND(I413&gt;=3.6,I413&lt;=5),"紧凑-标准紧凑",IF(AND(I413&gt;=5.25,I413&lt;=8),"紧凑-高度紧凑",IF(I413&gt;=8.5,"紧凑-极度紧凑",""))))))))))</f>
        <v/>
      </c>
      <c r="L413" s="2">
        <f>IF(I413=0.1,"极紧凑",IF(AND(I413&gt;=1,I413&lt;=1.89),"松散",IF(AND(I413&gt;=2,I413&lt;=3.5),"标准",IF(I413&gt;=3.6,"紧凑",""))))</f>
        <v/>
      </c>
      <c r="M413" s="2" t="inlineStr">
        <is>
          <t>极紧凑-豹子号</t>
        </is>
      </c>
      <c r="N413" s="2" t="inlineStr">
        <is>
          <t>松散-极松散</t>
        </is>
      </c>
      <c r="O413" s="2" t="inlineStr">
        <is>
          <t>松散-标准松散</t>
        </is>
      </c>
      <c r="P413" s="2" t="inlineStr">
        <is>
          <t>松散-偏紧松散</t>
        </is>
      </c>
      <c r="Q413" s="2" t="inlineStr">
        <is>
          <t>标准-偏松标准</t>
        </is>
      </c>
      <c r="R413" s="2" t="inlineStr">
        <is>
          <t>标准-核心标准</t>
        </is>
      </c>
      <c r="S413" s="2" t="inlineStr">
        <is>
          <t>标准-偏紧标准</t>
        </is>
      </c>
      <c r="T413" s="2" t="inlineStr">
        <is>
          <t>紧凑-标准紧凑</t>
        </is>
      </c>
      <c r="U413" s="2" t="inlineStr">
        <is>
          <t>紧凑-高度紧凑</t>
        </is>
      </c>
      <c r="V413" s="2" t="inlineStr">
        <is>
          <t>紧凑-极度紧凑</t>
        </is>
      </c>
    </row>
    <row r="414">
      <c r="A414" s="1" t="n">
        <v>2023332</v>
      </c>
      <c r="B414" s="3" t="inlineStr">
        <is>
          <t>667</t>
        </is>
      </c>
      <c r="C414" s="2">
        <f>IF(B414="","",LEFT(TEXT(B414,"000"),1)*1)</f>
        <v/>
      </c>
      <c r="D414" s="2">
        <f>IF(B414="","",MID(TEXT(B414,"000"),2,1)*1)</f>
        <v/>
      </c>
      <c r="E414" s="2">
        <f>IF(B414="","",RIGHT(TEXT(B414,"000"),1)*1)</f>
        <v/>
      </c>
      <c r="F414" s="2">
        <f>IF(B414="","",C414+D414+E414)</f>
        <v/>
      </c>
      <c r="G414" s="2">
        <f>IF(B414="","",MOD(F414,10))</f>
        <v/>
      </c>
      <c r="H414" s="2">
        <f>IF(B414="","",MAX(C414,D414,E414)-MIN(C414,D414,E414))</f>
        <v/>
      </c>
      <c r="I414" s="2">
        <f>IF(OR(B414="",H414=0),IF(H414=0,0.1,""),ROUND(F414/H414,2))</f>
        <v/>
      </c>
      <c r="J414" s="2">
        <f>IF(I414=0.1,"极紧凑",IF(I414&gt;3.5,"紧凑",IF(AND(I414&gt;=2,I414&lt;=3.5),"标准",IF(AND(I414&gt;=1,I414&lt;2),"松散",""))))</f>
        <v/>
      </c>
      <c r="K414" s="2">
        <f>IF(I414=0.1,"极紧凑-豹子号",IF(AND(I414&gt;=1,I414&lt;=1.29),"松散-极松散",IF(AND(I414&gt;=1.33,I414&lt;=1.8),"松散-标准松散",IF(AND(I414&gt;=1.83,I414&lt;=1.89),"松散-偏紧松散",IF(AND(I414&gt;=2,I414&lt;=2.5),"标准-偏松标准",IF(AND(I414&gt;=2.57,I414&lt;=3),"标准-核心标准",IF(AND(I414&gt;=3.17,I414&lt;=3.5),"标准-偏紧标准",IF(AND(I414&gt;=3.6,I414&lt;=5),"紧凑-标准紧凑",IF(AND(I414&gt;=5.25,I414&lt;=8),"紧凑-高度紧凑",IF(I414&gt;=8.5,"紧凑-极度紧凑",""))))))))))</f>
        <v/>
      </c>
      <c r="L414" s="2">
        <f>IF(I414=0.1,"极紧凑",IF(AND(I414&gt;=1,I414&lt;=1.89),"松散",IF(AND(I414&gt;=2,I414&lt;=3.5),"标准",IF(I414&gt;=3.6,"紧凑",""))))</f>
        <v/>
      </c>
      <c r="M414" s="2" t="inlineStr">
        <is>
          <t>极紧凑-豹子号</t>
        </is>
      </c>
      <c r="N414" s="2" t="inlineStr">
        <is>
          <t>松散-极松散</t>
        </is>
      </c>
      <c r="O414" s="2" t="inlineStr">
        <is>
          <t>松散-标准松散</t>
        </is>
      </c>
      <c r="P414" s="2" t="inlineStr">
        <is>
          <t>松散-偏紧松散</t>
        </is>
      </c>
      <c r="Q414" s="2" t="inlineStr">
        <is>
          <t>标准-偏松标准</t>
        </is>
      </c>
      <c r="R414" s="2" t="inlineStr">
        <is>
          <t>标准-核心标准</t>
        </is>
      </c>
      <c r="S414" s="2" t="inlineStr">
        <is>
          <t>标准-偏紧标准</t>
        </is>
      </c>
      <c r="T414" s="2" t="inlineStr">
        <is>
          <t>紧凑-标准紧凑</t>
        </is>
      </c>
      <c r="U414" s="2" t="inlineStr">
        <is>
          <t>紧凑-高度紧凑</t>
        </is>
      </c>
      <c r="V414" s="2" t="inlineStr">
        <is>
          <t>紧凑-极度紧凑</t>
        </is>
      </c>
    </row>
    <row r="415">
      <c r="A415" s="1" t="n">
        <v>2023333</v>
      </c>
      <c r="B415" s="3" t="inlineStr">
        <is>
          <t>989</t>
        </is>
      </c>
      <c r="C415" s="2">
        <f>IF(B415="","",LEFT(TEXT(B415,"000"),1)*1)</f>
        <v/>
      </c>
      <c r="D415" s="2">
        <f>IF(B415="","",MID(TEXT(B415,"000"),2,1)*1)</f>
        <v/>
      </c>
      <c r="E415" s="2">
        <f>IF(B415="","",RIGHT(TEXT(B415,"000"),1)*1)</f>
        <v/>
      </c>
      <c r="F415" s="2">
        <f>IF(B415="","",C415+D415+E415)</f>
        <v/>
      </c>
      <c r="G415" s="2">
        <f>IF(B415="","",MOD(F415,10))</f>
        <v/>
      </c>
      <c r="H415" s="2">
        <f>IF(B415="","",MAX(C415,D415,E415)-MIN(C415,D415,E415))</f>
        <v/>
      </c>
      <c r="I415" s="2">
        <f>IF(OR(B415="",H415=0),IF(H415=0,0.1,""),ROUND(F415/H415,2))</f>
        <v/>
      </c>
      <c r="J415" s="2">
        <f>IF(I415=0.1,"极紧凑",IF(I415&gt;3.5,"紧凑",IF(AND(I415&gt;=2,I415&lt;=3.5),"标准",IF(AND(I415&gt;=1,I415&lt;2),"松散",""))))</f>
        <v/>
      </c>
      <c r="K415" s="2">
        <f>IF(I415=0.1,"极紧凑-豹子号",IF(AND(I415&gt;=1,I415&lt;=1.29),"松散-极松散",IF(AND(I415&gt;=1.33,I415&lt;=1.8),"松散-标准松散",IF(AND(I415&gt;=1.83,I415&lt;=1.89),"松散-偏紧松散",IF(AND(I415&gt;=2,I415&lt;=2.5),"标准-偏松标准",IF(AND(I415&gt;=2.57,I415&lt;=3),"标准-核心标准",IF(AND(I415&gt;=3.17,I415&lt;=3.5),"标准-偏紧标准",IF(AND(I415&gt;=3.6,I415&lt;=5),"紧凑-标准紧凑",IF(AND(I415&gt;=5.25,I415&lt;=8),"紧凑-高度紧凑",IF(I415&gt;=8.5,"紧凑-极度紧凑",""))))))))))</f>
        <v/>
      </c>
      <c r="L415" s="2">
        <f>IF(I415=0.1,"极紧凑",IF(AND(I415&gt;=1,I415&lt;=1.89),"松散",IF(AND(I415&gt;=2,I415&lt;=3.5),"标准",IF(I415&gt;=3.6,"紧凑",""))))</f>
        <v/>
      </c>
      <c r="M415" s="2" t="inlineStr">
        <is>
          <t>极紧凑-豹子号</t>
        </is>
      </c>
      <c r="N415" s="2" t="inlineStr">
        <is>
          <t>松散-极松散</t>
        </is>
      </c>
      <c r="O415" s="2" t="inlineStr">
        <is>
          <t>松散-标准松散</t>
        </is>
      </c>
      <c r="P415" s="2" t="inlineStr">
        <is>
          <t>松散-偏紧松散</t>
        </is>
      </c>
      <c r="Q415" s="2" t="inlineStr">
        <is>
          <t>标准-偏松标准</t>
        </is>
      </c>
      <c r="R415" s="2" t="inlineStr">
        <is>
          <t>标准-核心标准</t>
        </is>
      </c>
      <c r="S415" s="2" t="inlineStr">
        <is>
          <t>标准-偏紧标准</t>
        </is>
      </c>
      <c r="T415" s="2" t="inlineStr">
        <is>
          <t>紧凑-标准紧凑</t>
        </is>
      </c>
      <c r="U415" s="2" t="inlineStr">
        <is>
          <t>紧凑-高度紧凑</t>
        </is>
      </c>
      <c r="V415" s="2" t="inlineStr">
        <is>
          <t>紧凑-极度紧凑</t>
        </is>
      </c>
    </row>
    <row r="416">
      <c r="A416" s="1" t="n">
        <v>2023334</v>
      </c>
      <c r="B416" s="3" t="inlineStr">
        <is>
          <t>587</t>
        </is>
      </c>
      <c r="C416" s="2">
        <f>IF(B416="","",LEFT(TEXT(B416,"000"),1)*1)</f>
        <v/>
      </c>
      <c r="D416" s="2">
        <f>IF(B416="","",MID(TEXT(B416,"000"),2,1)*1)</f>
        <v/>
      </c>
      <c r="E416" s="2">
        <f>IF(B416="","",RIGHT(TEXT(B416,"000"),1)*1)</f>
        <v/>
      </c>
      <c r="F416" s="2">
        <f>IF(B416="","",C416+D416+E416)</f>
        <v/>
      </c>
      <c r="G416" s="2">
        <f>IF(B416="","",MOD(F416,10))</f>
        <v/>
      </c>
      <c r="H416" s="2">
        <f>IF(B416="","",MAX(C416,D416,E416)-MIN(C416,D416,E416))</f>
        <v/>
      </c>
      <c r="I416" s="2">
        <f>IF(OR(B416="",H416=0),IF(H416=0,0.1,""),ROUND(F416/H416,2))</f>
        <v/>
      </c>
      <c r="J416" s="2">
        <f>IF(I416=0.1,"极紧凑",IF(I416&gt;3.5,"紧凑",IF(AND(I416&gt;=2,I416&lt;=3.5),"标准",IF(AND(I416&gt;=1,I416&lt;2),"松散",""))))</f>
        <v/>
      </c>
      <c r="K416" s="2">
        <f>IF(I416=0.1,"极紧凑-豹子号",IF(AND(I416&gt;=1,I416&lt;=1.29),"松散-极松散",IF(AND(I416&gt;=1.33,I416&lt;=1.8),"松散-标准松散",IF(AND(I416&gt;=1.83,I416&lt;=1.89),"松散-偏紧松散",IF(AND(I416&gt;=2,I416&lt;=2.5),"标准-偏松标准",IF(AND(I416&gt;=2.57,I416&lt;=3),"标准-核心标准",IF(AND(I416&gt;=3.17,I416&lt;=3.5),"标准-偏紧标准",IF(AND(I416&gt;=3.6,I416&lt;=5),"紧凑-标准紧凑",IF(AND(I416&gt;=5.25,I416&lt;=8),"紧凑-高度紧凑",IF(I416&gt;=8.5,"紧凑-极度紧凑",""))))))))))</f>
        <v/>
      </c>
      <c r="L416" s="2">
        <f>IF(I416=0.1,"极紧凑",IF(AND(I416&gt;=1,I416&lt;=1.89),"松散",IF(AND(I416&gt;=2,I416&lt;=3.5),"标准",IF(I416&gt;=3.6,"紧凑",""))))</f>
        <v/>
      </c>
      <c r="M416" s="2" t="inlineStr">
        <is>
          <t>极紧凑-豹子号</t>
        </is>
      </c>
      <c r="N416" s="2" t="inlineStr">
        <is>
          <t>松散-极松散</t>
        </is>
      </c>
      <c r="O416" s="2" t="inlineStr">
        <is>
          <t>松散-标准松散</t>
        </is>
      </c>
      <c r="P416" s="2" t="inlineStr">
        <is>
          <t>松散-偏紧松散</t>
        </is>
      </c>
      <c r="Q416" s="2" t="inlineStr">
        <is>
          <t>标准-偏松标准</t>
        </is>
      </c>
      <c r="R416" s="2" t="inlineStr">
        <is>
          <t>标准-核心标准</t>
        </is>
      </c>
      <c r="S416" s="2" t="inlineStr">
        <is>
          <t>标准-偏紧标准</t>
        </is>
      </c>
      <c r="T416" s="2" t="inlineStr">
        <is>
          <t>紧凑-标准紧凑</t>
        </is>
      </c>
      <c r="U416" s="2" t="inlineStr">
        <is>
          <t>紧凑-高度紧凑</t>
        </is>
      </c>
      <c r="V416" s="2" t="inlineStr">
        <is>
          <t>紧凑-极度紧凑</t>
        </is>
      </c>
    </row>
    <row r="417">
      <c r="A417" s="1" t="n">
        <v>2023335</v>
      </c>
      <c r="B417" s="3" t="inlineStr">
        <is>
          <t>047</t>
        </is>
      </c>
      <c r="C417" s="2">
        <f>IF(B417="","",LEFT(TEXT(B417,"000"),1)*1)</f>
        <v/>
      </c>
      <c r="D417" s="2">
        <f>IF(B417="","",MID(TEXT(B417,"000"),2,1)*1)</f>
        <v/>
      </c>
      <c r="E417" s="2">
        <f>IF(B417="","",RIGHT(TEXT(B417,"000"),1)*1)</f>
        <v/>
      </c>
      <c r="F417" s="2">
        <f>IF(B417="","",C417+D417+E417)</f>
        <v/>
      </c>
      <c r="G417" s="2">
        <f>IF(B417="","",MOD(F417,10))</f>
        <v/>
      </c>
      <c r="H417" s="2">
        <f>IF(B417="","",MAX(C417,D417,E417)-MIN(C417,D417,E417))</f>
        <v/>
      </c>
      <c r="I417" s="2">
        <f>IF(OR(B417="",H417=0),IF(H417=0,0.1,""),ROUND(F417/H417,2))</f>
        <v/>
      </c>
      <c r="J417" s="2">
        <f>IF(I417=0.1,"极紧凑",IF(I417&gt;3.5,"紧凑",IF(AND(I417&gt;=2,I417&lt;=3.5),"标准",IF(AND(I417&gt;=1,I417&lt;2),"松散",""))))</f>
        <v/>
      </c>
      <c r="K417" s="2">
        <f>IF(I417=0.1,"极紧凑-豹子号",IF(AND(I417&gt;=1,I417&lt;=1.29),"松散-极松散",IF(AND(I417&gt;=1.33,I417&lt;=1.8),"松散-标准松散",IF(AND(I417&gt;=1.83,I417&lt;=1.89),"松散-偏紧松散",IF(AND(I417&gt;=2,I417&lt;=2.5),"标准-偏松标准",IF(AND(I417&gt;=2.57,I417&lt;=3),"标准-核心标准",IF(AND(I417&gt;=3.17,I417&lt;=3.5),"标准-偏紧标准",IF(AND(I417&gt;=3.6,I417&lt;=5),"紧凑-标准紧凑",IF(AND(I417&gt;=5.25,I417&lt;=8),"紧凑-高度紧凑",IF(I417&gt;=8.5,"紧凑-极度紧凑",""))))))))))</f>
        <v/>
      </c>
      <c r="L417" s="2">
        <f>IF(I417=0.1,"极紧凑",IF(AND(I417&gt;=1,I417&lt;=1.89),"松散",IF(AND(I417&gt;=2,I417&lt;=3.5),"标准",IF(I417&gt;=3.6,"紧凑",""))))</f>
        <v/>
      </c>
      <c r="M417" s="2" t="inlineStr">
        <is>
          <t>极紧凑-豹子号</t>
        </is>
      </c>
      <c r="N417" s="2" t="inlineStr">
        <is>
          <t>松散-极松散</t>
        </is>
      </c>
      <c r="O417" s="2" t="inlineStr">
        <is>
          <t>松散-标准松散</t>
        </is>
      </c>
      <c r="P417" s="2" t="inlineStr">
        <is>
          <t>松散-偏紧松散</t>
        </is>
      </c>
      <c r="Q417" s="2" t="inlineStr">
        <is>
          <t>标准-偏松标准</t>
        </is>
      </c>
      <c r="R417" s="2" t="inlineStr">
        <is>
          <t>标准-核心标准</t>
        </is>
      </c>
      <c r="S417" s="2" t="inlineStr">
        <is>
          <t>标准-偏紧标准</t>
        </is>
      </c>
      <c r="T417" s="2" t="inlineStr">
        <is>
          <t>紧凑-标准紧凑</t>
        </is>
      </c>
      <c r="U417" s="2" t="inlineStr">
        <is>
          <t>紧凑-高度紧凑</t>
        </is>
      </c>
      <c r="V417" s="2" t="inlineStr">
        <is>
          <t>紧凑-极度紧凑</t>
        </is>
      </c>
    </row>
    <row r="418">
      <c r="A418" s="1" t="n">
        <v>2023336</v>
      </c>
      <c r="B418" s="3" t="inlineStr">
        <is>
          <t>821</t>
        </is>
      </c>
      <c r="C418" s="2">
        <f>IF(B418="","",LEFT(TEXT(B418,"000"),1)*1)</f>
        <v/>
      </c>
      <c r="D418" s="2">
        <f>IF(B418="","",MID(TEXT(B418,"000"),2,1)*1)</f>
        <v/>
      </c>
      <c r="E418" s="2">
        <f>IF(B418="","",RIGHT(TEXT(B418,"000"),1)*1)</f>
        <v/>
      </c>
      <c r="F418" s="2">
        <f>IF(B418="","",C418+D418+E418)</f>
        <v/>
      </c>
      <c r="G418" s="2">
        <f>IF(B418="","",MOD(F418,10))</f>
        <v/>
      </c>
      <c r="H418" s="2">
        <f>IF(B418="","",MAX(C418,D418,E418)-MIN(C418,D418,E418))</f>
        <v/>
      </c>
      <c r="I418" s="2">
        <f>IF(OR(B418="",H418=0),IF(H418=0,0.1,""),ROUND(F418/H418,2))</f>
        <v/>
      </c>
      <c r="J418" s="2">
        <f>IF(I418=0.1,"极紧凑",IF(I418&gt;3.5,"紧凑",IF(AND(I418&gt;=2,I418&lt;=3.5),"标准",IF(AND(I418&gt;=1,I418&lt;2),"松散",""))))</f>
        <v/>
      </c>
      <c r="K418" s="2">
        <f>IF(I418=0.1,"极紧凑-豹子号",IF(AND(I418&gt;=1,I418&lt;=1.29),"松散-极松散",IF(AND(I418&gt;=1.33,I418&lt;=1.8),"松散-标准松散",IF(AND(I418&gt;=1.83,I418&lt;=1.89),"松散-偏紧松散",IF(AND(I418&gt;=2,I418&lt;=2.5),"标准-偏松标准",IF(AND(I418&gt;=2.57,I418&lt;=3),"标准-核心标准",IF(AND(I418&gt;=3.17,I418&lt;=3.5),"标准-偏紧标准",IF(AND(I418&gt;=3.6,I418&lt;=5),"紧凑-标准紧凑",IF(AND(I418&gt;=5.25,I418&lt;=8),"紧凑-高度紧凑",IF(I418&gt;=8.5,"紧凑-极度紧凑",""))))))))))</f>
        <v/>
      </c>
      <c r="L418" s="2">
        <f>IF(I418=0.1,"极紧凑",IF(AND(I418&gt;=1,I418&lt;=1.89),"松散",IF(AND(I418&gt;=2,I418&lt;=3.5),"标准",IF(I418&gt;=3.6,"紧凑",""))))</f>
        <v/>
      </c>
      <c r="M418" s="2" t="inlineStr">
        <is>
          <t>极紧凑-豹子号</t>
        </is>
      </c>
      <c r="N418" s="2" t="inlineStr">
        <is>
          <t>松散-极松散</t>
        </is>
      </c>
      <c r="O418" s="2" t="inlineStr">
        <is>
          <t>松散-标准松散</t>
        </is>
      </c>
      <c r="P418" s="2" t="inlineStr">
        <is>
          <t>松散-偏紧松散</t>
        </is>
      </c>
      <c r="Q418" s="2" t="inlineStr">
        <is>
          <t>标准-偏松标准</t>
        </is>
      </c>
      <c r="R418" s="2" t="inlineStr">
        <is>
          <t>标准-核心标准</t>
        </is>
      </c>
      <c r="S418" s="2" t="inlineStr">
        <is>
          <t>标准-偏紧标准</t>
        </is>
      </c>
      <c r="T418" s="2" t="inlineStr">
        <is>
          <t>紧凑-标准紧凑</t>
        </is>
      </c>
      <c r="U418" s="2" t="inlineStr">
        <is>
          <t>紧凑-高度紧凑</t>
        </is>
      </c>
      <c r="V418" s="2" t="inlineStr">
        <is>
          <t>紧凑-极度紧凑</t>
        </is>
      </c>
    </row>
    <row r="419">
      <c r="A419" s="1" t="n">
        <v>2023337</v>
      </c>
      <c r="B419" s="3" t="inlineStr">
        <is>
          <t>846</t>
        </is>
      </c>
      <c r="C419" s="2">
        <f>IF(B419="","",LEFT(TEXT(B419,"000"),1)*1)</f>
        <v/>
      </c>
      <c r="D419" s="2">
        <f>IF(B419="","",MID(TEXT(B419,"000"),2,1)*1)</f>
        <v/>
      </c>
      <c r="E419" s="2">
        <f>IF(B419="","",RIGHT(TEXT(B419,"000"),1)*1)</f>
        <v/>
      </c>
      <c r="F419" s="2">
        <f>IF(B419="","",C419+D419+E419)</f>
        <v/>
      </c>
      <c r="G419" s="2">
        <f>IF(B419="","",MOD(F419,10))</f>
        <v/>
      </c>
      <c r="H419" s="2">
        <f>IF(B419="","",MAX(C419,D419,E419)-MIN(C419,D419,E419))</f>
        <v/>
      </c>
      <c r="I419" s="2">
        <f>IF(OR(B419="",H419=0),IF(H419=0,0.1,""),ROUND(F419/H419,2))</f>
        <v/>
      </c>
      <c r="J419" s="2">
        <f>IF(I419=0.1,"极紧凑",IF(I419&gt;3.5,"紧凑",IF(AND(I419&gt;=2,I419&lt;=3.5),"标准",IF(AND(I419&gt;=1,I419&lt;2),"松散",""))))</f>
        <v/>
      </c>
      <c r="K419" s="2">
        <f>IF(I419=0.1,"极紧凑-豹子号",IF(AND(I419&gt;=1,I419&lt;=1.29),"松散-极松散",IF(AND(I419&gt;=1.33,I419&lt;=1.8),"松散-标准松散",IF(AND(I419&gt;=1.83,I419&lt;=1.89),"松散-偏紧松散",IF(AND(I419&gt;=2,I419&lt;=2.5),"标准-偏松标准",IF(AND(I419&gt;=2.57,I419&lt;=3),"标准-核心标准",IF(AND(I419&gt;=3.17,I419&lt;=3.5),"标准-偏紧标准",IF(AND(I419&gt;=3.6,I419&lt;=5),"紧凑-标准紧凑",IF(AND(I419&gt;=5.25,I419&lt;=8),"紧凑-高度紧凑",IF(I419&gt;=8.5,"紧凑-极度紧凑",""))))))))))</f>
        <v/>
      </c>
      <c r="L419" s="2">
        <f>IF(I419=0.1,"极紧凑",IF(AND(I419&gt;=1,I419&lt;=1.89),"松散",IF(AND(I419&gt;=2,I419&lt;=3.5),"标准",IF(I419&gt;=3.6,"紧凑",""))))</f>
        <v/>
      </c>
      <c r="M419" s="2" t="inlineStr">
        <is>
          <t>极紧凑-豹子号</t>
        </is>
      </c>
      <c r="N419" s="2" t="inlineStr">
        <is>
          <t>松散-极松散</t>
        </is>
      </c>
      <c r="O419" s="2" t="inlineStr">
        <is>
          <t>松散-标准松散</t>
        </is>
      </c>
      <c r="P419" s="2" t="inlineStr">
        <is>
          <t>松散-偏紧松散</t>
        </is>
      </c>
      <c r="Q419" s="2" t="inlineStr">
        <is>
          <t>标准-偏松标准</t>
        </is>
      </c>
      <c r="R419" s="2" t="inlineStr">
        <is>
          <t>标准-核心标准</t>
        </is>
      </c>
      <c r="S419" s="2" t="inlineStr">
        <is>
          <t>标准-偏紧标准</t>
        </is>
      </c>
      <c r="T419" s="2" t="inlineStr">
        <is>
          <t>紧凑-标准紧凑</t>
        </is>
      </c>
      <c r="U419" s="2" t="inlineStr">
        <is>
          <t>紧凑-高度紧凑</t>
        </is>
      </c>
      <c r="V419" s="2" t="inlineStr">
        <is>
          <t>紧凑-极度紧凑</t>
        </is>
      </c>
    </row>
    <row r="420">
      <c r="A420" s="1" t="n">
        <v>2023338</v>
      </c>
      <c r="B420" s="3" t="inlineStr">
        <is>
          <t>380</t>
        </is>
      </c>
      <c r="C420" s="2">
        <f>IF(B420="","",LEFT(TEXT(B420,"000"),1)*1)</f>
        <v/>
      </c>
      <c r="D420" s="2">
        <f>IF(B420="","",MID(TEXT(B420,"000"),2,1)*1)</f>
        <v/>
      </c>
      <c r="E420" s="2">
        <f>IF(B420="","",RIGHT(TEXT(B420,"000"),1)*1)</f>
        <v/>
      </c>
      <c r="F420" s="2">
        <f>IF(B420="","",C420+D420+E420)</f>
        <v/>
      </c>
      <c r="G420" s="2">
        <f>IF(B420="","",MOD(F420,10))</f>
        <v/>
      </c>
      <c r="H420" s="2">
        <f>IF(B420="","",MAX(C420,D420,E420)-MIN(C420,D420,E420))</f>
        <v/>
      </c>
      <c r="I420" s="2">
        <f>IF(OR(B420="",H420=0),IF(H420=0,0.1,""),ROUND(F420/H420,2))</f>
        <v/>
      </c>
      <c r="J420" s="2">
        <f>IF(I420=0.1,"极紧凑",IF(I420&gt;3.5,"紧凑",IF(AND(I420&gt;=2,I420&lt;=3.5),"标准",IF(AND(I420&gt;=1,I420&lt;2),"松散",""))))</f>
        <v/>
      </c>
      <c r="K420" s="2">
        <f>IF(I420=0.1,"极紧凑-豹子号",IF(AND(I420&gt;=1,I420&lt;=1.29),"松散-极松散",IF(AND(I420&gt;=1.33,I420&lt;=1.8),"松散-标准松散",IF(AND(I420&gt;=1.83,I420&lt;=1.89),"松散-偏紧松散",IF(AND(I420&gt;=2,I420&lt;=2.5),"标准-偏松标准",IF(AND(I420&gt;=2.57,I420&lt;=3),"标准-核心标准",IF(AND(I420&gt;=3.17,I420&lt;=3.5),"标准-偏紧标准",IF(AND(I420&gt;=3.6,I420&lt;=5),"紧凑-标准紧凑",IF(AND(I420&gt;=5.25,I420&lt;=8),"紧凑-高度紧凑",IF(I420&gt;=8.5,"紧凑-极度紧凑",""))))))))))</f>
        <v/>
      </c>
      <c r="L420" s="2">
        <f>IF(I420=0.1,"极紧凑",IF(AND(I420&gt;=1,I420&lt;=1.89),"松散",IF(AND(I420&gt;=2,I420&lt;=3.5),"标准",IF(I420&gt;=3.6,"紧凑",""))))</f>
        <v/>
      </c>
      <c r="M420" s="2" t="inlineStr">
        <is>
          <t>极紧凑-豹子号</t>
        </is>
      </c>
      <c r="N420" s="2" t="inlineStr">
        <is>
          <t>松散-极松散</t>
        </is>
      </c>
      <c r="O420" s="2" t="inlineStr">
        <is>
          <t>松散-标准松散</t>
        </is>
      </c>
      <c r="P420" s="2" t="inlineStr">
        <is>
          <t>松散-偏紧松散</t>
        </is>
      </c>
      <c r="Q420" s="2" t="inlineStr">
        <is>
          <t>标准-偏松标准</t>
        </is>
      </c>
      <c r="R420" s="2" t="inlineStr">
        <is>
          <t>标准-核心标准</t>
        </is>
      </c>
      <c r="S420" s="2" t="inlineStr">
        <is>
          <t>标准-偏紧标准</t>
        </is>
      </c>
      <c r="T420" s="2" t="inlineStr">
        <is>
          <t>紧凑-标准紧凑</t>
        </is>
      </c>
      <c r="U420" s="2" t="inlineStr">
        <is>
          <t>紧凑-高度紧凑</t>
        </is>
      </c>
      <c r="V420" s="2" t="inlineStr">
        <is>
          <t>紧凑-极度紧凑</t>
        </is>
      </c>
    </row>
    <row r="421">
      <c r="A421" s="1" t="n">
        <v>2023339</v>
      </c>
      <c r="B421" s="3" t="inlineStr">
        <is>
          <t>482</t>
        </is>
      </c>
      <c r="C421" s="2">
        <f>IF(B421="","",LEFT(TEXT(B421,"000"),1)*1)</f>
        <v/>
      </c>
      <c r="D421" s="2">
        <f>IF(B421="","",MID(TEXT(B421,"000"),2,1)*1)</f>
        <v/>
      </c>
      <c r="E421" s="2">
        <f>IF(B421="","",RIGHT(TEXT(B421,"000"),1)*1)</f>
        <v/>
      </c>
      <c r="F421" s="2">
        <f>IF(B421="","",C421+D421+E421)</f>
        <v/>
      </c>
      <c r="G421" s="2">
        <f>IF(B421="","",MOD(F421,10))</f>
        <v/>
      </c>
      <c r="H421" s="2">
        <f>IF(B421="","",MAX(C421,D421,E421)-MIN(C421,D421,E421))</f>
        <v/>
      </c>
      <c r="I421" s="2">
        <f>IF(OR(B421="",H421=0),IF(H421=0,0.1,""),ROUND(F421/H421,2))</f>
        <v/>
      </c>
      <c r="J421" s="2">
        <f>IF(I421=0.1,"极紧凑",IF(I421&gt;3.5,"紧凑",IF(AND(I421&gt;=2,I421&lt;=3.5),"标准",IF(AND(I421&gt;=1,I421&lt;2),"松散",""))))</f>
        <v/>
      </c>
      <c r="K421" s="2">
        <f>IF(I421=0.1,"极紧凑-豹子号",IF(AND(I421&gt;=1,I421&lt;=1.29),"松散-极松散",IF(AND(I421&gt;=1.33,I421&lt;=1.8),"松散-标准松散",IF(AND(I421&gt;=1.83,I421&lt;=1.89),"松散-偏紧松散",IF(AND(I421&gt;=2,I421&lt;=2.5),"标准-偏松标准",IF(AND(I421&gt;=2.57,I421&lt;=3),"标准-核心标准",IF(AND(I421&gt;=3.17,I421&lt;=3.5),"标准-偏紧标准",IF(AND(I421&gt;=3.6,I421&lt;=5),"紧凑-标准紧凑",IF(AND(I421&gt;=5.25,I421&lt;=8),"紧凑-高度紧凑",IF(I421&gt;=8.5,"紧凑-极度紧凑",""))))))))))</f>
        <v/>
      </c>
      <c r="L421" s="2">
        <f>IF(I421=0.1,"极紧凑",IF(AND(I421&gt;=1,I421&lt;=1.89),"松散",IF(AND(I421&gt;=2,I421&lt;=3.5),"标准",IF(I421&gt;=3.6,"紧凑",""))))</f>
        <v/>
      </c>
      <c r="M421" s="2" t="inlineStr">
        <is>
          <t>极紧凑-豹子号</t>
        </is>
      </c>
      <c r="N421" s="2" t="inlineStr">
        <is>
          <t>松散-极松散</t>
        </is>
      </c>
      <c r="O421" s="2" t="inlineStr">
        <is>
          <t>松散-标准松散</t>
        </is>
      </c>
      <c r="P421" s="2" t="inlineStr">
        <is>
          <t>松散-偏紧松散</t>
        </is>
      </c>
      <c r="Q421" s="2" t="inlineStr">
        <is>
          <t>标准-偏松标准</t>
        </is>
      </c>
      <c r="R421" s="2" t="inlineStr">
        <is>
          <t>标准-核心标准</t>
        </is>
      </c>
      <c r="S421" s="2" t="inlineStr">
        <is>
          <t>标准-偏紧标准</t>
        </is>
      </c>
      <c r="T421" s="2" t="inlineStr">
        <is>
          <t>紧凑-标准紧凑</t>
        </is>
      </c>
      <c r="U421" s="2" t="inlineStr">
        <is>
          <t>紧凑-高度紧凑</t>
        </is>
      </c>
      <c r="V421" s="2" t="inlineStr">
        <is>
          <t>紧凑-极度紧凑</t>
        </is>
      </c>
    </row>
    <row r="422">
      <c r="A422" s="1" t="n">
        <v>2023340</v>
      </c>
      <c r="B422" s="3" t="inlineStr">
        <is>
          <t>089</t>
        </is>
      </c>
      <c r="C422" s="2">
        <f>IF(B422="","",LEFT(TEXT(B422,"000"),1)*1)</f>
        <v/>
      </c>
      <c r="D422" s="2">
        <f>IF(B422="","",MID(TEXT(B422,"000"),2,1)*1)</f>
        <v/>
      </c>
      <c r="E422" s="2">
        <f>IF(B422="","",RIGHT(TEXT(B422,"000"),1)*1)</f>
        <v/>
      </c>
      <c r="F422" s="2">
        <f>IF(B422="","",C422+D422+E422)</f>
        <v/>
      </c>
      <c r="G422" s="2">
        <f>IF(B422="","",MOD(F422,10))</f>
        <v/>
      </c>
      <c r="H422" s="2">
        <f>IF(B422="","",MAX(C422,D422,E422)-MIN(C422,D422,E422))</f>
        <v/>
      </c>
      <c r="I422" s="2">
        <f>IF(OR(B422="",H422=0),IF(H422=0,0.1,""),ROUND(F422/H422,2))</f>
        <v/>
      </c>
      <c r="J422" s="2">
        <f>IF(I422=0.1,"极紧凑",IF(I422&gt;3.5,"紧凑",IF(AND(I422&gt;=2,I422&lt;=3.5),"标准",IF(AND(I422&gt;=1,I422&lt;2),"松散",""))))</f>
        <v/>
      </c>
      <c r="K422" s="2">
        <f>IF(I422=0.1,"极紧凑-豹子号",IF(AND(I422&gt;=1,I422&lt;=1.29),"松散-极松散",IF(AND(I422&gt;=1.33,I422&lt;=1.8),"松散-标准松散",IF(AND(I422&gt;=1.83,I422&lt;=1.89),"松散-偏紧松散",IF(AND(I422&gt;=2,I422&lt;=2.5),"标准-偏松标准",IF(AND(I422&gt;=2.57,I422&lt;=3),"标准-核心标准",IF(AND(I422&gt;=3.17,I422&lt;=3.5),"标准-偏紧标准",IF(AND(I422&gt;=3.6,I422&lt;=5),"紧凑-标准紧凑",IF(AND(I422&gt;=5.25,I422&lt;=8),"紧凑-高度紧凑",IF(I422&gt;=8.5,"紧凑-极度紧凑",""))))))))))</f>
        <v/>
      </c>
      <c r="L422" s="2">
        <f>IF(I422=0.1,"极紧凑",IF(AND(I422&gt;=1,I422&lt;=1.89),"松散",IF(AND(I422&gt;=2,I422&lt;=3.5),"标准",IF(I422&gt;=3.6,"紧凑",""))))</f>
        <v/>
      </c>
      <c r="M422" s="2" t="inlineStr">
        <is>
          <t>极紧凑-豹子号</t>
        </is>
      </c>
      <c r="N422" s="2" t="inlineStr">
        <is>
          <t>松散-极松散</t>
        </is>
      </c>
      <c r="O422" s="2" t="inlineStr">
        <is>
          <t>松散-标准松散</t>
        </is>
      </c>
      <c r="P422" s="2" t="inlineStr">
        <is>
          <t>松散-偏紧松散</t>
        </is>
      </c>
      <c r="Q422" s="2" t="inlineStr">
        <is>
          <t>标准-偏松标准</t>
        </is>
      </c>
      <c r="R422" s="2" t="inlineStr">
        <is>
          <t>标准-核心标准</t>
        </is>
      </c>
      <c r="S422" s="2" t="inlineStr">
        <is>
          <t>标准-偏紧标准</t>
        </is>
      </c>
      <c r="T422" s="2" t="inlineStr">
        <is>
          <t>紧凑-标准紧凑</t>
        </is>
      </c>
      <c r="U422" s="2" t="inlineStr">
        <is>
          <t>紧凑-高度紧凑</t>
        </is>
      </c>
      <c r="V422" s="2" t="inlineStr">
        <is>
          <t>紧凑-极度紧凑</t>
        </is>
      </c>
    </row>
    <row r="423">
      <c r="A423" s="1" t="n">
        <v>2023341</v>
      </c>
      <c r="B423" s="3" t="inlineStr">
        <is>
          <t>341</t>
        </is>
      </c>
      <c r="C423" s="2">
        <f>IF(B423="","",LEFT(TEXT(B423,"000"),1)*1)</f>
        <v/>
      </c>
      <c r="D423" s="2">
        <f>IF(B423="","",MID(TEXT(B423,"000"),2,1)*1)</f>
        <v/>
      </c>
      <c r="E423" s="2">
        <f>IF(B423="","",RIGHT(TEXT(B423,"000"),1)*1)</f>
        <v/>
      </c>
      <c r="F423" s="2">
        <f>IF(B423="","",C423+D423+E423)</f>
        <v/>
      </c>
      <c r="G423" s="2">
        <f>IF(B423="","",MOD(F423,10))</f>
        <v/>
      </c>
      <c r="H423" s="2">
        <f>IF(B423="","",MAX(C423,D423,E423)-MIN(C423,D423,E423))</f>
        <v/>
      </c>
      <c r="I423" s="2">
        <f>IF(OR(B423="",H423=0),IF(H423=0,0.1,""),ROUND(F423/H423,2))</f>
        <v/>
      </c>
      <c r="J423" s="2">
        <f>IF(I423=0.1,"极紧凑",IF(I423&gt;3.5,"紧凑",IF(AND(I423&gt;=2,I423&lt;=3.5),"标准",IF(AND(I423&gt;=1,I423&lt;2),"松散",""))))</f>
        <v/>
      </c>
      <c r="K423" s="2">
        <f>IF(I423=0.1,"极紧凑-豹子号",IF(AND(I423&gt;=1,I423&lt;=1.29),"松散-极松散",IF(AND(I423&gt;=1.33,I423&lt;=1.8),"松散-标准松散",IF(AND(I423&gt;=1.83,I423&lt;=1.89),"松散-偏紧松散",IF(AND(I423&gt;=2,I423&lt;=2.5),"标准-偏松标准",IF(AND(I423&gt;=2.57,I423&lt;=3),"标准-核心标准",IF(AND(I423&gt;=3.17,I423&lt;=3.5),"标准-偏紧标准",IF(AND(I423&gt;=3.6,I423&lt;=5),"紧凑-标准紧凑",IF(AND(I423&gt;=5.25,I423&lt;=8),"紧凑-高度紧凑",IF(I423&gt;=8.5,"紧凑-极度紧凑",""))))))))))</f>
        <v/>
      </c>
      <c r="L423" s="2">
        <f>IF(I423=0.1,"极紧凑",IF(AND(I423&gt;=1,I423&lt;=1.89),"松散",IF(AND(I423&gt;=2,I423&lt;=3.5),"标准",IF(I423&gt;=3.6,"紧凑",""))))</f>
        <v/>
      </c>
      <c r="M423" s="2" t="inlineStr">
        <is>
          <t>极紧凑-豹子号</t>
        </is>
      </c>
      <c r="N423" s="2" t="inlineStr">
        <is>
          <t>松散-极松散</t>
        </is>
      </c>
      <c r="O423" s="2" t="inlineStr">
        <is>
          <t>松散-标准松散</t>
        </is>
      </c>
      <c r="P423" s="2" t="inlineStr">
        <is>
          <t>松散-偏紧松散</t>
        </is>
      </c>
      <c r="Q423" s="2" t="inlineStr">
        <is>
          <t>标准-偏松标准</t>
        </is>
      </c>
      <c r="R423" s="2" t="inlineStr">
        <is>
          <t>标准-核心标准</t>
        </is>
      </c>
      <c r="S423" s="2" t="inlineStr">
        <is>
          <t>标准-偏紧标准</t>
        </is>
      </c>
      <c r="T423" s="2" t="inlineStr">
        <is>
          <t>紧凑-标准紧凑</t>
        </is>
      </c>
      <c r="U423" s="2" t="inlineStr">
        <is>
          <t>紧凑-高度紧凑</t>
        </is>
      </c>
      <c r="V423" s="2" t="inlineStr">
        <is>
          <t>紧凑-极度紧凑</t>
        </is>
      </c>
    </row>
    <row r="424">
      <c r="A424" s="1" t="n">
        <v>2023342</v>
      </c>
      <c r="B424" s="3" t="inlineStr">
        <is>
          <t>978</t>
        </is>
      </c>
      <c r="C424" s="2">
        <f>IF(B424="","",LEFT(TEXT(B424,"000"),1)*1)</f>
        <v/>
      </c>
      <c r="D424" s="2">
        <f>IF(B424="","",MID(TEXT(B424,"000"),2,1)*1)</f>
        <v/>
      </c>
      <c r="E424" s="2">
        <f>IF(B424="","",RIGHT(TEXT(B424,"000"),1)*1)</f>
        <v/>
      </c>
      <c r="F424" s="2">
        <f>IF(B424="","",C424+D424+E424)</f>
        <v/>
      </c>
      <c r="G424" s="2">
        <f>IF(B424="","",MOD(F424,10))</f>
        <v/>
      </c>
      <c r="H424" s="2">
        <f>IF(B424="","",MAX(C424,D424,E424)-MIN(C424,D424,E424))</f>
        <v/>
      </c>
      <c r="I424" s="2">
        <f>IF(OR(B424="",H424=0),IF(H424=0,0.1,""),ROUND(F424/H424,2))</f>
        <v/>
      </c>
      <c r="J424" s="2">
        <f>IF(I424=0.1,"极紧凑",IF(I424&gt;3.5,"紧凑",IF(AND(I424&gt;=2,I424&lt;=3.5),"标准",IF(AND(I424&gt;=1,I424&lt;2),"松散",""))))</f>
        <v/>
      </c>
      <c r="K424" s="2">
        <f>IF(I424=0.1,"极紧凑-豹子号",IF(AND(I424&gt;=1,I424&lt;=1.29),"松散-极松散",IF(AND(I424&gt;=1.33,I424&lt;=1.8),"松散-标准松散",IF(AND(I424&gt;=1.83,I424&lt;=1.89),"松散-偏紧松散",IF(AND(I424&gt;=2,I424&lt;=2.5),"标准-偏松标准",IF(AND(I424&gt;=2.57,I424&lt;=3),"标准-核心标准",IF(AND(I424&gt;=3.17,I424&lt;=3.5),"标准-偏紧标准",IF(AND(I424&gt;=3.6,I424&lt;=5),"紧凑-标准紧凑",IF(AND(I424&gt;=5.25,I424&lt;=8),"紧凑-高度紧凑",IF(I424&gt;=8.5,"紧凑-极度紧凑",""))))))))))</f>
        <v/>
      </c>
      <c r="L424" s="2">
        <f>IF(I424=0.1,"极紧凑",IF(AND(I424&gt;=1,I424&lt;=1.89),"松散",IF(AND(I424&gt;=2,I424&lt;=3.5),"标准",IF(I424&gt;=3.6,"紧凑",""))))</f>
        <v/>
      </c>
      <c r="M424" s="2" t="inlineStr">
        <is>
          <t>极紧凑-豹子号</t>
        </is>
      </c>
      <c r="N424" s="2" t="inlineStr">
        <is>
          <t>松散-极松散</t>
        </is>
      </c>
      <c r="O424" s="2" t="inlineStr">
        <is>
          <t>松散-标准松散</t>
        </is>
      </c>
      <c r="P424" s="2" t="inlineStr">
        <is>
          <t>松散-偏紧松散</t>
        </is>
      </c>
      <c r="Q424" s="2" t="inlineStr">
        <is>
          <t>标准-偏松标准</t>
        </is>
      </c>
      <c r="R424" s="2" t="inlineStr">
        <is>
          <t>标准-核心标准</t>
        </is>
      </c>
      <c r="S424" s="2" t="inlineStr">
        <is>
          <t>标准-偏紧标准</t>
        </is>
      </c>
      <c r="T424" s="2" t="inlineStr">
        <is>
          <t>紧凑-标准紧凑</t>
        </is>
      </c>
      <c r="U424" s="2" t="inlineStr">
        <is>
          <t>紧凑-高度紧凑</t>
        </is>
      </c>
      <c r="V424" s="2" t="inlineStr">
        <is>
          <t>紧凑-极度紧凑</t>
        </is>
      </c>
    </row>
    <row r="425">
      <c r="A425" s="1" t="n">
        <v>2023343</v>
      </c>
      <c r="B425" s="3" t="inlineStr">
        <is>
          <t>730</t>
        </is>
      </c>
      <c r="C425" s="2">
        <f>IF(B425="","",LEFT(TEXT(B425,"000"),1)*1)</f>
        <v/>
      </c>
      <c r="D425" s="2">
        <f>IF(B425="","",MID(TEXT(B425,"000"),2,1)*1)</f>
        <v/>
      </c>
      <c r="E425" s="2">
        <f>IF(B425="","",RIGHT(TEXT(B425,"000"),1)*1)</f>
        <v/>
      </c>
      <c r="F425" s="2">
        <f>IF(B425="","",C425+D425+E425)</f>
        <v/>
      </c>
      <c r="G425" s="2">
        <f>IF(B425="","",MOD(F425,10))</f>
        <v/>
      </c>
      <c r="H425" s="2">
        <f>IF(B425="","",MAX(C425,D425,E425)-MIN(C425,D425,E425))</f>
        <v/>
      </c>
      <c r="I425" s="2">
        <f>IF(OR(B425="",H425=0),IF(H425=0,0.1,""),ROUND(F425/H425,2))</f>
        <v/>
      </c>
      <c r="J425" s="2">
        <f>IF(I425=0.1,"极紧凑",IF(I425&gt;3.5,"紧凑",IF(AND(I425&gt;=2,I425&lt;=3.5),"标准",IF(AND(I425&gt;=1,I425&lt;2),"松散",""))))</f>
        <v/>
      </c>
      <c r="K425" s="2">
        <f>IF(I425=0.1,"极紧凑-豹子号",IF(AND(I425&gt;=1,I425&lt;=1.29),"松散-极松散",IF(AND(I425&gt;=1.33,I425&lt;=1.8),"松散-标准松散",IF(AND(I425&gt;=1.83,I425&lt;=1.89),"松散-偏紧松散",IF(AND(I425&gt;=2,I425&lt;=2.5),"标准-偏松标准",IF(AND(I425&gt;=2.57,I425&lt;=3),"标准-核心标准",IF(AND(I425&gt;=3.17,I425&lt;=3.5),"标准-偏紧标准",IF(AND(I425&gt;=3.6,I425&lt;=5),"紧凑-标准紧凑",IF(AND(I425&gt;=5.25,I425&lt;=8),"紧凑-高度紧凑",IF(I425&gt;=8.5,"紧凑-极度紧凑",""))))))))))</f>
        <v/>
      </c>
      <c r="L425" s="2">
        <f>IF(I425=0.1,"极紧凑",IF(AND(I425&gt;=1,I425&lt;=1.89),"松散",IF(AND(I425&gt;=2,I425&lt;=3.5),"标准",IF(I425&gt;=3.6,"紧凑",""))))</f>
        <v/>
      </c>
      <c r="M425" s="2" t="inlineStr">
        <is>
          <t>极紧凑-豹子号</t>
        </is>
      </c>
      <c r="N425" s="2" t="inlineStr">
        <is>
          <t>松散-极松散</t>
        </is>
      </c>
      <c r="O425" s="2" t="inlineStr">
        <is>
          <t>松散-标准松散</t>
        </is>
      </c>
      <c r="P425" s="2" t="inlineStr">
        <is>
          <t>松散-偏紧松散</t>
        </is>
      </c>
      <c r="Q425" s="2" t="inlineStr">
        <is>
          <t>标准-偏松标准</t>
        </is>
      </c>
      <c r="R425" s="2" t="inlineStr">
        <is>
          <t>标准-核心标准</t>
        </is>
      </c>
      <c r="S425" s="2" t="inlineStr">
        <is>
          <t>标准-偏紧标准</t>
        </is>
      </c>
      <c r="T425" s="2" t="inlineStr">
        <is>
          <t>紧凑-标准紧凑</t>
        </is>
      </c>
      <c r="U425" s="2" t="inlineStr">
        <is>
          <t>紧凑-高度紧凑</t>
        </is>
      </c>
      <c r="V425" s="2" t="inlineStr">
        <is>
          <t>紧凑-极度紧凑</t>
        </is>
      </c>
    </row>
    <row r="426">
      <c r="A426" s="1" t="n">
        <v>2023344</v>
      </c>
      <c r="B426" s="3" t="inlineStr">
        <is>
          <t>801</t>
        </is>
      </c>
      <c r="C426" s="2">
        <f>IF(B426="","",LEFT(TEXT(B426,"000"),1)*1)</f>
        <v/>
      </c>
      <c r="D426" s="2">
        <f>IF(B426="","",MID(TEXT(B426,"000"),2,1)*1)</f>
        <v/>
      </c>
      <c r="E426" s="2">
        <f>IF(B426="","",RIGHT(TEXT(B426,"000"),1)*1)</f>
        <v/>
      </c>
      <c r="F426" s="2">
        <f>IF(B426="","",C426+D426+E426)</f>
        <v/>
      </c>
      <c r="G426" s="2">
        <f>IF(B426="","",MOD(F426,10))</f>
        <v/>
      </c>
      <c r="H426" s="2">
        <f>IF(B426="","",MAX(C426,D426,E426)-MIN(C426,D426,E426))</f>
        <v/>
      </c>
      <c r="I426" s="2">
        <f>IF(OR(B426="",H426=0),IF(H426=0,0.1,""),ROUND(F426/H426,2))</f>
        <v/>
      </c>
      <c r="J426" s="2">
        <f>IF(I426=0.1,"极紧凑",IF(I426&gt;3.5,"紧凑",IF(AND(I426&gt;=2,I426&lt;=3.5),"标准",IF(AND(I426&gt;=1,I426&lt;2),"松散",""))))</f>
        <v/>
      </c>
      <c r="K426" s="2">
        <f>IF(I426=0.1,"极紧凑-豹子号",IF(AND(I426&gt;=1,I426&lt;=1.29),"松散-极松散",IF(AND(I426&gt;=1.33,I426&lt;=1.8),"松散-标准松散",IF(AND(I426&gt;=1.83,I426&lt;=1.89),"松散-偏紧松散",IF(AND(I426&gt;=2,I426&lt;=2.5),"标准-偏松标准",IF(AND(I426&gt;=2.57,I426&lt;=3),"标准-核心标准",IF(AND(I426&gt;=3.17,I426&lt;=3.5),"标准-偏紧标准",IF(AND(I426&gt;=3.6,I426&lt;=5),"紧凑-标准紧凑",IF(AND(I426&gt;=5.25,I426&lt;=8),"紧凑-高度紧凑",IF(I426&gt;=8.5,"紧凑-极度紧凑",""))))))))))</f>
        <v/>
      </c>
      <c r="L426" s="2">
        <f>IF(I426=0.1,"极紧凑",IF(AND(I426&gt;=1,I426&lt;=1.89),"松散",IF(AND(I426&gt;=2,I426&lt;=3.5),"标准",IF(I426&gt;=3.6,"紧凑",""))))</f>
        <v/>
      </c>
      <c r="M426" s="2" t="inlineStr">
        <is>
          <t>极紧凑-豹子号</t>
        </is>
      </c>
      <c r="N426" s="2" t="inlineStr">
        <is>
          <t>松散-极松散</t>
        </is>
      </c>
      <c r="O426" s="2" t="inlineStr">
        <is>
          <t>松散-标准松散</t>
        </is>
      </c>
      <c r="P426" s="2" t="inlineStr">
        <is>
          <t>松散-偏紧松散</t>
        </is>
      </c>
      <c r="Q426" s="2" t="inlineStr">
        <is>
          <t>标准-偏松标准</t>
        </is>
      </c>
      <c r="R426" s="2" t="inlineStr">
        <is>
          <t>标准-核心标准</t>
        </is>
      </c>
      <c r="S426" s="2" t="inlineStr">
        <is>
          <t>标准-偏紧标准</t>
        </is>
      </c>
      <c r="T426" s="2" t="inlineStr">
        <is>
          <t>紧凑-标准紧凑</t>
        </is>
      </c>
      <c r="U426" s="2" t="inlineStr">
        <is>
          <t>紧凑-高度紧凑</t>
        </is>
      </c>
      <c r="V426" s="2" t="inlineStr">
        <is>
          <t>紧凑-极度紧凑</t>
        </is>
      </c>
    </row>
    <row r="427">
      <c r="A427" s="1" t="n">
        <v>2023345</v>
      </c>
      <c r="B427" s="3" t="inlineStr">
        <is>
          <t>678</t>
        </is>
      </c>
      <c r="C427" s="2">
        <f>IF(B427="","",LEFT(TEXT(B427,"000"),1)*1)</f>
        <v/>
      </c>
      <c r="D427" s="2">
        <f>IF(B427="","",MID(TEXT(B427,"000"),2,1)*1)</f>
        <v/>
      </c>
      <c r="E427" s="2">
        <f>IF(B427="","",RIGHT(TEXT(B427,"000"),1)*1)</f>
        <v/>
      </c>
      <c r="F427" s="2">
        <f>IF(B427="","",C427+D427+E427)</f>
        <v/>
      </c>
      <c r="G427" s="2">
        <f>IF(B427="","",MOD(F427,10))</f>
        <v/>
      </c>
      <c r="H427" s="2">
        <f>IF(B427="","",MAX(C427,D427,E427)-MIN(C427,D427,E427))</f>
        <v/>
      </c>
      <c r="I427" s="2">
        <f>IF(OR(B427="",H427=0),IF(H427=0,0.1,""),ROUND(F427/H427,2))</f>
        <v/>
      </c>
      <c r="J427" s="2">
        <f>IF(I427=0.1,"极紧凑",IF(I427&gt;3.5,"紧凑",IF(AND(I427&gt;=2,I427&lt;=3.5),"标准",IF(AND(I427&gt;=1,I427&lt;2),"松散",""))))</f>
        <v/>
      </c>
      <c r="K427" s="2">
        <f>IF(I427=0.1,"极紧凑-豹子号",IF(AND(I427&gt;=1,I427&lt;=1.29),"松散-极松散",IF(AND(I427&gt;=1.33,I427&lt;=1.8),"松散-标准松散",IF(AND(I427&gt;=1.83,I427&lt;=1.89),"松散-偏紧松散",IF(AND(I427&gt;=2,I427&lt;=2.5),"标准-偏松标准",IF(AND(I427&gt;=2.57,I427&lt;=3),"标准-核心标准",IF(AND(I427&gt;=3.17,I427&lt;=3.5),"标准-偏紧标准",IF(AND(I427&gt;=3.6,I427&lt;=5),"紧凑-标准紧凑",IF(AND(I427&gt;=5.25,I427&lt;=8),"紧凑-高度紧凑",IF(I427&gt;=8.5,"紧凑-极度紧凑",""))))))))))</f>
        <v/>
      </c>
      <c r="L427" s="2">
        <f>IF(I427=0.1,"极紧凑",IF(AND(I427&gt;=1,I427&lt;=1.89),"松散",IF(AND(I427&gt;=2,I427&lt;=3.5),"标准",IF(I427&gt;=3.6,"紧凑",""))))</f>
        <v/>
      </c>
      <c r="M427" s="2" t="inlineStr">
        <is>
          <t>极紧凑-豹子号</t>
        </is>
      </c>
      <c r="N427" s="2" t="inlineStr">
        <is>
          <t>松散-极松散</t>
        </is>
      </c>
      <c r="O427" s="2" t="inlineStr">
        <is>
          <t>松散-标准松散</t>
        </is>
      </c>
      <c r="P427" s="2" t="inlineStr">
        <is>
          <t>松散-偏紧松散</t>
        </is>
      </c>
      <c r="Q427" s="2" t="inlineStr">
        <is>
          <t>标准-偏松标准</t>
        </is>
      </c>
      <c r="R427" s="2" t="inlineStr">
        <is>
          <t>标准-核心标准</t>
        </is>
      </c>
      <c r="S427" s="2" t="inlineStr">
        <is>
          <t>标准-偏紧标准</t>
        </is>
      </c>
      <c r="T427" s="2" t="inlineStr">
        <is>
          <t>紧凑-标准紧凑</t>
        </is>
      </c>
      <c r="U427" s="2" t="inlineStr">
        <is>
          <t>紧凑-高度紧凑</t>
        </is>
      </c>
      <c r="V427" s="2" t="inlineStr">
        <is>
          <t>紧凑-极度紧凑</t>
        </is>
      </c>
    </row>
    <row r="428">
      <c r="A428" s="1" t="n">
        <v>2023346</v>
      </c>
      <c r="B428" s="3" t="inlineStr">
        <is>
          <t>258</t>
        </is>
      </c>
      <c r="C428" s="2">
        <f>IF(B428="","",LEFT(TEXT(B428,"000"),1)*1)</f>
        <v/>
      </c>
      <c r="D428" s="2">
        <f>IF(B428="","",MID(TEXT(B428,"000"),2,1)*1)</f>
        <v/>
      </c>
      <c r="E428" s="2">
        <f>IF(B428="","",RIGHT(TEXT(B428,"000"),1)*1)</f>
        <v/>
      </c>
      <c r="F428" s="2">
        <f>IF(B428="","",C428+D428+E428)</f>
        <v/>
      </c>
      <c r="G428" s="2">
        <f>IF(B428="","",MOD(F428,10))</f>
        <v/>
      </c>
      <c r="H428" s="2">
        <f>IF(B428="","",MAX(C428,D428,E428)-MIN(C428,D428,E428))</f>
        <v/>
      </c>
      <c r="I428" s="2">
        <f>IF(OR(B428="",H428=0),IF(H428=0,0.1,""),ROUND(F428/H428,2))</f>
        <v/>
      </c>
      <c r="J428" s="2">
        <f>IF(I428=0.1,"极紧凑",IF(I428&gt;3.5,"紧凑",IF(AND(I428&gt;=2,I428&lt;=3.5),"标准",IF(AND(I428&gt;=1,I428&lt;2),"松散",""))))</f>
        <v/>
      </c>
      <c r="K428" s="2">
        <f>IF(I428=0.1,"极紧凑-豹子号",IF(AND(I428&gt;=1,I428&lt;=1.29),"松散-极松散",IF(AND(I428&gt;=1.33,I428&lt;=1.8),"松散-标准松散",IF(AND(I428&gt;=1.83,I428&lt;=1.89),"松散-偏紧松散",IF(AND(I428&gt;=2,I428&lt;=2.5),"标准-偏松标准",IF(AND(I428&gt;=2.57,I428&lt;=3),"标准-核心标准",IF(AND(I428&gt;=3.17,I428&lt;=3.5),"标准-偏紧标准",IF(AND(I428&gt;=3.6,I428&lt;=5),"紧凑-标准紧凑",IF(AND(I428&gt;=5.25,I428&lt;=8),"紧凑-高度紧凑",IF(I428&gt;=8.5,"紧凑-极度紧凑",""))))))))))</f>
        <v/>
      </c>
      <c r="L428" s="2">
        <f>IF(I428=0.1,"极紧凑",IF(AND(I428&gt;=1,I428&lt;=1.89),"松散",IF(AND(I428&gt;=2,I428&lt;=3.5),"标准",IF(I428&gt;=3.6,"紧凑",""))))</f>
        <v/>
      </c>
      <c r="M428" s="2" t="inlineStr">
        <is>
          <t>极紧凑-豹子号</t>
        </is>
      </c>
      <c r="N428" s="2" t="inlineStr">
        <is>
          <t>松散-极松散</t>
        </is>
      </c>
      <c r="O428" s="2" t="inlineStr">
        <is>
          <t>松散-标准松散</t>
        </is>
      </c>
      <c r="P428" s="2" t="inlineStr">
        <is>
          <t>松散-偏紧松散</t>
        </is>
      </c>
      <c r="Q428" s="2" t="inlineStr">
        <is>
          <t>标准-偏松标准</t>
        </is>
      </c>
      <c r="R428" s="2" t="inlineStr">
        <is>
          <t>标准-核心标准</t>
        </is>
      </c>
      <c r="S428" s="2" t="inlineStr">
        <is>
          <t>标准-偏紧标准</t>
        </is>
      </c>
      <c r="T428" s="2" t="inlineStr">
        <is>
          <t>紧凑-标准紧凑</t>
        </is>
      </c>
      <c r="U428" s="2" t="inlineStr">
        <is>
          <t>紧凑-高度紧凑</t>
        </is>
      </c>
      <c r="V428" s="2" t="inlineStr">
        <is>
          <t>紧凑-极度紧凑</t>
        </is>
      </c>
    </row>
    <row r="429">
      <c r="A429" s="1" t="n">
        <v>2023347</v>
      </c>
      <c r="B429" s="3" t="inlineStr">
        <is>
          <t>742</t>
        </is>
      </c>
      <c r="C429" s="2">
        <f>IF(B429="","",LEFT(TEXT(B429,"000"),1)*1)</f>
        <v/>
      </c>
      <c r="D429" s="2">
        <f>IF(B429="","",MID(TEXT(B429,"000"),2,1)*1)</f>
        <v/>
      </c>
      <c r="E429" s="2">
        <f>IF(B429="","",RIGHT(TEXT(B429,"000"),1)*1)</f>
        <v/>
      </c>
      <c r="F429" s="2">
        <f>IF(B429="","",C429+D429+E429)</f>
        <v/>
      </c>
      <c r="G429" s="2">
        <f>IF(B429="","",MOD(F429,10))</f>
        <v/>
      </c>
      <c r="H429" s="2">
        <f>IF(B429="","",MAX(C429,D429,E429)-MIN(C429,D429,E429))</f>
        <v/>
      </c>
      <c r="I429" s="2">
        <f>IF(OR(B429="",H429=0),IF(H429=0,0.1,""),ROUND(F429/H429,2))</f>
        <v/>
      </c>
      <c r="J429" s="2">
        <f>IF(I429=0.1,"极紧凑",IF(I429&gt;3.5,"紧凑",IF(AND(I429&gt;=2,I429&lt;=3.5),"标准",IF(AND(I429&gt;=1,I429&lt;2),"松散",""))))</f>
        <v/>
      </c>
      <c r="K429" s="2">
        <f>IF(I429=0.1,"极紧凑-豹子号",IF(AND(I429&gt;=1,I429&lt;=1.29),"松散-极松散",IF(AND(I429&gt;=1.33,I429&lt;=1.8),"松散-标准松散",IF(AND(I429&gt;=1.83,I429&lt;=1.89),"松散-偏紧松散",IF(AND(I429&gt;=2,I429&lt;=2.5),"标准-偏松标准",IF(AND(I429&gt;=2.57,I429&lt;=3),"标准-核心标准",IF(AND(I429&gt;=3.17,I429&lt;=3.5),"标准-偏紧标准",IF(AND(I429&gt;=3.6,I429&lt;=5),"紧凑-标准紧凑",IF(AND(I429&gt;=5.25,I429&lt;=8),"紧凑-高度紧凑",IF(I429&gt;=8.5,"紧凑-极度紧凑",""))))))))))</f>
        <v/>
      </c>
      <c r="L429" s="2">
        <f>IF(I429=0.1,"极紧凑",IF(AND(I429&gt;=1,I429&lt;=1.89),"松散",IF(AND(I429&gt;=2,I429&lt;=3.5),"标准",IF(I429&gt;=3.6,"紧凑",""))))</f>
        <v/>
      </c>
      <c r="M429" s="2" t="inlineStr">
        <is>
          <t>极紧凑-豹子号</t>
        </is>
      </c>
      <c r="N429" s="2" t="inlineStr">
        <is>
          <t>松散-极松散</t>
        </is>
      </c>
      <c r="O429" s="2" t="inlineStr">
        <is>
          <t>松散-标准松散</t>
        </is>
      </c>
      <c r="P429" s="2" t="inlineStr">
        <is>
          <t>松散-偏紧松散</t>
        </is>
      </c>
      <c r="Q429" s="2" t="inlineStr">
        <is>
          <t>标准-偏松标准</t>
        </is>
      </c>
      <c r="R429" s="2" t="inlineStr">
        <is>
          <t>标准-核心标准</t>
        </is>
      </c>
      <c r="S429" s="2" t="inlineStr">
        <is>
          <t>标准-偏紧标准</t>
        </is>
      </c>
      <c r="T429" s="2" t="inlineStr">
        <is>
          <t>紧凑-标准紧凑</t>
        </is>
      </c>
      <c r="U429" s="2" t="inlineStr">
        <is>
          <t>紧凑-高度紧凑</t>
        </is>
      </c>
      <c r="V429" s="2" t="inlineStr">
        <is>
          <t>紧凑-极度紧凑</t>
        </is>
      </c>
    </row>
    <row r="430">
      <c r="A430" s="1" t="n">
        <v>2023348</v>
      </c>
      <c r="B430" s="3" t="inlineStr">
        <is>
          <t>597</t>
        </is>
      </c>
      <c r="C430" s="2">
        <f>IF(B430="","",LEFT(TEXT(B430,"000"),1)*1)</f>
        <v/>
      </c>
      <c r="D430" s="2">
        <f>IF(B430="","",MID(TEXT(B430,"000"),2,1)*1)</f>
        <v/>
      </c>
      <c r="E430" s="2">
        <f>IF(B430="","",RIGHT(TEXT(B430,"000"),1)*1)</f>
        <v/>
      </c>
      <c r="F430" s="2">
        <f>IF(B430="","",C430+D430+E430)</f>
        <v/>
      </c>
      <c r="G430" s="2">
        <f>IF(B430="","",MOD(F430,10))</f>
        <v/>
      </c>
      <c r="H430" s="2">
        <f>IF(B430="","",MAX(C430,D430,E430)-MIN(C430,D430,E430))</f>
        <v/>
      </c>
      <c r="I430" s="2">
        <f>IF(OR(B430="",H430=0),IF(H430=0,0.1,""),ROUND(F430/H430,2))</f>
        <v/>
      </c>
      <c r="J430" s="2">
        <f>IF(I430=0.1,"极紧凑",IF(I430&gt;3.5,"紧凑",IF(AND(I430&gt;=2,I430&lt;=3.5),"标准",IF(AND(I430&gt;=1,I430&lt;2),"松散",""))))</f>
        <v/>
      </c>
      <c r="K430" s="2">
        <f>IF(I430=0.1,"极紧凑-豹子号",IF(AND(I430&gt;=1,I430&lt;=1.29),"松散-极松散",IF(AND(I430&gt;=1.33,I430&lt;=1.8),"松散-标准松散",IF(AND(I430&gt;=1.83,I430&lt;=1.89),"松散-偏紧松散",IF(AND(I430&gt;=2,I430&lt;=2.5),"标准-偏松标准",IF(AND(I430&gt;=2.57,I430&lt;=3),"标准-核心标准",IF(AND(I430&gt;=3.17,I430&lt;=3.5),"标准-偏紧标准",IF(AND(I430&gt;=3.6,I430&lt;=5),"紧凑-标准紧凑",IF(AND(I430&gt;=5.25,I430&lt;=8),"紧凑-高度紧凑",IF(I430&gt;=8.5,"紧凑-极度紧凑",""))))))))))</f>
        <v/>
      </c>
      <c r="L430" s="2">
        <f>IF(I430=0.1,"极紧凑",IF(AND(I430&gt;=1,I430&lt;=1.89),"松散",IF(AND(I430&gt;=2,I430&lt;=3.5),"标准",IF(I430&gt;=3.6,"紧凑",""))))</f>
        <v/>
      </c>
      <c r="M430" s="2" t="inlineStr">
        <is>
          <t>极紧凑-豹子号</t>
        </is>
      </c>
      <c r="N430" s="2" t="inlineStr">
        <is>
          <t>松散-极松散</t>
        </is>
      </c>
      <c r="O430" s="2" t="inlineStr">
        <is>
          <t>松散-标准松散</t>
        </is>
      </c>
      <c r="P430" s="2" t="inlineStr">
        <is>
          <t>松散-偏紧松散</t>
        </is>
      </c>
      <c r="Q430" s="2" t="inlineStr">
        <is>
          <t>标准-偏松标准</t>
        </is>
      </c>
      <c r="R430" s="2" t="inlineStr">
        <is>
          <t>标准-核心标准</t>
        </is>
      </c>
      <c r="S430" s="2" t="inlineStr">
        <is>
          <t>标准-偏紧标准</t>
        </is>
      </c>
      <c r="T430" s="2" t="inlineStr">
        <is>
          <t>紧凑-标准紧凑</t>
        </is>
      </c>
      <c r="U430" s="2" t="inlineStr">
        <is>
          <t>紧凑-高度紧凑</t>
        </is>
      </c>
      <c r="V430" s="2" t="inlineStr">
        <is>
          <t>紧凑-极度紧凑</t>
        </is>
      </c>
    </row>
    <row r="431">
      <c r="A431" s="1" t="n">
        <v>2023349</v>
      </c>
      <c r="B431" s="3" t="inlineStr">
        <is>
          <t>923</t>
        </is>
      </c>
      <c r="C431" s="2">
        <f>IF(B431="","",LEFT(TEXT(B431,"000"),1)*1)</f>
        <v/>
      </c>
      <c r="D431" s="2">
        <f>IF(B431="","",MID(TEXT(B431,"000"),2,1)*1)</f>
        <v/>
      </c>
      <c r="E431" s="2">
        <f>IF(B431="","",RIGHT(TEXT(B431,"000"),1)*1)</f>
        <v/>
      </c>
      <c r="F431" s="2">
        <f>IF(B431="","",C431+D431+E431)</f>
        <v/>
      </c>
      <c r="G431" s="2">
        <f>IF(B431="","",MOD(F431,10))</f>
        <v/>
      </c>
      <c r="H431" s="2">
        <f>IF(B431="","",MAX(C431,D431,E431)-MIN(C431,D431,E431))</f>
        <v/>
      </c>
      <c r="I431" s="2">
        <f>IF(OR(B431="",H431=0),IF(H431=0,0.1,""),ROUND(F431/H431,2))</f>
        <v/>
      </c>
      <c r="J431" s="2">
        <f>IF(I431=0.1,"极紧凑",IF(I431&gt;3.5,"紧凑",IF(AND(I431&gt;=2,I431&lt;=3.5),"标准",IF(AND(I431&gt;=1,I431&lt;2),"松散",""))))</f>
        <v/>
      </c>
      <c r="K431" s="2">
        <f>IF(I431=0.1,"极紧凑-豹子号",IF(AND(I431&gt;=1,I431&lt;=1.29),"松散-极松散",IF(AND(I431&gt;=1.33,I431&lt;=1.8),"松散-标准松散",IF(AND(I431&gt;=1.83,I431&lt;=1.89),"松散-偏紧松散",IF(AND(I431&gt;=2,I431&lt;=2.5),"标准-偏松标准",IF(AND(I431&gt;=2.57,I431&lt;=3),"标准-核心标准",IF(AND(I431&gt;=3.17,I431&lt;=3.5),"标准-偏紧标准",IF(AND(I431&gt;=3.6,I431&lt;=5),"紧凑-标准紧凑",IF(AND(I431&gt;=5.25,I431&lt;=8),"紧凑-高度紧凑",IF(I431&gt;=8.5,"紧凑-极度紧凑",""))))))))))</f>
        <v/>
      </c>
      <c r="L431" s="2">
        <f>IF(I431=0.1,"极紧凑",IF(AND(I431&gt;=1,I431&lt;=1.89),"松散",IF(AND(I431&gt;=2,I431&lt;=3.5),"标准",IF(I431&gt;=3.6,"紧凑",""))))</f>
        <v/>
      </c>
      <c r="M431" s="2" t="inlineStr">
        <is>
          <t>极紧凑-豹子号</t>
        </is>
      </c>
      <c r="N431" s="2" t="inlineStr">
        <is>
          <t>松散-极松散</t>
        </is>
      </c>
      <c r="O431" s="2" t="inlineStr">
        <is>
          <t>松散-标准松散</t>
        </is>
      </c>
      <c r="P431" s="2" t="inlineStr">
        <is>
          <t>松散-偏紧松散</t>
        </is>
      </c>
      <c r="Q431" s="2" t="inlineStr">
        <is>
          <t>标准-偏松标准</t>
        </is>
      </c>
      <c r="R431" s="2" t="inlineStr">
        <is>
          <t>标准-核心标准</t>
        </is>
      </c>
      <c r="S431" s="2" t="inlineStr">
        <is>
          <t>标准-偏紧标准</t>
        </is>
      </c>
      <c r="T431" s="2" t="inlineStr">
        <is>
          <t>紧凑-标准紧凑</t>
        </is>
      </c>
      <c r="U431" s="2" t="inlineStr">
        <is>
          <t>紧凑-高度紧凑</t>
        </is>
      </c>
      <c r="V431" s="2" t="inlineStr">
        <is>
          <t>紧凑-极度紧凑</t>
        </is>
      </c>
    </row>
    <row r="432">
      <c r="A432" s="1" t="n">
        <v>2023350</v>
      </c>
      <c r="B432" s="3" t="inlineStr">
        <is>
          <t>197</t>
        </is>
      </c>
      <c r="C432" s="2">
        <f>IF(B432="","",LEFT(TEXT(B432,"000"),1)*1)</f>
        <v/>
      </c>
      <c r="D432" s="2">
        <f>IF(B432="","",MID(TEXT(B432,"000"),2,1)*1)</f>
        <v/>
      </c>
      <c r="E432" s="2">
        <f>IF(B432="","",RIGHT(TEXT(B432,"000"),1)*1)</f>
        <v/>
      </c>
      <c r="F432" s="2">
        <f>IF(B432="","",C432+D432+E432)</f>
        <v/>
      </c>
      <c r="G432" s="2">
        <f>IF(B432="","",MOD(F432,10))</f>
        <v/>
      </c>
      <c r="H432" s="2">
        <f>IF(B432="","",MAX(C432,D432,E432)-MIN(C432,D432,E432))</f>
        <v/>
      </c>
      <c r="I432" s="2">
        <f>IF(OR(B432="",H432=0),IF(H432=0,0.1,""),ROUND(F432/H432,2))</f>
        <v/>
      </c>
      <c r="J432" s="2">
        <f>IF(I432=0.1,"极紧凑",IF(I432&gt;3.5,"紧凑",IF(AND(I432&gt;=2,I432&lt;=3.5),"标准",IF(AND(I432&gt;=1,I432&lt;2),"松散",""))))</f>
        <v/>
      </c>
      <c r="K432" s="2">
        <f>IF(I432=0.1,"极紧凑-豹子号",IF(AND(I432&gt;=1,I432&lt;=1.29),"松散-极松散",IF(AND(I432&gt;=1.33,I432&lt;=1.8),"松散-标准松散",IF(AND(I432&gt;=1.83,I432&lt;=1.89),"松散-偏紧松散",IF(AND(I432&gt;=2,I432&lt;=2.5),"标准-偏松标准",IF(AND(I432&gt;=2.57,I432&lt;=3),"标准-核心标准",IF(AND(I432&gt;=3.17,I432&lt;=3.5),"标准-偏紧标准",IF(AND(I432&gt;=3.6,I432&lt;=5),"紧凑-标准紧凑",IF(AND(I432&gt;=5.25,I432&lt;=8),"紧凑-高度紧凑",IF(I432&gt;=8.5,"紧凑-极度紧凑",""))))))))))</f>
        <v/>
      </c>
      <c r="L432" s="2">
        <f>IF(I432=0.1,"极紧凑",IF(AND(I432&gt;=1,I432&lt;=1.89),"松散",IF(AND(I432&gt;=2,I432&lt;=3.5),"标准",IF(I432&gt;=3.6,"紧凑",""))))</f>
        <v/>
      </c>
      <c r="M432" s="2" t="inlineStr">
        <is>
          <t>极紧凑-豹子号</t>
        </is>
      </c>
      <c r="N432" s="2" t="inlineStr">
        <is>
          <t>松散-极松散</t>
        </is>
      </c>
      <c r="O432" s="2" t="inlineStr">
        <is>
          <t>松散-标准松散</t>
        </is>
      </c>
      <c r="P432" s="2" t="inlineStr">
        <is>
          <t>松散-偏紧松散</t>
        </is>
      </c>
      <c r="Q432" s="2" t="inlineStr">
        <is>
          <t>标准-偏松标准</t>
        </is>
      </c>
      <c r="R432" s="2" t="inlineStr">
        <is>
          <t>标准-核心标准</t>
        </is>
      </c>
      <c r="S432" s="2" t="inlineStr">
        <is>
          <t>标准-偏紧标准</t>
        </is>
      </c>
      <c r="T432" s="2" t="inlineStr">
        <is>
          <t>紧凑-标准紧凑</t>
        </is>
      </c>
      <c r="U432" s="2" t="inlineStr">
        <is>
          <t>紧凑-高度紧凑</t>
        </is>
      </c>
      <c r="V432" s="2" t="inlineStr">
        <is>
          <t>紧凑-极度紧凑</t>
        </is>
      </c>
    </row>
    <row r="433">
      <c r="A433" s="1" t="n">
        <v>2023351</v>
      </c>
      <c r="B433" s="3" t="inlineStr">
        <is>
          <t>571</t>
        </is>
      </c>
      <c r="C433" s="2">
        <f>IF(B433="","",LEFT(TEXT(B433,"000"),1)*1)</f>
        <v/>
      </c>
      <c r="D433" s="2">
        <f>IF(B433="","",MID(TEXT(B433,"000"),2,1)*1)</f>
        <v/>
      </c>
      <c r="E433" s="2">
        <f>IF(B433="","",RIGHT(TEXT(B433,"000"),1)*1)</f>
        <v/>
      </c>
      <c r="F433" s="2">
        <f>IF(B433="","",C433+D433+E433)</f>
        <v/>
      </c>
      <c r="G433" s="2">
        <f>IF(B433="","",MOD(F433,10))</f>
        <v/>
      </c>
      <c r="H433" s="2">
        <f>IF(B433="","",MAX(C433,D433,E433)-MIN(C433,D433,E433))</f>
        <v/>
      </c>
      <c r="I433" s="2">
        <f>IF(OR(B433="",H433=0),IF(H433=0,0.1,""),ROUND(F433/H433,2))</f>
        <v/>
      </c>
      <c r="J433" s="2">
        <f>IF(I433=0.1,"极紧凑",IF(I433&gt;3.5,"紧凑",IF(AND(I433&gt;=2,I433&lt;=3.5),"标准",IF(AND(I433&gt;=1,I433&lt;2),"松散",""))))</f>
        <v/>
      </c>
      <c r="K433" s="2">
        <f>IF(I433=0.1,"极紧凑-豹子号",IF(AND(I433&gt;=1,I433&lt;=1.29),"松散-极松散",IF(AND(I433&gt;=1.33,I433&lt;=1.8),"松散-标准松散",IF(AND(I433&gt;=1.83,I433&lt;=1.89),"松散-偏紧松散",IF(AND(I433&gt;=2,I433&lt;=2.5),"标准-偏松标准",IF(AND(I433&gt;=2.57,I433&lt;=3),"标准-核心标准",IF(AND(I433&gt;=3.17,I433&lt;=3.5),"标准-偏紧标准",IF(AND(I433&gt;=3.6,I433&lt;=5),"紧凑-标准紧凑",IF(AND(I433&gt;=5.25,I433&lt;=8),"紧凑-高度紧凑",IF(I433&gt;=8.5,"紧凑-极度紧凑",""))))))))))</f>
        <v/>
      </c>
      <c r="L433" s="2">
        <f>IF(I433=0.1,"极紧凑",IF(AND(I433&gt;=1,I433&lt;=1.89),"松散",IF(AND(I433&gt;=2,I433&lt;=3.5),"标准",IF(I433&gt;=3.6,"紧凑",""))))</f>
        <v/>
      </c>
      <c r="M433" s="2" t="inlineStr">
        <is>
          <t>极紧凑-豹子号</t>
        </is>
      </c>
      <c r="N433" s="2" t="inlineStr">
        <is>
          <t>松散-极松散</t>
        </is>
      </c>
      <c r="O433" s="2" t="inlineStr">
        <is>
          <t>松散-标准松散</t>
        </is>
      </c>
      <c r="P433" s="2" t="inlineStr">
        <is>
          <t>松散-偏紧松散</t>
        </is>
      </c>
      <c r="Q433" s="2" t="inlineStr">
        <is>
          <t>标准-偏松标准</t>
        </is>
      </c>
      <c r="R433" s="2" t="inlineStr">
        <is>
          <t>标准-核心标准</t>
        </is>
      </c>
      <c r="S433" s="2" t="inlineStr">
        <is>
          <t>标准-偏紧标准</t>
        </is>
      </c>
      <c r="T433" s="2" t="inlineStr">
        <is>
          <t>紧凑-标准紧凑</t>
        </is>
      </c>
      <c r="U433" s="2" t="inlineStr">
        <is>
          <t>紧凑-高度紧凑</t>
        </is>
      </c>
      <c r="V433" s="2" t="inlineStr">
        <is>
          <t>紧凑-极度紧凑</t>
        </is>
      </c>
    </row>
    <row r="434">
      <c r="A434" s="1" t="n">
        <v>2024001</v>
      </c>
      <c r="B434" s="3" t="inlineStr">
        <is>
          <t>403</t>
        </is>
      </c>
      <c r="C434" s="2">
        <f>IF(B434="","",LEFT(TEXT(B434,"000"),1)*1)</f>
        <v/>
      </c>
      <c r="D434" s="2">
        <f>IF(B434="","",MID(TEXT(B434,"000"),2,1)*1)</f>
        <v/>
      </c>
      <c r="E434" s="2">
        <f>IF(B434="","",RIGHT(TEXT(B434,"000"),1)*1)</f>
        <v/>
      </c>
      <c r="F434" s="2">
        <f>IF(B434="","",C434+D434+E434)</f>
        <v/>
      </c>
      <c r="G434" s="2">
        <f>IF(B434="","",MOD(F434,10))</f>
        <v/>
      </c>
      <c r="H434" s="2">
        <f>IF(B434="","",MAX(C434,D434,E434)-MIN(C434,D434,E434))</f>
        <v/>
      </c>
      <c r="I434" s="2">
        <f>IF(OR(B434="",H434=0),IF(H434=0,0.1,""),ROUND(F434/H434,2))</f>
        <v/>
      </c>
      <c r="J434" s="2">
        <f>IF(I434=0.1,"极紧凑",IF(I434&gt;3.5,"紧凑",IF(AND(I434&gt;=2,I434&lt;=3.5),"标准",IF(AND(I434&gt;=1,I434&lt;2),"松散",""))))</f>
        <v/>
      </c>
      <c r="K434" s="2">
        <f>IF(I434=0.1,"极紧凑-豹子号",IF(AND(I434&gt;=1,I434&lt;=1.29),"松散-极松散",IF(AND(I434&gt;=1.33,I434&lt;=1.8),"松散-标准松散",IF(AND(I434&gt;=1.83,I434&lt;=1.89),"松散-偏紧松散",IF(AND(I434&gt;=2,I434&lt;=2.5),"标准-偏松标准",IF(AND(I434&gt;=2.57,I434&lt;=3),"标准-核心标准",IF(AND(I434&gt;=3.17,I434&lt;=3.5),"标准-偏紧标准",IF(AND(I434&gt;=3.6,I434&lt;=5),"紧凑-标准紧凑",IF(AND(I434&gt;=5.25,I434&lt;=8),"紧凑-高度紧凑",IF(I434&gt;=8.5,"紧凑-极度紧凑",""))))))))))</f>
        <v/>
      </c>
      <c r="L434" s="2">
        <f>IF(I434=0.1,"极紧凑",IF(AND(I434&gt;=1,I434&lt;=1.89),"松散",IF(AND(I434&gt;=2,I434&lt;=3.5),"标准",IF(I434&gt;=3.6,"紧凑",""))))</f>
        <v/>
      </c>
      <c r="M434" s="2" t="inlineStr">
        <is>
          <t>极紧凑-豹子号</t>
        </is>
      </c>
      <c r="N434" s="2" t="inlineStr">
        <is>
          <t>松散-极松散</t>
        </is>
      </c>
      <c r="O434" s="2" t="inlineStr">
        <is>
          <t>松散-标准松散</t>
        </is>
      </c>
      <c r="P434" s="2" t="inlineStr">
        <is>
          <t>松散-偏紧松散</t>
        </is>
      </c>
      <c r="Q434" s="2" t="inlineStr">
        <is>
          <t>标准-偏松标准</t>
        </is>
      </c>
      <c r="R434" s="2" t="inlineStr">
        <is>
          <t>标准-核心标准</t>
        </is>
      </c>
      <c r="S434" s="2" t="inlineStr">
        <is>
          <t>标准-偏紧标准</t>
        </is>
      </c>
      <c r="T434" s="2" t="inlineStr">
        <is>
          <t>紧凑-标准紧凑</t>
        </is>
      </c>
      <c r="U434" s="2" t="inlineStr">
        <is>
          <t>紧凑-高度紧凑</t>
        </is>
      </c>
      <c r="V434" s="2" t="inlineStr">
        <is>
          <t>紧凑-极度紧凑</t>
        </is>
      </c>
    </row>
    <row r="435">
      <c r="A435" s="1" t="n">
        <v>2024002</v>
      </c>
      <c r="B435" s="3" t="inlineStr">
        <is>
          <t>544</t>
        </is>
      </c>
      <c r="C435" s="2">
        <f>IF(B435="","",LEFT(TEXT(B435,"000"),1)*1)</f>
        <v/>
      </c>
      <c r="D435" s="2">
        <f>IF(B435="","",MID(TEXT(B435,"000"),2,1)*1)</f>
        <v/>
      </c>
      <c r="E435" s="2">
        <f>IF(B435="","",RIGHT(TEXT(B435,"000"),1)*1)</f>
        <v/>
      </c>
      <c r="F435" s="2">
        <f>IF(B435="","",C435+D435+E435)</f>
        <v/>
      </c>
      <c r="G435" s="2">
        <f>IF(B435="","",MOD(F435,10))</f>
        <v/>
      </c>
      <c r="H435" s="2">
        <f>IF(B435="","",MAX(C435,D435,E435)-MIN(C435,D435,E435))</f>
        <v/>
      </c>
      <c r="I435" s="2">
        <f>IF(OR(B435="",H435=0),IF(H435=0,0.1,""),ROUND(F435/H435,2))</f>
        <v/>
      </c>
      <c r="J435" s="2">
        <f>IF(I435=0.1,"极紧凑",IF(I435&gt;3.5,"紧凑",IF(AND(I435&gt;=2,I435&lt;=3.5),"标准",IF(AND(I435&gt;=1,I435&lt;2),"松散",""))))</f>
        <v/>
      </c>
      <c r="K435" s="2">
        <f>IF(I435=0.1,"极紧凑-豹子号",IF(AND(I435&gt;=1,I435&lt;=1.29),"松散-极松散",IF(AND(I435&gt;=1.33,I435&lt;=1.8),"松散-标准松散",IF(AND(I435&gt;=1.83,I435&lt;=1.89),"松散-偏紧松散",IF(AND(I435&gt;=2,I435&lt;=2.5),"标准-偏松标准",IF(AND(I435&gt;=2.57,I435&lt;=3),"标准-核心标准",IF(AND(I435&gt;=3.17,I435&lt;=3.5),"标准-偏紧标准",IF(AND(I435&gt;=3.6,I435&lt;=5),"紧凑-标准紧凑",IF(AND(I435&gt;=5.25,I435&lt;=8),"紧凑-高度紧凑",IF(I435&gt;=8.5,"紧凑-极度紧凑",""))))))))))</f>
        <v/>
      </c>
      <c r="L435" s="2">
        <f>IF(I435=0.1,"极紧凑",IF(AND(I435&gt;=1,I435&lt;=1.89),"松散",IF(AND(I435&gt;=2,I435&lt;=3.5),"标准",IF(I435&gt;=3.6,"紧凑",""))))</f>
        <v/>
      </c>
      <c r="M435" s="2" t="inlineStr">
        <is>
          <t>极紧凑-豹子号</t>
        </is>
      </c>
      <c r="N435" s="2" t="inlineStr">
        <is>
          <t>松散-极松散</t>
        </is>
      </c>
      <c r="O435" s="2" t="inlineStr">
        <is>
          <t>松散-标准松散</t>
        </is>
      </c>
      <c r="P435" s="2" t="inlineStr">
        <is>
          <t>松散-偏紧松散</t>
        </is>
      </c>
      <c r="Q435" s="2" t="inlineStr">
        <is>
          <t>标准-偏松标准</t>
        </is>
      </c>
      <c r="R435" s="2" t="inlineStr">
        <is>
          <t>标准-核心标准</t>
        </is>
      </c>
      <c r="S435" s="2" t="inlineStr">
        <is>
          <t>标准-偏紧标准</t>
        </is>
      </c>
      <c r="T435" s="2" t="inlineStr">
        <is>
          <t>紧凑-标准紧凑</t>
        </is>
      </c>
      <c r="U435" s="2" t="inlineStr">
        <is>
          <t>紧凑-高度紧凑</t>
        </is>
      </c>
      <c r="V435" s="2" t="inlineStr">
        <is>
          <t>紧凑-极度紧凑</t>
        </is>
      </c>
    </row>
    <row r="436">
      <c r="A436" s="1" t="n">
        <v>2024003</v>
      </c>
      <c r="B436" s="3" t="inlineStr">
        <is>
          <t>666</t>
        </is>
      </c>
      <c r="C436" s="2">
        <f>IF(B436="","",LEFT(TEXT(B436,"000"),1)*1)</f>
        <v/>
      </c>
      <c r="D436" s="2">
        <f>IF(B436="","",MID(TEXT(B436,"000"),2,1)*1)</f>
        <v/>
      </c>
      <c r="E436" s="2">
        <f>IF(B436="","",RIGHT(TEXT(B436,"000"),1)*1)</f>
        <v/>
      </c>
      <c r="F436" s="2">
        <f>IF(B436="","",C436+D436+E436)</f>
        <v/>
      </c>
      <c r="G436" s="2">
        <f>IF(B436="","",MOD(F436,10))</f>
        <v/>
      </c>
      <c r="H436" s="2">
        <f>IF(B436="","",MAX(C436,D436,E436)-MIN(C436,D436,E436))</f>
        <v/>
      </c>
      <c r="I436" s="2">
        <f>IF(OR(B436="",H436=0),IF(H436=0,0.1,""),ROUND(F436/H436,2))</f>
        <v/>
      </c>
      <c r="J436" s="2">
        <f>IF(I436=0.1,"极紧凑",IF(I436&gt;3.5,"紧凑",IF(AND(I436&gt;=2,I436&lt;=3.5),"标准",IF(AND(I436&gt;=1,I436&lt;2),"松散",""))))</f>
        <v/>
      </c>
      <c r="K436" s="2">
        <f>IF(I436=0.1,"极紧凑-豹子号",IF(AND(I436&gt;=1,I436&lt;=1.29),"松散-极松散",IF(AND(I436&gt;=1.33,I436&lt;=1.8),"松散-标准松散",IF(AND(I436&gt;=1.83,I436&lt;=1.89),"松散-偏紧松散",IF(AND(I436&gt;=2,I436&lt;=2.5),"标准-偏松标准",IF(AND(I436&gt;=2.57,I436&lt;=3),"标准-核心标准",IF(AND(I436&gt;=3.17,I436&lt;=3.5),"标准-偏紧标准",IF(AND(I436&gt;=3.6,I436&lt;=5),"紧凑-标准紧凑",IF(AND(I436&gt;=5.25,I436&lt;=8),"紧凑-高度紧凑",IF(I436&gt;=8.5,"紧凑-极度紧凑",""))))))))))</f>
        <v/>
      </c>
      <c r="L436" s="2">
        <f>IF(I436=0.1,"极紧凑",IF(AND(I436&gt;=1,I436&lt;=1.89),"松散",IF(AND(I436&gt;=2,I436&lt;=3.5),"标准",IF(I436&gt;=3.6,"紧凑",""))))</f>
        <v/>
      </c>
      <c r="M436" s="2" t="inlineStr">
        <is>
          <t>极紧凑-豹子号</t>
        </is>
      </c>
      <c r="N436" s="2" t="inlineStr">
        <is>
          <t>松散-极松散</t>
        </is>
      </c>
      <c r="O436" s="2" t="inlineStr">
        <is>
          <t>松散-标准松散</t>
        </is>
      </c>
      <c r="P436" s="2" t="inlineStr">
        <is>
          <t>松散-偏紧松散</t>
        </is>
      </c>
      <c r="Q436" s="2" t="inlineStr">
        <is>
          <t>标准-偏松标准</t>
        </is>
      </c>
      <c r="R436" s="2" t="inlineStr">
        <is>
          <t>标准-核心标准</t>
        </is>
      </c>
      <c r="S436" s="2" t="inlineStr">
        <is>
          <t>标准-偏紧标准</t>
        </is>
      </c>
      <c r="T436" s="2" t="inlineStr">
        <is>
          <t>紧凑-标准紧凑</t>
        </is>
      </c>
      <c r="U436" s="2" t="inlineStr">
        <is>
          <t>紧凑-高度紧凑</t>
        </is>
      </c>
      <c r="V436" s="2" t="inlineStr">
        <is>
          <t>紧凑-极度紧凑</t>
        </is>
      </c>
    </row>
    <row r="437">
      <c r="A437" s="1" t="n">
        <v>2024004</v>
      </c>
      <c r="B437" s="3" t="inlineStr">
        <is>
          <t>665</t>
        </is>
      </c>
      <c r="C437" s="2">
        <f>IF(B437="","",LEFT(TEXT(B437,"000"),1)*1)</f>
        <v/>
      </c>
      <c r="D437" s="2">
        <f>IF(B437="","",MID(TEXT(B437,"000"),2,1)*1)</f>
        <v/>
      </c>
      <c r="E437" s="2">
        <f>IF(B437="","",RIGHT(TEXT(B437,"000"),1)*1)</f>
        <v/>
      </c>
      <c r="F437" s="2">
        <f>IF(B437="","",C437+D437+E437)</f>
        <v/>
      </c>
      <c r="G437" s="2">
        <f>IF(B437="","",MOD(F437,10))</f>
        <v/>
      </c>
      <c r="H437" s="2">
        <f>IF(B437="","",MAX(C437,D437,E437)-MIN(C437,D437,E437))</f>
        <v/>
      </c>
      <c r="I437" s="2">
        <f>IF(OR(B437="",H437=0),IF(H437=0,0.1,""),ROUND(F437/H437,2))</f>
        <v/>
      </c>
      <c r="J437" s="2">
        <f>IF(I437=0.1,"极紧凑",IF(I437&gt;3.5,"紧凑",IF(AND(I437&gt;=2,I437&lt;=3.5),"标准",IF(AND(I437&gt;=1,I437&lt;2),"松散",""))))</f>
        <v/>
      </c>
      <c r="K437" s="2">
        <f>IF(I437=0.1,"极紧凑-豹子号",IF(AND(I437&gt;=1,I437&lt;=1.29),"松散-极松散",IF(AND(I437&gt;=1.33,I437&lt;=1.8),"松散-标准松散",IF(AND(I437&gt;=1.83,I437&lt;=1.89),"松散-偏紧松散",IF(AND(I437&gt;=2,I437&lt;=2.5),"标准-偏松标准",IF(AND(I437&gt;=2.57,I437&lt;=3),"标准-核心标准",IF(AND(I437&gt;=3.17,I437&lt;=3.5),"标准-偏紧标准",IF(AND(I437&gt;=3.6,I437&lt;=5),"紧凑-标准紧凑",IF(AND(I437&gt;=5.25,I437&lt;=8),"紧凑-高度紧凑",IF(I437&gt;=8.5,"紧凑-极度紧凑",""))))))))))</f>
        <v/>
      </c>
      <c r="L437" s="2">
        <f>IF(I437=0.1,"极紧凑",IF(AND(I437&gt;=1,I437&lt;=1.89),"松散",IF(AND(I437&gt;=2,I437&lt;=3.5),"标准",IF(I437&gt;=3.6,"紧凑",""))))</f>
        <v/>
      </c>
      <c r="M437" s="2" t="inlineStr">
        <is>
          <t>极紧凑-豹子号</t>
        </is>
      </c>
      <c r="N437" s="2" t="inlineStr">
        <is>
          <t>松散-极松散</t>
        </is>
      </c>
      <c r="O437" s="2" t="inlineStr">
        <is>
          <t>松散-标准松散</t>
        </is>
      </c>
      <c r="P437" s="2" t="inlineStr">
        <is>
          <t>松散-偏紧松散</t>
        </is>
      </c>
      <c r="Q437" s="2" t="inlineStr">
        <is>
          <t>标准-偏松标准</t>
        </is>
      </c>
      <c r="R437" s="2" t="inlineStr">
        <is>
          <t>标准-核心标准</t>
        </is>
      </c>
      <c r="S437" s="2" t="inlineStr">
        <is>
          <t>标准-偏紧标准</t>
        </is>
      </c>
      <c r="T437" s="2" t="inlineStr">
        <is>
          <t>紧凑-标准紧凑</t>
        </is>
      </c>
      <c r="U437" s="2" t="inlineStr">
        <is>
          <t>紧凑-高度紧凑</t>
        </is>
      </c>
      <c r="V437" s="2" t="inlineStr">
        <is>
          <t>紧凑-极度紧凑</t>
        </is>
      </c>
    </row>
    <row r="438">
      <c r="A438" s="1" t="n">
        <v>2024005</v>
      </c>
      <c r="B438" s="3" t="inlineStr">
        <is>
          <t>259</t>
        </is>
      </c>
      <c r="C438" s="2">
        <f>IF(B438="","",LEFT(TEXT(B438,"000"),1)*1)</f>
        <v/>
      </c>
      <c r="D438" s="2">
        <f>IF(B438="","",MID(TEXT(B438,"000"),2,1)*1)</f>
        <v/>
      </c>
      <c r="E438" s="2">
        <f>IF(B438="","",RIGHT(TEXT(B438,"000"),1)*1)</f>
        <v/>
      </c>
      <c r="F438" s="2">
        <f>IF(B438="","",C438+D438+E438)</f>
        <v/>
      </c>
      <c r="G438" s="2">
        <f>IF(B438="","",MOD(F438,10))</f>
        <v/>
      </c>
      <c r="H438" s="2">
        <f>IF(B438="","",MAX(C438,D438,E438)-MIN(C438,D438,E438))</f>
        <v/>
      </c>
      <c r="I438" s="2">
        <f>IF(OR(B438="",H438=0),IF(H438=0,0.1,""),ROUND(F438/H438,2))</f>
        <v/>
      </c>
      <c r="J438" s="2">
        <f>IF(I438=0.1,"极紧凑",IF(I438&gt;3.5,"紧凑",IF(AND(I438&gt;=2,I438&lt;=3.5),"标准",IF(AND(I438&gt;=1,I438&lt;2),"松散",""))))</f>
        <v/>
      </c>
      <c r="K438" s="2">
        <f>IF(I438=0.1,"极紧凑-豹子号",IF(AND(I438&gt;=1,I438&lt;=1.29),"松散-极松散",IF(AND(I438&gt;=1.33,I438&lt;=1.8),"松散-标准松散",IF(AND(I438&gt;=1.83,I438&lt;=1.89),"松散-偏紧松散",IF(AND(I438&gt;=2,I438&lt;=2.5),"标准-偏松标准",IF(AND(I438&gt;=2.57,I438&lt;=3),"标准-核心标准",IF(AND(I438&gt;=3.17,I438&lt;=3.5),"标准-偏紧标准",IF(AND(I438&gt;=3.6,I438&lt;=5),"紧凑-标准紧凑",IF(AND(I438&gt;=5.25,I438&lt;=8),"紧凑-高度紧凑",IF(I438&gt;=8.5,"紧凑-极度紧凑",""))))))))))</f>
        <v/>
      </c>
      <c r="L438" s="2">
        <f>IF(I438=0.1,"极紧凑",IF(AND(I438&gt;=1,I438&lt;=1.89),"松散",IF(AND(I438&gt;=2,I438&lt;=3.5),"标准",IF(I438&gt;=3.6,"紧凑",""))))</f>
        <v/>
      </c>
      <c r="M438" s="2" t="inlineStr">
        <is>
          <t>极紧凑-豹子号</t>
        </is>
      </c>
      <c r="N438" s="2" t="inlineStr">
        <is>
          <t>松散-极松散</t>
        </is>
      </c>
      <c r="O438" s="2" t="inlineStr">
        <is>
          <t>松散-标准松散</t>
        </is>
      </c>
      <c r="P438" s="2" t="inlineStr">
        <is>
          <t>松散-偏紧松散</t>
        </is>
      </c>
      <c r="Q438" s="2" t="inlineStr">
        <is>
          <t>标准-偏松标准</t>
        </is>
      </c>
      <c r="R438" s="2" t="inlineStr">
        <is>
          <t>标准-核心标准</t>
        </is>
      </c>
      <c r="S438" s="2" t="inlineStr">
        <is>
          <t>标准-偏紧标准</t>
        </is>
      </c>
      <c r="T438" s="2" t="inlineStr">
        <is>
          <t>紧凑-标准紧凑</t>
        </is>
      </c>
      <c r="U438" s="2" t="inlineStr">
        <is>
          <t>紧凑-高度紧凑</t>
        </is>
      </c>
      <c r="V438" s="2" t="inlineStr">
        <is>
          <t>紧凑-极度紧凑</t>
        </is>
      </c>
    </row>
    <row r="439">
      <c r="A439" s="1" t="n">
        <v>2024006</v>
      </c>
      <c r="B439" s="3" t="inlineStr">
        <is>
          <t>284</t>
        </is>
      </c>
      <c r="C439" s="2">
        <f>IF(B439="","",LEFT(TEXT(B439,"000"),1)*1)</f>
        <v/>
      </c>
      <c r="D439" s="2">
        <f>IF(B439="","",MID(TEXT(B439,"000"),2,1)*1)</f>
        <v/>
      </c>
      <c r="E439" s="2">
        <f>IF(B439="","",RIGHT(TEXT(B439,"000"),1)*1)</f>
        <v/>
      </c>
      <c r="F439" s="2">
        <f>IF(B439="","",C439+D439+E439)</f>
        <v/>
      </c>
      <c r="G439" s="2">
        <f>IF(B439="","",MOD(F439,10))</f>
        <v/>
      </c>
      <c r="H439" s="2">
        <f>IF(B439="","",MAX(C439,D439,E439)-MIN(C439,D439,E439))</f>
        <v/>
      </c>
      <c r="I439" s="2">
        <f>IF(OR(B439="",H439=0),IF(H439=0,0.1,""),ROUND(F439/H439,2))</f>
        <v/>
      </c>
      <c r="J439" s="2">
        <f>IF(I439=0.1,"极紧凑",IF(I439&gt;3.5,"紧凑",IF(AND(I439&gt;=2,I439&lt;=3.5),"标准",IF(AND(I439&gt;=1,I439&lt;2),"松散",""))))</f>
        <v/>
      </c>
      <c r="K439" s="2">
        <f>IF(I439=0.1,"极紧凑-豹子号",IF(AND(I439&gt;=1,I439&lt;=1.29),"松散-极松散",IF(AND(I439&gt;=1.33,I439&lt;=1.8),"松散-标准松散",IF(AND(I439&gt;=1.83,I439&lt;=1.89),"松散-偏紧松散",IF(AND(I439&gt;=2,I439&lt;=2.5),"标准-偏松标准",IF(AND(I439&gt;=2.57,I439&lt;=3),"标准-核心标准",IF(AND(I439&gt;=3.17,I439&lt;=3.5),"标准-偏紧标准",IF(AND(I439&gt;=3.6,I439&lt;=5),"紧凑-标准紧凑",IF(AND(I439&gt;=5.25,I439&lt;=8),"紧凑-高度紧凑",IF(I439&gt;=8.5,"紧凑-极度紧凑",""))))))))))</f>
        <v/>
      </c>
      <c r="L439" s="2">
        <f>IF(I439=0.1,"极紧凑",IF(AND(I439&gt;=1,I439&lt;=1.89),"松散",IF(AND(I439&gt;=2,I439&lt;=3.5),"标准",IF(I439&gt;=3.6,"紧凑",""))))</f>
        <v/>
      </c>
      <c r="M439" s="2" t="inlineStr">
        <is>
          <t>极紧凑-豹子号</t>
        </is>
      </c>
      <c r="N439" s="2" t="inlineStr">
        <is>
          <t>松散-极松散</t>
        </is>
      </c>
      <c r="O439" s="2" t="inlineStr">
        <is>
          <t>松散-标准松散</t>
        </is>
      </c>
      <c r="P439" s="2" t="inlineStr">
        <is>
          <t>松散-偏紧松散</t>
        </is>
      </c>
      <c r="Q439" s="2" t="inlineStr">
        <is>
          <t>标准-偏松标准</t>
        </is>
      </c>
      <c r="R439" s="2" t="inlineStr">
        <is>
          <t>标准-核心标准</t>
        </is>
      </c>
      <c r="S439" s="2" t="inlineStr">
        <is>
          <t>标准-偏紧标准</t>
        </is>
      </c>
      <c r="T439" s="2" t="inlineStr">
        <is>
          <t>紧凑-标准紧凑</t>
        </is>
      </c>
      <c r="U439" s="2" t="inlineStr">
        <is>
          <t>紧凑-高度紧凑</t>
        </is>
      </c>
      <c r="V439" s="2" t="inlineStr">
        <is>
          <t>紧凑-极度紧凑</t>
        </is>
      </c>
    </row>
    <row r="440">
      <c r="A440" s="1" t="n">
        <v>2024007</v>
      </c>
      <c r="B440" s="3" t="inlineStr">
        <is>
          <t>888</t>
        </is>
      </c>
      <c r="C440" s="2">
        <f>IF(B440="","",LEFT(TEXT(B440,"000"),1)*1)</f>
        <v/>
      </c>
      <c r="D440" s="2">
        <f>IF(B440="","",MID(TEXT(B440,"000"),2,1)*1)</f>
        <v/>
      </c>
      <c r="E440" s="2">
        <f>IF(B440="","",RIGHT(TEXT(B440,"000"),1)*1)</f>
        <v/>
      </c>
      <c r="F440" s="2">
        <f>IF(B440="","",C440+D440+E440)</f>
        <v/>
      </c>
      <c r="G440" s="2">
        <f>IF(B440="","",MOD(F440,10))</f>
        <v/>
      </c>
      <c r="H440" s="2">
        <f>IF(B440="","",MAX(C440,D440,E440)-MIN(C440,D440,E440))</f>
        <v/>
      </c>
      <c r="I440" s="2">
        <f>IF(OR(B440="",H440=0),IF(H440=0,0.1,""),ROUND(F440/H440,2))</f>
        <v/>
      </c>
      <c r="J440" s="2">
        <f>IF(I440=0.1,"极紧凑",IF(I440&gt;3.5,"紧凑",IF(AND(I440&gt;=2,I440&lt;=3.5),"标准",IF(AND(I440&gt;=1,I440&lt;2),"松散",""))))</f>
        <v/>
      </c>
      <c r="K440" s="2">
        <f>IF(I440=0.1,"极紧凑-豹子号",IF(AND(I440&gt;=1,I440&lt;=1.29),"松散-极松散",IF(AND(I440&gt;=1.33,I440&lt;=1.8),"松散-标准松散",IF(AND(I440&gt;=1.83,I440&lt;=1.89),"松散-偏紧松散",IF(AND(I440&gt;=2,I440&lt;=2.5),"标准-偏松标准",IF(AND(I440&gt;=2.57,I440&lt;=3),"标准-核心标准",IF(AND(I440&gt;=3.17,I440&lt;=3.5),"标准-偏紧标准",IF(AND(I440&gt;=3.6,I440&lt;=5),"紧凑-标准紧凑",IF(AND(I440&gt;=5.25,I440&lt;=8),"紧凑-高度紧凑",IF(I440&gt;=8.5,"紧凑-极度紧凑",""))))))))))</f>
        <v/>
      </c>
      <c r="L440" s="2">
        <f>IF(I440=0.1,"极紧凑",IF(AND(I440&gt;=1,I440&lt;=1.89),"松散",IF(AND(I440&gt;=2,I440&lt;=3.5),"标准",IF(I440&gt;=3.6,"紧凑",""))))</f>
        <v/>
      </c>
      <c r="M440" s="2" t="inlineStr">
        <is>
          <t>极紧凑-豹子号</t>
        </is>
      </c>
      <c r="N440" s="2" t="inlineStr">
        <is>
          <t>松散-极松散</t>
        </is>
      </c>
      <c r="O440" s="2" t="inlineStr">
        <is>
          <t>松散-标准松散</t>
        </is>
      </c>
      <c r="P440" s="2" t="inlineStr">
        <is>
          <t>松散-偏紧松散</t>
        </is>
      </c>
      <c r="Q440" s="2" t="inlineStr">
        <is>
          <t>标准-偏松标准</t>
        </is>
      </c>
      <c r="R440" s="2" t="inlineStr">
        <is>
          <t>标准-核心标准</t>
        </is>
      </c>
      <c r="S440" s="2" t="inlineStr">
        <is>
          <t>标准-偏紧标准</t>
        </is>
      </c>
      <c r="T440" s="2" t="inlineStr">
        <is>
          <t>紧凑-标准紧凑</t>
        </is>
      </c>
      <c r="U440" s="2" t="inlineStr">
        <is>
          <t>紧凑-高度紧凑</t>
        </is>
      </c>
      <c r="V440" s="2" t="inlineStr">
        <is>
          <t>紧凑-极度紧凑</t>
        </is>
      </c>
    </row>
    <row r="441">
      <c r="A441" s="1" t="n">
        <v>2024008</v>
      </c>
      <c r="B441" s="3" t="inlineStr">
        <is>
          <t>405</t>
        </is>
      </c>
      <c r="C441" s="2">
        <f>IF(B441="","",LEFT(TEXT(B441,"000"),1)*1)</f>
        <v/>
      </c>
      <c r="D441" s="2">
        <f>IF(B441="","",MID(TEXT(B441,"000"),2,1)*1)</f>
        <v/>
      </c>
      <c r="E441" s="2">
        <f>IF(B441="","",RIGHT(TEXT(B441,"000"),1)*1)</f>
        <v/>
      </c>
      <c r="F441" s="2">
        <f>IF(B441="","",C441+D441+E441)</f>
        <v/>
      </c>
      <c r="G441" s="2">
        <f>IF(B441="","",MOD(F441,10))</f>
        <v/>
      </c>
      <c r="H441" s="2">
        <f>IF(B441="","",MAX(C441,D441,E441)-MIN(C441,D441,E441))</f>
        <v/>
      </c>
      <c r="I441" s="2">
        <f>IF(OR(B441="",H441=0),IF(H441=0,0.1,""),ROUND(F441/H441,2))</f>
        <v/>
      </c>
      <c r="J441" s="2">
        <f>IF(I441=0.1,"极紧凑",IF(I441&gt;3.5,"紧凑",IF(AND(I441&gt;=2,I441&lt;=3.5),"标准",IF(AND(I441&gt;=1,I441&lt;2),"松散",""))))</f>
        <v/>
      </c>
      <c r="K441" s="2">
        <f>IF(I441=0.1,"极紧凑-豹子号",IF(AND(I441&gt;=1,I441&lt;=1.29),"松散-极松散",IF(AND(I441&gt;=1.33,I441&lt;=1.8),"松散-标准松散",IF(AND(I441&gt;=1.83,I441&lt;=1.89),"松散-偏紧松散",IF(AND(I441&gt;=2,I441&lt;=2.5),"标准-偏松标准",IF(AND(I441&gt;=2.57,I441&lt;=3),"标准-核心标准",IF(AND(I441&gt;=3.17,I441&lt;=3.5),"标准-偏紧标准",IF(AND(I441&gt;=3.6,I441&lt;=5),"紧凑-标准紧凑",IF(AND(I441&gt;=5.25,I441&lt;=8),"紧凑-高度紧凑",IF(I441&gt;=8.5,"紧凑-极度紧凑",""))))))))))</f>
        <v/>
      </c>
      <c r="L441" s="2">
        <f>IF(I441=0.1,"极紧凑",IF(AND(I441&gt;=1,I441&lt;=1.89),"松散",IF(AND(I441&gt;=2,I441&lt;=3.5),"标准",IF(I441&gt;=3.6,"紧凑",""))))</f>
        <v/>
      </c>
      <c r="M441" s="2" t="inlineStr">
        <is>
          <t>极紧凑-豹子号</t>
        </is>
      </c>
      <c r="N441" s="2" t="inlineStr">
        <is>
          <t>松散-极松散</t>
        </is>
      </c>
      <c r="O441" s="2" t="inlineStr">
        <is>
          <t>松散-标准松散</t>
        </is>
      </c>
      <c r="P441" s="2" t="inlineStr">
        <is>
          <t>松散-偏紧松散</t>
        </is>
      </c>
      <c r="Q441" s="2" t="inlineStr">
        <is>
          <t>标准-偏松标准</t>
        </is>
      </c>
      <c r="R441" s="2" t="inlineStr">
        <is>
          <t>标准-核心标准</t>
        </is>
      </c>
      <c r="S441" s="2" t="inlineStr">
        <is>
          <t>标准-偏紧标准</t>
        </is>
      </c>
      <c r="T441" s="2" t="inlineStr">
        <is>
          <t>紧凑-标准紧凑</t>
        </is>
      </c>
      <c r="U441" s="2" t="inlineStr">
        <is>
          <t>紧凑-高度紧凑</t>
        </is>
      </c>
      <c r="V441" s="2" t="inlineStr">
        <is>
          <t>紧凑-极度紧凑</t>
        </is>
      </c>
    </row>
    <row r="442">
      <c r="A442" s="1" t="n">
        <v>2024009</v>
      </c>
      <c r="B442" s="3" t="inlineStr">
        <is>
          <t>815</t>
        </is>
      </c>
      <c r="C442" s="2">
        <f>IF(B442="","",LEFT(TEXT(B442,"000"),1)*1)</f>
        <v/>
      </c>
      <c r="D442" s="2">
        <f>IF(B442="","",MID(TEXT(B442,"000"),2,1)*1)</f>
        <v/>
      </c>
      <c r="E442" s="2">
        <f>IF(B442="","",RIGHT(TEXT(B442,"000"),1)*1)</f>
        <v/>
      </c>
      <c r="F442" s="2">
        <f>IF(B442="","",C442+D442+E442)</f>
        <v/>
      </c>
      <c r="G442" s="2">
        <f>IF(B442="","",MOD(F442,10))</f>
        <v/>
      </c>
      <c r="H442" s="2">
        <f>IF(B442="","",MAX(C442,D442,E442)-MIN(C442,D442,E442))</f>
        <v/>
      </c>
      <c r="I442" s="2">
        <f>IF(OR(B442="",H442=0),IF(H442=0,0.1,""),ROUND(F442/H442,2))</f>
        <v/>
      </c>
      <c r="J442" s="2">
        <f>IF(I442=0.1,"极紧凑",IF(I442&gt;3.5,"紧凑",IF(AND(I442&gt;=2,I442&lt;=3.5),"标准",IF(AND(I442&gt;=1,I442&lt;2),"松散",""))))</f>
        <v/>
      </c>
      <c r="K442" s="2">
        <f>IF(I442=0.1,"极紧凑-豹子号",IF(AND(I442&gt;=1,I442&lt;=1.29),"松散-极松散",IF(AND(I442&gt;=1.33,I442&lt;=1.8),"松散-标准松散",IF(AND(I442&gt;=1.83,I442&lt;=1.89),"松散-偏紧松散",IF(AND(I442&gt;=2,I442&lt;=2.5),"标准-偏松标准",IF(AND(I442&gt;=2.57,I442&lt;=3),"标准-核心标准",IF(AND(I442&gt;=3.17,I442&lt;=3.5),"标准-偏紧标准",IF(AND(I442&gt;=3.6,I442&lt;=5),"紧凑-标准紧凑",IF(AND(I442&gt;=5.25,I442&lt;=8),"紧凑-高度紧凑",IF(I442&gt;=8.5,"紧凑-极度紧凑",""))))))))))</f>
        <v/>
      </c>
      <c r="L442" s="2">
        <f>IF(I442=0.1,"极紧凑",IF(AND(I442&gt;=1,I442&lt;=1.89),"松散",IF(AND(I442&gt;=2,I442&lt;=3.5),"标准",IF(I442&gt;=3.6,"紧凑",""))))</f>
        <v/>
      </c>
      <c r="M442" s="2" t="inlineStr">
        <is>
          <t>极紧凑-豹子号</t>
        </is>
      </c>
      <c r="N442" s="2" t="inlineStr">
        <is>
          <t>松散-极松散</t>
        </is>
      </c>
      <c r="O442" s="2" t="inlineStr">
        <is>
          <t>松散-标准松散</t>
        </is>
      </c>
      <c r="P442" s="2" t="inlineStr">
        <is>
          <t>松散-偏紧松散</t>
        </is>
      </c>
      <c r="Q442" s="2" t="inlineStr">
        <is>
          <t>标准-偏松标准</t>
        </is>
      </c>
      <c r="R442" s="2" t="inlineStr">
        <is>
          <t>标准-核心标准</t>
        </is>
      </c>
      <c r="S442" s="2" t="inlineStr">
        <is>
          <t>标准-偏紧标准</t>
        </is>
      </c>
      <c r="T442" s="2" t="inlineStr">
        <is>
          <t>紧凑-标准紧凑</t>
        </is>
      </c>
      <c r="U442" s="2" t="inlineStr">
        <is>
          <t>紧凑-高度紧凑</t>
        </is>
      </c>
      <c r="V442" s="2" t="inlineStr">
        <is>
          <t>紧凑-极度紧凑</t>
        </is>
      </c>
    </row>
    <row r="443">
      <c r="A443" s="1" t="n">
        <v>2024010</v>
      </c>
      <c r="B443" s="3" t="inlineStr">
        <is>
          <t>281</t>
        </is>
      </c>
      <c r="C443" s="2">
        <f>IF(B443="","",LEFT(TEXT(B443,"000"),1)*1)</f>
        <v/>
      </c>
      <c r="D443" s="2">
        <f>IF(B443="","",MID(TEXT(B443,"000"),2,1)*1)</f>
        <v/>
      </c>
      <c r="E443" s="2">
        <f>IF(B443="","",RIGHT(TEXT(B443,"000"),1)*1)</f>
        <v/>
      </c>
      <c r="F443" s="2">
        <f>IF(B443="","",C443+D443+E443)</f>
        <v/>
      </c>
      <c r="G443" s="2">
        <f>IF(B443="","",MOD(F443,10))</f>
        <v/>
      </c>
      <c r="H443" s="2">
        <f>IF(B443="","",MAX(C443,D443,E443)-MIN(C443,D443,E443))</f>
        <v/>
      </c>
      <c r="I443" s="2">
        <f>IF(OR(B443="",H443=0),IF(H443=0,0.1,""),ROUND(F443/H443,2))</f>
        <v/>
      </c>
      <c r="J443" s="2">
        <f>IF(I443=0.1,"极紧凑",IF(I443&gt;3.5,"紧凑",IF(AND(I443&gt;=2,I443&lt;=3.5),"标准",IF(AND(I443&gt;=1,I443&lt;2),"松散",""))))</f>
        <v/>
      </c>
      <c r="K443" s="2">
        <f>IF(I443=0.1,"极紧凑-豹子号",IF(AND(I443&gt;=1,I443&lt;=1.29),"松散-极松散",IF(AND(I443&gt;=1.33,I443&lt;=1.8),"松散-标准松散",IF(AND(I443&gt;=1.83,I443&lt;=1.89),"松散-偏紧松散",IF(AND(I443&gt;=2,I443&lt;=2.5),"标准-偏松标准",IF(AND(I443&gt;=2.57,I443&lt;=3),"标准-核心标准",IF(AND(I443&gt;=3.17,I443&lt;=3.5),"标准-偏紧标准",IF(AND(I443&gt;=3.6,I443&lt;=5),"紧凑-标准紧凑",IF(AND(I443&gt;=5.25,I443&lt;=8),"紧凑-高度紧凑",IF(I443&gt;=8.5,"紧凑-极度紧凑",""))))))))))</f>
        <v/>
      </c>
      <c r="L443" s="2">
        <f>IF(I443=0.1,"极紧凑",IF(AND(I443&gt;=1,I443&lt;=1.89),"松散",IF(AND(I443&gt;=2,I443&lt;=3.5),"标准",IF(I443&gt;=3.6,"紧凑",""))))</f>
        <v/>
      </c>
      <c r="M443" s="2" t="inlineStr">
        <is>
          <t>极紧凑-豹子号</t>
        </is>
      </c>
      <c r="N443" s="2" t="inlineStr">
        <is>
          <t>松散-极松散</t>
        </is>
      </c>
      <c r="O443" s="2" t="inlineStr">
        <is>
          <t>松散-标准松散</t>
        </is>
      </c>
      <c r="P443" s="2" t="inlineStr">
        <is>
          <t>松散-偏紧松散</t>
        </is>
      </c>
      <c r="Q443" s="2" t="inlineStr">
        <is>
          <t>标准-偏松标准</t>
        </is>
      </c>
      <c r="R443" s="2" t="inlineStr">
        <is>
          <t>标准-核心标准</t>
        </is>
      </c>
      <c r="S443" s="2" t="inlineStr">
        <is>
          <t>标准-偏紧标准</t>
        </is>
      </c>
      <c r="T443" s="2" t="inlineStr">
        <is>
          <t>紧凑-标准紧凑</t>
        </is>
      </c>
      <c r="U443" s="2" t="inlineStr">
        <is>
          <t>紧凑-高度紧凑</t>
        </is>
      </c>
      <c r="V443" s="2" t="inlineStr">
        <is>
          <t>紧凑-极度紧凑</t>
        </is>
      </c>
    </row>
    <row r="444">
      <c r="A444" s="1" t="n">
        <v>2024011</v>
      </c>
      <c r="B444" s="3" t="inlineStr">
        <is>
          <t>080</t>
        </is>
      </c>
      <c r="C444" s="2">
        <f>IF(B444="","",LEFT(TEXT(B444,"000"),1)*1)</f>
        <v/>
      </c>
      <c r="D444" s="2">
        <f>IF(B444="","",MID(TEXT(B444,"000"),2,1)*1)</f>
        <v/>
      </c>
      <c r="E444" s="2">
        <f>IF(B444="","",RIGHT(TEXT(B444,"000"),1)*1)</f>
        <v/>
      </c>
      <c r="F444" s="2">
        <f>IF(B444="","",C444+D444+E444)</f>
        <v/>
      </c>
      <c r="G444" s="2">
        <f>IF(B444="","",MOD(F444,10))</f>
        <v/>
      </c>
      <c r="H444" s="2">
        <f>IF(B444="","",MAX(C444,D444,E444)-MIN(C444,D444,E444))</f>
        <v/>
      </c>
      <c r="I444" s="2">
        <f>IF(OR(B444="",H444=0),IF(H444=0,0.1,""),ROUND(F444/H444,2))</f>
        <v/>
      </c>
      <c r="J444" s="2">
        <f>IF(I444=0.1,"极紧凑",IF(I444&gt;3.5,"紧凑",IF(AND(I444&gt;=2,I444&lt;=3.5),"标准",IF(AND(I444&gt;=1,I444&lt;2),"松散",""))))</f>
        <v/>
      </c>
      <c r="K444" s="2">
        <f>IF(I444=0.1,"极紧凑-豹子号",IF(AND(I444&gt;=1,I444&lt;=1.29),"松散-极松散",IF(AND(I444&gt;=1.33,I444&lt;=1.8),"松散-标准松散",IF(AND(I444&gt;=1.83,I444&lt;=1.89),"松散-偏紧松散",IF(AND(I444&gt;=2,I444&lt;=2.5),"标准-偏松标准",IF(AND(I444&gt;=2.57,I444&lt;=3),"标准-核心标准",IF(AND(I444&gt;=3.17,I444&lt;=3.5),"标准-偏紧标准",IF(AND(I444&gt;=3.6,I444&lt;=5),"紧凑-标准紧凑",IF(AND(I444&gt;=5.25,I444&lt;=8),"紧凑-高度紧凑",IF(I444&gt;=8.5,"紧凑-极度紧凑",""))))))))))</f>
        <v/>
      </c>
      <c r="L444" s="2">
        <f>IF(I444=0.1,"极紧凑",IF(AND(I444&gt;=1,I444&lt;=1.89),"松散",IF(AND(I444&gt;=2,I444&lt;=3.5),"标准",IF(I444&gt;=3.6,"紧凑",""))))</f>
        <v/>
      </c>
      <c r="M444" s="2" t="inlineStr">
        <is>
          <t>极紧凑-豹子号</t>
        </is>
      </c>
      <c r="N444" s="2" t="inlineStr">
        <is>
          <t>松散-极松散</t>
        </is>
      </c>
      <c r="O444" s="2" t="inlineStr">
        <is>
          <t>松散-标准松散</t>
        </is>
      </c>
      <c r="P444" s="2" t="inlineStr">
        <is>
          <t>松散-偏紧松散</t>
        </is>
      </c>
      <c r="Q444" s="2" t="inlineStr">
        <is>
          <t>标准-偏松标准</t>
        </is>
      </c>
      <c r="R444" s="2" t="inlineStr">
        <is>
          <t>标准-核心标准</t>
        </is>
      </c>
      <c r="S444" s="2" t="inlineStr">
        <is>
          <t>标准-偏紧标准</t>
        </is>
      </c>
      <c r="T444" s="2" t="inlineStr">
        <is>
          <t>紧凑-标准紧凑</t>
        </is>
      </c>
      <c r="U444" s="2" t="inlineStr">
        <is>
          <t>紧凑-高度紧凑</t>
        </is>
      </c>
      <c r="V444" s="2" t="inlineStr">
        <is>
          <t>紧凑-极度紧凑</t>
        </is>
      </c>
    </row>
    <row r="445">
      <c r="A445" s="1" t="n">
        <v>2024012</v>
      </c>
      <c r="B445" s="3" t="inlineStr">
        <is>
          <t>081</t>
        </is>
      </c>
      <c r="C445" s="2">
        <f>IF(B445="","",LEFT(TEXT(B445,"000"),1)*1)</f>
        <v/>
      </c>
      <c r="D445" s="2">
        <f>IF(B445="","",MID(TEXT(B445,"000"),2,1)*1)</f>
        <v/>
      </c>
      <c r="E445" s="2">
        <f>IF(B445="","",RIGHT(TEXT(B445,"000"),1)*1)</f>
        <v/>
      </c>
      <c r="F445" s="2">
        <f>IF(B445="","",C445+D445+E445)</f>
        <v/>
      </c>
      <c r="G445" s="2">
        <f>IF(B445="","",MOD(F445,10))</f>
        <v/>
      </c>
      <c r="H445" s="2">
        <f>IF(B445="","",MAX(C445,D445,E445)-MIN(C445,D445,E445))</f>
        <v/>
      </c>
      <c r="I445" s="2">
        <f>IF(OR(B445="",H445=0),IF(H445=0,0.1,""),ROUND(F445/H445,2))</f>
        <v/>
      </c>
      <c r="J445" s="2">
        <f>IF(I445=0.1,"极紧凑",IF(I445&gt;3.5,"紧凑",IF(AND(I445&gt;=2,I445&lt;=3.5),"标准",IF(AND(I445&gt;=1,I445&lt;2),"松散",""))))</f>
        <v/>
      </c>
      <c r="K445" s="2">
        <f>IF(I445=0.1,"极紧凑-豹子号",IF(AND(I445&gt;=1,I445&lt;=1.29),"松散-极松散",IF(AND(I445&gt;=1.33,I445&lt;=1.8),"松散-标准松散",IF(AND(I445&gt;=1.83,I445&lt;=1.89),"松散-偏紧松散",IF(AND(I445&gt;=2,I445&lt;=2.5),"标准-偏松标准",IF(AND(I445&gt;=2.57,I445&lt;=3),"标准-核心标准",IF(AND(I445&gt;=3.17,I445&lt;=3.5),"标准-偏紧标准",IF(AND(I445&gt;=3.6,I445&lt;=5),"紧凑-标准紧凑",IF(AND(I445&gt;=5.25,I445&lt;=8),"紧凑-高度紧凑",IF(I445&gt;=8.5,"紧凑-极度紧凑",""))))))))))</f>
        <v/>
      </c>
      <c r="L445" s="2">
        <f>IF(I445=0.1,"极紧凑",IF(AND(I445&gt;=1,I445&lt;=1.89),"松散",IF(AND(I445&gt;=2,I445&lt;=3.5),"标准",IF(I445&gt;=3.6,"紧凑",""))))</f>
        <v/>
      </c>
      <c r="M445" s="2" t="inlineStr">
        <is>
          <t>极紧凑-豹子号</t>
        </is>
      </c>
      <c r="N445" s="2" t="inlineStr">
        <is>
          <t>松散-极松散</t>
        </is>
      </c>
      <c r="O445" s="2" t="inlineStr">
        <is>
          <t>松散-标准松散</t>
        </is>
      </c>
      <c r="P445" s="2" t="inlineStr">
        <is>
          <t>松散-偏紧松散</t>
        </is>
      </c>
      <c r="Q445" s="2" t="inlineStr">
        <is>
          <t>标准-偏松标准</t>
        </is>
      </c>
      <c r="R445" s="2" t="inlineStr">
        <is>
          <t>标准-核心标准</t>
        </is>
      </c>
      <c r="S445" s="2" t="inlineStr">
        <is>
          <t>标准-偏紧标准</t>
        </is>
      </c>
      <c r="T445" s="2" t="inlineStr">
        <is>
          <t>紧凑-标准紧凑</t>
        </is>
      </c>
      <c r="U445" s="2" t="inlineStr">
        <is>
          <t>紧凑-高度紧凑</t>
        </is>
      </c>
      <c r="V445" s="2" t="inlineStr">
        <is>
          <t>紧凑-极度紧凑</t>
        </is>
      </c>
    </row>
    <row r="446">
      <c r="A446" s="1" t="n">
        <v>2024013</v>
      </c>
      <c r="B446" s="3" t="inlineStr">
        <is>
          <t>985</t>
        </is>
      </c>
      <c r="C446" s="2">
        <f>IF(B446="","",LEFT(TEXT(B446,"000"),1)*1)</f>
        <v/>
      </c>
      <c r="D446" s="2">
        <f>IF(B446="","",MID(TEXT(B446,"000"),2,1)*1)</f>
        <v/>
      </c>
      <c r="E446" s="2">
        <f>IF(B446="","",RIGHT(TEXT(B446,"000"),1)*1)</f>
        <v/>
      </c>
      <c r="F446" s="2">
        <f>IF(B446="","",C446+D446+E446)</f>
        <v/>
      </c>
      <c r="G446" s="2">
        <f>IF(B446="","",MOD(F446,10))</f>
        <v/>
      </c>
      <c r="H446" s="2">
        <f>IF(B446="","",MAX(C446,D446,E446)-MIN(C446,D446,E446))</f>
        <v/>
      </c>
      <c r="I446" s="2">
        <f>IF(OR(B446="",H446=0),IF(H446=0,0.1,""),ROUND(F446/H446,2))</f>
        <v/>
      </c>
      <c r="J446" s="2">
        <f>IF(I446=0.1,"极紧凑",IF(I446&gt;3.5,"紧凑",IF(AND(I446&gt;=2,I446&lt;=3.5),"标准",IF(AND(I446&gt;=1,I446&lt;2),"松散",""))))</f>
        <v/>
      </c>
      <c r="K446" s="2">
        <f>IF(I446=0.1,"极紧凑-豹子号",IF(AND(I446&gt;=1,I446&lt;=1.29),"松散-极松散",IF(AND(I446&gt;=1.33,I446&lt;=1.8),"松散-标准松散",IF(AND(I446&gt;=1.83,I446&lt;=1.89),"松散-偏紧松散",IF(AND(I446&gt;=2,I446&lt;=2.5),"标准-偏松标准",IF(AND(I446&gt;=2.57,I446&lt;=3),"标准-核心标准",IF(AND(I446&gt;=3.17,I446&lt;=3.5),"标准-偏紧标准",IF(AND(I446&gt;=3.6,I446&lt;=5),"紧凑-标准紧凑",IF(AND(I446&gt;=5.25,I446&lt;=8),"紧凑-高度紧凑",IF(I446&gt;=8.5,"紧凑-极度紧凑",""))))))))))</f>
        <v/>
      </c>
      <c r="L446" s="2">
        <f>IF(I446=0.1,"极紧凑",IF(AND(I446&gt;=1,I446&lt;=1.89),"松散",IF(AND(I446&gt;=2,I446&lt;=3.5),"标准",IF(I446&gt;=3.6,"紧凑",""))))</f>
        <v/>
      </c>
      <c r="M446" s="2" t="inlineStr">
        <is>
          <t>极紧凑-豹子号</t>
        </is>
      </c>
      <c r="N446" s="2" t="inlineStr">
        <is>
          <t>松散-极松散</t>
        </is>
      </c>
      <c r="O446" s="2" t="inlineStr">
        <is>
          <t>松散-标准松散</t>
        </is>
      </c>
      <c r="P446" s="2" t="inlineStr">
        <is>
          <t>松散-偏紧松散</t>
        </is>
      </c>
      <c r="Q446" s="2" t="inlineStr">
        <is>
          <t>标准-偏松标准</t>
        </is>
      </c>
      <c r="R446" s="2" t="inlineStr">
        <is>
          <t>标准-核心标准</t>
        </is>
      </c>
      <c r="S446" s="2" t="inlineStr">
        <is>
          <t>标准-偏紧标准</t>
        </is>
      </c>
      <c r="T446" s="2" t="inlineStr">
        <is>
          <t>紧凑-标准紧凑</t>
        </is>
      </c>
      <c r="U446" s="2" t="inlineStr">
        <is>
          <t>紧凑-高度紧凑</t>
        </is>
      </c>
      <c r="V446" s="2" t="inlineStr">
        <is>
          <t>紧凑-极度紧凑</t>
        </is>
      </c>
    </row>
    <row r="447">
      <c r="A447" s="1" t="n">
        <v>2024014</v>
      </c>
      <c r="B447" s="3" t="inlineStr">
        <is>
          <t>178</t>
        </is>
      </c>
      <c r="C447" s="2">
        <f>IF(B447="","",LEFT(TEXT(B447,"000"),1)*1)</f>
        <v/>
      </c>
      <c r="D447" s="2">
        <f>IF(B447="","",MID(TEXT(B447,"000"),2,1)*1)</f>
        <v/>
      </c>
      <c r="E447" s="2">
        <f>IF(B447="","",RIGHT(TEXT(B447,"000"),1)*1)</f>
        <v/>
      </c>
      <c r="F447" s="2">
        <f>IF(B447="","",C447+D447+E447)</f>
        <v/>
      </c>
      <c r="G447" s="2">
        <f>IF(B447="","",MOD(F447,10))</f>
        <v/>
      </c>
      <c r="H447" s="2">
        <f>IF(B447="","",MAX(C447,D447,E447)-MIN(C447,D447,E447))</f>
        <v/>
      </c>
      <c r="I447" s="2">
        <f>IF(OR(B447="",H447=0),IF(H447=0,0.1,""),ROUND(F447/H447,2))</f>
        <v/>
      </c>
      <c r="J447" s="2">
        <f>IF(I447=0.1,"极紧凑",IF(I447&gt;3.5,"紧凑",IF(AND(I447&gt;=2,I447&lt;=3.5),"标准",IF(AND(I447&gt;=1,I447&lt;2),"松散",""))))</f>
        <v/>
      </c>
      <c r="K447" s="2">
        <f>IF(I447=0.1,"极紧凑-豹子号",IF(AND(I447&gt;=1,I447&lt;=1.29),"松散-极松散",IF(AND(I447&gt;=1.33,I447&lt;=1.8),"松散-标准松散",IF(AND(I447&gt;=1.83,I447&lt;=1.89),"松散-偏紧松散",IF(AND(I447&gt;=2,I447&lt;=2.5),"标准-偏松标准",IF(AND(I447&gt;=2.57,I447&lt;=3),"标准-核心标准",IF(AND(I447&gt;=3.17,I447&lt;=3.5),"标准-偏紧标准",IF(AND(I447&gt;=3.6,I447&lt;=5),"紧凑-标准紧凑",IF(AND(I447&gt;=5.25,I447&lt;=8),"紧凑-高度紧凑",IF(I447&gt;=8.5,"紧凑-极度紧凑",""))))))))))</f>
        <v/>
      </c>
      <c r="L447" s="2">
        <f>IF(I447=0.1,"极紧凑",IF(AND(I447&gt;=1,I447&lt;=1.89),"松散",IF(AND(I447&gt;=2,I447&lt;=3.5),"标准",IF(I447&gt;=3.6,"紧凑",""))))</f>
        <v/>
      </c>
      <c r="M447" s="2" t="inlineStr">
        <is>
          <t>极紧凑-豹子号</t>
        </is>
      </c>
      <c r="N447" s="2" t="inlineStr">
        <is>
          <t>松散-极松散</t>
        </is>
      </c>
      <c r="O447" s="2" t="inlineStr">
        <is>
          <t>松散-标准松散</t>
        </is>
      </c>
      <c r="P447" s="2" t="inlineStr">
        <is>
          <t>松散-偏紧松散</t>
        </is>
      </c>
      <c r="Q447" s="2" t="inlineStr">
        <is>
          <t>标准-偏松标准</t>
        </is>
      </c>
      <c r="R447" s="2" t="inlineStr">
        <is>
          <t>标准-核心标准</t>
        </is>
      </c>
      <c r="S447" s="2" t="inlineStr">
        <is>
          <t>标准-偏紧标准</t>
        </is>
      </c>
      <c r="T447" s="2" t="inlineStr">
        <is>
          <t>紧凑-标准紧凑</t>
        </is>
      </c>
      <c r="U447" s="2" t="inlineStr">
        <is>
          <t>紧凑-高度紧凑</t>
        </is>
      </c>
      <c r="V447" s="2" t="inlineStr">
        <is>
          <t>紧凑-极度紧凑</t>
        </is>
      </c>
    </row>
    <row r="448">
      <c r="A448" s="1" t="n">
        <v>2024015</v>
      </c>
      <c r="B448" s="3" t="inlineStr">
        <is>
          <t>475</t>
        </is>
      </c>
      <c r="C448" s="2">
        <f>IF(B448="","",LEFT(TEXT(B448,"000"),1)*1)</f>
        <v/>
      </c>
      <c r="D448" s="2">
        <f>IF(B448="","",MID(TEXT(B448,"000"),2,1)*1)</f>
        <v/>
      </c>
      <c r="E448" s="2">
        <f>IF(B448="","",RIGHT(TEXT(B448,"000"),1)*1)</f>
        <v/>
      </c>
      <c r="F448" s="2">
        <f>IF(B448="","",C448+D448+E448)</f>
        <v/>
      </c>
      <c r="G448" s="2">
        <f>IF(B448="","",MOD(F448,10))</f>
        <v/>
      </c>
      <c r="H448" s="2">
        <f>IF(B448="","",MAX(C448,D448,E448)-MIN(C448,D448,E448))</f>
        <v/>
      </c>
      <c r="I448" s="2">
        <f>IF(OR(B448="",H448=0),IF(H448=0,0.1,""),ROUND(F448/H448,2))</f>
        <v/>
      </c>
      <c r="J448" s="2">
        <f>IF(I448=0.1,"极紧凑",IF(I448&gt;3.5,"紧凑",IF(AND(I448&gt;=2,I448&lt;=3.5),"标准",IF(AND(I448&gt;=1,I448&lt;2),"松散",""))))</f>
        <v/>
      </c>
      <c r="K448" s="2">
        <f>IF(I448=0.1,"极紧凑-豹子号",IF(AND(I448&gt;=1,I448&lt;=1.29),"松散-极松散",IF(AND(I448&gt;=1.33,I448&lt;=1.8),"松散-标准松散",IF(AND(I448&gt;=1.83,I448&lt;=1.89),"松散-偏紧松散",IF(AND(I448&gt;=2,I448&lt;=2.5),"标准-偏松标准",IF(AND(I448&gt;=2.57,I448&lt;=3),"标准-核心标准",IF(AND(I448&gt;=3.17,I448&lt;=3.5),"标准-偏紧标准",IF(AND(I448&gt;=3.6,I448&lt;=5),"紧凑-标准紧凑",IF(AND(I448&gt;=5.25,I448&lt;=8),"紧凑-高度紧凑",IF(I448&gt;=8.5,"紧凑-极度紧凑",""))))))))))</f>
        <v/>
      </c>
      <c r="L448" s="2">
        <f>IF(I448=0.1,"极紧凑",IF(AND(I448&gt;=1,I448&lt;=1.89),"松散",IF(AND(I448&gt;=2,I448&lt;=3.5),"标准",IF(I448&gt;=3.6,"紧凑",""))))</f>
        <v/>
      </c>
      <c r="M448" s="2" t="inlineStr">
        <is>
          <t>极紧凑-豹子号</t>
        </is>
      </c>
      <c r="N448" s="2" t="inlineStr">
        <is>
          <t>松散-极松散</t>
        </is>
      </c>
      <c r="O448" s="2" t="inlineStr">
        <is>
          <t>松散-标准松散</t>
        </is>
      </c>
      <c r="P448" s="2" t="inlineStr">
        <is>
          <t>松散-偏紧松散</t>
        </is>
      </c>
      <c r="Q448" s="2" t="inlineStr">
        <is>
          <t>标准-偏松标准</t>
        </is>
      </c>
      <c r="R448" s="2" t="inlineStr">
        <is>
          <t>标准-核心标准</t>
        </is>
      </c>
      <c r="S448" s="2" t="inlineStr">
        <is>
          <t>标准-偏紧标准</t>
        </is>
      </c>
      <c r="T448" s="2" t="inlineStr">
        <is>
          <t>紧凑-标准紧凑</t>
        </is>
      </c>
      <c r="U448" s="2" t="inlineStr">
        <is>
          <t>紧凑-高度紧凑</t>
        </is>
      </c>
      <c r="V448" s="2" t="inlineStr">
        <is>
          <t>紧凑-极度紧凑</t>
        </is>
      </c>
    </row>
    <row r="449">
      <c r="A449" s="1" t="n">
        <v>2024016</v>
      </c>
      <c r="B449" s="3" t="inlineStr">
        <is>
          <t>702</t>
        </is>
      </c>
      <c r="C449" s="2">
        <f>IF(B449="","",LEFT(TEXT(B449,"000"),1)*1)</f>
        <v/>
      </c>
      <c r="D449" s="2">
        <f>IF(B449="","",MID(TEXT(B449,"000"),2,1)*1)</f>
        <v/>
      </c>
      <c r="E449" s="2">
        <f>IF(B449="","",RIGHT(TEXT(B449,"000"),1)*1)</f>
        <v/>
      </c>
      <c r="F449" s="2">
        <f>IF(B449="","",C449+D449+E449)</f>
        <v/>
      </c>
      <c r="G449" s="2">
        <f>IF(B449="","",MOD(F449,10))</f>
        <v/>
      </c>
      <c r="H449" s="2">
        <f>IF(B449="","",MAX(C449,D449,E449)-MIN(C449,D449,E449))</f>
        <v/>
      </c>
      <c r="I449" s="2">
        <f>IF(OR(B449="",H449=0),IF(H449=0,0.1,""),ROUND(F449/H449,2))</f>
        <v/>
      </c>
      <c r="J449" s="2">
        <f>IF(I449=0.1,"极紧凑",IF(I449&gt;3.5,"紧凑",IF(AND(I449&gt;=2,I449&lt;=3.5),"标准",IF(AND(I449&gt;=1,I449&lt;2),"松散",""))))</f>
        <v/>
      </c>
      <c r="K449" s="2">
        <f>IF(I449=0.1,"极紧凑-豹子号",IF(AND(I449&gt;=1,I449&lt;=1.29),"松散-极松散",IF(AND(I449&gt;=1.33,I449&lt;=1.8),"松散-标准松散",IF(AND(I449&gt;=1.83,I449&lt;=1.89),"松散-偏紧松散",IF(AND(I449&gt;=2,I449&lt;=2.5),"标准-偏松标准",IF(AND(I449&gt;=2.57,I449&lt;=3),"标准-核心标准",IF(AND(I449&gt;=3.17,I449&lt;=3.5),"标准-偏紧标准",IF(AND(I449&gt;=3.6,I449&lt;=5),"紧凑-标准紧凑",IF(AND(I449&gt;=5.25,I449&lt;=8),"紧凑-高度紧凑",IF(I449&gt;=8.5,"紧凑-极度紧凑",""))))))))))</f>
        <v/>
      </c>
      <c r="L449" s="2">
        <f>IF(I449=0.1,"极紧凑",IF(AND(I449&gt;=1,I449&lt;=1.89),"松散",IF(AND(I449&gt;=2,I449&lt;=3.5),"标准",IF(I449&gt;=3.6,"紧凑",""))))</f>
        <v/>
      </c>
      <c r="M449" s="2" t="inlineStr">
        <is>
          <t>极紧凑-豹子号</t>
        </is>
      </c>
      <c r="N449" s="2" t="inlineStr">
        <is>
          <t>松散-极松散</t>
        </is>
      </c>
      <c r="O449" s="2" t="inlineStr">
        <is>
          <t>松散-标准松散</t>
        </is>
      </c>
      <c r="P449" s="2" t="inlineStr">
        <is>
          <t>松散-偏紧松散</t>
        </is>
      </c>
      <c r="Q449" s="2" t="inlineStr">
        <is>
          <t>标准-偏松标准</t>
        </is>
      </c>
      <c r="R449" s="2" t="inlineStr">
        <is>
          <t>标准-核心标准</t>
        </is>
      </c>
      <c r="S449" s="2" t="inlineStr">
        <is>
          <t>标准-偏紧标准</t>
        </is>
      </c>
      <c r="T449" s="2" t="inlineStr">
        <is>
          <t>紧凑-标准紧凑</t>
        </is>
      </c>
      <c r="U449" s="2" t="inlineStr">
        <is>
          <t>紧凑-高度紧凑</t>
        </is>
      </c>
      <c r="V449" s="2" t="inlineStr">
        <is>
          <t>紧凑-极度紧凑</t>
        </is>
      </c>
    </row>
    <row r="450">
      <c r="A450" s="1" t="n">
        <v>2024017</v>
      </c>
      <c r="B450" s="3" t="inlineStr">
        <is>
          <t>555</t>
        </is>
      </c>
      <c r="C450" s="2">
        <f>IF(B450="","",LEFT(TEXT(B450,"000"),1)*1)</f>
        <v/>
      </c>
      <c r="D450" s="2">
        <f>IF(B450="","",MID(TEXT(B450,"000"),2,1)*1)</f>
        <v/>
      </c>
      <c r="E450" s="2">
        <f>IF(B450="","",RIGHT(TEXT(B450,"000"),1)*1)</f>
        <v/>
      </c>
      <c r="F450" s="2">
        <f>IF(B450="","",C450+D450+E450)</f>
        <v/>
      </c>
      <c r="G450" s="2">
        <f>IF(B450="","",MOD(F450,10))</f>
        <v/>
      </c>
      <c r="H450" s="2">
        <f>IF(B450="","",MAX(C450,D450,E450)-MIN(C450,D450,E450))</f>
        <v/>
      </c>
      <c r="I450" s="2">
        <f>IF(OR(B450="",H450=0),IF(H450=0,0.1,""),ROUND(F450/H450,2))</f>
        <v/>
      </c>
      <c r="J450" s="2">
        <f>IF(I450=0.1,"极紧凑",IF(I450&gt;3.5,"紧凑",IF(AND(I450&gt;=2,I450&lt;=3.5),"标准",IF(AND(I450&gt;=1,I450&lt;2),"松散",""))))</f>
        <v/>
      </c>
      <c r="K450" s="2">
        <f>IF(I450=0.1,"极紧凑-豹子号",IF(AND(I450&gt;=1,I450&lt;=1.29),"松散-极松散",IF(AND(I450&gt;=1.33,I450&lt;=1.8),"松散-标准松散",IF(AND(I450&gt;=1.83,I450&lt;=1.89),"松散-偏紧松散",IF(AND(I450&gt;=2,I450&lt;=2.5),"标准-偏松标准",IF(AND(I450&gt;=2.57,I450&lt;=3),"标准-核心标准",IF(AND(I450&gt;=3.17,I450&lt;=3.5),"标准-偏紧标准",IF(AND(I450&gt;=3.6,I450&lt;=5),"紧凑-标准紧凑",IF(AND(I450&gt;=5.25,I450&lt;=8),"紧凑-高度紧凑",IF(I450&gt;=8.5,"紧凑-极度紧凑",""))))))))))</f>
        <v/>
      </c>
      <c r="L450" s="2">
        <f>IF(I450=0.1,"极紧凑",IF(AND(I450&gt;=1,I450&lt;=1.89),"松散",IF(AND(I450&gt;=2,I450&lt;=3.5),"标准",IF(I450&gt;=3.6,"紧凑",""))))</f>
        <v/>
      </c>
      <c r="M450" s="2" t="inlineStr">
        <is>
          <t>极紧凑-豹子号</t>
        </is>
      </c>
      <c r="N450" s="2" t="inlineStr">
        <is>
          <t>松散-极松散</t>
        </is>
      </c>
      <c r="O450" s="2" t="inlineStr">
        <is>
          <t>松散-标准松散</t>
        </is>
      </c>
      <c r="P450" s="2" t="inlineStr">
        <is>
          <t>松散-偏紧松散</t>
        </is>
      </c>
      <c r="Q450" s="2" t="inlineStr">
        <is>
          <t>标准-偏松标准</t>
        </is>
      </c>
      <c r="R450" s="2" t="inlineStr">
        <is>
          <t>标准-核心标准</t>
        </is>
      </c>
      <c r="S450" s="2" t="inlineStr">
        <is>
          <t>标准-偏紧标准</t>
        </is>
      </c>
      <c r="T450" s="2" t="inlineStr">
        <is>
          <t>紧凑-标准紧凑</t>
        </is>
      </c>
      <c r="U450" s="2" t="inlineStr">
        <is>
          <t>紧凑-高度紧凑</t>
        </is>
      </c>
      <c r="V450" s="2" t="inlineStr">
        <is>
          <t>紧凑-极度紧凑</t>
        </is>
      </c>
    </row>
    <row r="451">
      <c r="A451" s="1" t="n">
        <v>2024018</v>
      </c>
      <c r="B451" s="3" t="inlineStr">
        <is>
          <t>859</t>
        </is>
      </c>
      <c r="C451" s="2">
        <f>IF(B451="","",LEFT(TEXT(B451,"000"),1)*1)</f>
        <v/>
      </c>
      <c r="D451" s="2">
        <f>IF(B451="","",MID(TEXT(B451,"000"),2,1)*1)</f>
        <v/>
      </c>
      <c r="E451" s="2">
        <f>IF(B451="","",RIGHT(TEXT(B451,"000"),1)*1)</f>
        <v/>
      </c>
      <c r="F451" s="2">
        <f>IF(B451="","",C451+D451+E451)</f>
        <v/>
      </c>
      <c r="G451" s="2">
        <f>IF(B451="","",MOD(F451,10))</f>
        <v/>
      </c>
      <c r="H451" s="2">
        <f>IF(B451="","",MAX(C451,D451,E451)-MIN(C451,D451,E451))</f>
        <v/>
      </c>
      <c r="I451" s="2">
        <f>IF(OR(B451="",H451=0),IF(H451=0,0.1,""),ROUND(F451/H451,2))</f>
        <v/>
      </c>
      <c r="J451" s="2">
        <f>IF(I451=0.1,"极紧凑",IF(I451&gt;3.5,"紧凑",IF(AND(I451&gt;=2,I451&lt;=3.5),"标准",IF(AND(I451&gt;=1,I451&lt;2),"松散",""))))</f>
        <v/>
      </c>
      <c r="K451" s="2">
        <f>IF(I451=0.1,"极紧凑-豹子号",IF(AND(I451&gt;=1,I451&lt;=1.29),"松散-极松散",IF(AND(I451&gt;=1.33,I451&lt;=1.8),"松散-标准松散",IF(AND(I451&gt;=1.83,I451&lt;=1.89),"松散-偏紧松散",IF(AND(I451&gt;=2,I451&lt;=2.5),"标准-偏松标准",IF(AND(I451&gt;=2.57,I451&lt;=3),"标准-核心标准",IF(AND(I451&gt;=3.17,I451&lt;=3.5),"标准-偏紧标准",IF(AND(I451&gt;=3.6,I451&lt;=5),"紧凑-标准紧凑",IF(AND(I451&gt;=5.25,I451&lt;=8),"紧凑-高度紧凑",IF(I451&gt;=8.5,"紧凑-极度紧凑",""))))))))))</f>
        <v/>
      </c>
      <c r="L451" s="2">
        <f>IF(I451=0.1,"极紧凑",IF(AND(I451&gt;=1,I451&lt;=1.89),"松散",IF(AND(I451&gt;=2,I451&lt;=3.5),"标准",IF(I451&gt;=3.6,"紧凑",""))))</f>
        <v/>
      </c>
      <c r="M451" s="2" t="inlineStr">
        <is>
          <t>极紧凑-豹子号</t>
        </is>
      </c>
      <c r="N451" s="2" t="inlineStr">
        <is>
          <t>松散-极松散</t>
        </is>
      </c>
      <c r="O451" s="2" t="inlineStr">
        <is>
          <t>松散-标准松散</t>
        </is>
      </c>
      <c r="P451" s="2" t="inlineStr">
        <is>
          <t>松散-偏紧松散</t>
        </is>
      </c>
      <c r="Q451" s="2" t="inlineStr">
        <is>
          <t>标准-偏松标准</t>
        </is>
      </c>
      <c r="R451" s="2" t="inlineStr">
        <is>
          <t>标准-核心标准</t>
        </is>
      </c>
      <c r="S451" s="2" t="inlineStr">
        <is>
          <t>标准-偏紧标准</t>
        </is>
      </c>
      <c r="T451" s="2" t="inlineStr">
        <is>
          <t>紧凑-标准紧凑</t>
        </is>
      </c>
      <c r="U451" s="2" t="inlineStr">
        <is>
          <t>紧凑-高度紧凑</t>
        </is>
      </c>
      <c r="V451" s="2" t="inlineStr">
        <is>
          <t>紧凑-极度紧凑</t>
        </is>
      </c>
    </row>
    <row r="452">
      <c r="A452" s="1" t="n">
        <v>2024019</v>
      </c>
      <c r="B452" s="3" t="inlineStr">
        <is>
          <t>313</t>
        </is>
      </c>
      <c r="C452" s="2">
        <f>IF(B452="","",LEFT(TEXT(B452,"000"),1)*1)</f>
        <v/>
      </c>
      <c r="D452" s="2">
        <f>IF(B452="","",MID(TEXT(B452,"000"),2,1)*1)</f>
        <v/>
      </c>
      <c r="E452" s="2">
        <f>IF(B452="","",RIGHT(TEXT(B452,"000"),1)*1)</f>
        <v/>
      </c>
      <c r="F452" s="2">
        <f>IF(B452="","",C452+D452+E452)</f>
        <v/>
      </c>
      <c r="G452" s="2">
        <f>IF(B452="","",MOD(F452,10))</f>
        <v/>
      </c>
      <c r="H452" s="2">
        <f>IF(B452="","",MAX(C452,D452,E452)-MIN(C452,D452,E452))</f>
        <v/>
      </c>
      <c r="I452" s="2">
        <f>IF(OR(B452="",H452=0),IF(H452=0,0.1,""),ROUND(F452/H452,2))</f>
        <v/>
      </c>
      <c r="J452" s="2">
        <f>IF(I452=0.1,"极紧凑",IF(I452&gt;3.5,"紧凑",IF(AND(I452&gt;=2,I452&lt;=3.5),"标准",IF(AND(I452&gt;=1,I452&lt;2),"松散",""))))</f>
        <v/>
      </c>
      <c r="K452" s="2">
        <f>IF(I452=0.1,"极紧凑-豹子号",IF(AND(I452&gt;=1,I452&lt;=1.29),"松散-极松散",IF(AND(I452&gt;=1.33,I452&lt;=1.8),"松散-标准松散",IF(AND(I452&gt;=1.83,I452&lt;=1.89),"松散-偏紧松散",IF(AND(I452&gt;=2,I452&lt;=2.5),"标准-偏松标准",IF(AND(I452&gt;=2.57,I452&lt;=3),"标准-核心标准",IF(AND(I452&gt;=3.17,I452&lt;=3.5),"标准-偏紧标准",IF(AND(I452&gt;=3.6,I452&lt;=5),"紧凑-标准紧凑",IF(AND(I452&gt;=5.25,I452&lt;=8),"紧凑-高度紧凑",IF(I452&gt;=8.5,"紧凑-极度紧凑",""))))))))))</f>
        <v/>
      </c>
      <c r="L452" s="2">
        <f>IF(I452=0.1,"极紧凑",IF(AND(I452&gt;=1,I452&lt;=1.89),"松散",IF(AND(I452&gt;=2,I452&lt;=3.5),"标准",IF(I452&gt;=3.6,"紧凑",""))))</f>
        <v/>
      </c>
      <c r="M452" s="2" t="inlineStr">
        <is>
          <t>极紧凑-豹子号</t>
        </is>
      </c>
      <c r="N452" s="2" t="inlineStr">
        <is>
          <t>松散-极松散</t>
        </is>
      </c>
      <c r="O452" s="2" t="inlineStr">
        <is>
          <t>松散-标准松散</t>
        </is>
      </c>
      <c r="P452" s="2" t="inlineStr">
        <is>
          <t>松散-偏紧松散</t>
        </is>
      </c>
      <c r="Q452" s="2" t="inlineStr">
        <is>
          <t>标准-偏松标准</t>
        </is>
      </c>
      <c r="R452" s="2" t="inlineStr">
        <is>
          <t>标准-核心标准</t>
        </is>
      </c>
      <c r="S452" s="2" t="inlineStr">
        <is>
          <t>标准-偏紧标准</t>
        </is>
      </c>
      <c r="T452" s="2" t="inlineStr">
        <is>
          <t>紧凑-标准紧凑</t>
        </is>
      </c>
      <c r="U452" s="2" t="inlineStr">
        <is>
          <t>紧凑-高度紧凑</t>
        </is>
      </c>
      <c r="V452" s="2" t="inlineStr">
        <is>
          <t>紧凑-极度紧凑</t>
        </is>
      </c>
    </row>
    <row r="453">
      <c r="A453" s="1" t="n">
        <v>2024020</v>
      </c>
      <c r="B453" s="3" t="inlineStr">
        <is>
          <t>406</t>
        </is>
      </c>
      <c r="C453" s="2">
        <f>IF(B453="","",LEFT(TEXT(B453,"000"),1)*1)</f>
        <v/>
      </c>
      <c r="D453" s="2">
        <f>IF(B453="","",MID(TEXT(B453,"000"),2,1)*1)</f>
        <v/>
      </c>
      <c r="E453" s="2">
        <f>IF(B453="","",RIGHT(TEXT(B453,"000"),1)*1)</f>
        <v/>
      </c>
      <c r="F453" s="2">
        <f>IF(B453="","",C453+D453+E453)</f>
        <v/>
      </c>
      <c r="G453" s="2">
        <f>IF(B453="","",MOD(F453,10))</f>
        <v/>
      </c>
      <c r="H453" s="2">
        <f>IF(B453="","",MAX(C453,D453,E453)-MIN(C453,D453,E453))</f>
        <v/>
      </c>
      <c r="I453" s="2">
        <f>IF(OR(B453="",H453=0),IF(H453=0,0.1,""),ROUND(F453/H453,2))</f>
        <v/>
      </c>
      <c r="J453" s="2">
        <f>IF(I453=0.1,"极紧凑",IF(I453&gt;3.5,"紧凑",IF(AND(I453&gt;=2,I453&lt;=3.5),"标准",IF(AND(I453&gt;=1,I453&lt;2),"松散",""))))</f>
        <v/>
      </c>
      <c r="K453" s="2">
        <f>IF(I453=0.1,"极紧凑-豹子号",IF(AND(I453&gt;=1,I453&lt;=1.29),"松散-极松散",IF(AND(I453&gt;=1.33,I453&lt;=1.8),"松散-标准松散",IF(AND(I453&gt;=1.83,I453&lt;=1.89),"松散-偏紧松散",IF(AND(I453&gt;=2,I453&lt;=2.5),"标准-偏松标准",IF(AND(I453&gt;=2.57,I453&lt;=3),"标准-核心标准",IF(AND(I453&gt;=3.17,I453&lt;=3.5),"标准-偏紧标准",IF(AND(I453&gt;=3.6,I453&lt;=5),"紧凑-标准紧凑",IF(AND(I453&gt;=5.25,I453&lt;=8),"紧凑-高度紧凑",IF(I453&gt;=8.5,"紧凑-极度紧凑",""))))))))))</f>
        <v/>
      </c>
      <c r="L453" s="2">
        <f>IF(I453=0.1,"极紧凑",IF(AND(I453&gt;=1,I453&lt;=1.89),"松散",IF(AND(I453&gt;=2,I453&lt;=3.5),"标准",IF(I453&gt;=3.6,"紧凑",""))))</f>
        <v/>
      </c>
      <c r="M453" s="2" t="inlineStr">
        <is>
          <t>极紧凑-豹子号</t>
        </is>
      </c>
      <c r="N453" s="2" t="inlineStr">
        <is>
          <t>松散-极松散</t>
        </is>
      </c>
      <c r="O453" s="2" t="inlineStr">
        <is>
          <t>松散-标准松散</t>
        </is>
      </c>
      <c r="P453" s="2" t="inlineStr">
        <is>
          <t>松散-偏紧松散</t>
        </is>
      </c>
      <c r="Q453" s="2" t="inlineStr">
        <is>
          <t>标准-偏松标准</t>
        </is>
      </c>
      <c r="R453" s="2" t="inlineStr">
        <is>
          <t>标准-核心标准</t>
        </is>
      </c>
      <c r="S453" s="2" t="inlineStr">
        <is>
          <t>标准-偏紧标准</t>
        </is>
      </c>
      <c r="T453" s="2" t="inlineStr">
        <is>
          <t>紧凑-标准紧凑</t>
        </is>
      </c>
      <c r="U453" s="2" t="inlineStr">
        <is>
          <t>紧凑-高度紧凑</t>
        </is>
      </c>
      <c r="V453" s="2" t="inlineStr">
        <is>
          <t>紧凑-极度紧凑</t>
        </is>
      </c>
    </row>
    <row r="454">
      <c r="A454" s="1" t="n">
        <v>2024021</v>
      </c>
      <c r="B454" s="3" t="inlineStr">
        <is>
          <t>370</t>
        </is>
      </c>
      <c r="C454" s="2">
        <f>IF(B454="","",LEFT(TEXT(B454,"000"),1)*1)</f>
        <v/>
      </c>
      <c r="D454" s="2">
        <f>IF(B454="","",MID(TEXT(B454,"000"),2,1)*1)</f>
        <v/>
      </c>
      <c r="E454" s="2">
        <f>IF(B454="","",RIGHT(TEXT(B454,"000"),1)*1)</f>
        <v/>
      </c>
      <c r="F454" s="2">
        <f>IF(B454="","",C454+D454+E454)</f>
        <v/>
      </c>
      <c r="G454" s="2">
        <f>IF(B454="","",MOD(F454,10))</f>
        <v/>
      </c>
      <c r="H454" s="2">
        <f>IF(B454="","",MAX(C454,D454,E454)-MIN(C454,D454,E454))</f>
        <v/>
      </c>
      <c r="I454" s="2">
        <f>IF(OR(B454="",H454=0),IF(H454=0,0.1,""),ROUND(F454/H454,2))</f>
        <v/>
      </c>
      <c r="J454" s="2">
        <f>IF(I454=0.1,"极紧凑",IF(I454&gt;3.5,"紧凑",IF(AND(I454&gt;=2,I454&lt;=3.5),"标准",IF(AND(I454&gt;=1,I454&lt;2),"松散",""))))</f>
        <v/>
      </c>
      <c r="K454" s="2">
        <f>IF(I454=0.1,"极紧凑-豹子号",IF(AND(I454&gt;=1,I454&lt;=1.29),"松散-极松散",IF(AND(I454&gt;=1.33,I454&lt;=1.8),"松散-标准松散",IF(AND(I454&gt;=1.83,I454&lt;=1.89),"松散-偏紧松散",IF(AND(I454&gt;=2,I454&lt;=2.5),"标准-偏松标准",IF(AND(I454&gt;=2.57,I454&lt;=3),"标准-核心标准",IF(AND(I454&gt;=3.17,I454&lt;=3.5),"标准-偏紧标准",IF(AND(I454&gt;=3.6,I454&lt;=5),"紧凑-标准紧凑",IF(AND(I454&gt;=5.25,I454&lt;=8),"紧凑-高度紧凑",IF(I454&gt;=8.5,"紧凑-极度紧凑",""))))))))))</f>
        <v/>
      </c>
      <c r="L454" s="2">
        <f>IF(I454=0.1,"极紧凑",IF(AND(I454&gt;=1,I454&lt;=1.89),"松散",IF(AND(I454&gt;=2,I454&lt;=3.5),"标准",IF(I454&gt;=3.6,"紧凑",""))))</f>
        <v/>
      </c>
      <c r="M454" s="2" t="inlineStr">
        <is>
          <t>极紧凑-豹子号</t>
        </is>
      </c>
      <c r="N454" s="2" t="inlineStr">
        <is>
          <t>松散-极松散</t>
        </is>
      </c>
      <c r="O454" s="2" t="inlineStr">
        <is>
          <t>松散-标准松散</t>
        </is>
      </c>
      <c r="P454" s="2" t="inlineStr">
        <is>
          <t>松散-偏紧松散</t>
        </is>
      </c>
      <c r="Q454" s="2" t="inlineStr">
        <is>
          <t>标准-偏松标准</t>
        </is>
      </c>
      <c r="R454" s="2" t="inlineStr">
        <is>
          <t>标准-核心标准</t>
        </is>
      </c>
      <c r="S454" s="2" t="inlineStr">
        <is>
          <t>标准-偏紧标准</t>
        </is>
      </c>
      <c r="T454" s="2" t="inlineStr">
        <is>
          <t>紧凑-标准紧凑</t>
        </is>
      </c>
      <c r="U454" s="2" t="inlineStr">
        <is>
          <t>紧凑-高度紧凑</t>
        </is>
      </c>
      <c r="V454" s="2" t="inlineStr">
        <is>
          <t>紧凑-极度紧凑</t>
        </is>
      </c>
    </row>
    <row r="455">
      <c r="A455" s="1" t="n">
        <v>2024022</v>
      </c>
      <c r="B455" s="3" t="inlineStr">
        <is>
          <t>124</t>
        </is>
      </c>
      <c r="C455" s="2">
        <f>IF(B455="","",LEFT(TEXT(B455,"000"),1)*1)</f>
        <v/>
      </c>
      <c r="D455" s="2">
        <f>IF(B455="","",MID(TEXT(B455,"000"),2,1)*1)</f>
        <v/>
      </c>
      <c r="E455" s="2">
        <f>IF(B455="","",RIGHT(TEXT(B455,"000"),1)*1)</f>
        <v/>
      </c>
      <c r="F455" s="2">
        <f>IF(B455="","",C455+D455+E455)</f>
        <v/>
      </c>
      <c r="G455" s="2">
        <f>IF(B455="","",MOD(F455,10))</f>
        <v/>
      </c>
      <c r="H455" s="2">
        <f>IF(B455="","",MAX(C455,D455,E455)-MIN(C455,D455,E455))</f>
        <v/>
      </c>
      <c r="I455" s="2">
        <f>IF(OR(B455="",H455=0),IF(H455=0,0.1,""),ROUND(F455/H455,2))</f>
        <v/>
      </c>
      <c r="J455" s="2">
        <f>IF(I455=0.1,"极紧凑",IF(I455&gt;3.5,"紧凑",IF(AND(I455&gt;=2,I455&lt;=3.5),"标准",IF(AND(I455&gt;=1,I455&lt;2),"松散",""))))</f>
        <v/>
      </c>
      <c r="K455" s="2">
        <f>IF(I455=0.1,"极紧凑-豹子号",IF(AND(I455&gt;=1,I455&lt;=1.29),"松散-极松散",IF(AND(I455&gt;=1.33,I455&lt;=1.8),"松散-标准松散",IF(AND(I455&gt;=1.83,I455&lt;=1.89),"松散-偏紧松散",IF(AND(I455&gt;=2,I455&lt;=2.5),"标准-偏松标准",IF(AND(I455&gt;=2.57,I455&lt;=3),"标准-核心标准",IF(AND(I455&gt;=3.17,I455&lt;=3.5),"标准-偏紧标准",IF(AND(I455&gt;=3.6,I455&lt;=5),"紧凑-标准紧凑",IF(AND(I455&gt;=5.25,I455&lt;=8),"紧凑-高度紧凑",IF(I455&gt;=8.5,"紧凑-极度紧凑",""))))))))))</f>
        <v/>
      </c>
      <c r="L455" s="2">
        <f>IF(I455=0.1,"极紧凑",IF(AND(I455&gt;=1,I455&lt;=1.89),"松散",IF(AND(I455&gt;=2,I455&lt;=3.5),"标准",IF(I455&gt;=3.6,"紧凑",""))))</f>
        <v/>
      </c>
      <c r="M455" s="2" t="inlineStr">
        <is>
          <t>极紧凑-豹子号</t>
        </is>
      </c>
      <c r="N455" s="2" t="inlineStr">
        <is>
          <t>松散-极松散</t>
        </is>
      </c>
      <c r="O455" s="2" t="inlineStr">
        <is>
          <t>松散-标准松散</t>
        </is>
      </c>
      <c r="P455" s="2" t="inlineStr">
        <is>
          <t>松散-偏紧松散</t>
        </is>
      </c>
      <c r="Q455" s="2" t="inlineStr">
        <is>
          <t>标准-偏松标准</t>
        </is>
      </c>
      <c r="R455" s="2" t="inlineStr">
        <is>
          <t>标准-核心标准</t>
        </is>
      </c>
      <c r="S455" s="2" t="inlineStr">
        <is>
          <t>标准-偏紧标准</t>
        </is>
      </c>
      <c r="T455" s="2" t="inlineStr">
        <is>
          <t>紧凑-标准紧凑</t>
        </is>
      </c>
      <c r="U455" s="2" t="inlineStr">
        <is>
          <t>紧凑-高度紧凑</t>
        </is>
      </c>
      <c r="V455" s="2" t="inlineStr">
        <is>
          <t>紧凑-极度紧凑</t>
        </is>
      </c>
    </row>
    <row r="456">
      <c r="A456" s="1" t="n">
        <v>2024023</v>
      </c>
      <c r="B456" s="3" t="inlineStr">
        <is>
          <t>793</t>
        </is>
      </c>
      <c r="C456" s="2">
        <f>IF(B456="","",LEFT(TEXT(B456,"000"),1)*1)</f>
        <v/>
      </c>
      <c r="D456" s="2">
        <f>IF(B456="","",MID(TEXT(B456,"000"),2,1)*1)</f>
        <v/>
      </c>
      <c r="E456" s="2">
        <f>IF(B456="","",RIGHT(TEXT(B456,"000"),1)*1)</f>
        <v/>
      </c>
      <c r="F456" s="2">
        <f>IF(B456="","",C456+D456+E456)</f>
        <v/>
      </c>
      <c r="G456" s="2">
        <f>IF(B456="","",MOD(F456,10))</f>
        <v/>
      </c>
      <c r="H456" s="2">
        <f>IF(B456="","",MAX(C456,D456,E456)-MIN(C456,D456,E456))</f>
        <v/>
      </c>
      <c r="I456" s="2">
        <f>IF(OR(B456="",H456=0),IF(H456=0,0.1,""),ROUND(F456/H456,2))</f>
        <v/>
      </c>
      <c r="J456" s="2">
        <f>IF(I456=0.1,"极紧凑",IF(I456&gt;3.5,"紧凑",IF(AND(I456&gt;=2,I456&lt;=3.5),"标准",IF(AND(I456&gt;=1,I456&lt;2),"松散",""))))</f>
        <v/>
      </c>
      <c r="K456" s="2">
        <f>IF(I456=0.1,"极紧凑-豹子号",IF(AND(I456&gt;=1,I456&lt;=1.29),"松散-极松散",IF(AND(I456&gt;=1.33,I456&lt;=1.8),"松散-标准松散",IF(AND(I456&gt;=1.83,I456&lt;=1.89),"松散-偏紧松散",IF(AND(I456&gt;=2,I456&lt;=2.5),"标准-偏松标准",IF(AND(I456&gt;=2.57,I456&lt;=3),"标准-核心标准",IF(AND(I456&gt;=3.17,I456&lt;=3.5),"标准-偏紧标准",IF(AND(I456&gt;=3.6,I456&lt;=5),"紧凑-标准紧凑",IF(AND(I456&gt;=5.25,I456&lt;=8),"紧凑-高度紧凑",IF(I456&gt;=8.5,"紧凑-极度紧凑",""))))))))))</f>
        <v/>
      </c>
      <c r="L456" s="2">
        <f>IF(I456=0.1,"极紧凑",IF(AND(I456&gt;=1,I456&lt;=1.89),"松散",IF(AND(I456&gt;=2,I456&lt;=3.5),"标准",IF(I456&gt;=3.6,"紧凑",""))))</f>
        <v/>
      </c>
      <c r="M456" s="2" t="inlineStr">
        <is>
          <t>极紧凑-豹子号</t>
        </is>
      </c>
      <c r="N456" s="2" t="inlineStr">
        <is>
          <t>松散-极松散</t>
        </is>
      </c>
      <c r="O456" s="2" t="inlineStr">
        <is>
          <t>松散-标准松散</t>
        </is>
      </c>
      <c r="P456" s="2" t="inlineStr">
        <is>
          <t>松散-偏紧松散</t>
        </is>
      </c>
      <c r="Q456" s="2" t="inlineStr">
        <is>
          <t>标准-偏松标准</t>
        </is>
      </c>
      <c r="R456" s="2" t="inlineStr">
        <is>
          <t>标准-核心标准</t>
        </is>
      </c>
      <c r="S456" s="2" t="inlineStr">
        <is>
          <t>标准-偏紧标准</t>
        </is>
      </c>
      <c r="T456" s="2" t="inlineStr">
        <is>
          <t>紧凑-标准紧凑</t>
        </is>
      </c>
      <c r="U456" s="2" t="inlineStr">
        <is>
          <t>紧凑-高度紧凑</t>
        </is>
      </c>
      <c r="V456" s="2" t="inlineStr">
        <is>
          <t>紧凑-极度紧凑</t>
        </is>
      </c>
    </row>
    <row r="457">
      <c r="A457" s="1" t="n">
        <v>2024024</v>
      </c>
      <c r="B457" s="3" t="inlineStr">
        <is>
          <t>199</t>
        </is>
      </c>
      <c r="C457" s="2">
        <f>IF(B457="","",LEFT(TEXT(B457,"000"),1)*1)</f>
        <v/>
      </c>
      <c r="D457" s="2">
        <f>IF(B457="","",MID(TEXT(B457,"000"),2,1)*1)</f>
        <v/>
      </c>
      <c r="E457" s="2">
        <f>IF(B457="","",RIGHT(TEXT(B457,"000"),1)*1)</f>
        <v/>
      </c>
      <c r="F457" s="2">
        <f>IF(B457="","",C457+D457+E457)</f>
        <v/>
      </c>
      <c r="G457" s="2">
        <f>IF(B457="","",MOD(F457,10))</f>
        <v/>
      </c>
      <c r="H457" s="2">
        <f>IF(B457="","",MAX(C457,D457,E457)-MIN(C457,D457,E457))</f>
        <v/>
      </c>
      <c r="I457" s="2">
        <f>IF(OR(B457="",H457=0),IF(H457=0,0.1,""),ROUND(F457/H457,2))</f>
        <v/>
      </c>
      <c r="J457" s="2">
        <f>IF(I457=0.1,"极紧凑",IF(I457&gt;3.5,"紧凑",IF(AND(I457&gt;=2,I457&lt;=3.5),"标准",IF(AND(I457&gt;=1,I457&lt;2),"松散",""))))</f>
        <v/>
      </c>
      <c r="K457" s="2">
        <f>IF(I457=0.1,"极紧凑-豹子号",IF(AND(I457&gt;=1,I457&lt;=1.29),"松散-极松散",IF(AND(I457&gt;=1.33,I457&lt;=1.8),"松散-标准松散",IF(AND(I457&gt;=1.83,I457&lt;=1.89),"松散-偏紧松散",IF(AND(I457&gt;=2,I457&lt;=2.5),"标准-偏松标准",IF(AND(I457&gt;=2.57,I457&lt;=3),"标准-核心标准",IF(AND(I457&gt;=3.17,I457&lt;=3.5),"标准-偏紧标准",IF(AND(I457&gt;=3.6,I457&lt;=5),"紧凑-标准紧凑",IF(AND(I457&gt;=5.25,I457&lt;=8),"紧凑-高度紧凑",IF(I457&gt;=8.5,"紧凑-极度紧凑",""))))))))))</f>
        <v/>
      </c>
      <c r="L457" s="2">
        <f>IF(I457=0.1,"极紧凑",IF(AND(I457&gt;=1,I457&lt;=1.89),"松散",IF(AND(I457&gt;=2,I457&lt;=3.5),"标准",IF(I457&gt;=3.6,"紧凑",""))))</f>
        <v/>
      </c>
      <c r="M457" s="2" t="inlineStr">
        <is>
          <t>极紧凑-豹子号</t>
        </is>
      </c>
      <c r="N457" s="2" t="inlineStr">
        <is>
          <t>松散-极松散</t>
        </is>
      </c>
      <c r="O457" s="2" t="inlineStr">
        <is>
          <t>松散-标准松散</t>
        </is>
      </c>
      <c r="P457" s="2" t="inlineStr">
        <is>
          <t>松散-偏紧松散</t>
        </is>
      </c>
      <c r="Q457" s="2" t="inlineStr">
        <is>
          <t>标准-偏松标准</t>
        </is>
      </c>
      <c r="R457" s="2" t="inlineStr">
        <is>
          <t>标准-核心标准</t>
        </is>
      </c>
      <c r="S457" s="2" t="inlineStr">
        <is>
          <t>标准-偏紧标准</t>
        </is>
      </c>
      <c r="T457" s="2" t="inlineStr">
        <is>
          <t>紧凑-标准紧凑</t>
        </is>
      </c>
      <c r="U457" s="2" t="inlineStr">
        <is>
          <t>紧凑-高度紧凑</t>
        </is>
      </c>
      <c r="V457" s="2" t="inlineStr">
        <is>
          <t>紧凑-极度紧凑</t>
        </is>
      </c>
    </row>
    <row r="458">
      <c r="A458" s="1" t="n">
        <v>2024025</v>
      </c>
      <c r="B458" s="3" t="inlineStr">
        <is>
          <t>314</t>
        </is>
      </c>
      <c r="C458" s="2">
        <f>IF(B458="","",LEFT(TEXT(B458,"000"),1)*1)</f>
        <v/>
      </c>
      <c r="D458" s="2">
        <f>IF(B458="","",MID(TEXT(B458,"000"),2,1)*1)</f>
        <v/>
      </c>
      <c r="E458" s="2">
        <f>IF(B458="","",RIGHT(TEXT(B458,"000"),1)*1)</f>
        <v/>
      </c>
      <c r="F458" s="2">
        <f>IF(B458="","",C458+D458+E458)</f>
        <v/>
      </c>
      <c r="G458" s="2">
        <f>IF(B458="","",MOD(F458,10))</f>
        <v/>
      </c>
      <c r="H458" s="2">
        <f>IF(B458="","",MAX(C458,D458,E458)-MIN(C458,D458,E458))</f>
        <v/>
      </c>
      <c r="I458" s="2">
        <f>IF(OR(B458="",H458=0),IF(H458=0,0.1,""),ROUND(F458/H458,2))</f>
        <v/>
      </c>
      <c r="J458" s="2">
        <f>IF(I458=0.1,"极紧凑",IF(I458&gt;3.5,"紧凑",IF(AND(I458&gt;=2,I458&lt;=3.5),"标准",IF(AND(I458&gt;=1,I458&lt;2),"松散",""))))</f>
        <v/>
      </c>
      <c r="K458" s="2">
        <f>IF(I458=0.1,"极紧凑-豹子号",IF(AND(I458&gt;=1,I458&lt;=1.29),"松散-极松散",IF(AND(I458&gt;=1.33,I458&lt;=1.8),"松散-标准松散",IF(AND(I458&gt;=1.83,I458&lt;=1.89),"松散-偏紧松散",IF(AND(I458&gt;=2,I458&lt;=2.5),"标准-偏松标准",IF(AND(I458&gt;=2.57,I458&lt;=3),"标准-核心标准",IF(AND(I458&gt;=3.17,I458&lt;=3.5),"标准-偏紧标准",IF(AND(I458&gt;=3.6,I458&lt;=5),"紧凑-标准紧凑",IF(AND(I458&gt;=5.25,I458&lt;=8),"紧凑-高度紧凑",IF(I458&gt;=8.5,"紧凑-极度紧凑",""))))))))))</f>
        <v/>
      </c>
      <c r="L458" s="2">
        <f>IF(I458=0.1,"极紧凑",IF(AND(I458&gt;=1,I458&lt;=1.89),"松散",IF(AND(I458&gt;=2,I458&lt;=3.5),"标准",IF(I458&gt;=3.6,"紧凑",""))))</f>
        <v/>
      </c>
      <c r="M458" s="2" t="inlineStr">
        <is>
          <t>极紧凑-豹子号</t>
        </is>
      </c>
      <c r="N458" s="2" t="inlineStr">
        <is>
          <t>松散-极松散</t>
        </is>
      </c>
      <c r="O458" s="2" t="inlineStr">
        <is>
          <t>松散-标准松散</t>
        </is>
      </c>
      <c r="P458" s="2" t="inlineStr">
        <is>
          <t>松散-偏紧松散</t>
        </is>
      </c>
      <c r="Q458" s="2" t="inlineStr">
        <is>
          <t>标准-偏松标准</t>
        </is>
      </c>
      <c r="R458" s="2" t="inlineStr">
        <is>
          <t>标准-核心标准</t>
        </is>
      </c>
      <c r="S458" s="2" t="inlineStr">
        <is>
          <t>标准-偏紧标准</t>
        </is>
      </c>
      <c r="T458" s="2" t="inlineStr">
        <is>
          <t>紧凑-标准紧凑</t>
        </is>
      </c>
      <c r="U458" s="2" t="inlineStr">
        <is>
          <t>紧凑-高度紧凑</t>
        </is>
      </c>
      <c r="V458" s="2" t="inlineStr">
        <is>
          <t>紧凑-极度紧凑</t>
        </is>
      </c>
    </row>
    <row r="459">
      <c r="A459" s="1" t="n">
        <v>2024026</v>
      </c>
      <c r="B459" s="3" t="inlineStr">
        <is>
          <t>751</t>
        </is>
      </c>
      <c r="C459" s="2">
        <f>IF(B459="","",LEFT(TEXT(B459,"000"),1)*1)</f>
        <v/>
      </c>
      <c r="D459" s="2">
        <f>IF(B459="","",MID(TEXT(B459,"000"),2,1)*1)</f>
        <v/>
      </c>
      <c r="E459" s="2">
        <f>IF(B459="","",RIGHT(TEXT(B459,"000"),1)*1)</f>
        <v/>
      </c>
      <c r="F459" s="2">
        <f>IF(B459="","",C459+D459+E459)</f>
        <v/>
      </c>
      <c r="G459" s="2">
        <f>IF(B459="","",MOD(F459,10))</f>
        <v/>
      </c>
      <c r="H459" s="2">
        <f>IF(B459="","",MAX(C459,D459,E459)-MIN(C459,D459,E459))</f>
        <v/>
      </c>
      <c r="I459" s="2">
        <f>IF(OR(B459="",H459=0),IF(H459=0,0.1,""),ROUND(F459/H459,2))</f>
        <v/>
      </c>
      <c r="J459" s="2">
        <f>IF(I459=0.1,"极紧凑",IF(I459&gt;3.5,"紧凑",IF(AND(I459&gt;=2,I459&lt;=3.5),"标准",IF(AND(I459&gt;=1,I459&lt;2),"松散",""))))</f>
        <v/>
      </c>
      <c r="K459" s="2">
        <f>IF(I459=0.1,"极紧凑-豹子号",IF(AND(I459&gt;=1,I459&lt;=1.29),"松散-极松散",IF(AND(I459&gt;=1.33,I459&lt;=1.8),"松散-标准松散",IF(AND(I459&gt;=1.83,I459&lt;=1.89),"松散-偏紧松散",IF(AND(I459&gt;=2,I459&lt;=2.5),"标准-偏松标准",IF(AND(I459&gt;=2.57,I459&lt;=3),"标准-核心标准",IF(AND(I459&gt;=3.17,I459&lt;=3.5),"标准-偏紧标准",IF(AND(I459&gt;=3.6,I459&lt;=5),"紧凑-标准紧凑",IF(AND(I459&gt;=5.25,I459&lt;=8),"紧凑-高度紧凑",IF(I459&gt;=8.5,"紧凑-极度紧凑",""))))))))))</f>
        <v/>
      </c>
      <c r="L459" s="2">
        <f>IF(I459=0.1,"极紧凑",IF(AND(I459&gt;=1,I459&lt;=1.89),"松散",IF(AND(I459&gt;=2,I459&lt;=3.5),"标准",IF(I459&gt;=3.6,"紧凑",""))))</f>
        <v/>
      </c>
      <c r="M459" s="2" t="inlineStr">
        <is>
          <t>极紧凑-豹子号</t>
        </is>
      </c>
      <c r="N459" s="2" t="inlineStr">
        <is>
          <t>松散-极松散</t>
        </is>
      </c>
      <c r="O459" s="2" t="inlineStr">
        <is>
          <t>松散-标准松散</t>
        </is>
      </c>
      <c r="P459" s="2" t="inlineStr">
        <is>
          <t>松散-偏紧松散</t>
        </is>
      </c>
      <c r="Q459" s="2" t="inlineStr">
        <is>
          <t>标准-偏松标准</t>
        </is>
      </c>
      <c r="R459" s="2" t="inlineStr">
        <is>
          <t>标准-核心标准</t>
        </is>
      </c>
      <c r="S459" s="2" t="inlineStr">
        <is>
          <t>标准-偏紧标准</t>
        </is>
      </c>
      <c r="T459" s="2" t="inlineStr">
        <is>
          <t>紧凑-标准紧凑</t>
        </is>
      </c>
      <c r="U459" s="2" t="inlineStr">
        <is>
          <t>紧凑-高度紧凑</t>
        </is>
      </c>
      <c r="V459" s="2" t="inlineStr">
        <is>
          <t>紧凑-极度紧凑</t>
        </is>
      </c>
    </row>
    <row r="460">
      <c r="A460" s="1" t="n">
        <v>2024027</v>
      </c>
      <c r="B460" s="3" t="inlineStr">
        <is>
          <t>502</t>
        </is>
      </c>
      <c r="C460" s="2">
        <f>IF(B460="","",LEFT(TEXT(B460,"000"),1)*1)</f>
        <v/>
      </c>
      <c r="D460" s="2">
        <f>IF(B460="","",MID(TEXT(B460,"000"),2,1)*1)</f>
        <v/>
      </c>
      <c r="E460" s="2">
        <f>IF(B460="","",RIGHT(TEXT(B460,"000"),1)*1)</f>
        <v/>
      </c>
      <c r="F460" s="2">
        <f>IF(B460="","",C460+D460+E460)</f>
        <v/>
      </c>
      <c r="G460" s="2">
        <f>IF(B460="","",MOD(F460,10))</f>
        <v/>
      </c>
      <c r="H460" s="2">
        <f>IF(B460="","",MAX(C460,D460,E460)-MIN(C460,D460,E460))</f>
        <v/>
      </c>
      <c r="I460" s="2">
        <f>IF(OR(B460="",H460=0),IF(H460=0,0.1,""),ROUND(F460/H460,2))</f>
        <v/>
      </c>
      <c r="J460" s="2">
        <f>IF(I460=0.1,"极紧凑",IF(I460&gt;3.5,"紧凑",IF(AND(I460&gt;=2,I460&lt;=3.5),"标准",IF(AND(I460&gt;=1,I460&lt;2),"松散",""))))</f>
        <v/>
      </c>
      <c r="K460" s="2">
        <f>IF(I460=0.1,"极紧凑-豹子号",IF(AND(I460&gt;=1,I460&lt;=1.29),"松散-极松散",IF(AND(I460&gt;=1.33,I460&lt;=1.8),"松散-标准松散",IF(AND(I460&gt;=1.83,I460&lt;=1.89),"松散-偏紧松散",IF(AND(I460&gt;=2,I460&lt;=2.5),"标准-偏松标准",IF(AND(I460&gt;=2.57,I460&lt;=3),"标准-核心标准",IF(AND(I460&gt;=3.17,I460&lt;=3.5),"标准-偏紧标准",IF(AND(I460&gt;=3.6,I460&lt;=5),"紧凑-标准紧凑",IF(AND(I460&gt;=5.25,I460&lt;=8),"紧凑-高度紧凑",IF(I460&gt;=8.5,"紧凑-极度紧凑",""))))))))))</f>
        <v/>
      </c>
      <c r="L460" s="2">
        <f>IF(I460=0.1,"极紧凑",IF(AND(I460&gt;=1,I460&lt;=1.89),"松散",IF(AND(I460&gt;=2,I460&lt;=3.5),"标准",IF(I460&gt;=3.6,"紧凑",""))))</f>
        <v/>
      </c>
      <c r="M460" s="2" t="inlineStr">
        <is>
          <t>极紧凑-豹子号</t>
        </is>
      </c>
      <c r="N460" s="2" t="inlineStr">
        <is>
          <t>松散-极松散</t>
        </is>
      </c>
      <c r="O460" s="2" t="inlineStr">
        <is>
          <t>松散-标准松散</t>
        </is>
      </c>
      <c r="P460" s="2" t="inlineStr">
        <is>
          <t>松散-偏紧松散</t>
        </is>
      </c>
      <c r="Q460" s="2" t="inlineStr">
        <is>
          <t>标准-偏松标准</t>
        </is>
      </c>
      <c r="R460" s="2" t="inlineStr">
        <is>
          <t>标准-核心标准</t>
        </is>
      </c>
      <c r="S460" s="2" t="inlineStr">
        <is>
          <t>标准-偏紧标准</t>
        </is>
      </c>
      <c r="T460" s="2" t="inlineStr">
        <is>
          <t>紧凑-标准紧凑</t>
        </is>
      </c>
      <c r="U460" s="2" t="inlineStr">
        <is>
          <t>紧凑-高度紧凑</t>
        </is>
      </c>
      <c r="V460" s="2" t="inlineStr">
        <is>
          <t>紧凑-极度紧凑</t>
        </is>
      </c>
    </row>
    <row r="461">
      <c r="A461" s="1" t="n">
        <v>2024028</v>
      </c>
      <c r="B461" s="3" t="inlineStr">
        <is>
          <t>259</t>
        </is>
      </c>
      <c r="C461" s="2">
        <f>IF(B461="","",LEFT(TEXT(B461,"000"),1)*1)</f>
        <v/>
      </c>
      <c r="D461" s="2">
        <f>IF(B461="","",MID(TEXT(B461,"000"),2,1)*1)</f>
        <v/>
      </c>
      <c r="E461" s="2">
        <f>IF(B461="","",RIGHT(TEXT(B461,"000"),1)*1)</f>
        <v/>
      </c>
      <c r="F461" s="2">
        <f>IF(B461="","",C461+D461+E461)</f>
        <v/>
      </c>
      <c r="G461" s="2">
        <f>IF(B461="","",MOD(F461,10))</f>
        <v/>
      </c>
      <c r="H461" s="2">
        <f>IF(B461="","",MAX(C461,D461,E461)-MIN(C461,D461,E461))</f>
        <v/>
      </c>
      <c r="I461" s="2">
        <f>IF(OR(B461="",H461=0),IF(H461=0,0.1,""),ROUND(F461/H461,2))</f>
        <v/>
      </c>
      <c r="J461" s="2">
        <f>IF(I461=0.1,"极紧凑",IF(I461&gt;3.5,"紧凑",IF(AND(I461&gt;=2,I461&lt;=3.5),"标准",IF(AND(I461&gt;=1,I461&lt;2),"松散",""))))</f>
        <v/>
      </c>
      <c r="K461" s="2">
        <f>IF(I461=0.1,"极紧凑-豹子号",IF(AND(I461&gt;=1,I461&lt;=1.29),"松散-极松散",IF(AND(I461&gt;=1.33,I461&lt;=1.8),"松散-标准松散",IF(AND(I461&gt;=1.83,I461&lt;=1.89),"松散-偏紧松散",IF(AND(I461&gt;=2,I461&lt;=2.5),"标准-偏松标准",IF(AND(I461&gt;=2.57,I461&lt;=3),"标准-核心标准",IF(AND(I461&gt;=3.17,I461&lt;=3.5),"标准-偏紧标准",IF(AND(I461&gt;=3.6,I461&lt;=5),"紧凑-标准紧凑",IF(AND(I461&gt;=5.25,I461&lt;=8),"紧凑-高度紧凑",IF(I461&gt;=8.5,"紧凑-极度紧凑",""))))))))))</f>
        <v/>
      </c>
      <c r="L461" s="2">
        <f>IF(I461=0.1,"极紧凑",IF(AND(I461&gt;=1,I461&lt;=1.89),"松散",IF(AND(I461&gt;=2,I461&lt;=3.5),"标准",IF(I461&gt;=3.6,"紧凑",""))))</f>
        <v/>
      </c>
      <c r="M461" s="2" t="inlineStr">
        <is>
          <t>极紧凑-豹子号</t>
        </is>
      </c>
      <c r="N461" s="2" t="inlineStr">
        <is>
          <t>松散-极松散</t>
        </is>
      </c>
      <c r="O461" s="2" t="inlineStr">
        <is>
          <t>松散-标准松散</t>
        </is>
      </c>
      <c r="P461" s="2" t="inlineStr">
        <is>
          <t>松散-偏紧松散</t>
        </is>
      </c>
      <c r="Q461" s="2" t="inlineStr">
        <is>
          <t>标准-偏松标准</t>
        </is>
      </c>
      <c r="R461" s="2" t="inlineStr">
        <is>
          <t>标准-核心标准</t>
        </is>
      </c>
      <c r="S461" s="2" t="inlineStr">
        <is>
          <t>标准-偏紧标准</t>
        </is>
      </c>
      <c r="T461" s="2" t="inlineStr">
        <is>
          <t>紧凑-标准紧凑</t>
        </is>
      </c>
      <c r="U461" s="2" t="inlineStr">
        <is>
          <t>紧凑-高度紧凑</t>
        </is>
      </c>
      <c r="V461" s="2" t="inlineStr">
        <is>
          <t>紧凑-极度紧凑</t>
        </is>
      </c>
    </row>
    <row r="462">
      <c r="A462" s="1" t="n">
        <v>2024029</v>
      </c>
      <c r="B462" s="3" t="inlineStr">
        <is>
          <t>575</t>
        </is>
      </c>
      <c r="C462" s="2">
        <f>IF(B462="","",LEFT(TEXT(B462,"000"),1)*1)</f>
        <v/>
      </c>
      <c r="D462" s="2">
        <f>IF(B462="","",MID(TEXT(B462,"000"),2,1)*1)</f>
        <v/>
      </c>
      <c r="E462" s="2">
        <f>IF(B462="","",RIGHT(TEXT(B462,"000"),1)*1)</f>
        <v/>
      </c>
      <c r="F462" s="2">
        <f>IF(B462="","",C462+D462+E462)</f>
        <v/>
      </c>
      <c r="G462" s="2">
        <f>IF(B462="","",MOD(F462,10))</f>
        <v/>
      </c>
      <c r="H462" s="2">
        <f>IF(B462="","",MAX(C462,D462,E462)-MIN(C462,D462,E462))</f>
        <v/>
      </c>
      <c r="I462" s="2">
        <f>IF(OR(B462="",H462=0),IF(H462=0,0.1,""),ROUND(F462/H462,2))</f>
        <v/>
      </c>
      <c r="J462" s="2">
        <f>IF(I462=0.1,"极紧凑",IF(I462&gt;3.5,"紧凑",IF(AND(I462&gt;=2,I462&lt;=3.5),"标准",IF(AND(I462&gt;=1,I462&lt;2),"松散",""))))</f>
        <v/>
      </c>
      <c r="K462" s="2">
        <f>IF(I462=0.1,"极紧凑-豹子号",IF(AND(I462&gt;=1,I462&lt;=1.29),"松散-极松散",IF(AND(I462&gt;=1.33,I462&lt;=1.8),"松散-标准松散",IF(AND(I462&gt;=1.83,I462&lt;=1.89),"松散-偏紧松散",IF(AND(I462&gt;=2,I462&lt;=2.5),"标准-偏松标准",IF(AND(I462&gt;=2.57,I462&lt;=3),"标准-核心标准",IF(AND(I462&gt;=3.17,I462&lt;=3.5),"标准-偏紧标准",IF(AND(I462&gt;=3.6,I462&lt;=5),"紧凑-标准紧凑",IF(AND(I462&gt;=5.25,I462&lt;=8),"紧凑-高度紧凑",IF(I462&gt;=8.5,"紧凑-极度紧凑",""))))))))))</f>
        <v/>
      </c>
      <c r="L462" s="2">
        <f>IF(I462=0.1,"极紧凑",IF(AND(I462&gt;=1,I462&lt;=1.89),"松散",IF(AND(I462&gt;=2,I462&lt;=3.5),"标准",IF(I462&gt;=3.6,"紧凑",""))))</f>
        <v/>
      </c>
      <c r="M462" s="2" t="inlineStr">
        <is>
          <t>极紧凑-豹子号</t>
        </is>
      </c>
      <c r="N462" s="2" t="inlineStr">
        <is>
          <t>松散-极松散</t>
        </is>
      </c>
      <c r="O462" s="2" t="inlineStr">
        <is>
          <t>松散-标准松散</t>
        </is>
      </c>
      <c r="P462" s="2" t="inlineStr">
        <is>
          <t>松散-偏紧松散</t>
        </is>
      </c>
      <c r="Q462" s="2" t="inlineStr">
        <is>
          <t>标准-偏松标准</t>
        </is>
      </c>
      <c r="R462" s="2" t="inlineStr">
        <is>
          <t>标准-核心标准</t>
        </is>
      </c>
      <c r="S462" s="2" t="inlineStr">
        <is>
          <t>标准-偏紧标准</t>
        </is>
      </c>
      <c r="T462" s="2" t="inlineStr">
        <is>
          <t>紧凑-标准紧凑</t>
        </is>
      </c>
      <c r="U462" s="2" t="inlineStr">
        <is>
          <t>紧凑-高度紧凑</t>
        </is>
      </c>
      <c r="V462" s="2" t="inlineStr">
        <is>
          <t>紧凑-极度紧凑</t>
        </is>
      </c>
    </row>
    <row r="463">
      <c r="A463" s="1" t="n">
        <v>2024030</v>
      </c>
      <c r="B463" s="3" t="inlineStr">
        <is>
          <t>951</t>
        </is>
      </c>
      <c r="C463" s="2">
        <f>IF(B463="","",LEFT(TEXT(B463,"000"),1)*1)</f>
        <v/>
      </c>
      <c r="D463" s="2">
        <f>IF(B463="","",MID(TEXT(B463,"000"),2,1)*1)</f>
        <v/>
      </c>
      <c r="E463" s="2">
        <f>IF(B463="","",RIGHT(TEXT(B463,"000"),1)*1)</f>
        <v/>
      </c>
      <c r="F463" s="2">
        <f>IF(B463="","",C463+D463+E463)</f>
        <v/>
      </c>
      <c r="G463" s="2">
        <f>IF(B463="","",MOD(F463,10))</f>
        <v/>
      </c>
      <c r="H463" s="2">
        <f>IF(B463="","",MAX(C463,D463,E463)-MIN(C463,D463,E463))</f>
        <v/>
      </c>
      <c r="I463" s="2">
        <f>IF(OR(B463="",H463=0),IF(H463=0,0.1,""),ROUND(F463/H463,2))</f>
        <v/>
      </c>
      <c r="J463" s="2">
        <f>IF(I463=0.1,"极紧凑",IF(I463&gt;3.5,"紧凑",IF(AND(I463&gt;=2,I463&lt;=3.5),"标准",IF(AND(I463&gt;=1,I463&lt;2),"松散",""))))</f>
        <v/>
      </c>
      <c r="K463" s="2">
        <f>IF(I463=0.1,"极紧凑-豹子号",IF(AND(I463&gt;=1,I463&lt;=1.29),"松散-极松散",IF(AND(I463&gt;=1.33,I463&lt;=1.8),"松散-标准松散",IF(AND(I463&gt;=1.83,I463&lt;=1.89),"松散-偏紧松散",IF(AND(I463&gt;=2,I463&lt;=2.5),"标准-偏松标准",IF(AND(I463&gt;=2.57,I463&lt;=3),"标准-核心标准",IF(AND(I463&gt;=3.17,I463&lt;=3.5),"标准-偏紧标准",IF(AND(I463&gt;=3.6,I463&lt;=5),"紧凑-标准紧凑",IF(AND(I463&gt;=5.25,I463&lt;=8),"紧凑-高度紧凑",IF(I463&gt;=8.5,"紧凑-极度紧凑",""))))))))))</f>
        <v/>
      </c>
      <c r="L463" s="2">
        <f>IF(I463=0.1,"极紧凑",IF(AND(I463&gt;=1,I463&lt;=1.89),"松散",IF(AND(I463&gt;=2,I463&lt;=3.5),"标准",IF(I463&gt;=3.6,"紧凑",""))))</f>
        <v/>
      </c>
      <c r="M463" s="2" t="inlineStr">
        <is>
          <t>极紧凑-豹子号</t>
        </is>
      </c>
      <c r="N463" s="2" t="inlineStr">
        <is>
          <t>松散-极松散</t>
        </is>
      </c>
      <c r="O463" s="2" t="inlineStr">
        <is>
          <t>松散-标准松散</t>
        </is>
      </c>
      <c r="P463" s="2" t="inlineStr">
        <is>
          <t>松散-偏紧松散</t>
        </is>
      </c>
      <c r="Q463" s="2" t="inlineStr">
        <is>
          <t>标准-偏松标准</t>
        </is>
      </c>
      <c r="R463" s="2" t="inlineStr">
        <is>
          <t>标准-核心标准</t>
        </is>
      </c>
      <c r="S463" s="2" t="inlineStr">
        <is>
          <t>标准-偏紧标准</t>
        </is>
      </c>
      <c r="T463" s="2" t="inlineStr">
        <is>
          <t>紧凑-标准紧凑</t>
        </is>
      </c>
      <c r="U463" s="2" t="inlineStr">
        <is>
          <t>紧凑-高度紧凑</t>
        </is>
      </c>
      <c r="V463" s="2" t="inlineStr">
        <is>
          <t>紧凑-极度紧凑</t>
        </is>
      </c>
    </row>
    <row r="464">
      <c r="A464" s="1" t="n">
        <v>2024031</v>
      </c>
      <c r="B464" s="3" t="inlineStr">
        <is>
          <t>682</t>
        </is>
      </c>
      <c r="C464" s="2">
        <f>IF(B464="","",LEFT(TEXT(B464,"000"),1)*1)</f>
        <v/>
      </c>
      <c r="D464" s="2">
        <f>IF(B464="","",MID(TEXT(B464,"000"),2,1)*1)</f>
        <v/>
      </c>
      <c r="E464" s="2">
        <f>IF(B464="","",RIGHT(TEXT(B464,"000"),1)*1)</f>
        <v/>
      </c>
      <c r="F464" s="2">
        <f>IF(B464="","",C464+D464+E464)</f>
        <v/>
      </c>
      <c r="G464" s="2">
        <f>IF(B464="","",MOD(F464,10))</f>
        <v/>
      </c>
      <c r="H464" s="2">
        <f>IF(B464="","",MAX(C464,D464,E464)-MIN(C464,D464,E464))</f>
        <v/>
      </c>
      <c r="I464" s="2">
        <f>IF(OR(B464="",H464=0),IF(H464=0,0.1,""),ROUND(F464/H464,2))</f>
        <v/>
      </c>
      <c r="J464" s="2">
        <f>IF(I464=0.1,"极紧凑",IF(I464&gt;3.5,"紧凑",IF(AND(I464&gt;=2,I464&lt;=3.5),"标准",IF(AND(I464&gt;=1,I464&lt;2),"松散",""))))</f>
        <v/>
      </c>
      <c r="K464" s="2">
        <f>IF(I464=0.1,"极紧凑-豹子号",IF(AND(I464&gt;=1,I464&lt;=1.29),"松散-极松散",IF(AND(I464&gt;=1.33,I464&lt;=1.8),"松散-标准松散",IF(AND(I464&gt;=1.83,I464&lt;=1.89),"松散-偏紧松散",IF(AND(I464&gt;=2,I464&lt;=2.5),"标准-偏松标准",IF(AND(I464&gt;=2.57,I464&lt;=3),"标准-核心标准",IF(AND(I464&gt;=3.17,I464&lt;=3.5),"标准-偏紧标准",IF(AND(I464&gt;=3.6,I464&lt;=5),"紧凑-标准紧凑",IF(AND(I464&gt;=5.25,I464&lt;=8),"紧凑-高度紧凑",IF(I464&gt;=8.5,"紧凑-极度紧凑",""))))))))))</f>
        <v/>
      </c>
      <c r="L464" s="2">
        <f>IF(I464=0.1,"极紧凑",IF(AND(I464&gt;=1,I464&lt;=1.89),"松散",IF(AND(I464&gt;=2,I464&lt;=3.5),"标准",IF(I464&gt;=3.6,"紧凑",""))))</f>
        <v/>
      </c>
      <c r="M464" s="2" t="inlineStr">
        <is>
          <t>极紧凑-豹子号</t>
        </is>
      </c>
      <c r="N464" s="2" t="inlineStr">
        <is>
          <t>松散-极松散</t>
        </is>
      </c>
      <c r="O464" s="2" t="inlineStr">
        <is>
          <t>松散-标准松散</t>
        </is>
      </c>
      <c r="P464" s="2" t="inlineStr">
        <is>
          <t>松散-偏紧松散</t>
        </is>
      </c>
      <c r="Q464" s="2" t="inlineStr">
        <is>
          <t>标准-偏松标准</t>
        </is>
      </c>
      <c r="R464" s="2" t="inlineStr">
        <is>
          <t>标准-核心标准</t>
        </is>
      </c>
      <c r="S464" s="2" t="inlineStr">
        <is>
          <t>标准-偏紧标准</t>
        </is>
      </c>
      <c r="T464" s="2" t="inlineStr">
        <is>
          <t>紧凑-标准紧凑</t>
        </is>
      </c>
      <c r="U464" s="2" t="inlineStr">
        <is>
          <t>紧凑-高度紧凑</t>
        </is>
      </c>
      <c r="V464" s="2" t="inlineStr">
        <is>
          <t>紧凑-极度紧凑</t>
        </is>
      </c>
    </row>
    <row r="465">
      <c r="A465" s="1" t="n">
        <v>2024032</v>
      </c>
      <c r="B465" s="3" t="inlineStr">
        <is>
          <t>805</t>
        </is>
      </c>
      <c r="C465" s="2">
        <f>IF(B465="","",LEFT(TEXT(B465,"000"),1)*1)</f>
        <v/>
      </c>
      <c r="D465" s="2">
        <f>IF(B465="","",MID(TEXT(B465,"000"),2,1)*1)</f>
        <v/>
      </c>
      <c r="E465" s="2">
        <f>IF(B465="","",RIGHT(TEXT(B465,"000"),1)*1)</f>
        <v/>
      </c>
      <c r="F465" s="2">
        <f>IF(B465="","",C465+D465+E465)</f>
        <v/>
      </c>
      <c r="G465" s="2">
        <f>IF(B465="","",MOD(F465,10))</f>
        <v/>
      </c>
      <c r="H465" s="2">
        <f>IF(B465="","",MAX(C465,D465,E465)-MIN(C465,D465,E465))</f>
        <v/>
      </c>
      <c r="I465" s="2">
        <f>IF(OR(B465="",H465=0),IF(H465=0,0.1,""),ROUND(F465/H465,2))</f>
        <v/>
      </c>
      <c r="J465" s="2">
        <f>IF(I465=0.1,"极紧凑",IF(I465&gt;3.5,"紧凑",IF(AND(I465&gt;=2,I465&lt;=3.5),"标准",IF(AND(I465&gt;=1,I465&lt;2),"松散",""))))</f>
        <v/>
      </c>
      <c r="K465" s="2">
        <f>IF(I465=0.1,"极紧凑-豹子号",IF(AND(I465&gt;=1,I465&lt;=1.29),"松散-极松散",IF(AND(I465&gt;=1.33,I465&lt;=1.8),"松散-标准松散",IF(AND(I465&gt;=1.83,I465&lt;=1.89),"松散-偏紧松散",IF(AND(I465&gt;=2,I465&lt;=2.5),"标准-偏松标准",IF(AND(I465&gt;=2.57,I465&lt;=3),"标准-核心标准",IF(AND(I465&gt;=3.17,I465&lt;=3.5),"标准-偏紧标准",IF(AND(I465&gt;=3.6,I465&lt;=5),"紧凑-标准紧凑",IF(AND(I465&gt;=5.25,I465&lt;=8),"紧凑-高度紧凑",IF(I465&gt;=8.5,"紧凑-极度紧凑",""))))))))))</f>
        <v/>
      </c>
      <c r="L465" s="2">
        <f>IF(I465=0.1,"极紧凑",IF(AND(I465&gt;=1,I465&lt;=1.89),"松散",IF(AND(I465&gt;=2,I465&lt;=3.5),"标准",IF(I465&gt;=3.6,"紧凑",""))))</f>
        <v/>
      </c>
      <c r="M465" s="2" t="inlineStr">
        <is>
          <t>极紧凑-豹子号</t>
        </is>
      </c>
      <c r="N465" s="2" t="inlineStr">
        <is>
          <t>松散-极松散</t>
        </is>
      </c>
      <c r="O465" s="2" t="inlineStr">
        <is>
          <t>松散-标准松散</t>
        </is>
      </c>
      <c r="P465" s="2" t="inlineStr">
        <is>
          <t>松散-偏紧松散</t>
        </is>
      </c>
      <c r="Q465" s="2" t="inlineStr">
        <is>
          <t>标准-偏松标准</t>
        </is>
      </c>
      <c r="R465" s="2" t="inlineStr">
        <is>
          <t>标准-核心标准</t>
        </is>
      </c>
      <c r="S465" s="2" t="inlineStr">
        <is>
          <t>标准-偏紧标准</t>
        </is>
      </c>
      <c r="T465" s="2" t="inlineStr">
        <is>
          <t>紧凑-标准紧凑</t>
        </is>
      </c>
      <c r="U465" s="2" t="inlineStr">
        <is>
          <t>紧凑-高度紧凑</t>
        </is>
      </c>
      <c r="V465" s="2" t="inlineStr">
        <is>
          <t>紧凑-极度紧凑</t>
        </is>
      </c>
    </row>
    <row r="466">
      <c r="A466" s="1" t="n">
        <v>2024033</v>
      </c>
      <c r="B466" s="3" t="inlineStr">
        <is>
          <t>739</t>
        </is>
      </c>
      <c r="C466" s="2">
        <f>IF(B466="","",LEFT(TEXT(B466,"000"),1)*1)</f>
        <v/>
      </c>
      <c r="D466" s="2">
        <f>IF(B466="","",MID(TEXT(B466,"000"),2,1)*1)</f>
        <v/>
      </c>
      <c r="E466" s="2">
        <f>IF(B466="","",RIGHT(TEXT(B466,"000"),1)*1)</f>
        <v/>
      </c>
      <c r="F466" s="2">
        <f>IF(B466="","",C466+D466+E466)</f>
        <v/>
      </c>
      <c r="G466" s="2">
        <f>IF(B466="","",MOD(F466,10))</f>
        <v/>
      </c>
      <c r="H466" s="2">
        <f>IF(B466="","",MAX(C466,D466,E466)-MIN(C466,D466,E466))</f>
        <v/>
      </c>
      <c r="I466" s="2">
        <f>IF(OR(B466="",H466=0),IF(H466=0,0.1,""),ROUND(F466/H466,2))</f>
        <v/>
      </c>
      <c r="J466" s="2">
        <f>IF(I466=0.1,"极紧凑",IF(I466&gt;3.5,"紧凑",IF(AND(I466&gt;=2,I466&lt;=3.5),"标准",IF(AND(I466&gt;=1,I466&lt;2),"松散",""))))</f>
        <v/>
      </c>
      <c r="K466" s="2">
        <f>IF(I466=0.1,"极紧凑-豹子号",IF(AND(I466&gt;=1,I466&lt;=1.29),"松散-极松散",IF(AND(I466&gt;=1.33,I466&lt;=1.8),"松散-标准松散",IF(AND(I466&gt;=1.83,I466&lt;=1.89),"松散-偏紧松散",IF(AND(I466&gt;=2,I466&lt;=2.5),"标准-偏松标准",IF(AND(I466&gt;=2.57,I466&lt;=3),"标准-核心标准",IF(AND(I466&gt;=3.17,I466&lt;=3.5),"标准-偏紧标准",IF(AND(I466&gt;=3.6,I466&lt;=5),"紧凑-标准紧凑",IF(AND(I466&gt;=5.25,I466&lt;=8),"紧凑-高度紧凑",IF(I466&gt;=8.5,"紧凑-极度紧凑",""))))))))))</f>
        <v/>
      </c>
      <c r="L466" s="2">
        <f>IF(I466=0.1,"极紧凑",IF(AND(I466&gt;=1,I466&lt;=1.89),"松散",IF(AND(I466&gt;=2,I466&lt;=3.5),"标准",IF(I466&gt;=3.6,"紧凑",""))))</f>
        <v/>
      </c>
      <c r="M466" s="2" t="inlineStr">
        <is>
          <t>极紧凑-豹子号</t>
        </is>
      </c>
      <c r="N466" s="2" t="inlineStr">
        <is>
          <t>松散-极松散</t>
        </is>
      </c>
      <c r="O466" s="2" t="inlineStr">
        <is>
          <t>松散-标准松散</t>
        </is>
      </c>
      <c r="P466" s="2" t="inlineStr">
        <is>
          <t>松散-偏紧松散</t>
        </is>
      </c>
      <c r="Q466" s="2" t="inlineStr">
        <is>
          <t>标准-偏松标准</t>
        </is>
      </c>
      <c r="R466" s="2" t="inlineStr">
        <is>
          <t>标准-核心标准</t>
        </is>
      </c>
      <c r="S466" s="2" t="inlineStr">
        <is>
          <t>标准-偏紧标准</t>
        </is>
      </c>
      <c r="T466" s="2" t="inlineStr">
        <is>
          <t>紧凑-标准紧凑</t>
        </is>
      </c>
      <c r="U466" s="2" t="inlineStr">
        <is>
          <t>紧凑-高度紧凑</t>
        </is>
      </c>
      <c r="V466" s="2" t="inlineStr">
        <is>
          <t>紧凑-极度紧凑</t>
        </is>
      </c>
    </row>
    <row r="467">
      <c r="A467" s="1" t="n">
        <v>2024034</v>
      </c>
      <c r="B467" s="3" t="inlineStr">
        <is>
          <t>017</t>
        </is>
      </c>
      <c r="C467" s="2">
        <f>IF(B467="","",LEFT(TEXT(B467,"000"),1)*1)</f>
        <v/>
      </c>
      <c r="D467" s="2">
        <f>IF(B467="","",MID(TEXT(B467,"000"),2,1)*1)</f>
        <v/>
      </c>
      <c r="E467" s="2">
        <f>IF(B467="","",RIGHT(TEXT(B467,"000"),1)*1)</f>
        <v/>
      </c>
      <c r="F467" s="2">
        <f>IF(B467="","",C467+D467+E467)</f>
        <v/>
      </c>
      <c r="G467" s="2">
        <f>IF(B467="","",MOD(F467,10))</f>
        <v/>
      </c>
      <c r="H467" s="2">
        <f>IF(B467="","",MAX(C467,D467,E467)-MIN(C467,D467,E467))</f>
        <v/>
      </c>
      <c r="I467" s="2">
        <f>IF(OR(B467="",H467=0),IF(H467=0,0.1,""),ROUND(F467/H467,2))</f>
        <v/>
      </c>
      <c r="J467" s="2">
        <f>IF(I467=0.1,"极紧凑",IF(I467&gt;3.5,"紧凑",IF(AND(I467&gt;=2,I467&lt;=3.5),"标准",IF(AND(I467&gt;=1,I467&lt;2),"松散",""))))</f>
        <v/>
      </c>
      <c r="K467" s="2">
        <f>IF(I467=0.1,"极紧凑-豹子号",IF(AND(I467&gt;=1,I467&lt;=1.29),"松散-极松散",IF(AND(I467&gt;=1.33,I467&lt;=1.8),"松散-标准松散",IF(AND(I467&gt;=1.83,I467&lt;=1.89),"松散-偏紧松散",IF(AND(I467&gt;=2,I467&lt;=2.5),"标准-偏松标准",IF(AND(I467&gt;=2.57,I467&lt;=3),"标准-核心标准",IF(AND(I467&gt;=3.17,I467&lt;=3.5),"标准-偏紧标准",IF(AND(I467&gt;=3.6,I467&lt;=5),"紧凑-标准紧凑",IF(AND(I467&gt;=5.25,I467&lt;=8),"紧凑-高度紧凑",IF(I467&gt;=8.5,"紧凑-极度紧凑",""))))))))))</f>
        <v/>
      </c>
      <c r="L467" s="2">
        <f>IF(I467=0.1,"极紧凑",IF(AND(I467&gt;=1,I467&lt;=1.89),"松散",IF(AND(I467&gt;=2,I467&lt;=3.5),"标准",IF(I467&gt;=3.6,"紧凑",""))))</f>
        <v/>
      </c>
      <c r="M467" s="2" t="inlineStr">
        <is>
          <t>极紧凑-豹子号</t>
        </is>
      </c>
      <c r="N467" s="2" t="inlineStr">
        <is>
          <t>松散-极松散</t>
        </is>
      </c>
      <c r="O467" s="2" t="inlineStr">
        <is>
          <t>松散-标准松散</t>
        </is>
      </c>
      <c r="P467" s="2" t="inlineStr">
        <is>
          <t>松散-偏紧松散</t>
        </is>
      </c>
      <c r="Q467" s="2" t="inlineStr">
        <is>
          <t>标准-偏松标准</t>
        </is>
      </c>
      <c r="R467" s="2" t="inlineStr">
        <is>
          <t>标准-核心标准</t>
        </is>
      </c>
      <c r="S467" s="2" t="inlineStr">
        <is>
          <t>标准-偏紧标准</t>
        </is>
      </c>
      <c r="T467" s="2" t="inlineStr">
        <is>
          <t>紧凑-标准紧凑</t>
        </is>
      </c>
      <c r="U467" s="2" t="inlineStr">
        <is>
          <t>紧凑-高度紧凑</t>
        </is>
      </c>
      <c r="V467" s="2" t="inlineStr">
        <is>
          <t>紧凑-极度紧凑</t>
        </is>
      </c>
    </row>
    <row r="468">
      <c r="A468" s="1" t="n">
        <v>2024035</v>
      </c>
      <c r="B468" s="3" t="inlineStr">
        <is>
          <t>306</t>
        </is>
      </c>
      <c r="C468" s="2">
        <f>IF(B468="","",LEFT(TEXT(B468,"000"),1)*1)</f>
        <v/>
      </c>
      <c r="D468" s="2">
        <f>IF(B468="","",MID(TEXT(B468,"000"),2,1)*1)</f>
        <v/>
      </c>
      <c r="E468" s="2">
        <f>IF(B468="","",RIGHT(TEXT(B468,"000"),1)*1)</f>
        <v/>
      </c>
      <c r="F468" s="2">
        <f>IF(B468="","",C468+D468+E468)</f>
        <v/>
      </c>
      <c r="G468" s="2">
        <f>IF(B468="","",MOD(F468,10))</f>
        <v/>
      </c>
      <c r="H468" s="2">
        <f>IF(B468="","",MAX(C468,D468,E468)-MIN(C468,D468,E468))</f>
        <v/>
      </c>
      <c r="I468" s="2">
        <f>IF(OR(B468="",H468=0),IF(H468=0,0.1,""),ROUND(F468/H468,2))</f>
        <v/>
      </c>
      <c r="J468" s="2">
        <f>IF(I468=0.1,"极紧凑",IF(I468&gt;3.5,"紧凑",IF(AND(I468&gt;=2,I468&lt;=3.5),"标准",IF(AND(I468&gt;=1,I468&lt;2),"松散",""))))</f>
        <v/>
      </c>
      <c r="K468" s="2">
        <f>IF(I468=0.1,"极紧凑-豹子号",IF(AND(I468&gt;=1,I468&lt;=1.29),"松散-极松散",IF(AND(I468&gt;=1.33,I468&lt;=1.8),"松散-标准松散",IF(AND(I468&gt;=1.83,I468&lt;=1.89),"松散-偏紧松散",IF(AND(I468&gt;=2,I468&lt;=2.5),"标准-偏松标准",IF(AND(I468&gt;=2.57,I468&lt;=3),"标准-核心标准",IF(AND(I468&gt;=3.17,I468&lt;=3.5),"标准-偏紧标准",IF(AND(I468&gt;=3.6,I468&lt;=5),"紧凑-标准紧凑",IF(AND(I468&gt;=5.25,I468&lt;=8),"紧凑-高度紧凑",IF(I468&gt;=8.5,"紧凑-极度紧凑",""))))))))))</f>
        <v/>
      </c>
      <c r="L468" s="2">
        <f>IF(I468=0.1,"极紧凑",IF(AND(I468&gt;=1,I468&lt;=1.89),"松散",IF(AND(I468&gt;=2,I468&lt;=3.5),"标准",IF(I468&gt;=3.6,"紧凑",""))))</f>
        <v/>
      </c>
      <c r="M468" s="2" t="inlineStr">
        <is>
          <t>极紧凑-豹子号</t>
        </is>
      </c>
      <c r="N468" s="2" t="inlineStr">
        <is>
          <t>松散-极松散</t>
        </is>
      </c>
      <c r="O468" s="2" t="inlineStr">
        <is>
          <t>松散-标准松散</t>
        </is>
      </c>
      <c r="P468" s="2" t="inlineStr">
        <is>
          <t>松散-偏紧松散</t>
        </is>
      </c>
      <c r="Q468" s="2" t="inlineStr">
        <is>
          <t>标准-偏松标准</t>
        </is>
      </c>
      <c r="R468" s="2" t="inlineStr">
        <is>
          <t>标准-核心标准</t>
        </is>
      </c>
      <c r="S468" s="2" t="inlineStr">
        <is>
          <t>标准-偏紧标准</t>
        </is>
      </c>
      <c r="T468" s="2" t="inlineStr">
        <is>
          <t>紧凑-标准紧凑</t>
        </is>
      </c>
      <c r="U468" s="2" t="inlineStr">
        <is>
          <t>紧凑-高度紧凑</t>
        </is>
      </c>
      <c r="V468" s="2" t="inlineStr">
        <is>
          <t>紧凑-极度紧凑</t>
        </is>
      </c>
    </row>
    <row r="469">
      <c r="A469" s="1" t="n">
        <v>2024036</v>
      </c>
      <c r="B469" s="3" t="inlineStr">
        <is>
          <t>547</t>
        </is>
      </c>
      <c r="C469" s="2">
        <f>IF(B469="","",LEFT(TEXT(B469,"000"),1)*1)</f>
        <v/>
      </c>
      <c r="D469" s="2">
        <f>IF(B469="","",MID(TEXT(B469,"000"),2,1)*1)</f>
        <v/>
      </c>
      <c r="E469" s="2">
        <f>IF(B469="","",RIGHT(TEXT(B469,"000"),1)*1)</f>
        <v/>
      </c>
      <c r="F469" s="2">
        <f>IF(B469="","",C469+D469+E469)</f>
        <v/>
      </c>
      <c r="G469" s="2">
        <f>IF(B469="","",MOD(F469,10))</f>
        <v/>
      </c>
      <c r="H469" s="2">
        <f>IF(B469="","",MAX(C469,D469,E469)-MIN(C469,D469,E469))</f>
        <v/>
      </c>
      <c r="I469" s="2">
        <f>IF(OR(B469="",H469=0),IF(H469=0,0.1,""),ROUND(F469/H469,2))</f>
        <v/>
      </c>
      <c r="J469" s="2">
        <f>IF(I469=0.1,"极紧凑",IF(I469&gt;3.5,"紧凑",IF(AND(I469&gt;=2,I469&lt;=3.5),"标准",IF(AND(I469&gt;=1,I469&lt;2),"松散",""))))</f>
        <v/>
      </c>
      <c r="K469" s="2">
        <f>IF(I469=0.1,"极紧凑-豹子号",IF(AND(I469&gt;=1,I469&lt;=1.29),"松散-极松散",IF(AND(I469&gt;=1.33,I469&lt;=1.8),"松散-标准松散",IF(AND(I469&gt;=1.83,I469&lt;=1.89),"松散-偏紧松散",IF(AND(I469&gt;=2,I469&lt;=2.5),"标准-偏松标准",IF(AND(I469&gt;=2.57,I469&lt;=3),"标准-核心标准",IF(AND(I469&gt;=3.17,I469&lt;=3.5),"标准-偏紧标准",IF(AND(I469&gt;=3.6,I469&lt;=5),"紧凑-标准紧凑",IF(AND(I469&gt;=5.25,I469&lt;=8),"紧凑-高度紧凑",IF(I469&gt;=8.5,"紧凑-极度紧凑",""))))))))))</f>
        <v/>
      </c>
      <c r="L469" s="2">
        <f>IF(I469=0.1,"极紧凑",IF(AND(I469&gt;=1,I469&lt;=1.89),"松散",IF(AND(I469&gt;=2,I469&lt;=3.5),"标准",IF(I469&gt;=3.6,"紧凑",""))))</f>
        <v/>
      </c>
      <c r="M469" s="2" t="inlineStr">
        <is>
          <t>极紧凑-豹子号</t>
        </is>
      </c>
      <c r="N469" s="2" t="inlineStr">
        <is>
          <t>松散-极松散</t>
        </is>
      </c>
      <c r="O469" s="2" t="inlineStr">
        <is>
          <t>松散-标准松散</t>
        </is>
      </c>
      <c r="P469" s="2" t="inlineStr">
        <is>
          <t>松散-偏紧松散</t>
        </is>
      </c>
      <c r="Q469" s="2" t="inlineStr">
        <is>
          <t>标准-偏松标准</t>
        </is>
      </c>
      <c r="R469" s="2" t="inlineStr">
        <is>
          <t>标准-核心标准</t>
        </is>
      </c>
      <c r="S469" s="2" t="inlineStr">
        <is>
          <t>标准-偏紧标准</t>
        </is>
      </c>
      <c r="T469" s="2" t="inlineStr">
        <is>
          <t>紧凑-标准紧凑</t>
        </is>
      </c>
      <c r="U469" s="2" t="inlineStr">
        <is>
          <t>紧凑-高度紧凑</t>
        </is>
      </c>
      <c r="V469" s="2" t="inlineStr">
        <is>
          <t>紧凑-极度紧凑</t>
        </is>
      </c>
    </row>
    <row r="470">
      <c r="A470" s="1" t="n">
        <v>2024037</v>
      </c>
      <c r="B470" s="3" t="inlineStr">
        <is>
          <t>910</t>
        </is>
      </c>
      <c r="C470" s="2">
        <f>IF(B470="","",LEFT(TEXT(B470,"000"),1)*1)</f>
        <v/>
      </c>
      <c r="D470" s="2">
        <f>IF(B470="","",MID(TEXT(B470,"000"),2,1)*1)</f>
        <v/>
      </c>
      <c r="E470" s="2">
        <f>IF(B470="","",RIGHT(TEXT(B470,"000"),1)*1)</f>
        <v/>
      </c>
      <c r="F470" s="2">
        <f>IF(B470="","",C470+D470+E470)</f>
        <v/>
      </c>
      <c r="G470" s="2">
        <f>IF(B470="","",MOD(F470,10))</f>
        <v/>
      </c>
      <c r="H470" s="2">
        <f>IF(B470="","",MAX(C470,D470,E470)-MIN(C470,D470,E470))</f>
        <v/>
      </c>
      <c r="I470" s="2">
        <f>IF(OR(B470="",H470=0),IF(H470=0,0.1,""),ROUND(F470/H470,2))</f>
        <v/>
      </c>
      <c r="J470" s="2">
        <f>IF(I470=0.1,"极紧凑",IF(I470&gt;3.5,"紧凑",IF(AND(I470&gt;=2,I470&lt;=3.5),"标准",IF(AND(I470&gt;=1,I470&lt;2),"松散",""))))</f>
        <v/>
      </c>
      <c r="K470" s="2">
        <f>IF(I470=0.1,"极紧凑-豹子号",IF(AND(I470&gt;=1,I470&lt;=1.29),"松散-极松散",IF(AND(I470&gt;=1.33,I470&lt;=1.8),"松散-标准松散",IF(AND(I470&gt;=1.83,I470&lt;=1.89),"松散-偏紧松散",IF(AND(I470&gt;=2,I470&lt;=2.5),"标准-偏松标准",IF(AND(I470&gt;=2.57,I470&lt;=3),"标准-核心标准",IF(AND(I470&gt;=3.17,I470&lt;=3.5),"标准-偏紧标准",IF(AND(I470&gt;=3.6,I470&lt;=5),"紧凑-标准紧凑",IF(AND(I470&gt;=5.25,I470&lt;=8),"紧凑-高度紧凑",IF(I470&gt;=8.5,"紧凑-极度紧凑",""))))))))))</f>
        <v/>
      </c>
      <c r="L470" s="2">
        <f>IF(I470=0.1,"极紧凑",IF(AND(I470&gt;=1,I470&lt;=1.89),"松散",IF(AND(I470&gt;=2,I470&lt;=3.5),"标准",IF(I470&gt;=3.6,"紧凑",""))))</f>
        <v/>
      </c>
      <c r="M470" s="2" t="inlineStr">
        <is>
          <t>极紧凑-豹子号</t>
        </is>
      </c>
      <c r="N470" s="2" t="inlineStr">
        <is>
          <t>松散-极松散</t>
        </is>
      </c>
      <c r="O470" s="2" t="inlineStr">
        <is>
          <t>松散-标准松散</t>
        </is>
      </c>
      <c r="P470" s="2" t="inlineStr">
        <is>
          <t>松散-偏紧松散</t>
        </is>
      </c>
      <c r="Q470" s="2" t="inlineStr">
        <is>
          <t>标准-偏松标准</t>
        </is>
      </c>
      <c r="R470" s="2" t="inlineStr">
        <is>
          <t>标准-核心标准</t>
        </is>
      </c>
      <c r="S470" s="2" t="inlineStr">
        <is>
          <t>标准-偏紧标准</t>
        </is>
      </c>
      <c r="T470" s="2" t="inlineStr">
        <is>
          <t>紧凑-标准紧凑</t>
        </is>
      </c>
      <c r="U470" s="2" t="inlineStr">
        <is>
          <t>紧凑-高度紧凑</t>
        </is>
      </c>
      <c r="V470" s="2" t="inlineStr">
        <is>
          <t>紧凑-极度紧凑</t>
        </is>
      </c>
    </row>
    <row r="471">
      <c r="A471" s="1" t="n">
        <v>2024038</v>
      </c>
      <c r="B471" s="3" t="inlineStr">
        <is>
          <t>529</t>
        </is>
      </c>
      <c r="C471" s="2">
        <f>IF(B471="","",LEFT(TEXT(B471,"000"),1)*1)</f>
        <v/>
      </c>
      <c r="D471" s="2">
        <f>IF(B471="","",MID(TEXT(B471,"000"),2,1)*1)</f>
        <v/>
      </c>
      <c r="E471" s="2">
        <f>IF(B471="","",RIGHT(TEXT(B471,"000"),1)*1)</f>
        <v/>
      </c>
      <c r="F471" s="2">
        <f>IF(B471="","",C471+D471+E471)</f>
        <v/>
      </c>
      <c r="G471" s="2">
        <f>IF(B471="","",MOD(F471,10))</f>
        <v/>
      </c>
      <c r="H471" s="2">
        <f>IF(B471="","",MAX(C471,D471,E471)-MIN(C471,D471,E471))</f>
        <v/>
      </c>
      <c r="I471" s="2">
        <f>IF(OR(B471="",H471=0),IF(H471=0,0.1,""),ROUND(F471/H471,2))</f>
        <v/>
      </c>
      <c r="J471" s="2">
        <f>IF(I471=0.1,"极紧凑",IF(I471&gt;3.5,"紧凑",IF(AND(I471&gt;=2,I471&lt;=3.5),"标准",IF(AND(I471&gt;=1,I471&lt;2),"松散",""))))</f>
        <v/>
      </c>
      <c r="K471" s="2">
        <f>IF(I471=0.1,"极紧凑-豹子号",IF(AND(I471&gt;=1,I471&lt;=1.29),"松散-极松散",IF(AND(I471&gt;=1.33,I471&lt;=1.8),"松散-标准松散",IF(AND(I471&gt;=1.83,I471&lt;=1.89),"松散-偏紧松散",IF(AND(I471&gt;=2,I471&lt;=2.5),"标准-偏松标准",IF(AND(I471&gt;=2.57,I471&lt;=3),"标准-核心标准",IF(AND(I471&gt;=3.17,I471&lt;=3.5),"标准-偏紧标准",IF(AND(I471&gt;=3.6,I471&lt;=5),"紧凑-标准紧凑",IF(AND(I471&gt;=5.25,I471&lt;=8),"紧凑-高度紧凑",IF(I471&gt;=8.5,"紧凑-极度紧凑",""))))))))))</f>
        <v/>
      </c>
      <c r="L471" s="2">
        <f>IF(I471=0.1,"极紧凑",IF(AND(I471&gt;=1,I471&lt;=1.89),"松散",IF(AND(I471&gt;=2,I471&lt;=3.5),"标准",IF(I471&gt;=3.6,"紧凑",""))))</f>
        <v/>
      </c>
      <c r="M471" s="2" t="inlineStr">
        <is>
          <t>极紧凑-豹子号</t>
        </is>
      </c>
      <c r="N471" s="2" t="inlineStr">
        <is>
          <t>松散-极松散</t>
        </is>
      </c>
      <c r="O471" s="2" t="inlineStr">
        <is>
          <t>松散-标准松散</t>
        </is>
      </c>
      <c r="P471" s="2" t="inlineStr">
        <is>
          <t>松散-偏紧松散</t>
        </is>
      </c>
      <c r="Q471" s="2" t="inlineStr">
        <is>
          <t>标准-偏松标准</t>
        </is>
      </c>
      <c r="R471" s="2" t="inlineStr">
        <is>
          <t>标准-核心标准</t>
        </is>
      </c>
      <c r="S471" s="2" t="inlineStr">
        <is>
          <t>标准-偏紧标准</t>
        </is>
      </c>
      <c r="T471" s="2" t="inlineStr">
        <is>
          <t>紧凑-标准紧凑</t>
        </is>
      </c>
      <c r="U471" s="2" t="inlineStr">
        <is>
          <t>紧凑-高度紧凑</t>
        </is>
      </c>
      <c r="V471" s="2" t="inlineStr">
        <is>
          <t>紧凑-极度紧凑</t>
        </is>
      </c>
    </row>
    <row r="472">
      <c r="A472" s="1" t="n">
        <v>2024039</v>
      </c>
      <c r="B472" s="3" t="inlineStr">
        <is>
          <t>508</t>
        </is>
      </c>
      <c r="C472" s="2">
        <f>IF(B472="","",LEFT(TEXT(B472,"000"),1)*1)</f>
        <v/>
      </c>
      <c r="D472" s="2">
        <f>IF(B472="","",MID(TEXT(B472,"000"),2,1)*1)</f>
        <v/>
      </c>
      <c r="E472" s="2">
        <f>IF(B472="","",RIGHT(TEXT(B472,"000"),1)*1)</f>
        <v/>
      </c>
      <c r="F472" s="2">
        <f>IF(B472="","",C472+D472+E472)</f>
        <v/>
      </c>
      <c r="G472" s="2">
        <f>IF(B472="","",MOD(F472,10))</f>
        <v/>
      </c>
      <c r="H472" s="2">
        <f>IF(B472="","",MAX(C472,D472,E472)-MIN(C472,D472,E472))</f>
        <v/>
      </c>
      <c r="I472" s="2">
        <f>IF(OR(B472="",H472=0),IF(H472=0,0.1,""),ROUND(F472/H472,2))</f>
        <v/>
      </c>
      <c r="J472" s="2">
        <f>IF(I472=0.1,"极紧凑",IF(I472&gt;3.5,"紧凑",IF(AND(I472&gt;=2,I472&lt;=3.5),"标准",IF(AND(I472&gt;=1,I472&lt;2),"松散",""))))</f>
        <v/>
      </c>
      <c r="K472" s="2">
        <f>IF(I472=0.1,"极紧凑-豹子号",IF(AND(I472&gt;=1,I472&lt;=1.29),"松散-极松散",IF(AND(I472&gt;=1.33,I472&lt;=1.8),"松散-标准松散",IF(AND(I472&gt;=1.83,I472&lt;=1.89),"松散-偏紧松散",IF(AND(I472&gt;=2,I472&lt;=2.5),"标准-偏松标准",IF(AND(I472&gt;=2.57,I472&lt;=3),"标准-核心标准",IF(AND(I472&gt;=3.17,I472&lt;=3.5),"标准-偏紧标准",IF(AND(I472&gt;=3.6,I472&lt;=5),"紧凑-标准紧凑",IF(AND(I472&gt;=5.25,I472&lt;=8),"紧凑-高度紧凑",IF(I472&gt;=8.5,"紧凑-极度紧凑",""))))))))))</f>
        <v/>
      </c>
      <c r="L472" s="2">
        <f>IF(I472=0.1,"极紧凑",IF(AND(I472&gt;=1,I472&lt;=1.89),"松散",IF(AND(I472&gt;=2,I472&lt;=3.5),"标准",IF(I472&gt;=3.6,"紧凑",""))))</f>
        <v/>
      </c>
      <c r="M472" s="2" t="inlineStr">
        <is>
          <t>极紧凑-豹子号</t>
        </is>
      </c>
      <c r="N472" s="2" t="inlineStr">
        <is>
          <t>松散-极松散</t>
        </is>
      </c>
      <c r="O472" s="2" t="inlineStr">
        <is>
          <t>松散-标准松散</t>
        </is>
      </c>
      <c r="P472" s="2" t="inlineStr">
        <is>
          <t>松散-偏紧松散</t>
        </is>
      </c>
      <c r="Q472" s="2" t="inlineStr">
        <is>
          <t>标准-偏松标准</t>
        </is>
      </c>
      <c r="R472" s="2" t="inlineStr">
        <is>
          <t>标准-核心标准</t>
        </is>
      </c>
      <c r="S472" s="2" t="inlineStr">
        <is>
          <t>标准-偏紧标准</t>
        </is>
      </c>
      <c r="T472" s="2" t="inlineStr">
        <is>
          <t>紧凑-标准紧凑</t>
        </is>
      </c>
      <c r="U472" s="2" t="inlineStr">
        <is>
          <t>紧凑-高度紧凑</t>
        </is>
      </c>
      <c r="V472" s="2" t="inlineStr">
        <is>
          <t>紧凑-极度紧凑</t>
        </is>
      </c>
    </row>
    <row r="473">
      <c r="A473" s="1" t="n">
        <v>2024040</v>
      </c>
      <c r="B473" s="3" t="inlineStr">
        <is>
          <t>514</t>
        </is>
      </c>
      <c r="C473" s="2">
        <f>IF(B473="","",LEFT(TEXT(B473,"000"),1)*1)</f>
        <v/>
      </c>
      <c r="D473" s="2">
        <f>IF(B473="","",MID(TEXT(B473,"000"),2,1)*1)</f>
        <v/>
      </c>
      <c r="E473" s="2">
        <f>IF(B473="","",RIGHT(TEXT(B473,"000"),1)*1)</f>
        <v/>
      </c>
      <c r="F473" s="2">
        <f>IF(B473="","",C473+D473+E473)</f>
        <v/>
      </c>
      <c r="G473" s="2">
        <f>IF(B473="","",MOD(F473,10))</f>
        <v/>
      </c>
      <c r="H473" s="2">
        <f>IF(B473="","",MAX(C473,D473,E473)-MIN(C473,D473,E473))</f>
        <v/>
      </c>
      <c r="I473" s="2">
        <f>IF(OR(B473="",H473=0),IF(H473=0,0.1,""),ROUND(F473/H473,2))</f>
        <v/>
      </c>
      <c r="J473" s="2">
        <f>IF(I473=0.1,"极紧凑",IF(I473&gt;3.5,"紧凑",IF(AND(I473&gt;=2,I473&lt;=3.5),"标准",IF(AND(I473&gt;=1,I473&lt;2),"松散",""))))</f>
        <v/>
      </c>
      <c r="K473" s="2">
        <f>IF(I473=0.1,"极紧凑-豹子号",IF(AND(I473&gt;=1,I473&lt;=1.29),"松散-极松散",IF(AND(I473&gt;=1.33,I473&lt;=1.8),"松散-标准松散",IF(AND(I473&gt;=1.83,I473&lt;=1.89),"松散-偏紧松散",IF(AND(I473&gt;=2,I473&lt;=2.5),"标准-偏松标准",IF(AND(I473&gt;=2.57,I473&lt;=3),"标准-核心标准",IF(AND(I473&gt;=3.17,I473&lt;=3.5),"标准-偏紧标准",IF(AND(I473&gt;=3.6,I473&lt;=5),"紧凑-标准紧凑",IF(AND(I473&gt;=5.25,I473&lt;=8),"紧凑-高度紧凑",IF(I473&gt;=8.5,"紧凑-极度紧凑",""))))))))))</f>
        <v/>
      </c>
      <c r="L473" s="2">
        <f>IF(I473=0.1,"极紧凑",IF(AND(I473&gt;=1,I473&lt;=1.89),"松散",IF(AND(I473&gt;=2,I473&lt;=3.5),"标准",IF(I473&gt;=3.6,"紧凑",""))))</f>
        <v/>
      </c>
      <c r="M473" s="2" t="inlineStr">
        <is>
          <t>极紧凑-豹子号</t>
        </is>
      </c>
      <c r="N473" s="2" t="inlineStr">
        <is>
          <t>松散-极松散</t>
        </is>
      </c>
      <c r="O473" s="2" t="inlineStr">
        <is>
          <t>松散-标准松散</t>
        </is>
      </c>
      <c r="P473" s="2" t="inlineStr">
        <is>
          <t>松散-偏紧松散</t>
        </is>
      </c>
      <c r="Q473" s="2" t="inlineStr">
        <is>
          <t>标准-偏松标准</t>
        </is>
      </c>
      <c r="R473" s="2" t="inlineStr">
        <is>
          <t>标准-核心标准</t>
        </is>
      </c>
      <c r="S473" s="2" t="inlineStr">
        <is>
          <t>标准-偏紧标准</t>
        </is>
      </c>
      <c r="T473" s="2" t="inlineStr">
        <is>
          <t>紧凑-标准紧凑</t>
        </is>
      </c>
      <c r="U473" s="2" t="inlineStr">
        <is>
          <t>紧凑-高度紧凑</t>
        </is>
      </c>
      <c r="V473" s="2" t="inlineStr">
        <is>
          <t>紧凑-极度紧凑</t>
        </is>
      </c>
    </row>
    <row r="474">
      <c r="A474" s="1" t="n">
        <v>2024041</v>
      </c>
      <c r="B474" s="3" t="inlineStr">
        <is>
          <t>905</t>
        </is>
      </c>
      <c r="C474" s="2">
        <f>IF(B474="","",LEFT(TEXT(B474,"000"),1)*1)</f>
        <v/>
      </c>
      <c r="D474" s="2">
        <f>IF(B474="","",MID(TEXT(B474,"000"),2,1)*1)</f>
        <v/>
      </c>
      <c r="E474" s="2">
        <f>IF(B474="","",RIGHT(TEXT(B474,"000"),1)*1)</f>
        <v/>
      </c>
      <c r="F474" s="2">
        <f>IF(B474="","",C474+D474+E474)</f>
        <v/>
      </c>
      <c r="G474" s="2">
        <f>IF(B474="","",MOD(F474,10))</f>
        <v/>
      </c>
      <c r="H474" s="2">
        <f>IF(B474="","",MAX(C474,D474,E474)-MIN(C474,D474,E474))</f>
        <v/>
      </c>
      <c r="I474" s="2">
        <f>IF(OR(B474="",H474=0),IF(H474=0,0.1,""),ROUND(F474/H474,2))</f>
        <v/>
      </c>
      <c r="J474" s="2">
        <f>IF(I474=0.1,"极紧凑",IF(I474&gt;3.5,"紧凑",IF(AND(I474&gt;=2,I474&lt;=3.5),"标准",IF(AND(I474&gt;=1,I474&lt;2),"松散",""))))</f>
        <v/>
      </c>
      <c r="K474" s="2">
        <f>IF(I474=0.1,"极紧凑-豹子号",IF(AND(I474&gt;=1,I474&lt;=1.29),"松散-极松散",IF(AND(I474&gt;=1.33,I474&lt;=1.8),"松散-标准松散",IF(AND(I474&gt;=1.83,I474&lt;=1.89),"松散-偏紧松散",IF(AND(I474&gt;=2,I474&lt;=2.5),"标准-偏松标准",IF(AND(I474&gt;=2.57,I474&lt;=3),"标准-核心标准",IF(AND(I474&gt;=3.17,I474&lt;=3.5),"标准-偏紧标准",IF(AND(I474&gt;=3.6,I474&lt;=5),"紧凑-标准紧凑",IF(AND(I474&gt;=5.25,I474&lt;=8),"紧凑-高度紧凑",IF(I474&gt;=8.5,"紧凑-极度紧凑",""))))))))))</f>
        <v/>
      </c>
      <c r="L474" s="2">
        <f>IF(I474=0.1,"极紧凑",IF(AND(I474&gt;=1,I474&lt;=1.89),"松散",IF(AND(I474&gt;=2,I474&lt;=3.5),"标准",IF(I474&gt;=3.6,"紧凑",""))))</f>
        <v/>
      </c>
      <c r="M474" s="2" t="inlineStr">
        <is>
          <t>极紧凑-豹子号</t>
        </is>
      </c>
      <c r="N474" s="2" t="inlineStr">
        <is>
          <t>松散-极松散</t>
        </is>
      </c>
      <c r="O474" s="2" t="inlineStr">
        <is>
          <t>松散-标准松散</t>
        </is>
      </c>
      <c r="P474" s="2" t="inlineStr">
        <is>
          <t>松散-偏紧松散</t>
        </is>
      </c>
      <c r="Q474" s="2" t="inlineStr">
        <is>
          <t>标准-偏松标准</t>
        </is>
      </c>
      <c r="R474" s="2" t="inlineStr">
        <is>
          <t>标准-核心标准</t>
        </is>
      </c>
      <c r="S474" s="2" t="inlineStr">
        <is>
          <t>标准-偏紧标准</t>
        </is>
      </c>
      <c r="T474" s="2" t="inlineStr">
        <is>
          <t>紧凑-标准紧凑</t>
        </is>
      </c>
      <c r="U474" s="2" t="inlineStr">
        <is>
          <t>紧凑-高度紧凑</t>
        </is>
      </c>
      <c r="V474" s="2" t="inlineStr">
        <is>
          <t>紧凑-极度紧凑</t>
        </is>
      </c>
    </row>
    <row r="475">
      <c r="A475" s="1" t="n">
        <v>2024042</v>
      </c>
      <c r="B475" s="3" t="inlineStr">
        <is>
          <t>342</t>
        </is>
      </c>
      <c r="C475" s="2">
        <f>IF(B475="","",LEFT(TEXT(B475,"000"),1)*1)</f>
        <v/>
      </c>
      <c r="D475" s="2">
        <f>IF(B475="","",MID(TEXT(B475,"000"),2,1)*1)</f>
        <v/>
      </c>
      <c r="E475" s="2">
        <f>IF(B475="","",RIGHT(TEXT(B475,"000"),1)*1)</f>
        <v/>
      </c>
      <c r="F475" s="2">
        <f>IF(B475="","",C475+D475+E475)</f>
        <v/>
      </c>
      <c r="G475" s="2">
        <f>IF(B475="","",MOD(F475,10))</f>
        <v/>
      </c>
      <c r="H475" s="2">
        <f>IF(B475="","",MAX(C475,D475,E475)-MIN(C475,D475,E475))</f>
        <v/>
      </c>
      <c r="I475" s="2">
        <f>IF(OR(B475="",H475=0),IF(H475=0,0.1,""),ROUND(F475/H475,2))</f>
        <v/>
      </c>
      <c r="J475" s="2">
        <f>IF(I475=0.1,"极紧凑",IF(I475&gt;3.5,"紧凑",IF(AND(I475&gt;=2,I475&lt;=3.5),"标准",IF(AND(I475&gt;=1,I475&lt;2),"松散",""))))</f>
        <v/>
      </c>
      <c r="K475" s="2">
        <f>IF(I475=0.1,"极紧凑-豹子号",IF(AND(I475&gt;=1,I475&lt;=1.29),"松散-极松散",IF(AND(I475&gt;=1.33,I475&lt;=1.8),"松散-标准松散",IF(AND(I475&gt;=1.83,I475&lt;=1.89),"松散-偏紧松散",IF(AND(I475&gt;=2,I475&lt;=2.5),"标准-偏松标准",IF(AND(I475&gt;=2.57,I475&lt;=3),"标准-核心标准",IF(AND(I475&gt;=3.17,I475&lt;=3.5),"标准-偏紧标准",IF(AND(I475&gt;=3.6,I475&lt;=5),"紧凑-标准紧凑",IF(AND(I475&gt;=5.25,I475&lt;=8),"紧凑-高度紧凑",IF(I475&gt;=8.5,"紧凑-极度紧凑",""))))))))))</f>
        <v/>
      </c>
      <c r="L475" s="2">
        <f>IF(I475=0.1,"极紧凑",IF(AND(I475&gt;=1,I475&lt;=1.89),"松散",IF(AND(I475&gt;=2,I475&lt;=3.5),"标准",IF(I475&gt;=3.6,"紧凑",""))))</f>
        <v/>
      </c>
      <c r="M475" s="2" t="inlineStr">
        <is>
          <t>极紧凑-豹子号</t>
        </is>
      </c>
      <c r="N475" s="2" t="inlineStr">
        <is>
          <t>松散-极松散</t>
        </is>
      </c>
      <c r="O475" s="2" t="inlineStr">
        <is>
          <t>松散-标准松散</t>
        </is>
      </c>
      <c r="P475" s="2" t="inlineStr">
        <is>
          <t>松散-偏紧松散</t>
        </is>
      </c>
      <c r="Q475" s="2" t="inlineStr">
        <is>
          <t>标准-偏松标准</t>
        </is>
      </c>
      <c r="R475" s="2" t="inlineStr">
        <is>
          <t>标准-核心标准</t>
        </is>
      </c>
      <c r="S475" s="2" t="inlineStr">
        <is>
          <t>标准-偏紧标准</t>
        </is>
      </c>
      <c r="T475" s="2" t="inlineStr">
        <is>
          <t>紧凑-标准紧凑</t>
        </is>
      </c>
      <c r="U475" s="2" t="inlineStr">
        <is>
          <t>紧凑-高度紧凑</t>
        </is>
      </c>
      <c r="V475" s="2" t="inlineStr">
        <is>
          <t>紧凑-极度紧凑</t>
        </is>
      </c>
    </row>
    <row r="476">
      <c r="A476" s="1" t="n">
        <v>2024043</v>
      </c>
      <c r="B476" s="3" t="inlineStr">
        <is>
          <t>296</t>
        </is>
      </c>
      <c r="C476" s="2">
        <f>IF(B476="","",LEFT(TEXT(B476,"000"),1)*1)</f>
        <v/>
      </c>
      <c r="D476" s="2">
        <f>IF(B476="","",MID(TEXT(B476,"000"),2,1)*1)</f>
        <v/>
      </c>
      <c r="E476" s="2">
        <f>IF(B476="","",RIGHT(TEXT(B476,"000"),1)*1)</f>
        <v/>
      </c>
      <c r="F476" s="2">
        <f>IF(B476="","",C476+D476+E476)</f>
        <v/>
      </c>
      <c r="G476" s="2">
        <f>IF(B476="","",MOD(F476,10))</f>
        <v/>
      </c>
      <c r="H476" s="2">
        <f>IF(B476="","",MAX(C476,D476,E476)-MIN(C476,D476,E476))</f>
        <v/>
      </c>
      <c r="I476" s="2">
        <f>IF(OR(B476="",H476=0),IF(H476=0,0.1,""),ROUND(F476/H476,2))</f>
        <v/>
      </c>
      <c r="J476" s="2">
        <f>IF(I476=0.1,"极紧凑",IF(I476&gt;3.5,"紧凑",IF(AND(I476&gt;=2,I476&lt;=3.5),"标准",IF(AND(I476&gt;=1,I476&lt;2),"松散",""))))</f>
        <v/>
      </c>
      <c r="K476" s="2">
        <f>IF(I476=0.1,"极紧凑-豹子号",IF(AND(I476&gt;=1,I476&lt;=1.29),"松散-极松散",IF(AND(I476&gt;=1.33,I476&lt;=1.8),"松散-标准松散",IF(AND(I476&gt;=1.83,I476&lt;=1.89),"松散-偏紧松散",IF(AND(I476&gt;=2,I476&lt;=2.5),"标准-偏松标准",IF(AND(I476&gt;=2.57,I476&lt;=3),"标准-核心标准",IF(AND(I476&gt;=3.17,I476&lt;=3.5),"标准-偏紧标准",IF(AND(I476&gt;=3.6,I476&lt;=5),"紧凑-标准紧凑",IF(AND(I476&gt;=5.25,I476&lt;=8),"紧凑-高度紧凑",IF(I476&gt;=8.5,"紧凑-极度紧凑",""))))))))))</f>
        <v/>
      </c>
      <c r="L476" s="2">
        <f>IF(I476=0.1,"极紧凑",IF(AND(I476&gt;=1,I476&lt;=1.89),"松散",IF(AND(I476&gt;=2,I476&lt;=3.5),"标准",IF(I476&gt;=3.6,"紧凑",""))))</f>
        <v/>
      </c>
      <c r="M476" s="2" t="inlineStr">
        <is>
          <t>极紧凑-豹子号</t>
        </is>
      </c>
      <c r="N476" s="2" t="inlineStr">
        <is>
          <t>松散-极松散</t>
        </is>
      </c>
      <c r="O476" s="2" t="inlineStr">
        <is>
          <t>松散-标准松散</t>
        </is>
      </c>
      <c r="P476" s="2" t="inlineStr">
        <is>
          <t>松散-偏紧松散</t>
        </is>
      </c>
      <c r="Q476" s="2" t="inlineStr">
        <is>
          <t>标准-偏松标准</t>
        </is>
      </c>
      <c r="R476" s="2" t="inlineStr">
        <is>
          <t>标准-核心标准</t>
        </is>
      </c>
      <c r="S476" s="2" t="inlineStr">
        <is>
          <t>标准-偏紧标准</t>
        </is>
      </c>
      <c r="T476" s="2" t="inlineStr">
        <is>
          <t>紧凑-标准紧凑</t>
        </is>
      </c>
      <c r="U476" s="2" t="inlineStr">
        <is>
          <t>紧凑-高度紧凑</t>
        </is>
      </c>
      <c r="V476" s="2" t="inlineStr">
        <is>
          <t>紧凑-极度紧凑</t>
        </is>
      </c>
    </row>
    <row r="477">
      <c r="A477" s="1" t="n">
        <v>2024044</v>
      </c>
      <c r="B477" s="3" t="inlineStr">
        <is>
          <t>885</t>
        </is>
      </c>
      <c r="C477" s="2">
        <f>IF(B477="","",LEFT(TEXT(B477,"000"),1)*1)</f>
        <v/>
      </c>
      <c r="D477" s="2">
        <f>IF(B477="","",MID(TEXT(B477,"000"),2,1)*1)</f>
        <v/>
      </c>
      <c r="E477" s="2">
        <f>IF(B477="","",RIGHT(TEXT(B477,"000"),1)*1)</f>
        <v/>
      </c>
      <c r="F477" s="2">
        <f>IF(B477="","",C477+D477+E477)</f>
        <v/>
      </c>
      <c r="G477" s="2">
        <f>IF(B477="","",MOD(F477,10))</f>
        <v/>
      </c>
      <c r="H477" s="2">
        <f>IF(B477="","",MAX(C477,D477,E477)-MIN(C477,D477,E477))</f>
        <v/>
      </c>
      <c r="I477" s="2">
        <f>IF(OR(B477="",H477=0),IF(H477=0,0.1,""),ROUND(F477/H477,2))</f>
        <v/>
      </c>
      <c r="J477" s="2">
        <f>IF(I477=0.1,"极紧凑",IF(I477&gt;3.5,"紧凑",IF(AND(I477&gt;=2,I477&lt;=3.5),"标准",IF(AND(I477&gt;=1,I477&lt;2),"松散",""))))</f>
        <v/>
      </c>
      <c r="K477" s="2">
        <f>IF(I477=0.1,"极紧凑-豹子号",IF(AND(I477&gt;=1,I477&lt;=1.29),"松散-极松散",IF(AND(I477&gt;=1.33,I477&lt;=1.8),"松散-标准松散",IF(AND(I477&gt;=1.83,I477&lt;=1.89),"松散-偏紧松散",IF(AND(I477&gt;=2,I477&lt;=2.5),"标准-偏松标准",IF(AND(I477&gt;=2.57,I477&lt;=3),"标准-核心标准",IF(AND(I477&gt;=3.17,I477&lt;=3.5),"标准-偏紧标准",IF(AND(I477&gt;=3.6,I477&lt;=5),"紧凑-标准紧凑",IF(AND(I477&gt;=5.25,I477&lt;=8),"紧凑-高度紧凑",IF(I477&gt;=8.5,"紧凑-极度紧凑",""))))))))))</f>
        <v/>
      </c>
      <c r="L477" s="2">
        <f>IF(I477=0.1,"极紧凑",IF(AND(I477&gt;=1,I477&lt;=1.89),"松散",IF(AND(I477&gt;=2,I477&lt;=3.5),"标准",IF(I477&gt;=3.6,"紧凑",""))))</f>
        <v/>
      </c>
      <c r="M477" s="2" t="inlineStr">
        <is>
          <t>极紧凑-豹子号</t>
        </is>
      </c>
      <c r="N477" s="2" t="inlineStr">
        <is>
          <t>松散-极松散</t>
        </is>
      </c>
      <c r="O477" s="2" t="inlineStr">
        <is>
          <t>松散-标准松散</t>
        </is>
      </c>
      <c r="P477" s="2" t="inlineStr">
        <is>
          <t>松散-偏紧松散</t>
        </is>
      </c>
      <c r="Q477" s="2" t="inlineStr">
        <is>
          <t>标准-偏松标准</t>
        </is>
      </c>
      <c r="R477" s="2" t="inlineStr">
        <is>
          <t>标准-核心标准</t>
        </is>
      </c>
      <c r="S477" s="2" t="inlineStr">
        <is>
          <t>标准-偏紧标准</t>
        </is>
      </c>
      <c r="T477" s="2" t="inlineStr">
        <is>
          <t>紧凑-标准紧凑</t>
        </is>
      </c>
      <c r="U477" s="2" t="inlineStr">
        <is>
          <t>紧凑-高度紧凑</t>
        </is>
      </c>
      <c r="V477" s="2" t="inlineStr">
        <is>
          <t>紧凑-极度紧凑</t>
        </is>
      </c>
    </row>
    <row r="478">
      <c r="A478" s="1" t="n">
        <v>2024045</v>
      </c>
      <c r="B478" s="3" t="inlineStr">
        <is>
          <t>757</t>
        </is>
      </c>
      <c r="C478" s="2">
        <f>IF(B478="","",LEFT(TEXT(B478,"000"),1)*1)</f>
        <v/>
      </c>
      <c r="D478" s="2">
        <f>IF(B478="","",MID(TEXT(B478,"000"),2,1)*1)</f>
        <v/>
      </c>
      <c r="E478" s="2">
        <f>IF(B478="","",RIGHT(TEXT(B478,"000"),1)*1)</f>
        <v/>
      </c>
      <c r="F478" s="2">
        <f>IF(B478="","",C478+D478+E478)</f>
        <v/>
      </c>
      <c r="G478" s="2">
        <f>IF(B478="","",MOD(F478,10))</f>
        <v/>
      </c>
      <c r="H478" s="2">
        <f>IF(B478="","",MAX(C478,D478,E478)-MIN(C478,D478,E478))</f>
        <v/>
      </c>
      <c r="I478" s="2">
        <f>IF(OR(B478="",H478=0),IF(H478=0,0.1,""),ROUND(F478/H478,2))</f>
        <v/>
      </c>
      <c r="J478" s="2">
        <f>IF(I478=0.1,"极紧凑",IF(I478&gt;3.5,"紧凑",IF(AND(I478&gt;=2,I478&lt;=3.5),"标准",IF(AND(I478&gt;=1,I478&lt;2),"松散",""))))</f>
        <v/>
      </c>
      <c r="K478" s="2">
        <f>IF(I478=0.1,"极紧凑-豹子号",IF(AND(I478&gt;=1,I478&lt;=1.29),"松散-极松散",IF(AND(I478&gt;=1.33,I478&lt;=1.8),"松散-标准松散",IF(AND(I478&gt;=1.83,I478&lt;=1.89),"松散-偏紧松散",IF(AND(I478&gt;=2,I478&lt;=2.5),"标准-偏松标准",IF(AND(I478&gt;=2.57,I478&lt;=3),"标准-核心标准",IF(AND(I478&gt;=3.17,I478&lt;=3.5),"标准-偏紧标准",IF(AND(I478&gt;=3.6,I478&lt;=5),"紧凑-标准紧凑",IF(AND(I478&gt;=5.25,I478&lt;=8),"紧凑-高度紧凑",IF(I478&gt;=8.5,"紧凑-极度紧凑",""))))))))))</f>
        <v/>
      </c>
      <c r="L478" s="2">
        <f>IF(I478=0.1,"极紧凑",IF(AND(I478&gt;=1,I478&lt;=1.89),"松散",IF(AND(I478&gt;=2,I478&lt;=3.5),"标准",IF(I478&gt;=3.6,"紧凑",""))))</f>
        <v/>
      </c>
      <c r="M478" s="2" t="inlineStr">
        <is>
          <t>极紧凑-豹子号</t>
        </is>
      </c>
      <c r="N478" s="2" t="inlineStr">
        <is>
          <t>松散-极松散</t>
        </is>
      </c>
      <c r="O478" s="2" t="inlineStr">
        <is>
          <t>松散-标准松散</t>
        </is>
      </c>
      <c r="P478" s="2" t="inlineStr">
        <is>
          <t>松散-偏紧松散</t>
        </is>
      </c>
      <c r="Q478" s="2" t="inlineStr">
        <is>
          <t>标准-偏松标准</t>
        </is>
      </c>
      <c r="R478" s="2" t="inlineStr">
        <is>
          <t>标准-核心标准</t>
        </is>
      </c>
      <c r="S478" s="2" t="inlineStr">
        <is>
          <t>标准-偏紧标准</t>
        </is>
      </c>
      <c r="T478" s="2" t="inlineStr">
        <is>
          <t>紧凑-标准紧凑</t>
        </is>
      </c>
      <c r="U478" s="2" t="inlineStr">
        <is>
          <t>紧凑-高度紧凑</t>
        </is>
      </c>
      <c r="V478" s="2" t="inlineStr">
        <is>
          <t>紧凑-极度紧凑</t>
        </is>
      </c>
    </row>
    <row r="479">
      <c r="A479" s="1" t="n">
        <v>2024046</v>
      </c>
      <c r="B479" s="3" t="inlineStr">
        <is>
          <t>702</t>
        </is>
      </c>
      <c r="C479" s="2">
        <f>IF(B479="","",LEFT(TEXT(B479,"000"),1)*1)</f>
        <v/>
      </c>
      <c r="D479" s="2">
        <f>IF(B479="","",MID(TEXT(B479,"000"),2,1)*1)</f>
        <v/>
      </c>
      <c r="E479" s="2">
        <f>IF(B479="","",RIGHT(TEXT(B479,"000"),1)*1)</f>
        <v/>
      </c>
      <c r="F479" s="2">
        <f>IF(B479="","",C479+D479+E479)</f>
        <v/>
      </c>
      <c r="G479" s="2">
        <f>IF(B479="","",MOD(F479,10))</f>
        <v/>
      </c>
      <c r="H479" s="2">
        <f>IF(B479="","",MAX(C479,D479,E479)-MIN(C479,D479,E479))</f>
        <v/>
      </c>
      <c r="I479" s="2">
        <f>IF(OR(B479="",H479=0),IF(H479=0,0.1,""),ROUND(F479/H479,2))</f>
        <v/>
      </c>
      <c r="J479" s="2">
        <f>IF(I479=0.1,"极紧凑",IF(I479&gt;3.5,"紧凑",IF(AND(I479&gt;=2,I479&lt;=3.5),"标准",IF(AND(I479&gt;=1,I479&lt;2),"松散",""))))</f>
        <v/>
      </c>
      <c r="K479" s="2">
        <f>IF(I479=0.1,"极紧凑-豹子号",IF(AND(I479&gt;=1,I479&lt;=1.29),"松散-极松散",IF(AND(I479&gt;=1.33,I479&lt;=1.8),"松散-标准松散",IF(AND(I479&gt;=1.83,I479&lt;=1.89),"松散-偏紧松散",IF(AND(I479&gt;=2,I479&lt;=2.5),"标准-偏松标准",IF(AND(I479&gt;=2.57,I479&lt;=3),"标准-核心标准",IF(AND(I479&gt;=3.17,I479&lt;=3.5),"标准-偏紧标准",IF(AND(I479&gt;=3.6,I479&lt;=5),"紧凑-标准紧凑",IF(AND(I479&gt;=5.25,I479&lt;=8),"紧凑-高度紧凑",IF(I479&gt;=8.5,"紧凑-极度紧凑",""))))))))))</f>
        <v/>
      </c>
      <c r="L479" s="2">
        <f>IF(I479=0.1,"极紧凑",IF(AND(I479&gt;=1,I479&lt;=1.89),"松散",IF(AND(I479&gt;=2,I479&lt;=3.5),"标准",IF(I479&gt;=3.6,"紧凑",""))))</f>
        <v/>
      </c>
      <c r="M479" s="2" t="inlineStr">
        <is>
          <t>极紧凑-豹子号</t>
        </is>
      </c>
      <c r="N479" s="2" t="inlineStr">
        <is>
          <t>松散-极松散</t>
        </is>
      </c>
      <c r="O479" s="2" t="inlineStr">
        <is>
          <t>松散-标准松散</t>
        </is>
      </c>
      <c r="P479" s="2" t="inlineStr">
        <is>
          <t>松散-偏紧松散</t>
        </is>
      </c>
      <c r="Q479" s="2" t="inlineStr">
        <is>
          <t>标准-偏松标准</t>
        </is>
      </c>
      <c r="R479" s="2" t="inlineStr">
        <is>
          <t>标准-核心标准</t>
        </is>
      </c>
      <c r="S479" s="2" t="inlineStr">
        <is>
          <t>标准-偏紧标准</t>
        </is>
      </c>
      <c r="T479" s="2" t="inlineStr">
        <is>
          <t>紧凑-标准紧凑</t>
        </is>
      </c>
      <c r="U479" s="2" t="inlineStr">
        <is>
          <t>紧凑-高度紧凑</t>
        </is>
      </c>
      <c r="V479" s="2" t="inlineStr">
        <is>
          <t>紧凑-极度紧凑</t>
        </is>
      </c>
    </row>
    <row r="480">
      <c r="A480" s="1" t="n">
        <v>2024047</v>
      </c>
      <c r="B480" s="3" t="inlineStr">
        <is>
          <t>760</t>
        </is>
      </c>
      <c r="C480" s="2">
        <f>IF(B480="","",LEFT(TEXT(B480,"000"),1)*1)</f>
        <v/>
      </c>
      <c r="D480" s="2">
        <f>IF(B480="","",MID(TEXT(B480,"000"),2,1)*1)</f>
        <v/>
      </c>
      <c r="E480" s="2">
        <f>IF(B480="","",RIGHT(TEXT(B480,"000"),1)*1)</f>
        <v/>
      </c>
      <c r="F480" s="2">
        <f>IF(B480="","",C480+D480+E480)</f>
        <v/>
      </c>
      <c r="G480" s="2">
        <f>IF(B480="","",MOD(F480,10))</f>
        <v/>
      </c>
      <c r="H480" s="2">
        <f>IF(B480="","",MAX(C480,D480,E480)-MIN(C480,D480,E480))</f>
        <v/>
      </c>
      <c r="I480" s="2">
        <f>IF(OR(B480="",H480=0),IF(H480=0,0.1,""),ROUND(F480/H480,2))</f>
        <v/>
      </c>
      <c r="J480" s="2">
        <f>IF(I480=0.1,"极紧凑",IF(I480&gt;3.5,"紧凑",IF(AND(I480&gt;=2,I480&lt;=3.5),"标准",IF(AND(I480&gt;=1,I480&lt;2),"松散",""))))</f>
        <v/>
      </c>
      <c r="K480" s="2">
        <f>IF(I480=0.1,"极紧凑-豹子号",IF(AND(I480&gt;=1,I480&lt;=1.29),"松散-极松散",IF(AND(I480&gt;=1.33,I480&lt;=1.8),"松散-标准松散",IF(AND(I480&gt;=1.83,I480&lt;=1.89),"松散-偏紧松散",IF(AND(I480&gt;=2,I480&lt;=2.5),"标准-偏松标准",IF(AND(I480&gt;=2.57,I480&lt;=3),"标准-核心标准",IF(AND(I480&gt;=3.17,I480&lt;=3.5),"标准-偏紧标准",IF(AND(I480&gt;=3.6,I480&lt;=5),"紧凑-标准紧凑",IF(AND(I480&gt;=5.25,I480&lt;=8),"紧凑-高度紧凑",IF(I480&gt;=8.5,"紧凑-极度紧凑",""))))))))))</f>
        <v/>
      </c>
      <c r="L480" s="2">
        <f>IF(I480=0.1,"极紧凑",IF(AND(I480&gt;=1,I480&lt;=1.89),"松散",IF(AND(I480&gt;=2,I480&lt;=3.5),"标准",IF(I480&gt;=3.6,"紧凑",""))))</f>
        <v/>
      </c>
      <c r="M480" s="2" t="inlineStr">
        <is>
          <t>极紧凑-豹子号</t>
        </is>
      </c>
      <c r="N480" s="2" t="inlineStr">
        <is>
          <t>松散-极松散</t>
        </is>
      </c>
      <c r="O480" s="2" t="inlineStr">
        <is>
          <t>松散-标准松散</t>
        </is>
      </c>
      <c r="P480" s="2" t="inlineStr">
        <is>
          <t>松散-偏紧松散</t>
        </is>
      </c>
      <c r="Q480" s="2" t="inlineStr">
        <is>
          <t>标准-偏松标准</t>
        </is>
      </c>
      <c r="R480" s="2" t="inlineStr">
        <is>
          <t>标准-核心标准</t>
        </is>
      </c>
      <c r="S480" s="2" t="inlineStr">
        <is>
          <t>标准-偏紧标准</t>
        </is>
      </c>
      <c r="T480" s="2" t="inlineStr">
        <is>
          <t>紧凑-标准紧凑</t>
        </is>
      </c>
      <c r="U480" s="2" t="inlineStr">
        <is>
          <t>紧凑-高度紧凑</t>
        </is>
      </c>
      <c r="V480" s="2" t="inlineStr">
        <is>
          <t>紧凑-极度紧凑</t>
        </is>
      </c>
    </row>
    <row r="481">
      <c r="A481" s="1" t="n">
        <v>2024048</v>
      </c>
      <c r="B481" s="3" t="inlineStr">
        <is>
          <t>396</t>
        </is>
      </c>
      <c r="C481" s="2">
        <f>IF(B481="","",LEFT(TEXT(B481,"000"),1)*1)</f>
        <v/>
      </c>
      <c r="D481" s="2">
        <f>IF(B481="","",MID(TEXT(B481,"000"),2,1)*1)</f>
        <v/>
      </c>
      <c r="E481" s="2">
        <f>IF(B481="","",RIGHT(TEXT(B481,"000"),1)*1)</f>
        <v/>
      </c>
      <c r="F481" s="2">
        <f>IF(B481="","",C481+D481+E481)</f>
        <v/>
      </c>
      <c r="G481" s="2">
        <f>IF(B481="","",MOD(F481,10))</f>
        <v/>
      </c>
      <c r="H481" s="2">
        <f>IF(B481="","",MAX(C481,D481,E481)-MIN(C481,D481,E481))</f>
        <v/>
      </c>
      <c r="I481" s="2">
        <f>IF(OR(B481="",H481=0),IF(H481=0,0.1,""),ROUND(F481/H481,2))</f>
        <v/>
      </c>
      <c r="J481" s="2">
        <f>IF(I481=0.1,"极紧凑",IF(I481&gt;3.5,"紧凑",IF(AND(I481&gt;=2,I481&lt;=3.5),"标准",IF(AND(I481&gt;=1,I481&lt;2),"松散",""))))</f>
        <v/>
      </c>
      <c r="K481" s="2">
        <f>IF(I481=0.1,"极紧凑-豹子号",IF(AND(I481&gt;=1,I481&lt;=1.29),"松散-极松散",IF(AND(I481&gt;=1.33,I481&lt;=1.8),"松散-标准松散",IF(AND(I481&gt;=1.83,I481&lt;=1.89),"松散-偏紧松散",IF(AND(I481&gt;=2,I481&lt;=2.5),"标准-偏松标准",IF(AND(I481&gt;=2.57,I481&lt;=3),"标准-核心标准",IF(AND(I481&gt;=3.17,I481&lt;=3.5),"标准-偏紧标准",IF(AND(I481&gt;=3.6,I481&lt;=5),"紧凑-标准紧凑",IF(AND(I481&gt;=5.25,I481&lt;=8),"紧凑-高度紧凑",IF(I481&gt;=8.5,"紧凑-极度紧凑",""))))))))))</f>
        <v/>
      </c>
      <c r="L481" s="2">
        <f>IF(I481=0.1,"极紧凑",IF(AND(I481&gt;=1,I481&lt;=1.89),"松散",IF(AND(I481&gt;=2,I481&lt;=3.5),"标准",IF(I481&gt;=3.6,"紧凑",""))))</f>
        <v/>
      </c>
      <c r="M481" s="2" t="inlineStr">
        <is>
          <t>极紧凑-豹子号</t>
        </is>
      </c>
      <c r="N481" s="2" t="inlineStr">
        <is>
          <t>松散-极松散</t>
        </is>
      </c>
      <c r="O481" s="2" t="inlineStr">
        <is>
          <t>松散-标准松散</t>
        </is>
      </c>
      <c r="P481" s="2" t="inlineStr">
        <is>
          <t>松散-偏紧松散</t>
        </is>
      </c>
      <c r="Q481" s="2" t="inlineStr">
        <is>
          <t>标准-偏松标准</t>
        </is>
      </c>
      <c r="R481" s="2" t="inlineStr">
        <is>
          <t>标准-核心标准</t>
        </is>
      </c>
      <c r="S481" s="2" t="inlineStr">
        <is>
          <t>标准-偏紧标准</t>
        </is>
      </c>
      <c r="T481" s="2" t="inlineStr">
        <is>
          <t>紧凑-标准紧凑</t>
        </is>
      </c>
      <c r="U481" s="2" t="inlineStr">
        <is>
          <t>紧凑-高度紧凑</t>
        </is>
      </c>
      <c r="V481" s="2" t="inlineStr">
        <is>
          <t>紧凑-极度紧凑</t>
        </is>
      </c>
    </row>
    <row r="482">
      <c r="A482" s="1" t="n">
        <v>2024049</v>
      </c>
      <c r="B482" s="3" t="inlineStr">
        <is>
          <t>631</t>
        </is>
      </c>
      <c r="C482" s="2">
        <f>IF(B482="","",LEFT(TEXT(B482,"000"),1)*1)</f>
        <v/>
      </c>
      <c r="D482" s="2">
        <f>IF(B482="","",MID(TEXT(B482,"000"),2,1)*1)</f>
        <v/>
      </c>
      <c r="E482" s="2">
        <f>IF(B482="","",RIGHT(TEXT(B482,"000"),1)*1)</f>
        <v/>
      </c>
      <c r="F482" s="2">
        <f>IF(B482="","",C482+D482+E482)</f>
        <v/>
      </c>
      <c r="G482" s="2">
        <f>IF(B482="","",MOD(F482,10))</f>
        <v/>
      </c>
      <c r="H482" s="2">
        <f>IF(B482="","",MAX(C482,D482,E482)-MIN(C482,D482,E482))</f>
        <v/>
      </c>
      <c r="I482" s="2">
        <f>IF(OR(B482="",H482=0),IF(H482=0,0.1,""),ROUND(F482/H482,2))</f>
        <v/>
      </c>
      <c r="J482" s="2">
        <f>IF(I482=0.1,"极紧凑",IF(I482&gt;3.5,"紧凑",IF(AND(I482&gt;=2,I482&lt;=3.5),"标准",IF(AND(I482&gt;=1,I482&lt;2),"松散",""))))</f>
        <v/>
      </c>
      <c r="K482" s="2">
        <f>IF(I482=0.1,"极紧凑-豹子号",IF(AND(I482&gt;=1,I482&lt;=1.29),"松散-极松散",IF(AND(I482&gt;=1.33,I482&lt;=1.8),"松散-标准松散",IF(AND(I482&gt;=1.83,I482&lt;=1.89),"松散-偏紧松散",IF(AND(I482&gt;=2,I482&lt;=2.5),"标准-偏松标准",IF(AND(I482&gt;=2.57,I482&lt;=3),"标准-核心标准",IF(AND(I482&gt;=3.17,I482&lt;=3.5),"标准-偏紧标准",IF(AND(I482&gt;=3.6,I482&lt;=5),"紧凑-标准紧凑",IF(AND(I482&gt;=5.25,I482&lt;=8),"紧凑-高度紧凑",IF(I482&gt;=8.5,"紧凑-极度紧凑",""))))))))))</f>
        <v/>
      </c>
      <c r="L482" s="2">
        <f>IF(I482=0.1,"极紧凑",IF(AND(I482&gt;=1,I482&lt;=1.89),"松散",IF(AND(I482&gt;=2,I482&lt;=3.5),"标准",IF(I482&gt;=3.6,"紧凑",""))))</f>
        <v/>
      </c>
      <c r="M482" s="2" t="inlineStr">
        <is>
          <t>极紧凑-豹子号</t>
        </is>
      </c>
      <c r="N482" s="2" t="inlineStr">
        <is>
          <t>松散-极松散</t>
        </is>
      </c>
      <c r="O482" s="2" t="inlineStr">
        <is>
          <t>松散-标准松散</t>
        </is>
      </c>
      <c r="P482" s="2" t="inlineStr">
        <is>
          <t>松散-偏紧松散</t>
        </is>
      </c>
      <c r="Q482" s="2" t="inlineStr">
        <is>
          <t>标准-偏松标准</t>
        </is>
      </c>
      <c r="R482" s="2" t="inlineStr">
        <is>
          <t>标准-核心标准</t>
        </is>
      </c>
      <c r="S482" s="2" t="inlineStr">
        <is>
          <t>标准-偏紧标准</t>
        </is>
      </c>
      <c r="T482" s="2" t="inlineStr">
        <is>
          <t>紧凑-标准紧凑</t>
        </is>
      </c>
      <c r="U482" s="2" t="inlineStr">
        <is>
          <t>紧凑-高度紧凑</t>
        </is>
      </c>
      <c r="V482" s="2" t="inlineStr">
        <is>
          <t>紧凑-极度紧凑</t>
        </is>
      </c>
    </row>
    <row r="483">
      <c r="A483" s="1" t="n">
        <v>2024050</v>
      </c>
      <c r="B483" s="3" t="inlineStr">
        <is>
          <t>495</t>
        </is>
      </c>
      <c r="C483" s="2">
        <f>IF(B483="","",LEFT(TEXT(B483,"000"),1)*1)</f>
        <v/>
      </c>
      <c r="D483" s="2">
        <f>IF(B483="","",MID(TEXT(B483,"000"),2,1)*1)</f>
        <v/>
      </c>
      <c r="E483" s="2">
        <f>IF(B483="","",RIGHT(TEXT(B483,"000"),1)*1)</f>
        <v/>
      </c>
      <c r="F483" s="2">
        <f>IF(B483="","",C483+D483+E483)</f>
        <v/>
      </c>
      <c r="G483" s="2">
        <f>IF(B483="","",MOD(F483,10))</f>
        <v/>
      </c>
      <c r="H483" s="2">
        <f>IF(B483="","",MAX(C483,D483,E483)-MIN(C483,D483,E483))</f>
        <v/>
      </c>
      <c r="I483" s="2">
        <f>IF(OR(B483="",H483=0),IF(H483=0,0.1,""),ROUND(F483/H483,2))</f>
        <v/>
      </c>
      <c r="J483" s="2">
        <f>IF(I483=0.1,"极紧凑",IF(I483&gt;3.5,"紧凑",IF(AND(I483&gt;=2,I483&lt;=3.5),"标准",IF(AND(I483&gt;=1,I483&lt;2),"松散",""))))</f>
        <v/>
      </c>
      <c r="K483" s="2">
        <f>IF(I483=0.1,"极紧凑-豹子号",IF(AND(I483&gt;=1,I483&lt;=1.29),"松散-极松散",IF(AND(I483&gt;=1.33,I483&lt;=1.8),"松散-标准松散",IF(AND(I483&gt;=1.83,I483&lt;=1.89),"松散-偏紧松散",IF(AND(I483&gt;=2,I483&lt;=2.5),"标准-偏松标准",IF(AND(I483&gt;=2.57,I483&lt;=3),"标准-核心标准",IF(AND(I483&gt;=3.17,I483&lt;=3.5),"标准-偏紧标准",IF(AND(I483&gt;=3.6,I483&lt;=5),"紧凑-标准紧凑",IF(AND(I483&gt;=5.25,I483&lt;=8),"紧凑-高度紧凑",IF(I483&gt;=8.5,"紧凑-极度紧凑",""))))))))))</f>
        <v/>
      </c>
      <c r="L483" s="2">
        <f>IF(I483=0.1,"极紧凑",IF(AND(I483&gt;=1,I483&lt;=1.89),"松散",IF(AND(I483&gt;=2,I483&lt;=3.5),"标准",IF(I483&gt;=3.6,"紧凑",""))))</f>
        <v/>
      </c>
      <c r="M483" s="2" t="inlineStr">
        <is>
          <t>极紧凑-豹子号</t>
        </is>
      </c>
      <c r="N483" s="2" t="inlineStr">
        <is>
          <t>松散-极松散</t>
        </is>
      </c>
      <c r="O483" s="2" t="inlineStr">
        <is>
          <t>松散-标准松散</t>
        </is>
      </c>
      <c r="P483" s="2" t="inlineStr">
        <is>
          <t>松散-偏紧松散</t>
        </is>
      </c>
      <c r="Q483" s="2" t="inlineStr">
        <is>
          <t>标准-偏松标准</t>
        </is>
      </c>
      <c r="R483" s="2" t="inlineStr">
        <is>
          <t>标准-核心标准</t>
        </is>
      </c>
      <c r="S483" s="2" t="inlineStr">
        <is>
          <t>标准-偏紧标准</t>
        </is>
      </c>
      <c r="T483" s="2" t="inlineStr">
        <is>
          <t>紧凑-标准紧凑</t>
        </is>
      </c>
      <c r="U483" s="2" t="inlineStr">
        <is>
          <t>紧凑-高度紧凑</t>
        </is>
      </c>
      <c r="V483" s="2" t="inlineStr">
        <is>
          <t>紧凑-极度紧凑</t>
        </is>
      </c>
    </row>
    <row r="484">
      <c r="A484" s="1" t="n">
        <v>2024051</v>
      </c>
      <c r="B484" s="3" t="inlineStr">
        <is>
          <t>674</t>
        </is>
      </c>
      <c r="C484" s="2">
        <f>IF(B484="","",LEFT(TEXT(B484,"000"),1)*1)</f>
        <v/>
      </c>
      <c r="D484" s="2">
        <f>IF(B484="","",MID(TEXT(B484,"000"),2,1)*1)</f>
        <v/>
      </c>
      <c r="E484" s="2">
        <f>IF(B484="","",RIGHT(TEXT(B484,"000"),1)*1)</f>
        <v/>
      </c>
      <c r="F484" s="2">
        <f>IF(B484="","",C484+D484+E484)</f>
        <v/>
      </c>
      <c r="G484" s="2">
        <f>IF(B484="","",MOD(F484,10))</f>
        <v/>
      </c>
      <c r="H484" s="2">
        <f>IF(B484="","",MAX(C484,D484,E484)-MIN(C484,D484,E484))</f>
        <v/>
      </c>
      <c r="I484" s="2">
        <f>IF(OR(B484="",H484=0),IF(H484=0,0.1,""),ROUND(F484/H484,2))</f>
        <v/>
      </c>
      <c r="J484" s="2">
        <f>IF(I484=0.1,"极紧凑",IF(I484&gt;3.5,"紧凑",IF(AND(I484&gt;=2,I484&lt;=3.5),"标准",IF(AND(I484&gt;=1,I484&lt;2),"松散",""))))</f>
        <v/>
      </c>
      <c r="K484" s="2">
        <f>IF(I484=0.1,"极紧凑-豹子号",IF(AND(I484&gt;=1,I484&lt;=1.29),"松散-极松散",IF(AND(I484&gt;=1.33,I484&lt;=1.8),"松散-标准松散",IF(AND(I484&gt;=1.83,I484&lt;=1.89),"松散-偏紧松散",IF(AND(I484&gt;=2,I484&lt;=2.5),"标准-偏松标准",IF(AND(I484&gt;=2.57,I484&lt;=3),"标准-核心标准",IF(AND(I484&gt;=3.17,I484&lt;=3.5),"标准-偏紧标准",IF(AND(I484&gt;=3.6,I484&lt;=5),"紧凑-标准紧凑",IF(AND(I484&gt;=5.25,I484&lt;=8),"紧凑-高度紧凑",IF(I484&gt;=8.5,"紧凑-极度紧凑",""))))))))))</f>
        <v/>
      </c>
      <c r="L484" s="2">
        <f>IF(I484=0.1,"极紧凑",IF(AND(I484&gt;=1,I484&lt;=1.89),"松散",IF(AND(I484&gt;=2,I484&lt;=3.5),"标准",IF(I484&gt;=3.6,"紧凑",""))))</f>
        <v/>
      </c>
      <c r="M484" s="2" t="inlineStr">
        <is>
          <t>极紧凑-豹子号</t>
        </is>
      </c>
      <c r="N484" s="2" t="inlineStr">
        <is>
          <t>松散-极松散</t>
        </is>
      </c>
      <c r="O484" s="2" t="inlineStr">
        <is>
          <t>松散-标准松散</t>
        </is>
      </c>
      <c r="P484" s="2" t="inlineStr">
        <is>
          <t>松散-偏紧松散</t>
        </is>
      </c>
      <c r="Q484" s="2" t="inlineStr">
        <is>
          <t>标准-偏松标准</t>
        </is>
      </c>
      <c r="R484" s="2" t="inlineStr">
        <is>
          <t>标准-核心标准</t>
        </is>
      </c>
      <c r="S484" s="2" t="inlineStr">
        <is>
          <t>标准-偏紧标准</t>
        </is>
      </c>
      <c r="T484" s="2" t="inlineStr">
        <is>
          <t>紧凑-标准紧凑</t>
        </is>
      </c>
      <c r="U484" s="2" t="inlineStr">
        <is>
          <t>紧凑-高度紧凑</t>
        </is>
      </c>
      <c r="V484" s="2" t="inlineStr">
        <is>
          <t>紧凑-极度紧凑</t>
        </is>
      </c>
    </row>
    <row r="485">
      <c r="A485" s="1" t="n">
        <v>2024052</v>
      </c>
      <c r="B485" s="3" t="inlineStr">
        <is>
          <t>995</t>
        </is>
      </c>
      <c r="C485" s="2">
        <f>IF(B485="","",LEFT(TEXT(B485,"000"),1)*1)</f>
        <v/>
      </c>
      <c r="D485" s="2">
        <f>IF(B485="","",MID(TEXT(B485,"000"),2,1)*1)</f>
        <v/>
      </c>
      <c r="E485" s="2">
        <f>IF(B485="","",RIGHT(TEXT(B485,"000"),1)*1)</f>
        <v/>
      </c>
      <c r="F485" s="2">
        <f>IF(B485="","",C485+D485+E485)</f>
        <v/>
      </c>
      <c r="G485" s="2">
        <f>IF(B485="","",MOD(F485,10))</f>
        <v/>
      </c>
      <c r="H485" s="2">
        <f>IF(B485="","",MAX(C485,D485,E485)-MIN(C485,D485,E485))</f>
        <v/>
      </c>
      <c r="I485" s="2">
        <f>IF(OR(B485="",H485=0),IF(H485=0,0.1,""),ROUND(F485/H485,2))</f>
        <v/>
      </c>
      <c r="J485" s="2">
        <f>IF(I485=0.1,"极紧凑",IF(I485&gt;3.5,"紧凑",IF(AND(I485&gt;=2,I485&lt;=3.5),"标准",IF(AND(I485&gt;=1,I485&lt;2),"松散",""))))</f>
        <v/>
      </c>
      <c r="K485" s="2">
        <f>IF(I485=0.1,"极紧凑-豹子号",IF(AND(I485&gt;=1,I485&lt;=1.29),"松散-极松散",IF(AND(I485&gt;=1.33,I485&lt;=1.8),"松散-标准松散",IF(AND(I485&gt;=1.83,I485&lt;=1.89),"松散-偏紧松散",IF(AND(I485&gt;=2,I485&lt;=2.5),"标准-偏松标准",IF(AND(I485&gt;=2.57,I485&lt;=3),"标准-核心标准",IF(AND(I485&gt;=3.17,I485&lt;=3.5),"标准-偏紧标准",IF(AND(I485&gt;=3.6,I485&lt;=5),"紧凑-标准紧凑",IF(AND(I485&gt;=5.25,I485&lt;=8),"紧凑-高度紧凑",IF(I485&gt;=8.5,"紧凑-极度紧凑",""))))))))))</f>
        <v/>
      </c>
      <c r="L485" s="2">
        <f>IF(I485=0.1,"极紧凑",IF(AND(I485&gt;=1,I485&lt;=1.89),"松散",IF(AND(I485&gt;=2,I485&lt;=3.5),"标准",IF(I485&gt;=3.6,"紧凑",""))))</f>
        <v/>
      </c>
      <c r="M485" s="2" t="inlineStr">
        <is>
          <t>极紧凑-豹子号</t>
        </is>
      </c>
      <c r="N485" s="2" t="inlineStr">
        <is>
          <t>松散-极松散</t>
        </is>
      </c>
      <c r="O485" s="2" t="inlineStr">
        <is>
          <t>松散-标准松散</t>
        </is>
      </c>
      <c r="P485" s="2" t="inlineStr">
        <is>
          <t>松散-偏紧松散</t>
        </is>
      </c>
      <c r="Q485" s="2" t="inlineStr">
        <is>
          <t>标准-偏松标准</t>
        </is>
      </c>
      <c r="R485" s="2" t="inlineStr">
        <is>
          <t>标准-核心标准</t>
        </is>
      </c>
      <c r="S485" s="2" t="inlineStr">
        <is>
          <t>标准-偏紧标准</t>
        </is>
      </c>
      <c r="T485" s="2" t="inlineStr">
        <is>
          <t>紧凑-标准紧凑</t>
        </is>
      </c>
      <c r="U485" s="2" t="inlineStr">
        <is>
          <t>紧凑-高度紧凑</t>
        </is>
      </c>
      <c r="V485" s="2" t="inlineStr">
        <is>
          <t>紧凑-极度紧凑</t>
        </is>
      </c>
    </row>
    <row r="486">
      <c r="A486" s="1" t="n">
        <v>2024053</v>
      </c>
      <c r="B486" s="3" t="inlineStr">
        <is>
          <t>958</t>
        </is>
      </c>
      <c r="C486" s="2">
        <f>IF(B486="","",LEFT(TEXT(B486,"000"),1)*1)</f>
        <v/>
      </c>
      <c r="D486" s="2">
        <f>IF(B486="","",MID(TEXT(B486,"000"),2,1)*1)</f>
        <v/>
      </c>
      <c r="E486" s="2">
        <f>IF(B486="","",RIGHT(TEXT(B486,"000"),1)*1)</f>
        <v/>
      </c>
      <c r="F486" s="2">
        <f>IF(B486="","",C486+D486+E486)</f>
        <v/>
      </c>
      <c r="G486" s="2">
        <f>IF(B486="","",MOD(F486,10))</f>
        <v/>
      </c>
      <c r="H486" s="2">
        <f>IF(B486="","",MAX(C486,D486,E486)-MIN(C486,D486,E486))</f>
        <v/>
      </c>
      <c r="I486" s="2">
        <f>IF(OR(B486="",H486=0),IF(H486=0,0.1,""),ROUND(F486/H486,2))</f>
        <v/>
      </c>
      <c r="J486" s="2">
        <f>IF(I486=0.1,"极紧凑",IF(I486&gt;3.5,"紧凑",IF(AND(I486&gt;=2,I486&lt;=3.5),"标准",IF(AND(I486&gt;=1,I486&lt;2),"松散",""))))</f>
        <v/>
      </c>
      <c r="K486" s="2">
        <f>IF(I486=0.1,"极紧凑-豹子号",IF(AND(I486&gt;=1,I486&lt;=1.29),"松散-极松散",IF(AND(I486&gt;=1.33,I486&lt;=1.8),"松散-标准松散",IF(AND(I486&gt;=1.83,I486&lt;=1.89),"松散-偏紧松散",IF(AND(I486&gt;=2,I486&lt;=2.5),"标准-偏松标准",IF(AND(I486&gt;=2.57,I486&lt;=3),"标准-核心标准",IF(AND(I486&gt;=3.17,I486&lt;=3.5),"标准-偏紧标准",IF(AND(I486&gt;=3.6,I486&lt;=5),"紧凑-标准紧凑",IF(AND(I486&gt;=5.25,I486&lt;=8),"紧凑-高度紧凑",IF(I486&gt;=8.5,"紧凑-极度紧凑",""))))))))))</f>
        <v/>
      </c>
      <c r="L486" s="2">
        <f>IF(I486=0.1,"极紧凑",IF(AND(I486&gt;=1,I486&lt;=1.89),"松散",IF(AND(I486&gt;=2,I486&lt;=3.5),"标准",IF(I486&gt;=3.6,"紧凑",""))))</f>
        <v/>
      </c>
      <c r="M486" s="2" t="inlineStr">
        <is>
          <t>极紧凑-豹子号</t>
        </is>
      </c>
      <c r="N486" s="2" t="inlineStr">
        <is>
          <t>松散-极松散</t>
        </is>
      </c>
      <c r="O486" s="2" t="inlineStr">
        <is>
          <t>松散-标准松散</t>
        </is>
      </c>
      <c r="P486" s="2" t="inlineStr">
        <is>
          <t>松散-偏紧松散</t>
        </is>
      </c>
      <c r="Q486" s="2" t="inlineStr">
        <is>
          <t>标准-偏松标准</t>
        </is>
      </c>
      <c r="R486" s="2" t="inlineStr">
        <is>
          <t>标准-核心标准</t>
        </is>
      </c>
      <c r="S486" s="2" t="inlineStr">
        <is>
          <t>标准-偏紧标准</t>
        </is>
      </c>
      <c r="T486" s="2" t="inlineStr">
        <is>
          <t>紧凑-标准紧凑</t>
        </is>
      </c>
      <c r="U486" s="2" t="inlineStr">
        <is>
          <t>紧凑-高度紧凑</t>
        </is>
      </c>
      <c r="V486" s="2" t="inlineStr">
        <is>
          <t>紧凑-极度紧凑</t>
        </is>
      </c>
    </row>
    <row r="487">
      <c r="A487" s="1" t="n">
        <v>2024054</v>
      </c>
      <c r="B487" s="3" t="inlineStr">
        <is>
          <t>221</t>
        </is>
      </c>
      <c r="C487" s="2">
        <f>IF(B487="","",LEFT(TEXT(B487,"000"),1)*1)</f>
        <v/>
      </c>
      <c r="D487" s="2">
        <f>IF(B487="","",MID(TEXT(B487,"000"),2,1)*1)</f>
        <v/>
      </c>
      <c r="E487" s="2">
        <f>IF(B487="","",RIGHT(TEXT(B487,"000"),1)*1)</f>
        <v/>
      </c>
      <c r="F487" s="2">
        <f>IF(B487="","",C487+D487+E487)</f>
        <v/>
      </c>
      <c r="G487" s="2">
        <f>IF(B487="","",MOD(F487,10))</f>
        <v/>
      </c>
      <c r="H487" s="2">
        <f>IF(B487="","",MAX(C487,D487,E487)-MIN(C487,D487,E487))</f>
        <v/>
      </c>
      <c r="I487" s="2">
        <f>IF(OR(B487="",H487=0),IF(H487=0,0.1,""),ROUND(F487/H487,2))</f>
        <v/>
      </c>
      <c r="J487" s="2">
        <f>IF(I487=0.1,"极紧凑",IF(I487&gt;3.5,"紧凑",IF(AND(I487&gt;=2,I487&lt;=3.5),"标准",IF(AND(I487&gt;=1,I487&lt;2),"松散",""))))</f>
        <v/>
      </c>
      <c r="K487" s="2">
        <f>IF(I487=0.1,"极紧凑-豹子号",IF(AND(I487&gt;=1,I487&lt;=1.29),"松散-极松散",IF(AND(I487&gt;=1.33,I487&lt;=1.8),"松散-标准松散",IF(AND(I487&gt;=1.83,I487&lt;=1.89),"松散-偏紧松散",IF(AND(I487&gt;=2,I487&lt;=2.5),"标准-偏松标准",IF(AND(I487&gt;=2.57,I487&lt;=3),"标准-核心标准",IF(AND(I487&gt;=3.17,I487&lt;=3.5),"标准-偏紧标准",IF(AND(I487&gt;=3.6,I487&lt;=5),"紧凑-标准紧凑",IF(AND(I487&gt;=5.25,I487&lt;=8),"紧凑-高度紧凑",IF(I487&gt;=8.5,"紧凑-极度紧凑",""))))))))))</f>
        <v/>
      </c>
      <c r="L487" s="2">
        <f>IF(I487=0.1,"极紧凑",IF(AND(I487&gt;=1,I487&lt;=1.89),"松散",IF(AND(I487&gt;=2,I487&lt;=3.5),"标准",IF(I487&gt;=3.6,"紧凑",""))))</f>
        <v/>
      </c>
      <c r="M487" s="2" t="inlineStr">
        <is>
          <t>极紧凑-豹子号</t>
        </is>
      </c>
      <c r="N487" s="2" t="inlineStr">
        <is>
          <t>松散-极松散</t>
        </is>
      </c>
      <c r="O487" s="2" t="inlineStr">
        <is>
          <t>松散-标准松散</t>
        </is>
      </c>
      <c r="P487" s="2" t="inlineStr">
        <is>
          <t>松散-偏紧松散</t>
        </is>
      </c>
      <c r="Q487" s="2" t="inlineStr">
        <is>
          <t>标准-偏松标准</t>
        </is>
      </c>
      <c r="R487" s="2" t="inlineStr">
        <is>
          <t>标准-核心标准</t>
        </is>
      </c>
      <c r="S487" s="2" t="inlineStr">
        <is>
          <t>标准-偏紧标准</t>
        </is>
      </c>
      <c r="T487" s="2" t="inlineStr">
        <is>
          <t>紧凑-标准紧凑</t>
        </is>
      </c>
      <c r="U487" s="2" t="inlineStr">
        <is>
          <t>紧凑-高度紧凑</t>
        </is>
      </c>
      <c r="V487" s="2" t="inlineStr">
        <is>
          <t>紧凑-极度紧凑</t>
        </is>
      </c>
    </row>
    <row r="488">
      <c r="A488" s="1" t="n">
        <v>2024055</v>
      </c>
      <c r="B488" s="3" t="inlineStr">
        <is>
          <t>173</t>
        </is>
      </c>
      <c r="C488" s="2">
        <f>IF(B488="","",LEFT(TEXT(B488,"000"),1)*1)</f>
        <v/>
      </c>
      <c r="D488" s="2">
        <f>IF(B488="","",MID(TEXT(B488,"000"),2,1)*1)</f>
        <v/>
      </c>
      <c r="E488" s="2">
        <f>IF(B488="","",RIGHT(TEXT(B488,"000"),1)*1)</f>
        <v/>
      </c>
      <c r="F488" s="2">
        <f>IF(B488="","",C488+D488+E488)</f>
        <v/>
      </c>
      <c r="G488" s="2">
        <f>IF(B488="","",MOD(F488,10))</f>
        <v/>
      </c>
      <c r="H488" s="2">
        <f>IF(B488="","",MAX(C488,D488,E488)-MIN(C488,D488,E488))</f>
        <v/>
      </c>
      <c r="I488" s="2">
        <f>IF(OR(B488="",H488=0),IF(H488=0,0.1,""),ROUND(F488/H488,2))</f>
        <v/>
      </c>
      <c r="J488" s="2">
        <f>IF(I488=0.1,"极紧凑",IF(I488&gt;3.5,"紧凑",IF(AND(I488&gt;=2,I488&lt;=3.5),"标准",IF(AND(I488&gt;=1,I488&lt;2),"松散",""))))</f>
        <v/>
      </c>
      <c r="K488" s="2">
        <f>IF(I488=0.1,"极紧凑-豹子号",IF(AND(I488&gt;=1,I488&lt;=1.29),"松散-极松散",IF(AND(I488&gt;=1.33,I488&lt;=1.8),"松散-标准松散",IF(AND(I488&gt;=1.83,I488&lt;=1.89),"松散-偏紧松散",IF(AND(I488&gt;=2,I488&lt;=2.5),"标准-偏松标准",IF(AND(I488&gt;=2.57,I488&lt;=3),"标准-核心标准",IF(AND(I488&gt;=3.17,I488&lt;=3.5),"标准-偏紧标准",IF(AND(I488&gt;=3.6,I488&lt;=5),"紧凑-标准紧凑",IF(AND(I488&gt;=5.25,I488&lt;=8),"紧凑-高度紧凑",IF(I488&gt;=8.5,"紧凑-极度紧凑",""))))))))))</f>
        <v/>
      </c>
      <c r="L488" s="2">
        <f>IF(I488=0.1,"极紧凑",IF(AND(I488&gt;=1,I488&lt;=1.89),"松散",IF(AND(I488&gt;=2,I488&lt;=3.5),"标准",IF(I488&gt;=3.6,"紧凑",""))))</f>
        <v/>
      </c>
      <c r="M488" s="2" t="inlineStr">
        <is>
          <t>极紧凑-豹子号</t>
        </is>
      </c>
      <c r="N488" s="2" t="inlineStr">
        <is>
          <t>松散-极松散</t>
        </is>
      </c>
      <c r="O488" s="2" t="inlineStr">
        <is>
          <t>松散-标准松散</t>
        </is>
      </c>
      <c r="P488" s="2" t="inlineStr">
        <is>
          <t>松散-偏紧松散</t>
        </is>
      </c>
      <c r="Q488" s="2" t="inlineStr">
        <is>
          <t>标准-偏松标准</t>
        </is>
      </c>
      <c r="R488" s="2" t="inlineStr">
        <is>
          <t>标准-核心标准</t>
        </is>
      </c>
      <c r="S488" s="2" t="inlineStr">
        <is>
          <t>标准-偏紧标准</t>
        </is>
      </c>
      <c r="T488" s="2" t="inlineStr">
        <is>
          <t>紧凑-标准紧凑</t>
        </is>
      </c>
      <c r="U488" s="2" t="inlineStr">
        <is>
          <t>紧凑-高度紧凑</t>
        </is>
      </c>
      <c r="V488" s="2" t="inlineStr">
        <is>
          <t>紧凑-极度紧凑</t>
        </is>
      </c>
    </row>
    <row r="489">
      <c r="A489" s="1" t="n">
        <v>2024056</v>
      </c>
      <c r="B489" s="3" t="inlineStr">
        <is>
          <t>788</t>
        </is>
      </c>
      <c r="C489" s="2">
        <f>IF(B489="","",LEFT(TEXT(B489,"000"),1)*1)</f>
        <v/>
      </c>
      <c r="D489" s="2">
        <f>IF(B489="","",MID(TEXT(B489,"000"),2,1)*1)</f>
        <v/>
      </c>
      <c r="E489" s="2">
        <f>IF(B489="","",RIGHT(TEXT(B489,"000"),1)*1)</f>
        <v/>
      </c>
      <c r="F489" s="2">
        <f>IF(B489="","",C489+D489+E489)</f>
        <v/>
      </c>
      <c r="G489" s="2">
        <f>IF(B489="","",MOD(F489,10))</f>
        <v/>
      </c>
      <c r="H489" s="2">
        <f>IF(B489="","",MAX(C489,D489,E489)-MIN(C489,D489,E489))</f>
        <v/>
      </c>
      <c r="I489" s="2">
        <f>IF(OR(B489="",H489=0),IF(H489=0,0.1,""),ROUND(F489/H489,2))</f>
        <v/>
      </c>
      <c r="J489" s="2">
        <f>IF(I489=0.1,"极紧凑",IF(I489&gt;3.5,"紧凑",IF(AND(I489&gt;=2,I489&lt;=3.5),"标准",IF(AND(I489&gt;=1,I489&lt;2),"松散",""))))</f>
        <v/>
      </c>
      <c r="K489" s="2">
        <f>IF(I489=0.1,"极紧凑-豹子号",IF(AND(I489&gt;=1,I489&lt;=1.29),"松散-极松散",IF(AND(I489&gt;=1.33,I489&lt;=1.8),"松散-标准松散",IF(AND(I489&gt;=1.83,I489&lt;=1.89),"松散-偏紧松散",IF(AND(I489&gt;=2,I489&lt;=2.5),"标准-偏松标准",IF(AND(I489&gt;=2.57,I489&lt;=3),"标准-核心标准",IF(AND(I489&gt;=3.17,I489&lt;=3.5),"标准-偏紧标准",IF(AND(I489&gt;=3.6,I489&lt;=5),"紧凑-标准紧凑",IF(AND(I489&gt;=5.25,I489&lt;=8),"紧凑-高度紧凑",IF(I489&gt;=8.5,"紧凑-极度紧凑",""))))))))))</f>
        <v/>
      </c>
      <c r="L489" s="2">
        <f>IF(I489=0.1,"极紧凑",IF(AND(I489&gt;=1,I489&lt;=1.89),"松散",IF(AND(I489&gt;=2,I489&lt;=3.5),"标准",IF(I489&gt;=3.6,"紧凑",""))))</f>
        <v/>
      </c>
      <c r="M489" s="2" t="inlineStr">
        <is>
          <t>极紧凑-豹子号</t>
        </is>
      </c>
      <c r="N489" s="2" t="inlineStr">
        <is>
          <t>松散-极松散</t>
        </is>
      </c>
      <c r="O489" s="2" t="inlineStr">
        <is>
          <t>松散-标准松散</t>
        </is>
      </c>
      <c r="P489" s="2" t="inlineStr">
        <is>
          <t>松散-偏紧松散</t>
        </is>
      </c>
      <c r="Q489" s="2" t="inlineStr">
        <is>
          <t>标准-偏松标准</t>
        </is>
      </c>
      <c r="R489" s="2" t="inlineStr">
        <is>
          <t>标准-核心标准</t>
        </is>
      </c>
      <c r="S489" s="2" t="inlineStr">
        <is>
          <t>标准-偏紧标准</t>
        </is>
      </c>
      <c r="T489" s="2" t="inlineStr">
        <is>
          <t>紧凑-标准紧凑</t>
        </is>
      </c>
      <c r="U489" s="2" t="inlineStr">
        <is>
          <t>紧凑-高度紧凑</t>
        </is>
      </c>
      <c r="V489" s="2" t="inlineStr">
        <is>
          <t>紧凑-极度紧凑</t>
        </is>
      </c>
    </row>
    <row r="490">
      <c r="A490" s="1" t="n">
        <v>2024057</v>
      </c>
      <c r="B490" s="3" t="inlineStr">
        <is>
          <t>765</t>
        </is>
      </c>
      <c r="C490" s="2">
        <f>IF(B490="","",LEFT(TEXT(B490,"000"),1)*1)</f>
        <v/>
      </c>
      <c r="D490" s="2">
        <f>IF(B490="","",MID(TEXT(B490,"000"),2,1)*1)</f>
        <v/>
      </c>
      <c r="E490" s="2">
        <f>IF(B490="","",RIGHT(TEXT(B490,"000"),1)*1)</f>
        <v/>
      </c>
      <c r="F490" s="2">
        <f>IF(B490="","",C490+D490+E490)</f>
        <v/>
      </c>
      <c r="G490" s="2">
        <f>IF(B490="","",MOD(F490,10))</f>
        <v/>
      </c>
      <c r="H490" s="2">
        <f>IF(B490="","",MAX(C490,D490,E490)-MIN(C490,D490,E490))</f>
        <v/>
      </c>
      <c r="I490" s="2">
        <f>IF(OR(B490="",H490=0),IF(H490=0,0.1,""),ROUND(F490/H490,2))</f>
        <v/>
      </c>
      <c r="J490" s="2">
        <f>IF(I490=0.1,"极紧凑",IF(I490&gt;3.5,"紧凑",IF(AND(I490&gt;=2,I490&lt;=3.5),"标准",IF(AND(I490&gt;=1,I490&lt;2),"松散",""))))</f>
        <v/>
      </c>
      <c r="K490" s="2">
        <f>IF(I490=0.1,"极紧凑-豹子号",IF(AND(I490&gt;=1,I490&lt;=1.29),"松散-极松散",IF(AND(I490&gt;=1.33,I490&lt;=1.8),"松散-标准松散",IF(AND(I490&gt;=1.83,I490&lt;=1.89),"松散-偏紧松散",IF(AND(I490&gt;=2,I490&lt;=2.5),"标准-偏松标准",IF(AND(I490&gt;=2.57,I490&lt;=3),"标准-核心标准",IF(AND(I490&gt;=3.17,I490&lt;=3.5),"标准-偏紧标准",IF(AND(I490&gt;=3.6,I490&lt;=5),"紧凑-标准紧凑",IF(AND(I490&gt;=5.25,I490&lt;=8),"紧凑-高度紧凑",IF(I490&gt;=8.5,"紧凑-极度紧凑",""))))))))))</f>
        <v/>
      </c>
      <c r="L490" s="2">
        <f>IF(I490=0.1,"极紧凑",IF(AND(I490&gt;=1,I490&lt;=1.89),"松散",IF(AND(I490&gt;=2,I490&lt;=3.5),"标准",IF(I490&gt;=3.6,"紧凑",""))))</f>
        <v/>
      </c>
      <c r="M490" s="2" t="inlineStr">
        <is>
          <t>极紧凑-豹子号</t>
        </is>
      </c>
      <c r="N490" s="2" t="inlineStr">
        <is>
          <t>松散-极松散</t>
        </is>
      </c>
      <c r="O490" s="2" t="inlineStr">
        <is>
          <t>松散-标准松散</t>
        </is>
      </c>
      <c r="P490" s="2" t="inlineStr">
        <is>
          <t>松散-偏紧松散</t>
        </is>
      </c>
      <c r="Q490" s="2" t="inlineStr">
        <is>
          <t>标准-偏松标准</t>
        </is>
      </c>
      <c r="R490" s="2" t="inlineStr">
        <is>
          <t>标准-核心标准</t>
        </is>
      </c>
      <c r="S490" s="2" t="inlineStr">
        <is>
          <t>标准-偏紧标准</t>
        </is>
      </c>
      <c r="T490" s="2" t="inlineStr">
        <is>
          <t>紧凑-标准紧凑</t>
        </is>
      </c>
      <c r="U490" s="2" t="inlineStr">
        <is>
          <t>紧凑-高度紧凑</t>
        </is>
      </c>
      <c r="V490" s="2" t="inlineStr">
        <is>
          <t>紧凑-极度紧凑</t>
        </is>
      </c>
    </row>
    <row r="491">
      <c r="A491" s="1" t="n">
        <v>2024058</v>
      </c>
      <c r="B491" s="3" t="inlineStr">
        <is>
          <t>065</t>
        </is>
      </c>
      <c r="C491" s="2">
        <f>IF(B491="","",LEFT(TEXT(B491,"000"),1)*1)</f>
        <v/>
      </c>
      <c r="D491" s="2">
        <f>IF(B491="","",MID(TEXT(B491,"000"),2,1)*1)</f>
        <v/>
      </c>
      <c r="E491" s="2">
        <f>IF(B491="","",RIGHT(TEXT(B491,"000"),1)*1)</f>
        <v/>
      </c>
      <c r="F491" s="2">
        <f>IF(B491="","",C491+D491+E491)</f>
        <v/>
      </c>
      <c r="G491" s="2">
        <f>IF(B491="","",MOD(F491,10))</f>
        <v/>
      </c>
      <c r="H491" s="2">
        <f>IF(B491="","",MAX(C491,D491,E491)-MIN(C491,D491,E491))</f>
        <v/>
      </c>
      <c r="I491" s="2">
        <f>IF(OR(B491="",H491=0),IF(H491=0,0.1,""),ROUND(F491/H491,2))</f>
        <v/>
      </c>
      <c r="J491" s="2">
        <f>IF(I491=0.1,"极紧凑",IF(I491&gt;3.5,"紧凑",IF(AND(I491&gt;=2,I491&lt;=3.5),"标准",IF(AND(I491&gt;=1,I491&lt;2),"松散",""))))</f>
        <v/>
      </c>
      <c r="K491" s="2">
        <f>IF(I491=0.1,"极紧凑-豹子号",IF(AND(I491&gt;=1,I491&lt;=1.29),"松散-极松散",IF(AND(I491&gt;=1.33,I491&lt;=1.8),"松散-标准松散",IF(AND(I491&gt;=1.83,I491&lt;=1.89),"松散-偏紧松散",IF(AND(I491&gt;=2,I491&lt;=2.5),"标准-偏松标准",IF(AND(I491&gt;=2.57,I491&lt;=3),"标准-核心标准",IF(AND(I491&gt;=3.17,I491&lt;=3.5),"标准-偏紧标准",IF(AND(I491&gt;=3.6,I491&lt;=5),"紧凑-标准紧凑",IF(AND(I491&gt;=5.25,I491&lt;=8),"紧凑-高度紧凑",IF(I491&gt;=8.5,"紧凑-极度紧凑",""))))))))))</f>
        <v/>
      </c>
      <c r="L491" s="2">
        <f>IF(I491=0.1,"极紧凑",IF(AND(I491&gt;=1,I491&lt;=1.89),"松散",IF(AND(I491&gt;=2,I491&lt;=3.5),"标准",IF(I491&gt;=3.6,"紧凑",""))))</f>
        <v/>
      </c>
      <c r="M491" s="2" t="inlineStr">
        <is>
          <t>极紧凑-豹子号</t>
        </is>
      </c>
      <c r="N491" s="2" t="inlineStr">
        <is>
          <t>松散-极松散</t>
        </is>
      </c>
      <c r="O491" s="2" t="inlineStr">
        <is>
          <t>松散-标准松散</t>
        </is>
      </c>
      <c r="P491" s="2" t="inlineStr">
        <is>
          <t>松散-偏紧松散</t>
        </is>
      </c>
      <c r="Q491" s="2" t="inlineStr">
        <is>
          <t>标准-偏松标准</t>
        </is>
      </c>
      <c r="R491" s="2" t="inlineStr">
        <is>
          <t>标准-核心标准</t>
        </is>
      </c>
      <c r="S491" s="2" t="inlineStr">
        <is>
          <t>标准-偏紧标准</t>
        </is>
      </c>
      <c r="T491" s="2" t="inlineStr">
        <is>
          <t>紧凑-标准紧凑</t>
        </is>
      </c>
      <c r="U491" s="2" t="inlineStr">
        <is>
          <t>紧凑-高度紧凑</t>
        </is>
      </c>
      <c r="V491" s="2" t="inlineStr">
        <is>
          <t>紧凑-极度紧凑</t>
        </is>
      </c>
    </row>
    <row r="492">
      <c r="A492" s="1" t="n">
        <v>2024059</v>
      </c>
      <c r="B492" s="3" t="inlineStr">
        <is>
          <t>529</t>
        </is>
      </c>
      <c r="C492" s="2">
        <f>IF(B492="","",LEFT(TEXT(B492,"000"),1)*1)</f>
        <v/>
      </c>
      <c r="D492" s="2">
        <f>IF(B492="","",MID(TEXT(B492,"000"),2,1)*1)</f>
        <v/>
      </c>
      <c r="E492" s="2">
        <f>IF(B492="","",RIGHT(TEXT(B492,"000"),1)*1)</f>
        <v/>
      </c>
      <c r="F492" s="2">
        <f>IF(B492="","",C492+D492+E492)</f>
        <v/>
      </c>
      <c r="G492" s="2">
        <f>IF(B492="","",MOD(F492,10))</f>
        <v/>
      </c>
      <c r="H492" s="2">
        <f>IF(B492="","",MAX(C492,D492,E492)-MIN(C492,D492,E492))</f>
        <v/>
      </c>
      <c r="I492" s="2">
        <f>IF(OR(B492="",H492=0),IF(H492=0,0.1,""),ROUND(F492/H492,2))</f>
        <v/>
      </c>
      <c r="J492" s="2">
        <f>IF(I492=0.1,"极紧凑",IF(I492&gt;3.5,"紧凑",IF(AND(I492&gt;=2,I492&lt;=3.5),"标准",IF(AND(I492&gt;=1,I492&lt;2),"松散",""))))</f>
        <v/>
      </c>
      <c r="K492" s="2">
        <f>IF(I492=0.1,"极紧凑-豹子号",IF(AND(I492&gt;=1,I492&lt;=1.29),"松散-极松散",IF(AND(I492&gt;=1.33,I492&lt;=1.8),"松散-标准松散",IF(AND(I492&gt;=1.83,I492&lt;=1.89),"松散-偏紧松散",IF(AND(I492&gt;=2,I492&lt;=2.5),"标准-偏松标准",IF(AND(I492&gt;=2.57,I492&lt;=3),"标准-核心标准",IF(AND(I492&gt;=3.17,I492&lt;=3.5),"标准-偏紧标准",IF(AND(I492&gt;=3.6,I492&lt;=5),"紧凑-标准紧凑",IF(AND(I492&gt;=5.25,I492&lt;=8),"紧凑-高度紧凑",IF(I492&gt;=8.5,"紧凑-极度紧凑",""))))))))))</f>
        <v/>
      </c>
      <c r="L492" s="2">
        <f>IF(I492=0.1,"极紧凑",IF(AND(I492&gt;=1,I492&lt;=1.89),"松散",IF(AND(I492&gt;=2,I492&lt;=3.5),"标准",IF(I492&gt;=3.6,"紧凑",""))))</f>
        <v/>
      </c>
      <c r="M492" s="2" t="inlineStr">
        <is>
          <t>极紧凑-豹子号</t>
        </is>
      </c>
      <c r="N492" s="2" t="inlineStr">
        <is>
          <t>松散-极松散</t>
        </is>
      </c>
      <c r="O492" s="2" t="inlineStr">
        <is>
          <t>松散-标准松散</t>
        </is>
      </c>
      <c r="P492" s="2" t="inlineStr">
        <is>
          <t>松散-偏紧松散</t>
        </is>
      </c>
      <c r="Q492" s="2" t="inlineStr">
        <is>
          <t>标准-偏松标准</t>
        </is>
      </c>
      <c r="R492" s="2" t="inlineStr">
        <is>
          <t>标准-核心标准</t>
        </is>
      </c>
      <c r="S492" s="2" t="inlineStr">
        <is>
          <t>标准-偏紧标准</t>
        </is>
      </c>
      <c r="T492" s="2" t="inlineStr">
        <is>
          <t>紧凑-标准紧凑</t>
        </is>
      </c>
      <c r="U492" s="2" t="inlineStr">
        <is>
          <t>紧凑-高度紧凑</t>
        </is>
      </c>
      <c r="V492" s="2" t="inlineStr">
        <is>
          <t>紧凑-极度紧凑</t>
        </is>
      </c>
    </row>
    <row r="493">
      <c r="A493" s="1" t="n">
        <v>2024060</v>
      </c>
      <c r="B493" s="3" t="inlineStr">
        <is>
          <t>357</t>
        </is>
      </c>
      <c r="C493" s="2">
        <f>IF(B493="","",LEFT(TEXT(B493,"000"),1)*1)</f>
        <v/>
      </c>
      <c r="D493" s="2">
        <f>IF(B493="","",MID(TEXT(B493,"000"),2,1)*1)</f>
        <v/>
      </c>
      <c r="E493" s="2">
        <f>IF(B493="","",RIGHT(TEXT(B493,"000"),1)*1)</f>
        <v/>
      </c>
      <c r="F493" s="2">
        <f>IF(B493="","",C493+D493+E493)</f>
        <v/>
      </c>
      <c r="G493" s="2">
        <f>IF(B493="","",MOD(F493,10))</f>
        <v/>
      </c>
      <c r="H493" s="2">
        <f>IF(B493="","",MAX(C493,D493,E493)-MIN(C493,D493,E493))</f>
        <v/>
      </c>
      <c r="I493" s="2">
        <f>IF(OR(B493="",H493=0),IF(H493=0,0.1,""),ROUND(F493/H493,2))</f>
        <v/>
      </c>
      <c r="J493" s="2">
        <f>IF(I493=0.1,"极紧凑",IF(I493&gt;3.5,"紧凑",IF(AND(I493&gt;=2,I493&lt;=3.5),"标准",IF(AND(I493&gt;=1,I493&lt;2),"松散",""))))</f>
        <v/>
      </c>
      <c r="K493" s="2">
        <f>IF(I493=0.1,"极紧凑-豹子号",IF(AND(I493&gt;=1,I493&lt;=1.29),"松散-极松散",IF(AND(I493&gt;=1.33,I493&lt;=1.8),"松散-标准松散",IF(AND(I493&gt;=1.83,I493&lt;=1.89),"松散-偏紧松散",IF(AND(I493&gt;=2,I493&lt;=2.5),"标准-偏松标准",IF(AND(I493&gt;=2.57,I493&lt;=3),"标准-核心标准",IF(AND(I493&gt;=3.17,I493&lt;=3.5),"标准-偏紧标准",IF(AND(I493&gt;=3.6,I493&lt;=5),"紧凑-标准紧凑",IF(AND(I493&gt;=5.25,I493&lt;=8),"紧凑-高度紧凑",IF(I493&gt;=8.5,"紧凑-极度紧凑",""))))))))))</f>
        <v/>
      </c>
      <c r="L493" s="2">
        <f>IF(I493=0.1,"极紧凑",IF(AND(I493&gt;=1,I493&lt;=1.89),"松散",IF(AND(I493&gt;=2,I493&lt;=3.5),"标准",IF(I493&gt;=3.6,"紧凑",""))))</f>
        <v/>
      </c>
      <c r="M493" s="2" t="inlineStr">
        <is>
          <t>极紧凑-豹子号</t>
        </is>
      </c>
      <c r="N493" s="2" t="inlineStr">
        <is>
          <t>松散-极松散</t>
        </is>
      </c>
      <c r="O493" s="2" t="inlineStr">
        <is>
          <t>松散-标准松散</t>
        </is>
      </c>
      <c r="P493" s="2" t="inlineStr">
        <is>
          <t>松散-偏紧松散</t>
        </is>
      </c>
      <c r="Q493" s="2" t="inlineStr">
        <is>
          <t>标准-偏松标准</t>
        </is>
      </c>
      <c r="R493" s="2" t="inlineStr">
        <is>
          <t>标准-核心标准</t>
        </is>
      </c>
      <c r="S493" s="2" t="inlineStr">
        <is>
          <t>标准-偏紧标准</t>
        </is>
      </c>
      <c r="T493" s="2" t="inlineStr">
        <is>
          <t>紧凑-标准紧凑</t>
        </is>
      </c>
      <c r="U493" s="2" t="inlineStr">
        <is>
          <t>紧凑-高度紧凑</t>
        </is>
      </c>
      <c r="V493" s="2" t="inlineStr">
        <is>
          <t>紧凑-极度紧凑</t>
        </is>
      </c>
    </row>
    <row r="494">
      <c r="A494" s="1" t="n">
        <v>2024061</v>
      </c>
      <c r="B494" s="3" t="inlineStr">
        <is>
          <t>250</t>
        </is>
      </c>
      <c r="C494" s="2">
        <f>IF(B494="","",LEFT(TEXT(B494,"000"),1)*1)</f>
        <v/>
      </c>
      <c r="D494" s="2">
        <f>IF(B494="","",MID(TEXT(B494,"000"),2,1)*1)</f>
        <v/>
      </c>
      <c r="E494" s="2">
        <f>IF(B494="","",RIGHT(TEXT(B494,"000"),1)*1)</f>
        <v/>
      </c>
      <c r="F494" s="2">
        <f>IF(B494="","",C494+D494+E494)</f>
        <v/>
      </c>
      <c r="G494" s="2">
        <f>IF(B494="","",MOD(F494,10))</f>
        <v/>
      </c>
      <c r="H494" s="2">
        <f>IF(B494="","",MAX(C494,D494,E494)-MIN(C494,D494,E494))</f>
        <v/>
      </c>
      <c r="I494" s="2">
        <f>IF(OR(B494="",H494=0),IF(H494=0,0.1,""),ROUND(F494/H494,2))</f>
        <v/>
      </c>
      <c r="J494" s="2">
        <f>IF(I494=0.1,"极紧凑",IF(I494&gt;3.5,"紧凑",IF(AND(I494&gt;=2,I494&lt;=3.5),"标准",IF(AND(I494&gt;=1,I494&lt;2),"松散",""))))</f>
        <v/>
      </c>
      <c r="K494" s="2">
        <f>IF(I494=0.1,"极紧凑-豹子号",IF(AND(I494&gt;=1,I494&lt;=1.29),"松散-极松散",IF(AND(I494&gt;=1.33,I494&lt;=1.8),"松散-标准松散",IF(AND(I494&gt;=1.83,I494&lt;=1.89),"松散-偏紧松散",IF(AND(I494&gt;=2,I494&lt;=2.5),"标准-偏松标准",IF(AND(I494&gt;=2.57,I494&lt;=3),"标准-核心标准",IF(AND(I494&gt;=3.17,I494&lt;=3.5),"标准-偏紧标准",IF(AND(I494&gt;=3.6,I494&lt;=5),"紧凑-标准紧凑",IF(AND(I494&gt;=5.25,I494&lt;=8),"紧凑-高度紧凑",IF(I494&gt;=8.5,"紧凑-极度紧凑",""))))))))))</f>
        <v/>
      </c>
      <c r="L494" s="2">
        <f>IF(I494=0.1,"极紧凑",IF(AND(I494&gt;=1,I494&lt;=1.89),"松散",IF(AND(I494&gt;=2,I494&lt;=3.5),"标准",IF(I494&gt;=3.6,"紧凑",""))))</f>
        <v/>
      </c>
      <c r="M494" s="2" t="inlineStr">
        <is>
          <t>极紧凑-豹子号</t>
        </is>
      </c>
      <c r="N494" s="2" t="inlineStr">
        <is>
          <t>松散-极松散</t>
        </is>
      </c>
      <c r="O494" s="2" t="inlineStr">
        <is>
          <t>松散-标准松散</t>
        </is>
      </c>
      <c r="P494" s="2" t="inlineStr">
        <is>
          <t>松散-偏紧松散</t>
        </is>
      </c>
      <c r="Q494" s="2" t="inlineStr">
        <is>
          <t>标准-偏松标准</t>
        </is>
      </c>
      <c r="R494" s="2" t="inlineStr">
        <is>
          <t>标准-核心标准</t>
        </is>
      </c>
      <c r="S494" s="2" t="inlineStr">
        <is>
          <t>标准-偏紧标准</t>
        </is>
      </c>
      <c r="T494" s="2" t="inlineStr">
        <is>
          <t>紧凑-标准紧凑</t>
        </is>
      </c>
      <c r="U494" s="2" t="inlineStr">
        <is>
          <t>紧凑-高度紧凑</t>
        </is>
      </c>
      <c r="V494" s="2" t="inlineStr">
        <is>
          <t>紧凑-极度紧凑</t>
        </is>
      </c>
    </row>
    <row r="495">
      <c r="A495" s="1" t="n">
        <v>2024062</v>
      </c>
      <c r="B495" s="3" t="inlineStr">
        <is>
          <t>784</t>
        </is>
      </c>
      <c r="C495" s="2">
        <f>IF(B495="","",LEFT(TEXT(B495,"000"),1)*1)</f>
        <v/>
      </c>
      <c r="D495" s="2">
        <f>IF(B495="","",MID(TEXT(B495,"000"),2,1)*1)</f>
        <v/>
      </c>
      <c r="E495" s="2">
        <f>IF(B495="","",RIGHT(TEXT(B495,"000"),1)*1)</f>
        <v/>
      </c>
      <c r="F495" s="2">
        <f>IF(B495="","",C495+D495+E495)</f>
        <v/>
      </c>
      <c r="G495" s="2">
        <f>IF(B495="","",MOD(F495,10))</f>
        <v/>
      </c>
      <c r="H495" s="2">
        <f>IF(B495="","",MAX(C495,D495,E495)-MIN(C495,D495,E495))</f>
        <v/>
      </c>
      <c r="I495" s="2">
        <f>IF(OR(B495="",H495=0),IF(H495=0,0.1,""),ROUND(F495/H495,2))</f>
        <v/>
      </c>
      <c r="J495" s="2">
        <f>IF(I495=0.1,"极紧凑",IF(I495&gt;3.5,"紧凑",IF(AND(I495&gt;=2,I495&lt;=3.5),"标准",IF(AND(I495&gt;=1,I495&lt;2),"松散",""))))</f>
        <v/>
      </c>
      <c r="K495" s="2">
        <f>IF(I495=0.1,"极紧凑-豹子号",IF(AND(I495&gt;=1,I495&lt;=1.29),"松散-极松散",IF(AND(I495&gt;=1.33,I495&lt;=1.8),"松散-标准松散",IF(AND(I495&gt;=1.83,I495&lt;=1.89),"松散-偏紧松散",IF(AND(I495&gt;=2,I495&lt;=2.5),"标准-偏松标准",IF(AND(I495&gt;=2.57,I495&lt;=3),"标准-核心标准",IF(AND(I495&gt;=3.17,I495&lt;=3.5),"标准-偏紧标准",IF(AND(I495&gt;=3.6,I495&lt;=5),"紧凑-标准紧凑",IF(AND(I495&gt;=5.25,I495&lt;=8),"紧凑-高度紧凑",IF(I495&gt;=8.5,"紧凑-极度紧凑",""))))))))))</f>
        <v/>
      </c>
      <c r="L495" s="2">
        <f>IF(I495=0.1,"极紧凑",IF(AND(I495&gt;=1,I495&lt;=1.89),"松散",IF(AND(I495&gt;=2,I495&lt;=3.5),"标准",IF(I495&gt;=3.6,"紧凑",""))))</f>
        <v/>
      </c>
      <c r="M495" s="2" t="inlineStr">
        <is>
          <t>极紧凑-豹子号</t>
        </is>
      </c>
      <c r="N495" s="2" t="inlineStr">
        <is>
          <t>松散-极松散</t>
        </is>
      </c>
      <c r="O495" s="2" t="inlineStr">
        <is>
          <t>松散-标准松散</t>
        </is>
      </c>
      <c r="P495" s="2" t="inlineStr">
        <is>
          <t>松散-偏紧松散</t>
        </is>
      </c>
      <c r="Q495" s="2" t="inlineStr">
        <is>
          <t>标准-偏松标准</t>
        </is>
      </c>
      <c r="R495" s="2" t="inlineStr">
        <is>
          <t>标准-核心标准</t>
        </is>
      </c>
      <c r="S495" s="2" t="inlineStr">
        <is>
          <t>标准-偏紧标准</t>
        </is>
      </c>
      <c r="T495" s="2" t="inlineStr">
        <is>
          <t>紧凑-标准紧凑</t>
        </is>
      </c>
      <c r="U495" s="2" t="inlineStr">
        <is>
          <t>紧凑-高度紧凑</t>
        </is>
      </c>
      <c r="V495" s="2" t="inlineStr">
        <is>
          <t>紧凑-极度紧凑</t>
        </is>
      </c>
    </row>
    <row r="496">
      <c r="A496" s="1" t="n">
        <v>2024063</v>
      </c>
      <c r="B496" s="3" t="inlineStr">
        <is>
          <t>651</t>
        </is>
      </c>
      <c r="C496" s="2">
        <f>IF(B496="","",LEFT(TEXT(B496,"000"),1)*1)</f>
        <v/>
      </c>
      <c r="D496" s="2">
        <f>IF(B496="","",MID(TEXT(B496,"000"),2,1)*1)</f>
        <v/>
      </c>
      <c r="E496" s="2">
        <f>IF(B496="","",RIGHT(TEXT(B496,"000"),1)*1)</f>
        <v/>
      </c>
      <c r="F496" s="2">
        <f>IF(B496="","",C496+D496+E496)</f>
        <v/>
      </c>
      <c r="G496" s="2">
        <f>IF(B496="","",MOD(F496,10))</f>
        <v/>
      </c>
      <c r="H496" s="2">
        <f>IF(B496="","",MAX(C496,D496,E496)-MIN(C496,D496,E496))</f>
        <v/>
      </c>
      <c r="I496" s="2">
        <f>IF(OR(B496="",H496=0),IF(H496=0,0.1,""),ROUND(F496/H496,2))</f>
        <v/>
      </c>
      <c r="J496" s="2">
        <f>IF(I496=0.1,"极紧凑",IF(I496&gt;3.5,"紧凑",IF(AND(I496&gt;=2,I496&lt;=3.5),"标准",IF(AND(I496&gt;=1,I496&lt;2),"松散",""))))</f>
        <v/>
      </c>
      <c r="K496" s="2">
        <f>IF(I496=0.1,"极紧凑-豹子号",IF(AND(I496&gt;=1,I496&lt;=1.29),"松散-极松散",IF(AND(I496&gt;=1.33,I496&lt;=1.8),"松散-标准松散",IF(AND(I496&gt;=1.83,I496&lt;=1.89),"松散-偏紧松散",IF(AND(I496&gt;=2,I496&lt;=2.5),"标准-偏松标准",IF(AND(I496&gt;=2.57,I496&lt;=3),"标准-核心标准",IF(AND(I496&gt;=3.17,I496&lt;=3.5),"标准-偏紧标准",IF(AND(I496&gt;=3.6,I496&lt;=5),"紧凑-标准紧凑",IF(AND(I496&gt;=5.25,I496&lt;=8),"紧凑-高度紧凑",IF(I496&gt;=8.5,"紧凑-极度紧凑",""))))))))))</f>
        <v/>
      </c>
      <c r="L496" s="2">
        <f>IF(I496=0.1,"极紧凑",IF(AND(I496&gt;=1,I496&lt;=1.89),"松散",IF(AND(I496&gt;=2,I496&lt;=3.5),"标准",IF(I496&gt;=3.6,"紧凑",""))))</f>
        <v/>
      </c>
      <c r="M496" s="2" t="inlineStr">
        <is>
          <t>极紧凑-豹子号</t>
        </is>
      </c>
      <c r="N496" s="2" t="inlineStr">
        <is>
          <t>松散-极松散</t>
        </is>
      </c>
      <c r="O496" s="2" t="inlineStr">
        <is>
          <t>松散-标准松散</t>
        </is>
      </c>
      <c r="P496" s="2" t="inlineStr">
        <is>
          <t>松散-偏紧松散</t>
        </is>
      </c>
      <c r="Q496" s="2" t="inlineStr">
        <is>
          <t>标准-偏松标准</t>
        </is>
      </c>
      <c r="R496" s="2" t="inlineStr">
        <is>
          <t>标准-核心标准</t>
        </is>
      </c>
      <c r="S496" s="2" t="inlineStr">
        <is>
          <t>标准-偏紧标准</t>
        </is>
      </c>
      <c r="T496" s="2" t="inlineStr">
        <is>
          <t>紧凑-标准紧凑</t>
        </is>
      </c>
      <c r="U496" s="2" t="inlineStr">
        <is>
          <t>紧凑-高度紧凑</t>
        </is>
      </c>
      <c r="V496" s="2" t="inlineStr">
        <is>
          <t>紧凑-极度紧凑</t>
        </is>
      </c>
    </row>
    <row r="497">
      <c r="A497" s="1" t="n">
        <v>2024064</v>
      </c>
      <c r="B497" s="3" t="inlineStr">
        <is>
          <t>132</t>
        </is>
      </c>
      <c r="C497" s="2">
        <f>IF(B497="","",LEFT(TEXT(B497,"000"),1)*1)</f>
        <v/>
      </c>
      <c r="D497" s="2">
        <f>IF(B497="","",MID(TEXT(B497,"000"),2,1)*1)</f>
        <v/>
      </c>
      <c r="E497" s="2">
        <f>IF(B497="","",RIGHT(TEXT(B497,"000"),1)*1)</f>
        <v/>
      </c>
      <c r="F497" s="2">
        <f>IF(B497="","",C497+D497+E497)</f>
        <v/>
      </c>
      <c r="G497" s="2">
        <f>IF(B497="","",MOD(F497,10))</f>
        <v/>
      </c>
      <c r="H497" s="2">
        <f>IF(B497="","",MAX(C497,D497,E497)-MIN(C497,D497,E497))</f>
        <v/>
      </c>
      <c r="I497" s="2">
        <f>IF(OR(B497="",H497=0),IF(H497=0,0.1,""),ROUND(F497/H497,2))</f>
        <v/>
      </c>
      <c r="J497" s="2">
        <f>IF(I497=0.1,"极紧凑",IF(I497&gt;3.5,"紧凑",IF(AND(I497&gt;=2,I497&lt;=3.5),"标准",IF(AND(I497&gt;=1,I497&lt;2),"松散",""))))</f>
        <v/>
      </c>
      <c r="K497" s="2">
        <f>IF(I497=0.1,"极紧凑-豹子号",IF(AND(I497&gt;=1,I497&lt;=1.29),"松散-极松散",IF(AND(I497&gt;=1.33,I497&lt;=1.8),"松散-标准松散",IF(AND(I497&gt;=1.83,I497&lt;=1.89),"松散-偏紧松散",IF(AND(I497&gt;=2,I497&lt;=2.5),"标准-偏松标准",IF(AND(I497&gt;=2.57,I497&lt;=3),"标准-核心标准",IF(AND(I497&gt;=3.17,I497&lt;=3.5),"标准-偏紧标准",IF(AND(I497&gt;=3.6,I497&lt;=5),"紧凑-标准紧凑",IF(AND(I497&gt;=5.25,I497&lt;=8),"紧凑-高度紧凑",IF(I497&gt;=8.5,"紧凑-极度紧凑",""))))))))))</f>
        <v/>
      </c>
      <c r="L497" s="2">
        <f>IF(I497=0.1,"极紧凑",IF(AND(I497&gt;=1,I497&lt;=1.89),"松散",IF(AND(I497&gt;=2,I497&lt;=3.5),"标准",IF(I497&gt;=3.6,"紧凑",""))))</f>
        <v/>
      </c>
      <c r="M497" s="2" t="inlineStr">
        <is>
          <t>极紧凑-豹子号</t>
        </is>
      </c>
      <c r="N497" s="2" t="inlineStr">
        <is>
          <t>松散-极松散</t>
        </is>
      </c>
      <c r="O497" s="2" t="inlineStr">
        <is>
          <t>松散-标准松散</t>
        </is>
      </c>
      <c r="P497" s="2" t="inlineStr">
        <is>
          <t>松散-偏紧松散</t>
        </is>
      </c>
      <c r="Q497" s="2" t="inlineStr">
        <is>
          <t>标准-偏松标准</t>
        </is>
      </c>
      <c r="R497" s="2" t="inlineStr">
        <is>
          <t>标准-核心标准</t>
        </is>
      </c>
      <c r="S497" s="2" t="inlineStr">
        <is>
          <t>标准-偏紧标准</t>
        </is>
      </c>
      <c r="T497" s="2" t="inlineStr">
        <is>
          <t>紧凑-标准紧凑</t>
        </is>
      </c>
      <c r="U497" s="2" t="inlineStr">
        <is>
          <t>紧凑-高度紧凑</t>
        </is>
      </c>
      <c r="V497" s="2" t="inlineStr">
        <is>
          <t>紧凑-极度紧凑</t>
        </is>
      </c>
    </row>
    <row r="498">
      <c r="A498" s="1" t="n">
        <v>2024065</v>
      </c>
      <c r="B498" s="3" t="inlineStr">
        <is>
          <t>903</t>
        </is>
      </c>
      <c r="C498" s="2">
        <f>IF(B498="","",LEFT(TEXT(B498,"000"),1)*1)</f>
        <v/>
      </c>
      <c r="D498" s="2">
        <f>IF(B498="","",MID(TEXT(B498,"000"),2,1)*1)</f>
        <v/>
      </c>
      <c r="E498" s="2">
        <f>IF(B498="","",RIGHT(TEXT(B498,"000"),1)*1)</f>
        <v/>
      </c>
      <c r="F498" s="2">
        <f>IF(B498="","",C498+D498+E498)</f>
        <v/>
      </c>
      <c r="G498" s="2">
        <f>IF(B498="","",MOD(F498,10))</f>
        <v/>
      </c>
      <c r="H498" s="2">
        <f>IF(B498="","",MAX(C498,D498,E498)-MIN(C498,D498,E498))</f>
        <v/>
      </c>
      <c r="I498" s="2">
        <f>IF(OR(B498="",H498=0),IF(H498=0,0.1,""),ROUND(F498/H498,2))</f>
        <v/>
      </c>
      <c r="J498" s="2">
        <f>IF(I498=0.1,"极紧凑",IF(I498&gt;3.5,"紧凑",IF(AND(I498&gt;=2,I498&lt;=3.5),"标准",IF(AND(I498&gt;=1,I498&lt;2),"松散",""))))</f>
        <v/>
      </c>
      <c r="K498" s="2">
        <f>IF(I498=0.1,"极紧凑-豹子号",IF(AND(I498&gt;=1,I498&lt;=1.29),"松散-极松散",IF(AND(I498&gt;=1.33,I498&lt;=1.8),"松散-标准松散",IF(AND(I498&gt;=1.83,I498&lt;=1.89),"松散-偏紧松散",IF(AND(I498&gt;=2,I498&lt;=2.5),"标准-偏松标准",IF(AND(I498&gt;=2.57,I498&lt;=3),"标准-核心标准",IF(AND(I498&gt;=3.17,I498&lt;=3.5),"标准-偏紧标准",IF(AND(I498&gt;=3.6,I498&lt;=5),"紧凑-标准紧凑",IF(AND(I498&gt;=5.25,I498&lt;=8),"紧凑-高度紧凑",IF(I498&gt;=8.5,"紧凑-极度紧凑",""))))))))))</f>
        <v/>
      </c>
      <c r="L498" s="2">
        <f>IF(I498=0.1,"极紧凑",IF(AND(I498&gt;=1,I498&lt;=1.89),"松散",IF(AND(I498&gt;=2,I498&lt;=3.5),"标准",IF(I498&gt;=3.6,"紧凑",""))))</f>
        <v/>
      </c>
      <c r="M498" s="2" t="inlineStr">
        <is>
          <t>极紧凑-豹子号</t>
        </is>
      </c>
      <c r="N498" s="2" t="inlineStr">
        <is>
          <t>松散-极松散</t>
        </is>
      </c>
      <c r="O498" s="2" t="inlineStr">
        <is>
          <t>松散-标准松散</t>
        </is>
      </c>
      <c r="P498" s="2" t="inlineStr">
        <is>
          <t>松散-偏紧松散</t>
        </is>
      </c>
      <c r="Q498" s="2" t="inlineStr">
        <is>
          <t>标准-偏松标准</t>
        </is>
      </c>
      <c r="R498" s="2" t="inlineStr">
        <is>
          <t>标准-核心标准</t>
        </is>
      </c>
      <c r="S498" s="2" t="inlineStr">
        <is>
          <t>标准-偏紧标准</t>
        </is>
      </c>
      <c r="T498" s="2" t="inlineStr">
        <is>
          <t>紧凑-标准紧凑</t>
        </is>
      </c>
      <c r="U498" s="2" t="inlineStr">
        <is>
          <t>紧凑-高度紧凑</t>
        </is>
      </c>
      <c r="V498" s="2" t="inlineStr">
        <is>
          <t>紧凑-极度紧凑</t>
        </is>
      </c>
    </row>
    <row r="499">
      <c r="A499" s="1" t="n">
        <v>2024066</v>
      </c>
      <c r="B499" s="3" t="inlineStr">
        <is>
          <t>803</t>
        </is>
      </c>
      <c r="C499" s="2">
        <f>IF(B499="","",LEFT(TEXT(B499,"000"),1)*1)</f>
        <v/>
      </c>
      <c r="D499" s="2">
        <f>IF(B499="","",MID(TEXT(B499,"000"),2,1)*1)</f>
        <v/>
      </c>
      <c r="E499" s="2">
        <f>IF(B499="","",RIGHT(TEXT(B499,"000"),1)*1)</f>
        <v/>
      </c>
      <c r="F499" s="2">
        <f>IF(B499="","",C499+D499+E499)</f>
        <v/>
      </c>
      <c r="G499" s="2">
        <f>IF(B499="","",MOD(F499,10))</f>
        <v/>
      </c>
      <c r="H499" s="2">
        <f>IF(B499="","",MAX(C499,D499,E499)-MIN(C499,D499,E499))</f>
        <v/>
      </c>
      <c r="I499" s="2">
        <f>IF(OR(B499="",H499=0),IF(H499=0,0.1,""),ROUND(F499/H499,2))</f>
        <v/>
      </c>
      <c r="J499" s="2">
        <f>IF(I499=0.1,"极紧凑",IF(I499&gt;3.5,"紧凑",IF(AND(I499&gt;=2,I499&lt;=3.5),"标准",IF(AND(I499&gt;=1,I499&lt;2),"松散",""))))</f>
        <v/>
      </c>
      <c r="K499" s="2">
        <f>IF(I499=0.1,"极紧凑-豹子号",IF(AND(I499&gt;=1,I499&lt;=1.29),"松散-极松散",IF(AND(I499&gt;=1.33,I499&lt;=1.8),"松散-标准松散",IF(AND(I499&gt;=1.83,I499&lt;=1.89),"松散-偏紧松散",IF(AND(I499&gt;=2,I499&lt;=2.5),"标准-偏松标准",IF(AND(I499&gt;=2.57,I499&lt;=3),"标准-核心标准",IF(AND(I499&gt;=3.17,I499&lt;=3.5),"标准-偏紧标准",IF(AND(I499&gt;=3.6,I499&lt;=5),"紧凑-标准紧凑",IF(AND(I499&gt;=5.25,I499&lt;=8),"紧凑-高度紧凑",IF(I499&gt;=8.5,"紧凑-极度紧凑",""))))))))))</f>
        <v/>
      </c>
      <c r="L499" s="2">
        <f>IF(I499=0.1,"极紧凑",IF(AND(I499&gt;=1,I499&lt;=1.89),"松散",IF(AND(I499&gt;=2,I499&lt;=3.5),"标准",IF(I499&gt;=3.6,"紧凑",""))))</f>
        <v/>
      </c>
      <c r="M499" s="2" t="inlineStr">
        <is>
          <t>极紧凑-豹子号</t>
        </is>
      </c>
      <c r="N499" s="2" t="inlineStr">
        <is>
          <t>松散-极松散</t>
        </is>
      </c>
      <c r="O499" s="2" t="inlineStr">
        <is>
          <t>松散-标准松散</t>
        </is>
      </c>
      <c r="P499" s="2" t="inlineStr">
        <is>
          <t>松散-偏紧松散</t>
        </is>
      </c>
      <c r="Q499" s="2" t="inlineStr">
        <is>
          <t>标准-偏松标准</t>
        </is>
      </c>
      <c r="R499" s="2" t="inlineStr">
        <is>
          <t>标准-核心标准</t>
        </is>
      </c>
      <c r="S499" s="2" t="inlineStr">
        <is>
          <t>标准-偏紧标准</t>
        </is>
      </c>
      <c r="T499" s="2" t="inlineStr">
        <is>
          <t>紧凑-标准紧凑</t>
        </is>
      </c>
      <c r="U499" s="2" t="inlineStr">
        <is>
          <t>紧凑-高度紧凑</t>
        </is>
      </c>
      <c r="V499" s="2" t="inlineStr">
        <is>
          <t>紧凑-极度紧凑</t>
        </is>
      </c>
    </row>
    <row r="500">
      <c r="A500" s="1" t="n">
        <v>2024067</v>
      </c>
      <c r="B500" s="3" t="inlineStr">
        <is>
          <t>549</t>
        </is>
      </c>
      <c r="C500" s="2">
        <f>IF(B500="","",LEFT(TEXT(B500,"000"),1)*1)</f>
        <v/>
      </c>
      <c r="D500" s="2">
        <f>IF(B500="","",MID(TEXT(B500,"000"),2,1)*1)</f>
        <v/>
      </c>
      <c r="E500" s="2">
        <f>IF(B500="","",RIGHT(TEXT(B500,"000"),1)*1)</f>
        <v/>
      </c>
      <c r="F500" s="2">
        <f>IF(B500="","",C500+D500+E500)</f>
        <v/>
      </c>
      <c r="G500" s="2">
        <f>IF(B500="","",MOD(F500,10))</f>
        <v/>
      </c>
      <c r="H500" s="2">
        <f>IF(B500="","",MAX(C500,D500,E500)-MIN(C500,D500,E500))</f>
        <v/>
      </c>
      <c r="I500" s="2">
        <f>IF(OR(B500="",H500=0),IF(H500=0,0.1,""),ROUND(F500/H500,2))</f>
        <v/>
      </c>
      <c r="J500" s="2">
        <f>IF(I500=0.1,"极紧凑",IF(I500&gt;3.5,"紧凑",IF(AND(I500&gt;=2,I500&lt;=3.5),"标准",IF(AND(I500&gt;=1,I500&lt;2),"松散",""))))</f>
        <v/>
      </c>
      <c r="K500" s="2">
        <f>IF(I500=0.1,"极紧凑-豹子号",IF(AND(I500&gt;=1,I500&lt;=1.29),"松散-极松散",IF(AND(I500&gt;=1.33,I500&lt;=1.8),"松散-标准松散",IF(AND(I500&gt;=1.83,I500&lt;=1.89),"松散-偏紧松散",IF(AND(I500&gt;=2,I500&lt;=2.5),"标准-偏松标准",IF(AND(I500&gt;=2.57,I500&lt;=3),"标准-核心标准",IF(AND(I500&gt;=3.17,I500&lt;=3.5),"标准-偏紧标准",IF(AND(I500&gt;=3.6,I500&lt;=5),"紧凑-标准紧凑",IF(AND(I500&gt;=5.25,I500&lt;=8),"紧凑-高度紧凑",IF(I500&gt;=8.5,"紧凑-极度紧凑",""))))))))))</f>
        <v/>
      </c>
      <c r="L500" s="2">
        <f>IF(I500=0.1,"极紧凑",IF(AND(I500&gt;=1,I500&lt;=1.89),"松散",IF(AND(I500&gt;=2,I500&lt;=3.5),"标准",IF(I500&gt;=3.6,"紧凑",""))))</f>
        <v/>
      </c>
      <c r="M500" s="2" t="inlineStr">
        <is>
          <t>极紧凑-豹子号</t>
        </is>
      </c>
      <c r="N500" s="2" t="inlineStr">
        <is>
          <t>松散-极松散</t>
        </is>
      </c>
      <c r="O500" s="2" t="inlineStr">
        <is>
          <t>松散-标准松散</t>
        </is>
      </c>
      <c r="P500" s="2" t="inlineStr">
        <is>
          <t>松散-偏紧松散</t>
        </is>
      </c>
      <c r="Q500" s="2" t="inlineStr">
        <is>
          <t>标准-偏松标准</t>
        </is>
      </c>
      <c r="R500" s="2" t="inlineStr">
        <is>
          <t>标准-核心标准</t>
        </is>
      </c>
      <c r="S500" s="2" t="inlineStr">
        <is>
          <t>标准-偏紧标准</t>
        </is>
      </c>
      <c r="T500" s="2" t="inlineStr">
        <is>
          <t>紧凑-标准紧凑</t>
        </is>
      </c>
      <c r="U500" s="2" t="inlineStr">
        <is>
          <t>紧凑-高度紧凑</t>
        </is>
      </c>
      <c r="V500" s="2" t="inlineStr">
        <is>
          <t>紧凑-极度紧凑</t>
        </is>
      </c>
    </row>
    <row r="501">
      <c r="A501" s="1" t="n">
        <v>2024068</v>
      </c>
      <c r="B501" s="3" t="inlineStr">
        <is>
          <t>239</t>
        </is>
      </c>
      <c r="C501" s="2">
        <f>IF(B501="","",LEFT(TEXT(B501,"000"),1)*1)</f>
        <v/>
      </c>
      <c r="D501" s="2">
        <f>IF(B501="","",MID(TEXT(B501,"000"),2,1)*1)</f>
        <v/>
      </c>
      <c r="E501" s="2">
        <f>IF(B501="","",RIGHT(TEXT(B501,"000"),1)*1)</f>
        <v/>
      </c>
      <c r="F501" s="2">
        <f>IF(B501="","",C501+D501+E501)</f>
        <v/>
      </c>
      <c r="G501" s="2">
        <f>IF(B501="","",MOD(F501,10))</f>
        <v/>
      </c>
      <c r="H501" s="2">
        <f>IF(B501="","",MAX(C501,D501,E501)-MIN(C501,D501,E501))</f>
        <v/>
      </c>
      <c r="I501" s="2">
        <f>IF(OR(B501="",H501=0),IF(H501=0,0.1,""),ROUND(F501/H501,2))</f>
        <v/>
      </c>
      <c r="J501" s="2">
        <f>IF(I501=0.1,"极紧凑",IF(I501&gt;3.5,"紧凑",IF(AND(I501&gt;=2,I501&lt;=3.5),"标准",IF(AND(I501&gt;=1,I501&lt;2),"松散",""))))</f>
        <v/>
      </c>
      <c r="K501" s="2">
        <f>IF(I501=0.1,"极紧凑-豹子号",IF(AND(I501&gt;=1,I501&lt;=1.29),"松散-极松散",IF(AND(I501&gt;=1.33,I501&lt;=1.8),"松散-标准松散",IF(AND(I501&gt;=1.83,I501&lt;=1.89),"松散-偏紧松散",IF(AND(I501&gt;=2,I501&lt;=2.5),"标准-偏松标准",IF(AND(I501&gt;=2.57,I501&lt;=3),"标准-核心标准",IF(AND(I501&gt;=3.17,I501&lt;=3.5),"标准-偏紧标准",IF(AND(I501&gt;=3.6,I501&lt;=5),"紧凑-标准紧凑",IF(AND(I501&gt;=5.25,I501&lt;=8),"紧凑-高度紧凑",IF(I501&gt;=8.5,"紧凑-极度紧凑",""))))))))))</f>
        <v/>
      </c>
      <c r="L501" s="2">
        <f>IF(I501=0.1,"极紧凑",IF(AND(I501&gt;=1,I501&lt;=1.89),"松散",IF(AND(I501&gt;=2,I501&lt;=3.5),"标准",IF(I501&gt;=3.6,"紧凑",""))))</f>
        <v/>
      </c>
      <c r="M501" s="2" t="inlineStr">
        <is>
          <t>极紧凑-豹子号</t>
        </is>
      </c>
      <c r="N501" s="2" t="inlineStr">
        <is>
          <t>松散-极松散</t>
        </is>
      </c>
      <c r="O501" s="2" t="inlineStr">
        <is>
          <t>松散-标准松散</t>
        </is>
      </c>
      <c r="P501" s="2" t="inlineStr">
        <is>
          <t>松散-偏紧松散</t>
        </is>
      </c>
      <c r="Q501" s="2" t="inlineStr">
        <is>
          <t>标准-偏松标准</t>
        </is>
      </c>
      <c r="R501" s="2" t="inlineStr">
        <is>
          <t>标准-核心标准</t>
        </is>
      </c>
      <c r="S501" s="2" t="inlineStr">
        <is>
          <t>标准-偏紧标准</t>
        </is>
      </c>
      <c r="T501" s="2" t="inlineStr">
        <is>
          <t>紧凑-标准紧凑</t>
        </is>
      </c>
      <c r="U501" s="2" t="inlineStr">
        <is>
          <t>紧凑-高度紧凑</t>
        </is>
      </c>
      <c r="V501" s="2" t="inlineStr">
        <is>
          <t>紧凑-极度紧凑</t>
        </is>
      </c>
    </row>
    <row r="502">
      <c r="A502" s="1" t="n">
        <v>2024069</v>
      </c>
      <c r="B502" s="3" t="inlineStr">
        <is>
          <t>411</t>
        </is>
      </c>
      <c r="C502" s="2">
        <f>IF(B502="","",LEFT(TEXT(B502,"000"),1)*1)</f>
        <v/>
      </c>
      <c r="D502" s="2">
        <f>IF(B502="","",MID(TEXT(B502,"000"),2,1)*1)</f>
        <v/>
      </c>
      <c r="E502" s="2">
        <f>IF(B502="","",RIGHT(TEXT(B502,"000"),1)*1)</f>
        <v/>
      </c>
      <c r="F502" s="2">
        <f>IF(B502="","",C502+D502+E502)</f>
        <v/>
      </c>
      <c r="G502" s="2">
        <f>IF(B502="","",MOD(F502,10))</f>
        <v/>
      </c>
      <c r="H502" s="2">
        <f>IF(B502="","",MAX(C502,D502,E502)-MIN(C502,D502,E502))</f>
        <v/>
      </c>
      <c r="I502" s="2">
        <f>IF(OR(B502="",H502=0),IF(H502=0,0.1,""),ROUND(F502/H502,2))</f>
        <v/>
      </c>
      <c r="J502" s="2">
        <f>IF(I502=0.1,"极紧凑",IF(I502&gt;3.5,"紧凑",IF(AND(I502&gt;=2,I502&lt;=3.5),"标准",IF(AND(I502&gt;=1,I502&lt;2),"松散",""))))</f>
        <v/>
      </c>
      <c r="K502" s="2">
        <f>IF(I502=0.1,"极紧凑-豹子号",IF(AND(I502&gt;=1,I502&lt;=1.29),"松散-极松散",IF(AND(I502&gt;=1.33,I502&lt;=1.8),"松散-标准松散",IF(AND(I502&gt;=1.83,I502&lt;=1.89),"松散-偏紧松散",IF(AND(I502&gt;=2,I502&lt;=2.5),"标准-偏松标准",IF(AND(I502&gt;=2.57,I502&lt;=3),"标准-核心标准",IF(AND(I502&gt;=3.17,I502&lt;=3.5),"标准-偏紧标准",IF(AND(I502&gt;=3.6,I502&lt;=5),"紧凑-标准紧凑",IF(AND(I502&gt;=5.25,I502&lt;=8),"紧凑-高度紧凑",IF(I502&gt;=8.5,"紧凑-极度紧凑",""))))))))))</f>
        <v/>
      </c>
      <c r="L502" s="2">
        <f>IF(I502=0.1,"极紧凑",IF(AND(I502&gt;=1,I502&lt;=1.89),"松散",IF(AND(I502&gt;=2,I502&lt;=3.5),"标准",IF(I502&gt;=3.6,"紧凑",""))))</f>
        <v/>
      </c>
      <c r="M502" s="2" t="inlineStr">
        <is>
          <t>极紧凑-豹子号</t>
        </is>
      </c>
      <c r="N502" s="2" t="inlineStr">
        <is>
          <t>松散-极松散</t>
        </is>
      </c>
      <c r="O502" s="2" t="inlineStr">
        <is>
          <t>松散-标准松散</t>
        </is>
      </c>
      <c r="P502" s="2" t="inlineStr">
        <is>
          <t>松散-偏紧松散</t>
        </is>
      </c>
      <c r="Q502" s="2" t="inlineStr">
        <is>
          <t>标准-偏松标准</t>
        </is>
      </c>
      <c r="R502" s="2" t="inlineStr">
        <is>
          <t>标准-核心标准</t>
        </is>
      </c>
      <c r="S502" s="2" t="inlineStr">
        <is>
          <t>标准-偏紧标准</t>
        </is>
      </c>
      <c r="T502" s="2" t="inlineStr">
        <is>
          <t>紧凑-标准紧凑</t>
        </is>
      </c>
      <c r="U502" s="2" t="inlineStr">
        <is>
          <t>紧凑-高度紧凑</t>
        </is>
      </c>
      <c r="V502" s="2" t="inlineStr">
        <is>
          <t>紧凑-极度紧凑</t>
        </is>
      </c>
    </row>
    <row r="503">
      <c r="A503" s="1" t="n">
        <v>2024070</v>
      </c>
      <c r="B503" s="3" t="inlineStr">
        <is>
          <t>891</t>
        </is>
      </c>
      <c r="C503" s="2">
        <f>IF(B503="","",LEFT(TEXT(B503,"000"),1)*1)</f>
        <v/>
      </c>
      <c r="D503" s="2">
        <f>IF(B503="","",MID(TEXT(B503,"000"),2,1)*1)</f>
        <v/>
      </c>
      <c r="E503" s="2">
        <f>IF(B503="","",RIGHT(TEXT(B503,"000"),1)*1)</f>
        <v/>
      </c>
      <c r="F503" s="2">
        <f>IF(B503="","",C503+D503+E503)</f>
        <v/>
      </c>
      <c r="G503" s="2">
        <f>IF(B503="","",MOD(F503,10))</f>
        <v/>
      </c>
      <c r="H503" s="2">
        <f>IF(B503="","",MAX(C503,D503,E503)-MIN(C503,D503,E503))</f>
        <v/>
      </c>
      <c r="I503" s="2">
        <f>IF(OR(B503="",H503=0),IF(H503=0,0.1,""),ROUND(F503/H503,2))</f>
        <v/>
      </c>
      <c r="J503" s="2">
        <f>IF(I503=0.1,"极紧凑",IF(I503&gt;3.5,"紧凑",IF(AND(I503&gt;=2,I503&lt;=3.5),"标准",IF(AND(I503&gt;=1,I503&lt;2),"松散",""))))</f>
        <v/>
      </c>
      <c r="K503" s="2">
        <f>IF(I503=0.1,"极紧凑-豹子号",IF(AND(I503&gt;=1,I503&lt;=1.29),"松散-极松散",IF(AND(I503&gt;=1.33,I503&lt;=1.8),"松散-标准松散",IF(AND(I503&gt;=1.83,I503&lt;=1.89),"松散-偏紧松散",IF(AND(I503&gt;=2,I503&lt;=2.5),"标准-偏松标准",IF(AND(I503&gt;=2.57,I503&lt;=3),"标准-核心标准",IF(AND(I503&gt;=3.17,I503&lt;=3.5),"标准-偏紧标准",IF(AND(I503&gt;=3.6,I503&lt;=5),"紧凑-标准紧凑",IF(AND(I503&gt;=5.25,I503&lt;=8),"紧凑-高度紧凑",IF(I503&gt;=8.5,"紧凑-极度紧凑",""))))))))))</f>
        <v/>
      </c>
      <c r="L503" s="2">
        <f>IF(I503=0.1,"极紧凑",IF(AND(I503&gt;=1,I503&lt;=1.89),"松散",IF(AND(I503&gt;=2,I503&lt;=3.5),"标准",IF(I503&gt;=3.6,"紧凑",""))))</f>
        <v/>
      </c>
      <c r="M503" s="2" t="inlineStr">
        <is>
          <t>极紧凑-豹子号</t>
        </is>
      </c>
      <c r="N503" s="2" t="inlineStr">
        <is>
          <t>松散-极松散</t>
        </is>
      </c>
      <c r="O503" s="2" t="inlineStr">
        <is>
          <t>松散-标准松散</t>
        </is>
      </c>
      <c r="P503" s="2" t="inlineStr">
        <is>
          <t>松散-偏紧松散</t>
        </is>
      </c>
      <c r="Q503" s="2" t="inlineStr">
        <is>
          <t>标准-偏松标准</t>
        </is>
      </c>
      <c r="R503" s="2" t="inlineStr">
        <is>
          <t>标准-核心标准</t>
        </is>
      </c>
      <c r="S503" s="2" t="inlineStr">
        <is>
          <t>标准-偏紧标准</t>
        </is>
      </c>
      <c r="T503" s="2" t="inlineStr">
        <is>
          <t>紧凑-标准紧凑</t>
        </is>
      </c>
      <c r="U503" s="2" t="inlineStr">
        <is>
          <t>紧凑-高度紧凑</t>
        </is>
      </c>
      <c r="V503" s="2" t="inlineStr">
        <is>
          <t>紧凑-极度紧凑</t>
        </is>
      </c>
    </row>
    <row r="504">
      <c r="A504" s="1" t="n">
        <v>2024071</v>
      </c>
      <c r="B504" s="3" t="inlineStr">
        <is>
          <t>258</t>
        </is>
      </c>
      <c r="C504" s="2">
        <f>IF(B504="","",LEFT(TEXT(B504,"000"),1)*1)</f>
        <v/>
      </c>
      <c r="D504" s="2">
        <f>IF(B504="","",MID(TEXT(B504,"000"),2,1)*1)</f>
        <v/>
      </c>
      <c r="E504" s="2">
        <f>IF(B504="","",RIGHT(TEXT(B504,"000"),1)*1)</f>
        <v/>
      </c>
      <c r="F504" s="2">
        <f>IF(B504="","",C504+D504+E504)</f>
        <v/>
      </c>
      <c r="G504" s="2">
        <f>IF(B504="","",MOD(F504,10))</f>
        <v/>
      </c>
      <c r="H504" s="2">
        <f>IF(B504="","",MAX(C504,D504,E504)-MIN(C504,D504,E504))</f>
        <v/>
      </c>
      <c r="I504" s="2">
        <f>IF(OR(B504="",H504=0),IF(H504=0,0.1,""),ROUND(F504/H504,2))</f>
        <v/>
      </c>
      <c r="J504" s="2">
        <f>IF(I504=0.1,"极紧凑",IF(I504&gt;3.5,"紧凑",IF(AND(I504&gt;=2,I504&lt;=3.5),"标准",IF(AND(I504&gt;=1,I504&lt;2),"松散",""))))</f>
        <v/>
      </c>
      <c r="K504" s="2">
        <f>IF(I504=0.1,"极紧凑-豹子号",IF(AND(I504&gt;=1,I504&lt;=1.29),"松散-极松散",IF(AND(I504&gt;=1.33,I504&lt;=1.8),"松散-标准松散",IF(AND(I504&gt;=1.83,I504&lt;=1.89),"松散-偏紧松散",IF(AND(I504&gt;=2,I504&lt;=2.5),"标准-偏松标准",IF(AND(I504&gt;=2.57,I504&lt;=3),"标准-核心标准",IF(AND(I504&gt;=3.17,I504&lt;=3.5),"标准-偏紧标准",IF(AND(I504&gt;=3.6,I504&lt;=5),"紧凑-标准紧凑",IF(AND(I504&gt;=5.25,I504&lt;=8),"紧凑-高度紧凑",IF(I504&gt;=8.5,"紧凑-极度紧凑",""))))))))))</f>
        <v/>
      </c>
      <c r="L504" s="2">
        <f>IF(I504=0.1,"极紧凑",IF(AND(I504&gt;=1,I504&lt;=1.89),"松散",IF(AND(I504&gt;=2,I504&lt;=3.5),"标准",IF(I504&gt;=3.6,"紧凑",""))))</f>
        <v/>
      </c>
      <c r="M504" s="2" t="inlineStr">
        <is>
          <t>极紧凑-豹子号</t>
        </is>
      </c>
      <c r="N504" s="2" t="inlineStr">
        <is>
          <t>松散-极松散</t>
        </is>
      </c>
      <c r="O504" s="2" t="inlineStr">
        <is>
          <t>松散-标准松散</t>
        </is>
      </c>
      <c r="P504" s="2" t="inlineStr">
        <is>
          <t>松散-偏紧松散</t>
        </is>
      </c>
      <c r="Q504" s="2" t="inlineStr">
        <is>
          <t>标准-偏松标准</t>
        </is>
      </c>
      <c r="R504" s="2" t="inlineStr">
        <is>
          <t>标准-核心标准</t>
        </is>
      </c>
      <c r="S504" s="2" t="inlineStr">
        <is>
          <t>标准-偏紧标准</t>
        </is>
      </c>
      <c r="T504" s="2" t="inlineStr">
        <is>
          <t>紧凑-标准紧凑</t>
        </is>
      </c>
      <c r="U504" s="2" t="inlineStr">
        <is>
          <t>紧凑-高度紧凑</t>
        </is>
      </c>
      <c r="V504" s="2" t="inlineStr">
        <is>
          <t>紧凑-极度紧凑</t>
        </is>
      </c>
    </row>
    <row r="505">
      <c r="A505" s="1" t="n">
        <v>2024072</v>
      </c>
      <c r="B505" s="3" t="inlineStr">
        <is>
          <t>341</t>
        </is>
      </c>
      <c r="C505" s="2">
        <f>IF(B505="","",LEFT(TEXT(B505,"000"),1)*1)</f>
        <v/>
      </c>
      <c r="D505" s="2">
        <f>IF(B505="","",MID(TEXT(B505,"000"),2,1)*1)</f>
        <v/>
      </c>
      <c r="E505" s="2">
        <f>IF(B505="","",RIGHT(TEXT(B505,"000"),1)*1)</f>
        <v/>
      </c>
      <c r="F505" s="2">
        <f>IF(B505="","",C505+D505+E505)</f>
        <v/>
      </c>
      <c r="G505" s="2">
        <f>IF(B505="","",MOD(F505,10))</f>
        <v/>
      </c>
      <c r="H505" s="2">
        <f>IF(B505="","",MAX(C505,D505,E505)-MIN(C505,D505,E505))</f>
        <v/>
      </c>
      <c r="I505" s="2">
        <f>IF(OR(B505="",H505=0),IF(H505=0,0.1,""),ROUND(F505/H505,2))</f>
        <v/>
      </c>
      <c r="J505" s="2">
        <f>IF(I505=0.1,"极紧凑",IF(I505&gt;3.5,"紧凑",IF(AND(I505&gt;=2,I505&lt;=3.5),"标准",IF(AND(I505&gt;=1,I505&lt;2),"松散",""))))</f>
        <v/>
      </c>
      <c r="K505" s="2">
        <f>IF(I505=0.1,"极紧凑-豹子号",IF(AND(I505&gt;=1,I505&lt;=1.29),"松散-极松散",IF(AND(I505&gt;=1.33,I505&lt;=1.8),"松散-标准松散",IF(AND(I505&gt;=1.83,I505&lt;=1.89),"松散-偏紧松散",IF(AND(I505&gt;=2,I505&lt;=2.5),"标准-偏松标准",IF(AND(I505&gt;=2.57,I505&lt;=3),"标准-核心标准",IF(AND(I505&gt;=3.17,I505&lt;=3.5),"标准-偏紧标准",IF(AND(I505&gt;=3.6,I505&lt;=5),"紧凑-标准紧凑",IF(AND(I505&gt;=5.25,I505&lt;=8),"紧凑-高度紧凑",IF(I505&gt;=8.5,"紧凑-极度紧凑",""))))))))))</f>
        <v/>
      </c>
      <c r="L505" s="2">
        <f>IF(I505=0.1,"极紧凑",IF(AND(I505&gt;=1,I505&lt;=1.89),"松散",IF(AND(I505&gt;=2,I505&lt;=3.5),"标准",IF(I505&gt;=3.6,"紧凑",""))))</f>
        <v/>
      </c>
      <c r="M505" s="2" t="inlineStr">
        <is>
          <t>极紧凑-豹子号</t>
        </is>
      </c>
      <c r="N505" s="2" t="inlineStr">
        <is>
          <t>松散-极松散</t>
        </is>
      </c>
      <c r="O505" s="2" t="inlineStr">
        <is>
          <t>松散-标准松散</t>
        </is>
      </c>
      <c r="P505" s="2" t="inlineStr">
        <is>
          <t>松散-偏紧松散</t>
        </is>
      </c>
      <c r="Q505" s="2" t="inlineStr">
        <is>
          <t>标准-偏松标准</t>
        </is>
      </c>
      <c r="R505" s="2" t="inlineStr">
        <is>
          <t>标准-核心标准</t>
        </is>
      </c>
      <c r="S505" s="2" t="inlineStr">
        <is>
          <t>标准-偏紧标准</t>
        </is>
      </c>
      <c r="T505" s="2" t="inlineStr">
        <is>
          <t>紧凑-标准紧凑</t>
        </is>
      </c>
      <c r="U505" s="2" t="inlineStr">
        <is>
          <t>紧凑-高度紧凑</t>
        </is>
      </c>
      <c r="V505" s="2" t="inlineStr">
        <is>
          <t>紧凑-极度紧凑</t>
        </is>
      </c>
    </row>
    <row r="506">
      <c r="A506" s="1" t="n">
        <v>2024073</v>
      </c>
      <c r="B506" s="3" t="inlineStr">
        <is>
          <t>590</t>
        </is>
      </c>
      <c r="C506" s="2">
        <f>IF(B506="","",LEFT(TEXT(B506,"000"),1)*1)</f>
        <v/>
      </c>
      <c r="D506" s="2">
        <f>IF(B506="","",MID(TEXT(B506,"000"),2,1)*1)</f>
        <v/>
      </c>
      <c r="E506" s="2">
        <f>IF(B506="","",RIGHT(TEXT(B506,"000"),1)*1)</f>
        <v/>
      </c>
      <c r="F506" s="2">
        <f>IF(B506="","",C506+D506+E506)</f>
        <v/>
      </c>
      <c r="G506" s="2">
        <f>IF(B506="","",MOD(F506,10))</f>
        <v/>
      </c>
      <c r="H506" s="2">
        <f>IF(B506="","",MAX(C506,D506,E506)-MIN(C506,D506,E506))</f>
        <v/>
      </c>
      <c r="I506" s="2">
        <f>IF(OR(B506="",H506=0),IF(H506=0,0.1,""),ROUND(F506/H506,2))</f>
        <v/>
      </c>
      <c r="J506" s="2">
        <f>IF(I506=0.1,"极紧凑",IF(I506&gt;3.5,"紧凑",IF(AND(I506&gt;=2,I506&lt;=3.5),"标准",IF(AND(I506&gt;=1,I506&lt;2),"松散",""))))</f>
        <v/>
      </c>
      <c r="K506" s="2">
        <f>IF(I506=0.1,"极紧凑-豹子号",IF(AND(I506&gt;=1,I506&lt;=1.29),"松散-极松散",IF(AND(I506&gt;=1.33,I506&lt;=1.8),"松散-标准松散",IF(AND(I506&gt;=1.83,I506&lt;=1.89),"松散-偏紧松散",IF(AND(I506&gt;=2,I506&lt;=2.5),"标准-偏松标准",IF(AND(I506&gt;=2.57,I506&lt;=3),"标准-核心标准",IF(AND(I506&gt;=3.17,I506&lt;=3.5),"标准-偏紧标准",IF(AND(I506&gt;=3.6,I506&lt;=5),"紧凑-标准紧凑",IF(AND(I506&gt;=5.25,I506&lt;=8),"紧凑-高度紧凑",IF(I506&gt;=8.5,"紧凑-极度紧凑",""))))))))))</f>
        <v/>
      </c>
      <c r="L506" s="2">
        <f>IF(I506=0.1,"极紧凑",IF(AND(I506&gt;=1,I506&lt;=1.89),"松散",IF(AND(I506&gt;=2,I506&lt;=3.5),"标准",IF(I506&gt;=3.6,"紧凑",""))))</f>
        <v/>
      </c>
      <c r="M506" s="2" t="inlineStr">
        <is>
          <t>极紧凑-豹子号</t>
        </is>
      </c>
      <c r="N506" s="2" t="inlineStr">
        <is>
          <t>松散-极松散</t>
        </is>
      </c>
      <c r="O506" s="2" t="inlineStr">
        <is>
          <t>松散-标准松散</t>
        </is>
      </c>
      <c r="P506" s="2" t="inlineStr">
        <is>
          <t>松散-偏紧松散</t>
        </is>
      </c>
      <c r="Q506" s="2" t="inlineStr">
        <is>
          <t>标准-偏松标准</t>
        </is>
      </c>
      <c r="R506" s="2" t="inlineStr">
        <is>
          <t>标准-核心标准</t>
        </is>
      </c>
      <c r="S506" s="2" t="inlineStr">
        <is>
          <t>标准-偏紧标准</t>
        </is>
      </c>
      <c r="T506" s="2" t="inlineStr">
        <is>
          <t>紧凑-标准紧凑</t>
        </is>
      </c>
      <c r="U506" s="2" t="inlineStr">
        <is>
          <t>紧凑-高度紧凑</t>
        </is>
      </c>
      <c r="V506" s="2" t="inlineStr">
        <is>
          <t>紧凑-极度紧凑</t>
        </is>
      </c>
    </row>
    <row r="507">
      <c r="A507" s="1" t="n">
        <v>2024074</v>
      </c>
      <c r="B507" s="3" t="inlineStr">
        <is>
          <t>629</t>
        </is>
      </c>
      <c r="C507" s="2">
        <f>IF(B507="","",LEFT(TEXT(B507,"000"),1)*1)</f>
        <v/>
      </c>
      <c r="D507" s="2">
        <f>IF(B507="","",MID(TEXT(B507,"000"),2,1)*1)</f>
        <v/>
      </c>
      <c r="E507" s="2">
        <f>IF(B507="","",RIGHT(TEXT(B507,"000"),1)*1)</f>
        <v/>
      </c>
      <c r="F507" s="2">
        <f>IF(B507="","",C507+D507+E507)</f>
        <v/>
      </c>
      <c r="G507" s="2">
        <f>IF(B507="","",MOD(F507,10))</f>
        <v/>
      </c>
      <c r="H507" s="2">
        <f>IF(B507="","",MAX(C507,D507,E507)-MIN(C507,D507,E507))</f>
        <v/>
      </c>
      <c r="I507" s="2">
        <f>IF(OR(B507="",H507=0),IF(H507=0,0.1,""),ROUND(F507/H507,2))</f>
        <v/>
      </c>
      <c r="J507" s="2">
        <f>IF(I507=0.1,"极紧凑",IF(I507&gt;3.5,"紧凑",IF(AND(I507&gt;=2,I507&lt;=3.5),"标准",IF(AND(I507&gt;=1,I507&lt;2),"松散",""))))</f>
        <v/>
      </c>
      <c r="K507" s="2">
        <f>IF(I507=0.1,"极紧凑-豹子号",IF(AND(I507&gt;=1,I507&lt;=1.29),"松散-极松散",IF(AND(I507&gt;=1.33,I507&lt;=1.8),"松散-标准松散",IF(AND(I507&gt;=1.83,I507&lt;=1.89),"松散-偏紧松散",IF(AND(I507&gt;=2,I507&lt;=2.5),"标准-偏松标准",IF(AND(I507&gt;=2.57,I507&lt;=3),"标准-核心标准",IF(AND(I507&gt;=3.17,I507&lt;=3.5),"标准-偏紧标准",IF(AND(I507&gt;=3.6,I507&lt;=5),"紧凑-标准紧凑",IF(AND(I507&gt;=5.25,I507&lt;=8),"紧凑-高度紧凑",IF(I507&gt;=8.5,"紧凑-极度紧凑",""))))))))))</f>
        <v/>
      </c>
      <c r="L507" s="2">
        <f>IF(I507=0.1,"极紧凑",IF(AND(I507&gt;=1,I507&lt;=1.89),"松散",IF(AND(I507&gt;=2,I507&lt;=3.5),"标准",IF(I507&gt;=3.6,"紧凑",""))))</f>
        <v/>
      </c>
      <c r="M507" s="2" t="inlineStr">
        <is>
          <t>极紧凑-豹子号</t>
        </is>
      </c>
      <c r="N507" s="2" t="inlineStr">
        <is>
          <t>松散-极松散</t>
        </is>
      </c>
      <c r="O507" s="2" t="inlineStr">
        <is>
          <t>松散-标准松散</t>
        </is>
      </c>
      <c r="P507" s="2" t="inlineStr">
        <is>
          <t>松散-偏紧松散</t>
        </is>
      </c>
      <c r="Q507" s="2" t="inlineStr">
        <is>
          <t>标准-偏松标准</t>
        </is>
      </c>
      <c r="R507" s="2" t="inlineStr">
        <is>
          <t>标准-核心标准</t>
        </is>
      </c>
      <c r="S507" s="2" t="inlineStr">
        <is>
          <t>标准-偏紧标准</t>
        </is>
      </c>
      <c r="T507" s="2" t="inlineStr">
        <is>
          <t>紧凑-标准紧凑</t>
        </is>
      </c>
      <c r="U507" s="2" t="inlineStr">
        <is>
          <t>紧凑-高度紧凑</t>
        </is>
      </c>
      <c r="V507" s="2" t="inlineStr">
        <is>
          <t>紧凑-极度紧凑</t>
        </is>
      </c>
    </row>
    <row r="508">
      <c r="A508" s="1" t="n">
        <v>2024075</v>
      </c>
      <c r="B508" s="3" t="inlineStr">
        <is>
          <t>285</t>
        </is>
      </c>
      <c r="C508" s="2">
        <f>IF(B508="","",LEFT(TEXT(B508,"000"),1)*1)</f>
        <v/>
      </c>
      <c r="D508" s="2">
        <f>IF(B508="","",MID(TEXT(B508,"000"),2,1)*1)</f>
        <v/>
      </c>
      <c r="E508" s="2">
        <f>IF(B508="","",RIGHT(TEXT(B508,"000"),1)*1)</f>
        <v/>
      </c>
      <c r="F508" s="2">
        <f>IF(B508="","",C508+D508+E508)</f>
        <v/>
      </c>
      <c r="G508" s="2">
        <f>IF(B508="","",MOD(F508,10))</f>
        <v/>
      </c>
      <c r="H508" s="2">
        <f>IF(B508="","",MAX(C508,D508,E508)-MIN(C508,D508,E508))</f>
        <v/>
      </c>
      <c r="I508" s="2">
        <f>IF(OR(B508="",H508=0),IF(H508=0,0.1,""),ROUND(F508/H508,2))</f>
        <v/>
      </c>
      <c r="J508" s="2">
        <f>IF(I508=0.1,"极紧凑",IF(I508&gt;3.5,"紧凑",IF(AND(I508&gt;=2,I508&lt;=3.5),"标准",IF(AND(I508&gt;=1,I508&lt;2),"松散",""))))</f>
        <v/>
      </c>
      <c r="K508" s="2">
        <f>IF(I508=0.1,"极紧凑-豹子号",IF(AND(I508&gt;=1,I508&lt;=1.29),"松散-极松散",IF(AND(I508&gt;=1.33,I508&lt;=1.8),"松散-标准松散",IF(AND(I508&gt;=1.83,I508&lt;=1.89),"松散-偏紧松散",IF(AND(I508&gt;=2,I508&lt;=2.5),"标准-偏松标准",IF(AND(I508&gt;=2.57,I508&lt;=3),"标准-核心标准",IF(AND(I508&gt;=3.17,I508&lt;=3.5),"标准-偏紧标准",IF(AND(I508&gt;=3.6,I508&lt;=5),"紧凑-标准紧凑",IF(AND(I508&gt;=5.25,I508&lt;=8),"紧凑-高度紧凑",IF(I508&gt;=8.5,"紧凑-极度紧凑",""))))))))))</f>
        <v/>
      </c>
      <c r="L508" s="2">
        <f>IF(I508=0.1,"极紧凑",IF(AND(I508&gt;=1,I508&lt;=1.89),"松散",IF(AND(I508&gt;=2,I508&lt;=3.5),"标准",IF(I508&gt;=3.6,"紧凑",""))))</f>
        <v/>
      </c>
      <c r="M508" s="2" t="inlineStr">
        <is>
          <t>极紧凑-豹子号</t>
        </is>
      </c>
      <c r="N508" s="2" t="inlineStr">
        <is>
          <t>松散-极松散</t>
        </is>
      </c>
      <c r="O508" s="2" t="inlineStr">
        <is>
          <t>松散-标准松散</t>
        </is>
      </c>
      <c r="P508" s="2" t="inlineStr">
        <is>
          <t>松散-偏紧松散</t>
        </is>
      </c>
      <c r="Q508" s="2" t="inlineStr">
        <is>
          <t>标准-偏松标准</t>
        </is>
      </c>
      <c r="R508" s="2" t="inlineStr">
        <is>
          <t>标准-核心标准</t>
        </is>
      </c>
      <c r="S508" s="2" t="inlineStr">
        <is>
          <t>标准-偏紧标准</t>
        </is>
      </c>
      <c r="T508" s="2" t="inlineStr">
        <is>
          <t>紧凑-标准紧凑</t>
        </is>
      </c>
      <c r="U508" s="2" t="inlineStr">
        <is>
          <t>紧凑-高度紧凑</t>
        </is>
      </c>
      <c r="V508" s="2" t="inlineStr">
        <is>
          <t>紧凑-极度紧凑</t>
        </is>
      </c>
    </row>
    <row r="509">
      <c r="A509" s="1" t="n">
        <v>2024076</v>
      </c>
      <c r="B509" s="3" t="inlineStr">
        <is>
          <t>968</t>
        </is>
      </c>
      <c r="C509" s="2">
        <f>IF(B509="","",LEFT(TEXT(B509,"000"),1)*1)</f>
        <v/>
      </c>
      <c r="D509" s="2">
        <f>IF(B509="","",MID(TEXT(B509,"000"),2,1)*1)</f>
        <v/>
      </c>
      <c r="E509" s="2">
        <f>IF(B509="","",RIGHT(TEXT(B509,"000"),1)*1)</f>
        <v/>
      </c>
      <c r="F509" s="2">
        <f>IF(B509="","",C509+D509+E509)</f>
        <v/>
      </c>
      <c r="G509" s="2">
        <f>IF(B509="","",MOD(F509,10))</f>
        <v/>
      </c>
      <c r="H509" s="2">
        <f>IF(B509="","",MAX(C509,D509,E509)-MIN(C509,D509,E509))</f>
        <v/>
      </c>
      <c r="I509" s="2">
        <f>IF(OR(B509="",H509=0),IF(H509=0,0.1,""),ROUND(F509/H509,2))</f>
        <v/>
      </c>
      <c r="J509" s="2">
        <f>IF(I509=0.1,"极紧凑",IF(I509&gt;3.5,"紧凑",IF(AND(I509&gt;=2,I509&lt;=3.5),"标准",IF(AND(I509&gt;=1,I509&lt;2),"松散",""))))</f>
        <v/>
      </c>
      <c r="K509" s="2">
        <f>IF(I509=0.1,"极紧凑-豹子号",IF(AND(I509&gt;=1,I509&lt;=1.29),"松散-极松散",IF(AND(I509&gt;=1.33,I509&lt;=1.8),"松散-标准松散",IF(AND(I509&gt;=1.83,I509&lt;=1.89),"松散-偏紧松散",IF(AND(I509&gt;=2,I509&lt;=2.5),"标准-偏松标准",IF(AND(I509&gt;=2.57,I509&lt;=3),"标准-核心标准",IF(AND(I509&gt;=3.17,I509&lt;=3.5),"标准-偏紧标准",IF(AND(I509&gt;=3.6,I509&lt;=5),"紧凑-标准紧凑",IF(AND(I509&gt;=5.25,I509&lt;=8),"紧凑-高度紧凑",IF(I509&gt;=8.5,"紧凑-极度紧凑",""))))))))))</f>
        <v/>
      </c>
      <c r="L509" s="2">
        <f>IF(I509=0.1,"极紧凑",IF(AND(I509&gt;=1,I509&lt;=1.89),"松散",IF(AND(I509&gt;=2,I509&lt;=3.5),"标准",IF(I509&gt;=3.6,"紧凑",""))))</f>
        <v/>
      </c>
      <c r="M509" s="2" t="inlineStr">
        <is>
          <t>极紧凑-豹子号</t>
        </is>
      </c>
      <c r="N509" s="2" t="inlineStr">
        <is>
          <t>松散-极松散</t>
        </is>
      </c>
      <c r="O509" s="2" t="inlineStr">
        <is>
          <t>松散-标准松散</t>
        </is>
      </c>
      <c r="P509" s="2" t="inlineStr">
        <is>
          <t>松散-偏紧松散</t>
        </is>
      </c>
      <c r="Q509" s="2" t="inlineStr">
        <is>
          <t>标准-偏松标准</t>
        </is>
      </c>
      <c r="R509" s="2" t="inlineStr">
        <is>
          <t>标准-核心标准</t>
        </is>
      </c>
      <c r="S509" s="2" t="inlineStr">
        <is>
          <t>标准-偏紧标准</t>
        </is>
      </c>
      <c r="T509" s="2" t="inlineStr">
        <is>
          <t>紧凑-标准紧凑</t>
        </is>
      </c>
      <c r="U509" s="2" t="inlineStr">
        <is>
          <t>紧凑-高度紧凑</t>
        </is>
      </c>
      <c r="V509" s="2" t="inlineStr">
        <is>
          <t>紧凑-极度紧凑</t>
        </is>
      </c>
    </row>
    <row r="510">
      <c r="A510" s="1" t="n">
        <v>2024077</v>
      </c>
      <c r="B510" s="3" t="inlineStr">
        <is>
          <t>626</t>
        </is>
      </c>
      <c r="C510" s="2">
        <f>IF(B510="","",LEFT(TEXT(B510,"000"),1)*1)</f>
        <v/>
      </c>
      <c r="D510" s="2">
        <f>IF(B510="","",MID(TEXT(B510,"000"),2,1)*1)</f>
        <v/>
      </c>
      <c r="E510" s="2">
        <f>IF(B510="","",RIGHT(TEXT(B510,"000"),1)*1)</f>
        <v/>
      </c>
      <c r="F510" s="2">
        <f>IF(B510="","",C510+D510+E510)</f>
        <v/>
      </c>
      <c r="G510" s="2">
        <f>IF(B510="","",MOD(F510,10))</f>
        <v/>
      </c>
      <c r="H510" s="2">
        <f>IF(B510="","",MAX(C510,D510,E510)-MIN(C510,D510,E510))</f>
        <v/>
      </c>
      <c r="I510" s="2">
        <f>IF(OR(B510="",H510=0),IF(H510=0,0.1,""),ROUND(F510/H510,2))</f>
        <v/>
      </c>
      <c r="J510" s="2">
        <f>IF(I510=0.1,"极紧凑",IF(I510&gt;3.5,"紧凑",IF(AND(I510&gt;=2,I510&lt;=3.5),"标准",IF(AND(I510&gt;=1,I510&lt;2),"松散",""))))</f>
        <v/>
      </c>
      <c r="K510" s="2">
        <f>IF(I510=0.1,"极紧凑-豹子号",IF(AND(I510&gt;=1,I510&lt;=1.29),"松散-极松散",IF(AND(I510&gt;=1.33,I510&lt;=1.8),"松散-标准松散",IF(AND(I510&gt;=1.83,I510&lt;=1.89),"松散-偏紧松散",IF(AND(I510&gt;=2,I510&lt;=2.5),"标准-偏松标准",IF(AND(I510&gt;=2.57,I510&lt;=3),"标准-核心标准",IF(AND(I510&gt;=3.17,I510&lt;=3.5),"标准-偏紧标准",IF(AND(I510&gt;=3.6,I510&lt;=5),"紧凑-标准紧凑",IF(AND(I510&gt;=5.25,I510&lt;=8),"紧凑-高度紧凑",IF(I510&gt;=8.5,"紧凑-极度紧凑",""))))))))))</f>
        <v/>
      </c>
      <c r="L510" s="2">
        <f>IF(I510=0.1,"极紧凑",IF(AND(I510&gt;=1,I510&lt;=1.89),"松散",IF(AND(I510&gt;=2,I510&lt;=3.5),"标准",IF(I510&gt;=3.6,"紧凑",""))))</f>
        <v/>
      </c>
      <c r="M510" s="2" t="inlineStr">
        <is>
          <t>极紧凑-豹子号</t>
        </is>
      </c>
      <c r="N510" s="2" t="inlineStr">
        <is>
          <t>松散-极松散</t>
        </is>
      </c>
      <c r="O510" s="2" t="inlineStr">
        <is>
          <t>松散-标准松散</t>
        </is>
      </c>
      <c r="P510" s="2" t="inlineStr">
        <is>
          <t>松散-偏紧松散</t>
        </is>
      </c>
      <c r="Q510" s="2" t="inlineStr">
        <is>
          <t>标准-偏松标准</t>
        </is>
      </c>
      <c r="R510" s="2" t="inlineStr">
        <is>
          <t>标准-核心标准</t>
        </is>
      </c>
      <c r="S510" s="2" t="inlineStr">
        <is>
          <t>标准-偏紧标准</t>
        </is>
      </c>
      <c r="T510" s="2" t="inlineStr">
        <is>
          <t>紧凑-标准紧凑</t>
        </is>
      </c>
      <c r="U510" s="2" t="inlineStr">
        <is>
          <t>紧凑-高度紧凑</t>
        </is>
      </c>
      <c r="V510" s="2" t="inlineStr">
        <is>
          <t>紧凑-极度紧凑</t>
        </is>
      </c>
    </row>
    <row r="511">
      <c r="A511" s="1" t="n">
        <v>2024078</v>
      </c>
      <c r="B511" s="3" t="inlineStr">
        <is>
          <t>126</t>
        </is>
      </c>
      <c r="C511" s="2">
        <f>IF(B511="","",LEFT(TEXT(B511,"000"),1)*1)</f>
        <v/>
      </c>
      <c r="D511" s="2">
        <f>IF(B511="","",MID(TEXT(B511,"000"),2,1)*1)</f>
        <v/>
      </c>
      <c r="E511" s="2">
        <f>IF(B511="","",RIGHT(TEXT(B511,"000"),1)*1)</f>
        <v/>
      </c>
      <c r="F511" s="2">
        <f>IF(B511="","",C511+D511+E511)</f>
        <v/>
      </c>
      <c r="G511" s="2">
        <f>IF(B511="","",MOD(F511,10))</f>
        <v/>
      </c>
      <c r="H511" s="2">
        <f>IF(B511="","",MAX(C511,D511,E511)-MIN(C511,D511,E511))</f>
        <v/>
      </c>
      <c r="I511" s="2">
        <f>IF(OR(B511="",H511=0),IF(H511=0,0.1,""),ROUND(F511/H511,2))</f>
        <v/>
      </c>
      <c r="J511" s="2">
        <f>IF(I511=0.1,"极紧凑",IF(I511&gt;3.5,"紧凑",IF(AND(I511&gt;=2,I511&lt;=3.5),"标准",IF(AND(I511&gt;=1,I511&lt;2),"松散",""))))</f>
        <v/>
      </c>
      <c r="K511" s="2">
        <f>IF(I511=0.1,"极紧凑-豹子号",IF(AND(I511&gt;=1,I511&lt;=1.29),"松散-极松散",IF(AND(I511&gt;=1.33,I511&lt;=1.8),"松散-标准松散",IF(AND(I511&gt;=1.83,I511&lt;=1.89),"松散-偏紧松散",IF(AND(I511&gt;=2,I511&lt;=2.5),"标准-偏松标准",IF(AND(I511&gt;=2.57,I511&lt;=3),"标准-核心标准",IF(AND(I511&gt;=3.17,I511&lt;=3.5),"标准-偏紧标准",IF(AND(I511&gt;=3.6,I511&lt;=5),"紧凑-标准紧凑",IF(AND(I511&gt;=5.25,I511&lt;=8),"紧凑-高度紧凑",IF(I511&gt;=8.5,"紧凑-极度紧凑",""))))))))))</f>
        <v/>
      </c>
      <c r="L511" s="2">
        <f>IF(I511=0.1,"极紧凑",IF(AND(I511&gt;=1,I511&lt;=1.89),"松散",IF(AND(I511&gt;=2,I511&lt;=3.5),"标准",IF(I511&gt;=3.6,"紧凑",""))))</f>
        <v/>
      </c>
      <c r="M511" s="2" t="inlineStr">
        <is>
          <t>极紧凑-豹子号</t>
        </is>
      </c>
      <c r="N511" s="2" t="inlineStr">
        <is>
          <t>松散-极松散</t>
        </is>
      </c>
      <c r="O511" s="2" t="inlineStr">
        <is>
          <t>松散-标准松散</t>
        </is>
      </c>
      <c r="P511" s="2" t="inlineStr">
        <is>
          <t>松散-偏紧松散</t>
        </is>
      </c>
      <c r="Q511" s="2" t="inlineStr">
        <is>
          <t>标准-偏松标准</t>
        </is>
      </c>
      <c r="R511" s="2" t="inlineStr">
        <is>
          <t>标准-核心标准</t>
        </is>
      </c>
      <c r="S511" s="2" t="inlineStr">
        <is>
          <t>标准-偏紧标准</t>
        </is>
      </c>
      <c r="T511" s="2" t="inlineStr">
        <is>
          <t>紧凑-标准紧凑</t>
        </is>
      </c>
      <c r="U511" s="2" t="inlineStr">
        <is>
          <t>紧凑-高度紧凑</t>
        </is>
      </c>
      <c r="V511" s="2" t="inlineStr">
        <is>
          <t>紧凑-极度紧凑</t>
        </is>
      </c>
    </row>
    <row r="512">
      <c r="A512" s="1" t="n">
        <v>2024079</v>
      </c>
      <c r="B512" s="3" t="inlineStr">
        <is>
          <t>889</t>
        </is>
      </c>
      <c r="C512" s="2">
        <f>IF(B512="","",LEFT(TEXT(B512,"000"),1)*1)</f>
        <v/>
      </c>
      <c r="D512" s="2">
        <f>IF(B512="","",MID(TEXT(B512,"000"),2,1)*1)</f>
        <v/>
      </c>
      <c r="E512" s="2">
        <f>IF(B512="","",RIGHT(TEXT(B512,"000"),1)*1)</f>
        <v/>
      </c>
      <c r="F512" s="2">
        <f>IF(B512="","",C512+D512+E512)</f>
        <v/>
      </c>
      <c r="G512" s="2">
        <f>IF(B512="","",MOD(F512,10))</f>
        <v/>
      </c>
      <c r="H512" s="2">
        <f>IF(B512="","",MAX(C512,D512,E512)-MIN(C512,D512,E512))</f>
        <v/>
      </c>
      <c r="I512" s="2">
        <f>IF(OR(B512="",H512=0),IF(H512=0,0.1,""),ROUND(F512/H512,2))</f>
        <v/>
      </c>
      <c r="J512" s="2">
        <f>IF(I512=0.1,"极紧凑",IF(I512&gt;3.5,"紧凑",IF(AND(I512&gt;=2,I512&lt;=3.5),"标准",IF(AND(I512&gt;=1,I512&lt;2),"松散",""))))</f>
        <v/>
      </c>
      <c r="K512" s="2">
        <f>IF(I512=0.1,"极紧凑-豹子号",IF(AND(I512&gt;=1,I512&lt;=1.29),"松散-极松散",IF(AND(I512&gt;=1.33,I512&lt;=1.8),"松散-标准松散",IF(AND(I512&gt;=1.83,I512&lt;=1.89),"松散-偏紧松散",IF(AND(I512&gt;=2,I512&lt;=2.5),"标准-偏松标准",IF(AND(I512&gt;=2.57,I512&lt;=3),"标准-核心标准",IF(AND(I512&gt;=3.17,I512&lt;=3.5),"标准-偏紧标准",IF(AND(I512&gt;=3.6,I512&lt;=5),"紧凑-标准紧凑",IF(AND(I512&gt;=5.25,I512&lt;=8),"紧凑-高度紧凑",IF(I512&gt;=8.5,"紧凑-极度紧凑",""))))))))))</f>
        <v/>
      </c>
      <c r="L512" s="2">
        <f>IF(I512=0.1,"极紧凑",IF(AND(I512&gt;=1,I512&lt;=1.89),"松散",IF(AND(I512&gt;=2,I512&lt;=3.5),"标准",IF(I512&gt;=3.6,"紧凑",""))))</f>
        <v/>
      </c>
      <c r="M512" s="2" t="inlineStr">
        <is>
          <t>极紧凑-豹子号</t>
        </is>
      </c>
      <c r="N512" s="2" t="inlineStr">
        <is>
          <t>松散-极松散</t>
        </is>
      </c>
      <c r="O512" s="2" t="inlineStr">
        <is>
          <t>松散-标准松散</t>
        </is>
      </c>
      <c r="P512" s="2" t="inlineStr">
        <is>
          <t>松散-偏紧松散</t>
        </is>
      </c>
      <c r="Q512" s="2" t="inlineStr">
        <is>
          <t>标准-偏松标准</t>
        </is>
      </c>
      <c r="R512" s="2" t="inlineStr">
        <is>
          <t>标准-核心标准</t>
        </is>
      </c>
      <c r="S512" s="2" t="inlineStr">
        <is>
          <t>标准-偏紧标准</t>
        </is>
      </c>
      <c r="T512" s="2" t="inlineStr">
        <is>
          <t>紧凑-标准紧凑</t>
        </is>
      </c>
      <c r="U512" s="2" t="inlineStr">
        <is>
          <t>紧凑-高度紧凑</t>
        </is>
      </c>
      <c r="V512" s="2" t="inlineStr">
        <is>
          <t>紧凑-极度紧凑</t>
        </is>
      </c>
    </row>
    <row r="513">
      <c r="A513" s="1" t="n">
        <v>2024080</v>
      </c>
      <c r="B513" s="3" t="inlineStr">
        <is>
          <t>012</t>
        </is>
      </c>
      <c r="C513" s="2">
        <f>IF(B513="","",LEFT(TEXT(B513,"000"),1)*1)</f>
        <v/>
      </c>
      <c r="D513" s="2">
        <f>IF(B513="","",MID(TEXT(B513,"000"),2,1)*1)</f>
        <v/>
      </c>
      <c r="E513" s="2">
        <f>IF(B513="","",RIGHT(TEXT(B513,"000"),1)*1)</f>
        <v/>
      </c>
      <c r="F513" s="2">
        <f>IF(B513="","",C513+D513+E513)</f>
        <v/>
      </c>
      <c r="G513" s="2">
        <f>IF(B513="","",MOD(F513,10))</f>
        <v/>
      </c>
      <c r="H513" s="2">
        <f>IF(B513="","",MAX(C513,D513,E513)-MIN(C513,D513,E513))</f>
        <v/>
      </c>
      <c r="I513" s="2">
        <f>IF(OR(B513="",H513=0),IF(H513=0,0.1,""),ROUND(F513/H513,2))</f>
        <v/>
      </c>
      <c r="J513" s="2">
        <f>IF(I513=0.1,"极紧凑",IF(I513&gt;3.5,"紧凑",IF(AND(I513&gt;=2,I513&lt;=3.5),"标准",IF(AND(I513&gt;=1,I513&lt;2),"松散",""))))</f>
        <v/>
      </c>
      <c r="K513" s="2">
        <f>IF(I513=0.1,"极紧凑-豹子号",IF(AND(I513&gt;=1,I513&lt;=1.29),"松散-极松散",IF(AND(I513&gt;=1.33,I513&lt;=1.8),"松散-标准松散",IF(AND(I513&gt;=1.83,I513&lt;=1.89),"松散-偏紧松散",IF(AND(I513&gt;=2,I513&lt;=2.5),"标准-偏松标准",IF(AND(I513&gt;=2.57,I513&lt;=3),"标准-核心标准",IF(AND(I513&gt;=3.17,I513&lt;=3.5),"标准-偏紧标准",IF(AND(I513&gt;=3.6,I513&lt;=5),"紧凑-标准紧凑",IF(AND(I513&gt;=5.25,I513&lt;=8),"紧凑-高度紧凑",IF(I513&gt;=8.5,"紧凑-极度紧凑",""))))))))))</f>
        <v/>
      </c>
      <c r="L513" s="2">
        <f>IF(I513=0.1,"极紧凑",IF(AND(I513&gt;=1,I513&lt;=1.89),"松散",IF(AND(I513&gt;=2,I513&lt;=3.5),"标准",IF(I513&gt;=3.6,"紧凑",""))))</f>
        <v/>
      </c>
      <c r="M513" s="2" t="inlineStr">
        <is>
          <t>极紧凑-豹子号</t>
        </is>
      </c>
      <c r="N513" s="2" t="inlineStr">
        <is>
          <t>松散-极松散</t>
        </is>
      </c>
      <c r="O513" s="2" t="inlineStr">
        <is>
          <t>松散-标准松散</t>
        </is>
      </c>
      <c r="P513" s="2" t="inlineStr">
        <is>
          <t>松散-偏紧松散</t>
        </is>
      </c>
      <c r="Q513" s="2" t="inlineStr">
        <is>
          <t>标准-偏松标准</t>
        </is>
      </c>
      <c r="R513" s="2" t="inlineStr">
        <is>
          <t>标准-核心标准</t>
        </is>
      </c>
      <c r="S513" s="2" t="inlineStr">
        <is>
          <t>标准-偏紧标准</t>
        </is>
      </c>
      <c r="T513" s="2" t="inlineStr">
        <is>
          <t>紧凑-标准紧凑</t>
        </is>
      </c>
      <c r="U513" s="2" t="inlineStr">
        <is>
          <t>紧凑-高度紧凑</t>
        </is>
      </c>
      <c r="V513" s="2" t="inlineStr">
        <is>
          <t>紧凑-极度紧凑</t>
        </is>
      </c>
    </row>
    <row r="514">
      <c r="A514" s="1" t="n">
        <v>2024081</v>
      </c>
      <c r="B514" s="3" t="inlineStr">
        <is>
          <t>928</t>
        </is>
      </c>
      <c r="C514" s="2">
        <f>IF(B514="","",LEFT(TEXT(B514,"000"),1)*1)</f>
        <v/>
      </c>
      <c r="D514" s="2">
        <f>IF(B514="","",MID(TEXT(B514,"000"),2,1)*1)</f>
        <v/>
      </c>
      <c r="E514" s="2">
        <f>IF(B514="","",RIGHT(TEXT(B514,"000"),1)*1)</f>
        <v/>
      </c>
      <c r="F514" s="2">
        <f>IF(B514="","",C514+D514+E514)</f>
        <v/>
      </c>
      <c r="G514" s="2">
        <f>IF(B514="","",MOD(F514,10))</f>
        <v/>
      </c>
      <c r="H514" s="2">
        <f>IF(B514="","",MAX(C514,D514,E514)-MIN(C514,D514,E514))</f>
        <v/>
      </c>
      <c r="I514" s="2">
        <f>IF(OR(B514="",H514=0),IF(H514=0,0.1,""),ROUND(F514/H514,2))</f>
        <v/>
      </c>
      <c r="J514" s="2">
        <f>IF(I514=0.1,"极紧凑",IF(I514&gt;3.5,"紧凑",IF(AND(I514&gt;=2,I514&lt;=3.5),"标准",IF(AND(I514&gt;=1,I514&lt;2),"松散",""))))</f>
        <v/>
      </c>
      <c r="K514" s="2">
        <f>IF(I514=0.1,"极紧凑-豹子号",IF(AND(I514&gt;=1,I514&lt;=1.29),"松散-极松散",IF(AND(I514&gt;=1.33,I514&lt;=1.8),"松散-标准松散",IF(AND(I514&gt;=1.83,I514&lt;=1.89),"松散-偏紧松散",IF(AND(I514&gt;=2,I514&lt;=2.5),"标准-偏松标准",IF(AND(I514&gt;=2.57,I514&lt;=3),"标准-核心标准",IF(AND(I514&gt;=3.17,I514&lt;=3.5),"标准-偏紧标准",IF(AND(I514&gt;=3.6,I514&lt;=5),"紧凑-标准紧凑",IF(AND(I514&gt;=5.25,I514&lt;=8),"紧凑-高度紧凑",IF(I514&gt;=8.5,"紧凑-极度紧凑",""))))))))))</f>
        <v/>
      </c>
      <c r="L514" s="2">
        <f>IF(I514=0.1,"极紧凑",IF(AND(I514&gt;=1,I514&lt;=1.89),"松散",IF(AND(I514&gt;=2,I514&lt;=3.5),"标准",IF(I514&gt;=3.6,"紧凑",""))))</f>
        <v/>
      </c>
      <c r="M514" s="2" t="inlineStr">
        <is>
          <t>极紧凑-豹子号</t>
        </is>
      </c>
      <c r="N514" s="2" t="inlineStr">
        <is>
          <t>松散-极松散</t>
        </is>
      </c>
      <c r="O514" s="2" t="inlineStr">
        <is>
          <t>松散-标准松散</t>
        </is>
      </c>
      <c r="P514" s="2" t="inlineStr">
        <is>
          <t>松散-偏紧松散</t>
        </is>
      </c>
      <c r="Q514" s="2" t="inlineStr">
        <is>
          <t>标准-偏松标准</t>
        </is>
      </c>
      <c r="R514" s="2" t="inlineStr">
        <is>
          <t>标准-核心标准</t>
        </is>
      </c>
      <c r="S514" s="2" t="inlineStr">
        <is>
          <t>标准-偏紧标准</t>
        </is>
      </c>
      <c r="T514" s="2" t="inlineStr">
        <is>
          <t>紧凑-标准紧凑</t>
        </is>
      </c>
      <c r="U514" s="2" t="inlineStr">
        <is>
          <t>紧凑-高度紧凑</t>
        </is>
      </c>
      <c r="V514" s="2" t="inlineStr">
        <is>
          <t>紧凑-极度紧凑</t>
        </is>
      </c>
    </row>
    <row r="515">
      <c r="A515" s="1" t="n">
        <v>2024082</v>
      </c>
      <c r="B515" s="3" t="inlineStr">
        <is>
          <t>571</t>
        </is>
      </c>
      <c r="C515" s="2">
        <f>IF(B515="","",LEFT(TEXT(B515,"000"),1)*1)</f>
        <v/>
      </c>
      <c r="D515" s="2">
        <f>IF(B515="","",MID(TEXT(B515,"000"),2,1)*1)</f>
        <v/>
      </c>
      <c r="E515" s="2">
        <f>IF(B515="","",RIGHT(TEXT(B515,"000"),1)*1)</f>
        <v/>
      </c>
      <c r="F515" s="2">
        <f>IF(B515="","",C515+D515+E515)</f>
        <v/>
      </c>
      <c r="G515" s="2">
        <f>IF(B515="","",MOD(F515,10))</f>
        <v/>
      </c>
      <c r="H515" s="2">
        <f>IF(B515="","",MAX(C515,D515,E515)-MIN(C515,D515,E515))</f>
        <v/>
      </c>
      <c r="I515" s="2">
        <f>IF(OR(B515="",H515=0),IF(H515=0,0.1,""),ROUND(F515/H515,2))</f>
        <v/>
      </c>
      <c r="J515" s="2">
        <f>IF(I515=0.1,"极紧凑",IF(I515&gt;3.5,"紧凑",IF(AND(I515&gt;=2,I515&lt;=3.5),"标准",IF(AND(I515&gt;=1,I515&lt;2),"松散",""))))</f>
        <v/>
      </c>
      <c r="K515" s="2">
        <f>IF(I515=0.1,"极紧凑-豹子号",IF(AND(I515&gt;=1,I515&lt;=1.29),"松散-极松散",IF(AND(I515&gt;=1.33,I515&lt;=1.8),"松散-标准松散",IF(AND(I515&gt;=1.83,I515&lt;=1.89),"松散-偏紧松散",IF(AND(I515&gt;=2,I515&lt;=2.5),"标准-偏松标准",IF(AND(I515&gt;=2.57,I515&lt;=3),"标准-核心标准",IF(AND(I515&gt;=3.17,I515&lt;=3.5),"标准-偏紧标准",IF(AND(I515&gt;=3.6,I515&lt;=5),"紧凑-标准紧凑",IF(AND(I515&gt;=5.25,I515&lt;=8),"紧凑-高度紧凑",IF(I515&gt;=8.5,"紧凑-极度紧凑",""))))))))))</f>
        <v/>
      </c>
      <c r="L515" s="2">
        <f>IF(I515=0.1,"极紧凑",IF(AND(I515&gt;=1,I515&lt;=1.89),"松散",IF(AND(I515&gt;=2,I515&lt;=3.5),"标准",IF(I515&gt;=3.6,"紧凑",""))))</f>
        <v/>
      </c>
      <c r="M515" s="2" t="inlineStr">
        <is>
          <t>极紧凑-豹子号</t>
        </is>
      </c>
      <c r="N515" s="2" t="inlineStr">
        <is>
          <t>松散-极松散</t>
        </is>
      </c>
      <c r="O515" s="2" t="inlineStr">
        <is>
          <t>松散-标准松散</t>
        </is>
      </c>
      <c r="P515" s="2" t="inlineStr">
        <is>
          <t>松散-偏紧松散</t>
        </is>
      </c>
      <c r="Q515" s="2" t="inlineStr">
        <is>
          <t>标准-偏松标准</t>
        </is>
      </c>
      <c r="R515" s="2" t="inlineStr">
        <is>
          <t>标准-核心标准</t>
        </is>
      </c>
      <c r="S515" s="2" t="inlineStr">
        <is>
          <t>标准-偏紧标准</t>
        </is>
      </c>
      <c r="T515" s="2" t="inlineStr">
        <is>
          <t>紧凑-标准紧凑</t>
        </is>
      </c>
      <c r="U515" s="2" t="inlineStr">
        <is>
          <t>紧凑-高度紧凑</t>
        </is>
      </c>
      <c r="V515" s="2" t="inlineStr">
        <is>
          <t>紧凑-极度紧凑</t>
        </is>
      </c>
    </row>
    <row r="516">
      <c r="A516" s="1" t="n">
        <v>2024083</v>
      </c>
      <c r="B516" s="3" t="inlineStr">
        <is>
          <t>232</t>
        </is>
      </c>
      <c r="C516" s="2">
        <f>IF(B516="","",LEFT(TEXT(B516,"000"),1)*1)</f>
        <v/>
      </c>
      <c r="D516" s="2">
        <f>IF(B516="","",MID(TEXT(B516,"000"),2,1)*1)</f>
        <v/>
      </c>
      <c r="E516" s="2">
        <f>IF(B516="","",RIGHT(TEXT(B516,"000"),1)*1)</f>
        <v/>
      </c>
      <c r="F516" s="2">
        <f>IF(B516="","",C516+D516+E516)</f>
        <v/>
      </c>
      <c r="G516" s="2">
        <f>IF(B516="","",MOD(F516,10))</f>
        <v/>
      </c>
      <c r="H516" s="2">
        <f>IF(B516="","",MAX(C516,D516,E516)-MIN(C516,D516,E516))</f>
        <v/>
      </c>
      <c r="I516" s="2">
        <f>IF(OR(B516="",H516=0),IF(H516=0,0.1,""),ROUND(F516/H516,2))</f>
        <v/>
      </c>
      <c r="J516" s="2">
        <f>IF(I516=0.1,"极紧凑",IF(I516&gt;3.5,"紧凑",IF(AND(I516&gt;=2,I516&lt;=3.5),"标准",IF(AND(I516&gt;=1,I516&lt;2),"松散",""))))</f>
        <v/>
      </c>
      <c r="K516" s="2">
        <f>IF(I516=0.1,"极紧凑-豹子号",IF(AND(I516&gt;=1,I516&lt;=1.29),"松散-极松散",IF(AND(I516&gt;=1.33,I516&lt;=1.8),"松散-标准松散",IF(AND(I516&gt;=1.83,I516&lt;=1.89),"松散-偏紧松散",IF(AND(I516&gt;=2,I516&lt;=2.5),"标准-偏松标准",IF(AND(I516&gt;=2.57,I516&lt;=3),"标准-核心标准",IF(AND(I516&gt;=3.17,I516&lt;=3.5),"标准-偏紧标准",IF(AND(I516&gt;=3.6,I516&lt;=5),"紧凑-标准紧凑",IF(AND(I516&gt;=5.25,I516&lt;=8),"紧凑-高度紧凑",IF(I516&gt;=8.5,"紧凑-极度紧凑",""))))))))))</f>
        <v/>
      </c>
      <c r="L516" s="2">
        <f>IF(I516=0.1,"极紧凑",IF(AND(I516&gt;=1,I516&lt;=1.89),"松散",IF(AND(I516&gt;=2,I516&lt;=3.5),"标准",IF(I516&gt;=3.6,"紧凑",""))))</f>
        <v/>
      </c>
      <c r="M516" s="2" t="inlineStr">
        <is>
          <t>极紧凑-豹子号</t>
        </is>
      </c>
      <c r="N516" s="2" t="inlineStr">
        <is>
          <t>松散-极松散</t>
        </is>
      </c>
      <c r="O516" s="2" t="inlineStr">
        <is>
          <t>松散-标准松散</t>
        </is>
      </c>
      <c r="P516" s="2" t="inlineStr">
        <is>
          <t>松散-偏紧松散</t>
        </is>
      </c>
      <c r="Q516" s="2" t="inlineStr">
        <is>
          <t>标准-偏松标准</t>
        </is>
      </c>
      <c r="R516" s="2" t="inlineStr">
        <is>
          <t>标准-核心标准</t>
        </is>
      </c>
      <c r="S516" s="2" t="inlineStr">
        <is>
          <t>标准-偏紧标准</t>
        </is>
      </c>
      <c r="T516" s="2" t="inlineStr">
        <is>
          <t>紧凑-标准紧凑</t>
        </is>
      </c>
      <c r="U516" s="2" t="inlineStr">
        <is>
          <t>紧凑-高度紧凑</t>
        </is>
      </c>
      <c r="V516" s="2" t="inlineStr">
        <is>
          <t>紧凑-极度紧凑</t>
        </is>
      </c>
    </row>
    <row r="517">
      <c r="A517" s="1" t="n">
        <v>2024084</v>
      </c>
      <c r="B517" s="3" t="inlineStr">
        <is>
          <t>549</t>
        </is>
      </c>
      <c r="C517" s="2">
        <f>IF(B517="","",LEFT(TEXT(B517,"000"),1)*1)</f>
        <v/>
      </c>
      <c r="D517" s="2">
        <f>IF(B517="","",MID(TEXT(B517,"000"),2,1)*1)</f>
        <v/>
      </c>
      <c r="E517" s="2">
        <f>IF(B517="","",RIGHT(TEXT(B517,"000"),1)*1)</f>
        <v/>
      </c>
      <c r="F517" s="2">
        <f>IF(B517="","",C517+D517+E517)</f>
        <v/>
      </c>
      <c r="G517" s="2">
        <f>IF(B517="","",MOD(F517,10))</f>
        <v/>
      </c>
      <c r="H517" s="2">
        <f>IF(B517="","",MAX(C517,D517,E517)-MIN(C517,D517,E517))</f>
        <v/>
      </c>
      <c r="I517" s="2">
        <f>IF(OR(B517="",H517=0),IF(H517=0,0.1,""),ROUND(F517/H517,2))</f>
        <v/>
      </c>
      <c r="J517" s="2">
        <f>IF(I517=0.1,"极紧凑",IF(I517&gt;3.5,"紧凑",IF(AND(I517&gt;=2,I517&lt;=3.5),"标准",IF(AND(I517&gt;=1,I517&lt;2),"松散",""))))</f>
        <v/>
      </c>
      <c r="K517" s="2">
        <f>IF(I517=0.1,"极紧凑-豹子号",IF(AND(I517&gt;=1,I517&lt;=1.29),"松散-极松散",IF(AND(I517&gt;=1.33,I517&lt;=1.8),"松散-标准松散",IF(AND(I517&gt;=1.83,I517&lt;=1.89),"松散-偏紧松散",IF(AND(I517&gt;=2,I517&lt;=2.5),"标准-偏松标准",IF(AND(I517&gt;=2.57,I517&lt;=3),"标准-核心标准",IF(AND(I517&gt;=3.17,I517&lt;=3.5),"标准-偏紧标准",IF(AND(I517&gt;=3.6,I517&lt;=5),"紧凑-标准紧凑",IF(AND(I517&gt;=5.25,I517&lt;=8),"紧凑-高度紧凑",IF(I517&gt;=8.5,"紧凑-极度紧凑",""))))))))))</f>
        <v/>
      </c>
      <c r="L517" s="2">
        <f>IF(I517=0.1,"极紧凑",IF(AND(I517&gt;=1,I517&lt;=1.89),"松散",IF(AND(I517&gt;=2,I517&lt;=3.5),"标准",IF(I517&gt;=3.6,"紧凑",""))))</f>
        <v/>
      </c>
      <c r="M517" s="2" t="inlineStr">
        <is>
          <t>极紧凑-豹子号</t>
        </is>
      </c>
      <c r="N517" s="2" t="inlineStr">
        <is>
          <t>松散-极松散</t>
        </is>
      </c>
      <c r="O517" s="2" t="inlineStr">
        <is>
          <t>松散-标准松散</t>
        </is>
      </c>
      <c r="P517" s="2" t="inlineStr">
        <is>
          <t>松散-偏紧松散</t>
        </is>
      </c>
      <c r="Q517" s="2" t="inlineStr">
        <is>
          <t>标准-偏松标准</t>
        </is>
      </c>
      <c r="R517" s="2" t="inlineStr">
        <is>
          <t>标准-核心标准</t>
        </is>
      </c>
      <c r="S517" s="2" t="inlineStr">
        <is>
          <t>标准-偏紧标准</t>
        </is>
      </c>
      <c r="T517" s="2" t="inlineStr">
        <is>
          <t>紧凑-标准紧凑</t>
        </is>
      </c>
      <c r="U517" s="2" t="inlineStr">
        <is>
          <t>紧凑-高度紧凑</t>
        </is>
      </c>
      <c r="V517" s="2" t="inlineStr">
        <is>
          <t>紧凑-极度紧凑</t>
        </is>
      </c>
    </row>
    <row r="518">
      <c r="A518" s="1" t="n">
        <v>2024085</v>
      </c>
      <c r="B518" s="3" t="inlineStr">
        <is>
          <t>493</t>
        </is>
      </c>
      <c r="C518" s="2">
        <f>IF(B518="","",LEFT(TEXT(B518,"000"),1)*1)</f>
        <v/>
      </c>
      <c r="D518" s="2">
        <f>IF(B518="","",MID(TEXT(B518,"000"),2,1)*1)</f>
        <v/>
      </c>
      <c r="E518" s="2">
        <f>IF(B518="","",RIGHT(TEXT(B518,"000"),1)*1)</f>
        <v/>
      </c>
      <c r="F518" s="2">
        <f>IF(B518="","",C518+D518+E518)</f>
        <v/>
      </c>
      <c r="G518" s="2">
        <f>IF(B518="","",MOD(F518,10))</f>
        <v/>
      </c>
      <c r="H518" s="2">
        <f>IF(B518="","",MAX(C518,D518,E518)-MIN(C518,D518,E518))</f>
        <v/>
      </c>
      <c r="I518" s="2">
        <f>IF(OR(B518="",H518=0),IF(H518=0,0.1,""),ROUND(F518/H518,2))</f>
        <v/>
      </c>
      <c r="J518" s="2">
        <f>IF(I518=0.1,"极紧凑",IF(I518&gt;3.5,"紧凑",IF(AND(I518&gt;=2,I518&lt;=3.5),"标准",IF(AND(I518&gt;=1,I518&lt;2),"松散",""))))</f>
        <v/>
      </c>
      <c r="K518" s="2">
        <f>IF(I518=0.1,"极紧凑-豹子号",IF(AND(I518&gt;=1,I518&lt;=1.29),"松散-极松散",IF(AND(I518&gt;=1.33,I518&lt;=1.8),"松散-标准松散",IF(AND(I518&gt;=1.83,I518&lt;=1.89),"松散-偏紧松散",IF(AND(I518&gt;=2,I518&lt;=2.5),"标准-偏松标准",IF(AND(I518&gt;=2.57,I518&lt;=3),"标准-核心标准",IF(AND(I518&gt;=3.17,I518&lt;=3.5),"标准-偏紧标准",IF(AND(I518&gt;=3.6,I518&lt;=5),"紧凑-标准紧凑",IF(AND(I518&gt;=5.25,I518&lt;=8),"紧凑-高度紧凑",IF(I518&gt;=8.5,"紧凑-极度紧凑",""))))))))))</f>
        <v/>
      </c>
      <c r="L518" s="2">
        <f>IF(I518=0.1,"极紧凑",IF(AND(I518&gt;=1,I518&lt;=1.89),"松散",IF(AND(I518&gt;=2,I518&lt;=3.5),"标准",IF(I518&gt;=3.6,"紧凑",""))))</f>
        <v/>
      </c>
      <c r="M518" s="2" t="inlineStr">
        <is>
          <t>极紧凑-豹子号</t>
        </is>
      </c>
      <c r="N518" s="2" t="inlineStr">
        <is>
          <t>松散-极松散</t>
        </is>
      </c>
      <c r="O518" s="2" t="inlineStr">
        <is>
          <t>松散-标准松散</t>
        </is>
      </c>
      <c r="P518" s="2" t="inlineStr">
        <is>
          <t>松散-偏紧松散</t>
        </is>
      </c>
      <c r="Q518" s="2" t="inlineStr">
        <is>
          <t>标准-偏松标准</t>
        </is>
      </c>
      <c r="R518" s="2" t="inlineStr">
        <is>
          <t>标准-核心标准</t>
        </is>
      </c>
      <c r="S518" s="2" t="inlineStr">
        <is>
          <t>标准-偏紧标准</t>
        </is>
      </c>
      <c r="T518" s="2" t="inlineStr">
        <is>
          <t>紧凑-标准紧凑</t>
        </is>
      </c>
      <c r="U518" s="2" t="inlineStr">
        <is>
          <t>紧凑-高度紧凑</t>
        </is>
      </c>
      <c r="V518" s="2" t="inlineStr">
        <is>
          <t>紧凑-极度紧凑</t>
        </is>
      </c>
    </row>
    <row r="519">
      <c r="A519" s="1" t="n">
        <v>2024086</v>
      </c>
      <c r="B519" s="3" t="inlineStr">
        <is>
          <t>278</t>
        </is>
      </c>
      <c r="C519" s="2">
        <f>IF(B519="","",LEFT(TEXT(B519,"000"),1)*1)</f>
        <v/>
      </c>
      <c r="D519" s="2">
        <f>IF(B519="","",MID(TEXT(B519,"000"),2,1)*1)</f>
        <v/>
      </c>
      <c r="E519" s="2">
        <f>IF(B519="","",RIGHT(TEXT(B519,"000"),1)*1)</f>
        <v/>
      </c>
      <c r="F519" s="2">
        <f>IF(B519="","",C519+D519+E519)</f>
        <v/>
      </c>
      <c r="G519" s="2">
        <f>IF(B519="","",MOD(F519,10))</f>
        <v/>
      </c>
      <c r="H519" s="2">
        <f>IF(B519="","",MAX(C519,D519,E519)-MIN(C519,D519,E519))</f>
        <v/>
      </c>
      <c r="I519" s="2">
        <f>IF(OR(B519="",H519=0),IF(H519=0,0.1,""),ROUND(F519/H519,2))</f>
        <v/>
      </c>
      <c r="J519" s="2">
        <f>IF(I519=0.1,"极紧凑",IF(I519&gt;3.5,"紧凑",IF(AND(I519&gt;=2,I519&lt;=3.5),"标准",IF(AND(I519&gt;=1,I519&lt;2),"松散",""))))</f>
        <v/>
      </c>
      <c r="K519" s="2">
        <f>IF(I519=0.1,"极紧凑-豹子号",IF(AND(I519&gt;=1,I519&lt;=1.29),"松散-极松散",IF(AND(I519&gt;=1.33,I519&lt;=1.8),"松散-标准松散",IF(AND(I519&gt;=1.83,I519&lt;=1.89),"松散-偏紧松散",IF(AND(I519&gt;=2,I519&lt;=2.5),"标准-偏松标准",IF(AND(I519&gt;=2.57,I519&lt;=3),"标准-核心标准",IF(AND(I519&gt;=3.17,I519&lt;=3.5),"标准-偏紧标准",IF(AND(I519&gt;=3.6,I519&lt;=5),"紧凑-标准紧凑",IF(AND(I519&gt;=5.25,I519&lt;=8),"紧凑-高度紧凑",IF(I519&gt;=8.5,"紧凑-极度紧凑",""))))))))))</f>
        <v/>
      </c>
      <c r="L519" s="2">
        <f>IF(I519=0.1,"极紧凑",IF(AND(I519&gt;=1,I519&lt;=1.89),"松散",IF(AND(I519&gt;=2,I519&lt;=3.5),"标准",IF(I519&gt;=3.6,"紧凑",""))))</f>
        <v/>
      </c>
      <c r="M519" s="2" t="inlineStr">
        <is>
          <t>极紧凑-豹子号</t>
        </is>
      </c>
      <c r="N519" s="2" t="inlineStr">
        <is>
          <t>松散-极松散</t>
        </is>
      </c>
      <c r="O519" s="2" t="inlineStr">
        <is>
          <t>松散-标准松散</t>
        </is>
      </c>
      <c r="P519" s="2" t="inlineStr">
        <is>
          <t>松散-偏紧松散</t>
        </is>
      </c>
      <c r="Q519" s="2" t="inlineStr">
        <is>
          <t>标准-偏松标准</t>
        </is>
      </c>
      <c r="R519" s="2" t="inlineStr">
        <is>
          <t>标准-核心标准</t>
        </is>
      </c>
      <c r="S519" s="2" t="inlineStr">
        <is>
          <t>标准-偏紧标准</t>
        </is>
      </c>
      <c r="T519" s="2" t="inlineStr">
        <is>
          <t>紧凑-标准紧凑</t>
        </is>
      </c>
      <c r="U519" s="2" t="inlineStr">
        <is>
          <t>紧凑-高度紧凑</t>
        </is>
      </c>
      <c r="V519" s="2" t="inlineStr">
        <is>
          <t>紧凑-极度紧凑</t>
        </is>
      </c>
    </row>
    <row r="520">
      <c r="A520" s="1" t="n">
        <v>2024087</v>
      </c>
      <c r="B520" s="3" t="inlineStr">
        <is>
          <t>161</t>
        </is>
      </c>
      <c r="C520" s="2">
        <f>IF(B520="","",LEFT(TEXT(B520,"000"),1)*1)</f>
        <v/>
      </c>
      <c r="D520" s="2">
        <f>IF(B520="","",MID(TEXT(B520,"000"),2,1)*1)</f>
        <v/>
      </c>
      <c r="E520" s="2">
        <f>IF(B520="","",RIGHT(TEXT(B520,"000"),1)*1)</f>
        <v/>
      </c>
      <c r="F520" s="2">
        <f>IF(B520="","",C520+D520+E520)</f>
        <v/>
      </c>
      <c r="G520" s="2">
        <f>IF(B520="","",MOD(F520,10))</f>
        <v/>
      </c>
      <c r="H520" s="2">
        <f>IF(B520="","",MAX(C520,D520,E520)-MIN(C520,D520,E520))</f>
        <v/>
      </c>
      <c r="I520" s="2">
        <f>IF(OR(B520="",H520=0),IF(H520=0,0.1,""),ROUND(F520/H520,2))</f>
        <v/>
      </c>
      <c r="J520" s="2">
        <f>IF(I520=0.1,"极紧凑",IF(I520&gt;3.5,"紧凑",IF(AND(I520&gt;=2,I520&lt;=3.5),"标准",IF(AND(I520&gt;=1,I520&lt;2),"松散",""))))</f>
        <v/>
      </c>
      <c r="K520" s="2">
        <f>IF(I520=0.1,"极紧凑-豹子号",IF(AND(I520&gt;=1,I520&lt;=1.29),"松散-极松散",IF(AND(I520&gt;=1.33,I520&lt;=1.8),"松散-标准松散",IF(AND(I520&gt;=1.83,I520&lt;=1.89),"松散-偏紧松散",IF(AND(I520&gt;=2,I520&lt;=2.5),"标准-偏松标准",IF(AND(I520&gt;=2.57,I520&lt;=3),"标准-核心标准",IF(AND(I520&gt;=3.17,I520&lt;=3.5),"标准-偏紧标准",IF(AND(I520&gt;=3.6,I520&lt;=5),"紧凑-标准紧凑",IF(AND(I520&gt;=5.25,I520&lt;=8),"紧凑-高度紧凑",IF(I520&gt;=8.5,"紧凑-极度紧凑",""))))))))))</f>
        <v/>
      </c>
      <c r="L520" s="2">
        <f>IF(I520=0.1,"极紧凑",IF(AND(I520&gt;=1,I520&lt;=1.89),"松散",IF(AND(I520&gt;=2,I520&lt;=3.5),"标准",IF(I520&gt;=3.6,"紧凑",""))))</f>
        <v/>
      </c>
      <c r="M520" s="2" t="inlineStr">
        <is>
          <t>极紧凑-豹子号</t>
        </is>
      </c>
      <c r="N520" s="2" t="inlineStr">
        <is>
          <t>松散-极松散</t>
        </is>
      </c>
      <c r="O520" s="2" t="inlineStr">
        <is>
          <t>松散-标准松散</t>
        </is>
      </c>
      <c r="P520" s="2" t="inlineStr">
        <is>
          <t>松散-偏紧松散</t>
        </is>
      </c>
      <c r="Q520" s="2" t="inlineStr">
        <is>
          <t>标准-偏松标准</t>
        </is>
      </c>
      <c r="R520" s="2" t="inlineStr">
        <is>
          <t>标准-核心标准</t>
        </is>
      </c>
      <c r="S520" s="2" t="inlineStr">
        <is>
          <t>标准-偏紧标准</t>
        </is>
      </c>
      <c r="T520" s="2" t="inlineStr">
        <is>
          <t>紧凑-标准紧凑</t>
        </is>
      </c>
      <c r="U520" s="2" t="inlineStr">
        <is>
          <t>紧凑-高度紧凑</t>
        </is>
      </c>
      <c r="V520" s="2" t="inlineStr">
        <is>
          <t>紧凑-极度紧凑</t>
        </is>
      </c>
    </row>
    <row r="521">
      <c r="A521" s="1" t="n">
        <v>2024088</v>
      </c>
      <c r="B521" s="3" t="inlineStr">
        <is>
          <t>819</t>
        </is>
      </c>
      <c r="C521" s="2">
        <f>IF(B521="","",LEFT(TEXT(B521,"000"),1)*1)</f>
        <v/>
      </c>
      <c r="D521" s="2">
        <f>IF(B521="","",MID(TEXT(B521,"000"),2,1)*1)</f>
        <v/>
      </c>
      <c r="E521" s="2">
        <f>IF(B521="","",RIGHT(TEXT(B521,"000"),1)*1)</f>
        <v/>
      </c>
      <c r="F521" s="2">
        <f>IF(B521="","",C521+D521+E521)</f>
        <v/>
      </c>
      <c r="G521" s="2">
        <f>IF(B521="","",MOD(F521,10))</f>
        <v/>
      </c>
      <c r="H521" s="2">
        <f>IF(B521="","",MAX(C521,D521,E521)-MIN(C521,D521,E521))</f>
        <v/>
      </c>
      <c r="I521" s="2">
        <f>IF(OR(B521="",H521=0),IF(H521=0,0.1,""),ROUND(F521/H521,2))</f>
        <v/>
      </c>
      <c r="J521" s="2">
        <f>IF(I521=0.1,"极紧凑",IF(I521&gt;3.5,"紧凑",IF(AND(I521&gt;=2,I521&lt;=3.5),"标准",IF(AND(I521&gt;=1,I521&lt;2),"松散",""))))</f>
        <v/>
      </c>
      <c r="K521" s="2">
        <f>IF(I521=0.1,"极紧凑-豹子号",IF(AND(I521&gt;=1,I521&lt;=1.29),"松散-极松散",IF(AND(I521&gt;=1.33,I521&lt;=1.8),"松散-标准松散",IF(AND(I521&gt;=1.83,I521&lt;=1.89),"松散-偏紧松散",IF(AND(I521&gt;=2,I521&lt;=2.5),"标准-偏松标准",IF(AND(I521&gt;=2.57,I521&lt;=3),"标准-核心标准",IF(AND(I521&gt;=3.17,I521&lt;=3.5),"标准-偏紧标准",IF(AND(I521&gt;=3.6,I521&lt;=5),"紧凑-标准紧凑",IF(AND(I521&gt;=5.25,I521&lt;=8),"紧凑-高度紧凑",IF(I521&gt;=8.5,"紧凑-极度紧凑",""))))))))))</f>
        <v/>
      </c>
      <c r="L521" s="2">
        <f>IF(I521=0.1,"极紧凑",IF(AND(I521&gt;=1,I521&lt;=1.89),"松散",IF(AND(I521&gt;=2,I521&lt;=3.5),"标准",IF(I521&gt;=3.6,"紧凑",""))))</f>
        <v/>
      </c>
      <c r="M521" s="2" t="inlineStr">
        <is>
          <t>极紧凑-豹子号</t>
        </is>
      </c>
      <c r="N521" s="2" t="inlineStr">
        <is>
          <t>松散-极松散</t>
        </is>
      </c>
      <c r="O521" s="2" t="inlineStr">
        <is>
          <t>松散-标准松散</t>
        </is>
      </c>
      <c r="P521" s="2" t="inlineStr">
        <is>
          <t>松散-偏紧松散</t>
        </is>
      </c>
      <c r="Q521" s="2" t="inlineStr">
        <is>
          <t>标准-偏松标准</t>
        </is>
      </c>
      <c r="R521" s="2" t="inlineStr">
        <is>
          <t>标准-核心标准</t>
        </is>
      </c>
      <c r="S521" s="2" t="inlineStr">
        <is>
          <t>标准-偏紧标准</t>
        </is>
      </c>
      <c r="T521" s="2" t="inlineStr">
        <is>
          <t>紧凑-标准紧凑</t>
        </is>
      </c>
      <c r="U521" s="2" t="inlineStr">
        <is>
          <t>紧凑-高度紧凑</t>
        </is>
      </c>
      <c r="V521" s="2" t="inlineStr">
        <is>
          <t>紧凑-极度紧凑</t>
        </is>
      </c>
    </row>
    <row r="522">
      <c r="A522" s="1" t="n">
        <v>2024089</v>
      </c>
      <c r="B522" s="3" t="inlineStr">
        <is>
          <t>117</t>
        </is>
      </c>
      <c r="C522" s="2">
        <f>IF(B522="","",LEFT(TEXT(B522,"000"),1)*1)</f>
        <v/>
      </c>
      <c r="D522" s="2">
        <f>IF(B522="","",MID(TEXT(B522,"000"),2,1)*1)</f>
        <v/>
      </c>
      <c r="E522" s="2">
        <f>IF(B522="","",RIGHT(TEXT(B522,"000"),1)*1)</f>
        <v/>
      </c>
      <c r="F522" s="2">
        <f>IF(B522="","",C522+D522+E522)</f>
        <v/>
      </c>
      <c r="G522" s="2">
        <f>IF(B522="","",MOD(F522,10))</f>
        <v/>
      </c>
      <c r="H522" s="2">
        <f>IF(B522="","",MAX(C522,D522,E522)-MIN(C522,D522,E522))</f>
        <v/>
      </c>
      <c r="I522" s="2">
        <f>IF(OR(B522="",H522=0),IF(H522=0,0.1,""),ROUND(F522/H522,2))</f>
        <v/>
      </c>
      <c r="J522" s="2">
        <f>IF(I522=0.1,"极紧凑",IF(I522&gt;3.5,"紧凑",IF(AND(I522&gt;=2,I522&lt;=3.5),"标准",IF(AND(I522&gt;=1,I522&lt;2),"松散",""))))</f>
        <v/>
      </c>
      <c r="K522" s="2">
        <f>IF(I522=0.1,"极紧凑-豹子号",IF(AND(I522&gt;=1,I522&lt;=1.29),"松散-极松散",IF(AND(I522&gt;=1.33,I522&lt;=1.8),"松散-标准松散",IF(AND(I522&gt;=1.83,I522&lt;=1.89),"松散-偏紧松散",IF(AND(I522&gt;=2,I522&lt;=2.5),"标准-偏松标准",IF(AND(I522&gt;=2.57,I522&lt;=3),"标准-核心标准",IF(AND(I522&gt;=3.17,I522&lt;=3.5),"标准-偏紧标准",IF(AND(I522&gt;=3.6,I522&lt;=5),"紧凑-标准紧凑",IF(AND(I522&gt;=5.25,I522&lt;=8),"紧凑-高度紧凑",IF(I522&gt;=8.5,"紧凑-极度紧凑",""))))))))))</f>
        <v/>
      </c>
      <c r="L522" s="2">
        <f>IF(I522=0.1,"极紧凑",IF(AND(I522&gt;=1,I522&lt;=1.89),"松散",IF(AND(I522&gt;=2,I522&lt;=3.5),"标准",IF(I522&gt;=3.6,"紧凑",""))))</f>
        <v/>
      </c>
      <c r="M522" s="2" t="inlineStr">
        <is>
          <t>极紧凑-豹子号</t>
        </is>
      </c>
      <c r="N522" s="2" t="inlineStr">
        <is>
          <t>松散-极松散</t>
        </is>
      </c>
      <c r="O522" s="2" t="inlineStr">
        <is>
          <t>松散-标准松散</t>
        </is>
      </c>
      <c r="P522" s="2" t="inlineStr">
        <is>
          <t>松散-偏紧松散</t>
        </is>
      </c>
      <c r="Q522" s="2" t="inlineStr">
        <is>
          <t>标准-偏松标准</t>
        </is>
      </c>
      <c r="R522" s="2" t="inlineStr">
        <is>
          <t>标准-核心标准</t>
        </is>
      </c>
      <c r="S522" s="2" t="inlineStr">
        <is>
          <t>标准-偏紧标准</t>
        </is>
      </c>
      <c r="T522" s="2" t="inlineStr">
        <is>
          <t>紧凑-标准紧凑</t>
        </is>
      </c>
      <c r="U522" s="2" t="inlineStr">
        <is>
          <t>紧凑-高度紧凑</t>
        </is>
      </c>
      <c r="V522" s="2" t="inlineStr">
        <is>
          <t>紧凑-极度紧凑</t>
        </is>
      </c>
    </row>
    <row r="523">
      <c r="A523" s="1" t="n">
        <v>2024090</v>
      </c>
      <c r="B523" s="3" t="inlineStr">
        <is>
          <t>206</t>
        </is>
      </c>
      <c r="C523" s="2">
        <f>IF(B523="","",LEFT(TEXT(B523,"000"),1)*1)</f>
        <v/>
      </c>
      <c r="D523" s="2">
        <f>IF(B523="","",MID(TEXT(B523,"000"),2,1)*1)</f>
        <v/>
      </c>
      <c r="E523" s="2">
        <f>IF(B523="","",RIGHT(TEXT(B523,"000"),1)*1)</f>
        <v/>
      </c>
      <c r="F523" s="2">
        <f>IF(B523="","",C523+D523+E523)</f>
        <v/>
      </c>
      <c r="G523" s="2">
        <f>IF(B523="","",MOD(F523,10))</f>
        <v/>
      </c>
      <c r="H523" s="2">
        <f>IF(B523="","",MAX(C523,D523,E523)-MIN(C523,D523,E523))</f>
        <v/>
      </c>
      <c r="I523" s="2">
        <f>IF(OR(B523="",H523=0),IF(H523=0,0.1,""),ROUND(F523/H523,2))</f>
        <v/>
      </c>
      <c r="J523" s="2">
        <f>IF(I523=0.1,"极紧凑",IF(I523&gt;3.5,"紧凑",IF(AND(I523&gt;=2,I523&lt;=3.5),"标准",IF(AND(I523&gt;=1,I523&lt;2),"松散",""))))</f>
        <v/>
      </c>
      <c r="K523" s="2">
        <f>IF(I523=0.1,"极紧凑-豹子号",IF(AND(I523&gt;=1,I523&lt;=1.29),"松散-极松散",IF(AND(I523&gt;=1.33,I523&lt;=1.8),"松散-标准松散",IF(AND(I523&gt;=1.83,I523&lt;=1.89),"松散-偏紧松散",IF(AND(I523&gt;=2,I523&lt;=2.5),"标准-偏松标准",IF(AND(I523&gt;=2.57,I523&lt;=3),"标准-核心标准",IF(AND(I523&gt;=3.17,I523&lt;=3.5),"标准-偏紧标准",IF(AND(I523&gt;=3.6,I523&lt;=5),"紧凑-标准紧凑",IF(AND(I523&gt;=5.25,I523&lt;=8),"紧凑-高度紧凑",IF(I523&gt;=8.5,"紧凑-极度紧凑",""))))))))))</f>
        <v/>
      </c>
      <c r="L523" s="2">
        <f>IF(I523=0.1,"极紧凑",IF(AND(I523&gt;=1,I523&lt;=1.89),"松散",IF(AND(I523&gt;=2,I523&lt;=3.5),"标准",IF(I523&gt;=3.6,"紧凑",""))))</f>
        <v/>
      </c>
      <c r="M523" s="2" t="inlineStr">
        <is>
          <t>极紧凑-豹子号</t>
        </is>
      </c>
      <c r="N523" s="2" t="inlineStr">
        <is>
          <t>松散-极松散</t>
        </is>
      </c>
      <c r="O523" s="2" t="inlineStr">
        <is>
          <t>松散-标准松散</t>
        </is>
      </c>
      <c r="P523" s="2" t="inlineStr">
        <is>
          <t>松散-偏紧松散</t>
        </is>
      </c>
      <c r="Q523" s="2" t="inlineStr">
        <is>
          <t>标准-偏松标准</t>
        </is>
      </c>
      <c r="R523" s="2" t="inlineStr">
        <is>
          <t>标准-核心标准</t>
        </is>
      </c>
      <c r="S523" s="2" t="inlineStr">
        <is>
          <t>标准-偏紧标准</t>
        </is>
      </c>
      <c r="T523" s="2" t="inlineStr">
        <is>
          <t>紧凑-标准紧凑</t>
        </is>
      </c>
      <c r="U523" s="2" t="inlineStr">
        <is>
          <t>紧凑-高度紧凑</t>
        </is>
      </c>
      <c r="V523" s="2" t="inlineStr">
        <is>
          <t>紧凑-极度紧凑</t>
        </is>
      </c>
    </row>
    <row r="524">
      <c r="A524" s="1" t="n">
        <v>2024091</v>
      </c>
      <c r="B524" s="3" t="inlineStr">
        <is>
          <t>196</t>
        </is>
      </c>
      <c r="C524" s="2">
        <f>IF(B524="","",LEFT(TEXT(B524,"000"),1)*1)</f>
        <v/>
      </c>
      <c r="D524" s="2">
        <f>IF(B524="","",MID(TEXT(B524,"000"),2,1)*1)</f>
        <v/>
      </c>
      <c r="E524" s="2">
        <f>IF(B524="","",RIGHT(TEXT(B524,"000"),1)*1)</f>
        <v/>
      </c>
      <c r="F524" s="2">
        <f>IF(B524="","",C524+D524+E524)</f>
        <v/>
      </c>
      <c r="G524" s="2">
        <f>IF(B524="","",MOD(F524,10))</f>
        <v/>
      </c>
      <c r="H524" s="2">
        <f>IF(B524="","",MAX(C524,D524,E524)-MIN(C524,D524,E524))</f>
        <v/>
      </c>
      <c r="I524" s="2">
        <f>IF(OR(B524="",H524=0),IF(H524=0,0.1,""),ROUND(F524/H524,2))</f>
        <v/>
      </c>
      <c r="J524" s="2">
        <f>IF(I524=0.1,"极紧凑",IF(I524&gt;3.5,"紧凑",IF(AND(I524&gt;=2,I524&lt;=3.5),"标准",IF(AND(I524&gt;=1,I524&lt;2),"松散",""))))</f>
        <v/>
      </c>
      <c r="K524" s="2">
        <f>IF(I524=0.1,"极紧凑-豹子号",IF(AND(I524&gt;=1,I524&lt;=1.29),"松散-极松散",IF(AND(I524&gt;=1.33,I524&lt;=1.8),"松散-标准松散",IF(AND(I524&gt;=1.83,I524&lt;=1.89),"松散-偏紧松散",IF(AND(I524&gt;=2,I524&lt;=2.5),"标准-偏松标准",IF(AND(I524&gt;=2.57,I524&lt;=3),"标准-核心标准",IF(AND(I524&gt;=3.17,I524&lt;=3.5),"标准-偏紧标准",IF(AND(I524&gt;=3.6,I524&lt;=5),"紧凑-标准紧凑",IF(AND(I524&gt;=5.25,I524&lt;=8),"紧凑-高度紧凑",IF(I524&gt;=8.5,"紧凑-极度紧凑",""))))))))))</f>
        <v/>
      </c>
      <c r="L524" s="2">
        <f>IF(I524=0.1,"极紧凑",IF(AND(I524&gt;=1,I524&lt;=1.89),"松散",IF(AND(I524&gt;=2,I524&lt;=3.5),"标准",IF(I524&gt;=3.6,"紧凑",""))))</f>
        <v/>
      </c>
      <c r="M524" s="2" t="inlineStr">
        <is>
          <t>极紧凑-豹子号</t>
        </is>
      </c>
      <c r="N524" s="2" t="inlineStr">
        <is>
          <t>松散-极松散</t>
        </is>
      </c>
      <c r="O524" s="2" t="inlineStr">
        <is>
          <t>松散-标准松散</t>
        </is>
      </c>
      <c r="P524" s="2" t="inlineStr">
        <is>
          <t>松散-偏紧松散</t>
        </is>
      </c>
      <c r="Q524" s="2" t="inlineStr">
        <is>
          <t>标准-偏松标准</t>
        </is>
      </c>
      <c r="R524" s="2" t="inlineStr">
        <is>
          <t>标准-核心标准</t>
        </is>
      </c>
      <c r="S524" s="2" t="inlineStr">
        <is>
          <t>标准-偏紧标准</t>
        </is>
      </c>
      <c r="T524" s="2" t="inlineStr">
        <is>
          <t>紧凑-标准紧凑</t>
        </is>
      </c>
      <c r="U524" s="2" t="inlineStr">
        <is>
          <t>紧凑-高度紧凑</t>
        </is>
      </c>
      <c r="V524" s="2" t="inlineStr">
        <is>
          <t>紧凑-极度紧凑</t>
        </is>
      </c>
    </row>
    <row r="525">
      <c r="A525" s="1" t="n">
        <v>2024092</v>
      </c>
      <c r="B525" s="3" t="inlineStr">
        <is>
          <t>150</t>
        </is>
      </c>
      <c r="C525" s="2">
        <f>IF(B525="","",LEFT(TEXT(B525,"000"),1)*1)</f>
        <v/>
      </c>
      <c r="D525" s="2">
        <f>IF(B525="","",MID(TEXT(B525,"000"),2,1)*1)</f>
        <v/>
      </c>
      <c r="E525" s="2">
        <f>IF(B525="","",RIGHT(TEXT(B525,"000"),1)*1)</f>
        <v/>
      </c>
      <c r="F525" s="2">
        <f>IF(B525="","",C525+D525+E525)</f>
        <v/>
      </c>
      <c r="G525" s="2">
        <f>IF(B525="","",MOD(F525,10))</f>
        <v/>
      </c>
      <c r="H525" s="2">
        <f>IF(B525="","",MAX(C525,D525,E525)-MIN(C525,D525,E525))</f>
        <v/>
      </c>
      <c r="I525" s="2">
        <f>IF(OR(B525="",H525=0),IF(H525=0,0.1,""),ROUND(F525/H525,2))</f>
        <v/>
      </c>
      <c r="J525" s="2">
        <f>IF(I525=0.1,"极紧凑",IF(I525&gt;3.5,"紧凑",IF(AND(I525&gt;=2,I525&lt;=3.5),"标准",IF(AND(I525&gt;=1,I525&lt;2),"松散",""))))</f>
        <v/>
      </c>
      <c r="K525" s="2">
        <f>IF(I525=0.1,"极紧凑-豹子号",IF(AND(I525&gt;=1,I525&lt;=1.29),"松散-极松散",IF(AND(I525&gt;=1.33,I525&lt;=1.8),"松散-标准松散",IF(AND(I525&gt;=1.83,I525&lt;=1.89),"松散-偏紧松散",IF(AND(I525&gt;=2,I525&lt;=2.5),"标准-偏松标准",IF(AND(I525&gt;=2.57,I525&lt;=3),"标准-核心标准",IF(AND(I525&gt;=3.17,I525&lt;=3.5),"标准-偏紧标准",IF(AND(I525&gt;=3.6,I525&lt;=5),"紧凑-标准紧凑",IF(AND(I525&gt;=5.25,I525&lt;=8),"紧凑-高度紧凑",IF(I525&gt;=8.5,"紧凑-极度紧凑",""))))))))))</f>
        <v/>
      </c>
      <c r="L525" s="2">
        <f>IF(I525=0.1,"极紧凑",IF(AND(I525&gt;=1,I525&lt;=1.89),"松散",IF(AND(I525&gt;=2,I525&lt;=3.5),"标准",IF(I525&gt;=3.6,"紧凑",""))))</f>
        <v/>
      </c>
      <c r="M525" s="2" t="inlineStr">
        <is>
          <t>极紧凑-豹子号</t>
        </is>
      </c>
      <c r="N525" s="2" t="inlineStr">
        <is>
          <t>松散-极松散</t>
        </is>
      </c>
      <c r="O525" s="2" t="inlineStr">
        <is>
          <t>松散-标准松散</t>
        </is>
      </c>
      <c r="P525" s="2" t="inlineStr">
        <is>
          <t>松散-偏紧松散</t>
        </is>
      </c>
      <c r="Q525" s="2" t="inlineStr">
        <is>
          <t>标准-偏松标准</t>
        </is>
      </c>
      <c r="R525" s="2" t="inlineStr">
        <is>
          <t>标准-核心标准</t>
        </is>
      </c>
      <c r="S525" s="2" t="inlineStr">
        <is>
          <t>标准-偏紧标准</t>
        </is>
      </c>
      <c r="T525" s="2" t="inlineStr">
        <is>
          <t>紧凑-标准紧凑</t>
        </is>
      </c>
      <c r="U525" s="2" t="inlineStr">
        <is>
          <t>紧凑-高度紧凑</t>
        </is>
      </c>
      <c r="V525" s="2" t="inlineStr">
        <is>
          <t>紧凑-极度紧凑</t>
        </is>
      </c>
    </row>
    <row r="526">
      <c r="A526" s="1" t="n">
        <v>2024093</v>
      </c>
      <c r="B526" s="3" t="inlineStr">
        <is>
          <t>935</t>
        </is>
      </c>
      <c r="C526" s="2">
        <f>IF(B526="","",LEFT(TEXT(B526,"000"),1)*1)</f>
        <v/>
      </c>
      <c r="D526" s="2">
        <f>IF(B526="","",MID(TEXT(B526,"000"),2,1)*1)</f>
        <v/>
      </c>
      <c r="E526" s="2">
        <f>IF(B526="","",RIGHT(TEXT(B526,"000"),1)*1)</f>
        <v/>
      </c>
      <c r="F526" s="2">
        <f>IF(B526="","",C526+D526+E526)</f>
        <v/>
      </c>
      <c r="G526" s="2">
        <f>IF(B526="","",MOD(F526,10))</f>
        <v/>
      </c>
      <c r="H526" s="2">
        <f>IF(B526="","",MAX(C526,D526,E526)-MIN(C526,D526,E526))</f>
        <v/>
      </c>
      <c r="I526" s="2">
        <f>IF(OR(B526="",H526=0),IF(H526=0,0.1,""),ROUND(F526/H526,2))</f>
        <v/>
      </c>
      <c r="J526" s="2">
        <f>IF(I526=0.1,"极紧凑",IF(I526&gt;3.5,"紧凑",IF(AND(I526&gt;=2,I526&lt;=3.5),"标准",IF(AND(I526&gt;=1,I526&lt;2),"松散",""))))</f>
        <v/>
      </c>
      <c r="K526" s="2">
        <f>IF(I526=0.1,"极紧凑-豹子号",IF(AND(I526&gt;=1,I526&lt;=1.29),"松散-极松散",IF(AND(I526&gt;=1.33,I526&lt;=1.8),"松散-标准松散",IF(AND(I526&gt;=1.83,I526&lt;=1.89),"松散-偏紧松散",IF(AND(I526&gt;=2,I526&lt;=2.5),"标准-偏松标准",IF(AND(I526&gt;=2.57,I526&lt;=3),"标准-核心标准",IF(AND(I526&gt;=3.17,I526&lt;=3.5),"标准-偏紧标准",IF(AND(I526&gt;=3.6,I526&lt;=5),"紧凑-标准紧凑",IF(AND(I526&gt;=5.25,I526&lt;=8),"紧凑-高度紧凑",IF(I526&gt;=8.5,"紧凑-极度紧凑",""))))))))))</f>
        <v/>
      </c>
      <c r="L526" s="2">
        <f>IF(I526=0.1,"极紧凑",IF(AND(I526&gt;=1,I526&lt;=1.89),"松散",IF(AND(I526&gt;=2,I526&lt;=3.5),"标准",IF(I526&gt;=3.6,"紧凑",""))))</f>
        <v/>
      </c>
      <c r="M526" s="2" t="inlineStr">
        <is>
          <t>极紧凑-豹子号</t>
        </is>
      </c>
      <c r="N526" s="2" t="inlineStr">
        <is>
          <t>松散-极松散</t>
        </is>
      </c>
      <c r="O526" s="2" t="inlineStr">
        <is>
          <t>松散-标准松散</t>
        </is>
      </c>
      <c r="P526" s="2" t="inlineStr">
        <is>
          <t>松散-偏紧松散</t>
        </is>
      </c>
      <c r="Q526" s="2" t="inlineStr">
        <is>
          <t>标准-偏松标准</t>
        </is>
      </c>
      <c r="R526" s="2" t="inlineStr">
        <is>
          <t>标准-核心标准</t>
        </is>
      </c>
      <c r="S526" s="2" t="inlineStr">
        <is>
          <t>标准-偏紧标准</t>
        </is>
      </c>
      <c r="T526" s="2" t="inlineStr">
        <is>
          <t>紧凑-标准紧凑</t>
        </is>
      </c>
      <c r="U526" s="2" t="inlineStr">
        <is>
          <t>紧凑-高度紧凑</t>
        </is>
      </c>
      <c r="V526" s="2" t="inlineStr">
        <is>
          <t>紧凑-极度紧凑</t>
        </is>
      </c>
    </row>
    <row r="527">
      <c r="A527" s="1" t="n">
        <v>2024094</v>
      </c>
      <c r="B527" s="3" t="inlineStr">
        <is>
          <t>271</t>
        </is>
      </c>
      <c r="C527" s="2">
        <f>IF(B527="","",LEFT(TEXT(B527,"000"),1)*1)</f>
        <v/>
      </c>
      <c r="D527" s="2">
        <f>IF(B527="","",MID(TEXT(B527,"000"),2,1)*1)</f>
        <v/>
      </c>
      <c r="E527" s="2">
        <f>IF(B527="","",RIGHT(TEXT(B527,"000"),1)*1)</f>
        <v/>
      </c>
      <c r="F527" s="2">
        <f>IF(B527="","",C527+D527+E527)</f>
        <v/>
      </c>
      <c r="G527" s="2">
        <f>IF(B527="","",MOD(F527,10))</f>
        <v/>
      </c>
      <c r="H527" s="2">
        <f>IF(B527="","",MAX(C527,D527,E527)-MIN(C527,D527,E527))</f>
        <v/>
      </c>
      <c r="I527" s="2">
        <f>IF(OR(B527="",H527=0),IF(H527=0,0.1,""),ROUND(F527/H527,2))</f>
        <v/>
      </c>
      <c r="J527" s="2">
        <f>IF(I527=0.1,"极紧凑",IF(I527&gt;3.5,"紧凑",IF(AND(I527&gt;=2,I527&lt;=3.5),"标准",IF(AND(I527&gt;=1,I527&lt;2),"松散",""))))</f>
        <v/>
      </c>
      <c r="K527" s="2">
        <f>IF(I527=0.1,"极紧凑-豹子号",IF(AND(I527&gt;=1,I527&lt;=1.29),"松散-极松散",IF(AND(I527&gt;=1.33,I527&lt;=1.8),"松散-标准松散",IF(AND(I527&gt;=1.83,I527&lt;=1.89),"松散-偏紧松散",IF(AND(I527&gt;=2,I527&lt;=2.5),"标准-偏松标准",IF(AND(I527&gt;=2.57,I527&lt;=3),"标准-核心标准",IF(AND(I527&gt;=3.17,I527&lt;=3.5),"标准-偏紧标准",IF(AND(I527&gt;=3.6,I527&lt;=5),"紧凑-标准紧凑",IF(AND(I527&gt;=5.25,I527&lt;=8),"紧凑-高度紧凑",IF(I527&gt;=8.5,"紧凑-极度紧凑",""))))))))))</f>
        <v/>
      </c>
      <c r="L527" s="2">
        <f>IF(I527=0.1,"极紧凑",IF(AND(I527&gt;=1,I527&lt;=1.89),"松散",IF(AND(I527&gt;=2,I527&lt;=3.5),"标准",IF(I527&gt;=3.6,"紧凑",""))))</f>
        <v/>
      </c>
      <c r="M527" s="2" t="inlineStr">
        <is>
          <t>极紧凑-豹子号</t>
        </is>
      </c>
      <c r="N527" s="2" t="inlineStr">
        <is>
          <t>松散-极松散</t>
        </is>
      </c>
      <c r="O527" s="2" t="inlineStr">
        <is>
          <t>松散-标准松散</t>
        </is>
      </c>
      <c r="P527" s="2" t="inlineStr">
        <is>
          <t>松散-偏紧松散</t>
        </is>
      </c>
      <c r="Q527" s="2" t="inlineStr">
        <is>
          <t>标准-偏松标准</t>
        </is>
      </c>
      <c r="R527" s="2" t="inlineStr">
        <is>
          <t>标准-核心标准</t>
        </is>
      </c>
      <c r="S527" s="2" t="inlineStr">
        <is>
          <t>标准-偏紧标准</t>
        </is>
      </c>
      <c r="T527" s="2" t="inlineStr">
        <is>
          <t>紧凑-标准紧凑</t>
        </is>
      </c>
      <c r="U527" s="2" t="inlineStr">
        <is>
          <t>紧凑-高度紧凑</t>
        </is>
      </c>
      <c r="V527" s="2" t="inlineStr">
        <is>
          <t>紧凑-极度紧凑</t>
        </is>
      </c>
    </row>
    <row r="528">
      <c r="A528" s="1" t="n">
        <v>2024095</v>
      </c>
      <c r="B528" s="3" t="inlineStr">
        <is>
          <t>175</t>
        </is>
      </c>
      <c r="C528" s="2">
        <f>IF(B528="","",LEFT(TEXT(B528,"000"),1)*1)</f>
        <v/>
      </c>
      <c r="D528" s="2">
        <f>IF(B528="","",MID(TEXT(B528,"000"),2,1)*1)</f>
        <v/>
      </c>
      <c r="E528" s="2">
        <f>IF(B528="","",RIGHT(TEXT(B528,"000"),1)*1)</f>
        <v/>
      </c>
      <c r="F528" s="2">
        <f>IF(B528="","",C528+D528+E528)</f>
        <v/>
      </c>
      <c r="G528" s="2">
        <f>IF(B528="","",MOD(F528,10))</f>
        <v/>
      </c>
      <c r="H528" s="2">
        <f>IF(B528="","",MAX(C528,D528,E528)-MIN(C528,D528,E528))</f>
        <v/>
      </c>
      <c r="I528" s="2">
        <f>IF(OR(B528="",H528=0),IF(H528=0,0.1,""),ROUND(F528/H528,2))</f>
        <v/>
      </c>
      <c r="J528" s="2">
        <f>IF(I528=0.1,"极紧凑",IF(I528&gt;3.5,"紧凑",IF(AND(I528&gt;=2,I528&lt;=3.5),"标准",IF(AND(I528&gt;=1,I528&lt;2),"松散",""))))</f>
        <v/>
      </c>
      <c r="K528" s="2">
        <f>IF(I528=0.1,"极紧凑-豹子号",IF(AND(I528&gt;=1,I528&lt;=1.29),"松散-极松散",IF(AND(I528&gt;=1.33,I528&lt;=1.8),"松散-标准松散",IF(AND(I528&gt;=1.83,I528&lt;=1.89),"松散-偏紧松散",IF(AND(I528&gt;=2,I528&lt;=2.5),"标准-偏松标准",IF(AND(I528&gt;=2.57,I528&lt;=3),"标准-核心标准",IF(AND(I528&gt;=3.17,I528&lt;=3.5),"标准-偏紧标准",IF(AND(I528&gt;=3.6,I528&lt;=5),"紧凑-标准紧凑",IF(AND(I528&gt;=5.25,I528&lt;=8),"紧凑-高度紧凑",IF(I528&gt;=8.5,"紧凑-极度紧凑",""))))))))))</f>
        <v/>
      </c>
      <c r="L528" s="2">
        <f>IF(I528=0.1,"极紧凑",IF(AND(I528&gt;=1,I528&lt;=1.89),"松散",IF(AND(I528&gt;=2,I528&lt;=3.5),"标准",IF(I528&gt;=3.6,"紧凑",""))))</f>
        <v/>
      </c>
      <c r="M528" s="2" t="inlineStr">
        <is>
          <t>极紧凑-豹子号</t>
        </is>
      </c>
      <c r="N528" s="2" t="inlineStr">
        <is>
          <t>松散-极松散</t>
        </is>
      </c>
      <c r="O528" s="2" t="inlineStr">
        <is>
          <t>松散-标准松散</t>
        </is>
      </c>
      <c r="P528" s="2" t="inlineStr">
        <is>
          <t>松散-偏紧松散</t>
        </is>
      </c>
      <c r="Q528" s="2" t="inlineStr">
        <is>
          <t>标准-偏松标准</t>
        </is>
      </c>
      <c r="R528" s="2" t="inlineStr">
        <is>
          <t>标准-核心标准</t>
        </is>
      </c>
      <c r="S528" s="2" t="inlineStr">
        <is>
          <t>标准-偏紧标准</t>
        </is>
      </c>
      <c r="T528" s="2" t="inlineStr">
        <is>
          <t>紧凑-标准紧凑</t>
        </is>
      </c>
      <c r="U528" s="2" t="inlineStr">
        <is>
          <t>紧凑-高度紧凑</t>
        </is>
      </c>
      <c r="V528" s="2" t="inlineStr">
        <is>
          <t>紧凑-极度紧凑</t>
        </is>
      </c>
    </row>
    <row r="529">
      <c r="A529" s="1" t="n">
        <v>2024096</v>
      </c>
      <c r="B529" s="3" t="inlineStr">
        <is>
          <t>463</t>
        </is>
      </c>
      <c r="C529" s="2">
        <f>IF(B529="","",LEFT(TEXT(B529,"000"),1)*1)</f>
        <v/>
      </c>
      <c r="D529" s="2">
        <f>IF(B529="","",MID(TEXT(B529,"000"),2,1)*1)</f>
        <v/>
      </c>
      <c r="E529" s="2">
        <f>IF(B529="","",RIGHT(TEXT(B529,"000"),1)*1)</f>
        <v/>
      </c>
      <c r="F529" s="2">
        <f>IF(B529="","",C529+D529+E529)</f>
        <v/>
      </c>
      <c r="G529" s="2">
        <f>IF(B529="","",MOD(F529,10))</f>
        <v/>
      </c>
      <c r="H529" s="2">
        <f>IF(B529="","",MAX(C529,D529,E529)-MIN(C529,D529,E529))</f>
        <v/>
      </c>
      <c r="I529" s="2">
        <f>IF(OR(B529="",H529=0),IF(H529=0,0.1,""),ROUND(F529/H529,2))</f>
        <v/>
      </c>
      <c r="J529" s="2">
        <f>IF(I529=0.1,"极紧凑",IF(I529&gt;3.5,"紧凑",IF(AND(I529&gt;=2,I529&lt;=3.5),"标准",IF(AND(I529&gt;=1,I529&lt;2),"松散",""))))</f>
        <v/>
      </c>
      <c r="K529" s="2">
        <f>IF(I529=0.1,"极紧凑-豹子号",IF(AND(I529&gt;=1,I529&lt;=1.29),"松散-极松散",IF(AND(I529&gt;=1.33,I529&lt;=1.8),"松散-标准松散",IF(AND(I529&gt;=1.83,I529&lt;=1.89),"松散-偏紧松散",IF(AND(I529&gt;=2,I529&lt;=2.5),"标准-偏松标准",IF(AND(I529&gt;=2.57,I529&lt;=3),"标准-核心标准",IF(AND(I529&gt;=3.17,I529&lt;=3.5),"标准-偏紧标准",IF(AND(I529&gt;=3.6,I529&lt;=5),"紧凑-标准紧凑",IF(AND(I529&gt;=5.25,I529&lt;=8),"紧凑-高度紧凑",IF(I529&gt;=8.5,"紧凑-极度紧凑",""))))))))))</f>
        <v/>
      </c>
      <c r="L529" s="2">
        <f>IF(I529=0.1,"极紧凑",IF(AND(I529&gt;=1,I529&lt;=1.89),"松散",IF(AND(I529&gt;=2,I529&lt;=3.5),"标准",IF(I529&gt;=3.6,"紧凑",""))))</f>
        <v/>
      </c>
      <c r="M529" s="2" t="inlineStr">
        <is>
          <t>极紧凑-豹子号</t>
        </is>
      </c>
      <c r="N529" s="2" t="inlineStr">
        <is>
          <t>松散-极松散</t>
        </is>
      </c>
      <c r="O529" s="2" t="inlineStr">
        <is>
          <t>松散-标准松散</t>
        </is>
      </c>
      <c r="P529" s="2" t="inlineStr">
        <is>
          <t>松散-偏紧松散</t>
        </is>
      </c>
      <c r="Q529" s="2" t="inlineStr">
        <is>
          <t>标准-偏松标准</t>
        </is>
      </c>
      <c r="R529" s="2" t="inlineStr">
        <is>
          <t>标准-核心标准</t>
        </is>
      </c>
      <c r="S529" s="2" t="inlineStr">
        <is>
          <t>标准-偏紧标准</t>
        </is>
      </c>
      <c r="T529" s="2" t="inlineStr">
        <is>
          <t>紧凑-标准紧凑</t>
        </is>
      </c>
      <c r="U529" s="2" t="inlineStr">
        <is>
          <t>紧凑-高度紧凑</t>
        </is>
      </c>
      <c r="V529" s="2" t="inlineStr">
        <is>
          <t>紧凑-极度紧凑</t>
        </is>
      </c>
    </row>
    <row r="530">
      <c r="A530" s="1" t="n">
        <v>2024097</v>
      </c>
      <c r="B530" s="3" t="inlineStr">
        <is>
          <t>863</t>
        </is>
      </c>
      <c r="C530" s="2">
        <f>IF(B530="","",LEFT(TEXT(B530,"000"),1)*1)</f>
        <v/>
      </c>
      <c r="D530" s="2">
        <f>IF(B530="","",MID(TEXT(B530,"000"),2,1)*1)</f>
        <v/>
      </c>
      <c r="E530" s="2">
        <f>IF(B530="","",RIGHT(TEXT(B530,"000"),1)*1)</f>
        <v/>
      </c>
      <c r="F530" s="2">
        <f>IF(B530="","",C530+D530+E530)</f>
        <v/>
      </c>
      <c r="G530" s="2">
        <f>IF(B530="","",MOD(F530,10))</f>
        <v/>
      </c>
      <c r="H530" s="2">
        <f>IF(B530="","",MAX(C530,D530,E530)-MIN(C530,D530,E530))</f>
        <v/>
      </c>
      <c r="I530" s="2">
        <f>IF(OR(B530="",H530=0),IF(H530=0,0.1,""),ROUND(F530/H530,2))</f>
        <v/>
      </c>
      <c r="J530" s="2">
        <f>IF(I530=0.1,"极紧凑",IF(I530&gt;3.5,"紧凑",IF(AND(I530&gt;=2,I530&lt;=3.5),"标准",IF(AND(I530&gt;=1,I530&lt;2),"松散",""))))</f>
        <v/>
      </c>
      <c r="K530" s="2">
        <f>IF(I530=0.1,"极紧凑-豹子号",IF(AND(I530&gt;=1,I530&lt;=1.29),"松散-极松散",IF(AND(I530&gt;=1.33,I530&lt;=1.8),"松散-标准松散",IF(AND(I530&gt;=1.83,I530&lt;=1.89),"松散-偏紧松散",IF(AND(I530&gt;=2,I530&lt;=2.5),"标准-偏松标准",IF(AND(I530&gt;=2.57,I530&lt;=3),"标准-核心标准",IF(AND(I530&gt;=3.17,I530&lt;=3.5),"标准-偏紧标准",IF(AND(I530&gt;=3.6,I530&lt;=5),"紧凑-标准紧凑",IF(AND(I530&gt;=5.25,I530&lt;=8),"紧凑-高度紧凑",IF(I530&gt;=8.5,"紧凑-极度紧凑",""))))))))))</f>
        <v/>
      </c>
      <c r="L530" s="2">
        <f>IF(I530=0.1,"极紧凑",IF(AND(I530&gt;=1,I530&lt;=1.89),"松散",IF(AND(I530&gt;=2,I530&lt;=3.5),"标准",IF(I530&gt;=3.6,"紧凑",""))))</f>
        <v/>
      </c>
      <c r="M530" s="2" t="inlineStr">
        <is>
          <t>极紧凑-豹子号</t>
        </is>
      </c>
      <c r="N530" s="2" t="inlineStr">
        <is>
          <t>松散-极松散</t>
        </is>
      </c>
      <c r="O530" s="2" t="inlineStr">
        <is>
          <t>松散-标准松散</t>
        </is>
      </c>
      <c r="P530" s="2" t="inlineStr">
        <is>
          <t>松散-偏紧松散</t>
        </is>
      </c>
      <c r="Q530" s="2" t="inlineStr">
        <is>
          <t>标准-偏松标准</t>
        </is>
      </c>
      <c r="R530" s="2" t="inlineStr">
        <is>
          <t>标准-核心标准</t>
        </is>
      </c>
      <c r="S530" s="2" t="inlineStr">
        <is>
          <t>标准-偏紧标准</t>
        </is>
      </c>
      <c r="T530" s="2" t="inlineStr">
        <is>
          <t>紧凑-标准紧凑</t>
        </is>
      </c>
      <c r="U530" s="2" t="inlineStr">
        <is>
          <t>紧凑-高度紧凑</t>
        </is>
      </c>
      <c r="V530" s="2" t="inlineStr">
        <is>
          <t>紧凑-极度紧凑</t>
        </is>
      </c>
    </row>
    <row r="531">
      <c r="A531" s="1" t="n">
        <v>2024098</v>
      </c>
      <c r="B531" s="3" t="inlineStr">
        <is>
          <t>247</t>
        </is>
      </c>
      <c r="C531" s="2">
        <f>IF(B531="","",LEFT(TEXT(B531,"000"),1)*1)</f>
        <v/>
      </c>
      <c r="D531" s="2">
        <f>IF(B531="","",MID(TEXT(B531,"000"),2,1)*1)</f>
        <v/>
      </c>
      <c r="E531" s="2">
        <f>IF(B531="","",RIGHT(TEXT(B531,"000"),1)*1)</f>
        <v/>
      </c>
      <c r="F531" s="2">
        <f>IF(B531="","",C531+D531+E531)</f>
        <v/>
      </c>
      <c r="G531" s="2">
        <f>IF(B531="","",MOD(F531,10))</f>
        <v/>
      </c>
      <c r="H531" s="2">
        <f>IF(B531="","",MAX(C531,D531,E531)-MIN(C531,D531,E531))</f>
        <v/>
      </c>
      <c r="I531" s="2">
        <f>IF(OR(B531="",H531=0),IF(H531=0,0.1,""),ROUND(F531/H531,2))</f>
        <v/>
      </c>
      <c r="J531" s="2">
        <f>IF(I531=0.1,"极紧凑",IF(I531&gt;3.5,"紧凑",IF(AND(I531&gt;=2,I531&lt;=3.5),"标准",IF(AND(I531&gt;=1,I531&lt;2),"松散",""))))</f>
        <v/>
      </c>
      <c r="K531" s="2">
        <f>IF(I531=0.1,"极紧凑-豹子号",IF(AND(I531&gt;=1,I531&lt;=1.29),"松散-极松散",IF(AND(I531&gt;=1.33,I531&lt;=1.8),"松散-标准松散",IF(AND(I531&gt;=1.83,I531&lt;=1.89),"松散-偏紧松散",IF(AND(I531&gt;=2,I531&lt;=2.5),"标准-偏松标准",IF(AND(I531&gt;=2.57,I531&lt;=3),"标准-核心标准",IF(AND(I531&gt;=3.17,I531&lt;=3.5),"标准-偏紧标准",IF(AND(I531&gt;=3.6,I531&lt;=5),"紧凑-标准紧凑",IF(AND(I531&gt;=5.25,I531&lt;=8),"紧凑-高度紧凑",IF(I531&gt;=8.5,"紧凑-极度紧凑",""))))))))))</f>
        <v/>
      </c>
      <c r="L531" s="2">
        <f>IF(I531=0.1,"极紧凑",IF(AND(I531&gt;=1,I531&lt;=1.89),"松散",IF(AND(I531&gt;=2,I531&lt;=3.5),"标准",IF(I531&gt;=3.6,"紧凑",""))))</f>
        <v/>
      </c>
      <c r="M531" s="2" t="inlineStr">
        <is>
          <t>极紧凑-豹子号</t>
        </is>
      </c>
      <c r="N531" s="2" t="inlineStr">
        <is>
          <t>松散-极松散</t>
        </is>
      </c>
      <c r="O531" s="2" t="inlineStr">
        <is>
          <t>松散-标准松散</t>
        </is>
      </c>
      <c r="P531" s="2" t="inlineStr">
        <is>
          <t>松散-偏紧松散</t>
        </is>
      </c>
      <c r="Q531" s="2" t="inlineStr">
        <is>
          <t>标准-偏松标准</t>
        </is>
      </c>
      <c r="R531" s="2" t="inlineStr">
        <is>
          <t>标准-核心标准</t>
        </is>
      </c>
      <c r="S531" s="2" t="inlineStr">
        <is>
          <t>标准-偏紧标准</t>
        </is>
      </c>
      <c r="T531" s="2" t="inlineStr">
        <is>
          <t>紧凑-标准紧凑</t>
        </is>
      </c>
      <c r="U531" s="2" t="inlineStr">
        <is>
          <t>紧凑-高度紧凑</t>
        </is>
      </c>
      <c r="V531" s="2" t="inlineStr">
        <is>
          <t>紧凑-极度紧凑</t>
        </is>
      </c>
    </row>
    <row r="532">
      <c r="A532" s="1" t="n">
        <v>2024099</v>
      </c>
      <c r="B532" s="3" t="inlineStr">
        <is>
          <t>102</t>
        </is>
      </c>
      <c r="C532" s="2">
        <f>IF(B532="","",LEFT(TEXT(B532,"000"),1)*1)</f>
        <v/>
      </c>
      <c r="D532" s="2">
        <f>IF(B532="","",MID(TEXT(B532,"000"),2,1)*1)</f>
        <v/>
      </c>
      <c r="E532" s="2">
        <f>IF(B532="","",RIGHT(TEXT(B532,"000"),1)*1)</f>
        <v/>
      </c>
      <c r="F532" s="2">
        <f>IF(B532="","",C532+D532+E532)</f>
        <v/>
      </c>
      <c r="G532" s="2">
        <f>IF(B532="","",MOD(F532,10))</f>
        <v/>
      </c>
      <c r="H532" s="2">
        <f>IF(B532="","",MAX(C532,D532,E532)-MIN(C532,D532,E532))</f>
        <v/>
      </c>
      <c r="I532" s="2">
        <f>IF(OR(B532="",H532=0),IF(H532=0,0.1,""),ROUND(F532/H532,2))</f>
        <v/>
      </c>
      <c r="J532" s="2">
        <f>IF(I532=0.1,"极紧凑",IF(I532&gt;3.5,"紧凑",IF(AND(I532&gt;=2,I532&lt;=3.5),"标准",IF(AND(I532&gt;=1,I532&lt;2),"松散",""))))</f>
        <v/>
      </c>
      <c r="K532" s="2">
        <f>IF(I532=0.1,"极紧凑-豹子号",IF(AND(I532&gt;=1,I532&lt;=1.29),"松散-极松散",IF(AND(I532&gt;=1.33,I532&lt;=1.8),"松散-标准松散",IF(AND(I532&gt;=1.83,I532&lt;=1.89),"松散-偏紧松散",IF(AND(I532&gt;=2,I532&lt;=2.5),"标准-偏松标准",IF(AND(I532&gt;=2.57,I532&lt;=3),"标准-核心标准",IF(AND(I532&gt;=3.17,I532&lt;=3.5),"标准-偏紧标准",IF(AND(I532&gt;=3.6,I532&lt;=5),"紧凑-标准紧凑",IF(AND(I532&gt;=5.25,I532&lt;=8),"紧凑-高度紧凑",IF(I532&gt;=8.5,"紧凑-极度紧凑",""))))))))))</f>
        <v/>
      </c>
      <c r="L532" s="2">
        <f>IF(I532=0.1,"极紧凑",IF(AND(I532&gt;=1,I532&lt;=1.89),"松散",IF(AND(I532&gt;=2,I532&lt;=3.5),"标准",IF(I532&gt;=3.6,"紧凑",""))))</f>
        <v/>
      </c>
      <c r="M532" s="2" t="inlineStr">
        <is>
          <t>极紧凑-豹子号</t>
        </is>
      </c>
      <c r="N532" s="2" t="inlineStr">
        <is>
          <t>松散-极松散</t>
        </is>
      </c>
      <c r="O532" s="2" t="inlineStr">
        <is>
          <t>松散-标准松散</t>
        </is>
      </c>
      <c r="P532" s="2" t="inlineStr">
        <is>
          <t>松散-偏紧松散</t>
        </is>
      </c>
      <c r="Q532" s="2" t="inlineStr">
        <is>
          <t>标准-偏松标准</t>
        </is>
      </c>
      <c r="R532" s="2" t="inlineStr">
        <is>
          <t>标准-核心标准</t>
        </is>
      </c>
      <c r="S532" s="2" t="inlineStr">
        <is>
          <t>标准-偏紧标准</t>
        </is>
      </c>
      <c r="T532" s="2" t="inlineStr">
        <is>
          <t>紧凑-标准紧凑</t>
        </is>
      </c>
      <c r="U532" s="2" t="inlineStr">
        <is>
          <t>紧凑-高度紧凑</t>
        </is>
      </c>
      <c r="V532" s="2" t="inlineStr">
        <is>
          <t>紧凑-极度紧凑</t>
        </is>
      </c>
    </row>
    <row r="533">
      <c r="A533" s="1" t="n">
        <v>2024100</v>
      </c>
      <c r="B533" s="3" t="inlineStr">
        <is>
          <t>157</t>
        </is>
      </c>
      <c r="C533" s="2">
        <f>IF(B533="","",LEFT(TEXT(B533,"000"),1)*1)</f>
        <v/>
      </c>
      <c r="D533" s="2">
        <f>IF(B533="","",MID(TEXT(B533,"000"),2,1)*1)</f>
        <v/>
      </c>
      <c r="E533" s="2">
        <f>IF(B533="","",RIGHT(TEXT(B533,"000"),1)*1)</f>
        <v/>
      </c>
      <c r="F533" s="2">
        <f>IF(B533="","",C533+D533+E533)</f>
        <v/>
      </c>
      <c r="G533" s="2">
        <f>IF(B533="","",MOD(F533,10))</f>
        <v/>
      </c>
      <c r="H533" s="2">
        <f>IF(B533="","",MAX(C533,D533,E533)-MIN(C533,D533,E533))</f>
        <v/>
      </c>
      <c r="I533" s="2">
        <f>IF(OR(B533="",H533=0),IF(H533=0,0.1,""),ROUND(F533/H533,2))</f>
        <v/>
      </c>
      <c r="J533" s="2">
        <f>IF(I533=0.1,"极紧凑",IF(I533&gt;3.5,"紧凑",IF(AND(I533&gt;=2,I533&lt;=3.5),"标准",IF(AND(I533&gt;=1,I533&lt;2),"松散",""))))</f>
        <v/>
      </c>
      <c r="K533" s="2">
        <f>IF(I533=0.1,"极紧凑-豹子号",IF(AND(I533&gt;=1,I533&lt;=1.29),"松散-极松散",IF(AND(I533&gt;=1.33,I533&lt;=1.8),"松散-标准松散",IF(AND(I533&gt;=1.83,I533&lt;=1.89),"松散-偏紧松散",IF(AND(I533&gt;=2,I533&lt;=2.5),"标准-偏松标准",IF(AND(I533&gt;=2.57,I533&lt;=3),"标准-核心标准",IF(AND(I533&gt;=3.17,I533&lt;=3.5),"标准-偏紧标准",IF(AND(I533&gt;=3.6,I533&lt;=5),"紧凑-标准紧凑",IF(AND(I533&gt;=5.25,I533&lt;=8),"紧凑-高度紧凑",IF(I533&gt;=8.5,"紧凑-极度紧凑",""))))))))))</f>
        <v/>
      </c>
      <c r="L533" s="2">
        <f>IF(I533=0.1,"极紧凑",IF(AND(I533&gt;=1,I533&lt;=1.89),"松散",IF(AND(I533&gt;=2,I533&lt;=3.5),"标准",IF(I533&gt;=3.6,"紧凑",""))))</f>
        <v/>
      </c>
      <c r="M533" s="2" t="inlineStr">
        <is>
          <t>极紧凑-豹子号</t>
        </is>
      </c>
      <c r="N533" s="2" t="inlineStr">
        <is>
          <t>松散-极松散</t>
        </is>
      </c>
      <c r="O533" s="2" t="inlineStr">
        <is>
          <t>松散-标准松散</t>
        </is>
      </c>
      <c r="P533" s="2" t="inlineStr">
        <is>
          <t>松散-偏紧松散</t>
        </is>
      </c>
      <c r="Q533" s="2" t="inlineStr">
        <is>
          <t>标准-偏松标准</t>
        </is>
      </c>
      <c r="R533" s="2" t="inlineStr">
        <is>
          <t>标准-核心标准</t>
        </is>
      </c>
      <c r="S533" s="2" t="inlineStr">
        <is>
          <t>标准-偏紧标准</t>
        </is>
      </c>
      <c r="T533" s="2" t="inlineStr">
        <is>
          <t>紧凑-标准紧凑</t>
        </is>
      </c>
      <c r="U533" s="2" t="inlineStr">
        <is>
          <t>紧凑-高度紧凑</t>
        </is>
      </c>
      <c r="V533" s="2" t="inlineStr">
        <is>
          <t>紧凑-极度紧凑</t>
        </is>
      </c>
    </row>
    <row r="534">
      <c r="A534" s="1" t="n">
        <v>2024101</v>
      </c>
      <c r="B534" s="3" t="inlineStr">
        <is>
          <t>030</t>
        </is>
      </c>
      <c r="C534" s="2">
        <f>IF(B534="","",LEFT(TEXT(B534,"000"),1)*1)</f>
        <v/>
      </c>
      <c r="D534" s="2">
        <f>IF(B534="","",MID(TEXT(B534,"000"),2,1)*1)</f>
        <v/>
      </c>
      <c r="E534" s="2">
        <f>IF(B534="","",RIGHT(TEXT(B534,"000"),1)*1)</f>
        <v/>
      </c>
      <c r="F534" s="2">
        <f>IF(B534="","",C534+D534+E534)</f>
        <v/>
      </c>
      <c r="G534" s="2">
        <f>IF(B534="","",MOD(F534,10))</f>
        <v/>
      </c>
      <c r="H534" s="2">
        <f>IF(B534="","",MAX(C534,D534,E534)-MIN(C534,D534,E534))</f>
        <v/>
      </c>
      <c r="I534" s="2">
        <f>IF(OR(B534="",H534=0),IF(H534=0,0.1,""),ROUND(F534/H534,2))</f>
        <v/>
      </c>
      <c r="J534" s="2">
        <f>IF(I534=0.1,"极紧凑",IF(I534&gt;3.5,"紧凑",IF(AND(I534&gt;=2,I534&lt;=3.5),"标准",IF(AND(I534&gt;=1,I534&lt;2),"松散",""))))</f>
        <v/>
      </c>
      <c r="K534" s="2">
        <f>IF(I534=0.1,"极紧凑-豹子号",IF(AND(I534&gt;=1,I534&lt;=1.29),"松散-极松散",IF(AND(I534&gt;=1.33,I534&lt;=1.8),"松散-标准松散",IF(AND(I534&gt;=1.83,I534&lt;=1.89),"松散-偏紧松散",IF(AND(I534&gt;=2,I534&lt;=2.5),"标准-偏松标准",IF(AND(I534&gt;=2.57,I534&lt;=3),"标准-核心标准",IF(AND(I534&gt;=3.17,I534&lt;=3.5),"标准-偏紧标准",IF(AND(I534&gt;=3.6,I534&lt;=5),"紧凑-标准紧凑",IF(AND(I534&gt;=5.25,I534&lt;=8),"紧凑-高度紧凑",IF(I534&gt;=8.5,"紧凑-极度紧凑",""))))))))))</f>
        <v/>
      </c>
      <c r="L534" s="2">
        <f>IF(I534=0.1,"极紧凑",IF(AND(I534&gt;=1,I534&lt;=1.89),"松散",IF(AND(I534&gt;=2,I534&lt;=3.5),"标准",IF(I534&gt;=3.6,"紧凑",""))))</f>
        <v/>
      </c>
      <c r="M534" s="2" t="inlineStr">
        <is>
          <t>极紧凑-豹子号</t>
        </is>
      </c>
      <c r="N534" s="2" t="inlineStr">
        <is>
          <t>松散-极松散</t>
        </is>
      </c>
      <c r="O534" s="2" t="inlineStr">
        <is>
          <t>松散-标准松散</t>
        </is>
      </c>
      <c r="P534" s="2" t="inlineStr">
        <is>
          <t>松散-偏紧松散</t>
        </is>
      </c>
      <c r="Q534" s="2" t="inlineStr">
        <is>
          <t>标准-偏松标准</t>
        </is>
      </c>
      <c r="R534" s="2" t="inlineStr">
        <is>
          <t>标准-核心标准</t>
        </is>
      </c>
      <c r="S534" s="2" t="inlineStr">
        <is>
          <t>标准-偏紧标准</t>
        </is>
      </c>
      <c r="T534" s="2" t="inlineStr">
        <is>
          <t>紧凑-标准紧凑</t>
        </is>
      </c>
      <c r="U534" s="2" t="inlineStr">
        <is>
          <t>紧凑-高度紧凑</t>
        </is>
      </c>
      <c r="V534" s="2" t="inlineStr">
        <is>
          <t>紧凑-极度紧凑</t>
        </is>
      </c>
    </row>
    <row r="535">
      <c r="A535" s="1" t="n">
        <v>2024102</v>
      </c>
      <c r="B535" s="3" t="inlineStr">
        <is>
          <t>215</t>
        </is>
      </c>
      <c r="C535" s="2">
        <f>IF(B535="","",LEFT(TEXT(B535,"000"),1)*1)</f>
        <v/>
      </c>
      <c r="D535" s="2">
        <f>IF(B535="","",MID(TEXT(B535,"000"),2,1)*1)</f>
        <v/>
      </c>
      <c r="E535" s="2">
        <f>IF(B535="","",RIGHT(TEXT(B535,"000"),1)*1)</f>
        <v/>
      </c>
      <c r="F535" s="2">
        <f>IF(B535="","",C535+D535+E535)</f>
        <v/>
      </c>
      <c r="G535" s="2">
        <f>IF(B535="","",MOD(F535,10))</f>
        <v/>
      </c>
      <c r="H535" s="2">
        <f>IF(B535="","",MAX(C535,D535,E535)-MIN(C535,D535,E535))</f>
        <v/>
      </c>
      <c r="I535" s="2">
        <f>IF(OR(B535="",H535=0),IF(H535=0,0.1,""),ROUND(F535/H535,2))</f>
        <v/>
      </c>
      <c r="J535" s="2">
        <f>IF(I535=0.1,"极紧凑",IF(I535&gt;3.5,"紧凑",IF(AND(I535&gt;=2,I535&lt;=3.5),"标准",IF(AND(I535&gt;=1,I535&lt;2),"松散",""))))</f>
        <v/>
      </c>
      <c r="K535" s="2">
        <f>IF(I535=0.1,"极紧凑-豹子号",IF(AND(I535&gt;=1,I535&lt;=1.29),"松散-极松散",IF(AND(I535&gt;=1.33,I535&lt;=1.8),"松散-标准松散",IF(AND(I535&gt;=1.83,I535&lt;=1.89),"松散-偏紧松散",IF(AND(I535&gt;=2,I535&lt;=2.5),"标准-偏松标准",IF(AND(I535&gt;=2.57,I535&lt;=3),"标准-核心标准",IF(AND(I535&gt;=3.17,I535&lt;=3.5),"标准-偏紧标准",IF(AND(I535&gt;=3.6,I535&lt;=5),"紧凑-标准紧凑",IF(AND(I535&gt;=5.25,I535&lt;=8),"紧凑-高度紧凑",IF(I535&gt;=8.5,"紧凑-极度紧凑",""))))))))))</f>
        <v/>
      </c>
      <c r="L535" s="2">
        <f>IF(I535=0.1,"极紧凑",IF(AND(I535&gt;=1,I535&lt;=1.89),"松散",IF(AND(I535&gt;=2,I535&lt;=3.5),"标准",IF(I535&gt;=3.6,"紧凑",""))))</f>
        <v/>
      </c>
      <c r="M535" s="2" t="inlineStr">
        <is>
          <t>极紧凑-豹子号</t>
        </is>
      </c>
      <c r="N535" s="2" t="inlineStr">
        <is>
          <t>松散-极松散</t>
        </is>
      </c>
      <c r="O535" s="2" t="inlineStr">
        <is>
          <t>松散-标准松散</t>
        </is>
      </c>
      <c r="P535" s="2" t="inlineStr">
        <is>
          <t>松散-偏紧松散</t>
        </is>
      </c>
      <c r="Q535" s="2" t="inlineStr">
        <is>
          <t>标准-偏松标准</t>
        </is>
      </c>
      <c r="R535" s="2" t="inlineStr">
        <is>
          <t>标准-核心标准</t>
        </is>
      </c>
      <c r="S535" s="2" t="inlineStr">
        <is>
          <t>标准-偏紧标准</t>
        </is>
      </c>
      <c r="T535" s="2" t="inlineStr">
        <is>
          <t>紧凑-标准紧凑</t>
        </is>
      </c>
      <c r="U535" s="2" t="inlineStr">
        <is>
          <t>紧凑-高度紧凑</t>
        </is>
      </c>
      <c r="V535" s="2" t="inlineStr">
        <is>
          <t>紧凑-极度紧凑</t>
        </is>
      </c>
    </row>
    <row r="536">
      <c r="A536" s="1" t="n">
        <v>2024103</v>
      </c>
      <c r="B536" s="3" t="inlineStr">
        <is>
          <t>551</t>
        </is>
      </c>
      <c r="C536" s="2">
        <f>IF(B536="","",LEFT(TEXT(B536,"000"),1)*1)</f>
        <v/>
      </c>
      <c r="D536" s="2">
        <f>IF(B536="","",MID(TEXT(B536,"000"),2,1)*1)</f>
        <v/>
      </c>
      <c r="E536" s="2">
        <f>IF(B536="","",RIGHT(TEXT(B536,"000"),1)*1)</f>
        <v/>
      </c>
      <c r="F536" s="2">
        <f>IF(B536="","",C536+D536+E536)</f>
        <v/>
      </c>
      <c r="G536" s="2">
        <f>IF(B536="","",MOD(F536,10))</f>
        <v/>
      </c>
      <c r="H536" s="2">
        <f>IF(B536="","",MAX(C536,D536,E536)-MIN(C536,D536,E536))</f>
        <v/>
      </c>
      <c r="I536" s="2">
        <f>IF(OR(B536="",H536=0),IF(H536=0,0.1,""),ROUND(F536/H536,2))</f>
        <v/>
      </c>
      <c r="J536" s="2">
        <f>IF(I536=0.1,"极紧凑",IF(I536&gt;3.5,"紧凑",IF(AND(I536&gt;=2,I536&lt;=3.5),"标准",IF(AND(I536&gt;=1,I536&lt;2),"松散",""))))</f>
        <v/>
      </c>
      <c r="K536" s="2">
        <f>IF(I536=0.1,"极紧凑-豹子号",IF(AND(I536&gt;=1,I536&lt;=1.29),"松散-极松散",IF(AND(I536&gt;=1.33,I536&lt;=1.8),"松散-标准松散",IF(AND(I536&gt;=1.83,I536&lt;=1.89),"松散-偏紧松散",IF(AND(I536&gt;=2,I536&lt;=2.5),"标准-偏松标准",IF(AND(I536&gt;=2.57,I536&lt;=3),"标准-核心标准",IF(AND(I536&gt;=3.17,I536&lt;=3.5),"标准-偏紧标准",IF(AND(I536&gt;=3.6,I536&lt;=5),"紧凑-标准紧凑",IF(AND(I536&gt;=5.25,I536&lt;=8),"紧凑-高度紧凑",IF(I536&gt;=8.5,"紧凑-极度紧凑",""))))))))))</f>
        <v/>
      </c>
      <c r="L536" s="2">
        <f>IF(I536=0.1,"极紧凑",IF(AND(I536&gt;=1,I536&lt;=1.89),"松散",IF(AND(I536&gt;=2,I536&lt;=3.5),"标准",IF(I536&gt;=3.6,"紧凑",""))))</f>
        <v/>
      </c>
      <c r="M536" s="2" t="inlineStr">
        <is>
          <t>极紧凑-豹子号</t>
        </is>
      </c>
      <c r="N536" s="2" t="inlineStr">
        <is>
          <t>松散-极松散</t>
        </is>
      </c>
      <c r="O536" s="2" t="inlineStr">
        <is>
          <t>松散-标准松散</t>
        </is>
      </c>
      <c r="P536" s="2" t="inlineStr">
        <is>
          <t>松散-偏紧松散</t>
        </is>
      </c>
      <c r="Q536" s="2" t="inlineStr">
        <is>
          <t>标准-偏松标准</t>
        </is>
      </c>
      <c r="R536" s="2" t="inlineStr">
        <is>
          <t>标准-核心标准</t>
        </is>
      </c>
      <c r="S536" s="2" t="inlineStr">
        <is>
          <t>标准-偏紧标准</t>
        </is>
      </c>
      <c r="T536" s="2" t="inlineStr">
        <is>
          <t>紧凑-标准紧凑</t>
        </is>
      </c>
      <c r="U536" s="2" t="inlineStr">
        <is>
          <t>紧凑-高度紧凑</t>
        </is>
      </c>
      <c r="V536" s="2" t="inlineStr">
        <is>
          <t>紧凑-极度紧凑</t>
        </is>
      </c>
    </row>
    <row r="537">
      <c r="A537" s="1" t="n">
        <v>2024104</v>
      </c>
      <c r="B537" s="3" t="inlineStr">
        <is>
          <t>474</t>
        </is>
      </c>
      <c r="C537" s="2">
        <f>IF(B537="","",LEFT(TEXT(B537,"000"),1)*1)</f>
        <v/>
      </c>
      <c r="D537" s="2">
        <f>IF(B537="","",MID(TEXT(B537,"000"),2,1)*1)</f>
        <v/>
      </c>
      <c r="E537" s="2">
        <f>IF(B537="","",RIGHT(TEXT(B537,"000"),1)*1)</f>
        <v/>
      </c>
      <c r="F537" s="2">
        <f>IF(B537="","",C537+D537+E537)</f>
        <v/>
      </c>
      <c r="G537" s="2">
        <f>IF(B537="","",MOD(F537,10))</f>
        <v/>
      </c>
      <c r="H537" s="2">
        <f>IF(B537="","",MAX(C537,D537,E537)-MIN(C537,D537,E537))</f>
        <v/>
      </c>
      <c r="I537" s="2">
        <f>IF(OR(B537="",H537=0),IF(H537=0,0.1,""),ROUND(F537/H537,2))</f>
        <v/>
      </c>
      <c r="J537" s="2">
        <f>IF(I537=0.1,"极紧凑",IF(I537&gt;3.5,"紧凑",IF(AND(I537&gt;=2,I537&lt;=3.5),"标准",IF(AND(I537&gt;=1,I537&lt;2),"松散",""))))</f>
        <v/>
      </c>
      <c r="K537" s="2">
        <f>IF(I537=0.1,"极紧凑-豹子号",IF(AND(I537&gt;=1,I537&lt;=1.29),"松散-极松散",IF(AND(I537&gt;=1.33,I537&lt;=1.8),"松散-标准松散",IF(AND(I537&gt;=1.83,I537&lt;=1.89),"松散-偏紧松散",IF(AND(I537&gt;=2,I537&lt;=2.5),"标准-偏松标准",IF(AND(I537&gt;=2.57,I537&lt;=3),"标准-核心标准",IF(AND(I537&gt;=3.17,I537&lt;=3.5),"标准-偏紧标准",IF(AND(I537&gt;=3.6,I537&lt;=5),"紧凑-标准紧凑",IF(AND(I537&gt;=5.25,I537&lt;=8),"紧凑-高度紧凑",IF(I537&gt;=8.5,"紧凑-极度紧凑",""))))))))))</f>
        <v/>
      </c>
      <c r="L537" s="2">
        <f>IF(I537=0.1,"极紧凑",IF(AND(I537&gt;=1,I537&lt;=1.89),"松散",IF(AND(I537&gt;=2,I537&lt;=3.5),"标准",IF(I537&gt;=3.6,"紧凑",""))))</f>
        <v/>
      </c>
      <c r="M537" s="2" t="inlineStr">
        <is>
          <t>极紧凑-豹子号</t>
        </is>
      </c>
      <c r="N537" s="2" t="inlineStr">
        <is>
          <t>松散-极松散</t>
        </is>
      </c>
      <c r="O537" s="2" t="inlineStr">
        <is>
          <t>松散-标准松散</t>
        </is>
      </c>
      <c r="P537" s="2" t="inlineStr">
        <is>
          <t>松散-偏紧松散</t>
        </is>
      </c>
      <c r="Q537" s="2" t="inlineStr">
        <is>
          <t>标准-偏松标准</t>
        </is>
      </c>
      <c r="R537" s="2" t="inlineStr">
        <is>
          <t>标准-核心标准</t>
        </is>
      </c>
      <c r="S537" s="2" t="inlineStr">
        <is>
          <t>标准-偏紧标准</t>
        </is>
      </c>
      <c r="T537" s="2" t="inlineStr">
        <is>
          <t>紧凑-标准紧凑</t>
        </is>
      </c>
      <c r="U537" s="2" t="inlineStr">
        <is>
          <t>紧凑-高度紧凑</t>
        </is>
      </c>
      <c r="V537" s="2" t="inlineStr">
        <is>
          <t>紧凑-极度紧凑</t>
        </is>
      </c>
    </row>
    <row r="538">
      <c r="A538" s="1" t="n">
        <v>2024105</v>
      </c>
      <c r="B538" s="3" t="inlineStr">
        <is>
          <t>210</t>
        </is>
      </c>
      <c r="C538" s="2">
        <f>IF(B538="","",LEFT(TEXT(B538,"000"),1)*1)</f>
        <v/>
      </c>
      <c r="D538" s="2">
        <f>IF(B538="","",MID(TEXT(B538,"000"),2,1)*1)</f>
        <v/>
      </c>
      <c r="E538" s="2">
        <f>IF(B538="","",RIGHT(TEXT(B538,"000"),1)*1)</f>
        <v/>
      </c>
      <c r="F538" s="2">
        <f>IF(B538="","",C538+D538+E538)</f>
        <v/>
      </c>
      <c r="G538" s="2">
        <f>IF(B538="","",MOD(F538,10))</f>
        <v/>
      </c>
      <c r="H538" s="2">
        <f>IF(B538="","",MAX(C538,D538,E538)-MIN(C538,D538,E538))</f>
        <v/>
      </c>
      <c r="I538" s="2">
        <f>IF(OR(B538="",H538=0),IF(H538=0,0.1,""),ROUND(F538/H538,2))</f>
        <v/>
      </c>
      <c r="J538" s="2">
        <f>IF(I538=0.1,"极紧凑",IF(I538&gt;3.5,"紧凑",IF(AND(I538&gt;=2,I538&lt;=3.5),"标准",IF(AND(I538&gt;=1,I538&lt;2),"松散",""))))</f>
        <v/>
      </c>
      <c r="K538" s="2">
        <f>IF(I538=0.1,"极紧凑-豹子号",IF(AND(I538&gt;=1,I538&lt;=1.29),"松散-极松散",IF(AND(I538&gt;=1.33,I538&lt;=1.8),"松散-标准松散",IF(AND(I538&gt;=1.83,I538&lt;=1.89),"松散-偏紧松散",IF(AND(I538&gt;=2,I538&lt;=2.5),"标准-偏松标准",IF(AND(I538&gt;=2.57,I538&lt;=3),"标准-核心标准",IF(AND(I538&gt;=3.17,I538&lt;=3.5),"标准-偏紧标准",IF(AND(I538&gt;=3.6,I538&lt;=5),"紧凑-标准紧凑",IF(AND(I538&gt;=5.25,I538&lt;=8),"紧凑-高度紧凑",IF(I538&gt;=8.5,"紧凑-极度紧凑",""))))))))))</f>
        <v/>
      </c>
      <c r="L538" s="2">
        <f>IF(I538=0.1,"极紧凑",IF(AND(I538&gt;=1,I538&lt;=1.89),"松散",IF(AND(I538&gt;=2,I538&lt;=3.5),"标准",IF(I538&gt;=3.6,"紧凑",""))))</f>
        <v/>
      </c>
      <c r="M538" s="2" t="inlineStr">
        <is>
          <t>极紧凑-豹子号</t>
        </is>
      </c>
      <c r="N538" s="2" t="inlineStr">
        <is>
          <t>松散-极松散</t>
        </is>
      </c>
      <c r="O538" s="2" t="inlineStr">
        <is>
          <t>松散-标准松散</t>
        </is>
      </c>
      <c r="P538" s="2" t="inlineStr">
        <is>
          <t>松散-偏紧松散</t>
        </is>
      </c>
      <c r="Q538" s="2" t="inlineStr">
        <is>
          <t>标准-偏松标准</t>
        </is>
      </c>
      <c r="R538" s="2" t="inlineStr">
        <is>
          <t>标准-核心标准</t>
        </is>
      </c>
      <c r="S538" s="2" t="inlineStr">
        <is>
          <t>标准-偏紧标准</t>
        </is>
      </c>
      <c r="T538" s="2" t="inlineStr">
        <is>
          <t>紧凑-标准紧凑</t>
        </is>
      </c>
      <c r="U538" s="2" t="inlineStr">
        <is>
          <t>紧凑-高度紧凑</t>
        </is>
      </c>
      <c r="V538" s="2" t="inlineStr">
        <is>
          <t>紧凑-极度紧凑</t>
        </is>
      </c>
    </row>
    <row r="539">
      <c r="A539" s="1" t="n">
        <v>2024106</v>
      </c>
      <c r="B539" s="3" t="inlineStr">
        <is>
          <t>533</t>
        </is>
      </c>
      <c r="C539" s="2">
        <f>IF(B539="","",LEFT(TEXT(B539,"000"),1)*1)</f>
        <v/>
      </c>
      <c r="D539" s="2">
        <f>IF(B539="","",MID(TEXT(B539,"000"),2,1)*1)</f>
        <v/>
      </c>
      <c r="E539" s="2">
        <f>IF(B539="","",RIGHT(TEXT(B539,"000"),1)*1)</f>
        <v/>
      </c>
      <c r="F539" s="2">
        <f>IF(B539="","",C539+D539+E539)</f>
        <v/>
      </c>
      <c r="G539" s="2">
        <f>IF(B539="","",MOD(F539,10))</f>
        <v/>
      </c>
      <c r="H539" s="2">
        <f>IF(B539="","",MAX(C539,D539,E539)-MIN(C539,D539,E539))</f>
        <v/>
      </c>
      <c r="I539" s="2">
        <f>IF(OR(B539="",H539=0),IF(H539=0,0.1,""),ROUND(F539/H539,2))</f>
        <v/>
      </c>
      <c r="J539" s="2">
        <f>IF(I539=0.1,"极紧凑",IF(I539&gt;3.5,"紧凑",IF(AND(I539&gt;=2,I539&lt;=3.5),"标准",IF(AND(I539&gt;=1,I539&lt;2),"松散",""))))</f>
        <v/>
      </c>
      <c r="K539" s="2">
        <f>IF(I539=0.1,"极紧凑-豹子号",IF(AND(I539&gt;=1,I539&lt;=1.29),"松散-极松散",IF(AND(I539&gt;=1.33,I539&lt;=1.8),"松散-标准松散",IF(AND(I539&gt;=1.83,I539&lt;=1.89),"松散-偏紧松散",IF(AND(I539&gt;=2,I539&lt;=2.5),"标准-偏松标准",IF(AND(I539&gt;=2.57,I539&lt;=3),"标准-核心标准",IF(AND(I539&gt;=3.17,I539&lt;=3.5),"标准-偏紧标准",IF(AND(I539&gt;=3.6,I539&lt;=5),"紧凑-标准紧凑",IF(AND(I539&gt;=5.25,I539&lt;=8),"紧凑-高度紧凑",IF(I539&gt;=8.5,"紧凑-极度紧凑",""))))))))))</f>
        <v/>
      </c>
      <c r="L539" s="2">
        <f>IF(I539=0.1,"极紧凑",IF(AND(I539&gt;=1,I539&lt;=1.89),"松散",IF(AND(I539&gt;=2,I539&lt;=3.5),"标准",IF(I539&gt;=3.6,"紧凑",""))))</f>
        <v/>
      </c>
      <c r="M539" s="2" t="inlineStr">
        <is>
          <t>极紧凑-豹子号</t>
        </is>
      </c>
      <c r="N539" s="2" t="inlineStr">
        <is>
          <t>松散-极松散</t>
        </is>
      </c>
      <c r="O539" s="2" t="inlineStr">
        <is>
          <t>松散-标准松散</t>
        </is>
      </c>
      <c r="P539" s="2" t="inlineStr">
        <is>
          <t>松散-偏紧松散</t>
        </is>
      </c>
      <c r="Q539" s="2" t="inlineStr">
        <is>
          <t>标准-偏松标准</t>
        </is>
      </c>
      <c r="R539" s="2" t="inlineStr">
        <is>
          <t>标准-核心标准</t>
        </is>
      </c>
      <c r="S539" s="2" t="inlineStr">
        <is>
          <t>标准-偏紧标准</t>
        </is>
      </c>
      <c r="T539" s="2" t="inlineStr">
        <is>
          <t>紧凑-标准紧凑</t>
        </is>
      </c>
      <c r="U539" s="2" t="inlineStr">
        <is>
          <t>紧凑-高度紧凑</t>
        </is>
      </c>
      <c r="V539" s="2" t="inlineStr">
        <is>
          <t>紧凑-极度紧凑</t>
        </is>
      </c>
    </row>
    <row r="540">
      <c r="A540" s="1" t="n">
        <v>2024107</v>
      </c>
      <c r="B540" s="3" t="inlineStr">
        <is>
          <t>499</t>
        </is>
      </c>
      <c r="C540" s="2">
        <f>IF(B540="","",LEFT(TEXT(B540,"000"),1)*1)</f>
        <v/>
      </c>
      <c r="D540" s="2">
        <f>IF(B540="","",MID(TEXT(B540,"000"),2,1)*1)</f>
        <v/>
      </c>
      <c r="E540" s="2">
        <f>IF(B540="","",RIGHT(TEXT(B540,"000"),1)*1)</f>
        <v/>
      </c>
      <c r="F540" s="2">
        <f>IF(B540="","",C540+D540+E540)</f>
        <v/>
      </c>
      <c r="G540" s="2">
        <f>IF(B540="","",MOD(F540,10))</f>
        <v/>
      </c>
      <c r="H540" s="2">
        <f>IF(B540="","",MAX(C540,D540,E540)-MIN(C540,D540,E540))</f>
        <v/>
      </c>
      <c r="I540" s="2">
        <f>IF(OR(B540="",H540=0),IF(H540=0,0.1,""),ROUND(F540/H540,2))</f>
        <v/>
      </c>
      <c r="J540" s="2">
        <f>IF(I540=0.1,"极紧凑",IF(I540&gt;3.5,"紧凑",IF(AND(I540&gt;=2,I540&lt;=3.5),"标准",IF(AND(I540&gt;=1,I540&lt;2),"松散",""))))</f>
        <v/>
      </c>
      <c r="K540" s="2">
        <f>IF(I540=0.1,"极紧凑-豹子号",IF(AND(I540&gt;=1,I540&lt;=1.29),"松散-极松散",IF(AND(I540&gt;=1.33,I540&lt;=1.8),"松散-标准松散",IF(AND(I540&gt;=1.83,I540&lt;=1.89),"松散-偏紧松散",IF(AND(I540&gt;=2,I540&lt;=2.5),"标准-偏松标准",IF(AND(I540&gt;=2.57,I540&lt;=3),"标准-核心标准",IF(AND(I540&gt;=3.17,I540&lt;=3.5),"标准-偏紧标准",IF(AND(I540&gt;=3.6,I540&lt;=5),"紧凑-标准紧凑",IF(AND(I540&gt;=5.25,I540&lt;=8),"紧凑-高度紧凑",IF(I540&gt;=8.5,"紧凑-极度紧凑",""))))))))))</f>
        <v/>
      </c>
      <c r="L540" s="2">
        <f>IF(I540=0.1,"极紧凑",IF(AND(I540&gt;=1,I540&lt;=1.89),"松散",IF(AND(I540&gt;=2,I540&lt;=3.5),"标准",IF(I540&gt;=3.6,"紧凑",""))))</f>
        <v/>
      </c>
      <c r="M540" s="2" t="inlineStr">
        <is>
          <t>极紧凑-豹子号</t>
        </is>
      </c>
      <c r="N540" s="2" t="inlineStr">
        <is>
          <t>松散-极松散</t>
        </is>
      </c>
      <c r="O540" s="2" t="inlineStr">
        <is>
          <t>松散-标准松散</t>
        </is>
      </c>
      <c r="P540" s="2" t="inlineStr">
        <is>
          <t>松散-偏紧松散</t>
        </is>
      </c>
      <c r="Q540" s="2" t="inlineStr">
        <is>
          <t>标准-偏松标准</t>
        </is>
      </c>
      <c r="R540" s="2" t="inlineStr">
        <is>
          <t>标准-核心标准</t>
        </is>
      </c>
      <c r="S540" s="2" t="inlineStr">
        <is>
          <t>标准-偏紧标准</t>
        </is>
      </c>
      <c r="T540" s="2" t="inlineStr">
        <is>
          <t>紧凑-标准紧凑</t>
        </is>
      </c>
      <c r="U540" s="2" t="inlineStr">
        <is>
          <t>紧凑-高度紧凑</t>
        </is>
      </c>
      <c r="V540" s="2" t="inlineStr">
        <is>
          <t>紧凑-极度紧凑</t>
        </is>
      </c>
    </row>
    <row r="541">
      <c r="A541" s="1" t="n">
        <v>2024108</v>
      </c>
      <c r="B541" s="3" t="inlineStr">
        <is>
          <t>252</t>
        </is>
      </c>
      <c r="C541" s="2">
        <f>IF(B541="","",LEFT(TEXT(B541,"000"),1)*1)</f>
        <v/>
      </c>
      <c r="D541" s="2">
        <f>IF(B541="","",MID(TEXT(B541,"000"),2,1)*1)</f>
        <v/>
      </c>
      <c r="E541" s="2">
        <f>IF(B541="","",RIGHT(TEXT(B541,"000"),1)*1)</f>
        <v/>
      </c>
      <c r="F541" s="2">
        <f>IF(B541="","",C541+D541+E541)</f>
        <v/>
      </c>
      <c r="G541" s="2">
        <f>IF(B541="","",MOD(F541,10))</f>
        <v/>
      </c>
      <c r="H541" s="2">
        <f>IF(B541="","",MAX(C541,D541,E541)-MIN(C541,D541,E541))</f>
        <v/>
      </c>
      <c r="I541" s="2">
        <f>IF(OR(B541="",H541=0),IF(H541=0,0.1,""),ROUND(F541/H541,2))</f>
        <v/>
      </c>
      <c r="J541" s="2">
        <f>IF(I541=0.1,"极紧凑",IF(I541&gt;3.5,"紧凑",IF(AND(I541&gt;=2,I541&lt;=3.5),"标准",IF(AND(I541&gt;=1,I541&lt;2),"松散",""))))</f>
        <v/>
      </c>
      <c r="K541" s="2">
        <f>IF(I541=0.1,"极紧凑-豹子号",IF(AND(I541&gt;=1,I541&lt;=1.29),"松散-极松散",IF(AND(I541&gt;=1.33,I541&lt;=1.8),"松散-标准松散",IF(AND(I541&gt;=1.83,I541&lt;=1.89),"松散-偏紧松散",IF(AND(I541&gt;=2,I541&lt;=2.5),"标准-偏松标准",IF(AND(I541&gt;=2.57,I541&lt;=3),"标准-核心标准",IF(AND(I541&gt;=3.17,I541&lt;=3.5),"标准-偏紧标准",IF(AND(I541&gt;=3.6,I541&lt;=5),"紧凑-标准紧凑",IF(AND(I541&gt;=5.25,I541&lt;=8),"紧凑-高度紧凑",IF(I541&gt;=8.5,"紧凑-极度紧凑",""))))))))))</f>
        <v/>
      </c>
      <c r="L541" s="2">
        <f>IF(I541=0.1,"极紧凑",IF(AND(I541&gt;=1,I541&lt;=1.89),"松散",IF(AND(I541&gt;=2,I541&lt;=3.5),"标准",IF(I541&gt;=3.6,"紧凑",""))))</f>
        <v/>
      </c>
      <c r="M541" s="2" t="inlineStr">
        <is>
          <t>极紧凑-豹子号</t>
        </is>
      </c>
      <c r="N541" s="2" t="inlineStr">
        <is>
          <t>松散-极松散</t>
        </is>
      </c>
      <c r="O541" s="2" t="inlineStr">
        <is>
          <t>松散-标准松散</t>
        </is>
      </c>
      <c r="P541" s="2" t="inlineStr">
        <is>
          <t>松散-偏紧松散</t>
        </is>
      </c>
      <c r="Q541" s="2" t="inlineStr">
        <is>
          <t>标准-偏松标准</t>
        </is>
      </c>
      <c r="R541" s="2" t="inlineStr">
        <is>
          <t>标准-核心标准</t>
        </is>
      </c>
      <c r="S541" s="2" t="inlineStr">
        <is>
          <t>标准-偏紧标准</t>
        </is>
      </c>
      <c r="T541" s="2" t="inlineStr">
        <is>
          <t>紧凑-标准紧凑</t>
        </is>
      </c>
      <c r="U541" s="2" t="inlineStr">
        <is>
          <t>紧凑-高度紧凑</t>
        </is>
      </c>
      <c r="V541" s="2" t="inlineStr">
        <is>
          <t>紧凑-极度紧凑</t>
        </is>
      </c>
    </row>
    <row r="542">
      <c r="A542" s="1" t="n">
        <v>2024109</v>
      </c>
      <c r="B542" s="3" t="inlineStr">
        <is>
          <t>243</t>
        </is>
      </c>
      <c r="C542" s="2">
        <f>IF(B542="","",LEFT(TEXT(B542,"000"),1)*1)</f>
        <v/>
      </c>
      <c r="D542" s="2">
        <f>IF(B542="","",MID(TEXT(B542,"000"),2,1)*1)</f>
        <v/>
      </c>
      <c r="E542" s="2">
        <f>IF(B542="","",RIGHT(TEXT(B542,"000"),1)*1)</f>
        <v/>
      </c>
      <c r="F542" s="2">
        <f>IF(B542="","",C542+D542+E542)</f>
        <v/>
      </c>
      <c r="G542" s="2">
        <f>IF(B542="","",MOD(F542,10))</f>
        <v/>
      </c>
      <c r="H542" s="2">
        <f>IF(B542="","",MAX(C542,D542,E542)-MIN(C542,D542,E542))</f>
        <v/>
      </c>
      <c r="I542" s="2">
        <f>IF(OR(B542="",H542=0),IF(H542=0,0.1,""),ROUND(F542/H542,2))</f>
        <v/>
      </c>
      <c r="J542" s="2">
        <f>IF(I542=0.1,"极紧凑",IF(I542&gt;3.5,"紧凑",IF(AND(I542&gt;=2,I542&lt;=3.5),"标准",IF(AND(I542&gt;=1,I542&lt;2),"松散",""))))</f>
        <v/>
      </c>
      <c r="K542" s="2">
        <f>IF(I542=0.1,"极紧凑-豹子号",IF(AND(I542&gt;=1,I542&lt;=1.29),"松散-极松散",IF(AND(I542&gt;=1.33,I542&lt;=1.8),"松散-标准松散",IF(AND(I542&gt;=1.83,I542&lt;=1.89),"松散-偏紧松散",IF(AND(I542&gt;=2,I542&lt;=2.5),"标准-偏松标准",IF(AND(I542&gt;=2.57,I542&lt;=3),"标准-核心标准",IF(AND(I542&gt;=3.17,I542&lt;=3.5),"标准-偏紧标准",IF(AND(I542&gt;=3.6,I542&lt;=5),"紧凑-标准紧凑",IF(AND(I542&gt;=5.25,I542&lt;=8),"紧凑-高度紧凑",IF(I542&gt;=8.5,"紧凑-极度紧凑",""))))))))))</f>
        <v/>
      </c>
      <c r="L542" s="2">
        <f>IF(I542=0.1,"极紧凑",IF(AND(I542&gt;=1,I542&lt;=1.89),"松散",IF(AND(I542&gt;=2,I542&lt;=3.5),"标准",IF(I542&gt;=3.6,"紧凑",""))))</f>
        <v/>
      </c>
      <c r="M542" s="2" t="inlineStr">
        <is>
          <t>极紧凑-豹子号</t>
        </is>
      </c>
      <c r="N542" s="2" t="inlineStr">
        <is>
          <t>松散-极松散</t>
        </is>
      </c>
      <c r="O542" s="2" t="inlineStr">
        <is>
          <t>松散-标准松散</t>
        </is>
      </c>
      <c r="P542" s="2" t="inlineStr">
        <is>
          <t>松散-偏紧松散</t>
        </is>
      </c>
      <c r="Q542" s="2" t="inlineStr">
        <is>
          <t>标准-偏松标准</t>
        </is>
      </c>
      <c r="R542" s="2" t="inlineStr">
        <is>
          <t>标准-核心标准</t>
        </is>
      </c>
      <c r="S542" s="2" t="inlineStr">
        <is>
          <t>标准-偏紧标准</t>
        </is>
      </c>
      <c r="T542" s="2" t="inlineStr">
        <is>
          <t>紧凑-标准紧凑</t>
        </is>
      </c>
      <c r="U542" s="2" t="inlineStr">
        <is>
          <t>紧凑-高度紧凑</t>
        </is>
      </c>
      <c r="V542" s="2" t="inlineStr">
        <is>
          <t>紧凑-极度紧凑</t>
        </is>
      </c>
    </row>
    <row r="543">
      <c r="A543" s="1" t="n">
        <v>2024110</v>
      </c>
      <c r="B543" s="3" t="inlineStr">
        <is>
          <t>629</t>
        </is>
      </c>
      <c r="C543" s="2">
        <f>IF(B543="","",LEFT(TEXT(B543,"000"),1)*1)</f>
        <v/>
      </c>
      <c r="D543" s="2">
        <f>IF(B543="","",MID(TEXT(B543,"000"),2,1)*1)</f>
        <v/>
      </c>
      <c r="E543" s="2">
        <f>IF(B543="","",RIGHT(TEXT(B543,"000"),1)*1)</f>
        <v/>
      </c>
      <c r="F543" s="2">
        <f>IF(B543="","",C543+D543+E543)</f>
        <v/>
      </c>
      <c r="G543" s="2">
        <f>IF(B543="","",MOD(F543,10))</f>
        <v/>
      </c>
      <c r="H543" s="2">
        <f>IF(B543="","",MAX(C543,D543,E543)-MIN(C543,D543,E543))</f>
        <v/>
      </c>
      <c r="I543" s="2">
        <f>IF(OR(B543="",H543=0),IF(H543=0,0.1,""),ROUND(F543/H543,2))</f>
        <v/>
      </c>
      <c r="J543" s="2">
        <f>IF(I543=0.1,"极紧凑",IF(I543&gt;3.5,"紧凑",IF(AND(I543&gt;=2,I543&lt;=3.5),"标准",IF(AND(I543&gt;=1,I543&lt;2),"松散",""))))</f>
        <v/>
      </c>
      <c r="K543" s="2">
        <f>IF(I543=0.1,"极紧凑-豹子号",IF(AND(I543&gt;=1,I543&lt;=1.29),"松散-极松散",IF(AND(I543&gt;=1.33,I543&lt;=1.8),"松散-标准松散",IF(AND(I543&gt;=1.83,I543&lt;=1.89),"松散-偏紧松散",IF(AND(I543&gt;=2,I543&lt;=2.5),"标准-偏松标准",IF(AND(I543&gt;=2.57,I543&lt;=3),"标准-核心标准",IF(AND(I543&gt;=3.17,I543&lt;=3.5),"标准-偏紧标准",IF(AND(I543&gt;=3.6,I543&lt;=5),"紧凑-标准紧凑",IF(AND(I543&gt;=5.25,I543&lt;=8),"紧凑-高度紧凑",IF(I543&gt;=8.5,"紧凑-极度紧凑",""))))))))))</f>
        <v/>
      </c>
      <c r="L543" s="2">
        <f>IF(I543=0.1,"极紧凑",IF(AND(I543&gt;=1,I543&lt;=1.89),"松散",IF(AND(I543&gt;=2,I543&lt;=3.5),"标准",IF(I543&gt;=3.6,"紧凑",""))))</f>
        <v/>
      </c>
      <c r="M543" s="2" t="inlineStr">
        <is>
          <t>极紧凑-豹子号</t>
        </is>
      </c>
      <c r="N543" s="2" t="inlineStr">
        <is>
          <t>松散-极松散</t>
        </is>
      </c>
      <c r="O543" s="2" t="inlineStr">
        <is>
          <t>松散-标准松散</t>
        </is>
      </c>
      <c r="P543" s="2" t="inlineStr">
        <is>
          <t>松散-偏紧松散</t>
        </is>
      </c>
      <c r="Q543" s="2" t="inlineStr">
        <is>
          <t>标准-偏松标准</t>
        </is>
      </c>
      <c r="R543" s="2" t="inlineStr">
        <is>
          <t>标准-核心标准</t>
        </is>
      </c>
      <c r="S543" s="2" t="inlineStr">
        <is>
          <t>标准-偏紧标准</t>
        </is>
      </c>
      <c r="T543" s="2" t="inlineStr">
        <is>
          <t>紧凑-标准紧凑</t>
        </is>
      </c>
      <c r="U543" s="2" t="inlineStr">
        <is>
          <t>紧凑-高度紧凑</t>
        </is>
      </c>
      <c r="V543" s="2" t="inlineStr">
        <is>
          <t>紧凑-极度紧凑</t>
        </is>
      </c>
    </row>
    <row r="544">
      <c r="A544" s="1" t="n">
        <v>2024111</v>
      </c>
      <c r="B544" s="3" t="inlineStr">
        <is>
          <t>336</t>
        </is>
      </c>
      <c r="C544" s="2">
        <f>IF(B544="","",LEFT(TEXT(B544,"000"),1)*1)</f>
        <v/>
      </c>
      <c r="D544" s="2">
        <f>IF(B544="","",MID(TEXT(B544,"000"),2,1)*1)</f>
        <v/>
      </c>
      <c r="E544" s="2">
        <f>IF(B544="","",RIGHT(TEXT(B544,"000"),1)*1)</f>
        <v/>
      </c>
      <c r="F544" s="2">
        <f>IF(B544="","",C544+D544+E544)</f>
        <v/>
      </c>
      <c r="G544" s="2">
        <f>IF(B544="","",MOD(F544,10))</f>
        <v/>
      </c>
      <c r="H544" s="2">
        <f>IF(B544="","",MAX(C544,D544,E544)-MIN(C544,D544,E544))</f>
        <v/>
      </c>
      <c r="I544" s="2">
        <f>IF(OR(B544="",H544=0),IF(H544=0,0.1,""),ROUND(F544/H544,2))</f>
        <v/>
      </c>
      <c r="J544" s="2">
        <f>IF(I544=0.1,"极紧凑",IF(I544&gt;3.5,"紧凑",IF(AND(I544&gt;=2,I544&lt;=3.5),"标准",IF(AND(I544&gt;=1,I544&lt;2),"松散",""))))</f>
        <v/>
      </c>
      <c r="K544" s="2">
        <f>IF(I544=0.1,"极紧凑-豹子号",IF(AND(I544&gt;=1,I544&lt;=1.29),"松散-极松散",IF(AND(I544&gt;=1.33,I544&lt;=1.8),"松散-标准松散",IF(AND(I544&gt;=1.83,I544&lt;=1.89),"松散-偏紧松散",IF(AND(I544&gt;=2,I544&lt;=2.5),"标准-偏松标准",IF(AND(I544&gt;=2.57,I544&lt;=3),"标准-核心标准",IF(AND(I544&gt;=3.17,I544&lt;=3.5),"标准-偏紧标准",IF(AND(I544&gt;=3.6,I544&lt;=5),"紧凑-标准紧凑",IF(AND(I544&gt;=5.25,I544&lt;=8),"紧凑-高度紧凑",IF(I544&gt;=8.5,"紧凑-极度紧凑",""))))))))))</f>
        <v/>
      </c>
      <c r="L544" s="2">
        <f>IF(I544=0.1,"极紧凑",IF(AND(I544&gt;=1,I544&lt;=1.89),"松散",IF(AND(I544&gt;=2,I544&lt;=3.5),"标准",IF(I544&gt;=3.6,"紧凑",""))))</f>
        <v/>
      </c>
      <c r="M544" s="2" t="inlineStr">
        <is>
          <t>极紧凑-豹子号</t>
        </is>
      </c>
      <c r="N544" s="2" t="inlineStr">
        <is>
          <t>松散-极松散</t>
        </is>
      </c>
      <c r="O544" s="2" t="inlineStr">
        <is>
          <t>松散-标准松散</t>
        </is>
      </c>
      <c r="P544" s="2" t="inlineStr">
        <is>
          <t>松散-偏紧松散</t>
        </is>
      </c>
      <c r="Q544" s="2" t="inlineStr">
        <is>
          <t>标准-偏松标准</t>
        </is>
      </c>
      <c r="R544" s="2" t="inlineStr">
        <is>
          <t>标准-核心标准</t>
        </is>
      </c>
      <c r="S544" s="2" t="inlineStr">
        <is>
          <t>标准-偏紧标准</t>
        </is>
      </c>
      <c r="T544" s="2" t="inlineStr">
        <is>
          <t>紧凑-标准紧凑</t>
        </is>
      </c>
      <c r="U544" s="2" t="inlineStr">
        <is>
          <t>紧凑-高度紧凑</t>
        </is>
      </c>
      <c r="V544" s="2" t="inlineStr">
        <is>
          <t>紧凑-极度紧凑</t>
        </is>
      </c>
    </row>
    <row r="545">
      <c r="A545" s="1" t="n">
        <v>2024112</v>
      </c>
      <c r="B545" s="3" t="inlineStr">
        <is>
          <t>218</t>
        </is>
      </c>
      <c r="C545" s="2">
        <f>IF(B545="","",LEFT(TEXT(B545,"000"),1)*1)</f>
        <v/>
      </c>
      <c r="D545" s="2">
        <f>IF(B545="","",MID(TEXT(B545,"000"),2,1)*1)</f>
        <v/>
      </c>
      <c r="E545" s="2">
        <f>IF(B545="","",RIGHT(TEXT(B545,"000"),1)*1)</f>
        <v/>
      </c>
      <c r="F545" s="2">
        <f>IF(B545="","",C545+D545+E545)</f>
        <v/>
      </c>
      <c r="G545" s="2">
        <f>IF(B545="","",MOD(F545,10))</f>
        <v/>
      </c>
      <c r="H545" s="2">
        <f>IF(B545="","",MAX(C545,D545,E545)-MIN(C545,D545,E545))</f>
        <v/>
      </c>
      <c r="I545" s="2">
        <f>IF(OR(B545="",H545=0),IF(H545=0,0.1,""),ROUND(F545/H545,2))</f>
        <v/>
      </c>
      <c r="J545" s="2">
        <f>IF(I545=0.1,"极紧凑",IF(I545&gt;3.5,"紧凑",IF(AND(I545&gt;=2,I545&lt;=3.5),"标准",IF(AND(I545&gt;=1,I545&lt;2),"松散",""))))</f>
        <v/>
      </c>
      <c r="K545" s="2">
        <f>IF(I545=0.1,"极紧凑-豹子号",IF(AND(I545&gt;=1,I545&lt;=1.29),"松散-极松散",IF(AND(I545&gt;=1.33,I545&lt;=1.8),"松散-标准松散",IF(AND(I545&gt;=1.83,I545&lt;=1.89),"松散-偏紧松散",IF(AND(I545&gt;=2,I545&lt;=2.5),"标准-偏松标准",IF(AND(I545&gt;=2.57,I545&lt;=3),"标准-核心标准",IF(AND(I545&gt;=3.17,I545&lt;=3.5),"标准-偏紧标准",IF(AND(I545&gt;=3.6,I545&lt;=5),"紧凑-标准紧凑",IF(AND(I545&gt;=5.25,I545&lt;=8),"紧凑-高度紧凑",IF(I545&gt;=8.5,"紧凑-极度紧凑",""))))))))))</f>
        <v/>
      </c>
      <c r="L545" s="2">
        <f>IF(I545=0.1,"极紧凑",IF(AND(I545&gt;=1,I545&lt;=1.89),"松散",IF(AND(I545&gt;=2,I545&lt;=3.5),"标准",IF(I545&gt;=3.6,"紧凑",""))))</f>
        <v/>
      </c>
      <c r="M545" s="2" t="inlineStr">
        <is>
          <t>极紧凑-豹子号</t>
        </is>
      </c>
      <c r="N545" s="2" t="inlineStr">
        <is>
          <t>松散-极松散</t>
        </is>
      </c>
      <c r="O545" s="2" t="inlineStr">
        <is>
          <t>松散-标准松散</t>
        </is>
      </c>
      <c r="P545" s="2" t="inlineStr">
        <is>
          <t>松散-偏紧松散</t>
        </is>
      </c>
      <c r="Q545" s="2" t="inlineStr">
        <is>
          <t>标准-偏松标准</t>
        </is>
      </c>
      <c r="R545" s="2" t="inlineStr">
        <is>
          <t>标准-核心标准</t>
        </is>
      </c>
      <c r="S545" s="2" t="inlineStr">
        <is>
          <t>标准-偏紧标准</t>
        </is>
      </c>
      <c r="T545" s="2" t="inlineStr">
        <is>
          <t>紧凑-标准紧凑</t>
        </is>
      </c>
      <c r="U545" s="2" t="inlineStr">
        <is>
          <t>紧凑-高度紧凑</t>
        </is>
      </c>
      <c r="V545" s="2" t="inlineStr">
        <is>
          <t>紧凑-极度紧凑</t>
        </is>
      </c>
    </row>
    <row r="546">
      <c r="A546" s="1" t="n">
        <v>2024113</v>
      </c>
      <c r="B546" s="3" t="inlineStr">
        <is>
          <t>345</t>
        </is>
      </c>
      <c r="C546" s="2">
        <f>IF(B546="","",LEFT(TEXT(B546,"000"),1)*1)</f>
        <v/>
      </c>
      <c r="D546" s="2">
        <f>IF(B546="","",MID(TEXT(B546,"000"),2,1)*1)</f>
        <v/>
      </c>
      <c r="E546" s="2">
        <f>IF(B546="","",RIGHT(TEXT(B546,"000"),1)*1)</f>
        <v/>
      </c>
      <c r="F546" s="2">
        <f>IF(B546="","",C546+D546+E546)</f>
        <v/>
      </c>
      <c r="G546" s="2">
        <f>IF(B546="","",MOD(F546,10))</f>
        <v/>
      </c>
      <c r="H546" s="2">
        <f>IF(B546="","",MAX(C546,D546,E546)-MIN(C546,D546,E546))</f>
        <v/>
      </c>
      <c r="I546" s="2">
        <f>IF(OR(B546="",H546=0),IF(H546=0,0.1,""),ROUND(F546/H546,2))</f>
        <v/>
      </c>
      <c r="J546" s="2">
        <f>IF(I546=0.1,"极紧凑",IF(I546&gt;3.5,"紧凑",IF(AND(I546&gt;=2,I546&lt;=3.5),"标准",IF(AND(I546&gt;=1,I546&lt;2),"松散",""))))</f>
        <v/>
      </c>
      <c r="K546" s="2">
        <f>IF(I546=0.1,"极紧凑-豹子号",IF(AND(I546&gt;=1,I546&lt;=1.29),"松散-极松散",IF(AND(I546&gt;=1.33,I546&lt;=1.8),"松散-标准松散",IF(AND(I546&gt;=1.83,I546&lt;=1.89),"松散-偏紧松散",IF(AND(I546&gt;=2,I546&lt;=2.5),"标准-偏松标准",IF(AND(I546&gt;=2.57,I546&lt;=3),"标准-核心标准",IF(AND(I546&gt;=3.17,I546&lt;=3.5),"标准-偏紧标准",IF(AND(I546&gt;=3.6,I546&lt;=5),"紧凑-标准紧凑",IF(AND(I546&gt;=5.25,I546&lt;=8),"紧凑-高度紧凑",IF(I546&gt;=8.5,"紧凑-极度紧凑",""))))))))))</f>
        <v/>
      </c>
      <c r="L546" s="2">
        <f>IF(I546=0.1,"极紧凑",IF(AND(I546&gt;=1,I546&lt;=1.89),"松散",IF(AND(I546&gt;=2,I546&lt;=3.5),"标准",IF(I546&gt;=3.6,"紧凑",""))))</f>
        <v/>
      </c>
      <c r="M546" s="2" t="inlineStr">
        <is>
          <t>极紧凑-豹子号</t>
        </is>
      </c>
      <c r="N546" s="2" t="inlineStr">
        <is>
          <t>松散-极松散</t>
        </is>
      </c>
      <c r="O546" s="2" t="inlineStr">
        <is>
          <t>松散-标准松散</t>
        </is>
      </c>
      <c r="P546" s="2" t="inlineStr">
        <is>
          <t>松散-偏紧松散</t>
        </is>
      </c>
      <c r="Q546" s="2" t="inlineStr">
        <is>
          <t>标准-偏松标准</t>
        </is>
      </c>
      <c r="R546" s="2" t="inlineStr">
        <is>
          <t>标准-核心标准</t>
        </is>
      </c>
      <c r="S546" s="2" t="inlineStr">
        <is>
          <t>标准-偏紧标准</t>
        </is>
      </c>
      <c r="T546" s="2" t="inlineStr">
        <is>
          <t>紧凑-标准紧凑</t>
        </is>
      </c>
      <c r="U546" s="2" t="inlineStr">
        <is>
          <t>紧凑-高度紧凑</t>
        </is>
      </c>
      <c r="V546" s="2" t="inlineStr">
        <is>
          <t>紧凑-极度紧凑</t>
        </is>
      </c>
    </row>
    <row r="547">
      <c r="A547" s="1" t="n">
        <v>2024114</v>
      </c>
      <c r="B547" s="3" t="inlineStr">
        <is>
          <t>548</t>
        </is>
      </c>
      <c r="C547" s="2">
        <f>IF(B547="","",LEFT(TEXT(B547,"000"),1)*1)</f>
        <v/>
      </c>
      <c r="D547" s="2">
        <f>IF(B547="","",MID(TEXT(B547,"000"),2,1)*1)</f>
        <v/>
      </c>
      <c r="E547" s="2">
        <f>IF(B547="","",RIGHT(TEXT(B547,"000"),1)*1)</f>
        <v/>
      </c>
      <c r="F547" s="2">
        <f>IF(B547="","",C547+D547+E547)</f>
        <v/>
      </c>
      <c r="G547" s="2">
        <f>IF(B547="","",MOD(F547,10))</f>
        <v/>
      </c>
      <c r="H547" s="2">
        <f>IF(B547="","",MAX(C547,D547,E547)-MIN(C547,D547,E547))</f>
        <v/>
      </c>
      <c r="I547" s="2">
        <f>IF(OR(B547="",H547=0),IF(H547=0,0.1,""),ROUND(F547/H547,2))</f>
        <v/>
      </c>
      <c r="J547" s="2">
        <f>IF(I547=0.1,"极紧凑",IF(I547&gt;3.5,"紧凑",IF(AND(I547&gt;=2,I547&lt;=3.5),"标准",IF(AND(I547&gt;=1,I547&lt;2),"松散",""))))</f>
        <v/>
      </c>
      <c r="K547" s="2">
        <f>IF(I547=0.1,"极紧凑-豹子号",IF(AND(I547&gt;=1,I547&lt;=1.29),"松散-极松散",IF(AND(I547&gt;=1.33,I547&lt;=1.8),"松散-标准松散",IF(AND(I547&gt;=1.83,I547&lt;=1.89),"松散-偏紧松散",IF(AND(I547&gt;=2,I547&lt;=2.5),"标准-偏松标准",IF(AND(I547&gt;=2.57,I547&lt;=3),"标准-核心标准",IF(AND(I547&gt;=3.17,I547&lt;=3.5),"标准-偏紧标准",IF(AND(I547&gt;=3.6,I547&lt;=5),"紧凑-标准紧凑",IF(AND(I547&gt;=5.25,I547&lt;=8),"紧凑-高度紧凑",IF(I547&gt;=8.5,"紧凑-极度紧凑",""))))))))))</f>
        <v/>
      </c>
      <c r="L547" s="2">
        <f>IF(I547=0.1,"极紧凑",IF(AND(I547&gt;=1,I547&lt;=1.89),"松散",IF(AND(I547&gt;=2,I547&lt;=3.5),"标准",IF(I547&gt;=3.6,"紧凑",""))))</f>
        <v/>
      </c>
      <c r="M547" s="2" t="inlineStr">
        <is>
          <t>极紧凑-豹子号</t>
        </is>
      </c>
      <c r="N547" s="2" t="inlineStr">
        <is>
          <t>松散-极松散</t>
        </is>
      </c>
      <c r="O547" s="2" t="inlineStr">
        <is>
          <t>松散-标准松散</t>
        </is>
      </c>
      <c r="P547" s="2" t="inlineStr">
        <is>
          <t>松散-偏紧松散</t>
        </is>
      </c>
      <c r="Q547" s="2" t="inlineStr">
        <is>
          <t>标准-偏松标准</t>
        </is>
      </c>
      <c r="R547" s="2" t="inlineStr">
        <is>
          <t>标准-核心标准</t>
        </is>
      </c>
      <c r="S547" s="2" t="inlineStr">
        <is>
          <t>标准-偏紧标准</t>
        </is>
      </c>
      <c r="T547" s="2" t="inlineStr">
        <is>
          <t>紧凑-标准紧凑</t>
        </is>
      </c>
      <c r="U547" s="2" t="inlineStr">
        <is>
          <t>紧凑-高度紧凑</t>
        </is>
      </c>
      <c r="V547" s="2" t="inlineStr">
        <is>
          <t>紧凑-极度紧凑</t>
        </is>
      </c>
    </row>
    <row r="548">
      <c r="A548" s="1" t="n">
        <v>2024115</v>
      </c>
      <c r="B548" s="3" t="inlineStr">
        <is>
          <t>620</t>
        </is>
      </c>
      <c r="C548" s="2">
        <f>IF(B548="","",LEFT(TEXT(B548,"000"),1)*1)</f>
        <v/>
      </c>
      <c r="D548" s="2">
        <f>IF(B548="","",MID(TEXT(B548,"000"),2,1)*1)</f>
        <v/>
      </c>
      <c r="E548" s="2">
        <f>IF(B548="","",RIGHT(TEXT(B548,"000"),1)*1)</f>
        <v/>
      </c>
      <c r="F548" s="2">
        <f>IF(B548="","",C548+D548+E548)</f>
        <v/>
      </c>
      <c r="G548" s="2">
        <f>IF(B548="","",MOD(F548,10))</f>
        <v/>
      </c>
      <c r="H548" s="2">
        <f>IF(B548="","",MAX(C548,D548,E548)-MIN(C548,D548,E548))</f>
        <v/>
      </c>
      <c r="I548" s="2">
        <f>IF(OR(B548="",H548=0),IF(H548=0,0.1,""),ROUND(F548/H548,2))</f>
        <v/>
      </c>
      <c r="J548" s="2">
        <f>IF(I548=0.1,"极紧凑",IF(I548&gt;3.5,"紧凑",IF(AND(I548&gt;=2,I548&lt;=3.5),"标准",IF(AND(I548&gt;=1,I548&lt;2),"松散",""))))</f>
        <v/>
      </c>
      <c r="K548" s="2">
        <f>IF(I548=0.1,"极紧凑-豹子号",IF(AND(I548&gt;=1,I548&lt;=1.29),"松散-极松散",IF(AND(I548&gt;=1.33,I548&lt;=1.8),"松散-标准松散",IF(AND(I548&gt;=1.83,I548&lt;=1.89),"松散-偏紧松散",IF(AND(I548&gt;=2,I548&lt;=2.5),"标准-偏松标准",IF(AND(I548&gt;=2.57,I548&lt;=3),"标准-核心标准",IF(AND(I548&gt;=3.17,I548&lt;=3.5),"标准-偏紧标准",IF(AND(I548&gt;=3.6,I548&lt;=5),"紧凑-标准紧凑",IF(AND(I548&gt;=5.25,I548&lt;=8),"紧凑-高度紧凑",IF(I548&gt;=8.5,"紧凑-极度紧凑",""))))))))))</f>
        <v/>
      </c>
      <c r="L548" s="2">
        <f>IF(I548=0.1,"极紧凑",IF(AND(I548&gt;=1,I548&lt;=1.89),"松散",IF(AND(I548&gt;=2,I548&lt;=3.5),"标准",IF(I548&gt;=3.6,"紧凑",""))))</f>
        <v/>
      </c>
      <c r="M548" s="2" t="inlineStr">
        <is>
          <t>极紧凑-豹子号</t>
        </is>
      </c>
      <c r="N548" s="2" t="inlineStr">
        <is>
          <t>松散-极松散</t>
        </is>
      </c>
      <c r="O548" s="2" t="inlineStr">
        <is>
          <t>松散-标准松散</t>
        </is>
      </c>
      <c r="P548" s="2" t="inlineStr">
        <is>
          <t>松散-偏紧松散</t>
        </is>
      </c>
      <c r="Q548" s="2" t="inlineStr">
        <is>
          <t>标准-偏松标准</t>
        </is>
      </c>
      <c r="R548" s="2" t="inlineStr">
        <is>
          <t>标准-核心标准</t>
        </is>
      </c>
      <c r="S548" s="2" t="inlineStr">
        <is>
          <t>标准-偏紧标准</t>
        </is>
      </c>
      <c r="T548" s="2" t="inlineStr">
        <is>
          <t>紧凑-标准紧凑</t>
        </is>
      </c>
      <c r="U548" s="2" t="inlineStr">
        <is>
          <t>紧凑-高度紧凑</t>
        </is>
      </c>
      <c r="V548" s="2" t="inlineStr">
        <is>
          <t>紧凑-极度紧凑</t>
        </is>
      </c>
    </row>
    <row r="549">
      <c r="A549" s="1" t="n">
        <v>2024116</v>
      </c>
      <c r="B549" s="3" t="inlineStr">
        <is>
          <t>348</t>
        </is>
      </c>
      <c r="C549" s="2">
        <f>IF(B549="","",LEFT(TEXT(B549,"000"),1)*1)</f>
        <v/>
      </c>
      <c r="D549" s="2">
        <f>IF(B549="","",MID(TEXT(B549,"000"),2,1)*1)</f>
        <v/>
      </c>
      <c r="E549" s="2">
        <f>IF(B549="","",RIGHT(TEXT(B549,"000"),1)*1)</f>
        <v/>
      </c>
      <c r="F549" s="2">
        <f>IF(B549="","",C549+D549+E549)</f>
        <v/>
      </c>
      <c r="G549" s="2">
        <f>IF(B549="","",MOD(F549,10))</f>
        <v/>
      </c>
      <c r="H549" s="2">
        <f>IF(B549="","",MAX(C549,D549,E549)-MIN(C549,D549,E549))</f>
        <v/>
      </c>
      <c r="I549" s="2">
        <f>IF(OR(B549="",H549=0),IF(H549=0,0.1,""),ROUND(F549/H549,2))</f>
        <v/>
      </c>
      <c r="J549" s="2">
        <f>IF(I549=0.1,"极紧凑",IF(I549&gt;3.5,"紧凑",IF(AND(I549&gt;=2,I549&lt;=3.5),"标准",IF(AND(I549&gt;=1,I549&lt;2),"松散",""))))</f>
        <v/>
      </c>
      <c r="K549" s="2">
        <f>IF(I549=0.1,"极紧凑-豹子号",IF(AND(I549&gt;=1,I549&lt;=1.29),"松散-极松散",IF(AND(I549&gt;=1.33,I549&lt;=1.8),"松散-标准松散",IF(AND(I549&gt;=1.83,I549&lt;=1.89),"松散-偏紧松散",IF(AND(I549&gt;=2,I549&lt;=2.5),"标准-偏松标准",IF(AND(I549&gt;=2.57,I549&lt;=3),"标准-核心标准",IF(AND(I549&gt;=3.17,I549&lt;=3.5),"标准-偏紧标准",IF(AND(I549&gt;=3.6,I549&lt;=5),"紧凑-标准紧凑",IF(AND(I549&gt;=5.25,I549&lt;=8),"紧凑-高度紧凑",IF(I549&gt;=8.5,"紧凑-极度紧凑",""))))))))))</f>
        <v/>
      </c>
      <c r="L549" s="2">
        <f>IF(I549=0.1,"极紧凑",IF(AND(I549&gt;=1,I549&lt;=1.89),"松散",IF(AND(I549&gt;=2,I549&lt;=3.5),"标准",IF(I549&gt;=3.6,"紧凑",""))))</f>
        <v/>
      </c>
      <c r="M549" s="2" t="inlineStr">
        <is>
          <t>极紧凑-豹子号</t>
        </is>
      </c>
      <c r="N549" s="2" t="inlineStr">
        <is>
          <t>松散-极松散</t>
        </is>
      </c>
      <c r="O549" s="2" t="inlineStr">
        <is>
          <t>松散-标准松散</t>
        </is>
      </c>
      <c r="P549" s="2" t="inlineStr">
        <is>
          <t>松散-偏紧松散</t>
        </is>
      </c>
      <c r="Q549" s="2" t="inlineStr">
        <is>
          <t>标准-偏松标准</t>
        </is>
      </c>
      <c r="R549" s="2" t="inlineStr">
        <is>
          <t>标准-核心标准</t>
        </is>
      </c>
      <c r="S549" s="2" t="inlineStr">
        <is>
          <t>标准-偏紧标准</t>
        </is>
      </c>
      <c r="T549" s="2" t="inlineStr">
        <is>
          <t>紧凑-标准紧凑</t>
        </is>
      </c>
      <c r="U549" s="2" t="inlineStr">
        <is>
          <t>紧凑-高度紧凑</t>
        </is>
      </c>
      <c r="V549" s="2" t="inlineStr">
        <is>
          <t>紧凑-极度紧凑</t>
        </is>
      </c>
    </row>
    <row r="550">
      <c r="A550" s="1" t="n">
        <v>2024117</v>
      </c>
      <c r="B550" s="3" t="inlineStr">
        <is>
          <t>185</t>
        </is>
      </c>
      <c r="C550" s="2">
        <f>IF(B550="","",LEFT(TEXT(B550,"000"),1)*1)</f>
        <v/>
      </c>
      <c r="D550" s="2">
        <f>IF(B550="","",MID(TEXT(B550,"000"),2,1)*1)</f>
        <v/>
      </c>
      <c r="E550" s="2">
        <f>IF(B550="","",RIGHT(TEXT(B550,"000"),1)*1)</f>
        <v/>
      </c>
      <c r="F550" s="2">
        <f>IF(B550="","",C550+D550+E550)</f>
        <v/>
      </c>
      <c r="G550" s="2">
        <f>IF(B550="","",MOD(F550,10))</f>
        <v/>
      </c>
      <c r="H550" s="2">
        <f>IF(B550="","",MAX(C550,D550,E550)-MIN(C550,D550,E550))</f>
        <v/>
      </c>
      <c r="I550" s="2">
        <f>IF(OR(B550="",H550=0),IF(H550=0,0.1,""),ROUND(F550/H550,2))</f>
        <v/>
      </c>
      <c r="J550" s="2">
        <f>IF(I550=0.1,"极紧凑",IF(I550&gt;3.5,"紧凑",IF(AND(I550&gt;=2,I550&lt;=3.5),"标准",IF(AND(I550&gt;=1,I550&lt;2),"松散",""))))</f>
        <v/>
      </c>
      <c r="K550" s="2">
        <f>IF(I550=0.1,"极紧凑-豹子号",IF(AND(I550&gt;=1,I550&lt;=1.29),"松散-极松散",IF(AND(I550&gt;=1.33,I550&lt;=1.8),"松散-标准松散",IF(AND(I550&gt;=1.83,I550&lt;=1.89),"松散-偏紧松散",IF(AND(I550&gt;=2,I550&lt;=2.5),"标准-偏松标准",IF(AND(I550&gt;=2.57,I550&lt;=3),"标准-核心标准",IF(AND(I550&gt;=3.17,I550&lt;=3.5),"标准-偏紧标准",IF(AND(I550&gt;=3.6,I550&lt;=5),"紧凑-标准紧凑",IF(AND(I550&gt;=5.25,I550&lt;=8),"紧凑-高度紧凑",IF(I550&gt;=8.5,"紧凑-极度紧凑",""))))))))))</f>
        <v/>
      </c>
      <c r="L550" s="2">
        <f>IF(I550=0.1,"极紧凑",IF(AND(I550&gt;=1,I550&lt;=1.89),"松散",IF(AND(I550&gt;=2,I550&lt;=3.5),"标准",IF(I550&gt;=3.6,"紧凑",""))))</f>
        <v/>
      </c>
      <c r="M550" s="2" t="inlineStr">
        <is>
          <t>极紧凑-豹子号</t>
        </is>
      </c>
      <c r="N550" s="2" t="inlineStr">
        <is>
          <t>松散-极松散</t>
        </is>
      </c>
      <c r="O550" s="2" t="inlineStr">
        <is>
          <t>松散-标准松散</t>
        </is>
      </c>
      <c r="P550" s="2" t="inlineStr">
        <is>
          <t>松散-偏紧松散</t>
        </is>
      </c>
      <c r="Q550" s="2" t="inlineStr">
        <is>
          <t>标准-偏松标准</t>
        </is>
      </c>
      <c r="R550" s="2" t="inlineStr">
        <is>
          <t>标准-核心标准</t>
        </is>
      </c>
      <c r="S550" s="2" t="inlineStr">
        <is>
          <t>标准-偏紧标准</t>
        </is>
      </c>
      <c r="T550" s="2" t="inlineStr">
        <is>
          <t>紧凑-标准紧凑</t>
        </is>
      </c>
      <c r="U550" s="2" t="inlineStr">
        <is>
          <t>紧凑-高度紧凑</t>
        </is>
      </c>
      <c r="V550" s="2" t="inlineStr">
        <is>
          <t>紧凑-极度紧凑</t>
        </is>
      </c>
    </row>
    <row r="551">
      <c r="A551" s="1" t="n">
        <v>2024118</v>
      </c>
      <c r="B551" s="3" t="inlineStr">
        <is>
          <t>733</t>
        </is>
      </c>
      <c r="C551" s="2">
        <f>IF(B551="","",LEFT(TEXT(B551,"000"),1)*1)</f>
        <v/>
      </c>
      <c r="D551" s="2">
        <f>IF(B551="","",MID(TEXT(B551,"000"),2,1)*1)</f>
        <v/>
      </c>
      <c r="E551" s="2">
        <f>IF(B551="","",RIGHT(TEXT(B551,"000"),1)*1)</f>
        <v/>
      </c>
      <c r="F551" s="2">
        <f>IF(B551="","",C551+D551+E551)</f>
        <v/>
      </c>
      <c r="G551" s="2">
        <f>IF(B551="","",MOD(F551,10))</f>
        <v/>
      </c>
      <c r="H551" s="2">
        <f>IF(B551="","",MAX(C551,D551,E551)-MIN(C551,D551,E551))</f>
        <v/>
      </c>
      <c r="I551" s="2">
        <f>IF(OR(B551="",H551=0),IF(H551=0,0.1,""),ROUND(F551/H551,2))</f>
        <v/>
      </c>
      <c r="J551" s="2">
        <f>IF(I551=0.1,"极紧凑",IF(I551&gt;3.5,"紧凑",IF(AND(I551&gt;=2,I551&lt;=3.5),"标准",IF(AND(I551&gt;=1,I551&lt;2),"松散",""))))</f>
        <v/>
      </c>
      <c r="K551" s="2">
        <f>IF(I551=0.1,"极紧凑-豹子号",IF(AND(I551&gt;=1,I551&lt;=1.29),"松散-极松散",IF(AND(I551&gt;=1.33,I551&lt;=1.8),"松散-标准松散",IF(AND(I551&gt;=1.83,I551&lt;=1.89),"松散-偏紧松散",IF(AND(I551&gt;=2,I551&lt;=2.5),"标准-偏松标准",IF(AND(I551&gt;=2.57,I551&lt;=3),"标准-核心标准",IF(AND(I551&gt;=3.17,I551&lt;=3.5),"标准-偏紧标准",IF(AND(I551&gt;=3.6,I551&lt;=5),"紧凑-标准紧凑",IF(AND(I551&gt;=5.25,I551&lt;=8),"紧凑-高度紧凑",IF(I551&gt;=8.5,"紧凑-极度紧凑",""))))))))))</f>
        <v/>
      </c>
      <c r="L551" s="2">
        <f>IF(I551=0.1,"极紧凑",IF(AND(I551&gt;=1,I551&lt;=1.89),"松散",IF(AND(I551&gt;=2,I551&lt;=3.5),"标准",IF(I551&gt;=3.6,"紧凑",""))))</f>
        <v/>
      </c>
      <c r="M551" s="2" t="inlineStr">
        <is>
          <t>极紧凑-豹子号</t>
        </is>
      </c>
      <c r="N551" s="2" t="inlineStr">
        <is>
          <t>松散-极松散</t>
        </is>
      </c>
      <c r="O551" s="2" t="inlineStr">
        <is>
          <t>松散-标准松散</t>
        </is>
      </c>
      <c r="P551" s="2" t="inlineStr">
        <is>
          <t>松散-偏紧松散</t>
        </is>
      </c>
      <c r="Q551" s="2" t="inlineStr">
        <is>
          <t>标准-偏松标准</t>
        </is>
      </c>
      <c r="R551" s="2" t="inlineStr">
        <is>
          <t>标准-核心标准</t>
        </is>
      </c>
      <c r="S551" s="2" t="inlineStr">
        <is>
          <t>标准-偏紧标准</t>
        </is>
      </c>
      <c r="T551" s="2" t="inlineStr">
        <is>
          <t>紧凑-标准紧凑</t>
        </is>
      </c>
      <c r="U551" s="2" t="inlineStr">
        <is>
          <t>紧凑-高度紧凑</t>
        </is>
      </c>
      <c r="V551" s="2" t="inlineStr">
        <is>
          <t>紧凑-极度紧凑</t>
        </is>
      </c>
    </row>
    <row r="552">
      <c r="A552" s="1" t="n">
        <v>2024119</v>
      </c>
      <c r="B552" s="3" t="inlineStr">
        <is>
          <t>255</t>
        </is>
      </c>
      <c r="C552" s="2">
        <f>IF(B552="","",LEFT(TEXT(B552,"000"),1)*1)</f>
        <v/>
      </c>
      <c r="D552" s="2">
        <f>IF(B552="","",MID(TEXT(B552,"000"),2,1)*1)</f>
        <v/>
      </c>
      <c r="E552" s="2">
        <f>IF(B552="","",RIGHT(TEXT(B552,"000"),1)*1)</f>
        <v/>
      </c>
      <c r="F552" s="2">
        <f>IF(B552="","",C552+D552+E552)</f>
        <v/>
      </c>
      <c r="G552" s="2">
        <f>IF(B552="","",MOD(F552,10))</f>
        <v/>
      </c>
      <c r="H552" s="2">
        <f>IF(B552="","",MAX(C552,D552,E552)-MIN(C552,D552,E552))</f>
        <v/>
      </c>
      <c r="I552" s="2">
        <f>IF(OR(B552="",H552=0),IF(H552=0,0.1,""),ROUND(F552/H552,2))</f>
        <v/>
      </c>
      <c r="J552" s="2">
        <f>IF(I552=0.1,"极紧凑",IF(I552&gt;3.5,"紧凑",IF(AND(I552&gt;=2,I552&lt;=3.5),"标准",IF(AND(I552&gt;=1,I552&lt;2),"松散",""))))</f>
        <v/>
      </c>
      <c r="K552" s="2">
        <f>IF(I552=0.1,"极紧凑-豹子号",IF(AND(I552&gt;=1,I552&lt;=1.29),"松散-极松散",IF(AND(I552&gt;=1.33,I552&lt;=1.8),"松散-标准松散",IF(AND(I552&gt;=1.83,I552&lt;=1.89),"松散-偏紧松散",IF(AND(I552&gt;=2,I552&lt;=2.5),"标准-偏松标准",IF(AND(I552&gt;=2.57,I552&lt;=3),"标准-核心标准",IF(AND(I552&gt;=3.17,I552&lt;=3.5),"标准-偏紧标准",IF(AND(I552&gt;=3.6,I552&lt;=5),"紧凑-标准紧凑",IF(AND(I552&gt;=5.25,I552&lt;=8),"紧凑-高度紧凑",IF(I552&gt;=8.5,"紧凑-极度紧凑",""))))))))))</f>
        <v/>
      </c>
      <c r="L552" s="2">
        <f>IF(I552=0.1,"极紧凑",IF(AND(I552&gt;=1,I552&lt;=1.89),"松散",IF(AND(I552&gt;=2,I552&lt;=3.5),"标准",IF(I552&gt;=3.6,"紧凑",""))))</f>
        <v/>
      </c>
      <c r="M552" s="2" t="inlineStr">
        <is>
          <t>极紧凑-豹子号</t>
        </is>
      </c>
      <c r="N552" s="2" t="inlineStr">
        <is>
          <t>松散-极松散</t>
        </is>
      </c>
      <c r="O552" s="2" t="inlineStr">
        <is>
          <t>松散-标准松散</t>
        </is>
      </c>
      <c r="P552" s="2" t="inlineStr">
        <is>
          <t>松散-偏紧松散</t>
        </is>
      </c>
      <c r="Q552" s="2" t="inlineStr">
        <is>
          <t>标准-偏松标准</t>
        </is>
      </c>
      <c r="R552" s="2" t="inlineStr">
        <is>
          <t>标准-核心标准</t>
        </is>
      </c>
      <c r="S552" s="2" t="inlineStr">
        <is>
          <t>标准-偏紧标准</t>
        </is>
      </c>
      <c r="T552" s="2" t="inlineStr">
        <is>
          <t>紧凑-标准紧凑</t>
        </is>
      </c>
      <c r="U552" s="2" t="inlineStr">
        <is>
          <t>紧凑-高度紧凑</t>
        </is>
      </c>
      <c r="V552" s="2" t="inlineStr">
        <is>
          <t>紧凑-极度紧凑</t>
        </is>
      </c>
    </row>
    <row r="553">
      <c r="A553" s="1" t="n">
        <v>2024120</v>
      </c>
      <c r="B553" s="3" t="inlineStr">
        <is>
          <t>529</t>
        </is>
      </c>
      <c r="C553" s="2">
        <f>IF(B553="","",LEFT(TEXT(B553,"000"),1)*1)</f>
        <v/>
      </c>
      <c r="D553" s="2">
        <f>IF(B553="","",MID(TEXT(B553,"000"),2,1)*1)</f>
        <v/>
      </c>
      <c r="E553" s="2">
        <f>IF(B553="","",RIGHT(TEXT(B553,"000"),1)*1)</f>
        <v/>
      </c>
      <c r="F553" s="2">
        <f>IF(B553="","",C553+D553+E553)</f>
        <v/>
      </c>
      <c r="G553" s="2">
        <f>IF(B553="","",MOD(F553,10))</f>
        <v/>
      </c>
      <c r="H553" s="2">
        <f>IF(B553="","",MAX(C553,D553,E553)-MIN(C553,D553,E553))</f>
        <v/>
      </c>
      <c r="I553" s="2">
        <f>IF(OR(B553="",H553=0),IF(H553=0,0.1,""),ROUND(F553/H553,2))</f>
        <v/>
      </c>
      <c r="J553" s="2">
        <f>IF(I553=0.1,"极紧凑",IF(I553&gt;3.5,"紧凑",IF(AND(I553&gt;=2,I553&lt;=3.5),"标准",IF(AND(I553&gt;=1,I553&lt;2),"松散",""))))</f>
        <v/>
      </c>
      <c r="K553" s="2">
        <f>IF(I553=0.1,"极紧凑-豹子号",IF(AND(I553&gt;=1,I553&lt;=1.29),"松散-极松散",IF(AND(I553&gt;=1.33,I553&lt;=1.8),"松散-标准松散",IF(AND(I553&gt;=1.83,I553&lt;=1.89),"松散-偏紧松散",IF(AND(I553&gt;=2,I553&lt;=2.5),"标准-偏松标准",IF(AND(I553&gt;=2.57,I553&lt;=3),"标准-核心标准",IF(AND(I553&gt;=3.17,I553&lt;=3.5),"标准-偏紧标准",IF(AND(I553&gt;=3.6,I553&lt;=5),"紧凑-标准紧凑",IF(AND(I553&gt;=5.25,I553&lt;=8),"紧凑-高度紧凑",IF(I553&gt;=8.5,"紧凑-极度紧凑",""))))))))))</f>
        <v/>
      </c>
      <c r="L553" s="2">
        <f>IF(I553=0.1,"极紧凑",IF(AND(I553&gt;=1,I553&lt;=1.89),"松散",IF(AND(I553&gt;=2,I553&lt;=3.5),"标准",IF(I553&gt;=3.6,"紧凑",""))))</f>
        <v/>
      </c>
      <c r="M553" s="2" t="inlineStr">
        <is>
          <t>极紧凑-豹子号</t>
        </is>
      </c>
      <c r="N553" s="2" t="inlineStr">
        <is>
          <t>松散-极松散</t>
        </is>
      </c>
      <c r="O553" s="2" t="inlineStr">
        <is>
          <t>松散-标准松散</t>
        </is>
      </c>
      <c r="P553" s="2" t="inlineStr">
        <is>
          <t>松散-偏紧松散</t>
        </is>
      </c>
      <c r="Q553" s="2" t="inlineStr">
        <is>
          <t>标准-偏松标准</t>
        </is>
      </c>
      <c r="R553" s="2" t="inlineStr">
        <is>
          <t>标准-核心标准</t>
        </is>
      </c>
      <c r="S553" s="2" t="inlineStr">
        <is>
          <t>标准-偏紧标准</t>
        </is>
      </c>
      <c r="T553" s="2" t="inlineStr">
        <is>
          <t>紧凑-标准紧凑</t>
        </is>
      </c>
      <c r="U553" s="2" t="inlineStr">
        <is>
          <t>紧凑-高度紧凑</t>
        </is>
      </c>
      <c r="V553" s="2" t="inlineStr">
        <is>
          <t>紧凑-极度紧凑</t>
        </is>
      </c>
    </row>
    <row r="554">
      <c r="A554" s="1" t="n">
        <v>2024121</v>
      </c>
      <c r="B554" s="3" t="inlineStr">
        <is>
          <t>185</t>
        </is>
      </c>
      <c r="C554" s="2">
        <f>IF(B554="","",LEFT(TEXT(B554,"000"),1)*1)</f>
        <v/>
      </c>
      <c r="D554" s="2">
        <f>IF(B554="","",MID(TEXT(B554,"000"),2,1)*1)</f>
        <v/>
      </c>
      <c r="E554" s="2">
        <f>IF(B554="","",RIGHT(TEXT(B554,"000"),1)*1)</f>
        <v/>
      </c>
      <c r="F554" s="2">
        <f>IF(B554="","",C554+D554+E554)</f>
        <v/>
      </c>
      <c r="G554" s="2">
        <f>IF(B554="","",MOD(F554,10))</f>
        <v/>
      </c>
      <c r="H554" s="2">
        <f>IF(B554="","",MAX(C554,D554,E554)-MIN(C554,D554,E554))</f>
        <v/>
      </c>
      <c r="I554" s="2">
        <f>IF(OR(B554="",H554=0),IF(H554=0,0.1,""),ROUND(F554/H554,2))</f>
        <v/>
      </c>
      <c r="J554" s="2">
        <f>IF(I554=0.1,"极紧凑",IF(I554&gt;3.5,"紧凑",IF(AND(I554&gt;=2,I554&lt;=3.5),"标准",IF(AND(I554&gt;=1,I554&lt;2),"松散",""))))</f>
        <v/>
      </c>
      <c r="K554" s="2">
        <f>IF(I554=0.1,"极紧凑-豹子号",IF(AND(I554&gt;=1,I554&lt;=1.29),"松散-极松散",IF(AND(I554&gt;=1.33,I554&lt;=1.8),"松散-标准松散",IF(AND(I554&gt;=1.83,I554&lt;=1.89),"松散-偏紧松散",IF(AND(I554&gt;=2,I554&lt;=2.5),"标准-偏松标准",IF(AND(I554&gt;=2.57,I554&lt;=3),"标准-核心标准",IF(AND(I554&gt;=3.17,I554&lt;=3.5),"标准-偏紧标准",IF(AND(I554&gt;=3.6,I554&lt;=5),"紧凑-标准紧凑",IF(AND(I554&gt;=5.25,I554&lt;=8),"紧凑-高度紧凑",IF(I554&gt;=8.5,"紧凑-极度紧凑",""))))))))))</f>
        <v/>
      </c>
      <c r="L554" s="2">
        <f>IF(I554=0.1,"极紧凑",IF(AND(I554&gt;=1,I554&lt;=1.89),"松散",IF(AND(I554&gt;=2,I554&lt;=3.5),"标准",IF(I554&gt;=3.6,"紧凑",""))))</f>
        <v/>
      </c>
      <c r="M554" s="2" t="inlineStr">
        <is>
          <t>极紧凑-豹子号</t>
        </is>
      </c>
      <c r="N554" s="2" t="inlineStr">
        <is>
          <t>松散-极松散</t>
        </is>
      </c>
      <c r="O554" s="2" t="inlineStr">
        <is>
          <t>松散-标准松散</t>
        </is>
      </c>
      <c r="P554" s="2" t="inlineStr">
        <is>
          <t>松散-偏紧松散</t>
        </is>
      </c>
      <c r="Q554" s="2" t="inlineStr">
        <is>
          <t>标准-偏松标准</t>
        </is>
      </c>
      <c r="R554" s="2" t="inlineStr">
        <is>
          <t>标准-核心标准</t>
        </is>
      </c>
      <c r="S554" s="2" t="inlineStr">
        <is>
          <t>标准-偏紧标准</t>
        </is>
      </c>
      <c r="T554" s="2" t="inlineStr">
        <is>
          <t>紧凑-标准紧凑</t>
        </is>
      </c>
      <c r="U554" s="2" t="inlineStr">
        <is>
          <t>紧凑-高度紧凑</t>
        </is>
      </c>
      <c r="V554" s="2" t="inlineStr">
        <is>
          <t>紧凑-极度紧凑</t>
        </is>
      </c>
    </row>
    <row r="555">
      <c r="A555" s="1" t="n">
        <v>2024122</v>
      </c>
      <c r="B555" s="3" t="inlineStr">
        <is>
          <t>246</t>
        </is>
      </c>
      <c r="C555" s="2">
        <f>IF(B555="","",LEFT(TEXT(B555,"000"),1)*1)</f>
        <v/>
      </c>
      <c r="D555" s="2">
        <f>IF(B555="","",MID(TEXT(B555,"000"),2,1)*1)</f>
        <v/>
      </c>
      <c r="E555" s="2">
        <f>IF(B555="","",RIGHT(TEXT(B555,"000"),1)*1)</f>
        <v/>
      </c>
      <c r="F555" s="2">
        <f>IF(B555="","",C555+D555+E555)</f>
        <v/>
      </c>
      <c r="G555" s="2">
        <f>IF(B555="","",MOD(F555,10))</f>
        <v/>
      </c>
      <c r="H555" s="2">
        <f>IF(B555="","",MAX(C555,D555,E555)-MIN(C555,D555,E555))</f>
        <v/>
      </c>
      <c r="I555" s="2">
        <f>IF(OR(B555="",H555=0),IF(H555=0,0.1,""),ROUND(F555/H555,2))</f>
        <v/>
      </c>
      <c r="J555" s="2">
        <f>IF(I555=0.1,"极紧凑",IF(I555&gt;3.5,"紧凑",IF(AND(I555&gt;=2,I555&lt;=3.5),"标准",IF(AND(I555&gt;=1,I555&lt;2),"松散",""))))</f>
        <v/>
      </c>
      <c r="K555" s="2">
        <f>IF(I555=0.1,"极紧凑-豹子号",IF(AND(I555&gt;=1,I555&lt;=1.29),"松散-极松散",IF(AND(I555&gt;=1.33,I555&lt;=1.8),"松散-标准松散",IF(AND(I555&gt;=1.83,I555&lt;=1.89),"松散-偏紧松散",IF(AND(I555&gt;=2,I555&lt;=2.5),"标准-偏松标准",IF(AND(I555&gt;=2.57,I555&lt;=3),"标准-核心标准",IF(AND(I555&gt;=3.17,I555&lt;=3.5),"标准-偏紧标准",IF(AND(I555&gt;=3.6,I555&lt;=5),"紧凑-标准紧凑",IF(AND(I555&gt;=5.25,I555&lt;=8),"紧凑-高度紧凑",IF(I555&gt;=8.5,"紧凑-极度紧凑",""))))))))))</f>
        <v/>
      </c>
      <c r="L555" s="2">
        <f>IF(I555=0.1,"极紧凑",IF(AND(I555&gt;=1,I555&lt;=1.89),"松散",IF(AND(I555&gt;=2,I555&lt;=3.5),"标准",IF(I555&gt;=3.6,"紧凑",""))))</f>
        <v/>
      </c>
      <c r="M555" s="2" t="inlineStr">
        <is>
          <t>极紧凑-豹子号</t>
        </is>
      </c>
      <c r="N555" s="2" t="inlineStr">
        <is>
          <t>松散-极松散</t>
        </is>
      </c>
      <c r="O555" s="2" t="inlineStr">
        <is>
          <t>松散-标准松散</t>
        </is>
      </c>
      <c r="P555" s="2" t="inlineStr">
        <is>
          <t>松散-偏紧松散</t>
        </is>
      </c>
      <c r="Q555" s="2" t="inlineStr">
        <is>
          <t>标准-偏松标准</t>
        </is>
      </c>
      <c r="R555" s="2" t="inlineStr">
        <is>
          <t>标准-核心标准</t>
        </is>
      </c>
      <c r="S555" s="2" t="inlineStr">
        <is>
          <t>标准-偏紧标准</t>
        </is>
      </c>
      <c r="T555" s="2" t="inlineStr">
        <is>
          <t>紧凑-标准紧凑</t>
        </is>
      </c>
      <c r="U555" s="2" t="inlineStr">
        <is>
          <t>紧凑-高度紧凑</t>
        </is>
      </c>
      <c r="V555" s="2" t="inlineStr">
        <is>
          <t>紧凑-极度紧凑</t>
        </is>
      </c>
    </row>
    <row r="556">
      <c r="A556" s="1" t="n">
        <v>2024123</v>
      </c>
      <c r="B556" s="3" t="inlineStr">
        <is>
          <t>538</t>
        </is>
      </c>
      <c r="C556" s="2">
        <f>IF(B556="","",LEFT(TEXT(B556,"000"),1)*1)</f>
        <v/>
      </c>
      <c r="D556" s="2">
        <f>IF(B556="","",MID(TEXT(B556,"000"),2,1)*1)</f>
        <v/>
      </c>
      <c r="E556" s="2">
        <f>IF(B556="","",RIGHT(TEXT(B556,"000"),1)*1)</f>
        <v/>
      </c>
      <c r="F556" s="2">
        <f>IF(B556="","",C556+D556+E556)</f>
        <v/>
      </c>
      <c r="G556" s="2">
        <f>IF(B556="","",MOD(F556,10))</f>
        <v/>
      </c>
      <c r="H556" s="2">
        <f>IF(B556="","",MAX(C556,D556,E556)-MIN(C556,D556,E556))</f>
        <v/>
      </c>
      <c r="I556" s="2">
        <f>IF(OR(B556="",H556=0),IF(H556=0,0.1,""),ROUND(F556/H556,2))</f>
        <v/>
      </c>
      <c r="J556" s="2">
        <f>IF(I556=0.1,"极紧凑",IF(I556&gt;3.5,"紧凑",IF(AND(I556&gt;=2,I556&lt;=3.5),"标准",IF(AND(I556&gt;=1,I556&lt;2),"松散",""))))</f>
        <v/>
      </c>
      <c r="K556" s="2">
        <f>IF(I556=0.1,"极紧凑-豹子号",IF(AND(I556&gt;=1,I556&lt;=1.29),"松散-极松散",IF(AND(I556&gt;=1.33,I556&lt;=1.8),"松散-标准松散",IF(AND(I556&gt;=1.83,I556&lt;=1.89),"松散-偏紧松散",IF(AND(I556&gt;=2,I556&lt;=2.5),"标准-偏松标准",IF(AND(I556&gt;=2.57,I556&lt;=3),"标准-核心标准",IF(AND(I556&gt;=3.17,I556&lt;=3.5),"标准-偏紧标准",IF(AND(I556&gt;=3.6,I556&lt;=5),"紧凑-标准紧凑",IF(AND(I556&gt;=5.25,I556&lt;=8),"紧凑-高度紧凑",IF(I556&gt;=8.5,"紧凑-极度紧凑",""))))))))))</f>
        <v/>
      </c>
      <c r="L556" s="2">
        <f>IF(I556=0.1,"极紧凑",IF(AND(I556&gt;=1,I556&lt;=1.89),"松散",IF(AND(I556&gt;=2,I556&lt;=3.5),"标准",IF(I556&gt;=3.6,"紧凑",""))))</f>
        <v/>
      </c>
      <c r="M556" s="2" t="inlineStr">
        <is>
          <t>极紧凑-豹子号</t>
        </is>
      </c>
      <c r="N556" s="2" t="inlineStr">
        <is>
          <t>松散-极松散</t>
        </is>
      </c>
      <c r="O556" s="2" t="inlineStr">
        <is>
          <t>松散-标准松散</t>
        </is>
      </c>
      <c r="P556" s="2" t="inlineStr">
        <is>
          <t>松散-偏紧松散</t>
        </is>
      </c>
      <c r="Q556" s="2" t="inlineStr">
        <is>
          <t>标准-偏松标准</t>
        </is>
      </c>
      <c r="R556" s="2" t="inlineStr">
        <is>
          <t>标准-核心标准</t>
        </is>
      </c>
      <c r="S556" s="2" t="inlineStr">
        <is>
          <t>标准-偏紧标准</t>
        </is>
      </c>
      <c r="T556" s="2" t="inlineStr">
        <is>
          <t>紧凑-标准紧凑</t>
        </is>
      </c>
      <c r="U556" s="2" t="inlineStr">
        <is>
          <t>紧凑-高度紧凑</t>
        </is>
      </c>
      <c r="V556" s="2" t="inlineStr">
        <is>
          <t>紧凑-极度紧凑</t>
        </is>
      </c>
    </row>
    <row r="557">
      <c r="A557" s="1" t="n">
        <v>2024124</v>
      </c>
      <c r="B557" s="3" t="inlineStr">
        <is>
          <t>835</t>
        </is>
      </c>
      <c r="C557" s="2">
        <f>IF(B557="","",LEFT(TEXT(B557,"000"),1)*1)</f>
        <v/>
      </c>
      <c r="D557" s="2">
        <f>IF(B557="","",MID(TEXT(B557,"000"),2,1)*1)</f>
        <v/>
      </c>
      <c r="E557" s="2">
        <f>IF(B557="","",RIGHT(TEXT(B557,"000"),1)*1)</f>
        <v/>
      </c>
      <c r="F557" s="2">
        <f>IF(B557="","",C557+D557+E557)</f>
        <v/>
      </c>
      <c r="G557" s="2">
        <f>IF(B557="","",MOD(F557,10))</f>
        <v/>
      </c>
      <c r="H557" s="2">
        <f>IF(B557="","",MAX(C557,D557,E557)-MIN(C557,D557,E557))</f>
        <v/>
      </c>
      <c r="I557" s="2">
        <f>IF(OR(B557="",H557=0),IF(H557=0,0.1,""),ROUND(F557/H557,2))</f>
        <v/>
      </c>
      <c r="J557" s="2">
        <f>IF(I557=0.1,"极紧凑",IF(I557&gt;3.5,"紧凑",IF(AND(I557&gt;=2,I557&lt;=3.5),"标准",IF(AND(I557&gt;=1,I557&lt;2),"松散",""))))</f>
        <v/>
      </c>
      <c r="K557" s="2">
        <f>IF(I557=0.1,"极紧凑-豹子号",IF(AND(I557&gt;=1,I557&lt;=1.29),"松散-极松散",IF(AND(I557&gt;=1.33,I557&lt;=1.8),"松散-标准松散",IF(AND(I557&gt;=1.83,I557&lt;=1.89),"松散-偏紧松散",IF(AND(I557&gt;=2,I557&lt;=2.5),"标准-偏松标准",IF(AND(I557&gt;=2.57,I557&lt;=3),"标准-核心标准",IF(AND(I557&gt;=3.17,I557&lt;=3.5),"标准-偏紧标准",IF(AND(I557&gt;=3.6,I557&lt;=5),"紧凑-标准紧凑",IF(AND(I557&gt;=5.25,I557&lt;=8),"紧凑-高度紧凑",IF(I557&gt;=8.5,"紧凑-极度紧凑",""))))))))))</f>
        <v/>
      </c>
      <c r="L557" s="2">
        <f>IF(I557=0.1,"极紧凑",IF(AND(I557&gt;=1,I557&lt;=1.89),"松散",IF(AND(I557&gt;=2,I557&lt;=3.5),"标准",IF(I557&gt;=3.6,"紧凑",""))))</f>
        <v/>
      </c>
      <c r="M557" s="2" t="inlineStr">
        <is>
          <t>极紧凑-豹子号</t>
        </is>
      </c>
      <c r="N557" s="2" t="inlineStr">
        <is>
          <t>松散-极松散</t>
        </is>
      </c>
      <c r="O557" s="2" t="inlineStr">
        <is>
          <t>松散-标准松散</t>
        </is>
      </c>
      <c r="P557" s="2" t="inlineStr">
        <is>
          <t>松散-偏紧松散</t>
        </is>
      </c>
      <c r="Q557" s="2" t="inlineStr">
        <is>
          <t>标准-偏松标准</t>
        </is>
      </c>
      <c r="R557" s="2" t="inlineStr">
        <is>
          <t>标准-核心标准</t>
        </is>
      </c>
      <c r="S557" s="2" t="inlineStr">
        <is>
          <t>标准-偏紧标准</t>
        </is>
      </c>
      <c r="T557" s="2" t="inlineStr">
        <is>
          <t>紧凑-标准紧凑</t>
        </is>
      </c>
      <c r="U557" s="2" t="inlineStr">
        <is>
          <t>紧凑-高度紧凑</t>
        </is>
      </c>
      <c r="V557" s="2" t="inlineStr">
        <is>
          <t>紧凑-极度紧凑</t>
        </is>
      </c>
    </row>
    <row r="558">
      <c r="A558" s="1" t="n">
        <v>2024125</v>
      </c>
      <c r="B558" s="3" t="inlineStr">
        <is>
          <t>706</t>
        </is>
      </c>
      <c r="C558" s="2">
        <f>IF(B558="","",LEFT(TEXT(B558,"000"),1)*1)</f>
        <v/>
      </c>
      <c r="D558" s="2">
        <f>IF(B558="","",MID(TEXT(B558,"000"),2,1)*1)</f>
        <v/>
      </c>
      <c r="E558" s="2">
        <f>IF(B558="","",RIGHT(TEXT(B558,"000"),1)*1)</f>
        <v/>
      </c>
      <c r="F558" s="2">
        <f>IF(B558="","",C558+D558+E558)</f>
        <v/>
      </c>
      <c r="G558" s="2">
        <f>IF(B558="","",MOD(F558,10))</f>
        <v/>
      </c>
      <c r="H558" s="2">
        <f>IF(B558="","",MAX(C558,D558,E558)-MIN(C558,D558,E558))</f>
        <v/>
      </c>
      <c r="I558" s="2">
        <f>IF(OR(B558="",H558=0),IF(H558=0,0.1,""),ROUND(F558/H558,2))</f>
        <v/>
      </c>
      <c r="J558" s="2">
        <f>IF(I558=0.1,"极紧凑",IF(I558&gt;3.5,"紧凑",IF(AND(I558&gt;=2,I558&lt;=3.5),"标准",IF(AND(I558&gt;=1,I558&lt;2),"松散",""))))</f>
        <v/>
      </c>
      <c r="K558" s="2">
        <f>IF(I558=0.1,"极紧凑-豹子号",IF(AND(I558&gt;=1,I558&lt;=1.29),"松散-极松散",IF(AND(I558&gt;=1.33,I558&lt;=1.8),"松散-标准松散",IF(AND(I558&gt;=1.83,I558&lt;=1.89),"松散-偏紧松散",IF(AND(I558&gt;=2,I558&lt;=2.5),"标准-偏松标准",IF(AND(I558&gt;=2.57,I558&lt;=3),"标准-核心标准",IF(AND(I558&gt;=3.17,I558&lt;=3.5),"标准-偏紧标准",IF(AND(I558&gt;=3.6,I558&lt;=5),"紧凑-标准紧凑",IF(AND(I558&gt;=5.25,I558&lt;=8),"紧凑-高度紧凑",IF(I558&gt;=8.5,"紧凑-极度紧凑",""))))))))))</f>
        <v/>
      </c>
      <c r="L558" s="2">
        <f>IF(I558=0.1,"极紧凑",IF(AND(I558&gt;=1,I558&lt;=1.89),"松散",IF(AND(I558&gt;=2,I558&lt;=3.5),"标准",IF(I558&gt;=3.6,"紧凑",""))))</f>
        <v/>
      </c>
      <c r="M558" s="2" t="inlineStr">
        <is>
          <t>极紧凑-豹子号</t>
        </is>
      </c>
      <c r="N558" s="2" t="inlineStr">
        <is>
          <t>松散-极松散</t>
        </is>
      </c>
      <c r="O558" s="2" t="inlineStr">
        <is>
          <t>松散-标准松散</t>
        </is>
      </c>
      <c r="P558" s="2" t="inlineStr">
        <is>
          <t>松散-偏紧松散</t>
        </is>
      </c>
      <c r="Q558" s="2" t="inlineStr">
        <is>
          <t>标准-偏松标准</t>
        </is>
      </c>
      <c r="R558" s="2" t="inlineStr">
        <is>
          <t>标准-核心标准</t>
        </is>
      </c>
      <c r="S558" s="2" t="inlineStr">
        <is>
          <t>标准-偏紧标准</t>
        </is>
      </c>
      <c r="T558" s="2" t="inlineStr">
        <is>
          <t>紧凑-标准紧凑</t>
        </is>
      </c>
      <c r="U558" s="2" t="inlineStr">
        <is>
          <t>紧凑-高度紧凑</t>
        </is>
      </c>
      <c r="V558" s="2" t="inlineStr">
        <is>
          <t>紧凑-极度紧凑</t>
        </is>
      </c>
    </row>
    <row r="559">
      <c r="A559" s="1" t="n">
        <v>2024126</v>
      </c>
      <c r="B559" s="3" t="inlineStr">
        <is>
          <t>379</t>
        </is>
      </c>
      <c r="C559" s="2">
        <f>IF(B559="","",LEFT(TEXT(B559,"000"),1)*1)</f>
        <v/>
      </c>
      <c r="D559" s="2">
        <f>IF(B559="","",MID(TEXT(B559,"000"),2,1)*1)</f>
        <v/>
      </c>
      <c r="E559" s="2">
        <f>IF(B559="","",RIGHT(TEXT(B559,"000"),1)*1)</f>
        <v/>
      </c>
      <c r="F559" s="2">
        <f>IF(B559="","",C559+D559+E559)</f>
        <v/>
      </c>
      <c r="G559" s="2">
        <f>IF(B559="","",MOD(F559,10))</f>
        <v/>
      </c>
      <c r="H559" s="2">
        <f>IF(B559="","",MAX(C559,D559,E559)-MIN(C559,D559,E559))</f>
        <v/>
      </c>
      <c r="I559" s="2">
        <f>IF(OR(B559="",H559=0),IF(H559=0,0.1,""),ROUND(F559/H559,2))</f>
        <v/>
      </c>
      <c r="J559" s="2">
        <f>IF(I559=0.1,"极紧凑",IF(I559&gt;3.5,"紧凑",IF(AND(I559&gt;=2,I559&lt;=3.5),"标准",IF(AND(I559&gt;=1,I559&lt;2),"松散",""))))</f>
        <v/>
      </c>
      <c r="K559" s="2">
        <f>IF(I559=0.1,"极紧凑-豹子号",IF(AND(I559&gt;=1,I559&lt;=1.29),"松散-极松散",IF(AND(I559&gt;=1.33,I559&lt;=1.8),"松散-标准松散",IF(AND(I559&gt;=1.83,I559&lt;=1.89),"松散-偏紧松散",IF(AND(I559&gt;=2,I559&lt;=2.5),"标准-偏松标准",IF(AND(I559&gt;=2.57,I559&lt;=3),"标准-核心标准",IF(AND(I559&gt;=3.17,I559&lt;=3.5),"标准-偏紧标准",IF(AND(I559&gt;=3.6,I559&lt;=5),"紧凑-标准紧凑",IF(AND(I559&gt;=5.25,I559&lt;=8),"紧凑-高度紧凑",IF(I559&gt;=8.5,"紧凑-极度紧凑",""))))))))))</f>
        <v/>
      </c>
      <c r="L559" s="2">
        <f>IF(I559=0.1,"极紧凑",IF(AND(I559&gt;=1,I559&lt;=1.89),"松散",IF(AND(I559&gt;=2,I559&lt;=3.5),"标准",IF(I559&gt;=3.6,"紧凑",""))))</f>
        <v/>
      </c>
      <c r="M559" s="2" t="inlineStr">
        <is>
          <t>极紧凑-豹子号</t>
        </is>
      </c>
      <c r="N559" s="2" t="inlineStr">
        <is>
          <t>松散-极松散</t>
        </is>
      </c>
      <c r="O559" s="2" t="inlineStr">
        <is>
          <t>松散-标准松散</t>
        </is>
      </c>
      <c r="P559" s="2" t="inlineStr">
        <is>
          <t>松散-偏紧松散</t>
        </is>
      </c>
      <c r="Q559" s="2" t="inlineStr">
        <is>
          <t>标准-偏松标准</t>
        </is>
      </c>
      <c r="R559" s="2" t="inlineStr">
        <is>
          <t>标准-核心标准</t>
        </is>
      </c>
      <c r="S559" s="2" t="inlineStr">
        <is>
          <t>标准-偏紧标准</t>
        </is>
      </c>
      <c r="T559" s="2" t="inlineStr">
        <is>
          <t>紧凑-标准紧凑</t>
        </is>
      </c>
      <c r="U559" s="2" t="inlineStr">
        <is>
          <t>紧凑-高度紧凑</t>
        </is>
      </c>
      <c r="V559" s="2" t="inlineStr">
        <is>
          <t>紧凑-极度紧凑</t>
        </is>
      </c>
    </row>
    <row r="560">
      <c r="A560" s="1" t="n">
        <v>2024127</v>
      </c>
      <c r="B560" s="3" t="inlineStr">
        <is>
          <t>744</t>
        </is>
      </c>
      <c r="C560" s="2">
        <f>IF(B560="","",LEFT(TEXT(B560,"000"),1)*1)</f>
        <v/>
      </c>
      <c r="D560" s="2">
        <f>IF(B560="","",MID(TEXT(B560,"000"),2,1)*1)</f>
        <v/>
      </c>
      <c r="E560" s="2">
        <f>IF(B560="","",RIGHT(TEXT(B560,"000"),1)*1)</f>
        <v/>
      </c>
      <c r="F560" s="2">
        <f>IF(B560="","",C560+D560+E560)</f>
        <v/>
      </c>
      <c r="G560" s="2">
        <f>IF(B560="","",MOD(F560,10))</f>
        <v/>
      </c>
      <c r="H560" s="2">
        <f>IF(B560="","",MAX(C560,D560,E560)-MIN(C560,D560,E560))</f>
        <v/>
      </c>
      <c r="I560" s="2">
        <f>IF(OR(B560="",H560=0),IF(H560=0,0.1,""),ROUND(F560/H560,2))</f>
        <v/>
      </c>
      <c r="J560" s="2">
        <f>IF(I560=0.1,"极紧凑",IF(I560&gt;3.5,"紧凑",IF(AND(I560&gt;=2,I560&lt;=3.5),"标准",IF(AND(I560&gt;=1,I560&lt;2),"松散",""))))</f>
        <v/>
      </c>
      <c r="K560" s="2">
        <f>IF(I560=0.1,"极紧凑-豹子号",IF(AND(I560&gt;=1,I560&lt;=1.29),"松散-极松散",IF(AND(I560&gt;=1.33,I560&lt;=1.8),"松散-标准松散",IF(AND(I560&gt;=1.83,I560&lt;=1.89),"松散-偏紧松散",IF(AND(I560&gt;=2,I560&lt;=2.5),"标准-偏松标准",IF(AND(I560&gt;=2.57,I560&lt;=3),"标准-核心标准",IF(AND(I560&gt;=3.17,I560&lt;=3.5),"标准-偏紧标准",IF(AND(I560&gt;=3.6,I560&lt;=5),"紧凑-标准紧凑",IF(AND(I560&gt;=5.25,I560&lt;=8),"紧凑-高度紧凑",IF(I560&gt;=8.5,"紧凑-极度紧凑",""))))))))))</f>
        <v/>
      </c>
      <c r="L560" s="2">
        <f>IF(I560=0.1,"极紧凑",IF(AND(I560&gt;=1,I560&lt;=1.89),"松散",IF(AND(I560&gt;=2,I560&lt;=3.5),"标准",IF(I560&gt;=3.6,"紧凑",""))))</f>
        <v/>
      </c>
      <c r="M560" s="2" t="inlineStr">
        <is>
          <t>极紧凑-豹子号</t>
        </is>
      </c>
      <c r="N560" s="2" t="inlineStr">
        <is>
          <t>松散-极松散</t>
        </is>
      </c>
      <c r="O560" s="2" t="inlineStr">
        <is>
          <t>松散-标准松散</t>
        </is>
      </c>
      <c r="P560" s="2" t="inlineStr">
        <is>
          <t>松散-偏紧松散</t>
        </is>
      </c>
      <c r="Q560" s="2" t="inlineStr">
        <is>
          <t>标准-偏松标准</t>
        </is>
      </c>
      <c r="R560" s="2" t="inlineStr">
        <is>
          <t>标准-核心标准</t>
        </is>
      </c>
      <c r="S560" s="2" t="inlineStr">
        <is>
          <t>标准-偏紧标准</t>
        </is>
      </c>
      <c r="T560" s="2" t="inlineStr">
        <is>
          <t>紧凑-标准紧凑</t>
        </is>
      </c>
      <c r="U560" s="2" t="inlineStr">
        <is>
          <t>紧凑-高度紧凑</t>
        </is>
      </c>
      <c r="V560" s="2" t="inlineStr">
        <is>
          <t>紧凑-极度紧凑</t>
        </is>
      </c>
    </row>
    <row r="561">
      <c r="A561" s="1" t="n">
        <v>2024128</v>
      </c>
      <c r="B561" s="3" t="inlineStr">
        <is>
          <t>017</t>
        </is>
      </c>
      <c r="C561" s="2">
        <f>IF(B561="","",LEFT(TEXT(B561,"000"),1)*1)</f>
        <v/>
      </c>
      <c r="D561" s="2">
        <f>IF(B561="","",MID(TEXT(B561,"000"),2,1)*1)</f>
        <v/>
      </c>
      <c r="E561" s="2">
        <f>IF(B561="","",RIGHT(TEXT(B561,"000"),1)*1)</f>
        <v/>
      </c>
      <c r="F561" s="2">
        <f>IF(B561="","",C561+D561+E561)</f>
        <v/>
      </c>
      <c r="G561" s="2">
        <f>IF(B561="","",MOD(F561,10))</f>
        <v/>
      </c>
      <c r="H561" s="2">
        <f>IF(B561="","",MAX(C561,D561,E561)-MIN(C561,D561,E561))</f>
        <v/>
      </c>
      <c r="I561" s="2">
        <f>IF(OR(B561="",H561=0),IF(H561=0,0.1,""),ROUND(F561/H561,2))</f>
        <v/>
      </c>
      <c r="J561" s="2">
        <f>IF(I561=0.1,"极紧凑",IF(I561&gt;3.5,"紧凑",IF(AND(I561&gt;=2,I561&lt;=3.5),"标准",IF(AND(I561&gt;=1,I561&lt;2),"松散",""))))</f>
        <v/>
      </c>
      <c r="K561" s="2">
        <f>IF(I561=0.1,"极紧凑-豹子号",IF(AND(I561&gt;=1,I561&lt;=1.29),"松散-极松散",IF(AND(I561&gt;=1.33,I561&lt;=1.8),"松散-标准松散",IF(AND(I561&gt;=1.83,I561&lt;=1.89),"松散-偏紧松散",IF(AND(I561&gt;=2,I561&lt;=2.5),"标准-偏松标准",IF(AND(I561&gt;=2.57,I561&lt;=3),"标准-核心标准",IF(AND(I561&gt;=3.17,I561&lt;=3.5),"标准-偏紧标准",IF(AND(I561&gt;=3.6,I561&lt;=5),"紧凑-标准紧凑",IF(AND(I561&gt;=5.25,I561&lt;=8),"紧凑-高度紧凑",IF(I561&gt;=8.5,"紧凑-极度紧凑",""))))))))))</f>
        <v/>
      </c>
      <c r="L561" s="2">
        <f>IF(I561=0.1,"极紧凑",IF(AND(I561&gt;=1,I561&lt;=1.89),"松散",IF(AND(I561&gt;=2,I561&lt;=3.5),"标准",IF(I561&gt;=3.6,"紧凑",""))))</f>
        <v/>
      </c>
      <c r="M561" s="2" t="inlineStr">
        <is>
          <t>极紧凑-豹子号</t>
        </is>
      </c>
      <c r="N561" s="2" t="inlineStr">
        <is>
          <t>松散-极松散</t>
        </is>
      </c>
      <c r="O561" s="2" t="inlineStr">
        <is>
          <t>松散-标准松散</t>
        </is>
      </c>
      <c r="P561" s="2" t="inlineStr">
        <is>
          <t>松散-偏紧松散</t>
        </is>
      </c>
      <c r="Q561" s="2" t="inlineStr">
        <is>
          <t>标准-偏松标准</t>
        </is>
      </c>
      <c r="R561" s="2" t="inlineStr">
        <is>
          <t>标准-核心标准</t>
        </is>
      </c>
      <c r="S561" s="2" t="inlineStr">
        <is>
          <t>标准-偏紧标准</t>
        </is>
      </c>
      <c r="T561" s="2" t="inlineStr">
        <is>
          <t>紧凑-标准紧凑</t>
        </is>
      </c>
      <c r="U561" s="2" t="inlineStr">
        <is>
          <t>紧凑-高度紧凑</t>
        </is>
      </c>
      <c r="V561" s="2" t="inlineStr">
        <is>
          <t>紧凑-极度紧凑</t>
        </is>
      </c>
    </row>
    <row r="562">
      <c r="A562" s="1" t="n">
        <v>2024129</v>
      </c>
      <c r="B562" s="3" t="inlineStr">
        <is>
          <t>278</t>
        </is>
      </c>
      <c r="C562" s="2">
        <f>IF(B562="","",LEFT(TEXT(B562,"000"),1)*1)</f>
        <v/>
      </c>
      <c r="D562" s="2">
        <f>IF(B562="","",MID(TEXT(B562,"000"),2,1)*1)</f>
        <v/>
      </c>
      <c r="E562" s="2">
        <f>IF(B562="","",RIGHT(TEXT(B562,"000"),1)*1)</f>
        <v/>
      </c>
      <c r="F562" s="2">
        <f>IF(B562="","",C562+D562+E562)</f>
        <v/>
      </c>
      <c r="G562" s="2">
        <f>IF(B562="","",MOD(F562,10))</f>
        <v/>
      </c>
      <c r="H562" s="2">
        <f>IF(B562="","",MAX(C562,D562,E562)-MIN(C562,D562,E562))</f>
        <v/>
      </c>
      <c r="I562" s="2">
        <f>IF(OR(B562="",H562=0),IF(H562=0,0.1,""),ROUND(F562/H562,2))</f>
        <v/>
      </c>
      <c r="J562" s="2">
        <f>IF(I562=0.1,"极紧凑",IF(I562&gt;3.5,"紧凑",IF(AND(I562&gt;=2,I562&lt;=3.5),"标准",IF(AND(I562&gt;=1,I562&lt;2),"松散",""))))</f>
        <v/>
      </c>
      <c r="K562" s="2">
        <f>IF(I562=0.1,"极紧凑-豹子号",IF(AND(I562&gt;=1,I562&lt;=1.29),"松散-极松散",IF(AND(I562&gt;=1.33,I562&lt;=1.8),"松散-标准松散",IF(AND(I562&gt;=1.83,I562&lt;=1.89),"松散-偏紧松散",IF(AND(I562&gt;=2,I562&lt;=2.5),"标准-偏松标准",IF(AND(I562&gt;=2.57,I562&lt;=3),"标准-核心标准",IF(AND(I562&gt;=3.17,I562&lt;=3.5),"标准-偏紧标准",IF(AND(I562&gt;=3.6,I562&lt;=5),"紧凑-标准紧凑",IF(AND(I562&gt;=5.25,I562&lt;=8),"紧凑-高度紧凑",IF(I562&gt;=8.5,"紧凑-极度紧凑",""))))))))))</f>
        <v/>
      </c>
      <c r="L562" s="2">
        <f>IF(I562=0.1,"极紧凑",IF(AND(I562&gt;=1,I562&lt;=1.89),"松散",IF(AND(I562&gt;=2,I562&lt;=3.5),"标准",IF(I562&gt;=3.6,"紧凑",""))))</f>
        <v/>
      </c>
      <c r="M562" s="2" t="inlineStr">
        <is>
          <t>极紧凑-豹子号</t>
        </is>
      </c>
      <c r="N562" s="2" t="inlineStr">
        <is>
          <t>松散-极松散</t>
        </is>
      </c>
      <c r="O562" s="2" t="inlineStr">
        <is>
          <t>松散-标准松散</t>
        </is>
      </c>
      <c r="P562" s="2" t="inlineStr">
        <is>
          <t>松散-偏紧松散</t>
        </is>
      </c>
      <c r="Q562" s="2" t="inlineStr">
        <is>
          <t>标准-偏松标准</t>
        </is>
      </c>
      <c r="R562" s="2" t="inlineStr">
        <is>
          <t>标准-核心标准</t>
        </is>
      </c>
      <c r="S562" s="2" t="inlineStr">
        <is>
          <t>标准-偏紧标准</t>
        </is>
      </c>
      <c r="T562" s="2" t="inlineStr">
        <is>
          <t>紧凑-标准紧凑</t>
        </is>
      </c>
      <c r="U562" s="2" t="inlineStr">
        <is>
          <t>紧凑-高度紧凑</t>
        </is>
      </c>
      <c r="V562" s="2" t="inlineStr">
        <is>
          <t>紧凑-极度紧凑</t>
        </is>
      </c>
    </row>
    <row r="563">
      <c r="A563" s="1" t="n">
        <v>2024130</v>
      </c>
      <c r="B563" s="3" t="inlineStr">
        <is>
          <t>122</t>
        </is>
      </c>
      <c r="C563" s="2">
        <f>IF(B563="","",LEFT(TEXT(B563,"000"),1)*1)</f>
        <v/>
      </c>
      <c r="D563" s="2">
        <f>IF(B563="","",MID(TEXT(B563,"000"),2,1)*1)</f>
        <v/>
      </c>
      <c r="E563" s="2">
        <f>IF(B563="","",RIGHT(TEXT(B563,"000"),1)*1)</f>
        <v/>
      </c>
      <c r="F563" s="2">
        <f>IF(B563="","",C563+D563+E563)</f>
        <v/>
      </c>
      <c r="G563" s="2">
        <f>IF(B563="","",MOD(F563,10))</f>
        <v/>
      </c>
      <c r="H563" s="2">
        <f>IF(B563="","",MAX(C563,D563,E563)-MIN(C563,D563,E563))</f>
        <v/>
      </c>
      <c r="I563" s="2">
        <f>IF(OR(B563="",H563=0),IF(H563=0,0.1,""),ROUND(F563/H563,2))</f>
        <v/>
      </c>
      <c r="J563" s="2">
        <f>IF(I563=0.1,"极紧凑",IF(I563&gt;3.5,"紧凑",IF(AND(I563&gt;=2,I563&lt;=3.5),"标准",IF(AND(I563&gt;=1,I563&lt;2),"松散",""))))</f>
        <v/>
      </c>
      <c r="K563" s="2">
        <f>IF(I563=0.1,"极紧凑-豹子号",IF(AND(I563&gt;=1,I563&lt;=1.29),"松散-极松散",IF(AND(I563&gt;=1.33,I563&lt;=1.8),"松散-标准松散",IF(AND(I563&gt;=1.83,I563&lt;=1.89),"松散-偏紧松散",IF(AND(I563&gt;=2,I563&lt;=2.5),"标准-偏松标准",IF(AND(I563&gt;=2.57,I563&lt;=3),"标准-核心标准",IF(AND(I563&gt;=3.17,I563&lt;=3.5),"标准-偏紧标准",IF(AND(I563&gt;=3.6,I563&lt;=5),"紧凑-标准紧凑",IF(AND(I563&gt;=5.25,I563&lt;=8),"紧凑-高度紧凑",IF(I563&gt;=8.5,"紧凑-极度紧凑",""))))))))))</f>
        <v/>
      </c>
      <c r="L563" s="2">
        <f>IF(I563=0.1,"极紧凑",IF(AND(I563&gt;=1,I563&lt;=1.89),"松散",IF(AND(I563&gt;=2,I563&lt;=3.5),"标准",IF(I563&gt;=3.6,"紧凑",""))))</f>
        <v/>
      </c>
      <c r="M563" s="2" t="inlineStr">
        <is>
          <t>极紧凑-豹子号</t>
        </is>
      </c>
      <c r="N563" s="2" t="inlineStr">
        <is>
          <t>松散-极松散</t>
        </is>
      </c>
      <c r="O563" s="2" t="inlineStr">
        <is>
          <t>松散-标准松散</t>
        </is>
      </c>
      <c r="P563" s="2" t="inlineStr">
        <is>
          <t>松散-偏紧松散</t>
        </is>
      </c>
      <c r="Q563" s="2" t="inlineStr">
        <is>
          <t>标准-偏松标准</t>
        </is>
      </c>
      <c r="R563" s="2" t="inlineStr">
        <is>
          <t>标准-核心标准</t>
        </is>
      </c>
      <c r="S563" s="2" t="inlineStr">
        <is>
          <t>标准-偏紧标准</t>
        </is>
      </c>
      <c r="T563" s="2" t="inlineStr">
        <is>
          <t>紧凑-标准紧凑</t>
        </is>
      </c>
      <c r="U563" s="2" t="inlineStr">
        <is>
          <t>紧凑-高度紧凑</t>
        </is>
      </c>
      <c r="V563" s="2" t="inlineStr">
        <is>
          <t>紧凑-极度紧凑</t>
        </is>
      </c>
    </row>
    <row r="564">
      <c r="A564" s="1" t="n">
        <v>2024131</v>
      </c>
      <c r="B564" s="3" t="inlineStr">
        <is>
          <t>571</t>
        </is>
      </c>
      <c r="C564" s="2">
        <f>IF(B564="","",LEFT(TEXT(B564,"000"),1)*1)</f>
        <v/>
      </c>
      <c r="D564" s="2">
        <f>IF(B564="","",MID(TEXT(B564,"000"),2,1)*1)</f>
        <v/>
      </c>
      <c r="E564" s="2">
        <f>IF(B564="","",RIGHT(TEXT(B564,"000"),1)*1)</f>
        <v/>
      </c>
      <c r="F564" s="2">
        <f>IF(B564="","",C564+D564+E564)</f>
        <v/>
      </c>
      <c r="G564" s="2">
        <f>IF(B564="","",MOD(F564,10))</f>
        <v/>
      </c>
      <c r="H564" s="2">
        <f>IF(B564="","",MAX(C564,D564,E564)-MIN(C564,D564,E564))</f>
        <v/>
      </c>
      <c r="I564" s="2">
        <f>IF(OR(B564="",H564=0),IF(H564=0,0.1,""),ROUND(F564/H564,2))</f>
        <v/>
      </c>
      <c r="J564" s="2">
        <f>IF(I564=0.1,"极紧凑",IF(I564&gt;3.5,"紧凑",IF(AND(I564&gt;=2,I564&lt;=3.5),"标准",IF(AND(I564&gt;=1,I564&lt;2),"松散",""))))</f>
        <v/>
      </c>
      <c r="K564" s="2">
        <f>IF(I564=0.1,"极紧凑-豹子号",IF(AND(I564&gt;=1,I564&lt;=1.29),"松散-极松散",IF(AND(I564&gt;=1.33,I564&lt;=1.8),"松散-标准松散",IF(AND(I564&gt;=1.83,I564&lt;=1.89),"松散-偏紧松散",IF(AND(I564&gt;=2,I564&lt;=2.5),"标准-偏松标准",IF(AND(I564&gt;=2.57,I564&lt;=3),"标准-核心标准",IF(AND(I564&gt;=3.17,I564&lt;=3.5),"标准-偏紧标准",IF(AND(I564&gt;=3.6,I564&lt;=5),"紧凑-标准紧凑",IF(AND(I564&gt;=5.25,I564&lt;=8),"紧凑-高度紧凑",IF(I564&gt;=8.5,"紧凑-极度紧凑",""))))))))))</f>
        <v/>
      </c>
      <c r="L564" s="2">
        <f>IF(I564=0.1,"极紧凑",IF(AND(I564&gt;=1,I564&lt;=1.89),"松散",IF(AND(I564&gt;=2,I564&lt;=3.5),"标准",IF(I564&gt;=3.6,"紧凑",""))))</f>
        <v/>
      </c>
      <c r="M564" s="2" t="inlineStr">
        <is>
          <t>极紧凑-豹子号</t>
        </is>
      </c>
      <c r="N564" s="2" t="inlineStr">
        <is>
          <t>松散-极松散</t>
        </is>
      </c>
      <c r="O564" s="2" t="inlineStr">
        <is>
          <t>松散-标准松散</t>
        </is>
      </c>
      <c r="P564" s="2" t="inlineStr">
        <is>
          <t>松散-偏紧松散</t>
        </is>
      </c>
      <c r="Q564" s="2" t="inlineStr">
        <is>
          <t>标准-偏松标准</t>
        </is>
      </c>
      <c r="R564" s="2" t="inlineStr">
        <is>
          <t>标准-核心标准</t>
        </is>
      </c>
      <c r="S564" s="2" t="inlineStr">
        <is>
          <t>标准-偏紧标准</t>
        </is>
      </c>
      <c r="T564" s="2" t="inlineStr">
        <is>
          <t>紧凑-标准紧凑</t>
        </is>
      </c>
      <c r="U564" s="2" t="inlineStr">
        <is>
          <t>紧凑-高度紧凑</t>
        </is>
      </c>
      <c r="V564" s="2" t="inlineStr">
        <is>
          <t>紧凑-极度紧凑</t>
        </is>
      </c>
    </row>
    <row r="565">
      <c r="A565" s="1" t="n">
        <v>2024132</v>
      </c>
      <c r="B565" s="3" t="inlineStr">
        <is>
          <t>604</t>
        </is>
      </c>
      <c r="C565" s="2">
        <f>IF(B565="","",LEFT(TEXT(B565,"000"),1)*1)</f>
        <v/>
      </c>
      <c r="D565" s="2">
        <f>IF(B565="","",MID(TEXT(B565,"000"),2,1)*1)</f>
        <v/>
      </c>
      <c r="E565" s="2">
        <f>IF(B565="","",RIGHT(TEXT(B565,"000"),1)*1)</f>
        <v/>
      </c>
      <c r="F565" s="2">
        <f>IF(B565="","",C565+D565+E565)</f>
        <v/>
      </c>
      <c r="G565" s="2">
        <f>IF(B565="","",MOD(F565,10))</f>
        <v/>
      </c>
      <c r="H565" s="2">
        <f>IF(B565="","",MAX(C565,D565,E565)-MIN(C565,D565,E565))</f>
        <v/>
      </c>
      <c r="I565" s="2">
        <f>IF(OR(B565="",H565=0),IF(H565=0,0.1,""),ROUND(F565/H565,2))</f>
        <v/>
      </c>
      <c r="J565" s="2">
        <f>IF(I565=0.1,"极紧凑",IF(I565&gt;3.5,"紧凑",IF(AND(I565&gt;=2,I565&lt;=3.5),"标准",IF(AND(I565&gt;=1,I565&lt;2),"松散",""))))</f>
        <v/>
      </c>
      <c r="K565" s="2">
        <f>IF(I565=0.1,"极紧凑-豹子号",IF(AND(I565&gt;=1,I565&lt;=1.29),"松散-极松散",IF(AND(I565&gt;=1.33,I565&lt;=1.8),"松散-标准松散",IF(AND(I565&gt;=1.83,I565&lt;=1.89),"松散-偏紧松散",IF(AND(I565&gt;=2,I565&lt;=2.5),"标准-偏松标准",IF(AND(I565&gt;=2.57,I565&lt;=3),"标准-核心标准",IF(AND(I565&gt;=3.17,I565&lt;=3.5),"标准-偏紧标准",IF(AND(I565&gt;=3.6,I565&lt;=5),"紧凑-标准紧凑",IF(AND(I565&gt;=5.25,I565&lt;=8),"紧凑-高度紧凑",IF(I565&gt;=8.5,"紧凑-极度紧凑",""))))))))))</f>
        <v/>
      </c>
      <c r="L565" s="2">
        <f>IF(I565=0.1,"极紧凑",IF(AND(I565&gt;=1,I565&lt;=1.89),"松散",IF(AND(I565&gt;=2,I565&lt;=3.5),"标准",IF(I565&gt;=3.6,"紧凑",""))))</f>
        <v/>
      </c>
      <c r="M565" s="2" t="inlineStr">
        <is>
          <t>极紧凑-豹子号</t>
        </is>
      </c>
      <c r="N565" s="2" t="inlineStr">
        <is>
          <t>松散-极松散</t>
        </is>
      </c>
      <c r="O565" s="2" t="inlineStr">
        <is>
          <t>松散-标准松散</t>
        </is>
      </c>
      <c r="P565" s="2" t="inlineStr">
        <is>
          <t>松散-偏紧松散</t>
        </is>
      </c>
      <c r="Q565" s="2" t="inlineStr">
        <is>
          <t>标准-偏松标准</t>
        </is>
      </c>
      <c r="R565" s="2" t="inlineStr">
        <is>
          <t>标准-核心标准</t>
        </is>
      </c>
      <c r="S565" s="2" t="inlineStr">
        <is>
          <t>标准-偏紧标准</t>
        </is>
      </c>
      <c r="T565" s="2" t="inlineStr">
        <is>
          <t>紧凑-标准紧凑</t>
        </is>
      </c>
      <c r="U565" s="2" t="inlineStr">
        <is>
          <t>紧凑-高度紧凑</t>
        </is>
      </c>
      <c r="V565" s="2" t="inlineStr">
        <is>
          <t>紧凑-极度紧凑</t>
        </is>
      </c>
    </row>
    <row r="566">
      <c r="A566" s="1" t="n">
        <v>2024133</v>
      </c>
      <c r="B566" s="3" t="inlineStr">
        <is>
          <t>281</t>
        </is>
      </c>
      <c r="C566" s="2">
        <f>IF(B566="","",LEFT(TEXT(B566,"000"),1)*1)</f>
        <v/>
      </c>
      <c r="D566" s="2">
        <f>IF(B566="","",MID(TEXT(B566,"000"),2,1)*1)</f>
        <v/>
      </c>
      <c r="E566" s="2">
        <f>IF(B566="","",RIGHT(TEXT(B566,"000"),1)*1)</f>
        <v/>
      </c>
      <c r="F566" s="2">
        <f>IF(B566="","",C566+D566+E566)</f>
        <v/>
      </c>
      <c r="G566" s="2">
        <f>IF(B566="","",MOD(F566,10))</f>
        <v/>
      </c>
      <c r="H566" s="2">
        <f>IF(B566="","",MAX(C566,D566,E566)-MIN(C566,D566,E566))</f>
        <v/>
      </c>
      <c r="I566" s="2">
        <f>IF(OR(B566="",H566=0),IF(H566=0,0.1,""),ROUND(F566/H566,2))</f>
        <v/>
      </c>
      <c r="J566" s="2">
        <f>IF(I566=0.1,"极紧凑",IF(I566&gt;3.5,"紧凑",IF(AND(I566&gt;=2,I566&lt;=3.5),"标准",IF(AND(I566&gt;=1,I566&lt;2),"松散",""))))</f>
        <v/>
      </c>
      <c r="K566" s="2">
        <f>IF(I566=0.1,"极紧凑-豹子号",IF(AND(I566&gt;=1,I566&lt;=1.29),"松散-极松散",IF(AND(I566&gt;=1.33,I566&lt;=1.8),"松散-标准松散",IF(AND(I566&gt;=1.83,I566&lt;=1.89),"松散-偏紧松散",IF(AND(I566&gt;=2,I566&lt;=2.5),"标准-偏松标准",IF(AND(I566&gt;=2.57,I566&lt;=3),"标准-核心标准",IF(AND(I566&gt;=3.17,I566&lt;=3.5),"标准-偏紧标准",IF(AND(I566&gt;=3.6,I566&lt;=5),"紧凑-标准紧凑",IF(AND(I566&gt;=5.25,I566&lt;=8),"紧凑-高度紧凑",IF(I566&gt;=8.5,"紧凑-极度紧凑",""))))))))))</f>
        <v/>
      </c>
      <c r="L566" s="2">
        <f>IF(I566=0.1,"极紧凑",IF(AND(I566&gt;=1,I566&lt;=1.89),"松散",IF(AND(I566&gt;=2,I566&lt;=3.5),"标准",IF(I566&gt;=3.6,"紧凑",""))))</f>
        <v/>
      </c>
      <c r="M566" s="2" t="inlineStr">
        <is>
          <t>极紧凑-豹子号</t>
        </is>
      </c>
      <c r="N566" s="2" t="inlineStr">
        <is>
          <t>松散-极松散</t>
        </is>
      </c>
      <c r="O566" s="2" t="inlineStr">
        <is>
          <t>松散-标准松散</t>
        </is>
      </c>
      <c r="P566" s="2" t="inlineStr">
        <is>
          <t>松散-偏紧松散</t>
        </is>
      </c>
      <c r="Q566" s="2" t="inlineStr">
        <is>
          <t>标准-偏松标准</t>
        </is>
      </c>
      <c r="R566" s="2" t="inlineStr">
        <is>
          <t>标准-核心标准</t>
        </is>
      </c>
      <c r="S566" s="2" t="inlineStr">
        <is>
          <t>标准-偏紧标准</t>
        </is>
      </c>
      <c r="T566" s="2" t="inlineStr">
        <is>
          <t>紧凑-标准紧凑</t>
        </is>
      </c>
      <c r="U566" s="2" t="inlineStr">
        <is>
          <t>紧凑-高度紧凑</t>
        </is>
      </c>
      <c r="V566" s="2" t="inlineStr">
        <is>
          <t>紧凑-极度紧凑</t>
        </is>
      </c>
    </row>
    <row r="567">
      <c r="A567" s="1" t="n">
        <v>2024134</v>
      </c>
      <c r="B567" s="3" t="inlineStr">
        <is>
          <t>660</t>
        </is>
      </c>
      <c r="C567" s="2">
        <f>IF(B567="","",LEFT(TEXT(B567,"000"),1)*1)</f>
        <v/>
      </c>
      <c r="D567" s="2">
        <f>IF(B567="","",MID(TEXT(B567,"000"),2,1)*1)</f>
        <v/>
      </c>
      <c r="E567" s="2">
        <f>IF(B567="","",RIGHT(TEXT(B567,"000"),1)*1)</f>
        <v/>
      </c>
      <c r="F567" s="2">
        <f>IF(B567="","",C567+D567+E567)</f>
        <v/>
      </c>
      <c r="G567" s="2">
        <f>IF(B567="","",MOD(F567,10))</f>
        <v/>
      </c>
      <c r="H567" s="2">
        <f>IF(B567="","",MAX(C567,D567,E567)-MIN(C567,D567,E567))</f>
        <v/>
      </c>
      <c r="I567" s="2">
        <f>IF(OR(B567="",H567=0),IF(H567=0,0.1,""),ROUND(F567/H567,2))</f>
        <v/>
      </c>
      <c r="J567" s="2">
        <f>IF(I567=0.1,"极紧凑",IF(I567&gt;3.5,"紧凑",IF(AND(I567&gt;=2,I567&lt;=3.5),"标准",IF(AND(I567&gt;=1,I567&lt;2),"松散",""))))</f>
        <v/>
      </c>
      <c r="K567" s="2">
        <f>IF(I567=0.1,"极紧凑-豹子号",IF(AND(I567&gt;=1,I567&lt;=1.29),"松散-极松散",IF(AND(I567&gt;=1.33,I567&lt;=1.8),"松散-标准松散",IF(AND(I567&gt;=1.83,I567&lt;=1.89),"松散-偏紧松散",IF(AND(I567&gt;=2,I567&lt;=2.5),"标准-偏松标准",IF(AND(I567&gt;=2.57,I567&lt;=3),"标准-核心标准",IF(AND(I567&gt;=3.17,I567&lt;=3.5),"标准-偏紧标准",IF(AND(I567&gt;=3.6,I567&lt;=5),"紧凑-标准紧凑",IF(AND(I567&gt;=5.25,I567&lt;=8),"紧凑-高度紧凑",IF(I567&gt;=8.5,"紧凑-极度紧凑",""))))))))))</f>
        <v/>
      </c>
      <c r="L567" s="2">
        <f>IF(I567=0.1,"极紧凑",IF(AND(I567&gt;=1,I567&lt;=1.89),"松散",IF(AND(I567&gt;=2,I567&lt;=3.5),"标准",IF(I567&gt;=3.6,"紧凑",""))))</f>
        <v/>
      </c>
      <c r="M567" s="2" t="inlineStr">
        <is>
          <t>极紧凑-豹子号</t>
        </is>
      </c>
      <c r="N567" s="2" t="inlineStr">
        <is>
          <t>松散-极松散</t>
        </is>
      </c>
      <c r="O567" s="2" t="inlineStr">
        <is>
          <t>松散-标准松散</t>
        </is>
      </c>
      <c r="P567" s="2" t="inlineStr">
        <is>
          <t>松散-偏紧松散</t>
        </is>
      </c>
      <c r="Q567" s="2" t="inlineStr">
        <is>
          <t>标准-偏松标准</t>
        </is>
      </c>
      <c r="R567" s="2" t="inlineStr">
        <is>
          <t>标准-核心标准</t>
        </is>
      </c>
      <c r="S567" s="2" t="inlineStr">
        <is>
          <t>标准-偏紧标准</t>
        </is>
      </c>
      <c r="T567" s="2" t="inlineStr">
        <is>
          <t>紧凑-标准紧凑</t>
        </is>
      </c>
      <c r="U567" s="2" t="inlineStr">
        <is>
          <t>紧凑-高度紧凑</t>
        </is>
      </c>
      <c r="V567" s="2" t="inlineStr">
        <is>
          <t>紧凑-极度紧凑</t>
        </is>
      </c>
    </row>
    <row r="568">
      <c r="A568" s="1" t="n">
        <v>2024135</v>
      </c>
      <c r="B568" s="3" t="inlineStr">
        <is>
          <t>891</t>
        </is>
      </c>
      <c r="C568" s="2">
        <f>IF(B568="","",LEFT(TEXT(B568,"000"),1)*1)</f>
        <v/>
      </c>
      <c r="D568" s="2">
        <f>IF(B568="","",MID(TEXT(B568,"000"),2,1)*1)</f>
        <v/>
      </c>
      <c r="E568" s="2">
        <f>IF(B568="","",RIGHT(TEXT(B568,"000"),1)*1)</f>
        <v/>
      </c>
      <c r="F568" s="2">
        <f>IF(B568="","",C568+D568+E568)</f>
        <v/>
      </c>
      <c r="G568" s="2">
        <f>IF(B568="","",MOD(F568,10))</f>
        <v/>
      </c>
      <c r="H568" s="2">
        <f>IF(B568="","",MAX(C568,D568,E568)-MIN(C568,D568,E568))</f>
        <v/>
      </c>
      <c r="I568" s="2">
        <f>IF(OR(B568="",H568=0),IF(H568=0,0.1,""),ROUND(F568/H568,2))</f>
        <v/>
      </c>
      <c r="J568" s="2">
        <f>IF(I568=0.1,"极紧凑",IF(I568&gt;3.5,"紧凑",IF(AND(I568&gt;=2,I568&lt;=3.5),"标准",IF(AND(I568&gt;=1,I568&lt;2),"松散",""))))</f>
        <v/>
      </c>
      <c r="K568" s="2">
        <f>IF(I568=0.1,"极紧凑-豹子号",IF(AND(I568&gt;=1,I568&lt;=1.29),"松散-极松散",IF(AND(I568&gt;=1.33,I568&lt;=1.8),"松散-标准松散",IF(AND(I568&gt;=1.83,I568&lt;=1.89),"松散-偏紧松散",IF(AND(I568&gt;=2,I568&lt;=2.5),"标准-偏松标准",IF(AND(I568&gt;=2.57,I568&lt;=3),"标准-核心标准",IF(AND(I568&gt;=3.17,I568&lt;=3.5),"标准-偏紧标准",IF(AND(I568&gt;=3.6,I568&lt;=5),"紧凑-标准紧凑",IF(AND(I568&gt;=5.25,I568&lt;=8),"紧凑-高度紧凑",IF(I568&gt;=8.5,"紧凑-极度紧凑",""))))))))))</f>
        <v/>
      </c>
      <c r="L568" s="2">
        <f>IF(I568=0.1,"极紧凑",IF(AND(I568&gt;=1,I568&lt;=1.89),"松散",IF(AND(I568&gt;=2,I568&lt;=3.5),"标准",IF(I568&gt;=3.6,"紧凑",""))))</f>
        <v/>
      </c>
      <c r="M568" s="2" t="inlineStr">
        <is>
          <t>极紧凑-豹子号</t>
        </is>
      </c>
      <c r="N568" s="2" t="inlineStr">
        <is>
          <t>松散-极松散</t>
        </is>
      </c>
      <c r="O568" s="2" t="inlineStr">
        <is>
          <t>松散-标准松散</t>
        </is>
      </c>
      <c r="P568" s="2" t="inlineStr">
        <is>
          <t>松散-偏紧松散</t>
        </is>
      </c>
      <c r="Q568" s="2" t="inlineStr">
        <is>
          <t>标准-偏松标准</t>
        </is>
      </c>
      <c r="R568" s="2" t="inlineStr">
        <is>
          <t>标准-核心标准</t>
        </is>
      </c>
      <c r="S568" s="2" t="inlineStr">
        <is>
          <t>标准-偏紧标准</t>
        </is>
      </c>
      <c r="T568" s="2" t="inlineStr">
        <is>
          <t>紧凑-标准紧凑</t>
        </is>
      </c>
      <c r="U568" s="2" t="inlineStr">
        <is>
          <t>紧凑-高度紧凑</t>
        </is>
      </c>
      <c r="V568" s="2" t="inlineStr">
        <is>
          <t>紧凑-极度紧凑</t>
        </is>
      </c>
    </row>
    <row r="569">
      <c r="A569" s="1" t="n">
        <v>2024136</v>
      </c>
      <c r="B569" s="3" t="inlineStr">
        <is>
          <t>062</t>
        </is>
      </c>
      <c r="C569" s="2">
        <f>IF(B569="","",LEFT(TEXT(B569,"000"),1)*1)</f>
        <v/>
      </c>
      <c r="D569" s="2">
        <f>IF(B569="","",MID(TEXT(B569,"000"),2,1)*1)</f>
        <v/>
      </c>
      <c r="E569" s="2">
        <f>IF(B569="","",RIGHT(TEXT(B569,"000"),1)*1)</f>
        <v/>
      </c>
      <c r="F569" s="2">
        <f>IF(B569="","",C569+D569+E569)</f>
        <v/>
      </c>
      <c r="G569" s="2">
        <f>IF(B569="","",MOD(F569,10))</f>
        <v/>
      </c>
      <c r="H569" s="2">
        <f>IF(B569="","",MAX(C569,D569,E569)-MIN(C569,D569,E569))</f>
        <v/>
      </c>
      <c r="I569" s="2">
        <f>IF(OR(B569="",H569=0),IF(H569=0,0.1,""),ROUND(F569/H569,2))</f>
        <v/>
      </c>
      <c r="J569" s="2">
        <f>IF(I569=0.1,"极紧凑",IF(I569&gt;3.5,"紧凑",IF(AND(I569&gt;=2,I569&lt;=3.5),"标准",IF(AND(I569&gt;=1,I569&lt;2),"松散",""))))</f>
        <v/>
      </c>
      <c r="K569" s="2">
        <f>IF(I569=0.1,"极紧凑-豹子号",IF(AND(I569&gt;=1,I569&lt;=1.29),"松散-极松散",IF(AND(I569&gt;=1.33,I569&lt;=1.8),"松散-标准松散",IF(AND(I569&gt;=1.83,I569&lt;=1.89),"松散-偏紧松散",IF(AND(I569&gt;=2,I569&lt;=2.5),"标准-偏松标准",IF(AND(I569&gt;=2.57,I569&lt;=3),"标准-核心标准",IF(AND(I569&gt;=3.17,I569&lt;=3.5),"标准-偏紧标准",IF(AND(I569&gt;=3.6,I569&lt;=5),"紧凑-标准紧凑",IF(AND(I569&gt;=5.25,I569&lt;=8),"紧凑-高度紧凑",IF(I569&gt;=8.5,"紧凑-极度紧凑",""))))))))))</f>
        <v/>
      </c>
      <c r="L569" s="2">
        <f>IF(I569=0.1,"极紧凑",IF(AND(I569&gt;=1,I569&lt;=1.89),"松散",IF(AND(I569&gt;=2,I569&lt;=3.5),"标准",IF(I569&gt;=3.6,"紧凑",""))))</f>
        <v/>
      </c>
      <c r="M569" s="2" t="inlineStr">
        <is>
          <t>极紧凑-豹子号</t>
        </is>
      </c>
      <c r="N569" s="2" t="inlineStr">
        <is>
          <t>松散-极松散</t>
        </is>
      </c>
      <c r="O569" s="2" t="inlineStr">
        <is>
          <t>松散-标准松散</t>
        </is>
      </c>
      <c r="P569" s="2" t="inlineStr">
        <is>
          <t>松散-偏紧松散</t>
        </is>
      </c>
      <c r="Q569" s="2" t="inlineStr">
        <is>
          <t>标准-偏松标准</t>
        </is>
      </c>
      <c r="R569" s="2" t="inlineStr">
        <is>
          <t>标准-核心标准</t>
        </is>
      </c>
      <c r="S569" s="2" t="inlineStr">
        <is>
          <t>标准-偏紧标准</t>
        </is>
      </c>
      <c r="T569" s="2" t="inlineStr">
        <is>
          <t>紧凑-标准紧凑</t>
        </is>
      </c>
      <c r="U569" s="2" t="inlineStr">
        <is>
          <t>紧凑-高度紧凑</t>
        </is>
      </c>
      <c r="V569" s="2" t="inlineStr">
        <is>
          <t>紧凑-极度紧凑</t>
        </is>
      </c>
    </row>
    <row r="570">
      <c r="A570" s="1" t="n">
        <v>2024137</v>
      </c>
      <c r="B570" s="3" t="inlineStr">
        <is>
          <t>128</t>
        </is>
      </c>
      <c r="C570" s="2">
        <f>IF(B570="","",LEFT(TEXT(B570,"000"),1)*1)</f>
        <v/>
      </c>
      <c r="D570" s="2">
        <f>IF(B570="","",MID(TEXT(B570,"000"),2,1)*1)</f>
        <v/>
      </c>
      <c r="E570" s="2">
        <f>IF(B570="","",RIGHT(TEXT(B570,"000"),1)*1)</f>
        <v/>
      </c>
      <c r="F570" s="2">
        <f>IF(B570="","",C570+D570+E570)</f>
        <v/>
      </c>
      <c r="G570" s="2">
        <f>IF(B570="","",MOD(F570,10))</f>
        <v/>
      </c>
      <c r="H570" s="2">
        <f>IF(B570="","",MAX(C570,D570,E570)-MIN(C570,D570,E570))</f>
        <v/>
      </c>
      <c r="I570" s="2">
        <f>IF(OR(B570="",H570=0),IF(H570=0,0.1,""),ROUND(F570/H570,2))</f>
        <v/>
      </c>
      <c r="J570" s="2">
        <f>IF(I570=0.1,"极紧凑",IF(I570&gt;3.5,"紧凑",IF(AND(I570&gt;=2,I570&lt;=3.5),"标准",IF(AND(I570&gt;=1,I570&lt;2),"松散",""))))</f>
        <v/>
      </c>
      <c r="K570" s="2">
        <f>IF(I570=0.1,"极紧凑-豹子号",IF(AND(I570&gt;=1,I570&lt;=1.29),"松散-极松散",IF(AND(I570&gt;=1.33,I570&lt;=1.8),"松散-标准松散",IF(AND(I570&gt;=1.83,I570&lt;=1.89),"松散-偏紧松散",IF(AND(I570&gt;=2,I570&lt;=2.5),"标准-偏松标准",IF(AND(I570&gt;=2.57,I570&lt;=3),"标准-核心标准",IF(AND(I570&gt;=3.17,I570&lt;=3.5),"标准-偏紧标准",IF(AND(I570&gt;=3.6,I570&lt;=5),"紧凑-标准紧凑",IF(AND(I570&gt;=5.25,I570&lt;=8),"紧凑-高度紧凑",IF(I570&gt;=8.5,"紧凑-极度紧凑",""))))))))))</f>
        <v/>
      </c>
      <c r="L570" s="2">
        <f>IF(I570=0.1,"极紧凑",IF(AND(I570&gt;=1,I570&lt;=1.89),"松散",IF(AND(I570&gt;=2,I570&lt;=3.5),"标准",IF(I570&gt;=3.6,"紧凑",""))))</f>
        <v/>
      </c>
      <c r="M570" s="2" t="inlineStr">
        <is>
          <t>极紧凑-豹子号</t>
        </is>
      </c>
      <c r="N570" s="2" t="inlineStr">
        <is>
          <t>松散-极松散</t>
        </is>
      </c>
      <c r="O570" s="2" t="inlineStr">
        <is>
          <t>松散-标准松散</t>
        </is>
      </c>
      <c r="P570" s="2" t="inlineStr">
        <is>
          <t>松散-偏紧松散</t>
        </is>
      </c>
      <c r="Q570" s="2" t="inlineStr">
        <is>
          <t>标准-偏松标准</t>
        </is>
      </c>
      <c r="R570" s="2" t="inlineStr">
        <is>
          <t>标准-核心标准</t>
        </is>
      </c>
      <c r="S570" s="2" t="inlineStr">
        <is>
          <t>标准-偏紧标准</t>
        </is>
      </c>
      <c r="T570" s="2" t="inlineStr">
        <is>
          <t>紧凑-标准紧凑</t>
        </is>
      </c>
      <c r="U570" s="2" t="inlineStr">
        <is>
          <t>紧凑-高度紧凑</t>
        </is>
      </c>
      <c r="V570" s="2" t="inlineStr">
        <is>
          <t>紧凑-极度紧凑</t>
        </is>
      </c>
    </row>
    <row r="571">
      <c r="A571" s="1" t="n">
        <v>2024138</v>
      </c>
      <c r="B571" s="3" t="inlineStr">
        <is>
          <t>997</t>
        </is>
      </c>
      <c r="C571" s="2">
        <f>IF(B571="","",LEFT(TEXT(B571,"000"),1)*1)</f>
        <v/>
      </c>
      <c r="D571" s="2">
        <f>IF(B571="","",MID(TEXT(B571,"000"),2,1)*1)</f>
        <v/>
      </c>
      <c r="E571" s="2">
        <f>IF(B571="","",RIGHT(TEXT(B571,"000"),1)*1)</f>
        <v/>
      </c>
      <c r="F571" s="2">
        <f>IF(B571="","",C571+D571+E571)</f>
        <v/>
      </c>
      <c r="G571" s="2">
        <f>IF(B571="","",MOD(F571,10))</f>
        <v/>
      </c>
      <c r="H571" s="2">
        <f>IF(B571="","",MAX(C571,D571,E571)-MIN(C571,D571,E571))</f>
        <v/>
      </c>
      <c r="I571" s="2">
        <f>IF(OR(B571="",H571=0),IF(H571=0,0.1,""),ROUND(F571/H571,2))</f>
        <v/>
      </c>
      <c r="J571" s="2">
        <f>IF(I571=0.1,"极紧凑",IF(I571&gt;3.5,"紧凑",IF(AND(I571&gt;=2,I571&lt;=3.5),"标准",IF(AND(I571&gt;=1,I571&lt;2),"松散",""))))</f>
        <v/>
      </c>
      <c r="K571" s="2">
        <f>IF(I571=0.1,"极紧凑-豹子号",IF(AND(I571&gt;=1,I571&lt;=1.29),"松散-极松散",IF(AND(I571&gt;=1.33,I571&lt;=1.8),"松散-标准松散",IF(AND(I571&gt;=1.83,I571&lt;=1.89),"松散-偏紧松散",IF(AND(I571&gt;=2,I571&lt;=2.5),"标准-偏松标准",IF(AND(I571&gt;=2.57,I571&lt;=3),"标准-核心标准",IF(AND(I571&gt;=3.17,I571&lt;=3.5),"标准-偏紧标准",IF(AND(I571&gt;=3.6,I571&lt;=5),"紧凑-标准紧凑",IF(AND(I571&gt;=5.25,I571&lt;=8),"紧凑-高度紧凑",IF(I571&gt;=8.5,"紧凑-极度紧凑",""))))))))))</f>
        <v/>
      </c>
      <c r="L571" s="2">
        <f>IF(I571=0.1,"极紧凑",IF(AND(I571&gt;=1,I571&lt;=1.89),"松散",IF(AND(I571&gt;=2,I571&lt;=3.5),"标准",IF(I571&gt;=3.6,"紧凑",""))))</f>
        <v/>
      </c>
      <c r="M571" s="2" t="inlineStr">
        <is>
          <t>极紧凑-豹子号</t>
        </is>
      </c>
      <c r="N571" s="2" t="inlineStr">
        <is>
          <t>松散-极松散</t>
        </is>
      </c>
      <c r="O571" s="2" t="inlineStr">
        <is>
          <t>松散-标准松散</t>
        </is>
      </c>
      <c r="P571" s="2" t="inlineStr">
        <is>
          <t>松散-偏紧松散</t>
        </is>
      </c>
      <c r="Q571" s="2" t="inlineStr">
        <is>
          <t>标准-偏松标准</t>
        </is>
      </c>
      <c r="R571" s="2" t="inlineStr">
        <is>
          <t>标准-核心标准</t>
        </is>
      </c>
      <c r="S571" s="2" t="inlineStr">
        <is>
          <t>标准-偏紧标准</t>
        </is>
      </c>
      <c r="T571" s="2" t="inlineStr">
        <is>
          <t>紧凑-标准紧凑</t>
        </is>
      </c>
      <c r="U571" s="2" t="inlineStr">
        <is>
          <t>紧凑-高度紧凑</t>
        </is>
      </c>
      <c r="V571" s="2" t="inlineStr">
        <is>
          <t>紧凑-极度紧凑</t>
        </is>
      </c>
    </row>
    <row r="572">
      <c r="A572" s="1" t="n">
        <v>2024139</v>
      </c>
      <c r="B572" s="3" t="inlineStr">
        <is>
          <t>536</t>
        </is>
      </c>
      <c r="C572" s="2">
        <f>IF(B572="","",LEFT(TEXT(B572,"000"),1)*1)</f>
        <v/>
      </c>
      <c r="D572" s="2">
        <f>IF(B572="","",MID(TEXT(B572,"000"),2,1)*1)</f>
        <v/>
      </c>
      <c r="E572" s="2">
        <f>IF(B572="","",RIGHT(TEXT(B572,"000"),1)*1)</f>
        <v/>
      </c>
      <c r="F572" s="2">
        <f>IF(B572="","",C572+D572+E572)</f>
        <v/>
      </c>
      <c r="G572" s="2">
        <f>IF(B572="","",MOD(F572,10))</f>
        <v/>
      </c>
      <c r="H572" s="2">
        <f>IF(B572="","",MAX(C572,D572,E572)-MIN(C572,D572,E572))</f>
        <v/>
      </c>
      <c r="I572" s="2">
        <f>IF(OR(B572="",H572=0),IF(H572=0,0.1,""),ROUND(F572/H572,2))</f>
        <v/>
      </c>
      <c r="J572" s="2">
        <f>IF(I572=0.1,"极紧凑",IF(I572&gt;3.5,"紧凑",IF(AND(I572&gt;=2,I572&lt;=3.5),"标准",IF(AND(I572&gt;=1,I572&lt;2),"松散",""))))</f>
        <v/>
      </c>
      <c r="K572" s="2">
        <f>IF(I572=0.1,"极紧凑-豹子号",IF(AND(I572&gt;=1,I572&lt;=1.29),"松散-极松散",IF(AND(I572&gt;=1.33,I572&lt;=1.8),"松散-标准松散",IF(AND(I572&gt;=1.83,I572&lt;=1.89),"松散-偏紧松散",IF(AND(I572&gt;=2,I572&lt;=2.5),"标准-偏松标准",IF(AND(I572&gt;=2.57,I572&lt;=3),"标准-核心标准",IF(AND(I572&gt;=3.17,I572&lt;=3.5),"标准-偏紧标准",IF(AND(I572&gt;=3.6,I572&lt;=5),"紧凑-标准紧凑",IF(AND(I572&gt;=5.25,I572&lt;=8),"紧凑-高度紧凑",IF(I572&gt;=8.5,"紧凑-极度紧凑",""))))))))))</f>
        <v/>
      </c>
      <c r="L572" s="2">
        <f>IF(I572=0.1,"极紧凑",IF(AND(I572&gt;=1,I572&lt;=1.89),"松散",IF(AND(I572&gt;=2,I572&lt;=3.5),"标准",IF(I572&gt;=3.6,"紧凑",""))))</f>
        <v/>
      </c>
      <c r="M572" s="2" t="inlineStr">
        <is>
          <t>极紧凑-豹子号</t>
        </is>
      </c>
      <c r="N572" s="2" t="inlineStr">
        <is>
          <t>松散-极松散</t>
        </is>
      </c>
      <c r="O572" s="2" t="inlineStr">
        <is>
          <t>松散-标准松散</t>
        </is>
      </c>
      <c r="P572" s="2" t="inlineStr">
        <is>
          <t>松散-偏紧松散</t>
        </is>
      </c>
      <c r="Q572" s="2" t="inlineStr">
        <is>
          <t>标准-偏松标准</t>
        </is>
      </c>
      <c r="R572" s="2" t="inlineStr">
        <is>
          <t>标准-核心标准</t>
        </is>
      </c>
      <c r="S572" s="2" t="inlineStr">
        <is>
          <t>标准-偏紧标准</t>
        </is>
      </c>
      <c r="T572" s="2" t="inlineStr">
        <is>
          <t>紧凑-标准紧凑</t>
        </is>
      </c>
      <c r="U572" s="2" t="inlineStr">
        <is>
          <t>紧凑-高度紧凑</t>
        </is>
      </c>
      <c r="V572" s="2" t="inlineStr">
        <is>
          <t>紧凑-极度紧凑</t>
        </is>
      </c>
    </row>
    <row r="573">
      <c r="A573" s="1" t="n">
        <v>2024140</v>
      </c>
      <c r="B573" s="3" t="inlineStr">
        <is>
          <t>520</t>
        </is>
      </c>
      <c r="C573" s="2">
        <f>IF(B573="","",LEFT(TEXT(B573,"000"),1)*1)</f>
        <v/>
      </c>
      <c r="D573" s="2">
        <f>IF(B573="","",MID(TEXT(B573,"000"),2,1)*1)</f>
        <v/>
      </c>
      <c r="E573" s="2">
        <f>IF(B573="","",RIGHT(TEXT(B573,"000"),1)*1)</f>
        <v/>
      </c>
      <c r="F573" s="2">
        <f>IF(B573="","",C573+D573+E573)</f>
        <v/>
      </c>
      <c r="G573" s="2">
        <f>IF(B573="","",MOD(F573,10))</f>
        <v/>
      </c>
      <c r="H573" s="2">
        <f>IF(B573="","",MAX(C573,D573,E573)-MIN(C573,D573,E573))</f>
        <v/>
      </c>
      <c r="I573" s="2">
        <f>IF(OR(B573="",H573=0),IF(H573=0,0.1,""),ROUND(F573/H573,2))</f>
        <v/>
      </c>
      <c r="J573" s="2">
        <f>IF(I573=0.1,"极紧凑",IF(I573&gt;3.5,"紧凑",IF(AND(I573&gt;=2,I573&lt;=3.5),"标准",IF(AND(I573&gt;=1,I573&lt;2),"松散",""))))</f>
        <v/>
      </c>
      <c r="K573" s="2">
        <f>IF(I573=0.1,"极紧凑-豹子号",IF(AND(I573&gt;=1,I573&lt;=1.29),"松散-极松散",IF(AND(I573&gt;=1.33,I573&lt;=1.8),"松散-标准松散",IF(AND(I573&gt;=1.83,I573&lt;=1.89),"松散-偏紧松散",IF(AND(I573&gt;=2,I573&lt;=2.5),"标准-偏松标准",IF(AND(I573&gt;=2.57,I573&lt;=3),"标准-核心标准",IF(AND(I573&gt;=3.17,I573&lt;=3.5),"标准-偏紧标准",IF(AND(I573&gt;=3.6,I573&lt;=5),"紧凑-标准紧凑",IF(AND(I573&gt;=5.25,I573&lt;=8),"紧凑-高度紧凑",IF(I573&gt;=8.5,"紧凑-极度紧凑",""))))))))))</f>
        <v/>
      </c>
      <c r="L573" s="2">
        <f>IF(I573=0.1,"极紧凑",IF(AND(I573&gt;=1,I573&lt;=1.89),"松散",IF(AND(I573&gt;=2,I573&lt;=3.5),"标准",IF(I573&gt;=3.6,"紧凑",""))))</f>
        <v/>
      </c>
      <c r="M573" s="2" t="inlineStr">
        <is>
          <t>极紧凑-豹子号</t>
        </is>
      </c>
      <c r="N573" s="2" t="inlineStr">
        <is>
          <t>松散-极松散</t>
        </is>
      </c>
      <c r="O573" s="2" t="inlineStr">
        <is>
          <t>松散-标准松散</t>
        </is>
      </c>
      <c r="P573" s="2" t="inlineStr">
        <is>
          <t>松散-偏紧松散</t>
        </is>
      </c>
      <c r="Q573" s="2" t="inlineStr">
        <is>
          <t>标准-偏松标准</t>
        </is>
      </c>
      <c r="R573" s="2" t="inlineStr">
        <is>
          <t>标准-核心标准</t>
        </is>
      </c>
      <c r="S573" s="2" t="inlineStr">
        <is>
          <t>标准-偏紧标准</t>
        </is>
      </c>
      <c r="T573" s="2" t="inlineStr">
        <is>
          <t>紧凑-标准紧凑</t>
        </is>
      </c>
      <c r="U573" s="2" t="inlineStr">
        <is>
          <t>紧凑-高度紧凑</t>
        </is>
      </c>
      <c r="V573" s="2" t="inlineStr">
        <is>
          <t>紧凑-极度紧凑</t>
        </is>
      </c>
    </row>
    <row r="574">
      <c r="A574" s="1" t="n">
        <v>2024141</v>
      </c>
      <c r="B574" s="3" t="inlineStr">
        <is>
          <t>804</t>
        </is>
      </c>
      <c r="C574" s="2">
        <f>IF(B574="","",LEFT(TEXT(B574,"000"),1)*1)</f>
        <v/>
      </c>
      <c r="D574" s="2">
        <f>IF(B574="","",MID(TEXT(B574,"000"),2,1)*1)</f>
        <v/>
      </c>
      <c r="E574" s="2">
        <f>IF(B574="","",RIGHT(TEXT(B574,"000"),1)*1)</f>
        <v/>
      </c>
      <c r="F574" s="2">
        <f>IF(B574="","",C574+D574+E574)</f>
        <v/>
      </c>
      <c r="G574" s="2">
        <f>IF(B574="","",MOD(F574,10))</f>
        <v/>
      </c>
      <c r="H574" s="2">
        <f>IF(B574="","",MAX(C574,D574,E574)-MIN(C574,D574,E574))</f>
        <v/>
      </c>
      <c r="I574" s="2">
        <f>IF(OR(B574="",H574=0),IF(H574=0,0.1,""),ROUND(F574/H574,2))</f>
        <v/>
      </c>
      <c r="J574" s="2">
        <f>IF(I574=0.1,"极紧凑",IF(I574&gt;3.5,"紧凑",IF(AND(I574&gt;=2,I574&lt;=3.5),"标准",IF(AND(I574&gt;=1,I574&lt;2),"松散",""))))</f>
        <v/>
      </c>
      <c r="K574" s="2">
        <f>IF(I574=0.1,"极紧凑-豹子号",IF(AND(I574&gt;=1,I574&lt;=1.29),"松散-极松散",IF(AND(I574&gt;=1.33,I574&lt;=1.8),"松散-标准松散",IF(AND(I574&gt;=1.83,I574&lt;=1.89),"松散-偏紧松散",IF(AND(I574&gt;=2,I574&lt;=2.5),"标准-偏松标准",IF(AND(I574&gt;=2.57,I574&lt;=3),"标准-核心标准",IF(AND(I574&gt;=3.17,I574&lt;=3.5),"标准-偏紧标准",IF(AND(I574&gt;=3.6,I574&lt;=5),"紧凑-标准紧凑",IF(AND(I574&gt;=5.25,I574&lt;=8),"紧凑-高度紧凑",IF(I574&gt;=8.5,"紧凑-极度紧凑",""))))))))))</f>
        <v/>
      </c>
      <c r="L574" s="2">
        <f>IF(I574=0.1,"极紧凑",IF(AND(I574&gt;=1,I574&lt;=1.89),"松散",IF(AND(I574&gt;=2,I574&lt;=3.5),"标准",IF(I574&gt;=3.6,"紧凑",""))))</f>
        <v/>
      </c>
      <c r="M574" s="2" t="inlineStr">
        <is>
          <t>极紧凑-豹子号</t>
        </is>
      </c>
      <c r="N574" s="2" t="inlineStr">
        <is>
          <t>松散-极松散</t>
        </is>
      </c>
      <c r="O574" s="2" t="inlineStr">
        <is>
          <t>松散-标准松散</t>
        </is>
      </c>
      <c r="P574" s="2" t="inlineStr">
        <is>
          <t>松散-偏紧松散</t>
        </is>
      </c>
      <c r="Q574" s="2" t="inlineStr">
        <is>
          <t>标准-偏松标准</t>
        </is>
      </c>
      <c r="R574" s="2" t="inlineStr">
        <is>
          <t>标准-核心标准</t>
        </is>
      </c>
      <c r="S574" s="2" t="inlineStr">
        <is>
          <t>标准-偏紧标准</t>
        </is>
      </c>
      <c r="T574" s="2" t="inlineStr">
        <is>
          <t>紧凑-标准紧凑</t>
        </is>
      </c>
      <c r="U574" s="2" t="inlineStr">
        <is>
          <t>紧凑-高度紧凑</t>
        </is>
      </c>
      <c r="V574" s="2" t="inlineStr">
        <is>
          <t>紧凑-极度紧凑</t>
        </is>
      </c>
    </row>
    <row r="575">
      <c r="A575" s="1" t="n">
        <v>2024142</v>
      </c>
      <c r="B575" s="3" t="inlineStr">
        <is>
          <t>426</t>
        </is>
      </c>
      <c r="C575" s="2">
        <f>IF(B575="","",LEFT(TEXT(B575,"000"),1)*1)</f>
        <v/>
      </c>
      <c r="D575" s="2">
        <f>IF(B575="","",MID(TEXT(B575,"000"),2,1)*1)</f>
        <v/>
      </c>
      <c r="E575" s="2">
        <f>IF(B575="","",RIGHT(TEXT(B575,"000"),1)*1)</f>
        <v/>
      </c>
      <c r="F575" s="2">
        <f>IF(B575="","",C575+D575+E575)</f>
        <v/>
      </c>
      <c r="G575" s="2">
        <f>IF(B575="","",MOD(F575,10))</f>
        <v/>
      </c>
      <c r="H575" s="2">
        <f>IF(B575="","",MAX(C575,D575,E575)-MIN(C575,D575,E575))</f>
        <v/>
      </c>
      <c r="I575" s="2">
        <f>IF(OR(B575="",H575=0),IF(H575=0,0.1,""),ROUND(F575/H575,2))</f>
        <v/>
      </c>
      <c r="J575" s="2">
        <f>IF(I575=0.1,"极紧凑",IF(I575&gt;3.5,"紧凑",IF(AND(I575&gt;=2,I575&lt;=3.5),"标准",IF(AND(I575&gt;=1,I575&lt;2),"松散",""))))</f>
        <v/>
      </c>
      <c r="K575" s="2">
        <f>IF(I575=0.1,"极紧凑-豹子号",IF(AND(I575&gt;=1,I575&lt;=1.29),"松散-极松散",IF(AND(I575&gt;=1.33,I575&lt;=1.8),"松散-标准松散",IF(AND(I575&gt;=1.83,I575&lt;=1.89),"松散-偏紧松散",IF(AND(I575&gt;=2,I575&lt;=2.5),"标准-偏松标准",IF(AND(I575&gt;=2.57,I575&lt;=3),"标准-核心标准",IF(AND(I575&gt;=3.17,I575&lt;=3.5),"标准-偏紧标准",IF(AND(I575&gt;=3.6,I575&lt;=5),"紧凑-标准紧凑",IF(AND(I575&gt;=5.25,I575&lt;=8),"紧凑-高度紧凑",IF(I575&gt;=8.5,"紧凑-极度紧凑",""))))))))))</f>
        <v/>
      </c>
      <c r="L575" s="2">
        <f>IF(I575=0.1,"极紧凑",IF(AND(I575&gt;=1,I575&lt;=1.89),"松散",IF(AND(I575&gt;=2,I575&lt;=3.5),"标准",IF(I575&gt;=3.6,"紧凑",""))))</f>
        <v/>
      </c>
      <c r="M575" s="2" t="inlineStr">
        <is>
          <t>极紧凑-豹子号</t>
        </is>
      </c>
      <c r="N575" s="2" t="inlineStr">
        <is>
          <t>松散-极松散</t>
        </is>
      </c>
      <c r="O575" s="2" t="inlineStr">
        <is>
          <t>松散-标准松散</t>
        </is>
      </c>
      <c r="P575" s="2" t="inlineStr">
        <is>
          <t>松散-偏紧松散</t>
        </is>
      </c>
      <c r="Q575" s="2" t="inlineStr">
        <is>
          <t>标准-偏松标准</t>
        </is>
      </c>
      <c r="R575" s="2" t="inlineStr">
        <is>
          <t>标准-核心标准</t>
        </is>
      </c>
      <c r="S575" s="2" t="inlineStr">
        <is>
          <t>标准-偏紧标准</t>
        </is>
      </c>
      <c r="T575" s="2" t="inlineStr">
        <is>
          <t>紧凑-标准紧凑</t>
        </is>
      </c>
      <c r="U575" s="2" t="inlineStr">
        <is>
          <t>紧凑-高度紧凑</t>
        </is>
      </c>
      <c r="V575" s="2" t="inlineStr">
        <is>
          <t>紧凑-极度紧凑</t>
        </is>
      </c>
    </row>
    <row r="576">
      <c r="A576" s="1" t="n">
        <v>2024143</v>
      </c>
      <c r="B576" s="3" t="inlineStr">
        <is>
          <t>185</t>
        </is>
      </c>
      <c r="C576" s="2">
        <f>IF(B576="","",LEFT(TEXT(B576,"000"),1)*1)</f>
        <v/>
      </c>
      <c r="D576" s="2">
        <f>IF(B576="","",MID(TEXT(B576,"000"),2,1)*1)</f>
        <v/>
      </c>
      <c r="E576" s="2">
        <f>IF(B576="","",RIGHT(TEXT(B576,"000"),1)*1)</f>
        <v/>
      </c>
      <c r="F576" s="2">
        <f>IF(B576="","",C576+D576+E576)</f>
        <v/>
      </c>
      <c r="G576" s="2">
        <f>IF(B576="","",MOD(F576,10))</f>
        <v/>
      </c>
      <c r="H576" s="2">
        <f>IF(B576="","",MAX(C576,D576,E576)-MIN(C576,D576,E576))</f>
        <v/>
      </c>
      <c r="I576" s="2">
        <f>IF(OR(B576="",H576=0),IF(H576=0,0.1,""),ROUND(F576/H576,2))</f>
        <v/>
      </c>
      <c r="J576" s="2">
        <f>IF(I576=0.1,"极紧凑",IF(I576&gt;3.5,"紧凑",IF(AND(I576&gt;=2,I576&lt;=3.5),"标准",IF(AND(I576&gt;=1,I576&lt;2),"松散",""))))</f>
        <v/>
      </c>
      <c r="K576" s="2">
        <f>IF(I576=0.1,"极紧凑-豹子号",IF(AND(I576&gt;=1,I576&lt;=1.29),"松散-极松散",IF(AND(I576&gt;=1.33,I576&lt;=1.8),"松散-标准松散",IF(AND(I576&gt;=1.83,I576&lt;=1.89),"松散-偏紧松散",IF(AND(I576&gt;=2,I576&lt;=2.5),"标准-偏松标准",IF(AND(I576&gt;=2.57,I576&lt;=3),"标准-核心标准",IF(AND(I576&gt;=3.17,I576&lt;=3.5),"标准-偏紧标准",IF(AND(I576&gt;=3.6,I576&lt;=5),"紧凑-标准紧凑",IF(AND(I576&gt;=5.25,I576&lt;=8),"紧凑-高度紧凑",IF(I576&gt;=8.5,"紧凑-极度紧凑",""))))))))))</f>
        <v/>
      </c>
      <c r="L576" s="2">
        <f>IF(I576=0.1,"极紧凑",IF(AND(I576&gt;=1,I576&lt;=1.89),"松散",IF(AND(I576&gt;=2,I576&lt;=3.5),"标准",IF(I576&gt;=3.6,"紧凑",""))))</f>
        <v/>
      </c>
      <c r="M576" s="2" t="inlineStr">
        <is>
          <t>极紧凑-豹子号</t>
        </is>
      </c>
      <c r="N576" s="2" t="inlineStr">
        <is>
          <t>松散-极松散</t>
        </is>
      </c>
      <c r="O576" s="2" t="inlineStr">
        <is>
          <t>松散-标准松散</t>
        </is>
      </c>
      <c r="P576" s="2" t="inlineStr">
        <is>
          <t>松散-偏紧松散</t>
        </is>
      </c>
      <c r="Q576" s="2" t="inlineStr">
        <is>
          <t>标准-偏松标准</t>
        </is>
      </c>
      <c r="R576" s="2" t="inlineStr">
        <is>
          <t>标准-核心标准</t>
        </is>
      </c>
      <c r="S576" s="2" t="inlineStr">
        <is>
          <t>标准-偏紧标准</t>
        </is>
      </c>
      <c r="T576" s="2" t="inlineStr">
        <is>
          <t>紧凑-标准紧凑</t>
        </is>
      </c>
      <c r="U576" s="2" t="inlineStr">
        <is>
          <t>紧凑-高度紧凑</t>
        </is>
      </c>
      <c r="V576" s="2" t="inlineStr">
        <is>
          <t>紧凑-极度紧凑</t>
        </is>
      </c>
    </row>
    <row r="577">
      <c r="A577" s="1" t="n">
        <v>2024144</v>
      </c>
      <c r="B577" s="3" t="inlineStr">
        <is>
          <t>147</t>
        </is>
      </c>
      <c r="C577" s="2">
        <f>IF(B577="","",LEFT(TEXT(B577,"000"),1)*1)</f>
        <v/>
      </c>
      <c r="D577" s="2">
        <f>IF(B577="","",MID(TEXT(B577,"000"),2,1)*1)</f>
        <v/>
      </c>
      <c r="E577" s="2">
        <f>IF(B577="","",RIGHT(TEXT(B577,"000"),1)*1)</f>
        <v/>
      </c>
      <c r="F577" s="2">
        <f>IF(B577="","",C577+D577+E577)</f>
        <v/>
      </c>
      <c r="G577" s="2">
        <f>IF(B577="","",MOD(F577,10))</f>
        <v/>
      </c>
      <c r="H577" s="2">
        <f>IF(B577="","",MAX(C577,D577,E577)-MIN(C577,D577,E577))</f>
        <v/>
      </c>
      <c r="I577" s="2">
        <f>IF(OR(B577="",H577=0),IF(H577=0,0.1,""),ROUND(F577/H577,2))</f>
        <v/>
      </c>
      <c r="J577" s="2">
        <f>IF(I577=0.1,"极紧凑",IF(I577&gt;3.5,"紧凑",IF(AND(I577&gt;=2,I577&lt;=3.5),"标准",IF(AND(I577&gt;=1,I577&lt;2),"松散",""))))</f>
        <v/>
      </c>
      <c r="K577" s="2">
        <f>IF(I577=0.1,"极紧凑-豹子号",IF(AND(I577&gt;=1,I577&lt;=1.29),"松散-极松散",IF(AND(I577&gt;=1.33,I577&lt;=1.8),"松散-标准松散",IF(AND(I577&gt;=1.83,I577&lt;=1.89),"松散-偏紧松散",IF(AND(I577&gt;=2,I577&lt;=2.5),"标准-偏松标准",IF(AND(I577&gt;=2.57,I577&lt;=3),"标准-核心标准",IF(AND(I577&gt;=3.17,I577&lt;=3.5),"标准-偏紧标准",IF(AND(I577&gt;=3.6,I577&lt;=5),"紧凑-标准紧凑",IF(AND(I577&gt;=5.25,I577&lt;=8),"紧凑-高度紧凑",IF(I577&gt;=8.5,"紧凑-极度紧凑",""))))))))))</f>
        <v/>
      </c>
      <c r="L577" s="2">
        <f>IF(I577=0.1,"极紧凑",IF(AND(I577&gt;=1,I577&lt;=1.89),"松散",IF(AND(I577&gt;=2,I577&lt;=3.5),"标准",IF(I577&gt;=3.6,"紧凑",""))))</f>
        <v/>
      </c>
      <c r="M577" s="2" t="inlineStr">
        <is>
          <t>极紧凑-豹子号</t>
        </is>
      </c>
      <c r="N577" s="2" t="inlineStr">
        <is>
          <t>松散-极松散</t>
        </is>
      </c>
      <c r="O577" s="2" t="inlineStr">
        <is>
          <t>松散-标准松散</t>
        </is>
      </c>
      <c r="P577" s="2" t="inlineStr">
        <is>
          <t>松散-偏紧松散</t>
        </is>
      </c>
      <c r="Q577" s="2" t="inlineStr">
        <is>
          <t>标准-偏松标准</t>
        </is>
      </c>
      <c r="R577" s="2" t="inlineStr">
        <is>
          <t>标准-核心标准</t>
        </is>
      </c>
      <c r="S577" s="2" t="inlineStr">
        <is>
          <t>标准-偏紧标准</t>
        </is>
      </c>
      <c r="T577" s="2" t="inlineStr">
        <is>
          <t>紧凑-标准紧凑</t>
        </is>
      </c>
      <c r="U577" s="2" t="inlineStr">
        <is>
          <t>紧凑-高度紧凑</t>
        </is>
      </c>
      <c r="V577" s="2" t="inlineStr">
        <is>
          <t>紧凑-极度紧凑</t>
        </is>
      </c>
    </row>
    <row r="578">
      <c r="A578" s="1" t="n">
        <v>2024145</v>
      </c>
      <c r="B578" s="3" t="inlineStr">
        <is>
          <t>205</t>
        </is>
      </c>
      <c r="C578" s="2">
        <f>IF(B578="","",LEFT(TEXT(B578,"000"),1)*1)</f>
        <v/>
      </c>
      <c r="D578" s="2">
        <f>IF(B578="","",MID(TEXT(B578,"000"),2,1)*1)</f>
        <v/>
      </c>
      <c r="E578" s="2">
        <f>IF(B578="","",RIGHT(TEXT(B578,"000"),1)*1)</f>
        <v/>
      </c>
      <c r="F578" s="2">
        <f>IF(B578="","",C578+D578+E578)</f>
        <v/>
      </c>
      <c r="G578" s="2">
        <f>IF(B578="","",MOD(F578,10))</f>
        <v/>
      </c>
      <c r="H578" s="2">
        <f>IF(B578="","",MAX(C578,D578,E578)-MIN(C578,D578,E578))</f>
        <v/>
      </c>
      <c r="I578" s="2">
        <f>IF(OR(B578="",H578=0),IF(H578=0,0.1,""),ROUND(F578/H578,2))</f>
        <v/>
      </c>
      <c r="J578" s="2">
        <f>IF(I578=0.1,"极紧凑",IF(I578&gt;3.5,"紧凑",IF(AND(I578&gt;=2,I578&lt;=3.5),"标准",IF(AND(I578&gt;=1,I578&lt;2),"松散",""))))</f>
        <v/>
      </c>
      <c r="K578" s="2">
        <f>IF(I578=0.1,"极紧凑-豹子号",IF(AND(I578&gt;=1,I578&lt;=1.29),"松散-极松散",IF(AND(I578&gt;=1.33,I578&lt;=1.8),"松散-标准松散",IF(AND(I578&gt;=1.83,I578&lt;=1.89),"松散-偏紧松散",IF(AND(I578&gt;=2,I578&lt;=2.5),"标准-偏松标准",IF(AND(I578&gt;=2.57,I578&lt;=3),"标准-核心标准",IF(AND(I578&gt;=3.17,I578&lt;=3.5),"标准-偏紧标准",IF(AND(I578&gt;=3.6,I578&lt;=5),"紧凑-标准紧凑",IF(AND(I578&gt;=5.25,I578&lt;=8),"紧凑-高度紧凑",IF(I578&gt;=8.5,"紧凑-极度紧凑",""))))))))))</f>
        <v/>
      </c>
      <c r="L578" s="2">
        <f>IF(I578=0.1,"极紧凑",IF(AND(I578&gt;=1,I578&lt;=1.89),"松散",IF(AND(I578&gt;=2,I578&lt;=3.5),"标准",IF(I578&gt;=3.6,"紧凑",""))))</f>
        <v/>
      </c>
      <c r="M578" s="2" t="inlineStr">
        <is>
          <t>极紧凑-豹子号</t>
        </is>
      </c>
      <c r="N578" s="2" t="inlineStr">
        <is>
          <t>松散-极松散</t>
        </is>
      </c>
      <c r="O578" s="2" t="inlineStr">
        <is>
          <t>松散-标准松散</t>
        </is>
      </c>
      <c r="P578" s="2" t="inlineStr">
        <is>
          <t>松散-偏紧松散</t>
        </is>
      </c>
      <c r="Q578" s="2" t="inlineStr">
        <is>
          <t>标准-偏松标准</t>
        </is>
      </c>
      <c r="R578" s="2" t="inlineStr">
        <is>
          <t>标准-核心标准</t>
        </is>
      </c>
      <c r="S578" s="2" t="inlineStr">
        <is>
          <t>标准-偏紧标准</t>
        </is>
      </c>
      <c r="T578" s="2" t="inlineStr">
        <is>
          <t>紧凑-标准紧凑</t>
        </is>
      </c>
      <c r="U578" s="2" t="inlineStr">
        <is>
          <t>紧凑-高度紧凑</t>
        </is>
      </c>
      <c r="V578" s="2" t="inlineStr">
        <is>
          <t>紧凑-极度紧凑</t>
        </is>
      </c>
    </row>
    <row r="579">
      <c r="A579" s="1" t="n">
        <v>2024146</v>
      </c>
      <c r="B579" s="3" t="inlineStr">
        <is>
          <t>991</t>
        </is>
      </c>
      <c r="C579" s="2">
        <f>IF(B579="","",LEFT(TEXT(B579,"000"),1)*1)</f>
        <v/>
      </c>
      <c r="D579" s="2">
        <f>IF(B579="","",MID(TEXT(B579,"000"),2,1)*1)</f>
        <v/>
      </c>
      <c r="E579" s="2">
        <f>IF(B579="","",RIGHT(TEXT(B579,"000"),1)*1)</f>
        <v/>
      </c>
      <c r="F579" s="2">
        <f>IF(B579="","",C579+D579+E579)</f>
        <v/>
      </c>
      <c r="G579" s="2">
        <f>IF(B579="","",MOD(F579,10))</f>
        <v/>
      </c>
      <c r="H579" s="2">
        <f>IF(B579="","",MAX(C579,D579,E579)-MIN(C579,D579,E579))</f>
        <v/>
      </c>
      <c r="I579" s="2">
        <f>IF(OR(B579="",H579=0),IF(H579=0,0.1,""),ROUND(F579/H579,2))</f>
        <v/>
      </c>
      <c r="J579" s="2">
        <f>IF(I579=0.1,"极紧凑",IF(I579&gt;3.5,"紧凑",IF(AND(I579&gt;=2,I579&lt;=3.5),"标准",IF(AND(I579&gt;=1,I579&lt;2),"松散",""))))</f>
        <v/>
      </c>
      <c r="K579" s="2">
        <f>IF(I579=0.1,"极紧凑-豹子号",IF(AND(I579&gt;=1,I579&lt;=1.29),"松散-极松散",IF(AND(I579&gt;=1.33,I579&lt;=1.8),"松散-标准松散",IF(AND(I579&gt;=1.83,I579&lt;=1.89),"松散-偏紧松散",IF(AND(I579&gt;=2,I579&lt;=2.5),"标准-偏松标准",IF(AND(I579&gt;=2.57,I579&lt;=3),"标准-核心标准",IF(AND(I579&gt;=3.17,I579&lt;=3.5),"标准-偏紧标准",IF(AND(I579&gt;=3.6,I579&lt;=5),"紧凑-标准紧凑",IF(AND(I579&gt;=5.25,I579&lt;=8),"紧凑-高度紧凑",IF(I579&gt;=8.5,"紧凑-极度紧凑",""))))))))))</f>
        <v/>
      </c>
      <c r="L579" s="2">
        <f>IF(I579=0.1,"极紧凑",IF(AND(I579&gt;=1,I579&lt;=1.89),"松散",IF(AND(I579&gt;=2,I579&lt;=3.5),"标准",IF(I579&gt;=3.6,"紧凑",""))))</f>
        <v/>
      </c>
      <c r="M579" s="2" t="inlineStr">
        <is>
          <t>极紧凑-豹子号</t>
        </is>
      </c>
      <c r="N579" s="2" t="inlineStr">
        <is>
          <t>松散-极松散</t>
        </is>
      </c>
      <c r="O579" s="2" t="inlineStr">
        <is>
          <t>松散-标准松散</t>
        </is>
      </c>
      <c r="P579" s="2" t="inlineStr">
        <is>
          <t>松散-偏紧松散</t>
        </is>
      </c>
      <c r="Q579" s="2" t="inlineStr">
        <is>
          <t>标准-偏松标准</t>
        </is>
      </c>
      <c r="R579" s="2" t="inlineStr">
        <is>
          <t>标准-核心标准</t>
        </is>
      </c>
      <c r="S579" s="2" t="inlineStr">
        <is>
          <t>标准-偏紧标准</t>
        </is>
      </c>
      <c r="T579" s="2" t="inlineStr">
        <is>
          <t>紧凑-标准紧凑</t>
        </is>
      </c>
      <c r="U579" s="2" t="inlineStr">
        <is>
          <t>紧凑-高度紧凑</t>
        </is>
      </c>
      <c r="V579" s="2" t="inlineStr">
        <is>
          <t>紧凑-极度紧凑</t>
        </is>
      </c>
    </row>
    <row r="580">
      <c r="A580" s="1" t="n">
        <v>2024147</v>
      </c>
      <c r="B580" s="3" t="inlineStr">
        <is>
          <t>558</t>
        </is>
      </c>
      <c r="C580" s="2">
        <f>IF(B580="","",LEFT(TEXT(B580,"000"),1)*1)</f>
        <v/>
      </c>
      <c r="D580" s="2">
        <f>IF(B580="","",MID(TEXT(B580,"000"),2,1)*1)</f>
        <v/>
      </c>
      <c r="E580" s="2">
        <f>IF(B580="","",RIGHT(TEXT(B580,"000"),1)*1)</f>
        <v/>
      </c>
      <c r="F580" s="2">
        <f>IF(B580="","",C580+D580+E580)</f>
        <v/>
      </c>
      <c r="G580" s="2">
        <f>IF(B580="","",MOD(F580,10))</f>
        <v/>
      </c>
      <c r="H580" s="2">
        <f>IF(B580="","",MAX(C580,D580,E580)-MIN(C580,D580,E580))</f>
        <v/>
      </c>
      <c r="I580" s="2">
        <f>IF(OR(B580="",H580=0),IF(H580=0,0.1,""),ROUND(F580/H580,2))</f>
        <v/>
      </c>
      <c r="J580" s="2">
        <f>IF(I580=0.1,"极紧凑",IF(I580&gt;3.5,"紧凑",IF(AND(I580&gt;=2,I580&lt;=3.5),"标准",IF(AND(I580&gt;=1,I580&lt;2),"松散",""))))</f>
        <v/>
      </c>
      <c r="K580" s="2">
        <f>IF(I580=0.1,"极紧凑-豹子号",IF(AND(I580&gt;=1,I580&lt;=1.29),"松散-极松散",IF(AND(I580&gt;=1.33,I580&lt;=1.8),"松散-标准松散",IF(AND(I580&gt;=1.83,I580&lt;=1.89),"松散-偏紧松散",IF(AND(I580&gt;=2,I580&lt;=2.5),"标准-偏松标准",IF(AND(I580&gt;=2.57,I580&lt;=3),"标准-核心标准",IF(AND(I580&gt;=3.17,I580&lt;=3.5),"标准-偏紧标准",IF(AND(I580&gt;=3.6,I580&lt;=5),"紧凑-标准紧凑",IF(AND(I580&gt;=5.25,I580&lt;=8),"紧凑-高度紧凑",IF(I580&gt;=8.5,"紧凑-极度紧凑",""))))))))))</f>
        <v/>
      </c>
      <c r="L580" s="2">
        <f>IF(I580=0.1,"极紧凑",IF(AND(I580&gt;=1,I580&lt;=1.89),"松散",IF(AND(I580&gt;=2,I580&lt;=3.5),"标准",IF(I580&gt;=3.6,"紧凑",""))))</f>
        <v/>
      </c>
      <c r="M580" s="2" t="inlineStr">
        <is>
          <t>极紧凑-豹子号</t>
        </is>
      </c>
      <c r="N580" s="2" t="inlineStr">
        <is>
          <t>松散-极松散</t>
        </is>
      </c>
      <c r="O580" s="2" t="inlineStr">
        <is>
          <t>松散-标准松散</t>
        </is>
      </c>
      <c r="P580" s="2" t="inlineStr">
        <is>
          <t>松散-偏紧松散</t>
        </is>
      </c>
      <c r="Q580" s="2" t="inlineStr">
        <is>
          <t>标准-偏松标准</t>
        </is>
      </c>
      <c r="R580" s="2" t="inlineStr">
        <is>
          <t>标准-核心标准</t>
        </is>
      </c>
      <c r="S580" s="2" t="inlineStr">
        <is>
          <t>标准-偏紧标准</t>
        </is>
      </c>
      <c r="T580" s="2" t="inlineStr">
        <is>
          <t>紧凑-标准紧凑</t>
        </is>
      </c>
      <c r="U580" s="2" t="inlineStr">
        <is>
          <t>紧凑-高度紧凑</t>
        </is>
      </c>
      <c r="V580" s="2" t="inlineStr">
        <is>
          <t>紧凑-极度紧凑</t>
        </is>
      </c>
    </row>
    <row r="581">
      <c r="A581" s="1" t="n">
        <v>2024148</v>
      </c>
      <c r="B581" s="3" t="inlineStr">
        <is>
          <t>343</t>
        </is>
      </c>
      <c r="C581" s="2">
        <f>IF(B581="","",LEFT(TEXT(B581,"000"),1)*1)</f>
        <v/>
      </c>
      <c r="D581" s="2">
        <f>IF(B581="","",MID(TEXT(B581,"000"),2,1)*1)</f>
        <v/>
      </c>
      <c r="E581" s="2">
        <f>IF(B581="","",RIGHT(TEXT(B581,"000"),1)*1)</f>
        <v/>
      </c>
      <c r="F581" s="2">
        <f>IF(B581="","",C581+D581+E581)</f>
        <v/>
      </c>
      <c r="G581" s="2">
        <f>IF(B581="","",MOD(F581,10))</f>
        <v/>
      </c>
      <c r="H581" s="2">
        <f>IF(B581="","",MAX(C581,D581,E581)-MIN(C581,D581,E581))</f>
        <v/>
      </c>
      <c r="I581" s="2">
        <f>IF(OR(B581="",H581=0),IF(H581=0,0.1,""),ROUND(F581/H581,2))</f>
        <v/>
      </c>
      <c r="J581" s="2">
        <f>IF(I581=0.1,"极紧凑",IF(I581&gt;3.5,"紧凑",IF(AND(I581&gt;=2,I581&lt;=3.5),"标准",IF(AND(I581&gt;=1,I581&lt;2),"松散",""))))</f>
        <v/>
      </c>
      <c r="K581" s="2">
        <f>IF(I581=0.1,"极紧凑-豹子号",IF(AND(I581&gt;=1,I581&lt;=1.29),"松散-极松散",IF(AND(I581&gt;=1.33,I581&lt;=1.8),"松散-标准松散",IF(AND(I581&gt;=1.83,I581&lt;=1.89),"松散-偏紧松散",IF(AND(I581&gt;=2,I581&lt;=2.5),"标准-偏松标准",IF(AND(I581&gt;=2.57,I581&lt;=3),"标准-核心标准",IF(AND(I581&gt;=3.17,I581&lt;=3.5),"标准-偏紧标准",IF(AND(I581&gt;=3.6,I581&lt;=5),"紧凑-标准紧凑",IF(AND(I581&gt;=5.25,I581&lt;=8),"紧凑-高度紧凑",IF(I581&gt;=8.5,"紧凑-极度紧凑",""))))))))))</f>
        <v/>
      </c>
      <c r="L581" s="2">
        <f>IF(I581=0.1,"极紧凑",IF(AND(I581&gt;=1,I581&lt;=1.89),"松散",IF(AND(I581&gt;=2,I581&lt;=3.5),"标准",IF(I581&gt;=3.6,"紧凑",""))))</f>
        <v/>
      </c>
      <c r="M581" s="2" t="inlineStr">
        <is>
          <t>极紧凑-豹子号</t>
        </is>
      </c>
      <c r="N581" s="2" t="inlineStr">
        <is>
          <t>松散-极松散</t>
        </is>
      </c>
      <c r="O581" s="2" t="inlineStr">
        <is>
          <t>松散-标准松散</t>
        </is>
      </c>
      <c r="P581" s="2" t="inlineStr">
        <is>
          <t>松散-偏紧松散</t>
        </is>
      </c>
      <c r="Q581" s="2" t="inlineStr">
        <is>
          <t>标准-偏松标准</t>
        </is>
      </c>
      <c r="R581" s="2" t="inlineStr">
        <is>
          <t>标准-核心标准</t>
        </is>
      </c>
      <c r="S581" s="2" t="inlineStr">
        <is>
          <t>标准-偏紧标准</t>
        </is>
      </c>
      <c r="T581" s="2" t="inlineStr">
        <is>
          <t>紧凑-标准紧凑</t>
        </is>
      </c>
      <c r="U581" s="2" t="inlineStr">
        <is>
          <t>紧凑-高度紧凑</t>
        </is>
      </c>
      <c r="V581" s="2" t="inlineStr">
        <is>
          <t>紧凑-极度紧凑</t>
        </is>
      </c>
    </row>
    <row r="582">
      <c r="A582" s="1" t="n">
        <v>2024149</v>
      </c>
      <c r="B582" s="3" t="inlineStr">
        <is>
          <t>676</t>
        </is>
      </c>
      <c r="C582" s="2">
        <f>IF(B582="","",LEFT(TEXT(B582,"000"),1)*1)</f>
        <v/>
      </c>
      <c r="D582" s="2">
        <f>IF(B582="","",MID(TEXT(B582,"000"),2,1)*1)</f>
        <v/>
      </c>
      <c r="E582" s="2">
        <f>IF(B582="","",RIGHT(TEXT(B582,"000"),1)*1)</f>
        <v/>
      </c>
      <c r="F582" s="2">
        <f>IF(B582="","",C582+D582+E582)</f>
        <v/>
      </c>
      <c r="G582" s="2">
        <f>IF(B582="","",MOD(F582,10))</f>
        <v/>
      </c>
      <c r="H582" s="2">
        <f>IF(B582="","",MAX(C582,D582,E582)-MIN(C582,D582,E582))</f>
        <v/>
      </c>
      <c r="I582" s="2">
        <f>IF(OR(B582="",H582=0),IF(H582=0,0.1,""),ROUND(F582/H582,2))</f>
        <v/>
      </c>
      <c r="J582" s="2">
        <f>IF(I582=0.1,"极紧凑",IF(I582&gt;3.5,"紧凑",IF(AND(I582&gt;=2,I582&lt;=3.5),"标准",IF(AND(I582&gt;=1,I582&lt;2),"松散",""))))</f>
        <v/>
      </c>
      <c r="K582" s="2">
        <f>IF(I582=0.1,"极紧凑-豹子号",IF(AND(I582&gt;=1,I582&lt;=1.29),"松散-极松散",IF(AND(I582&gt;=1.33,I582&lt;=1.8),"松散-标准松散",IF(AND(I582&gt;=1.83,I582&lt;=1.89),"松散-偏紧松散",IF(AND(I582&gt;=2,I582&lt;=2.5),"标准-偏松标准",IF(AND(I582&gt;=2.57,I582&lt;=3),"标准-核心标准",IF(AND(I582&gt;=3.17,I582&lt;=3.5),"标准-偏紧标准",IF(AND(I582&gt;=3.6,I582&lt;=5),"紧凑-标准紧凑",IF(AND(I582&gt;=5.25,I582&lt;=8),"紧凑-高度紧凑",IF(I582&gt;=8.5,"紧凑-极度紧凑",""))))))))))</f>
        <v/>
      </c>
      <c r="L582" s="2">
        <f>IF(I582=0.1,"极紧凑",IF(AND(I582&gt;=1,I582&lt;=1.89),"松散",IF(AND(I582&gt;=2,I582&lt;=3.5),"标准",IF(I582&gt;=3.6,"紧凑",""))))</f>
        <v/>
      </c>
      <c r="M582" s="2" t="inlineStr">
        <is>
          <t>极紧凑-豹子号</t>
        </is>
      </c>
      <c r="N582" s="2" t="inlineStr">
        <is>
          <t>松散-极松散</t>
        </is>
      </c>
      <c r="O582" s="2" t="inlineStr">
        <is>
          <t>松散-标准松散</t>
        </is>
      </c>
      <c r="P582" s="2" t="inlineStr">
        <is>
          <t>松散-偏紧松散</t>
        </is>
      </c>
      <c r="Q582" s="2" t="inlineStr">
        <is>
          <t>标准-偏松标准</t>
        </is>
      </c>
      <c r="R582" s="2" t="inlineStr">
        <is>
          <t>标准-核心标准</t>
        </is>
      </c>
      <c r="S582" s="2" t="inlineStr">
        <is>
          <t>标准-偏紧标准</t>
        </is>
      </c>
      <c r="T582" s="2" t="inlineStr">
        <is>
          <t>紧凑-标准紧凑</t>
        </is>
      </c>
      <c r="U582" s="2" t="inlineStr">
        <is>
          <t>紧凑-高度紧凑</t>
        </is>
      </c>
      <c r="V582" s="2" t="inlineStr">
        <is>
          <t>紧凑-极度紧凑</t>
        </is>
      </c>
    </row>
    <row r="583">
      <c r="A583" s="1" t="n">
        <v>2024150</v>
      </c>
      <c r="B583" s="3" t="inlineStr">
        <is>
          <t>129</t>
        </is>
      </c>
      <c r="C583" s="2">
        <f>IF(B583="","",LEFT(TEXT(B583,"000"),1)*1)</f>
        <v/>
      </c>
      <c r="D583" s="2">
        <f>IF(B583="","",MID(TEXT(B583,"000"),2,1)*1)</f>
        <v/>
      </c>
      <c r="E583" s="2">
        <f>IF(B583="","",RIGHT(TEXT(B583,"000"),1)*1)</f>
        <v/>
      </c>
      <c r="F583" s="2">
        <f>IF(B583="","",C583+D583+E583)</f>
        <v/>
      </c>
      <c r="G583" s="2">
        <f>IF(B583="","",MOD(F583,10))</f>
        <v/>
      </c>
      <c r="H583" s="2">
        <f>IF(B583="","",MAX(C583,D583,E583)-MIN(C583,D583,E583))</f>
        <v/>
      </c>
      <c r="I583" s="2">
        <f>IF(OR(B583="",H583=0),IF(H583=0,0.1,""),ROUND(F583/H583,2))</f>
        <v/>
      </c>
      <c r="J583" s="2">
        <f>IF(I583=0.1,"极紧凑",IF(I583&gt;3.5,"紧凑",IF(AND(I583&gt;=2,I583&lt;=3.5),"标准",IF(AND(I583&gt;=1,I583&lt;2),"松散",""))))</f>
        <v/>
      </c>
      <c r="K583" s="2">
        <f>IF(I583=0.1,"极紧凑-豹子号",IF(AND(I583&gt;=1,I583&lt;=1.29),"松散-极松散",IF(AND(I583&gt;=1.33,I583&lt;=1.8),"松散-标准松散",IF(AND(I583&gt;=1.83,I583&lt;=1.89),"松散-偏紧松散",IF(AND(I583&gt;=2,I583&lt;=2.5),"标准-偏松标准",IF(AND(I583&gt;=2.57,I583&lt;=3),"标准-核心标准",IF(AND(I583&gt;=3.17,I583&lt;=3.5),"标准-偏紧标准",IF(AND(I583&gt;=3.6,I583&lt;=5),"紧凑-标准紧凑",IF(AND(I583&gt;=5.25,I583&lt;=8),"紧凑-高度紧凑",IF(I583&gt;=8.5,"紧凑-极度紧凑",""))))))))))</f>
        <v/>
      </c>
      <c r="L583" s="2">
        <f>IF(I583=0.1,"极紧凑",IF(AND(I583&gt;=1,I583&lt;=1.89),"松散",IF(AND(I583&gt;=2,I583&lt;=3.5),"标准",IF(I583&gt;=3.6,"紧凑",""))))</f>
        <v/>
      </c>
      <c r="M583" s="2" t="inlineStr">
        <is>
          <t>极紧凑-豹子号</t>
        </is>
      </c>
      <c r="N583" s="2" t="inlineStr">
        <is>
          <t>松散-极松散</t>
        </is>
      </c>
      <c r="O583" s="2" t="inlineStr">
        <is>
          <t>松散-标准松散</t>
        </is>
      </c>
      <c r="P583" s="2" t="inlineStr">
        <is>
          <t>松散-偏紧松散</t>
        </is>
      </c>
      <c r="Q583" s="2" t="inlineStr">
        <is>
          <t>标准-偏松标准</t>
        </is>
      </c>
      <c r="R583" s="2" t="inlineStr">
        <is>
          <t>标准-核心标准</t>
        </is>
      </c>
      <c r="S583" s="2" t="inlineStr">
        <is>
          <t>标准-偏紧标准</t>
        </is>
      </c>
      <c r="T583" s="2" t="inlineStr">
        <is>
          <t>紧凑-标准紧凑</t>
        </is>
      </c>
      <c r="U583" s="2" t="inlineStr">
        <is>
          <t>紧凑-高度紧凑</t>
        </is>
      </c>
      <c r="V583" s="2" t="inlineStr">
        <is>
          <t>紧凑-极度紧凑</t>
        </is>
      </c>
    </row>
    <row r="584">
      <c r="A584" s="1" t="n">
        <v>2024151</v>
      </c>
      <c r="B584" s="3" t="inlineStr">
        <is>
          <t>900</t>
        </is>
      </c>
      <c r="C584" s="2">
        <f>IF(B584="","",LEFT(TEXT(B584,"000"),1)*1)</f>
        <v/>
      </c>
      <c r="D584" s="2">
        <f>IF(B584="","",MID(TEXT(B584,"000"),2,1)*1)</f>
        <v/>
      </c>
      <c r="E584" s="2">
        <f>IF(B584="","",RIGHT(TEXT(B584,"000"),1)*1)</f>
        <v/>
      </c>
      <c r="F584" s="2">
        <f>IF(B584="","",C584+D584+E584)</f>
        <v/>
      </c>
      <c r="G584" s="2">
        <f>IF(B584="","",MOD(F584,10))</f>
        <v/>
      </c>
      <c r="H584" s="2">
        <f>IF(B584="","",MAX(C584,D584,E584)-MIN(C584,D584,E584))</f>
        <v/>
      </c>
      <c r="I584" s="2">
        <f>IF(OR(B584="",H584=0),IF(H584=0,0.1,""),ROUND(F584/H584,2))</f>
        <v/>
      </c>
      <c r="J584" s="2">
        <f>IF(I584=0.1,"极紧凑",IF(I584&gt;3.5,"紧凑",IF(AND(I584&gt;=2,I584&lt;=3.5),"标准",IF(AND(I584&gt;=1,I584&lt;2),"松散",""))))</f>
        <v/>
      </c>
      <c r="K584" s="2">
        <f>IF(I584=0.1,"极紧凑-豹子号",IF(AND(I584&gt;=1,I584&lt;=1.29),"松散-极松散",IF(AND(I584&gt;=1.33,I584&lt;=1.8),"松散-标准松散",IF(AND(I584&gt;=1.83,I584&lt;=1.89),"松散-偏紧松散",IF(AND(I584&gt;=2,I584&lt;=2.5),"标准-偏松标准",IF(AND(I584&gt;=2.57,I584&lt;=3),"标准-核心标准",IF(AND(I584&gt;=3.17,I584&lt;=3.5),"标准-偏紧标准",IF(AND(I584&gt;=3.6,I584&lt;=5),"紧凑-标准紧凑",IF(AND(I584&gt;=5.25,I584&lt;=8),"紧凑-高度紧凑",IF(I584&gt;=8.5,"紧凑-极度紧凑",""))))))))))</f>
        <v/>
      </c>
      <c r="L584" s="2">
        <f>IF(I584=0.1,"极紧凑",IF(AND(I584&gt;=1,I584&lt;=1.89),"松散",IF(AND(I584&gt;=2,I584&lt;=3.5),"标准",IF(I584&gt;=3.6,"紧凑",""))))</f>
        <v/>
      </c>
      <c r="M584" s="2" t="inlineStr">
        <is>
          <t>极紧凑-豹子号</t>
        </is>
      </c>
      <c r="N584" s="2" t="inlineStr">
        <is>
          <t>松散-极松散</t>
        </is>
      </c>
      <c r="O584" s="2" t="inlineStr">
        <is>
          <t>松散-标准松散</t>
        </is>
      </c>
      <c r="P584" s="2" t="inlineStr">
        <is>
          <t>松散-偏紧松散</t>
        </is>
      </c>
      <c r="Q584" s="2" t="inlineStr">
        <is>
          <t>标准-偏松标准</t>
        </is>
      </c>
      <c r="R584" s="2" t="inlineStr">
        <is>
          <t>标准-核心标准</t>
        </is>
      </c>
      <c r="S584" s="2" t="inlineStr">
        <is>
          <t>标准-偏紧标准</t>
        </is>
      </c>
      <c r="T584" s="2" t="inlineStr">
        <is>
          <t>紧凑-标准紧凑</t>
        </is>
      </c>
      <c r="U584" s="2" t="inlineStr">
        <is>
          <t>紧凑-高度紧凑</t>
        </is>
      </c>
      <c r="V584" s="2" t="inlineStr">
        <is>
          <t>紧凑-极度紧凑</t>
        </is>
      </c>
    </row>
    <row r="585">
      <c r="A585" s="1" t="n">
        <v>2024152</v>
      </c>
      <c r="B585" s="3" t="inlineStr">
        <is>
          <t>936</t>
        </is>
      </c>
      <c r="C585" s="2">
        <f>IF(B585="","",LEFT(TEXT(B585,"000"),1)*1)</f>
        <v/>
      </c>
      <c r="D585" s="2">
        <f>IF(B585="","",MID(TEXT(B585,"000"),2,1)*1)</f>
        <v/>
      </c>
      <c r="E585" s="2">
        <f>IF(B585="","",RIGHT(TEXT(B585,"000"),1)*1)</f>
        <v/>
      </c>
      <c r="F585" s="2">
        <f>IF(B585="","",C585+D585+E585)</f>
        <v/>
      </c>
      <c r="G585" s="2">
        <f>IF(B585="","",MOD(F585,10))</f>
        <v/>
      </c>
      <c r="H585" s="2">
        <f>IF(B585="","",MAX(C585,D585,E585)-MIN(C585,D585,E585))</f>
        <v/>
      </c>
      <c r="I585" s="2">
        <f>IF(OR(B585="",H585=0),IF(H585=0,0.1,""),ROUND(F585/H585,2))</f>
        <v/>
      </c>
      <c r="J585" s="2">
        <f>IF(I585=0.1,"极紧凑",IF(I585&gt;3.5,"紧凑",IF(AND(I585&gt;=2,I585&lt;=3.5),"标准",IF(AND(I585&gt;=1,I585&lt;2),"松散",""))))</f>
        <v/>
      </c>
      <c r="K585" s="2">
        <f>IF(I585=0.1,"极紧凑-豹子号",IF(AND(I585&gt;=1,I585&lt;=1.29),"松散-极松散",IF(AND(I585&gt;=1.33,I585&lt;=1.8),"松散-标准松散",IF(AND(I585&gt;=1.83,I585&lt;=1.89),"松散-偏紧松散",IF(AND(I585&gt;=2,I585&lt;=2.5),"标准-偏松标准",IF(AND(I585&gt;=2.57,I585&lt;=3),"标准-核心标准",IF(AND(I585&gt;=3.17,I585&lt;=3.5),"标准-偏紧标准",IF(AND(I585&gt;=3.6,I585&lt;=5),"紧凑-标准紧凑",IF(AND(I585&gt;=5.25,I585&lt;=8),"紧凑-高度紧凑",IF(I585&gt;=8.5,"紧凑-极度紧凑",""))))))))))</f>
        <v/>
      </c>
      <c r="L585" s="2">
        <f>IF(I585=0.1,"极紧凑",IF(AND(I585&gt;=1,I585&lt;=1.89),"松散",IF(AND(I585&gt;=2,I585&lt;=3.5),"标准",IF(I585&gt;=3.6,"紧凑",""))))</f>
        <v/>
      </c>
      <c r="M585" s="2" t="inlineStr">
        <is>
          <t>极紧凑-豹子号</t>
        </is>
      </c>
      <c r="N585" s="2" t="inlineStr">
        <is>
          <t>松散-极松散</t>
        </is>
      </c>
      <c r="O585" s="2" t="inlineStr">
        <is>
          <t>松散-标准松散</t>
        </is>
      </c>
      <c r="P585" s="2" t="inlineStr">
        <is>
          <t>松散-偏紧松散</t>
        </is>
      </c>
      <c r="Q585" s="2" t="inlineStr">
        <is>
          <t>标准-偏松标准</t>
        </is>
      </c>
      <c r="R585" s="2" t="inlineStr">
        <is>
          <t>标准-核心标准</t>
        </is>
      </c>
      <c r="S585" s="2" t="inlineStr">
        <is>
          <t>标准-偏紧标准</t>
        </is>
      </c>
      <c r="T585" s="2" t="inlineStr">
        <is>
          <t>紧凑-标准紧凑</t>
        </is>
      </c>
      <c r="U585" s="2" t="inlineStr">
        <is>
          <t>紧凑-高度紧凑</t>
        </is>
      </c>
      <c r="V585" s="2" t="inlineStr">
        <is>
          <t>紧凑-极度紧凑</t>
        </is>
      </c>
    </row>
    <row r="586">
      <c r="A586" s="1" t="n">
        <v>2024153</v>
      </c>
      <c r="B586" s="3" t="inlineStr">
        <is>
          <t>389</t>
        </is>
      </c>
      <c r="C586" s="2">
        <f>IF(B586="","",LEFT(TEXT(B586,"000"),1)*1)</f>
        <v/>
      </c>
      <c r="D586" s="2">
        <f>IF(B586="","",MID(TEXT(B586,"000"),2,1)*1)</f>
        <v/>
      </c>
      <c r="E586" s="2">
        <f>IF(B586="","",RIGHT(TEXT(B586,"000"),1)*1)</f>
        <v/>
      </c>
      <c r="F586" s="2">
        <f>IF(B586="","",C586+D586+E586)</f>
        <v/>
      </c>
      <c r="G586" s="2">
        <f>IF(B586="","",MOD(F586,10))</f>
        <v/>
      </c>
      <c r="H586" s="2">
        <f>IF(B586="","",MAX(C586,D586,E586)-MIN(C586,D586,E586))</f>
        <v/>
      </c>
      <c r="I586" s="2">
        <f>IF(OR(B586="",H586=0),IF(H586=0,0.1,""),ROUND(F586/H586,2))</f>
        <v/>
      </c>
      <c r="J586" s="2">
        <f>IF(I586=0.1,"极紧凑",IF(I586&gt;3.5,"紧凑",IF(AND(I586&gt;=2,I586&lt;=3.5),"标准",IF(AND(I586&gt;=1,I586&lt;2),"松散",""))))</f>
        <v/>
      </c>
      <c r="K586" s="2">
        <f>IF(I586=0.1,"极紧凑-豹子号",IF(AND(I586&gt;=1,I586&lt;=1.29),"松散-极松散",IF(AND(I586&gt;=1.33,I586&lt;=1.8),"松散-标准松散",IF(AND(I586&gt;=1.83,I586&lt;=1.89),"松散-偏紧松散",IF(AND(I586&gt;=2,I586&lt;=2.5),"标准-偏松标准",IF(AND(I586&gt;=2.57,I586&lt;=3),"标准-核心标准",IF(AND(I586&gt;=3.17,I586&lt;=3.5),"标准-偏紧标准",IF(AND(I586&gt;=3.6,I586&lt;=5),"紧凑-标准紧凑",IF(AND(I586&gt;=5.25,I586&lt;=8),"紧凑-高度紧凑",IF(I586&gt;=8.5,"紧凑-极度紧凑",""))))))))))</f>
        <v/>
      </c>
      <c r="L586" s="2">
        <f>IF(I586=0.1,"极紧凑",IF(AND(I586&gt;=1,I586&lt;=1.89),"松散",IF(AND(I586&gt;=2,I586&lt;=3.5),"标准",IF(I586&gt;=3.6,"紧凑",""))))</f>
        <v/>
      </c>
      <c r="M586" s="2" t="inlineStr">
        <is>
          <t>极紧凑-豹子号</t>
        </is>
      </c>
      <c r="N586" s="2" t="inlineStr">
        <is>
          <t>松散-极松散</t>
        </is>
      </c>
      <c r="O586" s="2" t="inlineStr">
        <is>
          <t>松散-标准松散</t>
        </is>
      </c>
      <c r="P586" s="2" t="inlineStr">
        <is>
          <t>松散-偏紧松散</t>
        </is>
      </c>
      <c r="Q586" s="2" t="inlineStr">
        <is>
          <t>标准-偏松标准</t>
        </is>
      </c>
      <c r="R586" s="2" t="inlineStr">
        <is>
          <t>标准-核心标准</t>
        </is>
      </c>
      <c r="S586" s="2" t="inlineStr">
        <is>
          <t>标准-偏紧标准</t>
        </is>
      </c>
      <c r="T586" s="2" t="inlineStr">
        <is>
          <t>紧凑-标准紧凑</t>
        </is>
      </c>
      <c r="U586" s="2" t="inlineStr">
        <is>
          <t>紧凑-高度紧凑</t>
        </is>
      </c>
      <c r="V586" s="2" t="inlineStr">
        <is>
          <t>紧凑-极度紧凑</t>
        </is>
      </c>
    </row>
    <row r="587">
      <c r="A587" s="1" t="n">
        <v>2024154</v>
      </c>
      <c r="B587" s="3" t="inlineStr">
        <is>
          <t>983</t>
        </is>
      </c>
      <c r="C587" s="2">
        <f>IF(B587="","",LEFT(TEXT(B587,"000"),1)*1)</f>
        <v/>
      </c>
      <c r="D587" s="2">
        <f>IF(B587="","",MID(TEXT(B587,"000"),2,1)*1)</f>
        <v/>
      </c>
      <c r="E587" s="2">
        <f>IF(B587="","",RIGHT(TEXT(B587,"000"),1)*1)</f>
        <v/>
      </c>
      <c r="F587" s="2">
        <f>IF(B587="","",C587+D587+E587)</f>
        <v/>
      </c>
      <c r="G587" s="2">
        <f>IF(B587="","",MOD(F587,10))</f>
        <v/>
      </c>
      <c r="H587" s="2">
        <f>IF(B587="","",MAX(C587,D587,E587)-MIN(C587,D587,E587))</f>
        <v/>
      </c>
      <c r="I587" s="2">
        <f>IF(OR(B587="",H587=0),IF(H587=0,0.1,""),ROUND(F587/H587,2))</f>
        <v/>
      </c>
      <c r="J587" s="2">
        <f>IF(I587=0.1,"极紧凑",IF(I587&gt;3.5,"紧凑",IF(AND(I587&gt;=2,I587&lt;=3.5),"标准",IF(AND(I587&gt;=1,I587&lt;2),"松散",""))))</f>
        <v/>
      </c>
      <c r="K587" s="2">
        <f>IF(I587=0.1,"极紧凑-豹子号",IF(AND(I587&gt;=1,I587&lt;=1.29),"松散-极松散",IF(AND(I587&gt;=1.33,I587&lt;=1.8),"松散-标准松散",IF(AND(I587&gt;=1.83,I587&lt;=1.89),"松散-偏紧松散",IF(AND(I587&gt;=2,I587&lt;=2.5),"标准-偏松标准",IF(AND(I587&gt;=2.57,I587&lt;=3),"标准-核心标准",IF(AND(I587&gt;=3.17,I587&lt;=3.5),"标准-偏紧标准",IF(AND(I587&gt;=3.6,I587&lt;=5),"紧凑-标准紧凑",IF(AND(I587&gt;=5.25,I587&lt;=8),"紧凑-高度紧凑",IF(I587&gt;=8.5,"紧凑-极度紧凑",""))))))))))</f>
        <v/>
      </c>
      <c r="L587" s="2">
        <f>IF(I587=0.1,"极紧凑",IF(AND(I587&gt;=1,I587&lt;=1.89),"松散",IF(AND(I587&gt;=2,I587&lt;=3.5),"标准",IF(I587&gt;=3.6,"紧凑",""))))</f>
        <v/>
      </c>
      <c r="M587" s="2" t="inlineStr">
        <is>
          <t>极紧凑-豹子号</t>
        </is>
      </c>
      <c r="N587" s="2" t="inlineStr">
        <is>
          <t>松散-极松散</t>
        </is>
      </c>
      <c r="O587" s="2" t="inlineStr">
        <is>
          <t>松散-标准松散</t>
        </is>
      </c>
      <c r="P587" s="2" t="inlineStr">
        <is>
          <t>松散-偏紧松散</t>
        </is>
      </c>
      <c r="Q587" s="2" t="inlineStr">
        <is>
          <t>标准-偏松标准</t>
        </is>
      </c>
      <c r="R587" s="2" t="inlineStr">
        <is>
          <t>标准-核心标准</t>
        </is>
      </c>
      <c r="S587" s="2" t="inlineStr">
        <is>
          <t>标准-偏紧标准</t>
        </is>
      </c>
      <c r="T587" s="2" t="inlineStr">
        <is>
          <t>紧凑-标准紧凑</t>
        </is>
      </c>
      <c r="U587" s="2" t="inlineStr">
        <is>
          <t>紧凑-高度紧凑</t>
        </is>
      </c>
      <c r="V587" s="2" t="inlineStr">
        <is>
          <t>紧凑-极度紧凑</t>
        </is>
      </c>
    </row>
    <row r="588">
      <c r="A588" s="1" t="n">
        <v>2024155</v>
      </c>
      <c r="B588" s="3" t="inlineStr">
        <is>
          <t>889</t>
        </is>
      </c>
      <c r="C588" s="2">
        <f>IF(B588="","",LEFT(TEXT(B588,"000"),1)*1)</f>
        <v/>
      </c>
      <c r="D588" s="2">
        <f>IF(B588="","",MID(TEXT(B588,"000"),2,1)*1)</f>
        <v/>
      </c>
      <c r="E588" s="2">
        <f>IF(B588="","",RIGHT(TEXT(B588,"000"),1)*1)</f>
        <v/>
      </c>
      <c r="F588" s="2">
        <f>IF(B588="","",C588+D588+E588)</f>
        <v/>
      </c>
      <c r="G588" s="2">
        <f>IF(B588="","",MOD(F588,10))</f>
        <v/>
      </c>
      <c r="H588" s="2">
        <f>IF(B588="","",MAX(C588,D588,E588)-MIN(C588,D588,E588))</f>
        <v/>
      </c>
      <c r="I588" s="2">
        <f>IF(OR(B588="",H588=0),IF(H588=0,0.1,""),ROUND(F588/H588,2))</f>
        <v/>
      </c>
      <c r="J588" s="2">
        <f>IF(I588=0.1,"极紧凑",IF(I588&gt;3.5,"紧凑",IF(AND(I588&gt;=2,I588&lt;=3.5),"标准",IF(AND(I588&gt;=1,I588&lt;2),"松散",""))))</f>
        <v/>
      </c>
      <c r="K588" s="2">
        <f>IF(I588=0.1,"极紧凑-豹子号",IF(AND(I588&gt;=1,I588&lt;=1.29),"松散-极松散",IF(AND(I588&gt;=1.33,I588&lt;=1.8),"松散-标准松散",IF(AND(I588&gt;=1.83,I588&lt;=1.89),"松散-偏紧松散",IF(AND(I588&gt;=2,I588&lt;=2.5),"标准-偏松标准",IF(AND(I588&gt;=2.57,I588&lt;=3),"标准-核心标准",IF(AND(I588&gt;=3.17,I588&lt;=3.5),"标准-偏紧标准",IF(AND(I588&gt;=3.6,I588&lt;=5),"紧凑-标准紧凑",IF(AND(I588&gt;=5.25,I588&lt;=8),"紧凑-高度紧凑",IF(I588&gt;=8.5,"紧凑-极度紧凑",""))))))))))</f>
        <v/>
      </c>
      <c r="L588" s="2">
        <f>IF(I588=0.1,"极紧凑",IF(AND(I588&gt;=1,I588&lt;=1.89),"松散",IF(AND(I588&gt;=2,I588&lt;=3.5),"标准",IF(I588&gt;=3.6,"紧凑",""))))</f>
        <v/>
      </c>
      <c r="M588" s="2" t="inlineStr">
        <is>
          <t>极紧凑-豹子号</t>
        </is>
      </c>
      <c r="N588" s="2" t="inlineStr">
        <is>
          <t>松散-极松散</t>
        </is>
      </c>
      <c r="O588" s="2" t="inlineStr">
        <is>
          <t>松散-标准松散</t>
        </is>
      </c>
      <c r="P588" s="2" t="inlineStr">
        <is>
          <t>松散-偏紧松散</t>
        </is>
      </c>
      <c r="Q588" s="2" t="inlineStr">
        <is>
          <t>标准-偏松标准</t>
        </is>
      </c>
      <c r="R588" s="2" t="inlineStr">
        <is>
          <t>标准-核心标准</t>
        </is>
      </c>
      <c r="S588" s="2" t="inlineStr">
        <is>
          <t>标准-偏紧标准</t>
        </is>
      </c>
      <c r="T588" s="2" t="inlineStr">
        <is>
          <t>紧凑-标准紧凑</t>
        </is>
      </c>
      <c r="U588" s="2" t="inlineStr">
        <is>
          <t>紧凑-高度紧凑</t>
        </is>
      </c>
      <c r="V588" s="2" t="inlineStr">
        <is>
          <t>紧凑-极度紧凑</t>
        </is>
      </c>
    </row>
    <row r="589">
      <c r="A589" s="1" t="n">
        <v>2024156</v>
      </c>
      <c r="B589" s="3" t="inlineStr">
        <is>
          <t>172</t>
        </is>
      </c>
      <c r="C589" s="2">
        <f>IF(B589="","",LEFT(TEXT(B589,"000"),1)*1)</f>
        <v/>
      </c>
      <c r="D589" s="2">
        <f>IF(B589="","",MID(TEXT(B589,"000"),2,1)*1)</f>
        <v/>
      </c>
      <c r="E589" s="2">
        <f>IF(B589="","",RIGHT(TEXT(B589,"000"),1)*1)</f>
        <v/>
      </c>
      <c r="F589" s="2">
        <f>IF(B589="","",C589+D589+E589)</f>
        <v/>
      </c>
      <c r="G589" s="2">
        <f>IF(B589="","",MOD(F589,10))</f>
        <v/>
      </c>
      <c r="H589" s="2">
        <f>IF(B589="","",MAX(C589,D589,E589)-MIN(C589,D589,E589))</f>
        <v/>
      </c>
      <c r="I589" s="2">
        <f>IF(OR(B589="",H589=0),IF(H589=0,0.1,""),ROUND(F589/H589,2))</f>
        <v/>
      </c>
      <c r="J589" s="2">
        <f>IF(I589=0.1,"极紧凑",IF(I589&gt;3.5,"紧凑",IF(AND(I589&gt;=2,I589&lt;=3.5),"标准",IF(AND(I589&gt;=1,I589&lt;2),"松散",""))))</f>
        <v/>
      </c>
      <c r="K589" s="2">
        <f>IF(I589=0.1,"极紧凑-豹子号",IF(AND(I589&gt;=1,I589&lt;=1.29),"松散-极松散",IF(AND(I589&gt;=1.33,I589&lt;=1.8),"松散-标准松散",IF(AND(I589&gt;=1.83,I589&lt;=1.89),"松散-偏紧松散",IF(AND(I589&gt;=2,I589&lt;=2.5),"标准-偏松标准",IF(AND(I589&gt;=2.57,I589&lt;=3),"标准-核心标准",IF(AND(I589&gt;=3.17,I589&lt;=3.5),"标准-偏紧标准",IF(AND(I589&gt;=3.6,I589&lt;=5),"紧凑-标准紧凑",IF(AND(I589&gt;=5.25,I589&lt;=8),"紧凑-高度紧凑",IF(I589&gt;=8.5,"紧凑-极度紧凑",""))))))))))</f>
        <v/>
      </c>
      <c r="L589" s="2">
        <f>IF(I589=0.1,"极紧凑",IF(AND(I589&gt;=1,I589&lt;=1.89),"松散",IF(AND(I589&gt;=2,I589&lt;=3.5),"标准",IF(I589&gt;=3.6,"紧凑",""))))</f>
        <v/>
      </c>
      <c r="M589" s="2" t="inlineStr">
        <is>
          <t>极紧凑-豹子号</t>
        </is>
      </c>
      <c r="N589" s="2" t="inlineStr">
        <is>
          <t>松散-极松散</t>
        </is>
      </c>
      <c r="O589" s="2" t="inlineStr">
        <is>
          <t>松散-标准松散</t>
        </is>
      </c>
      <c r="P589" s="2" t="inlineStr">
        <is>
          <t>松散-偏紧松散</t>
        </is>
      </c>
      <c r="Q589" s="2" t="inlineStr">
        <is>
          <t>标准-偏松标准</t>
        </is>
      </c>
      <c r="R589" s="2" t="inlineStr">
        <is>
          <t>标准-核心标准</t>
        </is>
      </c>
      <c r="S589" s="2" t="inlineStr">
        <is>
          <t>标准-偏紧标准</t>
        </is>
      </c>
      <c r="T589" s="2" t="inlineStr">
        <is>
          <t>紧凑-标准紧凑</t>
        </is>
      </c>
      <c r="U589" s="2" t="inlineStr">
        <is>
          <t>紧凑-高度紧凑</t>
        </is>
      </c>
      <c r="V589" s="2" t="inlineStr">
        <is>
          <t>紧凑-极度紧凑</t>
        </is>
      </c>
    </row>
    <row r="590">
      <c r="A590" s="1" t="n">
        <v>2024157</v>
      </c>
      <c r="B590" s="3" t="inlineStr">
        <is>
          <t>211</t>
        </is>
      </c>
      <c r="C590" s="2">
        <f>IF(B590="","",LEFT(TEXT(B590,"000"),1)*1)</f>
        <v/>
      </c>
      <c r="D590" s="2">
        <f>IF(B590="","",MID(TEXT(B590,"000"),2,1)*1)</f>
        <v/>
      </c>
      <c r="E590" s="2">
        <f>IF(B590="","",RIGHT(TEXT(B590,"000"),1)*1)</f>
        <v/>
      </c>
      <c r="F590" s="2">
        <f>IF(B590="","",C590+D590+E590)</f>
        <v/>
      </c>
      <c r="G590" s="2">
        <f>IF(B590="","",MOD(F590,10))</f>
        <v/>
      </c>
      <c r="H590" s="2">
        <f>IF(B590="","",MAX(C590,D590,E590)-MIN(C590,D590,E590))</f>
        <v/>
      </c>
      <c r="I590" s="2">
        <f>IF(OR(B590="",H590=0),IF(H590=0,0.1,""),ROUND(F590/H590,2))</f>
        <v/>
      </c>
      <c r="J590" s="2">
        <f>IF(I590=0.1,"极紧凑",IF(I590&gt;3.5,"紧凑",IF(AND(I590&gt;=2,I590&lt;=3.5),"标准",IF(AND(I590&gt;=1,I590&lt;2),"松散",""))))</f>
        <v/>
      </c>
      <c r="K590" s="2">
        <f>IF(I590=0.1,"极紧凑-豹子号",IF(AND(I590&gt;=1,I590&lt;=1.29),"松散-极松散",IF(AND(I590&gt;=1.33,I590&lt;=1.8),"松散-标准松散",IF(AND(I590&gt;=1.83,I590&lt;=1.89),"松散-偏紧松散",IF(AND(I590&gt;=2,I590&lt;=2.5),"标准-偏松标准",IF(AND(I590&gt;=2.57,I590&lt;=3),"标准-核心标准",IF(AND(I590&gt;=3.17,I590&lt;=3.5),"标准-偏紧标准",IF(AND(I590&gt;=3.6,I590&lt;=5),"紧凑-标准紧凑",IF(AND(I590&gt;=5.25,I590&lt;=8),"紧凑-高度紧凑",IF(I590&gt;=8.5,"紧凑-极度紧凑",""))))))))))</f>
        <v/>
      </c>
      <c r="L590" s="2">
        <f>IF(I590=0.1,"极紧凑",IF(AND(I590&gt;=1,I590&lt;=1.89),"松散",IF(AND(I590&gt;=2,I590&lt;=3.5),"标准",IF(I590&gt;=3.6,"紧凑",""))))</f>
        <v/>
      </c>
      <c r="M590" s="2" t="inlineStr">
        <is>
          <t>极紧凑-豹子号</t>
        </is>
      </c>
      <c r="N590" s="2" t="inlineStr">
        <is>
          <t>松散-极松散</t>
        </is>
      </c>
      <c r="O590" s="2" t="inlineStr">
        <is>
          <t>松散-标准松散</t>
        </is>
      </c>
      <c r="P590" s="2" t="inlineStr">
        <is>
          <t>松散-偏紧松散</t>
        </is>
      </c>
      <c r="Q590" s="2" t="inlineStr">
        <is>
          <t>标准-偏松标准</t>
        </is>
      </c>
      <c r="R590" s="2" t="inlineStr">
        <is>
          <t>标准-核心标准</t>
        </is>
      </c>
      <c r="S590" s="2" t="inlineStr">
        <is>
          <t>标准-偏紧标准</t>
        </is>
      </c>
      <c r="T590" s="2" t="inlineStr">
        <is>
          <t>紧凑-标准紧凑</t>
        </is>
      </c>
      <c r="U590" s="2" t="inlineStr">
        <is>
          <t>紧凑-高度紧凑</t>
        </is>
      </c>
      <c r="V590" s="2" t="inlineStr">
        <is>
          <t>紧凑-极度紧凑</t>
        </is>
      </c>
    </row>
    <row r="591">
      <c r="A591" s="1" t="n">
        <v>2024158</v>
      </c>
      <c r="B591" s="3" t="inlineStr">
        <is>
          <t>606</t>
        </is>
      </c>
      <c r="C591" s="2">
        <f>IF(B591="","",LEFT(TEXT(B591,"000"),1)*1)</f>
        <v/>
      </c>
      <c r="D591" s="2">
        <f>IF(B591="","",MID(TEXT(B591,"000"),2,1)*1)</f>
        <v/>
      </c>
      <c r="E591" s="2">
        <f>IF(B591="","",RIGHT(TEXT(B591,"000"),1)*1)</f>
        <v/>
      </c>
      <c r="F591" s="2">
        <f>IF(B591="","",C591+D591+E591)</f>
        <v/>
      </c>
      <c r="G591" s="2">
        <f>IF(B591="","",MOD(F591,10))</f>
        <v/>
      </c>
      <c r="H591" s="2">
        <f>IF(B591="","",MAX(C591,D591,E591)-MIN(C591,D591,E591))</f>
        <v/>
      </c>
      <c r="I591" s="2">
        <f>IF(OR(B591="",H591=0),IF(H591=0,0.1,""),ROUND(F591/H591,2))</f>
        <v/>
      </c>
      <c r="J591" s="2">
        <f>IF(I591=0.1,"极紧凑",IF(I591&gt;3.5,"紧凑",IF(AND(I591&gt;=2,I591&lt;=3.5),"标准",IF(AND(I591&gt;=1,I591&lt;2),"松散",""))))</f>
        <v/>
      </c>
      <c r="K591" s="2">
        <f>IF(I591=0.1,"极紧凑-豹子号",IF(AND(I591&gt;=1,I591&lt;=1.29),"松散-极松散",IF(AND(I591&gt;=1.33,I591&lt;=1.8),"松散-标准松散",IF(AND(I591&gt;=1.83,I591&lt;=1.89),"松散-偏紧松散",IF(AND(I591&gt;=2,I591&lt;=2.5),"标准-偏松标准",IF(AND(I591&gt;=2.57,I591&lt;=3),"标准-核心标准",IF(AND(I591&gt;=3.17,I591&lt;=3.5),"标准-偏紧标准",IF(AND(I591&gt;=3.6,I591&lt;=5),"紧凑-标准紧凑",IF(AND(I591&gt;=5.25,I591&lt;=8),"紧凑-高度紧凑",IF(I591&gt;=8.5,"紧凑-极度紧凑",""))))))))))</f>
        <v/>
      </c>
      <c r="L591" s="2">
        <f>IF(I591=0.1,"极紧凑",IF(AND(I591&gt;=1,I591&lt;=1.89),"松散",IF(AND(I591&gt;=2,I591&lt;=3.5),"标准",IF(I591&gt;=3.6,"紧凑",""))))</f>
        <v/>
      </c>
      <c r="M591" s="2" t="inlineStr">
        <is>
          <t>极紧凑-豹子号</t>
        </is>
      </c>
      <c r="N591" s="2" t="inlineStr">
        <is>
          <t>松散-极松散</t>
        </is>
      </c>
      <c r="O591" s="2" t="inlineStr">
        <is>
          <t>松散-标准松散</t>
        </is>
      </c>
      <c r="P591" s="2" t="inlineStr">
        <is>
          <t>松散-偏紧松散</t>
        </is>
      </c>
      <c r="Q591" s="2" t="inlineStr">
        <is>
          <t>标准-偏松标准</t>
        </is>
      </c>
      <c r="R591" s="2" t="inlineStr">
        <is>
          <t>标准-核心标准</t>
        </is>
      </c>
      <c r="S591" s="2" t="inlineStr">
        <is>
          <t>标准-偏紧标准</t>
        </is>
      </c>
      <c r="T591" s="2" t="inlineStr">
        <is>
          <t>紧凑-标准紧凑</t>
        </is>
      </c>
      <c r="U591" s="2" t="inlineStr">
        <is>
          <t>紧凑-高度紧凑</t>
        </is>
      </c>
      <c r="V591" s="2" t="inlineStr">
        <is>
          <t>紧凑-极度紧凑</t>
        </is>
      </c>
    </row>
    <row r="592">
      <c r="A592" s="1" t="n">
        <v>2024159</v>
      </c>
      <c r="B592" s="3" t="inlineStr">
        <is>
          <t>430</t>
        </is>
      </c>
      <c r="C592" s="2">
        <f>IF(B592="","",LEFT(TEXT(B592,"000"),1)*1)</f>
        <v/>
      </c>
      <c r="D592" s="2">
        <f>IF(B592="","",MID(TEXT(B592,"000"),2,1)*1)</f>
        <v/>
      </c>
      <c r="E592" s="2">
        <f>IF(B592="","",RIGHT(TEXT(B592,"000"),1)*1)</f>
        <v/>
      </c>
      <c r="F592" s="2">
        <f>IF(B592="","",C592+D592+E592)</f>
        <v/>
      </c>
      <c r="G592" s="2">
        <f>IF(B592="","",MOD(F592,10))</f>
        <v/>
      </c>
      <c r="H592" s="2">
        <f>IF(B592="","",MAX(C592,D592,E592)-MIN(C592,D592,E592))</f>
        <v/>
      </c>
      <c r="I592" s="2">
        <f>IF(OR(B592="",H592=0),IF(H592=0,0.1,""),ROUND(F592/H592,2))</f>
        <v/>
      </c>
      <c r="J592" s="2">
        <f>IF(I592=0.1,"极紧凑",IF(I592&gt;3.5,"紧凑",IF(AND(I592&gt;=2,I592&lt;=3.5),"标准",IF(AND(I592&gt;=1,I592&lt;2),"松散",""))))</f>
        <v/>
      </c>
      <c r="K592" s="2">
        <f>IF(I592=0.1,"极紧凑-豹子号",IF(AND(I592&gt;=1,I592&lt;=1.29),"松散-极松散",IF(AND(I592&gt;=1.33,I592&lt;=1.8),"松散-标准松散",IF(AND(I592&gt;=1.83,I592&lt;=1.89),"松散-偏紧松散",IF(AND(I592&gt;=2,I592&lt;=2.5),"标准-偏松标准",IF(AND(I592&gt;=2.57,I592&lt;=3),"标准-核心标准",IF(AND(I592&gt;=3.17,I592&lt;=3.5),"标准-偏紧标准",IF(AND(I592&gt;=3.6,I592&lt;=5),"紧凑-标准紧凑",IF(AND(I592&gt;=5.25,I592&lt;=8),"紧凑-高度紧凑",IF(I592&gt;=8.5,"紧凑-极度紧凑",""))))))))))</f>
        <v/>
      </c>
      <c r="L592" s="2">
        <f>IF(I592=0.1,"极紧凑",IF(AND(I592&gt;=1,I592&lt;=1.89),"松散",IF(AND(I592&gt;=2,I592&lt;=3.5),"标准",IF(I592&gt;=3.6,"紧凑",""))))</f>
        <v/>
      </c>
      <c r="M592" s="2" t="inlineStr">
        <is>
          <t>极紧凑-豹子号</t>
        </is>
      </c>
      <c r="N592" s="2" t="inlineStr">
        <is>
          <t>松散-极松散</t>
        </is>
      </c>
      <c r="O592" s="2" t="inlineStr">
        <is>
          <t>松散-标准松散</t>
        </is>
      </c>
      <c r="P592" s="2" t="inlineStr">
        <is>
          <t>松散-偏紧松散</t>
        </is>
      </c>
      <c r="Q592" s="2" t="inlineStr">
        <is>
          <t>标准-偏松标准</t>
        </is>
      </c>
      <c r="R592" s="2" t="inlineStr">
        <is>
          <t>标准-核心标准</t>
        </is>
      </c>
      <c r="S592" s="2" t="inlineStr">
        <is>
          <t>标准-偏紧标准</t>
        </is>
      </c>
      <c r="T592" s="2" t="inlineStr">
        <is>
          <t>紧凑-标准紧凑</t>
        </is>
      </c>
      <c r="U592" s="2" t="inlineStr">
        <is>
          <t>紧凑-高度紧凑</t>
        </is>
      </c>
      <c r="V592" s="2" t="inlineStr">
        <is>
          <t>紧凑-极度紧凑</t>
        </is>
      </c>
    </row>
    <row r="593">
      <c r="A593" s="1" t="n">
        <v>2024160</v>
      </c>
      <c r="B593" s="3" t="inlineStr">
        <is>
          <t>425</t>
        </is>
      </c>
      <c r="C593" s="2">
        <f>IF(B593="","",LEFT(TEXT(B593,"000"),1)*1)</f>
        <v/>
      </c>
      <c r="D593" s="2">
        <f>IF(B593="","",MID(TEXT(B593,"000"),2,1)*1)</f>
        <v/>
      </c>
      <c r="E593" s="2">
        <f>IF(B593="","",RIGHT(TEXT(B593,"000"),1)*1)</f>
        <v/>
      </c>
      <c r="F593" s="2">
        <f>IF(B593="","",C593+D593+E593)</f>
        <v/>
      </c>
      <c r="G593" s="2">
        <f>IF(B593="","",MOD(F593,10))</f>
        <v/>
      </c>
      <c r="H593" s="2">
        <f>IF(B593="","",MAX(C593,D593,E593)-MIN(C593,D593,E593))</f>
        <v/>
      </c>
      <c r="I593" s="2">
        <f>IF(OR(B593="",H593=0),IF(H593=0,0.1,""),ROUND(F593/H593,2))</f>
        <v/>
      </c>
      <c r="J593" s="2">
        <f>IF(I593=0.1,"极紧凑",IF(I593&gt;3.5,"紧凑",IF(AND(I593&gt;=2,I593&lt;=3.5),"标准",IF(AND(I593&gt;=1,I593&lt;2),"松散",""))))</f>
        <v/>
      </c>
      <c r="K593" s="2">
        <f>IF(I593=0.1,"极紧凑-豹子号",IF(AND(I593&gt;=1,I593&lt;=1.29),"松散-极松散",IF(AND(I593&gt;=1.33,I593&lt;=1.8),"松散-标准松散",IF(AND(I593&gt;=1.83,I593&lt;=1.89),"松散-偏紧松散",IF(AND(I593&gt;=2,I593&lt;=2.5),"标准-偏松标准",IF(AND(I593&gt;=2.57,I593&lt;=3),"标准-核心标准",IF(AND(I593&gt;=3.17,I593&lt;=3.5),"标准-偏紧标准",IF(AND(I593&gt;=3.6,I593&lt;=5),"紧凑-标准紧凑",IF(AND(I593&gt;=5.25,I593&lt;=8),"紧凑-高度紧凑",IF(I593&gt;=8.5,"紧凑-极度紧凑",""))))))))))</f>
        <v/>
      </c>
      <c r="L593" s="2">
        <f>IF(I593=0.1,"极紧凑",IF(AND(I593&gt;=1,I593&lt;=1.89),"松散",IF(AND(I593&gt;=2,I593&lt;=3.5),"标准",IF(I593&gt;=3.6,"紧凑",""))))</f>
        <v/>
      </c>
      <c r="M593" s="2" t="inlineStr">
        <is>
          <t>极紧凑-豹子号</t>
        </is>
      </c>
      <c r="N593" s="2" t="inlineStr">
        <is>
          <t>松散-极松散</t>
        </is>
      </c>
      <c r="O593" s="2" t="inlineStr">
        <is>
          <t>松散-标准松散</t>
        </is>
      </c>
      <c r="P593" s="2" t="inlineStr">
        <is>
          <t>松散-偏紧松散</t>
        </is>
      </c>
      <c r="Q593" s="2" t="inlineStr">
        <is>
          <t>标准-偏松标准</t>
        </is>
      </c>
      <c r="R593" s="2" t="inlineStr">
        <is>
          <t>标准-核心标准</t>
        </is>
      </c>
      <c r="S593" s="2" t="inlineStr">
        <is>
          <t>标准-偏紧标准</t>
        </is>
      </c>
      <c r="T593" s="2" t="inlineStr">
        <is>
          <t>紧凑-标准紧凑</t>
        </is>
      </c>
      <c r="U593" s="2" t="inlineStr">
        <is>
          <t>紧凑-高度紧凑</t>
        </is>
      </c>
      <c r="V593" s="2" t="inlineStr">
        <is>
          <t>紧凑-极度紧凑</t>
        </is>
      </c>
    </row>
    <row r="594">
      <c r="A594" s="1" t="n">
        <v>2024161</v>
      </c>
      <c r="B594" s="3" t="inlineStr">
        <is>
          <t>649</t>
        </is>
      </c>
      <c r="C594" s="2">
        <f>IF(B594="","",LEFT(TEXT(B594,"000"),1)*1)</f>
        <v/>
      </c>
      <c r="D594" s="2">
        <f>IF(B594="","",MID(TEXT(B594,"000"),2,1)*1)</f>
        <v/>
      </c>
      <c r="E594" s="2">
        <f>IF(B594="","",RIGHT(TEXT(B594,"000"),1)*1)</f>
        <v/>
      </c>
      <c r="F594" s="2">
        <f>IF(B594="","",C594+D594+E594)</f>
        <v/>
      </c>
      <c r="G594" s="2">
        <f>IF(B594="","",MOD(F594,10))</f>
        <v/>
      </c>
      <c r="H594" s="2">
        <f>IF(B594="","",MAX(C594,D594,E594)-MIN(C594,D594,E594))</f>
        <v/>
      </c>
      <c r="I594" s="2">
        <f>IF(OR(B594="",H594=0),IF(H594=0,0.1,""),ROUND(F594/H594,2))</f>
        <v/>
      </c>
      <c r="J594" s="2">
        <f>IF(I594=0.1,"极紧凑",IF(I594&gt;3.5,"紧凑",IF(AND(I594&gt;=2,I594&lt;=3.5),"标准",IF(AND(I594&gt;=1,I594&lt;2),"松散",""))))</f>
        <v/>
      </c>
      <c r="K594" s="2">
        <f>IF(I594=0.1,"极紧凑-豹子号",IF(AND(I594&gt;=1,I594&lt;=1.29),"松散-极松散",IF(AND(I594&gt;=1.33,I594&lt;=1.8),"松散-标准松散",IF(AND(I594&gt;=1.83,I594&lt;=1.89),"松散-偏紧松散",IF(AND(I594&gt;=2,I594&lt;=2.5),"标准-偏松标准",IF(AND(I594&gt;=2.57,I594&lt;=3),"标准-核心标准",IF(AND(I594&gt;=3.17,I594&lt;=3.5),"标准-偏紧标准",IF(AND(I594&gt;=3.6,I594&lt;=5),"紧凑-标准紧凑",IF(AND(I594&gt;=5.25,I594&lt;=8),"紧凑-高度紧凑",IF(I594&gt;=8.5,"紧凑-极度紧凑",""))))))))))</f>
        <v/>
      </c>
      <c r="L594" s="2">
        <f>IF(I594=0.1,"极紧凑",IF(AND(I594&gt;=1,I594&lt;=1.89),"松散",IF(AND(I594&gt;=2,I594&lt;=3.5),"标准",IF(I594&gt;=3.6,"紧凑",""))))</f>
        <v/>
      </c>
      <c r="M594" s="2" t="inlineStr">
        <is>
          <t>极紧凑-豹子号</t>
        </is>
      </c>
      <c r="N594" s="2" t="inlineStr">
        <is>
          <t>松散-极松散</t>
        </is>
      </c>
      <c r="O594" s="2" t="inlineStr">
        <is>
          <t>松散-标准松散</t>
        </is>
      </c>
      <c r="P594" s="2" t="inlineStr">
        <is>
          <t>松散-偏紧松散</t>
        </is>
      </c>
      <c r="Q594" s="2" t="inlineStr">
        <is>
          <t>标准-偏松标准</t>
        </is>
      </c>
      <c r="R594" s="2" t="inlineStr">
        <is>
          <t>标准-核心标准</t>
        </is>
      </c>
      <c r="S594" s="2" t="inlineStr">
        <is>
          <t>标准-偏紧标准</t>
        </is>
      </c>
      <c r="T594" s="2" t="inlineStr">
        <is>
          <t>紧凑-标准紧凑</t>
        </is>
      </c>
      <c r="U594" s="2" t="inlineStr">
        <is>
          <t>紧凑-高度紧凑</t>
        </is>
      </c>
      <c r="V594" s="2" t="inlineStr">
        <is>
          <t>紧凑-极度紧凑</t>
        </is>
      </c>
    </row>
    <row r="595">
      <c r="A595" s="1" t="n">
        <v>2024162</v>
      </c>
      <c r="B595" s="3" t="inlineStr">
        <is>
          <t>320</t>
        </is>
      </c>
      <c r="C595" s="2">
        <f>IF(B595="","",LEFT(TEXT(B595,"000"),1)*1)</f>
        <v/>
      </c>
      <c r="D595" s="2">
        <f>IF(B595="","",MID(TEXT(B595,"000"),2,1)*1)</f>
        <v/>
      </c>
      <c r="E595" s="2">
        <f>IF(B595="","",RIGHT(TEXT(B595,"000"),1)*1)</f>
        <v/>
      </c>
      <c r="F595" s="2">
        <f>IF(B595="","",C595+D595+E595)</f>
        <v/>
      </c>
      <c r="G595" s="2">
        <f>IF(B595="","",MOD(F595,10))</f>
        <v/>
      </c>
      <c r="H595" s="2">
        <f>IF(B595="","",MAX(C595,D595,E595)-MIN(C595,D595,E595))</f>
        <v/>
      </c>
      <c r="I595" s="2">
        <f>IF(OR(B595="",H595=0),IF(H595=0,0.1,""),ROUND(F595/H595,2))</f>
        <v/>
      </c>
      <c r="J595" s="2">
        <f>IF(I595=0.1,"极紧凑",IF(I595&gt;3.5,"紧凑",IF(AND(I595&gt;=2,I595&lt;=3.5),"标准",IF(AND(I595&gt;=1,I595&lt;2),"松散",""))))</f>
        <v/>
      </c>
      <c r="K595" s="2">
        <f>IF(I595=0.1,"极紧凑-豹子号",IF(AND(I595&gt;=1,I595&lt;=1.29),"松散-极松散",IF(AND(I595&gt;=1.33,I595&lt;=1.8),"松散-标准松散",IF(AND(I595&gt;=1.83,I595&lt;=1.89),"松散-偏紧松散",IF(AND(I595&gt;=2,I595&lt;=2.5),"标准-偏松标准",IF(AND(I595&gt;=2.57,I595&lt;=3),"标准-核心标准",IF(AND(I595&gt;=3.17,I595&lt;=3.5),"标准-偏紧标准",IF(AND(I595&gt;=3.6,I595&lt;=5),"紧凑-标准紧凑",IF(AND(I595&gt;=5.25,I595&lt;=8),"紧凑-高度紧凑",IF(I595&gt;=8.5,"紧凑-极度紧凑",""))))))))))</f>
        <v/>
      </c>
      <c r="L595" s="2">
        <f>IF(I595=0.1,"极紧凑",IF(AND(I595&gt;=1,I595&lt;=1.89),"松散",IF(AND(I595&gt;=2,I595&lt;=3.5),"标准",IF(I595&gt;=3.6,"紧凑",""))))</f>
        <v/>
      </c>
      <c r="M595" s="2" t="inlineStr">
        <is>
          <t>极紧凑-豹子号</t>
        </is>
      </c>
      <c r="N595" s="2" t="inlineStr">
        <is>
          <t>松散-极松散</t>
        </is>
      </c>
      <c r="O595" s="2" t="inlineStr">
        <is>
          <t>松散-标准松散</t>
        </is>
      </c>
      <c r="P595" s="2" t="inlineStr">
        <is>
          <t>松散-偏紧松散</t>
        </is>
      </c>
      <c r="Q595" s="2" t="inlineStr">
        <is>
          <t>标准-偏松标准</t>
        </is>
      </c>
      <c r="R595" s="2" t="inlineStr">
        <is>
          <t>标准-核心标准</t>
        </is>
      </c>
      <c r="S595" s="2" t="inlineStr">
        <is>
          <t>标准-偏紧标准</t>
        </is>
      </c>
      <c r="T595" s="2" t="inlineStr">
        <is>
          <t>紧凑-标准紧凑</t>
        </is>
      </c>
      <c r="U595" s="2" t="inlineStr">
        <is>
          <t>紧凑-高度紧凑</t>
        </is>
      </c>
      <c r="V595" s="2" t="inlineStr">
        <is>
          <t>紧凑-极度紧凑</t>
        </is>
      </c>
    </row>
    <row r="596">
      <c r="A596" s="1" t="n">
        <v>2024163</v>
      </c>
      <c r="B596" s="3" t="inlineStr">
        <is>
          <t>514</t>
        </is>
      </c>
      <c r="C596" s="2">
        <f>IF(B596="","",LEFT(TEXT(B596,"000"),1)*1)</f>
        <v/>
      </c>
      <c r="D596" s="2">
        <f>IF(B596="","",MID(TEXT(B596,"000"),2,1)*1)</f>
        <v/>
      </c>
      <c r="E596" s="2">
        <f>IF(B596="","",RIGHT(TEXT(B596,"000"),1)*1)</f>
        <v/>
      </c>
      <c r="F596" s="2">
        <f>IF(B596="","",C596+D596+E596)</f>
        <v/>
      </c>
      <c r="G596" s="2">
        <f>IF(B596="","",MOD(F596,10))</f>
        <v/>
      </c>
      <c r="H596" s="2">
        <f>IF(B596="","",MAX(C596,D596,E596)-MIN(C596,D596,E596))</f>
        <v/>
      </c>
      <c r="I596" s="2">
        <f>IF(OR(B596="",H596=0),IF(H596=0,0.1,""),ROUND(F596/H596,2))</f>
        <v/>
      </c>
      <c r="J596" s="2">
        <f>IF(I596=0.1,"极紧凑",IF(I596&gt;3.5,"紧凑",IF(AND(I596&gt;=2,I596&lt;=3.5),"标准",IF(AND(I596&gt;=1,I596&lt;2),"松散",""))))</f>
        <v/>
      </c>
      <c r="K596" s="2">
        <f>IF(I596=0.1,"极紧凑-豹子号",IF(AND(I596&gt;=1,I596&lt;=1.29),"松散-极松散",IF(AND(I596&gt;=1.33,I596&lt;=1.8),"松散-标准松散",IF(AND(I596&gt;=1.83,I596&lt;=1.89),"松散-偏紧松散",IF(AND(I596&gt;=2,I596&lt;=2.5),"标准-偏松标准",IF(AND(I596&gt;=2.57,I596&lt;=3),"标准-核心标准",IF(AND(I596&gt;=3.17,I596&lt;=3.5),"标准-偏紧标准",IF(AND(I596&gt;=3.6,I596&lt;=5),"紧凑-标准紧凑",IF(AND(I596&gt;=5.25,I596&lt;=8),"紧凑-高度紧凑",IF(I596&gt;=8.5,"紧凑-极度紧凑",""))))))))))</f>
        <v/>
      </c>
      <c r="L596" s="2">
        <f>IF(I596=0.1,"极紧凑",IF(AND(I596&gt;=1,I596&lt;=1.89),"松散",IF(AND(I596&gt;=2,I596&lt;=3.5),"标准",IF(I596&gt;=3.6,"紧凑",""))))</f>
        <v/>
      </c>
      <c r="M596" s="2" t="inlineStr">
        <is>
          <t>极紧凑-豹子号</t>
        </is>
      </c>
      <c r="N596" s="2" t="inlineStr">
        <is>
          <t>松散-极松散</t>
        </is>
      </c>
      <c r="O596" s="2" t="inlineStr">
        <is>
          <t>松散-标准松散</t>
        </is>
      </c>
      <c r="P596" s="2" t="inlineStr">
        <is>
          <t>松散-偏紧松散</t>
        </is>
      </c>
      <c r="Q596" s="2" t="inlineStr">
        <is>
          <t>标准-偏松标准</t>
        </is>
      </c>
      <c r="R596" s="2" t="inlineStr">
        <is>
          <t>标准-核心标准</t>
        </is>
      </c>
      <c r="S596" s="2" t="inlineStr">
        <is>
          <t>标准-偏紧标准</t>
        </is>
      </c>
      <c r="T596" s="2" t="inlineStr">
        <is>
          <t>紧凑-标准紧凑</t>
        </is>
      </c>
      <c r="U596" s="2" t="inlineStr">
        <is>
          <t>紧凑-高度紧凑</t>
        </is>
      </c>
      <c r="V596" s="2" t="inlineStr">
        <is>
          <t>紧凑-极度紧凑</t>
        </is>
      </c>
    </row>
    <row r="597">
      <c r="A597" s="1" t="n">
        <v>2024164</v>
      </c>
      <c r="B597" s="3" t="inlineStr">
        <is>
          <t>006</t>
        </is>
      </c>
      <c r="C597" s="2">
        <f>IF(B597="","",LEFT(TEXT(B597,"000"),1)*1)</f>
        <v/>
      </c>
      <c r="D597" s="2">
        <f>IF(B597="","",MID(TEXT(B597,"000"),2,1)*1)</f>
        <v/>
      </c>
      <c r="E597" s="2">
        <f>IF(B597="","",RIGHT(TEXT(B597,"000"),1)*1)</f>
        <v/>
      </c>
      <c r="F597" s="2">
        <f>IF(B597="","",C597+D597+E597)</f>
        <v/>
      </c>
      <c r="G597" s="2">
        <f>IF(B597="","",MOD(F597,10))</f>
        <v/>
      </c>
      <c r="H597" s="2">
        <f>IF(B597="","",MAX(C597,D597,E597)-MIN(C597,D597,E597))</f>
        <v/>
      </c>
      <c r="I597" s="2">
        <f>IF(OR(B597="",H597=0),IF(H597=0,0.1,""),ROUND(F597/H597,2))</f>
        <v/>
      </c>
      <c r="J597" s="2">
        <f>IF(I597=0.1,"极紧凑",IF(I597&gt;3.5,"紧凑",IF(AND(I597&gt;=2,I597&lt;=3.5),"标准",IF(AND(I597&gt;=1,I597&lt;2),"松散",""))))</f>
        <v/>
      </c>
      <c r="K597" s="2">
        <f>IF(I597=0.1,"极紧凑-豹子号",IF(AND(I597&gt;=1,I597&lt;=1.29),"松散-极松散",IF(AND(I597&gt;=1.33,I597&lt;=1.8),"松散-标准松散",IF(AND(I597&gt;=1.83,I597&lt;=1.89),"松散-偏紧松散",IF(AND(I597&gt;=2,I597&lt;=2.5),"标准-偏松标准",IF(AND(I597&gt;=2.57,I597&lt;=3),"标准-核心标准",IF(AND(I597&gt;=3.17,I597&lt;=3.5),"标准-偏紧标准",IF(AND(I597&gt;=3.6,I597&lt;=5),"紧凑-标准紧凑",IF(AND(I597&gt;=5.25,I597&lt;=8),"紧凑-高度紧凑",IF(I597&gt;=8.5,"紧凑-极度紧凑",""))))))))))</f>
        <v/>
      </c>
      <c r="L597" s="2">
        <f>IF(I597=0.1,"极紧凑",IF(AND(I597&gt;=1,I597&lt;=1.89),"松散",IF(AND(I597&gt;=2,I597&lt;=3.5),"标准",IF(I597&gt;=3.6,"紧凑",""))))</f>
        <v/>
      </c>
      <c r="M597" s="2" t="inlineStr">
        <is>
          <t>极紧凑-豹子号</t>
        </is>
      </c>
      <c r="N597" s="2" t="inlineStr">
        <is>
          <t>松散-极松散</t>
        </is>
      </c>
      <c r="O597" s="2" t="inlineStr">
        <is>
          <t>松散-标准松散</t>
        </is>
      </c>
      <c r="P597" s="2" t="inlineStr">
        <is>
          <t>松散-偏紧松散</t>
        </is>
      </c>
      <c r="Q597" s="2" t="inlineStr">
        <is>
          <t>标准-偏松标准</t>
        </is>
      </c>
      <c r="R597" s="2" t="inlineStr">
        <is>
          <t>标准-核心标准</t>
        </is>
      </c>
      <c r="S597" s="2" t="inlineStr">
        <is>
          <t>标准-偏紧标准</t>
        </is>
      </c>
      <c r="T597" s="2" t="inlineStr">
        <is>
          <t>紧凑-标准紧凑</t>
        </is>
      </c>
      <c r="U597" s="2" t="inlineStr">
        <is>
          <t>紧凑-高度紧凑</t>
        </is>
      </c>
      <c r="V597" s="2" t="inlineStr">
        <is>
          <t>紧凑-极度紧凑</t>
        </is>
      </c>
    </row>
    <row r="598">
      <c r="A598" s="1" t="n">
        <v>2024165</v>
      </c>
      <c r="B598" s="3" t="inlineStr">
        <is>
          <t>932</t>
        </is>
      </c>
      <c r="C598" s="2">
        <f>IF(B598="","",LEFT(TEXT(B598,"000"),1)*1)</f>
        <v/>
      </c>
      <c r="D598" s="2">
        <f>IF(B598="","",MID(TEXT(B598,"000"),2,1)*1)</f>
        <v/>
      </c>
      <c r="E598" s="2">
        <f>IF(B598="","",RIGHT(TEXT(B598,"000"),1)*1)</f>
        <v/>
      </c>
      <c r="F598" s="2">
        <f>IF(B598="","",C598+D598+E598)</f>
        <v/>
      </c>
      <c r="G598" s="2">
        <f>IF(B598="","",MOD(F598,10))</f>
        <v/>
      </c>
      <c r="H598" s="2">
        <f>IF(B598="","",MAX(C598,D598,E598)-MIN(C598,D598,E598))</f>
        <v/>
      </c>
      <c r="I598" s="2">
        <f>IF(OR(B598="",H598=0),IF(H598=0,0.1,""),ROUND(F598/H598,2))</f>
        <v/>
      </c>
      <c r="J598" s="2">
        <f>IF(I598=0.1,"极紧凑",IF(I598&gt;3.5,"紧凑",IF(AND(I598&gt;=2,I598&lt;=3.5),"标准",IF(AND(I598&gt;=1,I598&lt;2),"松散",""))))</f>
        <v/>
      </c>
      <c r="K598" s="2">
        <f>IF(I598=0.1,"极紧凑-豹子号",IF(AND(I598&gt;=1,I598&lt;=1.29),"松散-极松散",IF(AND(I598&gt;=1.33,I598&lt;=1.8),"松散-标准松散",IF(AND(I598&gt;=1.83,I598&lt;=1.89),"松散-偏紧松散",IF(AND(I598&gt;=2,I598&lt;=2.5),"标准-偏松标准",IF(AND(I598&gt;=2.57,I598&lt;=3),"标准-核心标准",IF(AND(I598&gt;=3.17,I598&lt;=3.5),"标准-偏紧标准",IF(AND(I598&gt;=3.6,I598&lt;=5),"紧凑-标准紧凑",IF(AND(I598&gt;=5.25,I598&lt;=8),"紧凑-高度紧凑",IF(I598&gt;=8.5,"紧凑-极度紧凑",""))))))))))</f>
        <v/>
      </c>
      <c r="L598" s="2">
        <f>IF(I598=0.1,"极紧凑",IF(AND(I598&gt;=1,I598&lt;=1.89),"松散",IF(AND(I598&gt;=2,I598&lt;=3.5),"标准",IF(I598&gt;=3.6,"紧凑",""))))</f>
        <v/>
      </c>
      <c r="M598" s="2" t="inlineStr">
        <is>
          <t>极紧凑-豹子号</t>
        </is>
      </c>
      <c r="N598" s="2" t="inlineStr">
        <is>
          <t>松散-极松散</t>
        </is>
      </c>
      <c r="O598" s="2" t="inlineStr">
        <is>
          <t>松散-标准松散</t>
        </is>
      </c>
      <c r="P598" s="2" t="inlineStr">
        <is>
          <t>松散-偏紧松散</t>
        </is>
      </c>
      <c r="Q598" s="2" t="inlineStr">
        <is>
          <t>标准-偏松标准</t>
        </is>
      </c>
      <c r="R598" s="2" t="inlineStr">
        <is>
          <t>标准-核心标准</t>
        </is>
      </c>
      <c r="S598" s="2" t="inlineStr">
        <is>
          <t>标准-偏紧标准</t>
        </is>
      </c>
      <c r="T598" s="2" t="inlineStr">
        <is>
          <t>紧凑-标准紧凑</t>
        </is>
      </c>
      <c r="U598" s="2" t="inlineStr">
        <is>
          <t>紧凑-高度紧凑</t>
        </is>
      </c>
      <c r="V598" s="2" t="inlineStr">
        <is>
          <t>紧凑-极度紧凑</t>
        </is>
      </c>
    </row>
    <row r="599">
      <c r="A599" s="1" t="n">
        <v>2024166</v>
      </c>
      <c r="B599" s="3" t="inlineStr">
        <is>
          <t>479</t>
        </is>
      </c>
      <c r="C599" s="2">
        <f>IF(B599="","",LEFT(TEXT(B599,"000"),1)*1)</f>
        <v/>
      </c>
      <c r="D599" s="2">
        <f>IF(B599="","",MID(TEXT(B599,"000"),2,1)*1)</f>
        <v/>
      </c>
      <c r="E599" s="2">
        <f>IF(B599="","",RIGHT(TEXT(B599,"000"),1)*1)</f>
        <v/>
      </c>
      <c r="F599" s="2">
        <f>IF(B599="","",C599+D599+E599)</f>
        <v/>
      </c>
      <c r="G599" s="2">
        <f>IF(B599="","",MOD(F599,10))</f>
        <v/>
      </c>
      <c r="H599" s="2">
        <f>IF(B599="","",MAX(C599,D599,E599)-MIN(C599,D599,E599))</f>
        <v/>
      </c>
      <c r="I599" s="2">
        <f>IF(OR(B599="",H599=0),IF(H599=0,0.1,""),ROUND(F599/H599,2))</f>
        <v/>
      </c>
      <c r="J599" s="2">
        <f>IF(I599=0.1,"极紧凑",IF(I599&gt;3.5,"紧凑",IF(AND(I599&gt;=2,I599&lt;=3.5),"标准",IF(AND(I599&gt;=1,I599&lt;2),"松散",""))))</f>
        <v/>
      </c>
      <c r="K599" s="2">
        <f>IF(I599=0.1,"极紧凑-豹子号",IF(AND(I599&gt;=1,I599&lt;=1.29),"松散-极松散",IF(AND(I599&gt;=1.33,I599&lt;=1.8),"松散-标准松散",IF(AND(I599&gt;=1.83,I599&lt;=1.89),"松散-偏紧松散",IF(AND(I599&gt;=2,I599&lt;=2.5),"标准-偏松标准",IF(AND(I599&gt;=2.57,I599&lt;=3),"标准-核心标准",IF(AND(I599&gt;=3.17,I599&lt;=3.5),"标准-偏紧标准",IF(AND(I599&gt;=3.6,I599&lt;=5),"紧凑-标准紧凑",IF(AND(I599&gt;=5.25,I599&lt;=8),"紧凑-高度紧凑",IF(I599&gt;=8.5,"紧凑-极度紧凑",""))))))))))</f>
        <v/>
      </c>
      <c r="L599" s="2">
        <f>IF(I599=0.1,"极紧凑",IF(AND(I599&gt;=1,I599&lt;=1.89),"松散",IF(AND(I599&gt;=2,I599&lt;=3.5),"标准",IF(I599&gt;=3.6,"紧凑",""))))</f>
        <v/>
      </c>
      <c r="M599" s="2" t="inlineStr">
        <is>
          <t>极紧凑-豹子号</t>
        </is>
      </c>
      <c r="N599" s="2" t="inlineStr">
        <is>
          <t>松散-极松散</t>
        </is>
      </c>
      <c r="O599" s="2" t="inlineStr">
        <is>
          <t>松散-标准松散</t>
        </is>
      </c>
      <c r="P599" s="2" t="inlineStr">
        <is>
          <t>松散-偏紧松散</t>
        </is>
      </c>
      <c r="Q599" s="2" t="inlineStr">
        <is>
          <t>标准-偏松标准</t>
        </is>
      </c>
      <c r="R599" s="2" t="inlineStr">
        <is>
          <t>标准-核心标准</t>
        </is>
      </c>
      <c r="S599" s="2" t="inlineStr">
        <is>
          <t>标准-偏紧标准</t>
        </is>
      </c>
      <c r="T599" s="2" t="inlineStr">
        <is>
          <t>紧凑-标准紧凑</t>
        </is>
      </c>
      <c r="U599" s="2" t="inlineStr">
        <is>
          <t>紧凑-高度紧凑</t>
        </is>
      </c>
      <c r="V599" s="2" t="inlineStr">
        <is>
          <t>紧凑-极度紧凑</t>
        </is>
      </c>
    </row>
    <row r="600">
      <c r="A600" s="1" t="n">
        <v>2024167</v>
      </c>
      <c r="B600" s="3" t="inlineStr">
        <is>
          <t>507</t>
        </is>
      </c>
      <c r="C600" s="2">
        <f>IF(B600="","",LEFT(TEXT(B600,"000"),1)*1)</f>
        <v/>
      </c>
      <c r="D600" s="2">
        <f>IF(B600="","",MID(TEXT(B600,"000"),2,1)*1)</f>
        <v/>
      </c>
      <c r="E600" s="2">
        <f>IF(B600="","",RIGHT(TEXT(B600,"000"),1)*1)</f>
        <v/>
      </c>
      <c r="F600" s="2">
        <f>IF(B600="","",C600+D600+E600)</f>
        <v/>
      </c>
      <c r="G600" s="2">
        <f>IF(B600="","",MOD(F600,10))</f>
        <v/>
      </c>
      <c r="H600" s="2">
        <f>IF(B600="","",MAX(C600,D600,E600)-MIN(C600,D600,E600))</f>
        <v/>
      </c>
      <c r="I600" s="2">
        <f>IF(OR(B600="",H600=0),IF(H600=0,0.1,""),ROUND(F600/H600,2))</f>
        <v/>
      </c>
      <c r="J600" s="2">
        <f>IF(I600=0.1,"极紧凑",IF(I600&gt;3.5,"紧凑",IF(AND(I600&gt;=2,I600&lt;=3.5),"标准",IF(AND(I600&gt;=1,I600&lt;2),"松散",""))))</f>
        <v/>
      </c>
      <c r="K600" s="2">
        <f>IF(I600=0.1,"极紧凑-豹子号",IF(AND(I600&gt;=1,I600&lt;=1.29),"松散-极松散",IF(AND(I600&gt;=1.33,I600&lt;=1.8),"松散-标准松散",IF(AND(I600&gt;=1.83,I600&lt;=1.89),"松散-偏紧松散",IF(AND(I600&gt;=2,I600&lt;=2.5),"标准-偏松标准",IF(AND(I600&gt;=2.57,I600&lt;=3),"标准-核心标准",IF(AND(I600&gt;=3.17,I600&lt;=3.5),"标准-偏紧标准",IF(AND(I600&gt;=3.6,I600&lt;=5),"紧凑-标准紧凑",IF(AND(I600&gt;=5.25,I600&lt;=8),"紧凑-高度紧凑",IF(I600&gt;=8.5,"紧凑-极度紧凑",""))))))))))</f>
        <v/>
      </c>
      <c r="L600" s="2">
        <f>IF(I600=0.1,"极紧凑",IF(AND(I600&gt;=1,I600&lt;=1.89),"松散",IF(AND(I600&gt;=2,I600&lt;=3.5),"标准",IF(I600&gt;=3.6,"紧凑",""))))</f>
        <v/>
      </c>
      <c r="M600" s="2" t="inlineStr">
        <is>
          <t>极紧凑-豹子号</t>
        </is>
      </c>
      <c r="N600" s="2" t="inlineStr">
        <is>
          <t>松散-极松散</t>
        </is>
      </c>
      <c r="O600" s="2" t="inlineStr">
        <is>
          <t>松散-标准松散</t>
        </is>
      </c>
      <c r="P600" s="2" t="inlineStr">
        <is>
          <t>松散-偏紧松散</t>
        </is>
      </c>
      <c r="Q600" s="2" t="inlineStr">
        <is>
          <t>标准-偏松标准</t>
        </is>
      </c>
      <c r="R600" s="2" t="inlineStr">
        <is>
          <t>标准-核心标准</t>
        </is>
      </c>
      <c r="S600" s="2" t="inlineStr">
        <is>
          <t>标准-偏紧标准</t>
        </is>
      </c>
      <c r="T600" s="2" t="inlineStr">
        <is>
          <t>紧凑-标准紧凑</t>
        </is>
      </c>
      <c r="U600" s="2" t="inlineStr">
        <is>
          <t>紧凑-高度紧凑</t>
        </is>
      </c>
      <c r="V600" s="2" t="inlineStr">
        <is>
          <t>紧凑-极度紧凑</t>
        </is>
      </c>
    </row>
    <row r="601">
      <c r="A601" s="1" t="n">
        <v>2024168</v>
      </c>
      <c r="B601" s="3" t="inlineStr">
        <is>
          <t>541</t>
        </is>
      </c>
      <c r="C601" s="2">
        <f>IF(B601="","",LEFT(TEXT(B601,"000"),1)*1)</f>
        <v/>
      </c>
      <c r="D601" s="2">
        <f>IF(B601="","",MID(TEXT(B601,"000"),2,1)*1)</f>
        <v/>
      </c>
      <c r="E601" s="2">
        <f>IF(B601="","",RIGHT(TEXT(B601,"000"),1)*1)</f>
        <v/>
      </c>
      <c r="F601" s="2">
        <f>IF(B601="","",C601+D601+E601)</f>
        <v/>
      </c>
      <c r="G601" s="2">
        <f>IF(B601="","",MOD(F601,10))</f>
        <v/>
      </c>
      <c r="H601" s="2">
        <f>IF(B601="","",MAX(C601,D601,E601)-MIN(C601,D601,E601))</f>
        <v/>
      </c>
      <c r="I601" s="2">
        <f>IF(OR(B601="",H601=0),IF(H601=0,0.1,""),ROUND(F601/H601,2))</f>
        <v/>
      </c>
      <c r="J601" s="2">
        <f>IF(I601=0.1,"极紧凑",IF(I601&gt;3.5,"紧凑",IF(AND(I601&gt;=2,I601&lt;=3.5),"标准",IF(AND(I601&gt;=1,I601&lt;2),"松散",""))))</f>
        <v/>
      </c>
      <c r="K601" s="2">
        <f>IF(I601=0.1,"极紧凑-豹子号",IF(AND(I601&gt;=1,I601&lt;=1.29),"松散-极松散",IF(AND(I601&gt;=1.33,I601&lt;=1.8),"松散-标准松散",IF(AND(I601&gt;=1.83,I601&lt;=1.89),"松散-偏紧松散",IF(AND(I601&gt;=2,I601&lt;=2.5),"标准-偏松标准",IF(AND(I601&gt;=2.57,I601&lt;=3),"标准-核心标准",IF(AND(I601&gt;=3.17,I601&lt;=3.5),"标准-偏紧标准",IF(AND(I601&gt;=3.6,I601&lt;=5),"紧凑-标准紧凑",IF(AND(I601&gt;=5.25,I601&lt;=8),"紧凑-高度紧凑",IF(I601&gt;=8.5,"紧凑-极度紧凑",""))))))))))</f>
        <v/>
      </c>
      <c r="L601" s="2">
        <f>IF(I601=0.1,"极紧凑",IF(AND(I601&gt;=1,I601&lt;=1.89),"松散",IF(AND(I601&gt;=2,I601&lt;=3.5),"标准",IF(I601&gt;=3.6,"紧凑",""))))</f>
        <v/>
      </c>
      <c r="M601" s="2" t="inlineStr">
        <is>
          <t>极紧凑-豹子号</t>
        </is>
      </c>
      <c r="N601" s="2" t="inlineStr">
        <is>
          <t>松散-极松散</t>
        </is>
      </c>
      <c r="O601" s="2" t="inlineStr">
        <is>
          <t>松散-标准松散</t>
        </is>
      </c>
      <c r="P601" s="2" t="inlineStr">
        <is>
          <t>松散-偏紧松散</t>
        </is>
      </c>
      <c r="Q601" s="2" t="inlineStr">
        <is>
          <t>标准-偏松标准</t>
        </is>
      </c>
      <c r="R601" s="2" t="inlineStr">
        <is>
          <t>标准-核心标准</t>
        </is>
      </c>
      <c r="S601" s="2" t="inlineStr">
        <is>
          <t>标准-偏紧标准</t>
        </is>
      </c>
      <c r="T601" s="2" t="inlineStr">
        <is>
          <t>紧凑-标准紧凑</t>
        </is>
      </c>
      <c r="U601" s="2" t="inlineStr">
        <is>
          <t>紧凑-高度紧凑</t>
        </is>
      </c>
      <c r="V601" s="2" t="inlineStr">
        <is>
          <t>紧凑-极度紧凑</t>
        </is>
      </c>
    </row>
    <row r="602">
      <c r="A602" s="1" t="n">
        <v>2024169</v>
      </c>
      <c r="B602" s="3" t="inlineStr">
        <is>
          <t>759</t>
        </is>
      </c>
      <c r="C602" s="2">
        <f>IF(B602="","",LEFT(TEXT(B602,"000"),1)*1)</f>
        <v/>
      </c>
      <c r="D602" s="2">
        <f>IF(B602="","",MID(TEXT(B602,"000"),2,1)*1)</f>
        <v/>
      </c>
      <c r="E602" s="2">
        <f>IF(B602="","",RIGHT(TEXT(B602,"000"),1)*1)</f>
        <v/>
      </c>
      <c r="F602" s="2">
        <f>IF(B602="","",C602+D602+E602)</f>
        <v/>
      </c>
      <c r="G602" s="2">
        <f>IF(B602="","",MOD(F602,10))</f>
        <v/>
      </c>
      <c r="H602" s="2">
        <f>IF(B602="","",MAX(C602,D602,E602)-MIN(C602,D602,E602))</f>
        <v/>
      </c>
      <c r="I602" s="2">
        <f>IF(OR(B602="",H602=0),IF(H602=0,0.1,""),ROUND(F602/H602,2))</f>
        <v/>
      </c>
      <c r="J602" s="2">
        <f>IF(I602=0.1,"极紧凑",IF(I602&gt;3.5,"紧凑",IF(AND(I602&gt;=2,I602&lt;=3.5),"标准",IF(AND(I602&gt;=1,I602&lt;2),"松散",""))))</f>
        <v/>
      </c>
      <c r="K602" s="2">
        <f>IF(I602=0.1,"极紧凑-豹子号",IF(AND(I602&gt;=1,I602&lt;=1.29),"松散-极松散",IF(AND(I602&gt;=1.33,I602&lt;=1.8),"松散-标准松散",IF(AND(I602&gt;=1.83,I602&lt;=1.89),"松散-偏紧松散",IF(AND(I602&gt;=2,I602&lt;=2.5),"标准-偏松标准",IF(AND(I602&gt;=2.57,I602&lt;=3),"标准-核心标准",IF(AND(I602&gt;=3.17,I602&lt;=3.5),"标准-偏紧标准",IF(AND(I602&gt;=3.6,I602&lt;=5),"紧凑-标准紧凑",IF(AND(I602&gt;=5.25,I602&lt;=8),"紧凑-高度紧凑",IF(I602&gt;=8.5,"紧凑-极度紧凑",""))))))))))</f>
        <v/>
      </c>
      <c r="L602" s="2">
        <f>IF(I602=0.1,"极紧凑",IF(AND(I602&gt;=1,I602&lt;=1.89),"松散",IF(AND(I602&gt;=2,I602&lt;=3.5),"标准",IF(I602&gt;=3.6,"紧凑",""))))</f>
        <v/>
      </c>
      <c r="M602" s="2" t="inlineStr">
        <is>
          <t>极紧凑-豹子号</t>
        </is>
      </c>
      <c r="N602" s="2" t="inlineStr">
        <is>
          <t>松散-极松散</t>
        </is>
      </c>
      <c r="O602" s="2" t="inlineStr">
        <is>
          <t>松散-标准松散</t>
        </is>
      </c>
      <c r="P602" s="2" t="inlineStr">
        <is>
          <t>松散-偏紧松散</t>
        </is>
      </c>
      <c r="Q602" s="2" t="inlineStr">
        <is>
          <t>标准-偏松标准</t>
        </is>
      </c>
      <c r="R602" s="2" t="inlineStr">
        <is>
          <t>标准-核心标准</t>
        </is>
      </c>
      <c r="S602" s="2" t="inlineStr">
        <is>
          <t>标准-偏紧标准</t>
        </is>
      </c>
      <c r="T602" s="2" t="inlineStr">
        <is>
          <t>紧凑-标准紧凑</t>
        </is>
      </c>
      <c r="U602" s="2" t="inlineStr">
        <is>
          <t>紧凑-高度紧凑</t>
        </is>
      </c>
      <c r="V602" s="2" t="inlineStr">
        <is>
          <t>紧凑-极度紧凑</t>
        </is>
      </c>
    </row>
    <row r="603">
      <c r="A603" s="1" t="n">
        <v>2024170</v>
      </c>
      <c r="B603" s="3" t="inlineStr">
        <is>
          <t>031</t>
        </is>
      </c>
      <c r="C603" s="2">
        <f>IF(B603="","",LEFT(TEXT(B603,"000"),1)*1)</f>
        <v/>
      </c>
      <c r="D603" s="2">
        <f>IF(B603="","",MID(TEXT(B603,"000"),2,1)*1)</f>
        <v/>
      </c>
      <c r="E603" s="2">
        <f>IF(B603="","",RIGHT(TEXT(B603,"000"),1)*1)</f>
        <v/>
      </c>
      <c r="F603" s="2">
        <f>IF(B603="","",C603+D603+E603)</f>
        <v/>
      </c>
      <c r="G603" s="2">
        <f>IF(B603="","",MOD(F603,10))</f>
        <v/>
      </c>
      <c r="H603" s="2">
        <f>IF(B603="","",MAX(C603,D603,E603)-MIN(C603,D603,E603))</f>
        <v/>
      </c>
      <c r="I603" s="2">
        <f>IF(OR(B603="",H603=0),IF(H603=0,0.1,""),ROUND(F603/H603,2))</f>
        <v/>
      </c>
      <c r="J603" s="2">
        <f>IF(I603=0.1,"极紧凑",IF(I603&gt;3.5,"紧凑",IF(AND(I603&gt;=2,I603&lt;=3.5),"标准",IF(AND(I603&gt;=1,I603&lt;2),"松散",""))))</f>
        <v/>
      </c>
      <c r="K603" s="2">
        <f>IF(I603=0.1,"极紧凑-豹子号",IF(AND(I603&gt;=1,I603&lt;=1.29),"松散-极松散",IF(AND(I603&gt;=1.33,I603&lt;=1.8),"松散-标准松散",IF(AND(I603&gt;=1.83,I603&lt;=1.89),"松散-偏紧松散",IF(AND(I603&gt;=2,I603&lt;=2.5),"标准-偏松标准",IF(AND(I603&gt;=2.57,I603&lt;=3),"标准-核心标准",IF(AND(I603&gt;=3.17,I603&lt;=3.5),"标准-偏紧标准",IF(AND(I603&gt;=3.6,I603&lt;=5),"紧凑-标准紧凑",IF(AND(I603&gt;=5.25,I603&lt;=8),"紧凑-高度紧凑",IF(I603&gt;=8.5,"紧凑-极度紧凑",""))))))))))</f>
        <v/>
      </c>
      <c r="L603" s="2">
        <f>IF(I603=0.1,"极紧凑",IF(AND(I603&gt;=1,I603&lt;=1.89),"松散",IF(AND(I603&gt;=2,I603&lt;=3.5),"标准",IF(I603&gt;=3.6,"紧凑",""))))</f>
        <v/>
      </c>
      <c r="M603" s="2" t="inlineStr">
        <is>
          <t>极紧凑-豹子号</t>
        </is>
      </c>
      <c r="N603" s="2" t="inlineStr">
        <is>
          <t>松散-极松散</t>
        </is>
      </c>
      <c r="O603" s="2" t="inlineStr">
        <is>
          <t>松散-标准松散</t>
        </is>
      </c>
      <c r="P603" s="2" t="inlineStr">
        <is>
          <t>松散-偏紧松散</t>
        </is>
      </c>
      <c r="Q603" s="2" t="inlineStr">
        <is>
          <t>标准-偏松标准</t>
        </is>
      </c>
      <c r="R603" s="2" t="inlineStr">
        <is>
          <t>标准-核心标准</t>
        </is>
      </c>
      <c r="S603" s="2" t="inlineStr">
        <is>
          <t>标准-偏紧标准</t>
        </is>
      </c>
      <c r="T603" s="2" t="inlineStr">
        <is>
          <t>紧凑-标准紧凑</t>
        </is>
      </c>
      <c r="U603" s="2" t="inlineStr">
        <is>
          <t>紧凑-高度紧凑</t>
        </is>
      </c>
      <c r="V603" s="2" t="inlineStr">
        <is>
          <t>紧凑-极度紧凑</t>
        </is>
      </c>
    </row>
    <row r="604">
      <c r="A604" s="1" t="n">
        <v>2024171</v>
      </c>
      <c r="B604" s="3" t="inlineStr">
        <is>
          <t>070</t>
        </is>
      </c>
      <c r="C604" s="2">
        <f>IF(B604="","",LEFT(TEXT(B604,"000"),1)*1)</f>
        <v/>
      </c>
      <c r="D604" s="2">
        <f>IF(B604="","",MID(TEXT(B604,"000"),2,1)*1)</f>
        <v/>
      </c>
      <c r="E604" s="2">
        <f>IF(B604="","",RIGHT(TEXT(B604,"000"),1)*1)</f>
        <v/>
      </c>
      <c r="F604" s="2">
        <f>IF(B604="","",C604+D604+E604)</f>
        <v/>
      </c>
      <c r="G604" s="2">
        <f>IF(B604="","",MOD(F604,10))</f>
        <v/>
      </c>
      <c r="H604" s="2">
        <f>IF(B604="","",MAX(C604,D604,E604)-MIN(C604,D604,E604))</f>
        <v/>
      </c>
      <c r="I604" s="2">
        <f>IF(OR(B604="",H604=0),IF(H604=0,0.1,""),ROUND(F604/H604,2))</f>
        <v/>
      </c>
      <c r="J604" s="2">
        <f>IF(I604=0.1,"极紧凑",IF(I604&gt;3.5,"紧凑",IF(AND(I604&gt;=2,I604&lt;=3.5),"标准",IF(AND(I604&gt;=1,I604&lt;2),"松散",""))))</f>
        <v/>
      </c>
      <c r="K604" s="2">
        <f>IF(I604=0.1,"极紧凑-豹子号",IF(AND(I604&gt;=1,I604&lt;=1.29),"松散-极松散",IF(AND(I604&gt;=1.33,I604&lt;=1.8),"松散-标准松散",IF(AND(I604&gt;=1.83,I604&lt;=1.89),"松散-偏紧松散",IF(AND(I604&gt;=2,I604&lt;=2.5),"标准-偏松标准",IF(AND(I604&gt;=2.57,I604&lt;=3),"标准-核心标准",IF(AND(I604&gt;=3.17,I604&lt;=3.5),"标准-偏紧标准",IF(AND(I604&gt;=3.6,I604&lt;=5),"紧凑-标准紧凑",IF(AND(I604&gt;=5.25,I604&lt;=8),"紧凑-高度紧凑",IF(I604&gt;=8.5,"紧凑-极度紧凑",""))))))))))</f>
        <v/>
      </c>
      <c r="L604" s="2">
        <f>IF(I604=0.1,"极紧凑",IF(AND(I604&gt;=1,I604&lt;=1.89),"松散",IF(AND(I604&gt;=2,I604&lt;=3.5),"标准",IF(I604&gt;=3.6,"紧凑",""))))</f>
        <v/>
      </c>
      <c r="M604" s="2" t="inlineStr">
        <is>
          <t>极紧凑-豹子号</t>
        </is>
      </c>
      <c r="N604" s="2" t="inlineStr">
        <is>
          <t>松散-极松散</t>
        </is>
      </c>
      <c r="O604" s="2" t="inlineStr">
        <is>
          <t>松散-标准松散</t>
        </is>
      </c>
      <c r="P604" s="2" t="inlineStr">
        <is>
          <t>松散-偏紧松散</t>
        </is>
      </c>
      <c r="Q604" s="2" t="inlineStr">
        <is>
          <t>标准-偏松标准</t>
        </is>
      </c>
      <c r="R604" s="2" t="inlineStr">
        <is>
          <t>标准-核心标准</t>
        </is>
      </c>
      <c r="S604" s="2" t="inlineStr">
        <is>
          <t>标准-偏紧标准</t>
        </is>
      </c>
      <c r="T604" s="2" t="inlineStr">
        <is>
          <t>紧凑-标准紧凑</t>
        </is>
      </c>
      <c r="U604" s="2" t="inlineStr">
        <is>
          <t>紧凑-高度紧凑</t>
        </is>
      </c>
      <c r="V604" s="2" t="inlineStr">
        <is>
          <t>紧凑-极度紧凑</t>
        </is>
      </c>
    </row>
    <row r="605">
      <c r="A605" s="1" t="n">
        <v>2024172</v>
      </c>
      <c r="B605" s="3" t="inlineStr">
        <is>
          <t>400</t>
        </is>
      </c>
      <c r="C605" s="2">
        <f>IF(B605="","",LEFT(TEXT(B605,"000"),1)*1)</f>
        <v/>
      </c>
      <c r="D605" s="2">
        <f>IF(B605="","",MID(TEXT(B605,"000"),2,1)*1)</f>
        <v/>
      </c>
      <c r="E605" s="2">
        <f>IF(B605="","",RIGHT(TEXT(B605,"000"),1)*1)</f>
        <v/>
      </c>
      <c r="F605" s="2">
        <f>IF(B605="","",C605+D605+E605)</f>
        <v/>
      </c>
      <c r="G605" s="2">
        <f>IF(B605="","",MOD(F605,10))</f>
        <v/>
      </c>
      <c r="H605" s="2">
        <f>IF(B605="","",MAX(C605,D605,E605)-MIN(C605,D605,E605))</f>
        <v/>
      </c>
      <c r="I605" s="2">
        <f>IF(OR(B605="",H605=0),IF(H605=0,0.1,""),ROUND(F605/H605,2))</f>
        <v/>
      </c>
      <c r="J605" s="2">
        <f>IF(I605=0.1,"极紧凑",IF(I605&gt;3.5,"紧凑",IF(AND(I605&gt;=2,I605&lt;=3.5),"标准",IF(AND(I605&gt;=1,I605&lt;2),"松散",""))))</f>
        <v/>
      </c>
      <c r="K605" s="2">
        <f>IF(I605=0.1,"极紧凑-豹子号",IF(AND(I605&gt;=1,I605&lt;=1.29),"松散-极松散",IF(AND(I605&gt;=1.33,I605&lt;=1.8),"松散-标准松散",IF(AND(I605&gt;=1.83,I605&lt;=1.89),"松散-偏紧松散",IF(AND(I605&gt;=2,I605&lt;=2.5),"标准-偏松标准",IF(AND(I605&gt;=2.57,I605&lt;=3),"标准-核心标准",IF(AND(I605&gt;=3.17,I605&lt;=3.5),"标准-偏紧标准",IF(AND(I605&gt;=3.6,I605&lt;=5),"紧凑-标准紧凑",IF(AND(I605&gt;=5.25,I605&lt;=8),"紧凑-高度紧凑",IF(I605&gt;=8.5,"紧凑-极度紧凑",""))))))))))</f>
        <v/>
      </c>
      <c r="L605" s="2">
        <f>IF(I605=0.1,"极紧凑",IF(AND(I605&gt;=1,I605&lt;=1.89),"松散",IF(AND(I605&gt;=2,I605&lt;=3.5),"标准",IF(I605&gt;=3.6,"紧凑",""))))</f>
        <v/>
      </c>
      <c r="M605" s="2" t="inlineStr">
        <is>
          <t>极紧凑-豹子号</t>
        </is>
      </c>
      <c r="N605" s="2" t="inlineStr">
        <is>
          <t>松散-极松散</t>
        </is>
      </c>
      <c r="O605" s="2" t="inlineStr">
        <is>
          <t>松散-标准松散</t>
        </is>
      </c>
      <c r="P605" s="2" t="inlineStr">
        <is>
          <t>松散-偏紧松散</t>
        </is>
      </c>
      <c r="Q605" s="2" t="inlineStr">
        <is>
          <t>标准-偏松标准</t>
        </is>
      </c>
      <c r="R605" s="2" t="inlineStr">
        <is>
          <t>标准-核心标准</t>
        </is>
      </c>
      <c r="S605" s="2" t="inlineStr">
        <is>
          <t>标准-偏紧标准</t>
        </is>
      </c>
      <c r="T605" s="2" t="inlineStr">
        <is>
          <t>紧凑-标准紧凑</t>
        </is>
      </c>
      <c r="U605" s="2" t="inlineStr">
        <is>
          <t>紧凑-高度紧凑</t>
        </is>
      </c>
      <c r="V605" s="2" t="inlineStr">
        <is>
          <t>紧凑-极度紧凑</t>
        </is>
      </c>
    </row>
    <row r="606">
      <c r="A606" s="1" t="n">
        <v>2024173</v>
      </c>
      <c r="B606" s="3" t="inlineStr">
        <is>
          <t>658</t>
        </is>
      </c>
      <c r="C606" s="2">
        <f>IF(B606="","",LEFT(TEXT(B606,"000"),1)*1)</f>
        <v/>
      </c>
      <c r="D606" s="2">
        <f>IF(B606="","",MID(TEXT(B606,"000"),2,1)*1)</f>
        <v/>
      </c>
      <c r="E606" s="2">
        <f>IF(B606="","",RIGHT(TEXT(B606,"000"),1)*1)</f>
        <v/>
      </c>
      <c r="F606" s="2">
        <f>IF(B606="","",C606+D606+E606)</f>
        <v/>
      </c>
      <c r="G606" s="2">
        <f>IF(B606="","",MOD(F606,10))</f>
        <v/>
      </c>
      <c r="H606" s="2">
        <f>IF(B606="","",MAX(C606,D606,E606)-MIN(C606,D606,E606))</f>
        <v/>
      </c>
      <c r="I606" s="2">
        <f>IF(OR(B606="",H606=0),IF(H606=0,0.1,""),ROUND(F606/H606,2))</f>
        <v/>
      </c>
      <c r="J606" s="2">
        <f>IF(I606=0.1,"极紧凑",IF(I606&gt;3.5,"紧凑",IF(AND(I606&gt;=2,I606&lt;=3.5),"标准",IF(AND(I606&gt;=1,I606&lt;2),"松散",""))))</f>
        <v/>
      </c>
      <c r="K606" s="2">
        <f>IF(I606=0.1,"极紧凑-豹子号",IF(AND(I606&gt;=1,I606&lt;=1.29),"松散-极松散",IF(AND(I606&gt;=1.33,I606&lt;=1.8),"松散-标准松散",IF(AND(I606&gt;=1.83,I606&lt;=1.89),"松散-偏紧松散",IF(AND(I606&gt;=2,I606&lt;=2.5),"标准-偏松标准",IF(AND(I606&gt;=2.57,I606&lt;=3),"标准-核心标准",IF(AND(I606&gt;=3.17,I606&lt;=3.5),"标准-偏紧标准",IF(AND(I606&gt;=3.6,I606&lt;=5),"紧凑-标准紧凑",IF(AND(I606&gt;=5.25,I606&lt;=8),"紧凑-高度紧凑",IF(I606&gt;=8.5,"紧凑-极度紧凑",""))))))))))</f>
        <v/>
      </c>
      <c r="L606" s="2">
        <f>IF(I606=0.1,"极紧凑",IF(AND(I606&gt;=1,I606&lt;=1.89),"松散",IF(AND(I606&gt;=2,I606&lt;=3.5),"标准",IF(I606&gt;=3.6,"紧凑",""))))</f>
        <v/>
      </c>
      <c r="M606" s="2" t="inlineStr">
        <is>
          <t>极紧凑-豹子号</t>
        </is>
      </c>
      <c r="N606" s="2" t="inlineStr">
        <is>
          <t>松散-极松散</t>
        </is>
      </c>
      <c r="O606" s="2" t="inlineStr">
        <is>
          <t>松散-标准松散</t>
        </is>
      </c>
      <c r="P606" s="2" t="inlineStr">
        <is>
          <t>松散-偏紧松散</t>
        </is>
      </c>
      <c r="Q606" s="2" t="inlineStr">
        <is>
          <t>标准-偏松标准</t>
        </is>
      </c>
      <c r="R606" s="2" t="inlineStr">
        <is>
          <t>标准-核心标准</t>
        </is>
      </c>
      <c r="S606" s="2" t="inlineStr">
        <is>
          <t>标准-偏紧标准</t>
        </is>
      </c>
      <c r="T606" s="2" t="inlineStr">
        <is>
          <t>紧凑-标准紧凑</t>
        </is>
      </c>
      <c r="U606" s="2" t="inlineStr">
        <is>
          <t>紧凑-高度紧凑</t>
        </is>
      </c>
      <c r="V606" s="2" t="inlineStr">
        <is>
          <t>紧凑-极度紧凑</t>
        </is>
      </c>
    </row>
    <row r="607">
      <c r="A607" s="1" t="n">
        <v>2024174</v>
      </c>
      <c r="B607" s="3" t="inlineStr">
        <is>
          <t>191</t>
        </is>
      </c>
      <c r="C607" s="2">
        <f>IF(B607="","",LEFT(TEXT(B607,"000"),1)*1)</f>
        <v/>
      </c>
      <c r="D607" s="2">
        <f>IF(B607="","",MID(TEXT(B607,"000"),2,1)*1)</f>
        <v/>
      </c>
      <c r="E607" s="2">
        <f>IF(B607="","",RIGHT(TEXT(B607,"000"),1)*1)</f>
        <v/>
      </c>
      <c r="F607" s="2">
        <f>IF(B607="","",C607+D607+E607)</f>
        <v/>
      </c>
      <c r="G607" s="2">
        <f>IF(B607="","",MOD(F607,10))</f>
        <v/>
      </c>
      <c r="H607" s="2">
        <f>IF(B607="","",MAX(C607,D607,E607)-MIN(C607,D607,E607))</f>
        <v/>
      </c>
      <c r="I607" s="2">
        <f>IF(OR(B607="",H607=0),IF(H607=0,0.1,""),ROUND(F607/H607,2))</f>
        <v/>
      </c>
      <c r="J607" s="2">
        <f>IF(I607=0.1,"极紧凑",IF(I607&gt;3.5,"紧凑",IF(AND(I607&gt;=2,I607&lt;=3.5),"标准",IF(AND(I607&gt;=1,I607&lt;2),"松散",""))))</f>
        <v/>
      </c>
      <c r="K607" s="2">
        <f>IF(I607=0.1,"极紧凑-豹子号",IF(AND(I607&gt;=1,I607&lt;=1.29),"松散-极松散",IF(AND(I607&gt;=1.33,I607&lt;=1.8),"松散-标准松散",IF(AND(I607&gt;=1.83,I607&lt;=1.89),"松散-偏紧松散",IF(AND(I607&gt;=2,I607&lt;=2.5),"标准-偏松标准",IF(AND(I607&gt;=2.57,I607&lt;=3),"标准-核心标准",IF(AND(I607&gt;=3.17,I607&lt;=3.5),"标准-偏紧标准",IF(AND(I607&gt;=3.6,I607&lt;=5),"紧凑-标准紧凑",IF(AND(I607&gt;=5.25,I607&lt;=8),"紧凑-高度紧凑",IF(I607&gt;=8.5,"紧凑-极度紧凑",""))))))))))</f>
        <v/>
      </c>
      <c r="L607" s="2">
        <f>IF(I607=0.1,"极紧凑",IF(AND(I607&gt;=1,I607&lt;=1.89),"松散",IF(AND(I607&gt;=2,I607&lt;=3.5),"标准",IF(I607&gt;=3.6,"紧凑",""))))</f>
        <v/>
      </c>
      <c r="M607" s="2" t="inlineStr">
        <is>
          <t>极紧凑-豹子号</t>
        </is>
      </c>
      <c r="N607" s="2" t="inlineStr">
        <is>
          <t>松散-极松散</t>
        </is>
      </c>
      <c r="O607" s="2" t="inlineStr">
        <is>
          <t>松散-标准松散</t>
        </is>
      </c>
      <c r="P607" s="2" t="inlineStr">
        <is>
          <t>松散-偏紧松散</t>
        </is>
      </c>
      <c r="Q607" s="2" t="inlineStr">
        <is>
          <t>标准-偏松标准</t>
        </is>
      </c>
      <c r="R607" s="2" t="inlineStr">
        <is>
          <t>标准-核心标准</t>
        </is>
      </c>
      <c r="S607" s="2" t="inlineStr">
        <is>
          <t>标准-偏紧标准</t>
        </is>
      </c>
      <c r="T607" s="2" t="inlineStr">
        <is>
          <t>紧凑-标准紧凑</t>
        </is>
      </c>
      <c r="U607" s="2" t="inlineStr">
        <is>
          <t>紧凑-高度紧凑</t>
        </is>
      </c>
      <c r="V607" s="2" t="inlineStr">
        <is>
          <t>紧凑-极度紧凑</t>
        </is>
      </c>
    </row>
    <row r="608">
      <c r="A608" s="1" t="n">
        <v>2024175</v>
      </c>
      <c r="B608" s="3" t="inlineStr">
        <is>
          <t>195</t>
        </is>
      </c>
      <c r="C608" s="2">
        <f>IF(B608="","",LEFT(TEXT(B608,"000"),1)*1)</f>
        <v/>
      </c>
      <c r="D608" s="2">
        <f>IF(B608="","",MID(TEXT(B608,"000"),2,1)*1)</f>
        <v/>
      </c>
      <c r="E608" s="2">
        <f>IF(B608="","",RIGHT(TEXT(B608,"000"),1)*1)</f>
        <v/>
      </c>
      <c r="F608" s="2">
        <f>IF(B608="","",C608+D608+E608)</f>
        <v/>
      </c>
      <c r="G608" s="2">
        <f>IF(B608="","",MOD(F608,10))</f>
        <v/>
      </c>
      <c r="H608" s="2">
        <f>IF(B608="","",MAX(C608,D608,E608)-MIN(C608,D608,E608))</f>
        <v/>
      </c>
      <c r="I608" s="2">
        <f>IF(OR(B608="",H608=0),IF(H608=0,0.1,""),ROUND(F608/H608,2))</f>
        <v/>
      </c>
      <c r="J608" s="2">
        <f>IF(I608=0.1,"极紧凑",IF(I608&gt;3.5,"紧凑",IF(AND(I608&gt;=2,I608&lt;=3.5),"标准",IF(AND(I608&gt;=1,I608&lt;2),"松散",""))))</f>
        <v/>
      </c>
      <c r="K608" s="2">
        <f>IF(I608=0.1,"极紧凑-豹子号",IF(AND(I608&gt;=1,I608&lt;=1.29),"松散-极松散",IF(AND(I608&gt;=1.33,I608&lt;=1.8),"松散-标准松散",IF(AND(I608&gt;=1.83,I608&lt;=1.89),"松散-偏紧松散",IF(AND(I608&gt;=2,I608&lt;=2.5),"标准-偏松标准",IF(AND(I608&gt;=2.57,I608&lt;=3),"标准-核心标准",IF(AND(I608&gt;=3.17,I608&lt;=3.5),"标准-偏紧标准",IF(AND(I608&gt;=3.6,I608&lt;=5),"紧凑-标准紧凑",IF(AND(I608&gt;=5.25,I608&lt;=8),"紧凑-高度紧凑",IF(I608&gt;=8.5,"紧凑-极度紧凑",""))))))))))</f>
        <v/>
      </c>
      <c r="L608" s="2">
        <f>IF(I608=0.1,"极紧凑",IF(AND(I608&gt;=1,I608&lt;=1.89),"松散",IF(AND(I608&gt;=2,I608&lt;=3.5),"标准",IF(I608&gt;=3.6,"紧凑",""))))</f>
        <v/>
      </c>
      <c r="M608" s="2" t="inlineStr">
        <is>
          <t>极紧凑-豹子号</t>
        </is>
      </c>
      <c r="N608" s="2" t="inlineStr">
        <is>
          <t>松散-极松散</t>
        </is>
      </c>
      <c r="O608" s="2" t="inlineStr">
        <is>
          <t>松散-标准松散</t>
        </is>
      </c>
      <c r="P608" s="2" t="inlineStr">
        <is>
          <t>松散-偏紧松散</t>
        </is>
      </c>
      <c r="Q608" s="2" t="inlineStr">
        <is>
          <t>标准-偏松标准</t>
        </is>
      </c>
      <c r="R608" s="2" t="inlineStr">
        <is>
          <t>标准-核心标准</t>
        </is>
      </c>
      <c r="S608" s="2" t="inlineStr">
        <is>
          <t>标准-偏紧标准</t>
        </is>
      </c>
      <c r="T608" s="2" t="inlineStr">
        <is>
          <t>紧凑-标准紧凑</t>
        </is>
      </c>
      <c r="U608" s="2" t="inlineStr">
        <is>
          <t>紧凑-高度紧凑</t>
        </is>
      </c>
      <c r="V608" s="2" t="inlineStr">
        <is>
          <t>紧凑-极度紧凑</t>
        </is>
      </c>
    </row>
    <row r="609">
      <c r="A609" s="1" t="n">
        <v>2024176</v>
      </c>
      <c r="B609" s="3" t="inlineStr">
        <is>
          <t>932</t>
        </is>
      </c>
      <c r="C609" s="2">
        <f>IF(B609="","",LEFT(TEXT(B609,"000"),1)*1)</f>
        <v/>
      </c>
      <c r="D609" s="2">
        <f>IF(B609="","",MID(TEXT(B609,"000"),2,1)*1)</f>
        <v/>
      </c>
      <c r="E609" s="2">
        <f>IF(B609="","",RIGHT(TEXT(B609,"000"),1)*1)</f>
        <v/>
      </c>
      <c r="F609" s="2">
        <f>IF(B609="","",C609+D609+E609)</f>
        <v/>
      </c>
      <c r="G609" s="2">
        <f>IF(B609="","",MOD(F609,10))</f>
        <v/>
      </c>
      <c r="H609" s="2">
        <f>IF(B609="","",MAX(C609,D609,E609)-MIN(C609,D609,E609))</f>
        <v/>
      </c>
      <c r="I609" s="2">
        <f>IF(OR(B609="",H609=0),IF(H609=0,0.1,""),ROUND(F609/H609,2))</f>
        <v/>
      </c>
      <c r="J609" s="2">
        <f>IF(I609=0.1,"极紧凑",IF(I609&gt;3.5,"紧凑",IF(AND(I609&gt;=2,I609&lt;=3.5),"标准",IF(AND(I609&gt;=1,I609&lt;2),"松散",""))))</f>
        <v/>
      </c>
      <c r="K609" s="2">
        <f>IF(I609=0.1,"极紧凑-豹子号",IF(AND(I609&gt;=1,I609&lt;=1.29),"松散-极松散",IF(AND(I609&gt;=1.33,I609&lt;=1.8),"松散-标准松散",IF(AND(I609&gt;=1.83,I609&lt;=1.89),"松散-偏紧松散",IF(AND(I609&gt;=2,I609&lt;=2.5),"标准-偏松标准",IF(AND(I609&gt;=2.57,I609&lt;=3),"标准-核心标准",IF(AND(I609&gt;=3.17,I609&lt;=3.5),"标准-偏紧标准",IF(AND(I609&gt;=3.6,I609&lt;=5),"紧凑-标准紧凑",IF(AND(I609&gt;=5.25,I609&lt;=8),"紧凑-高度紧凑",IF(I609&gt;=8.5,"紧凑-极度紧凑",""))))))))))</f>
        <v/>
      </c>
      <c r="L609" s="2">
        <f>IF(I609=0.1,"极紧凑",IF(AND(I609&gt;=1,I609&lt;=1.89),"松散",IF(AND(I609&gt;=2,I609&lt;=3.5),"标准",IF(I609&gt;=3.6,"紧凑",""))))</f>
        <v/>
      </c>
      <c r="M609" s="2" t="inlineStr">
        <is>
          <t>极紧凑-豹子号</t>
        </is>
      </c>
      <c r="N609" s="2" t="inlineStr">
        <is>
          <t>松散-极松散</t>
        </is>
      </c>
      <c r="O609" s="2" t="inlineStr">
        <is>
          <t>松散-标准松散</t>
        </is>
      </c>
      <c r="P609" s="2" t="inlineStr">
        <is>
          <t>松散-偏紧松散</t>
        </is>
      </c>
      <c r="Q609" s="2" t="inlineStr">
        <is>
          <t>标准-偏松标准</t>
        </is>
      </c>
      <c r="R609" s="2" t="inlineStr">
        <is>
          <t>标准-核心标准</t>
        </is>
      </c>
      <c r="S609" s="2" t="inlineStr">
        <is>
          <t>标准-偏紧标准</t>
        </is>
      </c>
      <c r="T609" s="2" t="inlineStr">
        <is>
          <t>紧凑-标准紧凑</t>
        </is>
      </c>
      <c r="U609" s="2" t="inlineStr">
        <is>
          <t>紧凑-高度紧凑</t>
        </is>
      </c>
      <c r="V609" s="2" t="inlineStr">
        <is>
          <t>紧凑-极度紧凑</t>
        </is>
      </c>
    </row>
    <row r="610">
      <c r="A610" s="1" t="n">
        <v>2024177</v>
      </c>
      <c r="B610" s="3" t="inlineStr">
        <is>
          <t>579</t>
        </is>
      </c>
      <c r="C610" s="2">
        <f>IF(B610="","",LEFT(TEXT(B610,"000"),1)*1)</f>
        <v/>
      </c>
      <c r="D610" s="2">
        <f>IF(B610="","",MID(TEXT(B610,"000"),2,1)*1)</f>
        <v/>
      </c>
      <c r="E610" s="2">
        <f>IF(B610="","",RIGHT(TEXT(B610,"000"),1)*1)</f>
        <v/>
      </c>
      <c r="F610" s="2">
        <f>IF(B610="","",C610+D610+E610)</f>
        <v/>
      </c>
      <c r="G610" s="2">
        <f>IF(B610="","",MOD(F610,10))</f>
        <v/>
      </c>
      <c r="H610" s="2">
        <f>IF(B610="","",MAX(C610,D610,E610)-MIN(C610,D610,E610))</f>
        <v/>
      </c>
      <c r="I610" s="2">
        <f>IF(OR(B610="",H610=0),IF(H610=0,0.1,""),ROUND(F610/H610,2))</f>
        <v/>
      </c>
      <c r="J610" s="2">
        <f>IF(I610=0.1,"极紧凑",IF(I610&gt;3.5,"紧凑",IF(AND(I610&gt;=2,I610&lt;=3.5),"标准",IF(AND(I610&gt;=1,I610&lt;2),"松散",""))))</f>
        <v/>
      </c>
      <c r="K610" s="2">
        <f>IF(I610=0.1,"极紧凑-豹子号",IF(AND(I610&gt;=1,I610&lt;=1.29),"松散-极松散",IF(AND(I610&gt;=1.33,I610&lt;=1.8),"松散-标准松散",IF(AND(I610&gt;=1.83,I610&lt;=1.89),"松散-偏紧松散",IF(AND(I610&gt;=2,I610&lt;=2.5),"标准-偏松标准",IF(AND(I610&gt;=2.57,I610&lt;=3),"标准-核心标准",IF(AND(I610&gt;=3.17,I610&lt;=3.5),"标准-偏紧标准",IF(AND(I610&gt;=3.6,I610&lt;=5),"紧凑-标准紧凑",IF(AND(I610&gt;=5.25,I610&lt;=8),"紧凑-高度紧凑",IF(I610&gt;=8.5,"紧凑-极度紧凑",""))))))))))</f>
        <v/>
      </c>
      <c r="L610" s="2">
        <f>IF(I610=0.1,"极紧凑",IF(AND(I610&gt;=1,I610&lt;=1.89),"松散",IF(AND(I610&gt;=2,I610&lt;=3.5),"标准",IF(I610&gt;=3.6,"紧凑",""))))</f>
        <v/>
      </c>
      <c r="M610" s="2" t="inlineStr">
        <is>
          <t>极紧凑-豹子号</t>
        </is>
      </c>
      <c r="N610" s="2" t="inlineStr">
        <is>
          <t>松散-极松散</t>
        </is>
      </c>
      <c r="O610" s="2" t="inlineStr">
        <is>
          <t>松散-标准松散</t>
        </is>
      </c>
      <c r="P610" s="2" t="inlineStr">
        <is>
          <t>松散-偏紧松散</t>
        </is>
      </c>
      <c r="Q610" s="2" t="inlineStr">
        <is>
          <t>标准-偏松标准</t>
        </is>
      </c>
      <c r="R610" s="2" t="inlineStr">
        <is>
          <t>标准-核心标准</t>
        </is>
      </c>
      <c r="S610" s="2" t="inlineStr">
        <is>
          <t>标准-偏紧标准</t>
        </is>
      </c>
      <c r="T610" s="2" t="inlineStr">
        <is>
          <t>紧凑-标准紧凑</t>
        </is>
      </c>
      <c r="U610" s="2" t="inlineStr">
        <is>
          <t>紧凑-高度紧凑</t>
        </is>
      </c>
      <c r="V610" s="2" t="inlineStr">
        <is>
          <t>紧凑-极度紧凑</t>
        </is>
      </c>
    </row>
    <row r="611">
      <c r="A611" s="1" t="n">
        <v>2024178</v>
      </c>
      <c r="B611" s="3" t="inlineStr">
        <is>
          <t>663</t>
        </is>
      </c>
      <c r="C611" s="2">
        <f>IF(B611="","",LEFT(TEXT(B611,"000"),1)*1)</f>
        <v/>
      </c>
      <c r="D611" s="2">
        <f>IF(B611="","",MID(TEXT(B611,"000"),2,1)*1)</f>
        <v/>
      </c>
      <c r="E611" s="2">
        <f>IF(B611="","",RIGHT(TEXT(B611,"000"),1)*1)</f>
        <v/>
      </c>
      <c r="F611" s="2">
        <f>IF(B611="","",C611+D611+E611)</f>
        <v/>
      </c>
      <c r="G611" s="2">
        <f>IF(B611="","",MOD(F611,10))</f>
        <v/>
      </c>
      <c r="H611" s="2">
        <f>IF(B611="","",MAX(C611,D611,E611)-MIN(C611,D611,E611))</f>
        <v/>
      </c>
      <c r="I611" s="2">
        <f>IF(OR(B611="",H611=0),IF(H611=0,0.1,""),ROUND(F611/H611,2))</f>
        <v/>
      </c>
      <c r="J611" s="2">
        <f>IF(I611=0.1,"极紧凑",IF(I611&gt;3.5,"紧凑",IF(AND(I611&gt;=2,I611&lt;=3.5),"标准",IF(AND(I611&gt;=1,I611&lt;2),"松散",""))))</f>
        <v/>
      </c>
      <c r="K611" s="2">
        <f>IF(I611=0.1,"极紧凑-豹子号",IF(AND(I611&gt;=1,I611&lt;=1.29),"松散-极松散",IF(AND(I611&gt;=1.33,I611&lt;=1.8),"松散-标准松散",IF(AND(I611&gt;=1.83,I611&lt;=1.89),"松散-偏紧松散",IF(AND(I611&gt;=2,I611&lt;=2.5),"标准-偏松标准",IF(AND(I611&gt;=2.57,I611&lt;=3),"标准-核心标准",IF(AND(I611&gt;=3.17,I611&lt;=3.5),"标准-偏紧标准",IF(AND(I611&gt;=3.6,I611&lt;=5),"紧凑-标准紧凑",IF(AND(I611&gt;=5.25,I611&lt;=8),"紧凑-高度紧凑",IF(I611&gt;=8.5,"紧凑-极度紧凑",""))))))))))</f>
        <v/>
      </c>
      <c r="L611" s="2">
        <f>IF(I611=0.1,"极紧凑",IF(AND(I611&gt;=1,I611&lt;=1.89),"松散",IF(AND(I611&gt;=2,I611&lt;=3.5),"标准",IF(I611&gt;=3.6,"紧凑",""))))</f>
        <v/>
      </c>
      <c r="M611" s="2" t="inlineStr">
        <is>
          <t>极紧凑-豹子号</t>
        </is>
      </c>
      <c r="N611" s="2" t="inlineStr">
        <is>
          <t>松散-极松散</t>
        </is>
      </c>
      <c r="O611" s="2" t="inlineStr">
        <is>
          <t>松散-标准松散</t>
        </is>
      </c>
      <c r="P611" s="2" t="inlineStr">
        <is>
          <t>松散-偏紧松散</t>
        </is>
      </c>
      <c r="Q611" s="2" t="inlineStr">
        <is>
          <t>标准-偏松标准</t>
        </is>
      </c>
      <c r="R611" s="2" t="inlineStr">
        <is>
          <t>标准-核心标准</t>
        </is>
      </c>
      <c r="S611" s="2" t="inlineStr">
        <is>
          <t>标准-偏紧标准</t>
        </is>
      </c>
      <c r="T611" s="2" t="inlineStr">
        <is>
          <t>紧凑-标准紧凑</t>
        </is>
      </c>
      <c r="U611" s="2" t="inlineStr">
        <is>
          <t>紧凑-高度紧凑</t>
        </is>
      </c>
      <c r="V611" s="2" t="inlineStr">
        <is>
          <t>紧凑-极度紧凑</t>
        </is>
      </c>
    </row>
    <row r="612">
      <c r="A612" s="1" t="n">
        <v>2024179</v>
      </c>
      <c r="B612" s="3" t="inlineStr">
        <is>
          <t>535</t>
        </is>
      </c>
      <c r="C612" s="2">
        <f>IF(B612="","",LEFT(TEXT(B612,"000"),1)*1)</f>
        <v/>
      </c>
      <c r="D612" s="2">
        <f>IF(B612="","",MID(TEXT(B612,"000"),2,1)*1)</f>
        <v/>
      </c>
      <c r="E612" s="2">
        <f>IF(B612="","",RIGHT(TEXT(B612,"000"),1)*1)</f>
        <v/>
      </c>
      <c r="F612" s="2">
        <f>IF(B612="","",C612+D612+E612)</f>
        <v/>
      </c>
      <c r="G612" s="2">
        <f>IF(B612="","",MOD(F612,10))</f>
        <v/>
      </c>
      <c r="H612" s="2">
        <f>IF(B612="","",MAX(C612,D612,E612)-MIN(C612,D612,E612))</f>
        <v/>
      </c>
      <c r="I612" s="2">
        <f>IF(OR(B612="",H612=0),IF(H612=0,0.1,""),ROUND(F612/H612,2))</f>
        <v/>
      </c>
      <c r="J612" s="2">
        <f>IF(I612=0.1,"极紧凑",IF(I612&gt;3.5,"紧凑",IF(AND(I612&gt;=2,I612&lt;=3.5),"标准",IF(AND(I612&gt;=1,I612&lt;2),"松散",""))))</f>
        <v/>
      </c>
      <c r="K612" s="2">
        <f>IF(I612=0.1,"极紧凑-豹子号",IF(AND(I612&gt;=1,I612&lt;=1.29),"松散-极松散",IF(AND(I612&gt;=1.33,I612&lt;=1.8),"松散-标准松散",IF(AND(I612&gt;=1.83,I612&lt;=1.89),"松散-偏紧松散",IF(AND(I612&gt;=2,I612&lt;=2.5),"标准-偏松标准",IF(AND(I612&gt;=2.57,I612&lt;=3),"标准-核心标准",IF(AND(I612&gt;=3.17,I612&lt;=3.5),"标准-偏紧标准",IF(AND(I612&gt;=3.6,I612&lt;=5),"紧凑-标准紧凑",IF(AND(I612&gt;=5.25,I612&lt;=8),"紧凑-高度紧凑",IF(I612&gt;=8.5,"紧凑-极度紧凑",""))))))))))</f>
        <v/>
      </c>
      <c r="L612" s="2">
        <f>IF(I612=0.1,"极紧凑",IF(AND(I612&gt;=1,I612&lt;=1.89),"松散",IF(AND(I612&gt;=2,I612&lt;=3.5),"标准",IF(I612&gt;=3.6,"紧凑",""))))</f>
        <v/>
      </c>
      <c r="M612" s="2" t="inlineStr">
        <is>
          <t>极紧凑-豹子号</t>
        </is>
      </c>
      <c r="N612" s="2" t="inlineStr">
        <is>
          <t>松散-极松散</t>
        </is>
      </c>
      <c r="O612" s="2" t="inlineStr">
        <is>
          <t>松散-标准松散</t>
        </is>
      </c>
      <c r="P612" s="2" t="inlineStr">
        <is>
          <t>松散-偏紧松散</t>
        </is>
      </c>
      <c r="Q612" s="2" t="inlineStr">
        <is>
          <t>标准-偏松标准</t>
        </is>
      </c>
      <c r="R612" s="2" t="inlineStr">
        <is>
          <t>标准-核心标准</t>
        </is>
      </c>
      <c r="S612" s="2" t="inlineStr">
        <is>
          <t>标准-偏紧标准</t>
        </is>
      </c>
      <c r="T612" s="2" t="inlineStr">
        <is>
          <t>紧凑-标准紧凑</t>
        </is>
      </c>
      <c r="U612" s="2" t="inlineStr">
        <is>
          <t>紧凑-高度紧凑</t>
        </is>
      </c>
      <c r="V612" s="2" t="inlineStr">
        <is>
          <t>紧凑-极度紧凑</t>
        </is>
      </c>
    </row>
    <row r="613">
      <c r="A613" s="1" t="n">
        <v>2024180</v>
      </c>
      <c r="B613" s="3" t="inlineStr">
        <is>
          <t>215</t>
        </is>
      </c>
      <c r="C613" s="2">
        <f>IF(B613="","",LEFT(TEXT(B613,"000"),1)*1)</f>
        <v/>
      </c>
      <c r="D613" s="2">
        <f>IF(B613="","",MID(TEXT(B613,"000"),2,1)*1)</f>
        <v/>
      </c>
      <c r="E613" s="2">
        <f>IF(B613="","",RIGHT(TEXT(B613,"000"),1)*1)</f>
        <v/>
      </c>
      <c r="F613" s="2">
        <f>IF(B613="","",C613+D613+E613)</f>
        <v/>
      </c>
      <c r="G613" s="2">
        <f>IF(B613="","",MOD(F613,10))</f>
        <v/>
      </c>
      <c r="H613" s="2">
        <f>IF(B613="","",MAX(C613,D613,E613)-MIN(C613,D613,E613))</f>
        <v/>
      </c>
      <c r="I613" s="2">
        <f>IF(OR(B613="",H613=0),IF(H613=0,0.1,""),ROUND(F613/H613,2))</f>
        <v/>
      </c>
      <c r="J613" s="2">
        <f>IF(I613=0.1,"极紧凑",IF(I613&gt;3.5,"紧凑",IF(AND(I613&gt;=2,I613&lt;=3.5),"标准",IF(AND(I613&gt;=1,I613&lt;2),"松散",""))))</f>
        <v/>
      </c>
      <c r="K613" s="2">
        <f>IF(I613=0.1,"极紧凑-豹子号",IF(AND(I613&gt;=1,I613&lt;=1.29),"松散-极松散",IF(AND(I613&gt;=1.33,I613&lt;=1.8),"松散-标准松散",IF(AND(I613&gt;=1.83,I613&lt;=1.89),"松散-偏紧松散",IF(AND(I613&gt;=2,I613&lt;=2.5),"标准-偏松标准",IF(AND(I613&gt;=2.57,I613&lt;=3),"标准-核心标准",IF(AND(I613&gt;=3.17,I613&lt;=3.5),"标准-偏紧标准",IF(AND(I613&gt;=3.6,I613&lt;=5),"紧凑-标准紧凑",IF(AND(I613&gt;=5.25,I613&lt;=8),"紧凑-高度紧凑",IF(I613&gt;=8.5,"紧凑-极度紧凑",""))))))))))</f>
        <v/>
      </c>
      <c r="L613" s="2">
        <f>IF(I613=0.1,"极紧凑",IF(AND(I613&gt;=1,I613&lt;=1.89),"松散",IF(AND(I613&gt;=2,I613&lt;=3.5),"标准",IF(I613&gt;=3.6,"紧凑",""))))</f>
        <v/>
      </c>
      <c r="M613" s="2" t="inlineStr">
        <is>
          <t>极紧凑-豹子号</t>
        </is>
      </c>
      <c r="N613" s="2" t="inlineStr">
        <is>
          <t>松散-极松散</t>
        </is>
      </c>
      <c r="O613" s="2" t="inlineStr">
        <is>
          <t>松散-标准松散</t>
        </is>
      </c>
      <c r="P613" s="2" t="inlineStr">
        <is>
          <t>松散-偏紧松散</t>
        </is>
      </c>
      <c r="Q613" s="2" t="inlineStr">
        <is>
          <t>标准-偏松标准</t>
        </is>
      </c>
      <c r="R613" s="2" t="inlineStr">
        <is>
          <t>标准-核心标准</t>
        </is>
      </c>
      <c r="S613" s="2" t="inlineStr">
        <is>
          <t>标准-偏紧标准</t>
        </is>
      </c>
      <c r="T613" s="2" t="inlineStr">
        <is>
          <t>紧凑-标准紧凑</t>
        </is>
      </c>
      <c r="U613" s="2" t="inlineStr">
        <is>
          <t>紧凑-高度紧凑</t>
        </is>
      </c>
      <c r="V613" s="2" t="inlineStr">
        <is>
          <t>紧凑-极度紧凑</t>
        </is>
      </c>
    </row>
    <row r="614">
      <c r="A614" s="1" t="n">
        <v>2024181</v>
      </c>
      <c r="B614" s="3" t="inlineStr">
        <is>
          <t>323</t>
        </is>
      </c>
      <c r="C614" s="2">
        <f>IF(B614="","",LEFT(TEXT(B614,"000"),1)*1)</f>
        <v/>
      </c>
      <c r="D614" s="2">
        <f>IF(B614="","",MID(TEXT(B614,"000"),2,1)*1)</f>
        <v/>
      </c>
      <c r="E614" s="2">
        <f>IF(B614="","",RIGHT(TEXT(B614,"000"),1)*1)</f>
        <v/>
      </c>
      <c r="F614" s="2">
        <f>IF(B614="","",C614+D614+E614)</f>
        <v/>
      </c>
      <c r="G614" s="2">
        <f>IF(B614="","",MOD(F614,10))</f>
        <v/>
      </c>
      <c r="H614" s="2">
        <f>IF(B614="","",MAX(C614,D614,E614)-MIN(C614,D614,E614))</f>
        <v/>
      </c>
      <c r="I614" s="2">
        <f>IF(OR(B614="",H614=0),IF(H614=0,0.1,""),ROUND(F614/H614,2))</f>
        <v/>
      </c>
      <c r="J614" s="2">
        <f>IF(I614=0.1,"极紧凑",IF(I614&gt;3.5,"紧凑",IF(AND(I614&gt;=2,I614&lt;=3.5),"标准",IF(AND(I614&gt;=1,I614&lt;2),"松散",""))))</f>
        <v/>
      </c>
      <c r="K614" s="2">
        <f>IF(I614=0.1,"极紧凑-豹子号",IF(AND(I614&gt;=1,I614&lt;=1.29),"松散-极松散",IF(AND(I614&gt;=1.33,I614&lt;=1.8),"松散-标准松散",IF(AND(I614&gt;=1.83,I614&lt;=1.89),"松散-偏紧松散",IF(AND(I614&gt;=2,I614&lt;=2.5),"标准-偏松标准",IF(AND(I614&gt;=2.57,I614&lt;=3),"标准-核心标准",IF(AND(I614&gt;=3.17,I614&lt;=3.5),"标准-偏紧标准",IF(AND(I614&gt;=3.6,I614&lt;=5),"紧凑-标准紧凑",IF(AND(I614&gt;=5.25,I614&lt;=8),"紧凑-高度紧凑",IF(I614&gt;=8.5,"紧凑-极度紧凑",""))))))))))</f>
        <v/>
      </c>
      <c r="L614" s="2">
        <f>IF(I614=0.1,"极紧凑",IF(AND(I614&gt;=1,I614&lt;=1.89),"松散",IF(AND(I614&gt;=2,I614&lt;=3.5),"标准",IF(I614&gt;=3.6,"紧凑",""))))</f>
        <v/>
      </c>
      <c r="M614" s="2" t="inlineStr">
        <is>
          <t>极紧凑-豹子号</t>
        </is>
      </c>
      <c r="N614" s="2" t="inlineStr">
        <is>
          <t>松散-极松散</t>
        </is>
      </c>
      <c r="O614" s="2" t="inlineStr">
        <is>
          <t>松散-标准松散</t>
        </is>
      </c>
      <c r="P614" s="2" t="inlineStr">
        <is>
          <t>松散-偏紧松散</t>
        </is>
      </c>
      <c r="Q614" s="2" t="inlineStr">
        <is>
          <t>标准-偏松标准</t>
        </is>
      </c>
      <c r="R614" s="2" t="inlineStr">
        <is>
          <t>标准-核心标准</t>
        </is>
      </c>
      <c r="S614" s="2" t="inlineStr">
        <is>
          <t>标准-偏紧标准</t>
        </is>
      </c>
      <c r="T614" s="2" t="inlineStr">
        <is>
          <t>紧凑-标准紧凑</t>
        </is>
      </c>
      <c r="U614" s="2" t="inlineStr">
        <is>
          <t>紧凑-高度紧凑</t>
        </is>
      </c>
      <c r="V614" s="2" t="inlineStr">
        <is>
          <t>紧凑-极度紧凑</t>
        </is>
      </c>
    </row>
    <row r="615">
      <c r="A615" s="1" t="n">
        <v>2024182</v>
      </c>
      <c r="B615" s="3" t="inlineStr">
        <is>
          <t>282</t>
        </is>
      </c>
      <c r="C615" s="2">
        <f>IF(B615="","",LEFT(TEXT(B615,"000"),1)*1)</f>
        <v/>
      </c>
      <c r="D615" s="2">
        <f>IF(B615="","",MID(TEXT(B615,"000"),2,1)*1)</f>
        <v/>
      </c>
      <c r="E615" s="2">
        <f>IF(B615="","",RIGHT(TEXT(B615,"000"),1)*1)</f>
        <v/>
      </c>
      <c r="F615" s="2">
        <f>IF(B615="","",C615+D615+E615)</f>
        <v/>
      </c>
      <c r="G615" s="2">
        <f>IF(B615="","",MOD(F615,10))</f>
        <v/>
      </c>
      <c r="H615" s="2">
        <f>IF(B615="","",MAX(C615,D615,E615)-MIN(C615,D615,E615))</f>
        <v/>
      </c>
      <c r="I615" s="2">
        <f>IF(OR(B615="",H615=0),IF(H615=0,0.1,""),ROUND(F615/H615,2))</f>
        <v/>
      </c>
      <c r="J615" s="2">
        <f>IF(I615=0.1,"极紧凑",IF(I615&gt;3.5,"紧凑",IF(AND(I615&gt;=2,I615&lt;=3.5),"标准",IF(AND(I615&gt;=1,I615&lt;2),"松散",""))))</f>
        <v/>
      </c>
      <c r="K615" s="2">
        <f>IF(I615=0.1,"极紧凑-豹子号",IF(AND(I615&gt;=1,I615&lt;=1.29),"松散-极松散",IF(AND(I615&gt;=1.33,I615&lt;=1.8),"松散-标准松散",IF(AND(I615&gt;=1.83,I615&lt;=1.89),"松散-偏紧松散",IF(AND(I615&gt;=2,I615&lt;=2.5),"标准-偏松标准",IF(AND(I615&gt;=2.57,I615&lt;=3),"标准-核心标准",IF(AND(I615&gt;=3.17,I615&lt;=3.5),"标准-偏紧标准",IF(AND(I615&gt;=3.6,I615&lt;=5),"紧凑-标准紧凑",IF(AND(I615&gt;=5.25,I615&lt;=8),"紧凑-高度紧凑",IF(I615&gt;=8.5,"紧凑-极度紧凑",""))))))))))</f>
        <v/>
      </c>
      <c r="L615" s="2">
        <f>IF(I615=0.1,"极紧凑",IF(AND(I615&gt;=1,I615&lt;=1.89),"松散",IF(AND(I615&gt;=2,I615&lt;=3.5),"标准",IF(I615&gt;=3.6,"紧凑",""))))</f>
        <v/>
      </c>
      <c r="M615" s="2" t="inlineStr">
        <is>
          <t>极紧凑-豹子号</t>
        </is>
      </c>
      <c r="N615" s="2" t="inlineStr">
        <is>
          <t>松散-极松散</t>
        </is>
      </c>
      <c r="O615" s="2" t="inlineStr">
        <is>
          <t>松散-标准松散</t>
        </is>
      </c>
      <c r="P615" s="2" t="inlineStr">
        <is>
          <t>松散-偏紧松散</t>
        </is>
      </c>
      <c r="Q615" s="2" t="inlineStr">
        <is>
          <t>标准-偏松标准</t>
        </is>
      </c>
      <c r="R615" s="2" t="inlineStr">
        <is>
          <t>标准-核心标准</t>
        </is>
      </c>
      <c r="S615" s="2" t="inlineStr">
        <is>
          <t>标准-偏紧标准</t>
        </is>
      </c>
      <c r="T615" s="2" t="inlineStr">
        <is>
          <t>紧凑-标准紧凑</t>
        </is>
      </c>
      <c r="U615" s="2" t="inlineStr">
        <is>
          <t>紧凑-高度紧凑</t>
        </is>
      </c>
      <c r="V615" s="2" t="inlineStr">
        <is>
          <t>紧凑-极度紧凑</t>
        </is>
      </c>
    </row>
    <row r="616">
      <c r="A616" s="1" t="n">
        <v>2024183</v>
      </c>
      <c r="B616" s="3" t="inlineStr">
        <is>
          <t>500</t>
        </is>
      </c>
      <c r="C616" s="2">
        <f>IF(B616="","",LEFT(TEXT(B616,"000"),1)*1)</f>
        <v/>
      </c>
      <c r="D616" s="2">
        <f>IF(B616="","",MID(TEXT(B616,"000"),2,1)*1)</f>
        <v/>
      </c>
      <c r="E616" s="2">
        <f>IF(B616="","",RIGHT(TEXT(B616,"000"),1)*1)</f>
        <v/>
      </c>
      <c r="F616" s="2">
        <f>IF(B616="","",C616+D616+E616)</f>
        <v/>
      </c>
      <c r="G616" s="2">
        <f>IF(B616="","",MOD(F616,10))</f>
        <v/>
      </c>
      <c r="H616" s="2">
        <f>IF(B616="","",MAX(C616,D616,E616)-MIN(C616,D616,E616))</f>
        <v/>
      </c>
      <c r="I616" s="2">
        <f>IF(OR(B616="",H616=0),IF(H616=0,0.1,""),ROUND(F616/H616,2))</f>
        <v/>
      </c>
      <c r="J616" s="2">
        <f>IF(I616=0.1,"极紧凑",IF(I616&gt;3.5,"紧凑",IF(AND(I616&gt;=2,I616&lt;=3.5),"标准",IF(AND(I616&gt;=1,I616&lt;2),"松散",""))))</f>
        <v/>
      </c>
      <c r="K616" s="2">
        <f>IF(I616=0.1,"极紧凑-豹子号",IF(AND(I616&gt;=1,I616&lt;=1.29),"松散-极松散",IF(AND(I616&gt;=1.33,I616&lt;=1.8),"松散-标准松散",IF(AND(I616&gt;=1.83,I616&lt;=1.89),"松散-偏紧松散",IF(AND(I616&gt;=2,I616&lt;=2.5),"标准-偏松标准",IF(AND(I616&gt;=2.57,I616&lt;=3),"标准-核心标准",IF(AND(I616&gt;=3.17,I616&lt;=3.5),"标准-偏紧标准",IF(AND(I616&gt;=3.6,I616&lt;=5),"紧凑-标准紧凑",IF(AND(I616&gt;=5.25,I616&lt;=8),"紧凑-高度紧凑",IF(I616&gt;=8.5,"紧凑-极度紧凑",""))))))))))</f>
        <v/>
      </c>
      <c r="L616" s="2">
        <f>IF(I616=0.1,"极紧凑",IF(AND(I616&gt;=1,I616&lt;=1.89),"松散",IF(AND(I616&gt;=2,I616&lt;=3.5),"标准",IF(I616&gt;=3.6,"紧凑",""))))</f>
        <v/>
      </c>
      <c r="M616" s="2" t="inlineStr">
        <is>
          <t>极紧凑-豹子号</t>
        </is>
      </c>
      <c r="N616" s="2" t="inlineStr">
        <is>
          <t>松散-极松散</t>
        </is>
      </c>
      <c r="O616" s="2" t="inlineStr">
        <is>
          <t>松散-标准松散</t>
        </is>
      </c>
      <c r="P616" s="2" t="inlineStr">
        <is>
          <t>松散-偏紧松散</t>
        </is>
      </c>
      <c r="Q616" s="2" t="inlineStr">
        <is>
          <t>标准-偏松标准</t>
        </is>
      </c>
      <c r="R616" s="2" t="inlineStr">
        <is>
          <t>标准-核心标准</t>
        </is>
      </c>
      <c r="S616" s="2" t="inlineStr">
        <is>
          <t>标准-偏紧标准</t>
        </is>
      </c>
      <c r="T616" s="2" t="inlineStr">
        <is>
          <t>紧凑-标准紧凑</t>
        </is>
      </c>
      <c r="U616" s="2" t="inlineStr">
        <is>
          <t>紧凑-高度紧凑</t>
        </is>
      </c>
      <c r="V616" s="2" t="inlineStr">
        <is>
          <t>紧凑-极度紧凑</t>
        </is>
      </c>
    </row>
    <row r="617">
      <c r="A617" s="1" t="n">
        <v>2024184</v>
      </c>
      <c r="B617" s="3" t="inlineStr">
        <is>
          <t>730</t>
        </is>
      </c>
      <c r="C617" s="2">
        <f>IF(B617="","",LEFT(TEXT(B617,"000"),1)*1)</f>
        <v/>
      </c>
      <c r="D617" s="2">
        <f>IF(B617="","",MID(TEXT(B617,"000"),2,1)*1)</f>
        <v/>
      </c>
      <c r="E617" s="2">
        <f>IF(B617="","",RIGHT(TEXT(B617,"000"),1)*1)</f>
        <v/>
      </c>
      <c r="F617" s="2">
        <f>IF(B617="","",C617+D617+E617)</f>
        <v/>
      </c>
      <c r="G617" s="2">
        <f>IF(B617="","",MOD(F617,10))</f>
        <v/>
      </c>
      <c r="H617" s="2">
        <f>IF(B617="","",MAX(C617,D617,E617)-MIN(C617,D617,E617))</f>
        <v/>
      </c>
      <c r="I617" s="2">
        <f>IF(OR(B617="",H617=0),IF(H617=0,0.1,""),ROUND(F617/H617,2))</f>
        <v/>
      </c>
      <c r="J617" s="2">
        <f>IF(I617=0.1,"极紧凑",IF(I617&gt;3.5,"紧凑",IF(AND(I617&gt;=2,I617&lt;=3.5),"标准",IF(AND(I617&gt;=1,I617&lt;2),"松散",""))))</f>
        <v/>
      </c>
      <c r="K617" s="2">
        <f>IF(I617=0.1,"极紧凑-豹子号",IF(AND(I617&gt;=1,I617&lt;=1.29),"松散-极松散",IF(AND(I617&gt;=1.33,I617&lt;=1.8),"松散-标准松散",IF(AND(I617&gt;=1.83,I617&lt;=1.89),"松散-偏紧松散",IF(AND(I617&gt;=2,I617&lt;=2.5),"标准-偏松标准",IF(AND(I617&gt;=2.57,I617&lt;=3),"标准-核心标准",IF(AND(I617&gt;=3.17,I617&lt;=3.5),"标准-偏紧标准",IF(AND(I617&gt;=3.6,I617&lt;=5),"紧凑-标准紧凑",IF(AND(I617&gt;=5.25,I617&lt;=8),"紧凑-高度紧凑",IF(I617&gt;=8.5,"紧凑-极度紧凑",""))))))))))</f>
        <v/>
      </c>
      <c r="L617" s="2">
        <f>IF(I617=0.1,"极紧凑",IF(AND(I617&gt;=1,I617&lt;=1.89),"松散",IF(AND(I617&gt;=2,I617&lt;=3.5),"标准",IF(I617&gt;=3.6,"紧凑",""))))</f>
        <v/>
      </c>
      <c r="M617" s="2" t="inlineStr">
        <is>
          <t>极紧凑-豹子号</t>
        </is>
      </c>
      <c r="N617" s="2" t="inlineStr">
        <is>
          <t>松散-极松散</t>
        </is>
      </c>
      <c r="O617" s="2" t="inlineStr">
        <is>
          <t>松散-标准松散</t>
        </is>
      </c>
      <c r="P617" s="2" t="inlineStr">
        <is>
          <t>松散-偏紧松散</t>
        </is>
      </c>
      <c r="Q617" s="2" t="inlineStr">
        <is>
          <t>标准-偏松标准</t>
        </is>
      </c>
      <c r="R617" s="2" t="inlineStr">
        <is>
          <t>标准-核心标准</t>
        </is>
      </c>
      <c r="S617" s="2" t="inlineStr">
        <is>
          <t>标准-偏紧标准</t>
        </is>
      </c>
      <c r="T617" s="2" t="inlineStr">
        <is>
          <t>紧凑-标准紧凑</t>
        </is>
      </c>
      <c r="U617" s="2" t="inlineStr">
        <is>
          <t>紧凑-高度紧凑</t>
        </is>
      </c>
      <c r="V617" s="2" t="inlineStr">
        <is>
          <t>紧凑-极度紧凑</t>
        </is>
      </c>
    </row>
    <row r="618">
      <c r="A618" s="1" t="n">
        <v>2024185</v>
      </c>
      <c r="B618" s="3" t="inlineStr">
        <is>
          <t>884</t>
        </is>
      </c>
      <c r="C618" s="2">
        <f>IF(B618="","",LEFT(TEXT(B618,"000"),1)*1)</f>
        <v/>
      </c>
      <c r="D618" s="2">
        <f>IF(B618="","",MID(TEXT(B618,"000"),2,1)*1)</f>
        <v/>
      </c>
      <c r="E618" s="2">
        <f>IF(B618="","",RIGHT(TEXT(B618,"000"),1)*1)</f>
        <v/>
      </c>
      <c r="F618" s="2">
        <f>IF(B618="","",C618+D618+E618)</f>
        <v/>
      </c>
      <c r="G618" s="2">
        <f>IF(B618="","",MOD(F618,10))</f>
        <v/>
      </c>
      <c r="H618" s="2">
        <f>IF(B618="","",MAX(C618,D618,E618)-MIN(C618,D618,E618))</f>
        <v/>
      </c>
      <c r="I618" s="2">
        <f>IF(OR(B618="",H618=0),IF(H618=0,0.1,""),ROUND(F618/H618,2))</f>
        <v/>
      </c>
      <c r="J618" s="2">
        <f>IF(I618=0.1,"极紧凑",IF(I618&gt;3.5,"紧凑",IF(AND(I618&gt;=2,I618&lt;=3.5),"标准",IF(AND(I618&gt;=1,I618&lt;2),"松散",""))))</f>
        <v/>
      </c>
      <c r="K618" s="2">
        <f>IF(I618=0.1,"极紧凑-豹子号",IF(AND(I618&gt;=1,I618&lt;=1.29),"松散-极松散",IF(AND(I618&gt;=1.33,I618&lt;=1.8),"松散-标准松散",IF(AND(I618&gt;=1.83,I618&lt;=1.89),"松散-偏紧松散",IF(AND(I618&gt;=2,I618&lt;=2.5),"标准-偏松标准",IF(AND(I618&gt;=2.57,I618&lt;=3),"标准-核心标准",IF(AND(I618&gt;=3.17,I618&lt;=3.5),"标准-偏紧标准",IF(AND(I618&gt;=3.6,I618&lt;=5),"紧凑-标准紧凑",IF(AND(I618&gt;=5.25,I618&lt;=8),"紧凑-高度紧凑",IF(I618&gt;=8.5,"紧凑-极度紧凑",""))))))))))</f>
        <v/>
      </c>
      <c r="L618" s="2">
        <f>IF(I618=0.1,"极紧凑",IF(AND(I618&gt;=1,I618&lt;=1.89),"松散",IF(AND(I618&gt;=2,I618&lt;=3.5),"标准",IF(I618&gt;=3.6,"紧凑",""))))</f>
        <v/>
      </c>
      <c r="M618" s="2" t="inlineStr">
        <is>
          <t>极紧凑-豹子号</t>
        </is>
      </c>
      <c r="N618" s="2" t="inlineStr">
        <is>
          <t>松散-极松散</t>
        </is>
      </c>
      <c r="O618" s="2" t="inlineStr">
        <is>
          <t>松散-标准松散</t>
        </is>
      </c>
      <c r="P618" s="2" t="inlineStr">
        <is>
          <t>松散-偏紧松散</t>
        </is>
      </c>
      <c r="Q618" s="2" t="inlineStr">
        <is>
          <t>标准-偏松标准</t>
        </is>
      </c>
      <c r="R618" s="2" t="inlineStr">
        <is>
          <t>标准-核心标准</t>
        </is>
      </c>
      <c r="S618" s="2" t="inlineStr">
        <is>
          <t>标准-偏紧标准</t>
        </is>
      </c>
      <c r="T618" s="2" t="inlineStr">
        <is>
          <t>紧凑-标准紧凑</t>
        </is>
      </c>
      <c r="U618" s="2" t="inlineStr">
        <is>
          <t>紧凑-高度紧凑</t>
        </is>
      </c>
      <c r="V618" s="2" t="inlineStr">
        <is>
          <t>紧凑-极度紧凑</t>
        </is>
      </c>
    </row>
    <row r="619">
      <c r="A619" s="1" t="n">
        <v>2024186</v>
      </c>
      <c r="B619" s="3" t="inlineStr">
        <is>
          <t>367</t>
        </is>
      </c>
      <c r="C619" s="2">
        <f>IF(B619="","",LEFT(TEXT(B619,"000"),1)*1)</f>
        <v/>
      </c>
      <c r="D619" s="2">
        <f>IF(B619="","",MID(TEXT(B619,"000"),2,1)*1)</f>
        <v/>
      </c>
      <c r="E619" s="2">
        <f>IF(B619="","",RIGHT(TEXT(B619,"000"),1)*1)</f>
        <v/>
      </c>
      <c r="F619" s="2">
        <f>IF(B619="","",C619+D619+E619)</f>
        <v/>
      </c>
      <c r="G619" s="2">
        <f>IF(B619="","",MOD(F619,10))</f>
        <v/>
      </c>
      <c r="H619" s="2">
        <f>IF(B619="","",MAX(C619,D619,E619)-MIN(C619,D619,E619))</f>
        <v/>
      </c>
      <c r="I619" s="2">
        <f>IF(OR(B619="",H619=0),IF(H619=0,0.1,""),ROUND(F619/H619,2))</f>
        <v/>
      </c>
      <c r="J619" s="2">
        <f>IF(I619=0.1,"极紧凑",IF(I619&gt;3.5,"紧凑",IF(AND(I619&gt;=2,I619&lt;=3.5),"标准",IF(AND(I619&gt;=1,I619&lt;2),"松散",""))))</f>
        <v/>
      </c>
      <c r="K619" s="2">
        <f>IF(I619=0.1,"极紧凑-豹子号",IF(AND(I619&gt;=1,I619&lt;=1.29),"松散-极松散",IF(AND(I619&gt;=1.33,I619&lt;=1.8),"松散-标准松散",IF(AND(I619&gt;=1.83,I619&lt;=1.89),"松散-偏紧松散",IF(AND(I619&gt;=2,I619&lt;=2.5),"标准-偏松标准",IF(AND(I619&gt;=2.57,I619&lt;=3),"标准-核心标准",IF(AND(I619&gt;=3.17,I619&lt;=3.5),"标准-偏紧标准",IF(AND(I619&gt;=3.6,I619&lt;=5),"紧凑-标准紧凑",IF(AND(I619&gt;=5.25,I619&lt;=8),"紧凑-高度紧凑",IF(I619&gt;=8.5,"紧凑-极度紧凑",""))))))))))</f>
        <v/>
      </c>
      <c r="L619" s="2">
        <f>IF(I619=0.1,"极紧凑",IF(AND(I619&gt;=1,I619&lt;=1.89),"松散",IF(AND(I619&gt;=2,I619&lt;=3.5),"标准",IF(I619&gt;=3.6,"紧凑",""))))</f>
        <v/>
      </c>
      <c r="M619" s="2" t="inlineStr">
        <is>
          <t>极紧凑-豹子号</t>
        </is>
      </c>
      <c r="N619" s="2" t="inlineStr">
        <is>
          <t>松散-极松散</t>
        </is>
      </c>
      <c r="O619" s="2" t="inlineStr">
        <is>
          <t>松散-标准松散</t>
        </is>
      </c>
      <c r="P619" s="2" t="inlineStr">
        <is>
          <t>松散-偏紧松散</t>
        </is>
      </c>
      <c r="Q619" s="2" t="inlineStr">
        <is>
          <t>标准-偏松标准</t>
        </is>
      </c>
      <c r="R619" s="2" t="inlineStr">
        <is>
          <t>标准-核心标准</t>
        </is>
      </c>
      <c r="S619" s="2" t="inlineStr">
        <is>
          <t>标准-偏紧标准</t>
        </is>
      </c>
      <c r="T619" s="2" t="inlineStr">
        <is>
          <t>紧凑-标准紧凑</t>
        </is>
      </c>
      <c r="U619" s="2" t="inlineStr">
        <is>
          <t>紧凑-高度紧凑</t>
        </is>
      </c>
      <c r="V619" s="2" t="inlineStr">
        <is>
          <t>紧凑-极度紧凑</t>
        </is>
      </c>
    </row>
    <row r="620">
      <c r="A620" s="1" t="n">
        <v>2024187</v>
      </c>
      <c r="B620" s="3" t="inlineStr">
        <is>
          <t>883</t>
        </is>
      </c>
      <c r="C620" s="2">
        <f>IF(B620="","",LEFT(TEXT(B620,"000"),1)*1)</f>
        <v/>
      </c>
      <c r="D620" s="2">
        <f>IF(B620="","",MID(TEXT(B620,"000"),2,1)*1)</f>
        <v/>
      </c>
      <c r="E620" s="2">
        <f>IF(B620="","",RIGHT(TEXT(B620,"000"),1)*1)</f>
        <v/>
      </c>
      <c r="F620" s="2">
        <f>IF(B620="","",C620+D620+E620)</f>
        <v/>
      </c>
      <c r="G620" s="2">
        <f>IF(B620="","",MOD(F620,10))</f>
        <v/>
      </c>
      <c r="H620" s="2">
        <f>IF(B620="","",MAX(C620,D620,E620)-MIN(C620,D620,E620))</f>
        <v/>
      </c>
      <c r="I620" s="2">
        <f>IF(OR(B620="",H620=0),IF(H620=0,0.1,""),ROUND(F620/H620,2))</f>
        <v/>
      </c>
      <c r="J620" s="2">
        <f>IF(I620=0.1,"极紧凑",IF(I620&gt;3.5,"紧凑",IF(AND(I620&gt;=2,I620&lt;=3.5),"标准",IF(AND(I620&gt;=1,I620&lt;2),"松散",""))))</f>
        <v/>
      </c>
      <c r="K620" s="2">
        <f>IF(I620=0.1,"极紧凑-豹子号",IF(AND(I620&gt;=1,I620&lt;=1.29),"松散-极松散",IF(AND(I620&gt;=1.33,I620&lt;=1.8),"松散-标准松散",IF(AND(I620&gt;=1.83,I620&lt;=1.89),"松散-偏紧松散",IF(AND(I620&gt;=2,I620&lt;=2.5),"标准-偏松标准",IF(AND(I620&gt;=2.57,I620&lt;=3),"标准-核心标准",IF(AND(I620&gt;=3.17,I620&lt;=3.5),"标准-偏紧标准",IF(AND(I620&gt;=3.6,I620&lt;=5),"紧凑-标准紧凑",IF(AND(I620&gt;=5.25,I620&lt;=8),"紧凑-高度紧凑",IF(I620&gt;=8.5,"紧凑-极度紧凑",""))))))))))</f>
        <v/>
      </c>
      <c r="L620" s="2">
        <f>IF(I620=0.1,"极紧凑",IF(AND(I620&gt;=1,I620&lt;=1.89),"松散",IF(AND(I620&gt;=2,I620&lt;=3.5),"标准",IF(I620&gt;=3.6,"紧凑",""))))</f>
        <v/>
      </c>
      <c r="M620" s="2" t="inlineStr">
        <is>
          <t>极紧凑-豹子号</t>
        </is>
      </c>
      <c r="N620" s="2" t="inlineStr">
        <is>
          <t>松散-极松散</t>
        </is>
      </c>
      <c r="O620" s="2" t="inlineStr">
        <is>
          <t>松散-标准松散</t>
        </is>
      </c>
      <c r="P620" s="2" t="inlineStr">
        <is>
          <t>松散-偏紧松散</t>
        </is>
      </c>
      <c r="Q620" s="2" t="inlineStr">
        <is>
          <t>标准-偏松标准</t>
        </is>
      </c>
      <c r="R620" s="2" t="inlineStr">
        <is>
          <t>标准-核心标准</t>
        </is>
      </c>
      <c r="S620" s="2" t="inlineStr">
        <is>
          <t>标准-偏紧标准</t>
        </is>
      </c>
      <c r="T620" s="2" t="inlineStr">
        <is>
          <t>紧凑-标准紧凑</t>
        </is>
      </c>
      <c r="U620" s="2" t="inlineStr">
        <is>
          <t>紧凑-高度紧凑</t>
        </is>
      </c>
      <c r="V620" s="2" t="inlineStr">
        <is>
          <t>紧凑-极度紧凑</t>
        </is>
      </c>
    </row>
    <row r="621">
      <c r="A621" s="1" t="n">
        <v>2024188</v>
      </c>
      <c r="B621" s="3" t="inlineStr">
        <is>
          <t>024</t>
        </is>
      </c>
      <c r="C621" s="2">
        <f>IF(B621="","",LEFT(TEXT(B621,"000"),1)*1)</f>
        <v/>
      </c>
      <c r="D621" s="2">
        <f>IF(B621="","",MID(TEXT(B621,"000"),2,1)*1)</f>
        <v/>
      </c>
      <c r="E621" s="2">
        <f>IF(B621="","",RIGHT(TEXT(B621,"000"),1)*1)</f>
        <v/>
      </c>
      <c r="F621" s="2">
        <f>IF(B621="","",C621+D621+E621)</f>
        <v/>
      </c>
      <c r="G621" s="2">
        <f>IF(B621="","",MOD(F621,10))</f>
        <v/>
      </c>
      <c r="H621" s="2">
        <f>IF(B621="","",MAX(C621,D621,E621)-MIN(C621,D621,E621))</f>
        <v/>
      </c>
      <c r="I621" s="2">
        <f>IF(OR(B621="",H621=0),IF(H621=0,0.1,""),ROUND(F621/H621,2))</f>
        <v/>
      </c>
      <c r="J621" s="2">
        <f>IF(I621=0.1,"极紧凑",IF(I621&gt;3.5,"紧凑",IF(AND(I621&gt;=2,I621&lt;=3.5),"标准",IF(AND(I621&gt;=1,I621&lt;2),"松散",""))))</f>
        <v/>
      </c>
      <c r="K621" s="2">
        <f>IF(I621=0.1,"极紧凑-豹子号",IF(AND(I621&gt;=1,I621&lt;=1.29),"松散-极松散",IF(AND(I621&gt;=1.33,I621&lt;=1.8),"松散-标准松散",IF(AND(I621&gt;=1.83,I621&lt;=1.89),"松散-偏紧松散",IF(AND(I621&gt;=2,I621&lt;=2.5),"标准-偏松标准",IF(AND(I621&gt;=2.57,I621&lt;=3),"标准-核心标准",IF(AND(I621&gt;=3.17,I621&lt;=3.5),"标准-偏紧标准",IF(AND(I621&gt;=3.6,I621&lt;=5),"紧凑-标准紧凑",IF(AND(I621&gt;=5.25,I621&lt;=8),"紧凑-高度紧凑",IF(I621&gt;=8.5,"紧凑-极度紧凑",""))))))))))</f>
        <v/>
      </c>
      <c r="L621" s="2">
        <f>IF(I621=0.1,"极紧凑",IF(AND(I621&gt;=1,I621&lt;=1.89),"松散",IF(AND(I621&gt;=2,I621&lt;=3.5),"标准",IF(I621&gt;=3.6,"紧凑",""))))</f>
        <v/>
      </c>
      <c r="M621" s="2" t="inlineStr">
        <is>
          <t>极紧凑-豹子号</t>
        </is>
      </c>
      <c r="N621" s="2" t="inlineStr">
        <is>
          <t>松散-极松散</t>
        </is>
      </c>
      <c r="O621" s="2" t="inlineStr">
        <is>
          <t>松散-标准松散</t>
        </is>
      </c>
      <c r="P621" s="2" t="inlineStr">
        <is>
          <t>松散-偏紧松散</t>
        </is>
      </c>
      <c r="Q621" s="2" t="inlineStr">
        <is>
          <t>标准-偏松标准</t>
        </is>
      </c>
      <c r="R621" s="2" t="inlineStr">
        <is>
          <t>标准-核心标准</t>
        </is>
      </c>
      <c r="S621" s="2" t="inlineStr">
        <is>
          <t>标准-偏紧标准</t>
        </is>
      </c>
      <c r="T621" s="2" t="inlineStr">
        <is>
          <t>紧凑-标准紧凑</t>
        </is>
      </c>
      <c r="U621" s="2" t="inlineStr">
        <is>
          <t>紧凑-高度紧凑</t>
        </is>
      </c>
      <c r="V621" s="2" t="inlineStr">
        <is>
          <t>紧凑-极度紧凑</t>
        </is>
      </c>
    </row>
    <row r="622">
      <c r="A622" s="1" t="n">
        <v>2024189</v>
      </c>
      <c r="B622" s="3" t="inlineStr">
        <is>
          <t>793</t>
        </is>
      </c>
      <c r="C622" s="2">
        <f>IF(B622="","",LEFT(TEXT(B622,"000"),1)*1)</f>
        <v/>
      </c>
      <c r="D622" s="2">
        <f>IF(B622="","",MID(TEXT(B622,"000"),2,1)*1)</f>
        <v/>
      </c>
      <c r="E622" s="2">
        <f>IF(B622="","",RIGHT(TEXT(B622,"000"),1)*1)</f>
        <v/>
      </c>
      <c r="F622" s="2">
        <f>IF(B622="","",C622+D622+E622)</f>
        <v/>
      </c>
      <c r="G622" s="2">
        <f>IF(B622="","",MOD(F622,10))</f>
        <v/>
      </c>
      <c r="H622" s="2">
        <f>IF(B622="","",MAX(C622,D622,E622)-MIN(C622,D622,E622))</f>
        <v/>
      </c>
      <c r="I622" s="2">
        <f>IF(OR(B622="",H622=0),IF(H622=0,0.1,""),ROUND(F622/H622,2))</f>
        <v/>
      </c>
      <c r="J622" s="2">
        <f>IF(I622=0.1,"极紧凑",IF(I622&gt;3.5,"紧凑",IF(AND(I622&gt;=2,I622&lt;=3.5),"标准",IF(AND(I622&gt;=1,I622&lt;2),"松散",""))))</f>
        <v/>
      </c>
      <c r="K622" s="2">
        <f>IF(I622=0.1,"极紧凑-豹子号",IF(AND(I622&gt;=1,I622&lt;=1.29),"松散-极松散",IF(AND(I622&gt;=1.33,I622&lt;=1.8),"松散-标准松散",IF(AND(I622&gt;=1.83,I622&lt;=1.89),"松散-偏紧松散",IF(AND(I622&gt;=2,I622&lt;=2.5),"标准-偏松标准",IF(AND(I622&gt;=2.57,I622&lt;=3),"标准-核心标准",IF(AND(I622&gt;=3.17,I622&lt;=3.5),"标准-偏紧标准",IF(AND(I622&gt;=3.6,I622&lt;=5),"紧凑-标准紧凑",IF(AND(I622&gt;=5.25,I622&lt;=8),"紧凑-高度紧凑",IF(I622&gt;=8.5,"紧凑-极度紧凑",""))))))))))</f>
        <v/>
      </c>
      <c r="L622" s="2">
        <f>IF(I622=0.1,"极紧凑",IF(AND(I622&gt;=1,I622&lt;=1.89),"松散",IF(AND(I622&gt;=2,I622&lt;=3.5),"标准",IF(I622&gt;=3.6,"紧凑",""))))</f>
        <v/>
      </c>
      <c r="M622" s="2" t="inlineStr">
        <is>
          <t>极紧凑-豹子号</t>
        </is>
      </c>
      <c r="N622" s="2" t="inlineStr">
        <is>
          <t>松散-极松散</t>
        </is>
      </c>
      <c r="O622" s="2" t="inlineStr">
        <is>
          <t>松散-标准松散</t>
        </is>
      </c>
      <c r="P622" s="2" t="inlineStr">
        <is>
          <t>松散-偏紧松散</t>
        </is>
      </c>
      <c r="Q622" s="2" t="inlineStr">
        <is>
          <t>标准-偏松标准</t>
        </is>
      </c>
      <c r="R622" s="2" t="inlineStr">
        <is>
          <t>标准-核心标准</t>
        </is>
      </c>
      <c r="S622" s="2" t="inlineStr">
        <is>
          <t>标准-偏紧标准</t>
        </is>
      </c>
      <c r="T622" s="2" t="inlineStr">
        <is>
          <t>紧凑-标准紧凑</t>
        </is>
      </c>
      <c r="U622" s="2" t="inlineStr">
        <is>
          <t>紧凑-高度紧凑</t>
        </is>
      </c>
      <c r="V622" s="2" t="inlineStr">
        <is>
          <t>紧凑-极度紧凑</t>
        </is>
      </c>
    </row>
    <row r="623">
      <c r="A623" s="1" t="n">
        <v>2024190</v>
      </c>
      <c r="B623" s="3" t="inlineStr">
        <is>
          <t>644</t>
        </is>
      </c>
      <c r="C623" s="2">
        <f>IF(B623="","",LEFT(TEXT(B623,"000"),1)*1)</f>
        <v/>
      </c>
      <c r="D623" s="2">
        <f>IF(B623="","",MID(TEXT(B623,"000"),2,1)*1)</f>
        <v/>
      </c>
      <c r="E623" s="2">
        <f>IF(B623="","",RIGHT(TEXT(B623,"000"),1)*1)</f>
        <v/>
      </c>
      <c r="F623" s="2">
        <f>IF(B623="","",C623+D623+E623)</f>
        <v/>
      </c>
      <c r="G623" s="2">
        <f>IF(B623="","",MOD(F623,10))</f>
        <v/>
      </c>
      <c r="H623" s="2">
        <f>IF(B623="","",MAX(C623,D623,E623)-MIN(C623,D623,E623))</f>
        <v/>
      </c>
      <c r="I623" s="2">
        <f>IF(OR(B623="",H623=0),IF(H623=0,0.1,""),ROUND(F623/H623,2))</f>
        <v/>
      </c>
      <c r="J623" s="2">
        <f>IF(I623=0.1,"极紧凑",IF(I623&gt;3.5,"紧凑",IF(AND(I623&gt;=2,I623&lt;=3.5),"标准",IF(AND(I623&gt;=1,I623&lt;2),"松散",""))))</f>
        <v/>
      </c>
      <c r="K623" s="2">
        <f>IF(I623=0.1,"极紧凑-豹子号",IF(AND(I623&gt;=1,I623&lt;=1.29),"松散-极松散",IF(AND(I623&gt;=1.33,I623&lt;=1.8),"松散-标准松散",IF(AND(I623&gt;=1.83,I623&lt;=1.89),"松散-偏紧松散",IF(AND(I623&gt;=2,I623&lt;=2.5),"标准-偏松标准",IF(AND(I623&gt;=2.57,I623&lt;=3),"标准-核心标准",IF(AND(I623&gt;=3.17,I623&lt;=3.5),"标准-偏紧标准",IF(AND(I623&gt;=3.6,I623&lt;=5),"紧凑-标准紧凑",IF(AND(I623&gt;=5.25,I623&lt;=8),"紧凑-高度紧凑",IF(I623&gt;=8.5,"紧凑-极度紧凑",""))))))))))</f>
        <v/>
      </c>
      <c r="L623" s="2">
        <f>IF(I623=0.1,"极紧凑",IF(AND(I623&gt;=1,I623&lt;=1.89),"松散",IF(AND(I623&gt;=2,I623&lt;=3.5),"标准",IF(I623&gt;=3.6,"紧凑",""))))</f>
        <v/>
      </c>
      <c r="M623" s="2" t="inlineStr">
        <is>
          <t>极紧凑-豹子号</t>
        </is>
      </c>
      <c r="N623" s="2" t="inlineStr">
        <is>
          <t>松散-极松散</t>
        </is>
      </c>
      <c r="O623" s="2" t="inlineStr">
        <is>
          <t>松散-标准松散</t>
        </is>
      </c>
      <c r="P623" s="2" t="inlineStr">
        <is>
          <t>松散-偏紧松散</t>
        </is>
      </c>
      <c r="Q623" s="2" t="inlineStr">
        <is>
          <t>标准-偏松标准</t>
        </is>
      </c>
      <c r="R623" s="2" t="inlineStr">
        <is>
          <t>标准-核心标准</t>
        </is>
      </c>
      <c r="S623" s="2" t="inlineStr">
        <is>
          <t>标准-偏紧标准</t>
        </is>
      </c>
      <c r="T623" s="2" t="inlineStr">
        <is>
          <t>紧凑-标准紧凑</t>
        </is>
      </c>
      <c r="U623" s="2" t="inlineStr">
        <is>
          <t>紧凑-高度紧凑</t>
        </is>
      </c>
      <c r="V623" s="2" t="inlineStr">
        <is>
          <t>紧凑-极度紧凑</t>
        </is>
      </c>
    </row>
    <row r="624">
      <c r="A624" s="1" t="n">
        <v>2024191</v>
      </c>
      <c r="B624" s="3" t="inlineStr">
        <is>
          <t>439</t>
        </is>
      </c>
      <c r="C624" s="2">
        <f>IF(B624="","",LEFT(TEXT(B624,"000"),1)*1)</f>
        <v/>
      </c>
      <c r="D624" s="2">
        <f>IF(B624="","",MID(TEXT(B624,"000"),2,1)*1)</f>
        <v/>
      </c>
      <c r="E624" s="2">
        <f>IF(B624="","",RIGHT(TEXT(B624,"000"),1)*1)</f>
        <v/>
      </c>
      <c r="F624" s="2">
        <f>IF(B624="","",C624+D624+E624)</f>
        <v/>
      </c>
      <c r="G624" s="2">
        <f>IF(B624="","",MOD(F624,10))</f>
        <v/>
      </c>
      <c r="H624" s="2">
        <f>IF(B624="","",MAX(C624,D624,E624)-MIN(C624,D624,E624))</f>
        <v/>
      </c>
      <c r="I624" s="2">
        <f>IF(OR(B624="",H624=0),IF(H624=0,0.1,""),ROUND(F624/H624,2))</f>
        <v/>
      </c>
      <c r="J624" s="2">
        <f>IF(I624=0.1,"极紧凑",IF(I624&gt;3.5,"紧凑",IF(AND(I624&gt;=2,I624&lt;=3.5),"标准",IF(AND(I624&gt;=1,I624&lt;2),"松散",""))))</f>
        <v/>
      </c>
      <c r="K624" s="2">
        <f>IF(I624=0.1,"极紧凑-豹子号",IF(AND(I624&gt;=1,I624&lt;=1.29),"松散-极松散",IF(AND(I624&gt;=1.33,I624&lt;=1.8),"松散-标准松散",IF(AND(I624&gt;=1.83,I624&lt;=1.89),"松散-偏紧松散",IF(AND(I624&gt;=2,I624&lt;=2.5),"标准-偏松标准",IF(AND(I624&gt;=2.57,I624&lt;=3),"标准-核心标准",IF(AND(I624&gt;=3.17,I624&lt;=3.5),"标准-偏紧标准",IF(AND(I624&gt;=3.6,I624&lt;=5),"紧凑-标准紧凑",IF(AND(I624&gt;=5.25,I624&lt;=8),"紧凑-高度紧凑",IF(I624&gt;=8.5,"紧凑-极度紧凑",""))))))))))</f>
        <v/>
      </c>
      <c r="L624" s="2">
        <f>IF(I624=0.1,"极紧凑",IF(AND(I624&gt;=1,I624&lt;=1.89),"松散",IF(AND(I624&gt;=2,I624&lt;=3.5),"标准",IF(I624&gt;=3.6,"紧凑",""))))</f>
        <v/>
      </c>
      <c r="M624" s="2" t="inlineStr">
        <is>
          <t>极紧凑-豹子号</t>
        </is>
      </c>
      <c r="N624" s="2" t="inlineStr">
        <is>
          <t>松散-极松散</t>
        </is>
      </c>
      <c r="O624" s="2" t="inlineStr">
        <is>
          <t>松散-标准松散</t>
        </is>
      </c>
      <c r="P624" s="2" t="inlineStr">
        <is>
          <t>松散-偏紧松散</t>
        </is>
      </c>
      <c r="Q624" s="2" t="inlineStr">
        <is>
          <t>标准-偏松标准</t>
        </is>
      </c>
      <c r="R624" s="2" t="inlineStr">
        <is>
          <t>标准-核心标准</t>
        </is>
      </c>
      <c r="S624" s="2" t="inlineStr">
        <is>
          <t>标准-偏紧标准</t>
        </is>
      </c>
      <c r="T624" s="2" t="inlineStr">
        <is>
          <t>紧凑-标准紧凑</t>
        </is>
      </c>
      <c r="U624" s="2" t="inlineStr">
        <is>
          <t>紧凑-高度紧凑</t>
        </is>
      </c>
      <c r="V624" s="2" t="inlineStr">
        <is>
          <t>紧凑-极度紧凑</t>
        </is>
      </c>
    </row>
    <row r="625">
      <c r="A625" s="1" t="n">
        <v>2024192</v>
      </c>
      <c r="B625" s="3" t="inlineStr">
        <is>
          <t>340</t>
        </is>
      </c>
      <c r="C625" s="2">
        <f>IF(B625="","",LEFT(TEXT(B625,"000"),1)*1)</f>
        <v/>
      </c>
      <c r="D625" s="2">
        <f>IF(B625="","",MID(TEXT(B625,"000"),2,1)*1)</f>
        <v/>
      </c>
      <c r="E625" s="2">
        <f>IF(B625="","",RIGHT(TEXT(B625,"000"),1)*1)</f>
        <v/>
      </c>
      <c r="F625" s="2">
        <f>IF(B625="","",C625+D625+E625)</f>
        <v/>
      </c>
      <c r="G625" s="2">
        <f>IF(B625="","",MOD(F625,10))</f>
        <v/>
      </c>
      <c r="H625" s="2">
        <f>IF(B625="","",MAX(C625,D625,E625)-MIN(C625,D625,E625))</f>
        <v/>
      </c>
      <c r="I625" s="2">
        <f>IF(OR(B625="",H625=0),IF(H625=0,0.1,""),ROUND(F625/H625,2))</f>
        <v/>
      </c>
      <c r="J625" s="2">
        <f>IF(I625=0.1,"极紧凑",IF(I625&gt;3.5,"紧凑",IF(AND(I625&gt;=2,I625&lt;=3.5),"标准",IF(AND(I625&gt;=1,I625&lt;2),"松散",""))))</f>
        <v/>
      </c>
      <c r="K625" s="2">
        <f>IF(I625=0.1,"极紧凑-豹子号",IF(AND(I625&gt;=1,I625&lt;=1.29),"松散-极松散",IF(AND(I625&gt;=1.33,I625&lt;=1.8),"松散-标准松散",IF(AND(I625&gt;=1.83,I625&lt;=1.89),"松散-偏紧松散",IF(AND(I625&gt;=2,I625&lt;=2.5),"标准-偏松标准",IF(AND(I625&gt;=2.57,I625&lt;=3),"标准-核心标准",IF(AND(I625&gt;=3.17,I625&lt;=3.5),"标准-偏紧标准",IF(AND(I625&gt;=3.6,I625&lt;=5),"紧凑-标准紧凑",IF(AND(I625&gt;=5.25,I625&lt;=8),"紧凑-高度紧凑",IF(I625&gt;=8.5,"紧凑-极度紧凑",""))))))))))</f>
        <v/>
      </c>
      <c r="L625" s="2">
        <f>IF(I625=0.1,"极紧凑",IF(AND(I625&gt;=1,I625&lt;=1.89),"松散",IF(AND(I625&gt;=2,I625&lt;=3.5),"标准",IF(I625&gt;=3.6,"紧凑",""))))</f>
        <v/>
      </c>
      <c r="M625" s="2" t="inlineStr">
        <is>
          <t>极紧凑-豹子号</t>
        </is>
      </c>
      <c r="N625" s="2" t="inlineStr">
        <is>
          <t>松散-极松散</t>
        </is>
      </c>
      <c r="O625" s="2" t="inlineStr">
        <is>
          <t>松散-标准松散</t>
        </is>
      </c>
      <c r="P625" s="2" t="inlineStr">
        <is>
          <t>松散-偏紧松散</t>
        </is>
      </c>
      <c r="Q625" s="2" t="inlineStr">
        <is>
          <t>标准-偏松标准</t>
        </is>
      </c>
      <c r="R625" s="2" t="inlineStr">
        <is>
          <t>标准-核心标准</t>
        </is>
      </c>
      <c r="S625" s="2" t="inlineStr">
        <is>
          <t>标准-偏紧标准</t>
        </is>
      </c>
      <c r="T625" s="2" t="inlineStr">
        <is>
          <t>紧凑-标准紧凑</t>
        </is>
      </c>
      <c r="U625" s="2" t="inlineStr">
        <is>
          <t>紧凑-高度紧凑</t>
        </is>
      </c>
      <c r="V625" s="2" t="inlineStr">
        <is>
          <t>紧凑-极度紧凑</t>
        </is>
      </c>
    </row>
    <row r="626">
      <c r="A626" s="1" t="n">
        <v>2024193</v>
      </c>
      <c r="B626" s="3" t="inlineStr">
        <is>
          <t>006</t>
        </is>
      </c>
      <c r="C626" s="2">
        <f>IF(B626="","",LEFT(TEXT(B626,"000"),1)*1)</f>
        <v/>
      </c>
      <c r="D626" s="2">
        <f>IF(B626="","",MID(TEXT(B626,"000"),2,1)*1)</f>
        <v/>
      </c>
      <c r="E626" s="2">
        <f>IF(B626="","",RIGHT(TEXT(B626,"000"),1)*1)</f>
        <v/>
      </c>
      <c r="F626" s="2">
        <f>IF(B626="","",C626+D626+E626)</f>
        <v/>
      </c>
      <c r="G626" s="2">
        <f>IF(B626="","",MOD(F626,10))</f>
        <v/>
      </c>
      <c r="H626" s="2">
        <f>IF(B626="","",MAX(C626,D626,E626)-MIN(C626,D626,E626))</f>
        <v/>
      </c>
      <c r="I626" s="2">
        <f>IF(OR(B626="",H626=0),IF(H626=0,0.1,""),ROUND(F626/H626,2))</f>
        <v/>
      </c>
      <c r="J626" s="2">
        <f>IF(I626=0.1,"极紧凑",IF(I626&gt;3.5,"紧凑",IF(AND(I626&gt;=2,I626&lt;=3.5),"标准",IF(AND(I626&gt;=1,I626&lt;2),"松散",""))))</f>
        <v/>
      </c>
      <c r="K626" s="2">
        <f>IF(I626=0.1,"极紧凑-豹子号",IF(AND(I626&gt;=1,I626&lt;=1.29),"松散-极松散",IF(AND(I626&gt;=1.33,I626&lt;=1.8),"松散-标准松散",IF(AND(I626&gt;=1.83,I626&lt;=1.89),"松散-偏紧松散",IF(AND(I626&gt;=2,I626&lt;=2.5),"标准-偏松标准",IF(AND(I626&gt;=2.57,I626&lt;=3),"标准-核心标准",IF(AND(I626&gt;=3.17,I626&lt;=3.5),"标准-偏紧标准",IF(AND(I626&gt;=3.6,I626&lt;=5),"紧凑-标准紧凑",IF(AND(I626&gt;=5.25,I626&lt;=8),"紧凑-高度紧凑",IF(I626&gt;=8.5,"紧凑-极度紧凑",""))))))))))</f>
        <v/>
      </c>
      <c r="L626" s="2">
        <f>IF(I626=0.1,"极紧凑",IF(AND(I626&gt;=1,I626&lt;=1.89),"松散",IF(AND(I626&gt;=2,I626&lt;=3.5),"标准",IF(I626&gt;=3.6,"紧凑",""))))</f>
        <v/>
      </c>
      <c r="M626" s="2" t="inlineStr">
        <is>
          <t>极紧凑-豹子号</t>
        </is>
      </c>
      <c r="N626" s="2" t="inlineStr">
        <is>
          <t>松散-极松散</t>
        </is>
      </c>
      <c r="O626" s="2" t="inlineStr">
        <is>
          <t>松散-标准松散</t>
        </is>
      </c>
      <c r="P626" s="2" t="inlineStr">
        <is>
          <t>松散-偏紧松散</t>
        </is>
      </c>
      <c r="Q626" s="2" t="inlineStr">
        <is>
          <t>标准-偏松标准</t>
        </is>
      </c>
      <c r="R626" s="2" t="inlineStr">
        <is>
          <t>标准-核心标准</t>
        </is>
      </c>
      <c r="S626" s="2" t="inlineStr">
        <is>
          <t>标准-偏紧标准</t>
        </is>
      </c>
      <c r="T626" s="2" t="inlineStr">
        <is>
          <t>紧凑-标准紧凑</t>
        </is>
      </c>
      <c r="U626" s="2" t="inlineStr">
        <is>
          <t>紧凑-高度紧凑</t>
        </is>
      </c>
      <c r="V626" s="2" t="inlineStr">
        <is>
          <t>紧凑-极度紧凑</t>
        </is>
      </c>
    </row>
    <row r="627">
      <c r="A627" s="1" t="n">
        <v>2024194</v>
      </c>
      <c r="B627" s="3" t="inlineStr">
        <is>
          <t>078</t>
        </is>
      </c>
      <c r="C627" s="2">
        <f>IF(B627="","",LEFT(TEXT(B627,"000"),1)*1)</f>
        <v/>
      </c>
      <c r="D627" s="2">
        <f>IF(B627="","",MID(TEXT(B627,"000"),2,1)*1)</f>
        <v/>
      </c>
      <c r="E627" s="2">
        <f>IF(B627="","",RIGHT(TEXT(B627,"000"),1)*1)</f>
        <v/>
      </c>
      <c r="F627" s="2">
        <f>IF(B627="","",C627+D627+E627)</f>
        <v/>
      </c>
      <c r="G627" s="2">
        <f>IF(B627="","",MOD(F627,10))</f>
        <v/>
      </c>
      <c r="H627" s="2">
        <f>IF(B627="","",MAX(C627,D627,E627)-MIN(C627,D627,E627))</f>
        <v/>
      </c>
      <c r="I627" s="2">
        <f>IF(OR(B627="",H627=0),IF(H627=0,0.1,""),ROUND(F627/H627,2))</f>
        <v/>
      </c>
      <c r="J627" s="2">
        <f>IF(I627=0.1,"极紧凑",IF(I627&gt;3.5,"紧凑",IF(AND(I627&gt;=2,I627&lt;=3.5),"标准",IF(AND(I627&gt;=1,I627&lt;2),"松散",""))))</f>
        <v/>
      </c>
      <c r="K627" s="2">
        <f>IF(I627=0.1,"极紧凑-豹子号",IF(AND(I627&gt;=1,I627&lt;=1.29),"松散-极松散",IF(AND(I627&gt;=1.33,I627&lt;=1.8),"松散-标准松散",IF(AND(I627&gt;=1.83,I627&lt;=1.89),"松散-偏紧松散",IF(AND(I627&gt;=2,I627&lt;=2.5),"标准-偏松标准",IF(AND(I627&gt;=2.57,I627&lt;=3),"标准-核心标准",IF(AND(I627&gt;=3.17,I627&lt;=3.5),"标准-偏紧标准",IF(AND(I627&gt;=3.6,I627&lt;=5),"紧凑-标准紧凑",IF(AND(I627&gt;=5.25,I627&lt;=8),"紧凑-高度紧凑",IF(I627&gt;=8.5,"紧凑-极度紧凑",""))))))))))</f>
        <v/>
      </c>
      <c r="L627" s="2">
        <f>IF(I627=0.1,"极紧凑",IF(AND(I627&gt;=1,I627&lt;=1.89),"松散",IF(AND(I627&gt;=2,I627&lt;=3.5),"标准",IF(I627&gt;=3.6,"紧凑",""))))</f>
        <v/>
      </c>
      <c r="M627" s="2" t="inlineStr">
        <is>
          <t>极紧凑-豹子号</t>
        </is>
      </c>
      <c r="N627" s="2" t="inlineStr">
        <is>
          <t>松散-极松散</t>
        </is>
      </c>
      <c r="O627" s="2" t="inlineStr">
        <is>
          <t>松散-标准松散</t>
        </is>
      </c>
      <c r="P627" s="2" t="inlineStr">
        <is>
          <t>松散-偏紧松散</t>
        </is>
      </c>
      <c r="Q627" s="2" t="inlineStr">
        <is>
          <t>标准-偏松标准</t>
        </is>
      </c>
      <c r="R627" s="2" t="inlineStr">
        <is>
          <t>标准-核心标准</t>
        </is>
      </c>
      <c r="S627" s="2" t="inlineStr">
        <is>
          <t>标准-偏紧标准</t>
        </is>
      </c>
      <c r="T627" s="2" t="inlineStr">
        <is>
          <t>紧凑-标准紧凑</t>
        </is>
      </c>
      <c r="U627" s="2" t="inlineStr">
        <is>
          <t>紧凑-高度紧凑</t>
        </is>
      </c>
      <c r="V627" s="2" t="inlineStr">
        <is>
          <t>紧凑-极度紧凑</t>
        </is>
      </c>
    </row>
    <row r="628">
      <c r="A628" s="1" t="n">
        <v>2024195</v>
      </c>
      <c r="B628" s="3" t="inlineStr">
        <is>
          <t>517</t>
        </is>
      </c>
      <c r="C628" s="2">
        <f>IF(B628="","",LEFT(TEXT(B628,"000"),1)*1)</f>
        <v/>
      </c>
      <c r="D628" s="2">
        <f>IF(B628="","",MID(TEXT(B628,"000"),2,1)*1)</f>
        <v/>
      </c>
      <c r="E628" s="2">
        <f>IF(B628="","",RIGHT(TEXT(B628,"000"),1)*1)</f>
        <v/>
      </c>
      <c r="F628" s="2">
        <f>IF(B628="","",C628+D628+E628)</f>
        <v/>
      </c>
      <c r="G628" s="2">
        <f>IF(B628="","",MOD(F628,10))</f>
        <v/>
      </c>
      <c r="H628" s="2">
        <f>IF(B628="","",MAX(C628,D628,E628)-MIN(C628,D628,E628))</f>
        <v/>
      </c>
      <c r="I628" s="2">
        <f>IF(OR(B628="",H628=0),IF(H628=0,0.1,""),ROUND(F628/H628,2))</f>
        <v/>
      </c>
      <c r="J628" s="2">
        <f>IF(I628=0.1,"极紧凑",IF(I628&gt;3.5,"紧凑",IF(AND(I628&gt;=2,I628&lt;=3.5),"标准",IF(AND(I628&gt;=1,I628&lt;2),"松散",""))))</f>
        <v/>
      </c>
      <c r="K628" s="2">
        <f>IF(I628=0.1,"极紧凑-豹子号",IF(AND(I628&gt;=1,I628&lt;=1.29),"松散-极松散",IF(AND(I628&gt;=1.33,I628&lt;=1.8),"松散-标准松散",IF(AND(I628&gt;=1.83,I628&lt;=1.89),"松散-偏紧松散",IF(AND(I628&gt;=2,I628&lt;=2.5),"标准-偏松标准",IF(AND(I628&gt;=2.57,I628&lt;=3),"标准-核心标准",IF(AND(I628&gt;=3.17,I628&lt;=3.5),"标准-偏紧标准",IF(AND(I628&gt;=3.6,I628&lt;=5),"紧凑-标准紧凑",IF(AND(I628&gt;=5.25,I628&lt;=8),"紧凑-高度紧凑",IF(I628&gt;=8.5,"紧凑-极度紧凑",""))))))))))</f>
        <v/>
      </c>
      <c r="L628" s="2">
        <f>IF(I628=0.1,"极紧凑",IF(AND(I628&gt;=1,I628&lt;=1.89),"松散",IF(AND(I628&gt;=2,I628&lt;=3.5),"标准",IF(I628&gt;=3.6,"紧凑",""))))</f>
        <v/>
      </c>
      <c r="M628" s="2" t="inlineStr">
        <is>
          <t>极紧凑-豹子号</t>
        </is>
      </c>
      <c r="N628" s="2" t="inlineStr">
        <is>
          <t>松散-极松散</t>
        </is>
      </c>
      <c r="O628" s="2" t="inlineStr">
        <is>
          <t>松散-标准松散</t>
        </is>
      </c>
      <c r="P628" s="2" t="inlineStr">
        <is>
          <t>松散-偏紧松散</t>
        </is>
      </c>
      <c r="Q628" s="2" t="inlineStr">
        <is>
          <t>标准-偏松标准</t>
        </is>
      </c>
      <c r="R628" s="2" t="inlineStr">
        <is>
          <t>标准-核心标准</t>
        </is>
      </c>
      <c r="S628" s="2" t="inlineStr">
        <is>
          <t>标准-偏紧标准</t>
        </is>
      </c>
      <c r="T628" s="2" t="inlineStr">
        <is>
          <t>紧凑-标准紧凑</t>
        </is>
      </c>
      <c r="U628" s="2" t="inlineStr">
        <is>
          <t>紧凑-高度紧凑</t>
        </is>
      </c>
      <c r="V628" s="2" t="inlineStr">
        <is>
          <t>紧凑-极度紧凑</t>
        </is>
      </c>
    </row>
    <row r="629">
      <c r="A629" s="1" t="n">
        <v>2024196</v>
      </c>
      <c r="B629" s="3" t="inlineStr">
        <is>
          <t>539</t>
        </is>
      </c>
      <c r="C629" s="2">
        <f>IF(B629="","",LEFT(TEXT(B629,"000"),1)*1)</f>
        <v/>
      </c>
      <c r="D629" s="2">
        <f>IF(B629="","",MID(TEXT(B629,"000"),2,1)*1)</f>
        <v/>
      </c>
      <c r="E629" s="2">
        <f>IF(B629="","",RIGHT(TEXT(B629,"000"),1)*1)</f>
        <v/>
      </c>
      <c r="F629" s="2">
        <f>IF(B629="","",C629+D629+E629)</f>
        <v/>
      </c>
      <c r="G629" s="2">
        <f>IF(B629="","",MOD(F629,10))</f>
        <v/>
      </c>
      <c r="H629" s="2">
        <f>IF(B629="","",MAX(C629,D629,E629)-MIN(C629,D629,E629))</f>
        <v/>
      </c>
      <c r="I629" s="2">
        <f>IF(OR(B629="",H629=0),IF(H629=0,0.1,""),ROUND(F629/H629,2))</f>
        <v/>
      </c>
      <c r="J629" s="2">
        <f>IF(I629=0.1,"极紧凑",IF(I629&gt;3.5,"紧凑",IF(AND(I629&gt;=2,I629&lt;=3.5),"标准",IF(AND(I629&gt;=1,I629&lt;2),"松散",""))))</f>
        <v/>
      </c>
      <c r="K629" s="2">
        <f>IF(I629=0.1,"极紧凑-豹子号",IF(AND(I629&gt;=1,I629&lt;=1.29),"松散-极松散",IF(AND(I629&gt;=1.33,I629&lt;=1.8),"松散-标准松散",IF(AND(I629&gt;=1.83,I629&lt;=1.89),"松散-偏紧松散",IF(AND(I629&gt;=2,I629&lt;=2.5),"标准-偏松标准",IF(AND(I629&gt;=2.57,I629&lt;=3),"标准-核心标准",IF(AND(I629&gt;=3.17,I629&lt;=3.5),"标准-偏紧标准",IF(AND(I629&gt;=3.6,I629&lt;=5),"紧凑-标准紧凑",IF(AND(I629&gt;=5.25,I629&lt;=8),"紧凑-高度紧凑",IF(I629&gt;=8.5,"紧凑-极度紧凑",""))))))))))</f>
        <v/>
      </c>
      <c r="L629" s="2">
        <f>IF(I629=0.1,"极紧凑",IF(AND(I629&gt;=1,I629&lt;=1.89),"松散",IF(AND(I629&gt;=2,I629&lt;=3.5),"标准",IF(I629&gt;=3.6,"紧凑",""))))</f>
        <v/>
      </c>
      <c r="M629" s="2" t="inlineStr">
        <is>
          <t>极紧凑-豹子号</t>
        </is>
      </c>
      <c r="N629" s="2" t="inlineStr">
        <is>
          <t>松散-极松散</t>
        </is>
      </c>
      <c r="O629" s="2" t="inlineStr">
        <is>
          <t>松散-标准松散</t>
        </is>
      </c>
      <c r="P629" s="2" t="inlineStr">
        <is>
          <t>松散-偏紧松散</t>
        </is>
      </c>
      <c r="Q629" s="2" t="inlineStr">
        <is>
          <t>标准-偏松标准</t>
        </is>
      </c>
      <c r="R629" s="2" t="inlineStr">
        <is>
          <t>标准-核心标准</t>
        </is>
      </c>
      <c r="S629" s="2" t="inlineStr">
        <is>
          <t>标准-偏紧标准</t>
        </is>
      </c>
      <c r="T629" s="2" t="inlineStr">
        <is>
          <t>紧凑-标准紧凑</t>
        </is>
      </c>
      <c r="U629" s="2" t="inlineStr">
        <is>
          <t>紧凑-高度紧凑</t>
        </is>
      </c>
      <c r="V629" s="2" t="inlineStr">
        <is>
          <t>紧凑-极度紧凑</t>
        </is>
      </c>
    </row>
    <row r="630">
      <c r="A630" s="1" t="n">
        <v>2024197</v>
      </c>
      <c r="B630" s="3" t="inlineStr">
        <is>
          <t>105</t>
        </is>
      </c>
      <c r="C630" s="2">
        <f>IF(B630="","",LEFT(TEXT(B630,"000"),1)*1)</f>
        <v/>
      </c>
      <c r="D630" s="2">
        <f>IF(B630="","",MID(TEXT(B630,"000"),2,1)*1)</f>
        <v/>
      </c>
      <c r="E630" s="2">
        <f>IF(B630="","",RIGHT(TEXT(B630,"000"),1)*1)</f>
        <v/>
      </c>
      <c r="F630" s="2">
        <f>IF(B630="","",C630+D630+E630)</f>
        <v/>
      </c>
      <c r="G630" s="2">
        <f>IF(B630="","",MOD(F630,10))</f>
        <v/>
      </c>
      <c r="H630" s="2">
        <f>IF(B630="","",MAX(C630,D630,E630)-MIN(C630,D630,E630))</f>
        <v/>
      </c>
      <c r="I630" s="2">
        <f>IF(OR(B630="",H630=0),IF(H630=0,0.1,""),ROUND(F630/H630,2))</f>
        <v/>
      </c>
      <c r="J630" s="2">
        <f>IF(I630=0.1,"极紧凑",IF(I630&gt;3.5,"紧凑",IF(AND(I630&gt;=2,I630&lt;=3.5),"标准",IF(AND(I630&gt;=1,I630&lt;2),"松散",""))))</f>
        <v/>
      </c>
      <c r="K630" s="2">
        <f>IF(I630=0.1,"极紧凑-豹子号",IF(AND(I630&gt;=1,I630&lt;=1.29),"松散-极松散",IF(AND(I630&gt;=1.33,I630&lt;=1.8),"松散-标准松散",IF(AND(I630&gt;=1.83,I630&lt;=1.89),"松散-偏紧松散",IF(AND(I630&gt;=2,I630&lt;=2.5),"标准-偏松标准",IF(AND(I630&gt;=2.57,I630&lt;=3),"标准-核心标准",IF(AND(I630&gt;=3.17,I630&lt;=3.5),"标准-偏紧标准",IF(AND(I630&gt;=3.6,I630&lt;=5),"紧凑-标准紧凑",IF(AND(I630&gt;=5.25,I630&lt;=8),"紧凑-高度紧凑",IF(I630&gt;=8.5,"紧凑-极度紧凑",""))))))))))</f>
        <v/>
      </c>
      <c r="L630" s="2">
        <f>IF(I630=0.1,"极紧凑",IF(AND(I630&gt;=1,I630&lt;=1.89),"松散",IF(AND(I630&gt;=2,I630&lt;=3.5),"标准",IF(I630&gt;=3.6,"紧凑",""))))</f>
        <v/>
      </c>
      <c r="M630" s="2" t="inlineStr">
        <is>
          <t>极紧凑-豹子号</t>
        </is>
      </c>
      <c r="N630" s="2" t="inlineStr">
        <is>
          <t>松散-极松散</t>
        </is>
      </c>
      <c r="O630" s="2" t="inlineStr">
        <is>
          <t>松散-标准松散</t>
        </is>
      </c>
      <c r="P630" s="2" t="inlineStr">
        <is>
          <t>松散-偏紧松散</t>
        </is>
      </c>
      <c r="Q630" s="2" t="inlineStr">
        <is>
          <t>标准-偏松标准</t>
        </is>
      </c>
      <c r="R630" s="2" t="inlineStr">
        <is>
          <t>标准-核心标准</t>
        </is>
      </c>
      <c r="S630" s="2" t="inlineStr">
        <is>
          <t>标准-偏紧标准</t>
        </is>
      </c>
      <c r="T630" s="2" t="inlineStr">
        <is>
          <t>紧凑-标准紧凑</t>
        </is>
      </c>
      <c r="U630" s="2" t="inlineStr">
        <is>
          <t>紧凑-高度紧凑</t>
        </is>
      </c>
      <c r="V630" s="2" t="inlineStr">
        <is>
          <t>紧凑-极度紧凑</t>
        </is>
      </c>
    </row>
    <row r="631">
      <c r="A631" s="1" t="n">
        <v>2024198</v>
      </c>
      <c r="B631" s="3" t="inlineStr">
        <is>
          <t>550</t>
        </is>
      </c>
      <c r="C631" s="2">
        <f>IF(B631="","",LEFT(TEXT(B631,"000"),1)*1)</f>
        <v/>
      </c>
      <c r="D631" s="2">
        <f>IF(B631="","",MID(TEXT(B631,"000"),2,1)*1)</f>
        <v/>
      </c>
      <c r="E631" s="2">
        <f>IF(B631="","",RIGHT(TEXT(B631,"000"),1)*1)</f>
        <v/>
      </c>
      <c r="F631" s="2">
        <f>IF(B631="","",C631+D631+E631)</f>
        <v/>
      </c>
      <c r="G631" s="2">
        <f>IF(B631="","",MOD(F631,10))</f>
        <v/>
      </c>
      <c r="H631" s="2">
        <f>IF(B631="","",MAX(C631,D631,E631)-MIN(C631,D631,E631))</f>
        <v/>
      </c>
      <c r="I631" s="2">
        <f>IF(OR(B631="",H631=0),IF(H631=0,0.1,""),ROUND(F631/H631,2))</f>
        <v/>
      </c>
      <c r="J631" s="2">
        <f>IF(I631=0.1,"极紧凑",IF(I631&gt;3.5,"紧凑",IF(AND(I631&gt;=2,I631&lt;=3.5),"标准",IF(AND(I631&gt;=1,I631&lt;2),"松散",""))))</f>
        <v/>
      </c>
      <c r="K631" s="2">
        <f>IF(I631=0.1,"极紧凑-豹子号",IF(AND(I631&gt;=1,I631&lt;=1.29),"松散-极松散",IF(AND(I631&gt;=1.33,I631&lt;=1.8),"松散-标准松散",IF(AND(I631&gt;=1.83,I631&lt;=1.89),"松散-偏紧松散",IF(AND(I631&gt;=2,I631&lt;=2.5),"标准-偏松标准",IF(AND(I631&gt;=2.57,I631&lt;=3),"标准-核心标准",IF(AND(I631&gt;=3.17,I631&lt;=3.5),"标准-偏紧标准",IF(AND(I631&gt;=3.6,I631&lt;=5),"紧凑-标准紧凑",IF(AND(I631&gt;=5.25,I631&lt;=8),"紧凑-高度紧凑",IF(I631&gt;=8.5,"紧凑-极度紧凑",""))))))))))</f>
        <v/>
      </c>
      <c r="L631" s="2">
        <f>IF(I631=0.1,"极紧凑",IF(AND(I631&gt;=1,I631&lt;=1.89),"松散",IF(AND(I631&gt;=2,I631&lt;=3.5),"标准",IF(I631&gt;=3.6,"紧凑",""))))</f>
        <v/>
      </c>
      <c r="M631" s="2" t="inlineStr">
        <is>
          <t>极紧凑-豹子号</t>
        </is>
      </c>
      <c r="N631" s="2" t="inlineStr">
        <is>
          <t>松散-极松散</t>
        </is>
      </c>
      <c r="O631" s="2" t="inlineStr">
        <is>
          <t>松散-标准松散</t>
        </is>
      </c>
      <c r="P631" s="2" t="inlineStr">
        <is>
          <t>松散-偏紧松散</t>
        </is>
      </c>
      <c r="Q631" s="2" t="inlineStr">
        <is>
          <t>标准-偏松标准</t>
        </is>
      </c>
      <c r="R631" s="2" t="inlineStr">
        <is>
          <t>标准-核心标准</t>
        </is>
      </c>
      <c r="S631" s="2" t="inlineStr">
        <is>
          <t>标准-偏紧标准</t>
        </is>
      </c>
      <c r="T631" s="2" t="inlineStr">
        <is>
          <t>紧凑-标准紧凑</t>
        </is>
      </c>
      <c r="U631" s="2" t="inlineStr">
        <is>
          <t>紧凑-高度紧凑</t>
        </is>
      </c>
      <c r="V631" s="2" t="inlineStr">
        <is>
          <t>紧凑-极度紧凑</t>
        </is>
      </c>
    </row>
    <row r="632">
      <c r="A632" s="1" t="n">
        <v>2024199</v>
      </c>
      <c r="B632" s="3" t="inlineStr">
        <is>
          <t>558</t>
        </is>
      </c>
      <c r="C632" s="2">
        <f>IF(B632="","",LEFT(TEXT(B632,"000"),1)*1)</f>
        <v/>
      </c>
      <c r="D632" s="2">
        <f>IF(B632="","",MID(TEXT(B632,"000"),2,1)*1)</f>
        <v/>
      </c>
      <c r="E632" s="2">
        <f>IF(B632="","",RIGHT(TEXT(B632,"000"),1)*1)</f>
        <v/>
      </c>
      <c r="F632" s="2">
        <f>IF(B632="","",C632+D632+E632)</f>
        <v/>
      </c>
      <c r="G632" s="2">
        <f>IF(B632="","",MOD(F632,10))</f>
        <v/>
      </c>
      <c r="H632" s="2">
        <f>IF(B632="","",MAX(C632,D632,E632)-MIN(C632,D632,E632))</f>
        <v/>
      </c>
      <c r="I632" s="2">
        <f>IF(OR(B632="",H632=0),IF(H632=0,0.1,""),ROUND(F632/H632,2))</f>
        <v/>
      </c>
      <c r="J632" s="2">
        <f>IF(I632=0.1,"极紧凑",IF(I632&gt;3.5,"紧凑",IF(AND(I632&gt;=2,I632&lt;=3.5),"标准",IF(AND(I632&gt;=1,I632&lt;2),"松散",""))))</f>
        <v/>
      </c>
      <c r="K632" s="2">
        <f>IF(I632=0.1,"极紧凑-豹子号",IF(AND(I632&gt;=1,I632&lt;=1.29),"松散-极松散",IF(AND(I632&gt;=1.33,I632&lt;=1.8),"松散-标准松散",IF(AND(I632&gt;=1.83,I632&lt;=1.89),"松散-偏紧松散",IF(AND(I632&gt;=2,I632&lt;=2.5),"标准-偏松标准",IF(AND(I632&gt;=2.57,I632&lt;=3),"标准-核心标准",IF(AND(I632&gt;=3.17,I632&lt;=3.5),"标准-偏紧标准",IF(AND(I632&gt;=3.6,I632&lt;=5),"紧凑-标准紧凑",IF(AND(I632&gt;=5.25,I632&lt;=8),"紧凑-高度紧凑",IF(I632&gt;=8.5,"紧凑-极度紧凑",""))))))))))</f>
        <v/>
      </c>
      <c r="L632" s="2">
        <f>IF(I632=0.1,"极紧凑",IF(AND(I632&gt;=1,I632&lt;=1.89),"松散",IF(AND(I632&gt;=2,I632&lt;=3.5),"标准",IF(I632&gt;=3.6,"紧凑",""))))</f>
        <v/>
      </c>
      <c r="M632" s="2" t="inlineStr">
        <is>
          <t>极紧凑-豹子号</t>
        </is>
      </c>
      <c r="N632" s="2" t="inlineStr">
        <is>
          <t>松散-极松散</t>
        </is>
      </c>
      <c r="O632" s="2" t="inlineStr">
        <is>
          <t>松散-标准松散</t>
        </is>
      </c>
      <c r="P632" s="2" t="inlineStr">
        <is>
          <t>松散-偏紧松散</t>
        </is>
      </c>
      <c r="Q632" s="2" t="inlineStr">
        <is>
          <t>标准-偏松标准</t>
        </is>
      </c>
      <c r="R632" s="2" t="inlineStr">
        <is>
          <t>标准-核心标准</t>
        </is>
      </c>
      <c r="S632" s="2" t="inlineStr">
        <is>
          <t>标准-偏紧标准</t>
        </is>
      </c>
      <c r="T632" s="2" t="inlineStr">
        <is>
          <t>紧凑-标准紧凑</t>
        </is>
      </c>
      <c r="U632" s="2" t="inlineStr">
        <is>
          <t>紧凑-高度紧凑</t>
        </is>
      </c>
      <c r="V632" s="2" t="inlineStr">
        <is>
          <t>紧凑-极度紧凑</t>
        </is>
      </c>
    </row>
    <row r="633">
      <c r="A633" s="1" t="n">
        <v>2024200</v>
      </c>
      <c r="B633" s="3" t="inlineStr">
        <is>
          <t>380</t>
        </is>
      </c>
      <c r="C633" s="2">
        <f>IF(B633="","",LEFT(TEXT(B633,"000"),1)*1)</f>
        <v/>
      </c>
      <c r="D633" s="2">
        <f>IF(B633="","",MID(TEXT(B633,"000"),2,1)*1)</f>
        <v/>
      </c>
      <c r="E633" s="2">
        <f>IF(B633="","",RIGHT(TEXT(B633,"000"),1)*1)</f>
        <v/>
      </c>
      <c r="F633" s="2">
        <f>IF(B633="","",C633+D633+E633)</f>
        <v/>
      </c>
      <c r="G633" s="2">
        <f>IF(B633="","",MOD(F633,10))</f>
        <v/>
      </c>
      <c r="H633" s="2">
        <f>IF(B633="","",MAX(C633,D633,E633)-MIN(C633,D633,E633))</f>
        <v/>
      </c>
      <c r="I633" s="2">
        <f>IF(OR(B633="",H633=0),IF(H633=0,0.1,""),ROUND(F633/H633,2))</f>
        <v/>
      </c>
      <c r="J633" s="2">
        <f>IF(I633=0.1,"极紧凑",IF(I633&gt;3.5,"紧凑",IF(AND(I633&gt;=2,I633&lt;=3.5),"标准",IF(AND(I633&gt;=1,I633&lt;2),"松散",""))))</f>
        <v/>
      </c>
      <c r="K633" s="2">
        <f>IF(I633=0.1,"极紧凑-豹子号",IF(AND(I633&gt;=1,I633&lt;=1.29),"松散-极松散",IF(AND(I633&gt;=1.33,I633&lt;=1.8),"松散-标准松散",IF(AND(I633&gt;=1.83,I633&lt;=1.89),"松散-偏紧松散",IF(AND(I633&gt;=2,I633&lt;=2.5),"标准-偏松标准",IF(AND(I633&gt;=2.57,I633&lt;=3),"标准-核心标准",IF(AND(I633&gt;=3.17,I633&lt;=3.5),"标准-偏紧标准",IF(AND(I633&gt;=3.6,I633&lt;=5),"紧凑-标准紧凑",IF(AND(I633&gt;=5.25,I633&lt;=8),"紧凑-高度紧凑",IF(I633&gt;=8.5,"紧凑-极度紧凑",""))))))))))</f>
        <v/>
      </c>
      <c r="L633" s="2">
        <f>IF(I633=0.1,"极紧凑",IF(AND(I633&gt;=1,I633&lt;=1.89),"松散",IF(AND(I633&gt;=2,I633&lt;=3.5),"标准",IF(I633&gt;=3.6,"紧凑",""))))</f>
        <v/>
      </c>
      <c r="M633" s="2" t="inlineStr">
        <is>
          <t>极紧凑-豹子号</t>
        </is>
      </c>
      <c r="N633" s="2" t="inlineStr">
        <is>
          <t>松散-极松散</t>
        </is>
      </c>
      <c r="O633" s="2" t="inlineStr">
        <is>
          <t>松散-标准松散</t>
        </is>
      </c>
      <c r="P633" s="2" t="inlineStr">
        <is>
          <t>松散-偏紧松散</t>
        </is>
      </c>
      <c r="Q633" s="2" t="inlineStr">
        <is>
          <t>标准-偏松标准</t>
        </is>
      </c>
      <c r="R633" s="2" t="inlineStr">
        <is>
          <t>标准-核心标准</t>
        </is>
      </c>
      <c r="S633" s="2" t="inlineStr">
        <is>
          <t>标准-偏紧标准</t>
        </is>
      </c>
      <c r="T633" s="2" t="inlineStr">
        <is>
          <t>紧凑-标准紧凑</t>
        </is>
      </c>
      <c r="U633" s="2" t="inlineStr">
        <is>
          <t>紧凑-高度紧凑</t>
        </is>
      </c>
      <c r="V633" s="2" t="inlineStr">
        <is>
          <t>紧凑-极度紧凑</t>
        </is>
      </c>
    </row>
    <row r="634">
      <c r="A634" s="1" t="n">
        <v>2024201</v>
      </c>
      <c r="B634" s="3" t="inlineStr">
        <is>
          <t>515</t>
        </is>
      </c>
      <c r="C634" s="2">
        <f>IF(B634="","",LEFT(TEXT(B634,"000"),1)*1)</f>
        <v/>
      </c>
      <c r="D634" s="2">
        <f>IF(B634="","",MID(TEXT(B634,"000"),2,1)*1)</f>
        <v/>
      </c>
      <c r="E634" s="2">
        <f>IF(B634="","",RIGHT(TEXT(B634,"000"),1)*1)</f>
        <v/>
      </c>
      <c r="F634" s="2">
        <f>IF(B634="","",C634+D634+E634)</f>
        <v/>
      </c>
      <c r="G634" s="2">
        <f>IF(B634="","",MOD(F634,10))</f>
        <v/>
      </c>
      <c r="H634" s="2">
        <f>IF(B634="","",MAX(C634,D634,E634)-MIN(C634,D634,E634))</f>
        <v/>
      </c>
      <c r="I634" s="2">
        <f>IF(OR(B634="",H634=0),IF(H634=0,0.1,""),ROUND(F634/H634,2))</f>
        <v/>
      </c>
      <c r="J634" s="2">
        <f>IF(I634=0.1,"极紧凑",IF(I634&gt;3.5,"紧凑",IF(AND(I634&gt;=2,I634&lt;=3.5),"标准",IF(AND(I634&gt;=1,I634&lt;2),"松散",""))))</f>
        <v/>
      </c>
      <c r="K634" s="2">
        <f>IF(I634=0.1,"极紧凑-豹子号",IF(AND(I634&gt;=1,I634&lt;=1.29),"松散-极松散",IF(AND(I634&gt;=1.33,I634&lt;=1.8),"松散-标准松散",IF(AND(I634&gt;=1.83,I634&lt;=1.89),"松散-偏紧松散",IF(AND(I634&gt;=2,I634&lt;=2.5),"标准-偏松标准",IF(AND(I634&gt;=2.57,I634&lt;=3),"标准-核心标准",IF(AND(I634&gt;=3.17,I634&lt;=3.5),"标准-偏紧标准",IF(AND(I634&gt;=3.6,I634&lt;=5),"紧凑-标准紧凑",IF(AND(I634&gt;=5.25,I634&lt;=8),"紧凑-高度紧凑",IF(I634&gt;=8.5,"紧凑-极度紧凑",""))))))))))</f>
        <v/>
      </c>
      <c r="L634" s="2">
        <f>IF(I634=0.1,"极紧凑",IF(AND(I634&gt;=1,I634&lt;=1.89),"松散",IF(AND(I634&gt;=2,I634&lt;=3.5),"标准",IF(I634&gt;=3.6,"紧凑",""))))</f>
        <v/>
      </c>
      <c r="M634" s="2" t="inlineStr">
        <is>
          <t>极紧凑-豹子号</t>
        </is>
      </c>
      <c r="N634" s="2" t="inlineStr">
        <is>
          <t>松散-极松散</t>
        </is>
      </c>
      <c r="O634" s="2" t="inlineStr">
        <is>
          <t>松散-标准松散</t>
        </is>
      </c>
      <c r="P634" s="2" t="inlineStr">
        <is>
          <t>松散-偏紧松散</t>
        </is>
      </c>
      <c r="Q634" s="2" t="inlineStr">
        <is>
          <t>标准-偏松标准</t>
        </is>
      </c>
      <c r="R634" s="2" t="inlineStr">
        <is>
          <t>标准-核心标准</t>
        </is>
      </c>
      <c r="S634" s="2" t="inlineStr">
        <is>
          <t>标准-偏紧标准</t>
        </is>
      </c>
      <c r="T634" s="2" t="inlineStr">
        <is>
          <t>紧凑-标准紧凑</t>
        </is>
      </c>
      <c r="U634" s="2" t="inlineStr">
        <is>
          <t>紧凑-高度紧凑</t>
        </is>
      </c>
      <c r="V634" s="2" t="inlineStr">
        <is>
          <t>紧凑-极度紧凑</t>
        </is>
      </c>
    </row>
    <row r="635">
      <c r="A635" s="1" t="n">
        <v>2024202</v>
      </c>
      <c r="B635" s="3" t="inlineStr">
        <is>
          <t>187</t>
        </is>
      </c>
      <c r="C635" s="2">
        <f>IF(B635="","",LEFT(TEXT(B635,"000"),1)*1)</f>
        <v/>
      </c>
      <c r="D635" s="2">
        <f>IF(B635="","",MID(TEXT(B635,"000"),2,1)*1)</f>
        <v/>
      </c>
      <c r="E635" s="2">
        <f>IF(B635="","",RIGHT(TEXT(B635,"000"),1)*1)</f>
        <v/>
      </c>
      <c r="F635" s="2">
        <f>IF(B635="","",C635+D635+E635)</f>
        <v/>
      </c>
      <c r="G635" s="2">
        <f>IF(B635="","",MOD(F635,10))</f>
        <v/>
      </c>
      <c r="H635" s="2">
        <f>IF(B635="","",MAX(C635,D635,E635)-MIN(C635,D635,E635))</f>
        <v/>
      </c>
      <c r="I635" s="2">
        <f>IF(OR(B635="",H635=0),IF(H635=0,0.1,""),ROUND(F635/H635,2))</f>
        <v/>
      </c>
      <c r="J635" s="2">
        <f>IF(I635=0.1,"极紧凑",IF(I635&gt;3.5,"紧凑",IF(AND(I635&gt;=2,I635&lt;=3.5),"标准",IF(AND(I635&gt;=1,I635&lt;2),"松散",""))))</f>
        <v/>
      </c>
      <c r="K635" s="2">
        <f>IF(I635=0.1,"极紧凑-豹子号",IF(AND(I635&gt;=1,I635&lt;=1.29),"松散-极松散",IF(AND(I635&gt;=1.33,I635&lt;=1.8),"松散-标准松散",IF(AND(I635&gt;=1.83,I635&lt;=1.89),"松散-偏紧松散",IF(AND(I635&gt;=2,I635&lt;=2.5),"标准-偏松标准",IF(AND(I635&gt;=2.57,I635&lt;=3),"标准-核心标准",IF(AND(I635&gt;=3.17,I635&lt;=3.5),"标准-偏紧标准",IF(AND(I635&gt;=3.6,I635&lt;=5),"紧凑-标准紧凑",IF(AND(I635&gt;=5.25,I635&lt;=8),"紧凑-高度紧凑",IF(I635&gt;=8.5,"紧凑-极度紧凑",""))))))))))</f>
        <v/>
      </c>
      <c r="L635" s="2">
        <f>IF(I635=0.1,"极紧凑",IF(AND(I635&gt;=1,I635&lt;=1.89),"松散",IF(AND(I635&gt;=2,I635&lt;=3.5),"标准",IF(I635&gt;=3.6,"紧凑",""))))</f>
        <v/>
      </c>
      <c r="M635" s="2" t="inlineStr">
        <is>
          <t>极紧凑-豹子号</t>
        </is>
      </c>
      <c r="N635" s="2" t="inlineStr">
        <is>
          <t>松散-极松散</t>
        </is>
      </c>
      <c r="O635" s="2" t="inlineStr">
        <is>
          <t>松散-标准松散</t>
        </is>
      </c>
      <c r="P635" s="2" t="inlineStr">
        <is>
          <t>松散-偏紧松散</t>
        </is>
      </c>
      <c r="Q635" s="2" t="inlineStr">
        <is>
          <t>标准-偏松标准</t>
        </is>
      </c>
      <c r="R635" s="2" t="inlineStr">
        <is>
          <t>标准-核心标准</t>
        </is>
      </c>
      <c r="S635" s="2" t="inlineStr">
        <is>
          <t>标准-偏紧标准</t>
        </is>
      </c>
      <c r="T635" s="2" t="inlineStr">
        <is>
          <t>紧凑-标准紧凑</t>
        </is>
      </c>
      <c r="U635" s="2" t="inlineStr">
        <is>
          <t>紧凑-高度紧凑</t>
        </is>
      </c>
      <c r="V635" s="2" t="inlineStr">
        <is>
          <t>紧凑-极度紧凑</t>
        </is>
      </c>
    </row>
    <row r="636">
      <c r="A636" s="1" t="n">
        <v>2024203</v>
      </c>
      <c r="B636" s="3" t="inlineStr">
        <is>
          <t>592</t>
        </is>
      </c>
      <c r="C636" s="2">
        <f>IF(B636="","",LEFT(TEXT(B636,"000"),1)*1)</f>
        <v/>
      </c>
      <c r="D636" s="2">
        <f>IF(B636="","",MID(TEXT(B636,"000"),2,1)*1)</f>
        <v/>
      </c>
      <c r="E636" s="2">
        <f>IF(B636="","",RIGHT(TEXT(B636,"000"),1)*1)</f>
        <v/>
      </c>
      <c r="F636" s="2">
        <f>IF(B636="","",C636+D636+E636)</f>
        <v/>
      </c>
      <c r="G636" s="2">
        <f>IF(B636="","",MOD(F636,10))</f>
        <v/>
      </c>
      <c r="H636" s="2">
        <f>IF(B636="","",MAX(C636,D636,E636)-MIN(C636,D636,E636))</f>
        <v/>
      </c>
      <c r="I636" s="2">
        <f>IF(OR(B636="",H636=0),IF(H636=0,0.1,""),ROUND(F636/H636,2))</f>
        <v/>
      </c>
      <c r="J636" s="2">
        <f>IF(I636=0.1,"极紧凑",IF(I636&gt;3.5,"紧凑",IF(AND(I636&gt;=2,I636&lt;=3.5),"标准",IF(AND(I636&gt;=1,I636&lt;2),"松散",""))))</f>
        <v/>
      </c>
      <c r="K636" s="2">
        <f>IF(I636=0.1,"极紧凑-豹子号",IF(AND(I636&gt;=1,I636&lt;=1.29),"松散-极松散",IF(AND(I636&gt;=1.33,I636&lt;=1.8),"松散-标准松散",IF(AND(I636&gt;=1.83,I636&lt;=1.89),"松散-偏紧松散",IF(AND(I636&gt;=2,I636&lt;=2.5),"标准-偏松标准",IF(AND(I636&gt;=2.57,I636&lt;=3),"标准-核心标准",IF(AND(I636&gt;=3.17,I636&lt;=3.5),"标准-偏紧标准",IF(AND(I636&gt;=3.6,I636&lt;=5),"紧凑-标准紧凑",IF(AND(I636&gt;=5.25,I636&lt;=8),"紧凑-高度紧凑",IF(I636&gt;=8.5,"紧凑-极度紧凑",""))))))))))</f>
        <v/>
      </c>
      <c r="L636" s="2">
        <f>IF(I636=0.1,"极紧凑",IF(AND(I636&gt;=1,I636&lt;=1.89),"松散",IF(AND(I636&gt;=2,I636&lt;=3.5),"标准",IF(I636&gt;=3.6,"紧凑",""))))</f>
        <v/>
      </c>
      <c r="M636" s="2" t="inlineStr">
        <is>
          <t>极紧凑-豹子号</t>
        </is>
      </c>
      <c r="N636" s="2" t="inlineStr">
        <is>
          <t>松散-极松散</t>
        </is>
      </c>
      <c r="O636" s="2" t="inlineStr">
        <is>
          <t>松散-标准松散</t>
        </is>
      </c>
      <c r="P636" s="2" t="inlineStr">
        <is>
          <t>松散-偏紧松散</t>
        </is>
      </c>
      <c r="Q636" s="2" t="inlineStr">
        <is>
          <t>标准-偏松标准</t>
        </is>
      </c>
      <c r="R636" s="2" t="inlineStr">
        <is>
          <t>标准-核心标准</t>
        </is>
      </c>
      <c r="S636" s="2" t="inlineStr">
        <is>
          <t>标准-偏紧标准</t>
        </is>
      </c>
      <c r="T636" s="2" t="inlineStr">
        <is>
          <t>紧凑-标准紧凑</t>
        </is>
      </c>
      <c r="U636" s="2" t="inlineStr">
        <is>
          <t>紧凑-高度紧凑</t>
        </is>
      </c>
      <c r="V636" s="2" t="inlineStr">
        <is>
          <t>紧凑-极度紧凑</t>
        </is>
      </c>
    </row>
    <row r="637">
      <c r="A637" s="1" t="n">
        <v>2024204</v>
      </c>
      <c r="B637" s="3" t="inlineStr">
        <is>
          <t>047</t>
        </is>
      </c>
      <c r="C637" s="2">
        <f>IF(B637="","",LEFT(TEXT(B637,"000"),1)*1)</f>
        <v/>
      </c>
      <c r="D637" s="2">
        <f>IF(B637="","",MID(TEXT(B637,"000"),2,1)*1)</f>
        <v/>
      </c>
      <c r="E637" s="2">
        <f>IF(B637="","",RIGHT(TEXT(B637,"000"),1)*1)</f>
        <v/>
      </c>
      <c r="F637" s="2">
        <f>IF(B637="","",C637+D637+E637)</f>
        <v/>
      </c>
      <c r="G637" s="2">
        <f>IF(B637="","",MOD(F637,10))</f>
        <v/>
      </c>
      <c r="H637" s="2">
        <f>IF(B637="","",MAX(C637,D637,E637)-MIN(C637,D637,E637))</f>
        <v/>
      </c>
      <c r="I637" s="2">
        <f>IF(OR(B637="",H637=0),IF(H637=0,0.1,""),ROUND(F637/H637,2))</f>
        <v/>
      </c>
      <c r="J637" s="2">
        <f>IF(I637=0.1,"极紧凑",IF(I637&gt;3.5,"紧凑",IF(AND(I637&gt;=2,I637&lt;=3.5),"标准",IF(AND(I637&gt;=1,I637&lt;2),"松散",""))))</f>
        <v/>
      </c>
      <c r="K637" s="2">
        <f>IF(I637=0.1,"极紧凑-豹子号",IF(AND(I637&gt;=1,I637&lt;=1.29),"松散-极松散",IF(AND(I637&gt;=1.33,I637&lt;=1.8),"松散-标准松散",IF(AND(I637&gt;=1.83,I637&lt;=1.89),"松散-偏紧松散",IF(AND(I637&gt;=2,I637&lt;=2.5),"标准-偏松标准",IF(AND(I637&gt;=2.57,I637&lt;=3),"标准-核心标准",IF(AND(I637&gt;=3.17,I637&lt;=3.5),"标准-偏紧标准",IF(AND(I637&gt;=3.6,I637&lt;=5),"紧凑-标准紧凑",IF(AND(I637&gt;=5.25,I637&lt;=8),"紧凑-高度紧凑",IF(I637&gt;=8.5,"紧凑-极度紧凑",""))))))))))</f>
        <v/>
      </c>
      <c r="L637" s="2">
        <f>IF(I637=0.1,"极紧凑",IF(AND(I637&gt;=1,I637&lt;=1.89),"松散",IF(AND(I637&gt;=2,I637&lt;=3.5),"标准",IF(I637&gt;=3.6,"紧凑",""))))</f>
        <v/>
      </c>
      <c r="M637" s="2" t="inlineStr">
        <is>
          <t>极紧凑-豹子号</t>
        </is>
      </c>
      <c r="N637" s="2" t="inlineStr">
        <is>
          <t>松散-极松散</t>
        </is>
      </c>
      <c r="O637" s="2" t="inlineStr">
        <is>
          <t>松散-标准松散</t>
        </is>
      </c>
      <c r="P637" s="2" t="inlineStr">
        <is>
          <t>松散-偏紧松散</t>
        </is>
      </c>
      <c r="Q637" s="2" t="inlineStr">
        <is>
          <t>标准-偏松标准</t>
        </is>
      </c>
      <c r="R637" s="2" t="inlineStr">
        <is>
          <t>标准-核心标准</t>
        </is>
      </c>
      <c r="S637" s="2" t="inlineStr">
        <is>
          <t>标准-偏紧标准</t>
        </is>
      </c>
      <c r="T637" s="2" t="inlineStr">
        <is>
          <t>紧凑-标准紧凑</t>
        </is>
      </c>
      <c r="U637" s="2" t="inlineStr">
        <is>
          <t>紧凑-高度紧凑</t>
        </is>
      </c>
      <c r="V637" s="2" t="inlineStr">
        <is>
          <t>紧凑-极度紧凑</t>
        </is>
      </c>
    </row>
    <row r="638">
      <c r="A638" s="1" t="n">
        <v>2024205</v>
      </c>
      <c r="B638" s="3" t="inlineStr">
        <is>
          <t>241</t>
        </is>
      </c>
      <c r="C638" s="2">
        <f>IF(B638="","",LEFT(TEXT(B638,"000"),1)*1)</f>
        <v/>
      </c>
      <c r="D638" s="2">
        <f>IF(B638="","",MID(TEXT(B638,"000"),2,1)*1)</f>
        <v/>
      </c>
      <c r="E638" s="2">
        <f>IF(B638="","",RIGHT(TEXT(B638,"000"),1)*1)</f>
        <v/>
      </c>
      <c r="F638" s="2">
        <f>IF(B638="","",C638+D638+E638)</f>
        <v/>
      </c>
      <c r="G638" s="2">
        <f>IF(B638="","",MOD(F638,10))</f>
        <v/>
      </c>
      <c r="H638" s="2">
        <f>IF(B638="","",MAX(C638,D638,E638)-MIN(C638,D638,E638))</f>
        <v/>
      </c>
      <c r="I638" s="2">
        <f>IF(OR(B638="",H638=0),IF(H638=0,0.1,""),ROUND(F638/H638,2))</f>
        <v/>
      </c>
      <c r="J638" s="2">
        <f>IF(I638=0.1,"极紧凑",IF(I638&gt;3.5,"紧凑",IF(AND(I638&gt;=2,I638&lt;=3.5),"标准",IF(AND(I638&gt;=1,I638&lt;2),"松散",""))))</f>
        <v/>
      </c>
      <c r="K638" s="2">
        <f>IF(I638=0.1,"极紧凑-豹子号",IF(AND(I638&gt;=1,I638&lt;=1.29),"松散-极松散",IF(AND(I638&gt;=1.33,I638&lt;=1.8),"松散-标准松散",IF(AND(I638&gt;=1.83,I638&lt;=1.89),"松散-偏紧松散",IF(AND(I638&gt;=2,I638&lt;=2.5),"标准-偏松标准",IF(AND(I638&gt;=2.57,I638&lt;=3),"标准-核心标准",IF(AND(I638&gt;=3.17,I638&lt;=3.5),"标准-偏紧标准",IF(AND(I638&gt;=3.6,I638&lt;=5),"紧凑-标准紧凑",IF(AND(I638&gt;=5.25,I638&lt;=8),"紧凑-高度紧凑",IF(I638&gt;=8.5,"紧凑-极度紧凑",""))))))))))</f>
        <v/>
      </c>
      <c r="L638" s="2">
        <f>IF(I638=0.1,"极紧凑",IF(AND(I638&gt;=1,I638&lt;=1.89),"松散",IF(AND(I638&gt;=2,I638&lt;=3.5),"标准",IF(I638&gt;=3.6,"紧凑",""))))</f>
        <v/>
      </c>
      <c r="M638" s="2" t="inlineStr">
        <is>
          <t>极紧凑-豹子号</t>
        </is>
      </c>
      <c r="N638" s="2" t="inlineStr">
        <is>
          <t>松散-极松散</t>
        </is>
      </c>
      <c r="O638" s="2" t="inlineStr">
        <is>
          <t>松散-标准松散</t>
        </is>
      </c>
      <c r="P638" s="2" t="inlineStr">
        <is>
          <t>松散-偏紧松散</t>
        </is>
      </c>
      <c r="Q638" s="2" t="inlineStr">
        <is>
          <t>标准-偏松标准</t>
        </is>
      </c>
      <c r="R638" s="2" t="inlineStr">
        <is>
          <t>标准-核心标准</t>
        </is>
      </c>
      <c r="S638" s="2" t="inlineStr">
        <is>
          <t>标准-偏紧标准</t>
        </is>
      </c>
      <c r="T638" s="2" t="inlineStr">
        <is>
          <t>紧凑-标准紧凑</t>
        </is>
      </c>
      <c r="U638" s="2" t="inlineStr">
        <is>
          <t>紧凑-高度紧凑</t>
        </is>
      </c>
      <c r="V638" s="2" t="inlineStr">
        <is>
          <t>紧凑-极度紧凑</t>
        </is>
      </c>
    </row>
    <row r="639">
      <c r="A639" s="1" t="n">
        <v>2024206</v>
      </c>
      <c r="B639" s="3" t="inlineStr">
        <is>
          <t>446</t>
        </is>
      </c>
      <c r="C639" s="2">
        <f>IF(B639="","",LEFT(TEXT(B639,"000"),1)*1)</f>
        <v/>
      </c>
      <c r="D639" s="2">
        <f>IF(B639="","",MID(TEXT(B639,"000"),2,1)*1)</f>
        <v/>
      </c>
      <c r="E639" s="2">
        <f>IF(B639="","",RIGHT(TEXT(B639,"000"),1)*1)</f>
        <v/>
      </c>
      <c r="F639" s="2">
        <f>IF(B639="","",C639+D639+E639)</f>
        <v/>
      </c>
      <c r="G639" s="2">
        <f>IF(B639="","",MOD(F639,10))</f>
        <v/>
      </c>
      <c r="H639" s="2">
        <f>IF(B639="","",MAX(C639,D639,E639)-MIN(C639,D639,E639))</f>
        <v/>
      </c>
      <c r="I639" s="2">
        <f>IF(OR(B639="",H639=0),IF(H639=0,0.1,""),ROUND(F639/H639,2))</f>
        <v/>
      </c>
      <c r="J639" s="2">
        <f>IF(I639=0.1,"极紧凑",IF(I639&gt;3.5,"紧凑",IF(AND(I639&gt;=2,I639&lt;=3.5),"标准",IF(AND(I639&gt;=1,I639&lt;2),"松散",""))))</f>
        <v/>
      </c>
      <c r="K639" s="2">
        <f>IF(I639=0.1,"极紧凑-豹子号",IF(AND(I639&gt;=1,I639&lt;=1.29),"松散-极松散",IF(AND(I639&gt;=1.33,I639&lt;=1.8),"松散-标准松散",IF(AND(I639&gt;=1.83,I639&lt;=1.89),"松散-偏紧松散",IF(AND(I639&gt;=2,I639&lt;=2.5),"标准-偏松标准",IF(AND(I639&gt;=2.57,I639&lt;=3),"标准-核心标准",IF(AND(I639&gt;=3.17,I639&lt;=3.5),"标准-偏紧标准",IF(AND(I639&gt;=3.6,I639&lt;=5),"紧凑-标准紧凑",IF(AND(I639&gt;=5.25,I639&lt;=8),"紧凑-高度紧凑",IF(I639&gt;=8.5,"紧凑-极度紧凑",""))))))))))</f>
        <v/>
      </c>
      <c r="L639" s="2">
        <f>IF(I639=0.1,"极紧凑",IF(AND(I639&gt;=1,I639&lt;=1.89),"松散",IF(AND(I639&gt;=2,I639&lt;=3.5),"标准",IF(I639&gt;=3.6,"紧凑",""))))</f>
        <v/>
      </c>
      <c r="M639" s="2" t="inlineStr">
        <is>
          <t>极紧凑-豹子号</t>
        </is>
      </c>
      <c r="N639" s="2" t="inlineStr">
        <is>
          <t>松散-极松散</t>
        </is>
      </c>
      <c r="O639" s="2" t="inlineStr">
        <is>
          <t>松散-标准松散</t>
        </is>
      </c>
      <c r="P639" s="2" t="inlineStr">
        <is>
          <t>松散-偏紧松散</t>
        </is>
      </c>
      <c r="Q639" s="2" t="inlineStr">
        <is>
          <t>标准-偏松标准</t>
        </is>
      </c>
      <c r="R639" s="2" t="inlineStr">
        <is>
          <t>标准-核心标准</t>
        </is>
      </c>
      <c r="S639" s="2" t="inlineStr">
        <is>
          <t>标准-偏紧标准</t>
        </is>
      </c>
      <c r="T639" s="2" t="inlineStr">
        <is>
          <t>紧凑-标准紧凑</t>
        </is>
      </c>
      <c r="U639" s="2" t="inlineStr">
        <is>
          <t>紧凑-高度紧凑</t>
        </is>
      </c>
      <c r="V639" s="2" t="inlineStr">
        <is>
          <t>紧凑-极度紧凑</t>
        </is>
      </c>
    </row>
    <row r="640">
      <c r="A640" s="1" t="n">
        <v>2024207</v>
      </c>
      <c r="B640" s="3" t="inlineStr">
        <is>
          <t>982</t>
        </is>
      </c>
      <c r="C640" s="2">
        <f>IF(B640="","",LEFT(TEXT(B640,"000"),1)*1)</f>
        <v/>
      </c>
      <c r="D640" s="2">
        <f>IF(B640="","",MID(TEXT(B640,"000"),2,1)*1)</f>
        <v/>
      </c>
      <c r="E640" s="2">
        <f>IF(B640="","",RIGHT(TEXT(B640,"000"),1)*1)</f>
        <v/>
      </c>
      <c r="F640" s="2">
        <f>IF(B640="","",C640+D640+E640)</f>
        <v/>
      </c>
      <c r="G640" s="2">
        <f>IF(B640="","",MOD(F640,10))</f>
        <v/>
      </c>
      <c r="H640" s="2">
        <f>IF(B640="","",MAX(C640,D640,E640)-MIN(C640,D640,E640))</f>
        <v/>
      </c>
      <c r="I640" s="2">
        <f>IF(OR(B640="",H640=0),IF(H640=0,0.1,""),ROUND(F640/H640,2))</f>
        <v/>
      </c>
      <c r="J640" s="2">
        <f>IF(I640=0.1,"极紧凑",IF(I640&gt;3.5,"紧凑",IF(AND(I640&gt;=2,I640&lt;=3.5),"标准",IF(AND(I640&gt;=1,I640&lt;2),"松散",""))))</f>
        <v/>
      </c>
      <c r="K640" s="2">
        <f>IF(I640=0.1,"极紧凑-豹子号",IF(AND(I640&gt;=1,I640&lt;=1.29),"松散-极松散",IF(AND(I640&gt;=1.33,I640&lt;=1.8),"松散-标准松散",IF(AND(I640&gt;=1.83,I640&lt;=1.89),"松散-偏紧松散",IF(AND(I640&gt;=2,I640&lt;=2.5),"标准-偏松标准",IF(AND(I640&gt;=2.57,I640&lt;=3),"标准-核心标准",IF(AND(I640&gt;=3.17,I640&lt;=3.5),"标准-偏紧标准",IF(AND(I640&gt;=3.6,I640&lt;=5),"紧凑-标准紧凑",IF(AND(I640&gt;=5.25,I640&lt;=8),"紧凑-高度紧凑",IF(I640&gt;=8.5,"紧凑-极度紧凑",""))))))))))</f>
        <v/>
      </c>
      <c r="L640" s="2">
        <f>IF(I640=0.1,"极紧凑",IF(AND(I640&gt;=1,I640&lt;=1.89),"松散",IF(AND(I640&gt;=2,I640&lt;=3.5),"标准",IF(I640&gt;=3.6,"紧凑",""))))</f>
        <v/>
      </c>
      <c r="M640" s="2" t="inlineStr">
        <is>
          <t>极紧凑-豹子号</t>
        </is>
      </c>
      <c r="N640" s="2" t="inlineStr">
        <is>
          <t>松散-极松散</t>
        </is>
      </c>
      <c r="O640" s="2" t="inlineStr">
        <is>
          <t>松散-标准松散</t>
        </is>
      </c>
      <c r="P640" s="2" t="inlineStr">
        <is>
          <t>松散-偏紧松散</t>
        </is>
      </c>
      <c r="Q640" s="2" t="inlineStr">
        <is>
          <t>标准-偏松标准</t>
        </is>
      </c>
      <c r="R640" s="2" t="inlineStr">
        <is>
          <t>标准-核心标准</t>
        </is>
      </c>
      <c r="S640" s="2" t="inlineStr">
        <is>
          <t>标准-偏紧标准</t>
        </is>
      </c>
      <c r="T640" s="2" t="inlineStr">
        <is>
          <t>紧凑-标准紧凑</t>
        </is>
      </c>
      <c r="U640" s="2" t="inlineStr">
        <is>
          <t>紧凑-高度紧凑</t>
        </is>
      </c>
      <c r="V640" s="2" t="inlineStr">
        <is>
          <t>紧凑-极度紧凑</t>
        </is>
      </c>
    </row>
    <row r="641">
      <c r="A641" s="1" t="n">
        <v>2024208</v>
      </c>
      <c r="B641" s="3" t="inlineStr">
        <is>
          <t>973</t>
        </is>
      </c>
      <c r="C641" s="2">
        <f>IF(B641="","",LEFT(TEXT(B641,"000"),1)*1)</f>
        <v/>
      </c>
      <c r="D641" s="2">
        <f>IF(B641="","",MID(TEXT(B641,"000"),2,1)*1)</f>
        <v/>
      </c>
      <c r="E641" s="2">
        <f>IF(B641="","",RIGHT(TEXT(B641,"000"),1)*1)</f>
        <v/>
      </c>
      <c r="F641" s="2">
        <f>IF(B641="","",C641+D641+E641)</f>
        <v/>
      </c>
      <c r="G641" s="2">
        <f>IF(B641="","",MOD(F641,10))</f>
        <v/>
      </c>
      <c r="H641" s="2">
        <f>IF(B641="","",MAX(C641,D641,E641)-MIN(C641,D641,E641))</f>
        <v/>
      </c>
      <c r="I641" s="2">
        <f>IF(OR(B641="",H641=0),IF(H641=0,0.1,""),ROUND(F641/H641,2))</f>
        <v/>
      </c>
      <c r="J641" s="2">
        <f>IF(I641=0.1,"极紧凑",IF(I641&gt;3.5,"紧凑",IF(AND(I641&gt;=2,I641&lt;=3.5),"标准",IF(AND(I641&gt;=1,I641&lt;2),"松散",""))))</f>
        <v/>
      </c>
      <c r="K641" s="2">
        <f>IF(I641=0.1,"极紧凑-豹子号",IF(AND(I641&gt;=1,I641&lt;=1.29),"松散-极松散",IF(AND(I641&gt;=1.33,I641&lt;=1.8),"松散-标准松散",IF(AND(I641&gt;=1.83,I641&lt;=1.89),"松散-偏紧松散",IF(AND(I641&gt;=2,I641&lt;=2.5),"标准-偏松标准",IF(AND(I641&gt;=2.57,I641&lt;=3),"标准-核心标准",IF(AND(I641&gt;=3.17,I641&lt;=3.5),"标准-偏紧标准",IF(AND(I641&gt;=3.6,I641&lt;=5),"紧凑-标准紧凑",IF(AND(I641&gt;=5.25,I641&lt;=8),"紧凑-高度紧凑",IF(I641&gt;=8.5,"紧凑-极度紧凑",""))))))))))</f>
        <v/>
      </c>
      <c r="L641" s="2">
        <f>IF(I641=0.1,"极紧凑",IF(AND(I641&gt;=1,I641&lt;=1.89),"松散",IF(AND(I641&gt;=2,I641&lt;=3.5),"标准",IF(I641&gt;=3.6,"紧凑",""))))</f>
        <v/>
      </c>
      <c r="M641" s="2" t="inlineStr">
        <is>
          <t>极紧凑-豹子号</t>
        </is>
      </c>
      <c r="N641" s="2" t="inlineStr">
        <is>
          <t>松散-极松散</t>
        </is>
      </c>
      <c r="O641" s="2" t="inlineStr">
        <is>
          <t>松散-标准松散</t>
        </is>
      </c>
      <c r="P641" s="2" t="inlineStr">
        <is>
          <t>松散-偏紧松散</t>
        </is>
      </c>
      <c r="Q641" s="2" t="inlineStr">
        <is>
          <t>标准-偏松标准</t>
        </is>
      </c>
      <c r="R641" s="2" t="inlineStr">
        <is>
          <t>标准-核心标准</t>
        </is>
      </c>
      <c r="S641" s="2" t="inlineStr">
        <is>
          <t>标准-偏紧标准</t>
        </is>
      </c>
      <c r="T641" s="2" t="inlineStr">
        <is>
          <t>紧凑-标准紧凑</t>
        </is>
      </c>
      <c r="U641" s="2" t="inlineStr">
        <is>
          <t>紧凑-高度紧凑</t>
        </is>
      </c>
      <c r="V641" s="2" t="inlineStr">
        <is>
          <t>紧凑-极度紧凑</t>
        </is>
      </c>
    </row>
    <row r="642">
      <c r="A642" s="1" t="n">
        <v>2024209</v>
      </c>
      <c r="B642" s="3" t="inlineStr">
        <is>
          <t>535</t>
        </is>
      </c>
      <c r="C642" s="2">
        <f>IF(B642="","",LEFT(TEXT(B642,"000"),1)*1)</f>
        <v/>
      </c>
      <c r="D642" s="2">
        <f>IF(B642="","",MID(TEXT(B642,"000"),2,1)*1)</f>
        <v/>
      </c>
      <c r="E642" s="2">
        <f>IF(B642="","",RIGHT(TEXT(B642,"000"),1)*1)</f>
        <v/>
      </c>
      <c r="F642" s="2">
        <f>IF(B642="","",C642+D642+E642)</f>
        <v/>
      </c>
      <c r="G642" s="2">
        <f>IF(B642="","",MOD(F642,10))</f>
        <v/>
      </c>
      <c r="H642" s="2">
        <f>IF(B642="","",MAX(C642,D642,E642)-MIN(C642,D642,E642))</f>
        <v/>
      </c>
      <c r="I642" s="2">
        <f>IF(OR(B642="",H642=0),IF(H642=0,0.1,""),ROUND(F642/H642,2))</f>
        <v/>
      </c>
      <c r="J642" s="2">
        <f>IF(I642=0.1,"极紧凑",IF(I642&gt;3.5,"紧凑",IF(AND(I642&gt;=2,I642&lt;=3.5),"标准",IF(AND(I642&gt;=1,I642&lt;2),"松散",""))))</f>
        <v/>
      </c>
      <c r="K642" s="2">
        <f>IF(I642=0.1,"极紧凑-豹子号",IF(AND(I642&gt;=1,I642&lt;=1.29),"松散-极松散",IF(AND(I642&gt;=1.33,I642&lt;=1.8),"松散-标准松散",IF(AND(I642&gt;=1.83,I642&lt;=1.89),"松散-偏紧松散",IF(AND(I642&gt;=2,I642&lt;=2.5),"标准-偏松标准",IF(AND(I642&gt;=2.57,I642&lt;=3),"标准-核心标准",IF(AND(I642&gt;=3.17,I642&lt;=3.5),"标准-偏紧标准",IF(AND(I642&gt;=3.6,I642&lt;=5),"紧凑-标准紧凑",IF(AND(I642&gt;=5.25,I642&lt;=8),"紧凑-高度紧凑",IF(I642&gt;=8.5,"紧凑-极度紧凑",""))))))))))</f>
        <v/>
      </c>
      <c r="L642" s="2">
        <f>IF(I642=0.1,"极紧凑",IF(AND(I642&gt;=1,I642&lt;=1.89),"松散",IF(AND(I642&gt;=2,I642&lt;=3.5),"标准",IF(I642&gt;=3.6,"紧凑",""))))</f>
        <v/>
      </c>
      <c r="M642" s="2" t="inlineStr">
        <is>
          <t>极紧凑-豹子号</t>
        </is>
      </c>
      <c r="N642" s="2" t="inlineStr">
        <is>
          <t>松散-极松散</t>
        </is>
      </c>
      <c r="O642" s="2" t="inlineStr">
        <is>
          <t>松散-标准松散</t>
        </is>
      </c>
      <c r="P642" s="2" t="inlineStr">
        <is>
          <t>松散-偏紧松散</t>
        </is>
      </c>
      <c r="Q642" s="2" t="inlineStr">
        <is>
          <t>标准-偏松标准</t>
        </is>
      </c>
      <c r="R642" s="2" t="inlineStr">
        <is>
          <t>标准-核心标准</t>
        </is>
      </c>
      <c r="S642" s="2" t="inlineStr">
        <is>
          <t>标准-偏紧标准</t>
        </is>
      </c>
      <c r="T642" s="2" t="inlineStr">
        <is>
          <t>紧凑-标准紧凑</t>
        </is>
      </c>
      <c r="U642" s="2" t="inlineStr">
        <is>
          <t>紧凑-高度紧凑</t>
        </is>
      </c>
      <c r="V642" s="2" t="inlineStr">
        <is>
          <t>紧凑-极度紧凑</t>
        </is>
      </c>
    </row>
    <row r="643">
      <c r="A643" s="1" t="n">
        <v>2024210</v>
      </c>
      <c r="B643" s="3" t="inlineStr">
        <is>
          <t>285</t>
        </is>
      </c>
      <c r="C643" s="2">
        <f>IF(B643="","",LEFT(TEXT(B643,"000"),1)*1)</f>
        <v/>
      </c>
      <c r="D643" s="2">
        <f>IF(B643="","",MID(TEXT(B643,"000"),2,1)*1)</f>
        <v/>
      </c>
      <c r="E643" s="2">
        <f>IF(B643="","",RIGHT(TEXT(B643,"000"),1)*1)</f>
        <v/>
      </c>
      <c r="F643" s="2">
        <f>IF(B643="","",C643+D643+E643)</f>
        <v/>
      </c>
      <c r="G643" s="2">
        <f>IF(B643="","",MOD(F643,10))</f>
        <v/>
      </c>
      <c r="H643" s="2">
        <f>IF(B643="","",MAX(C643,D643,E643)-MIN(C643,D643,E643))</f>
        <v/>
      </c>
      <c r="I643" s="2">
        <f>IF(OR(B643="",H643=0),IF(H643=0,0.1,""),ROUND(F643/H643,2))</f>
        <v/>
      </c>
      <c r="J643" s="2">
        <f>IF(I643=0.1,"极紧凑",IF(I643&gt;3.5,"紧凑",IF(AND(I643&gt;=2,I643&lt;=3.5),"标准",IF(AND(I643&gt;=1,I643&lt;2),"松散",""))))</f>
        <v/>
      </c>
      <c r="K643" s="2">
        <f>IF(I643=0.1,"极紧凑-豹子号",IF(AND(I643&gt;=1,I643&lt;=1.29),"松散-极松散",IF(AND(I643&gt;=1.33,I643&lt;=1.8),"松散-标准松散",IF(AND(I643&gt;=1.83,I643&lt;=1.89),"松散-偏紧松散",IF(AND(I643&gt;=2,I643&lt;=2.5),"标准-偏松标准",IF(AND(I643&gt;=2.57,I643&lt;=3),"标准-核心标准",IF(AND(I643&gt;=3.17,I643&lt;=3.5),"标准-偏紧标准",IF(AND(I643&gt;=3.6,I643&lt;=5),"紧凑-标准紧凑",IF(AND(I643&gt;=5.25,I643&lt;=8),"紧凑-高度紧凑",IF(I643&gt;=8.5,"紧凑-极度紧凑",""))))))))))</f>
        <v/>
      </c>
      <c r="L643" s="2">
        <f>IF(I643=0.1,"极紧凑",IF(AND(I643&gt;=1,I643&lt;=1.89),"松散",IF(AND(I643&gt;=2,I643&lt;=3.5),"标准",IF(I643&gt;=3.6,"紧凑",""))))</f>
        <v/>
      </c>
      <c r="M643" s="2" t="inlineStr">
        <is>
          <t>极紧凑-豹子号</t>
        </is>
      </c>
      <c r="N643" s="2" t="inlineStr">
        <is>
          <t>松散-极松散</t>
        </is>
      </c>
      <c r="O643" s="2" t="inlineStr">
        <is>
          <t>松散-标准松散</t>
        </is>
      </c>
      <c r="P643" s="2" t="inlineStr">
        <is>
          <t>松散-偏紧松散</t>
        </is>
      </c>
      <c r="Q643" s="2" t="inlineStr">
        <is>
          <t>标准-偏松标准</t>
        </is>
      </c>
      <c r="R643" s="2" t="inlineStr">
        <is>
          <t>标准-核心标准</t>
        </is>
      </c>
      <c r="S643" s="2" t="inlineStr">
        <is>
          <t>标准-偏紧标准</t>
        </is>
      </c>
      <c r="T643" s="2" t="inlineStr">
        <is>
          <t>紧凑-标准紧凑</t>
        </is>
      </c>
      <c r="U643" s="2" t="inlineStr">
        <is>
          <t>紧凑-高度紧凑</t>
        </is>
      </c>
      <c r="V643" s="2" t="inlineStr">
        <is>
          <t>紧凑-极度紧凑</t>
        </is>
      </c>
    </row>
    <row r="644">
      <c r="A644" s="1" t="n">
        <v>2024211</v>
      </c>
      <c r="B644" s="3" t="inlineStr">
        <is>
          <t>649</t>
        </is>
      </c>
      <c r="C644" s="2">
        <f>IF(B644="","",LEFT(TEXT(B644,"000"),1)*1)</f>
        <v/>
      </c>
      <c r="D644" s="2">
        <f>IF(B644="","",MID(TEXT(B644,"000"),2,1)*1)</f>
        <v/>
      </c>
      <c r="E644" s="2">
        <f>IF(B644="","",RIGHT(TEXT(B644,"000"),1)*1)</f>
        <v/>
      </c>
      <c r="F644" s="2">
        <f>IF(B644="","",C644+D644+E644)</f>
        <v/>
      </c>
      <c r="G644" s="2">
        <f>IF(B644="","",MOD(F644,10))</f>
        <v/>
      </c>
      <c r="H644" s="2">
        <f>IF(B644="","",MAX(C644,D644,E644)-MIN(C644,D644,E644))</f>
        <v/>
      </c>
      <c r="I644" s="2">
        <f>IF(OR(B644="",H644=0),IF(H644=0,0.1,""),ROUND(F644/H644,2))</f>
        <v/>
      </c>
      <c r="J644" s="2">
        <f>IF(I644=0.1,"极紧凑",IF(I644&gt;3.5,"紧凑",IF(AND(I644&gt;=2,I644&lt;=3.5),"标准",IF(AND(I644&gt;=1,I644&lt;2),"松散",""))))</f>
        <v/>
      </c>
      <c r="K644" s="2">
        <f>IF(I644=0.1,"极紧凑-豹子号",IF(AND(I644&gt;=1,I644&lt;=1.29),"松散-极松散",IF(AND(I644&gt;=1.33,I644&lt;=1.8),"松散-标准松散",IF(AND(I644&gt;=1.83,I644&lt;=1.89),"松散-偏紧松散",IF(AND(I644&gt;=2,I644&lt;=2.5),"标准-偏松标准",IF(AND(I644&gt;=2.57,I644&lt;=3),"标准-核心标准",IF(AND(I644&gt;=3.17,I644&lt;=3.5),"标准-偏紧标准",IF(AND(I644&gt;=3.6,I644&lt;=5),"紧凑-标准紧凑",IF(AND(I644&gt;=5.25,I644&lt;=8),"紧凑-高度紧凑",IF(I644&gt;=8.5,"紧凑-极度紧凑",""))))))))))</f>
        <v/>
      </c>
      <c r="L644" s="2">
        <f>IF(I644=0.1,"极紧凑",IF(AND(I644&gt;=1,I644&lt;=1.89),"松散",IF(AND(I644&gt;=2,I644&lt;=3.5),"标准",IF(I644&gt;=3.6,"紧凑",""))))</f>
        <v/>
      </c>
      <c r="M644" s="2" t="inlineStr">
        <is>
          <t>极紧凑-豹子号</t>
        </is>
      </c>
      <c r="N644" s="2" t="inlineStr">
        <is>
          <t>松散-极松散</t>
        </is>
      </c>
      <c r="O644" s="2" t="inlineStr">
        <is>
          <t>松散-标准松散</t>
        </is>
      </c>
      <c r="P644" s="2" t="inlineStr">
        <is>
          <t>松散-偏紧松散</t>
        </is>
      </c>
      <c r="Q644" s="2" t="inlineStr">
        <is>
          <t>标准-偏松标准</t>
        </is>
      </c>
      <c r="R644" s="2" t="inlineStr">
        <is>
          <t>标准-核心标准</t>
        </is>
      </c>
      <c r="S644" s="2" t="inlineStr">
        <is>
          <t>标准-偏紧标准</t>
        </is>
      </c>
      <c r="T644" s="2" t="inlineStr">
        <is>
          <t>紧凑-标准紧凑</t>
        </is>
      </c>
      <c r="U644" s="2" t="inlineStr">
        <is>
          <t>紧凑-高度紧凑</t>
        </is>
      </c>
      <c r="V644" s="2" t="inlineStr">
        <is>
          <t>紧凑-极度紧凑</t>
        </is>
      </c>
    </row>
    <row r="645">
      <c r="A645" s="1" t="n">
        <v>2024212</v>
      </c>
      <c r="B645" s="3" t="inlineStr">
        <is>
          <t>727</t>
        </is>
      </c>
      <c r="C645" s="2">
        <f>IF(B645="","",LEFT(TEXT(B645,"000"),1)*1)</f>
        <v/>
      </c>
      <c r="D645" s="2">
        <f>IF(B645="","",MID(TEXT(B645,"000"),2,1)*1)</f>
        <v/>
      </c>
      <c r="E645" s="2">
        <f>IF(B645="","",RIGHT(TEXT(B645,"000"),1)*1)</f>
        <v/>
      </c>
      <c r="F645" s="2">
        <f>IF(B645="","",C645+D645+E645)</f>
        <v/>
      </c>
      <c r="G645" s="2">
        <f>IF(B645="","",MOD(F645,10))</f>
        <v/>
      </c>
      <c r="H645" s="2">
        <f>IF(B645="","",MAX(C645,D645,E645)-MIN(C645,D645,E645))</f>
        <v/>
      </c>
      <c r="I645" s="2">
        <f>IF(OR(B645="",H645=0),IF(H645=0,0.1,""),ROUND(F645/H645,2))</f>
        <v/>
      </c>
      <c r="J645" s="2">
        <f>IF(I645=0.1,"极紧凑",IF(I645&gt;3.5,"紧凑",IF(AND(I645&gt;=2,I645&lt;=3.5),"标准",IF(AND(I645&gt;=1,I645&lt;2),"松散",""))))</f>
        <v/>
      </c>
      <c r="K645" s="2">
        <f>IF(I645=0.1,"极紧凑-豹子号",IF(AND(I645&gt;=1,I645&lt;=1.29),"松散-极松散",IF(AND(I645&gt;=1.33,I645&lt;=1.8),"松散-标准松散",IF(AND(I645&gt;=1.83,I645&lt;=1.89),"松散-偏紧松散",IF(AND(I645&gt;=2,I645&lt;=2.5),"标准-偏松标准",IF(AND(I645&gt;=2.57,I645&lt;=3),"标准-核心标准",IF(AND(I645&gt;=3.17,I645&lt;=3.5),"标准-偏紧标准",IF(AND(I645&gt;=3.6,I645&lt;=5),"紧凑-标准紧凑",IF(AND(I645&gt;=5.25,I645&lt;=8),"紧凑-高度紧凑",IF(I645&gt;=8.5,"紧凑-极度紧凑",""))))))))))</f>
        <v/>
      </c>
      <c r="L645" s="2">
        <f>IF(I645=0.1,"极紧凑",IF(AND(I645&gt;=1,I645&lt;=1.89),"松散",IF(AND(I645&gt;=2,I645&lt;=3.5),"标准",IF(I645&gt;=3.6,"紧凑",""))))</f>
        <v/>
      </c>
      <c r="M645" s="2" t="inlineStr">
        <is>
          <t>极紧凑-豹子号</t>
        </is>
      </c>
      <c r="N645" s="2" t="inlineStr">
        <is>
          <t>松散-极松散</t>
        </is>
      </c>
      <c r="O645" s="2" t="inlineStr">
        <is>
          <t>松散-标准松散</t>
        </is>
      </c>
      <c r="P645" s="2" t="inlineStr">
        <is>
          <t>松散-偏紧松散</t>
        </is>
      </c>
      <c r="Q645" s="2" t="inlineStr">
        <is>
          <t>标准-偏松标准</t>
        </is>
      </c>
      <c r="R645" s="2" t="inlineStr">
        <is>
          <t>标准-核心标准</t>
        </is>
      </c>
      <c r="S645" s="2" t="inlineStr">
        <is>
          <t>标准-偏紧标准</t>
        </is>
      </c>
      <c r="T645" s="2" t="inlineStr">
        <is>
          <t>紧凑-标准紧凑</t>
        </is>
      </c>
      <c r="U645" s="2" t="inlineStr">
        <is>
          <t>紧凑-高度紧凑</t>
        </is>
      </c>
      <c r="V645" s="2" t="inlineStr">
        <is>
          <t>紧凑-极度紧凑</t>
        </is>
      </c>
    </row>
    <row r="646">
      <c r="A646" s="1" t="n">
        <v>2024213</v>
      </c>
      <c r="B646" s="3" t="inlineStr">
        <is>
          <t>734</t>
        </is>
      </c>
      <c r="C646" s="2">
        <f>IF(B646="","",LEFT(TEXT(B646,"000"),1)*1)</f>
        <v/>
      </c>
      <c r="D646" s="2">
        <f>IF(B646="","",MID(TEXT(B646,"000"),2,1)*1)</f>
        <v/>
      </c>
      <c r="E646" s="2">
        <f>IF(B646="","",RIGHT(TEXT(B646,"000"),1)*1)</f>
        <v/>
      </c>
      <c r="F646" s="2">
        <f>IF(B646="","",C646+D646+E646)</f>
        <v/>
      </c>
      <c r="G646" s="2">
        <f>IF(B646="","",MOD(F646,10))</f>
        <v/>
      </c>
      <c r="H646" s="2">
        <f>IF(B646="","",MAX(C646,D646,E646)-MIN(C646,D646,E646))</f>
        <v/>
      </c>
      <c r="I646" s="2">
        <f>IF(OR(B646="",H646=0),IF(H646=0,0.1,""),ROUND(F646/H646,2))</f>
        <v/>
      </c>
      <c r="J646" s="2">
        <f>IF(I646=0.1,"极紧凑",IF(I646&gt;3.5,"紧凑",IF(AND(I646&gt;=2,I646&lt;=3.5),"标准",IF(AND(I646&gt;=1,I646&lt;2),"松散",""))))</f>
        <v/>
      </c>
      <c r="K646" s="2">
        <f>IF(I646=0.1,"极紧凑-豹子号",IF(AND(I646&gt;=1,I646&lt;=1.29),"松散-极松散",IF(AND(I646&gt;=1.33,I646&lt;=1.8),"松散-标准松散",IF(AND(I646&gt;=1.83,I646&lt;=1.89),"松散-偏紧松散",IF(AND(I646&gt;=2,I646&lt;=2.5),"标准-偏松标准",IF(AND(I646&gt;=2.57,I646&lt;=3),"标准-核心标准",IF(AND(I646&gt;=3.17,I646&lt;=3.5),"标准-偏紧标准",IF(AND(I646&gt;=3.6,I646&lt;=5),"紧凑-标准紧凑",IF(AND(I646&gt;=5.25,I646&lt;=8),"紧凑-高度紧凑",IF(I646&gt;=8.5,"紧凑-极度紧凑",""))))))))))</f>
        <v/>
      </c>
      <c r="L646" s="2">
        <f>IF(I646=0.1,"极紧凑",IF(AND(I646&gt;=1,I646&lt;=1.89),"松散",IF(AND(I646&gt;=2,I646&lt;=3.5),"标准",IF(I646&gt;=3.6,"紧凑",""))))</f>
        <v/>
      </c>
      <c r="M646" s="2" t="inlineStr">
        <is>
          <t>极紧凑-豹子号</t>
        </is>
      </c>
      <c r="N646" s="2" t="inlineStr">
        <is>
          <t>松散-极松散</t>
        </is>
      </c>
      <c r="O646" s="2" t="inlineStr">
        <is>
          <t>松散-标准松散</t>
        </is>
      </c>
      <c r="P646" s="2" t="inlineStr">
        <is>
          <t>松散-偏紧松散</t>
        </is>
      </c>
      <c r="Q646" s="2" t="inlineStr">
        <is>
          <t>标准-偏松标准</t>
        </is>
      </c>
      <c r="R646" s="2" t="inlineStr">
        <is>
          <t>标准-核心标准</t>
        </is>
      </c>
      <c r="S646" s="2" t="inlineStr">
        <is>
          <t>标准-偏紧标准</t>
        </is>
      </c>
      <c r="T646" s="2" t="inlineStr">
        <is>
          <t>紧凑-标准紧凑</t>
        </is>
      </c>
      <c r="U646" s="2" t="inlineStr">
        <is>
          <t>紧凑-高度紧凑</t>
        </is>
      </c>
      <c r="V646" s="2" t="inlineStr">
        <is>
          <t>紧凑-极度紧凑</t>
        </is>
      </c>
    </row>
    <row r="647">
      <c r="A647" s="1" t="n">
        <v>2024214</v>
      </c>
      <c r="B647" s="3" t="inlineStr">
        <is>
          <t>145</t>
        </is>
      </c>
      <c r="C647" s="2">
        <f>IF(B647="","",LEFT(TEXT(B647,"000"),1)*1)</f>
        <v/>
      </c>
      <c r="D647" s="2">
        <f>IF(B647="","",MID(TEXT(B647,"000"),2,1)*1)</f>
        <v/>
      </c>
      <c r="E647" s="2">
        <f>IF(B647="","",RIGHT(TEXT(B647,"000"),1)*1)</f>
        <v/>
      </c>
      <c r="F647" s="2">
        <f>IF(B647="","",C647+D647+E647)</f>
        <v/>
      </c>
      <c r="G647" s="2">
        <f>IF(B647="","",MOD(F647,10))</f>
        <v/>
      </c>
      <c r="H647" s="2">
        <f>IF(B647="","",MAX(C647,D647,E647)-MIN(C647,D647,E647))</f>
        <v/>
      </c>
      <c r="I647" s="2">
        <f>IF(OR(B647="",H647=0),IF(H647=0,0.1,""),ROUND(F647/H647,2))</f>
        <v/>
      </c>
      <c r="J647" s="2">
        <f>IF(I647=0.1,"极紧凑",IF(I647&gt;3.5,"紧凑",IF(AND(I647&gt;=2,I647&lt;=3.5),"标准",IF(AND(I647&gt;=1,I647&lt;2),"松散",""))))</f>
        <v/>
      </c>
      <c r="K647" s="2">
        <f>IF(I647=0.1,"极紧凑-豹子号",IF(AND(I647&gt;=1,I647&lt;=1.29),"松散-极松散",IF(AND(I647&gt;=1.33,I647&lt;=1.8),"松散-标准松散",IF(AND(I647&gt;=1.83,I647&lt;=1.89),"松散-偏紧松散",IF(AND(I647&gt;=2,I647&lt;=2.5),"标准-偏松标准",IF(AND(I647&gt;=2.57,I647&lt;=3),"标准-核心标准",IF(AND(I647&gt;=3.17,I647&lt;=3.5),"标准-偏紧标准",IF(AND(I647&gt;=3.6,I647&lt;=5),"紧凑-标准紧凑",IF(AND(I647&gt;=5.25,I647&lt;=8),"紧凑-高度紧凑",IF(I647&gt;=8.5,"紧凑-极度紧凑",""))))))))))</f>
        <v/>
      </c>
      <c r="L647" s="2">
        <f>IF(I647=0.1,"极紧凑",IF(AND(I647&gt;=1,I647&lt;=1.89),"松散",IF(AND(I647&gt;=2,I647&lt;=3.5),"标准",IF(I647&gt;=3.6,"紧凑",""))))</f>
        <v/>
      </c>
      <c r="M647" s="2" t="inlineStr">
        <is>
          <t>极紧凑-豹子号</t>
        </is>
      </c>
      <c r="N647" s="2" t="inlineStr">
        <is>
          <t>松散-极松散</t>
        </is>
      </c>
      <c r="O647" s="2" t="inlineStr">
        <is>
          <t>松散-标准松散</t>
        </is>
      </c>
      <c r="P647" s="2" t="inlineStr">
        <is>
          <t>松散-偏紧松散</t>
        </is>
      </c>
      <c r="Q647" s="2" t="inlineStr">
        <is>
          <t>标准-偏松标准</t>
        </is>
      </c>
      <c r="R647" s="2" t="inlineStr">
        <is>
          <t>标准-核心标准</t>
        </is>
      </c>
      <c r="S647" s="2" t="inlineStr">
        <is>
          <t>标准-偏紧标准</t>
        </is>
      </c>
      <c r="T647" s="2" t="inlineStr">
        <is>
          <t>紧凑-标准紧凑</t>
        </is>
      </c>
      <c r="U647" s="2" t="inlineStr">
        <is>
          <t>紧凑-高度紧凑</t>
        </is>
      </c>
      <c r="V647" s="2" t="inlineStr">
        <is>
          <t>紧凑-极度紧凑</t>
        </is>
      </c>
    </row>
    <row r="648">
      <c r="A648" s="1" t="n">
        <v>2024215</v>
      </c>
      <c r="B648" s="3" t="inlineStr">
        <is>
          <t>877</t>
        </is>
      </c>
      <c r="C648" s="2">
        <f>IF(B648="","",LEFT(TEXT(B648,"000"),1)*1)</f>
        <v/>
      </c>
      <c r="D648" s="2">
        <f>IF(B648="","",MID(TEXT(B648,"000"),2,1)*1)</f>
        <v/>
      </c>
      <c r="E648" s="2">
        <f>IF(B648="","",RIGHT(TEXT(B648,"000"),1)*1)</f>
        <v/>
      </c>
      <c r="F648" s="2">
        <f>IF(B648="","",C648+D648+E648)</f>
        <v/>
      </c>
      <c r="G648" s="2">
        <f>IF(B648="","",MOD(F648,10))</f>
        <v/>
      </c>
      <c r="H648" s="2">
        <f>IF(B648="","",MAX(C648,D648,E648)-MIN(C648,D648,E648))</f>
        <v/>
      </c>
      <c r="I648" s="2">
        <f>IF(OR(B648="",H648=0),IF(H648=0,0.1,""),ROUND(F648/H648,2))</f>
        <v/>
      </c>
      <c r="J648" s="2">
        <f>IF(I648=0.1,"极紧凑",IF(I648&gt;3.5,"紧凑",IF(AND(I648&gt;=2,I648&lt;=3.5),"标准",IF(AND(I648&gt;=1,I648&lt;2),"松散",""))))</f>
        <v/>
      </c>
      <c r="K648" s="2">
        <f>IF(I648=0.1,"极紧凑-豹子号",IF(AND(I648&gt;=1,I648&lt;=1.29),"松散-极松散",IF(AND(I648&gt;=1.33,I648&lt;=1.8),"松散-标准松散",IF(AND(I648&gt;=1.83,I648&lt;=1.89),"松散-偏紧松散",IF(AND(I648&gt;=2,I648&lt;=2.5),"标准-偏松标准",IF(AND(I648&gt;=2.57,I648&lt;=3),"标准-核心标准",IF(AND(I648&gt;=3.17,I648&lt;=3.5),"标准-偏紧标准",IF(AND(I648&gt;=3.6,I648&lt;=5),"紧凑-标准紧凑",IF(AND(I648&gt;=5.25,I648&lt;=8),"紧凑-高度紧凑",IF(I648&gt;=8.5,"紧凑-极度紧凑",""))))))))))</f>
        <v/>
      </c>
      <c r="L648" s="2">
        <f>IF(I648=0.1,"极紧凑",IF(AND(I648&gt;=1,I648&lt;=1.89),"松散",IF(AND(I648&gt;=2,I648&lt;=3.5),"标准",IF(I648&gt;=3.6,"紧凑",""))))</f>
        <v/>
      </c>
      <c r="M648" s="2" t="inlineStr">
        <is>
          <t>极紧凑-豹子号</t>
        </is>
      </c>
      <c r="N648" s="2" t="inlineStr">
        <is>
          <t>松散-极松散</t>
        </is>
      </c>
      <c r="O648" s="2" t="inlineStr">
        <is>
          <t>松散-标准松散</t>
        </is>
      </c>
      <c r="P648" s="2" t="inlineStr">
        <is>
          <t>松散-偏紧松散</t>
        </is>
      </c>
      <c r="Q648" s="2" t="inlineStr">
        <is>
          <t>标准-偏松标准</t>
        </is>
      </c>
      <c r="R648" s="2" t="inlineStr">
        <is>
          <t>标准-核心标准</t>
        </is>
      </c>
      <c r="S648" s="2" t="inlineStr">
        <is>
          <t>标准-偏紧标准</t>
        </is>
      </c>
      <c r="T648" s="2" t="inlineStr">
        <is>
          <t>紧凑-标准紧凑</t>
        </is>
      </c>
      <c r="U648" s="2" t="inlineStr">
        <is>
          <t>紧凑-高度紧凑</t>
        </is>
      </c>
      <c r="V648" s="2" t="inlineStr">
        <is>
          <t>紧凑-极度紧凑</t>
        </is>
      </c>
    </row>
    <row r="649">
      <c r="A649" s="1" t="n">
        <v>2024216</v>
      </c>
      <c r="B649" s="3" t="inlineStr">
        <is>
          <t>848</t>
        </is>
      </c>
      <c r="C649" s="2">
        <f>IF(B649="","",LEFT(TEXT(B649,"000"),1)*1)</f>
        <v/>
      </c>
      <c r="D649" s="2">
        <f>IF(B649="","",MID(TEXT(B649,"000"),2,1)*1)</f>
        <v/>
      </c>
      <c r="E649" s="2">
        <f>IF(B649="","",RIGHT(TEXT(B649,"000"),1)*1)</f>
        <v/>
      </c>
      <c r="F649" s="2">
        <f>IF(B649="","",C649+D649+E649)</f>
        <v/>
      </c>
      <c r="G649" s="2">
        <f>IF(B649="","",MOD(F649,10))</f>
        <v/>
      </c>
      <c r="H649" s="2">
        <f>IF(B649="","",MAX(C649,D649,E649)-MIN(C649,D649,E649))</f>
        <v/>
      </c>
      <c r="I649" s="2">
        <f>IF(OR(B649="",H649=0),IF(H649=0,0.1,""),ROUND(F649/H649,2))</f>
        <v/>
      </c>
      <c r="J649" s="2">
        <f>IF(I649=0.1,"极紧凑",IF(I649&gt;3.5,"紧凑",IF(AND(I649&gt;=2,I649&lt;=3.5),"标准",IF(AND(I649&gt;=1,I649&lt;2),"松散",""))))</f>
        <v/>
      </c>
      <c r="K649" s="2">
        <f>IF(I649=0.1,"极紧凑-豹子号",IF(AND(I649&gt;=1,I649&lt;=1.29),"松散-极松散",IF(AND(I649&gt;=1.33,I649&lt;=1.8),"松散-标准松散",IF(AND(I649&gt;=1.83,I649&lt;=1.89),"松散-偏紧松散",IF(AND(I649&gt;=2,I649&lt;=2.5),"标准-偏松标准",IF(AND(I649&gt;=2.57,I649&lt;=3),"标准-核心标准",IF(AND(I649&gt;=3.17,I649&lt;=3.5),"标准-偏紧标准",IF(AND(I649&gt;=3.6,I649&lt;=5),"紧凑-标准紧凑",IF(AND(I649&gt;=5.25,I649&lt;=8),"紧凑-高度紧凑",IF(I649&gt;=8.5,"紧凑-极度紧凑",""))))))))))</f>
        <v/>
      </c>
      <c r="L649" s="2">
        <f>IF(I649=0.1,"极紧凑",IF(AND(I649&gt;=1,I649&lt;=1.89),"松散",IF(AND(I649&gt;=2,I649&lt;=3.5),"标准",IF(I649&gt;=3.6,"紧凑",""))))</f>
        <v/>
      </c>
      <c r="M649" s="2" t="inlineStr">
        <is>
          <t>极紧凑-豹子号</t>
        </is>
      </c>
      <c r="N649" s="2" t="inlineStr">
        <is>
          <t>松散-极松散</t>
        </is>
      </c>
      <c r="O649" s="2" t="inlineStr">
        <is>
          <t>松散-标准松散</t>
        </is>
      </c>
      <c r="P649" s="2" t="inlineStr">
        <is>
          <t>松散-偏紧松散</t>
        </is>
      </c>
      <c r="Q649" s="2" t="inlineStr">
        <is>
          <t>标准-偏松标准</t>
        </is>
      </c>
      <c r="R649" s="2" t="inlineStr">
        <is>
          <t>标准-核心标准</t>
        </is>
      </c>
      <c r="S649" s="2" t="inlineStr">
        <is>
          <t>标准-偏紧标准</t>
        </is>
      </c>
      <c r="T649" s="2" t="inlineStr">
        <is>
          <t>紧凑-标准紧凑</t>
        </is>
      </c>
      <c r="U649" s="2" t="inlineStr">
        <is>
          <t>紧凑-高度紧凑</t>
        </is>
      </c>
      <c r="V649" s="2" t="inlineStr">
        <is>
          <t>紧凑-极度紧凑</t>
        </is>
      </c>
    </row>
    <row r="650">
      <c r="A650" s="1" t="n">
        <v>2024217</v>
      </c>
      <c r="B650" s="3" t="inlineStr">
        <is>
          <t>111</t>
        </is>
      </c>
      <c r="C650" s="2">
        <f>IF(B650="","",LEFT(TEXT(B650,"000"),1)*1)</f>
        <v/>
      </c>
      <c r="D650" s="2">
        <f>IF(B650="","",MID(TEXT(B650,"000"),2,1)*1)</f>
        <v/>
      </c>
      <c r="E650" s="2">
        <f>IF(B650="","",RIGHT(TEXT(B650,"000"),1)*1)</f>
        <v/>
      </c>
      <c r="F650" s="2">
        <f>IF(B650="","",C650+D650+E650)</f>
        <v/>
      </c>
      <c r="G650" s="2">
        <f>IF(B650="","",MOD(F650,10))</f>
        <v/>
      </c>
      <c r="H650" s="2">
        <f>IF(B650="","",MAX(C650,D650,E650)-MIN(C650,D650,E650))</f>
        <v/>
      </c>
      <c r="I650" s="2">
        <f>IF(OR(B650="",H650=0),IF(H650=0,0.1,""),ROUND(F650/H650,2))</f>
        <v/>
      </c>
      <c r="J650" s="2">
        <f>IF(I650=0.1,"极紧凑",IF(I650&gt;3.5,"紧凑",IF(AND(I650&gt;=2,I650&lt;=3.5),"标准",IF(AND(I650&gt;=1,I650&lt;2),"松散",""))))</f>
        <v/>
      </c>
      <c r="K650" s="2">
        <f>IF(I650=0.1,"极紧凑-豹子号",IF(AND(I650&gt;=1,I650&lt;=1.29),"松散-极松散",IF(AND(I650&gt;=1.33,I650&lt;=1.8),"松散-标准松散",IF(AND(I650&gt;=1.83,I650&lt;=1.89),"松散-偏紧松散",IF(AND(I650&gt;=2,I650&lt;=2.5),"标准-偏松标准",IF(AND(I650&gt;=2.57,I650&lt;=3),"标准-核心标准",IF(AND(I650&gt;=3.17,I650&lt;=3.5),"标准-偏紧标准",IF(AND(I650&gt;=3.6,I650&lt;=5),"紧凑-标准紧凑",IF(AND(I650&gt;=5.25,I650&lt;=8),"紧凑-高度紧凑",IF(I650&gt;=8.5,"紧凑-极度紧凑",""))))))))))</f>
        <v/>
      </c>
      <c r="L650" s="2">
        <f>IF(I650=0.1,"极紧凑",IF(AND(I650&gt;=1,I650&lt;=1.89),"松散",IF(AND(I650&gt;=2,I650&lt;=3.5),"标准",IF(I650&gt;=3.6,"紧凑",""))))</f>
        <v/>
      </c>
      <c r="M650" s="2" t="inlineStr">
        <is>
          <t>极紧凑-豹子号</t>
        </is>
      </c>
      <c r="N650" s="2" t="inlineStr">
        <is>
          <t>松散-极松散</t>
        </is>
      </c>
      <c r="O650" s="2" t="inlineStr">
        <is>
          <t>松散-标准松散</t>
        </is>
      </c>
      <c r="P650" s="2" t="inlineStr">
        <is>
          <t>松散-偏紧松散</t>
        </is>
      </c>
      <c r="Q650" s="2" t="inlineStr">
        <is>
          <t>标准-偏松标准</t>
        </is>
      </c>
      <c r="R650" s="2" t="inlineStr">
        <is>
          <t>标准-核心标准</t>
        </is>
      </c>
      <c r="S650" s="2" t="inlineStr">
        <is>
          <t>标准-偏紧标准</t>
        </is>
      </c>
      <c r="T650" s="2" t="inlineStr">
        <is>
          <t>紧凑-标准紧凑</t>
        </is>
      </c>
      <c r="U650" s="2" t="inlineStr">
        <is>
          <t>紧凑-高度紧凑</t>
        </is>
      </c>
      <c r="V650" s="2" t="inlineStr">
        <is>
          <t>紧凑-极度紧凑</t>
        </is>
      </c>
    </row>
    <row r="651">
      <c r="A651" s="1" t="n">
        <v>2024218</v>
      </c>
      <c r="B651" s="3" t="inlineStr">
        <is>
          <t>291</t>
        </is>
      </c>
      <c r="C651" s="2">
        <f>IF(B651="","",LEFT(TEXT(B651,"000"),1)*1)</f>
        <v/>
      </c>
      <c r="D651" s="2">
        <f>IF(B651="","",MID(TEXT(B651,"000"),2,1)*1)</f>
        <v/>
      </c>
      <c r="E651" s="2">
        <f>IF(B651="","",RIGHT(TEXT(B651,"000"),1)*1)</f>
        <v/>
      </c>
      <c r="F651" s="2">
        <f>IF(B651="","",C651+D651+E651)</f>
        <v/>
      </c>
      <c r="G651" s="2">
        <f>IF(B651="","",MOD(F651,10))</f>
        <v/>
      </c>
      <c r="H651" s="2">
        <f>IF(B651="","",MAX(C651,D651,E651)-MIN(C651,D651,E651))</f>
        <v/>
      </c>
      <c r="I651" s="2">
        <f>IF(OR(B651="",H651=0),IF(H651=0,0.1,""),ROUND(F651/H651,2))</f>
        <v/>
      </c>
      <c r="J651" s="2">
        <f>IF(I651=0.1,"极紧凑",IF(I651&gt;3.5,"紧凑",IF(AND(I651&gt;=2,I651&lt;=3.5),"标准",IF(AND(I651&gt;=1,I651&lt;2),"松散",""))))</f>
        <v/>
      </c>
      <c r="K651" s="2">
        <f>IF(I651=0.1,"极紧凑-豹子号",IF(AND(I651&gt;=1,I651&lt;=1.29),"松散-极松散",IF(AND(I651&gt;=1.33,I651&lt;=1.8),"松散-标准松散",IF(AND(I651&gt;=1.83,I651&lt;=1.89),"松散-偏紧松散",IF(AND(I651&gt;=2,I651&lt;=2.5),"标准-偏松标准",IF(AND(I651&gt;=2.57,I651&lt;=3),"标准-核心标准",IF(AND(I651&gt;=3.17,I651&lt;=3.5),"标准-偏紧标准",IF(AND(I651&gt;=3.6,I651&lt;=5),"紧凑-标准紧凑",IF(AND(I651&gt;=5.25,I651&lt;=8),"紧凑-高度紧凑",IF(I651&gt;=8.5,"紧凑-极度紧凑",""))))))))))</f>
        <v/>
      </c>
      <c r="L651" s="2">
        <f>IF(I651=0.1,"极紧凑",IF(AND(I651&gt;=1,I651&lt;=1.89),"松散",IF(AND(I651&gt;=2,I651&lt;=3.5),"标准",IF(I651&gt;=3.6,"紧凑",""))))</f>
        <v/>
      </c>
      <c r="M651" s="2" t="inlineStr">
        <is>
          <t>极紧凑-豹子号</t>
        </is>
      </c>
      <c r="N651" s="2" t="inlineStr">
        <is>
          <t>松散-极松散</t>
        </is>
      </c>
      <c r="O651" s="2" t="inlineStr">
        <is>
          <t>松散-标准松散</t>
        </is>
      </c>
      <c r="P651" s="2" t="inlineStr">
        <is>
          <t>松散-偏紧松散</t>
        </is>
      </c>
      <c r="Q651" s="2" t="inlineStr">
        <is>
          <t>标准-偏松标准</t>
        </is>
      </c>
      <c r="R651" s="2" t="inlineStr">
        <is>
          <t>标准-核心标准</t>
        </is>
      </c>
      <c r="S651" s="2" t="inlineStr">
        <is>
          <t>标准-偏紧标准</t>
        </is>
      </c>
      <c r="T651" s="2" t="inlineStr">
        <is>
          <t>紧凑-标准紧凑</t>
        </is>
      </c>
      <c r="U651" s="2" t="inlineStr">
        <is>
          <t>紧凑-高度紧凑</t>
        </is>
      </c>
      <c r="V651" s="2" t="inlineStr">
        <is>
          <t>紧凑-极度紧凑</t>
        </is>
      </c>
    </row>
    <row r="652">
      <c r="A652" s="1" t="n">
        <v>2024219</v>
      </c>
      <c r="B652" s="3" t="inlineStr">
        <is>
          <t>971</t>
        </is>
      </c>
      <c r="C652" s="2">
        <f>IF(B652="","",LEFT(TEXT(B652,"000"),1)*1)</f>
        <v/>
      </c>
      <c r="D652" s="2">
        <f>IF(B652="","",MID(TEXT(B652,"000"),2,1)*1)</f>
        <v/>
      </c>
      <c r="E652" s="2">
        <f>IF(B652="","",RIGHT(TEXT(B652,"000"),1)*1)</f>
        <v/>
      </c>
      <c r="F652" s="2">
        <f>IF(B652="","",C652+D652+E652)</f>
        <v/>
      </c>
      <c r="G652" s="2">
        <f>IF(B652="","",MOD(F652,10))</f>
        <v/>
      </c>
      <c r="H652" s="2">
        <f>IF(B652="","",MAX(C652,D652,E652)-MIN(C652,D652,E652))</f>
        <v/>
      </c>
      <c r="I652" s="2">
        <f>IF(OR(B652="",H652=0),IF(H652=0,0.1,""),ROUND(F652/H652,2))</f>
        <v/>
      </c>
      <c r="J652" s="2">
        <f>IF(I652=0.1,"极紧凑",IF(I652&gt;3.5,"紧凑",IF(AND(I652&gt;=2,I652&lt;=3.5),"标准",IF(AND(I652&gt;=1,I652&lt;2),"松散",""))))</f>
        <v/>
      </c>
      <c r="K652" s="2">
        <f>IF(I652=0.1,"极紧凑-豹子号",IF(AND(I652&gt;=1,I652&lt;=1.29),"松散-极松散",IF(AND(I652&gt;=1.33,I652&lt;=1.8),"松散-标准松散",IF(AND(I652&gt;=1.83,I652&lt;=1.89),"松散-偏紧松散",IF(AND(I652&gt;=2,I652&lt;=2.5),"标准-偏松标准",IF(AND(I652&gt;=2.57,I652&lt;=3),"标准-核心标准",IF(AND(I652&gt;=3.17,I652&lt;=3.5),"标准-偏紧标准",IF(AND(I652&gt;=3.6,I652&lt;=5),"紧凑-标准紧凑",IF(AND(I652&gt;=5.25,I652&lt;=8),"紧凑-高度紧凑",IF(I652&gt;=8.5,"紧凑-极度紧凑",""))))))))))</f>
        <v/>
      </c>
      <c r="L652" s="2">
        <f>IF(I652=0.1,"极紧凑",IF(AND(I652&gt;=1,I652&lt;=1.89),"松散",IF(AND(I652&gt;=2,I652&lt;=3.5),"标准",IF(I652&gt;=3.6,"紧凑",""))))</f>
        <v/>
      </c>
      <c r="M652" s="2" t="inlineStr">
        <is>
          <t>极紧凑-豹子号</t>
        </is>
      </c>
      <c r="N652" s="2" t="inlineStr">
        <is>
          <t>松散-极松散</t>
        </is>
      </c>
      <c r="O652" s="2" t="inlineStr">
        <is>
          <t>松散-标准松散</t>
        </is>
      </c>
      <c r="P652" s="2" t="inlineStr">
        <is>
          <t>松散-偏紧松散</t>
        </is>
      </c>
      <c r="Q652" s="2" t="inlineStr">
        <is>
          <t>标准-偏松标准</t>
        </is>
      </c>
      <c r="R652" s="2" t="inlineStr">
        <is>
          <t>标准-核心标准</t>
        </is>
      </c>
      <c r="S652" s="2" t="inlineStr">
        <is>
          <t>标准-偏紧标准</t>
        </is>
      </c>
      <c r="T652" s="2" t="inlineStr">
        <is>
          <t>紧凑-标准紧凑</t>
        </is>
      </c>
      <c r="U652" s="2" t="inlineStr">
        <is>
          <t>紧凑-高度紧凑</t>
        </is>
      </c>
      <c r="V652" s="2" t="inlineStr">
        <is>
          <t>紧凑-极度紧凑</t>
        </is>
      </c>
    </row>
    <row r="653">
      <c r="A653" s="1" t="n">
        <v>2024220</v>
      </c>
      <c r="B653" s="3" t="inlineStr">
        <is>
          <t>724</t>
        </is>
      </c>
      <c r="C653" s="2">
        <f>IF(B653="","",LEFT(TEXT(B653,"000"),1)*1)</f>
        <v/>
      </c>
      <c r="D653" s="2">
        <f>IF(B653="","",MID(TEXT(B653,"000"),2,1)*1)</f>
        <v/>
      </c>
      <c r="E653" s="2">
        <f>IF(B653="","",RIGHT(TEXT(B653,"000"),1)*1)</f>
        <v/>
      </c>
      <c r="F653" s="2">
        <f>IF(B653="","",C653+D653+E653)</f>
        <v/>
      </c>
      <c r="G653" s="2">
        <f>IF(B653="","",MOD(F653,10))</f>
        <v/>
      </c>
      <c r="H653" s="2">
        <f>IF(B653="","",MAX(C653,D653,E653)-MIN(C653,D653,E653))</f>
        <v/>
      </c>
      <c r="I653" s="2">
        <f>IF(OR(B653="",H653=0),IF(H653=0,0.1,""),ROUND(F653/H653,2))</f>
        <v/>
      </c>
      <c r="J653" s="2">
        <f>IF(I653=0.1,"极紧凑",IF(I653&gt;3.5,"紧凑",IF(AND(I653&gt;=2,I653&lt;=3.5),"标准",IF(AND(I653&gt;=1,I653&lt;2),"松散",""))))</f>
        <v/>
      </c>
      <c r="K653" s="2">
        <f>IF(I653=0.1,"极紧凑-豹子号",IF(AND(I653&gt;=1,I653&lt;=1.29),"松散-极松散",IF(AND(I653&gt;=1.33,I653&lt;=1.8),"松散-标准松散",IF(AND(I653&gt;=1.83,I653&lt;=1.89),"松散-偏紧松散",IF(AND(I653&gt;=2,I653&lt;=2.5),"标准-偏松标准",IF(AND(I653&gt;=2.57,I653&lt;=3),"标准-核心标准",IF(AND(I653&gt;=3.17,I653&lt;=3.5),"标准-偏紧标准",IF(AND(I653&gt;=3.6,I653&lt;=5),"紧凑-标准紧凑",IF(AND(I653&gt;=5.25,I653&lt;=8),"紧凑-高度紧凑",IF(I653&gt;=8.5,"紧凑-极度紧凑",""))))))))))</f>
        <v/>
      </c>
      <c r="L653" s="2">
        <f>IF(I653=0.1,"极紧凑",IF(AND(I653&gt;=1,I653&lt;=1.89),"松散",IF(AND(I653&gt;=2,I653&lt;=3.5),"标准",IF(I653&gt;=3.6,"紧凑",""))))</f>
        <v/>
      </c>
      <c r="M653" s="2" t="inlineStr">
        <is>
          <t>极紧凑-豹子号</t>
        </is>
      </c>
      <c r="N653" s="2" t="inlineStr">
        <is>
          <t>松散-极松散</t>
        </is>
      </c>
      <c r="O653" s="2" t="inlineStr">
        <is>
          <t>松散-标准松散</t>
        </is>
      </c>
      <c r="P653" s="2" t="inlineStr">
        <is>
          <t>松散-偏紧松散</t>
        </is>
      </c>
      <c r="Q653" s="2" t="inlineStr">
        <is>
          <t>标准-偏松标准</t>
        </is>
      </c>
      <c r="R653" s="2" t="inlineStr">
        <is>
          <t>标准-核心标准</t>
        </is>
      </c>
      <c r="S653" s="2" t="inlineStr">
        <is>
          <t>标准-偏紧标准</t>
        </is>
      </c>
      <c r="T653" s="2" t="inlineStr">
        <is>
          <t>紧凑-标准紧凑</t>
        </is>
      </c>
      <c r="U653" s="2" t="inlineStr">
        <is>
          <t>紧凑-高度紧凑</t>
        </is>
      </c>
      <c r="V653" s="2" t="inlineStr">
        <is>
          <t>紧凑-极度紧凑</t>
        </is>
      </c>
    </row>
    <row r="654">
      <c r="A654" s="1" t="n">
        <v>2024221</v>
      </c>
      <c r="B654" s="3" t="inlineStr">
        <is>
          <t>500</t>
        </is>
      </c>
      <c r="C654" s="2">
        <f>IF(B654="","",LEFT(TEXT(B654,"000"),1)*1)</f>
        <v/>
      </c>
      <c r="D654" s="2">
        <f>IF(B654="","",MID(TEXT(B654,"000"),2,1)*1)</f>
        <v/>
      </c>
      <c r="E654" s="2">
        <f>IF(B654="","",RIGHT(TEXT(B654,"000"),1)*1)</f>
        <v/>
      </c>
      <c r="F654" s="2">
        <f>IF(B654="","",C654+D654+E654)</f>
        <v/>
      </c>
      <c r="G654" s="2">
        <f>IF(B654="","",MOD(F654,10))</f>
        <v/>
      </c>
      <c r="H654" s="2">
        <f>IF(B654="","",MAX(C654,D654,E654)-MIN(C654,D654,E654))</f>
        <v/>
      </c>
      <c r="I654" s="2">
        <f>IF(OR(B654="",H654=0),IF(H654=0,0.1,""),ROUND(F654/H654,2))</f>
        <v/>
      </c>
      <c r="J654" s="2">
        <f>IF(I654=0.1,"极紧凑",IF(I654&gt;3.5,"紧凑",IF(AND(I654&gt;=2,I654&lt;=3.5),"标准",IF(AND(I654&gt;=1,I654&lt;2),"松散",""))))</f>
        <v/>
      </c>
      <c r="K654" s="2">
        <f>IF(I654=0.1,"极紧凑-豹子号",IF(AND(I654&gt;=1,I654&lt;=1.29),"松散-极松散",IF(AND(I654&gt;=1.33,I654&lt;=1.8),"松散-标准松散",IF(AND(I654&gt;=1.83,I654&lt;=1.89),"松散-偏紧松散",IF(AND(I654&gt;=2,I654&lt;=2.5),"标准-偏松标准",IF(AND(I654&gt;=2.57,I654&lt;=3),"标准-核心标准",IF(AND(I654&gt;=3.17,I654&lt;=3.5),"标准-偏紧标准",IF(AND(I654&gt;=3.6,I654&lt;=5),"紧凑-标准紧凑",IF(AND(I654&gt;=5.25,I654&lt;=8),"紧凑-高度紧凑",IF(I654&gt;=8.5,"紧凑-极度紧凑",""))))))))))</f>
        <v/>
      </c>
      <c r="L654" s="2">
        <f>IF(I654=0.1,"极紧凑",IF(AND(I654&gt;=1,I654&lt;=1.89),"松散",IF(AND(I654&gt;=2,I654&lt;=3.5),"标准",IF(I654&gt;=3.6,"紧凑",""))))</f>
        <v/>
      </c>
      <c r="M654" s="2" t="inlineStr">
        <is>
          <t>极紧凑-豹子号</t>
        </is>
      </c>
      <c r="N654" s="2" t="inlineStr">
        <is>
          <t>松散-极松散</t>
        </is>
      </c>
      <c r="O654" s="2" t="inlineStr">
        <is>
          <t>松散-标准松散</t>
        </is>
      </c>
      <c r="P654" s="2" t="inlineStr">
        <is>
          <t>松散-偏紧松散</t>
        </is>
      </c>
      <c r="Q654" s="2" t="inlineStr">
        <is>
          <t>标准-偏松标准</t>
        </is>
      </c>
      <c r="R654" s="2" t="inlineStr">
        <is>
          <t>标准-核心标准</t>
        </is>
      </c>
      <c r="S654" s="2" t="inlineStr">
        <is>
          <t>标准-偏紧标准</t>
        </is>
      </c>
      <c r="T654" s="2" t="inlineStr">
        <is>
          <t>紧凑-标准紧凑</t>
        </is>
      </c>
      <c r="U654" s="2" t="inlineStr">
        <is>
          <t>紧凑-高度紧凑</t>
        </is>
      </c>
      <c r="V654" s="2" t="inlineStr">
        <is>
          <t>紧凑-极度紧凑</t>
        </is>
      </c>
    </row>
    <row r="655">
      <c r="A655" s="1" t="n">
        <v>2024222</v>
      </c>
      <c r="B655" s="3" t="inlineStr">
        <is>
          <t>993</t>
        </is>
      </c>
      <c r="C655" s="2">
        <f>IF(B655="","",LEFT(TEXT(B655,"000"),1)*1)</f>
        <v/>
      </c>
      <c r="D655" s="2">
        <f>IF(B655="","",MID(TEXT(B655,"000"),2,1)*1)</f>
        <v/>
      </c>
      <c r="E655" s="2">
        <f>IF(B655="","",RIGHT(TEXT(B655,"000"),1)*1)</f>
        <v/>
      </c>
      <c r="F655" s="2">
        <f>IF(B655="","",C655+D655+E655)</f>
        <v/>
      </c>
      <c r="G655" s="2">
        <f>IF(B655="","",MOD(F655,10))</f>
        <v/>
      </c>
      <c r="H655" s="2">
        <f>IF(B655="","",MAX(C655,D655,E655)-MIN(C655,D655,E655))</f>
        <v/>
      </c>
      <c r="I655" s="2">
        <f>IF(OR(B655="",H655=0),IF(H655=0,0.1,""),ROUND(F655/H655,2))</f>
        <v/>
      </c>
      <c r="J655" s="2">
        <f>IF(I655=0.1,"极紧凑",IF(I655&gt;3.5,"紧凑",IF(AND(I655&gt;=2,I655&lt;=3.5),"标准",IF(AND(I655&gt;=1,I655&lt;2),"松散",""))))</f>
        <v/>
      </c>
      <c r="K655" s="2">
        <f>IF(I655=0.1,"极紧凑-豹子号",IF(AND(I655&gt;=1,I655&lt;=1.29),"松散-极松散",IF(AND(I655&gt;=1.33,I655&lt;=1.8),"松散-标准松散",IF(AND(I655&gt;=1.83,I655&lt;=1.89),"松散-偏紧松散",IF(AND(I655&gt;=2,I655&lt;=2.5),"标准-偏松标准",IF(AND(I655&gt;=2.57,I655&lt;=3),"标准-核心标准",IF(AND(I655&gt;=3.17,I655&lt;=3.5),"标准-偏紧标准",IF(AND(I655&gt;=3.6,I655&lt;=5),"紧凑-标准紧凑",IF(AND(I655&gt;=5.25,I655&lt;=8),"紧凑-高度紧凑",IF(I655&gt;=8.5,"紧凑-极度紧凑",""))))))))))</f>
        <v/>
      </c>
      <c r="L655" s="2">
        <f>IF(I655=0.1,"极紧凑",IF(AND(I655&gt;=1,I655&lt;=1.89),"松散",IF(AND(I655&gt;=2,I655&lt;=3.5),"标准",IF(I655&gt;=3.6,"紧凑",""))))</f>
        <v/>
      </c>
      <c r="M655" s="2" t="inlineStr">
        <is>
          <t>极紧凑-豹子号</t>
        </is>
      </c>
      <c r="N655" s="2" t="inlineStr">
        <is>
          <t>松散-极松散</t>
        </is>
      </c>
      <c r="O655" s="2" t="inlineStr">
        <is>
          <t>松散-标准松散</t>
        </is>
      </c>
      <c r="P655" s="2" t="inlineStr">
        <is>
          <t>松散-偏紧松散</t>
        </is>
      </c>
      <c r="Q655" s="2" t="inlineStr">
        <is>
          <t>标准-偏松标准</t>
        </is>
      </c>
      <c r="R655" s="2" t="inlineStr">
        <is>
          <t>标准-核心标准</t>
        </is>
      </c>
      <c r="S655" s="2" t="inlineStr">
        <is>
          <t>标准-偏紧标准</t>
        </is>
      </c>
      <c r="T655" s="2" t="inlineStr">
        <is>
          <t>紧凑-标准紧凑</t>
        </is>
      </c>
      <c r="U655" s="2" t="inlineStr">
        <is>
          <t>紧凑-高度紧凑</t>
        </is>
      </c>
      <c r="V655" s="2" t="inlineStr">
        <is>
          <t>紧凑-极度紧凑</t>
        </is>
      </c>
    </row>
    <row r="656">
      <c r="A656" s="1" t="n">
        <v>2024223</v>
      </c>
      <c r="B656" s="3" t="inlineStr">
        <is>
          <t>549</t>
        </is>
      </c>
      <c r="C656" s="2">
        <f>IF(B656="","",LEFT(TEXT(B656,"000"),1)*1)</f>
        <v/>
      </c>
      <c r="D656" s="2">
        <f>IF(B656="","",MID(TEXT(B656,"000"),2,1)*1)</f>
        <v/>
      </c>
      <c r="E656" s="2">
        <f>IF(B656="","",RIGHT(TEXT(B656,"000"),1)*1)</f>
        <v/>
      </c>
      <c r="F656" s="2">
        <f>IF(B656="","",C656+D656+E656)</f>
        <v/>
      </c>
      <c r="G656" s="2">
        <f>IF(B656="","",MOD(F656,10))</f>
        <v/>
      </c>
      <c r="H656" s="2">
        <f>IF(B656="","",MAX(C656,D656,E656)-MIN(C656,D656,E656))</f>
        <v/>
      </c>
      <c r="I656" s="2">
        <f>IF(OR(B656="",H656=0),IF(H656=0,0.1,""),ROUND(F656/H656,2))</f>
        <v/>
      </c>
      <c r="J656" s="2">
        <f>IF(I656=0.1,"极紧凑",IF(I656&gt;3.5,"紧凑",IF(AND(I656&gt;=2,I656&lt;=3.5),"标准",IF(AND(I656&gt;=1,I656&lt;2),"松散",""))))</f>
        <v/>
      </c>
      <c r="K656" s="2">
        <f>IF(I656=0.1,"极紧凑-豹子号",IF(AND(I656&gt;=1,I656&lt;=1.29),"松散-极松散",IF(AND(I656&gt;=1.33,I656&lt;=1.8),"松散-标准松散",IF(AND(I656&gt;=1.83,I656&lt;=1.89),"松散-偏紧松散",IF(AND(I656&gt;=2,I656&lt;=2.5),"标准-偏松标准",IF(AND(I656&gt;=2.57,I656&lt;=3),"标准-核心标准",IF(AND(I656&gt;=3.17,I656&lt;=3.5),"标准-偏紧标准",IF(AND(I656&gt;=3.6,I656&lt;=5),"紧凑-标准紧凑",IF(AND(I656&gt;=5.25,I656&lt;=8),"紧凑-高度紧凑",IF(I656&gt;=8.5,"紧凑-极度紧凑",""))))))))))</f>
        <v/>
      </c>
      <c r="L656" s="2">
        <f>IF(I656=0.1,"极紧凑",IF(AND(I656&gt;=1,I656&lt;=1.89),"松散",IF(AND(I656&gt;=2,I656&lt;=3.5),"标准",IF(I656&gt;=3.6,"紧凑",""))))</f>
        <v/>
      </c>
      <c r="M656" s="2" t="inlineStr">
        <is>
          <t>极紧凑-豹子号</t>
        </is>
      </c>
      <c r="N656" s="2" t="inlineStr">
        <is>
          <t>松散-极松散</t>
        </is>
      </c>
      <c r="O656" s="2" t="inlineStr">
        <is>
          <t>松散-标准松散</t>
        </is>
      </c>
      <c r="P656" s="2" t="inlineStr">
        <is>
          <t>松散-偏紧松散</t>
        </is>
      </c>
      <c r="Q656" s="2" t="inlineStr">
        <is>
          <t>标准-偏松标准</t>
        </is>
      </c>
      <c r="R656" s="2" t="inlineStr">
        <is>
          <t>标准-核心标准</t>
        </is>
      </c>
      <c r="S656" s="2" t="inlineStr">
        <is>
          <t>标准-偏紧标准</t>
        </is>
      </c>
      <c r="T656" s="2" t="inlineStr">
        <is>
          <t>紧凑-标准紧凑</t>
        </is>
      </c>
      <c r="U656" s="2" t="inlineStr">
        <is>
          <t>紧凑-高度紧凑</t>
        </is>
      </c>
      <c r="V656" s="2" t="inlineStr">
        <is>
          <t>紧凑-极度紧凑</t>
        </is>
      </c>
    </row>
    <row r="657">
      <c r="A657" s="1" t="n">
        <v>2024224</v>
      </c>
      <c r="B657" s="3" t="inlineStr">
        <is>
          <t>835</t>
        </is>
      </c>
      <c r="C657" s="2">
        <f>IF(B657="","",LEFT(TEXT(B657,"000"),1)*1)</f>
        <v/>
      </c>
      <c r="D657" s="2">
        <f>IF(B657="","",MID(TEXT(B657,"000"),2,1)*1)</f>
        <v/>
      </c>
      <c r="E657" s="2">
        <f>IF(B657="","",RIGHT(TEXT(B657,"000"),1)*1)</f>
        <v/>
      </c>
      <c r="F657" s="2">
        <f>IF(B657="","",C657+D657+E657)</f>
        <v/>
      </c>
      <c r="G657" s="2">
        <f>IF(B657="","",MOD(F657,10))</f>
        <v/>
      </c>
      <c r="H657" s="2">
        <f>IF(B657="","",MAX(C657,D657,E657)-MIN(C657,D657,E657))</f>
        <v/>
      </c>
      <c r="I657" s="2">
        <f>IF(OR(B657="",H657=0),IF(H657=0,0.1,""),ROUND(F657/H657,2))</f>
        <v/>
      </c>
      <c r="J657" s="2">
        <f>IF(I657=0.1,"极紧凑",IF(I657&gt;3.5,"紧凑",IF(AND(I657&gt;=2,I657&lt;=3.5),"标准",IF(AND(I657&gt;=1,I657&lt;2),"松散",""))))</f>
        <v/>
      </c>
      <c r="K657" s="2">
        <f>IF(I657=0.1,"极紧凑-豹子号",IF(AND(I657&gt;=1,I657&lt;=1.29),"松散-极松散",IF(AND(I657&gt;=1.33,I657&lt;=1.8),"松散-标准松散",IF(AND(I657&gt;=1.83,I657&lt;=1.89),"松散-偏紧松散",IF(AND(I657&gt;=2,I657&lt;=2.5),"标准-偏松标准",IF(AND(I657&gt;=2.57,I657&lt;=3),"标准-核心标准",IF(AND(I657&gt;=3.17,I657&lt;=3.5),"标准-偏紧标准",IF(AND(I657&gt;=3.6,I657&lt;=5),"紧凑-标准紧凑",IF(AND(I657&gt;=5.25,I657&lt;=8),"紧凑-高度紧凑",IF(I657&gt;=8.5,"紧凑-极度紧凑",""))))))))))</f>
        <v/>
      </c>
      <c r="L657" s="2">
        <f>IF(I657=0.1,"极紧凑",IF(AND(I657&gt;=1,I657&lt;=1.89),"松散",IF(AND(I657&gt;=2,I657&lt;=3.5),"标准",IF(I657&gt;=3.6,"紧凑",""))))</f>
        <v/>
      </c>
      <c r="M657" s="2" t="inlineStr">
        <is>
          <t>极紧凑-豹子号</t>
        </is>
      </c>
      <c r="N657" s="2" t="inlineStr">
        <is>
          <t>松散-极松散</t>
        </is>
      </c>
      <c r="O657" s="2" t="inlineStr">
        <is>
          <t>松散-标准松散</t>
        </is>
      </c>
      <c r="P657" s="2" t="inlineStr">
        <is>
          <t>松散-偏紧松散</t>
        </is>
      </c>
      <c r="Q657" s="2" t="inlineStr">
        <is>
          <t>标准-偏松标准</t>
        </is>
      </c>
      <c r="R657" s="2" t="inlineStr">
        <is>
          <t>标准-核心标准</t>
        </is>
      </c>
      <c r="S657" s="2" t="inlineStr">
        <is>
          <t>标准-偏紧标准</t>
        </is>
      </c>
      <c r="T657" s="2" t="inlineStr">
        <is>
          <t>紧凑-标准紧凑</t>
        </is>
      </c>
      <c r="U657" s="2" t="inlineStr">
        <is>
          <t>紧凑-高度紧凑</t>
        </is>
      </c>
      <c r="V657" s="2" t="inlineStr">
        <is>
          <t>紧凑-极度紧凑</t>
        </is>
      </c>
    </row>
    <row r="658">
      <c r="A658" s="1" t="n">
        <v>2024225</v>
      </c>
      <c r="B658" s="3" t="inlineStr">
        <is>
          <t>758</t>
        </is>
      </c>
      <c r="C658" s="2">
        <f>IF(B658="","",LEFT(TEXT(B658,"000"),1)*1)</f>
        <v/>
      </c>
      <c r="D658" s="2">
        <f>IF(B658="","",MID(TEXT(B658,"000"),2,1)*1)</f>
        <v/>
      </c>
      <c r="E658" s="2">
        <f>IF(B658="","",RIGHT(TEXT(B658,"000"),1)*1)</f>
        <v/>
      </c>
      <c r="F658" s="2">
        <f>IF(B658="","",C658+D658+E658)</f>
        <v/>
      </c>
      <c r="G658" s="2">
        <f>IF(B658="","",MOD(F658,10))</f>
        <v/>
      </c>
      <c r="H658" s="2">
        <f>IF(B658="","",MAX(C658,D658,E658)-MIN(C658,D658,E658))</f>
        <v/>
      </c>
      <c r="I658" s="2">
        <f>IF(OR(B658="",H658=0),IF(H658=0,0.1,""),ROUND(F658/H658,2))</f>
        <v/>
      </c>
      <c r="J658" s="2">
        <f>IF(I658=0.1,"极紧凑",IF(I658&gt;3.5,"紧凑",IF(AND(I658&gt;=2,I658&lt;=3.5),"标准",IF(AND(I658&gt;=1,I658&lt;2),"松散",""))))</f>
        <v/>
      </c>
      <c r="K658" s="2">
        <f>IF(I658=0.1,"极紧凑-豹子号",IF(AND(I658&gt;=1,I658&lt;=1.29),"松散-极松散",IF(AND(I658&gt;=1.33,I658&lt;=1.8),"松散-标准松散",IF(AND(I658&gt;=1.83,I658&lt;=1.89),"松散-偏紧松散",IF(AND(I658&gt;=2,I658&lt;=2.5),"标准-偏松标准",IF(AND(I658&gt;=2.57,I658&lt;=3),"标准-核心标准",IF(AND(I658&gt;=3.17,I658&lt;=3.5),"标准-偏紧标准",IF(AND(I658&gt;=3.6,I658&lt;=5),"紧凑-标准紧凑",IF(AND(I658&gt;=5.25,I658&lt;=8),"紧凑-高度紧凑",IF(I658&gt;=8.5,"紧凑-极度紧凑",""))))))))))</f>
        <v/>
      </c>
      <c r="L658" s="2">
        <f>IF(I658=0.1,"极紧凑",IF(AND(I658&gt;=1,I658&lt;=1.89),"松散",IF(AND(I658&gt;=2,I658&lt;=3.5),"标准",IF(I658&gt;=3.6,"紧凑",""))))</f>
        <v/>
      </c>
      <c r="M658" s="2" t="inlineStr">
        <is>
          <t>极紧凑-豹子号</t>
        </is>
      </c>
      <c r="N658" s="2" t="inlineStr">
        <is>
          <t>松散-极松散</t>
        </is>
      </c>
      <c r="O658" s="2" t="inlineStr">
        <is>
          <t>松散-标准松散</t>
        </is>
      </c>
      <c r="P658" s="2" t="inlineStr">
        <is>
          <t>松散-偏紧松散</t>
        </is>
      </c>
      <c r="Q658" s="2" t="inlineStr">
        <is>
          <t>标准-偏松标准</t>
        </is>
      </c>
      <c r="R658" s="2" t="inlineStr">
        <is>
          <t>标准-核心标准</t>
        </is>
      </c>
      <c r="S658" s="2" t="inlineStr">
        <is>
          <t>标准-偏紧标准</t>
        </is>
      </c>
      <c r="T658" s="2" t="inlineStr">
        <is>
          <t>紧凑-标准紧凑</t>
        </is>
      </c>
      <c r="U658" s="2" t="inlineStr">
        <is>
          <t>紧凑-高度紧凑</t>
        </is>
      </c>
      <c r="V658" s="2" t="inlineStr">
        <is>
          <t>紧凑-极度紧凑</t>
        </is>
      </c>
    </row>
    <row r="659">
      <c r="A659" s="1" t="n">
        <v>2024226</v>
      </c>
      <c r="B659" s="3" t="inlineStr">
        <is>
          <t>232</t>
        </is>
      </c>
      <c r="C659" s="2">
        <f>IF(B659="","",LEFT(TEXT(B659,"000"),1)*1)</f>
        <v/>
      </c>
      <c r="D659" s="2">
        <f>IF(B659="","",MID(TEXT(B659,"000"),2,1)*1)</f>
        <v/>
      </c>
      <c r="E659" s="2">
        <f>IF(B659="","",RIGHT(TEXT(B659,"000"),1)*1)</f>
        <v/>
      </c>
      <c r="F659" s="2">
        <f>IF(B659="","",C659+D659+E659)</f>
        <v/>
      </c>
      <c r="G659" s="2">
        <f>IF(B659="","",MOD(F659,10))</f>
        <v/>
      </c>
      <c r="H659" s="2">
        <f>IF(B659="","",MAX(C659,D659,E659)-MIN(C659,D659,E659))</f>
        <v/>
      </c>
      <c r="I659" s="2">
        <f>IF(OR(B659="",H659=0),IF(H659=0,0.1,""),ROUND(F659/H659,2))</f>
        <v/>
      </c>
      <c r="J659" s="2">
        <f>IF(I659=0.1,"极紧凑",IF(I659&gt;3.5,"紧凑",IF(AND(I659&gt;=2,I659&lt;=3.5),"标准",IF(AND(I659&gt;=1,I659&lt;2),"松散",""))))</f>
        <v/>
      </c>
      <c r="K659" s="2">
        <f>IF(I659=0.1,"极紧凑-豹子号",IF(AND(I659&gt;=1,I659&lt;=1.29),"松散-极松散",IF(AND(I659&gt;=1.33,I659&lt;=1.8),"松散-标准松散",IF(AND(I659&gt;=1.83,I659&lt;=1.89),"松散-偏紧松散",IF(AND(I659&gt;=2,I659&lt;=2.5),"标准-偏松标准",IF(AND(I659&gt;=2.57,I659&lt;=3),"标准-核心标准",IF(AND(I659&gt;=3.17,I659&lt;=3.5),"标准-偏紧标准",IF(AND(I659&gt;=3.6,I659&lt;=5),"紧凑-标准紧凑",IF(AND(I659&gt;=5.25,I659&lt;=8),"紧凑-高度紧凑",IF(I659&gt;=8.5,"紧凑-极度紧凑",""))))))))))</f>
        <v/>
      </c>
      <c r="L659" s="2">
        <f>IF(I659=0.1,"极紧凑",IF(AND(I659&gt;=1,I659&lt;=1.89),"松散",IF(AND(I659&gt;=2,I659&lt;=3.5),"标准",IF(I659&gt;=3.6,"紧凑",""))))</f>
        <v/>
      </c>
      <c r="M659" s="2" t="inlineStr">
        <is>
          <t>极紧凑-豹子号</t>
        </is>
      </c>
      <c r="N659" s="2" t="inlineStr">
        <is>
          <t>松散-极松散</t>
        </is>
      </c>
      <c r="O659" s="2" t="inlineStr">
        <is>
          <t>松散-标准松散</t>
        </is>
      </c>
      <c r="P659" s="2" t="inlineStr">
        <is>
          <t>松散-偏紧松散</t>
        </is>
      </c>
      <c r="Q659" s="2" t="inlineStr">
        <is>
          <t>标准-偏松标准</t>
        </is>
      </c>
      <c r="R659" s="2" t="inlineStr">
        <is>
          <t>标准-核心标准</t>
        </is>
      </c>
      <c r="S659" s="2" t="inlineStr">
        <is>
          <t>标准-偏紧标准</t>
        </is>
      </c>
      <c r="T659" s="2" t="inlineStr">
        <is>
          <t>紧凑-标准紧凑</t>
        </is>
      </c>
      <c r="U659" s="2" t="inlineStr">
        <is>
          <t>紧凑-高度紧凑</t>
        </is>
      </c>
      <c r="V659" s="2" t="inlineStr">
        <is>
          <t>紧凑-极度紧凑</t>
        </is>
      </c>
    </row>
    <row r="660">
      <c r="A660" s="1" t="n">
        <v>2024227</v>
      </c>
      <c r="B660" s="3" t="inlineStr">
        <is>
          <t>995</t>
        </is>
      </c>
      <c r="C660" s="2">
        <f>IF(B660="","",LEFT(TEXT(B660,"000"),1)*1)</f>
        <v/>
      </c>
      <c r="D660" s="2">
        <f>IF(B660="","",MID(TEXT(B660,"000"),2,1)*1)</f>
        <v/>
      </c>
      <c r="E660" s="2">
        <f>IF(B660="","",RIGHT(TEXT(B660,"000"),1)*1)</f>
        <v/>
      </c>
      <c r="F660" s="2">
        <f>IF(B660="","",C660+D660+E660)</f>
        <v/>
      </c>
      <c r="G660" s="2">
        <f>IF(B660="","",MOD(F660,10))</f>
        <v/>
      </c>
      <c r="H660" s="2">
        <f>IF(B660="","",MAX(C660,D660,E660)-MIN(C660,D660,E660))</f>
        <v/>
      </c>
      <c r="I660" s="2">
        <f>IF(OR(B660="",H660=0),IF(H660=0,0.1,""),ROUND(F660/H660,2))</f>
        <v/>
      </c>
      <c r="J660" s="2">
        <f>IF(I660=0.1,"极紧凑",IF(I660&gt;3.5,"紧凑",IF(AND(I660&gt;=2,I660&lt;=3.5),"标准",IF(AND(I660&gt;=1,I660&lt;2),"松散",""))))</f>
        <v/>
      </c>
      <c r="K660" s="2">
        <f>IF(I660=0.1,"极紧凑-豹子号",IF(AND(I660&gt;=1,I660&lt;=1.29),"松散-极松散",IF(AND(I660&gt;=1.33,I660&lt;=1.8),"松散-标准松散",IF(AND(I660&gt;=1.83,I660&lt;=1.89),"松散-偏紧松散",IF(AND(I660&gt;=2,I660&lt;=2.5),"标准-偏松标准",IF(AND(I660&gt;=2.57,I660&lt;=3),"标准-核心标准",IF(AND(I660&gt;=3.17,I660&lt;=3.5),"标准-偏紧标准",IF(AND(I660&gt;=3.6,I660&lt;=5),"紧凑-标准紧凑",IF(AND(I660&gt;=5.25,I660&lt;=8),"紧凑-高度紧凑",IF(I660&gt;=8.5,"紧凑-极度紧凑",""))))))))))</f>
        <v/>
      </c>
      <c r="L660" s="2">
        <f>IF(I660=0.1,"极紧凑",IF(AND(I660&gt;=1,I660&lt;=1.89),"松散",IF(AND(I660&gt;=2,I660&lt;=3.5),"标准",IF(I660&gt;=3.6,"紧凑",""))))</f>
        <v/>
      </c>
      <c r="M660" s="2" t="inlineStr">
        <is>
          <t>极紧凑-豹子号</t>
        </is>
      </c>
      <c r="N660" s="2" t="inlineStr">
        <is>
          <t>松散-极松散</t>
        </is>
      </c>
      <c r="O660" s="2" t="inlineStr">
        <is>
          <t>松散-标准松散</t>
        </is>
      </c>
      <c r="P660" s="2" t="inlineStr">
        <is>
          <t>松散-偏紧松散</t>
        </is>
      </c>
      <c r="Q660" s="2" t="inlineStr">
        <is>
          <t>标准-偏松标准</t>
        </is>
      </c>
      <c r="R660" s="2" t="inlineStr">
        <is>
          <t>标准-核心标准</t>
        </is>
      </c>
      <c r="S660" s="2" t="inlineStr">
        <is>
          <t>标准-偏紧标准</t>
        </is>
      </c>
      <c r="T660" s="2" t="inlineStr">
        <is>
          <t>紧凑-标准紧凑</t>
        </is>
      </c>
      <c r="U660" s="2" t="inlineStr">
        <is>
          <t>紧凑-高度紧凑</t>
        </is>
      </c>
      <c r="V660" s="2" t="inlineStr">
        <is>
          <t>紧凑-极度紧凑</t>
        </is>
      </c>
    </row>
    <row r="661">
      <c r="A661" s="1" t="n">
        <v>2024228</v>
      </c>
      <c r="B661" s="3" t="inlineStr">
        <is>
          <t>274</t>
        </is>
      </c>
      <c r="C661" s="2">
        <f>IF(B661="","",LEFT(TEXT(B661,"000"),1)*1)</f>
        <v/>
      </c>
      <c r="D661" s="2">
        <f>IF(B661="","",MID(TEXT(B661,"000"),2,1)*1)</f>
        <v/>
      </c>
      <c r="E661" s="2">
        <f>IF(B661="","",RIGHT(TEXT(B661,"000"),1)*1)</f>
        <v/>
      </c>
      <c r="F661" s="2">
        <f>IF(B661="","",C661+D661+E661)</f>
        <v/>
      </c>
      <c r="G661" s="2">
        <f>IF(B661="","",MOD(F661,10))</f>
        <v/>
      </c>
      <c r="H661" s="2">
        <f>IF(B661="","",MAX(C661,D661,E661)-MIN(C661,D661,E661))</f>
        <v/>
      </c>
      <c r="I661" s="2">
        <f>IF(OR(B661="",H661=0),IF(H661=0,0.1,""),ROUND(F661/H661,2))</f>
        <v/>
      </c>
      <c r="J661" s="2">
        <f>IF(I661=0.1,"极紧凑",IF(I661&gt;3.5,"紧凑",IF(AND(I661&gt;=2,I661&lt;=3.5),"标准",IF(AND(I661&gt;=1,I661&lt;2),"松散",""))))</f>
        <v/>
      </c>
      <c r="K661" s="2">
        <f>IF(I661=0.1,"极紧凑-豹子号",IF(AND(I661&gt;=1,I661&lt;=1.29),"松散-极松散",IF(AND(I661&gt;=1.33,I661&lt;=1.8),"松散-标准松散",IF(AND(I661&gt;=1.83,I661&lt;=1.89),"松散-偏紧松散",IF(AND(I661&gt;=2,I661&lt;=2.5),"标准-偏松标准",IF(AND(I661&gt;=2.57,I661&lt;=3),"标准-核心标准",IF(AND(I661&gt;=3.17,I661&lt;=3.5),"标准-偏紧标准",IF(AND(I661&gt;=3.6,I661&lt;=5),"紧凑-标准紧凑",IF(AND(I661&gt;=5.25,I661&lt;=8),"紧凑-高度紧凑",IF(I661&gt;=8.5,"紧凑-极度紧凑",""))))))))))</f>
        <v/>
      </c>
      <c r="L661" s="2">
        <f>IF(I661=0.1,"极紧凑",IF(AND(I661&gt;=1,I661&lt;=1.89),"松散",IF(AND(I661&gt;=2,I661&lt;=3.5),"标准",IF(I661&gt;=3.6,"紧凑",""))))</f>
        <v/>
      </c>
      <c r="M661" s="2" t="inlineStr">
        <is>
          <t>极紧凑-豹子号</t>
        </is>
      </c>
      <c r="N661" s="2" t="inlineStr">
        <is>
          <t>松散-极松散</t>
        </is>
      </c>
      <c r="O661" s="2" t="inlineStr">
        <is>
          <t>松散-标准松散</t>
        </is>
      </c>
      <c r="P661" s="2" t="inlineStr">
        <is>
          <t>松散-偏紧松散</t>
        </is>
      </c>
      <c r="Q661" s="2" t="inlineStr">
        <is>
          <t>标准-偏松标准</t>
        </is>
      </c>
      <c r="R661" s="2" t="inlineStr">
        <is>
          <t>标准-核心标准</t>
        </is>
      </c>
      <c r="S661" s="2" t="inlineStr">
        <is>
          <t>标准-偏紧标准</t>
        </is>
      </c>
      <c r="T661" s="2" t="inlineStr">
        <is>
          <t>紧凑-标准紧凑</t>
        </is>
      </c>
      <c r="U661" s="2" t="inlineStr">
        <is>
          <t>紧凑-高度紧凑</t>
        </is>
      </c>
      <c r="V661" s="2" t="inlineStr">
        <is>
          <t>紧凑-极度紧凑</t>
        </is>
      </c>
    </row>
    <row r="662">
      <c r="A662" s="1" t="n">
        <v>2024229</v>
      </c>
      <c r="B662" s="3" t="inlineStr">
        <is>
          <t>926</t>
        </is>
      </c>
      <c r="C662" s="2">
        <f>IF(B662="","",LEFT(TEXT(B662,"000"),1)*1)</f>
        <v/>
      </c>
      <c r="D662" s="2">
        <f>IF(B662="","",MID(TEXT(B662,"000"),2,1)*1)</f>
        <v/>
      </c>
      <c r="E662" s="2">
        <f>IF(B662="","",RIGHT(TEXT(B662,"000"),1)*1)</f>
        <v/>
      </c>
      <c r="F662" s="2">
        <f>IF(B662="","",C662+D662+E662)</f>
        <v/>
      </c>
      <c r="G662" s="2">
        <f>IF(B662="","",MOD(F662,10))</f>
        <v/>
      </c>
      <c r="H662" s="2">
        <f>IF(B662="","",MAX(C662,D662,E662)-MIN(C662,D662,E662))</f>
        <v/>
      </c>
      <c r="I662" s="2">
        <f>IF(OR(B662="",H662=0),IF(H662=0,0.1,""),ROUND(F662/H662,2))</f>
        <v/>
      </c>
      <c r="J662" s="2">
        <f>IF(I662=0.1,"极紧凑",IF(I662&gt;3.5,"紧凑",IF(AND(I662&gt;=2,I662&lt;=3.5),"标准",IF(AND(I662&gt;=1,I662&lt;2),"松散",""))))</f>
        <v/>
      </c>
      <c r="K662" s="2">
        <f>IF(I662=0.1,"极紧凑-豹子号",IF(AND(I662&gt;=1,I662&lt;=1.29),"松散-极松散",IF(AND(I662&gt;=1.33,I662&lt;=1.8),"松散-标准松散",IF(AND(I662&gt;=1.83,I662&lt;=1.89),"松散-偏紧松散",IF(AND(I662&gt;=2,I662&lt;=2.5),"标准-偏松标准",IF(AND(I662&gt;=2.57,I662&lt;=3),"标准-核心标准",IF(AND(I662&gt;=3.17,I662&lt;=3.5),"标准-偏紧标准",IF(AND(I662&gt;=3.6,I662&lt;=5),"紧凑-标准紧凑",IF(AND(I662&gt;=5.25,I662&lt;=8),"紧凑-高度紧凑",IF(I662&gt;=8.5,"紧凑-极度紧凑",""))))))))))</f>
        <v/>
      </c>
      <c r="L662" s="2">
        <f>IF(I662=0.1,"极紧凑",IF(AND(I662&gt;=1,I662&lt;=1.89),"松散",IF(AND(I662&gt;=2,I662&lt;=3.5),"标准",IF(I662&gt;=3.6,"紧凑",""))))</f>
        <v/>
      </c>
      <c r="M662" s="2" t="inlineStr">
        <is>
          <t>极紧凑-豹子号</t>
        </is>
      </c>
      <c r="N662" s="2" t="inlineStr">
        <is>
          <t>松散-极松散</t>
        </is>
      </c>
      <c r="O662" s="2" t="inlineStr">
        <is>
          <t>松散-标准松散</t>
        </is>
      </c>
      <c r="P662" s="2" t="inlineStr">
        <is>
          <t>松散-偏紧松散</t>
        </is>
      </c>
      <c r="Q662" s="2" t="inlineStr">
        <is>
          <t>标准-偏松标准</t>
        </is>
      </c>
      <c r="R662" s="2" t="inlineStr">
        <is>
          <t>标准-核心标准</t>
        </is>
      </c>
      <c r="S662" s="2" t="inlineStr">
        <is>
          <t>标准-偏紧标准</t>
        </is>
      </c>
      <c r="T662" s="2" t="inlineStr">
        <is>
          <t>紧凑-标准紧凑</t>
        </is>
      </c>
      <c r="U662" s="2" t="inlineStr">
        <is>
          <t>紧凑-高度紧凑</t>
        </is>
      </c>
      <c r="V662" s="2" t="inlineStr">
        <is>
          <t>紧凑-极度紧凑</t>
        </is>
      </c>
    </row>
    <row r="663">
      <c r="A663" s="1" t="n">
        <v>2024230</v>
      </c>
      <c r="B663" s="3" t="inlineStr">
        <is>
          <t>088</t>
        </is>
      </c>
      <c r="C663" s="2">
        <f>IF(B663="","",LEFT(TEXT(B663,"000"),1)*1)</f>
        <v/>
      </c>
      <c r="D663" s="2">
        <f>IF(B663="","",MID(TEXT(B663,"000"),2,1)*1)</f>
        <v/>
      </c>
      <c r="E663" s="2">
        <f>IF(B663="","",RIGHT(TEXT(B663,"000"),1)*1)</f>
        <v/>
      </c>
      <c r="F663" s="2">
        <f>IF(B663="","",C663+D663+E663)</f>
        <v/>
      </c>
      <c r="G663" s="2">
        <f>IF(B663="","",MOD(F663,10))</f>
        <v/>
      </c>
      <c r="H663" s="2">
        <f>IF(B663="","",MAX(C663,D663,E663)-MIN(C663,D663,E663))</f>
        <v/>
      </c>
      <c r="I663" s="2">
        <f>IF(OR(B663="",H663=0),IF(H663=0,0.1,""),ROUND(F663/H663,2))</f>
        <v/>
      </c>
      <c r="J663" s="2">
        <f>IF(I663=0.1,"极紧凑",IF(I663&gt;3.5,"紧凑",IF(AND(I663&gt;=2,I663&lt;=3.5),"标准",IF(AND(I663&gt;=1,I663&lt;2),"松散",""))))</f>
        <v/>
      </c>
      <c r="K663" s="2">
        <f>IF(I663=0.1,"极紧凑-豹子号",IF(AND(I663&gt;=1,I663&lt;=1.29),"松散-极松散",IF(AND(I663&gt;=1.33,I663&lt;=1.8),"松散-标准松散",IF(AND(I663&gt;=1.83,I663&lt;=1.89),"松散-偏紧松散",IF(AND(I663&gt;=2,I663&lt;=2.5),"标准-偏松标准",IF(AND(I663&gt;=2.57,I663&lt;=3),"标准-核心标准",IF(AND(I663&gt;=3.17,I663&lt;=3.5),"标准-偏紧标准",IF(AND(I663&gt;=3.6,I663&lt;=5),"紧凑-标准紧凑",IF(AND(I663&gt;=5.25,I663&lt;=8),"紧凑-高度紧凑",IF(I663&gt;=8.5,"紧凑-极度紧凑",""))))))))))</f>
        <v/>
      </c>
      <c r="L663" s="2">
        <f>IF(I663=0.1,"极紧凑",IF(AND(I663&gt;=1,I663&lt;=1.89),"松散",IF(AND(I663&gt;=2,I663&lt;=3.5),"标准",IF(I663&gt;=3.6,"紧凑",""))))</f>
        <v/>
      </c>
      <c r="M663" s="2" t="inlineStr">
        <is>
          <t>极紧凑-豹子号</t>
        </is>
      </c>
      <c r="N663" s="2" t="inlineStr">
        <is>
          <t>松散-极松散</t>
        </is>
      </c>
      <c r="O663" s="2" t="inlineStr">
        <is>
          <t>松散-标准松散</t>
        </is>
      </c>
      <c r="P663" s="2" t="inlineStr">
        <is>
          <t>松散-偏紧松散</t>
        </is>
      </c>
      <c r="Q663" s="2" t="inlineStr">
        <is>
          <t>标准-偏松标准</t>
        </is>
      </c>
      <c r="R663" s="2" t="inlineStr">
        <is>
          <t>标准-核心标准</t>
        </is>
      </c>
      <c r="S663" s="2" t="inlineStr">
        <is>
          <t>标准-偏紧标准</t>
        </is>
      </c>
      <c r="T663" s="2" t="inlineStr">
        <is>
          <t>紧凑-标准紧凑</t>
        </is>
      </c>
      <c r="U663" s="2" t="inlineStr">
        <is>
          <t>紧凑-高度紧凑</t>
        </is>
      </c>
      <c r="V663" s="2" t="inlineStr">
        <is>
          <t>紧凑-极度紧凑</t>
        </is>
      </c>
    </row>
    <row r="664">
      <c r="A664" s="1" t="n">
        <v>2024231</v>
      </c>
      <c r="B664" s="3" t="inlineStr">
        <is>
          <t>696</t>
        </is>
      </c>
      <c r="C664" s="2">
        <f>IF(B664="","",LEFT(TEXT(B664,"000"),1)*1)</f>
        <v/>
      </c>
      <c r="D664" s="2">
        <f>IF(B664="","",MID(TEXT(B664,"000"),2,1)*1)</f>
        <v/>
      </c>
      <c r="E664" s="2">
        <f>IF(B664="","",RIGHT(TEXT(B664,"000"),1)*1)</f>
        <v/>
      </c>
      <c r="F664" s="2">
        <f>IF(B664="","",C664+D664+E664)</f>
        <v/>
      </c>
      <c r="G664" s="2">
        <f>IF(B664="","",MOD(F664,10))</f>
        <v/>
      </c>
      <c r="H664" s="2">
        <f>IF(B664="","",MAX(C664,D664,E664)-MIN(C664,D664,E664))</f>
        <v/>
      </c>
      <c r="I664" s="2">
        <f>IF(OR(B664="",H664=0),IF(H664=0,0.1,""),ROUND(F664/H664,2))</f>
        <v/>
      </c>
      <c r="J664" s="2">
        <f>IF(I664=0.1,"极紧凑",IF(I664&gt;3.5,"紧凑",IF(AND(I664&gt;=2,I664&lt;=3.5),"标准",IF(AND(I664&gt;=1,I664&lt;2),"松散",""))))</f>
        <v/>
      </c>
      <c r="K664" s="2">
        <f>IF(I664=0.1,"极紧凑-豹子号",IF(AND(I664&gt;=1,I664&lt;=1.29),"松散-极松散",IF(AND(I664&gt;=1.33,I664&lt;=1.8),"松散-标准松散",IF(AND(I664&gt;=1.83,I664&lt;=1.89),"松散-偏紧松散",IF(AND(I664&gt;=2,I664&lt;=2.5),"标准-偏松标准",IF(AND(I664&gt;=2.57,I664&lt;=3),"标准-核心标准",IF(AND(I664&gt;=3.17,I664&lt;=3.5),"标准-偏紧标准",IF(AND(I664&gt;=3.6,I664&lt;=5),"紧凑-标准紧凑",IF(AND(I664&gt;=5.25,I664&lt;=8),"紧凑-高度紧凑",IF(I664&gt;=8.5,"紧凑-极度紧凑",""))))))))))</f>
        <v/>
      </c>
      <c r="L664" s="2">
        <f>IF(I664=0.1,"极紧凑",IF(AND(I664&gt;=1,I664&lt;=1.89),"松散",IF(AND(I664&gt;=2,I664&lt;=3.5),"标准",IF(I664&gt;=3.6,"紧凑",""))))</f>
        <v/>
      </c>
      <c r="M664" s="2" t="inlineStr">
        <is>
          <t>极紧凑-豹子号</t>
        </is>
      </c>
      <c r="N664" s="2" t="inlineStr">
        <is>
          <t>松散-极松散</t>
        </is>
      </c>
      <c r="O664" s="2" t="inlineStr">
        <is>
          <t>松散-标准松散</t>
        </is>
      </c>
      <c r="P664" s="2" t="inlineStr">
        <is>
          <t>松散-偏紧松散</t>
        </is>
      </c>
      <c r="Q664" s="2" t="inlineStr">
        <is>
          <t>标准-偏松标准</t>
        </is>
      </c>
      <c r="R664" s="2" t="inlineStr">
        <is>
          <t>标准-核心标准</t>
        </is>
      </c>
      <c r="S664" s="2" t="inlineStr">
        <is>
          <t>标准-偏紧标准</t>
        </is>
      </c>
      <c r="T664" s="2" t="inlineStr">
        <is>
          <t>紧凑-标准紧凑</t>
        </is>
      </c>
      <c r="U664" s="2" t="inlineStr">
        <is>
          <t>紧凑-高度紧凑</t>
        </is>
      </c>
      <c r="V664" s="2" t="inlineStr">
        <is>
          <t>紧凑-极度紧凑</t>
        </is>
      </c>
    </row>
    <row r="665">
      <c r="A665" s="1" t="n">
        <v>2024232</v>
      </c>
      <c r="B665" s="3" t="inlineStr">
        <is>
          <t>297</t>
        </is>
      </c>
      <c r="C665" s="2">
        <f>IF(B665="","",LEFT(TEXT(B665,"000"),1)*1)</f>
        <v/>
      </c>
      <c r="D665" s="2">
        <f>IF(B665="","",MID(TEXT(B665,"000"),2,1)*1)</f>
        <v/>
      </c>
      <c r="E665" s="2">
        <f>IF(B665="","",RIGHT(TEXT(B665,"000"),1)*1)</f>
        <v/>
      </c>
      <c r="F665" s="2">
        <f>IF(B665="","",C665+D665+E665)</f>
        <v/>
      </c>
      <c r="G665" s="2">
        <f>IF(B665="","",MOD(F665,10))</f>
        <v/>
      </c>
      <c r="H665" s="2">
        <f>IF(B665="","",MAX(C665,D665,E665)-MIN(C665,D665,E665))</f>
        <v/>
      </c>
      <c r="I665" s="2">
        <f>IF(OR(B665="",H665=0),IF(H665=0,0.1,""),ROUND(F665/H665,2))</f>
        <v/>
      </c>
      <c r="J665" s="2">
        <f>IF(I665=0.1,"极紧凑",IF(I665&gt;3.5,"紧凑",IF(AND(I665&gt;=2,I665&lt;=3.5),"标准",IF(AND(I665&gt;=1,I665&lt;2),"松散",""))))</f>
        <v/>
      </c>
      <c r="K665" s="2">
        <f>IF(I665=0.1,"极紧凑-豹子号",IF(AND(I665&gt;=1,I665&lt;=1.29),"松散-极松散",IF(AND(I665&gt;=1.33,I665&lt;=1.8),"松散-标准松散",IF(AND(I665&gt;=1.83,I665&lt;=1.89),"松散-偏紧松散",IF(AND(I665&gt;=2,I665&lt;=2.5),"标准-偏松标准",IF(AND(I665&gt;=2.57,I665&lt;=3),"标准-核心标准",IF(AND(I665&gt;=3.17,I665&lt;=3.5),"标准-偏紧标准",IF(AND(I665&gt;=3.6,I665&lt;=5),"紧凑-标准紧凑",IF(AND(I665&gt;=5.25,I665&lt;=8),"紧凑-高度紧凑",IF(I665&gt;=8.5,"紧凑-极度紧凑",""))))))))))</f>
        <v/>
      </c>
      <c r="L665" s="2">
        <f>IF(I665=0.1,"极紧凑",IF(AND(I665&gt;=1,I665&lt;=1.89),"松散",IF(AND(I665&gt;=2,I665&lt;=3.5),"标准",IF(I665&gt;=3.6,"紧凑",""))))</f>
        <v/>
      </c>
      <c r="M665" s="2" t="inlineStr">
        <is>
          <t>极紧凑-豹子号</t>
        </is>
      </c>
      <c r="N665" s="2" t="inlineStr">
        <is>
          <t>松散-极松散</t>
        </is>
      </c>
      <c r="O665" s="2" t="inlineStr">
        <is>
          <t>松散-标准松散</t>
        </is>
      </c>
      <c r="P665" s="2" t="inlineStr">
        <is>
          <t>松散-偏紧松散</t>
        </is>
      </c>
      <c r="Q665" s="2" t="inlineStr">
        <is>
          <t>标准-偏松标准</t>
        </is>
      </c>
      <c r="R665" s="2" t="inlineStr">
        <is>
          <t>标准-核心标准</t>
        </is>
      </c>
      <c r="S665" s="2" t="inlineStr">
        <is>
          <t>标准-偏紧标准</t>
        </is>
      </c>
      <c r="T665" s="2" t="inlineStr">
        <is>
          <t>紧凑-标准紧凑</t>
        </is>
      </c>
      <c r="U665" s="2" t="inlineStr">
        <is>
          <t>紧凑-高度紧凑</t>
        </is>
      </c>
      <c r="V665" s="2" t="inlineStr">
        <is>
          <t>紧凑-极度紧凑</t>
        </is>
      </c>
    </row>
    <row r="666">
      <c r="A666" s="1" t="n">
        <v>2024233</v>
      </c>
      <c r="B666" s="3" t="inlineStr">
        <is>
          <t>498</t>
        </is>
      </c>
      <c r="C666" s="2">
        <f>IF(B666="","",LEFT(TEXT(B666,"000"),1)*1)</f>
        <v/>
      </c>
      <c r="D666" s="2">
        <f>IF(B666="","",MID(TEXT(B666,"000"),2,1)*1)</f>
        <v/>
      </c>
      <c r="E666" s="2">
        <f>IF(B666="","",RIGHT(TEXT(B666,"000"),1)*1)</f>
        <v/>
      </c>
      <c r="F666" s="2">
        <f>IF(B666="","",C666+D666+E666)</f>
        <v/>
      </c>
      <c r="G666" s="2">
        <f>IF(B666="","",MOD(F666,10))</f>
        <v/>
      </c>
      <c r="H666" s="2">
        <f>IF(B666="","",MAX(C666,D666,E666)-MIN(C666,D666,E666))</f>
        <v/>
      </c>
      <c r="I666" s="2">
        <f>IF(OR(B666="",H666=0),IF(H666=0,0.1,""),ROUND(F666/H666,2))</f>
        <v/>
      </c>
      <c r="J666" s="2">
        <f>IF(I666=0.1,"极紧凑",IF(I666&gt;3.5,"紧凑",IF(AND(I666&gt;=2,I666&lt;=3.5),"标准",IF(AND(I666&gt;=1,I666&lt;2),"松散",""))))</f>
        <v/>
      </c>
      <c r="K666" s="2">
        <f>IF(I666=0.1,"极紧凑-豹子号",IF(AND(I666&gt;=1,I666&lt;=1.29),"松散-极松散",IF(AND(I666&gt;=1.33,I666&lt;=1.8),"松散-标准松散",IF(AND(I666&gt;=1.83,I666&lt;=1.89),"松散-偏紧松散",IF(AND(I666&gt;=2,I666&lt;=2.5),"标准-偏松标准",IF(AND(I666&gt;=2.57,I666&lt;=3),"标准-核心标准",IF(AND(I666&gt;=3.17,I666&lt;=3.5),"标准-偏紧标准",IF(AND(I666&gt;=3.6,I666&lt;=5),"紧凑-标准紧凑",IF(AND(I666&gt;=5.25,I666&lt;=8),"紧凑-高度紧凑",IF(I666&gt;=8.5,"紧凑-极度紧凑",""))))))))))</f>
        <v/>
      </c>
      <c r="L666" s="2">
        <f>IF(I666=0.1,"极紧凑",IF(AND(I666&gt;=1,I666&lt;=1.89),"松散",IF(AND(I666&gt;=2,I666&lt;=3.5),"标准",IF(I666&gt;=3.6,"紧凑",""))))</f>
        <v/>
      </c>
      <c r="M666" s="2" t="inlineStr">
        <is>
          <t>极紧凑-豹子号</t>
        </is>
      </c>
      <c r="N666" s="2" t="inlineStr">
        <is>
          <t>松散-极松散</t>
        </is>
      </c>
      <c r="O666" s="2" t="inlineStr">
        <is>
          <t>松散-标准松散</t>
        </is>
      </c>
      <c r="P666" s="2" t="inlineStr">
        <is>
          <t>松散-偏紧松散</t>
        </is>
      </c>
      <c r="Q666" s="2" t="inlineStr">
        <is>
          <t>标准-偏松标准</t>
        </is>
      </c>
      <c r="R666" s="2" t="inlineStr">
        <is>
          <t>标准-核心标准</t>
        </is>
      </c>
      <c r="S666" s="2" t="inlineStr">
        <is>
          <t>标准-偏紧标准</t>
        </is>
      </c>
      <c r="T666" s="2" t="inlineStr">
        <is>
          <t>紧凑-标准紧凑</t>
        </is>
      </c>
      <c r="U666" s="2" t="inlineStr">
        <is>
          <t>紧凑-高度紧凑</t>
        </is>
      </c>
      <c r="V666" s="2" t="inlineStr">
        <is>
          <t>紧凑-极度紧凑</t>
        </is>
      </c>
    </row>
    <row r="667">
      <c r="A667" s="1" t="n">
        <v>2024234</v>
      </c>
      <c r="B667" s="3" t="inlineStr">
        <is>
          <t>275</t>
        </is>
      </c>
      <c r="C667" s="2">
        <f>IF(B667="","",LEFT(TEXT(B667,"000"),1)*1)</f>
        <v/>
      </c>
      <c r="D667" s="2">
        <f>IF(B667="","",MID(TEXT(B667,"000"),2,1)*1)</f>
        <v/>
      </c>
      <c r="E667" s="2">
        <f>IF(B667="","",RIGHT(TEXT(B667,"000"),1)*1)</f>
        <v/>
      </c>
      <c r="F667" s="2">
        <f>IF(B667="","",C667+D667+E667)</f>
        <v/>
      </c>
      <c r="G667" s="2">
        <f>IF(B667="","",MOD(F667,10))</f>
        <v/>
      </c>
      <c r="H667" s="2">
        <f>IF(B667="","",MAX(C667,D667,E667)-MIN(C667,D667,E667))</f>
        <v/>
      </c>
      <c r="I667" s="2">
        <f>IF(OR(B667="",H667=0),IF(H667=0,0.1,""),ROUND(F667/H667,2))</f>
        <v/>
      </c>
      <c r="J667" s="2">
        <f>IF(I667=0.1,"极紧凑",IF(I667&gt;3.5,"紧凑",IF(AND(I667&gt;=2,I667&lt;=3.5),"标准",IF(AND(I667&gt;=1,I667&lt;2),"松散",""))))</f>
        <v/>
      </c>
      <c r="K667" s="2">
        <f>IF(I667=0.1,"极紧凑-豹子号",IF(AND(I667&gt;=1,I667&lt;=1.29),"松散-极松散",IF(AND(I667&gt;=1.33,I667&lt;=1.8),"松散-标准松散",IF(AND(I667&gt;=1.83,I667&lt;=1.89),"松散-偏紧松散",IF(AND(I667&gt;=2,I667&lt;=2.5),"标准-偏松标准",IF(AND(I667&gt;=2.57,I667&lt;=3),"标准-核心标准",IF(AND(I667&gt;=3.17,I667&lt;=3.5),"标准-偏紧标准",IF(AND(I667&gt;=3.6,I667&lt;=5),"紧凑-标准紧凑",IF(AND(I667&gt;=5.25,I667&lt;=8),"紧凑-高度紧凑",IF(I667&gt;=8.5,"紧凑-极度紧凑",""))))))))))</f>
        <v/>
      </c>
      <c r="L667" s="2">
        <f>IF(I667=0.1,"极紧凑",IF(AND(I667&gt;=1,I667&lt;=1.89),"松散",IF(AND(I667&gt;=2,I667&lt;=3.5),"标准",IF(I667&gt;=3.6,"紧凑",""))))</f>
        <v/>
      </c>
      <c r="M667" s="2" t="inlineStr">
        <is>
          <t>极紧凑-豹子号</t>
        </is>
      </c>
      <c r="N667" s="2" t="inlineStr">
        <is>
          <t>松散-极松散</t>
        </is>
      </c>
      <c r="O667" s="2" t="inlineStr">
        <is>
          <t>松散-标准松散</t>
        </is>
      </c>
      <c r="P667" s="2" t="inlineStr">
        <is>
          <t>松散-偏紧松散</t>
        </is>
      </c>
      <c r="Q667" s="2" t="inlineStr">
        <is>
          <t>标准-偏松标准</t>
        </is>
      </c>
      <c r="R667" s="2" t="inlineStr">
        <is>
          <t>标准-核心标准</t>
        </is>
      </c>
      <c r="S667" s="2" t="inlineStr">
        <is>
          <t>标准-偏紧标准</t>
        </is>
      </c>
      <c r="T667" s="2" t="inlineStr">
        <is>
          <t>紧凑-标准紧凑</t>
        </is>
      </c>
      <c r="U667" s="2" t="inlineStr">
        <is>
          <t>紧凑-高度紧凑</t>
        </is>
      </c>
      <c r="V667" s="2" t="inlineStr">
        <is>
          <t>紧凑-极度紧凑</t>
        </is>
      </c>
    </row>
    <row r="668">
      <c r="A668" s="1" t="n">
        <v>2024235</v>
      </c>
      <c r="B668" s="3" t="inlineStr">
        <is>
          <t>954</t>
        </is>
      </c>
      <c r="C668" s="2">
        <f>IF(B668="","",LEFT(TEXT(B668,"000"),1)*1)</f>
        <v/>
      </c>
      <c r="D668" s="2">
        <f>IF(B668="","",MID(TEXT(B668,"000"),2,1)*1)</f>
        <v/>
      </c>
      <c r="E668" s="2">
        <f>IF(B668="","",RIGHT(TEXT(B668,"000"),1)*1)</f>
        <v/>
      </c>
      <c r="F668" s="2">
        <f>IF(B668="","",C668+D668+E668)</f>
        <v/>
      </c>
      <c r="G668" s="2">
        <f>IF(B668="","",MOD(F668,10))</f>
        <v/>
      </c>
      <c r="H668" s="2">
        <f>IF(B668="","",MAX(C668,D668,E668)-MIN(C668,D668,E668))</f>
        <v/>
      </c>
      <c r="I668" s="2">
        <f>IF(OR(B668="",H668=0),IF(H668=0,0.1,""),ROUND(F668/H668,2))</f>
        <v/>
      </c>
      <c r="J668" s="2">
        <f>IF(I668=0.1,"极紧凑",IF(I668&gt;3.5,"紧凑",IF(AND(I668&gt;=2,I668&lt;=3.5),"标准",IF(AND(I668&gt;=1,I668&lt;2),"松散",""))))</f>
        <v/>
      </c>
      <c r="K668" s="2">
        <f>IF(I668=0.1,"极紧凑-豹子号",IF(AND(I668&gt;=1,I668&lt;=1.29),"松散-极松散",IF(AND(I668&gt;=1.33,I668&lt;=1.8),"松散-标准松散",IF(AND(I668&gt;=1.83,I668&lt;=1.89),"松散-偏紧松散",IF(AND(I668&gt;=2,I668&lt;=2.5),"标准-偏松标准",IF(AND(I668&gt;=2.57,I668&lt;=3),"标准-核心标准",IF(AND(I668&gt;=3.17,I668&lt;=3.5),"标准-偏紧标准",IF(AND(I668&gt;=3.6,I668&lt;=5),"紧凑-标准紧凑",IF(AND(I668&gt;=5.25,I668&lt;=8),"紧凑-高度紧凑",IF(I668&gt;=8.5,"紧凑-极度紧凑",""))))))))))</f>
        <v/>
      </c>
      <c r="L668" s="2">
        <f>IF(I668=0.1,"极紧凑",IF(AND(I668&gt;=1,I668&lt;=1.89),"松散",IF(AND(I668&gt;=2,I668&lt;=3.5),"标准",IF(I668&gt;=3.6,"紧凑",""))))</f>
        <v/>
      </c>
      <c r="M668" s="2" t="inlineStr">
        <is>
          <t>极紧凑-豹子号</t>
        </is>
      </c>
      <c r="N668" s="2" t="inlineStr">
        <is>
          <t>松散-极松散</t>
        </is>
      </c>
      <c r="O668" s="2" t="inlineStr">
        <is>
          <t>松散-标准松散</t>
        </is>
      </c>
      <c r="P668" s="2" t="inlineStr">
        <is>
          <t>松散-偏紧松散</t>
        </is>
      </c>
      <c r="Q668" s="2" t="inlineStr">
        <is>
          <t>标准-偏松标准</t>
        </is>
      </c>
      <c r="R668" s="2" t="inlineStr">
        <is>
          <t>标准-核心标准</t>
        </is>
      </c>
      <c r="S668" s="2" t="inlineStr">
        <is>
          <t>标准-偏紧标准</t>
        </is>
      </c>
      <c r="T668" s="2" t="inlineStr">
        <is>
          <t>紧凑-标准紧凑</t>
        </is>
      </c>
      <c r="U668" s="2" t="inlineStr">
        <is>
          <t>紧凑-高度紧凑</t>
        </is>
      </c>
      <c r="V668" s="2" t="inlineStr">
        <is>
          <t>紧凑-极度紧凑</t>
        </is>
      </c>
    </row>
    <row r="669">
      <c r="A669" s="1" t="n">
        <v>2024236</v>
      </c>
      <c r="B669" s="3" t="inlineStr">
        <is>
          <t>376</t>
        </is>
      </c>
      <c r="C669" s="2">
        <f>IF(B669="","",LEFT(TEXT(B669,"000"),1)*1)</f>
        <v/>
      </c>
      <c r="D669" s="2">
        <f>IF(B669="","",MID(TEXT(B669,"000"),2,1)*1)</f>
        <v/>
      </c>
      <c r="E669" s="2">
        <f>IF(B669="","",RIGHT(TEXT(B669,"000"),1)*1)</f>
        <v/>
      </c>
      <c r="F669" s="2">
        <f>IF(B669="","",C669+D669+E669)</f>
        <v/>
      </c>
      <c r="G669" s="2">
        <f>IF(B669="","",MOD(F669,10))</f>
        <v/>
      </c>
      <c r="H669" s="2">
        <f>IF(B669="","",MAX(C669,D669,E669)-MIN(C669,D669,E669))</f>
        <v/>
      </c>
      <c r="I669" s="2">
        <f>IF(OR(B669="",H669=0),IF(H669=0,0.1,""),ROUND(F669/H669,2))</f>
        <v/>
      </c>
      <c r="J669" s="2">
        <f>IF(I669=0.1,"极紧凑",IF(I669&gt;3.5,"紧凑",IF(AND(I669&gt;=2,I669&lt;=3.5),"标准",IF(AND(I669&gt;=1,I669&lt;2),"松散",""))))</f>
        <v/>
      </c>
      <c r="K669" s="2">
        <f>IF(I669=0.1,"极紧凑-豹子号",IF(AND(I669&gt;=1,I669&lt;=1.29),"松散-极松散",IF(AND(I669&gt;=1.33,I669&lt;=1.8),"松散-标准松散",IF(AND(I669&gt;=1.83,I669&lt;=1.89),"松散-偏紧松散",IF(AND(I669&gt;=2,I669&lt;=2.5),"标准-偏松标准",IF(AND(I669&gt;=2.57,I669&lt;=3),"标准-核心标准",IF(AND(I669&gt;=3.17,I669&lt;=3.5),"标准-偏紧标准",IF(AND(I669&gt;=3.6,I669&lt;=5),"紧凑-标准紧凑",IF(AND(I669&gt;=5.25,I669&lt;=8),"紧凑-高度紧凑",IF(I669&gt;=8.5,"紧凑-极度紧凑",""))))))))))</f>
        <v/>
      </c>
      <c r="L669" s="2">
        <f>IF(I669=0.1,"极紧凑",IF(AND(I669&gt;=1,I669&lt;=1.89),"松散",IF(AND(I669&gt;=2,I669&lt;=3.5),"标准",IF(I669&gt;=3.6,"紧凑",""))))</f>
        <v/>
      </c>
      <c r="M669" s="2" t="inlineStr">
        <is>
          <t>极紧凑-豹子号</t>
        </is>
      </c>
      <c r="N669" s="2" t="inlineStr">
        <is>
          <t>松散-极松散</t>
        </is>
      </c>
      <c r="O669" s="2" t="inlineStr">
        <is>
          <t>松散-标准松散</t>
        </is>
      </c>
      <c r="P669" s="2" t="inlineStr">
        <is>
          <t>松散-偏紧松散</t>
        </is>
      </c>
      <c r="Q669" s="2" t="inlineStr">
        <is>
          <t>标准-偏松标准</t>
        </is>
      </c>
      <c r="R669" s="2" t="inlineStr">
        <is>
          <t>标准-核心标准</t>
        </is>
      </c>
      <c r="S669" s="2" t="inlineStr">
        <is>
          <t>标准-偏紧标准</t>
        </is>
      </c>
      <c r="T669" s="2" t="inlineStr">
        <is>
          <t>紧凑-标准紧凑</t>
        </is>
      </c>
      <c r="U669" s="2" t="inlineStr">
        <is>
          <t>紧凑-高度紧凑</t>
        </is>
      </c>
      <c r="V669" s="2" t="inlineStr">
        <is>
          <t>紧凑-极度紧凑</t>
        </is>
      </c>
    </row>
    <row r="670">
      <c r="A670" s="1" t="n">
        <v>2024237</v>
      </c>
      <c r="B670" s="3" t="inlineStr">
        <is>
          <t>356</t>
        </is>
      </c>
      <c r="C670" s="2">
        <f>IF(B670="","",LEFT(TEXT(B670,"000"),1)*1)</f>
        <v/>
      </c>
      <c r="D670" s="2">
        <f>IF(B670="","",MID(TEXT(B670,"000"),2,1)*1)</f>
        <v/>
      </c>
      <c r="E670" s="2">
        <f>IF(B670="","",RIGHT(TEXT(B670,"000"),1)*1)</f>
        <v/>
      </c>
      <c r="F670" s="2">
        <f>IF(B670="","",C670+D670+E670)</f>
        <v/>
      </c>
      <c r="G670" s="2">
        <f>IF(B670="","",MOD(F670,10))</f>
        <v/>
      </c>
      <c r="H670" s="2">
        <f>IF(B670="","",MAX(C670,D670,E670)-MIN(C670,D670,E670))</f>
        <v/>
      </c>
      <c r="I670" s="2">
        <f>IF(OR(B670="",H670=0),IF(H670=0,0.1,""),ROUND(F670/H670,2))</f>
        <v/>
      </c>
      <c r="J670" s="2">
        <f>IF(I670=0.1,"极紧凑",IF(I670&gt;3.5,"紧凑",IF(AND(I670&gt;=2,I670&lt;=3.5),"标准",IF(AND(I670&gt;=1,I670&lt;2),"松散",""))))</f>
        <v/>
      </c>
      <c r="K670" s="2">
        <f>IF(I670=0.1,"极紧凑-豹子号",IF(AND(I670&gt;=1,I670&lt;=1.29),"松散-极松散",IF(AND(I670&gt;=1.33,I670&lt;=1.8),"松散-标准松散",IF(AND(I670&gt;=1.83,I670&lt;=1.89),"松散-偏紧松散",IF(AND(I670&gt;=2,I670&lt;=2.5),"标准-偏松标准",IF(AND(I670&gt;=2.57,I670&lt;=3),"标准-核心标准",IF(AND(I670&gt;=3.17,I670&lt;=3.5),"标准-偏紧标准",IF(AND(I670&gt;=3.6,I670&lt;=5),"紧凑-标准紧凑",IF(AND(I670&gt;=5.25,I670&lt;=8),"紧凑-高度紧凑",IF(I670&gt;=8.5,"紧凑-极度紧凑",""))))))))))</f>
        <v/>
      </c>
      <c r="L670" s="2">
        <f>IF(I670=0.1,"极紧凑",IF(AND(I670&gt;=1,I670&lt;=1.89),"松散",IF(AND(I670&gt;=2,I670&lt;=3.5),"标准",IF(I670&gt;=3.6,"紧凑",""))))</f>
        <v/>
      </c>
      <c r="M670" s="2" t="inlineStr">
        <is>
          <t>极紧凑-豹子号</t>
        </is>
      </c>
      <c r="N670" s="2" t="inlineStr">
        <is>
          <t>松散-极松散</t>
        </is>
      </c>
      <c r="O670" s="2" t="inlineStr">
        <is>
          <t>松散-标准松散</t>
        </is>
      </c>
      <c r="P670" s="2" t="inlineStr">
        <is>
          <t>松散-偏紧松散</t>
        </is>
      </c>
      <c r="Q670" s="2" t="inlineStr">
        <is>
          <t>标准-偏松标准</t>
        </is>
      </c>
      <c r="R670" s="2" t="inlineStr">
        <is>
          <t>标准-核心标准</t>
        </is>
      </c>
      <c r="S670" s="2" t="inlineStr">
        <is>
          <t>标准-偏紧标准</t>
        </is>
      </c>
      <c r="T670" s="2" t="inlineStr">
        <is>
          <t>紧凑-标准紧凑</t>
        </is>
      </c>
      <c r="U670" s="2" t="inlineStr">
        <is>
          <t>紧凑-高度紧凑</t>
        </is>
      </c>
      <c r="V670" s="2" t="inlineStr">
        <is>
          <t>紧凑-极度紧凑</t>
        </is>
      </c>
    </row>
    <row r="671">
      <c r="A671" s="1" t="n">
        <v>2024238</v>
      </c>
      <c r="B671" s="3" t="inlineStr">
        <is>
          <t>430</t>
        </is>
      </c>
      <c r="C671" s="2">
        <f>IF(B671="","",LEFT(TEXT(B671,"000"),1)*1)</f>
        <v/>
      </c>
      <c r="D671" s="2">
        <f>IF(B671="","",MID(TEXT(B671,"000"),2,1)*1)</f>
        <v/>
      </c>
      <c r="E671" s="2">
        <f>IF(B671="","",RIGHT(TEXT(B671,"000"),1)*1)</f>
        <v/>
      </c>
      <c r="F671" s="2">
        <f>IF(B671="","",C671+D671+E671)</f>
        <v/>
      </c>
      <c r="G671" s="2">
        <f>IF(B671="","",MOD(F671,10))</f>
        <v/>
      </c>
      <c r="H671" s="2">
        <f>IF(B671="","",MAX(C671,D671,E671)-MIN(C671,D671,E671))</f>
        <v/>
      </c>
      <c r="I671" s="2">
        <f>IF(OR(B671="",H671=0),IF(H671=0,0.1,""),ROUND(F671/H671,2))</f>
        <v/>
      </c>
      <c r="J671" s="2">
        <f>IF(I671=0.1,"极紧凑",IF(I671&gt;3.5,"紧凑",IF(AND(I671&gt;=2,I671&lt;=3.5),"标准",IF(AND(I671&gt;=1,I671&lt;2),"松散",""))))</f>
        <v/>
      </c>
      <c r="K671" s="2">
        <f>IF(I671=0.1,"极紧凑-豹子号",IF(AND(I671&gt;=1,I671&lt;=1.29),"松散-极松散",IF(AND(I671&gt;=1.33,I671&lt;=1.8),"松散-标准松散",IF(AND(I671&gt;=1.83,I671&lt;=1.89),"松散-偏紧松散",IF(AND(I671&gt;=2,I671&lt;=2.5),"标准-偏松标准",IF(AND(I671&gt;=2.57,I671&lt;=3),"标准-核心标准",IF(AND(I671&gt;=3.17,I671&lt;=3.5),"标准-偏紧标准",IF(AND(I671&gt;=3.6,I671&lt;=5),"紧凑-标准紧凑",IF(AND(I671&gt;=5.25,I671&lt;=8),"紧凑-高度紧凑",IF(I671&gt;=8.5,"紧凑-极度紧凑",""))))))))))</f>
        <v/>
      </c>
      <c r="L671" s="2">
        <f>IF(I671=0.1,"极紧凑",IF(AND(I671&gt;=1,I671&lt;=1.89),"松散",IF(AND(I671&gt;=2,I671&lt;=3.5),"标准",IF(I671&gt;=3.6,"紧凑",""))))</f>
        <v/>
      </c>
      <c r="M671" s="2" t="inlineStr">
        <is>
          <t>极紧凑-豹子号</t>
        </is>
      </c>
      <c r="N671" s="2" t="inlineStr">
        <is>
          <t>松散-极松散</t>
        </is>
      </c>
      <c r="O671" s="2" t="inlineStr">
        <is>
          <t>松散-标准松散</t>
        </is>
      </c>
      <c r="P671" s="2" t="inlineStr">
        <is>
          <t>松散-偏紧松散</t>
        </is>
      </c>
      <c r="Q671" s="2" t="inlineStr">
        <is>
          <t>标准-偏松标准</t>
        </is>
      </c>
      <c r="R671" s="2" t="inlineStr">
        <is>
          <t>标准-核心标准</t>
        </is>
      </c>
      <c r="S671" s="2" t="inlineStr">
        <is>
          <t>标准-偏紧标准</t>
        </is>
      </c>
      <c r="T671" s="2" t="inlineStr">
        <is>
          <t>紧凑-标准紧凑</t>
        </is>
      </c>
      <c r="U671" s="2" t="inlineStr">
        <is>
          <t>紧凑-高度紧凑</t>
        </is>
      </c>
      <c r="V671" s="2" t="inlineStr">
        <is>
          <t>紧凑-极度紧凑</t>
        </is>
      </c>
    </row>
    <row r="672">
      <c r="A672" s="1" t="n">
        <v>2024239</v>
      </c>
      <c r="B672" s="3" t="inlineStr">
        <is>
          <t>168</t>
        </is>
      </c>
      <c r="C672" s="2">
        <f>IF(B672="","",LEFT(TEXT(B672,"000"),1)*1)</f>
        <v/>
      </c>
      <c r="D672" s="2">
        <f>IF(B672="","",MID(TEXT(B672,"000"),2,1)*1)</f>
        <v/>
      </c>
      <c r="E672" s="2">
        <f>IF(B672="","",RIGHT(TEXT(B672,"000"),1)*1)</f>
        <v/>
      </c>
      <c r="F672" s="2">
        <f>IF(B672="","",C672+D672+E672)</f>
        <v/>
      </c>
      <c r="G672" s="2">
        <f>IF(B672="","",MOD(F672,10))</f>
        <v/>
      </c>
      <c r="H672" s="2">
        <f>IF(B672="","",MAX(C672,D672,E672)-MIN(C672,D672,E672))</f>
        <v/>
      </c>
      <c r="I672" s="2">
        <f>IF(OR(B672="",H672=0),IF(H672=0,0.1,""),ROUND(F672/H672,2))</f>
        <v/>
      </c>
      <c r="J672" s="2">
        <f>IF(I672=0.1,"极紧凑",IF(I672&gt;3.5,"紧凑",IF(AND(I672&gt;=2,I672&lt;=3.5),"标准",IF(AND(I672&gt;=1,I672&lt;2),"松散",""))))</f>
        <v/>
      </c>
      <c r="K672" s="2">
        <f>IF(I672=0.1,"极紧凑-豹子号",IF(AND(I672&gt;=1,I672&lt;=1.29),"松散-极松散",IF(AND(I672&gt;=1.33,I672&lt;=1.8),"松散-标准松散",IF(AND(I672&gt;=1.83,I672&lt;=1.89),"松散-偏紧松散",IF(AND(I672&gt;=2,I672&lt;=2.5),"标准-偏松标准",IF(AND(I672&gt;=2.57,I672&lt;=3),"标准-核心标准",IF(AND(I672&gt;=3.17,I672&lt;=3.5),"标准-偏紧标准",IF(AND(I672&gt;=3.6,I672&lt;=5),"紧凑-标准紧凑",IF(AND(I672&gt;=5.25,I672&lt;=8),"紧凑-高度紧凑",IF(I672&gt;=8.5,"紧凑-极度紧凑",""))))))))))</f>
        <v/>
      </c>
      <c r="L672" s="2">
        <f>IF(I672=0.1,"极紧凑",IF(AND(I672&gt;=1,I672&lt;=1.89),"松散",IF(AND(I672&gt;=2,I672&lt;=3.5),"标准",IF(I672&gt;=3.6,"紧凑",""))))</f>
        <v/>
      </c>
      <c r="M672" s="2" t="inlineStr">
        <is>
          <t>极紧凑-豹子号</t>
        </is>
      </c>
      <c r="N672" s="2" t="inlineStr">
        <is>
          <t>松散-极松散</t>
        </is>
      </c>
      <c r="O672" s="2" t="inlineStr">
        <is>
          <t>松散-标准松散</t>
        </is>
      </c>
      <c r="P672" s="2" t="inlineStr">
        <is>
          <t>松散-偏紧松散</t>
        </is>
      </c>
      <c r="Q672" s="2" t="inlineStr">
        <is>
          <t>标准-偏松标准</t>
        </is>
      </c>
      <c r="R672" s="2" t="inlineStr">
        <is>
          <t>标准-核心标准</t>
        </is>
      </c>
      <c r="S672" s="2" t="inlineStr">
        <is>
          <t>标准-偏紧标准</t>
        </is>
      </c>
      <c r="T672" s="2" t="inlineStr">
        <is>
          <t>紧凑-标准紧凑</t>
        </is>
      </c>
      <c r="U672" s="2" t="inlineStr">
        <is>
          <t>紧凑-高度紧凑</t>
        </is>
      </c>
      <c r="V672" s="2" t="inlineStr">
        <is>
          <t>紧凑-极度紧凑</t>
        </is>
      </c>
    </row>
    <row r="673">
      <c r="A673" s="1" t="n">
        <v>2024240</v>
      </c>
      <c r="B673" s="3" t="inlineStr">
        <is>
          <t>815</t>
        </is>
      </c>
      <c r="C673" s="2">
        <f>IF(B673="","",LEFT(TEXT(B673,"000"),1)*1)</f>
        <v/>
      </c>
      <c r="D673" s="2">
        <f>IF(B673="","",MID(TEXT(B673,"000"),2,1)*1)</f>
        <v/>
      </c>
      <c r="E673" s="2">
        <f>IF(B673="","",RIGHT(TEXT(B673,"000"),1)*1)</f>
        <v/>
      </c>
      <c r="F673" s="2">
        <f>IF(B673="","",C673+D673+E673)</f>
        <v/>
      </c>
      <c r="G673" s="2">
        <f>IF(B673="","",MOD(F673,10))</f>
        <v/>
      </c>
      <c r="H673" s="2">
        <f>IF(B673="","",MAX(C673,D673,E673)-MIN(C673,D673,E673))</f>
        <v/>
      </c>
      <c r="I673" s="2">
        <f>IF(OR(B673="",H673=0),IF(H673=0,0.1,""),ROUND(F673/H673,2))</f>
        <v/>
      </c>
      <c r="J673" s="2">
        <f>IF(I673=0.1,"极紧凑",IF(I673&gt;3.5,"紧凑",IF(AND(I673&gt;=2,I673&lt;=3.5),"标准",IF(AND(I673&gt;=1,I673&lt;2),"松散",""))))</f>
        <v/>
      </c>
      <c r="K673" s="2">
        <f>IF(I673=0.1,"极紧凑-豹子号",IF(AND(I673&gt;=1,I673&lt;=1.29),"松散-极松散",IF(AND(I673&gt;=1.33,I673&lt;=1.8),"松散-标准松散",IF(AND(I673&gt;=1.83,I673&lt;=1.89),"松散-偏紧松散",IF(AND(I673&gt;=2,I673&lt;=2.5),"标准-偏松标准",IF(AND(I673&gt;=2.57,I673&lt;=3),"标准-核心标准",IF(AND(I673&gt;=3.17,I673&lt;=3.5),"标准-偏紧标准",IF(AND(I673&gt;=3.6,I673&lt;=5),"紧凑-标准紧凑",IF(AND(I673&gt;=5.25,I673&lt;=8),"紧凑-高度紧凑",IF(I673&gt;=8.5,"紧凑-极度紧凑",""))))))))))</f>
        <v/>
      </c>
      <c r="L673" s="2">
        <f>IF(I673=0.1,"极紧凑",IF(AND(I673&gt;=1,I673&lt;=1.89),"松散",IF(AND(I673&gt;=2,I673&lt;=3.5),"标准",IF(I673&gt;=3.6,"紧凑",""))))</f>
        <v/>
      </c>
      <c r="M673" s="2" t="inlineStr">
        <is>
          <t>极紧凑-豹子号</t>
        </is>
      </c>
      <c r="N673" s="2" t="inlineStr">
        <is>
          <t>松散-极松散</t>
        </is>
      </c>
      <c r="O673" s="2" t="inlineStr">
        <is>
          <t>松散-标准松散</t>
        </is>
      </c>
      <c r="P673" s="2" t="inlineStr">
        <is>
          <t>松散-偏紧松散</t>
        </is>
      </c>
      <c r="Q673" s="2" t="inlineStr">
        <is>
          <t>标准-偏松标准</t>
        </is>
      </c>
      <c r="R673" s="2" t="inlineStr">
        <is>
          <t>标准-核心标准</t>
        </is>
      </c>
      <c r="S673" s="2" t="inlineStr">
        <is>
          <t>标准-偏紧标准</t>
        </is>
      </c>
      <c r="T673" s="2" t="inlineStr">
        <is>
          <t>紧凑-标准紧凑</t>
        </is>
      </c>
      <c r="U673" s="2" t="inlineStr">
        <is>
          <t>紧凑-高度紧凑</t>
        </is>
      </c>
      <c r="V673" s="2" t="inlineStr">
        <is>
          <t>紧凑-极度紧凑</t>
        </is>
      </c>
    </row>
    <row r="674">
      <c r="A674" s="1" t="n">
        <v>2024241</v>
      </c>
      <c r="B674" s="3" t="inlineStr">
        <is>
          <t>063</t>
        </is>
      </c>
      <c r="C674" s="2">
        <f>IF(B674="","",LEFT(TEXT(B674,"000"),1)*1)</f>
        <v/>
      </c>
      <c r="D674" s="2">
        <f>IF(B674="","",MID(TEXT(B674,"000"),2,1)*1)</f>
        <v/>
      </c>
      <c r="E674" s="2">
        <f>IF(B674="","",RIGHT(TEXT(B674,"000"),1)*1)</f>
        <v/>
      </c>
      <c r="F674" s="2">
        <f>IF(B674="","",C674+D674+E674)</f>
        <v/>
      </c>
      <c r="G674" s="2">
        <f>IF(B674="","",MOD(F674,10))</f>
        <v/>
      </c>
      <c r="H674" s="2">
        <f>IF(B674="","",MAX(C674,D674,E674)-MIN(C674,D674,E674))</f>
        <v/>
      </c>
      <c r="I674" s="2">
        <f>IF(OR(B674="",H674=0),IF(H674=0,0.1,""),ROUND(F674/H674,2))</f>
        <v/>
      </c>
      <c r="J674" s="2">
        <f>IF(I674=0.1,"极紧凑",IF(I674&gt;3.5,"紧凑",IF(AND(I674&gt;=2,I674&lt;=3.5),"标准",IF(AND(I674&gt;=1,I674&lt;2),"松散",""))))</f>
        <v/>
      </c>
      <c r="K674" s="2">
        <f>IF(I674=0.1,"极紧凑-豹子号",IF(AND(I674&gt;=1,I674&lt;=1.29),"松散-极松散",IF(AND(I674&gt;=1.33,I674&lt;=1.8),"松散-标准松散",IF(AND(I674&gt;=1.83,I674&lt;=1.89),"松散-偏紧松散",IF(AND(I674&gt;=2,I674&lt;=2.5),"标准-偏松标准",IF(AND(I674&gt;=2.57,I674&lt;=3),"标准-核心标准",IF(AND(I674&gt;=3.17,I674&lt;=3.5),"标准-偏紧标准",IF(AND(I674&gt;=3.6,I674&lt;=5),"紧凑-标准紧凑",IF(AND(I674&gt;=5.25,I674&lt;=8),"紧凑-高度紧凑",IF(I674&gt;=8.5,"紧凑-极度紧凑",""))))))))))</f>
        <v/>
      </c>
      <c r="L674" s="2">
        <f>IF(I674=0.1,"极紧凑",IF(AND(I674&gt;=1,I674&lt;=1.89),"松散",IF(AND(I674&gt;=2,I674&lt;=3.5),"标准",IF(I674&gt;=3.6,"紧凑",""))))</f>
        <v/>
      </c>
      <c r="M674" s="2" t="inlineStr">
        <is>
          <t>极紧凑-豹子号</t>
        </is>
      </c>
      <c r="N674" s="2" t="inlineStr">
        <is>
          <t>松散-极松散</t>
        </is>
      </c>
      <c r="O674" s="2" t="inlineStr">
        <is>
          <t>松散-标准松散</t>
        </is>
      </c>
      <c r="P674" s="2" t="inlineStr">
        <is>
          <t>松散-偏紧松散</t>
        </is>
      </c>
      <c r="Q674" s="2" t="inlineStr">
        <is>
          <t>标准-偏松标准</t>
        </is>
      </c>
      <c r="R674" s="2" t="inlineStr">
        <is>
          <t>标准-核心标准</t>
        </is>
      </c>
      <c r="S674" s="2" t="inlineStr">
        <is>
          <t>标准-偏紧标准</t>
        </is>
      </c>
      <c r="T674" s="2" t="inlineStr">
        <is>
          <t>紧凑-标准紧凑</t>
        </is>
      </c>
      <c r="U674" s="2" t="inlineStr">
        <is>
          <t>紧凑-高度紧凑</t>
        </is>
      </c>
      <c r="V674" s="2" t="inlineStr">
        <is>
          <t>紧凑-极度紧凑</t>
        </is>
      </c>
    </row>
    <row r="675">
      <c r="A675" s="1" t="n">
        <v>2024242</v>
      </c>
      <c r="B675" s="3" t="inlineStr">
        <is>
          <t>188</t>
        </is>
      </c>
      <c r="C675" s="2">
        <f>IF(B675="","",LEFT(TEXT(B675,"000"),1)*1)</f>
        <v/>
      </c>
      <c r="D675" s="2">
        <f>IF(B675="","",MID(TEXT(B675,"000"),2,1)*1)</f>
        <v/>
      </c>
      <c r="E675" s="2">
        <f>IF(B675="","",RIGHT(TEXT(B675,"000"),1)*1)</f>
        <v/>
      </c>
      <c r="F675" s="2">
        <f>IF(B675="","",C675+D675+E675)</f>
        <v/>
      </c>
      <c r="G675" s="2">
        <f>IF(B675="","",MOD(F675,10))</f>
        <v/>
      </c>
      <c r="H675" s="2">
        <f>IF(B675="","",MAX(C675,D675,E675)-MIN(C675,D675,E675))</f>
        <v/>
      </c>
      <c r="I675" s="2">
        <f>IF(OR(B675="",H675=0),IF(H675=0,0.1,""),ROUND(F675/H675,2))</f>
        <v/>
      </c>
      <c r="J675" s="2">
        <f>IF(I675=0.1,"极紧凑",IF(I675&gt;3.5,"紧凑",IF(AND(I675&gt;=2,I675&lt;=3.5),"标准",IF(AND(I675&gt;=1,I675&lt;2),"松散",""))))</f>
        <v/>
      </c>
      <c r="K675" s="2">
        <f>IF(I675=0.1,"极紧凑-豹子号",IF(AND(I675&gt;=1,I675&lt;=1.29),"松散-极松散",IF(AND(I675&gt;=1.33,I675&lt;=1.8),"松散-标准松散",IF(AND(I675&gt;=1.83,I675&lt;=1.89),"松散-偏紧松散",IF(AND(I675&gt;=2,I675&lt;=2.5),"标准-偏松标准",IF(AND(I675&gt;=2.57,I675&lt;=3),"标准-核心标准",IF(AND(I675&gt;=3.17,I675&lt;=3.5),"标准-偏紧标准",IF(AND(I675&gt;=3.6,I675&lt;=5),"紧凑-标准紧凑",IF(AND(I675&gt;=5.25,I675&lt;=8),"紧凑-高度紧凑",IF(I675&gt;=8.5,"紧凑-极度紧凑",""))))))))))</f>
        <v/>
      </c>
      <c r="L675" s="2">
        <f>IF(I675=0.1,"极紧凑",IF(AND(I675&gt;=1,I675&lt;=1.89),"松散",IF(AND(I675&gt;=2,I675&lt;=3.5),"标准",IF(I675&gt;=3.6,"紧凑",""))))</f>
        <v/>
      </c>
      <c r="M675" s="2" t="inlineStr">
        <is>
          <t>极紧凑-豹子号</t>
        </is>
      </c>
      <c r="N675" s="2" t="inlineStr">
        <is>
          <t>松散-极松散</t>
        </is>
      </c>
      <c r="O675" s="2" t="inlineStr">
        <is>
          <t>松散-标准松散</t>
        </is>
      </c>
      <c r="P675" s="2" t="inlineStr">
        <is>
          <t>松散-偏紧松散</t>
        </is>
      </c>
      <c r="Q675" s="2" t="inlineStr">
        <is>
          <t>标准-偏松标准</t>
        </is>
      </c>
      <c r="R675" s="2" t="inlineStr">
        <is>
          <t>标准-核心标准</t>
        </is>
      </c>
      <c r="S675" s="2" t="inlineStr">
        <is>
          <t>标准-偏紧标准</t>
        </is>
      </c>
      <c r="T675" s="2" t="inlineStr">
        <is>
          <t>紧凑-标准紧凑</t>
        </is>
      </c>
      <c r="U675" s="2" t="inlineStr">
        <is>
          <t>紧凑-高度紧凑</t>
        </is>
      </c>
      <c r="V675" s="2" t="inlineStr">
        <is>
          <t>紧凑-极度紧凑</t>
        </is>
      </c>
    </row>
    <row r="676">
      <c r="A676" s="1" t="n">
        <v>2024243</v>
      </c>
      <c r="B676" s="3" t="inlineStr">
        <is>
          <t>916</t>
        </is>
      </c>
      <c r="C676" s="2">
        <f>IF(B676="","",LEFT(TEXT(B676,"000"),1)*1)</f>
        <v/>
      </c>
      <c r="D676" s="2">
        <f>IF(B676="","",MID(TEXT(B676,"000"),2,1)*1)</f>
        <v/>
      </c>
      <c r="E676" s="2">
        <f>IF(B676="","",RIGHT(TEXT(B676,"000"),1)*1)</f>
        <v/>
      </c>
      <c r="F676" s="2">
        <f>IF(B676="","",C676+D676+E676)</f>
        <v/>
      </c>
      <c r="G676" s="2">
        <f>IF(B676="","",MOD(F676,10))</f>
        <v/>
      </c>
      <c r="H676" s="2">
        <f>IF(B676="","",MAX(C676,D676,E676)-MIN(C676,D676,E676))</f>
        <v/>
      </c>
      <c r="I676" s="2">
        <f>IF(OR(B676="",H676=0),IF(H676=0,0.1,""),ROUND(F676/H676,2))</f>
        <v/>
      </c>
      <c r="J676" s="2">
        <f>IF(I676=0.1,"极紧凑",IF(I676&gt;3.5,"紧凑",IF(AND(I676&gt;=2,I676&lt;=3.5),"标准",IF(AND(I676&gt;=1,I676&lt;2),"松散",""))))</f>
        <v/>
      </c>
      <c r="K676" s="2">
        <f>IF(I676=0.1,"极紧凑-豹子号",IF(AND(I676&gt;=1,I676&lt;=1.29),"松散-极松散",IF(AND(I676&gt;=1.33,I676&lt;=1.8),"松散-标准松散",IF(AND(I676&gt;=1.83,I676&lt;=1.89),"松散-偏紧松散",IF(AND(I676&gt;=2,I676&lt;=2.5),"标准-偏松标准",IF(AND(I676&gt;=2.57,I676&lt;=3),"标准-核心标准",IF(AND(I676&gt;=3.17,I676&lt;=3.5),"标准-偏紧标准",IF(AND(I676&gt;=3.6,I676&lt;=5),"紧凑-标准紧凑",IF(AND(I676&gt;=5.25,I676&lt;=8),"紧凑-高度紧凑",IF(I676&gt;=8.5,"紧凑-极度紧凑",""))))))))))</f>
        <v/>
      </c>
      <c r="L676" s="2">
        <f>IF(I676=0.1,"极紧凑",IF(AND(I676&gt;=1,I676&lt;=1.89),"松散",IF(AND(I676&gt;=2,I676&lt;=3.5),"标准",IF(I676&gt;=3.6,"紧凑",""))))</f>
        <v/>
      </c>
      <c r="M676" s="2" t="inlineStr">
        <is>
          <t>极紧凑-豹子号</t>
        </is>
      </c>
      <c r="N676" s="2" t="inlineStr">
        <is>
          <t>松散-极松散</t>
        </is>
      </c>
      <c r="O676" s="2" t="inlineStr">
        <is>
          <t>松散-标准松散</t>
        </is>
      </c>
      <c r="P676" s="2" t="inlineStr">
        <is>
          <t>松散-偏紧松散</t>
        </is>
      </c>
      <c r="Q676" s="2" t="inlineStr">
        <is>
          <t>标准-偏松标准</t>
        </is>
      </c>
      <c r="R676" s="2" t="inlineStr">
        <is>
          <t>标准-核心标准</t>
        </is>
      </c>
      <c r="S676" s="2" t="inlineStr">
        <is>
          <t>标准-偏紧标准</t>
        </is>
      </c>
      <c r="T676" s="2" t="inlineStr">
        <is>
          <t>紧凑-标准紧凑</t>
        </is>
      </c>
      <c r="U676" s="2" t="inlineStr">
        <is>
          <t>紧凑-高度紧凑</t>
        </is>
      </c>
      <c r="V676" s="2" t="inlineStr">
        <is>
          <t>紧凑-极度紧凑</t>
        </is>
      </c>
    </row>
    <row r="677">
      <c r="A677" s="1" t="n">
        <v>2024244</v>
      </c>
      <c r="B677" s="3" t="inlineStr">
        <is>
          <t>368</t>
        </is>
      </c>
      <c r="C677" s="2">
        <f>IF(B677="","",LEFT(TEXT(B677,"000"),1)*1)</f>
        <v/>
      </c>
      <c r="D677" s="2">
        <f>IF(B677="","",MID(TEXT(B677,"000"),2,1)*1)</f>
        <v/>
      </c>
      <c r="E677" s="2">
        <f>IF(B677="","",RIGHT(TEXT(B677,"000"),1)*1)</f>
        <v/>
      </c>
      <c r="F677" s="2">
        <f>IF(B677="","",C677+D677+E677)</f>
        <v/>
      </c>
      <c r="G677" s="2">
        <f>IF(B677="","",MOD(F677,10))</f>
        <v/>
      </c>
      <c r="H677" s="2">
        <f>IF(B677="","",MAX(C677,D677,E677)-MIN(C677,D677,E677))</f>
        <v/>
      </c>
      <c r="I677" s="2">
        <f>IF(OR(B677="",H677=0),IF(H677=0,0.1,""),ROUND(F677/H677,2))</f>
        <v/>
      </c>
      <c r="J677" s="2">
        <f>IF(I677=0.1,"极紧凑",IF(I677&gt;3.5,"紧凑",IF(AND(I677&gt;=2,I677&lt;=3.5),"标准",IF(AND(I677&gt;=1,I677&lt;2),"松散",""))))</f>
        <v/>
      </c>
      <c r="K677" s="2">
        <f>IF(I677=0.1,"极紧凑-豹子号",IF(AND(I677&gt;=1,I677&lt;=1.29),"松散-极松散",IF(AND(I677&gt;=1.33,I677&lt;=1.8),"松散-标准松散",IF(AND(I677&gt;=1.83,I677&lt;=1.89),"松散-偏紧松散",IF(AND(I677&gt;=2,I677&lt;=2.5),"标准-偏松标准",IF(AND(I677&gt;=2.57,I677&lt;=3),"标准-核心标准",IF(AND(I677&gt;=3.17,I677&lt;=3.5),"标准-偏紧标准",IF(AND(I677&gt;=3.6,I677&lt;=5),"紧凑-标准紧凑",IF(AND(I677&gt;=5.25,I677&lt;=8),"紧凑-高度紧凑",IF(I677&gt;=8.5,"紧凑-极度紧凑",""))))))))))</f>
        <v/>
      </c>
      <c r="L677" s="2">
        <f>IF(I677=0.1,"极紧凑",IF(AND(I677&gt;=1,I677&lt;=1.89),"松散",IF(AND(I677&gt;=2,I677&lt;=3.5),"标准",IF(I677&gt;=3.6,"紧凑",""))))</f>
        <v/>
      </c>
      <c r="M677" s="2" t="inlineStr">
        <is>
          <t>极紧凑-豹子号</t>
        </is>
      </c>
      <c r="N677" s="2" t="inlineStr">
        <is>
          <t>松散-极松散</t>
        </is>
      </c>
      <c r="O677" s="2" t="inlineStr">
        <is>
          <t>松散-标准松散</t>
        </is>
      </c>
      <c r="P677" s="2" t="inlineStr">
        <is>
          <t>松散-偏紧松散</t>
        </is>
      </c>
      <c r="Q677" s="2" t="inlineStr">
        <is>
          <t>标准-偏松标准</t>
        </is>
      </c>
      <c r="R677" s="2" t="inlineStr">
        <is>
          <t>标准-核心标准</t>
        </is>
      </c>
      <c r="S677" s="2" t="inlineStr">
        <is>
          <t>标准-偏紧标准</t>
        </is>
      </c>
      <c r="T677" s="2" t="inlineStr">
        <is>
          <t>紧凑-标准紧凑</t>
        </is>
      </c>
      <c r="U677" s="2" t="inlineStr">
        <is>
          <t>紧凑-高度紧凑</t>
        </is>
      </c>
      <c r="V677" s="2" t="inlineStr">
        <is>
          <t>紧凑-极度紧凑</t>
        </is>
      </c>
    </row>
    <row r="678">
      <c r="A678" s="1" t="n">
        <v>2024245</v>
      </c>
      <c r="B678" s="3" t="inlineStr">
        <is>
          <t>184</t>
        </is>
      </c>
      <c r="C678" s="2">
        <f>IF(B678="","",LEFT(TEXT(B678,"000"),1)*1)</f>
        <v/>
      </c>
      <c r="D678" s="2">
        <f>IF(B678="","",MID(TEXT(B678,"000"),2,1)*1)</f>
        <v/>
      </c>
      <c r="E678" s="2">
        <f>IF(B678="","",RIGHT(TEXT(B678,"000"),1)*1)</f>
        <v/>
      </c>
      <c r="F678" s="2">
        <f>IF(B678="","",C678+D678+E678)</f>
        <v/>
      </c>
      <c r="G678" s="2">
        <f>IF(B678="","",MOD(F678,10))</f>
        <v/>
      </c>
      <c r="H678" s="2">
        <f>IF(B678="","",MAX(C678,D678,E678)-MIN(C678,D678,E678))</f>
        <v/>
      </c>
      <c r="I678" s="2">
        <f>IF(OR(B678="",H678=0),IF(H678=0,0.1,""),ROUND(F678/H678,2))</f>
        <v/>
      </c>
      <c r="J678" s="2">
        <f>IF(I678=0.1,"极紧凑",IF(I678&gt;3.5,"紧凑",IF(AND(I678&gt;=2,I678&lt;=3.5),"标准",IF(AND(I678&gt;=1,I678&lt;2),"松散",""))))</f>
        <v/>
      </c>
      <c r="K678" s="2">
        <f>IF(I678=0.1,"极紧凑-豹子号",IF(AND(I678&gt;=1,I678&lt;=1.29),"松散-极松散",IF(AND(I678&gt;=1.33,I678&lt;=1.8),"松散-标准松散",IF(AND(I678&gt;=1.83,I678&lt;=1.89),"松散-偏紧松散",IF(AND(I678&gt;=2,I678&lt;=2.5),"标准-偏松标准",IF(AND(I678&gt;=2.57,I678&lt;=3),"标准-核心标准",IF(AND(I678&gt;=3.17,I678&lt;=3.5),"标准-偏紧标准",IF(AND(I678&gt;=3.6,I678&lt;=5),"紧凑-标准紧凑",IF(AND(I678&gt;=5.25,I678&lt;=8),"紧凑-高度紧凑",IF(I678&gt;=8.5,"紧凑-极度紧凑",""))))))))))</f>
        <v/>
      </c>
      <c r="L678" s="2">
        <f>IF(I678=0.1,"极紧凑",IF(AND(I678&gt;=1,I678&lt;=1.89),"松散",IF(AND(I678&gt;=2,I678&lt;=3.5),"标准",IF(I678&gt;=3.6,"紧凑",""))))</f>
        <v/>
      </c>
      <c r="M678" s="2" t="inlineStr">
        <is>
          <t>极紧凑-豹子号</t>
        </is>
      </c>
      <c r="N678" s="2" t="inlineStr">
        <is>
          <t>松散-极松散</t>
        </is>
      </c>
      <c r="O678" s="2" t="inlineStr">
        <is>
          <t>松散-标准松散</t>
        </is>
      </c>
      <c r="P678" s="2" t="inlineStr">
        <is>
          <t>松散-偏紧松散</t>
        </is>
      </c>
      <c r="Q678" s="2" t="inlineStr">
        <is>
          <t>标准-偏松标准</t>
        </is>
      </c>
      <c r="R678" s="2" t="inlineStr">
        <is>
          <t>标准-核心标准</t>
        </is>
      </c>
      <c r="S678" s="2" t="inlineStr">
        <is>
          <t>标准-偏紧标准</t>
        </is>
      </c>
      <c r="T678" s="2" t="inlineStr">
        <is>
          <t>紧凑-标准紧凑</t>
        </is>
      </c>
      <c r="U678" s="2" t="inlineStr">
        <is>
          <t>紧凑-高度紧凑</t>
        </is>
      </c>
      <c r="V678" s="2" t="inlineStr">
        <is>
          <t>紧凑-极度紧凑</t>
        </is>
      </c>
    </row>
    <row r="679">
      <c r="A679" s="1" t="n">
        <v>2024246</v>
      </c>
      <c r="B679" s="3" t="inlineStr">
        <is>
          <t>816</t>
        </is>
      </c>
      <c r="C679" s="2">
        <f>IF(B679="","",LEFT(TEXT(B679,"000"),1)*1)</f>
        <v/>
      </c>
      <c r="D679" s="2">
        <f>IF(B679="","",MID(TEXT(B679,"000"),2,1)*1)</f>
        <v/>
      </c>
      <c r="E679" s="2">
        <f>IF(B679="","",RIGHT(TEXT(B679,"000"),1)*1)</f>
        <v/>
      </c>
      <c r="F679" s="2">
        <f>IF(B679="","",C679+D679+E679)</f>
        <v/>
      </c>
      <c r="G679" s="2">
        <f>IF(B679="","",MOD(F679,10))</f>
        <v/>
      </c>
      <c r="H679" s="2">
        <f>IF(B679="","",MAX(C679,D679,E679)-MIN(C679,D679,E679))</f>
        <v/>
      </c>
      <c r="I679" s="2">
        <f>IF(OR(B679="",H679=0),IF(H679=0,0.1,""),ROUND(F679/H679,2))</f>
        <v/>
      </c>
      <c r="J679" s="2">
        <f>IF(I679=0.1,"极紧凑",IF(I679&gt;3.5,"紧凑",IF(AND(I679&gt;=2,I679&lt;=3.5),"标准",IF(AND(I679&gt;=1,I679&lt;2),"松散",""))))</f>
        <v/>
      </c>
      <c r="K679" s="2">
        <f>IF(I679=0.1,"极紧凑-豹子号",IF(AND(I679&gt;=1,I679&lt;=1.29),"松散-极松散",IF(AND(I679&gt;=1.33,I679&lt;=1.8),"松散-标准松散",IF(AND(I679&gt;=1.83,I679&lt;=1.89),"松散-偏紧松散",IF(AND(I679&gt;=2,I679&lt;=2.5),"标准-偏松标准",IF(AND(I679&gt;=2.57,I679&lt;=3),"标准-核心标准",IF(AND(I679&gt;=3.17,I679&lt;=3.5),"标准-偏紧标准",IF(AND(I679&gt;=3.6,I679&lt;=5),"紧凑-标准紧凑",IF(AND(I679&gt;=5.25,I679&lt;=8),"紧凑-高度紧凑",IF(I679&gt;=8.5,"紧凑-极度紧凑",""))))))))))</f>
        <v/>
      </c>
      <c r="L679" s="2">
        <f>IF(I679=0.1,"极紧凑",IF(AND(I679&gt;=1,I679&lt;=1.89),"松散",IF(AND(I679&gt;=2,I679&lt;=3.5),"标准",IF(I679&gt;=3.6,"紧凑",""))))</f>
        <v/>
      </c>
      <c r="M679" s="2" t="inlineStr">
        <is>
          <t>极紧凑-豹子号</t>
        </is>
      </c>
      <c r="N679" s="2" t="inlineStr">
        <is>
          <t>松散-极松散</t>
        </is>
      </c>
      <c r="O679" s="2" t="inlineStr">
        <is>
          <t>松散-标准松散</t>
        </is>
      </c>
      <c r="P679" s="2" t="inlineStr">
        <is>
          <t>松散-偏紧松散</t>
        </is>
      </c>
      <c r="Q679" s="2" t="inlineStr">
        <is>
          <t>标准-偏松标准</t>
        </is>
      </c>
      <c r="R679" s="2" t="inlineStr">
        <is>
          <t>标准-核心标准</t>
        </is>
      </c>
      <c r="S679" s="2" t="inlineStr">
        <is>
          <t>标准-偏紧标准</t>
        </is>
      </c>
      <c r="T679" s="2" t="inlineStr">
        <is>
          <t>紧凑-标准紧凑</t>
        </is>
      </c>
      <c r="U679" s="2" t="inlineStr">
        <is>
          <t>紧凑-高度紧凑</t>
        </is>
      </c>
      <c r="V679" s="2" t="inlineStr">
        <is>
          <t>紧凑-极度紧凑</t>
        </is>
      </c>
    </row>
    <row r="680">
      <c r="A680" s="1" t="n">
        <v>2024247</v>
      </c>
      <c r="B680" s="3" t="inlineStr">
        <is>
          <t>434</t>
        </is>
      </c>
      <c r="C680" s="2">
        <f>IF(B680="","",LEFT(TEXT(B680,"000"),1)*1)</f>
        <v/>
      </c>
      <c r="D680" s="2">
        <f>IF(B680="","",MID(TEXT(B680,"000"),2,1)*1)</f>
        <v/>
      </c>
      <c r="E680" s="2">
        <f>IF(B680="","",RIGHT(TEXT(B680,"000"),1)*1)</f>
        <v/>
      </c>
      <c r="F680" s="2">
        <f>IF(B680="","",C680+D680+E680)</f>
        <v/>
      </c>
      <c r="G680" s="2">
        <f>IF(B680="","",MOD(F680,10))</f>
        <v/>
      </c>
      <c r="H680" s="2">
        <f>IF(B680="","",MAX(C680,D680,E680)-MIN(C680,D680,E680))</f>
        <v/>
      </c>
      <c r="I680" s="2">
        <f>IF(OR(B680="",H680=0),IF(H680=0,0.1,""),ROUND(F680/H680,2))</f>
        <v/>
      </c>
      <c r="J680" s="2">
        <f>IF(I680=0.1,"极紧凑",IF(I680&gt;3.5,"紧凑",IF(AND(I680&gt;=2,I680&lt;=3.5),"标准",IF(AND(I680&gt;=1,I680&lt;2),"松散",""))))</f>
        <v/>
      </c>
      <c r="K680" s="2">
        <f>IF(I680=0.1,"极紧凑-豹子号",IF(AND(I680&gt;=1,I680&lt;=1.29),"松散-极松散",IF(AND(I680&gt;=1.33,I680&lt;=1.8),"松散-标准松散",IF(AND(I680&gt;=1.83,I680&lt;=1.89),"松散-偏紧松散",IF(AND(I680&gt;=2,I680&lt;=2.5),"标准-偏松标准",IF(AND(I680&gt;=2.57,I680&lt;=3),"标准-核心标准",IF(AND(I680&gt;=3.17,I680&lt;=3.5),"标准-偏紧标准",IF(AND(I680&gt;=3.6,I680&lt;=5),"紧凑-标准紧凑",IF(AND(I680&gt;=5.25,I680&lt;=8),"紧凑-高度紧凑",IF(I680&gt;=8.5,"紧凑-极度紧凑",""))))))))))</f>
        <v/>
      </c>
      <c r="L680" s="2">
        <f>IF(I680=0.1,"极紧凑",IF(AND(I680&gt;=1,I680&lt;=1.89),"松散",IF(AND(I680&gt;=2,I680&lt;=3.5),"标准",IF(I680&gt;=3.6,"紧凑",""))))</f>
        <v/>
      </c>
      <c r="M680" s="2" t="inlineStr">
        <is>
          <t>极紧凑-豹子号</t>
        </is>
      </c>
      <c r="N680" s="2" t="inlineStr">
        <is>
          <t>松散-极松散</t>
        </is>
      </c>
      <c r="O680" s="2" t="inlineStr">
        <is>
          <t>松散-标准松散</t>
        </is>
      </c>
      <c r="P680" s="2" t="inlineStr">
        <is>
          <t>松散-偏紧松散</t>
        </is>
      </c>
      <c r="Q680" s="2" t="inlineStr">
        <is>
          <t>标准-偏松标准</t>
        </is>
      </c>
      <c r="R680" s="2" t="inlineStr">
        <is>
          <t>标准-核心标准</t>
        </is>
      </c>
      <c r="S680" s="2" t="inlineStr">
        <is>
          <t>标准-偏紧标准</t>
        </is>
      </c>
      <c r="T680" s="2" t="inlineStr">
        <is>
          <t>紧凑-标准紧凑</t>
        </is>
      </c>
      <c r="U680" s="2" t="inlineStr">
        <is>
          <t>紧凑-高度紧凑</t>
        </is>
      </c>
      <c r="V680" s="2" t="inlineStr">
        <is>
          <t>紧凑-极度紧凑</t>
        </is>
      </c>
    </row>
    <row r="681">
      <c r="A681" s="1" t="n">
        <v>2024248</v>
      </c>
      <c r="B681" s="3" t="inlineStr">
        <is>
          <t>954</t>
        </is>
      </c>
      <c r="C681" s="2">
        <f>IF(B681="","",LEFT(TEXT(B681,"000"),1)*1)</f>
        <v/>
      </c>
      <c r="D681" s="2">
        <f>IF(B681="","",MID(TEXT(B681,"000"),2,1)*1)</f>
        <v/>
      </c>
      <c r="E681" s="2">
        <f>IF(B681="","",RIGHT(TEXT(B681,"000"),1)*1)</f>
        <v/>
      </c>
      <c r="F681" s="2">
        <f>IF(B681="","",C681+D681+E681)</f>
        <v/>
      </c>
      <c r="G681" s="2">
        <f>IF(B681="","",MOD(F681,10))</f>
        <v/>
      </c>
      <c r="H681" s="2">
        <f>IF(B681="","",MAX(C681,D681,E681)-MIN(C681,D681,E681))</f>
        <v/>
      </c>
      <c r="I681" s="2">
        <f>IF(OR(B681="",H681=0),IF(H681=0,0.1,""),ROUND(F681/H681,2))</f>
        <v/>
      </c>
      <c r="J681" s="2">
        <f>IF(I681=0.1,"极紧凑",IF(I681&gt;3.5,"紧凑",IF(AND(I681&gt;=2,I681&lt;=3.5),"标准",IF(AND(I681&gt;=1,I681&lt;2),"松散",""))))</f>
        <v/>
      </c>
      <c r="K681" s="2">
        <f>IF(I681=0.1,"极紧凑-豹子号",IF(AND(I681&gt;=1,I681&lt;=1.29),"松散-极松散",IF(AND(I681&gt;=1.33,I681&lt;=1.8),"松散-标准松散",IF(AND(I681&gt;=1.83,I681&lt;=1.89),"松散-偏紧松散",IF(AND(I681&gt;=2,I681&lt;=2.5),"标准-偏松标准",IF(AND(I681&gt;=2.57,I681&lt;=3),"标准-核心标准",IF(AND(I681&gt;=3.17,I681&lt;=3.5),"标准-偏紧标准",IF(AND(I681&gt;=3.6,I681&lt;=5),"紧凑-标准紧凑",IF(AND(I681&gt;=5.25,I681&lt;=8),"紧凑-高度紧凑",IF(I681&gt;=8.5,"紧凑-极度紧凑",""))))))))))</f>
        <v/>
      </c>
      <c r="L681" s="2">
        <f>IF(I681=0.1,"极紧凑",IF(AND(I681&gt;=1,I681&lt;=1.89),"松散",IF(AND(I681&gt;=2,I681&lt;=3.5),"标准",IF(I681&gt;=3.6,"紧凑",""))))</f>
        <v/>
      </c>
      <c r="M681" s="2" t="inlineStr">
        <is>
          <t>极紧凑-豹子号</t>
        </is>
      </c>
      <c r="N681" s="2" t="inlineStr">
        <is>
          <t>松散-极松散</t>
        </is>
      </c>
      <c r="O681" s="2" t="inlineStr">
        <is>
          <t>松散-标准松散</t>
        </is>
      </c>
      <c r="P681" s="2" t="inlineStr">
        <is>
          <t>松散-偏紧松散</t>
        </is>
      </c>
      <c r="Q681" s="2" t="inlineStr">
        <is>
          <t>标准-偏松标准</t>
        </is>
      </c>
      <c r="R681" s="2" t="inlineStr">
        <is>
          <t>标准-核心标准</t>
        </is>
      </c>
      <c r="S681" s="2" t="inlineStr">
        <is>
          <t>标准-偏紧标准</t>
        </is>
      </c>
      <c r="T681" s="2" t="inlineStr">
        <is>
          <t>紧凑-标准紧凑</t>
        </is>
      </c>
      <c r="U681" s="2" t="inlineStr">
        <is>
          <t>紧凑-高度紧凑</t>
        </is>
      </c>
      <c r="V681" s="2" t="inlineStr">
        <is>
          <t>紧凑-极度紧凑</t>
        </is>
      </c>
    </row>
    <row r="682">
      <c r="A682" s="1" t="n">
        <v>2024249</v>
      </c>
      <c r="B682" s="3" t="inlineStr">
        <is>
          <t>198</t>
        </is>
      </c>
      <c r="C682" s="2">
        <f>IF(B682="","",LEFT(TEXT(B682,"000"),1)*1)</f>
        <v/>
      </c>
      <c r="D682" s="2">
        <f>IF(B682="","",MID(TEXT(B682,"000"),2,1)*1)</f>
        <v/>
      </c>
      <c r="E682" s="2">
        <f>IF(B682="","",RIGHT(TEXT(B682,"000"),1)*1)</f>
        <v/>
      </c>
      <c r="F682" s="2">
        <f>IF(B682="","",C682+D682+E682)</f>
        <v/>
      </c>
      <c r="G682" s="2">
        <f>IF(B682="","",MOD(F682,10))</f>
        <v/>
      </c>
      <c r="H682" s="2">
        <f>IF(B682="","",MAX(C682,D682,E682)-MIN(C682,D682,E682))</f>
        <v/>
      </c>
      <c r="I682" s="2">
        <f>IF(OR(B682="",H682=0),IF(H682=0,0.1,""),ROUND(F682/H682,2))</f>
        <v/>
      </c>
      <c r="J682" s="2">
        <f>IF(I682=0.1,"极紧凑",IF(I682&gt;3.5,"紧凑",IF(AND(I682&gt;=2,I682&lt;=3.5),"标准",IF(AND(I682&gt;=1,I682&lt;2),"松散",""))))</f>
        <v/>
      </c>
      <c r="K682" s="2">
        <f>IF(I682=0.1,"极紧凑-豹子号",IF(AND(I682&gt;=1,I682&lt;=1.29),"松散-极松散",IF(AND(I682&gt;=1.33,I682&lt;=1.8),"松散-标准松散",IF(AND(I682&gt;=1.83,I682&lt;=1.89),"松散-偏紧松散",IF(AND(I682&gt;=2,I682&lt;=2.5),"标准-偏松标准",IF(AND(I682&gt;=2.57,I682&lt;=3),"标准-核心标准",IF(AND(I682&gt;=3.17,I682&lt;=3.5),"标准-偏紧标准",IF(AND(I682&gt;=3.6,I682&lt;=5),"紧凑-标准紧凑",IF(AND(I682&gt;=5.25,I682&lt;=8),"紧凑-高度紧凑",IF(I682&gt;=8.5,"紧凑-极度紧凑",""))))))))))</f>
        <v/>
      </c>
      <c r="L682" s="2">
        <f>IF(I682=0.1,"极紧凑",IF(AND(I682&gt;=1,I682&lt;=1.89),"松散",IF(AND(I682&gt;=2,I682&lt;=3.5),"标准",IF(I682&gt;=3.6,"紧凑",""))))</f>
        <v/>
      </c>
      <c r="M682" s="2" t="inlineStr">
        <is>
          <t>极紧凑-豹子号</t>
        </is>
      </c>
      <c r="N682" s="2" t="inlineStr">
        <is>
          <t>松散-极松散</t>
        </is>
      </c>
      <c r="O682" s="2" t="inlineStr">
        <is>
          <t>松散-标准松散</t>
        </is>
      </c>
      <c r="P682" s="2" t="inlineStr">
        <is>
          <t>松散-偏紧松散</t>
        </is>
      </c>
      <c r="Q682" s="2" t="inlineStr">
        <is>
          <t>标准-偏松标准</t>
        </is>
      </c>
      <c r="R682" s="2" t="inlineStr">
        <is>
          <t>标准-核心标准</t>
        </is>
      </c>
      <c r="S682" s="2" t="inlineStr">
        <is>
          <t>标准-偏紧标准</t>
        </is>
      </c>
      <c r="T682" s="2" t="inlineStr">
        <is>
          <t>紧凑-标准紧凑</t>
        </is>
      </c>
      <c r="U682" s="2" t="inlineStr">
        <is>
          <t>紧凑-高度紧凑</t>
        </is>
      </c>
      <c r="V682" s="2" t="inlineStr">
        <is>
          <t>紧凑-极度紧凑</t>
        </is>
      </c>
    </row>
    <row r="683">
      <c r="A683" s="1" t="n">
        <v>2024250</v>
      </c>
      <c r="B683" s="3" t="inlineStr">
        <is>
          <t>606</t>
        </is>
      </c>
      <c r="C683" s="2">
        <f>IF(B683="","",LEFT(TEXT(B683,"000"),1)*1)</f>
        <v/>
      </c>
      <c r="D683" s="2">
        <f>IF(B683="","",MID(TEXT(B683,"000"),2,1)*1)</f>
        <v/>
      </c>
      <c r="E683" s="2">
        <f>IF(B683="","",RIGHT(TEXT(B683,"000"),1)*1)</f>
        <v/>
      </c>
      <c r="F683" s="2">
        <f>IF(B683="","",C683+D683+E683)</f>
        <v/>
      </c>
      <c r="G683" s="2">
        <f>IF(B683="","",MOD(F683,10))</f>
        <v/>
      </c>
      <c r="H683" s="2">
        <f>IF(B683="","",MAX(C683,D683,E683)-MIN(C683,D683,E683))</f>
        <v/>
      </c>
      <c r="I683" s="2">
        <f>IF(OR(B683="",H683=0),IF(H683=0,0.1,""),ROUND(F683/H683,2))</f>
        <v/>
      </c>
      <c r="J683" s="2">
        <f>IF(I683=0.1,"极紧凑",IF(I683&gt;3.5,"紧凑",IF(AND(I683&gt;=2,I683&lt;=3.5),"标准",IF(AND(I683&gt;=1,I683&lt;2),"松散",""))))</f>
        <v/>
      </c>
      <c r="K683" s="2">
        <f>IF(I683=0.1,"极紧凑-豹子号",IF(AND(I683&gt;=1,I683&lt;=1.29),"松散-极松散",IF(AND(I683&gt;=1.33,I683&lt;=1.8),"松散-标准松散",IF(AND(I683&gt;=1.83,I683&lt;=1.89),"松散-偏紧松散",IF(AND(I683&gt;=2,I683&lt;=2.5),"标准-偏松标准",IF(AND(I683&gt;=2.57,I683&lt;=3),"标准-核心标准",IF(AND(I683&gt;=3.17,I683&lt;=3.5),"标准-偏紧标准",IF(AND(I683&gt;=3.6,I683&lt;=5),"紧凑-标准紧凑",IF(AND(I683&gt;=5.25,I683&lt;=8),"紧凑-高度紧凑",IF(I683&gt;=8.5,"紧凑-极度紧凑",""))))))))))</f>
        <v/>
      </c>
      <c r="L683" s="2">
        <f>IF(I683=0.1,"极紧凑",IF(AND(I683&gt;=1,I683&lt;=1.89),"松散",IF(AND(I683&gt;=2,I683&lt;=3.5),"标准",IF(I683&gt;=3.6,"紧凑",""))))</f>
        <v/>
      </c>
      <c r="M683" s="2" t="inlineStr">
        <is>
          <t>极紧凑-豹子号</t>
        </is>
      </c>
      <c r="N683" s="2" t="inlineStr">
        <is>
          <t>松散-极松散</t>
        </is>
      </c>
      <c r="O683" s="2" t="inlineStr">
        <is>
          <t>松散-标准松散</t>
        </is>
      </c>
      <c r="P683" s="2" t="inlineStr">
        <is>
          <t>松散-偏紧松散</t>
        </is>
      </c>
      <c r="Q683" s="2" t="inlineStr">
        <is>
          <t>标准-偏松标准</t>
        </is>
      </c>
      <c r="R683" s="2" t="inlineStr">
        <is>
          <t>标准-核心标准</t>
        </is>
      </c>
      <c r="S683" s="2" t="inlineStr">
        <is>
          <t>标准-偏紧标准</t>
        </is>
      </c>
      <c r="T683" s="2" t="inlineStr">
        <is>
          <t>紧凑-标准紧凑</t>
        </is>
      </c>
      <c r="U683" s="2" t="inlineStr">
        <is>
          <t>紧凑-高度紧凑</t>
        </is>
      </c>
      <c r="V683" s="2" t="inlineStr">
        <is>
          <t>紧凑-极度紧凑</t>
        </is>
      </c>
    </row>
    <row r="684">
      <c r="A684" s="1" t="n">
        <v>2024251</v>
      </c>
      <c r="B684" s="3" t="inlineStr">
        <is>
          <t>356</t>
        </is>
      </c>
      <c r="C684" s="2">
        <f>IF(B684="","",LEFT(TEXT(B684,"000"),1)*1)</f>
        <v/>
      </c>
      <c r="D684" s="2">
        <f>IF(B684="","",MID(TEXT(B684,"000"),2,1)*1)</f>
        <v/>
      </c>
      <c r="E684" s="2">
        <f>IF(B684="","",RIGHT(TEXT(B684,"000"),1)*1)</f>
        <v/>
      </c>
      <c r="F684" s="2">
        <f>IF(B684="","",C684+D684+E684)</f>
        <v/>
      </c>
      <c r="G684" s="2">
        <f>IF(B684="","",MOD(F684,10))</f>
        <v/>
      </c>
      <c r="H684" s="2">
        <f>IF(B684="","",MAX(C684,D684,E684)-MIN(C684,D684,E684))</f>
        <v/>
      </c>
      <c r="I684" s="2">
        <f>IF(OR(B684="",H684=0),IF(H684=0,0.1,""),ROUND(F684/H684,2))</f>
        <v/>
      </c>
      <c r="J684" s="2">
        <f>IF(I684=0.1,"极紧凑",IF(I684&gt;3.5,"紧凑",IF(AND(I684&gt;=2,I684&lt;=3.5),"标准",IF(AND(I684&gt;=1,I684&lt;2),"松散",""))))</f>
        <v/>
      </c>
      <c r="K684" s="2">
        <f>IF(I684=0.1,"极紧凑-豹子号",IF(AND(I684&gt;=1,I684&lt;=1.29),"松散-极松散",IF(AND(I684&gt;=1.33,I684&lt;=1.8),"松散-标准松散",IF(AND(I684&gt;=1.83,I684&lt;=1.89),"松散-偏紧松散",IF(AND(I684&gt;=2,I684&lt;=2.5),"标准-偏松标准",IF(AND(I684&gt;=2.57,I684&lt;=3),"标准-核心标准",IF(AND(I684&gt;=3.17,I684&lt;=3.5),"标准-偏紧标准",IF(AND(I684&gt;=3.6,I684&lt;=5),"紧凑-标准紧凑",IF(AND(I684&gt;=5.25,I684&lt;=8),"紧凑-高度紧凑",IF(I684&gt;=8.5,"紧凑-极度紧凑",""))))))))))</f>
        <v/>
      </c>
      <c r="L684" s="2">
        <f>IF(I684=0.1,"极紧凑",IF(AND(I684&gt;=1,I684&lt;=1.89),"松散",IF(AND(I684&gt;=2,I684&lt;=3.5),"标准",IF(I684&gt;=3.6,"紧凑",""))))</f>
        <v/>
      </c>
      <c r="M684" s="2" t="inlineStr">
        <is>
          <t>极紧凑-豹子号</t>
        </is>
      </c>
      <c r="N684" s="2" t="inlineStr">
        <is>
          <t>松散-极松散</t>
        </is>
      </c>
      <c r="O684" s="2" t="inlineStr">
        <is>
          <t>松散-标准松散</t>
        </is>
      </c>
      <c r="P684" s="2" t="inlineStr">
        <is>
          <t>松散-偏紧松散</t>
        </is>
      </c>
      <c r="Q684" s="2" t="inlineStr">
        <is>
          <t>标准-偏松标准</t>
        </is>
      </c>
      <c r="R684" s="2" t="inlineStr">
        <is>
          <t>标准-核心标准</t>
        </is>
      </c>
      <c r="S684" s="2" t="inlineStr">
        <is>
          <t>标准-偏紧标准</t>
        </is>
      </c>
      <c r="T684" s="2" t="inlineStr">
        <is>
          <t>紧凑-标准紧凑</t>
        </is>
      </c>
      <c r="U684" s="2" t="inlineStr">
        <is>
          <t>紧凑-高度紧凑</t>
        </is>
      </c>
      <c r="V684" s="2" t="inlineStr">
        <is>
          <t>紧凑-极度紧凑</t>
        </is>
      </c>
    </row>
    <row r="685">
      <c r="A685" s="1" t="n">
        <v>2024252</v>
      </c>
      <c r="B685" s="3" t="inlineStr">
        <is>
          <t>700</t>
        </is>
      </c>
      <c r="C685" s="2">
        <f>IF(B685="","",LEFT(TEXT(B685,"000"),1)*1)</f>
        <v/>
      </c>
      <c r="D685" s="2">
        <f>IF(B685="","",MID(TEXT(B685,"000"),2,1)*1)</f>
        <v/>
      </c>
      <c r="E685" s="2">
        <f>IF(B685="","",RIGHT(TEXT(B685,"000"),1)*1)</f>
        <v/>
      </c>
      <c r="F685" s="2">
        <f>IF(B685="","",C685+D685+E685)</f>
        <v/>
      </c>
      <c r="G685" s="2">
        <f>IF(B685="","",MOD(F685,10))</f>
        <v/>
      </c>
      <c r="H685" s="2">
        <f>IF(B685="","",MAX(C685,D685,E685)-MIN(C685,D685,E685))</f>
        <v/>
      </c>
      <c r="I685" s="2">
        <f>IF(OR(B685="",H685=0),IF(H685=0,0.1,""),ROUND(F685/H685,2))</f>
        <v/>
      </c>
      <c r="J685" s="2">
        <f>IF(I685=0.1,"极紧凑",IF(I685&gt;3.5,"紧凑",IF(AND(I685&gt;=2,I685&lt;=3.5),"标准",IF(AND(I685&gt;=1,I685&lt;2),"松散",""))))</f>
        <v/>
      </c>
      <c r="K685" s="2">
        <f>IF(I685=0.1,"极紧凑-豹子号",IF(AND(I685&gt;=1,I685&lt;=1.29),"松散-极松散",IF(AND(I685&gt;=1.33,I685&lt;=1.8),"松散-标准松散",IF(AND(I685&gt;=1.83,I685&lt;=1.89),"松散-偏紧松散",IF(AND(I685&gt;=2,I685&lt;=2.5),"标准-偏松标准",IF(AND(I685&gt;=2.57,I685&lt;=3),"标准-核心标准",IF(AND(I685&gt;=3.17,I685&lt;=3.5),"标准-偏紧标准",IF(AND(I685&gt;=3.6,I685&lt;=5),"紧凑-标准紧凑",IF(AND(I685&gt;=5.25,I685&lt;=8),"紧凑-高度紧凑",IF(I685&gt;=8.5,"紧凑-极度紧凑",""))))))))))</f>
        <v/>
      </c>
      <c r="L685" s="2">
        <f>IF(I685=0.1,"极紧凑",IF(AND(I685&gt;=1,I685&lt;=1.89),"松散",IF(AND(I685&gt;=2,I685&lt;=3.5),"标准",IF(I685&gt;=3.6,"紧凑",""))))</f>
        <v/>
      </c>
      <c r="M685" s="2" t="inlineStr">
        <is>
          <t>极紧凑-豹子号</t>
        </is>
      </c>
      <c r="N685" s="2" t="inlineStr">
        <is>
          <t>松散-极松散</t>
        </is>
      </c>
      <c r="O685" s="2" t="inlineStr">
        <is>
          <t>松散-标准松散</t>
        </is>
      </c>
      <c r="P685" s="2" t="inlineStr">
        <is>
          <t>松散-偏紧松散</t>
        </is>
      </c>
      <c r="Q685" s="2" t="inlineStr">
        <is>
          <t>标准-偏松标准</t>
        </is>
      </c>
      <c r="R685" s="2" t="inlineStr">
        <is>
          <t>标准-核心标准</t>
        </is>
      </c>
      <c r="S685" s="2" t="inlineStr">
        <is>
          <t>标准-偏紧标准</t>
        </is>
      </c>
      <c r="T685" s="2" t="inlineStr">
        <is>
          <t>紧凑-标准紧凑</t>
        </is>
      </c>
      <c r="U685" s="2" t="inlineStr">
        <is>
          <t>紧凑-高度紧凑</t>
        </is>
      </c>
      <c r="V685" s="2" t="inlineStr">
        <is>
          <t>紧凑-极度紧凑</t>
        </is>
      </c>
    </row>
    <row r="686">
      <c r="A686" s="1" t="n">
        <v>2024253</v>
      </c>
      <c r="B686" s="3" t="inlineStr">
        <is>
          <t>148</t>
        </is>
      </c>
      <c r="C686" s="2">
        <f>IF(B686="","",LEFT(TEXT(B686,"000"),1)*1)</f>
        <v/>
      </c>
      <c r="D686" s="2">
        <f>IF(B686="","",MID(TEXT(B686,"000"),2,1)*1)</f>
        <v/>
      </c>
      <c r="E686" s="2">
        <f>IF(B686="","",RIGHT(TEXT(B686,"000"),1)*1)</f>
        <v/>
      </c>
      <c r="F686" s="2">
        <f>IF(B686="","",C686+D686+E686)</f>
        <v/>
      </c>
      <c r="G686" s="2">
        <f>IF(B686="","",MOD(F686,10))</f>
        <v/>
      </c>
      <c r="H686" s="2">
        <f>IF(B686="","",MAX(C686,D686,E686)-MIN(C686,D686,E686))</f>
        <v/>
      </c>
      <c r="I686" s="2">
        <f>IF(OR(B686="",H686=0),IF(H686=0,0.1,""),ROUND(F686/H686,2))</f>
        <v/>
      </c>
      <c r="J686" s="2">
        <f>IF(I686=0.1,"极紧凑",IF(I686&gt;3.5,"紧凑",IF(AND(I686&gt;=2,I686&lt;=3.5),"标准",IF(AND(I686&gt;=1,I686&lt;2),"松散",""))))</f>
        <v/>
      </c>
      <c r="K686" s="2">
        <f>IF(I686=0.1,"极紧凑-豹子号",IF(AND(I686&gt;=1,I686&lt;=1.29),"松散-极松散",IF(AND(I686&gt;=1.33,I686&lt;=1.8),"松散-标准松散",IF(AND(I686&gt;=1.83,I686&lt;=1.89),"松散-偏紧松散",IF(AND(I686&gt;=2,I686&lt;=2.5),"标准-偏松标准",IF(AND(I686&gt;=2.57,I686&lt;=3),"标准-核心标准",IF(AND(I686&gt;=3.17,I686&lt;=3.5),"标准-偏紧标准",IF(AND(I686&gt;=3.6,I686&lt;=5),"紧凑-标准紧凑",IF(AND(I686&gt;=5.25,I686&lt;=8),"紧凑-高度紧凑",IF(I686&gt;=8.5,"紧凑-极度紧凑",""))))))))))</f>
        <v/>
      </c>
      <c r="L686" s="2">
        <f>IF(I686=0.1,"极紧凑",IF(AND(I686&gt;=1,I686&lt;=1.89),"松散",IF(AND(I686&gt;=2,I686&lt;=3.5),"标准",IF(I686&gt;=3.6,"紧凑",""))))</f>
        <v/>
      </c>
      <c r="M686" s="2" t="inlineStr">
        <is>
          <t>极紧凑-豹子号</t>
        </is>
      </c>
      <c r="N686" s="2" t="inlineStr">
        <is>
          <t>松散-极松散</t>
        </is>
      </c>
      <c r="O686" s="2" t="inlineStr">
        <is>
          <t>松散-标准松散</t>
        </is>
      </c>
      <c r="P686" s="2" t="inlineStr">
        <is>
          <t>松散-偏紧松散</t>
        </is>
      </c>
      <c r="Q686" s="2" t="inlineStr">
        <is>
          <t>标准-偏松标准</t>
        </is>
      </c>
      <c r="R686" s="2" t="inlineStr">
        <is>
          <t>标准-核心标准</t>
        </is>
      </c>
      <c r="S686" s="2" t="inlineStr">
        <is>
          <t>标准-偏紧标准</t>
        </is>
      </c>
      <c r="T686" s="2" t="inlineStr">
        <is>
          <t>紧凑-标准紧凑</t>
        </is>
      </c>
      <c r="U686" s="2" t="inlineStr">
        <is>
          <t>紧凑-高度紧凑</t>
        </is>
      </c>
      <c r="V686" s="2" t="inlineStr">
        <is>
          <t>紧凑-极度紧凑</t>
        </is>
      </c>
    </row>
    <row r="687">
      <c r="A687" s="1" t="n">
        <v>2024254</v>
      </c>
      <c r="B687" s="3" t="inlineStr">
        <is>
          <t>423</t>
        </is>
      </c>
      <c r="C687" s="2">
        <f>IF(B687="","",LEFT(TEXT(B687,"000"),1)*1)</f>
        <v/>
      </c>
      <c r="D687" s="2">
        <f>IF(B687="","",MID(TEXT(B687,"000"),2,1)*1)</f>
        <v/>
      </c>
      <c r="E687" s="2">
        <f>IF(B687="","",RIGHT(TEXT(B687,"000"),1)*1)</f>
        <v/>
      </c>
      <c r="F687" s="2">
        <f>IF(B687="","",C687+D687+E687)</f>
        <v/>
      </c>
      <c r="G687" s="2">
        <f>IF(B687="","",MOD(F687,10))</f>
        <v/>
      </c>
      <c r="H687" s="2">
        <f>IF(B687="","",MAX(C687,D687,E687)-MIN(C687,D687,E687))</f>
        <v/>
      </c>
      <c r="I687" s="2">
        <f>IF(OR(B687="",H687=0),IF(H687=0,0.1,""),ROUND(F687/H687,2))</f>
        <v/>
      </c>
      <c r="J687" s="2">
        <f>IF(I687=0.1,"极紧凑",IF(I687&gt;3.5,"紧凑",IF(AND(I687&gt;=2,I687&lt;=3.5),"标准",IF(AND(I687&gt;=1,I687&lt;2),"松散",""))))</f>
        <v/>
      </c>
      <c r="K687" s="2">
        <f>IF(I687=0.1,"极紧凑-豹子号",IF(AND(I687&gt;=1,I687&lt;=1.29),"松散-极松散",IF(AND(I687&gt;=1.33,I687&lt;=1.8),"松散-标准松散",IF(AND(I687&gt;=1.83,I687&lt;=1.89),"松散-偏紧松散",IF(AND(I687&gt;=2,I687&lt;=2.5),"标准-偏松标准",IF(AND(I687&gt;=2.57,I687&lt;=3),"标准-核心标准",IF(AND(I687&gt;=3.17,I687&lt;=3.5),"标准-偏紧标准",IF(AND(I687&gt;=3.6,I687&lt;=5),"紧凑-标准紧凑",IF(AND(I687&gt;=5.25,I687&lt;=8),"紧凑-高度紧凑",IF(I687&gt;=8.5,"紧凑-极度紧凑",""))))))))))</f>
        <v/>
      </c>
      <c r="L687" s="2">
        <f>IF(I687=0.1,"极紧凑",IF(AND(I687&gt;=1,I687&lt;=1.89),"松散",IF(AND(I687&gt;=2,I687&lt;=3.5),"标准",IF(I687&gt;=3.6,"紧凑",""))))</f>
        <v/>
      </c>
      <c r="M687" s="2" t="inlineStr">
        <is>
          <t>极紧凑-豹子号</t>
        </is>
      </c>
      <c r="N687" s="2" t="inlineStr">
        <is>
          <t>松散-极松散</t>
        </is>
      </c>
      <c r="O687" s="2" t="inlineStr">
        <is>
          <t>松散-标准松散</t>
        </is>
      </c>
      <c r="P687" s="2" t="inlineStr">
        <is>
          <t>松散-偏紧松散</t>
        </is>
      </c>
      <c r="Q687" s="2" t="inlineStr">
        <is>
          <t>标准-偏松标准</t>
        </is>
      </c>
      <c r="R687" s="2" t="inlineStr">
        <is>
          <t>标准-核心标准</t>
        </is>
      </c>
      <c r="S687" s="2" t="inlineStr">
        <is>
          <t>标准-偏紧标准</t>
        </is>
      </c>
      <c r="T687" s="2" t="inlineStr">
        <is>
          <t>紧凑-标准紧凑</t>
        </is>
      </c>
      <c r="U687" s="2" t="inlineStr">
        <is>
          <t>紧凑-高度紧凑</t>
        </is>
      </c>
      <c r="V687" s="2" t="inlineStr">
        <is>
          <t>紧凑-极度紧凑</t>
        </is>
      </c>
    </row>
    <row r="688">
      <c r="A688" s="1" t="n">
        <v>2024255</v>
      </c>
      <c r="B688" s="3" t="inlineStr">
        <is>
          <t>155</t>
        </is>
      </c>
      <c r="C688" s="2">
        <f>IF(B688="","",LEFT(TEXT(B688,"000"),1)*1)</f>
        <v/>
      </c>
      <c r="D688" s="2">
        <f>IF(B688="","",MID(TEXT(B688,"000"),2,1)*1)</f>
        <v/>
      </c>
      <c r="E688" s="2">
        <f>IF(B688="","",RIGHT(TEXT(B688,"000"),1)*1)</f>
        <v/>
      </c>
      <c r="F688" s="2">
        <f>IF(B688="","",C688+D688+E688)</f>
        <v/>
      </c>
      <c r="G688" s="2">
        <f>IF(B688="","",MOD(F688,10))</f>
        <v/>
      </c>
      <c r="H688" s="2">
        <f>IF(B688="","",MAX(C688,D688,E688)-MIN(C688,D688,E688))</f>
        <v/>
      </c>
      <c r="I688" s="2">
        <f>IF(OR(B688="",H688=0),IF(H688=0,0.1,""),ROUND(F688/H688,2))</f>
        <v/>
      </c>
      <c r="J688" s="2">
        <f>IF(I688=0.1,"极紧凑",IF(I688&gt;3.5,"紧凑",IF(AND(I688&gt;=2,I688&lt;=3.5),"标准",IF(AND(I688&gt;=1,I688&lt;2),"松散",""))))</f>
        <v/>
      </c>
      <c r="K688" s="2">
        <f>IF(I688=0.1,"极紧凑-豹子号",IF(AND(I688&gt;=1,I688&lt;=1.29),"松散-极松散",IF(AND(I688&gt;=1.33,I688&lt;=1.8),"松散-标准松散",IF(AND(I688&gt;=1.83,I688&lt;=1.89),"松散-偏紧松散",IF(AND(I688&gt;=2,I688&lt;=2.5),"标准-偏松标准",IF(AND(I688&gt;=2.57,I688&lt;=3),"标准-核心标准",IF(AND(I688&gt;=3.17,I688&lt;=3.5),"标准-偏紧标准",IF(AND(I688&gt;=3.6,I688&lt;=5),"紧凑-标准紧凑",IF(AND(I688&gt;=5.25,I688&lt;=8),"紧凑-高度紧凑",IF(I688&gt;=8.5,"紧凑-极度紧凑",""))))))))))</f>
        <v/>
      </c>
      <c r="L688" s="2">
        <f>IF(I688=0.1,"极紧凑",IF(AND(I688&gt;=1,I688&lt;=1.89),"松散",IF(AND(I688&gt;=2,I688&lt;=3.5),"标准",IF(I688&gt;=3.6,"紧凑",""))))</f>
        <v/>
      </c>
      <c r="M688" s="2" t="inlineStr">
        <is>
          <t>极紧凑-豹子号</t>
        </is>
      </c>
      <c r="N688" s="2" t="inlineStr">
        <is>
          <t>松散-极松散</t>
        </is>
      </c>
      <c r="O688" s="2" t="inlineStr">
        <is>
          <t>松散-标准松散</t>
        </is>
      </c>
      <c r="P688" s="2" t="inlineStr">
        <is>
          <t>松散-偏紧松散</t>
        </is>
      </c>
      <c r="Q688" s="2" t="inlineStr">
        <is>
          <t>标准-偏松标准</t>
        </is>
      </c>
      <c r="R688" s="2" t="inlineStr">
        <is>
          <t>标准-核心标准</t>
        </is>
      </c>
      <c r="S688" s="2" t="inlineStr">
        <is>
          <t>标准-偏紧标准</t>
        </is>
      </c>
      <c r="T688" s="2" t="inlineStr">
        <is>
          <t>紧凑-标准紧凑</t>
        </is>
      </c>
      <c r="U688" s="2" t="inlineStr">
        <is>
          <t>紧凑-高度紧凑</t>
        </is>
      </c>
      <c r="V688" s="2" t="inlineStr">
        <is>
          <t>紧凑-极度紧凑</t>
        </is>
      </c>
    </row>
    <row r="689">
      <c r="A689" s="1" t="n">
        <v>2024256</v>
      </c>
      <c r="B689" s="3" t="inlineStr">
        <is>
          <t>549</t>
        </is>
      </c>
      <c r="C689" s="2">
        <f>IF(B689="","",LEFT(TEXT(B689,"000"),1)*1)</f>
        <v/>
      </c>
      <c r="D689" s="2">
        <f>IF(B689="","",MID(TEXT(B689,"000"),2,1)*1)</f>
        <v/>
      </c>
      <c r="E689" s="2">
        <f>IF(B689="","",RIGHT(TEXT(B689,"000"),1)*1)</f>
        <v/>
      </c>
      <c r="F689" s="2">
        <f>IF(B689="","",C689+D689+E689)</f>
        <v/>
      </c>
      <c r="G689" s="2">
        <f>IF(B689="","",MOD(F689,10))</f>
        <v/>
      </c>
      <c r="H689" s="2">
        <f>IF(B689="","",MAX(C689,D689,E689)-MIN(C689,D689,E689))</f>
        <v/>
      </c>
      <c r="I689" s="2">
        <f>IF(OR(B689="",H689=0),IF(H689=0,0.1,""),ROUND(F689/H689,2))</f>
        <v/>
      </c>
      <c r="J689" s="2">
        <f>IF(I689=0.1,"极紧凑",IF(I689&gt;3.5,"紧凑",IF(AND(I689&gt;=2,I689&lt;=3.5),"标准",IF(AND(I689&gt;=1,I689&lt;2),"松散",""))))</f>
        <v/>
      </c>
      <c r="K689" s="2">
        <f>IF(I689=0.1,"极紧凑-豹子号",IF(AND(I689&gt;=1,I689&lt;=1.29),"松散-极松散",IF(AND(I689&gt;=1.33,I689&lt;=1.8),"松散-标准松散",IF(AND(I689&gt;=1.83,I689&lt;=1.89),"松散-偏紧松散",IF(AND(I689&gt;=2,I689&lt;=2.5),"标准-偏松标准",IF(AND(I689&gt;=2.57,I689&lt;=3),"标准-核心标准",IF(AND(I689&gt;=3.17,I689&lt;=3.5),"标准-偏紧标准",IF(AND(I689&gt;=3.6,I689&lt;=5),"紧凑-标准紧凑",IF(AND(I689&gt;=5.25,I689&lt;=8),"紧凑-高度紧凑",IF(I689&gt;=8.5,"紧凑-极度紧凑",""))))))))))</f>
        <v/>
      </c>
      <c r="L689" s="2">
        <f>IF(I689=0.1,"极紧凑",IF(AND(I689&gt;=1,I689&lt;=1.89),"松散",IF(AND(I689&gt;=2,I689&lt;=3.5),"标准",IF(I689&gt;=3.6,"紧凑",""))))</f>
        <v/>
      </c>
      <c r="M689" s="2" t="inlineStr">
        <is>
          <t>极紧凑-豹子号</t>
        </is>
      </c>
      <c r="N689" s="2" t="inlineStr">
        <is>
          <t>松散-极松散</t>
        </is>
      </c>
      <c r="O689" s="2" t="inlineStr">
        <is>
          <t>松散-标准松散</t>
        </is>
      </c>
      <c r="P689" s="2" t="inlineStr">
        <is>
          <t>松散-偏紧松散</t>
        </is>
      </c>
      <c r="Q689" s="2" t="inlineStr">
        <is>
          <t>标准-偏松标准</t>
        </is>
      </c>
      <c r="R689" s="2" t="inlineStr">
        <is>
          <t>标准-核心标准</t>
        </is>
      </c>
      <c r="S689" s="2" t="inlineStr">
        <is>
          <t>标准-偏紧标准</t>
        </is>
      </c>
      <c r="T689" s="2" t="inlineStr">
        <is>
          <t>紧凑-标准紧凑</t>
        </is>
      </c>
      <c r="U689" s="2" t="inlineStr">
        <is>
          <t>紧凑-高度紧凑</t>
        </is>
      </c>
      <c r="V689" s="2" t="inlineStr">
        <is>
          <t>紧凑-极度紧凑</t>
        </is>
      </c>
    </row>
    <row r="690">
      <c r="A690" s="1" t="n">
        <v>2024257</v>
      </c>
      <c r="B690" s="3" t="inlineStr">
        <is>
          <t>008</t>
        </is>
      </c>
      <c r="C690" s="2">
        <f>IF(B690="","",LEFT(TEXT(B690,"000"),1)*1)</f>
        <v/>
      </c>
      <c r="D690" s="2">
        <f>IF(B690="","",MID(TEXT(B690,"000"),2,1)*1)</f>
        <v/>
      </c>
      <c r="E690" s="2">
        <f>IF(B690="","",RIGHT(TEXT(B690,"000"),1)*1)</f>
        <v/>
      </c>
      <c r="F690" s="2">
        <f>IF(B690="","",C690+D690+E690)</f>
        <v/>
      </c>
      <c r="G690" s="2">
        <f>IF(B690="","",MOD(F690,10))</f>
        <v/>
      </c>
      <c r="H690" s="2">
        <f>IF(B690="","",MAX(C690,D690,E690)-MIN(C690,D690,E690))</f>
        <v/>
      </c>
      <c r="I690" s="2">
        <f>IF(OR(B690="",H690=0),IF(H690=0,0.1,""),ROUND(F690/H690,2))</f>
        <v/>
      </c>
      <c r="J690" s="2">
        <f>IF(I690=0.1,"极紧凑",IF(I690&gt;3.5,"紧凑",IF(AND(I690&gt;=2,I690&lt;=3.5),"标准",IF(AND(I690&gt;=1,I690&lt;2),"松散",""))))</f>
        <v/>
      </c>
      <c r="K690" s="2">
        <f>IF(I690=0.1,"极紧凑-豹子号",IF(AND(I690&gt;=1,I690&lt;=1.29),"松散-极松散",IF(AND(I690&gt;=1.33,I690&lt;=1.8),"松散-标准松散",IF(AND(I690&gt;=1.83,I690&lt;=1.89),"松散-偏紧松散",IF(AND(I690&gt;=2,I690&lt;=2.5),"标准-偏松标准",IF(AND(I690&gt;=2.57,I690&lt;=3),"标准-核心标准",IF(AND(I690&gt;=3.17,I690&lt;=3.5),"标准-偏紧标准",IF(AND(I690&gt;=3.6,I690&lt;=5),"紧凑-标准紧凑",IF(AND(I690&gt;=5.25,I690&lt;=8),"紧凑-高度紧凑",IF(I690&gt;=8.5,"紧凑-极度紧凑",""))))))))))</f>
        <v/>
      </c>
      <c r="L690" s="2">
        <f>IF(I690=0.1,"极紧凑",IF(AND(I690&gt;=1,I690&lt;=1.89),"松散",IF(AND(I690&gt;=2,I690&lt;=3.5),"标准",IF(I690&gt;=3.6,"紧凑",""))))</f>
        <v/>
      </c>
      <c r="M690" s="2" t="inlineStr">
        <is>
          <t>极紧凑-豹子号</t>
        </is>
      </c>
      <c r="N690" s="2" t="inlineStr">
        <is>
          <t>松散-极松散</t>
        </is>
      </c>
      <c r="O690" s="2" t="inlineStr">
        <is>
          <t>松散-标准松散</t>
        </is>
      </c>
      <c r="P690" s="2" t="inlineStr">
        <is>
          <t>松散-偏紧松散</t>
        </is>
      </c>
      <c r="Q690" s="2" t="inlineStr">
        <is>
          <t>标准-偏松标准</t>
        </is>
      </c>
      <c r="R690" s="2" t="inlineStr">
        <is>
          <t>标准-核心标准</t>
        </is>
      </c>
      <c r="S690" s="2" t="inlineStr">
        <is>
          <t>标准-偏紧标准</t>
        </is>
      </c>
      <c r="T690" s="2" t="inlineStr">
        <is>
          <t>紧凑-标准紧凑</t>
        </is>
      </c>
      <c r="U690" s="2" t="inlineStr">
        <is>
          <t>紧凑-高度紧凑</t>
        </is>
      </c>
      <c r="V690" s="2" t="inlineStr">
        <is>
          <t>紧凑-极度紧凑</t>
        </is>
      </c>
    </row>
    <row r="691">
      <c r="A691" s="1" t="n">
        <v>2024258</v>
      </c>
      <c r="B691" s="3" t="inlineStr">
        <is>
          <t>690</t>
        </is>
      </c>
      <c r="C691" s="2">
        <f>IF(B691="","",LEFT(TEXT(B691,"000"),1)*1)</f>
        <v/>
      </c>
      <c r="D691" s="2">
        <f>IF(B691="","",MID(TEXT(B691,"000"),2,1)*1)</f>
        <v/>
      </c>
      <c r="E691" s="2">
        <f>IF(B691="","",RIGHT(TEXT(B691,"000"),1)*1)</f>
        <v/>
      </c>
      <c r="F691" s="2">
        <f>IF(B691="","",C691+D691+E691)</f>
        <v/>
      </c>
      <c r="G691" s="2">
        <f>IF(B691="","",MOD(F691,10))</f>
        <v/>
      </c>
      <c r="H691" s="2">
        <f>IF(B691="","",MAX(C691,D691,E691)-MIN(C691,D691,E691))</f>
        <v/>
      </c>
      <c r="I691" s="2">
        <f>IF(OR(B691="",H691=0),IF(H691=0,0.1,""),ROUND(F691/H691,2))</f>
        <v/>
      </c>
      <c r="J691" s="2">
        <f>IF(I691=0.1,"极紧凑",IF(I691&gt;3.5,"紧凑",IF(AND(I691&gt;=2,I691&lt;=3.5),"标准",IF(AND(I691&gt;=1,I691&lt;2),"松散",""))))</f>
        <v/>
      </c>
      <c r="K691" s="2">
        <f>IF(I691=0.1,"极紧凑-豹子号",IF(AND(I691&gt;=1,I691&lt;=1.29),"松散-极松散",IF(AND(I691&gt;=1.33,I691&lt;=1.8),"松散-标准松散",IF(AND(I691&gt;=1.83,I691&lt;=1.89),"松散-偏紧松散",IF(AND(I691&gt;=2,I691&lt;=2.5),"标准-偏松标准",IF(AND(I691&gt;=2.57,I691&lt;=3),"标准-核心标准",IF(AND(I691&gt;=3.17,I691&lt;=3.5),"标准-偏紧标准",IF(AND(I691&gt;=3.6,I691&lt;=5),"紧凑-标准紧凑",IF(AND(I691&gt;=5.25,I691&lt;=8),"紧凑-高度紧凑",IF(I691&gt;=8.5,"紧凑-极度紧凑",""))))))))))</f>
        <v/>
      </c>
      <c r="L691" s="2">
        <f>IF(I691=0.1,"极紧凑",IF(AND(I691&gt;=1,I691&lt;=1.89),"松散",IF(AND(I691&gt;=2,I691&lt;=3.5),"标准",IF(I691&gt;=3.6,"紧凑",""))))</f>
        <v/>
      </c>
      <c r="M691" s="2" t="inlineStr">
        <is>
          <t>极紧凑-豹子号</t>
        </is>
      </c>
      <c r="N691" s="2" t="inlineStr">
        <is>
          <t>松散-极松散</t>
        </is>
      </c>
      <c r="O691" s="2" t="inlineStr">
        <is>
          <t>松散-标准松散</t>
        </is>
      </c>
      <c r="P691" s="2" t="inlineStr">
        <is>
          <t>松散-偏紧松散</t>
        </is>
      </c>
      <c r="Q691" s="2" t="inlineStr">
        <is>
          <t>标准-偏松标准</t>
        </is>
      </c>
      <c r="R691" s="2" t="inlineStr">
        <is>
          <t>标准-核心标准</t>
        </is>
      </c>
      <c r="S691" s="2" t="inlineStr">
        <is>
          <t>标准-偏紧标准</t>
        </is>
      </c>
      <c r="T691" s="2" t="inlineStr">
        <is>
          <t>紧凑-标准紧凑</t>
        </is>
      </c>
      <c r="U691" s="2" t="inlineStr">
        <is>
          <t>紧凑-高度紧凑</t>
        </is>
      </c>
      <c r="V691" s="2" t="inlineStr">
        <is>
          <t>紧凑-极度紧凑</t>
        </is>
      </c>
    </row>
    <row r="692">
      <c r="A692" s="1" t="n">
        <v>2024259</v>
      </c>
      <c r="B692" s="3" t="inlineStr">
        <is>
          <t>444</t>
        </is>
      </c>
      <c r="C692" s="2">
        <f>IF(B692="","",LEFT(TEXT(B692,"000"),1)*1)</f>
        <v/>
      </c>
      <c r="D692" s="2">
        <f>IF(B692="","",MID(TEXT(B692,"000"),2,1)*1)</f>
        <v/>
      </c>
      <c r="E692" s="2">
        <f>IF(B692="","",RIGHT(TEXT(B692,"000"),1)*1)</f>
        <v/>
      </c>
      <c r="F692" s="2">
        <f>IF(B692="","",C692+D692+E692)</f>
        <v/>
      </c>
      <c r="G692" s="2">
        <f>IF(B692="","",MOD(F692,10))</f>
        <v/>
      </c>
      <c r="H692" s="2">
        <f>IF(B692="","",MAX(C692,D692,E692)-MIN(C692,D692,E692))</f>
        <v/>
      </c>
      <c r="I692" s="2">
        <f>IF(OR(B692="",H692=0),IF(H692=0,0.1,""),ROUND(F692/H692,2))</f>
        <v/>
      </c>
      <c r="J692" s="2">
        <f>IF(I692=0.1,"极紧凑",IF(I692&gt;3.5,"紧凑",IF(AND(I692&gt;=2,I692&lt;=3.5),"标准",IF(AND(I692&gt;=1,I692&lt;2),"松散",""))))</f>
        <v/>
      </c>
      <c r="K692" s="2">
        <f>IF(I692=0.1,"极紧凑-豹子号",IF(AND(I692&gt;=1,I692&lt;=1.29),"松散-极松散",IF(AND(I692&gt;=1.33,I692&lt;=1.8),"松散-标准松散",IF(AND(I692&gt;=1.83,I692&lt;=1.89),"松散-偏紧松散",IF(AND(I692&gt;=2,I692&lt;=2.5),"标准-偏松标准",IF(AND(I692&gt;=2.57,I692&lt;=3),"标准-核心标准",IF(AND(I692&gt;=3.17,I692&lt;=3.5),"标准-偏紧标准",IF(AND(I692&gt;=3.6,I692&lt;=5),"紧凑-标准紧凑",IF(AND(I692&gt;=5.25,I692&lt;=8),"紧凑-高度紧凑",IF(I692&gt;=8.5,"紧凑-极度紧凑",""))))))))))</f>
        <v/>
      </c>
      <c r="L692" s="2">
        <f>IF(I692=0.1,"极紧凑",IF(AND(I692&gt;=1,I692&lt;=1.89),"松散",IF(AND(I692&gt;=2,I692&lt;=3.5),"标准",IF(I692&gt;=3.6,"紧凑",""))))</f>
        <v/>
      </c>
      <c r="M692" s="2" t="inlineStr">
        <is>
          <t>极紧凑-豹子号</t>
        </is>
      </c>
      <c r="N692" s="2" t="inlineStr">
        <is>
          <t>松散-极松散</t>
        </is>
      </c>
      <c r="O692" s="2" t="inlineStr">
        <is>
          <t>松散-标准松散</t>
        </is>
      </c>
      <c r="P692" s="2" t="inlineStr">
        <is>
          <t>松散-偏紧松散</t>
        </is>
      </c>
      <c r="Q692" s="2" t="inlineStr">
        <is>
          <t>标准-偏松标准</t>
        </is>
      </c>
      <c r="R692" s="2" t="inlineStr">
        <is>
          <t>标准-核心标准</t>
        </is>
      </c>
      <c r="S692" s="2" t="inlineStr">
        <is>
          <t>标准-偏紧标准</t>
        </is>
      </c>
      <c r="T692" s="2" t="inlineStr">
        <is>
          <t>紧凑-标准紧凑</t>
        </is>
      </c>
      <c r="U692" s="2" t="inlineStr">
        <is>
          <t>紧凑-高度紧凑</t>
        </is>
      </c>
      <c r="V692" s="2" t="inlineStr">
        <is>
          <t>紧凑-极度紧凑</t>
        </is>
      </c>
    </row>
    <row r="693">
      <c r="A693" s="1" t="n">
        <v>2024260</v>
      </c>
      <c r="B693" s="3" t="inlineStr">
        <is>
          <t>523</t>
        </is>
      </c>
      <c r="C693" s="2">
        <f>IF(B693="","",LEFT(TEXT(B693,"000"),1)*1)</f>
        <v/>
      </c>
      <c r="D693" s="2">
        <f>IF(B693="","",MID(TEXT(B693,"000"),2,1)*1)</f>
        <v/>
      </c>
      <c r="E693" s="2">
        <f>IF(B693="","",RIGHT(TEXT(B693,"000"),1)*1)</f>
        <v/>
      </c>
      <c r="F693" s="2">
        <f>IF(B693="","",C693+D693+E693)</f>
        <v/>
      </c>
      <c r="G693" s="2">
        <f>IF(B693="","",MOD(F693,10))</f>
        <v/>
      </c>
      <c r="H693" s="2">
        <f>IF(B693="","",MAX(C693,D693,E693)-MIN(C693,D693,E693))</f>
        <v/>
      </c>
      <c r="I693" s="2">
        <f>IF(OR(B693="",H693=0),IF(H693=0,0.1,""),ROUND(F693/H693,2))</f>
        <v/>
      </c>
      <c r="J693" s="2">
        <f>IF(I693=0.1,"极紧凑",IF(I693&gt;3.5,"紧凑",IF(AND(I693&gt;=2,I693&lt;=3.5),"标准",IF(AND(I693&gt;=1,I693&lt;2),"松散",""))))</f>
        <v/>
      </c>
      <c r="K693" s="2">
        <f>IF(I693=0.1,"极紧凑-豹子号",IF(AND(I693&gt;=1,I693&lt;=1.29),"松散-极松散",IF(AND(I693&gt;=1.33,I693&lt;=1.8),"松散-标准松散",IF(AND(I693&gt;=1.83,I693&lt;=1.89),"松散-偏紧松散",IF(AND(I693&gt;=2,I693&lt;=2.5),"标准-偏松标准",IF(AND(I693&gt;=2.57,I693&lt;=3),"标准-核心标准",IF(AND(I693&gt;=3.17,I693&lt;=3.5),"标准-偏紧标准",IF(AND(I693&gt;=3.6,I693&lt;=5),"紧凑-标准紧凑",IF(AND(I693&gt;=5.25,I693&lt;=8),"紧凑-高度紧凑",IF(I693&gt;=8.5,"紧凑-极度紧凑",""))))))))))</f>
        <v/>
      </c>
      <c r="L693" s="2">
        <f>IF(I693=0.1,"极紧凑",IF(AND(I693&gt;=1,I693&lt;=1.89),"松散",IF(AND(I693&gt;=2,I693&lt;=3.5),"标准",IF(I693&gt;=3.6,"紧凑",""))))</f>
        <v/>
      </c>
      <c r="M693" s="2" t="inlineStr">
        <is>
          <t>极紧凑-豹子号</t>
        </is>
      </c>
      <c r="N693" s="2" t="inlineStr">
        <is>
          <t>松散-极松散</t>
        </is>
      </c>
      <c r="O693" s="2" t="inlineStr">
        <is>
          <t>松散-标准松散</t>
        </is>
      </c>
      <c r="P693" s="2" t="inlineStr">
        <is>
          <t>松散-偏紧松散</t>
        </is>
      </c>
      <c r="Q693" s="2" t="inlineStr">
        <is>
          <t>标准-偏松标准</t>
        </is>
      </c>
      <c r="R693" s="2" t="inlineStr">
        <is>
          <t>标准-核心标准</t>
        </is>
      </c>
      <c r="S693" s="2" t="inlineStr">
        <is>
          <t>标准-偏紧标准</t>
        </is>
      </c>
      <c r="T693" s="2" t="inlineStr">
        <is>
          <t>紧凑-标准紧凑</t>
        </is>
      </c>
      <c r="U693" s="2" t="inlineStr">
        <is>
          <t>紧凑-高度紧凑</t>
        </is>
      </c>
      <c r="V693" s="2" t="inlineStr">
        <is>
          <t>紧凑-极度紧凑</t>
        </is>
      </c>
    </row>
    <row r="694">
      <c r="A694" s="1" t="n">
        <v>2024261</v>
      </c>
      <c r="B694" s="3" t="inlineStr">
        <is>
          <t>195</t>
        </is>
      </c>
      <c r="C694" s="2">
        <f>IF(B694="","",LEFT(TEXT(B694,"000"),1)*1)</f>
        <v/>
      </c>
      <c r="D694" s="2">
        <f>IF(B694="","",MID(TEXT(B694,"000"),2,1)*1)</f>
        <v/>
      </c>
      <c r="E694" s="2">
        <f>IF(B694="","",RIGHT(TEXT(B694,"000"),1)*1)</f>
        <v/>
      </c>
      <c r="F694" s="2">
        <f>IF(B694="","",C694+D694+E694)</f>
        <v/>
      </c>
      <c r="G694" s="2">
        <f>IF(B694="","",MOD(F694,10))</f>
        <v/>
      </c>
      <c r="H694" s="2">
        <f>IF(B694="","",MAX(C694,D694,E694)-MIN(C694,D694,E694))</f>
        <v/>
      </c>
      <c r="I694" s="2">
        <f>IF(OR(B694="",H694=0),IF(H694=0,0.1,""),ROUND(F694/H694,2))</f>
        <v/>
      </c>
      <c r="J694" s="2">
        <f>IF(I694=0.1,"极紧凑",IF(I694&gt;3.5,"紧凑",IF(AND(I694&gt;=2,I694&lt;=3.5),"标准",IF(AND(I694&gt;=1,I694&lt;2),"松散",""))))</f>
        <v/>
      </c>
      <c r="K694" s="2">
        <f>IF(I694=0.1,"极紧凑-豹子号",IF(AND(I694&gt;=1,I694&lt;=1.29),"松散-极松散",IF(AND(I694&gt;=1.33,I694&lt;=1.8),"松散-标准松散",IF(AND(I694&gt;=1.83,I694&lt;=1.89),"松散-偏紧松散",IF(AND(I694&gt;=2,I694&lt;=2.5),"标准-偏松标准",IF(AND(I694&gt;=2.57,I694&lt;=3),"标准-核心标准",IF(AND(I694&gt;=3.17,I694&lt;=3.5),"标准-偏紧标准",IF(AND(I694&gt;=3.6,I694&lt;=5),"紧凑-标准紧凑",IF(AND(I694&gt;=5.25,I694&lt;=8),"紧凑-高度紧凑",IF(I694&gt;=8.5,"紧凑-极度紧凑",""))))))))))</f>
        <v/>
      </c>
      <c r="L694" s="2">
        <f>IF(I694=0.1,"极紧凑",IF(AND(I694&gt;=1,I694&lt;=1.89),"松散",IF(AND(I694&gt;=2,I694&lt;=3.5),"标准",IF(I694&gt;=3.6,"紧凑",""))))</f>
        <v/>
      </c>
      <c r="M694" s="2" t="inlineStr">
        <is>
          <t>极紧凑-豹子号</t>
        </is>
      </c>
      <c r="N694" s="2" t="inlineStr">
        <is>
          <t>松散-极松散</t>
        </is>
      </c>
      <c r="O694" s="2" t="inlineStr">
        <is>
          <t>松散-标准松散</t>
        </is>
      </c>
      <c r="P694" s="2" t="inlineStr">
        <is>
          <t>松散-偏紧松散</t>
        </is>
      </c>
      <c r="Q694" s="2" t="inlineStr">
        <is>
          <t>标准-偏松标准</t>
        </is>
      </c>
      <c r="R694" s="2" t="inlineStr">
        <is>
          <t>标准-核心标准</t>
        </is>
      </c>
      <c r="S694" s="2" t="inlineStr">
        <is>
          <t>标准-偏紧标准</t>
        </is>
      </c>
      <c r="T694" s="2" t="inlineStr">
        <is>
          <t>紧凑-标准紧凑</t>
        </is>
      </c>
      <c r="U694" s="2" t="inlineStr">
        <is>
          <t>紧凑-高度紧凑</t>
        </is>
      </c>
      <c r="V694" s="2" t="inlineStr">
        <is>
          <t>紧凑-极度紧凑</t>
        </is>
      </c>
    </row>
    <row r="695">
      <c r="A695" s="1" t="n">
        <v>2024262</v>
      </c>
      <c r="B695" s="3" t="inlineStr">
        <is>
          <t>216</t>
        </is>
      </c>
      <c r="C695" s="2">
        <f>IF(B695="","",LEFT(TEXT(B695,"000"),1)*1)</f>
        <v/>
      </c>
      <c r="D695" s="2">
        <f>IF(B695="","",MID(TEXT(B695,"000"),2,1)*1)</f>
        <v/>
      </c>
      <c r="E695" s="2">
        <f>IF(B695="","",RIGHT(TEXT(B695,"000"),1)*1)</f>
        <v/>
      </c>
      <c r="F695" s="2">
        <f>IF(B695="","",C695+D695+E695)</f>
        <v/>
      </c>
      <c r="G695" s="2">
        <f>IF(B695="","",MOD(F695,10))</f>
        <v/>
      </c>
      <c r="H695" s="2">
        <f>IF(B695="","",MAX(C695,D695,E695)-MIN(C695,D695,E695))</f>
        <v/>
      </c>
      <c r="I695" s="2">
        <f>IF(OR(B695="",H695=0),IF(H695=0,0.1,""),ROUND(F695/H695,2))</f>
        <v/>
      </c>
      <c r="J695" s="2">
        <f>IF(I695=0.1,"极紧凑",IF(I695&gt;3.5,"紧凑",IF(AND(I695&gt;=2,I695&lt;=3.5),"标准",IF(AND(I695&gt;=1,I695&lt;2),"松散",""))))</f>
        <v/>
      </c>
      <c r="K695" s="2">
        <f>IF(I695=0.1,"极紧凑-豹子号",IF(AND(I695&gt;=1,I695&lt;=1.29),"松散-极松散",IF(AND(I695&gt;=1.33,I695&lt;=1.8),"松散-标准松散",IF(AND(I695&gt;=1.83,I695&lt;=1.89),"松散-偏紧松散",IF(AND(I695&gt;=2,I695&lt;=2.5),"标准-偏松标准",IF(AND(I695&gt;=2.57,I695&lt;=3),"标准-核心标准",IF(AND(I695&gt;=3.17,I695&lt;=3.5),"标准-偏紧标准",IF(AND(I695&gt;=3.6,I695&lt;=5),"紧凑-标准紧凑",IF(AND(I695&gt;=5.25,I695&lt;=8),"紧凑-高度紧凑",IF(I695&gt;=8.5,"紧凑-极度紧凑",""))))))))))</f>
        <v/>
      </c>
      <c r="L695" s="2">
        <f>IF(I695=0.1,"极紧凑",IF(AND(I695&gt;=1,I695&lt;=1.89),"松散",IF(AND(I695&gt;=2,I695&lt;=3.5),"标准",IF(I695&gt;=3.6,"紧凑",""))))</f>
        <v/>
      </c>
      <c r="M695" s="2" t="inlineStr">
        <is>
          <t>极紧凑-豹子号</t>
        </is>
      </c>
      <c r="N695" s="2" t="inlineStr">
        <is>
          <t>松散-极松散</t>
        </is>
      </c>
      <c r="O695" s="2" t="inlineStr">
        <is>
          <t>松散-标准松散</t>
        </is>
      </c>
      <c r="P695" s="2" t="inlineStr">
        <is>
          <t>松散-偏紧松散</t>
        </is>
      </c>
      <c r="Q695" s="2" t="inlineStr">
        <is>
          <t>标准-偏松标准</t>
        </is>
      </c>
      <c r="R695" s="2" t="inlineStr">
        <is>
          <t>标准-核心标准</t>
        </is>
      </c>
      <c r="S695" s="2" t="inlineStr">
        <is>
          <t>标准-偏紧标准</t>
        </is>
      </c>
      <c r="T695" s="2" t="inlineStr">
        <is>
          <t>紧凑-标准紧凑</t>
        </is>
      </c>
      <c r="U695" s="2" t="inlineStr">
        <is>
          <t>紧凑-高度紧凑</t>
        </is>
      </c>
      <c r="V695" s="2" t="inlineStr">
        <is>
          <t>紧凑-极度紧凑</t>
        </is>
      </c>
    </row>
    <row r="696">
      <c r="A696" s="1" t="n">
        <v>2024263</v>
      </c>
      <c r="B696" s="3" t="inlineStr">
        <is>
          <t>404</t>
        </is>
      </c>
      <c r="C696" s="2">
        <f>IF(B696="","",LEFT(TEXT(B696,"000"),1)*1)</f>
        <v/>
      </c>
      <c r="D696" s="2">
        <f>IF(B696="","",MID(TEXT(B696,"000"),2,1)*1)</f>
        <v/>
      </c>
      <c r="E696" s="2">
        <f>IF(B696="","",RIGHT(TEXT(B696,"000"),1)*1)</f>
        <v/>
      </c>
      <c r="F696" s="2">
        <f>IF(B696="","",C696+D696+E696)</f>
        <v/>
      </c>
      <c r="G696" s="2">
        <f>IF(B696="","",MOD(F696,10))</f>
        <v/>
      </c>
      <c r="H696" s="2">
        <f>IF(B696="","",MAX(C696,D696,E696)-MIN(C696,D696,E696))</f>
        <v/>
      </c>
      <c r="I696" s="2">
        <f>IF(OR(B696="",H696=0),IF(H696=0,0.1,""),ROUND(F696/H696,2))</f>
        <v/>
      </c>
      <c r="J696" s="2">
        <f>IF(I696=0.1,"极紧凑",IF(I696&gt;3.5,"紧凑",IF(AND(I696&gt;=2,I696&lt;=3.5),"标准",IF(AND(I696&gt;=1,I696&lt;2),"松散",""))))</f>
        <v/>
      </c>
      <c r="K696" s="2">
        <f>IF(I696=0.1,"极紧凑-豹子号",IF(AND(I696&gt;=1,I696&lt;=1.29),"松散-极松散",IF(AND(I696&gt;=1.33,I696&lt;=1.8),"松散-标准松散",IF(AND(I696&gt;=1.83,I696&lt;=1.89),"松散-偏紧松散",IF(AND(I696&gt;=2,I696&lt;=2.5),"标准-偏松标准",IF(AND(I696&gt;=2.57,I696&lt;=3),"标准-核心标准",IF(AND(I696&gt;=3.17,I696&lt;=3.5),"标准-偏紧标准",IF(AND(I696&gt;=3.6,I696&lt;=5),"紧凑-标准紧凑",IF(AND(I696&gt;=5.25,I696&lt;=8),"紧凑-高度紧凑",IF(I696&gt;=8.5,"紧凑-极度紧凑",""))))))))))</f>
        <v/>
      </c>
      <c r="L696" s="2">
        <f>IF(I696=0.1,"极紧凑",IF(AND(I696&gt;=1,I696&lt;=1.89),"松散",IF(AND(I696&gt;=2,I696&lt;=3.5),"标准",IF(I696&gt;=3.6,"紧凑",""))))</f>
        <v/>
      </c>
      <c r="M696" s="2" t="inlineStr">
        <is>
          <t>极紧凑-豹子号</t>
        </is>
      </c>
      <c r="N696" s="2" t="inlineStr">
        <is>
          <t>松散-极松散</t>
        </is>
      </c>
      <c r="O696" s="2" t="inlineStr">
        <is>
          <t>松散-标准松散</t>
        </is>
      </c>
      <c r="P696" s="2" t="inlineStr">
        <is>
          <t>松散-偏紧松散</t>
        </is>
      </c>
      <c r="Q696" s="2" t="inlineStr">
        <is>
          <t>标准-偏松标准</t>
        </is>
      </c>
      <c r="R696" s="2" t="inlineStr">
        <is>
          <t>标准-核心标准</t>
        </is>
      </c>
      <c r="S696" s="2" t="inlineStr">
        <is>
          <t>标准-偏紧标准</t>
        </is>
      </c>
      <c r="T696" s="2" t="inlineStr">
        <is>
          <t>紧凑-标准紧凑</t>
        </is>
      </c>
      <c r="U696" s="2" t="inlineStr">
        <is>
          <t>紧凑-高度紧凑</t>
        </is>
      </c>
      <c r="V696" s="2" t="inlineStr">
        <is>
          <t>紧凑-极度紧凑</t>
        </is>
      </c>
    </row>
    <row r="697">
      <c r="A697" s="1" t="n">
        <v>2024264</v>
      </c>
      <c r="B697" s="3" t="inlineStr">
        <is>
          <t>347</t>
        </is>
      </c>
      <c r="C697" s="2">
        <f>IF(B697="","",LEFT(TEXT(B697,"000"),1)*1)</f>
        <v/>
      </c>
      <c r="D697" s="2">
        <f>IF(B697="","",MID(TEXT(B697,"000"),2,1)*1)</f>
        <v/>
      </c>
      <c r="E697" s="2">
        <f>IF(B697="","",RIGHT(TEXT(B697,"000"),1)*1)</f>
        <v/>
      </c>
      <c r="F697" s="2">
        <f>IF(B697="","",C697+D697+E697)</f>
        <v/>
      </c>
      <c r="G697" s="2">
        <f>IF(B697="","",MOD(F697,10))</f>
        <v/>
      </c>
      <c r="H697" s="2">
        <f>IF(B697="","",MAX(C697,D697,E697)-MIN(C697,D697,E697))</f>
        <v/>
      </c>
      <c r="I697" s="2">
        <f>IF(OR(B697="",H697=0),IF(H697=0,0.1,""),ROUND(F697/H697,2))</f>
        <v/>
      </c>
      <c r="J697" s="2">
        <f>IF(I697=0.1,"极紧凑",IF(I697&gt;3.5,"紧凑",IF(AND(I697&gt;=2,I697&lt;=3.5),"标准",IF(AND(I697&gt;=1,I697&lt;2),"松散",""))))</f>
        <v/>
      </c>
      <c r="K697" s="2">
        <f>IF(I697=0.1,"极紧凑-豹子号",IF(AND(I697&gt;=1,I697&lt;=1.29),"松散-极松散",IF(AND(I697&gt;=1.33,I697&lt;=1.8),"松散-标准松散",IF(AND(I697&gt;=1.83,I697&lt;=1.89),"松散-偏紧松散",IF(AND(I697&gt;=2,I697&lt;=2.5),"标准-偏松标准",IF(AND(I697&gt;=2.57,I697&lt;=3),"标准-核心标准",IF(AND(I697&gt;=3.17,I697&lt;=3.5),"标准-偏紧标准",IF(AND(I697&gt;=3.6,I697&lt;=5),"紧凑-标准紧凑",IF(AND(I697&gt;=5.25,I697&lt;=8),"紧凑-高度紧凑",IF(I697&gt;=8.5,"紧凑-极度紧凑",""))))))))))</f>
        <v/>
      </c>
      <c r="L697" s="2">
        <f>IF(I697=0.1,"极紧凑",IF(AND(I697&gt;=1,I697&lt;=1.89),"松散",IF(AND(I697&gt;=2,I697&lt;=3.5),"标准",IF(I697&gt;=3.6,"紧凑",""))))</f>
        <v/>
      </c>
      <c r="M697" s="2" t="inlineStr">
        <is>
          <t>极紧凑-豹子号</t>
        </is>
      </c>
      <c r="N697" s="2" t="inlineStr">
        <is>
          <t>松散-极松散</t>
        </is>
      </c>
      <c r="O697" s="2" t="inlineStr">
        <is>
          <t>松散-标准松散</t>
        </is>
      </c>
      <c r="P697" s="2" t="inlineStr">
        <is>
          <t>松散-偏紧松散</t>
        </is>
      </c>
      <c r="Q697" s="2" t="inlineStr">
        <is>
          <t>标准-偏松标准</t>
        </is>
      </c>
      <c r="R697" s="2" t="inlineStr">
        <is>
          <t>标准-核心标准</t>
        </is>
      </c>
      <c r="S697" s="2" t="inlineStr">
        <is>
          <t>标准-偏紧标准</t>
        </is>
      </c>
      <c r="T697" s="2" t="inlineStr">
        <is>
          <t>紧凑-标准紧凑</t>
        </is>
      </c>
      <c r="U697" s="2" t="inlineStr">
        <is>
          <t>紧凑-高度紧凑</t>
        </is>
      </c>
      <c r="V697" s="2" t="inlineStr">
        <is>
          <t>紧凑-极度紧凑</t>
        </is>
      </c>
    </row>
    <row r="698">
      <c r="A698" s="1" t="n">
        <v>2024265</v>
      </c>
      <c r="B698" s="3" t="inlineStr">
        <is>
          <t>701</t>
        </is>
      </c>
      <c r="C698" s="2">
        <f>IF(B698="","",LEFT(TEXT(B698,"000"),1)*1)</f>
        <v/>
      </c>
      <c r="D698" s="2">
        <f>IF(B698="","",MID(TEXT(B698,"000"),2,1)*1)</f>
        <v/>
      </c>
      <c r="E698" s="2">
        <f>IF(B698="","",RIGHT(TEXT(B698,"000"),1)*1)</f>
        <v/>
      </c>
      <c r="F698" s="2">
        <f>IF(B698="","",C698+D698+E698)</f>
        <v/>
      </c>
      <c r="G698" s="2">
        <f>IF(B698="","",MOD(F698,10))</f>
        <v/>
      </c>
      <c r="H698" s="2">
        <f>IF(B698="","",MAX(C698,D698,E698)-MIN(C698,D698,E698))</f>
        <v/>
      </c>
      <c r="I698" s="2">
        <f>IF(OR(B698="",H698=0),IF(H698=0,0.1,""),ROUND(F698/H698,2))</f>
        <v/>
      </c>
      <c r="J698" s="2">
        <f>IF(I698=0.1,"极紧凑",IF(I698&gt;3.5,"紧凑",IF(AND(I698&gt;=2,I698&lt;=3.5),"标准",IF(AND(I698&gt;=1,I698&lt;2),"松散",""))))</f>
        <v/>
      </c>
      <c r="K698" s="2">
        <f>IF(I698=0.1,"极紧凑-豹子号",IF(AND(I698&gt;=1,I698&lt;=1.29),"松散-极松散",IF(AND(I698&gt;=1.33,I698&lt;=1.8),"松散-标准松散",IF(AND(I698&gt;=1.83,I698&lt;=1.89),"松散-偏紧松散",IF(AND(I698&gt;=2,I698&lt;=2.5),"标准-偏松标准",IF(AND(I698&gt;=2.57,I698&lt;=3),"标准-核心标准",IF(AND(I698&gt;=3.17,I698&lt;=3.5),"标准-偏紧标准",IF(AND(I698&gt;=3.6,I698&lt;=5),"紧凑-标准紧凑",IF(AND(I698&gt;=5.25,I698&lt;=8),"紧凑-高度紧凑",IF(I698&gt;=8.5,"紧凑-极度紧凑",""))))))))))</f>
        <v/>
      </c>
      <c r="L698" s="2">
        <f>IF(I698=0.1,"极紧凑",IF(AND(I698&gt;=1,I698&lt;=1.89),"松散",IF(AND(I698&gt;=2,I698&lt;=3.5),"标准",IF(I698&gt;=3.6,"紧凑",""))))</f>
        <v/>
      </c>
      <c r="M698" s="2" t="inlineStr">
        <is>
          <t>极紧凑-豹子号</t>
        </is>
      </c>
      <c r="N698" s="2" t="inlineStr">
        <is>
          <t>松散-极松散</t>
        </is>
      </c>
      <c r="O698" s="2" t="inlineStr">
        <is>
          <t>松散-标准松散</t>
        </is>
      </c>
      <c r="P698" s="2" t="inlineStr">
        <is>
          <t>松散-偏紧松散</t>
        </is>
      </c>
      <c r="Q698" s="2" t="inlineStr">
        <is>
          <t>标准-偏松标准</t>
        </is>
      </c>
      <c r="R698" s="2" t="inlineStr">
        <is>
          <t>标准-核心标准</t>
        </is>
      </c>
      <c r="S698" s="2" t="inlineStr">
        <is>
          <t>标准-偏紧标准</t>
        </is>
      </c>
      <c r="T698" s="2" t="inlineStr">
        <is>
          <t>紧凑-标准紧凑</t>
        </is>
      </c>
      <c r="U698" s="2" t="inlineStr">
        <is>
          <t>紧凑-高度紧凑</t>
        </is>
      </c>
      <c r="V698" s="2" t="inlineStr">
        <is>
          <t>紧凑-极度紧凑</t>
        </is>
      </c>
    </row>
    <row r="699">
      <c r="A699" s="1" t="n">
        <v>2024266</v>
      </c>
      <c r="B699" s="3" t="inlineStr">
        <is>
          <t>143</t>
        </is>
      </c>
      <c r="C699" s="2">
        <f>IF(B699="","",LEFT(TEXT(B699,"000"),1)*1)</f>
        <v/>
      </c>
      <c r="D699" s="2">
        <f>IF(B699="","",MID(TEXT(B699,"000"),2,1)*1)</f>
        <v/>
      </c>
      <c r="E699" s="2">
        <f>IF(B699="","",RIGHT(TEXT(B699,"000"),1)*1)</f>
        <v/>
      </c>
      <c r="F699" s="2">
        <f>IF(B699="","",C699+D699+E699)</f>
        <v/>
      </c>
      <c r="G699" s="2">
        <f>IF(B699="","",MOD(F699,10))</f>
        <v/>
      </c>
      <c r="H699" s="2">
        <f>IF(B699="","",MAX(C699,D699,E699)-MIN(C699,D699,E699))</f>
        <v/>
      </c>
      <c r="I699" s="2">
        <f>IF(OR(B699="",H699=0),IF(H699=0,0.1,""),ROUND(F699/H699,2))</f>
        <v/>
      </c>
      <c r="J699" s="2">
        <f>IF(I699=0.1,"极紧凑",IF(I699&gt;3.5,"紧凑",IF(AND(I699&gt;=2,I699&lt;=3.5),"标准",IF(AND(I699&gt;=1,I699&lt;2),"松散",""))))</f>
        <v/>
      </c>
      <c r="K699" s="2">
        <f>IF(I699=0.1,"极紧凑-豹子号",IF(AND(I699&gt;=1,I699&lt;=1.29),"松散-极松散",IF(AND(I699&gt;=1.33,I699&lt;=1.8),"松散-标准松散",IF(AND(I699&gt;=1.83,I699&lt;=1.89),"松散-偏紧松散",IF(AND(I699&gt;=2,I699&lt;=2.5),"标准-偏松标准",IF(AND(I699&gt;=2.57,I699&lt;=3),"标准-核心标准",IF(AND(I699&gt;=3.17,I699&lt;=3.5),"标准-偏紧标准",IF(AND(I699&gt;=3.6,I699&lt;=5),"紧凑-标准紧凑",IF(AND(I699&gt;=5.25,I699&lt;=8),"紧凑-高度紧凑",IF(I699&gt;=8.5,"紧凑-极度紧凑",""))))))))))</f>
        <v/>
      </c>
      <c r="L699" s="2">
        <f>IF(I699=0.1,"极紧凑",IF(AND(I699&gt;=1,I699&lt;=1.89),"松散",IF(AND(I699&gt;=2,I699&lt;=3.5),"标准",IF(I699&gt;=3.6,"紧凑",""))))</f>
        <v/>
      </c>
      <c r="M699" s="2" t="inlineStr">
        <is>
          <t>极紧凑-豹子号</t>
        </is>
      </c>
      <c r="N699" s="2" t="inlineStr">
        <is>
          <t>松散-极松散</t>
        </is>
      </c>
      <c r="O699" s="2" t="inlineStr">
        <is>
          <t>松散-标准松散</t>
        </is>
      </c>
      <c r="P699" s="2" t="inlineStr">
        <is>
          <t>松散-偏紧松散</t>
        </is>
      </c>
      <c r="Q699" s="2" t="inlineStr">
        <is>
          <t>标准-偏松标准</t>
        </is>
      </c>
      <c r="R699" s="2" t="inlineStr">
        <is>
          <t>标准-核心标准</t>
        </is>
      </c>
      <c r="S699" s="2" t="inlineStr">
        <is>
          <t>标准-偏紧标准</t>
        </is>
      </c>
      <c r="T699" s="2" t="inlineStr">
        <is>
          <t>紧凑-标准紧凑</t>
        </is>
      </c>
      <c r="U699" s="2" t="inlineStr">
        <is>
          <t>紧凑-高度紧凑</t>
        </is>
      </c>
      <c r="V699" s="2" t="inlineStr">
        <is>
          <t>紧凑-极度紧凑</t>
        </is>
      </c>
    </row>
    <row r="700">
      <c r="A700" s="1" t="n">
        <v>2024267</v>
      </c>
      <c r="B700" s="3" t="inlineStr">
        <is>
          <t>841</t>
        </is>
      </c>
      <c r="C700" s="2">
        <f>IF(B700="","",LEFT(TEXT(B700,"000"),1)*1)</f>
        <v/>
      </c>
      <c r="D700" s="2">
        <f>IF(B700="","",MID(TEXT(B700,"000"),2,1)*1)</f>
        <v/>
      </c>
      <c r="E700" s="2">
        <f>IF(B700="","",RIGHT(TEXT(B700,"000"),1)*1)</f>
        <v/>
      </c>
      <c r="F700" s="2">
        <f>IF(B700="","",C700+D700+E700)</f>
        <v/>
      </c>
      <c r="G700" s="2">
        <f>IF(B700="","",MOD(F700,10))</f>
        <v/>
      </c>
      <c r="H700" s="2">
        <f>IF(B700="","",MAX(C700,D700,E700)-MIN(C700,D700,E700))</f>
        <v/>
      </c>
      <c r="I700" s="2">
        <f>IF(OR(B700="",H700=0),IF(H700=0,0.1,""),ROUND(F700/H700,2))</f>
        <v/>
      </c>
      <c r="J700" s="2">
        <f>IF(I700=0.1,"极紧凑",IF(I700&gt;3.5,"紧凑",IF(AND(I700&gt;=2,I700&lt;=3.5),"标准",IF(AND(I700&gt;=1,I700&lt;2),"松散",""))))</f>
        <v/>
      </c>
      <c r="K700" s="2">
        <f>IF(I700=0.1,"极紧凑-豹子号",IF(AND(I700&gt;=1,I700&lt;=1.29),"松散-极松散",IF(AND(I700&gt;=1.33,I700&lt;=1.8),"松散-标准松散",IF(AND(I700&gt;=1.83,I700&lt;=1.89),"松散-偏紧松散",IF(AND(I700&gt;=2,I700&lt;=2.5),"标准-偏松标准",IF(AND(I700&gt;=2.57,I700&lt;=3),"标准-核心标准",IF(AND(I700&gt;=3.17,I700&lt;=3.5),"标准-偏紧标准",IF(AND(I700&gt;=3.6,I700&lt;=5),"紧凑-标准紧凑",IF(AND(I700&gt;=5.25,I700&lt;=8),"紧凑-高度紧凑",IF(I700&gt;=8.5,"紧凑-极度紧凑",""))))))))))</f>
        <v/>
      </c>
      <c r="L700" s="2">
        <f>IF(I700=0.1,"极紧凑",IF(AND(I700&gt;=1,I700&lt;=1.89),"松散",IF(AND(I700&gt;=2,I700&lt;=3.5),"标准",IF(I700&gt;=3.6,"紧凑",""))))</f>
        <v/>
      </c>
      <c r="M700" s="2" t="inlineStr">
        <is>
          <t>极紧凑-豹子号</t>
        </is>
      </c>
      <c r="N700" s="2" t="inlineStr">
        <is>
          <t>松散-极松散</t>
        </is>
      </c>
      <c r="O700" s="2" t="inlineStr">
        <is>
          <t>松散-标准松散</t>
        </is>
      </c>
      <c r="P700" s="2" t="inlineStr">
        <is>
          <t>松散-偏紧松散</t>
        </is>
      </c>
      <c r="Q700" s="2" t="inlineStr">
        <is>
          <t>标准-偏松标准</t>
        </is>
      </c>
      <c r="R700" s="2" t="inlineStr">
        <is>
          <t>标准-核心标准</t>
        </is>
      </c>
      <c r="S700" s="2" t="inlineStr">
        <is>
          <t>标准-偏紧标准</t>
        </is>
      </c>
      <c r="T700" s="2" t="inlineStr">
        <is>
          <t>紧凑-标准紧凑</t>
        </is>
      </c>
      <c r="U700" s="2" t="inlineStr">
        <is>
          <t>紧凑-高度紧凑</t>
        </is>
      </c>
      <c r="V700" s="2" t="inlineStr">
        <is>
          <t>紧凑-极度紧凑</t>
        </is>
      </c>
    </row>
    <row r="701">
      <c r="A701" s="1" t="n">
        <v>2024268</v>
      </c>
      <c r="B701" s="3" t="inlineStr">
        <is>
          <t>831</t>
        </is>
      </c>
      <c r="C701" s="2">
        <f>IF(B701="","",LEFT(TEXT(B701,"000"),1)*1)</f>
        <v/>
      </c>
      <c r="D701" s="2">
        <f>IF(B701="","",MID(TEXT(B701,"000"),2,1)*1)</f>
        <v/>
      </c>
      <c r="E701" s="2">
        <f>IF(B701="","",RIGHT(TEXT(B701,"000"),1)*1)</f>
        <v/>
      </c>
      <c r="F701" s="2">
        <f>IF(B701="","",C701+D701+E701)</f>
        <v/>
      </c>
      <c r="G701" s="2">
        <f>IF(B701="","",MOD(F701,10))</f>
        <v/>
      </c>
      <c r="H701" s="2">
        <f>IF(B701="","",MAX(C701,D701,E701)-MIN(C701,D701,E701))</f>
        <v/>
      </c>
      <c r="I701" s="2">
        <f>IF(OR(B701="",H701=0),IF(H701=0,0.1,""),ROUND(F701/H701,2))</f>
        <v/>
      </c>
      <c r="J701" s="2">
        <f>IF(I701=0.1,"极紧凑",IF(I701&gt;3.5,"紧凑",IF(AND(I701&gt;=2,I701&lt;=3.5),"标准",IF(AND(I701&gt;=1,I701&lt;2),"松散",""))))</f>
        <v/>
      </c>
      <c r="K701" s="2">
        <f>IF(I701=0.1,"极紧凑-豹子号",IF(AND(I701&gt;=1,I701&lt;=1.29),"松散-极松散",IF(AND(I701&gt;=1.33,I701&lt;=1.8),"松散-标准松散",IF(AND(I701&gt;=1.83,I701&lt;=1.89),"松散-偏紧松散",IF(AND(I701&gt;=2,I701&lt;=2.5),"标准-偏松标准",IF(AND(I701&gt;=2.57,I701&lt;=3),"标准-核心标准",IF(AND(I701&gt;=3.17,I701&lt;=3.5),"标准-偏紧标准",IF(AND(I701&gt;=3.6,I701&lt;=5),"紧凑-标准紧凑",IF(AND(I701&gt;=5.25,I701&lt;=8),"紧凑-高度紧凑",IF(I701&gt;=8.5,"紧凑-极度紧凑",""))))))))))</f>
        <v/>
      </c>
      <c r="L701" s="2">
        <f>IF(I701=0.1,"极紧凑",IF(AND(I701&gt;=1,I701&lt;=1.89),"松散",IF(AND(I701&gt;=2,I701&lt;=3.5),"标准",IF(I701&gt;=3.6,"紧凑",""))))</f>
        <v/>
      </c>
      <c r="M701" s="2" t="inlineStr">
        <is>
          <t>极紧凑-豹子号</t>
        </is>
      </c>
      <c r="N701" s="2" t="inlineStr">
        <is>
          <t>松散-极松散</t>
        </is>
      </c>
      <c r="O701" s="2" t="inlineStr">
        <is>
          <t>松散-标准松散</t>
        </is>
      </c>
      <c r="P701" s="2" t="inlineStr">
        <is>
          <t>松散-偏紧松散</t>
        </is>
      </c>
      <c r="Q701" s="2" t="inlineStr">
        <is>
          <t>标准-偏松标准</t>
        </is>
      </c>
      <c r="R701" s="2" t="inlineStr">
        <is>
          <t>标准-核心标准</t>
        </is>
      </c>
      <c r="S701" s="2" t="inlineStr">
        <is>
          <t>标准-偏紧标准</t>
        </is>
      </c>
      <c r="T701" s="2" t="inlineStr">
        <is>
          <t>紧凑-标准紧凑</t>
        </is>
      </c>
      <c r="U701" s="2" t="inlineStr">
        <is>
          <t>紧凑-高度紧凑</t>
        </is>
      </c>
      <c r="V701" s="2" t="inlineStr">
        <is>
          <t>紧凑-极度紧凑</t>
        </is>
      </c>
    </row>
    <row r="702">
      <c r="A702" s="1" t="n">
        <v>2024269</v>
      </c>
      <c r="B702" s="3" t="inlineStr">
        <is>
          <t>324</t>
        </is>
      </c>
      <c r="C702" s="2">
        <f>IF(B702="","",LEFT(TEXT(B702,"000"),1)*1)</f>
        <v/>
      </c>
      <c r="D702" s="2">
        <f>IF(B702="","",MID(TEXT(B702,"000"),2,1)*1)</f>
        <v/>
      </c>
      <c r="E702" s="2">
        <f>IF(B702="","",RIGHT(TEXT(B702,"000"),1)*1)</f>
        <v/>
      </c>
      <c r="F702" s="2">
        <f>IF(B702="","",C702+D702+E702)</f>
        <v/>
      </c>
      <c r="G702" s="2">
        <f>IF(B702="","",MOD(F702,10))</f>
        <v/>
      </c>
      <c r="H702" s="2">
        <f>IF(B702="","",MAX(C702,D702,E702)-MIN(C702,D702,E702))</f>
        <v/>
      </c>
      <c r="I702" s="2">
        <f>IF(OR(B702="",H702=0),IF(H702=0,0.1,""),ROUND(F702/H702,2))</f>
        <v/>
      </c>
      <c r="J702" s="2">
        <f>IF(I702=0.1,"极紧凑",IF(I702&gt;3.5,"紧凑",IF(AND(I702&gt;=2,I702&lt;=3.5),"标准",IF(AND(I702&gt;=1,I702&lt;2),"松散",""))))</f>
        <v/>
      </c>
      <c r="K702" s="2">
        <f>IF(I702=0.1,"极紧凑-豹子号",IF(AND(I702&gt;=1,I702&lt;=1.29),"松散-极松散",IF(AND(I702&gt;=1.33,I702&lt;=1.8),"松散-标准松散",IF(AND(I702&gt;=1.83,I702&lt;=1.89),"松散-偏紧松散",IF(AND(I702&gt;=2,I702&lt;=2.5),"标准-偏松标准",IF(AND(I702&gt;=2.57,I702&lt;=3),"标准-核心标准",IF(AND(I702&gt;=3.17,I702&lt;=3.5),"标准-偏紧标准",IF(AND(I702&gt;=3.6,I702&lt;=5),"紧凑-标准紧凑",IF(AND(I702&gt;=5.25,I702&lt;=8),"紧凑-高度紧凑",IF(I702&gt;=8.5,"紧凑-极度紧凑",""))))))))))</f>
        <v/>
      </c>
      <c r="L702" s="2">
        <f>IF(I702=0.1,"极紧凑",IF(AND(I702&gt;=1,I702&lt;=1.89),"松散",IF(AND(I702&gt;=2,I702&lt;=3.5),"标准",IF(I702&gt;=3.6,"紧凑",""))))</f>
        <v/>
      </c>
      <c r="M702" s="2" t="inlineStr">
        <is>
          <t>极紧凑-豹子号</t>
        </is>
      </c>
      <c r="N702" s="2" t="inlineStr">
        <is>
          <t>松散-极松散</t>
        </is>
      </c>
      <c r="O702" s="2" t="inlineStr">
        <is>
          <t>松散-标准松散</t>
        </is>
      </c>
      <c r="P702" s="2" t="inlineStr">
        <is>
          <t>松散-偏紧松散</t>
        </is>
      </c>
      <c r="Q702" s="2" t="inlineStr">
        <is>
          <t>标准-偏松标准</t>
        </is>
      </c>
      <c r="R702" s="2" t="inlineStr">
        <is>
          <t>标准-核心标准</t>
        </is>
      </c>
      <c r="S702" s="2" t="inlineStr">
        <is>
          <t>标准-偏紧标准</t>
        </is>
      </c>
      <c r="T702" s="2" t="inlineStr">
        <is>
          <t>紧凑-标准紧凑</t>
        </is>
      </c>
      <c r="U702" s="2" t="inlineStr">
        <is>
          <t>紧凑-高度紧凑</t>
        </is>
      </c>
      <c r="V702" s="2" t="inlineStr">
        <is>
          <t>紧凑-极度紧凑</t>
        </is>
      </c>
    </row>
    <row r="703">
      <c r="A703" s="1" t="n">
        <v>2024270</v>
      </c>
      <c r="B703" s="3" t="inlineStr">
        <is>
          <t>801</t>
        </is>
      </c>
      <c r="C703" s="2">
        <f>IF(B703="","",LEFT(TEXT(B703,"000"),1)*1)</f>
        <v/>
      </c>
      <c r="D703" s="2">
        <f>IF(B703="","",MID(TEXT(B703,"000"),2,1)*1)</f>
        <v/>
      </c>
      <c r="E703" s="2">
        <f>IF(B703="","",RIGHT(TEXT(B703,"000"),1)*1)</f>
        <v/>
      </c>
      <c r="F703" s="2">
        <f>IF(B703="","",C703+D703+E703)</f>
        <v/>
      </c>
      <c r="G703" s="2">
        <f>IF(B703="","",MOD(F703,10))</f>
        <v/>
      </c>
      <c r="H703" s="2">
        <f>IF(B703="","",MAX(C703,D703,E703)-MIN(C703,D703,E703))</f>
        <v/>
      </c>
      <c r="I703" s="2">
        <f>IF(OR(B703="",H703=0),IF(H703=0,0.1,""),ROUND(F703/H703,2))</f>
        <v/>
      </c>
      <c r="J703" s="2">
        <f>IF(I703=0.1,"极紧凑",IF(I703&gt;3.5,"紧凑",IF(AND(I703&gt;=2,I703&lt;=3.5),"标准",IF(AND(I703&gt;=1,I703&lt;2),"松散",""))))</f>
        <v/>
      </c>
      <c r="K703" s="2">
        <f>IF(I703=0.1,"极紧凑-豹子号",IF(AND(I703&gt;=1,I703&lt;=1.29),"松散-极松散",IF(AND(I703&gt;=1.33,I703&lt;=1.8),"松散-标准松散",IF(AND(I703&gt;=1.83,I703&lt;=1.89),"松散-偏紧松散",IF(AND(I703&gt;=2,I703&lt;=2.5),"标准-偏松标准",IF(AND(I703&gt;=2.57,I703&lt;=3),"标准-核心标准",IF(AND(I703&gt;=3.17,I703&lt;=3.5),"标准-偏紧标准",IF(AND(I703&gt;=3.6,I703&lt;=5),"紧凑-标准紧凑",IF(AND(I703&gt;=5.25,I703&lt;=8),"紧凑-高度紧凑",IF(I703&gt;=8.5,"紧凑-极度紧凑",""))))))))))</f>
        <v/>
      </c>
      <c r="L703" s="2">
        <f>IF(I703=0.1,"极紧凑",IF(AND(I703&gt;=1,I703&lt;=1.89),"松散",IF(AND(I703&gt;=2,I703&lt;=3.5),"标准",IF(I703&gt;=3.6,"紧凑",""))))</f>
        <v/>
      </c>
      <c r="M703" s="2" t="inlineStr">
        <is>
          <t>极紧凑-豹子号</t>
        </is>
      </c>
      <c r="N703" s="2" t="inlineStr">
        <is>
          <t>松散-极松散</t>
        </is>
      </c>
      <c r="O703" s="2" t="inlineStr">
        <is>
          <t>松散-标准松散</t>
        </is>
      </c>
      <c r="P703" s="2" t="inlineStr">
        <is>
          <t>松散-偏紧松散</t>
        </is>
      </c>
      <c r="Q703" s="2" t="inlineStr">
        <is>
          <t>标准-偏松标准</t>
        </is>
      </c>
      <c r="R703" s="2" t="inlineStr">
        <is>
          <t>标准-核心标准</t>
        </is>
      </c>
      <c r="S703" s="2" t="inlineStr">
        <is>
          <t>标准-偏紧标准</t>
        </is>
      </c>
      <c r="T703" s="2" t="inlineStr">
        <is>
          <t>紧凑-标准紧凑</t>
        </is>
      </c>
      <c r="U703" s="2" t="inlineStr">
        <is>
          <t>紧凑-高度紧凑</t>
        </is>
      </c>
      <c r="V703" s="2" t="inlineStr">
        <is>
          <t>紧凑-极度紧凑</t>
        </is>
      </c>
    </row>
    <row r="704">
      <c r="A704" s="1" t="n">
        <v>2024271</v>
      </c>
      <c r="B704" s="3" t="inlineStr">
        <is>
          <t>395</t>
        </is>
      </c>
      <c r="C704" s="2">
        <f>IF(B704="","",LEFT(TEXT(B704,"000"),1)*1)</f>
        <v/>
      </c>
      <c r="D704" s="2">
        <f>IF(B704="","",MID(TEXT(B704,"000"),2,1)*1)</f>
        <v/>
      </c>
      <c r="E704" s="2">
        <f>IF(B704="","",RIGHT(TEXT(B704,"000"),1)*1)</f>
        <v/>
      </c>
      <c r="F704" s="2">
        <f>IF(B704="","",C704+D704+E704)</f>
        <v/>
      </c>
      <c r="G704" s="2">
        <f>IF(B704="","",MOD(F704,10))</f>
        <v/>
      </c>
      <c r="H704" s="2">
        <f>IF(B704="","",MAX(C704,D704,E704)-MIN(C704,D704,E704))</f>
        <v/>
      </c>
      <c r="I704" s="2">
        <f>IF(OR(B704="",H704=0),IF(H704=0,0.1,""),ROUND(F704/H704,2))</f>
        <v/>
      </c>
      <c r="J704" s="2">
        <f>IF(I704=0.1,"极紧凑",IF(I704&gt;3.5,"紧凑",IF(AND(I704&gt;=2,I704&lt;=3.5),"标准",IF(AND(I704&gt;=1,I704&lt;2),"松散",""))))</f>
        <v/>
      </c>
      <c r="K704" s="2">
        <f>IF(I704=0.1,"极紧凑-豹子号",IF(AND(I704&gt;=1,I704&lt;=1.29),"松散-极松散",IF(AND(I704&gt;=1.33,I704&lt;=1.8),"松散-标准松散",IF(AND(I704&gt;=1.83,I704&lt;=1.89),"松散-偏紧松散",IF(AND(I704&gt;=2,I704&lt;=2.5),"标准-偏松标准",IF(AND(I704&gt;=2.57,I704&lt;=3),"标准-核心标准",IF(AND(I704&gt;=3.17,I704&lt;=3.5),"标准-偏紧标准",IF(AND(I704&gt;=3.6,I704&lt;=5),"紧凑-标准紧凑",IF(AND(I704&gt;=5.25,I704&lt;=8),"紧凑-高度紧凑",IF(I704&gt;=8.5,"紧凑-极度紧凑",""))))))))))</f>
        <v/>
      </c>
      <c r="L704" s="2">
        <f>IF(I704=0.1,"极紧凑",IF(AND(I704&gt;=1,I704&lt;=1.89),"松散",IF(AND(I704&gt;=2,I704&lt;=3.5),"标准",IF(I704&gt;=3.6,"紧凑",""))))</f>
        <v/>
      </c>
      <c r="M704" s="2" t="inlineStr">
        <is>
          <t>极紧凑-豹子号</t>
        </is>
      </c>
      <c r="N704" s="2" t="inlineStr">
        <is>
          <t>松散-极松散</t>
        </is>
      </c>
      <c r="O704" s="2" t="inlineStr">
        <is>
          <t>松散-标准松散</t>
        </is>
      </c>
      <c r="P704" s="2" t="inlineStr">
        <is>
          <t>松散-偏紧松散</t>
        </is>
      </c>
      <c r="Q704" s="2" t="inlineStr">
        <is>
          <t>标准-偏松标准</t>
        </is>
      </c>
      <c r="R704" s="2" t="inlineStr">
        <is>
          <t>标准-核心标准</t>
        </is>
      </c>
      <c r="S704" s="2" t="inlineStr">
        <is>
          <t>标准-偏紧标准</t>
        </is>
      </c>
      <c r="T704" s="2" t="inlineStr">
        <is>
          <t>紧凑-标准紧凑</t>
        </is>
      </c>
      <c r="U704" s="2" t="inlineStr">
        <is>
          <t>紧凑-高度紧凑</t>
        </is>
      </c>
      <c r="V704" s="2" t="inlineStr">
        <is>
          <t>紧凑-极度紧凑</t>
        </is>
      </c>
    </row>
    <row r="705">
      <c r="A705" s="1" t="n">
        <v>2024272</v>
      </c>
      <c r="B705" s="3" t="inlineStr">
        <is>
          <t>436</t>
        </is>
      </c>
      <c r="C705" s="2">
        <f>IF(B705="","",LEFT(TEXT(B705,"000"),1)*1)</f>
        <v/>
      </c>
      <c r="D705" s="2">
        <f>IF(B705="","",MID(TEXT(B705,"000"),2,1)*1)</f>
        <v/>
      </c>
      <c r="E705" s="2">
        <f>IF(B705="","",RIGHT(TEXT(B705,"000"),1)*1)</f>
        <v/>
      </c>
      <c r="F705" s="2">
        <f>IF(B705="","",C705+D705+E705)</f>
        <v/>
      </c>
      <c r="G705" s="2">
        <f>IF(B705="","",MOD(F705,10))</f>
        <v/>
      </c>
      <c r="H705" s="2">
        <f>IF(B705="","",MAX(C705,D705,E705)-MIN(C705,D705,E705))</f>
        <v/>
      </c>
      <c r="I705" s="2">
        <f>IF(OR(B705="",H705=0),IF(H705=0,0.1,""),ROUND(F705/H705,2))</f>
        <v/>
      </c>
      <c r="J705" s="2">
        <f>IF(I705=0.1,"极紧凑",IF(I705&gt;3.5,"紧凑",IF(AND(I705&gt;=2,I705&lt;=3.5),"标准",IF(AND(I705&gt;=1,I705&lt;2),"松散",""))))</f>
        <v/>
      </c>
      <c r="K705" s="2">
        <f>IF(I705=0.1,"极紧凑-豹子号",IF(AND(I705&gt;=1,I705&lt;=1.29),"松散-极松散",IF(AND(I705&gt;=1.33,I705&lt;=1.8),"松散-标准松散",IF(AND(I705&gt;=1.83,I705&lt;=1.89),"松散-偏紧松散",IF(AND(I705&gt;=2,I705&lt;=2.5),"标准-偏松标准",IF(AND(I705&gt;=2.57,I705&lt;=3),"标准-核心标准",IF(AND(I705&gt;=3.17,I705&lt;=3.5),"标准-偏紧标准",IF(AND(I705&gt;=3.6,I705&lt;=5),"紧凑-标准紧凑",IF(AND(I705&gt;=5.25,I705&lt;=8),"紧凑-高度紧凑",IF(I705&gt;=8.5,"紧凑-极度紧凑",""))))))))))</f>
        <v/>
      </c>
      <c r="L705" s="2">
        <f>IF(I705=0.1,"极紧凑",IF(AND(I705&gt;=1,I705&lt;=1.89),"松散",IF(AND(I705&gt;=2,I705&lt;=3.5),"标准",IF(I705&gt;=3.6,"紧凑",""))))</f>
        <v/>
      </c>
      <c r="M705" s="2" t="inlineStr">
        <is>
          <t>极紧凑-豹子号</t>
        </is>
      </c>
      <c r="N705" s="2" t="inlineStr">
        <is>
          <t>松散-极松散</t>
        </is>
      </c>
      <c r="O705" s="2" t="inlineStr">
        <is>
          <t>松散-标准松散</t>
        </is>
      </c>
      <c r="P705" s="2" t="inlineStr">
        <is>
          <t>松散-偏紧松散</t>
        </is>
      </c>
      <c r="Q705" s="2" t="inlineStr">
        <is>
          <t>标准-偏松标准</t>
        </is>
      </c>
      <c r="R705" s="2" t="inlineStr">
        <is>
          <t>标准-核心标准</t>
        </is>
      </c>
      <c r="S705" s="2" t="inlineStr">
        <is>
          <t>标准-偏紧标准</t>
        </is>
      </c>
      <c r="T705" s="2" t="inlineStr">
        <is>
          <t>紧凑-标准紧凑</t>
        </is>
      </c>
      <c r="U705" s="2" t="inlineStr">
        <is>
          <t>紧凑-高度紧凑</t>
        </is>
      </c>
      <c r="V705" s="2" t="inlineStr">
        <is>
          <t>紧凑-极度紧凑</t>
        </is>
      </c>
    </row>
    <row r="706">
      <c r="A706" s="1" t="n">
        <v>2024273</v>
      </c>
      <c r="B706" s="3" t="inlineStr">
        <is>
          <t>812</t>
        </is>
      </c>
      <c r="C706" s="2">
        <f>IF(B706="","",LEFT(TEXT(B706,"000"),1)*1)</f>
        <v/>
      </c>
      <c r="D706" s="2">
        <f>IF(B706="","",MID(TEXT(B706,"000"),2,1)*1)</f>
        <v/>
      </c>
      <c r="E706" s="2">
        <f>IF(B706="","",RIGHT(TEXT(B706,"000"),1)*1)</f>
        <v/>
      </c>
      <c r="F706" s="2">
        <f>IF(B706="","",C706+D706+E706)</f>
        <v/>
      </c>
      <c r="G706" s="2">
        <f>IF(B706="","",MOD(F706,10))</f>
        <v/>
      </c>
      <c r="H706" s="2">
        <f>IF(B706="","",MAX(C706,D706,E706)-MIN(C706,D706,E706))</f>
        <v/>
      </c>
      <c r="I706" s="2">
        <f>IF(OR(B706="",H706=0),IF(H706=0,0.1,""),ROUND(F706/H706,2))</f>
        <v/>
      </c>
      <c r="J706" s="2">
        <f>IF(I706=0.1,"极紧凑",IF(I706&gt;3.5,"紧凑",IF(AND(I706&gt;=2,I706&lt;=3.5),"标准",IF(AND(I706&gt;=1,I706&lt;2),"松散",""))))</f>
        <v/>
      </c>
      <c r="K706" s="2">
        <f>IF(I706=0.1,"极紧凑-豹子号",IF(AND(I706&gt;=1,I706&lt;=1.29),"松散-极松散",IF(AND(I706&gt;=1.33,I706&lt;=1.8),"松散-标准松散",IF(AND(I706&gt;=1.83,I706&lt;=1.89),"松散-偏紧松散",IF(AND(I706&gt;=2,I706&lt;=2.5),"标准-偏松标准",IF(AND(I706&gt;=2.57,I706&lt;=3),"标准-核心标准",IF(AND(I706&gt;=3.17,I706&lt;=3.5),"标准-偏紧标准",IF(AND(I706&gt;=3.6,I706&lt;=5),"紧凑-标准紧凑",IF(AND(I706&gt;=5.25,I706&lt;=8),"紧凑-高度紧凑",IF(I706&gt;=8.5,"紧凑-极度紧凑",""))))))))))</f>
        <v/>
      </c>
      <c r="L706" s="2">
        <f>IF(I706=0.1,"极紧凑",IF(AND(I706&gt;=1,I706&lt;=1.89),"松散",IF(AND(I706&gt;=2,I706&lt;=3.5),"标准",IF(I706&gt;=3.6,"紧凑",""))))</f>
        <v/>
      </c>
      <c r="M706" s="2" t="inlineStr">
        <is>
          <t>极紧凑-豹子号</t>
        </is>
      </c>
      <c r="N706" s="2" t="inlineStr">
        <is>
          <t>松散-极松散</t>
        </is>
      </c>
      <c r="O706" s="2" t="inlineStr">
        <is>
          <t>松散-标准松散</t>
        </is>
      </c>
      <c r="P706" s="2" t="inlineStr">
        <is>
          <t>松散-偏紧松散</t>
        </is>
      </c>
      <c r="Q706" s="2" t="inlineStr">
        <is>
          <t>标准-偏松标准</t>
        </is>
      </c>
      <c r="R706" s="2" t="inlineStr">
        <is>
          <t>标准-核心标准</t>
        </is>
      </c>
      <c r="S706" s="2" t="inlineStr">
        <is>
          <t>标准-偏紧标准</t>
        </is>
      </c>
      <c r="T706" s="2" t="inlineStr">
        <is>
          <t>紧凑-标准紧凑</t>
        </is>
      </c>
      <c r="U706" s="2" t="inlineStr">
        <is>
          <t>紧凑-高度紧凑</t>
        </is>
      </c>
      <c r="V706" s="2" t="inlineStr">
        <is>
          <t>紧凑-极度紧凑</t>
        </is>
      </c>
    </row>
    <row r="707">
      <c r="A707" s="1" t="n">
        <v>2024274</v>
      </c>
      <c r="B707" s="3" t="inlineStr">
        <is>
          <t>274</t>
        </is>
      </c>
      <c r="C707" s="2">
        <f>IF(B707="","",LEFT(TEXT(B707,"000"),1)*1)</f>
        <v/>
      </c>
      <c r="D707" s="2">
        <f>IF(B707="","",MID(TEXT(B707,"000"),2,1)*1)</f>
        <v/>
      </c>
      <c r="E707" s="2">
        <f>IF(B707="","",RIGHT(TEXT(B707,"000"),1)*1)</f>
        <v/>
      </c>
      <c r="F707" s="2">
        <f>IF(B707="","",C707+D707+E707)</f>
        <v/>
      </c>
      <c r="G707" s="2">
        <f>IF(B707="","",MOD(F707,10))</f>
        <v/>
      </c>
      <c r="H707" s="2">
        <f>IF(B707="","",MAX(C707,D707,E707)-MIN(C707,D707,E707))</f>
        <v/>
      </c>
      <c r="I707" s="2">
        <f>IF(OR(B707="",H707=0),IF(H707=0,0.1,""),ROUND(F707/H707,2))</f>
        <v/>
      </c>
      <c r="J707" s="2">
        <f>IF(I707=0.1,"极紧凑",IF(I707&gt;3.5,"紧凑",IF(AND(I707&gt;=2,I707&lt;=3.5),"标准",IF(AND(I707&gt;=1,I707&lt;2),"松散",""))))</f>
        <v/>
      </c>
      <c r="K707" s="2">
        <f>IF(I707=0.1,"极紧凑-豹子号",IF(AND(I707&gt;=1,I707&lt;=1.29),"松散-极松散",IF(AND(I707&gt;=1.33,I707&lt;=1.8),"松散-标准松散",IF(AND(I707&gt;=1.83,I707&lt;=1.89),"松散-偏紧松散",IF(AND(I707&gt;=2,I707&lt;=2.5),"标准-偏松标准",IF(AND(I707&gt;=2.57,I707&lt;=3),"标准-核心标准",IF(AND(I707&gt;=3.17,I707&lt;=3.5),"标准-偏紧标准",IF(AND(I707&gt;=3.6,I707&lt;=5),"紧凑-标准紧凑",IF(AND(I707&gt;=5.25,I707&lt;=8),"紧凑-高度紧凑",IF(I707&gt;=8.5,"紧凑-极度紧凑",""))))))))))</f>
        <v/>
      </c>
      <c r="L707" s="2">
        <f>IF(I707=0.1,"极紧凑",IF(AND(I707&gt;=1,I707&lt;=1.89),"松散",IF(AND(I707&gt;=2,I707&lt;=3.5),"标准",IF(I707&gt;=3.6,"紧凑",""))))</f>
        <v/>
      </c>
      <c r="M707" s="2" t="inlineStr">
        <is>
          <t>极紧凑-豹子号</t>
        </is>
      </c>
      <c r="N707" s="2" t="inlineStr">
        <is>
          <t>松散-极松散</t>
        </is>
      </c>
      <c r="O707" s="2" t="inlineStr">
        <is>
          <t>松散-标准松散</t>
        </is>
      </c>
      <c r="P707" s="2" t="inlineStr">
        <is>
          <t>松散-偏紧松散</t>
        </is>
      </c>
      <c r="Q707" s="2" t="inlineStr">
        <is>
          <t>标准-偏松标准</t>
        </is>
      </c>
      <c r="R707" s="2" t="inlineStr">
        <is>
          <t>标准-核心标准</t>
        </is>
      </c>
      <c r="S707" s="2" t="inlineStr">
        <is>
          <t>标准-偏紧标准</t>
        </is>
      </c>
      <c r="T707" s="2" t="inlineStr">
        <is>
          <t>紧凑-标准紧凑</t>
        </is>
      </c>
      <c r="U707" s="2" t="inlineStr">
        <is>
          <t>紧凑-高度紧凑</t>
        </is>
      </c>
      <c r="V707" s="2" t="inlineStr">
        <is>
          <t>紧凑-极度紧凑</t>
        </is>
      </c>
    </row>
    <row r="708">
      <c r="A708" s="1" t="n">
        <v>2024275</v>
      </c>
      <c r="B708" s="3" t="inlineStr">
        <is>
          <t>681</t>
        </is>
      </c>
      <c r="C708" s="2">
        <f>IF(B708="","",LEFT(TEXT(B708,"000"),1)*1)</f>
        <v/>
      </c>
      <c r="D708" s="2">
        <f>IF(B708="","",MID(TEXT(B708,"000"),2,1)*1)</f>
        <v/>
      </c>
      <c r="E708" s="2">
        <f>IF(B708="","",RIGHT(TEXT(B708,"000"),1)*1)</f>
        <v/>
      </c>
      <c r="F708" s="2">
        <f>IF(B708="","",C708+D708+E708)</f>
        <v/>
      </c>
      <c r="G708" s="2">
        <f>IF(B708="","",MOD(F708,10))</f>
        <v/>
      </c>
      <c r="H708" s="2">
        <f>IF(B708="","",MAX(C708,D708,E708)-MIN(C708,D708,E708))</f>
        <v/>
      </c>
      <c r="I708" s="2">
        <f>IF(OR(B708="",H708=0),IF(H708=0,0.1,""),ROUND(F708/H708,2))</f>
        <v/>
      </c>
      <c r="J708" s="2">
        <f>IF(I708=0.1,"极紧凑",IF(I708&gt;3.5,"紧凑",IF(AND(I708&gt;=2,I708&lt;=3.5),"标准",IF(AND(I708&gt;=1,I708&lt;2),"松散",""))))</f>
        <v/>
      </c>
      <c r="K708" s="2">
        <f>IF(I708=0.1,"极紧凑-豹子号",IF(AND(I708&gt;=1,I708&lt;=1.29),"松散-极松散",IF(AND(I708&gt;=1.33,I708&lt;=1.8),"松散-标准松散",IF(AND(I708&gt;=1.83,I708&lt;=1.89),"松散-偏紧松散",IF(AND(I708&gt;=2,I708&lt;=2.5),"标准-偏松标准",IF(AND(I708&gt;=2.57,I708&lt;=3),"标准-核心标准",IF(AND(I708&gt;=3.17,I708&lt;=3.5),"标准-偏紧标准",IF(AND(I708&gt;=3.6,I708&lt;=5),"紧凑-标准紧凑",IF(AND(I708&gt;=5.25,I708&lt;=8),"紧凑-高度紧凑",IF(I708&gt;=8.5,"紧凑-极度紧凑",""))))))))))</f>
        <v/>
      </c>
      <c r="L708" s="2">
        <f>IF(I708=0.1,"极紧凑",IF(AND(I708&gt;=1,I708&lt;=1.89),"松散",IF(AND(I708&gt;=2,I708&lt;=3.5),"标准",IF(I708&gt;=3.6,"紧凑",""))))</f>
        <v/>
      </c>
      <c r="M708" s="2" t="inlineStr">
        <is>
          <t>极紧凑-豹子号</t>
        </is>
      </c>
      <c r="N708" s="2" t="inlineStr">
        <is>
          <t>松散-极松散</t>
        </is>
      </c>
      <c r="O708" s="2" t="inlineStr">
        <is>
          <t>松散-标准松散</t>
        </is>
      </c>
      <c r="P708" s="2" t="inlineStr">
        <is>
          <t>松散-偏紧松散</t>
        </is>
      </c>
      <c r="Q708" s="2" t="inlineStr">
        <is>
          <t>标准-偏松标准</t>
        </is>
      </c>
      <c r="R708" s="2" t="inlineStr">
        <is>
          <t>标准-核心标准</t>
        </is>
      </c>
      <c r="S708" s="2" t="inlineStr">
        <is>
          <t>标准-偏紧标准</t>
        </is>
      </c>
      <c r="T708" s="2" t="inlineStr">
        <is>
          <t>紧凑-标准紧凑</t>
        </is>
      </c>
      <c r="U708" s="2" t="inlineStr">
        <is>
          <t>紧凑-高度紧凑</t>
        </is>
      </c>
      <c r="V708" s="2" t="inlineStr">
        <is>
          <t>紧凑-极度紧凑</t>
        </is>
      </c>
    </row>
    <row r="709">
      <c r="A709" s="1" t="n">
        <v>2024276</v>
      </c>
      <c r="B709" s="3" t="inlineStr">
        <is>
          <t>088</t>
        </is>
      </c>
      <c r="C709" s="2">
        <f>IF(B709="","",LEFT(TEXT(B709,"000"),1)*1)</f>
        <v/>
      </c>
      <c r="D709" s="2">
        <f>IF(B709="","",MID(TEXT(B709,"000"),2,1)*1)</f>
        <v/>
      </c>
      <c r="E709" s="2">
        <f>IF(B709="","",RIGHT(TEXT(B709,"000"),1)*1)</f>
        <v/>
      </c>
      <c r="F709" s="2">
        <f>IF(B709="","",C709+D709+E709)</f>
        <v/>
      </c>
      <c r="G709" s="2">
        <f>IF(B709="","",MOD(F709,10))</f>
        <v/>
      </c>
      <c r="H709" s="2">
        <f>IF(B709="","",MAX(C709,D709,E709)-MIN(C709,D709,E709))</f>
        <v/>
      </c>
      <c r="I709" s="2">
        <f>IF(OR(B709="",H709=0),IF(H709=0,0.1,""),ROUND(F709/H709,2))</f>
        <v/>
      </c>
      <c r="J709" s="2">
        <f>IF(I709=0.1,"极紧凑",IF(I709&gt;3.5,"紧凑",IF(AND(I709&gt;=2,I709&lt;=3.5),"标准",IF(AND(I709&gt;=1,I709&lt;2),"松散",""))))</f>
        <v/>
      </c>
      <c r="K709" s="2">
        <f>IF(I709=0.1,"极紧凑-豹子号",IF(AND(I709&gt;=1,I709&lt;=1.29),"松散-极松散",IF(AND(I709&gt;=1.33,I709&lt;=1.8),"松散-标准松散",IF(AND(I709&gt;=1.83,I709&lt;=1.89),"松散-偏紧松散",IF(AND(I709&gt;=2,I709&lt;=2.5),"标准-偏松标准",IF(AND(I709&gt;=2.57,I709&lt;=3),"标准-核心标准",IF(AND(I709&gt;=3.17,I709&lt;=3.5),"标准-偏紧标准",IF(AND(I709&gt;=3.6,I709&lt;=5),"紧凑-标准紧凑",IF(AND(I709&gt;=5.25,I709&lt;=8),"紧凑-高度紧凑",IF(I709&gt;=8.5,"紧凑-极度紧凑",""))))))))))</f>
        <v/>
      </c>
      <c r="L709" s="2">
        <f>IF(I709=0.1,"极紧凑",IF(AND(I709&gt;=1,I709&lt;=1.89),"松散",IF(AND(I709&gt;=2,I709&lt;=3.5),"标准",IF(I709&gt;=3.6,"紧凑",""))))</f>
        <v/>
      </c>
      <c r="M709" s="2" t="inlineStr">
        <is>
          <t>极紧凑-豹子号</t>
        </is>
      </c>
      <c r="N709" s="2" t="inlineStr">
        <is>
          <t>松散-极松散</t>
        </is>
      </c>
      <c r="O709" s="2" t="inlineStr">
        <is>
          <t>松散-标准松散</t>
        </is>
      </c>
      <c r="P709" s="2" t="inlineStr">
        <is>
          <t>松散-偏紧松散</t>
        </is>
      </c>
      <c r="Q709" s="2" t="inlineStr">
        <is>
          <t>标准-偏松标准</t>
        </is>
      </c>
      <c r="R709" s="2" t="inlineStr">
        <is>
          <t>标准-核心标准</t>
        </is>
      </c>
      <c r="S709" s="2" t="inlineStr">
        <is>
          <t>标准-偏紧标准</t>
        </is>
      </c>
      <c r="T709" s="2" t="inlineStr">
        <is>
          <t>紧凑-标准紧凑</t>
        </is>
      </c>
      <c r="U709" s="2" t="inlineStr">
        <is>
          <t>紧凑-高度紧凑</t>
        </is>
      </c>
      <c r="V709" s="2" t="inlineStr">
        <is>
          <t>紧凑-极度紧凑</t>
        </is>
      </c>
    </row>
    <row r="710">
      <c r="A710" s="1" t="n">
        <v>2024277</v>
      </c>
      <c r="B710" s="3" t="inlineStr">
        <is>
          <t>623</t>
        </is>
      </c>
      <c r="C710" s="2">
        <f>IF(B710="","",LEFT(TEXT(B710,"000"),1)*1)</f>
        <v/>
      </c>
      <c r="D710" s="2">
        <f>IF(B710="","",MID(TEXT(B710,"000"),2,1)*1)</f>
        <v/>
      </c>
      <c r="E710" s="2">
        <f>IF(B710="","",RIGHT(TEXT(B710,"000"),1)*1)</f>
        <v/>
      </c>
      <c r="F710" s="2">
        <f>IF(B710="","",C710+D710+E710)</f>
        <v/>
      </c>
      <c r="G710" s="2">
        <f>IF(B710="","",MOD(F710,10))</f>
        <v/>
      </c>
      <c r="H710" s="2">
        <f>IF(B710="","",MAX(C710,D710,E710)-MIN(C710,D710,E710))</f>
        <v/>
      </c>
      <c r="I710" s="2">
        <f>IF(OR(B710="",H710=0),IF(H710=0,0.1,""),ROUND(F710/H710,2))</f>
        <v/>
      </c>
      <c r="J710" s="2">
        <f>IF(I710=0.1,"极紧凑",IF(I710&gt;3.5,"紧凑",IF(AND(I710&gt;=2,I710&lt;=3.5),"标准",IF(AND(I710&gt;=1,I710&lt;2),"松散",""))))</f>
        <v/>
      </c>
      <c r="K710" s="2">
        <f>IF(I710=0.1,"极紧凑-豹子号",IF(AND(I710&gt;=1,I710&lt;=1.29),"松散-极松散",IF(AND(I710&gt;=1.33,I710&lt;=1.8),"松散-标准松散",IF(AND(I710&gt;=1.83,I710&lt;=1.89),"松散-偏紧松散",IF(AND(I710&gt;=2,I710&lt;=2.5),"标准-偏松标准",IF(AND(I710&gt;=2.57,I710&lt;=3),"标准-核心标准",IF(AND(I710&gt;=3.17,I710&lt;=3.5),"标准-偏紧标准",IF(AND(I710&gt;=3.6,I710&lt;=5),"紧凑-标准紧凑",IF(AND(I710&gt;=5.25,I710&lt;=8),"紧凑-高度紧凑",IF(I710&gt;=8.5,"紧凑-极度紧凑",""))))))))))</f>
        <v/>
      </c>
      <c r="L710" s="2">
        <f>IF(I710=0.1,"极紧凑",IF(AND(I710&gt;=1,I710&lt;=1.89),"松散",IF(AND(I710&gt;=2,I710&lt;=3.5),"标准",IF(I710&gt;=3.6,"紧凑",""))))</f>
        <v/>
      </c>
      <c r="M710" s="2" t="inlineStr">
        <is>
          <t>极紧凑-豹子号</t>
        </is>
      </c>
      <c r="N710" s="2" t="inlineStr">
        <is>
          <t>松散-极松散</t>
        </is>
      </c>
      <c r="O710" s="2" t="inlineStr">
        <is>
          <t>松散-标准松散</t>
        </is>
      </c>
      <c r="P710" s="2" t="inlineStr">
        <is>
          <t>松散-偏紧松散</t>
        </is>
      </c>
      <c r="Q710" s="2" t="inlineStr">
        <is>
          <t>标准-偏松标准</t>
        </is>
      </c>
      <c r="R710" s="2" t="inlineStr">
        <is>
          <t>标准-核心标准</t>
        </is>
      </c>
      <c r="S710" s="2" t="inlineStr">
        <is>
          <t>标准-偏紧标准</t>
        </is>
      </c>
      <c r="T710" s="2" t="inlineStr">
        <is>
          <t>紧凑-标准紧凑</t>
        </is>
      </c>
      <c r="U710" s="2" t="inlineStr">
        <is>
          <t>紧凑-高度紧凑</t>
        </is>
      </c>
      <c r="V710" s="2" t="inlineStr">
        <is>
          <t>紧凑-极度紧凑</t>
        </is>
      </c>
    </row>
    <row r="711">
      <c r="A711" s="1" t="n">
        <v>2024278</v>
      </c>
      <c r="B711" s="3" t="inlineStr">
        <is>
          <t>134</t>
        </is>
      </c>
      <c r="C711" s="2">
        <f>IF(B711="","",LEFT(TEXT(B711,"000"),1)*1)</f>
        <v/>
      </c>
      <c r="D711" s="2">
        <f>IF(B711="","",MID(TEXT(B711,"000"),2,1)*1)</f>
        <v/>
      </c>
      <c r="E711" s="2">
        <f>IF(B711="","",RIGHT(TEXT(B711,"000"),1)*1)</f>
        <v/>
      </c>
      <c r="F711" s="2">
        <f>IF(B711="","",C711+D711+E711)</f>
        <v/>
      </c>
      <c r="G711" s="2">
        <f>IF(B711="","",MOD(F711,10))</f>
        <v/>
      </c>
      <c r="H711" s="2">
        <f>IF(B711="","",MAX(C711,D711,E711)-MIN(C711,D711,E711))</f>
        <v/>
      </c>
      <c r="I711" s="2">
        <f>IF(OR(B711="",H711=0),IF(H711=0,0.1,""),ROUND(F711/H711,2))</f>
        <v/>
      </c>
      <c r="J711" s="2">
        <f>IF(I711=0.1,"极紧凑",IF(I711&gt;3.5,"紧凑",IF(AND(I711&gt;=2,I711&lt;=3.5),"标准",IF(AND(I711&gt;=1,I711&lt;2),"松散",""))))</f>
        <v/>
      </c>
      <c r="K711" s="2">
        <f>IF(I711=0.1,"极紧凑-豹子号",IF(AND(I711&gt;=1,I711&lt;=1.29),"松散-极松散",IF(AND(I711&gt;=1.33,I711&lt;=1.8),"松散-标准松散",IF(AND(I711&gt;=1.83,I711&lt;=1.89),"松散-偏紧松散",IF(AND(I711&gt;=2,I711&lt;=2.5),"标准-偏松标准",IF(AND(I711&gt;=2.57,I711&lt;=3),"标准-核心标准",IF(AND(I711&gt;=3.17,I711&lt;=3.5),"标准-偏紧标准",IF(AND(I711&gt;=3.6,I711&lt;=5),"紧凑-标准紧凑",IF(AND(I711&gt;=5.25,I711&lt;=8),"紧凑-高度紧凑",IF(I711&gt;=8.5,"紧凑-极度紧凑",""))))))))))</f>
        <v/>
      </c>
      <c r="L711" s="2">
        <f>IF(I711=0.1,"极紧凑",IF(AND(I711&gt;=1,I711&lt;=1.89),"松散",IF(AND(I711&gt;=2,I711&lt;=3.5),"标准",IF(I711&gt;=3.6,"紧凑",""))))</f>
        <v/>
      </c>
      <c r="M711" s="2" t="inlineStr">
        <is>
          <t>极紧凑-豹子号</t>
        </is>
      </c>
      <c r="N711" s="2" t="inlineStr">
        <is>
          <t>松散-极松散</t>
        </is>
      </c>
      <c r="O711" s="2" t="inlineStr">
        <is>
          <t>松散-标准松散</t>
        </is>
      </c>
      <c r="P711" s="2" t="inlineStr">
        <is>
          <t>松散-偏紧松散</t>
        </is>
      </c>
      <c r="Q711" s="2" t="inlineStr">
        <is>
          <t>标准-偏松标准</t>
        </is>
      </c>
      <c r="R711" s="2" t="inlineStr">
        <is>
          <t>标准-核心标准</t>
        </is>
      </c>
      <c r="S711" s="2" t="inlineStr">
        <is>
          <t>标准-偏紧标准</t>
        </is>
      </c>
      <c r="T711" s="2" t="inlineStr">
        <is>
          <t>紧凑-标准紧凑</t>
        </is>
      </c>
      <c r="U711" s="2" t="inlineStr">
        <is>
          <t>紧凑-高度紧凑</t>
        </is>
      </c>
      <c r="V711" s="2" t="inlineStr">
        <is>
          <t>紧凑-极度紧凑</t>
        </is>
      </c>
    </row>
    <row r="712">
      <c r="A712" s="1" t="n">
        <v>2024279</v>
      </c>
      <c r="B712" s="3" t="inlineStr">
        <is>
          <t>886</t>
        </is>
      </c>
      <c r="C712" s="2">
        <f>IF(B712="","",LEFT(TEXT(B712,"000"),1)*1)</f>
        <v/>
      </c>
      <c r="D712" s="2">
        <f>IF(B712="","",MID(TEXT(B712,"000"),2,1)*1)</f>
        <v/>
      </c>
      <c r="E712" s="2">
        <f>IF(B712="","",RIGHT(TEXT(B712,"000"),1)*1)</f>
        <v/>
      </c>
      <c r="F712" s="2">
        <f>IF(B712="","",C712+D712+E712)</f>
        <v/>
      </c>
      <c r="G712" s="2">
        <f>IF(B712="","",MOD(F712,10))</f>
        <v/>
      </c>
      <c r="H712" s="2">
        <f>IF(B712="","",MAX(C712,D712,E712)-MIN(C712,D712,E712))</f>
        <v/>
      </c>
      <c r="I712" s="2">
        <f>IF(OR(B712="",H712=0),IF(H712=0,0.1,""),ROUND(F712/H712,2))</f>
        <v/>
      </c>
      <c r="J712" s="2">
        <f>IF(I712=0.1,"极紧凑",IF(I712&gt;3.5,"紧凑",IF(AND(I712&gt;=2,I712&lt;=3.5),"标准",IF(AND(I712&gt;=1,I712&lt;2),"松散",""))))</f>
        <v/>
      </c>
      <c r="K712" s="2">
        <f>IF(I712=0.1,"极紧凑-豹子号",IF(AND(I712&gt;=1,I712&lt;=1.29),"松散-极松散",IF(AND(I712&gt;=1.33,I712&lt;=1.8),"松散-标准松散",IF(AND(I712&gt;=1.83,I712&lt;=1.89),"松散-偏紧松散",IF(AND(I712&gt;=2,I712&lt;=2.5),"标准-偏松标准",IF(AND(I712&gt;=2.57,I712&lt;=3),"标准-核心标准",IF(AND(I712&gt;=3.17,I712&lt;=3.5),"标准-偏紧标准",IF(AND(I712&gt;=3.6,I712&lt;=5),"紧凑-标准紧凑",IF(AND(I712&gt;=5.25,I712&lt;=8),"紧凑-高度紧凑",IF(I712&gt;=8.5,"紧凑-极度紧凑",""))))))))))</f>
        <v/>
      </c>
      <c r="L712" s="2">
        <f>IF(I712=0.1,"极紧凑",IF(AND(I712&gt;=1,I712&lt;=1.89),"松散",IF(AND(I712&gt;=2,I712&lt;=3.5),"标准",IF(I712&gt;=3.6,"紧凑",""))))</f>
        <v/>
      </c>
      <c r="M712" s="2" t="inlineStr">
        <is>
          <t>极紧凑-豹子号</t>
        </is>
      </c>
      <c r="N712" s="2" t="inlineStr">
        <is>
          <t>松散-极松散</t>
        </is>
      </c>
      <c r="O712" s="2" t="inlineStr">
        <is>
          <t>松散-标准松散</t>
        </is>
      </c>
      <c r="P712" s="2" t="inlineStr">
        <is>
          <t>松散-偏紧松散</t>
        </is>
      </c>
      <c r="Q712" s="2" t="inlineStr">
        <is>
          <t>标准-偏松标准</t>
        </is>
      </c>
      <c r="R712" s="2" t="inlineStr">
        <is>
          <t>标准-核心标准</t>
        </is>
      </c>
      <c r="S712" s="2" t="inlineStr">
        <is>
          <t>标准-偏紧标准</t>
        </is>
      </c>
      <c r="T712" s="2" t="inlineStr">
        <is>
          <t>紧凑-标准紧凑</t>
        </is>
      </c>
      <c r="U712" s="2" t="inlineStr">
        <is>
          <t>紧凑-高度紧凑</t>
        </is>
      </c>
      <c r="V712" s="2" t="inlineStr">
        <is>
          <t>紧凑-极度紧凑</t>
        </is>
      </c>
    </row>
    <row r="713">
      <c r="A713" s="1" t="n">
        <v>2024280</v>
      </c>
      <c r="B713" s="3" t="inlineStr">
        <is>
          <t>859</t>
        </is>
      </c>
      <c r="C713" s="2">
        <f>IF(B713="","",LEFT(TEXT(B713,"000"),1)*1)</f>
        <v/>
      </c>
      <c r="D713" s="2">
        <f>IF(B713="","",MID(TEXT(B713,"000"),2,1)*1)</f>
        <v/>
      </c>
      <c r="E713" s="2">
        <f>IF(B713="","",RIGHT(TEXT(B713,"000"),1)*1)</f>
        <v/>
      </c>
      <c r="F713" s="2">
        <f>IF(B713="","",C713+D713+E713)</f>
        <v/>
      </c>
      <c r="G713" s="2">
        <f>IF(B713="","",MOD(F713,10))</f>
        <v/>
      </c>
      <c r="H713" s="2">
        <f>IF(B713="","",MAX(C713,D713,E713)-MIN(C713,D713,E713))</f>
        <v/>
      </c>
      <c r="I713" s="2">
        <f>IF(OR(B713="",H713=0),IF(H713=0,0.1,""),ROUND(F713/H713,2))</f>
        <v/>
      </c>
      <c r="J713" s="2">
        <f>IF(I713=0.1,"极紧凑",IF(I713&gt;3.5,"紧凑",IF(AND(I713&gt;=2,I713&lt;=3.5),"标准",IF(AND(I713&gt;=1,I713&lt;2),"松散",""))))</f>
        <v/>
      </c>
      <c r="K713" s="2">
        <f>IF(I713=0.1,"极紧凑-豹子号",IF(AND(I713&gt;=1,I713&lt;=1.29),"松散-极松散",IF(AND(I713&gt;=1.33,I713&lt;=1.8),"松散-标准松散",IF(AND(I713&gt;=1.83,I713&lt;=1.89),"松散-偏紧松散",IF(AND(I713&gt;=2,I713&lt;=2.5),"标准-偏松标准",IF(AND(I713&gt;=2.57,I713&lt;=3),"标准-核心标准",IF(AND(I713&gt;=3.17,I713&lt;=3.5),"标准-偏紧标准",IF(AND(I713&gt;=3.6,I713&lt;=5),"紧凑-标准紧凑",IF(AND(I713&gt;=5.25,I713&lt;=8),"紧凑-高度紧凑",IF(I713&gt;=8.5,"紧凑-极度紧凑",""))))))))))</f>
        <v/>
      </c>
      <c r="L713" s="2">
        <f>IF(I713=0.1,"极紧凑",IF(AND(I713&gt;=1,I713&lt;=1.89),"松散",IF(AND(I713&gt;=2,I713&lt;=3.5),"标准",IF(I713&gt;=3.6,"紧凑",""))))</f>
        <v/>
      </c>
      <c r="M713" s="2" t="inlineStr">
        <is>
          <t>极紧凑-豹子号</t>
        </is>
      </c>
      <c r="N713" s="2" t="inlineStr">
        <is>
          <t>松散-极松散</t>
        </is>
      </c>
      <c r="O713" s="2" t="inlineStr">
        <is>
          <t>松散-标准松散</t>
        </is>
      </c>
      <c r="P713" s="2" t="inlineStr">
        <is>
          <t>松散-偏紧松散</t>
        </is>
      </c>
      <c r="Q713" s="2" t="inlineStr">
        <is>
          <t>标准-偏松标准</t>
        </is>
      </c>
      <c r="R713" s="2" t="inlineStr">
        <is>
          <t>标准-核心标准</t>
        </is>
      </c>
      <c r="S713" s="2" t="inlineStr">
        <is>
          <t>标准-偏紧标准</t>
        </is>
      </c>
      <c r="T713" s="2" t="inlineStr">
        <is>
          <t>紧凑-标准紧凑</t>
        </is>
      </c>
      <c r="U713" s="2" t="inlineStr">
        <is>
          <t>紧凑-高度紧凑</t>
        </is>
      </c>
      <c r="V713" s="2" t="inlineStr">
        <is>
          <t>紧凑-极度紧凑</t>
        </is>
      </c>
    </row>
    <row r="714">
      <c r="A714" s="1" t="n">
        <v>2024281</v>
      </c>
      <c r="B714" s="3" t="inlineStr">
        <is>
          <t>465</t>
        </is>
      </c>
      <c r="C714" s="2">
        <f>IF(B714="","",LEFT(TEXT(B714,"000"),1)*1)</f>
        <v/>
      </c>
      <c r="D714" s="2">
        <f>IF(B714="","",MID(TEXT(B714,"000"),2,1)*1)</f>
        <v/>
      </c>
      <c r="E714" s="2">
        <f>IF(B714="","",RIGHT(TEXT(B714,"000"),1)*1)</f>
        <v/>
      </c>
      <c r="F714" s="2">
        <f>IF(B714="","",C714+D714+E714)</f>
        <v/>
      </c>
      <c r="G714" s="2">
        <f>IF(B714="","",MOD(F714,10))</f>
        <v/>
      </c>
      <c r="H714" s="2">
        <f>IF(B714="","",MAX(C714,D714,E714)-MIN(C714,D714,E714))</f>
        <v/>
      </c>
      <c r="I714" s="2">
        <f>IF(OR(B714="",H714=0),IF(H714=0,0.1,""),ROUND(F714/H714,2))</f>
        <v/>
      </c>
      <c r="J714" s="2">
        <f>IF(I714=0.1,"极紧凑",IF(I714&gt;3.5,"紧凑",IF(AND(I714&gt;=2,I714&lt;=3.5),"标准",IF(AND(I714&gt;=1,I714&lt;2),"松散",""))))</f>
        <v/>
      </c>
      <c r="K714" s="2">
        <f>IF(I714=0.1,"极紧凑-豹子号",IF(AND(I714&gt;=1,I714&lt;=1.29),"松散-极松散",IF(AND(I714&gt;=1.33,I714&lt;=1.8),"松散-标准松散",IF(AND(I714&gt;=1.83,I714&lt;=1.89),"松散-偏紧松散",IF(AND(I714&gt;=2,I714&lt;=2.5),"标准-偏松标准",IF(AND(I714&gt;=2.57,I714&lt;=3),"标准-核心标准",IF(AND(I714&gt;=3.17,I714&lt;=3.5),"标准-偏紧标准",IF(AND(I714&gt;=3.6,I714&lt;=5),"紧凑-标准紧凑",IF(AND(I714&gt;=5.25,I714&lt;=8),"紧凑-高度紧凑",IF(I714&gt;=8.5,"紧凑-极度紧凑",""))))))))))</f>
        <v/>
      </c>
      <c r="L714" s="2">
        <f>IF(I714=0.1,"极紧凑",IF(AND(I714&gt;=1,I714&lt;=1.89),"松散",IF(AND(I714&gt;=2,I714&lt;=3.5),"标准",IF(I714&gt;=3.6,"紧凑",""))))</f>
        <v/>
      </c>
      <c r="M714" s="2" t="inlineStr">
        <is>
          <t>极紧凑-豹子号</t>
        </is>
      </c>
      <c r="N714" s="2" t="inlineStr">
        <is>
          <t>松散-极松散</t>
        </is>
      </c>
      <c r="O714" s="2" t="inlineStr">
        <is>
          <t>松散-标准松散</t>
        </is>
      </c>
      <c r="P714" s="2" t="inlineStr">
        <is>
          <t>松散-偏紧松散</t>
        </is>
      </c>
      <c r="Q714" s="2" t="inlineStr">
        <is>
          <t>标准-偏松标准</t>
        </is>
      </c>
      <c r="R714" s="2" t="inlineStr">
        <is>
          <t>标准-核心标准</t>
        </is>
      </c>
      <c r="S714" s="2" t="inlineStr">
        <is>
          <t>标准-偏紧标准</t>
        </is>
      </c>
      <c r="T714" s="2" t="inlineStr">
        <is>
          <t>紧凑-标准紧凑</t>
        </is>
      </c>
      <c r="U714" s="2" t="inlineStr">
        <is>
          <t>紧凑-高度紧凑</t>
        </is>
      </c>
      <c r="V714" s="2" t="inlineStr">
        <is>
          <t>紧凑-极度紧凑</t>
        </is>
      </c>
    </row>
    <row r="715">
      <c r="A715" s="1" t="n">
        <v>2024282</v>
      </c>
      <c r="B715" s="3" t="inlineStr">
        <is>
          <t>905</t>
        </is>
      </c>
      <c r="C715" s="2">
        <f>IF(B715="","",LEFT(TEXT(B715,"000"),1)*1)</f>
        <v/>
      </c>
      <c r="D715" s="2">
        <f>IF(B715="","",MID(TEXT(B715,"000"),2,1)*1)</f>
        <v/>
      </c>
      <c r="E715" s="2">
        <f>IF(B715="","",RIGHT(TEXT(B715,"000"),1)*1)</f>
        <v/>
      </c>
      <c r="F715" s="2">
        <f>IF(B715="","",C715+D715+E715)</f>
        <v/>
      </c>
      <c r="G715" s="2">
        <f>IF(B715="","",MOD(F715,10))</f>
        <v/>
      </c>
      <c r="H715" s="2">
        <f>IF(B715="","",MAX(C715,D715,E715)-MIN(C715,D715,E715))</f>
        <v/>
      </c>
      <c r="I715" s="2">
        <f>IF(OR(B715="",H715=0),IF(H715=0,0.1,""),ROUND(F715/H715,2))</f>
        <v/>
      </c>
      <c r="J715" s="2">
        <f>IF(I715=0.1,"极紧凑",IF(I715&gt;3.5,"紧凑",IF(AND(I715&gt;=2,I715&lt;=3.5),"标准",IF(AND(I715&gt;=1,I715&lt;2),"松散",""))))</f>
        <v/>
      </c>
      <c r="K715" s="2">
        <f>IF(I715=0.1,"极紧凑-豹子号",IF(AND(I715&gt;=1,I715&lt;=1.29),"松散-极松散",IF(AND(I715&gt;=1.33,I715&lt;=1.8),"松散-标准松散",IF(AND(I715&gt;=1.83,I715&lt;=1.89),"松散-偏紧松散",IF(AND(I715&gt;=2,I715&lt;=2.5),"标准-偏松标准",IF(AND(I715&gt;=2.57,I715&lt;=3),"标准-核心标准",IF(AND(I715&gt;=3.17,I715&lt;=3.5),"标准-偏紧标准",IF(AND(I715&gt;=3.6,I715&lt;=5),"紧凑-标准紧凑",IF(AND(I715&gt;=5.25,I715&lt;=8),"紧凑-高度紧凑",IF(I715&gt;=8.5,"紧凑-极度紧凑",""))))))))))</f>
        <v/>
      </c>
      <c r="L715" s="2">
        <f>IF(I715=0.1,"极紧凑",IF(AND(I715&gt;=1,I715&lt;=1.89),"松散",IF(AND(I715&gt;=2,I715&lt;=3.5),"标准",IF(I715&gt;=3.6,"紧凑",""))))</f>
        <v/>
      </c>
      <c r="M715" s="2" t="inlineStr">
        <is>
          <t>极紧凑-豹子号</t>
        </is>
      </c>
      <c r="N715" s="2" t="inlineStr">
        <is>
          <t>松散-极松散</t>
        </is>
      </c>
      <c r="O715" s="2" t="inlineStr">
        <is>
          <t>松散-标准松散</t>
        </is>
      </c>
      <c r="P715" s="2" t="inlineStr">
        <is>
          <t>松散-偏紧松散</t>
        </is>
      </c>
      <c r="Q715" s="2" t="inlineStr">
        <is>
          <t>标准-偏松标准</t>
        </is>
      </c>
      <c r="R715" s="2" t="inlineStr">
        <is>
          <t>标准-核心标准</t>
        </is>
      </c>
      <c r="S715" s="2" t="inlineStr">
        <is>
          <t>标准-偏紧标准</t>
        </is>
      </c>
      <c r="T715" s="2" t="inlineStr">
        <is>
          <t>紧凑-标准紧凑</t>
        </is>
      </c>
      <c r="U715" s="2" t="inlineStr">
        <is>
          <t>紧凑-高度紧凑</t>
        </is>
      </c>
      <c r="V715" s="2" t="inlineStr">
        <is>
          <t>紧凑-极度紧凑</t>
        </is>
      </c>
    </row>
    <row r="716">
      <c r="A716" s="1" t="n">
        <v>2024283</v>
      </c>
      <c r="B716" s="3" t="inlineStr">
        <is>
          <t>285</t>
        </is>
      </c>
      <c r="C716" s="2">
        <f>IF(B716="","",LEFT(TEXT(B716,"000"),1)*1)</f>
        <v/>
      </c>
      <c r="D716" s="2">
        <f>IF(B716="","",MID(TEXT(B716,"000"),2,1)*1)</f>
        <v/>
      </c>
      <c r="E716" s="2">
        <f>IF(B716="","",RIGHT(TEXT(B716,"000"),1)*1)</f>
        <v/>
      </c>
      <c r="F716" s="2">
        <f>IF(B716="","",C716+D716+E716)</f>
        <v/>
      </c>
      <c r="G716" s="2">
        <f>IF(B716="","",MOD(F716,10))</f>
        <v/>
      </c>
      <c r="H716" s="2">
        <f>IF(B716="","",MAX(C716,D716,E716)-MIN(C716,D716,E716))</f>
        <v/>
      </c>
      <c r="I716" s="2">
        <f>IF(OR(B716="",H716=0),IF(H716=0,0.1,""),ROUND(F716/H716,2))</f>
        <v/>
      </c>
      <c r="J716" s="2">
        <f>IF(I716=0.1,"极紧凑",IF(I716&gt;3.5,"紧凑",IF(AND(I716&gt;=2,I716&lt;=3.5),"标准",IF(AND(I716&gt;=1,I716&lt;2),"松散",""))))</f>
        <v/>
      </c>
      <c r="K716" s="2">
        <f>IF(I716=0.1,"极紧凑-豹子号",IF(AND(I716&gt;=1,I716&lt;=1.29),"松散-极松散",IF(AND(I716&gt;=1.33,I716&lt;=1.8),"松散-标准松散",IF(AND(I716&gt;=1.83,I716&lt;=1.89),"松散-偏紧松散",IF(AND(I716&gt;=2,I716&lt;=2.5),"标准-偏松标准",IF(AND(I716&gt;=2.57,I716&lt;=3),"标准-核心标准",IF(AND(I716&gt;=3.17,I716&lt;=3.5),"标准-偏紧标准",IF(AND(I716&gt;=3.6,I716&lt;=5),"紧凑-标准紧凑",IF(AND(I716&gt;=5.25,I716&lt;=8),"紧凑-高度紧凑",IF(I716&gt;=8.5,"紧凑-极度紧凑",""))))))))))</f>
        <v/>
      </c>
      <c r="L716" s="2">
        <f>IF(I716=0.1,"极紧凑",IF(AND(I716&gt;=1,I716&lt;=1.89),"松散",IF(AND(I716&gt;=2,I716&lt;=3.5),"标准",IF(I716&gt;=3.6,"紧凑",""))))</f>
        <v/>
      </c>
      <c r="M716" s="2" t="inlineStr">
        <is>
          <t>极紧凑-豹子号</t>
        </is>
      </c>
      <c r="N716" s="2" t="inlineStr">
        <is>
          <t>松散-极松散</t>
        </is>
      </c>
      <c r="O716" s="2" t="inlineStr">
        <is>
          <t>松散-标准松散</t>
        </is>
      </c>
      <c r="P716" s="2" t="inlineStr">
        <is>
          <t>松散-偏紧松散</t>
        </is>
      </c>
      <c r="Q716" s="2" t="inlineStr">
        <is>
          <t>标准-偏松标准</t>
        </is>
      </c>
      <c r="R716" s="2" t="inlineStr">
        <is>
          <t>标准-核心标准</t>
        </is>
      </c>
      <c r="S716" s="2" t="inlineStr">
        <is>
          <t>标准-偏紧标准</t>
        </is>
      </c>
      <c r="T716" s="2" t="inlineStr">
        <is>
          <t>紧凑-标准紧凑</t>
        </is>
      </c>
      <c r="U716" s="2" t="inlineStr">
        <is>
          <t>紧凑-高度紧凑</t>
        </is>
      </c>
      <c r="V716" s="2" t="inlineStr">
        <is>
          <t>紧凑-极度紧凑</t>
        </is>
      </c>
    </row>
    <row r="717">
      <c r="A717" s="1" t="n">
        <v>2024284</v>
      </c>
      <c r="B717" s="3" t="inlineStr">
        <is>
          <t>034</t>
        </is>
      </c>
      <c r="C717" s="2">
        <f>IF(B717="","",LEFT(TEXT(B717,"000"),1)*1)</f>
        <v/>
      </c>
      <c r="D717" s="2">
        <f>IF(B717="","",MID(TEXT(B717,"000"),2,1)*1)</f>
        <v/>
      </c>
      <c r="E717" s="2">
        <f>IF(B717="","",RIGHT(TEXT(B717,"000"),1)*1)</f>
        <v/>
      </c>
      <c r="F717" s="2">
        <f>IF(B717="","",C717+D717+E717)</f>
        <v/>
      </c>
      <c r="G717" s="2">
        <f>IF(B717="","",MOD(F717,10))</f>
        <v/>
      </c>
      <c r="H717" s="2">
        <f>IF(B717="","",MAX(C717,D717,E717)-MIN(C717,D717,E717))</f>
        <v/>
      </c>
      <c r="I717" s="2">
        <f>IF(OR(B717="",H717=0),IF(H717=0,0.1,""),ROUND(F717/H717,2))</f>
        <v/>
      </c>
      <c r="J717" s="2">
        <f>IF(I717=0.1,"极紧凑",IF(I717&gt;3.5,"紧凑",IF(AND(I717&gt;=2,I717&lt;=3.5),"标准",IF(AND(I717&gt;=1,I717&lt;2),"松散",""))))</f>
        <v/>
      </c>
      <c r="K717" s="2">
        <f>IF(I717=0.1,"极紧凑-豹子号",IF(AND(I717&gt;=1,I717&lt;=1.29),"松散-极松散",IF(AND(I717&gt;=1.33,I717&lt;=1.8),"松散-标准松散",IF(AND(I717&gt;=1.83,I717&lt;=1.89),"松散-偏紧松散",IF(AND(I717&gt;=2,I717&lt;=2.5),"标准-偏松标准",IF(AND(I717&gt;=2.57,I717&lt;=3),"标准-核心标准",IF(AND(I717&gt;=3.17,I717&lt;=3.5),"标准-偏紧标准",IF(AND(I717&gt;=3.6,I717&lt;=5),"紧凑-标准紧凑",IF(AND(I717&gt;=5.25,I717&lt;=8),"紧凑-高度紧凑",IF(I717&gt;=8.5,"紧凑-极度紧凑",""))))))))))</f>
        <v/>
      </c>
      <c r="L717" s="2">
        <f>IF(I717=0.1,"极紧凑",IF(AND(I717&gt;=1,I717&lt;=1.89),"松散",IF(AND(I717&gt;=2,I717&lt;=3.5),"标准",IF(I717&gt;=3.6,"紧凑",""))))</f>
        <v/>
      </c>
      <c r="M717" s="2" t="inlineStr">
        <is>
          <t>极紧凑-豹子号</t>
        </is>
      </c>
      <c r="N717" s="2" t="inlineStr">
        <is>
          <t>松散-极松散</t>
        </is>
      </c>
      <c r="O717" s="2" t="inlineStr">
        <is>
          <t>松散-标准松散</t>
        </is>
      </c>
      <c r="P717" s="2" t="inlineStr">
        <is>
          <t>松散-偏紧松散</t>
        </is>
      </c>
      <c r="Q717" s="2" t="inlineStr">
        <is>
          <t>标准-偏松标准</t>
        </is>
      </c>
      <c r="R717" s="2" t="inlineStr">
        <is>
          <t>标准-核心标准</t>
        </is>
      </c>
      <c r="S717" s="2" t="inlineStr">
        <is>
          <t>标准-偏紧标准</t>
        </is>
      </c>
      <c r="T717" s="2" t="inlineStr">
        <is>
          <t>紧凑-标准紧凑</t>
        </is>
      </c>
      <c r="U717" s="2" t="inlineStr">
        <is>
          <t>紧凑-高度紧凑</t>
        </is>
      </c>
      <c r="V717" s="2" t="inlineStr">
        <is>
          <t>紧凑-极度紧凑</t>
        </is>
      </c>
    </row>
    <row r="718">
      <c r="A718" s="1" t="n">
        <v>2024285</v>
      </c>
      <c r="B718" s="3" t="inlineStr">
        <is>
          <t>347</t>
        </is>
      </c>
      <c r="C718" s="2">
        <f>IF(B718="","",LEFT(TEXT(B718,"000"),1)*1)</f>
        <v/>
      </c>
      <c r="D718" s="2">
        <f>IF(B718="","",MID(TEXT(B718,"000"),2,1)*1)</f>
        <v/>
      </c>
      <c r="E718" s="2">
        <f>IF(B718="","",RIGHT(TEXT(B718,"000"),1)*1)</f>
        <v/>
      </c>
      <c r="F718" s="2">
        <f>IF(B718="","",C718+D718+E718)</f>
        <v/>
      </c>
      <c r="G718" s="2">
        <f>IF(B718="","",MOD(F718,10))</f>
        <v/>
      </c>
      <c r="H718" s="2">
        <f>IF(B718="","",MAX(C718,D718,E718)-MIN(C718,D718,E718))</f>
        <v/>
      </c>
      <c r="I718" s="2">
        <f>IF(OR(B718="",H718=0),IF(H718=0,0.1,""),ROUND(F718/H718,2))</f>
        <v/>
      </c>
      <c r="J718" s="2">
        <f>IF(I718=0.1,"极紧凑",IF(I718&gt;3.5,"紧凑",IF(AND(I718&gt;=2,I718&lt;=3.5),"标准",IF(AND(I718&gt;=1,I718&lt;2),"松散",""))))</f>
        <v/>
      </c>
      <c r="K718" s="2">
        <f>IF(I718=0.1,"极紧凑-豹子号",IF(AND(I718&gt;=1,I718&lt;=1.29),"松散-极松散",IF(AND(I718&gt;=1.33,I718&lt;=1.8),"松散-标准松散",IF(AND(I718&gt;=1.83,I718&lt;=1.89),"松散-偏紧松散",IF(AND(I718&gt;=2,I718&lt;=2.5),"标准-偏松标准",IF(AND(I718&gt;=2.57,I718&lt;=3),"标准-核心标准",IF(AND(I718&gt;=3.17,I718&lt;=3.5),"标准-偏紧标准",IF(AND(I718&gt;=3.6,I718&lt;=5),"紧凑-标准紧凑",IF(AND(I718&gt;=5.25,I718&lt;=8),"紧凑-高度紧凑",IF(I718&gt;=8.5,"紧凑-极度紧凑",""))))))))))</f>
        <v/>
      </c>
      <c r="L718" s="2">
        <f>IF(I718=0.1,"极紧凑",IF(AND(I718&gt;=1,I718&lt;=1.89),"松散",IF(AND(I718&gt;=2,I718&lt;=3.5),"标准",IF(I718&gt;=3.6,"紧凑",""))))</f>
        <v/>
      </c>
      <c r="M718" s="2" t="inlineStr">
        <is>
          <t>极紧凑-豹子号</t>
        </is>
      </c>
      <c r="N718" s="2" t="inlineStr">
        <is>
          <t>松散-极松散</t>
        </is>
      </c>
      <c r="O718" s="2" t="inlineStr">
        <is>
          <t>松散-标准松散</t>
        </is>
      </c>
      <c r="P718" s="2" t="inlineStr">
        <is>
          <t>松散-偏紧松散</t>
        </is>
      </c>
      <c r="Q718" s="2" t="inlineStr">
        <is>
          <t>标准-偏松标准</t>
        </is>
      </c>
      <c r="R718" s="2" t="inlineStr">
        <is>
          <t>标准-核心标准</t>
        </is>
      </c>
      <c r="S718" s="2" t="inlineStr">
        <is>
          <t>标准-偏紧标准</t>
        </is>
      </c>
      <c r="T718" s="2" t="inlineStr">
        <is>
          <t>紧凑-标准紧凑</t>
        </is>
      </c>
      <c r="U718" s="2" t="inlineStr">
        <is>
          <t>紧凑-高度紧凑</t>
        </is>
      </c>
      <c r="V718" s="2" t="inlineStr">
        <is>
          <t>紧凑-极度紧凑</t>
        </is>
      </c>
    </row>
    <row r="719">
      <c r="A719" s="1" t="n">
        <v>2024286</v>
      </c>
      <c r="B719" s="3" t="inlineStr">
        <is>
          <t>156</t>
        </is>
      </c>
      <c r="C719" s="2">
        <f>IF(B719="","",LEFT(TEXT(B719,"000"),1)*1)</f>
        <v/>
      </c>
      <c r="D719" s="2">
        <f>IF(B719="","",MID(TEXT(B719,"000"),2,1)*1)</f>
        <v/>
      </c>
      <c r="E719" s="2">
        <f>IF(B719="","",RIGHT(TEXT(B719,"000"),1)*1)</f>
        <v/>
      </c>
      <c r="F719" s="2">
        <f>IF(B719="","",C719+D719+E719)</f>
        <v/>
      </c>
      <c r="G719" s="2">
        <f>IF(B719="","",MOD(F719,10))</f>
        <v/>
      </c>
      <c r="H719" s="2">
        <f>IF(B719="","",MAX(C719,D719,E719)-MIN(C719,D719,E719))</f>
        <v/>
      </c>
      <c r="I719" s="2">
        <f>IF(OR(B719="",H719=0),IF(H719=0,0.1,""),ROUND(F719/H719,2))</f>
        <v/>
      </c>
      <c r="J719" s="2">
        <f>IF(I719=0.1,"极紧凑",IF(I719&gt;3.5,"紧凑",IF(AND(I719&gt;=2,I719&lt;=3.5),"标准",IF(AND(I719&gt;=1,I719&lt;2),"松散",""))))</f>
        <v/>
      </c>
      <c r="K719" s="2">
        <f>IF(I719=0.1,"极紧凑-豹子号",IF(AND(I719&gt;=1,I719&lt;=1.29),"松散-极松散",IF(AND(I719&gt;=1.33,I719&lt;=1.8),"松散-标准松散",IF(AND(I719&gt;=1.83,I719&lt;=1.89),"松散-偏紧松散",IF(AND(I719&gt;=2,I719&lt;=2.5),"标准-偏松标准",IF(AND(I719&gt;=2.57,I719&lt;=3),"标准-核心标准",IF(AND(I719&gt;=3.17,I719&lt;=3.5),"标准-偏紧标准",IF(AND(I719&gt;=3.6,I719&lt;=5),"紧凑-标准紧凑",IF(AND(I719&gt;=5.25,I719&lt;=8),"紧凑-高度紧凑",IF(I719&gt;=8.5,"紧凑-极度紧凑",""))))))))))</f>
        <v/>
      </c>
      <c r="L719" s="2">
        <f>IF(I719=0.1,"极紧凑",IF(AND(I719&gt;=1,I719&lt;=1.89),"松散",IF(AND(I719&gt;=2,I719&lt;=3.5),"标准",IF(I719&gt;=3.6,"紧凑",""))))</f>
        <v/>
      </c>
      <c r="M719" s="2" t="inlineStr">
        <is>
          <t>极紧凑-豹子号</t>
        </is>
      </c>
      <c r="N719" s="2" t="inlineStr">
        <is>
          <t>松散-极松散</t>
        </is>
      </c>
      <c r="O719" s="2" t="inlineStr">
        <is>
          <t>松散-标准松散</t>
        </is>
      </c>
      <c r="P719" s="2" t="inlineStr">
        <is>
          <t>松散-偏紧松散</t>
        </is>
      </c>
      <c r="Q719" s="2" t="inlineStr">
        <is>
          <t>标准-偏松标准</t>
        </is>
      </c>
      <c r="R719" s="2" t="inlineStr">
        <is>
          <t>标准-核心标准</t>
        </is>
      </c>
      <c r="S719" s="2" t="inlineStr">
        <is>
          <t>标准-偏紧标准</t>
        </is>
      </c>
      <c r="T719" s="2" t="inlineStr">
        <is>
          <t>紧凑-标准紧凑</t>
        </is>
      </c>
      <c r="U719" s="2" t="inlineStr">
        <is>
          <t>紧凑-高度紧凑</t>
        </is>
      </c>
      <c r="V719" s="2" t="inlineStr">
        <is>
          <t>紧凑-极度紧凑</t>
        </is>
      </c>
    </row>
    <row r="720">
      <c r="A720" s="1" t="n">
        <v>2024287</v>
      </c>
      <c r="B720" s="3" t="inlineStr">
        <is>
          <t>945</t>
        </is>
      </c>
      <c r="C720" s="2">
        <f>IF(B720="","",LEFT(TEXT(B720,"000"),1)*1)</f>
        <v/>
      </c>
      <c r="D720" s="2">
        <f>IF(B720="","",MID(TEXT(B720,"000"),2,1)*1)</f>
        <v/>
      </c>
      <c r="E720" s="2">
        <f>IF(B720="","",RIGHT(TEXT(B720,"000"),1)*1)</f>
        <v/>
      </c>
      <c r="F720" s="2">
        <f>IF(B720="","",C720+D720+E720)</f>
        <v/>
      </c>
      <c r="G720" s="2">
        <f>IF(B720="","",MOD(F720,10))</f>
        <v/>
      </c>
      <c r="H720" s="2">
        <f>IF(B720="","",MAX(C720,D720,E720)-MIN(C720,D720,E720))</f>
        <v/>
      </c>
      <c r="I720" s="2">
        <f>IF(OR(B720="",H720=0),IF(H720=0,0.1,""),ROUND(F720/H720,2))</f>
        <v/>
      </c>
      <c r="J720" s="2">
        <f>IF(I720=0.1,"极紧凑",IF(I720&gt;3.5,"紧凑",IF(AND(I720&gt;=2,I720&lt;=3.5),"标准",IF(AND(I720&gt;=1,I720&lt;2),"松散",""))))</f>
        <v/>
      </c>
      <c r="K720" s="2">
        <f>IF(I720=0.1,"极紧凑-豹子号",IF(AND(I720&gt;=1,I720&lt;=1.29),"松散-极松散",IF(AND(I720&gt;=1.33,I720&lt;=1.8),"松散-标准松散",IF(AND(I720&gt;=1.83,I720&lt;=1.89),"松散-偏紧松散",IF(AND(I720&gt;=2,I720&lt;=2.5),"标准-偏松标准",IF(AND(I720&gt;=2.57,I720&lt;=3),"标准-核心标准",IF(AND(I720&gt;=3.17,I720&lt;=3.5),"标准-偏紧标准",IF(AND(I720&gt;=3.6,I720&lt;=5),"紧凑-标准紧凑",IF(AND(I720&gt;=5.25,I720&lt;=8),"紧凑-高度紧凑",IF(I720&gt;=8.5,"紧凑-极度紧凑",""))))))))))</f>
        <v/>
      </c>
      <c r="L720" s="2">
        <f>IF(I720=0.1,"极紧凑",IF(AND(I720&gt;=1,I720&lt;=1.89),"松散",IF(AND(I720&gt;=2,I720&lt;=3.5),"标准",IF(I720&gt;=3.6,"紧凑",""))))</f>
        <v/>
      </c>
      <c r="M720" s="2" t="inlineStr">
        <is>
          <t>极紧凑-豹子号</t>
        </is>
      </c>
      <c r="N720" s="2" t="inlineStr">
        <is>
          <t>松散-极松散</t>
        </is>
      </c>
      <c r="O720" s="2" t="inlineStr">
        <is>
          <t>松散-标准松散</t>
        </is>
      </c>
      <c r="P720" s="2" t="inlineStr">
        <is>
          <t>松散-偏紧松散</t>
        </is>
      </c>
      <c r="Q720" s="2" t="inlineStr">
        <is>
          <t>标准-偏松标准</t>
        </is>
      </c>
      <c r="R720" s="2" t="inlineStr">
        <is>
          <t>标准-核心标准</t>
        </is>
      </c>
      <c r="S720" s="2" t="inlineStr">
        <is>
          <t>标准-偏紧标准</t>
        </is>
      </c>
      <c r="T720" s="2" t="inlineStr">
        <is>
          <t>紧凑-标准紧凑</t>
        </is>
      </c>
      <c r="U720" s="2" t="inlineStr">
        <is>
          <t>紧凑-高度紧凑</t>
        </is>
      </c>
      <c r="V720" s="2" t="inlineStr">
        <is>
          <t>紧凑-极度紧凑</t>
        </is>
      </c>
    </row>
    <row r="721">
      <c r="A721" s="1" t="n">
        <v>2024288</v>
      </c>
      <c r="B721" s="3" t="inlineStr">
        <is>
          <t>810</t>
        </is>
      </c>
      <c r="C721" s="2">
        <f>IF(B721="","",LEFT(TEXT(B721,"000"),1)*1)</f>
        <v/>
      </c>
      <c r="D721" s="2">
        <f>IF(B721="","",MID(TEXT(B721,"000"),2,1)*1)</f>
        <v/>
      </c>
      <c r="E721" s="2">
        <f>IF(B721="","",RIGHT(TEXT(B721,"000"),1)*1)</f>
        <v/>
      </c>
      <c r="F721" s="2">
        <f>IF(B721="","",C721+D721+E721)</f>
        <v/>
      </c>
      <c r="G721" s="2">
        <f>IF(B721="","",MOD(F721,10))</f>
        <v/>
      </c>
      <c r="H721" s="2">
        <f>IF(B721="","",MAX(C721,D721,E721)-MIN(C721,D721,E721))</f>
        <v/>
      </c>
      <c r="I721" s="2">
        <f>IF(OR(B721="",H721=0),IF(H721=0,0.1,""),ROUND(F721/H721,2))</f>
        <v/>
      </c>
      <c r="J721" s="2">
        <f>IF(I721=0.1,"极紧凑",IF(I721&gt;3.5,"紧凑",IF(AND(I721&gt;=2,I721&lt;=3.5),"标准",IF(AND(I721&gt;=1,I721&lt;2),"松散",""))))</f>
        <v/>
      </c>
      <c r="K721" s="2">
        <f>IF(I721=0.1,"极紧凑-豹子号",IF(AND(I721&gt;=1,I721&lt;=1.29),"松散-极松散",IF(AND(I721&gt;=1.33,I721&lt;=1.8),"松散-标准松散",IF(AND(I721&gt;=1.83,I721&lt;=1.89),"松散-偏紧松散",IF(AND(I721&gt;=2,I721&lt;=2.5),"标准-偏松标准",IF(AND(I721&gt;=2.57,I721&lt;=3),"标准-核心标准",IF(AND(I721&gt;=3.17,I721&lt;=3.5),"标准-偏紧标准",IF(AND(I721&gt;=3.6,I721&lt;=5),"紧凑-标准紧凑",IF(AND(I721&gt;=5.25,I721&lt;=8),"紧凑-高度紧凑",IF(I721&gt;=8.5,"紧凑-极度紧凑",""))))))))))</f>
        <v/>
      </c>
      <c r="L721" s="2">
        <f>IF(I721=0.1,"极紧凑",IF(AND(I721&gt;=1,I721&lt;=1.89),"松散",IF(AND(I721&gt;=2,I721&lt;=3.5),"标准",IF(I721&gt;=3.6,"紧凑",""))))</f>
        <v/>
      </c>
      <c r="M721" s="2" t="inlineStr">
        <is>
          <t>极紧凑-豹子号</t>
        </is>
      </c>
      <c r="N721" s="2" t="inlineStr">
        <is>
          <t>松散-极松散</t>
        </is>
      </c>
      <c r="O721" s="2" t="inlineStr">
        <is>
          <t>松散-标准松散</t>
        </is>
      </c>
      <c r="P721" s="2" t="inlineStr">
        <is>
          <t>松散-偏紧松散</t>
        </is>
      </c>
      <c r="Q721" s="2" t="inlineStr">
        <is>
          <t>标准-偏松标准</t>
        </is>
      </c>
      <c r="R721" s="2" t="inlineStr">
        <is>
          <t>标准-核心标准</t>
        </is>
      </c>
      <c r="S721" s="2" t="inlineStr">
        <is>
          <t>标准-偏紧标准</t>
        </is>
      </c>
      <c r="T721" s="2" t="inlineStr">
        <is>
          <t>紧凑-标准紧凑</t>
        </is>
      </c>
      <c r="U721" s="2" t="inlineStr">
        <is>
          <t>紧凑-高度紧凑</t>
        </is>
      </c>
      <c r="V721" s="2" t="inlineStr">
        <is>
          <t>紧凑-极度紧凑</t>
        </is>
      </c>
    </row>
    <row r="722">
      <c r="A722" s="1" t="n">
        <v>2024289</v>
      </c>
      <c r="B722" s="3" t="inlineStr">
        <is>
          <t>006</t>
        </is>
      </c>
      <c r="C722" s="2">
        <f>IF(B722="","",LEFT(TEXT(B722,"000"),1)*1)</f>
        <v/>
      </c>
      <c r="D722" s="2">
        <f>IF(B722="","",MID(TEXT(B722,"000"),2,1)*1)</f>
        <v/>
      </c>
      <c r="E722" s="2">
        <f>IF(B722="","",RIGHT(TEXT(B722,"000"),1)*1)</f>
        <v/>
      </c>
      <c r="F722" s="2">
        <f>IF(B722="","",C722+D722+E722)</f>
        <v/>
      </c>
      <c r="G722" s="2">
        <f>IF(B722="","",MOD(F722,10))</f>
        <v/>
      </c>
      <c r="H722" s="2">
        <f>IF(B722="","",MAX(C722,D722,E722)-MIN(C722,D722,E722))</f>
        <v/>
      </c>
      <c r="I722" s="2">
        <f>IF(OR(B722="",H722=0),IF(H722=0,0.1,""),ROUND(F722/H722,2))</f>
        <v/>
      </c>
      <c r="J722" s="2">
        <f>IF(I722=0.1,"极紧凑",IF(I722&gt;3.5,"紧凑",IF(AND(I722&gt;=2,I722&lt;=3.5),"标准",IF(AND(I722&gt;=1,I722&lt;2),"松散",""))))</f>
        <v/>
      </c>
      <c r="K722" s="2">
        <f>IF(I722=0.1,"极紧凑-豹子号",IF(AND(I722&gt;=1,I722&lt;=1.29),"松散-极松散",IF(AND(I722&gt;=1.33,I722&lt;=1.8),"松散-标准松散",IF(AND(I722&gt;=1.83,I722&lt;=1.89),"松散-偏紧松散",IF(AND(I722&gt;=2,I722&lt;=2.5),"标准-偏松标准",IF(AND(I722&gt;=2.57,I722&lt;=3),"标准-核心标准",IF(AND(I722&gt;=3.17,I722&lt;=3.5),"标准-偏紧标准",IF(AND(I722&gt;=3.6,I722&lt;=5),"紧凑-标准紧凑",IF(AND(I722&gt;=5.25,I722&lt;=8),"紧凑-高度紧凑",IF(I722&gt;=8.5,"紧凑-极度紧凑",""))))))))))</f>
        <v/>
      </c>
      <c r="L722" s="2">
        <f>IF(I722=0.1,"极紧凑",IF(AND(I722&gt;=1,I722&lt;=1.89),"松散",IF(AND(I722&gt;=2,I722&lt;=3.5),"标准",IF(I722&gt;=3.6,"紧凑",""))))</f>
        <v/>
      </c>
      <c r="M722" s="2" t="inlineStr">
        <is>
          <t>极紧凑-豹子号</t>
        </is>
      </c>
      <c r="N722" s="2" t="inlineStr">
        <is>
          <t>松散-极松散</t>
        </is>
      </c>
      <c r="O722" s="2" t="inlineStr">
        <is>
          <t>松散-标准松散</t>
        </is>
      </c>
      <c r="P722" s="2" t="inlineStr">
        <is>
          <t>松散-偏紧松散</t>
        </is>
      </c>
      <c r="Q722" s="2" t="inlineStr">
        <is>
          <t>标准-偏松标准</t>
        </is>
      </c>
      <c r="R722" s="2" t="inlineStr">
        <is>
          <t>标准-核心标准</t>
        </is>
      </c>
      <c r="S722" s="2" t="inlineStr">
        <is>
          <t>标准-偏紧标准</t>
        </is>
      </c>
      <c r="T722" s="2" t="inlineStr">
        <is>
          <t>紧凑-标准紧凑</t>
        </is>
      </c>
      <c r="U722" s="2" t="inlineStr">
        <is>
          <t>紧凑-高度紧凑</t>
        </is>
      </c>
      <c r="V722" s="2" t="inlineStr">
        <is>
          <t>紧凑-极度紧凑</t>
        </is>
      </c>
    </row>
    <row r="723">
      <c r="A723" s="1" t="n">
        <v>2024290</v>
      </c>
      <c r="B723" s="3" t="inlineStr">
        <is>
          <t>004</t>
        </is>
      </c>
      <c r="C723" s="2">
        <f>IF(B723="","",LEFT(TEXT(B723,"000"),1)*1)</f>
        <v/>
      </c>
      <c r="D723" s="2">
        <f>IF(B723="","",MID(TEXT(B723,"000"),2,1)*1)</f>
        <v/>
      </c>
      <c r="E723" s="2">
        <f>IF(B723="","",RIGHT(TEXT(B723,"000"),1)*1)</f>
        <v/>
      </c>
      <c r="F723" s="2">
        <f>IF(B723="","",C723+D723+E723)</f>
        <v/>
      </c>
      <c r="G723" s="2">
        <f>IF(B723="","",MOD(F723,10))</f>
        <v/>
      </c>
      <c r="H723" s="2">
        <f>IF(B723="","",MAX(C723,D723,E723)-MIN(C723,D723,E723))</f>
        <v/>
      </c>
      <c r="I723" s="2">
        <f>IF(OR(B723="",H723=0),IF(H723=0,0.1,""),ROUND(F723/H723,2))</f>
        <v/>
      </c>
      <c r="J723" s="2">
        <f>IF(I723=0.1,"极紧凑",IF(I723&gt;3.5,"紧凑",IF(AND(I723&gt;=2,I723&lt;=3.5),"标准",IF(AND(I723&gt;=1,I723&lt;2),"松散",""))))</f>
        <v/>
      </c>
      <c r="K723" s="2">
        <f>IF(I723=0.1,"极紧凑-豹子号",IF(AND(I723&gt;=1,I723&lt;=1.29),"松散-极松散",IF(AND(I723&gt;=1.33,I723&lt;=1.8),"松散-标准松散",IF(AND(I723&gt;=1.83,I723&lt;=1.89),"松散-偏紧松散",IF(AND(I723&gt;=2,I723&lt;=2.5),"标准-偏松标准",IF(AND(I723&gt;=2.57,I723&lt;=3),"标准-核心标准",IF(AND(I723&gt;=3.17,I723&lt;=3.5),"标准-偏紧标准",IF(AND(I723&gt;=3.6,I723&lt;=5),"紧凑-标准紧凑",IF(AND(I723&gt;=5.25,I723&lt;=8),"紧凑-高度紧凑",IF(I723&gt;=8.5,"紧凑-极度紧凑",""))))))))))</f>
        <v/>
      </c>
      <c r="L723" s="2">
        <f>IF(I723=0.1,"极紧凑",IF(AND(I723&gt;=1,I723&lt;=1.89),"松散",IF(AND(I723&gt;=2,I723&lt;=3.5),"标准",IF(I723&gt;=3.6,"紧凑",""))))</f>
        <v/>
      </c>
      <c r="M723" s="2" t="inlineStr">
        <is>
          <t>极紧凑-豹子号</t>
        </is>
      </c>
      <c r="N723" s="2" t="inlineStr">
        <is>
          <t>松散-极松散</t>
        </is>
      </c>
      <c r="O723" s="2" t="inlineStr">
        <is>
          <t>松散-标准松散</t>
        </is>
      </c>
      <c r="P723" s="2" t="inlineStr">
        <is>
          <t>松散-偏紧松散</t>
        </is>
      </c>
      <c r="Q723" s="2" t="inlineStr">
        <is>
          <t>标准-偏松标准</t>
        </is>
      </c>
      <c r="R723" s="2" t="inlineStr">
        <is>
          <t>标准-核心标准</t>
        </is>
      </c>
      <c r="S723" s="2" t="inlineStr">
        <is>
          <t>标准-偏紧标准</t>
        </is>
      </c>
      <c r="T723" s="2" t="inlineStr">
        <is>
          <t>紧凑-标准紧凑</t>
        </is>
      </c>
      <c r="U723" s="2" t="inlineStr">
        <is>
          <t>紧凑-高度紧凑</t>
        </is>
      </c>
      <c r="V723" s="2" t="inlineStr">
        <is>
          <t>紧凑-极度紧凑</t>
        </is>
      </c>
    </row>
    <row r="724">
      <c r="A724" s="1" t="n">
        <v>2024291</v>
      </c>
      <c r="B724" s="3" t="inlineStr">
        <is>
          <t>340</t>
        </is>
      </c>
      <c r="C724" s="2">
        <f>IF(B724="","",LEFT(TEXT(B724,"000"),1)*1)</f>
        <v/>
      </c>
      <c r="D724" s="2">
        <f>IF(B724="","",MID(TEXT(B724,"000"),2,1)*1)</f>
        <v/>
      </c>
      <c r="E724" s="2">
        <f>IF(B724="","",RIGHT(TEXT(B724,"000"),1)*1)</f>
        <v/>
      </c>
      <c r="F724" s="2">
        <f>IF(B724="","",C724+D724+E724)</f>
        <v/>
      </c>
      <c r="G724" s="2">
        <f>IF(B724="","",MOD(F724,10))</f>
        <v/>
      </c>
      <c r="H724" s="2">
        <f>IF(B724="","",MAX(C724,D724,E724)-MIN(C724,D724,E724))</f>
        <v/>
      </c>
      <c r="I724" s="2">
        <f>IF(OR(B724="",H724=0),IF(H724=0,0.1,""),ROUND(F724/H724,2))</f>
        <v/>
      </c>
      <c r="J724" s="2">
        <f>IF(I724=0.1,"极紧凑",IF(I724&gt;3.5,"紧凑",IF(AND(I724&gt;=2,I724&lt;=3.5),"标准",IF(AND(I724&gt;=1,I724&lt;2),"松散",""))))</f>
        <v/>
      </c>
      <c r="K724" s="2">
        <f>IF(I724=0.1,"极紧凑-豹子号",IF(AND(I724&gt;=1,I724&lt;=1.29),"松散-极松散",IF(AND(I724&gt;=1.33,I724&lt;=1.8),"松散-标准松散",IF(AND(I724&gt;=1.83,I724&lt;=1.89),"松散-偏紧松散",IF(AND(I724&gt;=2,I724&lt;=2.5),"标准-偏松标准",IF(AND(I724&gt;=2.57,I724&lt;=3),"标准-核心标准",IF(AND(I724&gt;=3.17,I724&lt;=3.5),"标准-偏紧标准",IF(AND(I724&gt;=3.6,I724&lt;=5),"紧凑-标准紧凑",IF(AND(I724&gt;=5.25,I724&lt;=8),"紧凑-高度紧凑",IF(I724&gt;=8.5,"紧凑-极度紧凑",""))))))))))</f>
        <v/>
      </c>
      <c r="L724" s="2">
        <f>IF(I724=0.1,"极紧凑",IF(AND(I724&gt;=1,I724&lt;=1.89),"松散",IF(AND(I724&gt;=2,I724&lt;=3.5),"标准",IF(I724&gt;=3.6,"紧凑",""))))</f>
        <v/>
      </c>
      <c r="M724" s="2" t="inlineStr">
        <is>
          <t>极紧凑-豹子号</t>
        </is>
      </c>
      <c r="N724" s="2" t="inlineStr">
        <is>
          <t>松散-极松散</t>
        </is>
      </c>
      <c r="O724" s="2" t="inlineStr">
        <is>
          <t>松散-标准松散</t>
        </is>
      </c>
      <c r="P724" s="2" t="inlineStr">
        <is>
          <t>松散-偏紧松散</t>
        </is>
      </c>
      <c r="Q724" s="2" t="inlineStr">
        <is>
          <t>标准-偏松标准</t>
        </is>
      </c>
      <c r="R724" s="2" t="inlineStr">
        <is>
          <t>标准-核心标准</t>
        </is>
      </c>
      <c r="S724" s="2" t="inlineStr">
        <is>
          <t>标准-偏紧标准</t>
        </is>
      </c>
      <c r="T724" s="2" t="inlineStr">
        <is>
          <t>紧凑-标准紧凑</t>
        </is>
      </c>
      <c r="U724" s="2" t="inlineStr">
        <is>
          <t>紧凑-高度紧凑</t>
        </is>
      </c>
      <c r="V724" s="2" t="inlineStr">
        <is>
          <t>紧凑-极度紧凑</t>
        </is>
      </c>
    </row>
    <row r="725">
      <c r="A725" s="1" t="n">
        <v>2024292</v>
      </c>
      <c r="B725" s="3" t="inlineStr">
        <is>
          <t>030</t>
        </is>
      </c>
      <c r="C725" s="2">
        <f>IF(B725="","",LEFT(TEXT(B725,"000"),1)*1)</f>
        <v/>
      </c>
      <c r="D725" s="2">
        <f>IF(B725="","",MID(TEXT(B725,"000"),2,1)*1)</f>
        <v/>
      </c>
      <c r="E725" s="2">
        <f>IF(B725="","",RIGHT(TEXT(B725,"000"),1)*1)</f>
        <v/>
      </c>
      <c r="F725" s="2">
        <f>IF(B725="","",C725+D725+E725)</f>
        <v/>
      </c>
      <c r="G725" s="2">
        <f>IF(B725="","",MOD(F725,10))</f>
        <v/>
      </c>
      <c r="H725" s="2">
        <f>IF(B725="","",MAX(C725,D725,E725)-MIN(C725,D725,E725))</f>
        <v/>
      </c>
      <c r="I725" s="2">
        <f>IF(OR(B725="",H725=0),IF(H725=0,0.1,""),ROUND(F725/H725,2))</f>
        <v/>
      </c>
      <c r="J725" s="2">
        <f>IF(I725=0.1,"极紧凑",IF(I725&gt;3.5,"紧凑",IF(AND(I725&gt;=2,I725&lt;=3.5),"标准",IF(AND(I725&gt;=1,I725&lt;2),"松散",""))))</f>
        <v/>
      </c>
      <c r="K725" s="2">
        <f>IF(I725=0.1,"极紧凑-豹子号",IF(AND(I725&gt;=1,I725&lt;=1.29),"松散-极松散",IF(AND(I725&gt;=1.33,I725&lt;=1.8),"松散-标准松散",IF(AND(I725&gt;=1.83,I725&lt;=1.89),"松散-偏紧松散",IF(AND(I725&gt;=2,I725&lt;=2.5),"标准-偏松标准",IF(AND(I725&gt;=2.57,I725&lt;=3),"标准-核心标准",IF(AND(I725&gt;=3.17,I725&lt;=3.5),"标准-偏紧标准",IF(AND(I725&gt;=3.6,I725&lt;=5),"紧凑-标准紧凑",IF(AND(I725&gt;=5.25,I725&lt;=8),"紧凑-高度紧凑",IF(I725&gt;=8.5,"紧凑-极度紧凑",""))))))))))</f>
        <v/>
      </c>
      <c r="L725" s="2">
        <f>IF(I725=0.1,"极紧凑",IF(AND(I725&gt;=1,I725&lt;=1.89),"松散",IF(AND(I725&gt;=2,I725&lt;=3.5),"标准",IF(I725&gt;=3.6,"紧凑",""))))</f>
        <v/>
      </c>
      <c r="M725" s="2" t="inlineStr">
        <is>
          <t>极紧凑-豹子号</t>
        </is>
      </c>
      <c r="N725" s="2" t="inlineStr">
        <is>
          <t>松散-极松散</t>
        </is>
      </c>
      <c r="O725" s="2" t="inlineStr">
        <is>
          <t>松散-标准松散</t>
        </is>
      </c>
      <c r="P725" s="2" t="inlineStr">
        <is>
          <t>松散-偏紧松散</t>
        </is>
      </c>
      <c r="Q725" s="2" t="inlineStr">
        <is>
          <t>标准-偏松标准</t>
        </is>
      </c>
      <c r="R725" s="2" t="inlineStr">
        <is>
          <t>标准-核心标准</t>
        </is>
      </c>
      <c r="S725" s="2" t="inlineStr">
        <is>
          <t>标准-偏紧标准</t>
        </is>
      </c>
      <c r="T725" s="2" t="inlineStr">
        <is>
          <t>紧凑-标准紧凑</t>
        </is>
      </c>
      <c r="U725" s="2" t="inlineStr">
        <is>
          <t>紧凑-高度紧凑</t>
        </is>
      </c>
      <c r="V725" s="2" t="inlineStr">
        <is>
          <t>紧凑-极度紧凑</t>
        </is>
      </c>
    </row>
    <row r="726">
      <c r="A726" s="1" t="n">
        <v>2024293</v>
      </c>
      <c r="B726" s="3" t="inlineStr">
        <is>
          <t>044</t>
        </is>
      </c>
      <c r="C726" s="2">
        <f>IF(B726="","",LEFT(TEXT(B726,"000"),1)*1)</f>
        <v/>
      </c>
      <c r="D726" s="2">
        <f>IF(B726="","",MID(TEXT(B726,"000"),2,1)*1)</f>
        <v/>
      </c>
      <c r="E726" s="2">
        <f>IF(B726="","",RIGHT(TEXT(B726,"000"),1)*1)</f>
        <v/>
      </c>
      <c r="F726" s="2">
        <f>IF(B726="","",C726+D726+E726)</f>
        <v/>
      </c>
      <c r="G726" s="2">
        <f>IF(B726="","",MOD(F726,10))</f>
        <v/>
      </c>
      <c r="H726" s="2">
        <f>IF(B726="","",MAX(C726,D726,E726)-MIN(C726,D726,E726))</f>
        <v/>
      </c>
      <c r="I726" s="2">
        <f>IF(OR(B726="",H726=0),IF(H726=0,0.1,""),ROUND(F726/H726,2))</f>
        <v/>
      </c>
      <c r="J726" s="2">
        <f>IF(I726=0.1,"极紧凑",IF(I726&gt;3.5,"紧凑",IF(AND(I726&gt;=2,I726&lt;=3.5),"标准",IF(AND(I726&gt;=1,I726&lt;2),"松散",""))))</f>
        <v/>
      </c>
      <c r="K726" s="2">
        <f>IF(I726=0.1,"极紧凑-豹子号",IF(AND(I726&gt;=1,I726&lt;=1.29),"松散-极松散",IF(AND(I726&gt;=1.33,I726&lt;=1.8),"松散-标准松散",IF(AND(I726&gt;=1.83,I726&lt;=1.89),"松散-偏紧松散",IF(AND(I726&gt;=2,I726&lt;=2.5),"标准-偏松标准",IF(AND(I726&gt;=2.57,I726&lt;=3),"标准-核心标准",IF(AND(I726&gt;=3.17,I726&lt;=3.5),"标准-偏紧标准",IF(AND(I726&gt;=3.6,I726&lt;=5),"紧凑-标准紧凑",IF(AND(I726&gt;=5.25,I726&lt;=8),"紧凑-高度紧凑",IF(I726&gt;=8.5,"紧凑-极度紧凑",""))))))))))</f>
        <v/>
      </c>
      <c r="L726" s="2">
        <f>IF(I726=0.1,"极紧凑",IF(AND(I726&gt;=1,I726&lt;=1.89),"松散",IF(AND(I726&gt;=2,I726&lt;=3.5),"标准",IF(I726&gt;=3.6,"紧凑",""))))</f>
        <v/>
      </c>
      <c r="M726" s="2" t="inlineStr">
        <is>
          <t>极紧凑-豹子号</t>
        </is>
      </c>
      <c r="N726" s="2" t="inlineStr">
        <is>
          <t>松散-极松散</t>
        </is>
      </c>
      <c r="O726" s="2" t="inlineStr">
        <is>
          <t>松散-标准松散</t>
        </is>
      </c>
      <c r="P726" s="2" t="inlineStr">
        <is>
          <t>松散-偏紧松散</t>
        </is>
      </c>
      <c r="Q726" s="2" t="inlineStr">
        <is>
          <t>标准-偏松标准</t>
        </is>
      </c>
      <c r="R726" s="2" t="inlineStr">
        <is>
          <t>标准-核心标准</t>
        </is>
      </c>
      <c r="S726" s="2" t="inlineStr">
        <is>
          <t>标准-偏紧标准</t>
        </is>
      </c>
      <c r="T726" s="2" t="inlineStr">
        <is>
          <t>紧凑-标准紧凑</t>
        </is>
      </c>
      <c r="U726" s="2" t="inlineStr">
        <is>
          <t>紧凑-高度紧凑</t>
        </is>
      </c>
      <c r="V726" s="2" t="inlineStr">
        <is>
          <t>紧凑-极度紧凑</t>
        </is>
      </c>
    </row>
    <row r="727">
      <c r="A727" s="1" t="n">
        <v>2024294</v>
      </c>
      <c r="B727" s="3" t="inlineStr">
        <is>
          <t>701</t>
        </is>
      </c>
      <c r="C727" s="2">
        <f>IF(B727="","",LEFT(TEXT(B727,"000"),1)*1)</f>
        <v/>
      </c>
      <c r="D727" s="2">
        <f>IF(B727="","",MID(TEXT(B727,"000"),2,1)*1)</f>
        <v/>
      </c>
      <c r="E727" s="2">
        <f>IF(B727="","",RIGHT(TEXT(B727,"000"),1)*1)</f>
        <v/>
      </c>
      <c r="F727" s="2">
        <f>IF(B727="","",C727+D727+E727)</f>
        <v/>
      </c>
      <c r="G727" s="2">
        <f>IF(B727="","",MOD(F727,10))</f>
        <v/>
      </c>
      <c r="H727" s="2">
        <f>IF(B727="","",MAX(C727,D727,E727)-MIN(C727,D727,E727))</f>
        <v/>
      </c>
      <c r="I727" s="2">
        <f>IF(OR(B727="",H727=0),IF(H727=0,0.1,""),ROUND(F727/H727,2))</f>
        <v/>
      </c>
      <c r="J727" s="2">
        <f>IF(I727=0.1,"极紧凑",IF(I727&gt;3.5,"紧凑",IF(AND(I727&gt;=2,I727&lt;=3.5),"标准",IF(AND(I727&gt;=1,I727&lt;2),"松散",""))))</f>
        <v/>
      </c>
      <c r="K727" s="2">
        <f>IF(I727=0.1,"极紧凑-豹子号",IF(AND(I727&gt;=1,I727&lt;=1.29),"松散-极松散",IF(AND(I727&gt;=1.33,I727&lt;=1.8),"松散-标准松散",IF(AND(I727&gt;=1.83,I727&lt;=1.89),"松散-偏紧松散",IF(AND(I727&gt;=2,I727&lt;=2.5),"标准-偏松标准",IF(AND(I727&gt;=2.57,I727&lt;=3),"标准-核心标准",IF(AND(I727&gt;=3.17,I727&lt;=3.5),"标准-偏紧标准",IF(AND(I727&gt;=3.6,I727&lt;=5),"紧凑-标准紧凑",IF(AND(I727&gt;=5.25,I727&lt;=8),"紧凑-高度紧凑",IF(I727&gt;=8.5,"紧凑-极度紧凑",""))))))))))</f>
        <v/>
      </c>
      <c r="L727" s="2">
        <f>IF(I727=0.1,"极紧凑",IF(AND(I727&gt;=1,I727&lt;=1.89),"松散",IF(AND(I727&gt;=2,I727&lt;=3.5),"标准",IF(I727&gt;=3.6,"紧凑",""))))</f>
        <v/>
      </c>
      <c r="M727" s="2" t="inlineStr">
        <is>
          <t>极紧凑-豹子号</t>
        </is>
      </c>
      <c r="N727" s="2" t="inlineStr">
        <is>
          <t>松散-极松散</t>
        </is>
      </c>
      <c r="O727" s="2" t="inlineStr">
        <is>
          <t>松散-标准松散</t>
        </is>
      </c>
      <c r="P727" s="2" t="inlineStr">
        <is>
          <t>松散-偏紧松散</t>
        </is>
      </c>
      <c r="Q727" s="2" t="inlineStr">
        <is>
          <t>标准-偏松标准</t>
        </is>
      </c>
      <c r="R727" s="2" t="inlineStr">
        <is>
          <t>标准-核心标准</t>
        </is>
      </c>
      <c r="S727" s="2" t="inlineStr">
        <is>
          <t>标准-偏紧标准</t>
        </is>
      </c>
      <c r="T727" s="2" t="inlineStr">
        <is>
          <t>紧凑-标准紧凑</t>
        </is>
      </c>
      <c r="U727" s="2" t="inlineStr">
        <is>
          <t>紧凑-高度紧凑</t>
        </is>
      </c>
      <c r="V727" s="2" t="inlineStr">
        <is>
          <t>紧凑-极度紧凑</t>
        </is>
      </c>
    </row>
    <row r="728">
      <c r="A728" s="1" t="n">
        <v>2024295</v>
      </c>
      <c r="B728" s="3" t="inlineStr">
        <is>
          <t>552</t>
        </is>
      </c>
      <c r="C728" s="2">
        <f>IF(B728="","",LEFT(TEXT(B728,"000"),1)*1)</f>
        <v/>
      </c>
      <c r="D728" s="2">
        <f>IF(B728="","",MID(TEXT(B728,"000"),2,1)*1)</f>
        <v/>
      </c>
      <c r="E728" s="2">
        <f>IF(B728="","",RIGHT(TEXT(B728,"000"),1)*1)</f>
        <v/>
      </c>
      <c r="F728" s="2">
        <f>IF(B728="","",C728+D728+E728)</f>
        <v/>
      </c>
      <c r="G728" s="2">
        <f>IF(B728="","",MOD(F728,10))</f>
        <v/>
      </c>
      <c r="H728" s="2">
        <f>IF(B728="","",MAX(C728,D728,E728)-MIN(C728,D728,E728))</f>
        <v/>
      </c>
      <c r="I728" s="2">
        <f>IF(OR(B728="",H728=0),IF(H728=0,0.1,""),ROUND(F728/H728,2))</f>
        <v/>
      </c>
      <c r="J728" s="2">
        <f>IF(I728=0.1,"极紧凑",IF(I728&gt;3.5,"紧凑",IF(AND(I728&gt;=2,I728&lt;=3.5),"标准",IF(AND(I728&gt;=1,I728&lt;2),"松散",""))))</f>
        <v/>
      </c>
      <c r="K728" s="2">
        <f>IF(I728=0.1,"极紧凑-豹子号",IF(AND(I728&gt;=1,I728&lt;=1.29),"松散-极松散",IF(AND(I728&gt;=1.33,I728&lt;=1.8),"松散-标准松散",IF(AND(I728&gt;=1.83,I728&lt;=1.89),"松散-偏紧松散",IF(AND(I728&gt;=2,I728&lt;=2.5),"标准-偏松标准",IF(AND(I728&gt;=2.57,I728&lt;=3),"标准-核心标准",IF(AND(I728&gt;=3.17,I728&lt;=3.5),"标准-偏紧标准",IF(AND(I728&gt;=3.6,I728&lt;=5),"紧凑-标准紧凑",IF(AND(I728&gt;=5.25,I728&lt;=8),"紧凑-高度紧凑",IF(I728&gt;=8.5,"紧凑-极度紧凑",""))))))))))</f>
        <v/>
      </c>
      <c r="L728" s="2">
        <f>IF(I728=0.1,"极紧凑",IF(AND(I728&gt;=1,I728&lt;=1.89),"松散",IF(AND(I728&gt;=2,I728&lt;=3.5),"标准",IF(I728&gt;=3.6,"紧凑",""))))</f>
        <v/>
      </c>
      <c r="M728" s="2" t="inlineStr">
        <is>
          <t>极紧凑-豹子号</t>
        </is>
      </c>
      <c r="N728" s="2" t="inlineStr">
        <is>
          <t>松散-极松散</t>
        </is>
      </c>
      <c r="O728" s="2" t="inlineStr">
        <is>
          <t>松散-标准松散</t>
        </is>
      </c>
      <c r="P728" s="2" t="inlineStr">
        <is>
          <t>松散-偏紧松散</t>
        </is>
      </c>
      <c r="Q728" s="2" t="inlineStr">
        <is>
          <t>标准-偏松标准</t>
        </is>
      </c>
      <c r="R728" s="2" t="inlineStr">
        <is>
          <t>标准-核心标准</t>
        </is>
      </c>
      <c r="S728" s="2" t="inlineStr">
        <is>
          <t>标准-偏紧标准</t>
        </is>
      </c>
      <c r="T728" s="2" t="inlineStr">
        <is>
          <t>紧凑-标准紧凑</t>
        </is>
      </c>
      <c r="U728" s="2" t="inlineStr">
        <is>
          <t>紧凑-高度紧凑</t>
        </is>
      </c>
      <c r="V728" s="2" t="inlineStr">
        <is>
          <t>紧凑-极度紧凑</t>
        </is>
      </c>
    </row>
    <row r="729">
      <c r="A729" s="1" t="n">
        <v>2024296</v>
      </c>
      <c r="B729" s="3" t="inlineStr">
        <is>
          <t>898</t>
        </is>
      </c>
      <c r="C729" s="2">
        <f>IF(B729="","",LEFT(TEXT(B729,"000"),1)*1)</f>
        <v/>
      </c>
      <c r="D729" s="2">
        <f>IF(B729="","",MID(TEXT(B729,"000"),2,1)*1)</f>
        <v/>
      </c>
      <c r="E729" s="2">
        <f>IF(B729="","",RIGHT(TEXT(B729,"000"),1)*1)</f>
        <v/>
      </c>
      <c r="F729" s="2">
        <f>IF(B729="","",C729+D729+E729)</f>
        <v/>
      </c>
      <c r="G729" s="2">
        <f>IF(B729="","",MOD(F729,10))</f>
        <v/>
      </c>
      <c r="H729" s="2">
        <f>IF(B729="","",MAX(C729,D729,E729)-MIN(C729,D729,E729))</f>
        <v/>
      </c>
      <c r="I729" s="2">
        <f>IF(OR(B729="",H729=0),IF(H729=0,0.1,""),ROUND(F729/H729,2))</f>
        <v/>
      </c>
      <c r="J729" s="2">
        <f>IF(I729=0.1,"极紧凑",IF(I729&gt;3.5,"紧凑",IF(AND(I729&gt;=2,I729&lt;=3.5),"标准",IF(AND(I729&gt;=1,I729&lt;2),"松散",""))))</f>
        <v/>
      </c>
      <c r="K729" s="2">
        <f>IF(I729=0.1,"极紧凑-豹子号",IF(AND(I729&gt;=1,I729&lt;=1.29),"松散-极松散",IF(AND(I729&gt;=1.33,I729&lt;=1.8),"松散-标准松散",IF(AND(I729&gt;=1.83,I729&lt;=1.89),"松散-偏紧松散",IF(AND(I729&gt;=2,I729&lt;=2.5),"标准-偏松标准",IF(AND(I729&gt;=2.57,I729&lt;=3),"标准-核心标准",IF(AND(I729&gt;=3.17,I729&lt;=3.5),"标准-偏紧标准",IF(AND(I729&gt;=3.6,I729&lt;=5),"紧凑-标准紧凑",IF(AND(I729&gt;=5.25,I729&lt;=8),"紧凑-高度紧凑",IF(I729&gt;=8.5,"紧凑-极度紧凑",""))))))))))</f>
        <v/>
      </c>
      <c r="L729" s="2">
        <f>IF(I729=0.1,"极紧凑",IF(AND(I729&gt;=1,I729&lt;=1.89),"松散",IF(AND(I729&gt;=2,I729&lt;=3.5),"标准",IF(I729&gt;=3.6,"紧凑",""))))</f>
        <v/>
      </c>
      <c r="M729" s="2" t="inlineStr">
        <is>
          <t>极紧凑-豹子号</t>
        </is>
      </c>
      <c r="N729" s="2" t="inlineStr">
        <is>
          <t>松散-极松散</t>
        </is>
      </c>
      <c r="O729" s="2" t="inlineStr">
        <is>
          <t>松散-标准松散</t>
        </is>
      </c>
      <c r="P729" s="2" t="inlineStr">
        <is>
          <t>松散-偏紧松散</t>
        </is>
      </c>
      <c r="Q729" s="2" t="inlineStr">
        <is>
          <t>标准-偏松标准</t>
        </is>
      </c>
      <c r="R729" s="2" t="inlineStr">
        <is>
          <t>标准-核心标准</t>
        </is>
      </c>
      <c r="S729" s="2" t="inlineStr">
        <is>
          <t>标准-偏紧标准</t>
        </is>
      </c>
      <c r="T729" s="2" t="inlineStr">
        <is>
          <t>紧凑-标准紧凑</t>
        </is>
      </c>
      <c r="U729" s="2" t="inlineStr">
        <is>
          <t>紧凑-高度紧凑</t>
        </is>
      </c>
      <c r="V729" s="2" t="inlineStr">
        <is>
          <t>紧凑-极度紧凑</t>
        </is>
      </c>
    </row>
    <row r="730">
      <c r="A730" s="1" t="n">
        <v>2024297</v>
      </c>
      <c r="B730" s="3" t="inlineStr">
        <is>
          <t>037</t>
        </is>
      </c>
      <c r="C730" s="2">
        <f>IF(B730="","",LEFT(TEXT(B730,"000"),1)*1)</f>
        <v/>
      </c>
      <c r="D730" s="2">
        <f>IF(B730="","",MID(TEXT(B730,"000"),2,1)*1)</f>
        <v/>
      </c>
      <c r="E730" s="2">
        <f>IF(B730="","",RIGHT(TEXT(B730,"000"),1)*1)</f>
        <v/>
      </c>
      <c r="F730" s="2">
        <f>IF(B730="","",C730+D730+E730)</f>
        <v/>
      </c>
      <c r="G730" s="2">
        <f>IF(B730="","",MOD(F730,10))</f>
        <v/>
      </c>
      <c r="H730" s="2">
        <f>IF(B730="","",MAX(C730,D730,E730)-MIN(C730,D730,E730))</f>
        <v/>
      </c>
      <c r="I730" s="2">
        <f>IF(OR(B730="",H730=0),IF(H730=0,0.1,""),ROUND(F730/H730,2))</f>
        <v/>
      </c>
      <c r="J730" s="2">
        <f>IF(I730=0.1,"极紧凑",IF(I730&gt;3.5,"紧凑",IF(AND(I730&gt;=2,I730&lt;=3.5),"标准",IF(AND(I730&gt;=1,I730&lt;2),"松散",""))))</f>
        <v/>
      </c>
      <c r="K730" s="2">
        <f>IF(I730=0.1,"极紧凑-豹子号",IF(AND(I730&gt;=1,I730&lt;=1.29),"松散-极松散",IF(AND(I730&gt;=1.33,I730&lt;=1.8),"松散-标准松散",IF(AND(I730&gt;=1.83,I730&lt;=1.89),"松散-偏紧松散",IF(AND(I730&gt;=2,I730&lt;=2.5),"标准-偏松标准",IF(AND(I730&gt;=2.57,I730&lt;=3),"标准-核心标准",IF(AND(I730&gt;=3.17,I730&lt;=3.5),"标准-偏紧标准",IF(AND(I730&gt;=3.6,I730&lt;=5),"紧凑-标准紧凑",IF(AND(I730&gt;=5.25,I730&lt;=8),"紧凑-高度紧凑",IF(I730&gt;=8.5,"紧凑-极度紧凑",""))))))))))</f>
        <v/>
      </c>
      <c r="L730" s="2">
        <f>IF(I730=0.1,"极紧凑",IF(AND(I730&gt;=1,I730&lt;=1.89),"松散",IF(AND(I730&gt;=2,I730&lt;=3.5),"标准",IF(I730&gt;=3.6,"紧凑",""))))</f>
        <v/>
      </c>
      <c r="M730" s="2" t="inlineStr">
        <is>
          <t>极紧凑-豹子号</t>
        </is>
      </c>
      <c r="N730" s="2" t="inlineStr">
        <is>
          <t>松散-极松散</t>
        </is>
      </c>
      <c r="O730" s="2" t="inlineStr">
        <is>
          <t>松散-标准松散</t>
        </is>
      </c>
      <c r="P730" s="2" t="inlineStr">
        <is>
          <t>松散-偏紧松散</t>
        </is>
      </c>
      <c r="Q730" s="2" t="inlineStr">
        <is>
          <t>标准-偏松标准</t>
        </is>
      </c>
      <c r="R730" s="2" t="inlineStr">
        <is>
          <t>标准-核心标准</t>
        </is>
      </c>
      <c r="S730" s="2" t="inlineStr">
        <is>
          <t>标准-偏紧标准</t>
        </is>
      </c>
      <c r="T730" s="2" t="inlineStr">
        <is>
          <t>紧凑-标准紧凑</t>
        </is>
      </c>
      <c r="U730" s="2" t="inlineStr">
        <is>
          <t>紧凑-高度紧凑</t>
        </is>
      </c>
      <c r="V730" s="2" t="inlineStr">
        <is>
          <t>紧凑-极度紧凑</t>
        </is>
      </c>
    </row>
    <row r="731">
      <c r="A731" s="1" t="n">
        <v>2024298</v>
      </c>
      <c r="B731" s="3" t="inlineStr">
        <is>
          <t>680</t>
        </is>
      </c>
      <c r="C731" s="2">
        <f>IF(B731="","",LEFT(TEXT(B731,"000"),1)*1)</f>
        <v/>
      </c>
      <c r="D731" s="2">
        <f>IF(B731="","",MID(TEXT(B731,"000"),2,1)*1)</f>
        <v/>
      </c>
      <c r="E731" s="2">
        <f>IF(B731="","",RIGHT(TEXT(B731,"000"),1)*1)</f>
        <v/>
      </c>
      <c r="F731" s="2">
        <f>IF(B731="","",C731+D731+E731)</f>
        <v/>
      </c>
      <c r="G731" s="2">
        <f>IF(B731="","",MOD(F731,10))</f>
        <v/>
      </c>
      <c r="H731" s="2">
        <f>IF(B731="","",MAX(C731,D731,E731)-MIN(C731,D731,E731))</f>
        <v/>
      </c>
      <c r="I731" s="2">
        <f>IF(OR(B731="",H731=0),IF(H731=0,0.1,""),ROUND(F731/H731,2))</f>
        <v/>
      </c>
      <c r="J731" s="2">
        <f>IF(I731=0.1,"极紧凑",IF(I731&gt;3.5,"紧凑",IF(AND(I731&gt;=2,I731&lt;=3.5),"标准",IF(AND(I731&gt;=1,I731&lt;2),"松散",""))))</f>
        <v/>
      </c>
      <c r="K731" s="2">
        <f>IF(I731=0.1,"极紧凑-豹子号",IF(AND(I731&gt;=1,I731&lt;=1.29),"松散-极松散",IF(AND(I731&gt;=1.33,I731&lt;=1.8),"松散-标准松散",IF(AND(I731&gt;=1.83,I731&lt;=1.89),"松散-偏紧松散",IF(AND(I731&gt;=2,I731&lt;=2.5),"标准-偏松标准",IF(AND(I731&gt;=2.57,I731&lt;=3),"标准-核心标准",IF(AND(I731&gt;=3.17,I731&lt;=3.5),"标准-偏紧标准",IF(AND(I731&gt;=3.6,I731&lt;=5),"紧凑-标准紧凑",IF(AND(I731&gt;=5.25,I731&lt;=8),"紧凑-高度紧凑",IF(I731&gt;=8.5,"紧凑-极度紧凑",""))))))))))</f>
        <v/>
      </c>
      <c r="L731" s="2">
        <f>IF(I731=0.1,"极紧凑",IF(AND(I731&gt;=1,I731&lt;=1.89),"松散",IF(AND(I731&gt;=2,I731&lt;=3.5),"标准",IF(I731&gt;=3.6,"紧凑",""))))</f>
        <v/>
      </c>
      <c r="M731" s="2" t="inlineStr">
        <is>
          <t>极紧凑-豹子号</t>
        </is>
      </c>
      <c r="N731" s="2" t="inlineStr">
        <is>
          <t>松散-极松散</t>
        </is>
      </c>
      <c r="O731" s="2" t="inlineStr">
        <is>
          <t>松散-标准松散</t>
        </is>
      </c>
      <c r="P731" s="2" t="inlineStr">
        <is>
          <t>松散-偏紧松散</t>
        </is>
      </c>
      <c r="Q731" s="2" t="inlineStr">
        <is>
          <t>标准-偏松标准</t>
        </is>
      </c>
      <c r="R731" s="2" t="inlineStr">
        <is>
          <t>标准-核心标准</t>
        </is>
      </c>
      <c r="S731" s="2" t="inlineStr">
        <is>
          <t>标准-偏紧标准</t>
        </is>
      </c>
      <c r="T731" s="2" t="inlineStr">
        <is>
          <t>紧凑-标准紧凑</t>
        </is>
      </c>
      <c r="U731" s="2" t="inlineStr">
        <is>
          <t>紧凑-高度紧凑</t>
        </is>
      </c>
      <c r="V731" s="2" t="inlineStr">
        <is>
          <t>紧凑-极度紧凑</t>
        </is>
      </c>
    </row>
    <row r="732">
      <c r="A732" s="1" t="n">
        <v>2024299</v>
      </c>
      <c r="B732" s="3" t="inlineStr">
        <is>
          <t>581</t>
        </is>
      </c>
      <c r="C732" s="2">
        <f>IF(B732="","",LEFT(TEXT(B732,"000"),1)*1)</f>
        <v/>
      </c>
      <c r="D732" s="2">
        <f>IF(B732="","",MID(TEXT(B732,"000"),2,1)*1)</f>
        <v/>
      </c>
      <c r="E732" s="2">
        <f>IF(B732="","",RIGHT(TEXT(B732,"000"),1)*1)</f>
        <v/>
      </c>
      <c r="F732" s="2">
        <f>IF(B732="","",C732+D732+E732)</f>
        <v/>
      </c>
      <c r="G732" s="2">
        <f>IF(B732="","",MOD(F732,10))</f>
        <v/>
      </c>
      <c r="H732" s="2">
        <f>IF(B732="","",MAX(C732,D732,E732)-MIN(C732,D732,E732))</f>
        <v/>
      </c>
      <c r="I732" s="2">
        <f>IF(OR(B732="",H732=0),IF(H732=0,0.1,""),ROUND(F732/H732,2))</f>
        <v/>
      </c>
      <c r="J732" s="2">
        <f>IF(I732=0.1,"极紧凑",IF(I732&gt;3.5,"紧凑",IF(AND(I732&gt;=2,I732&lt;=3.5),"标准",IF(AND(I732&gt;=1,I732&lt;2),"松散",""))))</f>
        <v/>
      </c>
      <c r="K732" s="2">
        <f>IF(I732=0.1,"极紧凑-豹子号",IF(AND(I732&gt;=1,I732&lt;=1.29),"松散-极松散",IF(AND(I732&gt;=1.33,I732&lt;=1.8),"松散-标准松散",IF(AND(I732&gt;=1.83,I732&lt;=1.89),"松散-偏紧松散",IF(AND(I732&gt;=2,I732&lt;=2.5),"标准-偏松标准",IF(AND(I732&gt;=2.57,I732&lt;=3),"标准-核心标准",IF(AND(I732&gt;=3.17,I732&lt;=3.5),"标准-偏紧标准",IF(AND(I732&gt;=3.6,I732&lt;=5),"紧凑-标准紧凑",IF(AND(I732&gt;=5.25,I732&lt;=8),"紧凑-高度紧凑",IF(I732&gt;=8.5,"紧凑-极度紧凑",""))))))))))</f>
        <v/>
      </c>
      <c r="L732" s="2">
        <f>IF(I732=0.1,"极紧凑",IF(AND(I732&gt;=1,I732&lt;=1.89),"松散",IF(AND(I732&gt;=2,I732&lt;=3.5),"标准",IF(I732&gt;=3.6,"紧凑",""))))</f>
        <v/>
      </c>
      <c r="M732" s="2" t="inlineStr">
        <is>
          <t>极紧凑-豹子号</t>
        </is>
      </c>
      <c r="N732" s="2" t="inlineStr">
        <is>
          <t>松散-极松散</t>
        </is>
      </c>
      <c r="O732" s="2" t="inlineStr">
        <is>
          <t>松散-标准松散</t>
        </is>
      </c>
      <c r="P732" s="2" t="inlineStr">
        <is>
          <t>松散-偏紧松散</t>
        </is>
      </c>
      <c r="Q732" s="2" t="inlineStr">
        <is>
          <t>标准-偏松标准</t>
        </is>
      </c>
      <c r="R732" s="2" t="inlineStr">
        <is>
          <t>标准-核心标准</t>
        </is>
      </c>
      <c r="S732" s="2" t="inlineStr">
        <is>
          <t>标准-偏紧标准</t>
        </is>
      </c>
      <c r="T732" s="2" t="inlineStr">
        <is>
          <t>紧凑-标准紧凑</t>
        </is>
      </c>
      <c r="U732" s="2" t="inlineStr">
        <is>
          <t>紧凑-高度紧凑</t>
        </is>
      </c>
      <c r="V732" s="2" t="inlineStr">
        <is>
          <t>紧凑-极度紧凑</t>
        </is>
      </c>
    </row>
    <row r="733">
      <c r="A733" s="1" t="n">
        <v>2024300</v>
      </c>
      <c r="B733" s="3" t="inlineStr">
        <is>
          <t>933</t>
        </is>
      </c>
      <c r="C733" s="2">
        <f>IF(B733="","",LEFT(TEXT(B733,"000"),1)*1)</f>
        <v/>
      </c>
      <c r="D733" s="2">
        <f>IF(B733="","",MID(TEXT(B733,"000"),2,1)*1)</f>
        <v/>
      </c>
      <c r="E733" s="2">
        <f>IF(B733="","",RIGHT(TEXT(B733,"000"),1)*1)</f>
        <v/>
      </c>
      <c r="F733" s="2">
        <f>IF(B733="","",C733+D733+E733)</f>
        <v/>
      </c>
      <c r="G733" s="2">
        <f>IF(B733="","",MOD(F733,10))</f>
        <v/>
      </c>
      <c r="H733" s="2">
        <f>IF(B733="","",MAX(C733,D733,E733)-MIN(C733,D733,E733))</f>
        <v/>
      </c>
      <c r="I733" s="2">
        <f>IF(OR(B733="",H733=0),IF(H733=0,0.1,""),ROUND(F733/H733,2))</f>
        <v/>
      </c>
      <c r="J733" s="2">
        <f>IF(I733=0.1,"极紧凑",IF(I733&gt;3.5,"紧凑",IF(AND(I733&gt;=2,I733&lt;=3.5),"标准",IF(AND(I733&gt;=1,I733&lt;2),"松散",""))))</f>
        <v/>
      </c>
      <c r="K733" s="2">
        <f>IF(I733=0.1,"极紧凑-豹子号",IF(AND(I733&gt;=1,I733&lt;=1.29),"松散-极松散",IF(AND(I733&gt;=1.33,I733&lt;=1.8),"松散-标准松散",IF(AND(I733&gt;=1.83,I733&lt;=1.89),"松散-偏紧松散",IF(AND(I733&gt;=2,I733&lt;=2.5),"标准-偏松标准",IF(AND(I733&gt;=2.57,I733&lt;=3),"标准-核心标准",IF(AND(I733&gt;=3.17,I733&lt;=3.5),"标准-偏紧标准",IF(AND(I733&gt;=3.6,I733&lt;=5),"紧凑-标准紧凑",IF(AND(I733&gt;=5.25,I733&lt;=8),"紧凑-高度紧凑",IF(I733&gt;=8.5,"紧凑-极度紧凑",""))))))))))</f>
        <v/>
      </c>
      <c r="L733" s="2">
        <f>IF(I733=0.1,"极紧凑",IF(AND(I733&gt;=1,I733&lt;=1.89),"松散",IF(AND(I733&gt;=2,I733&lt;=3.5),"标准",IF(I733&gt;=3.6,"紧凑",""))))</f>
        <v/>
      </c>
      <c r="M733" s="2" t="inlineStr">
        <is>
          <t>极紧凑-豹子号</t>
        </is>
      </c>
      <c r="N733" s="2" t="inlineStr">
        <is>
          <t>松散-极松散</t>
        </is>
      </c>
      <c r="O733" s="2" t="inlineStr">
        <is>
          <t>松散-标准松散</t>
        </is>
      </c>
      <c r="P733" s="2" t="inlineStr">
        <is>
          <t>松散-偏紧松散</t>
        </is>
      </c>
      <c r="Q733" s="2" t="inlineStr">
        <is>
          <t>标准-偏松标准</t>
        </is>
      </c>
      <c r="R733" s="2" t="inlineStr">
        <is>
          <t>标准-核心标准</t>
        </is>
      </c>
      <c r="S733" s="2" t="inlineStr">
        <is>
          <t>标准-偏紧标准</t>
        </is>
      </c>
      <c r="T733" s="2" t="inlineStr">
        <is>
          <t>紧凑-标准紧凑</t>
        </is>
      </c>
      <c r="U733" s="2" t="inlineStr">
        <is>
          <t>紧凑-高度紧凑</t>
        </is>
      </c>
      <c r="V733" s="2" t="inlineStr">
        <is>
          <t>紧凑-极度紧凑</t>
        </is>
      </c>
    </row>
    <row r="734">
      <c r="A734" s="1" t="n">
        <v>2024301</v>
      </c>
      <c r="B734" s="3" t="inlineStr">
        <is>
          <t>877</t>
        </is>
      </c>
      <c r="C734" s="2">
        <f>IF(B734="","",LEFT(TEXT(B734,"000"),1)*1)</f>
        <v/>
      </c>
      <c r="D734" s="2">
        <f>IF(B734="","",MID(TEXT(B734,"000"),2,1)*1)</f>
        <v/>
      </c>
      <c r="E734" s="2">
        <f>IF(B734="","",RIGHT(TEXT(B734,"000"),1)*1)</f>
        <v/>
      </c>
      <c r="F734" s="2">
        <f>IF(B734="","",C734+D734+E734)</f>
        <v/>
      </c>
      <c r="G734" s="2">
        <f>IF(B734="","",MOD(F734,10))</f>
        <v/>
      </c>
      <c r="H734" s="2">
        <f>IF(B734="","",MAX(C734,D734,E734)-MIN(C734,D734,E734))</f>
        <v/>
      </c>
      <c r="I734" s="2">
        <f>IF(OR(B734="",H734=0),IF(H734=0,0.1,""),ROUND(F734/H734,2))</f>
        <v/>
      </c>
      <c r="J734" s="2">
        <f>IF(I734=0.1,"极紧凑",IF(I734&gt;3.5,"紧凑",IF(AND(I734&gt;=2,I734&lt;=3.5),"标准",IF(AND(I734&gt;=1,I734&lt;2),"松散",""))))</f>
        <v/>
      </c>
      <c r="K734" s="2">
        <f>IF(I734=0.1,"极紧凑-豹子号",IF(AND(I734&gt;=1,I734&lt;=1.29),"松散-极松散",IF(AND(I734&gt;=1.33,I734&lt;=1.8),"松散-标准松散",IF(AND(I734&gt;=1.83,I734&lt;=1.89),"松散-偏紧松散",IF(AND(I734&gt;=2,I734&lt;=2.5),"标准-偏松标准",IF(AND(I734&gt;=2.57,I734&lt;=3),"标准-核心标准",IF(AND(I734&gt;=3.17,I734&lt;=3.5),"标准-偏紧标准",IF(AND(I734&gt;=3.6,I734&lt;=5),"紧凑-标准紧凑",IF(AND(I734&gt;=5.25,I734&lt;=8),"紧凑-高度紧凑",IF(I734&gt;=8.5,"紧凑-极度紧凑",""))))))))))</f>
        <v/>
      </c>
      <c r="L734" s="2">
        <f>IF(I734=0.1,"极紧凑",IF(AND(I734&gt;=1,I734&lt;=1.89),"松散",IF(AND(I734&gt;=2,I734&lt;=3.5),"标准",IF(I734&gt;=3.6,"紧凑",""))))</f>
        <v/>
      </c>
      <c r="M734" s="2" t="inlineStr">
        <is>
          <t>极紧凑-豹子号</t>
        </is>
      </c>
      <c r="N734" s="2" t="inlineStr">
        <is>
          <t>松散-极松散</t>
        </is>
      </c>
      <c r="O734" s="2" t="inlineStr">
        <is>
          <t>松散-标准松散</t>
        </is>
      </c>
      <c r="P734" s="2" t="inlineStr">
        <is>
          <t>松散-偏紧松散</t>
        </is>
      </c>
      <c r="Q734" s="2" t="inlineStr">
        <is>
          <t>标准-偏松标准</t>
        </is>
      </c>
      <c r="R734" s="2" t="inlineStr">
        <is>
          <t>标准-核心标准</t>
        </is>
      </c>
      <c r="S734" s="2" t="inlineStr">
        <is>
          <t>标准-偏紧标准</t>
        </is>
      </c>
      <c r="T734" s="2" t="inlineStr">
        <is>
          <t>紧凑-标准紧凑</t>
        </is>
      </c>
      <c r="U734" s="2" t="inlineStr">
        <is>
          <t>紧凑-高度紧凑</t>
        </is>
      </c>
      <c r="V734" s="2" t="inlineStr">
        <is>
          <t>紧凑-极度紧凑</t>
        </is>
      </c>
    </row>
    <row r="735">
      <c r="A735" s="1" t="n">
        <v>2024302</v>
      </c>
      <c r="B735" s="3" t="inlineStr">
        <is>
          <t>398</t>
        </is>
      </c>
      <c r="C735" s="2">
        <f>IF(B735="","",LEFT(TEXT(B735,"000"),1)*1)</f>
        <v/>
      </c>
      <c r="D735" s="2">
        <f>IF(B735="","",MID(TEXT(B735,"000"),2,1)*1)</f>
        <v/>
      </c>
      <c r="E735" s="2">
        <f>IF(B735="","",RIGHT(TEXT(B735,"000"),1)*1)</f>
        <v/>
      </c>
      <c r="F735" s="2">
        <f>IF(B735="","",C735+D735+E735)</f>
        <v/>
      </c>
      <c r="G735" s="2">
        <f>IF(B735="","",MOD(F735,10))</f>
        <v/>
      </c>
      <c r="H735" s="2">
        <f>IF(B735="","",MAX(C735,D735,E735)-MIN(C735,D735,E735))</f>
        <v/>
      </c>
      <c r="I735" s="2">
        <f>IF(OR(B735="",H735=0),IF(H735=0,0.1,""),ROUND(F735/H735,2))</f>
        <v/>
      </c>
      <c r="J735" s="2">
        <f>IF(I735=0.1,"极紧凑",IF(I735&gt;3.5,"紧凑",IF(AND(I735&gt;=2,I735&lt;=3.5),"标准",IF(AND(I735&gt;=1,I735&lt;2),"松散",""))))</f>
        <v/>
      </c>
      <c r="K735" s="2">
        <f>IF(I735=0.1,"极紧凑-豹子号",IF(AND(I735&gt;=1,I735&lt;=1.29),"松散-极松散",IF(AND(I735&gt;=1.33,I735&lt;=1.8),"松散-标准松散",IF(AND(I735&gt;=1.83,I735&lt;=1.89),"松散-偏紧松散",IF(AND(I735&gt;=2,I735&lt;=2.5),"标准-偏松标准",IF(AND(I735&gt;=2.57,I735&lt;=3),"标准-核心标准",IF(AND(I735&gt;=3.17,I735&lt;=3.5),"标准-偏紧标准",IF(AND(I735&gt;=3.6,I735&lt;=5),"紧凑-标准紧凑",IF(AND(I735&gt;=5.25,I735&lt;=8),"紧凑-高度紧凑",IF(I735&gt;=8.5,"紧凑-极度紧凑",""))))))))))</f>
        <v/>
      </c>
      <c r="L735" s="2">
        <f>IF(I735=0.1,"极紧凑",IF(AND(I735&gt;=1,I735&lt;=1.89),"松散",IF(AND(I735&gt;=2,I735&lt;=3.5),"标准",IF(I735&gt;=3.6,"紧凑",""))))</f>
        <v/>
      </c>
      <c r="M735" s="2" t="inlineStr">
        <is>
          <t>极紧凑-豹子号</t>
        </is>
      </c>
      <c r="N735" s="2" t="inlineStr">
        <is>
          <t>松散-极松散</t>
        </is>
      </c>
      <c r="O735" s="2" t="inlineStr">
        <is>
          <t>松散-标准松散</t>
        </is>
      </c>
      <c r="P735" s="2" t="inlineStr">
        <is>
          <t>松散-偏紧松散</t>
        </is>
      </c>
      <c r="Q735" s="2" t="inlineStr">
        <is>
          <t>标准-偏松标准</t>
        </is>
      </c>
      <c r="R735" s="2" t="inlineStr">
        <is>
          <t>标准-核心标准</t>
        </is>
      </c>
      <c r="S735" s="2" t="inlineStr">
        <is>
          <t>标准-偏紧标准</t>
        </is>
      </c>
      <c r="T735" s="2" t="inlineStr">
        <is>
          <t>紧凑-标准紧凑</t>
        </is>
      </c>
      <c r="U735" s="2" t="inlineStr">
        <is>
          <t>紧凑-高度紧凑</t>
        </is>
      </c>
      <c r="V735" s="2" t="inlineStr">
        <is>
          <t>紧凑-极度紧凑</t>
        </is>
      </c>
    </row>
    <row r="736">
      <c r="A736" s="1" t="n">
        <v>2024303</v>
      </c>
      <c r="B736" s="3" t="inlineStr">
        <is>
          <t>201</t>
        </is>
      </c>
      <c r="C736" s="2">
        <f>IF(B736="","",LEFT(TEXT(B736,"000"),1)*1)</f>
        <v/>
      </c>
      <c r="D736" s="2">
        <f>IF(B736="","",MID(TEXT(B736,"000"),2,1)*1)</f>
        <v/>
      </c>
      <c r="E736" s="2">
        <f>IF(B736="","",RIGHT(TEXT(B736,"000"),1)*1)</f>
        <v/>
      </c>
      <c r="F736" s="2">
        <f>IF(B736="","",C736+D736+E736)</f>
        <v/>
      </c>
      <c r="G736" s="2">
        <f>IF(B736="","",MOD(F736,10))</f>
        <v/>
      </c>
      <c r="H736" s="2">
        <f>IF(B736="","",MAX(C736,D736,E736)-MIN(C736,D736,E736))</f>
        <v/>
      </c>
      <c r="I736" s="2">
        <f>IF(OR(B736="",H736=0),IF(H736=0,0.1,""),ROUND(F736/H736,2))</f>
        <v/>
      </c>
      <c r="J736" s="2">
        <f>IF(I736=0.1,"极紧凑",IF(I736&gt;3.5,"紧凑",IF(AND(I736&gt;=2,I736&lt;=3.5),"标准",IF(AND(I736&gt;=1,I736&lt;2),"松散",""))))</f>
        <v/>
      </c>
      <c r="K736" s="2">
        <f>IF(I736=0.1,"极紧凑-豹子号",IF(AND(I736&gt;=1,I736&lt;=1.29),"松散-极松散",IF(AND(I736&gt;=1.33,I736&lt;=1.8),"松散-标准松散",IF(AND(I736&gt;=1.83,I736&lt;=1.89),"松散-偏紧松散",IF(AND(I736&gt;=2,I736&lt;=2.5),"标准-偏松标准",IF(AND(I736&gt;=2.57,I736&lt;=3),"标准-核心标准",IF(AND(I736&gt;=3.17,I736&lt;=3.5),"标准-偏紧标准",IF(AND(I736&gt;=3.6,I736&lt;=5),"紧凑-标准紧凑",IF(AND(I736&gt;=5.25,I736&lt;=8),"紧凑-高度紧凑",IF(I736&gt;=8.5,"紧凑-极度紧凑",""))))))))))</f>
        <v/>
      </c>
      <c r="L736" s="2">
        <f>IF(I736=0.1,"极紧凑",IF(AND(I736&gt;=1,I736&lt;=1.89),"松散",IF(AND(I736&gt;=2,I736&lt;=3.5),"标准",IF(I736&gt;=3.6,"紧凑",""))))</f>
        <v/>
      </c>
      <c r="M736" s="2" t="inlineStr">
        <is>
          <t>极紧凑-豹子号</t>
        </is>
      </c>
      <c r="N736" s="2" t="inlineStr">
        <is>
          <t>松散-极松散</t>
        </is>
      </c>
      <c r="O736" s="2" t="inlineStr">
        <is>
          <t>松散-标准松散</t>
        </is>
      </c>
      <c r="P736" s="2" t="inlineStr">
        <is>
          <t>松散-偏紧松散</t>
        </is>
      </c>
      <c r="Q736" s="2" t="inlineStr">
        <is>
          <t>标准-偏松标准</t>
        </is>
      </c>
      <c r="R736" s="2" t="inlineStr">
        <is>
          <t>标准-核心标准</t>
        </is>
      </c>
      <c r="S736" s="2" t="inlineStr">
        <is>
          <t>标准-偏紧标准</t>
        </is>
      </c>
      <c r="T736" s="2" t="inlineStr">
        <is>
          <t>紧凑-标准紧凑</t>
        </is>
      </c>
      <c r="U736" s="2" t="inlineStr">
        <is>
          <t>紧凑-高度紧凑</t>
        </is>
      </c>
      <c r="V736" s="2" t="inlineStr">
        <is>
          <t>紧凑-极度紧凑</t>
        </is>
      </c>
    </row>
    <row r="737">
      <c r="A737" s="1" t="n">
        <v>2024304</v>
      </c>
      <c r="B737" s="3" t="inlineStr">
        <is>
          <t>425</t>
        </is>
      </c>
      <c r="C737" s="2">
        <f>IF(B737="","",LEFT(TEXT(B737,"000"),1)*1)</f>
        <v/>
      </c>
      <c r="D737" s="2">
        <f>IF(B737="","",MID(TEXT(B737,"000"),2,1)*1)</f>
        <v/>
      </c>
      <c r="E737" s="2">
        <f>IF(B737="","",RIGHT(TEXT(B737,"000"),1)*1)</f>
        <v/>
      </c>
      <c r="F737" s="2">
        <f>IF(B737="","",C737+D737+E737)</f>
        <v/>
      </c>
      <c r="G737" s="2">
        <f>IF(B737="","",MOD(F737,10))</f>
        <v/>
      </c>
      <c r="H737" s="2">
        <f>IF(B737="","",MAX(C737,D737,E737)-MIN(C737,D737,E737))</f>
        <v/>
      </c>
      <c r="I737" s="2">
        <f>IF(OR(B737="",H737=0),IF(H737=0,0.1,""),ROUND(F737/H737,2))</f>
        <v/>
      </c>
      <c r="J737" s="2">
        <f>IF(I737=0.1,"极紧凑",IF(I737&gt;3.5,"紧凑",IF(AND(I737&gt;=2,I737&lt;=3.5),"标准",IF(AND(I737&gt;=1,I737&lt;2),"松散",""))))</f>
        <v/>
      </c>
      <c r="K737" s="2">
        <f>IF(I737=0.1,"极紧凑-豹子号",IF(AND(I737&gt;=1,I737&lt;=1.29),"松散-极松散",IF(AND(I737&gt;=1.33,I737&lt;=1.8),"松散-标准松散",IF(AND(I737&gt;=1.83,I737&lt;=1.89),"松散-偏紧松散",IF(AND(I737&gt;=2,I737&lt;=2.5),"标准-偏松标准",IF(AND(I737&gt;=2.57,I737&lt;=3),"标准-核心标准",IF(AND(I737&gt;=3.17,I737&lt;=3.5),"标准-偏紧标准",IF(AND(I737&gt;=3.6,I737&lt;=5),"紧凑-标准紧凑",IF(AND(I737&gt;=5.25,I737&lt;=8),"紧凑-高度紧凑",IF(I737&gt;=8.5,"紧凑-极度紧凑",""))))))))))</f>
        <v/>
      </c>
      <c r="L737" s="2">
        <f>IF(I737=0.1,"极紧凑",IF(AND(I737&gt;=1,I737&lt;=1.89),"松散",IF(AND(I737&gt;=2,I737&lt;=3.5),"标准",IF(I737&gt;=3.6,"紧凑",""))))</f>
        <v/>
      </c>
      <c r="M737" s="2" t="inlineStr">
        <is>
          <t>极紧凑-豹子号</t>
        </is>
      </c>
      <c r="N737" s="2" t="inlineStr">
        <is>
          <t>松散-极松散</t>
        </is>
      </c>
      <c r="O737" s="2" t="inlineStr">
        <is>
          <t>松散-标准松散</t>
        </is>
      </c>
      <c r="P737" s="2" t="inlineStr">
        <is>
          <t>松散-偏紧松散</t>
        </is>
      </c>
      <c r="Q737" s="2" t="inlineStr">
        <is>
          <t>标准-偏松标准</t>
        </is>
      </c>
      <c r="R737" s="2" t="inlineStr">
        <is>
          <t>标准-核心标准</t>
        </is>
      </c>
      <c r="S737" s="2" t="inlineStr">
        <is>
          <t>标准-偏紧标准</t>
        </is>
      </c>
      <c r="T737" s="2" t="inlineStr">
        <is>
          <t>紧凑-标准紧凑</t>
        </is>
      </c>
      <c r="U737" s="2" t="inlineStr">
        <is>
          <t>紧凑-高度紧凑</t>
        </is>
      </c>
      <c r="V737" s="2" t="inlineStr">
        <is>
          <t>紧凑-极度紧凑</t>
        </is>
      </c>
    </row>
    <row r="738">
      <c r="A738" s="1" t="n">
        <v>2024305</v>
      </c>
      <c r="B738" s="3" t="inlineStr">
        <is>
          <t>841</t>
        </is>
      </c>
      <c r="C738" s="2">
        <f>IF(B738="","",LEFT(TEXT(B738,"000"),1)*1)</f>
        <v/>
      </c>
      <c r="D738" s="2">
        <f>IF(B738="","",MID(TEXT(B738,"000"),2,1)*1)</f>
        <v/>
      </c>
      <c r="E738" s="2">
        <f>IF(B738="","",RIGHT(TEXT(B738,"000"),1)*1)</f>
        <v/>
      </c>
      <c r="F738" s="2">
        <f>IF(B738="","",C738+D738+E738)</f>
        <v/>
      </c>
      <c r="G738" s="2">
        <f>IF(B738="","",MOD(F738,10))</f>
        <v/>
      </c>
      <c r="H738" s="2">
        <f>IF(B738="","",MAX(C738,D738,E738)-MIN(C738,D738,E738))</f>
        <v/>
      </c>
      <c r="I738" s="2">
        <f>IF(OR(B738="",H738=0),IF(H738=0,0.1,""),ROUND(F738/H738,2))</f>
        <v/>
      </c>
      <c r="J738" s="2">
        <f>IF(I738=0.1,"极紧凑",IF(I738&gt;3.5,"紧凑",IF(AND(I738&gt;=2,I738&lt;=3.5),"标准",IF(AND(I738&gt;=1,I738&lt;2),"松散",""))))</f>
        <v/>
      </c>
      <c r="K738" s="2">
        <f>IF(I738=0.1,"极紧凑-豹子号",IF(AND(I738&gt;=1,I738&lt;=1.29),"松散-极松散",IF(AND(I738&gt;=1.33,I738&lt;=1.8),"松散-标准松散",IF(AND(I738&gt;=1.83,I738&lt;=1.89),"松散-偏紧松散",IF(AND(I738&gt;=2,I738&lt;=2.5),"标准-偏松标准",IF(AND(I738&gt;=2.57,I738&lt;=3),"标准-核心标准",IF(AND(I738&gt;=3.17,I738&lt;=3.5),"标准-偏紧标准",IF(AND(I738&gt;=3.6,I738&lt;=5),"紧凑-标准紧凑",IF(AND(I738&gt;=5.25,I738&lt;=8),"紧凑-高度紧凑",IF(I738&gt;=8.5,"紧凑-极度紧凑",""))))))))))</f>
        <v/>
      </c>
      <c r="L738" s="2">
        <f>IF(I738=0.1,"极紧凑",IF(AND(I738&gt;=1,I738&lt;=1.89),"松散",IF(AND(I738&gt;=2,I738&lt;=3.5),"标准",IF(I738&gt;=3.6,"紧凑",""))))</f>
        <v/>
      </c>
      <c r="M738" s="2" t="inlineStr">
        <is>
          <t>极紧凑-豹子号</t>
        </is>
      </c>
      <c r="N738" s="2" t="inlineStr">
        <is>
          <t>松散-极松散</t>
        </is>
      </c>
      <c r="O738" s="2" t="inlineStr">
        <is>
          <t>松散-标准松散</t>
        </is>
      </c>
      <c r="P738" s="2" t="inlineStr">
        <is>
          <t>松散-偏紧松散</t>
        </is>
      </c>
      <c r="Q738" s="2" t="inlineStr">
        <is>
          <t>标准-偏松标准</t>
        </is>
      </c>
      <c r="R738" s="2" t="inlineStr">
        <is>
          <t>标准-核心标准</t>
        </is>
      </c>
      <c r="S738" s="2" t="inlineStr">
        <is>
          <t>标准-偏紧标准</t>
        </is>
      </c>
      <c r="T738" s="2" t="inlineStr">
        <is>
          <t>紧凑-标准紧凑</t>
        </is>
      </c>
      <c r="U738" s="2" t="inlineStr">
        <is>
          <t>紧凑-高度紧凑</t>
        </is>
      </c>
      <c r="V738" s="2" t="inlineStr">
        <is>
          <t>紧凑-极度紧凑</t>
        </is>
      </c>
    </row>
    <row r="739">
      <c r="A739" s="1" t="n">
        <v>2024306</v>
      </c>
      <c r="B739" s="3" t="inlineStr">
        <is>
          <t>508</t>
        </is>
      </c>
      <c r="C739" s="2">
        <f>IF(B739="","",LEFT(TEXT(B739,"000"),1)*1)</f>
        <v/>
      </c>
      <c r="D739" s="2">
        <f>IF(B739="","",MID(TEXT(B739,"000"),2,1)*1)</f>
        <v/>
      </c>
      <c r="E739" s="2">
        <f>IF(B739="","",RIGHT(TEXT(B739,"000"),1)*1)</f>
        <v/>
      </c>
      <c r="F739" s="2">
        <f>IF(B739="","",C739+D739+E739)</f>
        <v/>
      </c>
      <c r="G739" s="2">
        <f>IF(B739="","",MOD(F739,10))</f>
        <v/>
      </c>
      <c r="H739" s="2">
        <f>IF(B739="","",MAX(C739,D739,E739)-MIN(C739,D739,E739))</f>
        <v/>
      </c>
      <c r="I739" s="2">
        <f>IF(OR(B739="",H739=0),IF(H739=0,0.1,""),ROUND(F739/H739,2))</f>
        <v/>
      </c>
      <c r="J739" s="2">
        <f>IF(I739=0.1,"极紧凑",IF(I739&gt;3.5,"紧凑",IF(AND(I739&gt;=2,I739&lt;=3.5),"标准",IF(AND(I739&gt;=1,I739&lt;2),"松散",""))))</f>
        <v/>
      </c>
      <c r="K739" s="2">
        <f>IF(I739=0.1,"极紧凑-豹子号",IF(AND(I739&gt;=1,I739&lt;=1.29),"松散-极松散",IF(AND(I739&gt;=1.33,I739&lt;=1.8),"松散-标准松散",IF(AND(I739&gt;=1.83,I739&lt;=1.89),"松散-偏紧松散",IF(AND(I739&gt;=2,I739&lt;=2.5),"标准-偏松标准",IF(AND(I739&gt;=2.57,I739&lt;=3),"标准-核心标准",IF(AND(I739&gt;=3.17,I739&lt;=3.5),"标准-偏紧标准",IF(AND(I739&gt;=3.6,I739&lt;=5),"紧凑-标准紧凑",IF(AND(I739&gt;=5.25,I739&lt;=8),"紧凑-高度紧凑",IF(I739&gt;=8.5,"紧凑-极度紧凑",""))))))))))</f>
        <v/>
      </c>
      <c r="L739" s="2">
        <f>IF(I739=0.1,"极紧凑",IF(AND(I739&gt;=1,I739&lt;=1.89),"松散",IF(AND(I739&gt;=2,I739&lt;=3.5),"标准",IF(I739&gt;=3.6,"紧凑",""))))</f>
        <v/>
      </c>
      <c r="M739" s="2" t="inlineStr">
        <is>
          <t>极紧凑-豹子号</t>
        </is>
      </c>
      <c r="N739" s="2" t="inlineStr">
        <is>
          <t>松散-极松散</t>
        </is>
      </c>
      <c r="O739" s="2" t="inlineStr">
        <is>
          <t>松散-标准松散</t>
        </is>
      </c>
      <c r="P739" s="2" t="inlineStr">
        <is>
          <t>松散-偏紧松散</t>
        </is>
      </c>
      <c r="Q739" s="2" t="inlineStr">
        <is>
          <t>标准-偏松标准</t>
        </is>
      </c>
      <c r="R739" s="2" t="inlineStr">
        <is>
          <t>标准-核心标准</t>
        </is>
      </c>
      <c r="S739" s="2" t="inlineStr">
        <is>
          <t>标准-偏紧标准</t>
        </is>
      </c>
      <c r="T739" s="2" t="inlineStr">
        <is>
          <t>紧凑-标准紧凑</t>
        </is>
      </c>
      <c r="U739" s="2" t="inlineStr">
        <is>
          <t>紧凑-高度紧凑</t>
        </is>
      </c>
      <c r="V739" s="2" t="inlineStr">
        <is>
          <t>紧凑-极度紧凑</t>
        </is>
      </c>
    </row>
    <row r="740">
      <c r="A740" s="1" t="n">
        <v>2024307</v>
      </c>
      <c r="B740" s="3" t="inlineStr">
        <is>
          <t>582</t>
        </is>
      </c>
      <c r="C740" s="2">
        <f>IF(B740="","",LEFT(TEXT(B740,"000"),1)*1)</f>
        <v/>
      </c>
      <c r="D740" s="2">
        <f>IF(B740="","",MID(TEXT(B740,"000"),2,1)*1)</f>
        <v/>
      </c>
      <c r="E740" s="2">
        <f>IF(B740="","",RIGHT(TEXT(B740,"000"),1)*1)</f>
        <v/>
      </c>
      <c r="F740" s="2">
        <f>IF(B740="","",C740+D740+E740)</f>
        <v/>
      </c>
      <c r="G740" s="2">
        <f>IF(B740="","",MOD(F740,10))</f>
        <v/>
      </c>
      <c r="H740" s="2">
        <f>IF(B740="","",MAX(C740,D740,E740)-MIN(C740,D740,E740))</f>
        <v/>
      </c>
      <c r="I740" s="2">
        <f>IF(OR(B740="",H740=0),IF(H740=0,0.1,""),ROUND(F740/H740,2))</f>
        <v/>
      </c>
      <c r="J740" s="2">
        <f>IF(I740=0.1,"极紧凑",IF(I740&gt;3.5,"紧凑",IF(AND(I740&gt;=2,I740&lt;=3.5),"标准",IF(AND(I740&gt;=1,I740&lt;2),"松散",""))))</f>
        <v/>
      </c>
      <c r="K740" s="2">
        <f>IF(I740=0.1,"极紧凑-豹子号",IF(AND(I740&gt;=1,I740&lt;=1.29),"松散-极松散",IF(AND(I740&gt;=1.33,I740&lt;=1.8),"松散-标准松散",IF(AND(I740&gt;=1.83,I740&lt;=1.89),"松散-偏紧松散",IF(AND(I740&gt;=2,I740&lt;=2.5),"标准-偏松标准",IF(AND(I740&gt;=2.57,I740&lt;=3),"标准-核心标准",IF(AND(I740&gt;=3.17,I740&lt;=3.5),"标准-偏紧标准",IF(AND(I740&gt;=3.6,I740&lt;=5),"紧凑-标准紧凑",IF(AND(I740&gt;=5.25,I740&lt;=8),"紧凑-高度紧凑",IF(I740&gt;=8.5,"紧凑-极度紧凑",""))))))))))</f>
        <v/>
      </c>
      <c r="L740" s="2">
        <f>IF(I740=0.1,"极紧凑",IF(AND(I740&gt;=1,I740&lt;=1.89),"松散",IF(AND(I740&gt;=2,I740&lt;=3.5),"标准",IF(I740&gt;=3.6,"紧凑",""))))</f>
        <v/>
      </c>
      <c r="M740" s="2" t="inlineStr">
        <is>
          <t>极紧凑-豹子号</t>
        </is>
      </c>
      <c r="N740" s="2" t="inlineStr">
        <is>
          <t>松散-极松散</t>
        </is>
      </c>
      <c r="O740" s="2" t="inlineStr">
        <is>
          <t>松散-标准松散</t>
        </is>
      </c>
      <c r="P740" s="2" t="inlineStr">
        <is>
          <t>松散-偏紧松散</t>
        </is>
      </c>
      <c r="Q740" s="2" t="inlineStr">
        <is>
          <t>标准-偏松标准</t>
        </is>
      </c>
      <c r="R740" s="2" t="inlineStr">
        <is>
          <t>标准-核心标准</t>
        </is>
      </c>
      <c r="S740" s="2" t="inlineStr">
        <is>
          <t>标准-偏紧标准</t>
        </is>
      </c>
      <c r="T740" s="2" t="inlineStr">
        <is>
          <t>紧凑-标准紧凑</t>
        </is>
      </c>
      <c r="U740" s="2" t="inlineStr">
        <is>
          <t>紧凑-高度紧凑</t>
        </is>
      </c>
      <c r="V740" s="2" t="inlineStr">
        <is>
          <t>紧凑-极度紧凑</t>
        </is>
      </c>
    </row>
    <row r="741">
      <c r="A741" s="1" t="n">
        <v>2024308</v>
      </c>
      <c r="B741" s="3" t="inlineStr">
        <is>
          <t>843</t>
        </is>
      </c>
      <c r="C741" s="2">
        <f>IF(B741="","",LEFT(TEXT(B741,"000"),1)*1)</f>
        <v/>
      </c>
      <c r="D741" s="2">
        <f>IF(B741="","",MID(TEXT(B741,"000"),2,1)*1)</f>
        <v/>
      </c>
      <c r="E741" s="2">
        <f>IF(B741="","",RIGHT(TEXT(B741,"000"),1)*1)</f>
        <v/>
      </c>
      <c r="F741" s="2">
        <f>IF(B741="","",C741+D741+E741)</f>
        <v/>
      </c>
      <c r="G741" s="2">
        <f>IF(B741="","",MOD(F741,10))</f>
        <v/>
      </c>
      <c r="H741" s="2">
        <f>IF(B741="","",MAX(C741,D741,E741)-MIN(C741,D741,E741))</f>
        <v/>
      </c>
      <c r="I741" s="2">
        <f>IF(OR(B741="",H741=0),IF(H741=0,0.1,""),ROUND(F741/H741,2))</f>
        <v/>
      </c>
      <c r="J741" s="2">
        <f>IF(I741=0.1,"极紧凑",IF(I741&gt;3.5,"紧凑",IF(AND(I741&gt;=2,I741&lt;=3.5),"标准",IF(AND(I741&gt;=1,I741&lt;2),"松散",""))))</f>
        <v/>
      </c>
      <c r="K741" s="2">
        <f>IF(I741=0.1,"极紧凑-豹子号",IF(AND(I741&gt;=1,I741&lt;=1.29),"松散-极松散",IF(AND(I741&gt;=1.33,I741&lt;=1.8),"松散-标准松散",IF(AND(I741&gt;=1.83,I741&lt;=1.89),"松散-偏紧松散",IF(AND(I741&gt;=2,I741&lt;=2.5),"标准-偏松标准",IF(AND(I741&gt;=2.57,I741&lt;=3),"标准-核心标准",IF(AND(I741&gt;=3.17,I741&lt;=3.5),"标准-偏紧标准",IF(AND(I741&gt;=3.6,I741&lt;=5),"紧凑-标准紧凑",IF(AND(I741&gt;=5.25,I741&lt;=8),"紧凑-高度紧凑",IF(I741&gt;=8.5,"紧凑-极度紧凑",""))))))))))</f>
        <v/>
      </c>
      <c r="L741" s="2">
        <f>IF(I741=0.1,"极紧凑",IF(AND(I741&gt;=1,I741&lt;=1.89),"松散",IF(AND(I741&gt;=2,I741&lt;=3.5),"标准",IF(I741&gt;=3.6,"紧凑",""))))</f>
        <v/>
      </c>
      <c r="M741" s="2" t="inlineStr">
        <is>
          <t>极紧凑-豹子号</t>
        </is>
      </c>
      <c r="N741" s="2" t="inlineStr">
        <is>
          <t>松散-极松散</t>
        </is>
      </c>
      <c r="O741" s="2" t="inlineStr">
        <is>
          <t>松散-标准松散</t>
        </is>
      </c>
      <c r="P741" s="2" t="inlineStr">
        <is>
          <t>松散-偏紧松散</t>
        </is>
      </c>
      <c r="Q741" s="2" t="inlineStr">
        <is>
          <t>标准-偏松标准</t>
        </is>
      </c>
      <c r="R741" s="2" t="inlineStr">
        <is>
          <t>标准-核心标准</t>
        </is>
      </c>
      <c r="S741" s="2" t="inlineStr">
        <is>
          <t>标准-偏紧标准</t>
        </is>
      </c>
      <c r="T741" s="2" t="inlineStr">
        <is>
          <t>紧凑-标准紧凑</t>
        </is>
      </c>
      <c r="U741" s="2" t="inlineStr">
        <is>
          <t>紧凑-高度紧凑</t>
        </is>
      </c>
      <c r="V741" s="2" t="inlineStr">
        <is>
          <t>紧凑-极度紧凑</t>
        </is>
      </c>
    </row>
    <row r="742">
      <c r="A742" s="1" t="n">
        <v>2024309</v>
      </c>
      <c r="B742" s="3" t="inlineStr">
        <is>
          <t>483</t>
        </is>
      </c>
      <c r="C742" s="2">
        <f>IF(B742="","",LEFT(TEXT(B742,"000"),1)*1)</f>
        <v/>
      </c>
      <c r="D742" s="2">
        <f>IF(B742="","",MID(TEXT(B742,"000"),2,1)*1)</f>
        <v/>
      </c>
      <c r="E742" s="2">
        <f>IF(B742="","",RIGHT(TEXT(B742,"000"),1)*1)</f>
        <v/>
      </c>
      <c r="F742" s="2">
        <f>IF(B742="","",C742+D742+E742)</f>
        <v/>
      </c>
      <c r="G742" s="2">
        <f>IF(B742="","",MOD(F742,10))</f>
        <v/>
      </c>
      <c r="H742" s="2">
        <f>IF(B742="","",MAX(C742,D742,E742)-MIN(C742,D742,E742))</f>
        <v/>
      </c>
      <c r="I742" s="2">
        <f>IF(OR(B742="",H742=0),IF(H742=0,0.1,""),ROUND(F742/H742,2))</f>
        <v/>
      </c>
      <c r="J742" s="2">
        <f>IF(I742=0.1,"极紧凑",IF(I742&gt;3.5,"紧凑",IF(AND(I742&gt;=2,I742&lt;=3.5),"标准",IF(AND(I742&gt;=1,I742&lt;2),"松散",""))))</f>
        <v/>
      </c>
      <c r="K742" s="2">
        <f>IF(I742=0.1,"极紧凑-豹子号",IF(AND(I742&gt;=1,I742&lt;=1.29),"松散-极松散",IF(AND(I742&gt;=1.33,I742&lt;=1.8),"松散-标准松散",IF(AND(I742&gt;=1.83,I742&lt;=1.89),"松散-偏紧松散",IF(AND(I742&gt;=2,I742&lt;=2.5),"标准-偏松标准",IF(AND(I742&gt;=2.57,I742&lt;=3),"标准-核心标准",IF(AND(I742&gt;=3.17,I742&lt;=3.5),"标准-偏紧标准",IF(AND(I742&gt;=3.6,I742&lt;=5),"紧凑-标准紧凑",IF(AND(I742&gt;=5.25,I742&lt;=8),"紧凑-高度紧凑",IF(I742&gt;=8.5,"紧凑-极度紧凑",""))))))))))</f>
        <v/>
      </c>
      <c r="L742" s="2">
        <f>IF(I742=0.1,"极紧凑",IF(AND(I742&gt;=1,I742&lt;=1.89),"松散",IF(AND(I742&gt;=2,I742&lt;=3.5),"标准",IF(I742&gt;=3.6,"紧凑",""))))</f>
        <v/>
      </c>
      <c r="M742" s="2" t="inlineStr">
        <is>
          <t>极紧凑-豹子号</t>
        </is>
      </c>
      <c r="N742" s="2" t="inlineStr">
        <is>
          <t>松散-极松散</t>
        </is>
      </c>
      <c r="O742" s="2" t="inlineStr">
        <is>
          <t>松散-标准松散</t>
        </is>
      </c>
      <c r="P742" s="2" t="inlineStr">
        <is>
          <t>松散-偏紧松散</t>
        </is>
      </c>
      <c r="Q742" s="2" t="inlineStr">
        <is>
          <t>标准-偏松标准</t>
        </is>
      </c>
      <c r="R742" s="2" t="inlineStr">
        <is>
          <t>标准-核心标准</t>
        </is>
      </c>
      <c r="S742" s="2" t="inlineStr">
        <is>
          <t>标准-偏紧标准</t>
        </is>
      </c>
      <c r="T742" s="2" t="inlineStr">
        <is>
          <t>紧凑-标准紧凑</t>
        </is>
      </c>
      <c r="U742" s="2" t="inlineStr">
        <is>
          <t>紧凑-高度紧凑</t>
        </is>
      </c>
      <c r="V742" s="2" t="inlineStr">
        <is>
          <t>紧凑-极度紧凑</t>
        </is>
      </c>
    </row>
    <row r="743">
      <c r="A743" s="1" t="n">
        <v>2024310</v>
      </c>
      <c r="B743" s="3" t="inlineStr">
        <is>
          <t>718</t>
        </is>
      </c>
      <c r="C743" s="2">
        <f>IF(B743="","",LEFT(TEXT(B743,"000"),1)*1)</f>
        <v/>
      </c>
      <c r="D743" s="2">
        <f>IF(B743="","",MID(TEXT(B743,"000"),2,1)*1)</f>
        <v/>
      </c>
      <c r="E743" s="2">
        <f>IF(B743="","",RIGHT(TEXT(B743,"000"),1)*1)</f>
        <v/>
      </c>
      <c r="F743" s="2">
        <f>IF(B743="","",C743+D743+E743)</f>
        <v/>
      </c>
      <c r="G743" s="2">
        <f>IF(B743="","",MOD(F743,10))</f>
        <v/>
      </c>
      <c r="H743" s="2">
        <f>IF(B743="","",MAX(C743,D743,E743)-MIN(C743,D743,E743))</f>
        <v/>
      </c>
      <c r="I743" s="2">
        <f>IF(OR(B743="",H743=0),IF(H743=0,0.1,""),ROUND(F743/H743,2))</f>
        <v/>
      </c>
      <c r="J743" s="2">
        <f>IF(I743=0.1,"极紧凑",IF(I743&gt;3.5,"紧凑",IF(AND(I743&gt;=2,I743&lt;=3.5),"标准",IF(AND(I743&gt;=1,I743&lt;2),"松散",""))))</f>
        <v/>
      </c>
      <c r="K743" s="2">
        <f>IF(I743=0.1,"极紧凑-豹子号",IF(AND(I743&gt;=1,I743&lt;=1.29),"松散-极松散",IF(AND(I743&gt;=1.33,I743&lt;=1.8),"松散-标准松散",IF(AND(I743&gt;=1.83,I743&lt;=1.89),"松散-偏紧松散",IF(AND(I743&gt;=2,I743&lt;=2.5),"标准-偏松标准",IF(AND(I743&gt;=2.57,I743&lt;=3),"标准-核心标准",IF(AND(I743&gt;=3.17,I743&lt;=3.5),"标准-偏紧标准",IF(AND(I743&gt;=3.6,I743&lt;=5),"紧凑-标准紧凑",IF(AND(I743&gt;=5.25,I743&lt;=8),"紧凑-高度紧凑",IF(I743&gt;=8.5,"紧凑-极度紧凑",""))))))))))</f>
        <v/>
      </c>
      <c r="L743" s="2">
        <f>IF(I743=0.1,"极紧凑",IF(AND(I743&gt;=1,I743&lt;=1.89),"松散",IF(AND(I743&gt;=2,I743&lt;=3.5),"标准",IF(I743&gt;=3.6,"紧凑",""))))</f>
        <v/>
      </c>
      <c r="M743" s="2" t="inlineStr">
        <is>
          <t>极紧凑-豹子号</t>
        </is>
      </c>
      <c r="N743" s="2" t="inlineStr">
        <is>
          <t>松散-极松散</t>
        </is>
      </c>
      <c r="O743" s="2" t="inlineStr">
        <is>
          <t>松散-标准松散</t>
        </is>
      </c>
      <c r="P743" s="2" t="inlineStr">
        <is>
          <t>松散-偏紧松散</t>
        </is>
      </c>
      <c r="Q743" s="2" t="inlineStr">
        <is>
          <t>标准-偏松标准</t>
        </is>
      </c>
      <c r="R743" s="2" t="inlineStr">
        <is>
          <t>标准-核心标准</t>
        </is>
      </c>
      <c r="S743" s="2" t="inlineStr">
        <is>
          <t>标准-偏紧标准</t>
        </is>
      </c>
      <c r="T743" s="2" t="inlineStr">
        <is>
          <t>紧凑-标准紧凑</t>
        </is>
      </c>
      <c r="U743" s="2" t="inlineStr">
        <is>
          <t>紧凑-高度紧凑</t>
        </is>
      </c>
      <c r="V743" s="2" t="inlineStr">
        <is>
          <t>紧凑-极度紧凑</t>
        </is>
      </c>
    </row>
    <row r="744">
      <c r="A744" s="1" t="n">
        <v>2024311</v>
      </c>
      <c r="B744" s="3" t="inlineStr">
        <is>
          <t>533</t>
        </is>
      </c>
      <c r="C744" s="2">
        <f>IF(B744="","",LEFT(TEXT(B744,"000"),1)*1)</f>
        <v/>
      </c>
      <c r="D744" s="2">
        <f>IF(B744="","",MID(TEXT(B744,"000"),2,1)*1)</f>
        <v/>
      </c>
      <c r="E744" s="2">
        <f>IF(B744="","",RIGHT(TEXT(B744,"000"),1)*1)</f>
        <v/>
      </c>
      <c r="F744" s="2">
        <f>IF(B744="","",C744+D744+E744)</f>
        <v/>
      </c>
      <c r="G744" s="2">
        <f>IF(B744="","",MOD(F744,10))</f>
        <v/>
      </c>
      <c r="H744" s="2">
        <f>IF(B744="","",MAX(C744,D744,E744)-MIN(C744,D744,E744))</f>
        <v/>
      </c>
      <c r="I744" s="2">
        <f>IF(OR(B744="",H744=0),IF(H744=0,0.1,""),ROUND(F744/H744,2))</f>
        <v/>
      </c>
      <c r="J744" s="2">
        <f>IF(I744=0.1,"极紧凑",IF(I744&gt;3.5,"紧凑",IF(AND(I744&gt;=2,I744&lt;=3.5),"标准",IF(AND(I744&gt;=1,I744&lt;2),"松散",""))))</f>
        <v/>
      </c>
      <c r="K744" s="2">
        <f>IF(I744=0.1,"极紧凑-豹子号",IF(AND(I744&gt;=1,I744&lt;=1.29),"松散-极松散",IF(AND(I744&gt;=1.33,I744&lt;=1.8),"松散-标准松散",IF(AND(I744&gt;=1.83,I744&lt;=1.89),"松散-偏紧松散",IF(AND(I744&gt;=2,I744&lt;=2.5),"标准-偏松标准",IF(AND(I744&gt;=2.57,I744&lt;=3),"标准-核心标准",IF(AND(I744&gt;=3.17,I744&lt;=3.5),"标准-偏紧标准",IF(AND(I744&gt;=3.6,I744&lt;=5),"紧凑-标准紧凑",IF(AND(I744&gt;=5.25,I744&lt;=8),"紧凑-高度紧凑",IF(I744&gt;=8.5,"紧凑-极度紧凑",""))))))))))</f>
        <v/>
      </c>
      <c r="L744" s="2">
        <f>IF(I744=0.1,"极紧凑",IF(AND(I744&gt;=1,I744&lt;=1.89),"松散",IF(AND(I744&gt;=2,I744&lt;=3.5),"标准",IF(I744&gt;=3.6,"紧凑",""))))</f>
        <v/>
      </c>
      <c r="M744" s="2" t="inlineStr">
        <is>
          <t>极紧凑-豹子号</t>
        </is>
      </c>
      <c r="N744" s="2" t="inlineStr">
        <is>
          <t>松散-极松散</t>
        </is>
      </c>
      <c r="O744" s="2" t="inlineStr">
        <is>
          <t>松散-标准松散</t>
        </is>
      </c>
      <c r="P744" s="2" t="inlineStr">
        <is>
          <t>松散-偏紧松散</t>
        </is>
      </c>
      <c r="Q744" s="2" t="inlineStr">
        <is>
          <t>标准-偏松标准</t>
        </is>
      </c>
      <c r="R744" s="2" t="inlineStr">
        <is>
          <t>标准-核心标准</t>
        </is>
      </c>
      <c r="S744" s="2" t="inlineStr">
        <is>
          <t>标准-偏紧标准</t>
        </is>
      </c>
      <c r="T744" s="2" t="inlineStr">
        <is>
          <t>紧凑-标准紧凑</t>
        </is>
      </c>
      <c r="U744" s="2" t="inlineStr">
        <is>
          <t>紧凑-高度紧凑</t>
        </is>
      </c>
      <c r="V744" s="2" t="inlineStr">
        <is>
          <t>紧凑-极度紧凑</t>
        </is>
      </c>
    </row>
    <row r="745">
      <c r="A745" s="1" t="n">
        <v>2024312</v>
      </c>
      <c r="B745" s="3" t="inlineStr">
        <is>
          <t>413</t>
        </is>
      </c>
      <c r="C745" s="2">
        <f>IF(B745="","",LEFT(TEXT(B745,"000"),1)*1)</f>
        <v/>
      </c>
      <c r="D745" s="2">
        <f>IF(B745="","",MID(TEXT(B745,"000"),2,1)*1)</f>
        <v/>
      </c>
      <c r="E745" s="2">
        <f>IF(B745="","",RIGHT(TEXT(B745,"000"),1)*1)</f>
        <v/>
      </c>
      <c r="F745" s="2">
        <f>IF(B745="","",C745+D745+E745)</f>
        <v/>
      </c>
      <c r="G745" s="2">
        <f>IF(B745="","",MOD(F745,10))</f>
        <v/>
      </c>
      <c r="H745" s="2">
        <f>IF(B745="","",MAX(C745,D745,E745)-MIN(C745,D745,E745))</f>
        <v/>
      </c>
      <c r="I745" s="2">
        <f>IF(OR(B745="",H745=0),IF(H745=0,0.1,""),ROUND(F745/H745,2))</f>
        <v/>
      </c>
      <c r="J745" s="2">
        <f>IF(I745=0.1,"极紧凑",IF(I745&gt;3.5,"紧凑",IF(AND(I745&gt;=2,I745&lt;=3.5),"标准",IF(AND(I745&gt;=1,I745&lt;2),"松散",""))))</f>
        <v/>
      </c>
      <c r="K745" s="2">
        <f>IF(I745=0.1,"极紧凑-豹子号",IF(AND(I745&gt;=1,I745&lt;=1.29),"松散-极松散",IF(AND(I745&gt;=1.33,I745&lt;=1.8),"松散-标准松散",IF(AND(I745&gt;=1.83,I745&lt;=1.89),"松散-偏紧松散",IF(AND(I745&gt;=2,I745&lt;=2.5),"标准-偏松标准",IF(AND(I745&gt;=2.57,I745&lt;=3),"标准-核心标准",IF(AND(I745&gt;=3.17,I745&lt;=3.5),"标准-偏紧标准",IF(AND(I745&gt;=3.6,I745&lt;=5),"紧凑-标准紧凑",IF(AND(I745&gt;=5.25,I745&lt;=8),"紧凑-高度紧凑",IF(I745&gt;=8.5,"紧凑-极度紧凑",""))))))))))</f>
        <v/>
      </c>
      <c r="L745" s="2">
        <f>IF(I745=0.1,"极紧凑",IF(AND(I745&gt;=1,I745&lt;=1.89),"松散",IF(AND(I745&gt;=2,I745&lt;=3.5),"标准",IF(I745&gt;=3.6,"紧凑",""))))</f>
        <v/>
      </c>
      <c r="M745" s="2" t="inlineStr">
        <is>
          <t>极紧凑-豹子号</t>
        </is>
      </c>
      <c r="N745" s="2" t="inlineStr">
        <is>
          <t>松散-极松散</t>
        </is>
      </c>
      <c r="O745" s="2" t="inlineStr">
        <is>
          <t>松散-标准松散</t>
        </is>
      </c>
      <c r="P745" s="2" t="inlineStr">
        <is>
          <t>松散-偏紧松散</t>
        </is>
      </c>
      <c r="Q745" s="2" t="inlineStr">
        <is>
          <t>标准-偏松标准</t>
        </is>
      </c>
      <c r="R745" s="2" t="inlineStr">
        <is>
          <t>标准-核心标准</t>
        </is>
      </c>
      <c r="S745" s="2" t="inlineStr">
        <is>
          <t>标准-偏紧标准</t>
        </is>
      </c>
      <c r="T745" s="2" t="inlineStr">
        <is>
          <t>紧凑-标准紧凑</t>
        </is>
      </c>
      <c r="U745" s="2" t="inlineStr">
        <is>
          <t>紧凑-高度紧凑</t>
        </is>
      </c>
      <c r="V745" s="2" t="inlineStr">
        <is>
          <t>紧凑-极度紧凑</t>
        </is>
      </c>
    </row>
    <row r="746">
      <c r="A746" s="1" t="n">
        <v>2024313</v>
      </c>
      <c r="B746" s="3" t="inlineStr">
        <is>
          <t>471</t>
        </is>
      </c>
      <c r="C746" s="2">
        <f>IF(B746="","",LEFT(TEXT(B746,"000"),1)*1)</f>
        <v/>
      </c>
      <c r="D746" s="2">
        <f>IF(B746="","",MID(TEXT(B746,"000"),2,1)*1)</f>
        <v/>
      </c>
      <c r="E746" s="2">
        <f>IF(B746="","",RIGHT(TEXT(B746,"000"),1)*1)</f>
        <v/>
      </c>
      <c r="F746" s="2">
        <f>IF(B746="","",C746+D746+E746)</f>
        <v/>
      </c>
      <c r="G746" s="2">
        <f>IF(B746="","",MOD(F746,10))</f>
        <v/>
      </c>
      <c r="H746" s="2">
        <f>IF(B746="","",MAX(C746,D746,E746)-MIN(C746,D746,E746))</f>
        <v/>
      </c>
      <c r="I746" s="2">
        <f>IF(OR(B746="",H746=0),IF(H746=0,0.1,""),ROUND(F746/H746,2))</f>
        <v/>
      </c>
      <c r="J746" s="2">
        <f>IF(I746=0.1,"极紧凑",IF(I746&gt;3.5,"紧凑",IF(AND(I746&gt;=2,I746&lt;=3.5),"标准",IF(AND(I746&gt;=1,I746&lt;2),"松散",""))))</f>
        <v/>
      </c>
      <c r="K746" s="2">
        <f>IF(I746=0.1,"极紧凑-豹子号",IF(AND(I746&gt;=1,I746&lt;=1.29),"松散-极松散",IF(AND(I746&gt;=1.33,I746&lt;=1.8),"松散-标准松散",IF(AND(I746&gt;=1.83,I746&lt;=1.89),"松散-偏紧松散",IF(AND(I746&gt;=2,I746&lt;=2.5),"标准-偏松标准",IF(AND(I746&gt;=2.57,I746&lt;=3),"标准-核心标准",IF(AND(I746&gt;=3.17,I746&lt;=3.5),"标准-偏紧标准",IF(AND(I746&gt;=3.6,I746&lt;=5),"紧凑-标准紧凑",IF(AND(I746&gt;=5.25,I746&lt;=8),"紧凑-高度紧凑",IF(I746&gt;=8.5,"紧凑-极度紧凑",""))))))))))</f>
        <v/>
      </c>
      <c r="L746" s="2">
        <f>IF(I746=0.1,"极紧凑",IF(AND(I746&gt;=1,I746&lt;=1.89),"松散",IF(AND(I746&gt;=2,I746&lt;=3.5),"标准",IF(I746&gt;=3.6,"紧凑",""))))</f>
        <v/>
      </c>
      <c r="M746" s="2" t="inlineStr">
        <is>
          <t>极紧凑-豹子号</t>
        </is>
      </c>
      <c r="N746" s="2" t="inlineStr">
        <is>
          <t>松散-极松散</t>
        </is>
      </c>
      <c r="O746" s="2" t="inlineStr">
        <is>
          <t>松散-标准松散</t>
        </is>
      </c>
      <c r="P746" s="2" t="inlineStr">
        <is>
          <t>松散-偏紧松散</t>
        </is>
      </c>
      <c r="Q746" s="2" t="inlineStr">
        <is>
          <t>标准-偏松标准</t>
        </is>
      </c>
      <c r="R746" s="2" t="inlineStr">
        <is>
          <t>标准-核心标准</t>
        </is>
      </c>
      <c r="S746" s="2" t="inlineStr">
        <is>
          <t>标准-偏紧标准</t>
        </is>
      </c>
      <c r="T746" s="2" t="inlineStr">
        <is>
          <t>紧凑-标准紧凑</t>
        </is>
      </c>
      <c r="U746" s="2" t="inlineStr">
        <is>
          <t>紧凑-高度紧凑</t>
        </is>
      </c>
      <c r="V746" s="2" t="inlineStr">
        <is>
          <t>紧凑-极度紧凑</t>
        </is>
      </c>
    </row>
    <row r="747">
      <c r="A747" s="1" t="n">
        <v>2024314</v>
      </c>
      <c r="B747" s="3" t="inlineStr">
        <is>
          <t>080</t>
        </is>
      </c>
      <c r="C747" s="2">
        <f>IF(B747="","",LEFT(TEXT(B747,"000"),1)*1)</f>
        <v/>
      </c>
      <c r="D747" s="2">
        <f>IF(B747="","",MID(TEXT(B747,"000"),2,1)*1)</f>
        <v/>
      </c>
      <c r="E747" s="2">
        <f>IF(B747="","",RIGHT(TEXT(B747,"000"),1)*1)</f>
        <v/>
      </c>
      <c r="F747" s="2">
        <f>IF(B747="","",C747+D747+E747)</f>
        <v/>
      </c>
      <c r="G747" s="2">
        <f>IF(B747="","",MOD(F747,10))</f>
        <v/>
      </c>
      <c r="H747" s="2">
        <f>IF(B747="","",MAX(C747,D747,E747)-MIN(C747,D747,E747))</f>
        <v/>
      </c>
      <c r="I747" s="2">
        <f>IF(OR(B747="",H747=0),IF(H747=0,0.1,""),ROUND(F747/H747,2))</f>
        <v/>
      </c>
      <c r="J747" s="2">
        <f>IF(I747=0.1,"极紧凑",IF(I747&gt;3.5,"紧凑",IF(AND(I747&gt;=2,I747&lt;=3.5),"标准",IF(AND(I747&gt;=1,I747&lt;2),"松散",""))))</f>
        <v/>
      </c>
      <c r="K747" s="2">
        <f>IF(I747=0.1,"极紧凑-豹子号",IF(AND(I747&gt;=1,I747&lt;=1.29),"松散-极松散",IF(AND(I747&gt;=1.33,I747&lt;=1.8),"松散-标准松散",IF(AND(I747&gt;=1.83,I747&lt;=1.89),"松散-偏紧松散",IF(AND(I747&gt;=2,I747&lt;=2.5),"标准-偏松标准",IF(AND(I747&gt;=2.57,I747&lt;=3),"标准-核心标准",IF(AND(I747&gt;=3.17,I747&lt;=3.5),"标准-偏紧标准",IF(AND(I747&gt;=3.6,I747&lt;=5),"紧凑-标准紧凑",IF(AND(I747&gt;=5.25,I747&lt;=8),"紧凑-高度紧凑",IF(I747&gt;=8.5,"紧凑-极度紧凑",""))))))))))</f>
        <v/>
      </c>
      <c r="L747" s="2">
        <f>IF(I747=0.1,"极紧凑",IF(AND(I747&gt;=1,I747&lt;=1.89),"松散",IF(AND(I747&gt;=2,I747&lt;=3.5),"标准",IF(I747&gt;=3.6,"紧凑",""))))</f>
        <v/>
      </c>
      <c r="M747" s="2" t="inlineStr">
        <is>
          <t>极紧凑-豹子号</t>
        </is>
      </c>
      <c r="N747" s="2" t="inlineStr">
        <is>
          <t>松散-极松散</t>
        </is>
      </c>
      <c r="O747" s="2" t="inlineStr">
        <is>
          <t>松散-标准松散</t>
        </is>
      </c>
      <c r="P747" s="2" t="inlineStr">
        <is>
          <t>松散-偏紧松散</t>
        </is>
      </c>
      <c r="Q747" s="2" t="inlineStr">
        <is>
          <t>标准-偏松标准</t>
        </is>
      </c>
      <c r="R747" s="2" t="inlineStr">
        <is>
          <t>标准-核心标准</t>
        </is>
      </c>
      <c r="S747" s="2" t="inlineStr">
        <is>
          <t>标准-偏紧标准</t>
        </is>
      </c>
      <c r="T747" s="2" t="inlineStr">
        <is>
          <t>紧凑-标准紧凑</t>
        </is>
      </c>
      <c r="U747" s="2" t="inlineStr">
        <is>
          <t>紧凑-高度紧凑</t>
        </is>
      </c>
      <c r="V747" s="2" t="inlineStr">
        <is>
          <t>紧凑-极度紧凑</t>
        </is>
      </c>
    </row>
    <row r="748">
      <c r="A748" s="1" t="n">
        <v>2024315</v>
      </c>
      <c r="B748" s="3" t="inlineStr">
        <is>
          <t>071</t>
        </is>
      </c>
      <c r="C748" s="2">
        <f>IF(B748="","",LEFT(TEXT(B748,"000"),1)*1)</f>
        <v/>
      </c>
      <c r="D748" s="2">
        <f>IF(B748="","",MID(TEXT(B748,"000"),2,1)*1)</f>
        <v/>
      </c>
      <c r="E748" s="2">
        <f>IF(B748="","",RIGHT(TEXT(B748,"000"),1)*1)</f>
        <v/>
      </c>
      <c r="F748" s="2">
        <f>IF(B748="","",C748+D748+E748)</f>
        <v/>
      </c>
      <c r="G748" s="2">
        <f>IF(B748="","",MOD(F748,10))</f>
        <v/>
      </c>
      <c r="H748" s="2">
        <f>IF(B748="","",MAX(C748,D748,E748)-MIN(C748,D748,E748))</f>
        <v/>
      </c>
      <c r="I748" s="2">
        <f>IF(OR(B748="",H748=0),IF(H748=0,0.1,""),ROUND(F748/H748,2))</f>
        <v/>
      </c>
      <c r="J748" s="2">
        <f>IF(I748=0.1,"极紧凑",IF(I748&gt;3.5,"紧凑",IF(AND(I748&gt;=2,I748&lt;=3.5),"标准",IF(AND(I748&gt;=1,I748&lt;2),"松散",""))))</f>
        <v/>
      </c>
      <c r="K748" s="2">
        <f>IF(I748=0.1,"极紧凑-豹子号",IF(AND(I748&gt;=1,I748&lt;=1.29),"松散-极松散",IF(AND(I748&gt;=1.33,I748&lt;=1.8),"松散-标准松散",IF(AND(I748&gt;=1.83,I748&lt;=1.89),"松散-偏紧松散",IF(AND(I748&gt;=2,I748&lt;=2.5),"标准-偏松标准",IF(AND(I748&gt;=2.57,I748&lt;=3),"标准-核心标准",IF(AND(I748&gt;=3.17,I748&lt;=3.5),"标准-偏紧标准",IF(AND(I748&gt;=3.6,I748&lt;=5),"紧凑-标准紧凑",IF(AND(I748&gt;=5.25,I748&lt;=8),"紧凑-高度紧凑",IF(I748&gt;=8.5,"紧凑-极度紧凑",""))))))))))</f>
        <v/>
      </c>
      <c r="L748" s="2">
        <f>IF(I748=0.1,"极紧凑",IF(AND(I748&gt;=1,I748&lt;=1.89),"松散",IF(AND(I748&gt;=2,I748&lt;=3.5),"标准",IF(I748&gt;=3.6,"紧凑",""))))</f>
        <v/>
      </c>
      <c r="M748" s="2" t="inlineStr">
        <is>
          <t>极紧凑-豹子号</t>
        </is>
      </c>
      <c r="N748" s="2" t="inlineStr">
        <is>
          <t>松散-极松散</t>
        </is>
      </c>
      <c r="O748" s="2" t="inlineStr">
        <is>
          <t>松散-标准松散</t>
        </is>
      </c>
      <c r="P748" s="2" t="inlineStr">
        <is>
          <t>松散-偏紧松散</t>
        </is>
      </c>
      <c r="Q748" s="2" t="inlineStr">
        <is>
          <t>标准-偏松标准</t>
        </is>
      </c>
      <c r="R748" s="2" t="inlineStr">
        <is>
          <t>标准-核心标准</t>
        </is>
      </c>
      <c r="S748" s="2" t="inlineStr">
        <is>
          <t>标准-偏紧标准</t>
        </is>
      </c>
      <c r="T748" s="2" t="inlineStr">
        <is>
          <t>紧凑-标准紧凑</t>
        </is>
      </c>
      <c r="U748" s="2" t="inlineStr">
        <is>
          <t>紧凑-高度紧凑</t>
        </is>
      </c>
      <c r="V748" s="2" t="inlineStr">
        <is>
          <t>紧凑-极度紧凑</t>
        </is>
      </c>
    </row>
    <row r="749">
      <c r="A749" s="1" t="n">
        <v>2024316</v>
      </c>
      <c r="B749" s="3" t="inlineStr">
        <is>
          <t>332</t>
        </is>
      </c>
      <c r="C749" s="2">
        <f>IF(B749="","",LEFT(TEXT(B749,"000"),1)*1)</f>
        <v/>
      </c>
      <c r="D749" s="2">
        <f>IF(B749="","",MID(TEXT(B749,"000"),2,1)*1)</f>
        <v/>
      </c>
      <c r="E749" s="2">
        <f>IF(B749="","",RIGHT(TEXT(B749,"000"),1)*1)</f>
        <v/>
      </c>
      <c r="F749" s="2">
        <f>IF(B749="","",C749+D749+E749)</f>
        <v/>
      </c>
      <c r="G749" s="2">
        <f>IF(B749="","",MOD(F749,10))</f>
        <v/>
      </c>
      <c r="H749" s="2">
        <f>IF(B749="","",MAX(C749,D749,E749)-MIN(C749,D749,E749))</f>
        <v/>
      </c>
      <c r="I749" s="2">
        <f>IF(OR(B749="",H749=0),IF(H749=0,0.1,""),ROUND(F749/H749,2))</f>
        <v/>
      </c>
      <c r="J749" s="2">
        <f>IF(I749=0.1,"极紧凑",IF(I749&gt;3.5,"紧凑",IF(AND(I749&gt;=2,I749&lt;=3.5),"标准",IF(AND(I749&gt;=1,I749&lt;2),"松散",""))))</f>
        <v/>
      </c>
      <c r="K749" s="2">
        <f>IF(I749=0.1,"极紧凑-豹子号",IF(AND(I749&gt;=1,I749&lt;=1.29),"松散-极松散",IF(AND(I749&gt;=1.33,I749&lt;=1.8),"松散-标准松散",IF(AND(I749&gt;=1.83,I749&lt;=1.89),"松散-偏紧松散",IF(AND(I749&gt;=2,I749&lt;=2.5),"标准-偏松标准",IF(AND(I749&gt;=2.57,I749&lt;=3),"标准-核心标准",IF(AND(I749&gt;=3.17,I749&lt;=3.5),"标准-偏紧标准",IF(AND(I749&gt;=3.6,I749&lt;=5),"紧凑-标准紧凑",IF(AND(I749&gt;=5.25,I749&lt;=8),"紧凑-高度紧凑",IF(I749&gt;=8.5,"紧凑-极度紧凑",""))))))))))</f>
        <v/>
      </c>
      <c r="L749" s="2">
        <f>IF(I749=0.1,"极紧凑",IF(AND(I749&gt;=1,I749&lt;=1.89),"松散",IF(AND(I749&gt;=2,I749&lt;=3.5),"标准",IF(I749&gt;=3.6,"紧凑",""))))</f>
        <v/>
      </c>
      <c r="M749" s="2" t="inlineStr">
        <is>
          <t>极紧凑-豹子号</t>
        </is>
      </c>
      <c r="N749" s="2" t="inlineStr">
        <is>
          <t>松散-极松散</t>
        </is>
      </c>
      <c r="O749" s="2" t="inlineStr">
        <is>
          <t>松散-标准松散</t>
        </is>
      </c>
      <c r="P749" s="2" t="inlineStr">
        <is>
          <t>松散-偏紧松散</t>
        </is>
      </c>
      <c r="Q749" s="2" t="inlineStr">
        <is>
          <t>标准-偏松标准</t>
        </is>
      </c>
      <c r="R749" s="2" t="inlineStr">
        <is>
          <t>标准-核心标准</t>
        </is>
      </c>
      <c r="S749" s="2" t="inlineStr">
        <is>
          <t>标准-偏紧标准</t>
        </is>
      </c>
      <c r="T749" s="2" t="inlineStr">
        <is>
          <t>紧凑-标准紧凑</t>
        </is>
      </c>
      <c r="U749" s="2" t="inlineStr">
        <is>
          <t>紧凑-高度紧凑</t>
        </is>
      </c>
      <c r="V749" s="2" t="inlineStr">
        <is>
          <t>紧凑-极度紧凑</t>
        </is>
      </c>
    </row>
    <row r="750">
      <c r="A750" s="1" t="n">
        <v>2024317</v>
      </c>
      <c r="B750" s="3" t="inlineStr">
        <is>
          <t>355</t>
        </is>
      </c>
      <c r="C750" s="2">
        <f>IF(B750="","",LEFT(TEXT(B750,"000"),1)*1)</f>
        <v/>
      </c>
      <c r="D750" s="2">
        <f>IF(B750="","",MID(TEXT(B750,"000"),2,1)*1)</f>
        <v/>
      </c>
      <c r="E750" s="2">
        <f>IF(B750="","",RIGHT(TEXT(B750,"000"),1)*1)</f>
        <v/>
      </c>
      <c r="F750" s="2">
        <f>IF(B750="","",C750+D750+E750)</f>
        <v/>
      </c>
      <c r="G750" s="2">
        <f>IF(B750="","",MOD(F750,10))</f>
        <v/>
      </c>
      <c r="H750" s="2">
        <f>IF(B750="","",MAX(C750,D750,E750)-MIN(C750,D750,E750))</f>
        <v/>
      </c>
      <c r="I750" s="2">
        <f>IF(OR(B750="",H750=0),IF(H750=0,0.1,""),ROUND(F750/H750,2))</f>
        <v/>
      </c>
      <c r="J750" s="2">
        <f>IF(I750=0.1,"极紧凑",IF(I750&gt;3.5,"紧凑",IF(AND(I750&gt;=2,I750&lt;=3.5),"标准",IF(AND(I750&gt;=1,I750&lt;2),"松散",""))))</f>
        <v/>
      </c>
      <c r="K750" s="2">
        <f>IF(I750=0.1,"极紧凑-豹子号",IF(AND(I750&gt;=1,I750&lt;=1.29),"松散-极松散",IF(AND(I750&gt;=1.33,I750&lt;=1.8),"松散-标准松散",IF(AND(I750&gt;=1.83,I750&lt;=1.89),"松散-偏紧松散",IF(AND(I750&gt;=2,I750&lt;=2.5),"标准-偏松标准",IF(AND(I750&gt;=2.57,I750&lt;=3),"标准-核心标准",IF(AND(I750&gt;=3.17,I750&lt;=3.5),"标准-偏紧标准",IF(AND(I750&gt;=3.6,I750&lt;=5),"紧凑-标准紧凑",IF(AND(I750&gt;=5.25,I750&lt;=8),"紧凑-高度紧凑",IF(I750&gt;=8.5,"紧凑-极度紧凑",""))))))))))</f>
        <v/>
      </c>
      <c r="L750" s="2">
        <f>IF(I750=0.1,"极紧凑",IF(AND(I750&gt;=1,I750&lt;=1.89),"松散",IF(AND(I750&gt;=2,I750&lt;=3.5),"标准",IF(I750&gt;=3.6,"紧凑",""))))</f>
        <v/>
      </c>
      <c r="M750" s="2" t="inlineStr">
        <is>
          <t>极紧凑-豹子号</t>
        </is>
      </c>
      <c r="N750" s="2" t="inlineStr">
        <is>
          <t>松散-极松散</t>
        </is>
      </c>
      <c r="O750" s="2" t="inlineStr">
        <is>
          <t>松散-标准松散</t>
        </is>
      </c>
      <c r="P750" s="2" t="inlineStr">
        <is>
          <t>松散-偏紧松散</t>
        </is>
      </c>
      <c r="Q750" s="2" t="inlineStr">
        <is>
          <t>标准-偏松标准</t>
        </is>
      </c>
      <c r="R750" s="2" t="inlineStr">
        <is>
          <t>标准-核心标准</t>
        </is>
      </c>
      <c r="S750" s="2" t="inlineStr">
        <is>
          <t>标准-偏紧标准</t>
        </is>
      </c>
      <c r="T750" s="2" t="inlineStr">
        <is>
          <t>紧凑-标准紧凑</t>
        </is>
      </c>
      <c r="U750" s="2" t="inlineStr">
        <is>
          <t>紧凑-高度紧凑</t>
        </is>
      </c>
      <c r="V750" s="2" t="inlineStr">
        <is>
          <t>紧凑-极度紧凑</t>
        </is>
      </c>
    </row>
    <row r="751">
      <c r="A751" s="1" t="n">
        <v>2024318</v>
      </c>
      <c r="B751" s="3" t="inlineStr">
        <is>
          <t>243</t>
        </is>
      </c>
      <c r="C751" s="2">
        <f>IF(B751="","",LEFT(TEXT(B751,"000"),1)*1)</f>
        <v/>
      </c>
      <c r="D751" s="2">
        <f>IF(B751="","",MID(TEXT(B751,"000"),2,1)*1)</f>
        <v/>
      </c>
      <c r="E751" s="2">
        <f>IF(B751="","",RIGHT(TEXT(B751,"000"),1)*1)</f>
        <v/>
      </c>
      <c r="F751" s="2">
        <f>IF(B751="","",C751+D751+E751)</f>
        <v/>
      </c>
      <c r="G751" s="2">
        <f>IF(B751="","",MOD(F751,10))</f>
        <v/>
      </c>
      <c r="H751" s="2">
        <f>IF(B751="","",MAX(C751,D751,E751)-MIN(C751,D751,E751))</f>
        <v/>
      </c>
      <c r="I751" s="2">
        <f>IF(OR(B751="",H751=0),IF(H751=0,0.1,""),ROUND(F751/H751,2))</f>
        <v/>
      </c>
      <c r="J751" s="2">
        <f>IF(I751=0.1,"极紧凑",IF(I751&gt;3.5,"紧凑",IF(AND(I751&gt;=2,I751&lt;=3.5),"标准",IF(AND(I751&gt;=1,I751&lt;2),"松散",""))))</f>
        <v/>
      </c>
      <c r="K751" s="2">
        <f>IF(I751=0.1,"极紧凑-豹子号",IF(AND(I751&gt;=1,I751&lt;=1.29),"松散-极松散",IF(AND(I751&gt;=1.33,I751&lt;=1.8),"松散-标准松散",IF(AND(I751&gt;=1.83,I751&lt;=1.89),"松散-偏紧松散",IF(AND(I751&gt;=2,I751&lt;=2.5),"标准-偏松标准",IF(AND(I751&gt;=2.57,I751&lt;=3),"标准-核心标准",IF(AND(I751&gt;=3.17,I751&lt;=3.5),"标准-偏紧标准",IF(AND(I751&gt;=3.6,I751&lt;=5),"紧凑-标准紧凑",IF(AND(I751&gt;=5.25,I751&lt;=8),"紧凑-高度紧凑",IF(I751&gt;=8.5,"紧凑-极度紧凑",""))))))))))</f>
        <v/>
      </c>
      <c r="L751" s="2">
        <f>IF(I751=0.1,"极紧凑",IF(AND(I751&gt;=1,I751&lt;=1.89),"松散",IF(AND(I751&gt;=2,I751&lt;=3.5),"标准",IF(I751&gt;=3.6,"紧凑",""))))</f>
        <v/>
      </c>
      <c r="M751" s="2" t="inlineStr">
        <is>
          <t>极紧凑-豹子号</t>
        </is>
      </c>
      <c r="N751" s="2" t="inlineStr">
        <is>
          <t>松散-极松散</t>
        </is>
      </c>
      <c r="O751" s="2" t="inlineStr">
        <is>
          <t>松散-标准松散</t>
        </is>
      </c>
      <c r="P751" s="2" t="inlineStr">
        <is>
          <t>松散-偏紧松散</t>
        </is>
      </c>
      <c r="Q751" s="2" t="inlineStr">
        <is>
          <t>标准-偏松标准</t>
        </is>
      </c>
      <c r="R751" s="2" t="inlineStr">
        <is>
          <t>标准-核心标准</t>
        </is>
      </c>
      <c r="S751" s="2" t="inlineStr">
        <is>
          <t>标准-偏紧标准</t>
        </is>
      </c>
      <c r="T751" s="2" t="inlineStr">
        <is>
          <t>紧凑-标准紧凑</t>
        </is>
      </c>
      <c r="U751" s="2" t="inlineStr">
        <is>
          <t>紧凑-高度紧凑</t>
        </is>
      </c>
      <c r="V751" s="2" t="inlineStr">
        <is>
          <t>紧凑-极度紧凑</t>
        </is>
      </c>
    </row>
    <row r="752">
      <c r="A752" s="1" t="n">
        <v>2024319</v>
      </c>
      <c r="B752" s="3" t="inlineStr">
        <is>
          <t>793</t>
        </is>
      </c>
      <c r="C752" s="2">
        <f>IF(B752="","",LEFT(TEXT(B752,"000"),1)*1)</f>
        <v/>
      </c>
      <c r="D752" s="2">
        <f>IF(B752="","",MID(TEXT(B752,"000"),2,1)*1)</f>
        <v/>
      </c>
      <c r="E752" s="2">
        <f>IF(B752="","",RIGHT(TEXT(B752,"000"),1)*1)</f>
        <v/>
      </c>
      <c r="F752" s="2">
        <f>IF(B752="","",C752+D752+E752)</f>
        <v/>
      </c>
      <c r="G752" s="2">
        <f>IF(B752="","",MOD(F752,10))</f>
        <v/>
      </c>
      <c r="H752" s="2">
        <f>IF(B752="","",MAX(C752,D752,E752)-MIN(C752,D752,E752))</f>
        <v/>
      </c>
      <c r="I752" s="2">
        <f>IF(OR(B752="",H752=0),IF(H752=0,0.1,""),ROUND(F752/H752,2))</f>
        <v/>
      </c>
      <c r="J752" s="2">
        <f>IF(I752=0.1,"极紧凑",IF(I752&gt;3.5,"紧凑",IF(AND(I752&gt;=2,I752&lt;=3.5),"标准",IF(AND(I752&gt;=1,I752&lt;2),"松散",""))))</f>
        <v/>
      </c>
      <c r="K752" s="2">
        <f>IF(I752=0.1,"极紧凑-豹子号",IF(AND(I752&gt;=1,I752&lt;=1.29),"松散-极松散",IF(AND(I752&gt;=1.33,I752&lt;=1.8),"松散-标准松散",IF(AND(I752&gt;=1.83,I752&lt;=1.89),"松散-偏紧松散",IF(AND(I752&gt;=2,I752&lt;=2.5),"标准-偏松标准",IF(AND(I752&gt;=2.57,I752&lt;=3),"标准-核心标准",IF(AND(I752&gt;=3.17,I752&lt;=3.5),"标准-偏紧标准",IF(AND(I752&gt;=3.6,I752&lt;=5),"紧凑-标准紧凑",IF(AND(I752&gt;=5.25,I752&lt;=8),"紧凑-高度紧凑",IF(I752&gt;=8.5,"紧凑-极度紧凑",""))))))))))</f>
        <v/>
      </c>
      <c r="L752" s="2">
        <f>IF(I752=0.1,"极紧凑",IF(AND(I752&gt;=1,I752&lt;=1.89),"松散",IF(AND(I752&gt;=2,I752&lt;=3.5),"标准",IF(I752&gt;=3.6,"紧凑",""))))</f>
        <v/>
      </c>
      <c r="M752" s="2" t="inlineStr">
        <is>
          <t>极紧凑-豹子号</t>
        </is>
      </c>
      <c r="N752" s="2" t="inlineStr">
        <is>
          <t>松散-极松散</t>
        </is>
      </c>
      <c r="O752" s="2" t="inlineStr">
        <is>
          <t>松散-标准松散</t>
        </is>
      </c>
      <c r="P752" s="2" t="inlineStr">
        <is>
          <t>松散-偏紧松散</t>
        </is>
      </c>
      <c r="Q752" s="2" t="inlineStr">
        <is>
          <t>标准-偏松标准</t>
        </is>
      </c>
      <c r="R752" s="2" t="inlineStr">
        <is>
          <t>标准-核心标准</t>
        </is>
      </c>
      <c r="S752" s="2" t="inlineStr">
        <is>
          <t>标准-偏紧标准</t>
        </is>
      </c>
      <c r="T752" s="2" t="inlineStr">
        <is>
          <t>紧凑-标准紧凑</t>
        </is>
      </c>
      <c r="U752" s="2" t="inlineStr">
        <is>
          <t>紧凑-高度紧凑</t>
        </is>
      </c>
      <c r="V752" s="2" t="inlineStr">
        <is>
          <t>紧凑-极度紧凑</t>
        </is>
      </c>
    </row>
    <row r="753">
      <c r="A753" s="1" t="n">
        <v>2024320</v>
      </c>
      <c r="B753" s="3" t="inlineStr">
        <is>
          <t>863</t>
        </is>
      </c>
      <c r="C753" s="2">
        <f>IF(B753="","",LEFT(TEXT(B753,"000"),1)*1)</f>
        <v/>
      </c>
      <c r="D753" s="2">
        <f>IF(B753="","",MID(TEXT(B753,"000"),2,1)*1)</f>
        <v/>
      </c>
      <c r="E753" s="2">
        <f>IF(B753="","",RIGHT(TEXT(B753,"000"),1)*1)</f>
        <v/>
      </c>
      <c r="F753" s="2">
        <f>IF(B753="","",C753+D753+E753)</f>
        <v/>
      </c>
      <c r="G753" s="2">
        <f>IF(B753="","",MOD(F753,10))</f>
        <v/>
      </c>
      <c r="H753" s="2">
        <f>IF(B753="","",MAX(C753,D753,E753)-MIN(C753,D753,E753))</f>
        <v/>
      </c>
      <c r="I753" s="2">
        <f>IF(OR(B753="",H753=0),IF(H753=0,0.1,""),ROUND(F753/H753,2))</f>
        <v/>
      </c>
      <c r="J753" s="2">
        <f>IF(I753=0.1,"极紧凑",IF(I753&gt;3.5,"紧凑",IF(AND(I753&gt;=2,I753&lt;=3.5),"标准",IF(AND(I753&gt;=1,I753&lt;2),"松散",""))))</f>
        <v/>
      </c>
      <c r="K753" s="2">
        <f>IF(I753=0.1,"极紧凑-豹子号",IF(AND(I753&gt;=1,I753&lt;=1.29),"松散-极松散",IF(AND(I753&gt;=1.33,I753&lt;=1.8),"松散-标准松散",IF(AND(I753&gt;=1.83,I753&lt;=1.89),"松散-偏紧松散",IF(AND(I753&gt;=2,I753&lt;=2.5),"标准-偏松标准",IF(AND(I753&gt;=2.57,I753&lt;=3),"标准-核心标准",IF(AND(I753&gt;=3.17,I753&lt;=3.5),"标准-偏紧标准",IF(AND(I753&gt;=3.6,I753&lt;=5),"紧凑-标准紧凑",IF(AND(I753&gt;=5.25,I753&lt;=8),"紧凑-高度紧凑",IF(I753&gt;=8.5,"紧凑-极度紧凑",""))))))))))</f>
        <v/>
      </c>
      <c r="L753" s="2">
        <f>IF(I753=0.1,"极紧凑",IF(AND(I753&gt;=1,I753&lt;=1.89),"松散",IF(AND(I753&gt;=2,I753&lt;=3.5),"标准",IF(I753&gt;=3.6,"紧凑",""))))</f>
        <v/>
      </c>
      <c r="M753" s="2" t="inlineStr">
        <is>
          <t>极紧凑-豹子号</t>
        </is>
      </c>
      <c r="N753" s="2" t="inlineStr">
        <is>
          <t>松散-极松散</t>
        </is>
      </c>
      <c r="O753" s="2" t="inlineStr">
        <is>
          <t>松散-标准松散</t>
        </is>
      </c>
      <c r="P753" s="2" t="inlineStr">
        <is>
          <t>松散-偏紧松散</t>
        </is>
      </c>
      <c r="Q753" s="2" t="inlineStr">
        <is>
          <t>标准-偏松标准</t>
        </is>
      </c>
      <c r="R753" s="2" t="inlineStr">
        <is>
          <t>标准-核心标准</t>
        </is>
      </c>
      <c r="S753" s="2" t="inlineStr">
        <is>
          <t>标准-偏紧标准</t>
        </is>
      </c>
      <c r="T753" s="2" t="inlineStr">
        <is>
          <t>紧凑-标准紧凑</t>
        </is>
      </c>
      <c r="U753" s="2" t="inlineStr">
        <is>
          <t>紧凑-高度紧凑</t>
        </is>
      </c>
      <c r="V753" s="2" t="inlineStr">
        <is>
          <t>紧凑-极度紧凑</t>
        </is>
      </c>
    </row>
    <row r="754">
      <c r="A754" s="1" t="n">
        <v>2024321</v>
      </c>
      <c r="B754" s="3" t="inlineStr">
        <is>
          <t>050</t>
        </is>
      </c>
      <c r="C754" s="2">
        <f>IF(B754="","",LEFT(TEXT(B754,"000"),1)*1)</f>
        <v/>
      </c>
      <c r="D754" s="2">
        <f>IF(B754="","",MID(TEXT(B754,"000"),2,1)*1)</f>
        <v/>
      </c>
      <c r="E754" s="2">
        <f>IF(B754="","",RIGHT(TEXT(B754,"000"),1)*1)</f>
        <v/>
      </c>
      <c r="F754" s="2">
        <f>IF(B754="","",C754+D754+E754)</f>
        <v/>
      </c>
      <c r="G754" s="2">
        <f>IF(B754="","",MOD(F754,10))</f>
        <v/>
      </c>
      <c r="H754" s="2">
        <f>IF(B754="","",MAX(C754,D754,E754)-MIN(C754,D754,E754))</f>
        <v/>
      </c>
      <c r="I754" s="2">
        <f>IF(OR(B754="",H754=0),IF(H754=0,0.1,""),ROUND(F754/H754,2))</f>
        <v/>
      </c>
      <c r="J754" s="2">
        <f>IF(I754=0.1,"极紧凑",IF(I754&gt;3.5,"紧凑",IF(AND(I754&gt;=2,I754&lt;=3.5),"标准",IF(AND(I754&gt;=1,I754&lt;2),"松散",""))))</f>
        <v/>
      </c>
      <c r="K754" s="2">
        <f>IF(I754=0.1,"极紧凑-豹子号",IF(AND(I754&gt;=1,I754&lt;=1.29),"松散-极松散",IF(AND(I754&gt;=1.33,I754&lt;=1.8),"松散-标准松散",IF(AND(I754&gt;=1.83,I754&lt;=1.89),"松散-偏紧松散",IF(AND(I754&gt;=2,I754&lt;=2.5),"标准-偏松标准",IF(AND(I754&gt;=2.57,I754&lt;=3),"标准-核心标准",IF(AND(I754&gt;=3.17,I754&lt;=3.5),"标准-偏紧标准",IF(AND(I754&gt;=3.6,I754&lt;=5),"紧凑-标准紧凑",IF(AND(I754&gt;=5.25,I754&lt;=8),"紧凑-高度紧凑",IF(I754&gt;=8.5,"紧凑-极度紧凑",""))))))))))</f>
        <v/>
      </c>
      <c r="L754" s="2">
        <f>IF(I754=0.1,"极紧凑",IF(AND(I754&gt;=1,I754&lt;=1.89),"松散",IF(AND(I754&gt;=2,I754&lt;=3.5),"标准",IF(I754&gt;=3.6,"紧凑",""))))</f>
        <v/>
      </c>
      <c r="M754" s="2" t="inlineStr">
        <is>
          <t>极紧凑-豹子号</t>
        </is>
      </c>
      <c r="N754" s="2" t="inlineStr">
        <is>
          <t>松散-极松散</t>
        </is>
      </c>
      <c r="O754" s="2" t="inlineStr">
        <is>
          <t>松散-标准松散</t>
        </is>
      </c>
      <c r="P754" s="2" t="inlineStr">
        <is>
          <t>松散-偏紧松散</t>
        </is>
      </c>
      <c r="Q754" s="2" t="inlineStr">
        <is>
          <t>标准-偏松标准</t>
        </is>
      </c>
      <c r="R754" s="2" t="inlineStr">
        <is>
          <t>标准-核心标准</t>
        </is>
      </c>
      <c r="S754" s="2" t="inlineStr">
        <is>
          <t>标准-偏紧标准</t>
        </is>
      </c>
      <c r="T754" s="2" t="inlineStr">
        <is>
          <t>紧凑-标准紧凑</t>
        </is>
      </c>
      <c r="U754" s="2" t="inlineStr">
        <is>
          <t>紧凑-高度紧凑</t>
        </is>
      </c>
      <c r="V754" s="2" t="inlineStr">
        <is>
          <t>紧凑-极度紧凑</t>
        </is>
      </c>
    </row>
    <row r="755">
      <c r="A755" s="1" t="n">
        <v>2024322</v>
      </c>
      <c r="B755" s="3" t="inlineStr">
        <is>
          <t>678</t>
        </is>
      </c>
      <c r="C755" s="2">
        <f>IF(B755="","",LEFT(TEXT(B755,"000"),1)*1)</f>
        <v/>
      </c>
      <c r="D755" s="2">
        <f>IF(B755="","",MID(TEXT(B755,"000"),2,1)*1)</f>
        <v/>
      </c>
      <c r="E755" s="2">
        <f>IF(B755="","",RIGHT(TEXT(B755,"000"),1)*1)</f>
        <v/>
      </c>
      <c r="F755" s="2">
        <f>IF(B755="","",C755+D755+E755)</f>
        <v/>
      </c>
      <c r="G755" s="2">
        <f>IF(B755="","",MOD(F755,10))</f>
        <v/>
      </c>
      <c r="H755" s="2">
        <f>IF(B755="","",MAX(C755,D755,E755)-MIN(C755,D755,E755))</f>
        <v/>
      </c>
      <c r="I755" s="2">
        <f>IF(OR(B755="",H755=0),IF(H755=0,0.1,""),ROUND(F755/H755,2))</f>
        <v/>
      </c>
      <c r="J755" s="2">
        <f>IF(I755=0.1,"极紧凑",IF(I755&gt;3.5,"紧凑",IF(AND(I755&gt;=2,I755&lt;=3.5),"标准",IF(AND(I755&gt;=1,I755&lt;2),"松散",""))))</f>
        <v/>
      </c>
      <c r="K755" s="2">
        <f>IF(I755=0.1,"极紧凑-豹子号",IF(AND(I755&gt;=1,I755&lt;=1.29),"松散-极松散",IF(AND(I755&gt;=1.33,I755&lt;=1.8),"松散-标准松散",IF(AND(I755&gt;=1.83,I755&lt;=1.89),"松散-偏紧松散",IF(AND(I755&gt;=2,I755&lt;=2.5),"标准-偏松标准",IF(AND(I755&gt;=2.57,I755&lt;=3),"标准-核心标准",IF(AND(I755&gt;=3.17,I755&lt;=3.5),"标准-偏紧标准",IF(AND(I755&gt;=3.6,I755&lt;=5),"紧凑-标准紧凑",IF(AND(I755&gt;=5.25,I755&lt;=8),"紧凑-高度紧凑",IF(I755&gt;=8.5,"紧凑-极度紧凑",""))))))))))</f>
        <v/>
      </c>
      <c r="L755" s="2">
        <f>IF(I755=0.1,"极紧凑",IF(AND(I755&gt;=1,I755&lt;=1.89),"松散",IF(AND(I755&gt;=2,I755&lt;=3.5),"标准",IF(I755&gt;=3.6,"紧凑",""))))</f>
        <v/>
      </c>
      <c r="M755" s="2" t="inlineStr">
        <is>
          <t>极紧凑-豹子号</t>
        </is>
      </c>
      <c r="N755" s="2" t="inlineStr">
        <is>
          <t>松散-极松散</t>
        </is>
      </c>
      <c r="O755" s="2" t="inlineStr">
        <is>
          <t>松散-标准松散</t>
        </is>
      </c>
      <c r="P755" s="2" t="inlineStr">
        <is>
          <t>松散-偏紧松散</t>
        </is>
      </c>
      <c r="Q755" s="2" t="inlineStr">
        <is>
          <t>标准-偏松标准</t>
        </is>
      </c>
      <c r="R755" s="2" t="inlineStr">
        <is>
          <t>标准-核心标准</t>
        </is>
      </c>
      <c r="S755" s="2" t="inlineStr">
        <is>
          <t>标准-偏紧标准</t>
        </is>
      </c>
      <c r="T755" s="2" t="inlineStr">
        <is>
          <t>紧凑-标准紧凑</t>
        </is>
      </c>
      <c r="U755" s="2" t="inlineStr">
        <is>
          <t>紧凑-高度紧凑</t>
        </is>
      </c>
      <c r="V755" s="2" t="inlineStr">
        <is>
          <t>紧凑-极度紧凑</t>
        </is>
      </c>
    </row>
    <row r="756">
      <c r="A756" s="1" t="n">
        <v>2024323</v>
      </c>
      <c r="B756" s="3" t="inlineStr">
        <is>
          <t>914</t>
        </is>
      </c>
      <c r="C756" s="2">
        <f>IF(B756="","",LEFT(TEXT(B756,"000"),1)*1)</f>
        <v/>
      </c>
      <c r="D756" s="2">
        <f>IF(B756="","",MID(TEXT(B756,"000"),2,1)*1)</f>
        <v/>
      </c>
      <c r="E756" s="2">
        <f>IF(B756="","",RIGHT(TEXT(B756,"000"),1)*1)</f>
        <v/>
      </c>
      <c r="F756" s="2">
        <f>IF(B756="","",C756+D756+E756)</f>
        <v/>
      </c>
      <c r="G756" s="2">
        <f>IF(B756="","",MOD(F756,10))</f>
        <v/>
      </c>
      <c r="H756" s="2">
        <f>IF(B756="","",MAX(C756,D756,E756)-MIN(C756,D756,E756))</f>
        <v/>
      </c>
      <c r="I756" s="2">
        <f>IF(OR(B756="",H756=0),IF(H756=0,0.1,""),ROUND(F756/H756,2))</f>
        <v/>
      </c>
      <c r="J756" s="2">
        <f>IF(I756=0.1,"极紧凑",IF(I756&gt;3.5,"紧凑",IF(AND(I756&gt;=2,I756&lt;=3.5),"标准",IF(AND(I756&gt;=1,I756&lt;2),"松散",""))))</f>
        <v/>
      </c>
      <c r="K756" s="2">
        <f>IF(I756=0.1,"极紧凑-豹子号",IF(AND(I756&gt;=1,I756&lt;=1.29),"松散-极松散",IF(AND(I756&gt;=1.33,I756&lt;=1.8),"松散-标准松散",IF(AND(I756&gt;=1.83,I756&lt;=1.89),"松散-偏紧松散",IF(AND(I756&gt;=2,I756&lt;=2.5),"标准-偏松标准",IF(AND(I756&gt;=2.57,I756&lt;=3),"标准-核心标准",IF(AND(I756&gt;=3.17,I756&lt;=3.5),"标准-偏紧标准",IF(AND(I756&gt;=3.6,I756&lt;=5),"紧凑-标准紧凑",IF(AND(I756&gt;=5.25,I756&lt;=8),"紧凑-高度紧凑",IF(I756&gt;=8.5,"紧凑-极度紧凑",""))))))))))</f>
        <v/>
      </c>
      <c r="L756" s="2">
        <f>IF(I756=0.1,"极紧凑",IF(AND(I756&gt;=1,I756&lt;=1.89),"松散",IF(AND(I756&gt;=2,I756&lt;=3.5),"标准",IF(I756&gt;=3.6,"紧凑",""))))</f>
        <v/>
      </c>
      <c r="M756" s="2" t="inlineStr">
        <is>
          <t>极紧凑-豹子号</t>
        </is>
      </c>
      <c r="N756" s="2" t="inlineStr">
        <is>
          <t>松散-极松散</t>
        </is>
      </c>
      <c r="O756" s="2" t="inlineStr">
        <is>
          <t>松散-标准松散</t>
        </is>
      </c>
      <c r="P756" s="2" t="inlineStr">
        <is>
          <t>松散-偏紧松散</t>
        </is>
      </c>
      <c r="Q756" s="2" t="inlineStr">
        <is>
          <t>标准-偏松标准</t>
        </is>
      </c>
      <c r="R756" s="2" t="inlineStr">
        <is>
          <t>标准-核心标准</t>
        </is>
      </c>
      <c r="S756" s="2" t="inlineStr">
        <is>
          <t>标准-偏紧标准</t>
        </is>
      </c>
      <c r="T756" s="2" t="inlineStr">
        <is>
          <t>紧凑-标准紧凑</t>
        </is>
      </c>
      <c r="U756" s="2" t="inlineStr">
        <is>
          <t>紧凑-高度紧凑</t>
        </is>
      </c>
      <c r="V756" s="2" t="inlineStr">
        <is>
          <t>紧凑-极度紧凑</t>
        </is>
      </c>
    </row>
    <row r="757">
      <c r="A757" s="1" t="n">
        <v>2024324</v>
      </c>
      <c r="B757" s="3" t="inlineStr">
        <is>
          <t>630</t>
        </is>
      </c>
      <c r="C757" s="2">
        <f>IF(B757="","",LEFT(TEXT(B757,"000"),1)*1)</f>
        <v/>
      </c>
      <c r="D757" s="2">
        <f>IF(B757="","",MID(TEXT(B757,"000"),2,1)*1)</f>
        <v/>
      </c>
      <c r="E757" s="2">
        <f>IF(B757="","",RIGHT(TEXT(B757,"000"),1)*1)</f>
        <v/>
      </c>
      <c r="F757" s="2">
        <f>IF(B757="","",C757+D757+E757)</f>
        <v/>
      </c>
      <c r="G757" s="2">
        <f>IF(B757="","",MOD(F757,10))</f>
        <v/>
      </c>
      <c r="H757" s="2">
        <f>IF(B757="","",MAX(C757,D757,E757)-MIN(C757,D757,E757))</f>
        <v/>
      </c>
      <c r="I757" s="2">
        <f>IF(OR(B757="",H757=0),IF(H757=0,0.1,""),ROUND(F757/H757,2))</f>
        <v/>
      </c>
      <c r="J757" s="2">
        <f>IF(I757=0.1,"极紧凑",IF(I757&gt;3.5,"紧凑",IF(AND(I757&gt;=2,I757&lt;=3.5),"标准",IF(AND(I757&gt;=1,I757&lt;2),"松散",""))))</f>
        <v/>
      </c>
      <c r="K757" s="2">
        <f>IF(I757=0.1,"极紧凑-豹子号",IF(AND(I757&gt;=1,I757&lt;=1.29),"松散-极松散",IF(AND(I757&gt;=1.33,I757&lt;=1.8),"松散-标准松散",IF(AND(I757&gt;=1.83,I757&lt;=1.89),"松散-偏紧松散",IF(AND(I757&gt;=2,I757&lt;=2.5),"标准-偏松标准",IF(AND(I757&gt;=2.57,I757&lt;=3),"标准-核心标准",IF(AND(I757&gt;=3.17,I757&lt;=3.5),"标准-偏紧标准",IF(AND(I757&gt;=3.6,I757&lt;=5),"紧凑-标准紧凑",IF(AND(I757&gt;=5.25,I757&lt;=8),"紧凑-高度紧凑",IF(I757&gt;=8.5,"紧凑-极度紧凑",""))))))))))</f>
        <v/>
      </c>
      <c r="L757" s="2">
        <f>IF(I757=0.1,"极紧凑",IF(AND(I757&gt;=1,I757&lt;=1.89),"松散",IF(AND(I757&gt;=2,I757&lt;=3.5),"标准",IF(I757&gt;=3.6,"紧凑",""))))</f>
        <v/>
      </c>
      <c r="M757" s="2" t="inlineStr">
        <is>
          <t>极紧凑-豹子号</t>
        </is>
      </c>
      <c r="N757" s="2" t="inlineStr">
        <is>
          <t>松散-极松散</t>
        </is>
      </c>
      <c r="O757" s="2" t="inlineStr">
        <is>
          <t>松散-标准松散</t>
        </is>
      </c>
      <c r="P757" s="2" t="inlineStr">
        <is>
          <t>松散-偏紧松散</t>
        </is>
      </c>
      <c r="Q757" s="2" t="inlineStr">
        <is>
          <t>标准-偏松标准</t>
        </is>
      </c>
      <c r="R757" s="2" t="inlineStr">
        <is>
          <t>标准-核心标准</t>
        </is>
      </c>
      <c r="S757" s="2" t="inlineStr">
        <is>
          <t>标准-偏紧标准</t>
        </is>
      </c>
      <c r="T757" s="2" t="inlineStr">
        <is>
          <t>紧凑-标准紧凑</t>
        </is>
      </c>
      <c r="U757" s="2" t="inlineStr">
        <is>
          <t>紧凑-高度紧凑</t>
        </is>
      </c>
      <c r="V757" s="2" t="inlineStr">
        <is>
          <t>紧凑-极度紧凑</t>
        </is>
      </c>
    </row>
    <row r="758">
      <c r="A758" s="1" t="n">
        <v>2024325</v>
      </c>
      <c r="B758" s="3" t="inlineStr">
        <is>
          <t>023</t>
        </is>
      </c>
      <c r="C758" s="2">
        <f>IF(B758="","",LEFT(TEXT(B758,"000"),1)*1)</f>
        <v/>
      </c>
      <c r="D758" s="2">
        <f>IF(B758="","",MID(TEXT(B758,"000"),2,1)*1)</f>
        <v/>
      </c>
      <c r="E758" s="2">
        <f>IF(B758="","",RIGHT(TEXT(B758,"000"),1)*1)</f>
        <v/>
      </c>
      <c r="F758" s="2">
        <f>IF(B758="","",C758+D758+E758)</f>
        <v/>
      </c>
      <c r="G758" s="2">
        <f>IF(B758="","",MOD(F758,10))</f>
        <v/>
      </c>
      <c r="H758" s="2">
        <f>IF(B758="","",MAX(C758,D758,E758)-MIN(C758,D758,E758))</f>
        <v/>
      </c>
      <c r="I758" s="2">
        <f>IF(OR(B758="",H758=0),IF(H758=0,0.1,""),ROUND(F758/H758,2))</f>
        <v/>
      </c>
      <c r="J758" s="2">
        <f>IF(I758=0.1,"极紧凑",IF(I758&gt;3.5,"紧凑",IF(AND(I758&gt;=2,I758&lt;=3.5),"标准",IF(AND(I758&gt;=1,I758&lt;2),"松散",""))))</f>
        <v/>
      </c>
      <c r="K758" s="2">
        <f>IF(I758=0.1,"极紧凑-豹子号",IF(AND(I758&gt;=1,I758&lt;=1.29),"松散-极松散",IF(AND(I758&gt;=1.33,I758&lt;=1.8),"松散-标准松散",IF(AND(I758&gt;=1.83,I758&lt;=1.89),"松散-偏紧松散",IF(AND(I758&gt;=2,I758&lt;=2.5),"标准-偏松标准",IF(AND(I758&gt;=2.57,I758&lt;=3),"标准-核心标准",IF(AND(I758&gt;=3.17,I758&lt;=3.5),"标准-偏紧标准",IF(AND(I758&gt;=3.6,I758&lt;=5),"紧凑-标准紧凑",IF(AND(I758&gt;=5.25,I758&lt;=8),"紧凑-高度紧凑",IF(I758&gt;=8.5,"紧凑-极度紧凑",""))))))))))</f>
        <v/>
      </c>
      <c r="L758" s="2">
        <f>IF(I758=0.1,"极紧凑",IF(AND(I758&gt;=1,I758&lt;=1.89),"松散",IF(AND(I758&gt;=2,I758&lt;=3.5),"标准",IF(I758&gt;=3.6,"紧凑",""))))</f>
        <v/>
      </c>
      <c r="M758" s="2" t="inlineStr">
        <is>
          <t>极紧凑-豹子号</t>
        </is>
      </c>
      <c r="N758" s="2" t="inlineStr">
        <is>
          <t>松散-极松散</t>
        </is>
      </c>
      <c r="O758" s="2" t="inlineStr">
        <is>
          <t>松散-标准松散</t>
        </is>
      </c>
      <c r="P758" s="2" t="inlineStr">
        <is>
          <t>松散-偏紧松散</t>
        </is>
      </c>
      <c r="Q758" s="2" t="inlineStr">
        <is>
          <t>标准-偏松标准</t>
        </is>
      </c>
      <c r="R758" s="2" t="inlineStr">
        <is>
          <t>标准-核心标准</t>
        </is>
      </c>
      <c r="S758" s="2" t="inlineStr">
        <is>
          <t>标准-偏紧标准</t>
        </is>
      </c>
      <c r="T758" s="2" t="inlineStr">
        <is>
          <t>紧凑-标准紧凑</t>
        </is>
      </c>
      <c r="U758" s="2" t="inlineStr">
        <is>
          <t>紧凑-高度紧凑</t>
        </is>
      </c>
      <c r="V758" s="2" t="inlineStr">
        <is>
          <t>紧凑-极度紧凑</t>
        </is>
      </c>
    </row>
    <row r="759">
      <c r="A759" s="1" t="n">
        <v>2024326</v>
      </c>
      <c r="B759" s="3" t="inlineStr">
        <is>
          <t>257</t>
        </is>
      </c>
      <c r="C759" s="2">
        <f>IF(B759="","",LEFT(TEXT(B759,"000"),1)*1)</f>
        <v/>
      </c>
      <c r="D759" s="2">
        <f>IF(B759="","",MID(TEXT(B759,"000"),2,1)*1)</f>
        <v/>
      </c>
      <c r="E759" s="2">
        <f>IF(B759="","",RIGHT(TEXT(B759,"000"),1)*1)</f>
        <v/>
      </c>
      <c r="F759" s="2">
        <f>IF(B759="","",C759+D759+E759)</f>
        <v/>
      </c>
      <c r="G759" s="2">
        <f>IF(B759="","",MOD(F759,10))</f>
        <v/>
      </c>
      <c r="H759" s="2">
        <f>IF(B759="","",MAX(C759,D759,E759)-MIN(C759,D759,E759))</f>
        <v/>
      </c>
      <c r="I759" s="2">
        <f>IF(OR(B759="",H759=0),IF(H759=0,0.1,""),ROUND(F759/H759,2))</f>
        <v/>
      </c>
      <c r="J759" s="2">
        <f>IF(I759=0.1,"极紧凑",IF(I759&gt;3.5,"紧凑",IF(AND(I759&gt;=2,I759&lt;=3.5),"标准",IF(AND(I759&gt;=1,I759&lt;2),"松散",""))))</f>
        <v/>
      </c>
      <c r="K759" s="2">
        <f>IF(I759=0.1,"极紧凑-豹子号",IF(AND(I759&gt;=1,I759&lt;=1.29),"松散-极松散",IF(AND(I759&gt;=1.33,I759&lt;=1.8),"松散-标准松散",IF(AND(I759&gt;=1.83,I759&lt;=1.89),"松散-偏紧松散",IF(AND(I759&gt;=2,I759&lt;=2.5),"标准-偏松标准",IF(AND(I759&gt;=2.57,I759&lt;=3),"标准-核心标准",IF(AND(I759&gt;=3.17,I759&lt;=3.5),"标准-偏紧标准",IF(AND(I759&gt;=3.6,I759&lt;=5),"紧凑-标准紧凑",IF(AND(I759&gt;=5.25,I759&lt;=8),"紧凑-高度紧凑",IF(I759&gt;=8.5,"紧凑-极度紧凑",""))))))))))</f>
        <v/>
      </c>
      <c r="L759" s="2">
        <f>IF(I759=0.1,"极紧凑",IF(AND(I759&gt;=1,I759&lt;=1.89),"松散",IF(AND(I759&gt;=2,I759&lt;=3.5),"标准",IF(I759&gt;=3.6,"紧凑",""))))</f>
        <v/>
      </c>
      <c r="M759" s="2" t="inlineStr">
        <is>
          <t>极紧凑-豹子号</t>
        </is>
      </c>
      <c r="N759" s="2" t="inlineStr">
        <is>
          <t>松散-极松散</t>
        </is>
      </c>
      <c r="O759" s="2" t="inlineStr">
        <is>
          <t>松散-标准松散</t>
        </is>
      </c>
      <c r="P759" s="2" t="inlineStr">
        <is>
          <t>松散-偏紧松散</t>
        </is>
      </c>
      <c r="Q759" s="2" t="inlineStr">
        <is>
          <t>标准-偏松标准</t>
        </is>
      </c>
      <c r="R759" s="2" t="inlineStr">
        <is>
          <t>标准-核心标准</t>
        </is>
      </c>
      <c r="S759" s="2" t="inlineStr">
        <is>
          <t>标准-偏紧标准</t>
        </is>
      </c>
      <c r="T759" s="2" t="inlineStr">
        <is>
          <t>紧凑-标准紧凑</t>
        </is>
      </c>
      <c r="U759" s="2" t="inlineStr">
        <is>
          <t>紧凑-高度紧凑</t>
        </is>
      </c>
      <c r="V759" s="2" t="inlineStr">
        <is>
          <t>紧凑-极度紧凑</t>
        </is>
      </c>
    </row>
    <row r="760">
      <c r="A760" s="1" t="n">
        <v>2024327</v>
      </c>
      <c r="B760" s="3" t="inlineStr">
        <is>
          <t>134</t>
        </is>
      </c>
      <c r="C760" s="2">
        <f>IF(B760="","",LEFT(TEXT(B760,"000"),1)*1)</f>
        <v/>
      </c>
      <c r="D760" s="2">
        <f>IF(B760="","",MID(TEXT(B760,"000"),2,1)*1)</f>
        <v/>
      </c>
      <c r="E760" s="2">
        <f>IF(B760="","",RIGHT(TEXT(B760,"000"),1)*1)</f>
        <v/>
      </c>
      <c r="F760" s="2">
        <f>IF(B760="","",C760+D760+E760)</f>
        <v/>
      </c>
      <c r="G760" s="2">
        <f>IF(B760="","",MOD(F760,10))</f>
        <v/>
      </c>
      <c r="H760" s="2">
        <f>IF(B760="","",MAX(C760,D760,E760)-MIN(C760,D760,E760))</f>
        <v/>
      </c>
      <c r="I760" s="2">
        <f>IF(OR(B760="",H760=0),IF(H760=0,0.1,""),ROUND(F760/H760,2))</f>
        <v/>
      </c>
      <c r="J760" s="2">
        <f>IF(I760=0.1,"极紧凑",IF(I760&gt;3.5,"紧凑",IF(AND(I760&gt;=2,I760&lt;=3.5),"标准",IF(AND(I760&gt;=1,I760&lt;2),"松散",""))))</f>
        <v/>
      </c>
      <c r="K760" s="2">
        <f>IF(I760=0.1,"极紧凑-豹子号",IF(AND(I760&gt;=1,I760&lt;=1.29),"松散-极松散",IF(AND(I760&gt;=1.33,I760&lt;=1.8),"松散-标准松散",IF(AND(I760&gt;=1.83,I760&lt;=1.89),"松散-偏紧松散",IF(AND(I760&gt;=2,I760&lt;=2.5),"标准-偏松标准",IF(AND(I760&gt;=2.57,I760&lt;=3),"标准-核心标准",IF(AND(I760&gt;=3.17,I760&lt;=3.5),"标准-偏紧标准",IF(AND(I760&gt;=3.6,I760&lt;=5),"紧凑-标准紧凑",IF(AND(I760&gt;=5.25,I760&lt;=8),"紧凑-高度紧凑",IF(I760&gt;=8.5,"紧凑-极度紧凑",""))))))))))</f>
        <v/>
      </c>
      <c r="L760" s="2">
        <f>IF(I760=0.1,"极紧凑",IF(AND(I760&gt;=1,I760&lt;=1.89),"松散",IF(AND(I760&gt;=2,I760&lt;=3.5),"标准",IF(I760&gt;=3.6,"紧凑",""))))</f>
        <v/>
      </c>
      <c r="M760" s="2" t="inlineStr">
        <is>
          <t>极紧凑-豹子号</t>
        </is>
      </c>
      <c r="N760" s="2" t="inlineStr">
        <is>
          <t>松散-极松散</t>
        </is>
      </c>
      <c r="O760" s="2" t="inlineStr">
        <is>
          <t>松散-标准松散</t>
        </is>
      </c>
      <c r="P760" s="2" t="inlineStr">
        <is>
          <t>松散-偏紧松散</t>
        </is>
      </c>
      <c r="Q760" s="2" t="inlineStr">
        <is>
          <t>标准-偏松标准</t>
        </is>
      </c>
      <c r="R760" s="2" t="inlineStr">
        <is>
          <t>标准-核心标准</t>
        </is>
      </c>
      <c r="S760" s="2" t="inlineStr">
        <is>
          <t>标准-偏紧标准</t>
        </is>
      </c>
      <c r="T760" s="2" t="inlineStr">
        <is>
          <t>紧凑-标准紧凑</t>
        </is>
      </c>
      <c r="U760" s="2" t="inlineStr">
        <is>
          <t>紧凑-高度紧凑</t>
        </is>
      </c>
      <c r="V760" s="2" t="inlineStr">
        <is>
          <t>紧凑-极度紧凑</t>
        </is>
      </c>
    </row>
    <row r="761">
      <c r="A761" s="1" t="n">
        <v>2024328</v>
      </c>
      <c r="B761" s="3" t="inlineStr">
        <is>
          <t>125</t>
        </is>
      </c>
      <c r="C761" s="2">
        <f>IF(B761="","",LEFT(TEXT(B761,"000"),1)*1)</f>
        <v/>
      </c>
      <c r="D761" s="2">
        <f>IF(B761="","",MID(TEXT(B761,"000"),2,1)*1)</f>
        <v/>
      </c>
      <c r="E761" s="2">
        <f>IF(B761="","",RIGHT(TEXT(B761,"000"),1)*1)</f>
        <v/>
      </c>
      <c r="F761" s="2">
        <f>IF(B761="","",C761+D761+E761)</f>
        <v/>
      </c>
      <c r="G761" s="2">
        <f>IF(B761="","",MOD(F761,10))</f>
        <v/>
      </c>
      <c r="H761" s="2">
        <f>IF(B761="","",MAX(C761,D761,E761)-MIN(C761,D761,E761))</f>
        <v/>
      </c>
      <c r="I761" s="2">
        <f>IF(OR(B761="",H761=0),IF(H761=0,0.1,""),ROUND(F761/H761,2))</f>
        <v/>
      </c>
      <c r="J761" s="2">
        <f>IF(I761=0.1,"极紧凑",IF(I761&gt;3.5,"紧凑",IF(AND(I761&gt;=2,I761&lt;=3.5),"标准",IF(AND(I761&gt;=1,I761&lt;2),"松散",""))))</f>
        <v/>
      </c>
      <c r="K761" s="2">
        <f>IF(I761=0.1,"极紧凑-豹子号",IF(AND(I761&gt;=1,I761&lt;=1.29),"松散-极松散",IF(AND(I761&gt;=1.33,I761&lt;=1.8),"松散-标准松散",IF(AND(I761&gt;=1.83,I761&lt;=1.89),"松散-偏紧松散",IF(AND(I761&gt;=2,I761&lt;=2.5),"标准-偏松标准",IF(AND(I761&gt;=2.57,I761&lt;=3),"标准-核心标准",IF(AND(I761&gt;=3.17,I761&lt;=3.5),"标准-偏紧标准",IF(AND(I761&gt;=3.6,I761&lt;=5),"紧凑-标准紧凑",IF(AND(I761&gt;=5.25,I761&lt;=8),"紧凑-高度紧凑",IF(I761&gt;=8.5,"紧凑-极度紧凑",""))))))))))</f>
        <v/>
      </c>
      <c r="L761" s="2">
        <f>IF(I761=0.1,"极紧凑",IF(AND(I761&gt;=1,I761&lt;=1.89),"松散",IF(AND(I761&gt;=2,I761&lt;=3.5),"标准",IF(I761&gt;=3.6,"紧凑",""))))</f>
        <v/>
      </c>
      <c r="M761" s="2" t="inlineStr">
        <is>
          <t>极紧凑-豹子号</t>
        </is>
      </c>
      <c r="N761" s="2" t="inlineStr">
        <is>
          <t>松散-极松散</t>
        </is>
      </c>
      <c r="O761" s="2" t="inlineStr">
        <is>
          <t>松散-标准松散</t>
        </is>
      </c>
      <c r="P761" s="2" t="inlineStr">
        <is>
          <t>松散-偏紧松散</t>
        </is>
      </c>
      <c r="Q761" s="2" t="inlineStr">
        <is>
          <t>标准-偏松标准</t>
        </is>
      </c>
      <c r="R761" s="2" t="inlineStr">
        <is>
          <t>标准-核心标准</t>
        </is>
      </c>
      <c r="S761" s="2" t="inlineStr">
        <is>
          <t>标准-偏紧标准</t>
        </is>
      </c>
      <c r="T761" s="2" t="inlineStr">
        <is>
          <t>紧凑-标准紧凑</t>
        </is>
      </c>
      <c r="U761" s="2" t="inlineStr">
        <is>
          <t>紧凑-高度紧凑</t>
        </is>
      </c>
      <c r="V761" s="2" t="inlineStr">
        <is>
          <t>紧凑-极度紧凑</t>
        </is>
      </c>
    </row>
    <row r="762">
      <c r="A762" s="1" t="n">
        <v>2024329</v>
      </c>
      <c r="B762" s="3" t="inlineStr">
        <is>
          <t>147</t>
        </is>
      </c>
      <c r="C762" s="2">
        <f>IF(B762="","",LEFT(TEXT(B762,"000"),1)*1)</f>
        <v/>
      </c>
      <c r="D762" s="2">
        <f>IF(B762="","",MID(TEXT(B762,"000"),2,1)*1)</f>
        <v/>
      </c>
      <c r="E762" s="2">
        <f>IF(B762="","",RIGHT(TEXT(B762,"000"),1)*1)</f>
        <v/>
      </c>
      <c r="F762" s="2">
        <f>IF(B762="","",C762+D762+E762)</f>
        <v/>
      </c>
      <c r="G762" s="2">
        <f>IF(B762="","",MOD(F762,10))</f>
        <v/>
      </c>
      <c r="H762" s="2">
        <f>IF(B762="","",MAX(C762,D762,E762)-MIN(C762,D762,E762))</f>
        <v/>
      </c>
      <c r="I762" s="2">
        <f>IF(OR(B762="",H762=0),IF(H762=0,0.1,""),ROUND(F762/H762,2))</f>
        <v/>
      </c>
      <c r="J762" s="2">
        <f>IF(I762=0.1,"极紧凑",IF(I762&gt;3.5,"紧凑",IF(AND(I762&gt;=2,I762&lt;=3.5),"标准",IF(AND(I762&gt;=1,I762&lt;2),"松散",""))))</f>
        <v/>
      </c>
      <c r="K762" s="2">
        <f>IF(I762=0.1,"极紧凑-豹子号",IF(AND(I762&gt;=1,I762&lt;=1.29),"松散-极松散",IF(AND(I762&gt;=1.33,I762&lt;=1.8),"松散-标准松散",IF(AND(I762&gt;=1.83,I762&lt;=1.89),"松散-偏紧松散",IF(AND(I762&gt;=2,I762&lt;=2.5),"标准-偏松标准",IF(AND(I762&gt;=2.57,I762&lt;=3),"标准-核心标准",IF(AND(I762&gt;=3.17,I762&lt;=3.5),"标准-偏紧标准",IF(AND(I762&gt;=3.6,I762&lt;=5),"紧凑-标准紧凑",IF(AND(I762&gt;=5.25,I762&lt;=8),"紧凑-高度紧凑",IF(I762&gt;=8.5,"紧凑-极度紧凑",""))))))))))</f>
        <v/>
      </c>
      <c r="L762" s="2">
        <f>IF(I762=0.1,"极紧凑",IF(AND(I762&gt;=1,I762&lt;=1.89),"松散",IF(AND(I762&gt;=2,I762&lt;=3.5),"标准",IF(I762&gt;=3.6,"紧凑",""))))</f>
        <v/>
      </c>
      <c r="M762" s="2" t="inlineStr">
        <is>
          <t>极紧凑-豹子号</t>
        </is>
      </c>
      <c r="N762" s="2" t="inlineStr">
        <is>
          <t>松散-极松散</t>
        </is>
      </c>
      <c r="O762" s="2" t="inlineStr">
        <is>
          <t>松散-标准松散</t>
        </is>
      </c>
      <c r="P762" s="2" t="inlineStr">
        <is>
          <t>松散-偏紧松散</t>
        </is>
      </c>
      <c r="Q762" s="2" t="inlineStr">
        <is>
          <t>标准-偏松标准</t>
        </is>
      </c>
      <c r="R762" s="2" t="inlineStr">
        <is>
          <t>标准-核心标准</t>
        </is>
      </c>
      <c r="S762" s="2" t="inlineStr">
        <is>
          <t>标准-偏紧标准</t>
        </is>
      </c>
      <c r="T762" s="2" t="inlineStr">
        <is>
          <t>紧凑-标准紧凑</t>
        </is>
      </c>
      <c r="U762" s="2" t="inlineStr">
        <is>
          <t>紧凑-高度紧凑</t>
        </is>
      </c>
      <c r="V762" s="2" t="inlineStr">
        <is>
          <t>紧凑-极度紧凑</t>
        </is>
      </c>
    </row>
    <row r="763">
      <c r="A763" s="1" t="n">
        <v>2024330</v>
      </c>
      <c r="B763" s="3" t="inlineStr">
        <is>
          <t>811</t>
        </is>
      </c>
      <c r="C763" s="2">
        <f>IF(B763="","",LEFT(TEXT(B763,"000"),1)*1)</f>
        <v/>
      </c>
      <c r="D763" s="2">
        <f>IF(B763="","",MID(TEXT(B763,"000"),2,1)*1)</f>
        <v/>
      </c>
      <c r="E763" s="2">
        <f>IF(B763="","",RIGHT(TEXT(B763,"000"),1)*1)</f>
        <v/>
      </c>
      <c r="F763" s="2">
        <f>IF(B763="","",C763+D763+E763)</f>
        <v/>
      </c>
      <c r="G763" s="2">
        <f>IF(B763="","",MOD(F763,10))</f>
        <v/>
      </c>
      <c r="H763" s="2">
        <f>IF(B763="","",MAX(C763,D763,E763)-MIN(C763,D763,E763))</f>
        <v/>
      </c>
      <c r="I763" s="2">
        <f>IF(OR(B763="",H763=0),IF(H763=0,0.1,""),ROUND(F763/H763,2))</f>
        <v/>
      </c>
      <c r="J763" s="2">
        <f>IF(I763=0.1,"极紧凑",IF(I763&gt;3.5,"紧凑",IF(AND(I763&gt;=2,I763&lt;=3.5),"标准",IF(AND(I763&gt;=1,I763&lt;2),"松散",""))))</f>
        <v/>
      </c>
      <c r="K763" s="2">
        <f>IF(I763=0.1,"极紧凑-豹子号",IF(AND(I763&gt;=1,I763&lt;=1.29),"松散-极松散",IF(AND(I763&gt;=1.33,I763&lt;=1.8),"松散-标准松散",IF(AND(I763&gt;=1.83,I763&lt;=1.89),"松散-偏紧松散",IF(AND(I763&gt;=2,I763&lt;=2.5),"标准-偏松标准",IF(AND(I763&gt;=2.57,I763&lt;=3),"标准-核心标准",IF(AND(I763&gt;=3.17,I763&lt;=3.5),"标准-偏紧标准",IF(AND(I763&gt;=3.6,I763&lt;=5),"紧凑-标准紧凑",IF(AND(I763&gt;=5.25,I763&lt;=8),"紧凑-高度紧凑",IF(I763&gt;=8.5,"紧凑-极度紧凑",""))))))))))</f>
        <v/>
      </c>
      <c r="L763" s="2">
        <f>IF(I763=0.1,"极紧凑",IF(AND(I763&gt;=1,I763&lt;=1.89),"松散",IF(AND(I763&gt;=2,I763&lt;=3.5),"标准",IF(I763&gt;=3.6,"紧凑",""))))</f>
        <v/>
      </c>
      <c r="M763" s="2" t="inlineStr">
        <is>
          <t>极紧凑-豹子号</t>
        </is>
      </c>
      <c r="N763" s="2" t="inlineStr">
        <is>
          <t>松散-极松散</t>
        </is>
      </c>
      <c r="O763" s="2" t="inlineStr">
        <is>
          <t>松散-标准松散</t>
        </is>
      </c>
      <c r="P763" s="2" t="inlineStr">
        <is>
          <t>松散-偏紧松散</t>
        </is>
      </c>
      <c r="Q763" s="2" t="inlineStr">
        <is>
          <t>标准-偏松标准</t>
        </is>
      </c>
      <c r="R763" s="2" t="inlineStr">
        <is>
          <t>标准-核心标准</t>
        </is>
      </c>
      <c r="S763" s="2" t="inlineStr">
        <is>
          <t>标准-偏紧标准</t>
        </is>
      </c>
      <c r="T763" s="2" t="inlineStr">
        <is>
          <t>紧凑-标准紧凑</t>
        </is>
      </c>
      <c r="U763" s="2" t="inlineStr">
        <is>
          <t>紧凑-高度紧凑</t>
        </is>
      </c>
      <c r="V763" s="2" t="inlineStr">
        <is>
          <t>紧凑-极度紧凑</t>
        </is>
      </c>
    </row>
    <row r="764">
      <c r="A764" s="1" t="n">
        <v>2024331</v>
      </c>
      <c r="B764" s="3" t="inlineStr">
        <is>
          <t>712</t>
        </is>
      </c>
      <c r="C764" s="2">
        <f>IF(B764="","",LEFT(TEXT(B764,"000"),1)*1)</f>
        <v/>
      </c>
      <c r="D764" s="2">
        <f>IF(B764="","",MID(TEXT(B764,"000"),2,1)*1)</f>
        <v/>
      </c>
      <c r="E764" s="2">
        <f>IF(B764="","",RIGHT(TEXT(B764,"000"),1)*1)</f>
        <v/>
      </c>
      <c r="F764" s="2">
        <f>IF(B764="","",C764+D764+E764)</f>
        <v/>
      </c>
      <c r="G764" s="2">
        <f>IF(B764="","",MOD(F764,10))</f>
        <v/>
      </c>
      <c r="H764" s="2">
        <f>IF(B764="","",MAX(C764,D764,E764)-MIN(C764,D764,E764))</f>
        <v/>
      </c>
      <c r="I764" s="2">
        <f>IF(OR(B764="",H764=0),IF(H764=0,0.1,""),ROUND(F764/H764,2))</f>
        <v/>
      </c>
      <c r="J764" s="2">
        <f>IF(I764=0.1,"极紧凑",IF(I764&gt;3.5,"紧凑",IF(AND(I764&gt;=2,I764&lt;=3.5),"标准",IF(AND(I764&gt;=1,I764&lt;2),"松散",""))))</f>
        <v/>
      </c>
      <c r="K764" s="2">
        <f>IF(I764=0.1,"极紧凑-豹子号",IF(AND(I764&gt;=1,I764&lt;=1.29),"松散-极松散",IF(AND(I764&gt;=1.33,I764&lt;=1.8),"松散-标准松散",IF(AND(I764&gt;=1.83,I764&lt;=1.89),"松散-偏紧松散",IF(AND(I764&gt;=2,I764&lt;=2.5),"标准-偏松标准",IF(AND(I764&gt;=2.57,I764&lt;=3),"标准-核心标准",IF(AND(I764&gt;=3.17,I764&lt;=3.5),"标准-偏紧标准",IF(AND(I764&gt;=3.6,I764&lt;=5),"紧凑-标准紧凑",IF(AND(I764&gt;=5.25,I764&lt;=8),"紧凑-高度紧凑",IF(I764&gt;=8.5,"紧凑-极度紧凑",""))))))))))</f>
        <v/>
      </c>
      <c r="L764" s="2">
        <f>IF(I764=0.1,"极紧凑",IF(AND(I764&gt;=1,I764&lt;=1.89),"松散",IF(AND(I764&gt;=2,I764&lt;=3.5),"标准",IF(I764&gt;=3.6,"紧凑",""))))</f>
        <v/>
      </c>
      <c r="M764" s="2" t="inlineStr">
        <is>
          <t>极紧凑-豹子号</t>
        </is>
      </c>
      <c r="N764" s="2" t="inlineStr">
        <is>
          <t>松散-极松散</t>
        </is>
      </c>
      <c r="O764" s="2" t="inlineStr">
        <is>
          <t>松散-标准松散</t>
        </is>
      </c>
      <c r="P764" s="2" t="inlineStr">
        <is>
          <t>松散-偏紧松散</t>
        </is>
      </c>
      <c r="Q764" s="2" t="inlineStr">
        <is>
          <t>标准-偏松标准</t>
        </is>
      </c>
      <c r="R764" s="2" t="inlineStr">
        <is>
          <t>标准-核心标准</t>
        </is>
      </c>
      <c r="S764" s="2" t="inlineStr">
        <is>
          <t>标准-偏紧标准</t>
        </is>
      </c>
      <c r="T764" s="2" t="inlineStr">
        <is>
          <t>紧凑-标准紧凑</t>
        </is>
      </c>
      <c r="U764" s="2" t="inlineStr">
        <is>
          <t>紧凑-高度紧凑</t>
        </is>
      </c>
      <c r="V764" s="2" t="inlineStr">
        <is>
          <t>紧凑-极度紧凑</t>
        </is>
      </c>
    </row>
    <row r="765">
      <c r="A765" s="1" t="n">
        <v>2024332</v>
      </c>
      <c r="B765" s="3" t="inlineStr">
        <is>
          <t>679</t>
        </is>
      </c>
      <c r="C765" s="2">
        <f>IF(B765="","",LEFT(TEXT(B765,"000"),1)*1)</f>
        <v/>
      </c>
      <c r="D765" s="2">
        <f>IF(B765="","",MID(TEXT(B765,"000"),2,1)*1)</f>
        <v/>
      </c>
      <c r="E765" s="2">
        <f>IF(B765="","",RIGHT(TEXT(B765,"000"),1)*1)</f>
        <v/>
      </c>
      <c r="F765" s="2">
        <f>IF(B765="","",C765+D765+E765)</f>
        <v/>
      </c>
      <c r="G765" s="2">
        <f>IF(B765="","",MOD(F765,10))</f>
        <v/>
      </c>
      <c r="H765" s="2">
        <f>IF(B765="","",MAX(C765,D765,E765)-MIN(C765,D765,E765))</f>
        <v/>
      </c>
      <c r="I765" s="2">
        <f>IF(OR(B765="",H765=0),IF(H765=0,0.1,""),ROUND(F765/H765,2))</f>
        <v/>
      </c>
      <c r="J765" s="2">
        <f>IF(I765=0.1,"极紧凑",IF(I765&gt;3.5,"紧凑",IF(AND(I765&gt;=2,I765&lt;=3.5),"标准",IF(AND(I765&gt;=1,I765&lt;2),"松散",""))))</f>
        <v/>
      </c>
      <c r="K765" s="2">
        <f>IF(I765=0.1,"极紧凑-豹子号",IF(AND(I765&gt;=1,I765&lt;=1.29),"松散-极松散",IF(AND(I765&gt;=1.33,I765&lt;=1.8),"松散-标准松散",IF(AND(I765&gt;=1.83,I765&lt;=1.89),"松散-偏紧松散",IF(AND(I765&gt;=2,I765&lt;=2.5),"标准-偏松标准",IF(AND(I765&gt;=2.57,I765&lt;=3),"标准-核心标准",IF(AND(I765&gt;=3.17,I765&lt;=3.5),"标准-偏紧标准",IF(AND(I765&gt;=3.6,I765&lt;=5),"紧凑-标准紧凑",IF(AND(I765&gt;=5.25,I765&lt;=8),"紧凑-高度紧凑",IF(I765&gt;=8.5,"紧凑-极度紧凑",""))))))))))</f>
        <v/>
      </c>
      <c r="L765" s="2">
        <f>IF(I765=0.1,"极紧凑",IF(AND(I765&gt;=1,I765&lt;=1.89),"松散",IF(AND(I765&gt;=2,I765&lt;=3.5),"标准",IF(I765&gt;=3.6,"紧凑",""))))</f>
        <v/>
      </c>
      <c r="M765" s="2" t="inlineStr">
        <is>
          <t>极紧凑-豹子号</t>
        </is>
      </c>
      <c r="N765" s="2" t="inlineStr">
        <is>
          <t>松散-极松散</t>
        </is>
      </c>
      <c r="O765" s="2" t="inlineStr">
        <is>
          <t>松散-标准松散</t>
        </is>
      </c>
      <c r="P765" s="2" t="inlineStr">
        <is>
          <t>松散-偏紧松散</t>
        </is>
      </c>
      <c r="Q765" s="2" t="inlineStr">
        <is>
          <t>标准-偏松标准</t>
        </is>
      </c>
      <c r="R765" s="2" t="inlineStr">
        <is>
          <t>标准-核心标准</t>
        </is>
      </c>
      <c r="S765" s="2" t="inlineStr">
        <is>
          <t>标准-偏紧标准</t>
        </is>
      </c>
      <c r="T765" s="2" t="inlineStr">
        <is>
          <t>紧凑-标准紧凑</t>
        </is>
      </c>
      <c r="U765" s="2" t="inlineStr">
        <is>
          <t>紧凑-高度紧凑</t>
        </is>
      </c>
      <c r="V765" s="2" t="inlineStr">
        <is>
          <t>紧凑-极度紧凑</t>
        </is>
      </c>
    </row>
    <row r="766">
      <c r="A766" s="1" t="n">
        <v>2024333</v>
      </c>
      <c r="B766" s="3" t="inlineStr">
        <is>
          <t>848</t>
        </is>
      </c>
      <c r="C766" s="2">
        <f>IF(B766="","",LEFT(TEXT(B766,"000"),1)*1)</f>
        <v/>
      </c>
      <c r="D766" s="2">
        <f>IF(B766="","",MID(TEXT(B766,"000"),2,1)*1)</f>
        <v/>
      </c>
      <c r="E766" s="2">
        <f>IF(B766="","",RIGHT(TEXT(B766,"000"),1)*1)</f>
        <v/>
      </c>
      <c r="F766" s="2">
        <f>IF(B766="","",C766+D766+E766)</f>
        <v/>
      </c>
      <c r="G766" s="2">
        <f>IF(B766="","",MOD(F766,10))</f>
        <v/>
      </c>
      <c r="H766" s="2">
        <f>IF(B766="","",MAX(C766,D766,E766)-MIN(C766,D766,E766))</f>
        <v/>
      </c>
      <c r="I766" s="2">
        <f>IF(OR(B766="",H766=0),IF(H766=0,0.1,""),ROUND(F766/H766,2))</f>
        <v/>
      </c>
      <c r="J766" s="2">
        <f>IF(I766=0.1,"极紧凑",IF(I766&gt;3.5,"紧凑",IF(AND(I766&gt;=2,I766&lt;=3.5),"标准",IF(AND(I766&gt;=1,I766&lt;2),"松散",""))))</f>
        <v/>
      </c>
      <c r="K766" s="2">
        <f>IF(I766=0.1,"极紧凑-豹子号",IF(AND(I766&gt;=1,I766&lt;=1.29),"松散-极松散",IF(AND(I766&gt;=1.33,I766&lt;=1.8),"松散-标准松散",IF(AND(I766&gt;=1.83,I766&lt;=1.89),"松散-偏紧松散",IF(AND(I766&gt;=2,I766&lt;=2.5),"标准-偏松标准",IF(AND(I766&gt;=2.57,I766&lt;=3),"标准-核心标准",IF(AND(I766&gt;=3.17,I766&lt;=3.5),"标准-偏紧标准",IF(AND(I766&gt;=3.6,I766&lt;=5),"紧凑-标准紧凑",IF(AND(I766&gt;=5.25,I766&lt;=8),"紧凑-高度紧凑",IF(I766&gt;=8.5,"紧凑-极度紧凑",""))))))))))</f>
        <v/>
      </c>
      <c r="L766" s="2">
        <f>IF(I766=0.1,"极紧凑",IF(AND(I766&gt;=1,I766&lt;=1.89),"松散",IF(AND(I766&gt;=2,I766&lt;=3.5),"标准",IF(I766&gt;=3.6,"紧凑",""))))</f>
        <v/>
      </c>
      <c r="M766" s="2" t="inlineStr">
        <is>
          <t>极紧凑-豹子号</t>
        </is>
      </c>
      <c r="N766" s="2" t="inlineStr">
        <is>
          <t>松散-极松散</t>
        </is>
      </c>
      <c r="O766" s="2" t="inlineStr">
        <is>
          <t>松散-标准松散</t>
        </is>
      </c>
      <c r="P766" s="2" t="inlineStr">
        <is>
          <t>松散-偏紧松散</t>
        </is>
      </c>
      <c r="Q766" s="2" t="inlineStr">
        <is>
          <t>标准-偏松标准</t>
        </is>
      </c>
      <c r="R766" s="2" t="inlineStr">
        <is>
          <t>标准-核心标准</t>
        </is>
      </c>
      <c r="S766" s="2" t="inlineStr">
        <is>
          <t>标准-偏紧标准</t>
        </is>
      </c>
      <c r="T766" s="2" t="inlineStr">
        <is>
          <t>紧凑-标准紧凑</t>
        </is>
      </c>
      <c r="U766" s="2" t="inlineStr">
        <is>
          <t>紧凑-高度紧凑</t>
        </is>
      </c>
      <c r="V766" s="2" t="inlineStr">
        <is>
          <t>紧凑-极度紧凑</t>
        </is>
      </c>
    </row>
    <row r="767">
      <c r="A767" s="1" t="n">
        <v>2024334</v>
      </c>
      <c r="B767" s="3" t="inlineStr">
        <is>
          <t>746</t>
        </is>
      </c>
      <c r="C767" s="2">
        <f>IF(B767="","",LEFT(TEXT(B767,"000"),1)*1)</f>
        <v/>
      </c>
      <c r="D767" s="2">
        <f>IF(B767="","",MID(TEXT(B767,"000"),2,1)*1)</f>
        <v/>
      </c>
      <c r="E767" s="2">
        <f>IF(B767="","",RIGHT(TEXT(B767,"000"),1)*1)</f>
        <v/>
      </c>
      <c r="F767" s="2">
        <f>IF(B767="","",C767+D767+E767)</f>
        <v/>
      </c>
      <c r="G767" s="2">
        <f>IF(B767="","",MOD(F767,10))</f>
        <v/>
      </c>
      <c r="H767" s="2">
        <f>IF(B767="","",MAX(C767,D767,E767)-MIN(C767,D767,E767))</f>
        <v/>
      </c>
      <c r="I767" s="2">
        <f>IF(OR(B767="",H767=0),IF(H767=0,0.1,""),ROUND(F767/H767,2))</f>
        <v/>
      </c>
      <c r="J767" s="2">
        <f>IF(I767=0.1,"极紧凑",IF(I767&gt;3.5,"紧凑",IF(AND(I767&gt;=2,I767&lt;=3.5),"标准",IF(AND(I767&gt;=1,I767&lt;2),"松散",""))))</f>
        <v/>
      </c>
      <c r="K767" s="2">
        <f>IF(I767=0.1,"极紧凑-豹子号",IF(AND(I767&gt;=1,I767&lt;=1.29),"松散-极松散",IF(AND(I767&gt;=1.33,I767&lt;=1.8),"松散-标准松散",IF(AND(I767&gt;=1.83,I767&lt;=1.89),"松散-偏紧松散",IF(AND(I767&gt;=2,I767&lt;=2.5),"标准-偏松标准",IF(AND(I767&gt;=2.57,I767&lt;=3),"标准-核心标准",IF(AND(I767&gt;=3.17,I767&lt;=3.5),"标准-偏紧标准",IF(AND(I767&gt;=3.6,I767&lt;=5),"紧凑-标准紧凑",IF(AND(I767&gt;=5.25,I767&lt;=8),"紧凑-高度紧凑",IF(I767&gt;=8.5,"紧凑-极度紧凑",""))))))))))</f>
        <v/>
      </c>
      <c r="L767" s="2">
        <f>IF(I767=0.1,"极紧凑",IF(AND(I767&gt;=1,I767&lt;=1.89),"松散",IF(AND(I767&gt;=2,I767&lt;=3.5),"标准",IF(I767&gt;=3.6,"紧凑",""))))</f>
        <v/>
      </c>
      <c r="M767" s="2" t="inlineStr">
        <is>
          <t>极紧凑-豹子号</t>
        </is>
      </c>
      <c r="N767" s="2" t="inlineStr">
        <is>
          <t>松散-极松散</t>
        </is>
      </c>
      <c r="O767" s="2" t="inlineStr">
        <is>
          <t>松散-标准松散</t>
        </is>
      </c>
      <c r="P767" s="2" t="inlineStr">
        <is>
          <t>松散-偏紧松散</t>
        </is>
      </c>
      <c r="Q767" s="2" t="inlineStr">
        <is>
          <t>标准-偏松标准</t>
        </is>
      </c>
      <c r="R767" s="2" t="inlineStr">
        <is>
          <t>标准-核心标准</t>
        </is>
      </c>
      <c r="S767" s="2" t="inlineStr">
        <is>
          <t>标准-偏紧标准</t>
        </is>
      </c>
      <c r="T767" s="2" t="inlineStr">
        <is>
          <t>紧凑-标准紧凑</t>
        </is>
      </c>
      <c r="U767" s="2" t="inlineStr">
        <is>
          <t>紧凑-高度紧凑</t>
        </is>
      </c>
      <c r="V767" s="2" t="inlineStr">
        <is>
          <t>紧凑-极度紧凑</t>
        </is>
      </c>
    </row>
    <row r="768">
      <c r="A768" s="1" t="n">
        <v>2024335</v>
      </c>
      <c r="B768" s="3" t="inlineStr">
        <is>
          <t>499</t>
        </is>
      </c>
      <c r="C768" s="2">
        <f>IF(B768="","",LEFT(TEXT(B768,"000"),1)*1)</f>
        <v/>
      </c>
      <c r="D768" s="2">
        <f>IF(B768="","",MID(TEXT(B768,"000"),2,1)*1)</f>
        <v/>
      </c>
      <c r="E768" s="2">
        <f>IF(B768="","",RIGHT(TEXT(B768,"000"),1)*1)</f>
        <v/>
      </c>
      <c r="F768" s="2">
        <f>IF(B768="","",C768+D768+E768)</f>
        <v/>
      </c>
      <c r="G768" s="2">
        <f>IF(B768="","",MOD(F768,10))</f>
        <v/>
      </c>
      <c r="H768" s="2">
        <f>IF(B768="","",MAX(C768,D768,E768)-MIN(C768,D768,E768))</f>
        <v/>
      </c>
      <c r="I768" s="2">
        <f>IF(OR(B768="",H768=0),IF(H768=0,0.1,""),ROUND(F768/H768,2))</f>
        <v/>
      </c>
      <c r="J768" s="2">
        <f>IF(I768=0.1,"极紧凑",IF(I768&gt;3.5,"紧凑",IF(AND(I768&gt;=2,I768&lt;=3.5),"标准",IF(AND(I768&gt;=1,I768&lt;2),"松散",""))))</f>
        <v/>
      </c>
      <c r="K768" s="2">
        <f>IF(I768=0.1,"极紧凑-豹子号",IF(AND(I768&gt;=1,I768&lt;=1.29),"松散-极松散",IF(AND(I768&gt;=1.33,I768&lt;=1.8),"松散-标准松散",IF(AND(I768&gt;=1.83,I768&lt;=1.89),"松散-偏紧松散",IF(AND(I768&gt;=2,I768&lt;=2.5),"标准-偏松标准",IF(AND(I768&gt;=2.57,I768&lt;=3),"标准-核心标准",IF(AND(I768&gt;=3.17,I768&lt;=3.5),"标准-偏紧标准",IF(AND(I768&gt;=3.6,I768&lt;=5),"紧凑-标准紧凑",IF(AND(I768&gt;=5.25,I768&lt;=8),"紧凑-高度紧凑",IF(I768&gt;=8.5,"紧凑-极度紧凑",""))))))))))</f>
        <v/>
      </c>
      <c r="L768" s="2">
        <f>IF(I768=0.1,"极紧凑",IF(AND(I768&gt;=1,I768&lt;=1.89),"松散",IF(AND(I768&gt;=2,I768&lt;=3.5),"标准",IF(I768&gt;=3.6,"紧凑",""))))</f>
        <v/>
      </c>
      <c r="M768" s="2" t="inlineStr">
        <is>
          <t>极紧凑-豹子号</t>
        </is>
      </c>
      <c r="N768" s="2" t="inlineStr">
        <is>
          <t>松散-极松散</t>
        </is>
      </c>
      <c r="O768" s="2" t="inlineStr">
        <is>
          <t>松散-标准松散</t>
        </is>
      </c>
      <c r="P768" s="2" t="inlineStr">
        <is>
          <t>松散-偏紧松散</t>
        </is>
      </c>
      <c r="Q768" s="2" t="inlineStr">
        <is>
          <t>标准-偏松标准</t>
        </is>
      </c>
      <c r="R768" s="2" t="inlineStr">
        <is>
          <t>标准-核心标准</t>
        </is>
      </c>
      <c r="S768" s="2" t="inlineStr">
        <is>
          <t>标准-偏紧标准</t>
        </is>
      </c>
      <c r="T768" s="2" t="inlineStr">
        <is>
          <t>紧凑-标准紧凑</t>
        </is>
      </c>
      <c r="U768" s="2" t="inlineStr">
        <is>
          <t>紧凑-高度紧凑</t>
        </is>
      </c>
      <c r="V768" s="2" t="inlineStr">
        <is>
          <t>紧凑-极度紧凑</t>
        </is>
      </c>
    </row>
    <row r="769">
      <c r="A769" s="1" t="n">
        <v>2024336</v>
      </c>
      <c r="B769" s="3" t="inlineStr">
        <is>
          <t>249</t>
        </is>
      </c>
      <c r="C769" s="2">
        <f>IF(B769="","",LEFT(TEXT(B769,"000"),1)*1)</f>
        <v/>
      </c>
      <c r="D769" s="2">
        <f>IF(B769="","",MID(TEXT(B769,"000"),2,1)*1)</f>
        <v/>
      </c>
      <c r="E769" s="2">
        <f>IF(B769="","",RIGHT(TEXT(B769,"000"),1)*1)</f>
        <v/>
      </c>
      <c r="F769" s="2">
        <f>IF(B769="","",C769+D769+E769)</f>
        <v/>
      </c>
      <c r="G769" s="2">
        <f>IF(B769="","",MOD(F769,10))</f>
        <v/>
      </c>
      <c r="H769" s="2">
        <f>IF(B769="","",MAX(C769,D769,E769)-MIN(C769,D769,E769))</f>
        <v/>
      </c>
      <c r="I769" s="2">
        <f>IF(OR(B769="",H769=0),IF(H769=0,0.1,""),ROUND(F769/H769,2))</f>
        <v/>
      </c>
      <c r="J769" s="2">
        <f>IF(I769=0.1,"极紧凑",IF(I769&gt;3.5,"紧凑",IF(AND(I769&gt;=2,I769&lt;=3.5),"标准",IF(AND(I769&gt;=1,I769&lt;2),"松散",""))))</f>
        <v/>
      </c>
      <c r="K769" s="2">
        <f>IF(I769=0.1,"极紧凑-豹子号",IF(AND(I769&gt;=1,I769&lt;=1.29),"松散-极松散",IF(AND(I769&gt;=1.33,I769&lt;=1.8),"松散-标准松散",IF(AND(I769&gt;=1.83,I769&lt;=1.89),"松散-偏紧松散",IF(AND(I769&gt;=2,I769&lt;=2.5),"标准-偏松标准",IF(AND(I769&gt;=2.57,I769&lt;=3),"标准-核心标准",IF(AND(I769&gt;=3.17,I769&lt;=3.5),"标准-偏紧标准",IF(AND(I769&gt;=3.6,I769&lt;=5),"紧凑-标准紧凑",IF(AND(I769&gt;=5.25,I769&lt;=8),"紧凑-高度紧凑",IF(I769&gt;=8.5,"紧凑-极度紧凑",""))))))))))</f>
        <v/>
      </c>
      <c r="L769" s="2">
        <f>IF(I769=0.1,"极紧凑",IF(AND(I769&gt;=1,I769&lt;=1.89),"松散",IF(AND(I769&gt;=2,I769&lt;=3.5),"标准",IF(I769&gt;=3.6,"紧凑",""))))</f>
        <v/>
      </c>
      <c r="M769" s="2" t="inlineStr">
        <is>
          <t>极紧凑-豹子号</t>
        </is>
      </c>
      <c r="N769" s="2" t="inlineStr">
        <is>
          <t>松散-极松散</t>
        </is>
      </c>
      <c r="O769" s="2" t="inlineStr">
        <is>
          <t>松散-标准松散</t>
        </is>
      </c>
      <c r="P769" s="2" t="inlineStr">
        <is>
          <t>松散-偏紧松散</t>
        </is>
      </c>
      <c r="Q769" s="2" t="inlineStr">
        <is>
          <t>标准-偏松标准</t>
        </is>
      </c>
      <c r="R769" s="2" t="inlineStr">
        <is>
          <t>标准-核心标准</t>
        </is>
      </c>
      <c r="S769" s="2" t="inlineStr">
        <is>
          <t>标准-偏紧标准</t>
        </is>
      </c>
      <c r="T769" s="2" t="inlineStr">
        <is>
          <t>紧凑-标准紧凑</t>
        </is>
      </c>
      <c r="U769" s="2" t="inlineStr">
        <is>
          <t>紧凑-高度紧凑</t>
        </is>
      </c>
      <c r="V769" s="2" t="inlineStr">
        <is>
          <t>紧凑-极度紧凑</t>
        </is>
      </c>
    </row>
    <row r="770">
      <c r="A770" s="1" t="n">
        <v>2024337</v>
      </c>
      <c r="B770" s="3" t="inlineStr">
        <is>
          <t>172</t>
        </is>
      </c>
      <c r="C770" s="2">
        <f>IF(B770="","",LEFT(TEXT(B770,"000"),1)*1)</f>
        <v/>
      </c>
      <c r="D770" s="2">
        <f>IF(B770="","",MID(TEXT(B770,"000"),2,1)*1)</f>
        <v/>
      </c>
      <c r="E770" s="2">
        <f>IF(B770="","",RIGHT(TEXT(B770,"000"),1)*1)</f>
        <v/>
      </c>
      <c r="F770" s="2">
        <f>IF(B770="","",C770+D770+E770)</f>
        <v/>
      </c>
      <c r="G770" s="2">
        <f>IF(B770="","",MOD(F770,10))</f>
        <v/>
      </c>
      <c r="H770" s="2">
        <f>IF(B770="","",MAX(C770,D770,E770)-MIN(C770,D770,E770))</f>
        <v/>
      </c>
      <c r="I770" s="2">
        <f>IF(OR(B770="",H770=0),IF(H770=0,0.1,""),ROUND(F770/H770,2))</f>
        <v/>
      </c>
      <c r="J770" s="2">
        <f>IF(I770=0.1,"极紧凑",IF(I770&gt;3.5,"紧凑",IF(AND(I770&gt;=2,I770&lt;=3.5),"标准",IF(AND(I770&gt;=1,I770&lt;2),"松散",""))))</f>
        <v/>
      </c>
      <c r="K770" s="2">
        <f>IF(I770=0.1,"极紧凑-豹子号",IF(AND(I770&gt;=1,I770&lt;=1.29),"松散-极松散",IF(AND(I770&gt;=1.33,I770&lt;=1.8),"松散-标准松散",IF(AND(I770&gt;=1.83,I770&lt;=1.89),"松散-偏紧松散",IF(AND(I770&gt;=2,I770&lt;=2.5),"标准-偏松标准",IF(AND(I770&gt;=2.57,I770&lt;=3),"标准-核心标准",IF(AND(I770&gt;=3.17,I770&lt;=3.5),"标准-偏紧标准",IF(AND(I770&gt;=3.6,I770&lt;=5),"紧凑-标准紧凑",IF(AND(I770&gt;=5.25,I770&lt;=8),"紧凑-高度紧凑",IF(I770&gt;=8.5,"紧凑-极度紧凑",""))))))))))</f>
        <v/>
      </c>
      <c r="L770" s="2">
        <f>IF(I770=0.1,"极紧凑",IF(AND(I770&gt;=1,I770&lt;=1.89),"松散",IF(AND(I770&gt;=2,I770&lt;=3.5),"标准",IF(I770&gt;=3.6,"紧凑",""))))</f>
        <v/>
      </c>
      <c r="M770" s="2" t="inlineStr">
        <is>
          <t>极紧凑-豹子号</t>
        </is>
      </c>
      <c r="N770" s="2" t="inlineStr">
        <is>
          <t>松散-极松散</t>
        </is>
      </c>
      <c r="O770" s="2" t="inlineStr">
        <is>
          <t>松散-标准松散</t>
        </is>
      </c>
      <c r="P770" s="2" t="inlineStr">
        <is>
          <t>松散-偏紧松散</t>
        </is>
      </c>
      <c r="Q770" s="2" t="inlineStr">
        <is>
          <t>标准-偏松标准</t>
        </is>
      </c>
      <c r="R770" s="2" t="inlineStr">
        <is>
          <t>标准-核心标准</t>
        </is>
      </c>
      <c r="S770" s="2" t="inlineStr">
        <is>
          <t>标准-偏紧标准</t>
        </is>
      </c>
      <c r="T770" s="2" t="inlineStr">
        <is>
          <t>紧凑-标准紧凑</t>
        </is>
      </c>
      <c r="U770" s="2" t="inlineStr">
        <is>
          <t>紧凑-高度紧凑</t>
        </is>
      </c>
      <c r="V770" s="2" t="inlineStr">
        <is>
          <t>紧凑-极度紧凑</t>
        </is>
      </c>
    </row>
    <row r="771">
      <c r="A771" s="1" t="n">
        <v>2024338</v>
      </c>
      <c r="B771" s="3" t="inlineStr">
        <is>
          <t>155</t>
        </is>
      </c>
      <c r="C771" s="2">
        <f>IF(B771="","",LEFT(TEXT(B771,"000"),1)*1)</f>
        <v/>
      </c>
      <c r="D771" s="2">
        <f>IF(B771="","",MID(TEXT(B771,"000"),2,1)*1)</f>
        <v/>
      </c>
      <c r="E771" s="2">
        <f>IF(B771="","",RIGHT(TEXT(B771,"000"),1)*1)</f>
        <v/>
      </c>
      <c r="F771" s="2">
        <f>IF(B771="","",C771+D771+E771)</f>
        <v/>
      </c>
      <c r="G771" s="2">
        <f>IF(B771="","",MOD(F771,10))</f>
        <v/>
      </c>
      <c r="H771" s="2">
        <f>IF(B771="","",MAX(C771,D771,E771)-MIN(C771,D771,E771))</f>
        <v/>
      </c>
      <c r="I771" s="2">
        <f>IF(OR(B771="",H771=0),IF(H771=0,0.1,""),ROUND(F771/H771,2))</f>
        <v/>
      </c>
      <c r="J771" s="2">
        <f>IF(I771=0.1,"极紧凑",IF(I771&gt;3.5,"紧凑",IF(AND(I771&gt;=2,I771&lt;=3.5),"标准",IF(AND(I771&gt;=1,I771&lt;2),"松散",""))))</f>
        <v/>
      </c>
      <c r="K771" s="2">
        <f>IF(I771=0.1,"极紧凑-豹子号",IF(AND(I771&gt;=1,I771&lt;=1.29),"松散-极松散",IF(AND(I771&gt;=1.33,I771&lt;=1.8),"松散-标准松散",IF(AND(I771&gt;=1.83,I771&lt;=1.89),"松散-偏紧松散",IF(AND(I771&gt;=2,I771&lt;=2.5),"标准-偏松标准",IF(AND(I771&gt;=2.57,I771&lt;=3),"标准-核心标准",IF(AND(I771&gt;=3.17,I771&lt;=3.5),"标准-偏紧标准",IF(AND(I771&gt;=3.6,I771&lt;=5),"紧凑-标准紧凑",IF(AND(I771&gt;=5.25,I771&lt;=8),"紧凑-高度紧凑",IF(I771&gt;=8.5,"紧凑-极度紧凑",""))))))))))</f>
        <v/>
      </c>
      <c r="L771" s="2">
        <f>IF(I771=0.1,"极紧凑",IF(AND(I771&gt;=1,I771&lt;=1.89),"松散",IF(AND(I771&gt;=2,I771&lt;=3.5),"标准",IF(I771&gt;=3.6,"紧凑",""))))</f>
        <v/>
      </c>
      <c r="M771" s="2" t="inlineStr">
        <is>
          <t>极紧凑-豹子号</t>
        </is>
      </c>
      <c r="N771" s="2" t="inlineStr">
        <is>
          <t>松散-极松散</t>
        </is>
      </c>
      <c r="O771" s="2" t="inlineStr">
        <is>
          <t>松散-标准松散</t>
        </is>
      </c>
      <c r="P771" s="2" t="inlineStr">
        <is>
          <t>松散-偏紧松散</t>
        </is>
      </c>
      <c r="Q771" s="2" t="inlineStr">
        <is>
          <t>标准-偏松标准</t>
        </is>
      </c>
      <c r="R771" s="2" t="inlineStr">
        <is>
          <t>标准-核心标准</t>
        </is>
      </c>
      <c r="S771" s="2" t="inlineStr">
        <is>
          <t>标准-偏紧标准</t>
        </is>
      </c>
      <c r="T771" s="2" t="inlineStr">
        <is>
          <t>紧凑-标准紧凑</t>
        </is>
      </c>
      <c r="U771" s="2" t="inlineStr">
        <is>
          <t>紧凑-高度紧凑</t>
        </is>
      </c>
      <c r="V771" s="2" t="inlineStr">
        <is>
          <t>紧凑-极度紧凑</t>
        </is>
      </c>
    </row>
    <row r="772">
      <c r="A772" s="1" t="n">
        <v>2024339</v>
      </c>
      <c r="B772" s="3" t="inlineStr">
        <is>
          <t>918</t>
        </is>
      </c>
      <c r="C772" s="2">
        <f>IF(B772="","",LEFT(TEXT(B772,"000"),1)*1)</f>
        <v/>
      </c>
      <c r="D772" s="2">
        <f>IF(B772="","",MID(TEXT(B772,"000"),2,1)*1)</f>
        <v/>
      </c>
      <c r="E772" s="2">
        <f>IF(B772="","",RIGHT(TEXT(B772,"000"),1)*1)</f>
        <v/>
      </c>
      <c r="F772" s="2">
        <f>IF(B772="","",C772+D772+E772)</f>
        <v/>
      </c>
      <c r="G772" s="2">
        <f>IF(B772="","",MOD(F772,10))</f>
        <v/>
      </c>
      <c r="H772" s="2">
        <f>IF(B772="","",MAX(C772,D772,E772)-MIN(C772,D772,E772))</f>
        <v/>
      </c>
      <c r="I772" s="2">
        <f>IF(OR(B772="",H772=0),IF(H772=0,0.1,""),ROUND(F772/H772,2))</f>
        <v/>
      </c>
      <c r="J772" s="2">
        <f>IF(I772=0.1,"极紧凑",IF(I772&gt;3.5,"紧凑",IF(AND(I772&gt;=2,I772&lt;=3.5),"标准",IF(AND(I772&gt;=1,I772&lt;2),"松散",""))))</f>
        <v/>
      </c>
      <c r="K772" s="2">
        <f>IF(I772=0.1,"极紧凑-豹子号",IF(AND(I772&gt;=1,I772&lt;=1.29),"松散-极松散",IF(AND(I772&gt;=1.33,I772&lt;=1.8),"松散-标准松散",IF(AND(I772&gt;=1.83,I772&lt;=1.89),"松散-偏紧松散",IF(AND(I772&gt;=2,I772&lt;=2.5),"标准-偏松标准",IF(AND(I772&gt;=2.57,I772&lt;=3),"标准-核心标准",IF(AND(I772&gt;=3.17,I772&lt;=3.5),"标准-偏紧标准",IF(AND(I772&gt;=3.6,I772&lt;=5),"紧凑-标准紧凑",IF(AND(I772&gt;=5.25,I772&lt;=8),"紧凑-高度紧凑",IF(I772&gt;=8.5,"紧凑-极度紧凑",""))))))))))</f>
        <v/>
      </c>
      <c r="L772" s="2">
        <f>IF(I772=0.1,"极紧凑",IF(AND(I772&gt;=1,I772&lt;=1.89),"松散",IF(AND(I772&gt;=2,I772&lt;=3.5),"标准",IF(I772&gt;=3.6,"紧凑",""))))</f>
        <v/>
      </c>
      <c r="M772" s="2" t="inlineStr">
        <is>
          <t>极紧凑-豹子号</t>
        </is>
      </c>
      <c r="N772" s="2" t="inlineStr">
        <is>
          <t>松散-极松散</t>
        </is>
      </c>
      <c r="O772" s="2" t="inlineStr">
        <is>
          <t>松散-标准松散</t>
        </is>
      </c>
      <c r="P772" s="2" t="inlineStr">
        <is>
          <t>松散-偏紧松散</t>
        </is>
      </c>
      <c r="Q772" s="2" t="inlineStr">
        <is>
          <t>标准-偏松标准</t>
        </is>
      </c>
      <c r="R772" s="2" t="inlineStr">
        <is>
          <t>标准-核心标准</t>
        </is>
      </c>
      <c r="S772" s="2" t="inlineStr">
        <is>
          <t>标准-偏紧标准</t>
        </is>
      </c>
      <c r="T772" s="2" t="inlineStr">
        <is>
          <t>紧凑-标准紧凑</t>
        </is>
      </c>
      <c r="U772" s="2" t="inlineStr">
        <is>
          <t>紧凑-高度紧凑</t>
        </is>
      </c>
      <c r="V772" s="2" t="inlineStr">
        <is>
          <t>紧凑-极度紧凑</t>
        </is>
      </c>
    </row>
    <row r="773">
      <c r="A773" s="1" t="n">
        <v>2024340</v>
      </c>
      <c r="B773" s="3" t="inlineStr">
        <is>
          <t>031</t>
        </is>
      </c>
      <c r="C773" s="2">
        <f>IF(B773="","",LEFT(TEXT(B773,"000"),1)*1)</f>
        <v/>
      </c>
      <c r="D773" s="2">
        <f>IF(B773="","",MID(TEXT(B773,"000"),2,1)*1)</f>
        <v/>
      </c>
      <c r="E773" s="2">
        <f>IF(B773="","",RIGHT(TEXT(B773,"000"),1)*1)</f>
        <v/>
      </c>
      <c r="F773" s="2">
        <f>IF(B773="","",C773+D773+E773)</f>
        <v/>
      </c>
      <c r="G773" s="2">
        <f>IF(B773="","",MOD(F773,10))</f>
        <v/>
      </c>
      <c r="H773" s="2">
        <f>IF(B773="","",MAX(C773,D773,E773)-MIN(C773,D773,E773))</f>
        <v/>
      </c>
      <c r="I773" s="2">
        <f>IF(OR(B773="",H773=0),IF(H773=0,0.1,""),ROUND(F773/H773,2))</f>
        <v/>
      </c>
      <c r="J773" s="2">
        <f>IF(I773=0.1,"极紧凑",IF(I773&gt;3.5,"紧凑",IF(AND(I773&gt;=2,I773&lt;=3.5),"标准",IF(AND(I773&gt;=1,I773&lt;2),"松散",""))))</f>
        <v/>
      </c>
      <c r="K773" s="2">
        <f>IF(I773=0.1,"极紧凑-豹子号",IF(AND(I773&gt;=1,I773&lt;=1.29),"松散-极松散",IF(AND(I773&gt;=1.33,I773&lt;=1.8),"松散-标准松散",IF(AND(I773&gt;=1.83,I773&lt;=1.89),"松散-偏紧松散",IF(AND(I773&gt;=2,I773&lt;=2.5),"标准-偏松标准",IF(AND(I773&gt;=2.57,I773&lt;=3),"标准-核心标准",IF(AND(I773&gt;=3.17,I773&lt;=3.5),"标准-偏紧标准",IF(AND(I773&gt;=3.6,I773&lt;=5),"紧凑-标准紧凑",IF(AND(I773&gt;=5.25,I773&lt;=8),"紧凑-高度紧凑",IF(I773&gt;=8.5,"紧凑-极度紧凑",""))))))))))</f>
        <v/>
      </c>
      <c r="L773" s="2">
        <f>IF(I773=0.1,"极紧凑",IF(AND(I773&gt;=1,I773&lt;=1.89),"松散",IF(AND(I773&gt;=2,I773&lt;=3.5),"标准",IF(I773&gt;=3.6,"紧凑",""))))</f>
        <v/>
      </c>
      <c r="M773" s="2" t="inlineStr">
        <is>
          <t>极紧凑-豹子号</t>
        </is>
      </c>
      <c r="N773" s="2" t="inlineStr">
        <is>
          <t>松散-极松散</t>
        </is>
      </c>
      <c r="O773" s="2" t="inlineStr">
        <is>
          <t>松散-标准松散</t>
        </is>
      </c>
      <c r="P773" s="2" t="inlineStr">
        <is>
          <t>松散-偏紧松散</t>
        </is>
      </c>
      <c r="Q773" s="2" t="inlineStr">
        <is>
          <t>标准-偏松标准</t>
        </is>
      </c>
      <c r="R773" s="2" t="inlineStr">
        <is>
          <t>标准-核心标准</t>
        </is>
      </c>
      <c r="S773" s="2" t="inlineStr">
        <is>
          <t>标准-偏紧标准</t>
        </is>
      </c>
      <c r="T773" s="2" t="inlineStr">
        <is>
          <t>紧凑-标准紧凑</t>
        </is>
      </c>
      <c r="U773" s="2" t="inlineStr">
        <is>
          <t>紧凑-高度紧凑</t>
        </is>
      </c>
      <c r="V773" s="2" t="inlineStr">
        <is>
          <t>紧凑-极度紧凑</t>
        </is>
      </c>
    </row>
    <row r="774">
      <c r="A774" s="1" t="n">
        <v>2024341</v>
      </c>
      <c r="B774" s="3" t="inlineStr">
        <is>
          <t>653</t>
        </is>
      </c>
      <c r="C774" s="2">
        <f>IF(B774="","",LEFT(TEXT(B774,"000"),1)*1)</f>
        <v/>
      </c>
      <c r="D774" s="2">
        <f>IF(B774="","",MID(TEXT(B774,"000"),2,1)*1)</f>
        <v/>
      </c>
      <c r="E774" s="2">
        <f>IF(B774="","",RIGHT(TEXT(B774,"000"),1)*1)</f>
        <v/>
      </c>
      <c r="F774" s="2">
        <f>IF(B774="","",C774+D774+E774)</f>
        <v/>
      </c>
      <c r="G774" s="2">
        <f>IF(B774="","",MOD(F774,10))</f>
        <v/>
      </c>
      <c r="H774" s="2">
        <f>IF(B774="","",MAX(C774,D774,E774)-MIN(C774,D774,E774))</f>
        <v/>
      </c>
      <c r="I774" s="2">
        <f>IF(OR(B774="",H774=0),IF(H774=0,0.1,""),ROUND(F774/H774,2))</f>
        <v/>
      </c>
      <c r="J774" s="2">
        <f>IF(I774=0.1,"极紧凑",IF(I774&gt;3.5,"紧凑",IF(AND(I774&gt;=2,I774&lt;=3.5),"标准",IF(AND(I774&gt;=1,I774&lt;2),"松散",""))))</f>
        <v/>
      </c>
      <c r="K774" s="2">
        <f>IF(I774=0.1,"极紧凑-豹子号",IF(AND(I774&gt;=1,I774&lt;=1.29),"松散-极松散",IF(AND(I774&gt;=1.33,I774&lt;=1.8),"松散-标准松散",IF(AND(I774&gt;=1.83,I774&lt;=1.89),"松散-偏紧松散",IF(AND(I774&gt;=2,I774&lt;=2.5),"标准-偏松标准",IF(AND(I774&gt;=2.57,I774&lt;=3),"标准-核心标准",IF(AND(I774&gt;=3.17,I774&lt;=3.5),"标准-偏紧标准",IF(AND(I774&gt;=3.6,I774&lt;=5),"紧凑-标准紧凑",IF(AND(I774&gt;=5.25,I774&lt;=8),"紧凑-高度紧凑",IF(I774&gt;=8.5,"紧凑-极度紧凑",""))))))))))</f>
        <v/>
      </c>
      <c r="L774" s="2">
        <f>IF(I774=0.1,"极紧凑",IF(AND(I774&gt;=1,I774&lt;=1.89),"松散",IF(AND(I774&gt;=2,I774&lt;=3.5),"标准",IF(I774&gt;=3.6,"紧凑",""))))</f>
        <v/>
      </c>
      <c r="M774" s="2" t="inlineStr">
        <is>
          <t>极紧凑-豹子号</t>
        </is>
      </c>
      <c r="N774" s="2" t="inlineStr">
        <is>
          <t>松散-极松散</t>
        </is>
      </c>
      <c r="O774" s="2" t="inlineStr">
        <is>
          <t>松散-标准松散</t>
        </is>
      </c>
      <c r="P774" s="2" t="inlineStr">
        <is>
          <t>松散-偏紧松散</t>
        </is>
      </c>
      <c r="Q774" s="2" t="inlineStr">
        <is>
          <t>标准-偏松标准</t>
        </is>
      </c>
      <c r="R774" s="2" t="inlineStr">
        <is>
          <t>标准-核心标准</t>
        </is>
      </c>
      <c r="S774" s="2" t="inlineStr">
        <is>
          <t>标准-偏紧标准</t>
        </is>
      </c>
      <c r="T774" s="2" t="inlineStr">
        <is>
          <t>紧凑-标准紧凑</t>
        </is>
      </c>
      <c r="U774" s="2" t="inlineStr">
        <is>
          <t>紧凑-高度紧凑</t>
        </is>
      </c>
      <c r="V774" s="2" t="inlineStr">
        <is>
          <t>紧凑-极度紧凑</t>
        </is>
      </c>
    </row>
    <row r="775">
      <c r="A775" s="1" t="n">
        <v>2024342</v>
      </c>
      <c r="B775" s="3" t="inlineStr">
        <is>
          <t>084</t>
        </is>
      </c>
      <c r="C775" s="2">
        <f>IF(B775="","",LEFT(TEXT(B775,"000"),1)*1)</f>
        <v/>
      </c>
      <c r="D775" s="2">
        <f>IF(B775="","",MID(TEXT(B775,"000"),2,1)*1)</f>
        <v/>
      </c>
      <c r="E775" s="2">
        <f>IF(B775="","",RIGHT(TEXT(B775,"000"),1)*1)</f>
        <v/>
      </c>
      <c r="F775" s="2">
        <f>IF(B775="","",C775+D775+E775)</f>
        <v/>
      </c>
      <c r="G775" s="2">
        <f>IF(B775="","",MOD(F775,10))</f>
        <v/>
      </c>
      <c r="H775" s="2">
        <f>IF(B775="","",MAX(C775,D775,E775)-MIN(C775,D775,E775))</f>
        <v/>
      </c>
      <c r="I775" s="2">
        <f>IF(OR(B775="",H775=0),IF(H775=0,0.1,""),ROUND(F775/H775,2))</f>
        <v/>
      </c>
      <c r="J775" s="2">
        <f>IF(I775=0.1,"极紧凑",IF(I775&gt;3.5,"紧凑",IF(AND(I775&gt;=2,I775&lt;=3.5),"标准",IF(AND(I775&gt;=1,I775&lt;2),"松散",""))))</f>
        <v/>
      </c>
      <c r="K775" s="2">
        <f>IF(I775=0.1,"极紧凑-豹子号",IF(AND(I775&gt;=1,I775&lt;=1.29),"松散-极松散",IF(AND(I775&gt;=1.33,I775&lt;=1.8),"松散-标准松散",IF(AND(I775&gt;=1.83,I775&lt;=1.89),"松散-偏紧松散",IF(AND(I775&gt;=2,I775&lt;=2.5),"标准-偏松标准",IF(AND(I775&gt;=2.57,I775&lt;=3),"标准-核心标准",IF(AND(I775&gt;=3.17,I775&lt;=3.5),"标准-偏紧标准",IF(AND(I775&gt;=3.6,I775&lt;=5),"紧凑-标准紧凑",IF(AND(I775&gt;=5.25,I775&lt;=8),"紧凑-高度紧凑",IF(I775&gt;=8.5,"紧凑-极度紧凑",""))))))))))</f>
        <v/>
      </c>
      <c r="L775" s="2">
        <f>IF(I775=0.1,"极紧凑",IF(AND(I775&gt;=1,I775&lt;=1.89),"松散",IF(AND(I775&gt;=2,I775&lt;=3.5),"标准",IF(I775&gt;=3.6,"紧凑",""))))</f>
        <v/>
      </c>
      <c r="M775" s="2" t="inlineStr">
        <is>
          <t>极紧凑-豹子号</t>
        </is>
      </c>
      <c r="N775" s="2" t="inlineStr">
        <is>
          <t>松散-极松散</t>
        </is>
      </c>
      <c r="O775" s="2" t="inlineStr">
        <is>
          <t>松散-标准松散</t>
        </is>
      </c>
      <c r="P775" s="2" t="inlineStr">
        <is>
          <t>松散-偏紧松散</t>
        </is>
      </c>
      <c r="Q775" s="2" t="inlineStr">
        <is>
          <t>标准-偏松标准</t>
        </is>
      </c>
      <c r="R775" s="2" t="inlineStr">
        <is>
          <t>标准-核心标准</t>
        </is>
      </c>
      <c r="S775" s="2" t="inlineStr">
        <is>
          <t>标准-偏紧标准</t>
        </is>
      </c>
      <c r="T775" s="2" t="inlineStr">
        <is>
          <t>紧凑-标准紧凑</t>
        </is>
      </c>
      <c r="U775" s="2" t="inlineStr">
        <is>
          <t>紧凑-高度紧凑</t>
        </is>
      </c>
      <c r="V775" s="2" t="inlineStr">
        <is>
          <t>紧凑-极度紧凑</t>
        </is>
      </c>
    </row>
    <row r="776">
      <c r="A776" s="1" t="n">
        <v>2024343</v>
      </c>
      <c r="B776" s="3" t="inlineStr">
        <is>
          <t>481</t>
        </is>
      </c>
      <c r="C776" s="2">
        <f>IF(B776="","",LEFT(TEXT(B776,"000"),1)*1)</f>
        <v/>
      </c>
      <c r="D776" s="2">
        <f>IF(B776="","",MID(TEXT(B776,"000"),2,1)*1)</f>
        <v/>
      </c>
      <c r="E776" s="2">
        <f>IF(B776="","",RIGHT(TEXT(B776,"000"),1)*1)</f>
        <v/>
      </c>
      <c r="F776" s="2">
        <f>IF(B776="","",C776+D776+E776)</f>
        <v/>
      </c>
      <c r="G776" s="2">
        <f>IF(B776="","",MOD(F776,10))</f>
        <v/>
      </c>
      <c r="H776" s="2">
        <f>IF(B776="","",MAX(C776,D776,E776)-MIN(C776,D776,E776))</f>
        <v/>
      </c>
      <c r="I776" s="2">
        <f>IF(OR(B776="",H776=0),IF(H776=0,0.1,""),ROUND(F776/H776,2))</f>
        <v/>
      </c>
      <c r="J776" s="2">
        <f>IF(I776=0.1,"极紧凑",IF(I776&gt;3.5,"紧凑",IF(AND(I776&gt;=2,I776&lt;=3.5),"标准",IF(AND(I776&gt;=1,I776&lt;2),"松散",""))))</f>
        <v/>
      </c>
      <c r="K776" s="2">
        <f>IF(I776=0.1,"极紧凑-豹子号",IF(AND(I776&gt;=1,I776&lt;=1.29),"松散-极松散",IF(AND(I776&gt;=1.33,I776&lt;=1.8),"松散-标准松散",IF(AND(I776&gt;=1.83,I776&lt;=1.89),"松散-偏紧松散",IF(AND(I776&gt;=2,I776&lt;=2.5),"标准-偏松标准",IF(AND(I776&gt;=2.57,I776&lt;=3),"标准-核心标准",IF(AND(I776&gt;=3.17,I776&lt;=3.5),"标准-偏紧标准",IF(AND(I776&gt;=3.6,I776&lt;=5),"紧凑-标准紧凑",IF(AND(I776&gt;=5.25,I776&lt;=8),"紧凑-高度紧凑",IF(I776&gt;=8.5,"紧凑-极度紧凑",""))))))))))</f>
        <v/>
      </c>
      <c r="L776" s="2">
        <f>IF(I776=0.1,"极紧凑",IF(AND(I776&gt;=1,I776&lt;=1.89),"松散",IF(AND(I776&gt;=2,I776&lt;=3.5),"标准",IF(I776&gt;=3.6,"紧凑",""))))</f>
        <v/>
      </c>
      <c r="M776" s="2" t="inlineStr">
        <is>
          <t>极紧凑-豹子号</t>
        </is>
      </c>
      <c r="N776" s="2" t="inlineStr">
        <is>
          <t>松散-极松散</t>
        </is>
      </c>
      <c r="O776" s="2" t="inlineStr">
        <is>
          <t>松散-标准松散</t>
        </is>
      </c>
      <c r="P776" s="2" t="inlineStr">
        <is>
          <t>松散-偏紧松散</t>
        </is>
      </c>
      <c r="Q776" s="2" t="inlineStr">
        <is>
          <t>标准-偏松标准</t>
        </is>
      </c>
      <c r="R776" s="2" t="inlineStr">
        <is>
          <t>标准-核心标准</t>
        </is>
      </c>
      <c r="S776" s="2" t="inlineStr">
        <is>
          <t>标准-偏紧标准</t>
        </is>
      </c>
      <c r="T776" s="2" t="inlineStr">
        <is>
          <t>紧凑-标准紧凑</t>
        </is>
      </c>
      <c r="U776" s="2" t="inlineStr">
        <is>
          <t>紧凑-高度紧凑</t>
        </is>
      </c>
      <c r="V776" s="2" t="inlineStr">
        <is>
          <t>紧凑-极度紧凑</t>
        </is>
      </c>
    </row>
    <row r="777">
      <c r="A777" s="1" t="n">
        <v>2024344</v>
      </c>
      <c r="B777" s="3" t="inlineStr">
        <is>
          <t>546</t>
        </is>
      </c>
      <c r="C777" s="2">
        <f>IF(B777="","",LEFT(TEXT(B777,"000"),1)*1)</f>
        <v/>
      </c>
      <c r="D777" s="2">
        <f>IF(B777="","",MID(TEXT(B777,"000"),2,1)*1)</f>
        <v/>
      </c>
      <c r="E777" s="2">
        <f>IF(B777="","",RIGHT(TEXT(B777,"000"),1)*1)</f>
        <v/>
      </c>
      <c r="F777" s="2">
        <f>IF(B777="","",C777+D777+E777)</f>
        <v/>
      </c>
      <c r="G777" s="2">
        <f>IF(B777="","",MOD(F777,10))</f>
        <v/>
      </c>
      <c r="H777" s="2">
        <f>IF(B777="","",MAX(C777,D777,E777)-MIN(C777,D777,E777))</f>
        <v/>
      </c>
      <c r="I777" s="2">
        <f>IF(OR(B777="",H777=0),IF(H777=0,0.1,""),ROUND(F777/H777,2))</f>
        <v/>
      </c>
      <c r="J777" s="2">
        <f>IF(I777=0.1,"极紧凑",IF(I777&gt;3.5,"紧凑",IF(AND(I777&gt;=2,I777&lt;=3.5),"标准",IF(AND(I777&gt;=1,I777&lt;2),"松散",""))))</f>
        <v/>
      </c>
      <c r="K777" s="2">
        <f>IF(I777=0.1,"极紧凑-豹子号",IF(AND(I777&gt;=1,I777&lt;=1.29),"松散-极松散",IF(AND(I777&gt;=1.33,I777&lt;=1.8),"松散-标准松散",IF(AND(I777&gt;=1.83,I777&lt;=1.89),"松散-偏紧松散",IF(AND(I777&gt;=2,I777&lt;=2.5),"标准-偏松标准",IF(AND(I777&gt;=2.57,I777&lt;=3),"标准-核心标准",IF(AND(I777&gt;=3.17,I777&lt;=3.5),"标准-偏紧标准",IF(AND(I777&gt;=3.6,I777&lt;=5),"紧凑-标准紧凑",IF(AND(I777&gt;=5.25,I777&lt;=8),"紧凑-高度紧凑",IF(I777&gt;=8.5,"紧凑-极度紧凑",""))))))))))</f>
        <v/>
      </c>
      <c r="L777" s="2">
        <f>IF(I777=0.1,"极紧凑",IF(AND(I777&gt;=1,I777&lt;=1.89),"松散",IF(AND(I777&gt;=2,I777&lt;=3.5),"标准",IF(I777&gt;=3.6,"紧凑",""))))</f>
        <v/>
      </c>
      <c r="M777" s="2" t="inlineStr">
        <is>
          <t>极紧凑-豹子号</t>
        </is>
      </c>
      <c r="N777" s="2" t="inlineStr">
        <is>
          <t>松散-极松散</t>
        </is>
      </c>
      <c r="O777" s="2" t="inlineStr">
        <is>
          <t>松散-标准松散</t>
        </is>
      </c>
      <c r="P777" s="2" t="inlineStr">
        <is>
          <t>松散-偏紧松散</t>
        </is>
      </c>
      <c r="Q777" s="2" t="inlineStr">
        <is>
          <t>标准-偏松标准</t>
        </is>
      </c>
      <c r="R777" s="2" t="inlineStr">
        <is>
          <t>标准-核心标准</t>
        </is>
      </c>
      <c r="S777" s="2" t="inlineStr">
        <is>
          <t>标准-偏紧标准</t>
        </is>
      </c>
      <c r="T777" s="2" t="inlineStr">
        <is>
          <t>紧凑-标准紧凑</t>
        </is>
      </c>
      <c r="U777" s="2" t="inlineStr">
        <is>
          <t>紧凑-高度紧凑</t>
        </is>
      </c>
      <c r="V777" s="2" t="inlineStr">
        <is>
          <t>紧凑-极度紧凑</t>
        </is>
      </c>
    </row>
    <row r="778">
      <c r="A778" s="1" t="n">
        <v>2024345</v>
      </c>
      <c r="B778" s="3" t="inlineStr">
        <is>
          <t>620</t>
        </is>
      </c>
      <c r="C778" s="2">
        <f>IF(B778="","",LEFT(TEXT(B778,"000"),1)*1)</f>
        <v/>
      </c>
      <c r="D778" s="2">
        <f>IF(B778="","",MID(TEXT(B778,"000"),2,1)*1)</f>
        <v/>
      </c>
      <c r="E778" s="2">
        <f>IF(B778="","",RIGHT(TEXT(B778,"000"),1)*1)</f>
        <v/>
      </c>
      <c r="F778" s="2">
        <f>IF(B778="","",C778+D778+E778)</f>
        <v/>
      </c>
      <c r="G778" s="2">
        <f>IF(B778="","",MOD(F778,10))</f>
        <v/>
      </c>
      <c r="H778" s="2">
        <f>IF(B778="","",MAX(C778,D778,E778)-MIN(C778,D778,E778))</f>
        <v/>
      </c>
      <c r="I778" s="2">
        <f>IF(OR(B778="",H778=0),IF(H778=0,0.1,""),ROUND(F778/H778,2))</f>
        <v/>
      </c>
      <c r="J778" s="2">
        <f>IF(I778=0.1,"极紧凑",IF(I778&gt;3.5,"紧凑",IF(AND(I778&gt;=2,I778&lt;=3.5),"标准",IF(AND(I778&gt;=1,I778&lt;2),"松散",""))))</f>
        <v/>
      </c>
      <c r="K778" s="2">
        <f>IF(I778=0.1,"极紧凑-豹子号",IF(AND(I778&gt;=1,I778&lt;=1.29),"松散-极松散",IF(AND(I778&gt;=1.33,I778&lt;=1.8),"松散-标准松散",IF(AND(I778&gt;=1.83,I778&lt;=1.89),"松散-偏紧松散",IF(AND(I778&gt;=2,I778&lt;=2.5),"标准-偏松标准",IF(AND(I778&gt;=2.57,I778&lt;=3),"标准-核心标准",IF(AND(I778&gt;=3.17,I778&lt;=3.5),"标准-偏紧标准",IF(AND(I778&gt;=3.6,I778&lt;=5),"紧凑-标准紧凑",IF(AND(I778&gt;=5.25,I778&lt;=8),"紧凑-高度紧凑",IF(I778&gt;=8.5,"紧凑-极度紧凑",""))))))))))</f>
        <v/>
      </c>
      <c r="L778" s="2">
        <f>IF(I778=0.1,"极紧凑",IF(AND(I778&gt;=1,I778&lt;=1.89),"松散",IF(AND(I778&gt;=2,I778&lt;=3.5),"标准",IF(I778&gt;=3.6,"紧凑",""))))</f>
        <v/>
      </c>
      <c r="M778" s="2" t="inlineStr">
        <is>
          <t>极紧凑-豹子号</t>
        </is>
      </c>
      <c r="N778" s="2" t="inlineStr">
        <is>
          <t>松散-极松散</t>
        </is>
      </c>
      <c r="O778" s="2" t="inlineStr">
        <is>
          <t>松散-标准松散</t>
        </is>
      </c>
      <c r="P778" s="2" t="inlineStr">
        <is>
          <t>松散-偏紧松散</t>
        </is>
      </c>
      <c r="Q778" s="2" t="inlineStr">
        <is>
          <t>标准-偏松标准</t>
        </is>
      </c>
      <c r="R778" s="2" t="inlineStr">
        <is>
          <t>标准-核心标准</t>
        </is>
      </c>
      <c r="S778" s="2" t="inlineStr">
        <is>
          <t>标准-偏紧标准</t>
        </is>
      </c>
      <c r="T778" s="2" t="inlineStr">
        <is>
          <t>紧凑-标准紧凑</t>
        </is>
      </c>
      <c r="U778" s="2" t="inlineStr">
        <is>
          <t>紧凑-高度紧凑</t>
        </is>
      </c>
      <c r="V778" s="2" t="inlineStr">
        <is>
          <t>紧凑-极度紧凑</t>
        </is>
      </c>
    </row>
    <row r="779">
      <c r="A779" s="1" t="n">
        <v>2024346</v>
      </c>
      <c r="B779" s="3" t="inlineStr">
        <is>
          <t>677</t>
        </is>
      </c>
      <c r="C779" s="2">
        <f>IF(B779="","",LEFT(TEXT(B779,"000"),1)*1)</f>
        <v/>
      </c>
      <c r="D779" s="2">
        <f>IF(B779="","",MID(TEXT(B779,"000"),2,1)*1)</f>
        <v/>
      </c>
      <c r="E779" s="2">
        <f>IF(B779="","",RIGHT(TEXT(B779,"000"),1)*1)</f>
        <v/>
      </c>
      <c r="F779" s="2">
        <f>IF(B779="","",C779+D779+E779)</f>
        <v/>
      </c>
      <c r="G779" s="2">
        <f>IF(B779="","",MOD(F779,10))</f>
        <v/>
      </c>
      <c r="H779" s="2">
        <f>IF(B779="","",MAX(C779,D779,E779)-MIN(C779,D779,E779))</f>
        <v/>
      </c>
      <c r="I779" s="2">
        <f>IF(OR(B779="",H779=0),IF(H779=0,0.1,""),ROUND(F779/H779,2))</f>
        <v/>
      </c>
      <c r="J779" s="2">
        <f>IF(I779=0.1,"极紧凑",IF(I779&gt;3.5,"紧凑",IF(AND(I779&gt;=2,I779&lt;=3.5),"标准",IF(AND(I779&gt;=1,I779&lt;2),"松散",""))))</f>
        <v/>
      </c>
      <c r="K779" s="2">
        <f>IF(I779=0.1,"极紧凑-豹子号",IF(AND(I779&gt;=1,I779&lt;=1.29),"松散-极松散",IF(AND(I779&gt;=1.33,I779&lt;=1.8),"松散-标准松散",IF(AND(I779&gt;=1.83,I779&lt;=1.89),"松散-偏紧松散",IF(AND(I779&gt;=2,I779&lt;=2.5),"标准-偏松标准",IF(AND(I779&gt;=2.57,I779&lt;=3),"标准-核心标准",IF(AND(I779&gt;=3.17,I779&lt;=3.5),"标准-偏紧标准",IF(AND(I779&gt;=3.6,I779&lt;=5),"紧凑-标准紧凑",IF(AND(I779&gt;=5.25,I779&lt;=8),"紧凑-高度紧凑",IF(I779&gt;=8.5,"紧凑-极度紧凑",""))))))))))</f>
        <v/>
      </c>
      <c r="L779" s="2">
        <f>IF(I779=0.1,"极紧凑",IF(AND(I779&gt;=1,I779&lt;=1.89),"松散",IF(AND(I779&gt;=2,I779&lt;=3.5),"标准",IF(I779&gt;=3.6,"紧凑",""))))</f>
        <v/>
      </c>
      <c r="M779" s="2" t="inlineStr">
        <is>
          <t>极紧凑-豹子号</t>
        </is>
      </c>
      <c r="N779" s="2" t="inlineStr">
        <is>
          <t>松散-极松散</t>
        </is>
      </c>
      <c r="O779" s="2" t="inlineStr">
        <is>
          <t>松散-标准松散</t>
        </is>
      </c>
      <c r="P779" s="2" t="inlineStr">
        <is>
          <t>松散-偏紧松散</t>
        </is>
      </c>
      <c r="Q779" s="2" t="inlineStr">
        <is>
          <t>标准-偏松标准</t>
        </is>
      </c>
      <c r="R779" s="2" t="inlineStr">
        <is>
          <t>标准-核心标准</t>
        </is>
      </c>
      <c r="S779" s="2" t="inlineStr">
        <is>
          <t>标准-偏紧标准</t>
        </is>
      </c>
      <c r="T779" s="2" t="inlineStr">
        <is>
          <t>紧凑-标准紧凑</t>
        </is>
      </c>
      <c r="U779" s="2" t="inlineStr">
        <is>
          <t>紧凑-高度紧凑</t>
        </is>
      </c>
      <c r="V779" s="2" t="inlineStr">
        <is>
          <t>紧凑-极度紧凑</t>
        </is>
      </c>
    </row>
    <row r="780">
      <c r="A780" s="1" t="n">
        <v>2024347</v>
      </c>
      <c r="B780" s="3" t="inlineStr">
        <is>
          <t>893</t>
        </is>
      </c>
      <c r="C780" s="2">
        <f>IF(B780="","",LEFT(TEXT(B780,"000"),1)*1)</f>
        <v/>
      </c>
      <c r="D780" s="2">
        <f>IF(B780="","",MID(TEXT(B780,"000"),2,1)*1)</f>
        <v/>
      </c>
      <c r="E780" s="2">
        <f>IF(B780="","",RIGHT(TEXT(B780,"000"),1)*1)</f>
        <v/>
      </c>
      <c r="F780" s="2">
        <f>IF(B780="","",C780+D780+E780)</f>
        <v/>
      </c>
      <c r="G780" s="2">
        <f>IF(B780="","",MOD(F780,10))</f>
        <v/>
      </c>
      <c r="H780" s="2">
        <f>IF(B780="","",MAX(C780,D780,E780)-MIN(C780,D780,E780))</f>
        <v/>
      </c>
      <c r="I780" s="2">
        <f>IF(OR(B780="",H780=0),IF(H780=0,0.1,""),ROUND(F780/H780,2))</f>
        <v/>
      </c>
      <c r="J780" s="2">
        <f>IF(I780=0.1,"极紧凑",IF(I780&gt;3.5,"紧凑",IF(AND(I780&gt;=2,I780&lt;=3.5),"标准",IF(AND(I780&gt;=1,I780&lt;2),"松散",""))))</f>
        <v/>
      </c>
      <c r="K780" s="2">
        <f>IF(I780=0.1,"极紧凑-豹子号",IF(AND(I780&gt;=1,I780&lt;=1.29),"松散-极松散",IF(AND(I780&gt;=1.33,I780&lt;=1.8),"松散-标准松散",IF(AND(I780&gt;=1.83,I780&lt;=1.89),"松散-偏紧松散",IF(AND(I780&gt;=2,I780&lt;=2.5),"标准-偏松标准",IF(AND(I780&gt;=2.57,I780&lt;=3),"标准-核心标准",IF(AND(I780&gt;=3.17,I780&lt;=3.5),"标准-偏紧标准",IF(AND(I780&gt;=3.6,I780&lt;=5),"紧凑-标准紧凑",IF(AND(I780&gt;=5.25,I780&lt;=8),"紧凑-高度紧凑",IF(I780&gt;=8.5,"紧凑-极度紧凑",""))))))))))</f>
        <v/>
      </c>
      <c r="L780" s="2">
        <f>IF(I780=0.1,"极紧凑",IF(AND(I780&gt;=1,I780&lt;=1.89),"松散",IF(AND(I780&gt;=2,I780&lt;=3.5),"标准",IF(I780&gt;=3.6,"紧凑",""))))</f>
        <v/>
      </c>
      <c r="M780" s="2" t="inlineStr">
        <is>
          <t>极紧凑-豹子号</t>
        </is>
      </c>
      <c r="N780" s="2" t="inlineStr">
        <is>
          <t>松散-极松散</t>
        </is>
      </c>
      <c r="O780" s="2" t="inlineStr">
        <is>
          <t>松散-标准松散</t>
        </is>
      </c>
      <c r="P780" s="2" t="inlineStr">
        <is>
          <t>松散-偏紧松散</t>
        </is>
      </c>
      <c r="Q780" s="2" t="inlineStr">
        <is>
          <t>标准-偏松标准</t>
        </is>
      </c>
      <c r="R780" s="2" t="inlineStr">
        <is>
          <t>标准-核心标准</t>
        </is>
      </c>
      <c r="S780" s="2" t="inlineStr">
        <is>
          <t>标准-偏紧标准</t>
        </is>
      </c>
      <c r="T780" s="2" t="inlineStr">
        <is>
          <t>紧凑-标准紧凑</t>
        </is>
      </c>
      <c r="U780" s="2" t="inlineStr">
        <is>
          <t>紧凑-高度紧凑</t>
        </is>
      </c>
      <c r="V780" s="2" t="inlineStr">
        <is>
          <t>紧凑-极度紧凑</t>
        </is>
      </c>
    </row>
    <row r="781">
      <c r="A781" s="1" t="n">
        <v>2024348</v>
      </c>
      <c r="B781" s="3" t="inlineStr">
        <is>
          <t>192</t>
        </is>
      </c>
      <c r="C781" s="2">
        <f>IF(B781="","",LEFT(TEXT(B781,"000"),1)*1)</f>
        <v/>
      </c>
      <c r="D781" s="2">
        <f>IF(B781="","",MID(TEXT(B781,"000"),2,1)*1)</f>
        <v/>
      </c>
      <c r="E781" s="2">
        <f>IF(B781="","",RIGHT(TEXT(B781,"000"),1)*1)</f>
        <v/>
      </c>
      <c r="F781" s="2">
        <f>IF(B781="","",C781+D781+E781)</f>
        <v/>
      </c>
      <c r="G781" s="2">
        <f>IF(B781="","",MOD(F781,10))</f>
        <v/>
      </c>
      <c r="H781" s="2">
        <f>IF(B781="","",MAX(C781,D781,E781)-MIN(C781,D781,E781))</f>
        <v/>
      </c>
      <c r="I781" s="2">
        <f>IF(OR(B781="",H781=0),IF(H781=0,0.1,""),ROUND(F781/H781,2))</f>
        <v/>
      </c>
      <c r="J781" s="2">
        <f>IF(I781=0.1,"极紧凑",IF(I781&gt;3.5,"紧凑",IF(AND(I781&gt;=2,I781&lt;=3.5),"标准",IF(AND(I781&gt;=1,I781&lt;2),"松散",""))))</f>
        <v/>
      </c>
      <c r="K781" s="2">
        <f>IF(I781=0.1,"极紧凑-豹子号",IF(AND(I781&gt;=1,I781&lt;=1.29),"松散-极松散",IF(AND(I781&gt;=1.33,I781&lt;=1.8),"松散-标准松散",IF(AND(I781&gt;=1.83,I781&lt;=1.89),"松散-偏紧松散",IF(AND(I781&gt;=2,I781&lt;=2.5),"标准-偏松标准",IF(AND(I781&gt;=2.57,I781&lt;=3),"标准-核心标准",IF(AND(I781&gt;=3.17,I781&lt;=3.5),"标准-偏紧标准",IF(AND(I781&gt;=3.6,I781&lt;=5),"紧凑-标准紧凑",IF(AND(I781&gt;=5.25,I781&lt;=8),"紧凑-高度紧凑",IF(I781&gt;=8.5,"紧凑-极度紧凑",""))))))))))</f>
        <v/>
      </c>
      <c r="L781" s="2">
        <f>IF(I781=0.1,"极紧凑",IF(AND(I781&gt;=1,I781&lt;=1.89),"松散",IF(AND(I781&gt;=2,I781&lt;=3.5),"标准",IF(I781&gt;=3.6,"紧凑",""))))</f>
        <v/>
      </c>
      <c r="M781" s="2" t="inlineStr">
        <is>
          <t>极紧凑-豹子号</t>
        </is>
      </c>
      <c r="N781" s="2" t="inlineStr">
        <is>
          <t>松散-极松散</t>
        </is>
      </c>
      <c r="O781" s="2" t="inlineStr">
        <is>
          <t>松散-标准松散</t>
        </is>
      </c>
      <c r="P781" s="2" t="inlineStr">
        <is>
          <t>松散-偏紧松散</t>
        </is>
      </c>
      <c r="Q781" s="2" t="inlineStr">
        <is>
          <t>标准-偏松标准</t>
        </is>
      </c>
      <c r="R781" s="2" t="inlineStr">
        <is>
          <t>标准-核心标准</t>
        </is>
      </c>
      <c r="S781" s="2" t="inlineStr">
        <is>
          <t>标准-偏紧标准</t>
        </is>
      </c>
      <c r="T781" s="2" t="inlineStr">
        <is>
          <t>紧凑-标准紧凑</t>
        </is>
      </c>
      <c r="U781" s="2" t="inlineStr">
        <is>
          <t>紧凑-高度紧凑</t>
        </is>
      </c>
      <c r="V781" s="2" t="inlineStr">
        <is>
          <t>紧凑-极度紧凑</t>
        </is>
      </c>
    </row>
    <row r="782">
      <c r="A782" s="1" t="n">
        <v>2024349</v>
      </c>
      <c r="B782" s="3" t="inlineStr">
        <is>
          <t>907</t>
        </is>
      </c>
      <c r="C782" s="2">
        <f>IF(B782="","",LEFT(TEXT(B782,"000"),1)*1)</f>
        <v/>
      </c>
      <c r="D782" s="2">
        <f>IF(B782="","",MID(TEXT(B782,"000"),2,1)*1)</f>
        <v/>
      </c>
      <c r="E782" s="2">
        <f>IF(B782="","",RIGHT(TEXT(B782,"000"),1)*1)</f>
        <v/>
      </c>
      <c r="F782" s="2">
        <f>IF(B782="","",C782+D782+E782)</f>
        <v/>
      </c>
      <c r="G782" s="2">
        <f>IF(B782="","",MOD(F782,10))</f>
        <v/>
      </c>
      <c r="H782" s="2">
        <f>IF(B782="","",MAX(C782,D782,E782)-MIN(C782,D782,E782))</f>
        <v/>
      </c>
      <c r="I782" s="2">
        <f>IF(OR(B782="",H782=0),IF(H782=0,0.1,""),ROUND(F782/H782,2))</f>
        <v/>
      </c>
      <c r="J782" s="2">
        <f>IF(I782=0.1,"极紧凑",IF(I782&gt;3.5,"紧凑",IF(AND(I782&gt;=2,I782&lt;=3.5),"标准",IF(AND(I782&gt;=1,I782&lt;2),"松散",""))))</f>
        <v/>
      </c>
      <c r="K782" s="2">
        <f>IF(I782=0.1,"极紧凑-豹子号",IF(AND(I782&gt;=1,I782&lt;=1.29),"松散-极松散",IF(AND(I782&gt;=1.33,I782&lt;=1.8),"松散-标准松散",IF(AND(I782&gt;=1.83,I782&lt;=1.89),"松散-偏紧松散",IF(AND(I782&gt;=2,I782&lt;=2.5),"标准-偏松标准",IF(AND(I782&gt;=2.57,I782&lt;=3),"标准-核心标准",IF(AND(I782&gt;=3.17,I782&lt;=3.5),"标准-偏紧标准",IF(AND(I782&gt;=3.6,I782&lt;=5),"紧凑-标准紧凑",IF(AND(I782&gt;=5.25,I782&lt;=8),"紧凑-高度紧凑",IF(I782&gt;=8.5,"紧凑-极度紧凑",""))))))))))</f>
        <v/>
      </c>
      <c r="L782" s="2">
        <f>IF(I782=0.1,"极紧凑",IF(AND(I782&gt;=1,I782&lt;=1.89),"松散",IF(AND(I782&gt;=2,I782&lt;=3.5),"标准",IF(I782&gt;=3.6,"紧凑",""))))</f>
        <v/>
      </c>
      <c r="M782" s="2" t="inlineStr">
        <is>
          <t>极紧凑-豹子号</t>
        </is>
      </c>
      <c r="N782" s="2" t="inlineStr">
        <is>
          <t>松散-极松散</t>
        </is>
      </c>
      <c r="O782" s="2" t="inlineStr">
        <is>
          <t>松散-标准松散</t>
        </is>
      </c>
      <c r="P782" s="2" t="inlineStr">
        <is>
          <t>松散-偏紧松散</t>
        </is>
      </c>
      <c r="Q782" s="2" t="inlineStr">
        <is>
          <t>标准-偏松标准</t>
        </is>
      </c>
      <c r="R782" s="2" t="inlineStr">
        <is>
          <t>标准-核心标准</t>
        </is>
      </c>
      <c r="S782" s="2" t="inlineStr">
        <is>
          <t>标准-偏紧标准</t>
        </is>
      </c>
      <c r="T782" s="2" t="inlineStr">
        <is>
          <t>紧凑-标准紧凑</t>
        </is>
      </c>
      <c r="U782" s="2" t="inlineStr">
        <is>
          <t>紧凑-高度紧凑</t>
        </is>
      </c>
      <c r="V782" s="2" t="inlineStr">
        <is>
          <t>紧凑-极度紧凑</t>
        </is>
      </c>
    </row>
    <row r="783">
      <c r="A783" s="1" t="n">
        <v>2024350</v>
      </c>
      <c r="B783" s="3" t="inlineStr">
        <is>
          <t>220</t>
        </is>
      </c>
      <c r="C783" s="2">
        <f>IF(B783="","",LEFT(TEXT(B783,"000"),1)*1)</f>
        <v/>
      </c>
      <c r="D783" s="2">
        <f>IF(B783="","",MID(TEXT(B783,"000"),2,1)*1)</f>
        <v/>
      </c>
      <c r="E783" s="2">
        <f>IF(B783="","",RIGHT(TEXT(B783,"000"),1)*1)</f>
        <v/>
      </c>
      <c r="F783" s="2">
        <f>IF(B783="","",C783+D783+E783)</f>
        <v/>
      </c>
      <c r="G783" s="2">
        <f>IF(B783="","",MOD(F783,10))</f>
        <v/>
      </c>
      <c r="H783" s="2">
        <f>IF(B783="","",MAX(C783,D783,E783)-MIN(C783,D783,E783))</f>
        <v/>
      </c>
      <c r="I783" s="2">
        <f>IF(OR(B783="",H783=0),IF(H783=0,0.1,""),ROUND(F783/H783,2))</f>
        <v/>
      </c>
      <c r="J783" s="2">
        <f>IF(I783=0.1,"极紧凑",IF(I783&gt;3.5,"紧凑",IF(AND(I783&gt;=2,I783&lt;=3.5),"标准",IF(AND(I783&gt;=1,I783&lt;2),"松散",""))))</f>
        <v/>
      </c>
      <c r="K783" s="2">
        <f>IF(I783=0.1,"极紧凑-豹子号",IF(AND(I783&gt;=1,I783&lt;=1.29),"松散-极松散",IF(AND(I783&gt;=1.33,I783&lt;=1.8),"松散-标准松散",IF(AND(I783&gt;=1.83,I783&lt;=1.89),"松散-偏紧松散",IF(AND(I783&gt;=2,I783&lt;=2.5),"标准-偏松标准",IF(AND(I783&gt;=2.57,I783&lt;=3),"标准-核心标准",IF(AND(I783&gt;=3.17,I783&lt;=3.5),"标准-偏紧标准",IF(AND(I783&gt;=3.6,I783&lt;=5),"紧凑-标准紧凑",IF(AND(I783&gt;=5.25,I783&lt;=8),"紧凑-高度紧凑",IF(I783&gt;=8.5,"紧凑-极度紧凑",""))))))))))</f>
        <v/>
      </c>
      <c r="L783" s="2">
        <f>IF(I783=0.1,"极紧凑",IF(AND(I783&gt;=1,I783&lt;=1.89),"松散",IF(AND(I783&gt;=2,I783&lt;=3.5),"标准",IF(I783&gt;=3.6,"紧凑",""))))</f>
        <v/>
      </c>
      <c r="M783" s="2" t="inlineStr">
        <is>
          <t>极紧凑-豹子号</t>
        </is>
      </c>
      <c r="N783" s="2" t="inlineStr">
        <is>
          <t>松散-极松散</t>
        </is>
      </c>
      <c r="O783" s="2" t="inlineStr">
        <is>
          <t>松散-标准松散</t>
        </is>
      </c>
      <c r="P783" s="2" t="inlineStr">
        <is>
          <t>松散-偏紧松散</t>
        </is>
      </c>
      <c r="Q783" s="2" t="inlineStr">
        <is>
          <t>标准-偏松标准</t>
        </is>
      </c>
      <c r="R783" s="2" t="inlineStr">
        <is>
          <t>标准-核心标准</t>
        </is>
      </c>
      <c r="S783" s="2" t="inlineStr">
        <is>
          <t>标准-偏紧标准</t>
        </is>
      </c>
      <c r="T783" s="2" t="inlineStr">
        <is>
          <t>紧凑-标准紧凑</t>
        </is>
      </c>
      <c r="U783" s="2" t="inlineStr">
        <is>
          <t>紧凑-高度紧凑</t>
        </is>
      </c>
      <c r="V783" s="2" t="inlineStr">
        <is>
          <t>紧凑-极度紧凑</t>
        </is>
      </c>
    </row>
    <row r="784">
      <c r="A784" s="1" t="n">
        <v>2024351</v>
      </c>
      <c r="B784" s="3" t="inlineStr">
        <is>
          <t>788</t>
        </is>
      </c>
      <c r="C784" s="2">
        <f>IF(B784="","",LEFT(TEXT(B784,"000"),1)*1)</f>
        <v/>
      </c>
      <c r="D784" s="2">
        <f>IF(B784="","",MID(TEXT(B784,"000"),2,1)*1)</f>
        <v/>
      </c>
      <c r="E784" s="2">
        <f>IF(B784="","",RIGHT(TEXT(B784,"000"),1)*1)</f>
        <v/>
      </c>
      <c r="F784" s="2">
        <f>IF(B784="","",C784+D784+E784)</f>
        <v/>
      </c>
      <c r="G784" s="2">
        <f>IF(B784="","",MOD(F784,10))</f>
        <v/>
      </c>
      <c r="H784" s="2">
        <f>IF(B784="","",MAX(C784,D784,E784)-MIN(C784,D784,E784))</f>
        <v/>
      </c>
      <c r="I784" s="2">
        <f>IF(OR(B784="",H784=0),IF(H784=0,0.1,""),ROUND(F784/H784,2))</f>
        <v/>
      </c>
      <c r="J784" s="2">
        <f>IF(I784=0.1,"极紧凑",IF(I784&gt;3.5,"紧凑",IF(AND(I784&gt;=2,I784&lt;=3.5),"标准",IF(AND(I784&gt;=1,I784&lt;2),"松散",""))))</f>
        <v/>
      </c>
      <c r="K784" s="2">
        <f>IF(I784=0.1,"极紧凑-豹子号",IF(AND(I784&gt;=1,I784&lt;=1.29),"松散-极松散",IF(AND(I784&gt;=1.33,I784&lt;=1.8),"松散-标准松散",IF(AND(I784&gt;=1.83,I784&lt;=1.89),"松散-偏紧松散",IF(AND(I784&gt;=2,I784&lt;=2.5),"标准-偏松标准",IF(AND(I784&gt;=2.57,I784&lt;=3),"标准-核心标准",IF(AND(I784&gt;=3.17,I784&lt;=3.5),"标准-偏紧标准",IF(AND(I784&gt;=3.6,I784&lt;=5),"紧凑-标准紧凑",IF(AND(I784&gt;=5.25,I784&lt;=8),"紧凑-高度紧凑",IF(I784&gt;=8.5,"紧凑-极度紧凑",""))))))))))</f>
        <v/>
      </c>
      <c r="L784" s="2">
        <f>IF(I784=0.1,"极紧凑",IF(AND(I784&gt;=1,I784&lt;=1.89),"松散",IF(AND(I784&gt;=2,I784&lt;=3.5),"标准",IF(I784&gt;=3.6,"紧凑",""))))</f>
        <v/>
      </c>
      <c r="M784" s="2" t="inlineStr">
        <is>
          <t>极紧凑-豹子号</t>
        </is>
      </c>
      <c r="N784" s="2" t="inlineStr">
        <is>
          <t>松散-极松散</t>
        </is>
      </c>
      <c r="O784" s="2" t="inlineStr">
        <is>
          <t>松散-标准松散</t>
        </is>
      </c>
      <c r="P784" s="2" t="inlineStr">
        <is>
          <t>松散-偏紧松散</t>
        </is>
      </c>
      <c r="Q784" s="2" t="inlineStr">
        <is>
          <t>标准-偏松标准</t>
        </is>
      </c>
      <c r="R784" s="2" t="inlineStr">
        <is>
          <t>标准-核心标准</t>
        </is>
      </c>
      <c r="S784" s="2" t="inlineStr">
        <is>
          <t>标准-偏紧标准</t>
        </is>
      </c>
      <c r="T784" s="2" t="inlineStr">
        <is>
          <t>紧凑-标准紧凑</t>
        </is>
      </c>
      <c r="U784" s="2" t="inlineStr">
        <is>
          <t>紧凑-高度紧凑</t>
        </is>
      </c>
      <c r="V784" s="2" t="inlineStr">
        <is>
          <t>紧凑-极度紧凑</t>
        </is>
      </c>
    </row>
    <row r="785">
      <c r="A785" s="1" t="n">
        <v>2024352</v>
      </c>
      <c r="B785" s="3" t="inlineStr">
        <is>
          <t>691</t>
        </is>
      </c>
      <c r="C785" s="2">
        <f>IF(B785="","",LEFT(TEXT(B785,"000"),1)*1)</f>
        <v/>
      </c>
      <c r="D785" s="2">
        <f>IF(B785="","",MID(TEXT(B785,"000"),2,1)*1)</f>
        <v/>
      </c>
      <c r="E785" s="2">
        <f>IF(B785="","",RIGHT(TEXT(B785,"000"),1)*1)</f>
        <v/>
      </c>
      <c r="F785" s="2">
        <f>IF(B785="","",C785+D785+E785)</f>
        <v/>
      </c>
      <c r="G785" s="2">
        <f>IF(B785="","",MOD(F785,10))</f>
        <v/>
      </c>
      <c r="H785" s="2">
        <f>IF(B785="","",MAX(C785,D785,E785)-MIN(C785,D785,E785))</f>
        <v/>
      </c>
      <c r="I785" s="2">
        <f>IF(OR(B785="",H785=0),IF(H785=0,0.1,""),ROUND(F785/H785,2))</f>
        <v/>
      </c>
      <c r="J785" s="2">
        <f>IF(I785=0.1,"极紧凑",IF(I785&gt;3.5,"紧凑",IF(AND(I785&gt;=2,I785&lt;=3.5),"标准",IF(AND(I785&gt;=1,I785&lt;2),"松散",""))))</f>
        <v/>
      </c>
      <c r="K785" s="2">
        <f>IF(I785=0.1,"极紧凑-豹子号",IF(AND(I785&gt;=1,I785&lt;=1.29),"松散-极松散",IF(AND(I785&gt;=1.33,I785&lt;=1.8),"松散-标准松散",IF(AND(I785&gt;=1.83,I785&lt;=1.89),"松散-偏紧松散",IF(AND(I785&gt;=2,I785&lt;=2.5),"标准-偏松标准",IF(AND(I785&gt;=2.57,I785&lt;=3),"标准-核心标准",IF(AND(I785&gt;=3.17,I785&lt;=3.5),"标准-偏紧标准",IF(AND(I785&gt;=3.6,I785&lt;=5),"紧凑-标准紧凑",IF(AND(I785&gt;=5.25,I785&lt;=8),"紧凑-高度紧凑",IF(I785&gt;=8.5,"紧凑-极度紧凑",""))))))))))</f>
        <v/>
      </c>
      <c r="L785" s="2">
        <f>IF(I785=0.1,"极紧凑",IF(AND(I785&gt;=1,I785&lt;=1.89),"松散",IF(AND(I785&gt;=2,I785&lt;=3.5),"标准",IF(I785&gt;=3.6,"紧凑",""))))</f>
        <v/>
      </c>
      <c r="M785" s="2" t="inlineStr">
        <is>
          <t>极紧凑-豹子号</t>
        </is>
      </c>
      <c r="N785" s="2" t="inlineStr">
        <is>
          <t>松散-极松散</t>
        </is>
      </c>
      <c r="O785" s="2" t="inlineStr">
        <is>
          <t>松散-标准松散</t>
        </is>
      </c>
      <c r="P785" s="2" t="inlineStr">
        <is>
          <t>松散-偏紧松散</t>
        </is>
      </c>
      <c r="Q785" s="2" t="inlineStr">
        <is>
          <t>标准-偏松标准</t>
        </is>
      </c>
      <c r="R785" s="2" t="inlineStr">
        <is>
          <t>标准-核心标准</t>
        </is>
      </c>
      <c r="S785" s="2" t="inlineStr">
        <is>
          <t>标准-偏紧标准</t>
        </is>
      </c>
      <c r="T785" s="2" t="inlineStr">
        <is>
          <t>紧凑-标准紧凑</t>
        </is>
      </c>
      <c r="U785" s="2" t="inlineStr">
        <is>
          <t>紧凑-高度紧凑</t>
        </is>
      </c>
      <c r="V785" s="2" t="inlineStr">
        <is>
          <t>紧凑-极度紧凑</t>
        </is>
      </c>
    </row>
    <row r="786">
      <c r="A786" s="1" t="n">
        <v>2025001</v>
      </c>
      <c r="B786" s="3" t="inlineStr">
        <is>
          <t>123</t>
        </is>
      </c>
      <c r="C786" s="2">
        <f>IF(B786="","",LEFT(TEXT(B786,"000"),1)*1)</f>
        <v/>
      </c>
      <c r="D786" s="2">
        <f>IF(B786="","",MID(TEXT(B786,"000"),2,1)*1)</f>
        <v/>
      </c>
      <c r="E786" s="2">
        <f>IF(B786="","",RIGHT(TEXT(B786,"000"),1)*1)</f>
        <v/>
      </c>
      <c r="F786" s="2">
        <f>IF(B786="","",C786+D786+E786)</f>
        <v/>
      </c>
      <c r="G786" s="2">
        <f>IF(B786="","",MOD(F786,10))</f>
        <v/>
      </c>
      <c r="H786" s="2">
        <f>IF(B786="","",MAX(C786,D786,E786)-MIN(C786,D786,E786))</f>
        <v/>
      </c>
      <c r="I786" s="2">
        <f>IF(OR(B786="",H786=0),IF(H786=0,0.1,""),ROUND(F786/H786,2))</f>
        <v/>
      </c>
      <c r="J786" s="2">
        <f>IF(I786=0.1,"极紧凑",IF(I786&gt;3.5,"紧凑",IF(AND(I786&gt;=2,I786&lt;=3.5),"标准",IF(AND(I786&gt;=1,I786&lt;2),"松散",""))))</f>
        <v/>
      </c>
      <c r="K786" s="2">
        <f>IF(I786=0.1,"极紧凑-豹子号",IF(AND(I786&gt;=1,I786&lt;=1.29),"松散-极松散",IF(AND(I786&gt;=1.33,I786&lt;=1.8),"松散-标准松散",IF(AND(I786&gt;=1.83,I786&lt;=1.89),"松散-偏紧松散",IF(AND(I786&gt;=2,I786&lt;=2.5),"标准-偏松标准",IF(AND(I786&gt;=2.57,I786&lt;=3),"标准-核心标准",IF(AND(I786&gt;=3.17,I786&lt;=3.5),"标准-偏紧标准",IF(AND(I786&gt;=3.6,I786&lt;=5),"紧凑-标准紧凑",IF(AND(I786&gt;=5.25,I786&lt;=8),"紧凑-高度紧凑",IF(I786&gt;=8.5,"紧凑-极度紧凑",""))))))))))</f>
        <v/>
      </c>
      <c r="L786" s="2">
        <f>IF(I786=0.1,"极紧凑",IF(AND(I786&gt;=1,I786&lt;=1.89),"松散",IF(AND(I786&gt;=2,I786&lt;=3.5),"标准",IF(I786&gt;=3.6,"紧凑",""))))</f>
        <v/>
      </c>
      <c r="M786" s="2" t="inlineStr">
        <is>
          <t>极紧凑-豹子号</t>
        </is>
      </c>
      <c r="N786" s="2" t="inlineStr">
        <is>
          <t>松散-极松散</t>
        </is>
      </c>
      <c r="O786" s="2" t="inlineStr">
        <is>
          <t>松散-标准松散</t>
        </is>
      </c>
      <c r="P786" s="2" t="inlineStr">
        <is>
          <t>松散-偏紧松散</t>
        </is>
      </c>
      <c r="Q786" s="2" t="inlineStr">
        <is>
          <t>标准-偏松标准</t>
        </is>
      </c>
      <c r="R786" s="2" t="inlineStr">
        <is>
          <t>标准-核心标准</t>
        </is>
      </c>
      <c r="S786" s="2" t="inlineStr">
        <is>
          <t>标准-偏紧标准</t>
        </is>
      </c>
      <c r="T786" s="2" t="inlineStr">
        <is>
          <t>紧凑-标准紧凑</t>
        </is>
      </c>
      <c r="U786" s="2" t="inlineStr">
        <is>
          <t>紧凑-高度紧凑</t>
        </is>
      </c>
      <c r="V786" s="2" t="inlineStr">
        <is>
          <t>紧凑-极度紧凑</t>
        </is>
      </c>
    </row>
    <row r="787">
      <c r="A787" s="1" t="n">
        <v>2025002</v>
      </c>
      <c r="B787" s="3" t="inlineStr">
        <is>
          <t>900</t>
        </is>
      </c>
      <c r="C787" s="2">
        <f>IF(B787="","",LEFT(TEXT(B787,"000"),1)*1)</f>
        <v/>
      </c>
      <c r="D787" s="2">
        <f>IF(B787="","",MID(TEXT(B787,"000"),2,1)*1)</f>
        <v/>
      </c>
      <c r="E787" s="2">
        <f>IF(B787="","",RIGHT(TEXT(B787,"000"),1)*1)</f>
        <v/>
      </c>
      <c r="F787" s="2">
        <f>IF(B787="","",C787+D787+E787)</f>
        <v/>
      </c>
      <c r="G787" s="2">
        <f>IF(B787="","",MOD(F787,10))</f>
        <v/>
      </c>
      <c r="H787" s="2">
        <f>IF(B787="","",MAX(C787,D787,E787)-MIN(C787,D787,E787))</f>
        <v/>
      </c>
      <c r="I787" s="2">
        <f>IF(OR(B787="",H787=0),IF(H787=0,0.1,""),ROUND(F787/H787,2))</f>
        <v/>
      </c>
      <c r="J787" s="2">
        <f>IF(I787=0.1,"极紧凑",IF(I787&gt;3.5,"紧凑",IF(AND(I787&gt;=2,I787&lt;=3.5),"标准",IF(AND(I787&gt;=1,I787&lt;2),"松散",""))))</f>
        <v/>
      </c>
      <c r="K787" s="2">
        <f>IF(I787=0.1,"极紧凑-豹子号",IF(AND(I787&gt;=1,I787&lt;=1.29),"松散-极松散",IF(AND(I787&gt;=1.33,I787&lt;=1.8),"松散-标准松散",IF(AND(I787&gt;=1.83,I787&lt;=1.89),"松散-偏紧松散",IF(AND(I787&gt;=2,I787&lt;=2.5),"标准-偏松标准",IF(AND(I787&gt;=2.57,I787&lt;=3),"标准-核心标准",IF(AND(I787&gt;=3.17,I787&lt;=3.5),"标准-偏紧标准",IF(AND(I787&gt;=3.6,I787&lt;=5),"紧凑-标准紧凑",IF(AND(I787&gt;=5.25,I787&lt;=8),"紧凑-高度紧凑",IF(I787&gt;=8.5,"紧凑-极度紧凑",""))))))))))</f>
        <v/>
      </c>
      <c r="L787" s="2">
        <f>IF(I787=0.1,"极紧凑",IF(AND(I787&gt;=1,I787&lt;=1.89),"松散",IF(AND(I787&gt;=2,I787&lt;=3.5),"标准",IF(I787&gt;=3.6,"紧凑",""))))</f>
        <v/>
      </c>
      <c r="M787" s="2" t="inlineStr">
        <is>
          <t>极紧凑-豹子号</t>
        </is>
      </c>
      <c r="N787" s="2" t="inlineStr">
        <is>
          <t>松散-极松散</t>
        </is>
      </c>
      <c r="O787" s="2" t="inlineStr">
        <is>
          <t>松散-标准松散</t>
        </is>
      </c>
      <c r="P787" s="2" t="inlineStr">
        <is>
          <t>松散-偏紧松散</t>
        </is>
      </c>
      <c r="Q787" s="2" t="inlineStr">
        <is>
          <t>标准-偏松标准</t>
        </is>
      </c>
      <c r="R787" s="2" t="inlineStr">
        <is>
          <t>标准-核心标准</t>
        </is>
      </c>
      <c r="S787" s="2" t="inlineStr">
        <is>
          <t>标准-偏紧标准</t>
        </is>
      </c>
      <c r="T787" s="2" t="inlineStr">
        <is>
          <t>紧凑-标准紧凑</t>
        </is>
      </c>
      <c r="U787" s="2" t="inlineStr">
        <is>
          <t>紧凑-高度紧凑</t>
        </is>
      </c>
      <c r="V787" s="2" t="inlineStr">
        <is>
          <t>紧凑-极度紧凑</t>
        </is>
      </c>
    </row>
    <row r="788">
      <c r="A788" s="1" t="n">
        <v>2025003</v>
      </c>
      <c r="B788" s="3" t="inlineStr">
        <is>
          <t>168</t>
        </is>
      </c>
      <c r="C788" s="2">
        <f>IF(B788="","",LEFT(TEXT(B788,"000"),1)*1)</f>
        <v/>
      </c>
      <c r="D788" s="2">
        <f>IF(B788="","",MID(TEXT(B788,"000"),2,1)*1)</f>
        <v/>
      </c>
      <c r="E788" s="2">
        <f>IF(B788="","",RIGHT(TEXT(B788,"000"),1)*1)</f>
        <v/>
      </c>
      <c r="F788" s="2">
        <f>IF(B788="","",C788+D788+E788)</f>
        <v/>
      </c>
      <c r="G788" s="2">
        <f>IF(B788="","",MOD(F788,10))</f>
        <v/>
      </c>
      <c r="H788" s="2">
        <f>IF(B788="","",MAX(C788,D788,E788)-MIN(C788,D788,E788))</f>
        <v/>
      </c>
      <c r="I788" s="2">
        <f>IF(OR(B788="",H788=0),IF(H788=0,0.1,""),ROUND(F788/H788,2))</f>
        <v/>
      </c>
      <c r="J788" s="2">
        <f>IF(I788=0.1,"极紧凑",IF(I788&gt;3.5,"紧凑",IF(AND(I788&gt;=2,I788&lt;=3.5),"标准",IF(AND(I788&gt;=1,I788&lt;2),"松散",""))))</f>
        <v/>
      </c>
      <c r="K788" s="2">
        <f>IF(I788=0.1,"极紧凑-豹子号",IF(AND(I788&gt;=1,I788&lt;=1.29),"松散-极松散",IF(AND(I788&gt;=1.33,I788&lt;=1.8),"松散-标准松散",IF(AND(I788&gt;=1.83,I788&lt;=1.89),"松散-偏紧松散",IF(AND(I788&gt;=2,I788&lt;=2.5),"标准-偏松标准",IF(AND(I788&gt;=2.57,I788&lt;=3),"标准-核心标准",IF(AND(I788&gt;=3.17,I788&lt;=3.5),"标准-偏紧标准",IF(AND(I788&gt;=3.6,I788&lt;=5),"紧凑-标准紧凑",IF(AND(I788&gt;=5.25,I788&lt;=8),"紧凑-高度紧凑",IF(I788&gt;=8.5,"紧凑-极度紧凑",""))))))))))</f>
        <v/>
      </c>
      <c r="L788" s="2">
        <f>IF(I788=0.1,"极紧凑",IF(AND(I788&gt;=1,I788&lt;=1.89),"松散",IF(AND(I788&gt;=2,I788&lt;=3.5),"标准",IF(I788&gt;=3.6,"紧凑",""))))</f>
        <v/>
      </c>
      <c r="M788" s="2" t="inlineStr">
        <is>
          <t>极紧凑-豹子号</t>
        </is>
      </c>
      <c r="N788" s="2" t="inlineStr">
        <is>
          <t>松散-极松散</t>
        </is>
      </c>
      <c r="O788" s="2" t="inlineStr">
        <is>
          <t>松散-标准松散</t>
        </is>
      </c>
      <c r="P788" s="2" t="inlineStr">
        <is>
          <t>松散-偏紧松散</t>
        </is>
      </c>
      <c r="Q788" s="2" t="inlineStr">
        <is>
          <t>标准-偏松标准</t>
        </is>
      </c>
      <c r="R788" s="2" t="inlineStr">
        <is>
          <t>标准-核心标准</t>
        </is>
      </c>
      <c r="S788" s="2" t="inlineStr">
        <is>
          <t>标准-偏紧标准</t>
        </is>
      </c>
      <c r="T788" s="2" t="inlineStr">
        <is>
          <t>紧凑-标准紧凑</t>
        </is>
      </c>
      <c r="U788" s="2" t="inlineStr">
        <is>
          <t>紧凑-高度紧凑</t>
        </is>
      </c>
      <c r="V788" s="2" t="inlineStr">
        <is>
          <t>紧凑-极度紧凑</t>
        </is>
      </c>
    </row>
    <row r="789">
      <c r="A789" s="1" t="n">
        <v>2025004</v>
      </c>
      <c r="B789" s="3" t="inlineStr">
        <is>
          <t>351</t>
        </is>
      </c>
      <c r="C789" s="2">
        <f>IF(B789="","",LEFT(TEXT(B789,"000"),1)*1)</f>
        <v/>
      </c>
      <c r="D789" s="2">
        <f>IF(B789="","",MID(TEXT(B789,"000"),2,1)*1)</f>
        <v/>
      </c>
      <c r="E789" s="2">
        <f>IF(B789="","",RIGHT(TEXT(B789,"000"),1)*1)</f>
        <v/>
      </c>
      <c r="F789" s="2">
        <f>IF(B789="","",C789+D789+E789)</f>
        <v/>
      </c>
      <c r="G789" s="2">
        <f>IF(B789="","",MOD(F789,10))</f>
        <v/>
      </c>
      <c r="H789" s="2">
        <f>IF(B789="","",MAX(C789,D789,E789)-MIN(C789,D789,E789))</f>
        <v/>
      </c>
      <c r="I789" s="2">
        <f>IF(OR(B789="",H789=0),IF(H789=0,0.1,""),ROUND(F789/H789,2))</f>
        <v/>
      </c>
      <c r="J789" s="2">
        <f>IF(I789=0.1,"极紧凑",IF(I789&gt;3.5,"紧凑",IF(AND(I789&gt;=2,I789&lt;=3.5),"标准",IF(AND(I789&gt;=1,I789&lt;2),"松散",""))))</f>
        <v/>
      </c>
      <c r="K789" s="2">
        <f>IF(I789=0.1,"极紧凑-豹子号",IF(AND(I789&gt;=1,I789&lt;=1.29),"松散-极松散",IF(AND(I789&gt;=1.33,I789&lt;=1.8),"松散-标准松散",IF(AND(I789&gt;=1.83,I789&lt;=1.89),"松散-偏紧松散",IF(AND(I789&gt;=2,I789&lt;=2.5),"标准-偏松标准",IF(AND(I789&gt;=2.57,I789&lt;=3),"标准-核心标准",IF(AND(I789&gt;=3.17,I789&lt;=3.5),"标准-偏紧标准",IF(AND(I789&gt;=3.6,I789&lt;=5),"紧凑-标准紧凑",IF(AND(I789&gt;=5.25,I789&lt;=8),"紧凑-高度紧凑",IF(I789&gt;=8.5,"紧凑-极度紧凑",""))))))))))</f>
        <v/>
      </c>
      <c r="L789" s="2">
        <f>IF(I789=0.1,"极紧凑",IF(AND(I789&gt;=1,I789&lt;=1.89),"松散",IF(AND(I789&gt;=2,I789&lt;=3.5),"标准",IF(I789&gt;=3.6,"紧凑",""))))</f>
        <v/>
      </c>
      <c r="M789" s="2" t="inlineStr">
        <is>
          <t>极紧凑-豹子号</t>
        </is>
      </c>
      <c r="N789" s="2" t="inlineStr">
        <is>
          <t>松散-极松散</t>
        </is>
      </c>
      <c r="O789" s="2" t="inlineStr">
        <is>
          <t>松散-标准松散</t>
        </is>
      </c>
      <c r="P789" s="2" t="inlineStr">
        <is>
          <t>松散-偏紧松散</t>
        </is>
      </c>
      <c r="Q789" s="2" t="inlineStr">
        <is>
          <t>标准-偏松标准</t>
        </is>
      </c>
      <c r="R789" s="2" t="inlineStr">
        <is>
          <t>标准-核心标准</t>
        </is>
      </c>
      <c r="S789" s="2" t="inlineStr">
        <is>
          <t>标准-偏紧标准</t>
        </is>
      </c>
      <c r="T789" s="2" t="inlineStr">
        <is>
          <t>紧凑-标准紧凑</t>
        </is>
      </c>
      <c r="U789" s="2" t="inlineStr">
        <is>
          <t>紧凑-高度紧凑</t>
        </is>
      </c>
      <c r="V789" s="2" t="inlineStr">
        <is>
          <t>紧凑-极度紧凑</t>
        </is>
      </c>
    </row>
    <row r="790">
      <c r="A790" s="1" t="n">
        <v>2025005</v>
      </c>
      <c r="B790" s="3" t="inlineStr">
        <is>
          <t>617</t>
        </is>
      </c>
      <c r="C790" s="2">
        <f>IF(B790="","",LEFT(TEXT(B790,"000"),1)*1)</f>
        <v/>
      </c>
      <c r="D790" s="2">
        <f>IF(B790="","",MID(TEXT(B790,"000"),2,1)*1)</f>
        <v/>
      </c>
      <c r="E790" s="2">
        <f>IF(B790="","",RIGHT(TEXT(B790,"000"),1)*1)</f>
        <v/>
      </c>
      <c r="F790" s="2">
        <f>IF(B790="","",C790+D790+E790)</f>
        <v/>
      </c>
      <c r="G790" s="2">
        <f>IF(B790="","",MOD(F790,10))</f>
        <v/>
      </c>
      <c r="H790" s="2">
        <f>IF(B790="","",MAX(C790,D790,E790)-MIN(C790,D790,E790))</f>
        <v/>
      </c>
      <c r="I790" s="2">
        <f>IF(OR(B790="",H790=0),IF(H790=0,0.1,""),ROUND(F790/H790,2))</f>
        <v/>
      </c>
      <c r="J790" s="2">
        <f>IF(I790=0.1,"极紧凑",IF(I790&gt;3.5,"紧凑",IF(AND(I790&gt;=2,I790&lt;=3.5),"标准",IF(AND(I790&gt;=1,I790&lt;2),"松散",""))))</f>
        <v/>
      </c>
      <c r="K790" s="2">
        <f>IF(I790=0.1,"极紧凑-豹子号",IF(AND(I790&gt;=1,I790&lt;=1.29),"松散-极松散",IF(AND(I790&gt;=1.33,I790&lt;=1.8),"松散-标准松散",IF(AND(I790&gt;=1.83,I790&lt;=1.89),"松散-偏紧松散",IF(AND(I790&gt;=2,I790&lt;=2.5),"标准-偏松标准",IF(AND(I790&gt;=2.57,I790&lt;=3),"标准-核心标准",IF(AND(I790&gt;=3.17,I790&lt;=3.5),"标准-偏紧标准",IF(AND(I790&gt;=3.6,I790&lt;=5),"紧凑-标准紧凑",IF(AND(I790&gt;=5.25,I790&lt;=8),"紧凑-高度紧凑",IF(I790&gt;=8.5,"紧凑-极度紧凑",""))))))))))</f>
        <v/>
      </c>
      <c r="L790" s="2">
        <f>IF(I790=0.1,"极紧凑",IF(AND(I790&gt;=1,I790&lt;=1.89),"松散",IF(AND(I790&gt;=2,I790&lt;=3.5),"标准",IF(I790&gt;=3.6,"紧凑",""))))</f>
        <v/>
      </c>
      <c r="M790" s="2" t="inlineStr">
        <is>
          <t>极紧凑-豹子号</t>
        </is>
      </c>
      <c r="N790" s="2" t="inlineStr">
        <is>
          <t>松散-极松散</t>
        </is>
      </c>
      <c r="O790" s="2" t="inlineStr">
        <is>
          <t>松散-标准松散</t>
        </is>
      </c>
      <c r="P790" s="2" t="inlineStr">
        <is>
          <t>松散-偏紧松散</t>
        </is>
      </c>
      <c r="Q790" s="2" t="inlineStr">
        <is>
          <t>标准-偏松标准</t>
        </is>
      </c>
      <c r="R790" s="2" t="inlineStr">
        <is>
          <t>标准-核心标准</t>
        </is>
      </c>
      <c r="S790" s="2" t="inlineStr">
        <is>
          <t>标准-偏紧标准</t>
        </is>
      </c>
      <c r="T790" s="2" t="inlineStr">
        <is>
          <t>紧凑-标准紧凑</t>
        </is>
      </c>
      <c r="U790" s="2" t="inlineStr">
        <is>
          <t>紧凑-高度紧凑</t>
        </is>
      </c>
      <c r="V790" s="2" t="inlineStr">
        <is>
          <t>紧凑-极度紧凑</t>
        </is>
      </c>
    </row>
    <row r="791">
      <c r="A791" s="1" t="n">
        <v>2025006</v>
      </c>
      <c r="B791" s="3" t="inlineStr">
        <is>
          <t>656</t>
        </is>
      </c>
      <c r="C791" s="2">
        <f>IF(B791="","",LEFT(TEXT(B791,"000"),1)*1)</f>
        <v/>
      </c>
      <c r="D791" s="2">
        <f>IF(B791="","",MID(TEXT(B791,"000"),2,1)*1)</f>
        <v/>
      </c>
      <c r="E791" s="2">
        <f>IF(B791="","",RIGHT(TEXT(B791,"000"),1)*1)</f>
        <v/>
      </c>
      <c r="F791" s="2">
        <f>IF(B791="","",C791+D791+E791)</f>
        <v/>
      </c>
      <c r="G791" s="2">
        <f>IF(B791="","",MOD(F791,10))</f>
        <v/>
      </c>
      <c r="H791" s="2">
        <f>IF(B791="","",MAX(C791,D791,E791)-MIN(C791,D791,E791))</f>
        <v/>
      </c>
      <c r="I791" s="2">
        <f>IF(OR(B791="",H791=0),IF(H791=0,0.1,""),ROUND(F791/H791,2))</f>
        <v/>
      </c>
      <c r="J791" s="2">
        <f>IF(I791=0.1,"极紧凑",IF(I791&gt;3.5,"紧凑",IF(AND(I791&gt;=2,I791&lt;=3.5),"标准",IF(AND(I791&gt;=1,I791&lt;2),"松散",""))))</f>
        <v/>
      </c>
      <c r="K791" s="2">
        <f>IF(I791=0.1,"极紧凑-豹子号",IF(AND(I791&gt;=1,I791&lt;=1.29),"松散-极松散",IF(AND(I791&gt;=1.33,I791&lt;=1.8),"松散-标准松散",IF(AND(I791&gt;=1.83,I791&lt;=1.89),"松散-偏紧松散",IF(AND(I791&gt;=2,I791&lt;=2.5),"标准-偏松标准",IF(AND(I791&gt;=2.57,I791&lt;=3),"标准-核心标准",IF(AND(I791&gt;=3.17,I791&lt;=3.5),"标准-偏紧标准",IF(AND(I791&gt;=3.6,I791&lt;=5),"紧凑-标准紧凑",IF(AND(I791&gt;=5.25,I791&lt;=8),"紧凑-高度紧凑",IF(I791&gt;=8.5,"紧凑-极度紧凑",""))))))))))</f>
        <v/>
      </c>
      <c r="L791" s="2">
        <f>IF(I791=0.1,"极紧凑",IF(AND(I791&gt;=1,I791&lt;=1.89),"松散",IF(AND(I791&gt;=2,I791&lt;=3.5),"标准",IF(I791&gt;=3.6,"紧凑",""))))</f>
        <v/>
      </c>
      <c r="M791" s="2" t="inlineStr">
        <is>
          <t>极紧凑-豹子号</t>
        </is>
      </c>
      <c r="N791" s="2" t="inlineStr">
        <is>
          <t>松散-极松散</t>
        </is>
      </c>
      <c r="O791" s="2" t="inlineStr">
        <is>
          <t>松散-标准松散</t>
        </is>
      </c>
      <c r="P791" s="2" t="inlineStr">
        <is>
          <t>松散-偏紧松散</t>
        </is>
      </c>
      <c r="Q791" s="2" t="inlineStr">
        <is>
          <t>标准-偏松标准</t>
        </is>
      </c>
      <c r="R791" s="2" t="inlineStr">
        <is>
          <t>标准-核心标准</t>
        </is>
      </c>
      <c r="S791" s="2" t="inlineStr">
        <is>
          <t>标准-偏紧标准</t>
        </is>
      </c>
      <c r="T791" s="2" t="inlineStr">
        <is>
          <t>紧凑-标准紧凑</t>
        </is>
      </c>
      <c r="U791" s="2" t="inlineStr">
        <is>
          <t>紧凑-高度紧凑</t>
        </is>
      </c>
      <c r="V791" s="2" t="inlineStr">
        <is>
          <t>紧凑-极度紧凑</t>
        </is>
      </c>
    </row>
    <row r="792">
      <c r="A792" s="1" t="n">
        <v>2025007</v>
      </c>
      <c r="B792" s="3" t="inlineStr">
        <is>
          <t>362</t>
        </is>
      </c>
      <c r="C792" s="2">
        <f>IF(B792="","",LEFT(TEXT(B792,"000"),1)*1)</f>
        <v/>
      </c>
      <c r="D792" s="2">
        <f>IF(B792="","",MID(TEXT(B792,"000"),2,1)*1)</f>
        <v/>
      </c>
      <c r="E792" s="2">
        <f>IF(B792="","",RIGHT(TEXT(B792,"000"),1)*1)</f>
        <v/>
      </c>
      <c r="F792" s="2">
        <f>IF(B792="","",C792+D792+E792)</f>
        <v/>
      </c>
      <c r="G792" s="2">
        <f>IF(B792="","",MOD(F792,10))</f>
        <v/>
      </c>
      <c r="H792" s="2">
        <f>IF(B792="","",MAX(C792,D792,E792)-MIN(C792,D792,E792))</f>
        <v/>
      </c>
      <c r="I792" s="2">
        <f>IF(OR(B792="",H792=0),IF(H792=0,0.1,""),ROUND(F792/H792,2))</f>
        <v/>
      </c>
      <c r="J792" s="2">
        <f>IF(I792=0.1,"极紧凑",IF(I792&gt;3.5,"紧凑",IF(AND(I792&gt;=2,I792&lt;=3.5),"标准",IF(AND(I792&gt;=1,I792&lt;2),"松散",""))))</f>
        <v/>
      </c>
      <c r="K792" s="2">
        <f>IF(I792=0.1,"极紧凑-豹子号",IF(AND(I792&gt;=1,I792&lt;=1.29),"松散-极松散",IF(AND(I792&gt;=1.33,I792&lt;=1.8),"松散-标准松散",IF(AND(I792&gt;=1.83,I792&lt;=1.89),"松散-偏紧松散",IF(AND(I792&gt;=2,I792&lt;=2.5),"标准-偏松标准",IF(AND(I792&gt;=2.57,I792&lt;=3),"标准-核心标准",IF(AND(I792&gt;=3.17,I792&lt;=3.5),"标准-偏紧标准",IF(AND(I792&gt;=3.6,I792&lt;=5),"紧凑-标准紧凑",IF(AND(I792&gt;=5.25,I792&lt;=8),"紧凑-高度紧凑",IF(I792&gt;=8.5,"紧凑-极度紧凑",""))))))))))</f>
        <v/>
      </c>
      <c r="L792" s="2">
        <f>IF(I792=0.1,"极紧凑",IF(AND(I792&gt;=1,I792&lt;=1.89),"松散",IF(AND(I792&gt;=2,I792&lt;=3.5),"标准",IF(I792&gt;=3.6,"紧凑",""))))</f>
        <v/>
      </c>
      <c r="M792" s="2" t="inlineStr">
        <is>
          <t>极紧凑-豹子号</t>
        </is>
      </c>
      <c r="N792" s="2" t="inlineStr">
        <is>
          <t>松散-极松散</t>
        </is>
      </c>
      <c r="O792" s="2" t="inlineStr">
        <is>
          <t>松散-标准松散</t>
        </is>
      </c>
      <c r="P792" s="2" t="inlineStr">
        <is>
          <t>松散-偏紧松散</t>
        </is>
      </c>
      <c r="Q792" s="2" t="inlineStr">
        <is>
          <t>标准-偏松标准</t>
        </is>
      </c>
      <c r="R792" s="2" t="inlineStr">
        <is>
          <t>标准-核心标准</t>
        </is>
      </c>
      <c r="S792" s="2" t="inlineStr">
        <is>
          <t>标准-偏紧标准</t>
        </is>
      </c>
      <c r="T792" s="2" t="inlineStr">
        <is>
          <t>紧凑-标准紧凑</t>
        </is>
      </c>
      <c r="U792" s="2" t="inlineStr">
        <is>
          <t>紧凑-高度紧凑</t>
        </is>
      </c>
      <c r="V792" s="2" t="inlineStr">
        <is>
          <t>紧凑-极度紧凑</t>
        </is>
      </c>
    </row>
    <row r="793">
      <c r="A793" s="1" t="n">
        <v>2025008</v>
      </c>
      <c r="B793" s="3" t="inlineStr">
        <is>
          <t>128</t>
        </is>
      </c>
      <c r="C793" s="2">
        <f>IF(B793="","",LEFT(TEXT(B793,"000"),1)*1)</f>
        <v/>
      </c>
      <c r="D793" s="2">
        <f>IF(B793="","",MID(TEXT(B793,"000"),2,1)*1)</f>
        <v/>
      </c>
      <c r="E793" s="2">
        <f>IF(B793="","",RIGHT(TEXT(B793,"000"),1)*1)</f>
        <v/>
      </c>
      <c r="F793" s="2">
        <f>IF(B793="","",C793+D793+E793)</f>
        <v/>
      </c>
      <c r="G793" s="2">
        <f>IF(B793="","",MOD(F793,10))</f>
        <v/>
      </c>
      <c r="H793" s="2">
        <f>IF(B793="","",MAX(C793,D793,E793)-MIN(C793,D793,E793))</f>
        <v/>
      </c>
      <c r="I793" s="2">
        <f>IF(OR(B793="",H793=0),IF(H793=0,0.1,""),ROUND(F793/H793,2))</f>
        <v/>
      </c>
      <c r="J793" s="2">
        <f>IF(I793=0.1,"极紧凑",IF(I793&gt;3.5,"紧凑",IF(AND(I793&gt;=2,I793&lt;=3.5),"标准",IF(AND(I793&gt;=1,I793&lt;2),"松散",""))))</f>
        <v/>
      </c>
      <c r="K793" s="2">
        <f>IF(I793=0.1,"极紧凑-豹子号",IF(AND(I793&gt;=1,I793&lt;=1.29),"松散-极松散",IF(AND(I793&gt;=1.33,I793&lt;=1.8),"松散-标准松散",IF(AND(I793&gt;=1.83,I793&lt;=1.89),"松散-偏紧松散",IF(AND(I793&gt;=2,I793&lt;=2.5),"标准-偏松标准",IF(AND(I793&gt;=2.57,I793&lt;=3),"标准-核心标准",IF(AND(I793&gt;=3.17,I793&lt;=3.5),"标准-偏紧标准",IF(AND(I793&gt;=3.6,I793&lt;=5),"紧凑-标准紧凑",IF(AND(I793&gt;=5.25,I793&lt;=8),"紧凑-高度紧凑",IF(I793&gt;=8.5,"紧凑-极度紧凑",""))))))))))</f>
        <v/>
      </c>
      <c r="L793" s="2">
        <f>IF(I793=0.1,"极紧凑",IF(AND(I793&gt;=1,I793&lt;=1.89),"松散",IF(AND(I793&gt;=2,I793&lt;=3.5),"标准",IF(I793&gt;=3.6,"紧凑",""))))</f>
        <v/>
      </c>
      <c r="M793" s="2" t="inlineStr">
        <is>
          <t>极紧凑-豹子号</t>
        </is>
      </c>
      <c r="N793" s="2" t="inlineStr">
        <is>
          <t>松散-极松散</t>
        </is>
      </c>
      <c r="O793" s="2" t="inlineStr">
        <is>
          <t>松散-标准松散</t>
        </is>
      </c>
      <c r="P793" s="2" t="inlineStr">
        <is>
          <t>松散-偏紧松散</t>
        </is>
      </c>
      <c r="Q793" s="2" t="inlineStr">
        <is>
          <t>标准-偏松标准</t>
        </is>
      </c>
      <c r="R793" s="2" t="inlineStr">
        <is>
          <t>标准-核心标准</t>
        </is>
      </c>
      <c r="S793" s="2" t="inlineStr">
        <is>
          <t>标准-偏紧标准</t>
        </is>
      </c>
      <c r="T793" s="2" t="inlineStr">
        <is>
          <t>紧凑-标准紧凑</t>
        </is>
      </c>
      <c r="U793" s="2" t="inlineStr">
        <is>
          <t>紧凑-高度紧凑</t>
        </is>
      </c>
      <c r="V793" s="2" t="inlineStr">
        <is>
          <t>紧凑-极度紧凑</t>
        </is>
      </c>
    </row>
    <row r="794">
      <c r="A794" s="1" t="n">
        <v>2025009</v>
      </c>
      <c r="B794" s="3" t="inlineStr">
        <is>
          <t>806</t>
        </is>
      </c>
      <c r="C794" s="2">
        <f>IF(B794="","",LEFT(TEXT(B794,"000"),1)*1)</f>
        <v/>
      </c>
      <c r="D794" s="2">
        <f>IF(B794="","",MID(TEXT(B794,"000"),2,1)*1)</f>
        <v/>
      </c>
      <c r="E794" s="2">
        <f>IF(B794="","",RIGHT(TEXT(B794,"000"),1)*1)</f>
        <v/>
      </c>
      <c r="F794" s="2">
        <f>IF(B794="","",C794+D794+E794)</f>
        <v/>
      </c>
      <c r="G794" s="2">
        <f>IF(B794="","",MOD(F794,10))</f>
        <v/>
      </c>
      <c r="H794" s="2">
        <f>IF(B794="","",MAX(C794,D794,E794)-MIN(C794,D794,E794))</f>
        <v/>
      </c>
      <c r="I794" s="2">
        <f>IF(OR(B794="",H794=0),IF(H794=0,0.1,""),ROUND(F794/H794,2))</f>
        <v/>
      </c>
      <c r="J794" s="2">
        <f>IF(I794=0.1,"极紧凑",IF(I794&gt;3.5,"紧凑",IF(AND(I794&gt;=2,I794&lt;=3.5),"标准",IF(AND(I794&gt;=1,I794&lt;2),"松散",""))))</f>
        <v/>
      </c>
      <c r="K794" s="2">
        <f>IF(I794=0.1,"极紧凑-豹子号",IF(AND(I794&gt;=1,I794&lt;=1.29),"松散-极松散",IF(AND(I794&gt;=1.33,I794&lt;=1.8),"松散-标准松散",IF(AND(I794&gt;=1.83,I794&lt;=1.89),"松散-偏紧松散",IF(AND(I794&gt;=2,I794&lt;=2.5),"标准-偏松标准",IF(AND(I794&gt;=2.57,I794&lt;=3),"标准-核心标准",IF(AND(I794&gt;=3.17,I794&lt;=3.5),"标准-偏紧标准",IF(AND(I794&gt;=3.6,I794&lt;=5),"紧凑-标准紧凑",IF(AND(I794&gt;=5.25,I794&lt;=8),"紧凑-高度紧凑",IF(I794&gt;=8.5,"紧凑-极度紧凑",""))))))))))</f>
        <v/>
      </c>
      <c r="L794" s="2">
        <f>IF(I794=0.1,"极紧凑",IF(AND(I794&gt;=1,I794&lt;=1.89),"松散",IF(AND(I794&gt;=2,I794&lt;=3.5),"标准",IF(I794&gt;=3.6,"紧凑",""))))</f>
        <v/>
      </c>
      <c r="M794" s="2" t="inlineStr">
        <is>
          <t>极紧凑-豹子号</t>
        </is>
      </c>
      <c r="N794" s="2" t="inlineStr">
        <is>
          <t>松散-极松散</t>
        </is>
      </c>
      <c r="O794" s="2" t="inlineStr">
        <is>
          <t>松散-标准松散</t>
        </is>
      </c>
      <c r="P794" s="2" t="inlineStr">
        <is>
          <t>松散-偏紧松散</t>
        </is>
      </c>
      <c r="Q794" s="2" t="inlineStr">
        <is>
          <t>标准-偏松标准</t>
        </is>
      </c>
      <c r="R794" s="2" t="inlineStr">
        <is>
          <t>标准-核心标准</t>
        </is>
      </c>
      <c r="S794" s="2" t="inlineStr">
        <is>
          <t>标准-偏紧标准</t>
        </is>
      </c>
      <c r="T794" s="2" t="inlineStr">
        <is>
          <t>紧凑-标准紧凑</t>
        </is>
      </c>
      <c r="U794" s="2" t="inlineStr">
        <is>
          <t>紧凑-高度紧凑</t>
        </is>
      </c>
      <c r="V794" s="2" t="inlineStr">
        <is>
          <t>紧凑-极度紧凑</t>
        </is>
      </c>
    </row>
    <row r="795">
      <c r="A795" s="1" t="n">
        <v>2025010</v>
      </c>
      <c r="B795" s="3" t="inlineStr">
        <is>
          <t>143</t>
        </is>
      </c>
      <c r="C795" s="2">
        <f>IF(B795="","",LEFT(TEXT(B795,"000"),1)*1)</f>
        <v/>
      </c>
      <c r="D795" s="2">
        <f>IF(B795="","",MID(TEXT(B795,"000"),2,1)*1)</f>
        <v/>
      </c>
      <c r="E795" s="2">
        <f>IF(B795="","",RIGHT(TEXT(B795,"000"),1)*1)</f>
        <v/>
      </c>
      <c r="F795" s="2">
        <f>IF(B795="","",C795+D795+E795)</f>
        <v/>
      </c>
      <c r="G795" s="2">
        <f>IF(B795="","",MOD(F795,10))</f>
        <v/>
      </c>
      <c r="H795" s="2">
        <f>IF(B795="","",MAX(C795,D795,E795)-MIN(C795,D795,E795))</f>
        <v/>
      </c>
      <c r="I795" s="2">
        <f>IF(OR(B795="",H795=0),IF(H795=0,0.1,""),ROUND(F795/H795,2))</f>
        <v/>
      </c>
      <c r="J795" s="2">
        <f>IF(I795=0.1,"极紧凑",IF(I795&gt;3.5,"紧凑",IF(AND(I795&gt;=2,I795&lt;=3.5),"标准",IF(AND(I795&gt;=1,I795&lt;2),"松散",""))))</f>
        <v/>
      </c>
      <c r="K795" s="2">
        <f>IF(I795=0.1,"极紧凑-豹子号",IF(AND(I795&gt;=1,I795&lt;=1.29),"松散-极松散",IF(AND(I795&gt;=1.33,I795&lt;=1.8),"松散-标准松散",IF(AND(I795&gt;=1.83,I795&lt;=1.89),"松散-偏紧松散",IF(AND(I795&gt;=2,I795&lt;=2.5),"标准-偏松标准",IF(AND(I795&gt;=2.57,I795&lt;=3),"标准-核心标准",IF(AND(I795&gt;=3.17,I795&lt;=3.5),"标准-偏紧标准",IF(AND(I795&gt;=3.6,I795&lt;=5),"紧凑-标准紧凑",IF(AND(I795&gt;=5.25,I795&lt;=8),"紧凑-高度紧凑",IF(I795&gt;=8.5,"紧凑-极度紧凑",""))))))))))</f>
        <v/>
      </c>
      <c r="L795" s="2">
        <f>IF(I795=0.1,"极紧凑",IF(AND(I795&gt;=1,I795&lt;=1.89),"松散",IF(AND(I795&gt;=2,I795&lt;=3.5),"标准",IF(I795&gt;=3.6,"紧凑",""))))</f>
        <v/>
      </c>
      <c r="M795" s="2" t="inlineStr">
        <is>
          <t>极紧凑-豹子号</t>
        </is>
      </c>
      <c r="N795" s="2" t="inlineStr">
        <is>
          <t>松散-极松散</t>
        </is>
      </c>
      <c r="O795" s="2" t="inlineStr">
        <is>
          <t>松散-标准松散</t>
        </is>
      </c>
      <c r="P795" s="2" t="inlineStr">
        <is>
          <t>松散-偏紧松散</t>
        </is>
      </c>
      <c r="Q795" s="2" t="inlineStr">
        <is>
          <t>标准-偏松标准</t>
        </is>
      </c>
      <c r="R795" s="2" t="inlineStr">
        <is>
          <t>标准-核心标准</t>
        </is>
      </c>
      <c r="S795" s="2" t="inlineStr">
        <is>
          <t>标准-偏紧标准</t>
        </is>
      </c>
      <c r="T795" s="2" t="inlineStr">
        <is>
          <t>紧凑-标准紧凑</t>
        </is>
      </c>
      <c r="U795" s="2" t="inlineStr">
        <is>
          <t>紧凑-高度紧凑</t>
        </is>
      </c>
      <c r="V795" s="2" t="inlineStr">
        <is>
          <t>紧凑-极度紧凑</t>
        </is>
      </c>
    </row>
    <row r="796">
      <c r="A796" s="1" t="n">
        <v>2025011</v>
      </c>
      <c r="B796" s="3" t="inlineStr">
        <is>
          <t>027</t>
        </is>
      </c>
      <c r="C796" s="2">
        <f>IF(B796="","",LEFT(TEXT(B796,"000"),1)*1)</f>
        <v/>
      </c>
      <c r="D796" s="2">
        <f>IF(B796="","",MID(TEXT(B796,"000"),2,1)*1)</f>
        <v/>
      </c>
      <c r="E796" s="2">
        <f>IF(B796="","",RIGHT(TEXT(B796,"000"),1)*1)</f>
        <v/>
      </c>
      <c r="F796" s="2">
        <f>IF(B796="","",C796+D796+E796)</f>
        <v/>
      </c>
      <c r="G796" s="2">
        <f>IF(B796="","",MOD(F796,10))</f>
        <v/>
      </c>
      <c r="H796" s="2">
        <f>IF(B796="","",MAX(C796,D796,E796)-MIN(C796,D796,E796))</f>
        <v/>
      </c>
      <c r="I796" s="2">
        <f>IF(OR(B796="",H796=0),IF(H796=0,0.1,""),ROUND(F796/H796,2))</f>
        <v/>
      </c>
      <c r="J796" s="2">
        <f>IF(I796=0.1,"极紧凑",IF(I796&gt;3.5,"紧凑",IF(AND(I796&gt;=2,I796&lt;=3.5),"标准",IF(AND(I796&gt;=1,I796&lt;2),"松散",""))))</f>
        <v/>
      </c>
      <c r="K796" s="2">
        <f>IF(I796=0.1,"极紧凑-豹子号",IF(AND(I796&gt;=1,I796&lt;=1.29),"松散-极松散",IF(AND(I796&gt;=1.33,I796&lt;=1.8),"松散-标准松散",IF(AND(I796&gt;=1.83,I796&lt;=1.89),"松散-偏紧松散",IF(AND(I796&gt;=2,I796&lt;=2.5),"标准-偏松标准",IF(AND(I796&gt;=2.57,I796&lt;=3),"标准-核心标准",IF(AND(I796&gt;=3.17,I796&lt;=3.5),"标准-偏紧标准",IF(AND(I796&gt;=3.6,I796&lt;=5),"紧凑-标准紧凑",IF(AND(I796&gt;=5.25,I796&lt;=8),"紧凑-高度紧凑",IF(I796&gt;=8.5,"紧凑-极度紧凑",""))))))))))</f>
        <v/>
      </c>
      <c r="L796" s="2">
        <f>IF(I796=0.1,"极紧凑",IF(AND(I796&gt;=1,I796&lt;=1.89),"松散",IF(AND(I796&gt;=2,I796&lt;=3.5),"标准",IF(I796&gt;=3.6,"紧凑",""))))</f>
        <v/>
      </c>
      <c r="M796" s="2" t="inlineStr">
        <is>
          <t>极紧凑-豹子号</t>
        </is>
      </c>
      <c r="N796" s="2" t="inlineStr">
        <is>
          <t>松散-极松散</t>
        </is>
      </c>
      <c r="O796" s="2" t="inlineStr">
        <is>
          <t>松散-标准松散</t>
        </is>
      </c>
      <c r="P796" s="2" t="inlineStr">
        <is>
          <t>松散-偏紧松散</t>
        </is>
      </c>
      <c r="Q796" s="2" t="inlineStr">
        <is>
          <t>标准-偏松标准</t>
        </is>
      </c>
      <c r="R796" s="2" t="inlineStr">
        <is>
          <t>标准-核心标准</t>
        </is>
      </c>
      <c r="S796" s="2" t="inlineStr">
        <is>
          <t>标准-偏紧标准</t>
        </is>
      </c>
      <c r="T796" s="2" t="inlineStr">
        <is>
          <t>紧凑-标准紧凑</t>
        </is>
      </c>
      <c r="U796" s="2" t="inlineStr">
        <is>
          <t>紧凑-高度紧凑</t>
        </is>
      </c>
      <c r="V796" s="2" t="inlineStr">
        <is>
          <t>紧凑-极度紧凑</t>
        </is>
      </c>
    </row>
    <row r="797">
      <c r="A797" s="1" t="n">
        <v>2025012</v>
      </c>
      <c r="B797" s="3" t="inlineStr">
        <is>
          <t>471</t>
        </is>
      </c>
      <c r="C797" s="2">
        <f>IF(B797="","",LEFT(TEXT(B797,"000"),1)*1)</f>
        <v/>
      </c>
      <c r="D797" s="2">
        <f>IF(B797="","",MID(TEXT(B797,"000"),2,1)*1)</f>
        <v/>
      </c>
      <c r="E797" s="2">
        <f>IF(B797="","",RIGHT(TEXT(B797,"000"),1)*1)</f>
        <v/>
      </c>
      <c r="F797" s="2">
        <f>IF(B797="","",C797+D797+E797)</f>
        <v/>
      </c>
      <c r="G797" s="2">
        <f>IF(B797="","",MOD(F797,10))</f>
        <v/>
      </c>
      <c r="H797" s="2">
        <f>IF(B797="","",MAX(C797,D797,E797)-MIN(C797,D797,E797))</f>
        <v/>
      </c>
      <c r="I797" s="2">
        <f>IF(OR(B797="",H797=0),IF(H797=0,0.1,""),ROUND(F797/H797,2))</f>
        <v/>
      </c>
      <c r="J797" s="2">
        <f>IF(I797=0.1,"极紧凑",IF(I797&gt;3.5,"紧凑",IF(AND(I797&gt;=2,I797&lt;=3.5),"标准",IF(AND(I797&gt;=1,I797&lt;2),"松散",""))))</f>
        <v/>
      </c>
      <c r="K797" s="2">
        <f>IF(I797=0.1,"极紧凑-豹子号",IF(AND(I797&gt;=1,I797&lt;=1.29),"松散-极松散",IF(AND(I797&gt;=1.33,I797&lt;=1.8),"松散-标准松散",IF(AND(I797&gt;=1.83,I797&lt;=1.89),"松散-偏紧松散",IF(AND(I797&gt;=2,I797&lt;=2.5),"标准-偏松标准",IF(AND(I797&gt;=2.57,I797&lt;=3),"标准-核心标准",IF(AND(I797&gt;=3.17,I797&lt;=3.5),"标准-偏紧标准",IF(AND(I797&gt;=3.6,I797&lt;=5),"紧凑-标准紧凑",IF(AND(I797&gt;=5.25,I797&lt;=8),"紧凑-高度紧凑",IF(I797&gt;=8.5,"紧凑-极度紧凑",""))))))))))</f>
        <v/>
      </c>
      <c r="L797" s="2">
        <f>IF(I797=0.1,"极紧凑",IF(AND(I797&gt;=1,I797&lt;=1.89),"松散",IF(AND(I797&gt;=2,I797&lt;=3.5),"标准",IF(I797&gt;=3.6,"紧凑",""))))</f>
        <v/>
      </c>
      <c r="M797" s="2" t="inlineStr">
        <is>
          <t>极紧凑-豹子号</t>
        </is>
      </c>
      <c r="N797" s="2" t="inlineStr">
        <is>
          <t>松散-极松散</t>
        </is>
      </c>
      <c r="O797" s="2" t="inlineStr">
        <is>
          <t>松散-标准松散</t>
        </is>
      </c>
      <c r="P797" s="2" t="inlineStr">
        <is>
          <t>松散-偏紧松散</t>
        </is>
      </c>
      <c r="Q797" s="2" t="inlineStr">
        <is>
          <t>标准-偏松标准</t>
        </is>
      </c>
      <c r="R797" s="2" t="inlineStr">
        <is>
          <t>标准-核心标准</t>
        </is>
      </c>
      <c r="S797" s="2" t="inlineStr">
        <is>
          <t>标准-偏紧标准</t>
        </is>
      </c>
      <c r="T797" s="2" t="inlineStr">
        <is>
          <t>紧凑-标准紧凑</t>
        </is>
      </c>
      <c r="U797" s="2" t="inlineStr">
        <is>
          <t>紧凑-高度紧凑</t>
        </is>
      </c>
      <c r="V797" s="2" t="inlineStr">
        <is>
          <t>紧凑-极度紧凑</t>
        </is>
      </c>
    </row>
    <row r="798">
      <c r="A798" s="1" t="n">
        <v>2025013</v>
      </c>
      <c r="B798" s="3" t="inlineStr">
        <is>
          <t>978</t>
        </is>
      </c>
      <c r="C798" s="2">
        <f>IF(B798="","",LEFT(TEXT(B798,"000"),1)*1)</f>
        <v/>
      </c>
      <c r="D798" s="2">
        <f>IF(B798="","",MID(TEXT(B798,"000"),2,1)*1)</f>
        <v/>
      </c>
      <c r="E798" s="2">
        <f>IF(B798="","",RIGHT(TEXT(B798,"000"),1)*1)</f>
        <v/>
      </c>
      <c r="F798" s="2">
        <f>IF(B798="","",C798+D798+E798)</f>
        <v/>
      </c>
      <c r="G798" s="2">
        <f>IF(B798="","",MOD(F798,10))</f>
        <v/>
      </c>
      <c r="H798" s="2">
        <f>IF(B798="","",MAX(C798,D798,E798)-MIN(C798,D798,E798))</f>
        <v/>
      </c>
      <c r="I798" s="2">
        <f>IF(OR(B798="",H798=0),IF(H798=0,0.1,""),ROUND(F798/H798,2))</f>
        <v/>
      </c>
      <c r="J798" s="2">
        <f>IF(I798=0.1,"极紧凑",IF(I798&gt;3.5,"紧凑",IF(AND(I798&gt;=2,I798&lt;=3.5),"标准",IF(AND(I798&gt;=1,I798&lt;2),"松散",""))))</f>
        <v/>
      </c>
      <c r="K798" s="2">
        <f>IF(I798=0.1,"极紧凑-豹子号",IF(AND(I798&gt;=1,I798&lt;=1.29),"松散-极松散",IF(AND(I798&gt;=1.33,I798&lt;=1.8),"松散-标准松散",IF(AND(I798&gt;=1.83,I798&lt;=1.89),"松散-偏紧松散",IF(AND(I798&gt;=2,I798&lt;=2.5),"标准-偏松标准",IF(AND(I798&gt;=2.57,I798&lt;=3),"标准-核心标准",IF(AND(I798&gt;=3.17,I798&lt;=3.5),"标准-偏紧标准",IF(AND(I798&gt;=3.6,I798&lt;=5),"紧凑-标准紧凑",IF(AND(I798&gt;=5.25,I798&lt;=8),"紧凑-高度紧凑",IF(I798&gt;=8.5,"紧凑-极度紧凑",""))))))))))</f>
        <v/>
      </c>
      <c r="L798" s="2">
        <f>IF(I798=0.1,"极紧凑",IF(AND(I798&gt;=1,I798&lt;=1.89),"松散",IF(AND(I798&gt;=2,I798&lt;=3.5),"标准",IF(I798&gt;=3.6,"紧凑",""))))</f>
        <v/>
      </c>
      <c r="M798" s="2" t="inlineStr">
        <is>
          <t>极紧凑-豹子号</t>
        </is>
      </c>
      <c r="N798" s="2" t="inlineStr">
        <is>
          <t>松散-极松散</t>
        </is>
      </c>
      <c r="O798" s="2" t="inlineStr">
        <is>
          <t>松散-标准松散</t>
        </is>
      </c>
      <c r="P798" s="2" t="inlineStr">
        <is>
          <t>松散-偏紧松散</t>
        </is>
      </c>
      <c r="Q798" s="2" t="inlineStr">
        <is>
          <t>标准-偏松标准</t>
        </is>
      </c>
      <c r="R798" s="2" t="inlineStr">
        <is>
          <t>标准-核心标准</t>
        </is>
      </c>
      <c r="S798" s="2" t="inlineStr">
        <is>
          <t>标准-偏紧标准</t>
        </is>
      </c>
      <c r="T798" s="2" t="inlineStr">
        <is>
          <t>紧凑-标准紧凑</t>
        </is>
      </c>
      <c r="U798" s="2" t="inlineStr">
        <is>
          <t>紧凑-高度紧凑</t>
        </is>
      </c>
      <c r="V798" s="2" t="inlineStr">
        <is>
          <t>紧凑-极度紧凑</t>
        </is>
      </c>
    </row>
    <row r="799">
      <c r="A799" s="1" t="n">
        <v>2025014</v>
      </c>
      <c r="B799" s="3" t="inlineStr">
        <is>
          <t>508</t>
        </is>
      </c>
      <c r="C799" s="2">
        <f>IF(B799="","",LEFT(TEXT(B799,"000"),1)*1)</f>
        <v/>
      </c>
      <c r="D799" s="2">
        <f>IF(B799="","",MID(TEXT(B799,"000"),2,1)*1)</f>
        <v/>
      </c>
      <c r="E799" s="2">
        <f>IF(B799="","",RIGHT(TEXT(B799,"000"),1)*1)</f>
        <v/>
      </c>
      <c r="F799" s="2">
        <f>IF(B799="","",C799+D799+E799)</f>
        <v/>
      </c>
      <c r="G799" s="2">
        <f>IF(B799="","",MOD(F799,10))</f>
        <v/>
      </c>
      <c r="H799" s="2">
        <f>IF(B799="","",MAX(C799,D799,E799)-MIN(C799,D799,E799))</f>
        <v/>
      </c>
      <c r="I799" s="2">
        <f>IF(OR(B799="",H799=0),IF(H799=0,0.1,""),ROUND(F799/H799,2))</f>
        <v/>
      </c>
      <c r="J799" s="2">
        <f>IF(I799=0.1,"极紧凑",IF(I799&gt;3.5,"紧凑",IF(AND(I799&gt;=2,I799&lt;=3.5),"标准",IF(AND(I799&gt;=1,I799&lt;2),"松散",""))))</f>
        <v/>
      </c>
      <c r="K799" s="2">
        <f>IF(I799=0.1,"极紧凑-豹子号",IF(AND(I799&gt;=1,I799&lt;=1.29),"松散-极松散",IF(AND(I799&gt;=1.33,I799&lt;=1.8),"松散-标准松散",IF(AND(I799&gt;=1.83,I799&lt;=1.89),"松散-偏紧松散",IF(AND(I799&gt;=2,I799&lt;=2.5),"标准-偏松标准",IF(AND(I799&gt;=2.57,I799&lt;=3),"标准-核心标准",IF(AND(I799&gt;=3.17,I799&lt;=3.5),"标准-偏紧标准",IF(AND(I799&gt;=3.6,I799&lt;=5),"紧凑-标准紧凑",IF(AND(I799&gt;=5.25,I799&lt;=8),"紧凑-高度紧凑",IF(I799&gt;=8.5,"紧凑-极度紧凑",""))))))))))</f>
        <v/>
      </c>
      <c r="L799" s="2">
        <f>IF(I799=0.1,"极紧凑",IF(AND(I799&gt;=1,I799&lt;=1.89),"松散",IF(AND(I799&gt;=2,I799&lt;=3.5),"标准",IF(I799&gt;=3.6,"紧凑",""))))</f>
        <v/>
      </c>
      <c r="M799" s="2" t="inlineStr">
        <is>
          <t>极紧凑-豹子号</t>
        </is>
      </c>
      <c r="N799" s="2" t="inlineStr">
        <is>
          <t>松散-极松散</t>
        </is>
      </c>
      <c r="O799" s="2" t="inlineStr">
        <is>
          <t>松散-标准松散</t>
        </is>
      </c>
      <c r="P799" s="2" t="inlineStr">
        <is>
          <t>松散-偏紧松散</t>
        </is>
      </c>
      <c r="Q799" s="2" t="inlineStr">
        <is>
          <t>标准-偏松标准</t>
        </is>
      </c>
      <c r="R799" s="2" t="inlineStr">
        <is>
          <t>标准-核心标准</t>
        </is>
      </c>
      <c r="S799" s="2" t="inlineStr">
        <is>
          <t>标准-偏紧标准</t>
        </is>
      </c>
      <c r="T799" s="2" t="inlineStr">
        <is>
          <t>紧凑-标准紧凑</t>
        </is>
      </c>
      <c r="U799" s="2" t="inlineStr">
        <is>
          <t>紧凑-高度紧凑</t>
        </is>
      </c>
      <c r="V799" s="2" t="inlineStr">
        <is>
          <t>紧凑-极度紧凑</t>
        </is>
      </c>
    </row>
    <row r="800">
      <c r="A800" s="1" t="n">
        <v>2025015</v>
      </c>
      <c r="B800" s="3" t="inlineStr">
        <is>
          <t>398</t>
        </is>
      </c>
      <c r="C800" s="2">
        <f>IF(B800="","",LEFT(TEXT(B800,"000"),1)*1)</f>
        <v/>
      </c>
      <c r="D800" s="2">
        <f>IF(B800="","",MID(TEXT(B800,"000"),2,1)*1)</f>
        <v/>
      </c>
      <c r="E800" s="2">
        <f>IF(B800="","",RIGHT(TEXT(B800,"000"),1)*1)</f>
        <v/>
      </c>
      <c r="F800" s="2">
        <f>IF(B800="","",C800+D800+E800)</f>
        <v/>
      </c>
      <c r="G800" s="2">
        <f>IF(B800="","",MOD(F800,10))</f>
        <v/>
      </c>
      <c r="H800" s="2">
        <f>IF(B800="","",MAX(C800,D800,E800)-MIN(C800,D800,E800))</f>
        <v/>
      </c>
      <c r="I800" s="2">
        <f>IF(OR(B800="",H800=0),IF(H800=0,0.1,""),ROUND(F800/H800,2))</f>
        <v/>
      </c>
      <c r="J800" s="2">
        <f>IF(I800=0.1,"极紧凑",IF(I800&gt;3.5,"紧凑",IF(AND(I800&gt;=2,I800&lt;=3.5),"标准",IF(AND(I800&gt;=1,I800&lt;2),"松散",""))))</f>
        <v/>
      </c>
      <c r="K800" s="2">
        <f>IF(I800=0.1,"极紧凑-豹子号",IF(AND(I800&gt;=1,I800&lt;=1.29),"松散-极松散",IF(AND(I800&gt;=1.33,I800&lt;=1.8),"松散-标准松散",IF(AND(I800&gt;=1.83,I800&lt;=1.89),"松散-偏紧松散",IF(AND(I800&gt;=2,I800&lt;=2.5),"标准-偏松标准",IF(AND(I800&gt;=2.57,I800&lt;=3),"标准-核心标准",IF(AND(I800&gt;=3.17,I800&lt;=3.5),"标准-偏紧标准",IF(AND(I800&gt;=3.6,I800&lt;=5),"紧凑-标准紧凑",IF(AND(I800&gt;=5.25,I800&lt;=8),"紧凑-高度紧凑",IF(I800&gt;=8.5,"紧凑-极度紧凑",""))))))))))</f>
        <v/>
      </c>
      <c r="L800" s="2">
        <f>IF(I800=0.1,"极紧凑",IF(AND(I800&gt;=1,I800&lt;=1.89),"松散",IF(AND(I800&gt;=2,I800&lt;=3.5),"标准",IF(I800&gt;=3.6,"紧凑",""))))</f>
        <v/>
      </c>
      <c r="M800" s="2" t="inlineStr">
        <is>
          <t>极紧凑-豹子号</t>
        </is>
      </c>
      <c r="N800" s="2" t="inlineStr">
        <is>
          <t>松散-极松散</t>
        </is>
      </c>
      <c r="O800" s="2" t="inlineStr">
        <is>
          <t>松散-标准松散</t>
        </is>
      </c>
      <c r="P800" s="2" t="inlineStr">
        <is>
          <t>松散-偏紧松散</t>
        </is>
      </c>
      <c r="Q800" s="2" t="inlineStr">
        <is>
          <t>标准-偏松标准</t>
        </is>
      </c>
      <c r="R800" s="2" t="inlineStr">
        <is>
          <t>标准-核心标准</t>
        </is>
      </c>
      <c r="S800" s="2" t="inlineStr">
        <is>
          <t>标准-偏紧标准</t>
        </is>
      </c>
      <c r="T800" s="2" t="inlineStr">
        <is>
          <t>紧凑-标准紧凑</t>
        </is>
      </c>
      <c r="U800" s="2" t="inlineStr">
        <is>
          <t>紧凑-高度紧凑</t>
        </is>
      </c>
      <c r="V800" s="2" t="inlineStr">
        <is>
          <t>紧凑-极度紧凑</t>
        </is>
      </c>
    </row>
    <row r="801">
      <c r="A801" s="1" t="n">
        <v>2025016</v>
      </c>
      <c r="B801" s="3" t="inlineStr">
        <is>
          <t>963</t>
        </is>
      </c>
      <c r="C801" s="2">
        <f>IF(B801="","",LEFT(TEXT(B801,"000"),1)*1)</f>
        <v/>
      </c>
      <c r="D801" s="2">
        <f>IF(B801="","",MID(TEXT(B801,"000"),2,1)*1)</f>
        <v/>
      </c>
      <c r="E801" s="2">
        <f>IF(B801="","",RIGHT(TEXT(B801,"000"),1)*1)</f>
        <v/>
      </c>
      <c r="F801" s="2">
        <f>IF(B801="","",C801+D801+E801)</f>
        <v/>
      </c>
      <c r="G801" s="2">
        <f>IF(B801="","",MOD(F801,10))</f>
        <v/>
      </c>
      <c r="H801" s="2">
        <f>IF(B801="","",MAX(C801,D801,E801)-MIN(C801,D801,E801))</f>
        <v/>
      </c>
      <c r="I801" s="2">
        <f>IF(OR(B801="",H801=0),IF(H801=0,0.1,""),ROUND(F801/H801,2))</f>
        <v/>
      </c>
      <c r="J801" s="2">
        <f>IF(I801=0.1,"极紧凑",IF(I801&gt;3.5,"紧凑",IF(AND(I801&gt;=2,I801&lt;=3.5),"标准",IF(AND(I801&gt;=1,I801&lt;2),"松散",""))))</f>
        <v/>
      </c>
      <c r="K801" s="2">
        <f>IF(I801=0.1,"极紧凑-豹子号",IF(AND(I801&gt;=1,I801&lt;=1.29),"松散-极松散",IF(AND(I801&gt;=1.33,I801&lt;=1.8),"松散-标准松散",IF(AND(I801&gt;=1.83,I801&lt;=1.89),"松散-偏紧松散",IF(AND(I801&gt;=2,I801&lt;=2.5),"标准-偏松标准",IF(AND(I801&gt;=2.57,I801&lt;=3),"标准-核心标准",IF(AND(I801&gt;=3.17,I801&lt;=3.5),"标准-偏紧标准",IF(AND(I801&gt;=3.6,I801&lt;=5),"紧凑-标准紧凑",IF(AND(I801&gt;=5.25,I801&lt;=8),"紧凑-高度紧凑",IF(I801&gt;=8.5,"紧凑-极度紧凑",""))))))))))</f>
        <v/>
      </c>
      <c r="L801" s="2">
        <f>IF(I801=0.1,"极紧凑",IF(AND(I801&gt;=1,I801&lt;=1.89),"松散",IF(AND(I801&gt;=2,I801&lt;=3.5),"标准",IF(I801&gt;=3.6,"紧凑",""))))</f>
        <v/>
      </c>
      <c r="M801" s="2" t="inlineStr">
        <is>
          <t>极紧凑-豹子号</t>
        </is>
      </c>
      <c r="N801" s="2" t="inlineStr">
        <is>
          <t>松散-极松散</t>
        </is>
      </c>
      <c r="O801" s="2" t="inlineStr">
        <is>
          <t>松散-标准松散</t>
        </is>
      </c>
      <c r="P801" s="2" t="inlineStr">
        <is>
          <t>松散-偏紧松散</t>
        </is>
      </c>
      <c r="Q801" s="2" t="inlineStr">
        <is>
          <t>标准-偏松标准</t>
        </is>
      </c>
      <c r="R801" s="2" t="inlineStr">
        <is>
          <t>标准-核心标准</t>
        </is>
      </c>
      <c r="S801" s="2" t="inlineStr">
        <is>
          <t>标准-偏紧标准</t>
        </is>
      </c>
      <c r="T801" s="2" t="inlineStr">
        <is>
          <t>紧凑-标准紧凑</t>
        </is>
      </c>
      <c r="U801" s="2" t="inlineStr">
        <is>
          <t>紧凑-高度紧凑</t>
        </is>
      </c>
      <c r="V801" s="2" t="inlineStr">
        <is>
          <t>紧凑-极度紧凑</t>
        </is>
      </c>
    </row>
    <row r="802">
      <c r="A802" s="1" t="n">
        <v>2025017</v>
      </c>
      <c r="B802" s="3" t="inlineStr">
        <is>
          <t>956</t>
        </is>
      </c>
      <c r="C802" s="2">
        <f>IF(B802="","",LEFT(TEXT(B802,"000"),1)*1)</f>
        <v/>
      </c>
      <c r="D802" s="2">
        <f>IF(B802="","",MID(TEXT(B802,"000"),2,1)*1)</f>
        <v/>
      </c>
      <c r="E802" s="2">
        <f>IF(B802="","",RIGHT(TEXT(B802,"000"),1)*1)</f>
        <v/>
      </c>
      <c r="F802" s="2">
        <f>IF(B802="","",C802+D802+E802)</f>
        <v/>
      </c>
      <c r="G802" s="2">
        <f>IF(B802="","",MOD(F802,10))</f>
        <v/>
      </c>
      <c r="H802" s="2">
        <f>IF(B802="","",MAX(C802,D802,E802)-MIN(C802,D802,E802))</f>
        <v/>
      </c>
      <c r="I802" s="2">
        <f>IF(OR(B802="",H802=0),IF(H802=0,0.1,""),ROUND(F802/H802,2))</f>
        <v/>
      </c>
      <c r="J802" s="2">
        <f>IF(I802=0.1,"极紧凑",IF(I802&gt;3.5,"紧凑",IF(AND(I802&gt;=2,I802&lt;=3.5),"标准",IF(AND(I802&gt;=1,I802&lt;2),"松散",""))))</f>
        <v/>
      </c>
      <c r="K802" s="2">
        <f>IF(I802=0.1,"极紧凑-豹子号",IF(AND(I802&gt;=1,I802&lt;=1.29),"松散-极松散",IF(AND(I802&gt;=1.33,I802&lt;=1.8),"松散-标准松散",IF(AND(I802&gt;=1.83,I802&lt;=1.89),"松散-偏紧松散",IF(AND(I802&gt;=2,I802&lt;=2.5),"标准-偏松标准",IF(AND(I802&gt;=2.57,I802&lt;=3),"标准-核心标准",IF(AND(I802&gt;=3.17,I802&lt;=3.5),"标准-偏紧标准",IF(AND(I802&gt;=3.6,I802&lt;=5),"紧凑-标准紧凑",IF(AND(I802&gt;=5.25,I802&lt;=8),"紧凑-高度紧凑",IF(I802&gt;=8.5,"紧凑-极度紧凑",""))))))))))</f>
        <v/>
      </c>
      <c r="L802" s="2">
        <f>IF(I802=0.1,"极紧凑",IF(AND(I802&gt;=1,I802&lt;=1.89),"松散",IF(AND(I802&gt;=2,I802&lt;=3.5),"标准",IF(I802&gt;=3.6,"紧凑",""))))</f>
        <v/>
      </c>
      <c r="M802" s="2" t="inlineStr">
        <is>
          <t>极紧凑-豹子号</t>
        </is>
      </c>
      <c r="N802" s="2" t="inlineStr">
        <is>
          <t>松散-极松散</t>
        </is>
      </c>
      <c r="O802" s="2" t="inlineStr">
        <is>
          <t>松散-标准松散</t>
        </is>
      </c>
      <c r="P802" s="2" t="inlineStr">
        <is>
          <t>松散-偏紧松散</t>
        </is>
      </c>
      <c r="Q802" s="2" t="inlineStr">
        <is>
          <t>标准-偏松标准</t>
        </is>
      </c>
      <c r="R802" s="2" t="inlineStr">
        <is>
          <t>标准-核心标准</t>
        </is>
      </c>
      <c r="S802" s="2" t="inlineStr">
        <is>
          <t>标准-偏紧标准</t>
        </is>
      </c>
      <c r="T802" s="2" t="inlineStr">
        <is>
          <t>紧凑-标准紧凑</t>
        </is>
      </c>
      <c r="U802" s="2" t="inlineStr">
        <is>
          <t>紧凑-高度紧凑</t>
        </is>
      </c>
      <c r="V802" s="2" t="inlineStr">
        <is>
          <t>紧凑-极度紧凑</t>
        </is>
      </c>
    </row>
    <row r="803">
      <c r="A803" s="1" t="n">
        <v>2025018</v>
      </c>
      <c r="B803" s="3" t="inlineStr">
        <is>
          <t>292</t>
        </is>
      </c>
      <c r="C803" s="2">
        <f>IF(B803="","",LEFT(TEXT(B803,"000"),1)*1)</f>
        <v/>
      </c>
      <c r="D803" s="2">
        <f>IF(B803="","",MID(TEXT(B803,"000"),2,1)*1)</f>
        <v/>
      </c>
      <c r="E803" s="2">
        <f>IF(B803="","",RIGHT(TEXT(B803,"000"),1)*1)</f>
        <v/>
      </c>
      <c r="F803" s="2">
        <f>IF(B803="","",C803+D803+E803)</f>
        <v/>
      </c>
      <c r="G803" s="2">
        <f>IF(B803="","",MOD(F803,10))</f>
        <v/>
      </c>
      <c r="H803" s="2">
        <f>IF(B803="","",MAX(C803,D803,E803)-MIN(C803,D803,E803))</f>
        <v/>
      </c>
      <c r="I803" s="2">
        <f>IF(OR(B803="",H803=0),IF(H803=0,0.1,""),ROUND(F803/H803,2))</f>
        <v/>
      </c>
      <c r="J803" s="2">
        <f>IF(I803=0.1,"极紧凑",IF(I803&gt;3.5,"紧凑",IF(AND(I803&gt;=2,I803&lt;=3.5),"标准",IF(AND(I803&gt;=1,I803&lt;2),"松散",""))))</f>
        <v/>
      </c>
      <c r="K803" s="2">
        <f>IF(I803=0.1,"极紧凑-豹子号",IF(AND(I803&gt;=1,I803&lt;=1.29),"松散-极松散",IF(AND(I803&gt;=1.33,I803&lt;=1.8),"松散-标准松散",IF(AND(I803&gt;=1.83,I803&lt;=1.89),"松散-偏紧松散",IF(AND(I803&gt;=2,I803&lt;=2.5),"标准-偏松标准",IF(AND(I803&gt;=2.57,I803&lt;=3),"标准-核心标准",IF(AND(I803&gt;=3.17,I803&lt;=3.5),"标准-偏紧标准",IF(AND(I803&gt;=3.6,I803&lt;=5),"紧凑-标准紧凑",IF(AND(I803&gt;=5.25,I803&lt;=8),"紧凑-高度紧凑",IF(I803&gt;=8.5,"紧凑-极度紧凑",""))))))))))</f>
        <v/>
      </c>
      <c r="L803" s="2">
        <f>IF(I803=0.1,"极紧凑",IF(AND(I803&gt;=1,I803&lt;=1.89),"松散",IF(AND(I803&gt;=2,I803&lt;=3.5),"标准",IF(I803&gt;=3.6,"紧凑",""))))</f>
        <v/>
      </c>
      <c r="M803" s="2" t="inlineStr">
        <is>
          <t>极紧凑-豹子号</t>
        </is>
      </c>
      <c r="N803" s="2" t="inlineStr">
        <is>
          <t>松散-极松散</t>
        </is>
      </c>
      <c r="O803" s="2" t="inlineStr">
        <is>
          <t>松散-标准松散</t>
        </is>
      </c>
      <c r="P803" s="2" t="inlineStr">
        <is>
          <t>松散-偏紧松散</t>
        </is>
      </c>
      <c r="Q803" s="2" t="inlineStr">
        <is>
          <t>标准-偏松标准</t>
        </is>
      </c>
      <c r="R803" s="2" t="inlineStr">
        <is>
          <t>标准-核心标准</t>
        </is>
      </c>
      <c r="S803" s="2" t="inlineStr">
        <is>
          <t>标准-偏紧标准</t>
        </is>
      </c>
      <c r="T803" s="2" t="inlineStr">
        <is>
          <t>紧凑-标准紧凑</t>
        </is>
      </c>
      <c r="U803" s="2" t="inlineStr">
        <is>
          <t>紧凑-高度紧凑</t>
        </is>
      </c>
      <c r="V803" s="2" t="inlineStr">
        <is>
          <t>紧凑-极度紧凑</t>
        </is>
      </c>
    </row>
    <row r="804">
      <c r="A804" s="1" t="n">
        <v>2025019</v>
      </c>
      <c r="B804" s="3" t="inlineStr">
        <is>
          <t>734</t>
        </is>
      </c>
      <c r="C804" s="2">
        <f>IF(B804="","",LEFT(TEXT(B804,"000"),1)*1)</f>
        <v/>
      </c>
      <c r="D804" s="2">
        <f>IF(B804="","",MID(TEXT(B804,"000"),2,1)*1)</f>
        <v/>
      </c>
      <c r="E804" s="2">
        <f>IF(B804="","",RIGHT(TEXT(B804,"000"),1)*1)</f>
        <v/>
      </c>
      <c r="F804" s="2">
        <f>IF(B804="","",C804+D804+E804)</f>
        <v/>
      </c>
      <c r="G804" s="2">
        <f>IF(B804="","",MOD(F804,10))</f>
        <v/>
      </c>
      <c r="H804" s="2">
        <f>IF(B804="","",MAX(C804,D804,E804)-MIN(C804,D804,E804))</f>
        <v/>
      </c>
      <c r="I804" s="2">
        <f>IF(OR(B804="",H804=0),IF(H804=0,0.1,""),ROUND(F804/H804,2))</f>
        <v/>
      </c>
      <c r="J804" s="2">
        <f>IF(I804=0.1,"极紧凑",IF(I804&gt;3.5,"紧凑",IF(AND(I804&gt;=2,I804&lt;=3.5),"标准",IF(AND(I804&gt;=1,I804&lt;2),"松散",""))))</f>
        <v/>
      </c>
      <c r="K804" s="2">
        <f>IF(I804=0.1,"极紧凑-豹子号",IF(AND(I804&gt;=1,I804&lt;=1.29),"松散-极松散",IF(AND(I804&gt;=1.33,I804&lt;=1.8),"松散-标准松散",IF(AND(I804&gt;=1.83,I804&lt;=1.89),"松散-偏紧松散",IF(AND(I804&gt;=2,I804&lt;=2.5),"标准-偏松标准",IF(AND(I804&gt;=2.57,I804&lt;=3),"标准-核心标准",IF(AND(I804&gt;=3.17,I804&lt;=3.5),"标准-偏紧标准",IF(AND(I804&gt;=3.6,I804&lt;=5),"紧凑-标准紧凑",IF(AND(I804&gt;=5.25,I804&lt;=8),"紧凑-高度紧凑",IF(I804&gt;=8.5,"紧凑-极度紧凑",""))))))))))</f>
        <v/>
      </c>
      <c r="L804" s="2">
        <f>IF(I804=0.1,"极紧凑",IF(AND(I804&gt;=1,I804&lt;=1.89),"松散",IF(AND(I804&gt;=2,I804&lt;=3.5),"标准",IF(I804&gt;=3.6,"紧凑",""))))</f>
        <v/>
      </c>
      <c r="M804" s="2" t="inlineStr">
        <is>
          <t>极紧凑-豹子号</t>
        </is>
      </c>
      <c r="N804" s="2" t="inlineStr">
        <is>
          <t>松散-极松散</t>
        </is>
      </c>
      <c r="O804" s="2" t="inlineStr">
        <is>
          <t>松散-标准松散</t>
        </is>
      </c>
      <c r="P804" s="2" t="inlineStr">
        <is>
          <t>松散-偏紧松散</t>
        </is>
      </c>
      <c r="Q804" s="2" t="inlineStr">
        <is>
          <t>标准-偏松标准</t>
        </is>
      </c>
      <c r="R804" s="2" t="inlineStr">
        <is>
          <t>标准-核心标准</t>
        </is>
      </c>
      <c r="S804" s="2" t="inlineStr">
        <is>
          <t>标准-偏紧标准</t>
        </is>
      </c>
      <c r="T804" s="2" t="inlineStr">
        <is>
          <t>紧凑-标准紧凑</t>
        </is>
      </c>
      <c r="U804" s="2" t="inlineStr">
        <is>
          <t>紧凑-高度紧凑</t>
        </is>
      </c>
      <c r="V804" s="2" t="inlineStr">
        <is>
          <t>紧凑-极度紧凑</t>
        </is>
      </c>
    </row>
    <row r="805">
      <c r="A805" s="1" t="n">
        <v>2025020</v>
      </c>
      <c r="B805" s="3" t="inlineStr">
        <is>
          <t>159</t>
        </is>
      </c>
      <c r="C805" s="2">
        <f>IF(B805="","",LEFT(TEXT(B805,"000"),1)*1)</f>
        <v/>
      </c>
      <c r="D805" s="2">
        <f>IF(B805="","",MID(TEXT(B805,"000"),2,1)*1)</f>
        <v/>
      </c>
      <c r="E805" s="2">
        <f>IF(B805="","",RIGHT(TEXT(B805,"000"),1)*1)</f>
        <v/>
      </c>
      <c r="F805" s="2">
        <f>IF(B805="","",C805+D805+E805)</f>
        <v/>
      </c>
      <c r="G805" s="2">
        <f>IF(B805="","",MOD(F805,10))</f>
        <v/>
      </c>
      <c r="H805" s="2">
        <f>IF(B805="","",MAX(C805,D805,E805)-MIN(C805,D805,E805))</f>
        <v/>
      </c>
      <c r="I805" s="2">
        <f>IF(OR(B805="",H805=0),IF(H805=0,0.1,""),ROUND(F805/H805,2))</f>
        <v/>
      </c>
      <c r="J805" s="2">
        <f>IF(I805=0.1,"极紧凑",IF(I805&gt;3.5,"紧凑",IF(AND(I805&gt;=2,I805&lt;=3.5),"标准",IF(AND(I805&gt;=1,I805&lt;2),"松散",""))))</f>
        <v/>
      </c>
      <c r="K805" s="2">
        <f>IF(I805=0.1,"极紧凑-豹子号",IF(AND(I805&gt;=1,I805&lt;=1.29),"松散-极松散",IF(AND(I805&gt;=1.33,I805&lt;=1.8),"松散-标准松散",IF(AND(I805&gt;=1.83,I805&lt;=1.89),"松散-偏紧松散",IF(AND(I805&gt;=2,I805&lt;=2.5),"标准-偏松标准",IF(AND(I805&gt;=2.57,I805&lt;=3),"标准-核心标准",IF(AND(I805&gt;=3.17,I805&lt;=3.5),"标准-偏紧标准",IF(AND(I805&gt;=3.6,I805&lt;=5),"紧凑-标准紧凑",IF(AND(I805&gt;=5.25,I805&lt;=8),"紧凑-高度紧凑",IF(I805&gt;=8.5,"紧凑-极度紧凑",""))))))))))</f>
        <v/>
      </c>
      <c r="L805" s="2">
        <f>IF(I805=0.1,"极紧凑",IF(AND(I805&gt;=1,I805&lt;=1.89),"松散",IF(AND(I805&gt;=2,I805&lt;=3.5),"标准",IF(I805&gt;=3.6,"紧凑",""))))</f>
        <v/>
      </c>
      <c r="M805" s="2" t="inlineStr">
        <is>
          <t>极紧凑-豹子号</t>
        </is>
      </c>
      <c r="N805" s="2" t="inlineStr">
        <is>
          <t>松散-极松散</t>
        </is>
      </c>
      <c r="O805" s="2" t="inlineStr">
        <is>
          <t>松散-标准松散</t>
        </is>
      </c>
      <c r="P805" s="2" t="inlineStr">
        <is>
          <t>松散-偏紧松散</t>
        </is>
      </c>
      <c r="Q805" s="2" t="inlineStr">
        <is>
          <t>标准-偏松标准</t>
        </is>
      </c>
      <c r="R805" s="2" t="inlineStr">
        <is>
          <t>标准-核心标准</t>
        </is>
      </c>
      <c r="S805" s="2" t="inlineStr">
        <is>
          <t>标准-偏紧标准</t>
        </is>
      </c>
      <c r="T805" s="2" t="inlineStr">
        <is>
          <t>紧凑-标准紧凑</t>
        </is>
      </c>
      <c r="U805" s="2" t="inlineStr">
        <is>
          <t>紧凑-高度紧凑</t>
        </is>
      </c>
      <c r="V805" s="2" t="inlineStr">
        <is>
          <t>紧凑-极度紧凑</t>
        </is>
      </c>
    </row>
    <row r="806">
      <c r="A806" s="1" t="n">
        <v>2025021</v>
      </c>
      <c r="B806" s="3" t="inlineStr">
        <is>
          <t>346</t>
        </is>
      </c>
      <c r="C806" s="2">
        <f>IF(B806="","",LEFT(TEXT(B806,"000"),1)*1)</f>
        <v/>
      </c>
      <c r="D806" s="2">
        <f>IF(B806="","",MID(TEXT(B806,"000"),2,1)*1)</f>
        <v/>
      </c>
      <c r="E806" s="2">
        <f>IF(B806="","",RIGHT(TEXT(B806,"000"),1)*1)</f>
        <v/>
      </c>
      <c r="F806" s="2">
        <f>IF(B806="","",C806+D806+E806)</f>
        <v/>
      </c>
      <c r="G806" s="2">
        <f>IF(B806="","",MOD(F806,10))</f>
        <v/>
      </c>
      <c r="H806" s="2">
        <f>IF(B806="","",MAX(C806,D806,E806)-MIN(C806,D806,E806))</f>
        <v/>
      </c>
      <c r="I806" s="2">
        <f>IF(OR(B806="",H806=0),IF(H806=0,0.1,""),ROUND(F806/H806,2))</f>
        <v/>
      </c>
      <c r="J806" s="2">
        <f>IF(I806=0.1,"极紧凑",IF(I806&gt;3.5,"紧凑",IF(AND(I806&gt;=2,I806&lt;=3.5),"标准",IF(AND(I806&gt;=1,I806&lt;2),"松散",""))))</f>
        <v/>
      </c>
      <c r="K806" s="2">
        <f>IF(I806=0.1,"极紧凑-豹子号",IF(AND(I806&gt;=1,I806&lt;=1.29),"松散-极松散",IF(AND(I806&gt;=1.33,I806&lt;=1.8),"松散-标准松散",IF(AND(I806&gt;=1.83,I806&lt;=1.89),"松散-偏紧松散",IF(AND(I806&gt;=2,I806&lt;=2.5),"标准-偏松标准",IF(AND(I806&gt;=2.57,I806&lt;=3),"标准-核心标准",IF(AND(I806&gt;=3.17,I806&lt;=3.5),"标准-偏紧标准",IF(AND(I806&gt;=3.6,I806&lt;=5),"紧凑-标准紧凑",IF(AND(I806&gt;=5.25,I806&lt;=8),"紧凑-高度紧凑",IF(I806&gt;=8.5,"紧凑-极度紧凑",""))))))))))</f>
        <v/>
      </c>
      <c r="L806" s="2">
        <f>IF(I806=0.1,"极紧凑",IF(AND(I806&gt;=1,I806&lt;=1.89),"松散",IF(AND(I806&gt;=2,I806&lt;=3.5),"标准",IF(I806&gt;=3.6,"紧凑",""))))</f>
        <v/>
      </c>
      <c r="M806" s="2" t="inlineStr">
        <is>
          <t>极紧凑-豹子号</t>
        </is>
      </c>
      <c r="N806" s="2" t="inlineStr">
        <is>
          <t>松散-极松散</t>
        </is>
      </c>
      <c r="O806" s="2" t="inlineStr">
        <is>
          <t>松散-标准松散</t>
        </is>
      </c>
      <c r="P806" s="2" t="inlineStr">
        <is>
          <t>松散-偏紧松散</t>
        </is>
      </c>
      <c r="Q806" s="2" t="inlineStr">
        <is>
          <t>标准-偏松标准</t>
        </is>
      </c>
      <c r="R806" s="2" t="inlineStr">
        <is>
          <t>标准-核心标准</t>
        </is>
      </c>
      <c r="S806" s="2" t="inlineStr">
        <is>
          <t>标准-偏紧标准</t>
        </is>
      </c>
      <c r="T806" s="2" t="inlineStr">
        <is>
          <t>紧凑-标准紧凑</t>
        </is>
      </c>
      <c r="U806" s="2" t="inlineStr">
        <is>
          <t>紧凑-高度紧凑</t>
        </is>
      </c>
      <c r="V806" s="2" t="inlineStr">
        <is>
          <t>紧凑-极度紧凑</t>
        </is>
      </c>
    </row>
    <row r="807">
      <c r="A807" s="1" t="n">
        <v>2025022</v>
      </c>
      <c r="B807" s="3" t="inlineStr">
        <is>
          <t>484</t>
        </is>
      </c>
      <c r="C807" s="2">
        <f>IF(B807="","",LEFT(TEXT(B807,"000"),1)*1)</f>
        <v/>
      </c>
      <c r="D807" s="2">
        <f>IF(B807="","",MID(TEXT(B807,"000"),2,1)*1)</f>
        <v/>
      </c>
      <c r="E807" s="2">
        <f>IF(B807="","",RIGHT(TEXT(B807,"000"),1)*1)</f>
        <v/>
      </c>
      <c r="F807" s="2">
        <f>IF(B807="","",C807+D807+E807)</f>
        <v/>
      </c>
      <c r="G807" s="2">
        <f>IF(B807="","",MOD(F807,10))</f>
        <v/>
      </c>
      <c r="H807" s="2">
        <f>IF(B807="","",MAX(C807,D807,E807)-MIN(C807,D807,E807))</f>
        <v/>
      </c>
      <c r="I807" s="2">
        <f>IF(OR(B807="",H807=0),IF(H807=0,0.1,""),ROUND(F807/H807,2))</f>
        <v/>
      </c>
      <c r="J807" s="2">
        <f>IF(I807=0.1,"极紧凑",IF(I807&gt;3.5,"紧凑",IF(AND(I807&gt;=2,I807&lt;=3.5),"标准",IF(AND(I807&gt;=1,I807&lt;2),"松散",""))))</f>
        <v/>
      </c>
      <c r="K807" s="2">
        <f>IF(I807=0.1,"极紧凑-豹子号",IF(AND(I807&gt;=1,I807&lt;=1.29),"松散-极松散",IF(AND(I807&gt;=1.33,I807&lt;=1.8),"松散-标准松散",IF(AND(I807&gt;=1.83,I807&lt;=1.89),"松散-偏紧松散",IF(AND(I807&gt;=2,I807&lt;=2.5),"标准-偏松标准",IF(AND(I807&gt;=2.57,I807&lt;=3),"标准-核心标准",IF(AND(I807&gt;=3.17,I807&lt;=3.5),"标准-偏紧标准",IF(AND(I807&gt;=3.6,I807&lt;=5),"紧凑-标准紧凑",IF(AND(I807&gt;=5.25,I807&lt;=8),"紧凑-高度紧凑",IF(I807&gt;=8.5,"紧凑-极度紧凑",""))))))))))</f>
        <v/>
      </c>
      <c r="L807" s="2">
        <f>IF(I807=0.1,"极紧凑",IF(AND(I807&gt;=1,I807&lt;=1.89),"松散",IF(AND(I807&gt;=2,I807&lt;=3.5),"标准",IF(I807&gt;=3.6,"紧凑",""))))</f>
        <v/>
      </c>
      <c r="M807" s="2" t="inlineStr">
        <is>
          <t>极紧凑-豹子号</t>
        </is>
      </c>
      <c r="N807" s="2" t="inlineStr">
        <is>
          <t>松散-极松散</t>
        </is>
      </c>
      <c r="O807" s="2" t="inlineStr">
        <is>
          <t>松散-标准松散</t>
        </is>
      </c>
      <c r="P807" s="2" t="inlineStr">
        <is>
          <t>松散-偏紧松散</t>
        </is>
      </c>
      <c r="Q807" s="2" t="inlineStr">
        <is>
          <t>标准-偏松标准</t>
        </is>
      </c>
      <c r="R807" s="2" t="inlineStr">
        <is>
          <t>标准-核心标准</t>
        </is>
      </c>
      <c r="S807" s="2" t="inlineStr">
        <is>
          <t>标准-偏紧标准</t>
        </is>
      </c>
      <c r="T807" s="2" t="inlineStr">
        <is>
          <t>紧凑-标准紧凑</t>
        </is>
      </c>
      <c r="U807" s="2" t="inlineStr">
        <is>
          <t>紧凑-高度紧凑</t>
        </is>
      </c>
      <c r="V807" s="2" t="inlineStr">
        <is>
          <t>紧凑-极度紧凑</t>
        </is>
      </c>
    </row>
    <row r="808">
      <c r="A808" s="1" t="n">
        <v>2025023</v>
      </c>
      <c r="B808" s="3" t="inlineStr">
        <is>
          <t>788</t>
        </is>
      </c>
      <c r="C808" s="2">
        <f>IF(B808="","",LEFT(TEXT(B808,"000"),1)*1)</f>
        <v/>
      </c>
      <c r="D808" s="2">
        <f>IF(B808="","",MID(TEXT(B808,"000"),2,1)*1)</f>
        <v/>
      </c>
      <c r="E808" s="2">
        <f>IF(B808="","",RIGHT(TEXT(B808,"000"),1)*1)</f>
        <v/>
      </c>
      <c r="F808" s="2">
        <f>IF(B808="","",C808+D808+E808)</f>
        <v/>
      </c>
      <c r="G808" s="2">
        <f>IF(B808="","",MOD(F808,10))</f>
        <v/>
      </c>
      <c r="H808" s="2">
        <f>IF(B808="","",MAX(C808,D808,E808)-MIN(C808,D808,E808))</f>
        <v/>
      </c>
      <c r="I808" s="2">
        <f>IF(OR(B808="",H808=0),IF(H808=0,0.1,""),ROUND(F808/H808,2))</f>
        <v/>
      </c>
      <c r="J808" s="2">
        <f>IF(I808=0.1,"极紧凑",IF(I808&gt;3.5,"紧凑",IF(AND(I808&gt;=2,I808&lt;=3.5),"标准",IF(AND(I808&gt;=1,I808&lt;2),"松散",""))))</f>
        <v/>
      </c>
      <c r="K808" s="2">
        <f>IF(I808=0.1,"极紧凑-豹子号",IF(AND(I808&gt;=1,I808&lt;=1.29),"松散-极松散",IF(AND(I808&gt;=1.33,I808&lt;=1.8),"松散-标准松散",IF(AND(I808&gt;=1.83,I808&lt;=1.89),"松散-偏紧松散",IF(AND(I808&gt;=2,I808&lt;=2.5),"标准-偏松标准",IF(AND(I808&gt;=2.57,I808&lt;=3),"标准-核心标准",IF(AND(I808&gt;=3.17,I808&lt;=3.5),"标准-偏紧标准",IF(AND(I808&gt;=3.6,I808&lt;=5),"紧凑-标准紧凑",IF(AND(I808&gt;=5.25,I808&lt;=8),"紧凑-高度紧凑",IF(I808&gt;=8.5,"紧凑-极度紧凑",""))))))))))</f>
        <v/>
      </c>
      <c r="L808" s="2">
        <f>IF(I808=0.1,"极紧凑",IF(AND(I808&gt;=1,I808&lt;=1.89),"松散",IF(AND(I808&gt;=2,I808&lt;=3.5),"标准",IF(I808&gt;=3.6,"紧凑",""))))</f>
        <v/>
      </c>
      <c r="M808" s="2" t="inlineStr">
        <is>
          <t>极紧凑-豹子号</t>
        </is>
      </c>
      <c r="N808" s="2" t="inlineStr">
        <is>
          <t>松散-极松散</t>
        </is>
      </c>
      <c r="O808" s="2" t="inlineStr">
        <is>
          <t>松散-标准松散</t>
        </is>
      </c>
      <c r="P808" s="2" t="inlineStr">
        <is>
          <t>松散-偏紧松散</t>
        </is>
      </c>
      <c r="Q808" s="2" t="inlineStr">
        <is>
          <t>标准-偏松标准</t>
        </is>
      </c>
      <c r="R808" s="2" t="inlineStr">
        <is>
          <t>标准-核心标准</t>
        </is>
      </c>
      <c r="S808" s="2" t="inlineStr">
        <is>
          <t>标准-偏紧标准</t>
        </is>
      </c>
      <c r="T808" s="2" t="inlineStr">
        <is>
          <t>紧凑-标准紧凑</t>
        </is>
      </c>
      <c r="U808" s="2" t="inlineStr">
        <is>
          <t>紧凑-高度紧凑</t>
        </is>
      </c>
      <c r="V808" s="2" t="inlineStr">
        <is>
          <t>紧凑-极度紧凑</t>
        </is>
      </c>
    </row>
    <row r="809">
      <c r="A809" s="1" t="n">
        <v>2025024</v>
      </c>
      <c r="B809" s="3" t="inlineStr">
        <is>
          <t>228</t>
        </is>
      </c>
      <c r="C809" s="2">
        <f>IF(B809="","",LEFT(TEXT(B809,"000"),1)*1)</f>
        <v/>
      </c>
      <c r="D809" s="2">
        <f>IF(B809="","",MID(TEXT(B809,"000"),2,1)*1)</f>
        <v/>
      </c>
      <c r="E809" s="2">
        <f>IF(B809="","",RIGHT(TEXT(B809,"000"),1)*1)</f>
        <v/>
      </c>
      <c r="F809" s="2">
        <f>IF(B809="","",C809+D809+E809)</f>
        <v/>
      </c>
      <c r="G809" s="2">
        <f>IF(B809="","",MOD(F809,10))</f>
        <v/>
      </c>
      <c r="H809" s="2">
        <f>IF(B809="","",MAX(C809,D809,E809)-MIN(C809,D809,E809))</f>
        <v/>
      </c>
      <c r="I809" s="2">
        <f>IF(OR(B809="",H809=0),IF(H809=0,0.1,""),ROUND(F809/H809,2))</f>
        <v/>
      </c>
      <c r="J809" s="2">
        <f>IF(I809=0.1,"极紧凑",IF(I809&gt;3.5,"紧凑",IF(AND(I809&gt;=2,I809&lt;=3.5),"标准",IF(AND(I809&gt;=1,I809&lt;2),"松散",""))))</f>
        <v/>
      </c>
      <c r="K809" s="2">
        <f>IF(I809=0.1,"极紧凑-豹子号",IF(AND(I809&gt;=1,I809&lt;=1.29),"松散-极松散",IF(AND(I809&gt;=1.33,I809&lt;=1.8),"松散-标准松散",IF(AND(I809&gt;=1.83,I809&lt;=1.89),"松散-偏紧松散",IF(AND(I809&gt;=2,I809&lt;=2.5),"标准-偏松标准",IF(AND(I809&gt;=2.57,I809&lt;=3),"标准-核心标准",IF(AND(I809&gt;=3.17,I809&lt;=3.5),"标准-偏紧标准",IF(AND(I809&gt;=3.6,I809&lt;=5),"紧凑-标准紧凑",IF(AND(I809&gt;=5.25,I809&lt;=8),"紧凑-高度紧凑",IF(I809&gt;=8.5,"紧凑-极度紧凑",""))))))))))</f>
        <v/>
      </c>
      <c r="L809" s="2">
        <f>IF(I809=0.1,"极紧凑",IF(AND(I809&gt;=1,I809&lt;=1.89),"松散",IF(AND(I809&gt;=2,I809&lt;=3.5),"标准",IF(I809&gt;=3.6,"紧凑",""))))</f>
        <v/>
      </c>
      <c r="M809" s="2" t="inlineStr">
        <is>
          <t>极紧凑-豹子号</t>
        </is>
      </c>
      <c r="N809" s="2" t="inlineStr">
        <is>
          <t>松散-极松散</t>
        </is>
      </c>
      <c r="O809" s="2" t="inlineStr">
        <is>
          <t>松散-标准松散</t>
        </is>
      </c>
      <c r="P809" s="2" t="inlineStr">
        <is>
          <t>松散-偏紧松散</t>
        </is>
      </c>
      <c r="Q809" s="2" t="inlineStr">
        <is>
          <t>标准-偏松标准</t>
        </is>
      </c>
      <c r="R809" s="2" t="inlineStr">
        <is>
          <t>标准-核心标准</t>
        </is>
      </c>
      <c r="S809" s="2" t="inlineStr">
        <is>
          <t>标准-偏紧标准</t>
        </is>
      </c>
      <c r="T809" s="2" t="inlineStr">
        <is>
          <t>紧凑-标准紧凑</t>
        </is>
      </c>
      <c r="U809" s="2" t="inlineStr">
        <is>
          <t>紧凑-高度紧凑</t>
        </is>
      </c>
      <c r="V809" s="2" t="inlineStr">
        <is>
          <t>紧凑-极度紧凑</t>
        </is>
      </c>
    </row>
    <row r="810">
      <c r="A810" s="1" t="n">
        <v>2025025</v>
      </c>
      <c r="B810" s="3" t="inlineStr">
        <is>
          <t>677</t>
        </is>
      </c>
      <c r="C810" s="2">
        <f>IF(B810="","",LEFT(TEXT(B810,"000"),1)*1)</f>
        <v/>
      </c>
      <c r="D810" s="2">
        <f>IF(B810="","",MID(TEXT(B810,"000"),2,1)*1)</f>
        <v/>
      </c>
      <c r="E810" s="2">
        <f>IF(B810="","",RIGHT(TEXT(B810,"000"),1)*1)</f>
        <v/>
      </c>
      <c r="F810" s="2">
        <f>IF(B810="","",C810+D810+E810)</f>
        <v/>
      </c>
      <c r="G810" s="2">
        <f>IF(B810="","",MOD(F810,10))</f>
        <v/>
      </c>
      <c r="H810" s="2">
        <f>IF(B810="","",MAX(C810,D810,E810)-MIN(C810,D810,E810))</f>
        <v/>
      </c>
      <c r="I810" s="2">
        <f>IF(OR(B810="",H810=0),IF(H810=0,0.1,""),ROUND(F810/H810,2))</f>
        <v/>
      </c>
      <c r="J810" s="2">
        <f>IF(I810=0.1,"极紧凑",IF(I810&gt;3.5,"紧凑",IF(AND(I810&gt;=2,I810&lt;=3.5),"标准",IF(AND(I810&gt;=1,I810&lt;2),"松散",""))))</f>
        <v/>
      </c>
      <c r="K810" s="2">
        <f>IF(I810=0.1,"极紧凑-豹子号",IF(AND(I810&gt;=1,I810&lt;=1.29),"松散-极松散",IF(AND(I810&gt;=1.33,I810&lt;=1.8),"松散-标准松散",IF(AND(I810&gt;=1.83,I810&lt;=1.89),"松散-偏紧松散",IF(AND(I810&gt;=2,I810&lt;=2.5),"标准-偏松标准",IF(AND(I810&gt;=2.57,I810&lt;=3),"标准-核心标准",IF(AND(I810&gt;=3.17,I810&lt;=3.5),"标准-偏紧标准",IF(AND(I810&gt;=3.6,I810&lt;=5),"紧凑-标准紧凑",IF(AND(I810&gt;=5.25,I810&lt;=8),"紧凑-高度紧凑",IF(I810&gt;=8.5,"紧凑-极度紧凑",""))))))))))</f>
        <v/>
      </c>
      <c r="L810" s="2">
        <f>IF(I810=0.1,"极紧凑",IF(AND(I810&gt;=1,I810&lt;=1.89),"松散",IF(AND(I810&gt;=2,I810&lt;=3.5),"标准",IF(I810&gt;=3.6,"紧凑",""))))</f>
        <v/>
      </c>
      <c r="M810" s="2" t="inlineStr">
        <is>
          <t>极紧凑-豹子号</t>
        </is>
      </c>
      <c r="N810" s="2" t="inlineStr">
        <is>
          <t>松散-极松散</t>
        </is>
      </c>
      <c r="O810" s="2" t="inlineStr">
        <is>
          <t>松散-标准松散</t>
        </is>
      </c>
      <c r="P810" s="2" t="inlineStr">
        <is>
          <t>松散-偏紧松散</t>
        </is>
      </c>
      <c r="Q810" s="2" t="inlineStr">
        <is>
          <t>标准-偏松标准</t>
        </is>
      </c>
      <c r="R810" s="2" t="inlineStr">
        <is>
          <t>标准-核心标准</t>
        </is>
      </c>
      <c r="S810" s="2" t="inlineStr">
        <is>
          <t>标准-偏紧标准</t>
        </is>
      </c>
      <c r="T810" s="2" t="inlineStr">
        <is>
          <t>紧凑-标准紧凑</t>
        </is>
      </c>
      <c r="U810" s="2" t="inlineStr">
        <is>
          <t>紧凑-高度紧凑</t>
        </is>
      </c>
      <c r="V810" s="2" t="inlineStr">
        <is>
          <t>紧凑-极度紧凑</t>
        </is>
      </c>
    </row>
    <row r="811">
      <c r="A811" s="1" t="n">
        <v>2025026</v>
      </c>
      <c r="B811" s="3" t="inlineStr">
        <is>
          <t>346</t>
        </is>
      </c>
      <c r="C811" s="2">
        <f>IF(B811="","",LEFT(TEXT(B811,"000"),1)*1)</f>
        <v/>
      </c>
      <c r="D811" s="2">
        <f>IF(B811="","",MID(TEXT(B811,"000"),2,1)*1)</f>
        <v/>
      </c>
      <c r="E811" s="2">
        <f>IF(B811="","",RIGHT(TEXT(B811,"000"),1)*1)</f>
        <v/>
      </c>
      <c r="F811" s="2">
        <f>IF(B811="","",C811+D811+E811)</f>
        <v/>
      </c>
      <c r="G811" s="2">
        <f>IF(B811="","",MOD(F811,10))</f>
        <v/>
      </c>
      <c r="H811" s="2">
        <f>IF(B811="","",MAX(C811,D811,E811)-MIN(C811,D811,E811))</f>
        <v/>
      </c>
      <c r="I811" s="2">
        <f>IF(OR(B811="",H811=0),IF(H811=0,0.1,""),ROUND(F811/H811,2))</f>
        <v/>
      </c>
      <c r="J811" s="2">
        <f>IF(I811=0.1,"极紧凑",IF(I811&gt;3.5,"紧凑",IF(AND(I811&gt;=2,I811&lt;=3.5),"标准",IF(AND(I811&gt;=1,I811&lt;2),"松散",""))))</f>
        <v/>
      </c>
      <c r="K811" s="2">
        <f>IF(I811=0.1,"极紧凑-豹子号",IF(AND(I811&gt;=1,I811&lt;=1.29),"松散-极松散",IF(AND(I811&gt;=1.33,I811&lt;=1.8),"松散-标准松散",IF(AND(I811&gt;=1.83,I811&lt;=1.89),"松散-偏紧松散",IF(AND(I811&gt;=2,I811&lt;=2.5),"标准-偏松标准",IF(AND(I811&gt;=2.57,I811&lt;=3),"标准-核心标准",IF(AND(I811&gt;=3.17,I811&lt;=3.5),"标准-偏紧标准",IF(AND(I811&gt;=3.6,I811&lt;=5),"紧凑-标准紧凑",IF(AND(I811&gt;=5.25,I811&lt;=8),"紧凑-高度紧凑",IF(I811&gt;=8.5,"紧凑-极度紧凑",""))))))))))</f>
        <v/>
      </c>
      <c r="L811" s="2">
        <f>IF(I811=0.1,"极紧凑",IF(AND(I811&gt;=1,I811&lt;=1.89),"松散",IF(AND(I811&gt;=2,I811&lt;=3.5),"标准",IF(I811&gt;=3.6,"紧凑",""))))</f>
        <v/>
      </c>
      <c r="M811" s="2" t="inlineStr">
        <is>
          <t>极紧凑-豹子号</t>
        </is>
      </c>
      <c r="N811" s="2" t="inlineStr">
        <is>
          <t>松散-极松散</t>
        </is>
      </c>
      <c r="O811" s="2" t="inlineStr">
        <is>
          <t>松散-标准松散</t>
        </is>
      </c>
      <c r="P811" s="2" t="inlineStr">
        <is>
          <t>松散-偏紧松散</t>
        </is>
      </c>
      <c r="Q811" s="2" t="inlineStr">
        <is>
          <t>标准-偏松标准</t>
        </is>
      </c>
      <c r="R811" s="2" t="inlineStr">
        <is>
          <t>标准-核心标准</t>
        </is>
      </c>
      <c r="S811" s="2" t="inlineStr">
        <is>
          <t>标准-偏紧标准</t>
        </is>
      </c>
      <c r="T811" s="2" t="inlineStr">
        <is>
          <t>紧凑-标准紧凑</t>
        </is>
      </c>
      <c r="U811" s="2" t="inlineStr">
        <is>
          <t>紧凑-高度紧凑</t>
        </is>
      </c>
      <c r="V811" s="2" t="inlineStr">
        <is>
          <t>紧凑-极度紧凑</t>
        </is>
      </c>
    </row>
    <row r="812">
      <c r="A812" s="1" t="n">
        <v>2025027</v>
      </c>
      <c r="B812" s="3" t="inlineStr">
        <is>
          <t>048</t>
        </is>
      </c>
      <c r="C812" s="2">
        <f>IF(B812="","",LEFT(TEXT(B812,"000"),1)*1)</f>
        <v/>
      </c>
      <c r="D812" s="2">
        <f>IF(B812="","",MID(TEXT(B812,"000"),2,1)*1)</f>
        <v/>
      </c>
      <c r="E812" s="2">
        <f>IF(B812="","",RIGHT(TEXT(B812,"000"),1)*1)</f>
        <v/>
      </c>
      <c r="F812" s="2">
        <f>IF(B812="","",C812+D812+E812)</f>
        <v/>
      </c>
      <c r="G812" s="2">
        <f>IF(B812="","",MOD(F812,10))</f>
        <v/>
      </c>
      <c r="H812" s="2">
        <f>IF(B812="","",MAX(C812,D812,E812)-MIN(C812,D812,E812))</f>
        <v/>
      </c>
      <c r="I812" s="2">
        <f>IF(OR(B812="",H812=0),IF(H812=0,0.1,""),ROUND(F812/H812,2))</f>
        <v/>
      </c>
      <c r="J812" s="2">
        <f>IF(I812=0.1,"极紧凑",IF(I812&gt;3.5,"紧凑",IF(AND(I812&gt;=2,I812&lt;=3.5),"标准",IF(AND(I812&gt;=1,I812&lt;2),"松散",""))))</f>
        <v/>
      </c>
      <c r="K812" s="2">
        <f>IF(I812=0.1,"极紧凑-豹子号",IF(AND(I812&gt;=1,I812&lt;=1.29),"松散-极松散",IF(AND(I812&gt;=1.33,I812&lt;=1.8),"松散-标准松散",IF(AND(I812&gt;=1.83,I812&lt;=1.89),"松散-偏紧松散",IF(AND(I812&gt;=2,I812&lt;=2.5),"标准-偏松标准",IF(AND(I812&gt;=2.57,I812&lt;=3),"标准-核心标准",IF(AND(I812&gt;=3.17,I812&lt;=3.5),"标准-偏紧标准",IF(AND(I812&gt;=3.6,I812&lt;=5),"紧凑-标准紧凑",IF(AND(I812&gt;=5.25,I812&lt;=8),"紧凑-高度紧凑",IF(I812&gt;=8.5,"紧凑-极度紧凑",""))))))))))</f>
        <v/>
      </c>
      <c r="L812" s="2">
        <f>IF(I812=0.1,"极紧凑",IF(AND(I812&gt;=1,I812&lt;=1.89),"松散",IF(AND(I812&gt;=2,I812&lt;=3.5),"标准",IF(I812&gt;=3.6,"紧凑",""))))</f>
        <v/>
      </c>
      <c r="M812" s="2" t="inlineStr">
        <is>
          <t>极紧凑-豹子号</t>
        </is>
      </c>
      <c r="N812" s="2" t="inlineStr">
        <is>
          <t>松散-极松散</t>
        </is>
      </c>
      <c r="O812" s="2" t="inlineStr">
        <is>
          <t>松散-标准松散</t>
        </is>
      </c>
      <c r="P812" s="2" t="inlineStr">
        <is>
          <t>松散-偏紧松散</t>
        </is>
      </c>
      <c r="Q812" s="2" t="inlineStr">
        <is>
          <t>标准-偏松标准</t>
        </is>
      </c>
      <c r="R812" s="2" t="inlineStr">
        <is>
          <t>标准-核心标准</t>
        </is>
      </c>
      <c r="S812" s="2" t="inlineStr">
        <is>
          <t>标准-偏紧标准</t>
        </is>
      </c>
      <c r="T812" s="2" t="inlineStr">
        <is>
          <t>紧凑-标准紧凑</t>
        </is>
      </c>
      <c r="U812" s="2" t="inlineStr">
        <is>
          <t>紧凑-高度紧凑</t>
        </is>
      </c>
      <c r="V812" s="2" t="inlineStr">
        <is>
          <t>紧凑-极度紧凑</t>
        </is>
      </c>
    </row>
    <row r="813">
      <c r="A813" s="1" t="n">
        <v>2025028</v>
      </c>
      <c r="B813" s="3" t="inlineStr">
        <is>
          <t>822</t>
        </is>
      </c>
      <c r="C813" s="2">
        <f>IF(B813="","",LEFT(TEXT(B813,"000"),1)*1)</f>
        <v/>
      </c>
      <c r="D813" s="2">
        <f>IF(B813="","",MID(TEXT(B813,"000"),2,1)*1)</f>
        <v/>
      </c>
      <c r="E813" s="2">
        <f>IF(B813="","",RIGHT(TEXT(B813,"000"),1)*1)</f>
        <v/>
      </c>
      <c r="F813" s="2">
        <f>IF(B813="","",C813+D813+E813)</f>
        <v/>
      </c>
      <c r="G813" s="2">
        <f>IF(B813="","",MOD(F813,10))</f>
        <v/>
      </c>
      <c r="H813" s="2">
        <f>IF(B813="","",MAX(C813,D813,E813)-MIN(C813,D813,E813))</f>
        <v/>
      </c>
      <c r="I813" s="2">
        <f>IF(OR(B813="",H813=0),IF(H813=0,0.1,""),ROUND(F813/H813,2))</f>
        <v/>
      </c>
      <c r="J813" s="2">
        <f>IF(I813=0.1,"极紧凑",IF(I813&gt;3.5,"紧凑",IF(AND(I813&gt;=2,I813&lt;=3.5),"标准",IF(AND(I813&gt;=1,I813&lt;2),"松散",""))))</f>
        <v/>
      </c>
      <c r="K813" s="2">
        <f>IF(I813=0.1,"极紧凑-豹子号",IF(AND(I813&gt;=1,I813&lt;=1.29),"松散-极松散",IF(AND(I813&gt;=1.33,I813&lt;=1.8),"松散-标准松散",IF(AND(I813&gt;=1.83,I813&lt;=1.89),"松散-偏紧松散",IF(AND(I813&gt;=2,I813&lt;=2.5),"标准-偏松标准",IF(AND(I813&gt;=2.57,I813&lt;=3),"标准-核心标准",IF(AND(I813&gt;=3.17,I813&lt;=3.5),"标准-偏紧标准",IF(AND(I813&gt;=3.6,I813&lt;=5),"紧凑-标准紧凑",IF(AND(I813&gt;=5.25,I813&lt;=8),"紧凑-高度紧凑",IF(I813&gt;=8.5,"紧凑-极度紧凑",""))))))))))</f>
        <v/>
      </c>
      <c r="L813" s="2">
        <f>IF(I813=0.1,"极紧凑",IF(AND(I813&gt;=1,I813&lt;=1.89),"松散",IF(AND(I813&gt;=2,I813&lt;=3.5),"标准",IF(I813&gt;=3.6,"紧凑",""))))</f>
        <v/>
      </c>
      <c r="M813" s="2" t="inlineStr">
        <is>
          <t>极紧凑-豹子号</t>
        </is>
      </c>
      <c r="N813" s="2" t="inlineStr">
        <is>
          <t>松散-极松散</t>
        </is>
      </c>
      <c r="O813" s="2" t="inlineStr">
        <is>
          <t>松散-标准松散</t>
        </is>
      </c>
      <c r="P813" s="2" t="inlineStr">
        <is>
          <t>松散-偏紧松散</t>
        </is>
      </c>
      <c r="Q813" s="2" t="inlineStr">
        <is>
          <t>标准-偏松标准</t>
        </is>
      </c>
      <c r="R813" s="2" t="inlineStr">
        <is>
          <t>标准-核心标准</t>
        </is>
      </c>
      <c r="S813" s="2" t="inlineStr">
        <is>
          <t>标准-偏紧标准</t>
        </is>
      </c>
      <c r="T813" s="2" t="inlineStr">
        <is>
          <t>紧凑-标准紧凑</t>
        </is>
      </c>
      <c r="U813" s="2" t="inlineStr">
        <is>
          <t>紧凑-高度紧凑</t>
        </is>
      </c>
      <c r="V813" s="2" t="inlineStr">
        <is>
          <t>紧凑-极度紧凑</t>
        </is>
      </c>
    </row>
    <row r="814">
      <c r="A814" s="1" t="n">
        <v>2025029</v>
      </c>
      <c r="B814" s="3" t="inlineStr">
        <is>
          <t>489</t>
        </is>
      </c>
      <c r="C814" s="2">
        <f>IF(B814="","",LEFT(TEXT(B814,"000"),1)*1)</f>
        <v/>
      </c>
      <c r="D814" s="2">
        <f>IF(B814="","",MID(TEXT(B814,"000"),2,1)*1)</f>
        <v/>
      </c>
      <c r="E814" s="2">
        <f>IF(B814="","",RIGHT(TEXT(B814,"000"),1)*1)</f>
        <v/>
      </c>
      <c r="F814" s="2">
        <f>IF(B814="","",C814+D814+E814)</f>
        <v/>
      </c>
      <c r="G814" s="2">
        <f>IF(B814="","",MOD(F814,10))</f>
        <v/>
      </c>
      <c r="H814" s="2">
        <f>IF(B814="","",MAX(C814,D814,E814)-MIN(C814,D814,E814))</f>
        <v/>
      </c>
      <c r="I814" s="2">
        <f>IF(OR(B814="",H814=0),IF(H814=0,0.1,""),ROUND(F814/H814,2))</f>
        <v/>
      </c>
      <c r="J814" s="2">
        <f>IF(I814=0.1,"极紧凑",IF(I814&gt;3.5,"紧凑",IF(AND(I814&gt;=2,I814&lt;=3.5),"标准",IF(AND(I814&gt;=1,I814&lt;2),"松散",""))))</f>
        <v/>
      </c>
      <c r="K814" s="2">
        <f>IF(I814=0.1,"极紧凑-豹子号",IF(AND(I814&gt;=1,I814&lt;=1.29),"松散-极松散",IF(AND(I814&gt;=1.33,I814&lt;=1.8),"松散-标准松散",IF(AND(I814&gt;=1.83,I814&lt;=1.89),"松散-偏紧松散",IF(AND(I814&gt;=2,I814&lt;=2.5),"标准-偏松标准",IF(AND(I814&gt;=2.57,I814&lt;=3),"标准-核心标准",IF(AND(I814&gt;=3.17,I814&lt;=3.5),"标准-偏紧标准",IF(AND(I814&gt;=3.6,I814&lt;=5),"紧凑-标准紧凑",IF(AND(I814&gt;=5.25,I814&lt;=8),"紧凑-高度紧凑",IF(I814&gt;=8.5,"紧凑-极度紧凑",""))))))))))</f>
        <v/>
      </c>
      <c r="L814" s="2">
        <f>IF(I814=0.1,"极紧凑",IF(AND(I814&gt;=1,I814&lt;=1.89),"松散",IF(AND(I814&gt;=2,I814&lt;=3.5),"标准",IF(I814&gt;=3.6,"紧凑",""))))</f>
        <v/>
      </c>
      <c r="M814" s="2" t="inlineStr">
        <is>
          <t>极紧凑-豹子号</t>
        </is>
      </c>
      <c r="N814" s="2" t="inlineStr">
        <is>
          <t>松散-极松散</t>
        </is>
      </c>
      <c r="O814" s="2" t="inlineStr">
        <is>
          <t>松散-标准松散</t>
        </is>
      </c>
      <c r="P814" s="2" t="inlineStr">
        <is>
          <t>松散-偏紧松散</t>
        </is>
      </c>
      <c r="Q814" s="2" t="inlineStr">
        <is>
          <t>标准-偏松标准</t>
        </is>
      </c>
      <c r="R814" s="2" t="inlineStr">
        <is>
          <t>标准-核心标准</t>
        </is>
      </c>
      <c r="S814" s="2" t="inlineStr">
        <is>
          <t>标准-偏紧标准</t>
        </is>
      </c>
      <c r="T814" s="2" t="inlineStr">
        <is>
          <t>紧凑-标准紧凑</t>
        </is>
      </c>
      <c r="U814" s="2" t="inlineStr">
        <is>
          <t>紧凑-高度紧凑</t>
        </is>
      </c>
      <c r="V814" s="2" t="inlineStr">
        <is>
          <t>紧凑-极度紧凑</t>
        </is>
      </c>
    </row>
    <row r="815">
      <c r="A815" s="1" t="n">
        <v>2025030</v>
      </c>
      <c r="B815" s="3" t="inlineStr">
        <is>
          <t>297</t>
        </is>
      </c>
      <c r="C815" s="2">
        <f>IF(B815="","",LEFT(TEXT(B815,"000"),1)*1)</f>
        <v/>
      </c>
      <c r="D815" s="2">
        <f>IF(B815="","",MID(TEXT(B815,"000"),2,1)*1)</f>
        <v/>
      </c>
      <c r="E815" s="2">
        <f>IF(B815="","",RIGHT(TEXT(B815,"000"),1)*1)</f>
        <v/>
      </c>
      <c r="F815" s="2">
        <f>IF(B815="","",C815+D815+E815)</f>
        <v/>
      </c>
      <c r="G815" s="2">
        <f>IF(B815="","",MOD(F815,10))</f>
        <v/>
      </c>
      <c r="H815" s="2">
        <f>IF(B815="","",MAX(C815,D815,E815)-MIN(C815,D815,E815))</f>
        <v/>
      </c>
      <c r="I815" s="2">
        <f>IF(OR(B815="",H815=0),IF(H815=0,0.1,""),ROUND(F815/H815,2))</f>
        <v/>
      </c>
      <c r="J815" s="2">
        <f>IF(I815=0.1,"极紧凑",IF(I815&gt;3.5,"紧凑",IF(AND(I815&gt;=2,I815&lt;=3.5),"标准",IF(AND(I815&gt;=1,I815&lt;2),"松散",""))))</f>
        <v/>
      </c>
      <c r="K815" s="2">
        <f>IF(I815=0.1,"极紧凑-豹子号",IF(AND(I815&gt;=1,I815&lt;=1.29),"松散-极松散",IF(AND(I815&gt;=1.33,I815&lt;=1.8),"松散-标准松散",IF(AND(I815&gt;=1.83,I815&lt;=1.89),"松散-偏紧松散",IF(AND(I815&gt;=2,I815&lt;=2.5),"标准-偏松标准",IF(AND(I815&gt;=2.57,I815&lt;=3),"标准-核心标准",IF(AND(I815&gt;=3.17,I815&lt;=3.5),"标准-偏紧标准",IF(AND(I815&gt;=3.6,I815&lt;=5),"紧凑-标准紧凑",IF(AND(I815&gt;=5.25,I815&lt;=8),"紧凑-高度紧凑",IF(I815&gt;=8.5,"紧凑-极度紧凑",""))))))))))</f>
        <v/>
      </c>
      <c r="L815" s="2">
        <f>IF(I815=0.1,"极紧凑",IF(AND(I815&gt;=1,I815&lt;=1.89),"松散",IF(AND(I815&gt;=2,I815&lt;=3.5),"标准",IF(I815&gt;=3.6,"紧凑",""))))</f>
        <v/>
      </c>
      <c r="M815" s="2" t="inlineStr">
        <is>
          <t>极紧凑-豹子号</t>
        </is>
      </c>
      <c r="N815" s="2" t="inlineStr">
        <is>
          <t>松散-极松散</t>
        </is>
      </c>
      <c r="O815" s="2" t="inlineStr">
        <is>
          <t>松散-标准松散</t>
        </is>
      </c>
      <c r="P815" s="2" t="inlineStr">
        <is>
          <t>松散-偏紧松散</t>
        </is>
      </c>
      <c r="Q815" s="2" t="inlineStr">
        <is>
          <t>标准-偏松标准</t>
        </is>
      </c>
      <c r="R815" s="2" t="inlineStr">
        <is>
          <t>标准-核心标准</t>
        </is>
      </c>
      <c r="S815" s="2" t="inlineStr">
        <is>
          <t>标准-偏紧标准</t>
        </is>
      </c>
      <c r="T815" s="2" t="inlineStr">
        <is>
          <t>紧凑-标准紧凑</t>
        </is>
      </c>
      <c r="U815" s="2" t="inlineStr">
        <is>
          <t>紧凑-高度紧凑</t>
        </is>
      </c>
      <c r="V815" s="2" t="inlineStr">
        <is>
          <t>紧凑-极度紧凑</t>
        </is>
      </c>
    </row>
    <row r="816">
      <c r="A816" s="1" t="n">
        <v>2025031</v>
      </c>
      <c r="B816" s="3" t="inlineStr">
        <is>
          <t>513</t>
        </is>
      </c>
      <c r="C816" s="2">
        <f>IF(B816="","",LEFT(TEXT(B816,"000"),1)*1)</f>
        <v/>
      </c>
      <c r="D816" s="2">
        <f>IF(B816="","",MID(TEXT(B816,"000"),2,1)*1)</f>
        <v/>
      </c>
      <c r="E816" s="2">
        <f>IF(B816="","",RIGHT(TEXT(B816,"000"),1)*1)</f>
        <v/>
      </c>
      <c r="F816" s="2">
        <f>IF(B816="","",C816+D816+E816)</f>
        <v/>
      </c>
      <c r="G816" s="2">
        <f>IF(B816="","",MOD(F816,10))</f>
        <v/>
      </c>
      <c r="H816" s="2">
        <f>IF(B816="","",MAX(C816,D816,E816)-MIN(C816,D816,E816))</f>
        <v/>
      </c>
      <c r="I816" s="2">
        <f>IF(OR(B816="",H816=0),IF(H816=0,0.1,""),ROUND(F816/H816,2))</f>
        <v/>
      </c>
      <c r="J816" s="2">
        <f>IF(I816=0.1,"极紧凑",IF(I816&gt;3.5,"紧凑",IF(AND(I816&gt;=2,I816&lt;=3.5),"标准",IF(AND(I816&gt;=1,I816&lt;2),"松散",""))))</f>
        <v/>
      </c>
      <c r="K816" s="2">
        <f>IF(I816=0.1,"极紧凑-豹子号",IF(AND(I816&gt;=1,I816&lt;=1.29),"松散-极松散",IF(AND(I816&gt;=1.33,I816&lt;=1.8),"松散-标准松散",IF(AND(I816&gt;=1.83,I816&lt;=1.89),"松散-偏紧松散",IF(AND(I816&gt;=2,I816&lt;=2.5),"标准-偏松标准",IF(AND(I816&gt;=2.57,I816&lt;=3),"标准-核心标准",IF(AND(I816&gt;=3.17,I816&lt;=3.5),"标准-偏紧标准",IF(AND(I816&gt;=3.6,I816&lt;=5),"紧凑-标准紧凑",IF(AND(I816&gt;=5.25,I816&lt;=8),"紧凑-高度紧凑",IF(I816&gt;=8.5,"紧凑-极度紧凑",""))))))))))</f>
        <v/>
      </c>
      <c r="L816" s="2">
        <f>IF(I816=0.1,"极紧凑",IF(AND(I816&gt;=1,I816&lt;=1.89),"松散",IF(AND(I816&gt;=2,I816&lt;=3.5),"标准",IF(I816&gt;=3.6,"紧凑",""))))</f>
        <v/>
      </c>
      <c r="M816" s="2" t="inlineStr">
        <is>
          <t>极紧凑-豹子号</t>
        </is>
      </c>
      <c r="N816" s="2" t="inlineStr">
        <is>
          <t>松散-极松散</t>
        </is>
      </c>
      <c r="O816" s="2" t="inlineStr">
        <is>
          <t>松散-标准松散</t>
        </is>
      </c>
      <c r="P816" s="2" t="inlineStr">
        <is>
          <t>松散-偏紧松散</t>
        </is>
      </c>
      <c r="Q816" s="2" t="inlineStr">
        <is>
          <t>标准-偏松标准</t>
        </is>
      </c>
      <c r="R816" s="2" t="inlineStr">
        <is>
          <t>标准-核心标准</t>
        </is>
      </c>
      <c r="S816" s="2" t="inlineStr">
        <is>
          <t>标准-偏紧标准</t>
        </is>
      </c>
      <c r="T816" s="2" t="inlineStr">
        <is>
          <t>紧凑-标准紧凑</t>
        </is>
      </c>
      <c r="U816" s="2" t="inlineStr">
        <is>
          <t>紧凑-高度紧凑</t>
        </is>
      </c>
      <c r="V816" s="2" t="inlineStr">
        <is>
          <t>紧凑-极度紧凑</t>
        </is>
      </c>
    </row>
    <row r="817">
      <c r="A817" s="1" t="n">
        <v>2025032</v>
      </c>
      <c r="B817" s="3" t="inlineStr">
        <is>
          <t>392</t>
        </is>
      </c>
      <c r="C817" s="2">
        <f>IF(B817="","",LEFT(TEXT(B817,"000"),1)*1)</f>
        <v/>
      </c>
      <c r="D817" s="2">
        <f>IF(B817="","",MID(TEXT(B817,"000"),2,1)*1)</f>
        <v/>
      </c>
      <c r="E817" s="2">
        <f>IF(B817="","",RIGHT(TEXT(B817,"000"),1)*1)</f>
        <v/>
      </c>
      <c r="F817" s="2">
        <f>IF(B817="","",C817+D817+E817)</f>
        <v/>
      </c>
      <c r="G817" s="2">
        <f>IF(B817="","",MOD(F817,10))</f>
        <v/>
      </c>
      <c r="H817" s="2">
        <f>IF(B817="","",MAX(C817,D817,E817)-MIN(C817,D817,E817))</f>
        <v/>
      </c>
      <c r="I817" s="2">
        <f>IF(OR(B817="",H817=0),IF(H817=0,0.1,""),ROUND(F817/H817,2))</f>
        <v/>
      </c>
      <c r="J817" s="2">
        <f>IF(I817=0.1,"极紧凑",IF(I817&gt;3.5,"紧凑",IF(AND(I817&gt;=2,I817&lt;=3.5),"标准",IF(AND(I817&gt;=1,I817&lt;2),"松散",""))))</f>
        <v/>
      </c>
      <c r="K817" s="2">
        <f>IF(I817=0.1,"极紧凑-豹子号",IF(AND(I817&gt;=1,I817&lt;=1.29),"松散-极松散",IF(AND(I817&gt;=1.33,I817&lt;=1.8),"松散-标准松散",IF(AND(I817&gt;=1.83,I817&lt;=1.89),"松散-偏紧松散",IF(AND(I817&gt;=2,I817&lt;=2.5),"标准-偏松标准",IF(AND(I817&gt;=2.57,I817&lt;=3),"标准-核心标准",IF(AND(I817&gt;=3.17,I817&lt;=3.5),"标准-偏紧标准",IF(AND(I817&gt;=3.6,I817&lt;=5),"紧凑-标准紧凑",IF(AND(I817&gt;=5.25,I817&lt;=8),"紧凑-高度紧凑",IF(I817&gt;=8.5,"紧凑-极度紧凑",""))))))))))</f>
        <v/>
      </c>
      <c r="L817" s="2">
        <f>IF(I817=0.1,"极紧凑",IF(AND(I817&gt;=1,I817&lt;=1.89),"松散",IF(AND(I817&gt;=2,I817&lt;=3.5),"标准",IF(I817&gt;=3.6,"紧凑",""))))</f>
        <v/>
      </c>
      <c r="M817" s="2" t="inlineStr">
        <is>
          <t>极紧凑-豹子号</t>
        </is>
      </c>
      <c r="N817" s="2" t="inlineStr">
        <is>
          <t>松散-极松散</t>
        </is>
      </c>
      <c r="O817" s="2" t="inlineStr">
        <is>
          <t>松散-标准松散</t>
        </is>
      </c>
      <c r="P817" s="2" t="inlineStr">
        <is>
          <t>松散-偏紧松散</t>
        </is>
      </c>
      <c r="Q817" s="2" t="inlineStr">
        <is>
          <t>标准-偏松标准</t>
        </is>
      </c>
      <c r="R817" s="2" t="inlineStr">
        <is>
          <t>标准-核心标准</t>
        </is>
      </c>
      <c r="S817" s="2" t="inlineStr">
        <is>
          <t>标准-偏紧标准</t>
        </is>
      </c>
      <c r="T817" s="2" t="inlineStr">
        <is>
          <t>紧凑-标准紧凑</t>
        </is>
      </c>
      <c r="U817" s="2" t="inlineStr">
        <is>
          <t>紧凑-高度紧凑</t>
        </is>
      </c>
      <c r="V817" s="2" t="inlineStr">
        <is>
          <t>紧凑-极度紧凑</t>
        </is>
      </c>
    </row>
    <row r="818">
      <c r="A818" s="1" t="n">
        <v>2025033</v>
      </c>
      <c r="B818" s="3" t="inlineStr">
        <is>
          <t>934</t>
        </is>
      </c>
      <c r="C818" s="2">
        <f>IF(B818="","",LEFT(TEXT(B818,"000"),1)*1)</f>
        <v/>
      </c>
      <c r="D818" s="2">
        <f>IF(B818="","",MID(TEXT(B818,"000"),2,1)*1)</f>
        <v/>
      </c>
      <c r="E818" s="2">
        <f>IF(B818="","",RIGHT(TEXT(B818,"000"),1)*1)</f>
        <v/>
      </c>
      <c r="F818" s="2">
        <f>IF(B818="","",C818+D818+E818)</f>
        <v/>
      </c>
      <c r="G818" s="2">
        <f>IF(B818="","",MOD(F818,10))</f>
        <v/>
      </c>
      <c r="H818" s="2">
        <f>IF(B818="","",MAX(C818,D818,E818)-MIN(C818,D818,E818))</f>
        <v/>
      </c>
      <c r="I818" s="2">
        <f>IF(OR(B818="",H818=0),IF(H818=0,0.1,""),ROUND(F818/H818,2))</f>
        <v/>
      </c>
      <c r="J818" s="2">
        <f>IF(I818=0.1,"极紧凑",IF(I818&gt;3.5,"紧凑",IF(AND(I818&gt;=2,I818&lt;=3.5),"标准",IF(AND(I818&gt;=1,I818&lt;2),"松散",""))))</f>
        <v/>
      </c>
      <c r="K818" s="2">
        <f>IF(I818=0.1,"极紧凑-豹子号",IF(AND(I818&gt;=1,I818&lt;=1.29),"松散-极松散",IF(AND(I818&gt;=1.33,I818&lt;=1.8),"松散-标准松散",IF(AND(I818&gt;=1.83,I818&lt;=1.89),"松散-偏紧松散",IF(AND(I818&gt;=2,I818&lt;=2.5),"标准-偏松标准",IF(AND(I818&gt;=2.57,I818&lt;=3),"标准-核心标准",IF(AND(I818&gt;=3.17,I818&lt;=3.5),"标准-偏紧标准",IF(AND(I818&gt;=3.6,I818&lt;=5),"紧凑-标准紧凑",IF(AND(I818&gt;=5.25,I818&lt;=8),"紧凑-高度紧凑",IF(I818&gt;=8.5,"紧凑-极度紧凑",""))))))))))</f>
        <v/>
      </c>
      <c r="L818" s="2">
        <f>IF(I818=0.1,"极紧凑",IF(AND(I818&gt;=1,I818&lt;=1.89),"松散",IF(AND(I818&gt;=2,I818&lt;=3.5),"标准",IF(I818&gt;=3.6,"紧凑",""))))</f>
        <v/>
      </c>
      <c r="M818" s="2" t="inlineStr">
        <is>
          <t>极紧凑-豹子号</t>
        </is>
      </c>
      <c r="N818" s="2" t="inlineStr">
        <is>
          <t>松散-极松散</t>
        </is>
      </c>
      <c r="O818" s="2" t="inlineStr">
        <is>
          <t>松散-标准松散</t>
        </is>
      </c>
      <c r="P818" s="2" t="inlineStr">
        <is>
          <t>松散-偏紧松散</t>
        </is>
      </c>
      <c r="Q818" s="2" t="inlineStr">
        <is>
          <t>标准-偏松标准</t>
        </is>
      </c>
      <c r="R818" s="2" t="inlineStr">
        <is>
          <t>标准-核心标准</t>
        </is>
      </c>
      <c r="S818" s="2" t="inlineStr">
        <is>
          <t>标准-偏紧标准</t>
        </is>
      </c>
      <c r="T818" s="2" t="inlineStr">
        <is>
          <t>紧凑-标准紧凑</t>
        </is>
      </c>
      <c r="U818" s="2" t="inlineStr">
        <is>
          <t>紧凑-高度紧凑</t>
        </is>
      </c>
      <c r="V818" s="2" t="inlineStr">
        <is>
          <t>紧凑-极度紧凑</t>
        </is>
      </c>
    </row>
    <row r="819">
      <c r="A819" s="1" t="n">
        <v>2025034</v>
      </c>
      <c r="B819" s="3" t="inlineStr">
        <is>
          <t>309</t>
        </is>
      </c>
      <c r="C819" s="2">
        <f>IF(B819="","",LEFT(TEXT(B819,"000"),1)*1)</f>
        <v/>
      </c>
      <c r="D819" s="2">
        <f>IF(B819="","",MID(TEXT(B819,"000"),2,1)*1)</f>
        <v/>
      </c>
      <c r="E819" s="2">
        <f>IF(B819="","",RIGHT(TEXT(B819,"000"),1)*1)</f>
        <v/>
      </c>
      <c r="F819" s="2">
        <f>IF(B819="","",C819+D819+E819)</f>
        <v/>
      </c>
      <c r="G819" s="2">
        <f>IF(B819="","",MOD(F819,10))</f>
        <v/>
      </c>
      <c r="H819" s="2">
        <f>IF(B819="","",MAX(C819,D819,E819)-MIN(C819,D819,E819))</f>
        <v/>
      </c>
      <c r="I819" s="2">
        <f>IF(OR(B819="",H819=0),IF(H819=0,0.1,""),ROUND(F819/H819,2))</f>
        <v/>
      </c>
      <c r="J819" s="2">
        <f>IF(I819=0.1,"极紧凑",IF(I819&gt;3.5,"紧凑",IF(AND(I819&gt;=2,I819&lt;=3.5),"标准",IF(AND(I819&gt;=1,I819&lt;2),"松散",""))))</f>
        <v/>
      </c>
      <c r="K819" s="2">
        <f>IF(I819=0.1,"极紧凑-豹子号",IF(AND(I819&gt;=1,I819&lt;=1.29),"松散-极松散",IF(AND(I819&gt;=1.33,I819&lt;=1.8),"松散-标准松散",IF(AND(I819&gt;=1.83,I819&lt;=1.89),"松散-偏紧松散",IF(AND(I819&gt;=2,I819&lt;=2.5),"标准-偏松标准",IF(AND(I819&gt;=2.57,I819&lt;=3),"标准-核心标准",IF(AND(I819&gt;=3.17,I819&lt;=3.5),"标准-偏紧标准",IF(AND(I819&gt;=3.6,I819&lt;=5),"紧凑-标准紧凑",IF(AND(I819&gt;=5.25,I819&lt;=8),"紧凑-高度紧凑",IF(I819&gt;=8.5,"紧凑-极度紧凑",""))))))))))</f>
        <v/>
      </c>
      <c r="L819" s="2">
        <f>IF(I819=0.1,"极紧凑",IF(AND(I819&gt;=1,I819&lt;=1.89),"松散",IF(AND(I819&gt;=2,I819&lt;=3.5),"标准",IF(I819&gt;=3.6,"紧凑",""))))</f>
        <v/>
      </c>
      <c r="M819" s="2" t="inlineStr">
        <is>
          <t>极紧凑-豹子号</t>
        </is>
      </c>
      <c r="N819" s="2" t="inlineStr">
        <is>
          <t>松散-极松散</t>
        </is>
      </c>
      <c r="O819" s="2" t="inlineStr">
        <is>
          <t>松散-标准松散</t>
        </is>
      </c>
      <c r="P819" s="2" t="inlineStr">
        <is>
          <t>松散-偏紧松散</t>
        </is>
      </c>
      <c r="Q819" s="2" t="inlineStr">
        <is>
          <t>标准-偏松标准</t>
        </is>
      </c>
      <c r="R819" s="2" t="inlineStr">
        <is>
          <t>标准-核心标准</t>
        </is>
      </c>
      <c r="S819" s="2" t="inlineStr">
        <is>
          <t>标准-偏紧标准</t>
        </is>
      </c>
      <c r="T819" s="2" t="inlineStr">
        <is>
          <t>紧凑-标准紧凑</t>
        </is>
      </c>
      <c r="U819" s="2" t="inlineStr">
        <is>
          <t>紧凑-高度紧凑</t>
        </is>
      </c>
      <c r="V819" s="2" t="inlineStr">
        <is>
          <t>紧凑-极度紧凑</t>
        </is>
      </c>
    </row>
    <row r="820">
      <c r="A820" s="1" t="n">
        <v>2025035</v>
      </c>
      <c r="B820" s="3" t="inlineStr">
        <is>
          <t>849</t>
        </is>
      </c>
      <c r="C820" s="2">
        <f>IF(B820="","",LEFT(TEXT(B820,"000"),1)*1)</f>
        <v/>
      </c>
      <c r="D820" s="2">
        <f>IF(B820="","",MID(TEXT(B820,"000"),2,1)*1)</f>
        <v/>
      </c>
      <c r="E820" s="2">
        <f>IF(B820="","",RIGHT(TEXT(B820,"000"),1)*1)</f>
        <v/>
      </c>
      <c r="F820" s="2">
        <f>IF(B820="","",C820+D820+E820)</f>
        <v/>
      </c>
      <c r="G820" s="2">
        <f>IF(B820="","",MOD(F820,10))</f>
        <v/>
      </c>
      <c r="H820" s="2">
        <f>IF(B820="","",MAX(C820,D820,E820)-MIN(C820,D820,E820))</f>
        <v/>
      </c>
      <c r="I820" s="2">
        <f>IF(OR(B820="",H820=0),IF(H820=0,0.1,""),ROUND(F820/H820,2))</f>
        <v/>
      </c>
      <c r="J820" s="2">
        <f>IF(I820=0.1,"极紧凑",IF(I820&gt;3.5,"紧凑",IF(AND(I820&gt;=2,I820&lt;=3.5),"标准",IF(AND(I820&gt;=1,I820&lt;2),"松散",""))))</f>
        <v/>
      </c>
      <c r="K820" s="2">
        <f>IF(I820=0.1,"极紧凑-豹子号",IF(AND(I820&gt;=1,I820&lt;=1.29),"松散-极松散",IF(AND(I820&gt;=1.33,I820&lt;=1.8),"松散-标准松散",IF(AND(I820&gt;=1.83,I820&lt;=1.89),"松散-偏紧松散",IF(AND(I820&gt;=2,I820&lt;=2.5),"标准-偏松标准",IF(AND(I820&gt;=2.57,I820&lt;=3),"标准-核心标准",IF(AND(I820&gt;=3.17,I820&lt;=3.5),"标准-偏紧标准",IF(AND(I820&gt;=3.6,I820&lt;=5),"紧凑-标准紧凑",IF(AND(I820&gt;=5.25,I820&lt;=8),"紧凑-高度紧凑",IF(I820&gt;=8.5,"紧凑-极度紧凑",""))))))))))</f>
        <v/>
      </c>
      <c r="L820" s="2">
        <f>IF(I820=0.1,"极紧凑",IF(AND(I820&gt;=1,I820&lt;=1.89),"松散",IF(AND(I820&gt;=2,I820&lt;=3.5),"标准",IF(I820&gt;=3.6,"紧凑",""))))</f>
        <v/>
      </c>
      <c r="M820" s="2" t="inlineStr">
        <is>
          <t>极紧凑-豹子号</t>
        </is>
      </c>
      <c r="N820" s="2" t="inlineStr">
        <is>
          <t>松散-极松散</t>
        </is>
      </c>
      <c r="O820" s="2" t="inlineStr">
        <is>
          <t>松散-标准松散</t>
        </is>
      </c>
      <c r="P820" s="2" t="inlineStr">
        <is>
          <t>松散-偏紧松散</t>
        </is>
      </c>
      <c r="Q820" s="2" t="inlineStr">
        <is>
          <t>标准-偏松标准</t>
        </is>
      </c>
      <c r="R820" s="2" t="inlineStr">
        <is>
          <t>标准-核心标准</t>
        </is>
      </c>
      <c r="S820" s="2" t="inlineStr">
        <is>
          <t>标准-偏紧标准</t>
        </is>
      </c>
      <c r="T820" s="2" t="inlineStr">
        <is>
          <t>紧凑-标准紧凑</t>
        </is>
      </c>
      <c r="U820" s="2" t="inlineStr">
        <is>
          <t>紧凑-高度紧凑</t>
        </is>
      </c>
      <c r="V820" s="2" t="inlineStr">
        <is>
          <t>紧凑-极度紧凑</t>
        </is>
      </c>
    </row>
    <row r="821">
      <c r="A821" s="1" t="n">
        <v>2025036</v>
      </c>
      <c r="B821" s="3" t="inlineStr">
        <is>
          <t>521</t>
        </is>
      </c>
      <c r="C821" s="2">
        <f>IF(B821="","",LEFT(TEXT(B821,"000"),1)*1)</f>
        <v/>
      </c>
      <c r="D821" s="2">
        <f>IF(B821="","",MID(TEXT(B821,"000"),2,1)*1)</f>
        <v/>
      </c>
      <c r="E821" s="2">
        <f>IF(B821="","",RIGHT(TEXT(B821,"000"),1)*1)</f>
        <v/>
      </c>
      <c r="F821" s="2">
        <f>IF(B821="","",C821+D821+E821)</f>
        <v/>
      </c>
      <c r="G821" s="2">
        <f>IF(B821="","",MOD(F821,10))</f>
        <v/>
      </c>
      <c r="H821" s="2">
        <f>IF(B821="","",MAX(C821,D821,E821)-MIN(C821,D821,E821))</f>
        <v/>
      </c>
      <c r="I821" s="2">
        <f>IF(OR(B821="",H821=0),IF(H821=0,0.1,""),ROUND(F821/H821,2))</f>
        <v/>
      </c>
      <c r="J821" s="2">
        <f>IF(I821=0.1,"极紧凑",IF(I821&gt;3.5,"紧凑",IF(AND(I821&gt;=2,I821&lt;=3.5),"标准",IF(AND(I821&gt;=1,I821&lt;2),"松散",""))))</f>
        <v/>
      </c>
      <c r="K821" s="2">
        <f>IF(I821=0.1,"极紧凑-豹子号",IF(AND(I821&gt;=1,I821&lt;=1.29),"松散-极松散",IF(AND(I821&gt;=1.33,I821&lt;=1.8),"松散-标准松散",IF(AND(I821&gt;=1.83,I821&lt;=1.89),"松散-偏紧松散",IF(AND(I821&gt;=2,I821&lt;=2.5),"标准-偏松标准",IF(AND(I821&gt;=2.57,I821&lt;=3),"标准-核心标准",IF(AND(I821&gt;=3.17,I821&lt;=3.5),"标准-偏紧标准",IF(AND(I821&gt;=3.6,I821&lt;=5),"紧凑-标准紧凑",IF(AND(I821&gt;=5.25,I821&lt;=8),"紧凑-高度紧凑",IF(I821&gt;=8.5,"紧凑-极度紧凑",""))))))))))</f>
        <v/>
      </c>
      <c r="L821" s="2">
        <f>IF(I821=0.1,"极紧凑",IF(AND(I821&gt;=1,I821&lt;=1.89),"松散",IF(AND(I821&gt;=2,I821&lt;=3.5),"标准",IF(I821&gt;=3.6,"紧凑",""))))</f>
        <v/>
      </c>
      <c r="M821" s="2" t="inlineStr">
        <is>
          <t>极紧凑-豹子号</t>
        </is>
      </c>
      <c r="N821" s="2" t="inlineStr">
        <is>
          <t>松散-极松散</t>
        </is>
      </c>
      <c r="O821" s="2" t="inlineStr">
        <is>
          <t>松散-标准松散</t>
        </is>
      </c>
      <c r="P821" s="2" t="inlineStr">
        <is>
          <t>松散-偏紧松散</t>
        </is>
      </c>
      <c r="Q821" s="2" t="inlineStr">
        <is>
          <t>标准-偏松标准</t>
        </is>
      </c>
      <c r="R821" s="2" t="inlineStr">
        <is>
          <t>标准-核心标准</t>
        </is>
      </c>
      <c r="S821" s="2" t="inlineStr">
        <is>
          <t>标准-偏紧标准</t>
        </is>
      </c>
      <c r="T821" s="2" t="inlineStr">
        <is>
          <t>紧凑-标准紧凑</t>
        </is>
      </c>
      <c r="U821" s="2" t="inlineStr">
        <is>
          <t>紧凑-高度紧凑</t>
        </is>
      </c>
      <c r="V821" s="2" t="inlineStr">
        <is>
          <t>紧凑-极度紧凑</t>
        </is>
      </c>
    </row>
    <row r="822">
      <c r="A822" s="1" t="n">
        <v>2025037</v>
      </c>
      <c r="B822" s="3" t="inlineStr">
        <is>
          <t>578</t>
        </is>
      </c>
      <c r="C822" s="2">
        <f>IF(B822="","",LEFT(TEXT(B822,"000"),1)*1)</f>
        <v/>
      </c>
      <c r="D822" s="2">
        <f>IF(B822="","",MID(TEXT(B822,"000"),2,1)*1)</f>
        <v/>
      </c>
      <c r="E822" s="2">
        <f>IF(B822="","",RIGHT(TEXT(B822,"000"),1)*1)</f>
        <v/>
      </c>
      <c r="F822" s="2">
        <f>IF(B822="","",C822+D822+E822)</f>
        <v/>
      </c>
      <c r="G822" s="2">
        <f>IF(B822="","",MOD(F822,10))</f>
        <v/>
      </c>
      <c r="H822" s="2">
        <f>IF(B822="","",MAX(C822,D822,E822)-MIN(C822,D822,E822))</f>
        <v/>
      </c>
      <c r="I822" s="2">
        <f>IF(OR(B822="",H822=0),IF(H822=0,0.1,""),ROUND(F822/H822,2))</f>
        <v/>
      </c>
      <c r="J822" s="2">
        <f>IF(I822=0.1,"极紧凑",IF(I822&gt;3.5,"紧凑",IF(AND(I822&gt;=2,I822&lt;=3.5),"标准",IF(AND(I822&gt;=1,I822&lt;2),"松散",""))))</f>
        <v/>
      </c>
      <c r="K822" s="2">
        <f>IF(I822=0.1,"极紧凑-豹子号",IF(AND(I822&gt;=1,I822&lt;=1.29),"松散-极松散",IF(AND(I822&gt;=1.33,I822&lt;=1.8),"松散-标准松散",IF(AND(I822&gt;=1.83,I822&lt;=1.89),"松散-偏紧松散",IF(AND(I822&gt;=2,I822&lt;=2.5),"标准-偏松标准",IF(AND(I822&gt;=2.57,I822&lt;=3),"标准-核心标准",IF(AND(I822&gt;=3.17,I822&lt;=3.5),"标准-偏紧标准",IF(AND(I822&gt;=3.6,I822&lt;=5),"紧凑-标准紧凑",IF(AND(I822&gt;=5.25,I822&lt;=8),"紧凑-高度紧凑",IF(I822&gt;=8.5,"紧凑-极度紧凑",""))))))))))</f>
        <v/>
      </c>
      <c r="L822" s="2">
        <f>IF(I822=0.1,"极紧凑",IF(AND(I822&gt;=1,I822&lt;=1.89),"松散",IF(AND(I822&gt;=2,I822&lt;=3.5),"标准",IF(I822&gt;=3.6,"紧凑",""))))</f>
        <v/>
      </c>
      <c r="M822" s="2" t="inlineStr">
        <is>
          <t>极紧凑-豹子号</t>
        </is>
      </c>
      <c r="N822" s="2" t="inlineStr">
        <is>
          <t>松散-极松散</t>
        </is>
      </c>
      <c r="O822" s="2" t="inlineStr">
        <is>
          <t>松散-标准松散</t>
        </is>
      </c>
      <c r="P822" s="2" t="inlineStr">
        <is>
          <t>松散-偏紧松散</t>
        </is>
      </c>
      <c r="Q822" s="2" t="inlineStr">
        <is>
          <t>标准-偏松标准</t>
        </is>
      </c>
      <c r="R822" s="2" t="inlineStr">
        <is>
          <t>标准-核心标准</t>
        </is>
      </c>
      <c r="S822" s="2" t="inlineStr">
        <is>
          <t>标准-偏紧标准</t>
        </is>
      </c>
      <c r="T822" s="2" t="inlineStr">
        <is>
          <t>紧凑-标准紧凑</t>
        </is>
      </c>
      <c r="U822" s="2" t="inlineStr">
        <is>
          <t>紧凑-高度紧凑</t>
        </is>
      </c>
      <c r="V822" s="2" t="inlineStr">
        <is>
          <t>紧凑-极度紧凑</t>
        </is>
      </c>
    </row>
    <row r="823">
      <c r="A823" s="1" t="n">
        <v>2025038</v>
      </c>
      <c r="B823" s="3" t="inlineStr">
        <is>
          <t>366</t>
        </is>
      </c>
      <c r="C823" s="2">
        <f>IF(B823="","",LEFT(TEXT(B823,"000"),1)*1)</f>
        <v/>
      </c>
      <c r="D823" s="2">
        <f>IF(B823="","",MID(TEXT(B823,"000"),2,1)*1)</f>
        <v/>
      </c>
      <c r="E823" s="2">
        <f>IF(B823="","",RIGHT(TEXT(B823,"000"),1)*1)</f>
        <v/>
      </c>
      <c r="F823" s="2">
        <f>IF(B823="","",C823+D823+E823)</f>
        <v/>
      </c>
      <c r="G823" s="2">
        <f>IF(B823="","",MOD(F823,10))</f>
        <v/>
      </c>
      <c r="H823" s="2">
        <f>IF(B823="","",MAX(C823,D823,E823)-MIN(C823,D823,E823))</f>
        <v/>
      </c>
      <c r="I823" s="2">
        <f>IF(OR(B823="",H823=0),IF(H823=0,0.1,""),ROUND(F823/H823,2))</f>
        <v/>
      </c>
      <c r="J823" s="2">
        <f>IF(I823=0.1,"极紧凑",IF(I823&gt;3.5,"紧凑",IF(AND(I823&gt;=2,I823&lt;=3.5),"标准",IF(AND(I823&gt;=1,I823&lt;2),"松散",""))))</f>
        <v/>
      </c>
      <c r="K823" s="2">
        <f>IF(I823=0.1,"极紧凑-豹子号",IF(AND(I823&gt;=1,I823&lt;=1.29),"松散-极松散",IF(AND(I823&gt;=1.33,I823&lt;=1.8),"松散-标准松散",IF(AND(I823&gt;=1.83,I823&lt;=1.89),"松散-偏紧松散",IF(AND(I823&gt;=2,I823&lt;=2.5),"标准-偏松标准",IF(AND(I823&gt;=2.57,I823&lt;=3),"标准-核心标准",IF(AND(I823&gt;=3.17,I823&lt;=3.5),"标准-偏紧标准",IF(AND(I823&gt;=3.6,I823&lt;=5),"紧凑-标准紧凑",IF(AND(I823&gt;=5.25,I823&lt;=8),"紧凑-高度紧凑",IF(I823&gt;=8.5,"紧凑-极度紧凑",""))))))))))</f>
        <v/>
      </c>
      <c r="L823" s="2">
        <f>IF(I823=0.1,"极紧凑",IF(AND(I823&gt;=1,I823&lt;=1.89),"松散",IF(AND(I823&gt;=2,I823&lt;=3.5),"标准",IF(I823&gt;=3.6,"紧凑",""))))</f>
        <v/>
      </c>
      <c r="M823" s="2" t="inlineStr">
        <is>
          <t>极紧凑-豹子号</t>
        </is>
      </c>
      <c r="N823" s="2" t="inlineStr">
        <is>
          <t>松散-极松散</t>
        </is>
      </c>
      <c r="O823" s="2" t="inlineStr">
        <is>
          <t>松散-标准松散</t>
        </is>
      </c>
      <c r="P823" s="2" t="inlineStr">
        <is>
          <t>松散-偏紧松散</t>
        </is>
      </c>
      <c r="Q823" s="2" t="inlineStr">
        <is>
          <t>标准-偏松标准</t>
        </is>
      </c>
      <c r="R823" s="2" t="inlineStr">
        <is>
          <t>标准-核心标准</t>
        </is>
      </c>
      <c r="S823" s="2" t="inlineStr">
        <is>
          <t>标准-偏紧标准</t>
        </is>
      </c>
      <c r="T823" s="2" t="inlineStr">
        <is>
          <t>紧凑-标准紧凑</t>
        </is>
      </c>
      <c r="U823" s="2" t="inlineStr">
        <is>
          <t>紧凑-高度紧凑</t>
        </is>
      </c>
      <c r="V823" s="2" t="inlineStr">
        <is>
          <t>紧凑-极度紧凑</t>
        </is>
      </c>
    </row>
    <row r="824">
      <c r="A824" s="1" t="n">
        <v>2025039</v>
      </c>
      <c r="B824" s="3" t="inlineStr">
        <is>
          <t>588</t>
        </is>
      </c>
      <c r="C824" s="2">
        <f>IF(B824="","",LEFT(TEXT(B824,"000"),1)*1)</f>
        <v/>
      </c>
      <c r="D824" s="2">
        <f>IF(B824="","",MID(TEXT(B824,"000"),2,1)*1)</f>
        <v/>
      </c>
      <c r="E824" s="2">
        <f>IF(B824="","",RIGHT(TEXT(B824,"000"),1)*1)</f>
        <v/>
      </c>
      <c r="F824" s="2">
        <f>IF(B824="","",C824+D824+E824)</f>
        <v/>
      </c>
      <c r="G824" s="2">
        <f>IF(B824="","",MOD(F824,10))</f>
        <v/>
      </c>
      <c r="H824" s="2">
        <f>IF(B824="","",MAX(C824,D824,E824)-MIN(C824,D824,E824))</f>
        <v/>
      </c>
      <c r="I824" s="2">
        <f>IF(OR(B824="",H824=0),IF(H824=0,0.1,""),ROUND(F824/H824,2))</f>
        <v/>
      </c>
      <c r="J824" s="2">
        <f>IF(I824=0.1,"极紧凑",IF(I824&gt;3.5,"紧凑",IF(AND(I824&gt;=2,I824&lt;=3.5),"标准",IF(AND(I824&gt;=1,I824&lt;2),"松散",""))))</f>
        <v/>
      </c>
      <c r="K824" s="2">
        <f>IF(I824=0.1,"极紧凑-豹子号",IF(AND(I824&gt;=1,I824&lt;=1.29),"松散-极松散",IF(AND(I824&gt;=1.33,I824&lt;=1.8),"松散-标准松散",IF(AND(I824&gt;=1.83,I824&lt;=1.89),"松散-偏紧松散",IF(AND(I824&gt;=2,I824&lt;=2.5),"标准-偏松标准",IF(AND(I824&gt;=2.57,I824&lt;=3),"标准-核心标准",IF(AND(I824&gt;=3.17,I824&lt;=3.5),"标准-偏紧标准",IF(AND(I824&gt;=3.6,I824&lt;=5),"紧凑-标准紧凑",IF(AND(I824&gt;=5.25,I824&lt;=8),"紧凑-高度紧凑",IF(I824&gt;=8.5,"紧凑-极度紧凑",""))))))))))</f>
        <v/>
      </c>
      <c r="L824" s="2">
        <f>IF(I824=0.1,"极紧凑",IF(AND(I824&gt;=1,I824&lt;=1.89),"松散",IF(AND(I824&gt;=2,I824&lt;=3.5),"标准",IF(I824&gt;=3.6,"紧凑",""))))</f>
        <v/>
      </c>
      <c r="M824" s="2" t="inlineStr">
        <is>
          <t>极紧凑-豹子号</t>
        </is>
      </c>
      <c r="N824" s="2" t="inlineStr">
        <is>
          <t>松散-极松散</t>
        </is>
      </c>
      <c r="O824" s="2" t="inlineStr">
        <is>
          <t>松散-标准松散</t>
        </is>
      </c>
      <c r="P824" s="2" t="inlineStr">
        <is>
          <t>松散-偏紧松散</t>
        </is>
      </c>
      <c r="Q824" s="2" t="inlineStr">
        <is>
          <t>标准-偏松标准</t>
        </is>
      </c>
      <c r="R824" s="2" t="inlineStr">
        <is>
          <t>标准-核心标准</t>
        </is>
      </c>
      <c r="S824" s="2" t="inlineStr">
        <is>
          <t>标准-偏紧标准</t>
        </is>
      </c>
      <c r="T824" s="2" t="inlineStr">
        <is>
          <t>紧凑-标准紧凑</t>
        </is>
      </c>
      <c r="U824" s="2" t="inlineStr">
        <is>
          <t>紧凑-高度紧凑</t>
        </is>
      </c>
      <c r="V824" s="2" t="inlineStr">
        <is>
          <t>紧凑-极度紧凑</t>
        </is>
      </c>
    </row>
    <row r="825">
      <c r="A825" s="1" t="n">
        <v>2025040</v>
      </c>
      <c r="B825" s="3" t="inlineStr">
        <is>
          <t>875</t>
        </is>
      </c>
      <c r="C825" s="2">
        <f>IF(B825="","",LEFT(TEXT(B825,"000"),1)*1)</f>
        <v/>
      </c>
      <c r="D825" s="2">
        <f>IF(B825="","",MID(TEXT(B825,"000"),2,1)*1)</f>
        <v/>
      </c>
      <c r="E825" s="2">
        <f>IF(B825="","",RIGHT(TEXT(B825,"000"),1)*1)</f>
        <v/>
      </c>
      <c r="F825" s="2">
        <f>IF(B825="","",C825+D825+E825)</f>
        <v/>
      </c>
      <c r="G825" s="2">
        <f>IF(B825="","",MOD(F825,10))</f>
        <v/>
      </c>
      <c r="H825" s="2">
        <f>IF(B825="","",MAX(C825,D825,E825)-MIN(C825,D825,E825))</f>
        <v/>
      </c>
      <c r="I825" s="2">
        <f>IF(OR(B825="",H825=0),IF(H825=0,0.1,""),ROUND(F825/H825,2))</f>
        <v/>
      </c>
      <c r="J825" s="2">
        <f>IF(I825=0.1,"极紧凑",IF(I825&gt;3.5,"紧凑",IF(AND(I825&gt;=2,I825&lt;=3.5),"标准",IF(AND(I825&gt;=1,I825&lt;2),"松散",""))))</f>
        <v/>
      </c>
      <c r="K825" s="2">
        <f>IF(I825=0.1,"极紧凑-豹子号",IF(AND(I825&gt;=1,I825&lt;=1.29),"松散-极松散",IF(AND(I825&gt;=1.33,I825&lt;=1.8),"松散-标准松散",IF(AND(I825&gt;=1.83,I825&lt;=1.89),"松散-偏紧松散",IF(AND(I825&gt;=2,I825&lt;=2.5),"标准-偏松标准",IF(AND(I825&gt;=2.57,I825&lt;=3),"标准-核心标准",IF(AND(I825&gt;=3.17,I825&lt;=3.5),"标准-偏紧标准",IF(AND(I825&gt;=3.6,I825&lt;=5),"紧凑-标准紧凑",IF(AND(I825&gt;=5.25,I825&lt;=8),"紧凑-高度紧凑",IF(I825&gt;=8.5,"紧凑-极度紧凑",""))))))))))</f>
        <v/>
      </c>
      <c r="L825" s="2">
        <f>IF(I825=0.1,"极紧凑",IF(AND(I825&gt;=1,I825&lt;=1.89),"松散",IF(AND(I825&gt;=2,I825&lt;=3.5),"标准",IF(I825&gt;=3.6,"紧凑",""))))</f>
        <v/>
      </c>
      <c r="M825" s="2" t="inlineStr">
        <is>
          <t>极紧凑-豹子号</t>
        </is>
      </c>
      <c r="N825" s="2" t="inlineStr">
        <is>
          <t>松散-极松散</t>
        </is>
      </c>
      <c r="O825" s="2" t="inlineStr">
        <is>
          <t>松散-标准松散</t>
        </is>
      </c>
      <c r="P825" s="2" t="inlineStr">
        <is>
          <t>松散-偏紧松散</t>
        </is>
      </c>
      <c r="Q825" s="2" t="inlineStr">
        <is>
          <t>标准-偏松标准</t>
        </is>
      </c>
      <c r="R825" s="2" t="inlineStr">
        <is>
          <t>标准-核心标准</t>
        </is>
      </c>
      <c r="S825" s="2" t="inlineStr">
        <is>
          <t>标准-偏紧标准</t>
        </is>
      </c>
      <c r="T825" s="2" t="inlineStr">
        <is>
          <t>紧凑-标准紧凑</t>
        </is>
      </c>
      <c r="U825" s="2" t="inlineStr">
        <is>
          <t>紧凑-高度紧凑</t>
        </is>
      </c>
      <c r="V825" s="2" t="inlineStr">
        <is>
          <t>紧凑-极度紧凑</t>
        </is>
      </c>
    </row>
    <row r="826">
      <c r="A826" s="1" t="n">
        <v>2025041</v>
      </c>
      <c r="B826" s="3" t="inlineStr">
        <is>
          <t>916</t>
        </is>
      </c>
      <c r="C826" s="2">
        <f>IF(B826="","",LEFT(TEXT(B826,"000"),1)*1)</f>
        <v/>
      </c>
      <c r="D826" s="2">
        <f>IF(B826="","",MID(TEXT(B826,"000"),2,1)*1)</f>
        <v/>
      </c>
      <c r="E826" s="2">
        <f>IF(B826="","",RIGHT(TEXT(B826,"000"),1)*1)</f>
        <v/>
      </c>
      <c r="F826" s="2">
        <f>IF(B826="","",C826+D826+E826)</f>
        <v/>
      </c>
      <c r="G826" s="2">
        <f>IF(B826="","",MOD(F826,10))</f>
        <v/>
      </c>
      <c r="H826" s="2">
        <f>IF(B826="","",MAX(C826,D826,E826)-MIN(C826,D826,E826))</f>
        <v/>
      </c>
      <c r="I826" s="2">
        <f>IF(OR(B826="",H826=0),IF(H826=0,0.1,""),ROUND(F826/H826,2))</f>
        <v/>
      </c>
      <c r="J826" s="2">
        <f>IF(I826=0.1,"极紧凑",IF(I826&gt;3.5,"紧凑",IF(AND(I826&gt;=2,I826&lt;=3.5),"标准",IF(AND(I826&gt;=1,I826&lt;2),"松散",""))))</f>
        <v/>
      </c>
      <c r="K826" s="2">
        <f>IF(I826=0.1,"极紧凑-豹子号",IF(AND(I826&gt;=1,I826&lt;=1.29),"松散-极松散",IF(AND(I826&gt;=1.33,I826&lt;=1.8),"松散-标准松散",IF(AND(I826&gt;=1.83,I826&lt;=1.89),"松散-偏紧松散",IF(AND(I826&gt;=2,I826&lt;=2.5),"标准-偏松标准",IF(AND(I826&gt;=2.57,I826&lt;=3),"标准-核心标准",IF(AND(I826&gt;=3.17,I826&lt;=3.5),"标准-偏紧标准",IF(AND(I826&gt;=3.6,I826&lt;=5),"紧凑-标准紧凑",IF(AND(I826&gt;=5.25,I826&lt;=8),"紧凑-高度紧凑",IF(I826&gt;=8.5,"紧凑-极度紧凑",""))))))))))</f>
        <v/>
      </c>
      <c r="L826" s="2">
        <f>IF(I826=0.1,"极紧凑",IF(AND(I826&gt;=1,I826&lt;=1.89),"松散",IF(AND(I826&gt;=2,I826&lt;=3.5),"标准",IF(I826&gt;=3.6,"紧凑",""))))</f>
        <v/>
      </c>
      <c r="M826" s="2" t="inlineStr">
        <is>
          <t>极紧凑-豹子号</t>
        </is>
      </c>
      <c r="N826" s="2" t="inlineStr">
        <is>
          <t>松散-极松散</t>
        </is>
      </c>
      <c r="O826" s="2" t="inlineStr">
        <is>
          <t>松散-标准松散</t>
        </is>
      </c>
      <c r="P826" s="2" t="inlineStr">
        <is>
          <t>松散-偏紧松散</t>
        </is>
      </c>
      <c r="Q826" s="2" t="inlineStr">
        <is>
          <t>标准-偏松标准</t>
        </is>
      </c>
      <c r="R826" s="2" t="inlineStr">
        <is>
          <t>标准-核心标准</t>
        </is>
      </c>
      <c r="S826" s="2" t="inlineStr">
        <is>
          <t>标准-偏紧标准</t>
        </is>
      </c>
      <c r="T826" s="2" t="inlineStr">
        <is>
          <t>紧凑-标准紧凑</t>
        </is>
      </c>
      <c r="U826" s="2" t="inlineStr">
        <is>
          <t>紧凑-高度紧凑</t>
        </is>
      </c>
      <c r="V826" s="2" t="inlineStr">
        <is>
          <t>紧凑-极度紧凑</t>
        </is>
      </c>
    </row>
    <row r="827">
      <c r="A827" s="1" t="n">
        <v>2025042</v>
      </c>
      <c r="B827" s="3" t="inlineStr">
        <is>
          <t>675</t>
        </is>
      </c>
      <c r="C827" s="2">
        <f>IF(B827="","",LEFT(TEXT(B827,"000"),1)*1)</f>
        <v/>
      </c>
      <c r="D827" s="2">
        <f>IF(B827="","",MID(TEXT(B827,"000"),2,1)*1)</f>
        <v/>
      </c>
      <c r="E827" s="2">
        <f>IF(B827="","",RIGHT(TEXT(B827,"000"),1)*1)</f>
        <v/>
      </c>
      <c r="F827" s="2">
        <f>IF(B827="","",C827+D827+E827)</f>
        <v/>
      </c>
      <c r="G827" s="2">
        <f>IF(B827="","",MOD(F827,10))</f>
        <v/>
      </c>
      <c r="H827" s="2">
        <f>IF(B827="","",MAX(C827,D827,E827)-MIN(C827,D827,E827))</f>
        <v/>
      </c>
      <c r="I827" s="2">
        <f>IF(OR(B827="",H827=0),IF(H827=0,0.1,""),ROUND(F827/H827,2))</f>
        <v/>
      </c>
      <c r="J827" s="2">
        <f>IF(I827=0.1,"极紧凑",IF(I827&gt;3.5,"紧凑",IF(AND(I827&gt;=2,I827&lt;=3.5),"标准",IF(AND(I827&gt;=1,I827&lt;2),"松散",""))))</f>
        <v/>
      </c>
      <c r="K827" s="2">
        <f>IF(I827=0.1,"极紧凑-豹子号",IF(AND(I827&gt;=1,I827&lt;=1.29),"松散-极松散",IF(AND(I827&gt;=1.33,I827&lt;=1.8),"松散-标准松散",IF(AND(I827&gt;=1.83,I827&lt;=1.89),"松散-偏紧松散",IF(AND(I827&gt;=2,I827&lt;=2.5),"标准-偏松标准",IF(AND(I827&gt;=2.57,I827&lt;=3),"标准-核心标准",IF(AND(I827&gt;=3.17,I827&lt;=3.5),"标准-偏紧标准",IF(AND(I827&gt;=3.6,I827&lt;=5),"紧凑-标准紧凑",IF(AND(I827&gt;=5.25,I827&lt;=8),"紧凑-高度紧凑",IF(I827&gt;=8.5,"紧凑-极度紧凑",""))))))))))</f>
        <v/>
      </c>
      <c r="L827" s="2">
        <f>IF(I827=0.1,"极紧凑",IF(AND(I827&gt;=1,I827&lt;=1.89),"松散",IF(AND(I827&gt;=2,I827&lt;=3.5),"标准",IF(I827&gt;=3.6,"紧凑",""))))</f>
        <v/>
      </c>
      <c r="M827" s="2" t="inlineStr">
        <is>
          <t>极紧凑-豹子号</t>
        </is>
      </c>
      <c r="N827" s="2" t="inlineStr">
        <is>
          <t>松散-极松散</t>
        </is>
      </c>
      <c r="O827" s="2" t="inlineStr">
        <is>
          <t>松散-标准松散</t>
        </is>
      </c>
      <c r="P827" s="2" t="inlineStr">
        <is>
          <t>松散-偏紧松散</t>
        </is>
      </c>
      <c r="Q827" s="2" t="inlineStr">
        <is>
          <t>标准-偏松标准</t>
        </is>
      </c>
      <c r="R827" s="2" t="inlineStr">
        <is>
          <t>标准-核心标准</t>
        </is>
      </c>
      <c r="S827" s="2" t="inlineStr">
        <is>
          <t>标准-偏紧标准</t>
        </is>
      </c>
      <c r="T827" s="2" t="inlineStr">
        <is>
          <t>紧凑-标准紧凑</t>
        </is>
      </c>
      <c r="U827" s="2" t="inlineStr">
        <is>
          <t>紧凑-高度紧凑</t>
        </is>
      </c>
      <c r="V827" s="2" t="inlineStr">
        <is>
          <t>紧凑-极度紧凑</t>
        </is>
      </c>
    </row>
    <row r="828">
      <c r="A828" s="1" t="n">
        <v>2025043</v>
      </c>
      <c r="B828" s="3" t="inlineStr">
        <is>
          <t>552</t>
        </is>
      </c>
      <c r="C828" s="2">
        <f>IF(B828="","",LEFT(TEXT(B828,"000"),1)*1)</f>
        <v/>
      </c>
      <c r="D828" s="2">
        <f>IF(B828="","",MID(TEXT(B828,"000"),2,1)*1)</f>
        <v/>
      </c>
      <c r="E828" s="2">
        <f>IF(B828="","",RIGHT(TEXT(B828,"000"),1)*1)</f>
        <v/>
      </c>
      <c r="F828" s="2">
        <f>IF(B828="","",C828+D828+E828)</f>
        <v/>
      </c>
      <c r="G828" s="2">
        <f>IF(B828="","",MOD(F828,10))</f>
        <v/>
      </c>
      <c r="H828" s="2">
        <f>IF(B828="","",MAX(C828,D828,E828)-MIN(C828,D828,E828))</f>
        <v/>
      </c>
      <c r="I828" s="2">
        <f>IF(OR(B828="",H828=0),IF(H828=0,0.1,""),ROUND(F828/H828,2))</f>
        <v/>
      </c>
      <c r="J828" s="2">
        <f>IF(I828=0.1,"极紧凑",IF(I828&gt;3.5,"紧凑",IF(AND(I828&gt;=2,I828&lt;=3.5),"标准",IF(AND(I828&gt;=1,I828&lt;2),"松散",""))))</f>
        <v/>
      </c>
      <c r="K828" s="2">
        <f>IF(I828=0.1,"极紧凑-豹子号",IF(AND(I828&gt;=1,I828&lt;=1.29),"松散-极松散",IF(AND(I828&gt;=1.33,I828&lt;=1.8),"松散-标准松散",IF(AND(I828&gt;=1.83,I828&lt;=1.89),"松散-偏紧松散",IF(AND(I828&gt;=2,I828&lt;=2.5),"标准-偏松标准",IF(AND(I828&gt;=2.57,I828&lt;=3),"标准-核心标准",IF(AND(I828&gt;=3.17,I828&lt;=3.5),"标准-偏紧标准",IF(AND(I828&gt;=3.6,I828&lt;=5),"紧凑-标准紧凑",IF(AND(I828&gt;=5.25,I828&lt;=8),"紧凑-高度紧凑",IF(I828&gt;=8.5,"紧凑-极度紧凑",""))))))))))</f>
        <v/>
      </c>
      <c r="L828" s="2">
        <f>IF(I828=0.1,"极紧凑",IF(AND(I828&gt;=1,I828&lt;=1.89),"松散",IF(AND(I828&gt;=2,I828&lt;=3.5),"标准",IF(I828&gt;=3.6,"紧凑",""))))</f>
        <v/>
      </c>
      <c r="M828" s="2" t="inlineStr">
        <is>
          <t>极紧凑-豹子号</t>
        </is>
      </c>
      <c r="N828" s="2" t="inlineStr">
        <is>
          <t>松散-极松散</t>
        </is>
      </c>
      <c r="O828" s="2" t="inlineStr">
        <is>
          <t>松散-标准松散</t>
        </is>
      </c>
      <c r="P828" s="2" t="inlineStr">
        <is>
          <t>松散-偏紧松散</t>
        </is>
      </c>
      <c r="Q828" s="2" t="inlineStr">
        <is>
          <t>标准-偏松标准</t>
        </is>
      </c>
      <c r="R828" s="2" t="inlineStr">
        <is>
          <t>标准-核心标准</t>
        </is>
      </c>
      <c r="S828" s="2" t="inlineStr">
        <is>
          <t>标准-偏紧标准</t>
        </is>
      </c>
      <c r="T828" s="2" t="inlineStr">
        <is>
          <t>紧凑-标准紧凑</t>
        </is>
      </c>
      <c r="U828" s="2" t="inlineStr">
        <is>
          <t>紧凑-高度紧凑</t>
        </is>
      </c>
      <c r="V828" s="2" t="inlineStr">
        <is>
          <t>紧凑-极度紧凑</t>
        </is>
      </c>
    </row>
    <row r="829">
      <c r="A829" s="1" t="n">
        <v>2025044</v>
      </c>
      <c r="B829" s="3" t="inlineStr">
        <is>
          <t>805</t>
        </is>
      </c>
      <c r="C829" s="2">
        <f>IF(B829="","",LEFT(TEXT(B829,"000"),1)*1)</f>
        <v/>
      </c>
      <c r="D829" s="2">
        <f>IF(B829="","",MID(TEXT(B829,"000"),2,1)*1)</f>
        <v/>
      </c>
      <c r="E829" s="2">
        <f>IF(B829="","",RIGHT(TEXT(B829,"000"),1)*1)</f>
        <v/>
      </c>
      <c r="F829" s="2">
        <f>IF(B829="","",C829+D829+E829)</f>
        <v/>
      </c>
      <c r="G829" s="2">
        <f>IF(B829="","",MOD(F829,10))</f>
        <v/>
      </c>
      <c r="H829" s="2">
        <f>IF(B829="","",MAX(C829,D829,E829)-MIN(C829,D829,E829))</f>
        <v/>
      </c>
      <c r="I829" s="2">
        <f>IF(OR(B829="",H829=0),IF(H829=0,0.1,""),ROUND(F829/H829,2))</f>
        <v/>
      </c>
      <c r="J829" s="2">
        <f>IF(I829=0.1,"极紧凑",IF(I829&gt;3.5,"紧凑",IF(AND(I829&gt;=2,I829&lt;=3.5),"标准",IF(AND(I829&gt;=1,I829&lt;2),"松散",""))))</f>
        <v/>
      </c>
      <c r="K829" s="2">
        <f>IF(I829=0.1,"极紧凑-豹子号",IF(AND(I829&gt;=1,I829&lt;=1.29),"松散-极松散",IF(AND(I829&gt;=1.33,I829&lt;=1.8),"松散-标准松散",IF(AND(I829&gt;=1.83,I829&lt;=1.89),"松散-偏紧松散",IF(AND(I829&gt;=2,I829&lt;=2.5),"标准-偏松标准",IF(AND(I829&gt;=2.57,I829&lt;=3),"标准-核心标准",IF(AND(I829&gt;=3.17,I829&lt;=3.5),"标准-偏紧标准",IF(AND(I829&gt;=3.6,I829&lt;=5),"紧凑-标准紧凑",IF(AND(I829&gt;=5.25,I829&lt;=8),"紧凑-高度紧凑",IF(I829&gt;=8.5,"紧凑-极度紧凑",""))))))))))</f>
        <v/>
      </c>
      <c r="L829" s="2">
        <f>IF(I829=0.1,"极紧凑",IF(AND(I829&gt;=1,I829&lt;=1.89),"松散",IF(AND(I829&gt;=2,I829&lt;=3.5),"标准",IF(I829&gt;=3.6,"紧凑",""))))</f>
        <v/>
      </c>
      <c r="M829" s="2" t="inlineStr">
        <is>
          <t>极紧凑-豹子号</t>
        </is>
      </c>
      <c r="N829" s="2" t="inlineStr">
        <is>
          <t>松散-极松散</t>
        </is>
      </c>
      <c r="O829" s="2" t="inlineStr">
        <is>
          <t>松散-标准松散</t>
        </is>
      </c>
      <c r="P829" s="2" t="inlineStr">
        <is>
          <t>松散-偏紧松散</t>
        </is>
      </c>
      <c r="Q829" s="2" t="inlineStr">
        <is>
          <t>标准-偏松标准</t>
        </is>
      </c>
      <c r="R829" s="2" t="inlineStr">
        <is>
          <t>标准-核心标准</t>
        </is>
      </c>
      <c r="S829" s="2" t="inlineStr">
        <is>
          <t>标准-偏紧标准</t>
        </is>
      </c>
      <c r="T829" s="2" t="inlineStr">
        <is>
          <t>紧凑-标准紧凑</t>
        </is>
      </c>
      <c r="U829" s="2" t="inlineStr">
        <is>
          <t>紧凑-高度紧凑</t>
        </is>
      </c>
      <c r="V829" s="2" t="inlineStr">
        <is>
          <t>紧凑-极度紧凑</t>
        </is>
      </c>
    </row>
    <row r="830">
      <c r="A830" s="1" t="n">
        <v>2025045</v>
      </c>
      <c r="B830" s="3" t="inlineStr">
        <is>
          <t>722</t>
        </is>
      </c>
      <c r="C830" s="2">
        <f>IF(B830="","",LEFT(TEXT(B830,"000"),1)*1)</f>
        <v/>
      </c>
      <c r="D830" s="2">
        <f>IF(B830="","",MID(TEXT(B830,"000"),2,1)*1)</f>
        <v/>
      </c>
      <c r="E830" s="2">
        <f>IF(B830="","",RIGHT(TEXT(B830,"000"),1)*1)</f>
        <v/>
      </c>
      <c r="F830" s="2">
        <f>IF(B830="","",C830+D830+E830)</f>
        <v/>
      </c>
      <c r="G830" s="2">
        <f>IF(B830="","",MOD(F830,10))</f>
        <v/>
      </c>
      <c r="H830" s="2">
        <f>IF(B830="","",MAX(C830,D830,E830)-MIN(C830,D830,E830))</f>
        <v/>
      </c>
      <c r="I830" s="2">
        <f>IF(OR(B830="",H830=0),IF(H830=0,0.1,""),ROUND(F830/H830,2))</f>
        <v/>
      </c>
      <c r="J830" s="2">
        <f>IF(I830=0.1,"极紧凑",IF(I830&gt;3.5,"紧凑",IF(AND(I830&gt;=2,I830&lt;=3.5),"标准",IF(AND(I830&gt;=1,I830&lt;2),"松散",""))))</f>
        <v/>
      </c>
      <c r="K830" s="2">
        <f>IF(I830=0.1,"极紧凑-豹子号",IF(AND(I830&gt;=1,I830&lt;=1.29),"松散-极松散",IF(AND(I830&gt;=1.33,I830&lt;=1.8),"松散-标准松散",IF(AND(I830&gt;=1.83,I830&lt;=1.89),"松散-偏紧松散",IF(AND(I830&gt;=2,I830&lt;=2.5),"标准-偏松标准",IF(AND(I830&gt;=2.57,I830&lt;=3),"标准-核心标准",IF(AND(I830&gt;=3.17,I830&lt;=3.5),"标准-偏紧标准",IF(AND(I830&gt;=3.6,I830&lt;=5),"紧凑-标准紧凑",IF(AND(I830&gt;=5.25,I830&lt;=8),"紧凑-高度紧凑",IF(I830&gt;=8.5,"紧凑-极度紧凑",""))))))))))</f>
        <v/>
      </c>
      <c r="L830" s="2">
        <f>IF(I830=0.1,"极紧凑",IF(AND(I830&gt;=1,I830&lt;=1.89),"松散",IF(AND(I830&gt;=2,I830&lt;=3.5),"标准",IF(I830&gt;=3.6,"紧凑",""))))</f>
        <v/>
      </c>
      <c r="M830" s="2" t="inlineStr">
        <is>
          <t>极紧凑-豹子号</t>
        </is>
      </c>
      <c r="N830" s="2" t="inlineStr">
        <is>
          <t>松散-极松散</t>
        </is>
      </c>
      <c r="O830" s="2" t="inlineStr">
        <is>
          <t>松散-标准松散</t>
        </is>
      </c>
      <c r="P830" s="2" t="inlineStr">
        <is>
          <t>松散-偏紧松散</t>
        </is>
      </c>
      <c r="Q830" s="2" t="inlineStr">
        <is>
          <t>标准-偏松标准</t>
        </is>
      </c>
      <c r="R830" s="2" t="inlineStr">
        <is>
          <t>标准-核心标准</t>
        </is>
      </c>
      <c r="S830" s="2" t="inlineStr">
        <is>
          <t>标准-偏紧标准</t>
        </is>
      </c>
      <c r="T830" s="2" t="inlineStr">
        <is>
          <t>紧凑-标准紧凑</t>
        </is>
      </c>
      <c r="U830" s="2" t="inlineStr">
        <is>
          <t>紧凑-高度紧凑</t>
        </is>
      </c>
      <c r="V830" s="2" t="inlineStr">
        <is>
          <t>紧凑-极度紧凑</t>
        </is>
      </c>
    </row>
    <row r="831">
      <c r="A831" s="1" t="n">
        <v>2025046</v>
      </c>
      <c r="B831" s="3" t="inlineStr">
        <is>
          <t>372</t>
        </is>
      </c>
      <c r="C831" s="2">
        <f>IF(B831="","",LEFT(TEXT(B831,"000"),1)*1)</f>
        <v/>
      </c>
      <c r="D831" s="2">
        <f>IF(B831="","",MID(TEXT(B831,"000"),2,1)*1)</f>
        <v/>
      </c>
      <c r="E831" s="2">
        <f>IF(B831="","",RIGHT(TEXT(B831,"000"),1)*1)</f>
        <v/>
      </c>
      <c r="F831" s="2">
        <f>IF(B831="","",C831+D831+E831)</f>
        <v/>
      </c>
      <c r="G831" s="2">
        <f>IF(B831="","",MOD(F831,10))</f>
        <v/>
      </c>
      <c r="H831" s="2">
        <f>IF(B831="","",MAX(C831,D831,E831)-MIN(C831,D831,E831))</f>
        <v/>
      </c>
      <c r="I831" s="2">
        <f>IF(OR(B831="",H831=0),IF(H831=0,0.1,""),ROUND(F831/H831,2))</f>
        <v/>
      </c>
      <c r="J831" s="2">
        <f>IF(I831=0.1,"极紧凑",IF(I831&gt;3.5,"紧凑",IF(AND(I831&gt;=2,I831&lt;=3.5),"标准",IF(AND(I831&gt;=1,I831&lt;2),"松散",""))))</f>
        <v/>
      </c>
      <c r="K831" s="2">
        <f>IF(I831=0.1,"极紧凑-豹子号",IF(AND(I831&gt;=1,I831&lt;=1.29),"松散-极松散",IF(AND(I831&gt;=1.33,I831&lt;=1.8),"松散-标准松散",IF(AND(I831&gt;=1.83,I831&lt;=1.89),"松散-偏紧松散",IF(AND(I831&gt;=2,I831&lt;=2.5),"标准-偏松标准",IF(AND(I831&gt;=2.57,I831&lt;=3),"标准-核心标准",IF(AND(I831&gt;=3.17,I831&lt;=3.5),"标准-偏紧标准",IF(AND(I831&gt;=3.6,I831&lt;=5),"紧凑-标准紧凑",IF(AND(I831&gt;=5.25,I831&lt;=8),"紧凑-高度紧凑",IF(I831&gt;=8.5,"紧凑-极度紧凑",""))))))))))</f>
        <v/>
      </c>
      <c r="L831" s="2">
        <f>IF(I831=0.1,"极紧凑",IF(AND(I831&gt;=1,I831&lt;=1.89),"松散",IF(AND(I831&gt;=2,I831&lt;=3.5),"标准",IF(I831&gt;=3.6,"紧凑",""))))</f>
        <v/>
      </c>
      <c r="M831" s="2" t="inlineStr">
        <is>
          <t>极紧凑-豹子号</t>
        </is>
      </c>
      <c r="N831" s="2" t="inlineStr">
        <is>
          <t>松散-极松散</t>
        </is>
      </c>
      <c r="O831" s="2" t="inlineStr">
        <is>
          <t>松散-标准松散</t>
        </is>
      </c>
      <c r="P831" s="2" t="inlineStr">
        <is>
          <t>松散-偏紧松散</t>
        </is>
      </c>
      <c r="Q831" s="2" t="inlineStr">
        <is>
          <t>标准-偏松标准</t>
        </is>
      </c>
      <c r="R831" s="2" t="inlineStr">
        <is>
          <t>标准-核心标准</t>
        </is>
      </c>
      <c r="S831" s="2" t="inlineStr">
        <is>
          <t>标准-偏紧标准</t>
        </is>
      </c>
      <c r="T831" s="2" t="inlineStr">
        <is>
          <t>紧凑-标准紧凑</t>
        </is>
      </c>
      <c r="U831" s="2" t="inlineStr">
        <is>
          <t>紧凑-高度紧凑</t>
        </is>
      </c>
      <c r="V831" s="2" t="inlineStr">
        <is>
          <t>紧凑-极度紧凑</t>
        </is>
      </c>
    </row>
    <row r="832">
      <c r="A832" s="1" t="n">
        <v>2025047</v>
      </c>
      <c r="B832" s="3" t="inlineStr">
        <is>
          <t>806</t>
        </is>
      </c>
      <c r="C832" s="2">
        <f>IF(B832="","",LEFT(TEXT(B832,"000"),1)*1)</f>
        <v/>
      </c>
      <c r="D832" s="2">
        <f>IF(B832="","",MID(TEXT(B832,"000"),2,1)*1)</f>
        <v/>
      </c>
      <c r="E832" s="2">
        <f>IF(B832="","",RIGHT(TEXT(B832,"000"),1)*1)</f>
        <v/>
      </c>
      <c r="F832" s="2">
        <f>IF(B832="","",C832+D832+E832)</f>
        <v/>
      </c>
      <c r="G832" s="2">
        <f>IF(B832="","",MOD(F832,10))</f>
        <v/>
      </c>
      <c r="H832" s="2">
        <f>IF(B832="","",MAX(C832,D832,E832)-MIN(C832,D832,E832))</f>
        <v/>
      </c>
      <c r="I832" s="2">
        <f>IF(OR(B832="",H832=0),IF(H832=0,0.1,""),ROUND(F832/H832,2))</f>
        <v/>
      </c>
      <c r="J832" s="2">
        <f>IF(I832=0.1,"极紧凑",IF(I832&gt;3.5,"紧凑",IF(AND(I832&gt;=2,I832&lt;=3.5),"标准",IF(AND(I832&gt;=1,I832&lt;2),"松散",""))))</f>
        <v/>
      </c>
      <c r="K832" s="2">
        <f>IF(I832=0.1,"极紧凑-豹子号",IF(AND(I832&gt;=1,I832&lt;=1.29),"松散-极松散",IF(AND(I832&gt;=1.33,I832&lt;=1.8),"松散-标准松散",IF(AND(I832&gt;=1.83,I832&lt;=1.89),"松散-偏紧松散",IF(AND(I832&gt;=2,I832&lt;=2.5),"标准-偏松标准",IF(AND(I832&gt;=2.57,I832&lt;=3),"标准-核心标准",IF(AND(I832&gt;=3.17,I832&lt;=3.5),"标准-偏紧标准",IF(AND(I832&gt;=3.6,I832&lt;=5),"紧凑-标准紧凑",IF(AND(I832&gt;=5.25,I832&lt;=8),"紧凑-高度紧凑",IF(I832&gt;=8.5,"紧凑-极度紧凑",""))))))))))</f>
        <v/>
      </c>
      <c r="L832" s="2">
        <f>IF(I832=0.1,"极紧凑",IF(AND(I832&gt;=1,I832&lt;=1.89),"松散",IF(AND(I832&gt;=2,I832&lt;=3.5),"标准",IF(I832&gt;=3.6,"紧凑",""))))</f>
        <v/>
      </c>
      <c r="M832" s="2" t="inlineStr">
        <is>
          <t>极紧凑-豹子号</t>
        </is>
      </c>
      <c r="N832" s="2" t="inlineStr">
        <is>
          <t>松散-极松散</t>
        </is>
      </c>
      <c r="O832" s="2" t="inlineStr">
        <is>
          <t>松散-标准松散</t>
        </is>
      </c>
      <c r="P832" s="2" t="inlineStr">
        <is>
          <t>松散-偏紧松散</t>
        </is>
      </c>
      <c r="Q832" s="2" t="inlineStr">
        <is>
          <t>标准-偏松标准</t>
        </is>
      </c>
      <c r="R832" s="2" t="inlineStr">
        <is>
          <t>标准-核心标准</t>
        </is>
      </c>
      <c r="S832" s="2" t="inlineStr">
        <is>
          <t>标准-偏紧标准</t>
        </is>
      </c>
      <c r="T832" s="2" t="inlineStr">
        <is>
          <t>紧凑-标准紧凑</t>
        </is>
      </c>
      <c r="U832" s="2" t="inlineStr">
        <is>
          <t>紧凑-高度紧凑</t>
        </is>
      </c>
      <c r="V832" s="2" t="inlineStr">
        <is>
          <t>紧凑-极度紧凑</t>
        </is>
      </c>
    </row>
    <row r="833">
      <c r="A833" s="1" t="n">
        <v>2025048</v>
      </c>
      <c r="B833" s="3" t="inlineStr">
        <is>
          <t>570</t>
        </is>
      </c>
      <c r="C833" s="2">
        <f>IF(B833="","",LEFT(TEXT(B833,"000"),1)*1)</f>
        <v/>
      </c>
      <c r="D833" s="2">
        <f>IF(B833="","",MID(TEXT(B833,"000"),2,1)*1)</f>
        <v/>
      </c>
      <c r="E833" s="2">
        <f>IF(B833="","",RIGHT(TEXT(B833,"000"),1)*1)</f>
        <v/>
      </c>
      <c r="F833" s="2">
        <f>IF(B833="","",C833+D833+E833)</f>
        <v/>
      </c>
      <c r="G833" s="2">
        <f>IF(B833="","",MOD(F833,10))</f>
        <v/>
      </c>
      <c r="H833" s="2">
        <f>IF(B833="","",MAX(C833,D833,E833)-MIN(C833,D833,E833))</f>
        <v/>
      </c>
      <c r="I833" s="2">
        <f>IF(OR(B833="",H833=0),IF(H833=0,0.1,""),ROUND(F833/H833,2))</f>
        <v/>
      </c>
      <c r="J833" s="2">
        <f>IF(I833=0.1,"极紧凑",IF(I833&gt;3.5,"紧凑",IF(AND(I833&gt;=2,I833&lt;=3.5),"标准",IF(AND(I833&gt;=1,I833&lt;2),"松散",""))))</f>
        <v/>
      </c>
      <c r="K833" s="2">
        <f>IF(I833=0.1,"极紧凑-豹子号",IF(AND(I833&gt;=1,I833&lt;=1.29),"松散-极松散",IF(AND(I833&gt;=1.33,I833&lt;=1.8),"松散-标准松散",IF(AND(I833&gt;=1.83,I833&lt;=1.89),"松散-偏紧松散",IF(AND(I833&gt;=2,I833&lt;=2.5),"标准-偏松标准",IF(AND(I833&gt;=2.57,I833&lt;=3),"标准-核心标准",IF(AND(I833&gt;=3.17,I833&lt;=3.5),"标准-偏紧标准",IF(AND(I833&gt;=3.6,I833&lt;=5),"紧凑-标准紧凑",IF(AND(I833&gt;=5.25,I833&lt;=8),"紧凑-高度紧凑",IF(I833&gt;=8.5,"紧凑-极度紧凑",""))))))))))</f>
        <v/>
      </c>
      <c r="L833" s="2">
        <f>IF(I833=0.1,"极紧凑",IF(AND(I833&gt;=1,I833&lt;=1.89),"松散",IF(AND(I833&gt;=2,I833&lt;=3.5),"标准",IF(I833&gt;=3.6,"紧凑",""))))</f>
        <v/>
      </c>
      <c r="M833" s="2" t="inlineStr">
        <is>
          <t>极紧凑-豹子号</t>
        </is>
      </c>
      <c r="N833" s="2" t="inlineStr">
        <is>
          <t>松散-极松散</t>
        </is>
      </c>
      <c r="O833" s="2" t="inlineStr">
        <is>
          <t>松散-标准松散</t>
        </is>
      </c>
      <c r="P833" s="2" t="inlineStr">
        <is>
          <t>松散-偏紧松散</t>
        </is>
      </c>
      <c r="Q833" s="2" t="inlineStr">
        <is>
          <t>标准-偏松标准</t>
        </is>
      </c>
      <c r="R833" s="2" t="inlineStr">
        <is>
          <t>标准-核心标准</t>
        </is>
      </c>
      <c r="S833" s="2" t="inlineStr">
        <is>
          <t>标准-偏紧标准</t>
        </is>
      </c>
      <c r="T833" s="2" t="inlineStr">
        <is>
          <t>紧凑-标准紧凑</t>
        </is>
      </c>
      <c r="U833" s="2" t="inlineStr">
        <is>
          <t>紧凑-高度紧凑</t>
        </is>
      </c>
      <c r="V833" s="2" t="inlineStr">
        <is>
          <t>紧凑-极度紧凑</t>
        </is>
      </c>
    </row>
    <row r="834">
      <c r="A834" s="1" t="n">
        <v>2025049</v>
      </c>
      <c r="B834" s="3" t="inlineStr">
        <is>
          <t>037</t>
        </is>
      </c>
      <c r="C834" s="2">
        <f>IF(B834="","",LEFT(TEXT(B834,"000"),1)*1)</f>
        <v/>
      </c>
      <c r="D834" s="2">
        <f>IF(B834="","",MID(TEXT(B834,"000"),2,1)*1)</f>
        <v/>
      </c>
      <c r="E834" s="2">
        <f>IF(B834="","",RIGHT(TEXT(B834,"000"),1)*1)</f>
        <v/>
      </c>
      <c r="F834" s="2">
        <f>IF(B834="","",C834+D834+E834)</f>
        <v/>
      </c>
      <c r="G834" s="2">
        <f>IF(B834="","",MOD(F834,10))</f>
        <v/>
      </c>
      <c r="H834" s="2">
        <f>IF(B834="","",MAX(C834,D834,E834)-MIN(C834,D834,E834))</f>
        <v/>
      </c>
      <c r="I834" s="2">
        <f>IF(OR(B834="",H834=0),IF(H834=0,0.1,""),ROUND(F834/H834,2))</f>
        <v/>
      </c>
      <c r="J834" s="2">
        <f>IF(I834=0.1,"极紧凑",IF(I834&gt;3.5,"紧凑",IF(AND(I834&gt;=2,I834&lt;=3.5),"标准",IF(AND(I834&gt;=1,I834&lt;2),"松散",""))))</f>
        <v/>
      </c>
      <c r="K834" s="2">
        <f>IF(I834=0.1,"极紧凑-豹子号",IF(AND(I834&gt;=1,I834&lt;=1.29),"松散-极松散",IF(AND(I834&gt;=1.33,I834&lt;=1.8),"松散-标准松散",IF(AND(I834&gt;=1.83,I834&lt;=1.89),"松散-偏紧松散",IF(AND(I834&gt;=2,I834&lt;=2.5),"标准-偏松标准",IF(AND(I834&gt;=2.57,I834&lt;=3),"标准-核心标准",IF(AND(I834&gt;=3.17,I834&lt;=3.5),"标准-偏紧标准",IF(AND(I834&gt;=3.6,I834&lt;=5),"紧凑-标准紧凑",IF(AND(I834&gt;=5.25,I834&lt;=8),"紧凑-高度紧凑",IF(I834&gt;=8.5,"紧凑-极度紧凑",""))))))))))</f>
        <v/>
      </c>
      <c r="L834" s="2">
        <f>IF(I834=0.1,"极紧凑",IF(AND(I834&gt;=1,I834&lt;=1.89),"松散",IF(AND(I834&gt;=2,I834&lt;=3.5),"标准",IF(I834&gt;=3.6,"紧凑",""))))</f>
        <v/>
      </c>
      <c r="M834" s="2" t="inlineStr">
        <is>
          <t>极紧凑-豹子号</t>
        </is>
      </c>
      <c r="N834" s="2" t="inlineStr">
        <is>
          <t>松散-极松散</t>
        </is>
      </c>
      <c r="O834" s="2" t="inlineStr">
        <is>
          <t>松散-标准松散</t>
        </is>
      </c>
      <c r="P834" s="2" t="inlineStr">
        <is>
          <t>松散-偏紧松散</t>
        </is>
      </c>
      <c r="Q834" s="2" t="inlineStr">
        <is>
          <t>标准-偏松标准</t>
        </is>
      </c>
      <c r="R834" s="2" t="inlineStr">
        <is>
          <t>标准-核心标准</t>
        </is>
      </c>
      <c r="S834" s="2" t="inlineStr">
        <is>
          <t>标准-偏紧标准</t>
        </is>
      </c>
      <c r="T834" s="2" t="inlineStr">
        <is>
          <t>紧凑-标准紧凑</t>
        </is>
      </c>
      <c r="U834" s="2" t="inlineStr">
        <is>
          <t>紧凑-高度紧凑</t>
        </is>
      </c>
      <c r="V834" s="2" t="inlineStr">
        <is>
          <t>紧凑-极度紧凑</t>
        </is>
      </c>
    </row>
    <row r="835">
      <c r="A835" s="1" t="n">
        <v>2025050</v>
      </c>
      <c r="B835" s="3" t="inlineStr">
        <is>
          <t>570</t>
        </is>
      </c>
      <c r="C835" s="2">
        <f>IF(B835="","",LEFT(TEXT(B835,"000"),1)*1)</f>
        <v/>
      </c>
      <c r="D835" s="2">
        <f>IF(B835="","",MID(TEXT(B835,"000"),2,1)*1)</f>
        <v/>
      </c>
      <c r="E835" s="2">
        <f>IF(B835="","",RIGHT(TEXT(B835,"000"),1)*1)</f>
        <v/>
      </c>
      <c r="F835" s="2">
        <f>IF(B835="","",C835+D835+E835)</f>
        <v/>
      </c>
      <c r="G835" s="2">
        <f>IF(B835="","",MOD(F835,10))</f>
        <v/>
      </c>
      <c r="H835" s="2">
        <f>IF(B835="","",MAX(C835,D835,E835)-MIN(C835,D835,E835))</f>
        <v/>
      </c>
      <c r="I835" s="2">
        <f>IF(OR(B835="",H835=0),IF(H835=0,0.1,""),ROUND(F835/H835,2))</f>
        <v/>
      </c>
      <c r="J835" s="2">
        <f>IF(I835=0.1,"极紧凑",IF(I835&gt;3.5,"紧凑",IF(AND(I835&gt;=2,I835&lt;=3.5),"标准",IF(AND(I835&gt;=1,I835&lt;2),"松散",""))))</f>
        <v/>
      </c>
      <c r="K835" s="2">
        <f>IF(I835=0.1,"极紧凑-豹子号",IF(AND(I835&gt;=1,I835&lt;=1.29),"松散-极松散",IF(AND(I835&gt;=1.33,I835&lt;=1.8),"松散-标准松散",IF(AND(I835&gt;=1.83,I835&lt;=1.89),"松散-偏紧松散",IF(AND(I835&gt;=2,I835&lt;=2.5),"标准-偏松标准",IF(AND(I835&gt;=2.57,I835&lt;=3),"标准-核心标准",IF(AND(I835&gt;=3.17,I835&lt;=3.5),"标准-偏紧标准",IF(AND(I835&gt;=3.6,I835&lt;=5),"紧凑-标准紧凑",IF(AND(I835&gt;=5.25,I835&lt;=8),"紧凑-高度紧凑",IF(I835&gt;=8.5,"紧凑-极度紧凑",""))))))))))</f>
        <v/>
      </c>
      <c r="L835" s="2">
        <f>IF(I835=0.1,"极紧凑",IF(AND(I835&gt;=1,I835&lt;=1.89),"松散",IF(AND(I835&gt;=2,I835&lt;=3.5),"标准",IF(I835&gt;=3.6,"紧凑",""))))</f>
        <v/>
      </c>
      <c r="M835" s="2" t="inlineStr">
        <is>
          <t>极紧凑-豹子号</t>
        </is>
      </c>
      <c r="N835" s="2" t="inlineStr">
        <is>
          <t>松散-极松散</t>
        </is>
      </c>
      <c r="O835" s="2" t="inlineStr">
        <is>
          <t>松散-标准松散</t>
        </is>
      </c>
      <c r="P835" s="2" t="inlineStr">
        <is>
          <t>松散-偏紧松散</t>
        </is>
      </c>
      <c r="Q835" s="2" t="inlineStr">
        <is>
          <t>标准-偏松标准</t>
        </is>
      </c>
      <c r="R835" s="2" t="inlineStr">
        <is>
          <t>标准-核心标准</t>
        </is>
      </c>
      <c r="S835" s="2" t="inlineStr">
        <is>
          <t>标准-偏紧标准</t>
        </is>
      </c>
      <c r="T835" s="2" t="inlineStr">
        <is>
          <t>紧凑-标准紧凑</t>
        </is>
      </c>
      <c r="U835" s="2" t="inlineStr">
        <is>
          <t>紧凑-高度紧凑</t>
        </is>
      </c>
      <c r="V835" s="2" t="inlineStr">
        <is>
          <t>紧凑-极度紧凑</t>
        </is>
      </c>
    </row>
    <row r="836">
      <c r="A836" s="1" t="n">
        <v>2025051</v>
      </c>
      <c r="B836" s="3" t="inlineStr">
        <is>
          <t>973</t>
        </is>
      </c>
      <c r="C836" s="2">
        <f>IF(B836="","",LEFT(TEXT(B836,"000"),1)*1)</f>
        <v/>
      </c>
      <c r="D836" s="2">
        <f>IF(B836="","",MID(TEXT(B836,"000"),2,1)*1)</f>
        <v/>
      </c>
      <c r="E836" s="2">
        <f>IF(B836="","",RIGHT(TEXT(B836,"000"),1)*1)</f>
        <v/>
      </c>
      <c r="F836" s="2">
        <f>IF(B836="","",C836+D836+E836)</f>
        <v/>
      </c>
      <c r="G836" s="2">
        <f>IF(B836="","",MOD(F836,10))</f>
        <v/>
      </c>
      <c r="H836" s="2">
        <f>IF(B836="","",MAX(C836,D836,E836)-MIN(C836,D836,E836))</f>
        <v/>
      </c>
      <c r="I836" s="2">
        <f>IF(OR(B836="",H836=0),IF(H836=0,0.1,""),ROUND(F836/H836,2))</f>
        <v/>
      </c>
      <c r="J836" s="2">
        <f>IF(I836=0.1,"极紧凑",IF(I836&gt;3.5,"紧凑",IF(AND(I836&gt;=2,I836&lt;=3.5),"标准",IF(AND(I836&gt;=1,I836&lt;2),"松散",""))))</f>
        <v/>
      </c>
      <c r="K836" s="2">
        <f>IF(I836=0.1,"极紧凑-豹子号",IF(AND(I836&gt;=1,I836&lt;=1.29),"松散-极松散",IF(AND(I836&gt;=1.33,I836&lt;=1.8),"松散-标准松散",IF(AND(I836&gt;=1.83,I836&lt;=1.89),"松散-偏紧松散",IF(AND(I836&gt;=2,I836&lt;=2.5),"标准-偏松标准",IF(AND(I836&gt;=2.57,I836&lt;=3),"标准-核心标准",IF(AND(I836&gt;=3.17,I836&lt;=3.5),"标准-偏紧标准",IF(AND(I836&gt;=3.6,I836&lt;=5),"紧凑-标准紧凑",IF(AND(I836&gt;=5.25,I836&lt;=8),"紧凑-高度紧凑",IF(I836&gt;=8.5,"紧凑-极度紧凑",""))))))))))</f>
        <v/>
      </c>
      <c r="L836" s="2">
        <f>IF(I836=0.1,"极紧凑",IF(AND(I836&gt;=1,I836&lt;=1.89),"松散",IF(AND(I836&gt;=2,I836&lt;=3.5),"标准",IF(I836&gt;=3.6,"紧凑",""))))</f>
        <v/>
      </c>
      <c r="M836" s="2" t="inlineStr">
        <is>
          <t>极紧凑-豹子号</t>
        </is>
      </c>
      <c r="N836" s="2" t="inlineStr">
        <is>
          <t>松散-极松散</t>
        </is>
      </c>
      <c r="O836" s="2" t="inlineStr">
        <is>
          <t>松散-标准松散</t>
        </is>
      </c>
      <c r="P836" s="2" t="inlineStr">
        <is>
          <t>松散-偏紧松散</t>
        </is>
      </c>
      <c r="Q836" s="2" t="inlineStr">
        <is>
          <t>标准-偏松标准</t>
        </is>
      </c>
      <c r="R836" s="2" t="inlineStr">
        <is>
          <t>标准-核心标准</t>
        </is>
      </c>
      <c r="S836" s="2" t="inlineStr">
        <is>
          <t>标准-偏紧标准</t>
        </is>
      </c>
      <c r="T836" s="2" t="inlineStr">
        <is>
          <t>紧凑-标准紧凑</t>
        </is>
      </c>
      <c r="U836" s="2" t="inlineStr">
        <is>
          <t>紧凑-高度紧凑</t>
        </is>
      </c>
      <c r="V836" s="2" t="inlineStr">
        <is>
          <t>紧凑-极度紧凑</t>
        </is>
      </c>
    </row>
    <row r="837">
      <c r="A837" s="1" t="n">
        <v>2025052</v>
      </c>
      <c r="B837" s="3" t="inlineStr">
        <is>
          <t>337</t>
        </is>
      </c>
      <c r="C837" s="2">
        <f>IF(B837="","",LEFT(TEXT(B837,"000"),1)*1)</f>
        <v/>
      </c>
      <c r="D837" s="2">
        <f>IF(B837="","",MID(TEXT(B837,"000"),2,1)*1)</f>
        <v/>
      </c>
      <c r="E837" s="2">
        <f>IF(B837="","",RIGHT(TEXT(B837,"000"),1)*1)</f>
        <v/>
      </c>
      <c r="F837" s="2">
        <f>IF(B837="","",C837+D837+E837)</f>
        <v/>
      </c>
      <c r="G837" s="2">
        <f>IF(B837="","",MOD(F837,10))</f>
        <v/>
      </c>
      <c r="H837" s="2">
        <f>IF(B837="","",MAX(C837,D837,E837)-MIN(C837,D837,E837))</f>
        <v/>
      </c>
      <c r="I837" s="2">
        <f>IF(OR(B837="",H837=0),IF(H837=0,0.1,""),ROUND(F837/H837,2))</f>
        <v/>
      </c>
      <c r="J837" s="2">
        <f>IF(I837=0.1,"极紧凑",IF(I837&gt;3.5,"紧凑",IF(AND(I837&gt;=2,I837&lt;=3.5),"标准",IF(AND(I837&gt;=1,I837&lt;2),"松散",""))))</f>
        <v/>
      </c>
      <c r="K837" s="2">
        <f>IF(I837=0.1,"极紧凑-豹子号",IF(AND(I837&gt;=1,I837&lt;=1.29),"松散-极松散",IF(AND(I837&gt;=1.33,I837&lt;=1.8),"松散-标准松散",IF(AND(I837&gt;=1.83,I837&lt;=1.89),"松散-偏紧松散",IF(AND(I837&gt;=2,I837&lt;=2.5),"标准-偏松标准",IF(AND(I837&gt;=2.57,I837&lt;=3),"标准-核心标准",IF(AND(I837&gt;=3.17,I837&lt;=3.5),"标准-偏紧标准",IF(AND(I837&gt;=3.6,I837&lt;=5),"紧凑-标准紧凑",IF(AND(I837&gt;=5.25,I837&lt;=8),"紧凑-高度紧凑",IF(I837&gt;=8.5,"紧凑-极度紧凑",""))))))))))</f>
        <v/>
      </c>
      <c r="L837" s="2">
        <f>IF(I837=0.1,"极紧凑",IF(AND(I837&gt;=1,I837&lt;=1.89),"松散",IF(AND(I837&gt;=2,I837&lt;=3.5),"标准",IF(I837&gt;=3.6,"紧凑",""))))</f>
        <v/>
      </c>
      <c r="M837" s="2" t="inlineStr">
        <is>
          <t>极紧凑-豹子号</t>
        </is>
      </c>
      <c r="N837" s="2" t="inlineStr">
        <is>
          <t>松散-极松散</t>
        </is>
      </c>
      <c r="O837" s="2" t="inlineStr">
        <is>
          <t>松散-标准松散</t>
        </is>
      </c>
      <c r="P837" s="2" t="inlineStr">
        <is>
          <t>松散-偏紧松散</t>
        </is>
      </c>
      <c r="Q837" s="2" t="inlineStr">
        <is>
          <t>标准-偏松标准</t>
        </is>
      </c>
      <c r="R837" s="2" t="inlineStr">
        <is>
          <t>标准-核心标准</t>
        </is>
      </c>
      <c r="S837" s="2" t="inlineStr">
        <is>
          <t>标准-偏紧标准</t>
        </is>
      </c>
      <c r="T837" s="2" t="inlineStr">
        <is>
          <t>紧凑-标准紧凑</t>
        </is>
      </c>
      <c r="U837" s="2" t="inlineStr">
        <is>
          <t>紧凑-高度紧凑</t>
        </is>
      </c>
      <c r="V837" s="2" t="inlineStr">
        <is>
          <t>紧凑-极度紧凑</t>
        </is>
      </c>
    </row>
    <row r="838">
      <c r="A838" s="1" t="n">
        <v>2025053</v>
      </c>
      <c r="B838" s="3" t="inlineStr">
        <is>
          <t>899</t>
        </is>
      </c>
      <c r="C838" s="2">
        <f>IF(B838="","",LEFT(TEXT(B838,"000"),1)*1)</f>
        <v/>
      </c>
      <c r="D838" s="2">
        <f>IF(B838="","",MID(TEXT(B838,"000"),2,1)*1)</f>
        <v/>
      </c>
      <c r="E838" s="2">
        <f>IF(B838="","",RIGHT(TEXT(B838,"000"),1)*1)</f>
        <v/>
      </c>
      <c r="F838" s="2">
        <f>IF(B838="","",C838+D838+E838)</f>
        <v/>
      </c>
      <c r="G838" s="2">
        <f>IF(B838="","",MOD(F838,10))</f>
        <v/>
      </c>
      <c r="H838" s="2">
        <f>IF(B838="","",MAX(C838,D838,E838)-MIN(C838,D838,E838))</f>
        <v/>
      </c>
      <c r="I838" s="2">
        <f>IF(OR(B838="",H838=0),IF(H838=0,0.1,""),ROUND(F838/H838,2))</f>
        <v/>
      </c>
      <c r="J838" s="2">
        <f>IF(I838=0.1,"极紧凑",IF(I838&gt;3.5,"紧凑",IF(AND(I838&gt;=2,I838&lt;=3.5),"标准",IF(AND(I838&gt;=1,I838&lt;2),"松散",""))))</f>
        <v/>
      </c>
      <c r="K838" s="2">
        <f>IF(I838=0.1,"极紧凑-豹子号",IF(AND(I838&gt;=1,I838&lt;=1.29),"松散-极松散",IF(AND(I838&gt;=1.33,I838&lt;=1.8),"松散-标准松散",IF(AND(I838&gt;=1.83,I838&lt;=1.89),"松散-偏紧松散",IF(AND(I838&gt;=2,I838&lt;=2.5),"标准-偏松标准",IF(AND(I838&gt;=2.57,I838&lt;=3),"标准-核心标准",IF(AND(I838&gt;=3.17,I838&lt;=3.5),"标准-偏紧标准",IF(AND(I838&gt;=3.6,I838&lt;=5),"紧凑-标准紧凑",IF(AND(I838&gt;=5.25,I838&lt;=8),"紧凑-高度紧凑",IF(I838&gt;=8.5,"紧凑-极度紧凑",""))))))))))</f>
        <v/>
      </c>
      <c r="L838" s="2">
        <f>IF(I838=0.1,"极紧凑",IF(AND(I838&gt;=1,I838&lt;=1.89),"松散",IF(AND(I838&gt;=2,I838&lt;=3.5),"标准",IF(I838&gt;=3.6,"紧凑",""))))</f>
        <v/>
      </c>
      <c r="M838" s="2" t="inlineStr">
        <is>
          <t>极紧凑-豹子号</t>
        </is>
      </c>
      <c r="N838" s="2" t="inlineStr">
        <is>
          <t>松散-极松散</t>
        </is>
      </c>
      <c r="O838" s="2" t="inlineStr">
        <is>
          <t>松散-标准松散</t>
        </is>
      </c>
      <c r="P838" s="2" t="inlineStr">
        <is>
          <t>松散-偏紧松散</t>
        </is>
      </c>
      <c r="Q838" s="2" t="inlineStr">
        <is>
          <t>标准-偏松标准</t>
        </is>
      </c>
      <c r="R838" s="2" t="inlineStr">
        <is>
          <t>标准-核心标准</t>
        </is>
      </c>
      <c r="S838" s="2" t="inlineStr">
        <is>
          <t>标准-偏紧标准</t>
        </is>
      </c>
      <c r="T838" s="2" t="inlineStr">
        <is>
          <t>紧凑-标准紧凑</t>
        </is>
      </c>
      <c r="U838" s="2" t="inlineStr">
        <is>
          <t>紧凑-高度紧凑</t>
        </is>
      </c>
      <c r="V838" s="2" t="inlineStr">
        <is>
          <t>紧凑-极度紧凑</t>
        </is>
      </c>
    </row>
    <row r="839">
      <c r="A839" s="1" t="n">
        <v>2025054</v>
      </c>
      <c r="B839" s="3" t="inlineStr">
        <is>
          <t>384</t>
        </is>
      </c>
      <c r="C839" s="2">
        <f>IF(B839="","",LEFT(TEXT(B839,"000"),1)*1)</f>
        <v/>
      </c>
      <c r="D839" s="2">
        <f>IF(B839="","",MID(TEXT(B839,"000"),2,1)*1)</f>
        <v/>
      </c>
      <c r="E839" s="2">
        <f>IF(B839="","",RIGHT(TEXT(B839,"000"),1)*1)</f>
        <v/>
      </c>
      <c r="F839" s="2">
        <f>IF(B839="","",C839+D839+E839)</f>
        <v/>
      </c>
      <c r="G839" s="2">
        <f>IF(B839="","",MOD(F839,10))</f>
        <v/>
      </c>
      <c r="H839" s="2">
        <f>IF(B839="","",MAX(C839,D839,E839)-MIN(C839,D839,E839))</f>
        <v/>
      </c>
      <c r="I839" s="2">
        <f>IF(OR(B839="",H839=0),IF(H839=0,0.1,""),ROUND(F839/H839,2))</f>
        <v/>
      </c>
      <c r="J839" s="2">
        <f>IF(I839=0.1,"极紧凑",IF(I839&gt;3.5,"紧凑",IF(AND(I839&gt;=2,I839&lt;=3.5),"标准",IF(AND(I839&gt;=1,I839&lt;2),"松散",""))))</f>
        <v/>
      </c>
      <c r="K839" s="2">
        <f>IF(I839=0.1,"极紧凑-豹子号",IF(AND(I839&gt;=1,I839&lt;=1.29),"松散-极松散",IF(AND(I839&gt;=1.33,I839&lt;=1.8),"松散-标准松散",IF(AND(I839&gt;=1.83,I839&lt;=1.89),"松散-偏紧松散",IF(AND(I839&gt;=2,I839&lt;=2.5),"标准-偏松标准",IF(AND(I839&gt;=2.57,I839&lt;=3),"标准-核心标准",IF(AND(I839&gt;=3.17,I839&lt;=3.5),"标准-偏紧标准",IF(AND(I839&gt;=3.6,I839&lt;=5),"紧凑-标准紧凑",IF(AND(I839&gt;=5.25,I839&lt;=8),"紧凑-高度紧凑",IF(I839&gt;=8.5,"紧凑-极度紧凑",""))))))))))</f>
        <v/>
      </c>
      <c r="L839" s="2">
        <f>IF(I839=0.1,"极紧凑",IF(AND(I839&gt;=1,I839&lt;=1.89),"松散",IF(AND(I839&gt;=2,I839&lt;=3.5),"标准",IF(I839&gt;=3.6,"紧凑",""))))</f>
        <v/>
      </c>
      <c r="M839" s="2" t="inlineStr">
        <is>
          <t>极紧凑-豹子号</t>
        </is>
      </c>
      <c r="N839" s="2" t="inlineStr">
        <is>
          <t>松散-极松散</t>
        </is>
      </c>
      <c r="O839" s="2" t="inlineStr">
        <is>
          <t>松散-标准松散</t>
        </is>
      </c>
      <c r="P839" s="2" t="inlineStr">
        <is>
          <t>松散-偏紧松散</t>
        </is>
      </c>
      <c r="Q839" s="2" t="inlineStr">
        <is>
          <t>标准-偏松标准</t>
        </is>
      </c>
      <c r="R839" s="2" t="inlineStr">
        <is>
          <t>标准-核心标准</t>
        </is>
      </c>
      <c r="S839" s="2" t="inlineStr">
        <is>
          <t>标准-偏紧标准</t>
        </is>
      </c>
      <c r="T839" s="2" t="inlineStr">
        <is>
          <t>紧凑-标准紧凑</t>
        </is>
      </c>
      <c r="U839" s="2" t="inlineStr">
        <is>
          <t>紧凑-高度紧凑</t>
        </is>
      </c>
      <c r="V839" s="2" t="inlineStr">
        <is>
          <t>紧凑-极度紧凑</t>
        </is>
      </c>
    </row>
    <row r="840">
      <c r="A840" s="1" t="n">
        <v>2025055</v>
      </c>
      <c r="B840" s="3" t="inlineStr">
        <is>
          <t>916</t>
        </is>
      </c>
      <c r="C840" s="2">
        <f>IF(B840="","",LEFT(TEXT(B840,"000"),1)*1)</f>
        <v/>
      </c>
      <c r="D840" s="2">
        <f>IF(B840="","",MID(TEXT(B840,"000"),2,1)*1)</f>
        <v/>
      </c>
      <c r="E840" s="2">
        <f>IF(B840="","",RIGHT(TEXT(B840,"000"),1)*1)</f>
        <v/>
      </c>
      <c r="F840" s="2">
        <f>IF(B840="","",C840+D840+E840)</f>
        <v/>
      </c>
      <c r="G840" s="2">
        <f>IF(B840="","",MOD(F840,10))</f>
        <v/>
      </c>
      <c r="H840" s="2">
        <f>IF(B840="","",MAX(C840,D840,E840)-MIN(C840,D840,E840))</f>
        <v/>
      </c>
      <c r="I840" s="2">
        <f>IF(OR(B840="",H840=0),IF(H840=0,0.1,""),ROUND(F840/H840,2))</f>
        <v/>
      </c>
      <c r="J840" s="2">
        <f>IF(I840=0.1,"极紧凑",IF(I840&gt;3.5,"紧凑",IF(AND(I840&gt;=2,I840&lt;=3.5),"标准",IF(AND(I840&gt;=1,I840&lt;2),"松散",""))))</f>
        <v/>
      </c>
      <c r="K840" s="2">
        <f>IF(I840=0.1,"极紧凑-豹子号",IF(AND(I840&gt;=1,I840&lt;=1.29),"松散-极松散",IF(AND(I840&gt;=1.33,I840&lt;=1.8),"松散-标准松散",IF(AND(I840&gt;=1.83,I840&lt;=1.89),"松散-偏紧松散",IF(AND(I840&gt;=2,I840&lt;=2.5),"标准-偏松标准",IF(AND(I840&gt;=2.57,I840&lt;=3),"标准-核心标准",IF(AND(I840&gt;=3.17,I840&lt;=3.5),"标准-偏紧标准",IF(AND(I840&gt;=3.6,I840&lt;=5),"紧凑-标准紧凑",IF(AND(I840&gt;=5.25,I840&lt;=8),"紧凑-高度紧凑",IF(I840&gt;=8.5,"紧凑-极度紧凑",""))))))))))</f>
        <v/>
      </c>
      <c r="L840" s="2">
        <f>IF(I840=0.1,"极紧凑",IF(AND(I840&gt;=1,I840&lt;=1.89),"松散",IF(AND(I840&gt;=2,I840&lt;=3.5),"标准",IF(I840&gt;=3.6,"紧凑",""))))</f>
        <v/>
      </c>
      <c r="M840" s="2" t="inlineStr">
        <is>
          <t>极紧凑-豹子号</t>
        </is>
      </c>
      <c r="N840" s="2" t="inlineStr">
        <is>
          <t>松散-极松散</t>
        </is>
      </c>
      <c r="O840" s="2" t="inlineStr">
        <is>
          <t>松散-标准松散</t>
        </is>
      </c>
      <c r="P840" s="2" t="inlineStr">
        <is>
          <t>松散-偏紧松散</t>
        </is>
      </c>
      <c r="Q840" s="2" t="inlineStr">
        <is>
          <t>标准-偏松标准</t>
        </is>
      </c>
      <c r="R840" s="2" t="inlineStr">
        <is>
          <t>标准-核心标准</t>
        </is>
      </c>
      <c r="S840" s="2" t="inlineStr">
        <is>
          <t>标准-偏紧标准</t>
        </is>
      </c>
      <c r="T840" s="2" t="inlineStr">
        <is>
          <t>紧凑-标准紧凑</t>
        </is>
      </c>
      <c r="U840" s="2" t="inlineStr">
        <is>
          <t>紧凑-高度紧凑</t>
        </is>
      </c>
      <c r="V840" s="2" t="inlineStr">
        <is>
          <t>紧凑-极度紧凑</t>
        </is>
      </c>
    </row>
    <row r="841">
      <c r="A841" s="1" t="n">
        <v>2025056</v>
      </c>
      <c r="B841" s="3" t="inlineStr">
        <is>
          <t>716</t>
        </is>
      </c>
      <c r="C841" s="2">
        <f>IF(B841="","",LEFT(TEXT(B841,"000"),1)*1)</f>
        <v/>
      </c>
      <c r="D841" s="2">
        <f>IF(B841="","",MID(TEXT(B841,"000"),2,1)*1)</f>
        <v/>
      </c>
      <c r="E841" s="2">
        <f>IF(B841="","",RIGHT(TEXT(B841,"000"),1)*1)</f>
        <v/>
      </c>
      <c r="F841" s="2">
        <f>IF(B841="","",C841+D841+E841)</f>
        <v/>
      </c>
      <c r="G841" s="2">
        <f>IF(B841="","",MOD(F841,10))</f>
        <v/>
      </c>
      <c r="H841" s="2">
        <f>IF(B841="","",MAX(C841,D841,E841)-MIN(C841,D841,E841))</f>
        <v/>
      </c>
      <c r="I841" s="2">
        <f>IF(OR(B841="",H841=0),IF(H841=0,0.1,""),ROUND(F841/H841,2))</f>
        <v/>
      </c>
      <c r="J841" s="2">
        <f>IF(I841=0.1,"极紧凑",IF(I841&gt;3.5,"紧凑",IF(AND(I841&gt;=2,I841&lt;=3.5),"标准",IF(AND(I841&gt;=1,I841&lt;2),"松散",""))))</f>
        <v/>
      </c>
      <c r="K841" s="2">
        <f>IF(I841=0.1,"极紧凑-豹子号",IF(AND(I841&gt;=1,I841&lt;=1.29),"松散-极松散",IF(AND(I841&gt;=1.33,I841&lt;=1.8),"松散-标准松散",IF(AND(I841&gt;=1.83,I841&lt;=1.89),"松散-偏紧松散",IF(AND(I841&gt;=2,I841&lt;=2.5),"标准-偏松标准",IF(AND(I841&gt;=2.57,I841&lt;=3),"标准-核心标准",IF(AND(I841&gt;=3.17,I841&lt;=3.5),"标准-偏紧标准",IF(AND(I841&gt;=3.6,I841&lt;=5),"紧凑-标准紧凑",IF(AND(I841&gt;=5.25,I841&lt;=8),"紧凑-高度紧凑",IF(I841&gt;=8.5,"紧凑-极度紧凑",""))))))))))</f>
        <v/>
      </c>
      <c r="L841" s="2">
        <f>IF(I841=0.1,"极紧凑",IF(AND(I841&gt;=1,I841&lt;=1.89),"松散",IF(AND(I841&gt;=2,I841&lt;=3.5),"标准",IF(I841&gt;=3.6,"紧凑",""))))</f>
        <v/>
      </c>
      <c r="M841" s="2" t="inlineStr">
        <is>
          <t>极紧凑-豹子号</t>
        </is>
      </c>
      <c r="N841" s="2" t="inlineStr">
        <is>
          <t>松散-极松散</t>
        </is>
      </c>
      <c r="O841" s="2" t="inlineStr">
        <is>
          <t>松散-标准松散</t>
        </is>
      </c>
      <c r="P841" s="2" t="inlineStr">
        <is>
          <t>松散-偏紧松散</t>
        </is>
      </c>
      <c r="Q841" s="2" t="inlineStr">
        <is>
          <t>标准-偏松标准</t>
        </is>
      </c>
      <c r="R841" s="2" t="inlineStr">
        <is>
          <t>标准-核心标准</t>
        </is>
      </c>
      <c r="S841" s="2" t="inlineStr">
        <is>
          <t>标准-偏紧标准</t>
        </is>
      </c>
      <c r="T841" s="2" t="inlineStr">
        <is>
          <t>紧凑-标准紧凑</t>
        </is>
      </c>
      <c r="U841" s="2" t="inlineStr">
        <is>
          <t>紧凑-高度紧凑</t>
        </is>
      </c>
      <c r="V841" s="2" t="inlineStr">
        <is>
          <t>紧凑-极度紧凑</t>
        </is>
      </c>
    </row>
    <row r="842">
      <c r="A842" s="1" t="n">
        <v>2025057</v>
      </c>
      <c r="B842" s="3" t="inlineStr">
        <is>
          <t>765</t>
        </is>
      </c>
      <c r="C842" s="2">
        <f>IF(B842="","",LEFT(TEXT(B842,"000"),1)*1)</f>
        <v/>
      </c>
      <c r="D842" s="2">
        <f>IF(B842="","",MID(TEXT(B842,"000"),2,1)*1)</f>
        <v/>
      </c>
      <c r="E842" s="2">
        <f>IF(B842="","",RIGHT(TEXT(B842,"000"),1)*1)</f>
        <v/>
      </c>
      <c r="F842" s="2">
        <f>IF(B842="","",C842+D842+E842)</f>
        <v/>
      </c>
      <c r="G842" s="2">
        <f>IF(B842="","",MOD(F842,10))</f>
        <v/>
      </c>
      <c r="H842" s="2">
        <f>IF(B842="","",MAX(C842,D842,E842)-MIN(C842,D842,E842))</f>
        <v/>
      </c>
      <c r="I842" s="2">
        <f>IF(OR(B842="",H842=0),IF(H842=0,0.1,""),ROUND(F842/H842,2))</f>
        <v/>
      </c>
      <c r="J842" s="2">
        <f>IF(I842=0.1,"极紧凑",IF(I842&gt;3.5,"紧凑",IF(AND(I842&gt;=2,I842&lt;=3.5),"标准",IF(AND(I842&gt;=1,I842&lt;2),"松散",""))))</f>
        <v/>
      </c>
      <c r="K842" s="2">
        <f>IF(I842=0.1,"极紧凑-豹子号",IF(AND(I842&gt;=1,I842&lt;=1.29),"松散-极松散",IF(AND(I842&gt;=1.33,I842&lt;=1.8),"松散-标准松散",IF(AND(I842&gt;=1.83,I842&lt;=1.89),"松散-偏紧松散",IF(AND(I842&gt;=2,I842&lt;=2.5),"标准-偏松标准",IF(AND(I842&gt;=2.57,I842&lt;=3),"标准-核心标准",IF(AND(I842&gt;=3.17,I842&lt;=3.5),"标准-偏紧标准",IF(AND(I842&gt;=3.6,I842&lt;=5),"紧凑-标准紧凑",IF(AND(I842&gt;=5.25,I842&lt;=8),"紧凑-高度紧凑",IF(I842&gt;=8.5,"紧凑-极度紧凑",""))))))))))</f>
        <v/>
      </c>
      <c r="L842" s="2">
        <f>IF(I842=0.1,"极紧凑",IF(AND(I842&gt;=1,I842&lt;=1.89),"松散",IF(AND(I842&gt;=2,I842&lt;=3.5),"标准",IF(I842&gt;=3.6,"紧凑",""))))</f>
        <v/>
      </c>
      <c r="M842" s="2" t="inlineStr">
        <is>
          <t>极紧凑-豹子号</t>
        </is>
      </c>
      <c r="N842" s="2" t="inlineStr">
        <is>
          <t>松散-极松散</t>
        </is>
      </c>
      <c r="O842" s="2" t="inlineStr">
        <is>
          <t>松散-标准松散</t>
        </is>
      </c>
      <c r="P842" s="2" t="inlineStr">
        <is>
          <t>松散-偏紧松散</t>
        </is>
      </c>
      <c r="Q842" s="2" t="inlineStr">
        <is>
          <t>标准-偏松标准</t>
        </is>
      </c>
      <c r="R842" s="2" t="inlineStr">
        <is>
          <t>标准-核心标准</t>
        </is>
      </c>
      <c r="S842" s="2" t="inlineStr">
        <is>
          <t>标准-偏紧标准</t>
        </is>
      </c>
      <c r="T842" s="2" t="inlineStr">
        <is>
          <t>紧凑-标准紧凑</t>
        </is>
      </c>
      <c r="U842" s="2" t="inlineStr">
        <is>
          <t>紧凑-高度紧凑</t>
        </is>
      </c>
      <c r="V842" s="2" t="inlineStr">
        <is>
          <t>紧凑-极度紧凑</t>
        </is>
      </c>
    </row>
    <row r="843">
      <c r="A843" s="1" t="n">
        <v>2025058</v>
      </c>
      <c r="B843" s="3" t="inlineStr">
        <is>
          <t>672</t>
        </is>
      </c>
      <c r="C843" s="2">
        <f>IF(B843="","",LEFT(TEXT(B843,"000"),1)*1)</f>
        <v/>
      </c>
      <c r="D843" s="2">
        <f>IF(B843="","",MID(TEXT(B843,"000"),2,1)*1)</f>
        <v/>
      </c>
      <c r="E843" s="2">
        <f>IF(B843="","",RIGHT(TEXT(B843,"000"),1)*1)</f>
        <v/>
      </c>
      <c r="F843" s="2">
        <f>IF(B843="","",C843+D843+E843)</f>
        <v/>
      </c>
      <c r="G843" s="2">
        <f>IF(B843="","",MOD(F843,10))</f>
        <v/>
      </c>
      <c r="H843" s="2">
        <f>IF(B843="","",MAX(C843,D843,E843)-MIN(C843,D843,E843))</f>
        <v/>
      </c>
      <c r="I843" s="2">
        <f>IF(OR(B843="",H843=0),IF(H843=0,0.1,""),ROUND(F843/H843,2))</f>
        <v/>
      </c>
      <c r="J843" s="2">
        <f>IF(I843=0.1,"极紧凑",IF(I843&gt;3.5,"紧凑",IF(AND(I843&gt;=2,I843&lt;=3.5),"标准",IF(AND(I843&gt;=1,I843&lt;2),"松散",""))))</f>
        <v/>
      </c>
      <c r="K843" s="2">
        <f>IF(I843=0.1,"极紧凑-豹子号",IF(AND(I843&gt;=1,I843&lt;=1.29),"松散-极松散",IF(AND(I843&gt;=1.33,I843&lt;=1.8),"松散-标准松散",IF(AND(I843&gt;=1.83,I843&lt;=1.89),"松散-偏紧松散",IF(AND(I843&gt;=2,I843&lt;=2.5),"标准-偏松标准",IF(AND(I843&gt;=2.57,I843&lt;=3),"标准-核心标准",IF(AND(I843&gt;=3.17,I843&lt;=3.5),"标准-偏紧标准",IF(AND(I843&gt;=3.6,I843&lt;=5),"紧凑-标准紧凑",IF(AND(I843&gt;=5.25,I843&lt;=8),"紧凑-高度紧凑",IF(I843&gt;=8.5,"紧凑-极度紧凑",""))))))))))</f>
        <v/>
      </c>
      <c r="L843" s="2">
        <f>IF(I843=0.1,"极紧凑",IF(AND(I843&gt;=1,I843&lt;=1.89),"松散",IF(AND(I843&gt;=2,I843&lt;=3.5),"标准",IF(I843&gt;=3.6,"紧凑",""))))</f>
        <v/>
      </c>
      <c r="M843" s="2" t="inlineStr">
        <is>
          <t>极紧凑-豹子号</t>
        </is>
      </c>
      <c r="N843" s="2" t="inlineStr">
        <is>
          <t>松散-极松散</t>
        </is>
      </c>
      <c r="O843" s="2" t="inlineStr">
        <is>
          <t>松散-标准松散</t>
        </is>
      </c>
      <c r="P843" s="2" t="inlineStr">
        <is>
          <t>松散-偏紧松散</t>
        </is>
      </c>
      <c r="Q843" s="2" t="inlineStr">
        <is>
          <t>标准-偏松标准</t>
        </is>
      </c>
      <c r="R843" s="2" t="inlineStr">
        <is>
          <t>标准-核心标准</t>
        </is>
      </c>
      <c r="S843" s="2" t="inlineStr">
        <is>
          <t>标准-偏紧标准</t>
        </is>
      </c>
      <c r="T843" s="2" t="inlineStr">
        <is>
          <t>紧凑-标准紧凑</t>
        </is>
      </c>
      <c r="U843" s="2" t="inlineStr">
        <is>
          <t>紧凑-高度紧凑</t>
        </is>
      </c>
      <c r="V843" s="2" t="inlineStr">
        <is>
          <t>紧凑-极度紧凑</t>
        </is>
      </c>
    </row>
    <row r="844">
      <c r="A844" s="1" t="n">
        <v>2025059</v>
      </c>
      <c r="B844" s="3" t="inlineStr">
        <is>
          <t>771</t>
        </is>
      </c>
      <c r="C844" s="2">
        <f>IF(B844="","",LEFT(TEXT(B844,"000"),1)*1)</f>
        <v/>
      </c>
      <c r="D844" s="2">
        <f>IF(B844="","",MID(TEXT(B844,"000"),2,1)*1)</f>
        <v/>
      </c>
      <c r="E844" s="2">
        <f>IF(B844="","",RIGHT(TEXT(B844,"000"),1)*1)</f>
        <v/>
      </c>
      <c r="F844" s="2">
        <f>IF(B844="","",C844+D844+E844)</f>
        <v/>
      </c>
      <c r="G844" s="2">
        <f>IF(B844="","",MOD(F844,10))</f>
        <v/>
      </c>
      <c r="H844" s="2">
        <f>IF(B844="","",MAX(C844,D844,E844)-MIN(C844,D844,E844))</f>
        <v/>
      </c>
      <c r="I844" s="2">
        <f>IF(OR(B844="",H844=0),IF(H844=0,0.1,""),ROUND(F844/H844,2))</f>
        <v/>
      </c>
      <c r="J844" s="2">
        <f>IF(I844=0.1,"极紧凑",IF(I844&gt;3.5,"紧凑",IF(AND(I844&gt;=2,I844&lt;=3.5),"标准",IF(AND(I844&gt;=1,I844&lt;2),"松散",""))))</f>
        <v/>
      </c>
      <c r="K844" s="2">
        <f>IF(I844=0.1,"极紧凑-豹子号",IF(AND(I844&gt;=1,I844&lt;=1.29),"松散-极松散",IF(AND(I844&gt;=1.33,I844&lt;=1.8),"松散-标准松散",IF(AND(I844&gt;=1.83,I844&lt;=1.89),"松散-偏紧松散",IF(AND(I844&gt;=2,I844&lt;=2.5),"标准-偏松标准",IF(AND(I844&gt;=2.57,I844&lt;=3),"标准-核心标准",IF(AND(I844&gt;=3.17,I844&lt;=3.5),"标准-偏紧标准",IF(AND(I844&gt;=3.6,I844&lt;=5),"紧凑-标准紧凑",IF(AND(I844&gt;=5.25,I844&lt;=8),"紧凑-高度紧凑",IF(I844&gt;=8.5,"紧凑-极度紧凑",""))))))))))</f>
        <v/>
      </c>
      <c r="L844" s="2">
        <f>IF(I844=0.1,"极紧凑",IF(AND(I844&gt;=1,I844&lt;=1.89),"松散",IF(AND(I844&gt;=2,I844&lt;=3.5),"标准",IF(I844&gt;=3.6,"紧凑",""))))</f>
        <v/>
      </c>
      <c r="M844" s="2" t="inlineStr">
        <is>
          <t>极紧凑-豹子号</t>
        </is>
      </c>
      <c r="N844" s="2" t="inlineStr">
        <is>
          <t>松散-极松散</t>
        </is>
      </c>
      <c r="O844" s="2" t="inlineStr">
        <is>
          <t>松散-标准松散</t>
        </is>
      </c>
      <c r="P844" s="2" t="inlineStr">
        <is>
          <t>松散-偏紧松散</t>
        </is>
      </c>
      <c r="Q844" s="2" t="inlineStr">
        <is>
          <t>标准-偏松标准</t>
        </is>
      </c>
      <c r="R844" s="2" t="inlineStr">
        <is>
          <t>标准-核心标准</t>
        </is>
      </c>
      <c r="S844" s="2" t="inlineStr">
        <is>
          <t>标准-偏紧标准</t>
        </is>
      </c>
      <c r="T844" s="2" t="inlineStr">
        <is>
          <t>紧凑-标准紧凑</t>
        </is>
      </c>
      <c r="U844" s="2" t="inlineStr">
        <is>
          <t>紧凑-高度紧凑</t>
        </is>
      </c>
      <c r="V844" s="2" t="inlineStr">
        <is>
          <t>紧凑-极度紧凑</t>
        </is>
      </c>
    </row>
    <row r="845">
      <c r="A845" s="1" t="n">
        <v>2025060</v>
      </c>
      <c r="B845" s="3" t="inlineStr">
        <is>
          <t>793</t>
        </is>
      </c>
      <c r="C845" s="2">
        <f>IF(B845="","",LEFT(TEXT(B845,"000"),1)*1)</f>
        <v/>
      </c>
      <c r="D845" s="2">
        <f>IF(B845="","",MID(TEXT(B845,"000"),2,1)*1)</f>
        <v/>
      </c>
      <c r="E845" s="2">
        <f>IF(B845="","",RIGHT(TEXT(B845,"000"),1)*1)</f>
        <v/>
      </c>
      <c r="F845" s="2">
        <f>IF(B845="","",C845+D845+E845)</f>
        <v/>
      </c>
      <c r="G845" s="2">
        <f>IF(B845="","",MOD(F845,10))</f>
        <v/>
      </c>
      <c r="H845" s="2">
        <f>IF(B845="","",MAX(C845,D845,E845)-MIN(C845,D845,E845))</f>
        <v/>
      </c>
      <c r="I845" s="2">
        <f>IF(OR(B845="",H845=0),IF(H845=0,0.1,""),ROUND(F845/H845,2))</f>
        <v/>
      </c>
      <c r="J845" s="2">
        <f>IF(I845=0.1,"极紧凑",IF(I845&gt;3.5,"紧凑",IF(AND(I845&gt;=2,I845&lt;=3.5),"标准",IF(AND(I845&gt;=1,I845&lt;2),"松散",""))))</f>
        <v/>
      </c>
      <c r="K845" s="2">
        <f>IF(I845=0.1,"极紧凑-豹子号",IF(AND(I845&gt;=1,I845&lt;=1.29),"松散-极松散",IF(AND(I845&gt;=1.33,I845&lt;=1.8),"松散-标准松散",IF(AND(I845&gt;=1.83,I845&lt;=1.89),"松散-偏紧松散",IF(AND(I845&gt;=2,I845&lt;=2.5),"标准-偏松标准",IF(AND(I845&gt;=2.57,I845&lt;=3),"标准-核心标准",IF(AND(I845&gt;=3.17,I845&lt;=3.5),"标准-偏紧标准",IF(AND(I845&gt;=3.6,I845&lt;=5),"紧凑-标准紧凑",IF(AND(I845&gt;=5.25,I845&lt;=8),"紧凑-高度紧凑",IF(I845&gt;=8.5,"紧凑-极度紧凑",""))))))))))</f>
        <v/>
      </c>
      <c r="L845" s="2">
        <f>IF(I845=0.1,"极紧凑",IF(AND(I845&gt;=1,I845&lt;=1.89),"松散",IF(AND(I845&gt;=2,I845&lt;=3.5),"标准",IF(I845&gt;=3.6,"紧凑",""))))</f>
        <v/>
      </c>
      <c r="M845" s="2" t="inlineStr">
        <is>
          <t>极紧凑-豹子号</t>
        </is>
      </c>
      <c r="N845" s="2" t="inlineStr">
        <is>
          <t>松散-极松散</t>
        </is>
      </c>
      <c r="O845" s="2" t="inlineStr">
        <is>
          <t>松散-标准松散</t>
        </is>
      </c>
      <c r="P845" s="2" t="inlineStr">
        <is>
          <t>松散-偏紧松散</t>
        </is>
      </c>
      <c r="Q845" s="2" t="inlineStr">
        <is>
          <t>标准-偏松标准</t>
        </is>
      </c>
      <c r="R845" s="2" t="inlineStr">
        <is>
          <t>标准-核心标准</t>
        </is>
      </c>
      <c r="S845" s="2" t="inlineStr">
        <is>
          <t>标准-偏紧标准</t>
        </is>
      </c>
      <c r="T845" s="2" t="inlineStr">
        <is>
          <t>紧凑-标准紧凑</t>
        </is>
      </c>
      <c r="U845" s="2" t="inlineStr">
        <is>
          <t>紧凑-高度紧凑</t>
        </is>
      </c>
      <c r="V845" s="2" t="inlineStr">
        <is>
          <t>紧凑-极度紧凑</t>
        </is>
      </c>
    </row>
    <row r="846">
      <c r="A846" s="1" t="n">
        <v>2025061</v>
      </c>
      <c r="B846" s="3" t="inlineStr">
        <is>
          <t>490</t>
        </is>
      </c>
      <c r="C846" s="2">
        <f>IF(B846="","",LEFT(TEXT(B846,"000"),1)*1)</f>
        <v/>
      </c>
      <c r="D846" s="2">
        <f>IF(B846="","",MID(TEXT(B846,"000"),2,1)*1)</f>
        <v/>
      </c>
      <c r="E846" s="2">
        <f>IF(B846="","",RIGHT(TEXT(B846,"000"),1)*1)</f>
        <v/>
      </c>
      <c r="F846" s="2">
        <f>IF(B846="","",C846+D846+E846)</f>
        <v/>
      </c>
      <c r="G846" s="2">
        <f>IF(B846="","",MOD(F846,10))</f>
        <v/>
      </c>
      <c r="H846" s="2">
        <f>IF(B846="","",MAX(C846,D846,E846)-MIN(C846,D846,E846))</f>
        <v/>
      </c>
      <c r="I846" s="2">
        <f>IF(OR(B846="",H846=0),IF(H846=0,0.1,""),ROUND(F846/H846,2))</f>
        <v/>
      </c>
      <c r="J846" s="2">
        <f>IF(I846=0.1,"极紧凑",IF(I846&gt;3.5,"紧凑",IF(AND(I846&gt;=2,I846&lt;=3.5),"标准",IF(AND(I846&gt;=1,I846&lt;2),"松散",""))))</f>
        <v/>
      </c>
      <c r="K846" s="2">
        <f>IF(I846=0.1,"极紧凑-豹子号",IF(AND(I846&gt;=1,I846&lt;=1.29),"松散-极松散",IF(AND(I846&gt;=1.33,I846&lt;=1.8),"松散-标准松散",IF(AND(I846&gt;=1.83,I846&lt;=1.89),"松散-偏紧松散",IF(AND(I846&gt;=2,I846&lt;=2.5),"标准-偏松标准",IF(AND(I846&gt;=2.57,I846&lt;=3),"标准-核心标准",IF(AND(I846&gt;=3.17,I846&lt;=3.5),"标准-偏紧标准",IF(AND(I846&gt;=3.6,I846&lt;=5),"紧凑-标准紧凑",IF(AND(I846&gt;=5.25,I846&lt;=8),"紧凑-高度紧凑",IF(I846&gt;=8.5,"紧凑-极度紧凑",""))))))))))</f>
        <v/>
      </c>
      <c r="L846" s="2">
        <f>IF(I846=0.1,"极紧凑",IF(AND(I846&gt;=1,I846&lt;=1.89),"松散",IF(AND(I846&gt;=2,I846&lt;=3.5),"标准",IF(I846&gt;=3.6,"紧凑",""))))</f>
        <v/>
      </c>
      <c r="M846" s="2" t="inlineStr">
        <is>
          <t>极紧凑-豹子号</t>
        </is>
      </c>
      <c r="N846" s="2" t="inlineStr">
        <is>
          <t>松散-极松散</t>
        </is>
      </c>
      <c r="O846" s="2" t="inlineStr">
        <is>
          <t>松散-标准松散</t>
        </is>
      </c>
      <c r="P846" s="2" t="inlineStr">
        <is>
          <t>松散-偏紧松散</t>
        </is>
      </c>
      <c r="Q846" s="2" t="inlineStr">
        <is>
          <t>标准-偏松标准</t>
        </is>
      </c>
      <c r="R846" s="2" t="inlineStr">
        <is>
          <t>标准-核心标准</t>
        </is>
      </c>
      <c r="S846" s="2" t="inlineStr">
        <is>
          <t>标准-偏紧标准</t>
        </is>
      </c>
      <c r="T846" s="2" t="inlineStr">
        <is>
          <t>紧凑-标准紧凑</t>
        </is>
      </c>
      <c r="U846" s="2" t="inlineStr">
        <is>
          <t>紧凑-高度紧凑</t>
        </is>
      </c>
      <c r="V846" s="2" t="inlineStr">
        <is>
          <t>紧凑-极度紧凑</t>
        </is>
      </c>
    </row>
    <row r="847">
      <c r="A847" s="1" t="n">
        <v>2025062</v>
      </c>
      <c r="B847" s="3" t="inlineStr">
        <is>
          <t>257</t>
        </is>
      </c>
      <c r="C847" s="2">
        <f>IF(B847="","",LEFT(TEXT(B847,"000"),1)*1)</f>
        <v/>
      </c>
      <c r="D847" s="2">
        <f>IF(B847="","",MID(TEXT(B847,"000"),2,1)*1)</f>
        <v/>
      </c>
      <c r="E847" s="2">
        <f>IF(B847="","",RIGHT(TEXT(B847,"000"),1)*1)</f>
        <v/>
      </c>
      <c r="F847" s="2">
        <f>IF(B847="","",C847+D847+E847)</f>
        <v/>
      </c>
      <c r="G847" s="2">
        <f>IF(B847="","",MOD(F847,10))</f>
        <v/>
      </c>
      <c r="H847" s="2">
        <f>IF(B847="","",MAX(C847,D847,E847)-MIN(C847,D847,E847))</f>
        <v/>
      </c>
      <c r="I847" s="2">
        <f>IF(OR(B847="",H847=0),IF(H847=0,0.1,""),ROUND(F847/H847,2))</f>
        <v/>
      </c>
      <c r="J847" s="2">
        <f>IF(I847=0.1,"极紧凑",IF(I847&gt;3.5,"紧凑",IF(AND(I847&gt;=2,I847&lt;=3.5),"标准",IF(AND(I847&gt;=1,I847&lt;2),"松散",""))))</f>
        <v/>
      </c>
      <c r="K847" s="2">
        <f>IF(I847=0.1,"极紧凑-豹子号",IF(AND(I847&gt;=1,I847&lt;=1.29),"松散-极松散",IF(AND(I847&gt;=1.33,I847&lt;=1.8),"松散-标准松散",IF(AND(I847&gt;=1.83,I847&lt;=1.89),"松散-偏紧松散",IF(AND(I847&gt;=2,I847&lt;=2.5),"标准-偏松标准",IF(AND(I847&gt;=2.57,I847&lt;=3),"标准-核心标准",IF(AND(I847&gt;=3.17,I847&lt;=3.5),"标准-偏紧标准",IF(AND(I847&gt;=3.6,I847&lt;=5),"紧凑-标准紧凑",IF(AND(I847&gt;=5.25,I847&lt;=8),"紧凑-高度紧凑",IF(I847&gt;=8.5,"紧凑-极度紧凑",""))))))))))</f>
        <v/>
      </c>
      <c r="L847" s="2">
        <f>IF(I847=0.1,"极紧凑",IF(AND(I847&gt;=1,I847&lt;=1.89),"松散",IF(AND(I847&gt;=2,I847&lt;=3.5),"标准",IF(I847&gt;=3.6,"紧凑",""))))</f>
        <v/>
      </c>
      <c r="M847" s="2" t="inlineStr">
        <is>
          <t>极紧凑-豹子号</t>
        </is>
      </c>
      <c r="N847" s="2" t="inlineStr">
        <is>
          <t>松散-极松散</t>
        </is>
      </c>
      <c r="O847" s="2" t="inlineStr">
        <is>
          <t>松散-标准松散</t>
        </is>
      </c>
      <c r="P847" s="2" t="inlineStr">
        <is>
          <t>松散-偏紧松散</t>
        </is>
      </c>
      <c r="Q847" s="2" t="inlineStr">
        <is>
          <t>标准-偏松标准</t>
        </is>
      </c>
      <c r="R847" s="2" t="inlineStr">
        <is>
          <t>标准-核心标准</t>
        </is>
      </c>
      <c r="S847" s="2" t="inlineStr">
        <is>
          <t>标准-偏紧标准</t>
        </is>
      </c>
      <c r="T847" s="2" t="inlineStr">
        <is>
          <t>紧凑-标准紧凑</t>
        </is>
      </c>
      <c r="U847" s="2" t="inlineStr">
        <is>
          <t>紧凑-高度紧凑</t>
        </is>
      </c>
      <c r="V847" s="2" t="inlineStr">
        <is>
          <t>紧凑-极度紧凑</t>
        </is>
      </c>
    </row>
    <row r="848">
      <c r="A848" s="1" t="n">
        <v>2025063</v>
      </c>
      <c r="B848" s="3" t="inlineStr">
        <is>
          <t>466</t>
        </is>
      </c>
      <c r="C848" s="2">
        <f>IF(B848="","",LEFT(TEXT(B848,"000"),1)*1)</f>
        <v/>
      </c>
      <c r="D848" s="2">
        <f>IF(B848="","",MID(TEXT(B848,"000"),2,1)*1)</f>
        <v/>
      </c>
      <c r="E848" s="2">
        <f>IF(B848="","",RIGHT(TEXT(B848,"000"),1)*1)</f>
        <v/>
      </c>
      <c r="F848" s="2">
        <f>IF(B848="","",C848+D848+E848)</f>
        <v/>
      </c>
      <c r="G848" s="2">
        <f>IF(B848="","",MOD(F848,10))</f>
        <v/>
      </c>
      <c r="H848" s="2">
        <f>IF(B848="","",MAX(C848,D848,E848)-MIN(C848,D848,E848))</f>
        <v/>
      </c>
      <c r="I848" s="2">
        <f>IF(OR(B848="",H848=0),IF(H848=0,0.1,""),ROUND(F848/H848,2))</f>
        <v/>
      </c>
      <c r="J848" s="2">
        <f>IF(I848=0.1,"极紧凑",IF(I848&gt;3.5,"紧凑",IF(AND(I848&gt;=2,I848&lt;=3.5),"标准",IF(AND(I848&gt;=1,I848&lt;2),"松散",""))))</f>
        <v/>
      </c>
      <c r="K848" s="2">
        <f>IF(I848=0.1,"极紧凑-豹子号",IF(AND(I848&gt;=1,I848&lt;=1.29),"松散-极松散",IF(AND(I848&gt;=1.33,I848&lt;=1.8),"松散-标准松散",IF(AND(I848&gt;=1.83,I848&lt;=1.89),"松散-偏紧松散",IF(AND(I848&gt;=2,I848&lt;=2.5),"标准-偏松标准",IF(AND(I848&gt;=2.57,I848&lt;=3),"标准-核心标准",IF(AND(I848&gt;=3.17,I848&lt;=3.5),"标准-偏紧标准",IF(AND(I848&gt;=3.6,I848&lt;=5),"紧凑-标准紧凑",IF(AND(I848&gt;=5.25,I848&lt;=8),"紧凑-高度紧凑",IF(I848&gt;=8.5,"紧凑-极度紧凑",""))))))))))</f>
        <v/>
      </c>
      <c r="L848" s="2">
        <f>IF(I848=0.1,"极紧凑",IF(AND(I848&gt;=1,I848&lt;=1.89),"松散",IF(AND(I848&gt;=2,I848&lt;=3.5),"标准",IF(I848&gt;=3.6,"紧凑",""))))</f>
        <v/>
      </c>
      <c r="M848" s="2" t="inlineStr">
        <is>
          <t>极紧凑-豹子号</t>
        </is>
      </c>
      <c r="N848" s="2" t="inlineStr">
        <is>
          <t>松散-极松散</t>
        </is>
      </c>
      <c r="O848" s="2" t="inlineStr">
        <is>
          <t>松散-标准松散</t>
        </is>
      </c>
      <c r="P848" s="2" t="inlineStr">
        <is>
          <t>松散-偏紧松散</t>
        </is>
      </c>
      <c r="Q848" s="2" t="inlineStr">
        <is>
          <t>标准-偏松标准</t>
        </is>
      </c>
      <c r="R848" s="2" t="inlineStr">
        <is>
          <t>标准-核心标准</t>
        </is>
      </c>
      <c r="S848" s="2" t="inlineStr">
        <is>
          <t>标准-偏紧标准</t>
        </is>
      </c>
      <c r="T848" s="2" t="inlineStr">
        <is>
          <t>紧凑-标准紧凑</t>
        </is>
      </c>
      <c r="U848" s="2" t="inlineStr">
        <is>
          <t>紧凑-高度紧凑</t>
        </is>
      </c>
      <c r="V848" s="2" t="inlineStr">
        <is>
          <t>紧凑-极度紧凑</t>
        </is>
      </c>
    </row>
    <row r="849">
      <c r="A849" s="1" t="n">
        <v>2025064</v>
      </c>
      <c r="B849" s="3" t="inlineStr">
        <is>
          <t>656</t>
        </is>
      </c>
      <c r="C849" s="2">
        <f>IF(B849="","",LEFT(TEXT(B849,"000"),1)*1)</f>
        <v/>
      </c>
      <c r="D849" s="2">
        <f>IF(B849="","",MID(TEXT(B849,"000"),2,1)*1)</f>
        <v/>
      </c>
      <c r="E849" s="2">
        <f>IF(B849="","",RIGHT(TEXT(B849,"000"),1)*1)</f>
        <v/>
      </c>
      <c r="F849" s="2">
        <f>IF(B849="","",C849+D849+E849)</f>
        <v/>
      </c>
      <c r="G849" s="2">
        <f>IF(B849="","",MOD(F849,10))</f>
        <v/>
      </c>
      <c r="H849" s="2">
        <f>IF(B849="","",MAX(C849,D849,E849)-MIN(C849,D849,E849))</f>
        <v/>
      </c>
      <c r="I849" s="2">
        <f>IF(OR(B849="",H849=0),IF(H849=0,0.1,""),ROUND(F849/H849,2))</f>
        <v/>
      </c>
      <c r="J849" s="2">
        <f>IF(I849=0.1,"极紧凑",IF(I849&gt;3.5,"紧凑",IF(AND(I849&gt;=2,I849&lt;=3.5),"标准",IF(AND(I849&gt;=1,I849&lt;2),"松散",""))))</f>
        <v/>
      </c>
      <c r="K849" s="2">
        <f>IF(I849=0.1,"极紧凑-豹子号",IF(AND(I849&gt;=1,I849&lt;=1.29),"松散-极松散",IF(AND(I849&gt;=1.33,I849&lt;=1.8),"松散-标准松散",IF(AND(I849&gt;=1.83,I849&lt;=1.89),"松散-偏紧松散",IF(AND(I849&gt;=2,I849&lt;=2.5),"标准-偏松标准",IF(AND(I849&gt;=2.57,I849&lt;=3),"标准-核心标准",IF(AND(I849&gt;=3.17,I849&lt;=3.5),"标准-偏紧标准",IF(AND(I849&gt;=3.6,I849&lt;=5),"紧凑-标准紧凑",IF(AND(I849&gt;=5.25,I849&lt;=8),"紧凑-高度紧凑",IF(I849&gt;=8.5,"紧凑-极度紧凑",""))))))))))</f>
        <v/>
      </c>
      <c r="L849" s="2">
        <f>IF(I849=0.1,"极紧凑",IF(AND(I849&gt;=1,I849&lt;=1.89),"松散",IF(AND(I849&gt;=2,I849&lt;=3.5),"标准",IF(I849&gt;=3.6,"紧凑",""))))</f>
        <v/>
      </c>
      <c r="M849" s="2" t="inlineStr">
        <is>
          <t>极紧凑-豹子号</t>
        </is>
      </c>
      <c r="N849" s="2" t="inlineStr">
        <is>
          <t>松散-极松散</t>
        </is>
      </c>
      <c r="O849" s="2" t="inlineStr">
        <is>
          <t>松散-标准松散</t>
        </is>
      </c>
      <c r="P849" s="2" t="inlineStr">
        <is>
          <t>松散-偏紧松散</t>
        </is>
      </c>
      <c r="Q849" s="2" t="inlineStr">
        <is>
          <t>标准-偏松标准</t>
        </is>
      </c>
      <c r="R849" s="2" t="inlineStr">
        <is>
          <t>标准-核心标准</t>
        </is>
      </c>
      <c r="S849" s="2" t="inlineStr">
        <is>
          <t>标准-偏紧标准</t>
        </is>
      </c>
      <c r="T849" s="2" t="inlineStr">
        <is>
          <t>紧凑-标准紧凑</t>
        </is>
      </c>
      <c r="U849" s="2" t="inlineStr">
        <is>
          <t>紧凑-高度紧凑</t>
        </is>
      </c>
      <c r="V849" s="2" t="inlineStr">
        <is>
          <t>紧凑-极度紧凑</t>
        </is>
      </c>
    </row>
    <row r="850">
      <c r="A850" s="1" t="n">
        <v>2025065</v>
      </c>
      <c r="B850" s="3" t="inlineStr">
        <is>
          <t>990</t>
        </is>
      </c>
      <c r="C850" s="2">
        <f>IF(B850="","",LEFT(TEXT(B850,"000"),1)*1)</f>
        <v/>
      </c>
      <c r="D850" s="2">
        <f>IF(B850="","",MID(TEXT(B850,"000"),2,1)*1)</f>
        <v/>
      </c>
      <c r="E850" s="2">
        <f>IF(B850="","",RIGHT(TEXT(B850,"000"),1)*1)</f>
        <v/>
      </c>
      <c r="F850" s="2">
        <f>IF(B850="","",C850+D850+E850)</f>
        <v/>
      </c>
      <c r="G850" s="2">
        <f>IF(B850="","",MOD(F850,10))</f>
        <v/>
      </c>
      <c r="H850" s="2">
        <f>IF(B850="","",MAX(C850,D850,E850)-MIN(C850,D850,E850))</f>
        <v/>
      </c>
      <c r="I850" s="2">
        <f>IF(OR(B850="",H850=0),IF(H850=0,0.1,""),ROUND(F850/H850,2))</f>
        <v/>
      </c>
      <c r="J850" s="2">
        <f>IF(I850=0.1,"极紧凑",IF(I850&gt;3.5,"紧凑",IF(AND(I850&gt;=2,I850&lt;=3.5),"标准",IF(AND(I850&gt;=1,I850&lt;2),"松散",""))))</f>
        <v/>
      </c>
      <c r="K850" s="2">
        <f>IF(I850=0.1,"极紧凑-豹子号",IF(AND(I850&gt;=1,I850&lt;=1.29),"松散-极松散",IF(AND(I850&gt;=1.33,I850&lt;=1.8),"松散-标准松散",IF(AND(I850&gt;=1.83,I850&lt;=1.89),"松散-偏紧松散",IF(AND(I850&gt;=2,I850&lt;=2.5),"标准-偏松标准",IF(AND(I850&gt;=2.57,I850&lt;=3),"标准-核心标准",IF(AND(I850&gt;=3.17,I850&lt;=3.5),"标准-偏紧标准",IF(AND(I850&gt;=3.6,I850&lt;=5),"紧凑-标准紧凑",IF(AND(I850&gt;=5.25,I850&lt;=8),"紧凑-高度紧凑",IF(I850&gt;=8.5,"紧凑-极度紧凑",""))))))))))</f>
        <v/>
      </c>
      <c r="L850" s="2">
        <f>IF(I850=0.1,"极紧凑",IF(AND(I850&gt;=1,I850&lt;=1.89),"松散",IF(AND(I850&gt;=2,I850&lt;=3.5),"标准",IF(I850&gt;=3.6,"紧凑",""))))</f>
        <v/>
      </c>
      <c r="M850" s="2" t="inlineStr">
        <is>
          <t>极紧凑-豹子号</t>
        </is>
      </c>
      <c r="N850" s="2" t="inlineStr">
        <is>
          <t>松散-极松散</t>
        </is>
      </c>
      <c r="O850" s="2" t="inlineStr">
        <is>
          <t>松散-标准松散</t>
        </is>
      </c>
      <c r="P850" s="2" t="inlineStr">
        <is>
          <t>松散-偏紧松散</t>
        </is>
      </c>
      <c r="Q850" s="2" t="inlineStr">
        <is>
          <t>标准-偏松标准</t>
        </is>
      </c>
      <c r="R850" s="2" t="inlineStr">
        <is>
          <t>标准-核心标准</t>
        </is>
      </c>
      <c r="S850" s="2" t="inlineStr">
        <is>
          <t>标准-偏紧标准</t>
        </is>
      </c>
      <c r="T850" s="2" t="inlineStr">
        <is>
          <t>紧凑-标准紧凑</t>
        </is>
      </c>
      <c r="U850" s="2" t="inlineStr">
        <is>
          <t>紧凑-高度紧凑</t>
        </is>
      </c>
      <c r="V850" s="2" t="inlineStr">
        <is>
          <t>紧凑-极度紧凑</t>
        </is>
      </c>
    </row>
    <row r="851">
      <c r="A851" s="1" t="n">
        <v>2025066</v>
      </c>
      <c r="B851" s="3" t="inlineStr">
        <is>
          <t>184</t>
        </is>
      </c>
      <c r="C851" s="2">
        <f>IF(B851="","",LEFT(TEXT(B851,"000"),1)*1)</f>
        <v/>
      </c>
      <c r="D851" s="2">
        <f>IF(B851="","",MID(TEXT(B851,"000"),2,1)*1)</f>
        <v/>
      </c>
      <c r="E851" s="2">
        <f>IF(B851="","",RIGHT(TEXT(B851,"000"),1)*1)</f>
        <v/>
      </c>
      <c r="F851" s="2">
        <f>IF(B851="","",C851+D851+E851)</f>
        <v/>
      </c>
      <c r="G851" s="2">
        <f>IF(B851="","",MOD(F851,10))</f>
        <v/>
      </c>
      <c r="H851" s="2">
        <f>IF(B851="","",MAX(C851,D851,E851)-MIN(C851,D851,E851))</f>
        <v/>
      </c>
      <c r="I851" s="2">
        <f>IF(OR(B851="",H851=0),IF(H851=0,0.1,""),ROUND(F851/H851,2))</f>
        <v/>
      </c>
      <c r="J851" s="2">
        <f>IF(I851=0.1,"极紧凑",IF(I851&gt;3.5,"紧凑",IF(AND(I851&gt;=2,I851&lt;=3.5),"标准",IF(AND(I851&gt;=1,I851&lt;2),"松散",""))))</f>
        <v/>
      </c>
      <c r="K851" s="2">
        <f>IF(I851=0.1,"极紧凑-豹子号",IF(AND(I851&gt;=1,I851&lt;=1.29),"松散-极松散",IF(AND(I851&gt;=1.33,I851&lt;=1.8),"松散-标准松散",IF(AND(I851&gt;=1.83,I851&lt;=1.89),"松散-偏紧松散",IF(AND(I851&gt;=2,I851&lt;=2.5),"标准-偏松标准",IF(AND(I851&gt;=2.57,I851&lt;=3),"标准-核心标准",IF(AND(I851&gt;=3.17,I851&lt;=3.5),"标准-偏紧标准",IF(AND(I851&gt;=3.6,I851&lt;=5),"紧凑-标准紧凑",IF(AND(I851&gt;=5.25,I851&lt;=8),"紧凑-高度紧凑",IF(I851&gt;=8.5,"紧凑-极度紧凑",""))))))))))</f>
        <v/>
      </c>
      <c r="L851" s="2">
        <f>IF(I851=0.1,"极紧凑",IF(AND(I851&gt;=1,I851&lt;=1.89),"松散",IF(AND(I851&gt;=2,I851&lt;=3.5),"标准",IF(I851&gt;=3.6,"紧凑",""))))</f>
        <v/>
      </c>
      <c r="M851" s="2" t="inlineStr">
        <is>
          <t>极紧凑-豹子号</t>
        </is>
      </c>
      <c r="N851" s="2" t="inlineStr">
        <is>
          <t>松散-极松散</t>
        </is>
      </c>
      <c r="O851" s="2" t="inlineStr">
        <is>
          <t>松散-标准松散</t>
        </is>
      </c>
      <c r="P851" s="2" t="inlineStr">
        <is>
          <t>松散-偏紧松散</t>
        </is>
      </c>
      <c r="Q851" s="2" t="inlineStr">
        <is>
          <t>标准-偏松标准</t>
        </is>
      </c>
      <c r="R851" s="2" t="inlineStr">
        <is>
          <t>标准-核心标准</t>
        </is>
      </c>
      <c r="S851" s="2" t="inlineStr">
        <is>
          <t>标准-偏紧标准</t>
        </is>
      </c>
      <c r="T851" s="2" t="inlineStr">
        <is>
          <t>紧凑-标准紧凑</t>
        </is>
      </c>
      <c r="U851" s="2" t="inlineStr">
        <is>
          <t>紧凑-高度紧凑</t>
        </is>
      </c>
      <c r="V851" s="2" t="inlineStr">
        <is>
          <t>紧凑-极度紧凑</t>
        </is>
      </c>
    </row>
    <row r="852">
      <c r="A852" s="1" t="n">
        <v>2025067</v>
      </c>
      <c r="B852" s="3" t="inlineStr">
        <is>
          <t>671</t>
        </is>
      </c>
      <c r="C852" s="2">
        <f>IF(B852="","",LEFT(TEXT(B852,"000"),1)*1)</f>
        <v/>
      </c>
      <c r="D852" s="2">
        <f>IF(B852="","",MID(TEXT(B852,"000"),2,1)*1)</f>
        <v/>
      </c>
      <c r="E852" s="2">
        <f>IF(B852="","",RIGHT(TEXT(B852,"000"),1)*1)</f>
        <v/>
      </c>
      <c r="F852" s="2">
        <f>IF(B852="","",C852+D852+E852)</f>
        <v/>
      </c>
      <c r="G852" s="2">
        <f>IF(B852="","",MOD(F852,10))</f>
        <v/>
      </c>
      <c r="H852" s="2">
        <f>IF(B852="","",MAX(C852,D852,E852)-MIN(C852,D852,E852))</f>
        <v/>
      </c>
      <c r="I852" s="2">
        <f>IF(OR(B852="",H852=0),IF(H852=0,0.1,""),ROUND(F852/H852,2))</f>
        <v/>
      </c>
      <c r="J852" s="2">
        <f>IF(I852=0.1,"极紧凑",IF(I852&gt;3.5,"紧凑",IF(AND(I852&gt;=2,I852&lt;=3.5),"标准",IF(AND(I852&gt;=1,I852&lt;2),"松散",""))))</f>
        <v/>
      </c>
      <c r="K852" s="2">
        <f>IF(I852=0.1,"极紧凑-豹子号",IF(AND(I852&gt;=1,I852&lt;=1.29),"松散-极松散",IF(AND(I852&gt;=1.33,I852&lt;=1.8),"松散-标准松散",IF(AND(I852&gt;=1.83,I852&lt;=1.89),"松散-偏紧松散",IF(AND(I852&gt;=2,I852&lt;=2.5),"标准-偏松标准",IF(AND(I852&gt;=2.57,I852&lt;=3),"标准-核心标准",IF(AND(I852&gt;=3.17,I852&lt;=3.5),"标准-偏紧标准",IF(AND(I852&gt;=3.6,I852&lt;=5),"紧凑-标准紧凑",IF(AND(I852&gt;=5.25,I852&lt;=8),"紧凑-高度紧凑",IF(I852&gt;=8.5,"紧凑-极度紧凑",""))))))))))</f>
        <v/>
      </c>
      <c r="L852" s="2">
        <f>IF(I852=0.1,"极紧凑",IF(AND(I852&gt;=1,I852&lt;=1.89),"松散",IF(AND(I852&gt;=2,I852&lt;=3.5),"标准",IF(I852&gt;=3.6,"紧凑",""))))</f>
        <v/>
      </c>
      <c r="M852" s="2" t="inlineStr">
        <is>
          <t>极紧凑-豹子号</t>
        </is>
      </c>
      <c r="N852" s="2" t="inlineStr">
        <is>
          <t>松散-极松散</t>
        </is>
      </c>
      <c r="O852" s="2" t="inlineStr">
        <is>
          <t>松散-标准松散</t>
        </is>
      </c>
      <c r="P852" s="2" t="inlineStr">
        <is>
          <t>松散-偏紧松散</t>
        </is>
      </c>
      <c r="Q852" s="2" t="inlineStr">
        <is>
          <t>标准-偏松标准</t>
        </is>
      </c>
      <c r="R852" s="2" t="inlineStr">
        <is>
          <t>标准-核心标准</t>
        </is>
      </c>
      <c r="S852" s="2" t="inlineStr">
        <is>
          <t>标准-偏紧标准</t>
        </is>
      </c>
      <c r="T852" s="2" t="inlineStr">
        <is>
          <t>紧凑-标准紧凑</t>
        </is>
      </c>
      <c r="U852" s="2" t="inlineStr">
        <is>
          <t>紧凑-高度紧凑</t>
        </is>
      </c>
      <c r="V852" s="2" t="inlineStr">
        <is>
          <t>紧凑-极度紧凑</t>
        </is>
      </c>
    </row>
    <row r="853">
      <c r="A853" s="1" t="n">
        <v>2025068</v>
      </c>
      <c r="B853" s="3" t="inlineStr">
        <is>
          <t>975</t>
        </is>
      </c>
      <c r="C853" s="2">
        <f>IF(B853="","",LEFT(TEXT(B853,"000"),1)*1)</f>
        <v/>
      </c>
      <c r="D853" s="2">
        <f>IF(B853="","",MID(TEXT(B853,"000"),2,1)*1)</f>
        <v/>
      </c>
      <c r="E853" s="2">
        <f>IF(B853="","",RIGHT(TEXT(B853,"000"),1)*1)</f>
        <v/>
      </c>
      <c r="F853" s="2">
        <f>IF(B853="","",C853+D853+E853)</f>
        <v/>
      </c>
      <c r="G853" s="2">
        <f>IF(B853="","",MOD(F853,10))</f>
        <v/>
      </c>
      <c r="H853" s="2">
        <f>IF(B853="","",MAX(C853,D853,E853)-MIN(C853,D853,E853))</f>
        <v/>
      </c>
      <c r="I853" s="2">
        <f>IF(OR(B853="",H853=0),IF(H853=0,0.1,""),ROUND(F853/H853,2))</f>
        <v/>
      </c>
      <c r="J853" s="2">
        <f>IF(I853=0.1,"极紧凑",IF(I853&gt;3.5,"紧凑",IF(AND(I853&gt;=2,I853&lt;=3.5),"标准",IF(AND(I853&gt;=1,I853&lt;2),"松散",""))))</f>
        <v/>
      </c>
      <c r="K853" s="2">
        <f>IF(I853=0.1,"极紧凑-豹子号",IF(AND(I853&gt;=1,I853&lt;=1.29),"松散-极松散",IF(AND(I853&gt;=1.33,I853&lt;=1.8),"松散-标准松散",IF(AND(I853&gt;=1.83,I853&lt;=1.89),"松散-偏紧松散",IF(AND(I853&gt;=2,I853&lt;=2.5),"标准-偏松标准",IF(AND(I853&gt;=2.57,I853&lt;=3),"标准-核心标准",IF(AND(I853&gt;=3.17,I853&lt;=3.5),"标准-偏紧标准",IF(AND(I853&gt;=3.6,I853&lt;=5),"紧凑-标准紧凑",IF(AND(I853&gt;=5.25,I853&lt;=8),"紧凑-高度紧凑",IF(I853&gt;=8.5,"紧凑-极度紧凑",""))))))))))</f>
        <v/>
      </c>
      <c r="L853" s="2">
        <f>IF(I853=0.1,"极紧凑",IF(AND(I853&gt;=1,I853&lt;=1.89),"松散",IF(AND(I853&gt;=2,I853&lt;=3.5),"标准",IF(I853&gt;=3.6,"紧凑",""))))</f>
        <v/>
      </c>
      <c r="M853" s="2" t="inlineStr">
        <is>
          <t>极紧凑-豹子号</t>
        </is>
      </c>
      <c r="N853" s="2" t="inlineStr">
        <is>
          <t>松散-极松散</t>
        </is>
      </c>
      <c r="O853" s="2" t="inlineStr">
        <is>
          <t>松散-标准松散</t>
        </is>
      </c>
      <c r="P853" s="2" t="inlineStr">
        <is>
          <t>松散-偏紧松散</t>
        </is>
      </c>
      <c r="Q853" s="2" t="inlineStr">
        <is>
          <t>标准-偏松标准</t>
        </is>
      </c>
      <c r="R853" s="2" t="inlineStr">
        <is>
          <t>标准-核心标准</t>
        </is>
      </c>
      <c r="S853" s="2" t="inlineStr">
        <is>
          <t>标准-偏紧标准</t>
        </is>
      </c>
      <c r="T853" s="2" t="inlineStr">
        <is>
          <t>紧凑-标准紧凑</t>
        </is>
      </c>
      <c r="U853" s="2" t="inlineStr">
        <is>
          <t>紧凑-高度紧凑</t>
        </is>
      </c>
      <c r="V853" s="2" t="inlineStr">
        <is>
          <t>紧凑-极度紧凑</t>
        </is>
      </c>
    </row>
    <row r="854">
      <c r="A854" s="1" t="n">
        <v>2025069</v>
      </c>
      <c r="B854" s="3" t="inlineStr">
        <is>
          <t>934</t>
        </is>
      </c>
      <c r="C854" s="2">
        <f>IF(B854="","",LEFT(TEXT(B854,"000"),1)*1)</f>
        <v/>
      </c>
      <c r="D854" s="2">
        <f>IF(B854="","",MID(TEXT(B854,"000"),2,1)*1)</f>
        <v/>
      </c>
      <c r="E854" s="2">
        <f>IF(B854="","",RIGHT(TEXT(B854,"000"),1)*1)</f>
        <v/>
      </c>
      <c r="F854" s="2">
        <f>IF(B854="","",C854+D854+E854)</f>
        <v/>
      </c>
      <c r="G854" s="2">
        <f>IF(B854="","",MOD(F854,10))</f>
        <v/>
      </c>
      <c r="H854" s="2">
        <f>IF(B854="","",MAX(C854,D854,E854)-MIN(C854,D854,E854))</f>
        <v/>
      </c>
      <c r="I854" s="2">
        <f>IF(OR(B854="",H854=0),IF(H854=0,0.1,""),ROUND(F854/H854,2))</f>
        <v/>
      </c>
      <c r="J854" s="2">
        <f>IF(I854=0.1,"极紧凑",IF(I854&gt;3.5,"紧凑",IF(AND(I854&gt;=2,I854&lt;=3.5),"标准",IF(AND(I854&gt;=1,I854&lt;2),"松散",""))))</f>
        <v/>
      </c>
      <c r="K854" s="2">
        <f>IF(I854=0.1,"极紧凑-豹子号",IF(AND(I854&gt;=1,I854&lt;=1.29),"松散-极松散",IF(AND(I854&gt;=1.33,I854&lt;=1.8),"松散-标准松散",IF(AND(I854&gt;=1.83,I854&lt;=1.89),"松散-偏紧松散",IF(AND(I854&gt;=2,I854&lt;=2.5),"标准-偏松标准",IF(AND(I854&gt;=2.57,I854&lt;=3),"标准-核心标准",IF(AND(I854&gt;=3.17,I854&lt;=3.5),"标准-偏紧标准",IF(AND(I854&gt;=3.6,I854&lt;=5),"紧凑-标准紧凑",IF(AND(I854&gt;=5.25,I854&lt;=8),"紧凑-高度紧凑",IF(I854&gt;=8.5,"紧凑-极度紧凑",""))))))))))</f>
        <v/>
      </c>
      <c r="L854" s="2">
        <f>IF(I854=0.1,"极紧凑",IF(AND(I854&gt;=1,I854&lt;=1.89),"松散",IF(AND(I854&gt;=2,I854&lt;=3.5),"标准",IF(I854&gt;=3.6,"紧凑",""))))</f>
        <v/>
      </c>
      <c r="M854" s="2" t="inlineStr">
        <is>
          <t>极紧凑-豹子号</t>
        </is>
      </c>
      <c r="N854" s="2" t="inlineStr">
        <is>
          <t>松散-极松散</t>
        </is>
      </c>
      <c r="O854" s="2" t="inlineStr">
        <is>
          <t>松散-标准松散</t>
        </is>
      </c>
      <c r="P854" s="2" t="inlineStr">
        <is>
          <t>松散-偏紧松散</t>
        </is>
      </c>
      <c r="Q854" s="2" t="inlineStr">
        <is>
          <t>标准-偏松标准</t>
        </is>
      </c>
      <c r="R854" s="2" t="inlineStr">
        <is>
          <t>标准-核心标准</t>
        </is>
      </c>
      <c r="S854" s="2" t="inlineStr">
        <is>
          <t>标准-偏紧标准</t>
        </is>
      </c>
      <c r="T854" s="2" t="inlineStr">
        <is>
          <t>紧凑-标准紧凑</t>
        </is>
      </c>
      <c r="U854" s="2" t="inlineStr">
        <is>
          <t>紧凑-高度紧凑</t>
        </is>
      </c>
      <c r="V854" s="2" t="inlineStr">
        <is>
          <t>紧凑-极度紧凑</t>
        </is>
      </c>
    </row>
    <row r="855">
      <c r="A855" s="1" t="n">
        <v>2025070</v>
      </c>
      <c r="B855" s="3" t="inlineStr">
        <is>
          <t>771</t>
        </is>
      </c>
      <c r="C855" s="2">
        <f>IF(B855="","",LEFT(TEXT(B855,"000"),1)*1)</f>
        <v/>
      </c>
      <c r="D855" s="2">
        <f>IF(B855="","",MID(TEXT(B855,"000"),2,1)*1)</f>
        <v/>
      </c>
      <c r="E855" s="2">
        <f>IF(B855="","",RIGHT(TEXT(B855,"000"),1)*1)</f>
        <v/>
      </c>
      <c r="F855" s="2">
        <f>IF(B855="","",C855+D855+E855)</f>
        <v/>
      </c>
      <c r="G855" s="2">
        <f>IF(B855="","",MOD(F855,10))</f>
        <v/>
      </c>
      <c r="H855" s="2">
        <f>IF(B855="","",MAX(C855,D855,E855)-MIN(C855,D855,E855))</f>
        <v/>
      </c>
      <c r="I855" s="2">
        <f>IF(OR(B855="",H855=0),IF(H855=0,0.1,""),ROUND(F855/H855,2))</f>
        <v/>
      </c>
      <c r="J855" s="2">
        <f>IF(I855=0.1,"极紧凑",IF(I855&gt;3.5,"紧凑",IF(AND(I855&gt;=2,I855&lt;=3.5),"标准",IF(AND(I855&gt;=1,I855&lt;2),"松散",""))))</f>
        <v/>
      </c>
      <c r="K855" s="2">
        <f>IF(I855=0.1,"极紧凑-豹子号",IF(AND(I855&gt;=1,I855&lt;=1.29),"松散-极松散",IF(AND(I855&gt;=1.33,I855&lt;=1.8),"松散-标准松散",IF(AND(I855&gt;=1.83,I855&lt;=1.89),"松散-偏紧松散",IF(AND(I855&gt;=2,I855&lt;=2.5),"标准-偏松标准",IF(AND(I855&gt;=2.57,I855&lt;=3),"标准-核心标准",IF(AND(I855&gt;=3.17,I855&lt;=3.5),"标准-偏紧标准",IF(AND(I855&gt;=3.6,I855&lt;=5),"紧凑-标准紧凑",IF(AND(I855&gt;=5.25,I855&lt;=8),"紧凑-高度紧凑",IF(I855&gt;=8.5,"紧凑-极度紧凑",""))))))))))</f>
        <v/>
      </c>
      <c r="L855" s="2">
        <f>IF(I855=0.1,"极紧凑",IF(AND(I855&gt;=1,I855&lt;=1.89),"松散",IF(AND(I855&gt;=2,I855&lt;=3.5),"标准",IF(I855&gt;=3.6,"紧凑",""))))</f>
        <v/>
      </c>
      <c r="M855" s="2" t="inlineStr">
        <is>
          <t>极紧凑-豹子号</t>
        </is>
      </c>
      <c r="N855" s="2" t="inlineStr">
        <is>
          <t>松散-极松散</t>
        </is>
      </c>
      <c r="O855" s="2" t="inlineStr">
        <is>
          <t>松散-标准松散</t>
        </is>
      </c>
      <c r="P855" s="2" t="inlineStr">
        <is>
          <t>松散-偏紧松散</t>
        </is>
      </c>
      <c r="Q855" s="2" t="inlineStr">
        <is>
          <t>标准-偏松标准</t>
        </is>
      </c>
      <c r="R855" s="2" t="inlineStr">
        <is>
          <t>标准-核心标准</t>
        </is>
      </c>
      <c r="S855" s="2" t="inlineStr">
        <is>
          <t>标准-偏紧标准</t>
        </is>
      </c>
      <c r="T855" s="2" t="inlineStr">
        <is>
          <t>紧凑-标准紧凑</t>
        </is>
      </c>
      <c r="U855" s="2" t="inlineStr">
        <is>
          <t>紧凑-高度紧凑</t>
        </is>
      </c>
      <c r="V855" s="2" t="inlineStr">
        <is>
          <t>紧凑-极度紧凑</t>
        </is>
      </c>
    </row>
    <row r="856">
      <c r="A856" s="1" t="n">
        <v>2025071</v>
      </c>
      <c r="B856" s="3" t="inlineStr">
        <is>
          <t>462</t>
        </is>
      </c>
      <c r="C856" s="2">
        <f>IF(B856="","",LEFT(TEXT(B856,"000"),1)*1)</f>
        <v/>
      </c>
      <c r="D856" s="2">
        <f>IF(B856="","",MID(TEXT(B856,"000"),2,1)*1)</f>
        <v/>
      </c>
      <c r="E856" s="2">
        <f>IF(B856="","",RIGHT(TEXT(B856,"000"),1)*1)</f>
        <v/>
      </c>
      <c r="F856" s="2">
        <f>IF(B856="","",C856+D856+E856)</f>
        <v/>
      </c>
      <c r="G856" s="2">
        <f>IF(B856="","",MOD(F856,10))</f>
        <v/>
      </c>
      <c r="H856" s="2">
        <f>IF(B856="","",MAX(C856,D856,E856)-MIN(C856,D856,E856))</f>
        <v/>
      </c>
      <c r="I856" s="2">
        <f>IF(OR(B856="",H856=0),IF(H856=0,0.1,""),ROUND(F856/H856,2))</f>
        <v/>
      </c>
      <c r="J856" s="2">
        <f>IF(I856=0.1,"极紧凑",IF(I856&gt;3.5,"紧凑",IF(AND(I856&gt;=2,I856&lt;=3.5),"标准",IF(AND(I856&gt;=1,I856&lt;2),"松散",""))))</f>
        <v/>
      </c>
      <c r="K856" s="2">
        <f>IF(I856=0.1,"极紧凑-豹子号",IF(AND(I856&gt;=1,I856&lt;=1.29),"松散-极松散",IF(AND(I856&gt;=1.33,I856&lt;=1.8),"松散-标准松散",IF(AND(I856&gt;=1.83,I856&lt;=1.89),"松散-偏紧松散",IF(AND(I856&gt;=2,I856&lt;=2.5),"标准-偏松标准",IF(AND(I856&gt;=2.57,I856&lt;=3),"标准-核心标准",IF(AND(I856&gt;=3.17,I856&lt;=3.5),"标准-偏紧标准",IF(AND(I856&gt;=3.6,I856&lt;=5),"紧凑-标准紧凑",IF(AND(I856&gt;=5.25,I856&lt;=8),"紧凑-高度紧凑",IF(I856&gt;=8.5,"紧凑-极度紧凑",""))))))))))</f>
        <v/>
      </c>
      <c r="L856" s="2">
        <f>IF(I856=0.1,"极紧凑",IF(AND(I856&gt;=1,I856&lt;=1.89),"松散",IF(AND(I856&gt;=2,I856&lt;=3.5),"标准",IF(I856&gt;=3.6,"紧凑",""))))</f>
        <v/>
      </c>
      <c r="M856" s="2" t="inlineStr">
        <is>
          <t>极紧凑-豹子号</t>
        </is>
      </c>
      <c r="N856" s="2" t="inlineStr">
        <is>
          <t>松散-极松散</t>
        </is>
      </c>
      <c r="O856" s="2" t="inlineStr">
        <is>
          <t>松散-标准松散</t>
        </is>
      </c>
      <c r="P856" s="2" t="inlineStr">
        <is>
          <t>松散-偏紧松散</t>
        </is>
      </c>
      <c r="Q856" s="2" t="inlineStr">
        <is>
          <t>标准-偏松标准</t>
        </is>
      </c>
      <c r="R856" s="2" t="inlineStr">
        <is>
          <t>标准-核心标准</t>
        </is>
      </c>
      <c r="S856" s="2" t="inlineStr">
        <is>
          <t>标准-偏紧标准</t>
        </is>
      </c>
      <c r="T856" s="2" t="inlineStr">
        <is>
          <t>紧凑-标准紧凑</t>
        </is>
      </c>
      <c r="U856" s="2" t="inlineStr">
        <is>
          <t>紧凑-高度紧凑</t>
        </is>
      </c>
      <c r="V856" s="2" t="inlineStr">
        <is>
          <t>紧凑-极度紧凑</t>
        </is>
      </c>
    </row>
    <row r="857">
      <c r="A857" s="1" t="n">
        <v>2025072</v>
      </c>
      <c r="B857" s="3" t="inlineStr">
        <is>
          <t>935</t>
        </is>
      </c>
      <c r="C857" s="2">
        <f>IF(B857="","",LEFT(TEXT(B857,"000"),1)*1)</f>
        <v/>
      </c>
      <c r="D857" s="2">
        <f>IF(B857="","",MID(TEXT(B857,"000"),2,1)*1)</f>
        <v/>
      </c>
      <c r="E857" s="2">
        <f>IF(B857="","",RIGHT(TEXT(B857,"000"),1)*1)</f>
        <v/>
      </c>
      <c r="F857" s="2">
        <f>IF(B857="","",C857+D857+E857)</f>
        <v/>
      </c>
      <c r="G857" s="2">
        <f>IF(B857="","",MOD(F857,10))</f>
        <v/>
      </c>
      <c r="H857" s="2">
        <f>IF(B857="","",MAX(C857,D857,E857)-MIN(C857,D857,E857))</f>
        <v/>
      </c>
      <c r="I857" s="2">
        <f>IF(OR(B857="",H857=0),IF(H857=0,0.1,""),ROUND(F857/H857,2))</f>
        <v/>
      </c>
      <c r="J857" s="2">
        <f>IF(I857=0.1,"极紧凑",IF(I857&gt;3.5,"紧凑",IF(AND(I857&gt;=2,I857&lt;=3.5),"标准",IF(AND(I857&gt;=1,I857&lt;2),"松散",""))))</f>
        <v/>
      </c>
      <c r="K857" s="2">
        <f>IF(I857=0.1,"极紧凑-豹子号",IF(AND(I857&gt;=1,I857&lt;=1.29),"松散-极松散",IF(AND(I857&gt;=1.33,I857&lt;=1.8),"松散-标准松散",IF(AND(I857&gt;=1.83,I857&lt;=1.89),"松散-偏紧松散",IF(AND(I857&gt;=2,I857&lt;=2.5),"标准-偏松标准",IF(AND(I857&gt;=2.57,I857&lt;=3),"标准-核心标准",IF(AND(I857&gt;=3.17,I857&lt;=3.5),"标准-偏紧标准",IF(AND(I857&gt;=3.6,I857&lt;=5),"紧凑-标准紧凑",IF(AND(I857&gt;=5.25,I857&lt;=8),"紧凑-高度紧凑",IF(I857&gt;=8.5,"紧凑-极度紧凑",""))))))))))</f>
        <v/>
      </c>
      <c r="L857" s="2">
        <f>IF(I857=0.1,"极紧凑",IF(AND(I857&gt;=1,I857&lt;=1.89),"松散",IF(AND(I857&gt;=2,I857&lt;=3.5),"标准",IF(I857&gt;=3.6,"紧凑",""))))</f>
        <v/>
      </c>
      <c r="M857" s="2" t="inlineStr">
        <is>
          <t>极紧凑-豹子号</t>
        </is>
      </c>
      <c r="N857" s="2" t="inlineStr">
        <is>
          <t>松散-极松散</t>
        </is>
      </c>
      <c r="O857" s="2" t="inlineStr">
        <is>
          <t>松散-标准松散</t>
        </is>
      </c>
      <c r="P857" s="2" t="inlineStr">
        <is>
          <t>松散-偏紧松散</t>
        </is>
      </c>
      <c r="Q857" s="2" t="inlineStr">
        <is>
          <t>标准-偏松标准</t>
        </is>
      </c>
      <c r="R857" s="2" t="inlineStr">
        <is>
          <t>标准-核心标准</t>
        </is>
      </c>
      <c r="S857" s="2" t="inlineStr">
        <is>
          <t>标准-偏紧标准</t>
        </is>
      </c>
      <c r="T857" s="2" t="inlineStr">
        <is>
          <t>紧凑-标准紧凑</t>
        </is>
      </c>
      <c r="U857" s="2" t="inlineStr">
        <is>
          <t>紧凑-高度紧凑</t>
        </is>
      </c>
      <c r="V857" s="2" t="inlineStr">
        <is>
          <t>紧凑-极度紧凑</t>
        </is>
      </c>
    </row>
    <row r="858">
      <c r="A858" s="1" t="n">
        <v>2025073</v>
      </c>
      <c r="B858" s="3" t="inlineStr">
        <is>
          <t>132</t>
        </is>
      </c>
      <c r="C858" s="2">
        <f>IF(B858="","",LEFT(TEXT(B858,"000"),1)*1)</f>
        <v/>
      </c>
      <c r="D858" s="2">
        <f>IF(B858="","",MID(TEXT(B858,"000"),2,1)*1)</f>
        <v/>
      </c>
      <c r="E858" s="2">
        <f>IF(B858="","",RIGHT(TEXT(B858,"000"),1)*1)</f>
        <v/>
      </c>
      <c r="F858" s="2">
        <f>IF(B858="","",C858+D858+E858)</f>
        <v/>
      </c>
      <c r="G858" s="2">
        <f>IF(B858="","",MOD(F858,10))</f>
        <v/>
      </c>
      <c r="H858" s="2">
        <f>IF(B858="","",MAX(C858,D858,E858)-MIN(C858,D858,E858))</f>
        <v/>
      </c>
      <c r="I858" s="2">
        <f>IF(OR(B858="",H858=0),IF(H858=0,0.1,""),ROUND(F858/H858,2))</f>
        <v/>
      </c>
      <c r="J858" s="2">
        <f>IF(I858=0.1,"极紧凑",IF(I858&gt;3.5,"紧凑",IF(AND(I858&gt;=2,I858&lt;=3.5),"标准",IF(AND(I858&gt;=1,I858&lt;2),"松散",""))))</f>
        <v/>
      </c>
      <c r="K858" s="2">
        <f>IF(I858=0.1,"极紧凑-豹子号",IF(AND(I858&gt;=1,I858&lt;=1.29),"松散-极松散",IF(AND(I858&gt;=1.33,I858&lt;=1.8),"松散-标准松散",IF(AND(I858&gt;=1.83,I858&lt;=1.89),"松散-偏紧松散",IF(AND(I858&gt;=2,I858&lt;=2.5),"标准-偏松标准",IF(AND(I858&gt;=2.57,I858&lt;=3),"标准-核心标准",IF(AND(I858&gt;=3.17,I858&lt;=3.5),"标准-偏紧标准",IF(AND(I858&gt;=3.6,I858&lt;=5),"紧凑-标准紧凑",IF(AND(I858&gt;=5.25,I858&lt;=8),"紧凑-高度紧凑",IF(I858&gt;=8.5,"紧凑-极度紧凑",""))))))))))</f>
        <v/>
      </c>
      <c r="L858" s="2">
        <f>IF(I858=0.1,"极紧凑",IF(AND(I858&gt;=1,I858&lt;=1.89),"松散",IF(AND(I858&gt;=2,I858&lt;=3.5),"标准",IF(I858&gt;=3.6,"紧凑",""))))</f>
        <v/>
      </c>
      <c r="M858" s="2" t="inlineStr">
        <is>
          <t>极紧凑-豹子号</t>
        </is>
      </c>
      <c r="N858" s="2" t="inlineStr">
        <is>
          <t>松散-极松散</t>
        </is>
      </c>
      <c r="O858" s="2" t="inlineStr">
        <is>
          <t>松散-标准松散</t>
        </is>
      </c>
      <c r="P858" s="2" t="inlineStr">
        <is>
          <t>松散-偏紧松散</t>
        </is>
      </c>
      <c r="Q858" s="2" t="inlineStr">
        <is>
          <t>标准-偏松标准</t>
        </is>
      </c>
      <c r="R858" s="2" t="inlineStr">
        <is>
          <t>标准-核心标准</t>
        </is>
      </c>
      <c r="S858" s="2" t="inlineStr">
        <is>
          <t>标准-偏紧标准</t>
        </is>
      </c>
      <c r="T858" s="2" t="inlineStr">
        <is>
          <t>紧凑-标准紧凑</t>
        </is>
      </c>
      <c r="U858" s="2" t="inlineStr">
        <is>
          <t>紧凑-高度紧凑</t>
        </is>
      </c>
      <c r="V858" s="2" t="inlineStr">
        <is>
          <t>紧凑-极度紧凑</t>
        </is>
      </c>
    </row>
    <row r="859">
      <c r="A859" s="1" t="n">
        <v>2025074</v>
      </c>
      <c r="B859" s="3" t="inlineStr">
        <is>
          <t>179</t>
        </is>
      </c>
      <c r="C859" s="2">
        <f>IF(B859="","",LEFT(TEXT(B859,"000"),1)*1)</f>
        <v/>
      </c>
      <c r="D859" s="2">
        <f>IF(B859="","",MID(TEXT(B859,"000"),2,1)*1)</f>
        <v/>
      </c>
      <c r="E859" s="2">
        <f>IF(B859="","",RIGHT(TEXT(B859,"000"),1)*1)</f>
        <v/>
      </c>
      <c r="F859" s="2">
        <f>IF(B859="","",C859+D859+E859)</f>
        <v/>
      </c>
      <c r="G859" s="2">
        <f>IF(B859="","",MOD(F859,10))</f>
        <v/>
      </c>
      <c r="H859" s="2">
        <f>IF(B859="","",MAX(C859,D859,E859)-MIN(C859,D859,E859))</f>
        <v/>
      </c>
      <c r="I859" s="2">
        <f>IF(OR(B859="",H859=0),IF(H859=0,0.1,""),ROUND(F859/H859,2))</f>
        <v/>
      </c>
      <c r="J859" s="2">
        <f>IF(I859=0.1,"极紧凑",IF(I859&gt;3.5,"紧凑",IF(AND(I859&gt;=2,I859&lt;=3.5),"标准",IF(AND(I859&gt;=1,I859&lt;2),"松散",""))))</f>
        <v/>
      </c>
      <c r="K859" s="2">
        <f>IF(I859=0.1,"极紧凑-豹子号",IF(AND(I859&gt;=1,I859&lt;=1.29),"松散-极松散",IF(AND(I859&gt;=1.33,I859&lt;=1.8),"松散-标准松散",IF(AND(I859&gt;=1.83,I859&lt;=1.89),"松散-偏紧松散",IF(AND(I859&gt;=2,I859&lt;=2.5),"标准-偏松标准",IF(AND(I859&gt;=2.57,I859&lt;=3),"标准-核心标准",IF(AND(I859&gt;=3.17,I859&lt;=3.5),"标准-偏紧标准",IF(AND(I859&gt;=3.6,I859&lt;=5),"紧凑-标准紧凑",IF(AND(I859&gt;=5.25,I859&lt;=8),"紧凑-高度紧凑",IF(I859&gt;=8.5,"紧凑-极度紧凑",""))))))))))</f>
        <v/>
      </c>
      <c r="L859" s="2">
        <f>IF(I859=0.1,"极紧凑",IF(AND(I859&gt;=1,I859&lt;=1.89),"松散",IF(AND(I859&gt;=2,I859&lt;=3.5),"标准",IF(I859&gt;=3.6,"紧凑",""))))</f>
        <v/>
      </c>
      <c r="M859" s="2" t="inlineStr">
        <is>
          <t>极紧凑-豹子号</t>
        </is>
      </c>
      <c r="N859" s="2" t="inlineStr">
        <is>
          <t>松散-极松散</t>
        </is>
      </c>
      <c r="O859" s="2" t="inlineStr">
        <is>
          <t>松散-标准松散</t>
        </is>
      </c>
      <c r="P859" s="2" t="inlineStr">
        <is>
          <t>松散-偏紧松散</t>
        </is>
      </c>
      <c r="Q859" s="2" t="inlineStr">
        <is>
          <t>标准-偏松标准</t>
        </is>
      </c>
      <c r="R859" s="2" t="inlineStr">
        <is>
          <t>标准-核心标准</t>
        </is>
      </c>
      <c r="S859" s="2" t="inlineStr">
        <is>
          <t>标准-偏紧标准</t>
        </is>
      </c>
      <c r="T859" s="2" t="inlineStr">
        <is>
          <t>紧凑-标准紧凑</t>
        </is>
      </c>
      <c r="U859" s="2" t="inlineStr">
        <is>
          <t>紧凑-高度紧凑</t>
        </is>
      </c>
      <c r="V859" s="2" t="inlineStr">
        <is>
          <t>紧凑-极度紧凑</t>
        </is>
      </c>
    </row>
    <row r="860">
      <c r="A860" s="1" t="n">
        <v>2025075</v>
      </c>
      <c r="B860" s="3" t="inlineStr">
        <is>
          <t>743</t>
        </is>
      </c>
      <c r="C860" s="2">
        <f>IF(B860="","",LEFT(TEXT(B860,"000"),1)*1)</f>
        <v/>
      </c>
      <c r="D860" s="2">
        <f>IF(B860="","",MID(TEXT(B860,"000"),2,1)*1)</f>
        <v/>
      </c>
      <c r="E860" s="2">
        <f>IF(B860="","",RIGHT(TEXT(B860,"000"),1)*1)</f>
        <v/>
      </c>
      <c r="F860" s="2">
        <f>IF(B860="","",C860+D860+E860)</f>
        <v/>
      </c>
      <c r="G860" s="2">
        <f>IF(B860="","",MOD(F860,10))</f>
        <v/>
      </c>
      <c r="H860" s="2">
        <f>IF(B860="","",MAX(C860,D860,E860)-MIN(C860,D860,E860))</f>
        <v/>
      </c>
      <c r="I860" s="2">
        <f>IF(OR(B860="",H860=0),IF(H860=0,0.1,""),ROUND(F860/H860,2))</f>
        <v/>
      </c>
      <c r="J860" s="2">
        <f>IF(I860=0.1,"极紧凑",IF(I860&gt;3.5,"紧凑",IF(AND(I860&gt;=2,I860&lt;=3.5),"标准",IF(AND(I860&gt;=1,I860&lt;2),"松散",""))))</f>
        <v/>
      </c>
      <c r="K860" s="2">
        <f>IF(I860=0.1,"极紧凑-豹子号",IF(AND(I860&gt;=1,I860&lt;=1.29),"松散-极松散",IF(AND(I860&gt;=1.33,I860&lt;=1.8),"松散-标准松散",IF(AND(I860&gt;=1.83,I860&lt;=1.89),"松散-偏紧松散",IF(AND(I860&gt;=2,I860&lt;=2.5),"标准-偏松标准",IF(AND(I860&gt;=2.57,I860&lt;=3),"标准-核心标准",IF(AND(I860&gt;=3.17,I860&lt;=3.5),"标准-偏紧标准",IF(AND(I860&gt;=3.6,I860&lt;=5),"紧凑-标准紧凑",IF(AND(I860&gt;=5.25,I860&lt;=8),"紧凑-高度紧凑",IF(I860&gt;=8.5,"紧凑-极度紧凑",""))))))))))</f>
        <v/>
      </c>
      <c r="L860" s="2">
        <f>IF(I860=0.1,"极紧凑",IF(AND(I860&gt;=1,I860&lt;=1.89),"松散",IF(AND(I860&gt;=2,I860&lt;=3.5),"标准",IF(I860&gt;=3.6,"紧凑",""))))</f>
        <v/>
      </c>
      <c r="M860" s="2" t="inlineStr">
        <is>
          <t>极紧凑-豹子号</t>
        </is>
      </c>
      <c r="N860" s="2" t="inlineStr">
        <is>
          <t>松散-极松散</t>
        </is>
      </c>
      <c r="O860" s="2" t="inlineStr">
        <is>
          <t>松散-标准松散</t>
        </is>
      </c>
      <c r="P860" s="2" t="inlineStr">
        <is>
          <t>松散-偏紧松散</t>
        </is>
      </c>
      <c r="Q860" s="2" t="inlineStr">
        <is>
          <t>标准-偏松标准</t>
        </is>
      </c>
      <c r="R860" s="2" t="inlineStr">
        <is>
          <t>标准-核心标准</t>
        </is>
      </c>
      <c r="S860" s="2" t="inlineStr">
        <is>
          <t>标准-偏紧标准</t>
        </is>
      </c>
      <c r="T860" s="2" t="inlineStr">
        <is>
          <t>紧凑-标准紧凑</t>
        </is>
      </c>
      <c r="U860" s="2" t="inlineStr">
        <is>
          <t>紧凑-高度紧凑</t>
        </is>
      </c>
      <c r="V860" s="2" t="inlineStr">
        <is>
          <t>紧凑-极度紧凑</t>
        </is>
      </c>
    </row>
    <row r="861">
      <c r="A861" s="1" t="n">
        <v>2025076</v>
      </c>
      <c r="B861" s="3" t="inlineStr">
        <is>
          <t>407</t>
        </is>
      </c>
      <c r="C861" s="2">
        <f>IF(B861="","",LEFT(TEXT(B861,"000"),1)*1)</f>
        <v/>
      </c>
      <c r="D861" s="2">
        <f>IF(B861="","",MID(TEXT(B861,"000"),2,1)*1)</f>
        <v/>
      </c>
      <c r="E861" s="2">
        <f>IF(B861="","",RIGHT(TEXT(B861,"000"),1)*1)</f>
        <v/>
      </c>
      <c r="F861" s="2">
        <f>IF(B861="","",C861+D861+E861)</f>
        <v/>
      </c>
      <c r="G861" s="2">
        <f>IF(B861="","",MOD(F861,10))</f>
        <v/>
      </c>
      <c r="H861" s="2">
        <f>IF(B861="","",MAX(C861,D861,E861)-MIN(C861,D861,E861))</f>
        <v/>
      </c>
      <c r="I861" s="2">
        <f>IF(OR(B861="",H861=0),IF(H861=0,0.1,""),ROUND(F861/H861,2))</f>
        <v/>
      </c>
      <c r="J861" s="2">
        <f>IF(I861=0.1,"极紧凑",IF(I861&gt;3.5,"紧凑",IF(AND(I861&gt;=2,I861&lt;=3.5),"标准",IF(AND(I861&gt;=1,I861&lt;2),"松散",""))))</f>
        <v/>
      </c>
      <c r="K861" s="2">
        <f>IF(I861=0.1,"极紧凑-豹子号",IF(AND(I861&gt;=1,I861&lt;=1.29),"松散-极松散",IF(AND(I861&gt;=1.33,I861&lt;=1.8),"松散-标准松散",IF(AND(I861&gt;=1.83,I861&lt;=1.89),"松散-偏紧松散",IF(AND(I861&gt;=2,I861&lt;=2.5),"标准-偏松标准",IF(AND(I861&gt;=2.57,I861&lt;=3),"标准-核心标准",IF(AND(I861&gt;=3.17,I861&lt;=3.5),"标准-偏紧标准",IF(AND(I861&gt;=3.6,I861&lt;=5),"紧凑-标准紧凑",IF(AND(I861&gt;=5.25,I861&lt;=8),"紧凑-高度紧凑",IF(I861&gt;=8.5,"紧凑-极度紧凑",""))))))))))</f>
        <v/>
      </c>
      <c r="L861" s="2">
        <f>IF(I861=0.1,"极紧凑",IF(AND(I861&gt;=1,I861&lt;=1.89),"松散",IF(AND(I861&gt;=2,I861&lt;=3.5),"标准",IF(I861&gt;=3.6,"紧凑",""))))</f>
        <v/>
      </c>
      <c r="M861" s="2" t="inlineStr">
        <is>
          <t>极紧凑-豹子号</t>
        </is>
      </c>
      <c r="N861" s="2" t="inlineStr">
        <is>
          <t>松散-极松散</t>
        </is>
      </c>
      <c r="O861" s="2" t="inlineStr">
        <is>
          <t>松散-标准松散</t>
        </is>
      </c>
      <c r="P861" s="2" t="inlineStr">
        <is>
          <t>松散-偏紧松散</t>
        </is>
      </c>
      <c r="Q861" s="2" t="inlineStr">
        <is>
          <t>标准-偏松标准</t>
        </is>
      </c>
      <c r="R861" s="2" t="inlineStr">
        <is>
          <t>标准-核心标准</t>
        </is>
      </c>
      <c r="S861" s="2" t="inlineStr">
        <is>
          <t>标准-偏紧标准</t>
        </is>
      </c>
      <c r="T861" s="2" t="inlineStr">
        <is>
          <t>紧凑-标准紧凑</t>
        </is>
      </c>
      <c r="U861" s="2" t="inlineStr">
        <is>
          <t>紧凑-高度紧凑</t>
        </is>
      </c>
      <c r="V861" s="2" t="inlineStr">
        <is>
          <t>紧凑-极度紧凑</t>
        </is>
      </c>
    </row>
    <row r="862">
      <c r="A862" s="1" t="n">
        <v>2025077</v>
      </c>
      <c r="B862" s="3" t="inlineStr">
        <is>
          <t>425</t>
        </is>
      </c>
      <c r="C862" s="2">
        <f>IF(B862="","",LEFT(TEXT(B862,"000"),1)*1)</f>
        <v/>
      </c>
      <c r="D862" s="2">
        <f>IF(B862="","",MID(TEXT(B862,"000"),2,1)*1)</f>
        <v/>
      </c>
      <c r="E862" s="2">
        <f>IF(B862="","",RIGHT(TEXT(B862,"000"),1)*1)</f>
        <v/>
      </c>
      <c r="F862" s="2">
        <f>IF(B862="","",C862+D862+E862)</f>
        <v/>
      </c>
      <c r="G862" s="2">
        <f>IF(B862="","",MOD(F862,10))</f>
        <v/>
      </c>
      <c r="H862" s="2">
        <f>IF(B862="","",MAX(C862,D862,E862)-MIN(C862,D862,E862))</f>
        <v/>
      </c>
      <c r="I862" s="2">
        <f>IF(OR(B862="",H862=0),IF(H862=0,0.1,""),ROUND(F862/H862,2))</f>
        <v/>
      </c>
      <c r="J862" s="2">
        <f>IF(I862=0.1,"极紧凑",IF(I862&gt;3.5,"紧凑",IF(AND(I862&gt;=2,I862&lt;=3.5),"标准",IF(AND(I862&gt;=1,I862&lt;2),"松散",""))))</f>
        <v/>
      </c>
      <c r="K862" s="2">
        <f>IF(I862=0.1,"极紧凑-豹子号",IF(AND(I862&gt;=1,I862&lt;=1.29),"松散-极松散",IF(AND(I862&gt;=1.33,I862&lt;=1.8),"松散-标准松散",IF(AND(I862&gt;=1.83,I862&lt;=1.89),"松散-偏紧松散",IF(AND(I862&gt;=2,I862&lt;=2.5),"标准-偏松标准",IF(AND(I862&gt;=2.57,I862&lt;=3),"标准-核心标准",IF(AND(I862&gt;=3.17,I862&lt;=3.5),"标准-偏紧标准",IF(AND(I862&gt;=3.6,I862&lt;=5),"紧凑-标准紧凑",IF(AND(I862&gt;=5.25,I862&lt;=8),"紧凑-高度紧凑",IF(I862&gt;=8.5,"紧凑-极度紧凑",""))))))))))</f>
        <v/>
      </c>
      <c r="L862" s="2">
        <f>IF(I862=0.1,"极紧凑",IF(AND(I862&gt;=1,I862&lt;=1.89),"松散",IF(AND(I862&gt;=2,I862&lt;=3.5),"标准",IF(I862&gt;=3.6,"紧凑",""))))</f>
        <v/>
      </c>
      <c r="M862" s="2" t="inlineStr">
        <is>
          <t>极紧凑-豹子号</t>
        </is>
      </c>
      <c r="N862" s="2" t="inlineStr">
        <is>
          <t>松散-极松散</t>
        </is>
      </c>
      <c r="O862" s="2" t="inlineStr">
        <is>
          <t>松散-标准松散</t>
        </is>
      </c>
      <c r="P862" s="2" t="inlineStr">
        <is>
          <t>松散-偏紧松散</t>
        </is>
      </c>
      <c r="Q862" s="2" t="inlineStr">
        <is>
          <t>标准-偏松标准</t>
        </is>
      </c>
      <c r="R862" s="2" t="inlineStr">
        <is>
          <t>标准-核心标准</t>
        </is>
      </c>
      <c r="S862" s="2" t="inlineStr">
        <is>
          <t>标准-偏紧标准</t>
        </is>
      </c>
      <c r="T862" s="2" t="inlineStr">
        <is>
          <t>紧凑-标准紧凑</t>
        </is>
      </c>
      <c r="U862" s="2" t="inlineStr">
        <is>
          <t>紧凑-高度紧凑</t>
        </is>
      </c>
      <c r="V862" s="2" t="inlineStr">
        <is>
          <t>紧凑-极度紧凑</t>
        </is>
      </c>
    </row>
    <row r="863">
      <c r="A863" s="1" t="n">
        <v>2025078</v>
      </c>
      <c r="B863" s="3" t="inlineStr">
        <is>
          <t>113</t>
        </is>
      </c>
      <c r="C863" s="2">
        <f>IF(B863="","",LEFT(TEXT(B863,"000"),1)*1)</f>
        <v/>
      </c>
      <c r="D863" s="2">
        <f>IF(B863="","",MID(TEXT(B863,"000"),2,1)*1)</f>
        <v/>
      </c>
      <c r="E863" s="2">
        <f>IF(B863="","",RIGHT(TEXT(B863,"000"),1)*1)</f>
        <v/>
      </c>
      <c r="F863" s="2">
        <f>IF(B863="","",C863+D863+E863)</f>
        <v/>
      </c>
      <c r="G863" s="2">
        <f>IF(B863="","",MOD(F863,10))</f>
        <v/>
      </c>
      <c r="H863" s="2">
        <f>IF(B863="","",MAX(C863,D863,E863)-MIN(C863,D863,E863))</f>
        <v/>
      </c>
      <c r="I863" s="2">
        <f>IF(OR(B863="",H863=0),IF(H863=0,0.1,""),ROUND(F863/H863,2))</f>
        <v/>
      </c>
      <c r="J863" s="2">
        <f>IF(I863=0.1,"极紧凑",IF(I863&gt;3.5,"紧凑",IF(AND(I863&gt;=2,I863&lt;=3.5),"标准",IF(AND(I863&gt;=1,I863&lt;2),"松散",""))))</f>
        <v/>
      </c>
      <c r="K863" s="2">
        <f>IF(I863=0.1,"极紧凑-豹子号",IF(AND(I863&gt;=1,I863&lt;=1.29),"松散-极松散",IF(AND(I863&gt;=1.33,I863&lt;=1.8),"松散-标准松散",IF(AND(I863&gt;=1.83,I863&lt;=1.89),"松散-偏紧松散",IF(AND(I863&gt;=2,I863&lt;=2.5),"标准-偏松标准",IF(AND(I863&gt;=2.57,I863&lt;=3),"标准-核心标准",IF(AND(I863&gt;=3.17,I863&lt;=3.5),"标准-偏紧标准",IF(AND(I863&gt;=3.6,I863&lt;=5),"紧凑-标准紧凑",IF(AND(I863&gt;=5.25,I863&lt;=8),"紧凑-高度紧凑",IF(I863&gt;=8.5,"紧凑-极度紧凑",""))))))))))</f>
        <v/>
      </c>
      <c r="L863" s="2">
        <f>IF(I863=0.1,"极紧凑",IF(AND(I863&gt;=1,I863&lt;=1.89),"松散",IF(AND(I863&gt;=2,I863&lt;=3.5),"标准",IF(I863&gt;=3.6,"紧凑",""))))</f>
        <v/>
      </c>
      <c r="M863" s="2" t="inlineStr">
        <is>
          <t>极紧凑-豹子号</t>
        </is>
      </c>
      <c r="N863" s="2" t="inlineStr">
        <is>
          <t>松散-极松散</t>
        </is>
      </c>
      <c r="O863" s="2" t="inlineStr">
        <is>
          <t>松散-标准松散</t>
        </is>
      </c>
      <c r="P863" s="2" t="inlineStr">
        <is>
          <t>松散-偏紧松散</t>
        </is>
      </c>
      <c r="Q863" s="2" t="inlineStr">
        <is>
          <t>标准-偏松标准</t>
        </is>
      </c>
      <c r="R863" s="2" t="inlineStr">
        <is>
          <t>标准-核心标准</t>
        </is>
      </c>
      <c r="S863" s="2" t="inlineStr">
        <is>
          <t>标准-偏紧标准</t>
        </is>
      </c>
      <c r="T863" s="2" t="inlineStr">
        <is>
          <t>紧凑-标准紧凑</t>
        </is>
      </c>
      <c r="U863" s="2" t="inlineStr">
        <is>
          <t>紧凑-高度紧凑</t>
        </is>
      </c>
      <c r="V863" s="2" t="inlineStr">
        <is>
          <t>紧凑-极度紧凑</t>
        </is>
      </c>
    </row>
    <row r="864">
      <c r="A864" s="1" t="n">
        <v>2025079</v>
      </c>
      <c r="B864" s="3" t="inlineStr">
        <is>
          <t>296</t>
        </is>
      </c>
      <c r="C864" s="2">
        <f>IF(B864="","",LEFT(TEXT(B864,"000"),1)*1)</f>
        <v/>
      </c>
      <c r="D864" s="2">
        <f>IF(B864="","",MID(TEXT(B864,"000"),2,1)*1)</f>
        <v/>
      </c>
      <c r="E864" s="2">
        <f>IF(B864="","",RIGHT(TEXT(B864,"000"),1)*1)</f>
        <v/>
      </c>
      <c r="F864" s="2">
        <f>IF(B864="","",C864+D864+E864)</f>
        <v/>
      </c>
      <c r="G864" s="2">
        <f>IF(B864="","",MOD(F864,10))</f>
        <v/>
      </c>
      <c r="H864" s="2">
        <f>IF(B864="","",MAX(C864,D864,E864)-MIN(C864,D864,E864))</f>
        <v/>
      </c>
      <c r="I864" s="2">
        <f>IF(OR(B864="",H864=0),IF(H864=0,0.1,""),ROUND(F864/H864,2))</f>
        <v/>
      </c>
      <c r="J864" s="2">
        <f>IF(I864=0.1,"极紧凑",IF(I864&gt;3.5,"紧凑",IF(AND(I864&gt;=2,I864&lt;=3.5),"标准",IF(AND(I864&gt;=1,I864&lt;2),"松散",""))))</f>
        <v/>
      </c>
      <c r="K864" s="2">
        <f>IF(I864=0.1,"极紧凑-豹子号",IF(AND(I864&gt;=1,I864&lt;=1.29),"松散-极松散",IF(AND(I864&gt;=1.33,I864&lt;=1.8),"松散-标准松散",IF(AND(I864&gt;=1.83,I864&lt;=1.89),"松散-偏紧松散",IF(AND(I864&gt;=2,I864&lt;=2.5),"标准-偏松标准",IF(AND(I864&gt;=2.57,I864&lt;=3),"标准-核心标准",IF(AND(I864&gt;=3.17,I864&lt;=3.5),"标准-偏紧标准",IF(AND(I864&gt;=3.6,I864&lt;=5),"紧凑-标准紧凑",IF(AND(I864&gt;=5.25,I864&lt;=8),"紧凑-高度紧凑",IF(I864&gt;=8.5,"紧凑-极度紧凑",""))))))))))</f>
        <v/>
      </c>
      <c r="L864" s="2">
        <f>IF(I864=0.1,"极紧凑",IF(AND(I864&gt;=1,I864&lt;=1.89),"松散",IF(AND(I864&gt;=2,I864&lt;=3.5),"标准",IF(I864&gt;=3.6,"紧凑",""))))</f>
        <v/>
      </c>
      <c r="M864" s="2" t="inlineStr">
        <is>
          <t>极紧凑-豹子号</t>
        </is>
      </c>
      <c r="N864" s="2" t="inlineStr">
        <is>
          <t>松散-极松散</t>
        </is>
      </c>
      <c r="O864" s="2" t="inlineStr">
        <is>
          <t>松散-标准松散</t>
        </is>
      </c>
      <c r="P864" s="2" t="inlineStr">
        <is>
          <t>松散-偏紧松散</t>
        </is>
      </c>
      <c r="Q864" s="2" t="inlineStr">
        <is>
          <t>标准-偏松标准</t>
        </is>
      </c>
      <c r="R864" s="2" t="inlineStr">
        <is>
          <t>标准-核心标准</t>
        </is>
      </c>
      <c r="S864" s="2" t="inlineStr">
        <is>
          <t>标准-偏紧标准</t>
        </is>
      </c>
      <c r="T864" s="2" t="inlineStr">
        <is>
          <t>紧凑-标准紧凑</t>
        </is>
      </c>
      <c r="U864" s="2" t="inlineStr">
        <is>
          <t>紧凑-高度紧凑</t>
        </is>
      </c>
      <c r="V864" s="2" t="inlineStr">
        <is>
          <t>紧凑-极度紧凑</t>
        </is>
      </c>
    </row>
    <row r="865">
      <c r="A865" s="1" t="n">
        <v>2025080</v>
      </c>
      <c r="B865" s="3" t="inlineStr">
        <is>
          <t>738</t>
        </is>
      </c>
      <c r="C865" s="2">
        <f>IF(B865="","",LEFT(TEXT(B865,"000"),1)*1)</f>
        <v/>
      </c>
      <c r="D865" s="2">
        <f>IF(B865="","",MID(TEXT(B865,"000"),2,1)*1)</f>
        <v/>
      </c>
      <c r="E865" s="2">
        <f>IF(B865="","",RIGHT(TEXT(B865,"000"),1)*1)</f>
        <v/>
      </c>
      <c r="F865" s="2">
        <f>IF(B865="","",C865+D865+E865)</f>
        <v/>
      </c>
      <c r="G865" s="2">
        <f>IF(B865="","",MOD(F865,10))</f>
        <v/>
      </c>
      <c r="H865" s="2">
        <f>IF(B865="","",MAX(C865,D865,E865)-MIN(C865,D865,E865))</f>
        <v/>
      </c>
      <c r="I865" s="2">
        <f>IF(OR(B865="",H865=0),IF(H865=0,0.1,""),ROUND(F865/H865,2))</f>
        <v/>
      </c>
      <c r="J865" s="2">
        <f>IF(I865=0.1,"极紧凑",IF(I865&gt;3.5,"紧凑",IF(AND(I865&gt;=2,I865&lt;=3.5),"标准",IF(AND(I865&gt;=1,I865&lt;2),"松散",""))))</f>
        <v/>
      </c>
      <c r="K865" s="2">
        <f>IF(I865=0.1,"极紧凑-豹子号",IF(AND(I865&gt;=1,I865&lt;=1.29),"松散-极松散",IF(AND(I865&gt;=1.33,I865&lt;=1.8),"松散-标准松散",IF(AND(I865&gt;=1.83,I865&lt;=1.89),"松散-偏紧松散",IF(AND(I865&gt;=2,I865&lt;=2.5),"标准-偏松标准",IF(AND(I865&gt;=2.57,I865&lt;=3),"标准-核心标准",IF(AND(I865&gt;=3.17,I865&lt;=3.5),"标准-偏紧标准",IF(AND(I865&gt;=3.6,I865&lt;=5),"紧凑-标准紧凑",IF(AND(I865&gt;=5.25,I865&lt;=8),"紧凑-高度紧凑",IF(I865&gt;=8.5,"紧凑-极度紧凑",""))))))))))</f>
        <v/>
      </c>
      <c r="L865" s="2">
        <f>IF(I865=0.1,"极紧凑",IF(AND(I865&gt;=1,I865&lt;=1.89),"松散",IF(AND(I865&gt;=2,I865&lt;=3.5),"标准",IF(I865&gt;=3.6,"紧凑",""))))</f>
        <v/>
      </c>
      <c r="M865" s="2" t="inlineStr">
        <is>
          <t>极紧凑-豹子号</t>
        </is>
      </c>
      <c r="N865" s="2" t="inlineStr">
        <is>
          <t>松散-极松散</t>
        </is>
      </c>
      <c r="O865" s="2" t="inlineStr">
        <is>
          <t>松散-标准松散</t>
        </is>
      </c>
      <c r="P865" s="2" t="inlineStr">
        <is>
          <t>松散-偏紧松散</t>
        </is>
      </c>
      <c r="Q865" s="2" t="inlineStr">
        <is>
          <t>标准-偏松标准</t>
        </is>
      </c>
      <c r="R865" s="2" t="inlineStr">
        <is>
          <t>标准-核心标准</t>
        </is>
      </c>
      <c r="S865" s="2" t="inlineStr">
        <is>
          <t>标准-偏紧标准</t>
        </is>
      </c>
      <c r="T865" s="2" t="inlineStr">
        <is>
          <t>紧凑-标准紧凑</t>
        </is>
      </c>
      <c r="U865" s="2" t="inlineStr">
        <is>
          <t>紧凑-高度紧凑</t>
        </is>
      </c>
      <c r="V865" s="2" t="inlineStr">
        <is>
          <t>紧凑-极度紧凑</t>
        </is>
      </c>
    </row>
    <row r="866">
      <c r="A866" s="1" t="n">
        <v>2025081</v>
      </c>
      <c r="B866" s="3" t="inlineStr">
        <is>
          <t>766</t>
        </is>
      </c>
      <c r="C866" s="2">
        <f>IF(B866="","",LEFT(TEXT(B866,"000"),1)*1)</f>
        <v/>
      </c>
      <c r="D866" s="2">
        <f>IF(B866="","",MID(TEXT(B866,"000"),2,1)*1)</f>
        <v/>
      </c>
      <c r="E866" s="2">
        <f>IF(B866="","",RIGHT(TEXT(B866,"000"),1)*1)</f>
        <v/>
      </c>
      <c r="F866" s="2">
        <f>IF(B866="","",C866+D866+E866)</f>
        <v/>
      </c>
      <c r="G866" s="2">
        <f>IF(B866="","",MOD(F866,10))</f>
        <v/>
      </c>
      <c r="H866" s="2">
        <f>IF(B866="","",MAX(C866,D866,E866)-MIN(C866,D866,E866))</f>
        <v/>
      </c>
      <c r="I866" s="2">
        <f>IF(OR(B866="",H866=0),IF(H866=0,0.1,""),ROUND(F866/H866,2))</f>
        <v/>
      </c>
      <c r="J866" s="2">
        <f>IF(I866=0.1,"极紧凑",IF(I866&gt;3.5,"紧凑",IF(AND(I866&gt;=2,I866&lt;=3.5),"标准",IF(AND(I866&gt;=1,I866&lt;2),"松散",""))))</f>
        <v/>
      </c>
      <c r="K866" s="2">
        <f>IF(I866=0.1,"极紧凑-豹子号",IF(AND(I866&gt;=1,I866&lt;=1.29),"松散-极松散",IF(AND(I866&gt;=1.33,I866&lt;=1.8),"松散-标准松散",IF(AND(I866&gt;=1.83,I866&lt;=1.89),"松散-偏紧松散",IF(AND(I866&gt;=2,I866&lt;=2.5),"标准-偏松标准",IF(AND(I866&gt;=2.57,I866&lt;=3),"标准-核心标准",IF(AND(I866&gt;=3.17,I866&lt;=3.5),"标准-偏紧标准",IF(AND(I866&gt;=3.6,I866&lt;=5),"紧凑-标准紧凑",IF(AND(I866&gt;=5.25,I866&lt;=8),"紧凑-高度紧凑",IF(I866&gt;=8.5,"紧凑-极度紧凑",""))))))))))</f>
        <v/>
      </c>
      <c r="L866" s="2">
        <f>IF(I866=0.1,"极紧凑",IF(AND(I866&gt;=1,I866&lt;=1.89),"松散",IF(AND(I866&gt;=2,I866&lt;=3.5),"标准",IF(I866&gt;=3.6,"紧凑",""))))</f>
        <v/>
      </c>
      <c r="M866" s="2" t="inlineStr">
        <is>
          <t>极紧凑-豹子号</t>
        </is>
      </c>
      <c r="N866" s="2" t="inlineStr">
        <is>
          <t>松散-极松散</t>
        </is>
      </c>
      <c r="O866" s="2" t="inlineStr">
        <is>
          <t>松散-标准松散</t>
        </is>
      </c>
      <c r="P866" s="2" t="inlineStr">
        <is>
          <t>松散-偏紧松散</t>
        </is>
      </c>
      <c r="Q866" s="2" t="inlineStr">
        <is>
          <t>标准-偏松标准</t>
        </is>
      </c>
      <c r="R866" s="2" t="inlineStr">
        <is>
          <t>标准-核心标准</t>
        </is>
      </c>
      <c r="S866" s="2" t="inlineStr">
        <is>
          <t>标准-偏紧标准</t>
        </is>
      </c>
      <c r="T866" s="2" t="inlineStr">
        <is>
          <t>紧凑-标准紧凑</t>
        </is>
      </c>
      <c r="U866" s="2" t="inlineStr">
        <is>
          <t>紧凑-高度紧凑</t>
        </is>
      </c>
      <c r="V866" s="2" t="inlineStr">
        <is>
          <t>紧凑-极度紧凑</t>
        </is>
      </c>
    </row>
    <row r="867">
      <c r="A867" s="1" t="n">
        <v>2025082</v>
      </c>
      <c r="B867" s="3" t="inlineStr">
        <is>
          <t>344</t>
        </is>
      </c>
      <c r="C867" s="2">
        <f>IF(B867="","",LEFT(TEXT(B867,"000"),1)*1)</f>
        <v/>
      </c>
      <c r="D867" s="2">
        <f>IF(B867="","",MID(TEXT(B867,"000"),2,1)*1)</f>
        <v/>
      </c>
      <c r="E867" s="2">
        <f>IF(B867="","",RIGHT(TEXT(B867,"000"),1)*1)</f>
        <v/>
      </c>
      <c r="F867" s="2">
        <f>IF(B867="","",C867+D867+E867)</f>
        <v/>
      </c>
      <c r="G867" s="2">
        <f>IF(B867="","",MOD(F867,10))</f>
        <v/>
      </c>
      <c r="H867" s="2">
        <f>IF(B867="","",MAX(C867,D867,E867)-MIN(C867,D867,E867))</f>
        <v/>
      </c>
      <c r="I867" s="2">
        <f>IF(OR(B867="",H867=0),IF(H867=0,0.1,""),ROUND(F867/H867,2))</f>
        <v/>
      </c>
      <c r="J867" s="2">
        <f>IF(I867=0.1,"极紧凑",IF(I867&gt;3.5,"紧凑",IF(AND(I867&gt;=2,I867&lt;=3.5),"标准",IF(AND(I867&gt;=1,I867&lt;2),"松散",""))))</f>
        <v/>
      </c>
      <c r="K867" s="2">
        <f>IF(I867=0.1,"极紧凑-豹子号",IF(AND(I867&gt;=1,I867&lt;=1.29),"松散-极松散",IF(AND(I867&gt;=1.33,I867&lt;=1.8),"松散-标准松散",IF(AND(I867&gt;=1.83,I867&lt;=1.89),"松散-偏紧松散",IF(AND(I867&gt;=2,I867&lt;=2.5),"标准-偏松标准",IF(AND(I867&gt;=2.57,I867&lt;=3),"标准-核心标准",IF(AND(I867&gt;=3.17,I867&lt;=3.5),"标准-偏紧标准",IF(AND(I867&gt;=3.6,I867&lt;=5),"紧凑-标准紧凑",IF(AND(I867&gt;=5.25,I867&lt;=8),"紧凑-高度紧凑",IF(I867&gt;=8.5,"紧凑-极度紧凑",""))))))))))</f>
        <v/>
      </c>
      <c r="L867" s="2">
        <f>IF(I867=0.1,"极紧凑",IF(AND(I867&gt;=1,I867&lt;=1.89),"松散",IF(AND(I867&gt;=2,I867&lt;=3.5),"标准",IF(I867&gt;=3.6,"紧凑",""))))</f>
        <v/>
      </c>
      <c r="M867" s="2" t="inlineStr">
        <is>
          <t>极紧凑-豹子号</t>
        </is>
      </c>
      <c r="N867" s="2" t="inlineStr">
        <is>
          <t>松散-极松散</t>
        </is>
      </c>
      <c r="O867" s="2" t="inlineStr">
        <is>
          <t>松散-标准松散</t>
        </is>
      </c>
      <c r="P867" s="2" t="inlineStr">
        <is>
          <t>松散-偏紧松散</t>
        </is>
      </c>
      <c r="Q867" s="2" t="inlineStr">
        <is>
          <t>标准-偏松标准</t>
        </is>
      </c>
      <c r="R867" s="2" t="inlineStr">
        <is>
          <t>标准-核心标准</t>
        </is>
      </c>
      <c r="S867" s="2" t="inlineStr">
        <is>
          <t>标准-偏紧标准</t>
        </is>
      </c>
      <c r="T867" s="2" t="inlineStr">
        <is>
          <t>紧凑-标准紧凑</t>
        </is>
      </c>
      <c r="U867" s="2" t="inlineStr">
        <is>
          <t>紧凑-高度紧凑</t>
        </is>
      </c>
      <c r="V867" s="2" t="inlineStr">
        <is>
          <t>紧凑-极度紧凑</t>
        </is>
      </c>
    </row>
    <row r="868">
      <c r="A868" s="1" t="n">
        <v>2025083</v>
      </c>
      <c r="B868" s="3" t="inlineStr">
        <is>
          <t>593</t>
        </is>
      </c>
      <c r="C868" s="2">
        <f>IF(B868="","",LEFT(TEXT(B868,"000"),1)*1)</f>
        <v/>
      </c>
      <c r="D868" s="2">
        <f>IF(B868="","",MID(TEXT(B868,"000"),2,1)*1)</f>
        <v/>
      </c>
      <c r="E868" s="2">
        <f>IF(B868="","",RIGHT(TEXT(B868,"000"),1)*1)</f>
        <v/>
      </c>
      <c r="F868" s="2">
        <f>IF(B868="","",C868+D868+E868)</f>
        <v/>
      </c>
      <c r="G868" s="2">
        <f>IF(B868="","",MOD(F868,10))</f>
        <v/>
      </c>
      <c r="H868" s="2">
        <f>IF(B868="","",MAX(C868,D868,E868)-MIN(C868,D868,E868))</f>
        <v/>
      </c>
      <c r="I868" s="2">
        <f>IF(OR(B868="",H868=0),IF(H868=0,0.1,""),ROUND(F868/H868,2))</f>
        <v/>
      </c>
      <c r="J868" s="2">
        <f>IF(I868=0.1,"极紧凑",IF(I868&gt;3.5,"紧凑",IF(AND(I868&gt;=2,I868&lt;=3.5),"标准",IF(AND(I868&gt;=1,I868&lt;2),"松散",""))))</f>
        <v/>
      </c>
      <c r="K868" s="2">
        <f>IF(I868=0.1,"极紧凑-豹子号",IF(AND(I868&gt;=1,I868&lt;=1.29),"松散-极松散",IF(AND(I868&gt;=1.33,I868&lt;=1.8),"松散-标准松散",IF(AND(I868&gt;=1.83,I868&lt;=1.89),"松散-偏紧松散",IF(AND(I868&gt;=2,I868&lt;=2.5),"标准-偏松标准",IF(AND(I868&gt;=2.57,I868&lt;=3),"标准-核心标准",IF(AND(I868&gt;=3.17,I868&lt;=3.5),"标准-偏紧标准",IF(AND(I868&gt;=3.6,I868&lt;=5),"紧凑-标准紧凑",IF(AND(I868&gt;=5.25,I868&lt;=8),"紧凑-高度紧凑",IF(I868&gt;=8.5,"紧凑-极度紧凑",""))))))))))</f>
        <v/>
      </c>
      <c r="L868" s="2">
        <f>IF(I868=0.1,"极紧凑",IF(AND(I868&gt;=1,I868&lt;=1.89),"松散",IF(AND(I868&gt;=2,I868&lt;=3.5),"标准",IF(I868&gt;=3.6,"紧凑",""))))</f>
        <v/>
      </c>
      <c r="M868" s="2" t="inlineStr">
        <is>
          <t>极紧凑-豹子号</t>
        </is>
      </c>
      <c r="N868" s="2" t="inlineStr">
        <is>
          <t>松散-极松散</t>
        </is>
      </c>
      <c r="O868" s="2" t="inlineStr">
        <is>
          <t>松散-标准松散</t>
        </is>
      </c>
      <c r="P868" s="2" t="inlineStr">
        <is>
          <t>松散-偏紧松散</t>
        </is>
      </c>
      <c r="Q868" s="2" t="inlineStr">
        <is>
          <t>标准-偏松标准</t>
        </is>
      </c>
      <c r="R868" s="2" t="inlineStr">
        <is>
          <t>标准-核心标准</t>
        </is>
      </c>
      <c r="S868" s="2" t="inlineStr">
        <is>
          <t>标准-偏紧标准</t>
        </is>
      </c>
      <c r="T868" s="2" t="inlineStr">
        <is>
          <t>紧凑-标准紧凑</t>
        </is>
      </c>
      <c r="U868" s="2" t="inlineStr">
        <is>
          <t>紧凑-高度紧凑</t>
        </is>
      </c>
      <c r="V868" s="2" t="inlineStr">
        <is>
          <t>紧凑-极度紧凑</t>
        </is>
      </c>
    </row>
    <row r="869">
      <c r="A869" s="1" t="n">
        <v>2025084</v>
      </c>
      <c r="B869" s="3" t="inlineStr">
        <is>
          <t>304</t>
        </is>
      </c>
      <c r="C869" s="2">
        <f>IF(B869="","",LEFT(TEXT(B869,"000"),1)*1)</f>
        <v/>
      </c>
      <c r="D869" s="2">
        <f>IF(B869="","",MID(TEXT(B869,"000"),2,1)*1)</f>
        <v/>
      </c>
      <c r="E869" s="2">
        <f>IF(B869="","",RIGHT(TEXT(B869,"000"),1)*1)</f>
        <v/>
      </c>
      <c r="F869" s="2">
        <f>IF(B869="","",C869+D869+E869)</f>
        <v/>
      </c>
      <c r="G869" s="2">
        <f>IF(B869="","",MOD(F869,10))</f>
        <v/>
      </c>
      <c r="H869" s="2">
        <f>IF(B869="","",MAX(C869,D869,E869)-MIN(C869,D869,E869))</f>
        <v/>
      </c>
      <c r="I869" s="2">
        <f>IF(OR(B869="",H869=0),IF(H869=0,0.1,""),ROUND(F869/H869,2))</f>
        <v/>
      </c>
      <c r="J869" s="2">
        <f>IF(I869=0.1,"极紧凑",IF(I869&gt;3.5,"紧凑",IF(AND(I869&gt;=2,I869&lt;=3.5),"标准",IF(AND(I869&gt;=1,I869&lt;2),"松散",""))))</f>
        <v/>
      </c>
      <c r="K869" s="2">
        <f>IF(I869=0.1,"极紧凑-豹子号",IF(AND(I869&gt;=1,I869&lt;=1.29),"松散-极松散",IF(AND(I869&gt;=1.33,I869&lt;=1.8),"松散-标准松散",IF(AND(I869&gt;=1.83,I869&lt;=1.89),"松散-偏紧松散",IF(AND(I869&gt;=2,I869&lt;=2.5),"标准-偏松标准",IF(AND(I869&gt;=2.57,I869&lt;=3),"标准-核心标准",IF(AND(I869&gt;=3.17,I869&lt;=3.5),"标准-偏紧标准",IF(AND(I869&gt;=3.6,I869&lt;=5),"紧凑-标准紧凑",IF(AND(I869&gt;=5.25,I869&lt;=8),"紧凑-高度紧凑",IF(I869&gt;=8.5,"紧凑-极度紧凑",""))))))))))</f>
        <v/>
      </c>
      <c r="L869" s="2">
        <f>IF(I869=0.1,"极紧凑",IF(AND(I869&gt;=1,I869&lt;=1.89),"松散",IF(AND(I869&gt;=2,I869&lt;=3.5),"标准",IF(I869&gt;=3.6,"紧凑",""))))</f>
        <v/>
      </c>
      <c r="M869" s="2" t="inlineStr">
        <is>
          <t>极紧凑-豹子号</t>
        </is>
      </c>
      <c r="N869" s="2" t="inlineStr">
        <is>
          <t>松散-极松散</t>
        </is>
      </c>
      <c r="O869" s="2" t="inlineStr">
        <is>
          <t>松散-标准松散</t>
        </is>
      </c>
      <c r="P869" s="2" t="inlineStr">
        <is>
          <t>松散-偏紧松散</t>
        </is>
      </c>
      <c r="Q869" s="2" t="inlineStr">
        <is>
          <t>标准-偏松标准</t>
        </is>
      </c>
      <c r="R869" s="2" t="inlineStr">
        <is>
          <t>标准-核心标准</t>
        </is>
      </c>
      <c r="S869" s="2" t="inlineStr">
        <is>
          <t>标准-偏紧标准</t>
        </is>
      </c>
      <c r="T869" s="2" t="inlineStr">
        <is>
          <t>紧凑-标准紧凑</t>
        </is>
      </c>
      <c r="U869" s="2" t="inlineStr">
        <is>
          <t>紧凑-高度紧凑</t>
        </is>
      </c>
      <c r="V869" s="2" t="inlineStr">
        <is>
          <t>紧凑-极度紧凑</t>
        </is>
      </c>
    </row>
    <row r="870">
      <c r="A870" s="1" t="n">
        <v>2025085</v>
      </c>
      <c r="B870" s="3" t="inlineStr">
        <is>
          <t>353</t>
        </is>
      </c>
      <c r="C870" s="2">
        <f>IF(B870="","",LEFT(TEXT(B870,"000"),1)*1)</f>
        <v/>
      </c>
      <c r="D870" s="2">
        <f>IF(B870="","",MID(TEXT(B870,"000"),2,1)*1)</f>
        <v/>
      </c>
      <c r="E870" s="2">
        <f>IF(B870="","",RIGHT(TEXT(B870,"000"),1)*1)</f>
        <v/>
      </c>
      <c r="F870" s="2">
        <f>IF(B870="","",C870+D870+E870)</f>
        <v/>
      </c>
      <c r="G870" s="2">
        <f>IF(B870="","",MOD(F870,10))</f>
        <v/>
      </c>
      <c r="H870" s="2">
        <f>IF(B870="","",MAX(C870,D870,E870)-MIN(C870,D870,E870))</f>
        <v/>
      </c>
      <c r="I870" s="2">
        <f>IF(OR(B870="",H870=0),IF(H870=0,0.1,""),ROUND(F870/H870,2))</f>
        <v/>
      </c>
      <c r="J870" s="2">
        <f>IF(I870=0.1,"极紧凑",IF(I870&gt;3.5,"紧凑",IF(AND(I870&gt;=2,I870&lt;=3.5),"标准",IF(AND(I870&gt;=1,I870&lt;2),"松散",""))))</f>
        <v/>
      </c>
      <c r="K870" s="2">
        <f>IF(I870=0.1,"极紧凑-豹子号",IF(AND(I870&gt;=1,I870&lt;=1.29),"松散-极松散",IF(AND(I870&gt;=1.33,I870&lt;=1.8),"松散-标准松散",IF(AND(I870&gt;=1.83,I870&lt;=1.89),"松散-偏紧松散",IF(AND(I870&gt;=2,I870&lt;=2.5),"标准-偏松标准",IF(AND(I870&gt;=2.57,I870&lt;=3),"标准-核心标准",IF(AND(I870&gt;=3.17,I870&lt;=3.5),"标准-偏紧标准",IF(AND(I870&gt;=3.6,I870&lt;=5),"紧凑-标准紧凑",IF(AND(I870&gt;=5.25,I870&lt;=8),"紧凑-高度紧凑",IF(I870&gt;=8.5,"紧凑-极度紧凑",""))))))))))</f>
        <v/>
      </c>
      <c r="L870" s="2">
        <f>IF(I870=0.1,"极紧凑",IF(AND(I870&gt;=1,I870&lt;=1.89),"松散",IF(AND(I870&gt;=2,I870&lt;=3.5),"标准",IF(I870&gt;=3.6,"紧凑",""))))</f>
        <v/>
      </c>
      <c r="M870" s="2" t="inlineStr">
        <is>
          <t>极紧凑-豹子号</t>
        </is>
      </c>
      <c r="N870" s="2" t="inlineStr">
        <is>
          <t>松散-极松散</t>
        </is>
      </c>
      <c r="O870" s="2" t="inlineStr">
        <is>
          <t>松散-标准松散</t>
        </is>
      </c>
      <c r="P870" s="2" t="inlineStr">
        <is>
          <t>松散-偏紧松散</t>
        </is>
      </c>
      <c r="Q870" s="2" t="inlineStr">
        <is>
          <t>标准-偏松标准</t>
        </is>
      </c>
      <c r="R870" s="2" t="inlineStr">
        <is>
          <t>标准-核心标准</t>
        </is>
      </c>
      <c r="S870" s="2" t="inlineStr">
        <is>
          <t>标准-偏紧标准</t>
        </is>
      </c>
      <c r="T870" s="2" t="inlineStr">
        <is>
          <t>紧凑-标准紧凑</t>
        </is>
      </c>
      <c r="U870" s="2" t="inlineStr">
        <is>
          <t>紧凑-高度紧凑</t>
        </is>
      </c>
      <c r="V870" s="2" t="inlineStr">
        <is>
          <t>紧凑-极度紧凑</t>
        </is>
      </c>
    </row>
    <row r="871">
      <c r="A871" s="1" t="n">
        <v>2025086</v>
      </c>
      <c r="B871" s="3" t="inlineStr">
        <is>
          <t>634</t>
        </is>
      </c>
      <c r="C871" s="2">
        <f>IF(B871="","",LEFT(TEXT(B871,"000"),1)*1)</f>
        <v/>
      </c>
      <c r="D871" s="2">
        <f>IF(B871="","",MID(TEXT(B871,"000"),2,1)*1)</f>
        <v/>
      </c>
      <c r="E871" s="2">
        <f>IF(B871="","",RIGHT(TEXT(B871,"000"),1)*1)</f>
        <v/>
      </c>
      <c r="F871" s="2">
        <f>IF(B871="","",C871+D871+E871)</f>
        <v/>
      </c>
      <c r="G871" s="2">
        <f>IF(B871="","",MOD(F871,10))</f>
        <v/>
      </c>
      <c r="H871" s="2">
        <f>IF(B871="","",MAX(C871,D871,E871)-MIN(C871,D871,E871))</f>
        <v/>
      </c>
      <c r="I871" s="2">
        <f>IF(OR(B871="",H871=0),IF(H871=0,0.1,""),ROUND(F871/H871,2))</f>
        <v/>
      </c>
      <c r="J871" s="2">
        <f>IF(I871=0.1,"极紧凑",IF(I871&gt;3.5,"紧凑",IF(AND(I871&gt;=2,I871&lt;=3.5),"标准",IF(AND(I871&gt;=1,I871&lt;2),"松散",""))))</f>
        <v/>
      </c>
      <c r="K871" s="2">
        <f>IF(I871=0.1,"极紧凑-豹子号",IF(AND(I871&gt;=1,I871&lt;=1.29),"松散-极松散",IF(AND(I871&gt;=1.33,I871&lt;=1.8),"松散-标准松散",IF(AND(I871&gt;=1.83,I871&lt;=1.89),"松散-偏紧松散",IF(AND(I871&gt;=2,I871&lt;=2.5),"标准-偏松标准",IF(AND(I871&gt;=2.57,I871&lt;=3),"标准-核心标准",IF(AND(I871&gt;=3.17,I871&lt;=3.5),"标准-偏紧标准",IF(AND(I871&gt;=3.6,I871&lt;=5),"紧凑-标准紧凑",IF(AND(I871&gt;=5.25,I871&lt;=8),"紧凑-高度紧凑",IF(I871&gt;=8.5,"紧凑-极度紧凑",""))))))))))</f>
        <v/>
      </c>
      <c r="L871" s="2">
        <f>IF(I871=0.1,"极紧凑",IF(AND(I871&gt;=1,I871&lt;=1.89),"松散",IF(AND(I871&gt;=2,I871&lt;=3.5),"标准",IF(I871&gt;=3.6,"紧凑",""))))</f>
        <v/>
      </c>
      <c r="M871" s="2" t="inlineStr">
        <is>
          <t>极紧凑-豹子号</t>
        </is>
      </c>
      <c r="N871" s="2" t="inlineStr">
        <is>
          <t>松散-极松散</t>
        </is>
      </c>
      <c r="O871" s="2" t="inlineStr">
        <is>
          <t>松散-标准松散</t>
        </is>
      </c>
      <c r="P871" s="2" t="inlineStr">
        <is>
          <t>松散-偏紧松散</t>
        </is>
      </c>
      <c r="Q871" s="2" t="inlineStr">
        <is>
          <t>标准-偏松标准</t>
        </is>
      </c>
      <c r="R871" s="2" t="inlineStr">
        <is>
          <t>标准-核心标准</t>
        </is>
      </c>
      <c r="S871" s="2" t="inlineStr">
        <is>
          <t>标准-偏紧标准</t>
        </is>
      </c>
      <c r="T871" s="2" t="inlineStr">
        <is>
          <t>紧凑-标准紧凑</t>
        </is>
      </c>
      <c r="U871" s="2" t="inlineStr">
        <is>
          <t>紧凑-高度紧凑</t>
        </is>
      </c>
      <c r="V871" s="2" t="inlineStr">
        <is>
          <t>紧凑-极度紧凑</t>
        </is>
      </c>
    </row>
    <row r="872">
      <c r="A872" s="1" t="n">
        <v>2025087</v>
      </c>
      <c r="B872" s="3" t="inlineStr">
        <is>
          <t>845</t>
        </is>
      </c>
      <c r="C872" s="2">
        <f>IF(B872="","",LEFT(TEXT(B872,"000"),1)*1)</f>
        <v/>
      </c>
      <c r="D872" s="2">
        <f>IF(B872="","",MID(TEXT(B872,"000"),2,1)*1)</f>
        <v/>
      </c>
      <c r="E872" s="2">
        <f>IF(B872="","",RIGHT(TEXT(B872,"000"),1)*1)</f>
        <v/>
      </c>
      <c r="F872" s="2">
        <f>IF(B872="","",C872+D872+E872)</f>
        <v/>
      </c>
      <c r="G872" s="2">
        <f>IF(B872="","",MOD(F872,10))</f>
        <v/>
      </c>
      <c r="H872" s="2">
        <f>IF(B872="","",MAX(C872,D872,E872)-MIN(C872,D872,E872))</f>
        <v/>
      </c>
      <c r="I872" s="2">
        <f>IF(OR(B872="",H872=0),IF(H872=0,0.1,""),ROUND(F872/H872,2))</f>
        <v/>
      </c>
      <c r="J872" s="2">
        <f>IF(I872=0.1,"极紧凑",IF(I872&gt;3.5,"紧凑",IF(AND(I872&gt;=2,I872&lt;=3.5),"标准",IF(AND(I872&gt;=1,I872&lt;2),"松散",""))))</f>
        <v/>
      </c>
      <c r="K872" s="2">
        <f>IF(I872=0.1,"极紧凑-豹子号",IF(AND(I872&gt;=1,I872&lt;=1.29),"松散-极松散",IF(AND(I872&gt;=1.33,I872&lt;=1.8),"松散-标准松散",IF(AND(I872&gt;=1.83,I872&lt;=1.89),"松散-偏紧松散",IF(AND(I872&gt;=2,I872&lt;=2.5),"标准-偏松标准",IF(AND(I872&gt;=2.57,I872&lt;=3),"标准-核心标准",IF(AND(I872&gt;=3.17,I872&lt;=3.5),"标准-偏紧标准",IF(AND(I872&gt;=3.6,I872&lt;=5),"紧凑-标准紧凑",IF(AND(I872&gt;=5.25,I872&lt;=8),"紧凑-高度紧凑",IF(I872&gt;=8.5,"紧凑-极度紧凑",""))))))))))</f>
        <v/>
      </c>
      <c r="L872" s="2">
        <f>IF(I872=0.1,"极紧凑",IF(AND(I872&gt;=1,I872&lt;=1.89),"松散",IF(AND(I872&gt;=2,I872&lt;=3.5),"标准",IF(I872&gt;=3.6,"紧凑",""))))</f>
        <v/>
      </c>
      <c r="M872" s="2" t="inlineStr">
        <is>
          <t>极紧凑-豹子号</t>
        </is>
      </c>
      <c r="N872" s="2" t="inlineStr">
        <is>
          <t>松散-极松散</t>
        </is>
      </c>
      <c r="O872" s="2" t="inlineStr">
        <is>
          <t>松散-标准松散</t>
        </is>
      </c>
      <c r="P872" s="2" t="inlineStr">
        <is>
          <t>松散-偏紧松散</t>
        </is>
      </c>
      <c r="Q872" s="2" t="inlineStr">
        <is>
          <t>标准-偏松标准</t>
        </is>
      </c>
      <c r="R872" s="2" t="inlineStr">
        <is>
          <t>标准-核心标准</t>
        </is>
      </c>
      <c r="S872" s="2" t="inlineStr">
        <is>
          <t>标准-偏紧标准</t>
        </is>
      </c>
      <c r="T872" s="2" t="inlineStr">
        <is>
          <t>紧凑-标准紧凑</t>
        </is>
      </c>
      <c r="U872" s="2" t="inlineStr">
        <is>
          <t>紧凑-高度紧凑</t>
        </is>
      </c>
      <c r="V872" s="2" t="inlineStr">
        <is>
          <t>紧凑-极度紧凑</t>
        </is>
      </c>
    </row>
    <row r="873">
      <c r="A873" s="1" t="n">
        <v>2025088</v>
      </c>
      <c r="B873" s="3" t="inlineStr">
        <is>
          <t>222</t>
        </is>
      </c>
      <c r="C873" s="2">
        <f>IF(B873="","",LEFT(TEXT(B873,"000"),1)*1)</f>
        <v/>
      </c>
      <c r="D873" s="2">
        <f>IF(B873="","",MID(TEXT(B873,"000"),2,1)*1)</f>
        <v/>
      </c>
      <c r="E873" s="2">
        <f>IF(B873="","",RIGHT(TEXT(B873,"000"),1)*1)</f>
        <v/>
      </c>
      <c r="F873" s="2">
        <f>IF(B873="","",C873+D873+E873)</f>
        <v/>
      </c>
      <c r="G873" s="2">
        <f>IF(B873="","",MOD(F873,10))</f>
        <v/>
      </c>
      <c r="H873" s="2">
        <f>IF(B873="","",MAX(C873,D873,E873)-MIN(C873,D873,E873))</f>
        <v/>
      </c>
      <c r="I873" s="2">
        <f>IF(OR(B873="",H873=0),IF(H873=0,0.1,""),ROUND(F873/H873,2))</f>
        <v/>
      </c>
      <c r="J873" s="2">
        <f>IF(I873=0.1,"极紧凑",IF(I873&gt;3.5,"紧凑",IF(AND(I873&gt;=2,I873&lt;=3.5),"标准",IF(AND(I873&gt;=1,I873&lt;2),"松散",""))))</f>
        <v/>
      </c>
      <c r="K873" s="2">
        <f>IF(I873=0.1,"极紧凑-豹子号",IF(AND(I873&gt;=1,I873&lt;=1.29),"松散-极松散",IF(AND(I873&gt;=1.33,I873&lt;=1.8),"松散-标准松散",IF(AND(I873&gt;=1.83,I873&lt;=1.89),"松散-偏紧松散",IF(AND(I873&gt;=2,I873&lt;=2.5),"标准-偏松标准",IF(AND(I873&gt;=2.57,I873&lt;=3),"标准-核心标准",IF(AND(I873&gt;=3.17,I873&lt;=3.5),"标准-偏紧标准",IF(AND(I873&gt;=3.6,I873&lt;=5),"紧凑-标准紧凑",IF(AND(I873&gt;=5.25,I873&lt;=8),"紧凑-高度紧凑",IF(I873&gt;=8.5,"紧凑-极度紧凑",""))))))))))</f>
        <v/>
      </c>
      <c r="L873" s="2">
        <f>IF(I873=0.1,"极紧凑",IF(AND(I873&gt;=1,I873&lt;=1.89),"松散",IF(AND(I873&gt;=2,I873&lt;=3.5),"标准",IF(I873&gt;=3.6,"紧凑",""))))</f>
        <v/>
      </c>
      <c r="M873" s="2" t="inlineStr">
        <is>
          <t>极紧凑-豹子号</t>
        </is>
      </c>
      <c r="N873" s="2" t="inlineStr">
        <is>
          <t>松散-极松散</t>
        </is>
      </c>
      <c r="O873" s="2" t="inlineStr">
        <is>
          <t>松散-标准松散</t>
        </is>
      </c>
      <c r="P873" s="2" t="inlineStr">
        <is>
          <t>松散-偏紧松散</t>
        </is>
      </c>
      <c r="Q873" s="2" t="inlineStr">
        <is>
          <t>标准-偏松标准</t>
        </is>
      </c>
      <c r="R873" s="2" t="inlineStr">
        <is>
          <t>标准-核心标准</t>
        </is>
      </c>
      <c r="S873" s="2" t="inlineStr">
        <is>
          <t>标准-偏紧标准</t>
        </is>
      </c>
      <c r="T873" s="2" t="inlineStr">
        <is>
          <t>紧凑-标准紧凑</t>
        </is>
      </c>
      <c r="U873" s="2" t="inlineStr">
        <is>
          <t>紧凑-高度紧凑</t>
        </is>
      </c>
      <c r="V873" s="2" t="inlineStr">
        <is>
          <t>紧凑-极度紧凑</t>
        </is>
      </c>
    </row>
    <row r="874">
      <c r="A874" s="1" t="n">
        <v>2025089</v>
      </c>
      <c r="B874" s="3" t="inlineStr">
        <is>
          <t>208</t>
        </is>
      </c>
      <c r="C874" s="2">
        <f>IF(B874="","",LEFT(TEXT(B874,"000"),1)*1)</f>
        <v/>
      </c>
      <c r="D874" s="2">
        <f>IF(B874="","",MID(TEXT(B874,"000"),2,1)*1)</f>
        <v/>
      </c>
      <c r="E874" s="2">
        <f>IF(B874="","",RIGHT(TEXT(B874,"000"),1)*1)</f>
        <v/>
      </c>
      <c r="F874" s="2">
        <f>IF(B874="","",C874+D874+E874)</f>
        <v/>
      </c>
      <c r="G874" s="2">
        <f>IF(B874="","",MOD(F874,10))</f>
        <v/>
      </c>
      <c r="H874" s="2">
        <f>IF(B874="","",MAX(C874,D874,E874)-MIN(C874,D874,E874))</f>
        <v/>
      </c>
      <c r="I874" s="2">
        <f>IF(OR(B874="",H874=0),IF(H874=0,0.1,""),ROUND(F874/H874,2))</f>
        <v/>
      </c>
      <c r="J874" s="2">
        <f>IF(I874=0.1,"极紧凑",IF(I874&gt;3.5,"紧凑",IF(AND(I874&gt;=2,I874&lt;=3.5),"标准",IF(AND(I874&gt;=1,I874&lt;2),"松散",""))))</f>
        <v/>
      </c>
      <c r="K874" s="2">
        <f>IF(I874=0.1,"极紧凑-豹子号",IF(AND(I874&gt;=1,I874&lt;=1.29),"松散-极松散",IF(AND(I874&gt;=1.33,I874&lt;=1.8),"松散-标准松散",IF(AND(I874&gt;=1.83,I874&lt;=1.89),"松散-偏紧松散",IF(AND(I874&gt;=2,I874&lt;=2.5),"标准-偏松标准",IF(AND(I874&gt;=2.57,I874&lt;=3),"标准-核心标准",IF(AND(I874&gt;=3.17,I874&lt;=3.5),"标准-偏紧标准",IF(AND(I874&gt;=3.6,I874&lt;=5),"紧凑-标准紧凑",IF(AND(I874&gt;=5.25,I874&lt;=8),"紧凑-高度紧凑",IF(I874&gt;=8.5,"紧凑-极度紧凑",""))))))))))</f>
        <v/>
      </c>
      <c r="L874" s="2">
        <f>IF(I874=0.1,"极紧凑",IF(AND(I874&gt;=1,I874&lt;=1.89),"松散",IF(AND(I874&gt;=2,I874&lt;=3.5),"标准",IF(I874&gt;=3.6,"紧凑",""))))</f>
        <v/>
      </c>
      <c r="M874" s="2" t="inlineStr">
        <is>
          <t>极紧凑-豹子号</t>
        </is>
      </c>
      <c r="N874" s="2" t="inlineStr">
        <is>
          <t>松散-极松散</t>
        </is>
      </c>
      <c r="O874" s="2" t="inlineStr">
        <is>
          <t>松散-标准松散</t>
        </is>
      </c>
      <c r="P874" s="2" t="inlineStr">
        <is>
          <t>松散-偏紧松散</t>
        </is>
      </c>
      <c r="Q874" s="2" t="inlineStr">
        <is>
          <t>标准-偏松标准</t>
        </is>
      </c>
      <c r="R874" s="2" t="inlineStr">
        <is>
          <t>标准-核心标准</t>
        </is>
      </c>
      <c r="S874" s="2" t="inlineStr">
        <is>
          <t>标准-偏紧标准</t>
        </is>
      </c>
      <c r="T874" s="2" t="inlineStr">
        <is>
          <t>紧凑-标准紧凑</t>
        </is>
      </c>
      <c r="U874" s="2" t="inlineStr">
        <is>
          <t>紧凑-高度紧凑</t>
        </is>
      </c>
      <c r="V874" s="2" t="inlineStr">
        <is>
          <t>紧凑-极度紧凑</t>
        </is>
      </c>
    </row>
    <row r="875">
      <c r="A875" s="1" t="n">
        <v>2025090</v>
      </c>
      <c r="B875" s="3" t="inlineStr">
        <is>
          <t>993</t>
        </is>
      </c>
      <c r="C875" s="2">
        <f>IF(B875="","",LEFT(TEXT(B875,"000"),1)*1)</f>
        <v/>
      </c>
      <c r="D875" s="2">
        <f>IF(B875="","",MID(TEXT(B875,"000"),2,1)*1)</f>
        <v/>
      </c>
      <c r="E875" s="2">
        <f>IF(B875="","",RIGHT(TEXT(B875,"000"),1)*1)</f>
        <v/>
      </c>
      <c r="F875" s="2">
        <f>IF(B875="","",C875+D875+E875)</f>
        <v/>
      </c>
      <c r="G875" s="2">
        <f>IF(B875="","",MOD(F875,10))</f>
        <v/>
      </c>
      <c r="H875" s="2">
        <f>IF(B875="","",MAX(C875,D875,E875)-MIN(C875,D875,E875))</f>
        <v/>
      </c>
      <c r="I875" s="2">
        <f>IF(OR(B875="",H875=0),IF(H875=0,0.1,""),ROUND(F875/H875,2))</f>
        <v/>
      </c>
      <c r="J875" s="2">
        <f>IF(I875=0.1,"极紧凑",IF(I875&gt;3.5,"紧凑",IF(AND(I875&gt;=2,I875&lt;=3.5),"标准",IF(AND(I875&gt;=1,I875&lt;2),"松散",""))))</f>
        <v/>
      </c>
      <c r="K875" s="2">
        <f>IF(I875=0.1,"极紧凑-豹子号",IF(AND(I875&gt;=1,I875&lt;=1.29),"松散-极松散",IF(AND(I875&gt;=1.33,I875&lt;=1.8),"松散-标准松散",IF(AND(I875&gt;=1.83,I875&lt;=1.89),"松散-偏紧松散",IF(AND(I875&gt;=2,I875&lt;=2.5),"标准-偏松标准",IF(AND(I875&gt;=2.57,I875&lt;=3),"标准-核心标准",IF(AND(I875&gt;=3.17,I875&lt;=3.5),"标准-偏紧标准",IF(AND(I875&gt;=3.6,I875&lt;=5),"紧凑-标准紧凑",IF(AND(I875&gt;=5.25,I875&lt;=8),"紧凑-高度紧凑",IF(I875&gt;=8.5,"紧凑-极度紧凑",""))))))))))</f>
        <v/>
      </c>
      <c r="L875" s="2">
        <f>IF(I875=0.1,"极紧凑",IF(AND(I875&gt;=1,I875&lt;=1.89),"松散",IF(AND(I875&gt;=2,I875&lt;=3.5),"标准",IF(I875&gt;=3.6,"紧凑",""))))</f>
        <v/>
      </c>
      <c r="M875" s="2" t="inlineStr">
        <is>
          <t>极紧凑-豹子号</t>
        </is>
      </c>
      <c r="N875" s="2" t="inlineStr">
        <is>
          <t>松散-极松散</t>
        </is>
      </c>
      <c r="O875" s="2" t="inlineStr">
        <is>
          <t>松散-标准松散</t>
        </is>
      </c>
      <c r="P875" s="2" t="inlineStr">
        <is>
          <t>松散-偏紧松散</t>
        </is>
      </c>
      <c r="Q875" s="2" t="inlineStr">
        <is>
          <t>标准-偏松标准</t>
        </is>
      </c>
      <c r="R875" s="2" t="inlineStr">
        <is>
          <t>标准-核心标准</t>
        </is>
      </c>
      <c r="S875" s="2" t="inlineStr">
        <is>
          <t>标准-偏紧标准</t>
        </is>
      </c>
      <c r="T875" s="2" t="inlineStr">
        <is>
          <t>紧凑-标准紧凑</t>
        </is>
      </c>
      <c r="U875" s="2" t="inlineStr">
        <is>
          <t>紧凑-高度紧凑</t>
        </is>
      </c>
      <c r="V875" s="2" t="inlineStr">
        <is>
          <t>紧凑-极度紧凑</t>
        </is>
      </c>
    </row>
    <row r="876">
      <c r="A876" s="1" t="n">
        <v>2025091</v>
      </c>
      <c r="B876" s="3" t="inlineStr">
        <is>
          <t>830</t>
        </is>
      </c>
      <c r="C876" s="2">
        <f>IF(B876="","",LEFT(TEXT(B876,"000"),1)*1)</f>
        <v/>
      </c>
      <c r="D876" s="2">
        <f>IF(B876="","",MID(TEXT(B876,"000"),2,1)*1)</f>
        <v/>
      </c>
      <c r="E876" s="2">
        <f>IF(B876="","",RIGHT(TEXT(B876,"000"),1)*1)</f>
        <v/>
      </c>
      <c r="F876" s="2">
        <f>IF(B876="","",C876+D876+E876)</f>
        <v/>
      </c>
      <c r="G876" s="2">
        <f>IF(B876="","",MOD(F876,10))</f>
        <v/>
      </c>
      <c r="H876" s="2">
        <f>IF(B876="","",MAX(C876,D876,E876)-MIN(C876,D876,E876))</f>
        <v/>
      </c>
      <c r="I876" s="2">
        <f>IF(OR(B876="",H876=0),IF(H876=0,0.1,""),ROUND(F876/H876,2))</f>
        <v/>
      </c>
      <c r="J876" s="2">
        <f>IF(I876=0.1,"极紧凑",IF(I876&gt;3.5,"紧凑",IF(AND(I876&gt;=2,I876&lt;=3.5),"标准",IF(AND(I876&gt;=1,I876&lt;2),"松散",""))))</f>
        <v/>
      </c>
      <c r="K876" s="2">
        <f>IF(I876=0.1,"极紧凑-豹子号",IF(AND(I876&gt;=1,I876&lt;=1.29),"松散-极松散",IF(AND(I876&gt;=1.33,I876&lt;=1.8),"松散-标准松散",IF(AND(I876&gt;=1.83,I876&lt;=1.89),"松散-偏紧松散",IF(AND(I876&gt;=2,I876&lt;=2.5),"标准-偏松标准",IF(AND(I876&gt;=2.57,I876&lt;=3),"标准-核心标准",IF(AND(I876&gt;=3.17,I876&lt;=3.5),"标准-偏紧标准",IF(AND(I876&gt;=3.6,I876&lt;=5),"紧凑-标准紧凑",IF(AND(I876&gt;=5.25,I876&lt;=8),"紧凑-高度紧凑",IF(I876&gt;=8.5,"紧凑-极度紧凑",""))))))))))</f>
        <v/>
      </c>
      <c r="L876" s="2">
        <f>IF(I876=0.1,"极紧凑",IF(AND(I876&gt;=1,I876&lt;=1.89),"松散",IF(AND(I876&gt;=2,I876&lt;=3.5),"标准",IF(I876&gt;=3.6,"紧凑",""))))</f>
        <v/>
      </c>
      <c r="M876" s="2" t="inlineStr">
        <is>
          <t>极紧凑-豹子号</t>
        </is>
      </c>
      <c r="N876" s="2" t="inlineStr">
        <is>
          <t>松散-极松散</t>
        </is>
      </c>
      <c r="O876" s="2" t="inlineStr">
        <is>
          <t>松散-标准松散</t>
        </is>
      </c>
      <c r="P876" s="2" t="inlineStr">
        <is>
          <t>松散-偏紧松散</t>
        </is>
      </c>
      <c r="Q876" s="2" t="inlineStr">
        <is>
          <t>标准-偏松标准</t>
        </is>
      </c>
      <c r="R876" s="2" t="inlineStr">
        <is>
          <t>标准-核心标准</t>
        </is>
      </c>
      <c r="S876" s="2" t="inlineStr">
        <is>
          <t>标准-偏紧标准</t>
        </is>
      </c>
      <c r="T876" s="2" t="inlineStr">
        <is>
          <t>紧凑-标准紧凑</t>
        </is>
      </c>
      <c r="U876" s="2" t="inlineStr">
        <is>
          <t>紧凑-高度紧凑</t>
        </is>
      </c>
      <c r="V876" s="2" t="inlineStr">
        <is>
          <t>紧凑-极度紧凑</t>
        </is>
      </c>
    </row>
    <row r="877">
      <c r="A877" s="1" t="n">
        <v>2025092</v>
      </c>
      <c r="B877" s="3" t="inlineStr">
        <is>
          <t>721</t>
        </is>
      </c>
      <c r="C877" s="2">
        <f>IF(B877="","",LEFT(TEXT(B877,"000"),1)*1)</f>
        <v/>
      </c>
      <c r="D877" s="2">
        <f>IF(B877="","",MID(TEXT(B877,"000"),2,1)*1)</f>
        <v/>
      </c>
      <c r="E877" s="2">
        <f>IF(B877="","",RIGHT(TEXT(B877,"000"),1)*1)</f>
        <v/>
      </c>
      <c r="F877" s="2">
        <f>IF(B877="","",C877+D877+E877)</f>
        <v/>
      </c>
      <c r="G877" s="2">
        <f>IF(B877="","",MOD(F877,10))</f>
        <v/>
      </c>
      <c r="H877" s="2">
        <f>IF(B877="","",MAX(C877,D877,E877)-MIN(C877,D877,E877))</f>
        <v/>
      </c>
      <c r="I877" s="2">
        <f>IF(OR(B877="",H877=0),IF(H877=0,0.1,""),ROUND(F877/H877,2))</f>
        <v/>
      </c>
      <c r="J877" s="2">
        <f>IF(I877=0.1,"极紧凑",IF(I877&gt;3.5,"紧凑",IF(AND(I877&gt;=2,I877&lt;=3.5),"标准",IF(AND(I877&gt;=1,I877&lt;2),"松散",""))))</f>
        <v/>
      </c>
      <c r="K877" s="2">
        <f>IF(I877=0.1,"极紧凑-豹子号",IF(AND(I877&gt;=1,I877&lt;=1.29),"松散-极松散",IF(AND(I877&gt;=1.33,I877&lt;=1.8),"松散-标准松散",IF(AND(I877&gt;=1.83,I877&lt;=1.89),"松散-偏紧松散",IF(AND(I877&gt;=2,I877&lt;=2.5),"标准-偏松标准",IF(AND(I877&gt;=2.57,I877&lt;=3),"标准-核心标准",IF(AND(I877&gt;=3.17,I877&lt;=3.5),"标准-偏紧标准",IF(AND(I877&gt;=3.6,I877&lt;=5),"紧凑-标准紧凑",IF(AND(I877&gt;=5.25,I877&lt;=8),"紧凑-高度紧凑",IF(I877&gt;=8.5,"紧凑-极度紧凑",""))))))))))</f>
        <v/>
      </c>
      <c r="L877" s="2">
        <f>IF(I877=0.1,"极紧凑",IF(AND(I877&gt;=1,I877&lt;=1.89),"松散",IF(AND(I877&gt;=2,I877&lt;=3.5),"标准",IF(I877&gt;=3.6,"紧凑",""))))</f>
        <v/>
      </c>
      <c r="M877" s="2" t="inlineStr">
        <is>
          <t>极紧凑-豹子号</t>
        </is>
      </c>
      <c r="N877" s="2" t="inlineStr">
        <is>
          <t>松散-极松散</t>
        </is>
      </c>
      <c r="O877" s="2" t="inlineStr">
        <is>
          <t>松散-标准松散</t>
        </is>
      </c>
      <c r="P877" s="2" t="inlineStr">
        <is>
          <t>松散-偏紧松散</t>
        </is>
      </c>
      <c r="Q877" s="2" t="inlineStr">
        <is>
          <t>标准-偏松标准</t>
        </is>
      </c>
      <c r="R877" s="2" t="inlineStr">
        <is>
          <t>标准-核心标准</t>
        </is>
      </c>
      <c r="S877" s="2" t="inlineStr">
        <is>
          <t>标准-偏紧标准</t>
        </is>
      </c>
      <c r="T877" s="2" t="inlineStr">
        <is>
          <t>紧凑-标准紧凑</t>
        </is>
      </c>
      <c r="U877" s="2" t="inlineStr">
        <is>
          <t>紧凑-高度紧凑</t>
        </is>
      </c>
      <c r="V877" s="2" t="inlineStr">
        <is>
          <t>紧凑-极度紧凑</t>
        </is>
      </c>
    </row>
    <row r="878">
      <c r="A878" s="1" t="n">
        <v>2025093</v>
      </c>
      <c r="B878" s="3" t="inlineStr">
        <is>
          <t>432</t>
        </is>
      </c>
      <c r="C878" s="2">
        <f>IF(B878="","",LEFT(TEXT(B878,"000"),1)*1)</f>
        <v/>
      </c>
      <c r="D878" s="2">
        <f>IF(B878="","",MID(TEXT(B878,"000"),2,1)*1)</f>
        <v/>
      </c>
      <c r="E878" s="2">
        <f>IF(B878="","",RIGHT(TEXT(B878,"000"),1)*1)</f>
        <v/>
      </c>
      <c r="F878" s="2">
        <f>IF(B878="","",C878+D878+E878)</f>
        <v/>
      </c>
      <c r="G878" s="2">
        <f>IF(B878="","",MOD(F878,10))</f>
        <v/>
      </c>
      <c r="H878" s="2">
        <f>IF(B878="","",MAX(C878,D878,E878)-MIN(C878,D878,E878))</f>
        <v/>
      </c>
      <c r="I878" s="2">
        <f>IF(OR(B878="",H878=0),IF(H878=0,0.1,""),ROUND(F878/H878,2))</f>
        <v/>
      </c>
      <c r="J878" s="2">
        <f>IF(I878=0.1,"极紧凑",IF(I878&gt;3.5,"紧凑",IF(AND(I878&gt;=2,I878&lt;=3.5),"标准",IF(AND(I878&gt;=1,I878&lt;2),"松散",""))))</f>
        <v/>
      </c>
      <c r="K878" s="2">
        <f>IF(I878=0.1,"极紧凑-豹子号",IF(AND(I878&gt;=1,I878&lt;=1.29),"松散-极松散",IF(AND(I878&gt;=1.33,I878&lt;=1.8),"松散-标准松散",IF(AND(I878&gt;=1.83,I878&lt;=1.89),"松散-偏紧松散",IF(AND(I878&gt;=2,I878&lt;=2.5),"标准-偏松标准",IF(AND(I878&gt;=2.57,I878&lt;=3),"标准-核心标准",IF(AND(I878&gt;=3.17,I878&lt;=3.5),"标准-偏紧标准",IF(AND(I878&gt;=3.6,I878&lt;=5),"紧凑-标准紧凑",IF(AND(I878&gt;=5.25,I878&lt;=8),"紧凑-高度紧凑",IF(I878&gt;=8.5,"紧凑-极度紧凑",""))))))))))</f>
        <v/>
      </c>
      <c r="L878" s="2">
        <f>IF(I878=0.1,"极紧凑",IF(AND(I878&gt;=1,I878&lt;=1.89),"松散",IF(AND(I878&gt;=2,I878&lt;=3.5),"标准",IF(I878&gt;=3.6,"紧凑",""))))</f>
        <v/>
      </c>
      <c r="M878" s="2" t="inlineStr">
        <is>
          <t>极紧凑-豹子号</t>
        </is>
      </c>
      <c r="N878" s="2" t="inlineStr">
        <is>
          <t>松散-极松散</t>
        </is>
      </c>
      <c r="O878" s="2" t="inlineStr">
        <is>
          <t>松散-标准松散</t>
        </is>
      </c>
      <c r="P878" s="2" t="inlineStr">
        <is>
          <t>松散-偏紧松散</t>
        </is>
      </c>
      <c r="Q878" s="2" t="inlineStr">
        <is>
          <t>标准-偏松标准</t>
        </is>
      </c>
      <c r="R878" s="2" t="inlineStr">
        <is>
          <t>标准-核心标准</t>
        </is>
      </c>
      <c r="S878" s="2" t="inlineStr">
        <is>
          <t>标准-偏紧标准</t>
        </is>
      </c>
      <c r="T878" s="2" t="inlineStr">
        <is>
          <t>紧凑-标准紧凑</t>
        </is>
      </c>
      <c r="U878" s="2" t="inlineStr">
        <is>
          <t>紧凑-高度紧凑</t>
        </is>
      </c>
      <c r="V878" s="2" t="inlineStr">
        <is>
          <t>紧凑-极度紧凑</t>
        </is>
      </c>
    </row>
    <row r="879">
      <c r="A879" s="1" t="n">
        <v>2025094</v>
      </c>
      <c r="B879" s="3" t="inlineStr">
        <is>
          <t>534</t>
        </is>
      </c>
      <c r="C879" s="2">
        <f>IF(B879="","",LEFT(TEXT(B879,"000"),1)*1)</f>
        <v/>
      </c>
      <c r="D879" s="2">
        <f>IF(B879="","",MID(TEXT(B879,"000"),2,1)*1)</f>
        <v/>
      </c>
      <c r="E879" s="2">
        <f>IF(B879="","",RIGHT(TEXT(B879,"000"),1)*1)</f>
        <v/>
      </c>
      <c r="F879" s="2">
        <f>IF(B879="","",C879+D879+E879)</f>
        <v/>
      </c>
      <c r="G879" s="2">
        <f>IF(B879="","",MOD(F879,10))</f>
        <v/>
      </c>
      <c r="H879" s="2">
        <f>IF(B879="","",MAX(C879,D879,E879)-MIN(C879,D879,E879))</f>
        <v/>
      </c>
      <c r="I879" s="2">
        <f>IF(OR(B879="",H879=0),IF(H879=0,0.1,""),ROUND(F879/H879,2))</f>
        <v/>
      </c>
      <c r="J879" s="2">
        <f>IF(I879=0.1,"极紧凑",IF(I879&gt;3.5,"紧凑",IF(AND(I879&gt;=2,I879&lt;=3.5),"标准",IF(AND(I879&gt;=1,I879&lt;2),"松散",""))))</f>
        <v/>
      </c>
      <c r="K879" s="2">
        <f>IF(I879=0.1,"极紧凑-豹子号",IF(AND(I879&gt;=1,I879&lt;=1.29),"松散-极松散",IF(AND(I879&gt;=1.33,I879&lt;=1.8),"松散-标准松散",IF(AND(I879&gt;=1.83,I879&lt;=1.89),"松散-偏紧松散",IF(AND(I879&gt;=2,I879&lt;=2.5),"标准-偏松标准",IF(AND(I879&gt;=2.57,I879&lt;=3),"标准-核心标准",IF(AND(I879&gt;=3.17,I879&lt;=3.5),"标准-偏紧标准",IF(AND(I879&gt;=3.6,I879&lt;=5),"紧凑-标准紧凑",IF(AND(I879&gt;=5.25,I879&lt;=8),"紧凑-高度紧凑",IF(I879&gt;=8.5,"紧凑-极度紧凑",""))))))))))</f>
        <v/>
      </c>
      <c r="L879" s="2">
        <f>IF(I879=0.1,"极紧凑",IF(AND(I879&gt;=1,I879&lt;=1.89),"松散",IF(AND(I879&gt;=2,I879&lt;=3.5),"标准",IF(I879&gt;=3.6,"紧凑",""))))</f>
        <v/>
      </c>
      <c r="M879" s="2" t="inlineStr">
        <is>
          <t>极紧凑-豹子号</t>
        </is>
      </c>
      <c r="N879" s="2" t="inlineStr">
        <is>
          <t>松散-极松散</t>
        </is>
      </c>
      <c r="O879" s="2" t="inlineStr">
        <is>
          <t>松散-标准松散</t>
        </is>
      </c>
      <c r="P879" s="2" t="inlineStr">
        <is>
          <t>松散-偏紧松散</t>
        </is>
      </c>
      <c r="Q879" s="2" t="inlineStr">
        <is>
          <t>标准-偏松标准</t>
        </is>
      </c>
      <c r="R879" s="2" t="inlineStr">
        <is>
          <t>标准-核心标准</t>
        </is>
      </c>
      <c r="S879" s="2" t="inlineStr">
        <is>
          <t>标准-偏紧标准</t>
        </is>
      </c>
      <c r="T879" s="2" t="inlineStr">
        <is>
          <t>紧凑-标准紧凑</t>
        </is>
      </c>
      <c r="U879" s="2" t="inlineStr">
        <is>
          <t>紧凑-高度紧凑</t>
        </is>
      </c>
      <c r="V879" s="2" t="inlineStr">
        <is>
          <t>紧凑-极度紧凑</t>
        </is>
      </c>
    </row>
    <row r="880">
      <c r="A880" s="1" t="n">
        <v>2025095</v>
      </c>
      <c r="B880" s="3" t="inlineStr">
        <is>
          <t>672</t>
        </is>
      </c>
      <c r="C880" s="2">
        <f>IF(B880="","",LEFT(TEXT(B880,"000"),1)*1)</f>
        <v/>
      </c>
      <c r="D880" s="2">
        <f>IF(B880="","",MID(TEXT(B880,"000"),2,1)*1)</f>
        <v/>
      </c>
      <c r="E880" s="2">
        <f>IF(B880="","",RIGHT(TEXT(B880,"000"),1)*1)</f>
        <v/>
      </c>
      <c r="F880" s="2">
        <f>IF(B880="","",C880+D880+E880)</f>
        <v/>
      </c>
      <c r="G880" s="2">
        <f>IF(B880="","",MOD(F880,10))</f>
        <v/>
      </c>
      <c r="H880" s="2">
        <f>IF(B880="","",MAX(C880,D880,E880)-MIN(C880,D880,E880))</f>
        <v/>
      </c>
      <c r="I880" s="2">
        <f>IF(OR(B880="",H880=0),IF(H880=0,0.1,""),ROUND(F880/H880,2))</f>
        <v/>
      </c>
      <c r="J880" s="2">
        <f>IF(I880=0.1,"极紧凑",IF(I880&gt;3.5,"紧凑",IF(AND(I880&gt;=2,I880&lt;=3.5),"标准",IF(AND(I880&gt;=1,I880&lt;2),"松散",""))))</f>
        <v/>
      </c>
      <c r="K880" s="2">
        <f>IF(I880=0.1,"极紧凑-豹子号",IF(AND(I880&gt;=1,I880&lt;=1.29),"松散-极松散",IF(AND(I880&gt;=1.33,I880&lt;=1.8),"松散-标准松散",IF(AND(I880&gt;=1.83,I880&lt;=1.89),"松散-偏紧松散",IF(AND(I880&gt;=2,I880&lt;=2.5),"标准-偏松标准",IF(AND(I880&gt;=2.57,I880&lt;=3),"标准-核心标准",IF(AND(I880&gt;=3.17,I880&lt;=3.5),"标准-偏紧标准",IF(AND(I880&gt;=3.6,I880&lt;=5),"紧凑-标准紧凑",IF(AND(I880&gt;=5.25,I880&lt;=8),"紧凑-高度紧凑",IF(I880&gt;=8.5,"紧凑-极度紧凑",""))))))))))</f>
        <v/>
      </c>
      <c r="L880" s="2">
        <f>IF(I880=0.1,"极紧凑",IF(AND(I880&gt;=1,I880&lt;=1.89),"松散",IF(AND(I880&gt;=2,I880&lt;=3.5),"标准",IF(I880&gt;=3.6,"紧凑",""))))</f>
        <v/>
      </c>
      <c r="M880" s="2" t="inlineStr">
        <is>
          <t>极紧凑-豹子号</t>
        </is>
      </c>
      <c r="N880" s="2" t="inlineStr">
        <is>
          <t>松散-极松散</t>
        </is>
      </c>
      <c r="O880" s="2" t="inlineStr">
        <is>
          <t>松散-标准松散</t>
        </is>
      </c>
      <c r="P880" s="2" t="inlineStr">
        <is>
          <t>松散-偏紧松散</t>
        </is>
      </c>
      <c r="Q880" s="2" t="inlineStr">
        <is>
          <t>标准-偏松标准</t>
        </is>
      </c>
      <c r="R880" s="2" t="inlineStr">
        <is>
          <t>标准-核心标准</t>
        </is>
      </c>
      <c r="S880" s="2" t="inlineStr">
        <is>
          <t>标准-偏紧标准</t>
        </is>
      </c>
      <c r="T880" s="2" t="inlineStr">
        <is>
          <t>紧凑-标准紧凑</t>
        </is>
      </c>
      <c r="U880" s="2" t="inlineStr">
        <is>
          <t>紧凑-高度紧凑</t>
        </is>
      </c>
      <c r="V880" s="2" t="inlineStr">
        <is>
          <t>紧凑-极度紧凑</t>
        </is>
      </c>
    </row>
    <row r="881">
      <c r="A881" s="1" t="n">
        <v>2025096</v>
      </c>
      <c r="B881" s="3" t="inlineStr">
        <is>
          <t>948</t>
        </is>
      </c>
      <c r="C881" s="2">
        <f>IF(B881="","",LEFT(TEXT(B881,"000"),1)*1)</f>
        <v/>
      </c>
      <c r="D881" s="2">
        <f>IF(B881="","",MID(TEXT(B881,"000"),2,1)*1)</f>
        <v/>
      </c>
      <c r="E881" s="2">
        <f>IF(B881="","",RIGHT(TEXT(B881,"000"),1)*1)</f>
        <v/>
      </c>
      <c r="F881" s="2">
        <f>IF(B881="","",C881+D881+E881)</f>
        <v/>
      </c>
      <c r="G881" s="2">
        <f>IF(B881="","",MOD(F881,10))</f>
        <v/>
      </c>
      <c r="H881" s="2">
        <f>IF(B881="","",MAX(C881,D881,E881)-MIN(C881,D881,E881))</f>
        <v/>
      </c>
      <c r="I881" s="2">
        <f>IF(OR(B881="",H881=0),IF(H881=0,0.1,""),ROUND(F881/H881,2))</f>
        <v/>
      </c>
      <c r="J881" s="2">
        <f>IF(I881=0.1,"极紧凑",IF(I881&gt;3.5,"紧凑",IF(AND(I881&gt;=2,I881&lt;=3.5),"标准",IF(AND(I881&gt;=1,I881&lt;2),"松散",""))))</f>
        <v/>
      </c>
      <c r="K881" s="2">
        <f>IF(I881=0.1,"极紧凑-豹子号",IF(AND(I881&gt;=1,I881&lt;=1.29),"松散-极松散",IF(AND(I881&gt;=1.33,I881&lt;=1.8),"松散-标准松散",IF(AND(I881&gt;=1.83,I881&lt;=1.89),"松散-偏紧松散",IF(AND(I881&gt;=2,I881&lt;=2.5),"标准-偏松标准",IF(AND(I881&gt;=2.57,I881&lt;=3),"标准-核心标准",IF(AND(I881&gt;=3.17,I881&lt;=3.5),"标准-偏紧标准",IF(AND(I881&gt;=3.6,I881&lt;=5),"紧凑-标准紧凑",IF(AND(I881&gt;=5.25,I881&lt;=8),"紧凑-高度紧凑",IF(I881&gt;=8.5,"紧凑-极度紧凑",""))))))))))</f>
        <v/>
      </c>
      <c r="L881" s="2">
        <f>IF(I881=0.1,"极紧凑",IF(AND(I881&gt;=1,I881&lt;=1.89),"松散",IF(AND(I881&gt;=2,I881&lt;=3.5),"标准",IF(I881&gt;=3.6,"紧凑",""))))</f>
        <v/>
      </c>
      <c r="M881" s="2" t="inlineStr">
        <is>
          <t>极紧凑-豹子号</t>
        </is>
      </c>
      <c r="N881" s="2" t="inlineStr">
        <is>
          <t>松散-极松散</t>
        </is>
      </c>
      <c r="O881" s="2" t="inlineStr">
        <is>
          <t>松散-标准松散</t>
        </is>
      </c>
      <c r="P881" s="2" t="inlineStr">
        <is>
          <t>松散-偏紧松散</t>
        </is>
      </c>
      <c r="Q881" s="2" t="inlineStr">
        <is>
          <t>标准-偏松标准</t>
        </is>
      </c>
      <c r="R881" s="2" t="inlineStr">
        <is>
          <t>标准-核心标准</t>
        </is>
      </c>
      <c r="S881" s="2" t="inlineStr">
        <is>
          <t>标准-偏紧标准</t>
        </is>
      </c>
      <c r="T881" s="2" t="inlineStr">
        <is>
          <t>紧凑-标准紧凑</t>
        </is>
      </c>
      <c r="U881" s="2" t="inlineStr">
        <is>
          <t>紧凑-高度紧凑</t>
        </is>
      </c>
      <c r="V881" s="2" t="inlineStr">
        <is>
          <t>紧凑-极度紧凑</t>
        </is>
      </c>
    </row>
    <row r="882">
      <c r="A882" s="1" t="n">
        <v>2025097</v>
      </c>
      <c r="B882" s="3" t="inlineStr">
        <is>
          <t>171</t>
        </is>
      </c>
      <c r="C882" s="2">
        <f>IF(B882="","",LEFT(TEXT(B882,"000"),1)*1)</f>
        <v/>
      </c>
      <c r="D882" s="2">
        <f>IF(B882="","",MID(TEXT(B882,"000"),2,1)*1)</f>
        <v/>
      </c>
      <c r="E882" s="2">
        <f>IF(B882="","",RIGHT(TEXT(B882,"000"),1)*1)</f>
        <v/>
      </c>
      <c r="F882" s="2">
        <f>IF(B882="","",C882+D882+E882)</f>
        <v/>
      </c>
      <c r="G882" s="2">
        <f>IF(B882="","",MOD(F882,10))</f>
        <v/>
      </c>
      <c r="H882" s="2">
        <f>IF(B882="","",MAX(C882,D882,E882)-MIN(C882,D882,E882))</f>
        <v/>
      </c>
      <c r="I882" s="2">
        <f>IF(OR(B882="",H882=0),IF(H882=0,0.1,""),ROUND(F882/H882,2))</f>
        <v/>
      </c>
      <c r="J882" s="2">
        <f>IF(I882=0.1,"极紧凑",IF(I882&gt;3.5,"紧凑",IF(AND(I882&gt;=2,I882&lt;=3.5),"标准",IF(AND(I882&gt;=1,I882&lt;2),"松散",""))))</f>
        <v/>
      </c>
      <c r="K882" s="2">
        <f>IF(I882=0.1,"极紧凑-豹子号",IF(AND(I882&gt;=1,I882&lt;=1.29),"松散-极松散",IF(AND(I882&gt;=1.33,I882&lt;=1.8),"松散-标准松散",IF(AND(I882&gt;=1.83,I882&lt;=1.89),"松散-偏紧松散",IF(AND(I882&gt;=2,I882&lt;=2.5),"标准-偏松标准",IF(AND(I882&gt;=2.57,I882&lt;=3),"标准-核心标准",IF(AND(I882&gt;=3.17,I882&lt;=3.5),"标准-偏紧标准",IF(AND(I882&gt;=3.6,I882&lt;=5),"紧凑-标准紧凑",IF(AND(I882&gt;=5.25,I882&lt;=8),"紧凑-高度紧凑",IF(I882&gt;=8.5,"紧凑-极度紧凑",""))))))))))</f>
        <v/>
      </c>
      <c r="L882" s="2">
        <f>IF(I882=0.1,"极紧凑",IF(AND(I882&gt;=1,I882&lt;=1.89),"松散",IF(AND(I882&gt;=2,I882&lt;=3.5),"标准",IF(I882&gt;=3.6,"紧凑",""))))</f>
        <v/>
      </c>
      <c r="M882" s="2" t="inlineStr">
        <is>
          <t>极紧凑-豹子号</t>
        </is>
      </c>
      <c r="N882" s="2" t="inlineStr">
        <is>
          <t>松散-极松散</t>
        </is>
      </c>
      <c r="O882" s="2" t="inlineStr">
        <is>
          <t>松散-标准松散</t>
        </is>
      </c>
      <c r="P882" s="2" t="inlineStr">
        <is>
          <t>松散-偏紧松散</t>
        </is>
      </c>
      <c r="Q882" s="2" t="inlineStr">
        <is>
          <t>标准-偏松标准</t>
        </is>
      </c>
      <c r="R882" s="2" t="inlineStr">
        <is>
          <t>标准-核心标准</t>
        </is>
      </c>
      <c r="S882" s="2" t="inlineStr">
        <is>
          <t>标准-偏紧标准</t>
        </is>
      </c>
      <c r="T882" s="2" t="inlineStr">
        <is>
          <t>紧凑-标准紧凑</t>
        </is>
      </c>
      <c r="U882" s="2" t="inlineStr">
        <is>
          <t>紧凑-高度紧凑</t>
        </is>
      </c>
      <c r="V882" s="2" t="inlineStr">
        <is>
          <t>紧凑-极度紧凑</t>
        </is>
      </c>
    </row>
    <row r="883">
      <c r="A883" s="1" t="n">
        <v>2025098</v>
      </c>
      <c r="B883" s="3" t="inlineStr">
        <is>
          <t>192</t>
        </is>
      </c>
      <c r="C883" s="2">
        <f>IF(B883="","",LEFT(TEXT(B883,"000"),1)*1)</f>
        <v/>
      </c>
      <c r="D883" s="2">
        <f>IF(B883="","",MID(TEXT(B883,"000"),2,1)*1)</f>
        <v/>
      </c>
      <c r="E883" s="2">
        <f>IF(B883="","",RIGHT(TEXT(B883,"000"),1)*1)</f>
        <v/>
      </c>
      <c r="F883" s="2">
        <f>IF(B883="","",C883+D883+E883)</f>
        <v/>
      </c>
      <c r="G883" s="2">
        <f>IF(B883="","",MOD(F883,10))</f>
        <v/>
      </c>
      <c r="H883" s="2">
        <f>IF(B883="","",MAX(C883,D883,E883)-MIN(C883,D883,E883))</f>
        <v/>
      </c>
      <c r="I883" s="2">
        <f>IF(OR(B883="",H883=0),IF(H883=0,0.1,""),ROUND(F883/H883,2))</f>
        <v/>
      </c>
      <c r="J883" s="2">
        <f>IF(I883=0.1,"极紧凑",IF(I883&gt;3.5,"紧凑",IF(AND(I883&gt;=2,I883&lt;=3.5),"标准",IF(AND(I883&gt;=1,I883&lt;2),"松散",""))))</f>
        <v/>
      </c>
      <c r="K883" s="2">
        <f>IF(I883=0.1,"极紧凑-豹子号",IF(AND(I883&gt;=1,I883&lt;=1.29),"松散-极松散",IF(AND(I883&gt;=1.33,I883&lt;=1.8),"松散-标准松散",IF(AND(I883&gt;=1.83,I883&lt;=1.89),"松散-偏紧松散",IF(AND(I883&gt;=2,I883&lt;=2.5),"标准-偏松标准",IF(AND(I883&gt;=2.57,I883&lt;=3),"标准-核心标准",IF(AND(I883&gt;=3.17,I883&lt;=3.5),"标准-偏紧标准",IF(AND(I883&gt;=3.6,I883&lt;=5),"紧凑-标准紧凑",IF(AND(I883&gt;=5.25,I883&lt;=8),"紧凑-高度紧凑",IF(I883&gt;=8.5,"紧凑-极度紧凑",""))))))))))</f>
        <v/>
      </c>
      <c r="L883" s="2">
        <f>IF(I883=0.1,"极紧凑",IF(AND(I883&gt;=1,I883&lt;=1.89),"松散",IF(AND(I883&gt;=2,I883&lt;=3.5),"标准",IF(I883&gt;=3.6,"紧凑",""))))</f>
        <v/>
      </c>
      <c r="M883" s="2" t="inlineStr">
        <is>
          <t>极紧凑-豹子号</t>
        </is>
      </c>
      <c r="N883" s="2" t="inlineStr">
        <is>
          <t>松散-极松散</t>
        </is>
      </c>
      <c r="O883" s="2" t="inlineStr">
        <is>
          <t>松散-标准松散</t>
        </is>
      </c>
      <c r="P883" s="2" t="inlineStr">
        <is>
          <t>松散-偏紧松散</t>
        </is>
      </c>
      <c r="Q883" s="2" t="inlineStr">
        <is>
          <t>标准-偏松标准</t>
        </is>
      </c>
      <c r="R883" s="2" t="inlineStr">
        <is>
          <t>标准-核心标准</t>
        </is>
      </c>
      <c r="S883" s="2" t="inlineStr">
        <is>
          <t>标准-偏紧标准</t>
        </is>
      </c>
      <c r="T883" s="2" t="inlineStr">
        <is>
          <t>紧凑-标准紧凑</t>
        </is>
      </c>
      <c r="U883" s="2" t="inlineStr">
        <is>
          <t>紧凑-高度紧凑</t>
        </is>
      </c>
      <c r="V883" s="2" t="inlineStr">
        <is>
          <t>紧凑-极度紧凑</t>
        </is>
      </c>
    </row>
    <row r="884">
      <c r="A884" s="1" t="n">
        <v>2025099</v>
      </c>
      <c r="B884" s="3" t="inlineStr">
        <is>
          <t>174</t>
        </is>
      </c>
      <c r="C884" s="2">
        <f>IF(B884="","",LEFT(TEXT(B884,"000"),1)*1)</f>
        <v/>
      </c>
      <c r="D884" s="2">
        <f>IF(B884="","",MID(TEXT(B884,"000"),2,1)*1)</f>
        <v/>
      </c>
      <c r="E884" s="2">
        <f>IF(B884="","",RIGHT(TEXT(B884,"000"),1)*1)</f>
        <v/>
      </c>
      <c r="F884" s="2">
        <f>IF(B884="","",C884+D884+E884)</f>
        <v/>
      </c>
      <c r="G884" s="2">
        <f>IF(B884="","",MOD(F884,10))</f>
        <v/>
      </c>
      <c r="H884" s="2">
        <f>IF(B884="","",MAX(C884,D884,E884)-MIN(C884,D884,E884))</f>
        <v/>
      </c>
      <c r="I884" s="2">
        <f>IF(OR(B884="",H884=0),IF(H884=0,0.1,""),ROUND(F884/H884,2))</f>
        <v/>
      </c>
      <c r="J884" s="2">
        <f>IF(I884=0.1,"极紧凑",IF(I884&gt;3.5,"紧凑",IF(AND(I884&gt;=2,I884&lt;=3.5),"标准",IF(AND(I884&gt;=1,I884&lt;2),"松散",""))))</f>
        <v/>
      </c>
      <c r="K884" s="2">
        <f>IF(I884=0.1,"极紧凑-豹子号",IF(AND(I884&gt;=1,I884&lt;=1.29),"松散-极松散",IF(AND(I884&gt;=1.33,I884&lt;=1.8),"松散-标准松散",IF(AND(I884&gt;=1.83,I884&lt;=1.89),"松散-偏紧松散",IF(AND(I884&gt;=2,I884&lt;=2.5),"标准-偏松标准",IF(AND(I884&gt;=2.57,I884&lt;=3),"标准-核心标准",IF(AND(I884&gt;=3.17,I884&lt;=3.5),"标准-偏紧标准",IF(AND(I884&gt;=3.6,I884&lt;=5),"紧凑-标准紧凑",IF(AND(I884&gt;=5.25,I884&lt;=8),"紧凑-高度紧凑",IF(I884&gt;=8.5,"紧凑-极度紧凑",""))))))))))</f>
        <v/>
      </c>
      <c r="L884" s="2">
        <f>IF(I884=0.1,"极紧凑",IF(AND(I884&gt;=1,I884&lt;=1.89),"松散",IF(AND(I884&gt;=2,I884&lt;=3.5),"标准",IF(I884&gt;=3.6,"紧凑",""))))</f>
        <v/>
      </c>
      <c r="M884" s="2" t="inlineStr">
        <is>
          <t>极紧凑-豹子号</t>
        </is>
      </c>
      <c r="N884" s="2" t="inlineStr">
        <is>
          <t>松散-极松散</t>
        </is>
      </c>
      <c r="O884" s="2" t="inlineStr">
        <is>
          <t>松散-标准松散</t>
        </is>
      </c>
      <c r="P884" s="2" t="inlineStr">
        <is>
          <t>松散-偏紧松散</t>
        </is>
      </c>
      <c r="Q884" s="2" t="inlineStr">
        <is>
          <t>标准-偏松标准</t>
        </is>
      </c>
      <c r="R884" s="2" t="inlineStr">
        <is>
          <t>标准-核心标准</t>
        </is>
      </c>
      <c r="S884" s="2" t="inlineStr">
        <is>
          <t>标准-偏紧标准</t>
        </is>
      </c>
      <c r="T884" s="2" t="inlineStr">
        <is>
          <t>紧凑-标准紧凑</t>
        </is>
      </c>
      <c r="U884" s="2" t="inlineStr">
        <is>
          <t>紧凑-高度紧凑</t>
        </is>
      </c>
      <c r="V884" s="2" t="inlineStr">
        <is>
          <t>紧凑-极度紧凑</t>
        </is>
      </c>
    </row>
    <row r="885">
      <c r="A885" s="1" t="n">
        <v>2025100</v>
      </c>
      <c r="B885" s="3" t="inlineStr">
        <is>
          <t>997</t>
        </is>
      </c>
      <c r="C885" s="2">
        <f>IF(B885="","",LEFT(TEXT(B885,"000"),1)*1)</f>
        <v/>
      </c>
      <c r="D885" s="2">
        <f>IF(B885="","",MID(TEXT(B885,"000"),2,1)*1)</f>
        <v/>
      </c>
      <c r="E885" s="2">
        <f>IF(B885="","",RIGHT(TEXT(B885,"000"),1)*1)</f>
        <v/>
      </c>
      <c r="F885" s="2">
        <f>IF(B885="","",C885+D885+E885)</f>
        <v/>
      </c>
      <c r="G885" s="2">
        <f>IF(B885="","",MOD(F885,10))</f>
        <v/>
      </c>
      <c r="H885" s="2">
        <f>IF(B885="","",MAX(C885,D885,E885)-MIN(C885,D885,E885))</f>
        <v/>
      </c>
      <c r="I885" s="2">
        <f>IF(OR(B885="",H885=0),IF(H885=0,0.1,""),ROUND(F885/H885,2))</f>
        <v/>
      </c>
      <c r="J885" s="2">
        <f>IF(I885=0.1,"极紧凑",IF(I885&gt;3.5,"紧凑",IF(AND(I885&gt;=2,I885&lt;=3.5),"标准",IF(AND(I885&gt;=1,I885&lt;2),"松散",""))))</f>
        <v/>
      </c>
      <c r="K885" s="2">
        <f>IF(I885=0.1,"极紧凑-豹子号",IF(AND(I885&gt;=1,I885&lt;=1.29),"松散-极松散",IF(AND(I885&gt;=1.33,I885&lt;=1.8),"松散-标准松散",IF(AND(I885&gt;=1.83,I885&lt;=1.89),"松散-偏紧松散",IF(AND(I885&gt;=2,I885&lt;=2.5),"标准-偏松标准",IF(AND(I885&gt;=2.57,I885&lt;=3),"标准-核心标准",IF(AND(I885&gt;=3.17,I885&lt;=3.5),"标准-偏紧标准",IF(AND(I885&gt;=3.6,I885&lt;=5),"紧凑-标准紧凑",IF(AND(I885&gt;=5.25,I885&lt;=8),"紧凑-高度紧凑",IF(I885&gt;=8.5,"紧凑-极度紧凑",""))))))))))</f>
        <v/>
      </c>
      <c r="L885" s="2">
        <f>IF(I885=0.1,"极紧凑",IF(AND(I885&gt;=1,I885&lt;=1.89),"松散",IF(AND(I885&gt;=2,I885&lt;=3.5),"标准",IF(I885&gt;=3.6,"紧凑",""))))</f>
        <v/>
      </c>
      <c r="M885" s="2" t="inlineStr">
        <is>
          <t>极紧凑-豹子号</t>
        </is>
      </c>
      <c r="N885" s="2" t="inlineStr">
        <is>
          <t>松散-极松散</t>
        </is>
      </c>
      <c r="O885" s="2" t="inlineStr">
        <is>
          <t>松散-标准松散</t>
        </is>
      </c>
      <c r="P885" s="2" t="inlineStr">
        <is>
          <t>松散-偏紧松散</t>
        </is>
      </c>
      <c r="Q885" s="2" t="inlineStr">
        <is>
          <t>标准-偏松标准</t>
        </is>
      </c>
      <c r="R885" s="2" t="inlineStr">
        <is>
          <t>标准-核心标准</t>
        </is>
      </c>
      <c r="S885" s="2" t="inlineStr">
        <is>
          <t>标准-偏紧标准</t>
        </is>
      </c>
      <c r="T885" s="2" t="inlineStr">
        <is>
          <t>紧凑-标准紧凑</t>
        </is>
      </c>
      <c r="U885" s="2" t="inlineStr">
        <is>
          <t>紧凑-高度紧凑</t>
        </is>
      </c>
      <c r="V885" s="2" t="inlineStr">
        <is>
          <t>紧凑-极度紧凑</t>
        </is>
      </c>
    </row>
    <row r="886">
      <c r="A886" s="1" t="n">
        <v>2025101</v>
      </c>
      <c r="B886" s="3" t="inlineStr">
        <is>
          <t>911</t>
        </is>
      </c>
      <c r="C886" s="2">
        <f>IF(B886="","",LEFT(TEXT(B886,"000"),1)*1)</f>
        <v/>
      </c>
      <c r="D886" s="2">
        <f>IF(B886="","",MID(TEXT(B886,"000"),2,1)*1)</f>
        <v/>
      </c>
      <c r="E886" s="2">
        <f>IF(B886="","",RIGHT(TEXT(B886,"000"),1)*1)</f>
        <v/>
      </c>
      <c r="F886" s="2">
        <f>IF(B886="","",C886+D886+E886)</f>
        <v/>
      </c>
      <c r="G886" s="2">
        <f>IF(B886="","",MOD(F886,10))</f>
        <v/>
      </c>
      <c r="H886" s="2">
        <f>IF(B886="","",MAX(C886,D886,E886)-MIN(C886,D886,E886))</f>
        <v/>
      </c>
      <c r="I886" s="2">
        <f>IF(OR(B886="",H886=0),IF(H886=0,0.1,""),ROUND(F886/H886,2))</f>
        <v/>
      </c>
      <c r="J886" s="2">
        <f>IF(I886=0.1,"极紧凑",IF(I886&gt;3.5,"紧凑",IF(AND(I886&gt;=2,I886&lt;=3.5),"标准",IF(AND(I886&gt;=1,I886&lt;2),"松散",""))))</f>
        <v/>
      </c>
      <c r="K886" s="2">
        <f>IF(I886=0.1,"极紧凑-豹子号",IF(AND(I886&gt;=1,I886&lt;=1.29),"松散-极松散",IF(AND(I886&gt;=1.33,I886&lt;=1.8),"松散-标准松散",IF(AND(I886&gt;=1.83,I886&lt;=1.89),"松散-偏紧松散",IF(AND(I886&gt;=2,I886&lt;=2.5),"标准-偏松标准",IF(AND(I886&gt;=2.57,I886&lt;=3),"标准-核心标准",IF(AND(I886&gt;=3.17,I886&lt;=3.5),"标准-偏紧标准",IF(AND(I886&gt;=3.6,I886&lt;=5),"紧凑-标准紧凑",IF(AND(I886&gt;=5.25,I886&lt;=8),"紧凑-高度紧凑",IF(I886&gt;=8.5,"紧凑-极度紧凑",""))))))))))</f>
        <v/>
      </c>
      <c r="L886" s="2">
        <f>IF(I886=0.1,"极紧凑",IF(AND(I886&gt;=1,I886&lt;=1.89),"松散",IF(AND(I886&gt;=2,I886&lt;=3.5),"标准",IF(I886&gt;=3.6,"紧凑",""))))</f>
        <v/>
      </c>
      <c r="M886" s="2" t="inlineStr">
        <is>
          <t>极紧凑-豹子号</t>
        </is>
      </c>
      <c r="N886" s="2" t="inlineStr">
        <is>
          <t>松散-极松散</t>
        </is>
      </c>
      <c r="O886" s="2" t="inlineStr">
        <is>
          <t>松散-标准松散</t>
        </is>
      </c>
      <c r="P886" s="2" t="inlineStr">
        <is>
          <t>松散-偏紧松散</t>
        </is>
      </c>
      <c r="Q886" s="2" t="inlineStr">
        <is>
          <t>标准-偏松标准</t>
        </is>
      </c>
      <c r="R886" s="2" t="inlineStr">
        <is>
          <t>标准-核心标准</t>
        </is>
      </c>
      <c r="S886" s="2" t="inlineStr">
        <is>
          <t>标准-偏紧标准</t>
        </is>
      </c>
      <c r="T886" s="2" t="inlineStr">
        <is>
          <t>紧凑-标准紧凑</t>
        </is>
      </c>
      <c r="U886" s="2" t="inlineStr">
        <is>
          <t>紧凑-高度紧凑</t>
        </is>
      </c>
      <c r="V886" s="2" t="inlineStr">
        <is>
          <t>紧凑-极度紧凑</t>
        </is>
      </c>
    </row>
    <row r="887">
      <c r="A887" s="1" t="n">
        <v>2025102</v>
      </c>
      <c r="B887" s="3" t="inlineStr">
        <is>
          <t>233</t>
        </is>
      </c>
      <c r="C887" s="2">
        <f>IF(B887="","",LEFT(TEXT(B887,"000"),1)*1)</f>
        <v/>
      </c>
      <c r="D887" s="2">
        <f>IF(B887="","",MID(TEXT(B887,"000"),2,1)*1)</f>
        <v/>
      </c>
      <c r="E887" s="2">
        <f>IF(B887="","",RIGHT(TEXT(B887,"000"),1)*1)</f>
        <v/>
      </c>
      <c r="F887" s="2">
        <f>IF(B887="","",C887+D887+E887)</f>
        <v/>
      </c>
      <c r="G887" s="2">
        <f>IF(B887="","",MOD(F887,10))</f>
        <v/>
      </c>
      <c r="H887" s="2">
        <f>IF(B887="","",MAX(C887,D887,E887)-MIN(C887,D887,E887))</f>
        <v/>
      </c>
      <c r="I887" s="2">
        <f>IF(OR(B887="",H887=0),IF(H887=0,0.1,""),ROUND(F887/H887,2))</f>
        <v/>
      </c>
      <c r="J887" s="2">
        <f>IF(I887=0.1,"极紧凑",IF(I887&gt;3.5,"紧凑",IF(AND(I887&gt;=2,I887&lt;=3.5),"标准",IF(AND(I887&gt;=1,I887&lt;2),"松散",""))))</f>
        <v/>
      </c>
      <c r="K887" s="2">
        <f>IF(I887=0.1,"极紧凑-豹子号",IF(AND(I887&gt;=1,I887&lt;=1.29),"松散-极松散",IF(AND(I887&gt;=1.33,I887&lt;=1.8),"松散-标准松散",IF(AND(I887&gt;=1.83,I887&lt;=1.89),"松散-偏紧松散",IF(AND(I887&gt;=2,I887&lt;=2.5),"标准-偏松标准",IF(AND(I887&gt;=2.57,I887&lt;=3),"标准-核心标准",IF(AND(I887&gt;=3.17,I887&lt;=3.5),"标准-偏紧标准",IF(AND(I887&gt;=3.6,I887&lt;=5),"紧凑-标准紧凑",IF(AND(I887&gt;=5.25,I887&lt;=8),"紧凑-高度紧凑",IF(I887&gt;=8.5,"紧凑-极度紧凑",""))))))))))</f>
        <v/>
      </c>
      <c r="L887" s="2">
        <f>IF(I887=0.1,"极紧凑",IF(AND(I887&gt;=1,I887&lt;=1.89),"松散",IF(AND(I887&gt;=2,I887&lt;=3.5),"标准",IF(I887&gt;=3.6,"紧凑",""))))</f>
        <v/>
      </c>
      <c r="M887" s="2" t="inlineStr">
        <is>
          <t>极紧凑-豹子号</t>
        </is>
      </c>
      <c r="N887" s="2" t="inlineStr">
        <is>
          <t>松散-极松散</t>
        </is>
      </c>
      <c r="O887" s="2" t="inlineStr">
        <is>
          <t>松散-标准松散</t>
        </is>
      </c>
      <c r="P887" s="2" t="inlineStr">
        <is>
          <t>松散-偏紧松散</t>
        </is>
      </c>
      <c r="Q887" s="2" t="inlineStr">
        <is>
          <t>标准-偏松标准</t>
        </is>
      </c>
      <c r="R887" s="2" t="inlineStr">
        <is>
          <t>标准-核心标准</t>
        </is>
      </c>
      <c r="S887" s="2" t="inlineStr">
        <is>
          <t>标准-偏紧标准</t>
        </is>
      </c>
      <c r="T887" s="2" t="inlineStr">
        <is>
          <t>紧凑-标准紧凑</t>
        </is>
      </c>
      <c r="U887" s="2" t="inlineStr">
        <is>
          <t>紧凑-高度紧凑</t>
        </is>
      </c>
      <c r="V887" s="2" t="inlineStr">
        <is>
          <t>紧凑-极度紧凑</t>
        </is>
      </c>
    </row>
    <row r="888">
      <c r="A888" s="1" t="n">
        <v>2025103</v>
      </c>
      <c r="B888" s="3" t="inlineStr">
        <is>
          <t>471</t>
        </is>
      </c>
      <c r="C888" s="2">
        <f>IF(B888="","",LEFT(TEXT(B888,"000"),1)*1)</f>
        <v/>
      </c>
      <c r="D888" s="2">
        <f>IF(B888="","",MID(TEXT(B888,"000"),2,1)*1)</f>
        <v/>
      </c>
      <c r="E888" s="2">
        <f>IF(B888="","",RIGHT(TEXT(B888,"000"),1)*1)</f>
        <v/>
      </c>
      <c r="F888" s="2">
        <f>IF(B888="","",C888+D888+E888)</f>
        <v/>
      </c>
      <c r="G888" s="2">
        <f>IF(B888="","",MOD(F888,10))</f>
        <v/>
      </c>
      <c r="H888" s="2">
        <f>IF(B888="","",MAX(C888,D888,E888)-MIN(C888,D888,E888))</f>
        <v/>
      </c>
      <c r="I888" s="2">
        <f>IF(OR(B888="",H888=0),IF(H888=0,0.1,""),ROUND(F888/H888,2))</f>
        <v/>
      </c>
      <c r="J888" s="2">
        <f>IF(I888=0.1,"极紧凑",IF(I888&gt;3.5,"紧凑",IF(AND(I888&gt;=2,I888&lt;=3.5),"标准",IF(AND(I888&gt;=1,I888&lt;2),"松散",""))))</f>
        <v/>
      </c>
      <c r="K888" s="2">
        <f>IF(I888=0.1,"极紧凑-豹子号",IF(AND(I888&gt;=1,I888&lt;=1.29),"松散-极松散",IF(AND(I888&gt;=1.33,I888&lt;=1.8),"松散-标准松散",IF(AND(I888&gt;=1.83,I888&lt;=1.89),"松散-偏紧松散",IF(AND(I888&gt;=2,I888&lt;=2.5),"标准-偏松标准",IF(AND(I888&gt;=2.57,I888&lt;=3),"标准-核心标准",IF(AND(I888&gt;=3.17,I888&lt;=3.5),"标准-偏紧标准",IF(AND(I888&gt;=3.6,I888&lt;=5),"紧凑-标准紧凑",IF(AND(I888&gt;=5.25,I888&lt;=8),"紧凑-高度紧凑",IF(I888&gt;=8.5,"紧凑-极度紧凑",""))))))))))</f>
        <v/>
      </c>
      <c r="L888" s="2">
        <f>IF(I888=0.1,"极紧凑",IF(AND(I888&gt;=1,I888&lt;=1.89),"松散",IF(AND(I888&gt;=2,I888&lt;=3.5),"标准",IF(I888&gt;=3.6,"紧凑",""))))</f>
        <v/>
      </c>
      <c r="M888" s="2" t="inlineStr">
        <is>
          <t>极紧凑-豹子号</t>
        </is>
      </c>
      <c r="N888" s="2" t="inlineStr">
        <is>
          <t>松散-极松散</t>
        </is>
      </c>
      <c r="O888" s="2" t="inlineStr">
        <is>
          <t>松散-标准松散</t>
        </is>
      </c>
      <c r="P888" s="2" t="inlineStr">
        <is>
          <t>松散-偏紧松散</t>
        </is>
      </c>
      <c r="Q888" s="2" t="inlineStr">
        <is>
          <t>标准-偏松标准</t>
        </is>
      </c>
      <c r="R888" s="2" t="inlineStr">
        <is>
          <t>标准-核心标准</t>
        </is>
      </c>
      <c r="S888" s="2" t="inlineStr">
        <is>
          <t>标准-偏紧标准</t>
        </is>
      </c>
      <c r="T888" s="2" t="inlineStr">
        <is>
          <t>紧凑-标准紧凑</t>
        </is>
      </c>
      <c r="U888" s="2" t="inlineStr">
        <is>
          <t>紧凑-高度紧凑</t>
        </is>
      </c>
      <c r="V888" s="2" t="inlineStr">
        <is>
          <t>紧凑-极度紧凑</t>
        </is>
      </c>
    </row>
    <row r="889">
      <c r="A889" s="1" t="n">
        <v>2025104</v>
      </c>
      <c r="B889" s="3" t="inlineStr">
        <is>
          <t>144</t>
        </is>
      </c>
      <c r="C889" s="2">
        <f>IF(B889="","",LEFT(TEXT(B889,"000"),1)*1)</f>
        <v/>
      </c>
      <c r="D889" s="2">
        <f>IF(B889="","",MID(TEXT(B889,"000"),2,1)*1)</f>
        <v/>
      </c>
      <c r="E889" s="2">
        <f>IF(B889="","",RIGHT(TEXT(B889,"000"),1)*1)</f>
        <v/>
      </c>
      <c r="F889" s="2">
        <f>IF(B889="","",C889+D889+E889)</f>
        <v/>
      </c>
      <c r="G889" s="2">
        <f>IF(B889="","",MOD(F889,10))</f>
        <v/>
      </c>
      <c r="H889" s="2">
        <f>IF(B889="","",MAX(C889,D889,E889)-MIN(C889,D889,E889))</f>
        <v/>
      </c>
      <c r="I889" s="2">
        <f>IF(OR(B889="",H889=0),IF(H889=0,0.1,""),ROUND(F889/H889,2))</f>
        <v/>
      </c>
      <c r="J889" s="2">
        <f>IF(I889=0.1,"极紧凑",IF(I889&gt;3.5,"紧凑",IF(AND(I889&gt;=2,I889&lt;=3.5),"标准",IF(AND(I889&gt;=1,I889&lt;2),"松散",""))))</f>
        <v/>
      </c>
      <c r="K889" s="2">
        <f>IF(I889=0.1,"极紧凑-豹子号",IF(AND(I889&gt;=1,I889&lt;=1.29),"松散-极松散",IF(AND(I889&gt;=1.33,I889&lt;=1.8),"松散-标准松散",IF(AND(I889&gt;=1.83,I889&lt;=1.89),"松散-偏紧松散",IF(AND(I889&gt;=2,I889&lt;=2.5),"标准-偏松标准",IF(AND(I889&gt;=2.57,I889&lt;=3),"标准-核心标准",IF(AND(I889&gt;=3.17,I889&lt;=3.5),"标准-偏紧标准",IF(AND(I889&gt;=3.6,I889&lt;=5),"紧凑-标准紧凑",IF(AND(I889&gt;=5.25,I889&lt;=8),"紧凑-高度紧凑",IF(I889&gt;=8.5,"紧凑-极度紧凑",""))))))))))</f>
        <v/>
      </c>
      <c r="L889" s="2">
        <f>IF(I889=0.1,"极紧凑",IF(AND(I889&gt;=1,I889&lt;=1.89),"松散",IF(AND(I889&gt;=2,I889&lt;=3.5),"标准",IF(I889&gt;=3.6,"紧凑",""))))</f>
        <v/>
      </c>
      <c r="M889" s="2" t="inlineStr">
        <is>
          <t>极紧凑-豹子号</t>
        </is>
      </c>
      <c r="N889" s="2" t="inlineStr">
        <is>
          <t>松散-极松散</t>
        </is>
      </c>
      <c r="O889" s="2" t="inlineStr">
        <is>
          <t>松散-标准松散</t>
        </is>
      </c>
      <c r="P889" s="2" t="inlineStr">
        <is>
          <t>松散-偏紧松散</t>
        </is>
      </c>
      <c r="Q889" s="2" t="inlineStr">
        <is>
          <t>标准-偏松标准</t>
        </is>
      </c>
      <c r="R889" s="2" t="inlineStr">
        <is>
          <t>标准-核心标准</t>
        </is>
      </c>
      <c r="S889" s="2" t="inlineStr">
        <is>
          <t>标准-偏紧标准</t>
        </is>
      </c>
      <c r="T889" s="2" t="inlineStr">
        <is>
          <t>紧凑-标准紧凑</t>
        </is>
      </c>
      <c r="U889" s="2" t="inlineStr">
        <is>
          <t>紧凑-高度紧凑</t>
        </is>
      </c>
      <c r="V889" s="2" t="inlineStr">
        <is>
          <t>紧凑-极度紧凑</t>
        </is>
      </c>
    </row>
    <row r="890">
      <c r="A890" s="1" t="n">
        <v>2025105</v>
      </c>
      <c r="B890" s="3" t="inlineStr">
        <is>
          <t>084</t>
        </is>
      </c>
      <c r="C890" s="2">
        <f>IF(B890="","",LEFT(TEXT(B890,"000"),1)*1)</f>
        <v/>
      </c>
      <c r="D890" s="2">
        <f>IF(B890="","",MID(TEXT(B890,"000"),2,1)*1)</f>
        <v/>
      </c>
      <c r="E890" s="2">
        <f>IF(B890="","",RIGHT(TEXT(B890,"000"),1)*1)</f>
        <v/>
      </c>
      <c r="F890" s="2">
        <f>IF(B890="","",C890+D890+E890)</f>
        <v/>
      </c>
      <c r="G890" s="2">
        <f>IF(B890="","",MOD(F890,10))</f>
        <v/>
      </c>
      <c r="H890" s="2">
        <f>IF(B890="","",MAX(C890,D890,E890)-MIN(C890,D890,E890))</f>
        <v/>
      </c>
      <c r="I890" s="2">
        <f>IF(OR(B890="",H890=0),IF(H890=0,0.1,""),ROUND(F890/H890,2))</f>
        <v/>
      </c>
      <c r="J890" s="2">
        <f>IF(I890=0.1,"极紧凑",IF(I890&gt;3.5,"紧凑",IF(AND(I890&gt;=2,I890&lt;=3.5),"标准",IF(AND(I890&gt;=1,I890&lt;2),"松散",""))))</f>
        <v/>
      </c>
      <c r="K890" s="2">
        <f>IF(I890=0.1,"极紧凑-豹子号",IF(AND(I890&gt;=1,I890&lt;=1.29),"松散-极松散",IF(AND(I890&gt;=1.33,I890&lt;=1.8),"松散-标准松散",IF(AND(I890&gt;=1.83,I890&lt;=1.89),"松散-偏紧松散",IF(AND(I890&gt;=2,I890&lt;=2.5),"标准-偏松标准",IF(AND(I890&gt;=2.57,I890&lt;=3),"标准-核心标准",IF(AND(I890&gt;=3.17,I890&lt;=3.5),"标准-偏紧标准",IF(AND(I890&gt;=3.6,I890&lt;=5),"紧凑-标准紧凑",IF(AND(I890&gt;=5.25,I890&lt;=8),"紧凑-高度紧凑",IF(I890&gt;=8.5,"紧凑-极度紧凑",""))))))))))</f>
        <v/>
      </c>
      <c r="L890" s="2">
        <f>IF(I890=0.1,"极紧凑",IF(AND(I890&gt;=1,I890&lt;=1.89),"松散",IF(AND(I890&gt;=2,I890&lt;=3.5),"标准",IF(I890&gt;=3.6,"紧凑",""))))</f>
        <v/>
      </c>
      <c r="M890" s="2" t="inlineStr">
        <is>
          <t>极紧凑-豹子号</t>
        </is>
      </c>
      <c r="N890" s="2" t="inlineStr">
        <is>
          <t>松散-极松散</t>
        </is>
      </c>
      <c r="O890" s="2" t="inlineStr">
        <is>
          <t>松散-标准松散</t>
        </is>
      </c>
      <c r="P890" s="2" t="inlineStr">
        <is>
          <t>松散-偏紧松散</t>
        </is>
      </c>
      <c r="Q890" s="2" t="inlineStr">
        <is>
          <t>标准-偏松标准</t>
        </is>
      </c>
      <c r="R890" s="2" t="inlineStr">
        <is>
          <t>标准-核心标准</t>
        </is>
      </c>
      <c r="S890" s="2" t="inlineStr">
        <is>
          <t>标准-偏紧标准</t>
        </is>
      </c>
      <c r="T890" s="2" t="inlineStr">
        <is>
          <t>紧凑-标准紧凑</t>
        </is>
      </c>
      <c r="U890" s="2" t="inlineStr">
        <is>
          <t>紧凑-高度紧凑</t>
        </is>
      </c>
      <c r="V890" s="2" t="inlineStr">
        <is>
          <t>紧凑-极度紧凑</t>
        </is>
      </c>
    </row>
    <row r="891">
      <c r="A891" s="1" t="n">
        <v>2025106</v>
      </c>
      <c r="B891" s="3" t="inlineStr">
        <is>
          <t>076</t>
        </is>
      </c>
      <c r="C891" s="2">
        <f>IF(B891="","",LEFT(TEXT(B891,"000"),1)*1)</f>
        <v/>
      </c>
      <c r="D891" s="2">
        <f>IF(B891="","",MID(TEXT(B891,"000"),2,1)*1)</f>
        <v/>
      </c>
      <c r="E891" s="2">
        <f>IF(B891="","",RIGHT(TEXT(B891,"000"),1)*1)</f>
        <v/>
      </c>
      <c r="F891" s="2">
        <f>IF(B891="","",C891+D891+E891)</f>
        <v/>
      </c>
      <c r="G891" s="2">
        <f>IF(B891="","",MOD(F891,10))</f>
        <v/>
      </c>
      <c r="H891" s="2">
        <f>IF(B891="","",MAX(C891,D891,E891)-MIN(C891,D891,E891))</f>
        <v/>
      </c>
      <c r="I891" s="2">
        <f>IF(OR(B891="",H891=0),IF(H891=0,0.1,""),ROUND(F891/H891,2))</f>
        <v/>
      </c>
      <c r="J891" s="2">
        <f>IF(I891=0.1,"极紧凑",IF(I891&gt;3.5,"紧凑",IF(AND(I891&gt;=2,I891&lt;=3.5),"标准",IF(AND(I891&gt;=1,I891&lt;2),"松散",""))))</f>
        <v/>
      </c>
      <c r="K891" s="2">
        <f>IF(I891=0.1,"极紧凑-豹子号",IF(AND(I891&gt;=1,I891&lt;=1.29),"松散-极松散",IF(AND(I891&gt;=1.33,I891&lt;=1.8),"松散-标准松散",IF(AND(I891&gt;=1.83,I891&lt;=1.89),"松散-偏紧松散",IF(AND(I891&gt;=2,I891&lt;=2.5),"标准-偏松标准",IF(AND(I891&gt;=2.57,I891&lt;=3),"标准-核心标准",IF(AND(I891&gt;=3.17,I891&lt;=3.5),"标准-偏紧标准",IF(AND(I891&gt;=3.6,I891&lt;=5),"紧凑-标准紧凑",IF(AND(I891&gt;=5.25,I891&lt;=8),"紧凑-高度紧凑",IF(I891&gt;=8.5,"紧凑-极度紧凑",""))))))))))</f>
        <v/>
      </c>
      <c r="L891" s="2">
        <f>IF(I891=0.1,"极紧凑",IF(AND(I891&gt;=1,I891&lt;=1.89),"松散",IF(AND(I891&gt;=2,I891&lt;=3.5),"标准",IF(I891&gt;=3.6,"紧凑",""))))</f>
        <v/>
      </c>
      <c r="M891" s="2" t="inlineStr">
        <is>
          <t>极紧凑-豹子号</t>
        </is>
      </c>
      <c r="N891" s="2" t="inlineStr">
        <is>
          <t>松散-极松散</t>
        </is>
      </c>
      <c r="O891" s="2" t="inlineStr">
        <is>
          <t>松散-标准松散</t>
        </is>
      </c>
      <c r="P891" s="2" t="inlineStr">
        <is>
          <t>松散-偏紧松散</t>
        </is>
      </c>
      <c r="Q891" s="2" t="inlineStr">
        <is>
          <t>标准-偏松标准</t>
        </is>
      </c>
      <c r="R891" s="2" t="inlineStr">
        <is>
          <t>标准-核心标准</t>
        </is>
      </c>
      <c r="S891" s="2" t="inlineStr">
        <is>
          <t>标准-偏紧标准</t>
        </is>
      </c>
      <c r="T891" s="2" t="inlineStr">
        <is>
          <t>紧凑-标准紧凑</t>
        </is>
      </c>
      <c r="U891" s="2" t="inlineStr">
        <is>
          <t>紧凑-高度紧凑</t>
        </is>
      </c>
      <c r="V891" s="2" t="inlineStr">
        <is>
          <t>紧凑-极度紧凑</t>
        </is>
      </c>
    </row>
    <row r="892">
      <c r="A892" s="1" t="n">
        <v>2025107</v>
      </c>
      <c r="B892" s="3" t="inlineStr">
        <is>
          <t>726</t>
        </is>
      </c>
      <c r="C892" s="2">
        <f>IF(B892="","",LEFT(TEXT(B892,"000"),1)*1)</f>
        <v/>
      </c>
      <c r="D892" s="2">
        <f>IF(B892="","",MID(TEXT(B892,"000"),2,1)*1)</f>
        <v/>
      </c>
      <c r="E892" s="2">
        <f>IF(B892="","",RIGHT(TEXT(B892,"000"),1)*1)</f>
        <v/>
      </c>
      <c r="F892" s="2">
        <f>IF(B892="","",C892+D892+E892)</f>
        <v/>
      </c>
      <c r="G892" s="2">
        <f>IF(B892="","",MOD(F892,10))</f>
        <v/>
      </c>
      <c r="H892" s="2">
        <f>IF(B892="","",MAX(C892,D892,E892)-MIN(C892,D892,E892))</f>
        <v/>
      </c>
      <c r="I892" s="2">
        <f>IF(OR(B892="",H892=0),IF(H892=0,0.1,""),ROUND(F892/H892,2))</f>
        <v/>
      </c>
      <c r="J892" s="2">
        <f>IF(I892=0.1,"极紧凑",IF(I892&gt;3.5,"紧凑",IF(AND(I892&gt;=2,I892&lt;=3.5),"标准",IF(AND(I892&gt;=1,I892&lt;2),"松散",""))))</f>
        <v/>
      </c>
      <c r="K892" s="2">
        <f>IF(I892=0.1,"极紧凑-豹子号",IF(AND(I892&gt;=1,I892&lt;=1.29),"松散-极松散",IF(AND(I892&gt;=1.33,I892&lt;=1.8),"松散-标准松散",IF(AND(I892&gt;=1.83,I892&lt;=1.89),"松散-偏紧松散",IF(AND(I892&gt;=2,I892&lt;=2.5),"标准-偏松标准",IF(AND(I892&gt;=2.57,I892&lt;=3),"标准-核心标准",IF(AND(I892&gt;=3.17,I892&lt;=3.5),"标准-偏紧标准",IF(AND(I892&gt;=3.6,I892&lt;=5),"紧凑-标准紧凑",IF(AND(I892&gt;=5.25,I892&lt;=8),"紧凑-高度紧凑",IF(I892&gt;=8.5,"紧凑-极度紧凑",""))))))))))</f>
        <v/>
      </c>
      <c r="L892" s="2">
        <f>IF(I892=0.1,"极紧凑",IF(AND(I892&gt;=1,I892&lt;=1.89),"松散",IF(AND(I892&gt;=2,I892&lt;=3.5),"标准",IF(I892&gt;=3.6,"紧凑",""))))</f>
        <v/>
      </c>
      <c r="M892" s="2" t="inlineStr">
        <is>
          <t>极紧凑-豹子号</t>
        </is>
      </c>
      <c r="N892" s="2" t="inlineStr">
        <is>
          <t>松散-极松散</t>
        </is>
      </c>
      <c r="O892" s="2" t="inlineStr">
        <is>
          <t>松散-标准松散</t>
        </is>
      </c>
      <c r="P892" s="2" t="inlineStr">
        <is>
          <t>松散-偏紧松散</t>
        </is>
      </c>
      <c r="Q892" s="2" t="inlineStr">
        <is>
          <t>标准-偏松标准</t>
        </is>
      </c>
      <c r="R892" s="2" t="inlineStr">
        <is>
          <t>标准-核心标准</t>
        </is>
      </c>
      <c r="S892" s="2" t="inlineStr">
        <is>
          <t>标准-偏紧标准</t>
        </is>
      </c>
      <c r="T892" s="2" t="inlineStr">
        <is>
          <t>紧凑-标准紧凑</t>
        </is>
      </c>
      <c r="U892" s="2" t="inlineStr">
        <is>
          <t>紧凑-高度紧凑</t>
        </is>
      </c>
      <c r="V892" s="2" t="inlineStr">
        <is>
          <t>紧凑-极度紧凑</t>
        </is>
      </c>
    </row>
    <row r="893">
      <c r="A893" s="1" t="n">
        <v>2025108</v>
      </c>
      <c r="B893" s="3" t="inlineStr">
        <is>
          <t>877</t>
        </is>
      </c>
      <c r="C893" s="2">
        <f>IF(B893="","",LEFT(TEXT(B893,"000"),1)*1)</f>
        <v/>
      </c>
      <c r="D893" s="2">
        <f>IF(B893="","",MID(TEXT(B893,"000"),2,1)*1)</f>
        <v/>
      </c>
      <c r="E893" s="2">
        <f>IF(B893="","",RIGHT(TEXT(B893,"000"),1)*1)</f>
        <v/>
      </c>
      <c r="F893" s="2">
        <f>IF(B893="","",C893+D893+E893)</f>
        <v/>
      </c>
      <c r="G893" s="2">
        <f>IF(B893="","",MOD(F893,10))</f>
        <v/>
      </c>
      <c r="H893" s="2">
        <f>IF(B893="","",MAX(C893,D893,E893)-MIN(C893,D893,E893))</f>
        <v/>
      </c>
      <c r="I893" s="2">
        <f>IF(OR(B893="",H893=0),IF(H893=0,0.1,""),ROUND(F893/H893,2))</f>
        <v/>
      </c>
      <c r="J893" s="2">
        <f>IF(I893=0.1,"极紧凑",IF(I893&gt;3.5,"紧凑",IF(AND(I893&gt;=2,I893&lt;=3.5),"标准",IF(AND(I893&gt;=1,I893&lt;2),"松散",""))))</f>
        <v/>
      </c>
      <c r="K893" s="2">
        <f>IF(I893=0.1,"极紧凑-豹子号",IF(AND(I893&gt;=1,I893&lt;=1.29),"松散-极松散",IF(AND(I893&gt;=1.33,I893&lt;=1.8),"松散-标准松散",IF(AND(I893&gt;=1.83,I893&lt;=1.89),"松散-偏紧松散",IF(AND(I893&gt;=2,I893&lt;=2.5),"标准-偏松标准",IF(AND(I893&gt;=2.57,I893&lt;=3),"标准-核心标准",IF(AND(I893&gt;=3.17,I893&lt;=3.5),"标准-偏紧标准",IF(AND(I893&gt;=3.6,I893&lt;=5),"紧凑-标准紧凑",IF(AND(I893&gt;=5.25,I893&lt;=8),"紧凑-高度紧凑",IF(I893&gt;=8.5,"紧凑-极度紧凑",""))))))))))</f>
        <v/>
      </c>
      <c r="L893" s="2">
        <f>IF(I893=0.1,"极紧凑",IF(AND(I893&gt;=1,I893&lt;=1.89),"松散",IF(AND(I893&gt;=2,I893&lt;=3.5),"标准",IF(I893&gt;=3.6,"紧凑",""))))</f>
        <v/>
      </c>
      <c r="M893" s="2" t="inlineStr">
        <is>
          <t>极紧凑-豹子号</t>
        </is>
      </c>
      <c r="N893" s="2" t="inlineStr">
        <is>
          <t>松散-极松散</t>
        </is>
      </c>
      <c r="O893" s="2" t="inlineStr">
        <is>
          <t>松散-标准松散</t>
        </is>
      </c>
      <c r="P893" s="2" t="inlineStr">
        <is>
          <t>松散-偏紧松散</t>
        </is>
      </c>
      <c r="Q893" s="2" t="inlineStr">
        <is>
          <t>标准-偏松标准</t>
        </is>
      </c>
      <c r="R893" s="2" t="inlineStr">
        <is>
          <t>标准-核心标准</t>
        </is>
      </c>
      <c r="S893" s="2" t="inlineStr">
        <is>
          <t>标准-偏紧标准</t>
        </is>
      </c>
      <c r="T893" s="2" t="inlineStr">
        <is>
          <t>紧凑-标准紧凑</t>
        </is>
      </c>
      <c r="U893" s="2" t="inlineStr">
        <is>
          <t>紧凑-高度紧凑</t>
        </is>
      </c>
      <c r="V893" s="2" t="inlineStr">
        <is>
          <t>紧凑-极度紧凑</t>
        </is>
      </c>
    </row>
    <row r="894">
      <c r="A894" s="1" t="n">
        <v>2025109</v>
      </c>
      <c r="B894" s="3" t="inlineStr">
        <is>
          <t>619</t>
        </is>
      </c>
      <c r="C894" s="2">
        <f>IF(B894="","",LEFT(TEXT(B894,"000"),1)*1)</f>
        <v/>
      </c>
      <c r="D894" s="2">
        <f>IF(B894="","",MID(TEXT(B894,"000"),2,1)*1)</f>
        <v/>
      </c>
      <c r="E894" s="2">
        <f>IF(B894="","",RIGHT(TEXT(B894,"000"),1)*1)</f>
        <v/>
      </c>
      <c r="F894" s="2">
        <f>IF(B894="","",C894+D894+E894)</f>
        <v/>
      </c>
      <c r="G894" s="2">
        <f>IF(B894="","",MOD(F894,10))</f>
        <v/>
      </c>
      <c r="H894" s="2">
        <f>IF(B894="","",MAX(C894,D894,E894)-MIN(C894,D894,E894))</f>
        <v/>
      </c>
      <c r="I894" s="2">
        <f>IF(OR(B894="",H894=0),IF(H894=0,0.1,""),ROUND(F894/H894,2))</f>
        <v/>
      </c>
      <c r="J894" s="2">
        <f>IF(I894=0.1,"极紧凑",IF(I894&gt;3.5,"紧凑",IF(AND(I894&gt;=2,I894&lt;=3.5),"标准",IF(AND(I894&gt;=1,I894&lt;2),"松散",""))))</f>
        <v/>
      </c>
      <c r="K894" s="2">
        <f>IF(I894=0.1,"极紧凑-豹子号",IF(AND(I894&gt;=1,I894&lt;=1.29),"松散-极松散",IF(AND(I894&gt;=1.33,I894&lt;=1.8),"松散-标准松散",IF(AND(I894&gt;=1.83,I894&lt;=1.89),"松散-偏紧松散",IF(AND(I894&gt;=2,I894&lt;=2.5),"标准-偏松标准",IF(AND(I894&gt;=2.57,I894&lt;=3),"标准-核心标准",IF(AND(I894&gt;=3.17,I894&lt;=3.5),"标准-偏紧标准",IF(AND(I894&gt;=3.6,I894&lt;=5),"紧凑-标准紧凑",IF(AND(I894&gt;=5.25,I894&lt;=8),"紧凑-高度紧凑",IF(I894&gt;=8.5,"紧凑-极度紧凑",""))))))))))</f>
        <v/>
      </c>
      <c r="L894" s="2">
        <f>IF(I894=0.1,"极紧凑",IF(AND(I894&gt;=1,I894&lt;=1.89),"松散",IF(AND(I894&gt;=2,I894&lt;=3.5),"标准",IF(I894&gt;=3.6,"紧凑",""))))</f>
        <v/>
      </c>
      <c r="M894" s="2" t="inlineStr">
        <is>
          <t>极紧凑-豹子号</t>
        </is>
      </c>
      <c r="N894" s="2" t="inlineStr">
        <is>
          <t>松散-极松散</t>
        </is>
      </c>
      <c r="O894" s="2" t="inlineStr">
        <is>
          <t>松散-标准松散</t>
        </is>
      </c>
      <c r="P894" s="2" t="inlineStr">
        <is>
          <t>松散-偏紧松散</t>
        </is>
      </c>
      <c r="Q894" s="2" t="inlineStr">
        <is>
          <t>标准-偏松标准</t>
        </is>
      </c>
      <c r="R894" s="2" t="inlineStr">
        <is>
          <t>标准-核心标准</t>
        </is>
      </c>
      <c r="S894" s="2" t="inlineStr">
        <is>
          <t>标准-偏紧标准</t>
        </is>
      </c>
      <c r="T894" s="2" t="inlineStr">
        <is>
          <t>紧凑-标准紧凑</t>
        </is>
      </c>
      <c r="U894" s="2" t="inlineStr">
        <is>
          <t>紧凑-高度紧凑</t>
        </is>
      </c>
      <c r="V894" s="2" t="inlineStr">
        <is>
          <t>紧凑-极度紧凑</t>
        </is>
      </c>
    </row>
    <row r="895">
      <c r="A895" s="1" t="n">
        <v>2025110</v>
      </c>
      <c r="B895" s="3" t="inlineStr">
        <is>
          <t>116</t>
        </is>
      </c>
      <c r="C895" s="2">
        <f>IF(B895="","",LEFT(TEXT(B895,"000"),1)*1)</f>
        <v/>
      </c>
      <c r="D895" s="2">
        <f>IF(B895="","",MID(TEXT(B895,"000"),2,1)*1)</f>
        <v/>
      </c>
      <c r="E895" s="2">
        <f>IF(B895="","",RIGHT(TEXT(B895,"000"),1)*1)</f>
        <v/>
      </c>
      <c r="F895" s="2">
        <f>IF(B895="","",C895+D895+E895)</f>
        <v/>
      </c>
      <c r="G895" s="2">
        <f>IF(B895="","",MOD(F895,10))</f>
        <v/>
      </c>
      <c r="H895" s="2">
        <f>IF(B895="","",MAX(C895,D895,E895)-MIN(C895,D895,E895))</f>
        <v/>
      </c>
      <c r="I895" s="2">
        <f>IF(OR(B895="",H895=0),IF(H895=0,0.1,""),ROUND(F895/H895,2))</f>
        <v/>
      </c>
      <c r="J895" s="2">
        <f>IF(I895=0.1,"极紧凑",IF(I895&gt;3.5,"紧凑",IF(AND(I895&gt;=2,I895&lt;=3.5),"标准",IF(AND(I895&gt;=1,I895&lt;2),"松散",""))))</f>
        <v/>
      </c>
      <c r="K895" s="2">
        <f>IF(I895=0.1,"极紧凑-豹子号",IF(AND(I895&gt;=1,I895&lt;=1.29),"松散-极松散",IF(AND(I895&gt;=1.33,I895&lt;=1.8),"松散-标准松散",IF(AND(I895&gt;=1.83,I895&lt;=1.89),"松散-偏紧松散",IF(AND(I895&gt;=2,I895&lt;=2.5),"标准-偏松标准",IF(AND(I895&gt;=2.57,I895&lt;=3),"标准-核心标准",IF(AND(I895&gt;=3.17,I895&lt;=3.5),"标准-偏紧标准",IF(AND(I895&gt;=3.6,I895&lt;=5),"紧凑-标准紧凑",IF(AND(I895&gt;=5.25,I895&lt;=8),"紧凑-高度紧凑",IF(I895&gt;=8.5,"紧凑-极度紧凑",""))))))))))</f>
        <v/>
      </c>
      <c r="L895" s="2">
        <f>IF(I895=0.1,"极紧凑",IF(AND(I895&gt;=1,I895&lt;=1.89),"松散",IF(AND(I895&gt;=2,I895&lt;=3.5),"标准",IF(I895&gt;=3.6,"紧凑",""))))</f>
        <v/>
      </c>
      <c r="M895" s="2" t="inlineStr">
        <is>
          <t>极紧凑-豹子号</t>
        </is>
      </c>
      <c r="N895" s="2" t="inlineStr">
        <is>
          <t>松散-极松散</t>
        </is>
      </c>
      <c r="O895" s="2" t="inlineStr">
        <is>
          <t>松散-标准松散</t>
        </is>
      </c>
      <c r="P895" s="2" t="inlineStr">
        <is>
          <t>松散-偏紧松散</t>
        </is>
      </c>
      <c r="Q895" s="2" t="inlineStr">
        <is>
          <t>标准-偏松标准</t>
        </is>
      </c>
      <c r="R895" s="2" t="inlineStr">
        <is>
          <t>标准-核心标准</t>
        </is>
      </c>
      <c r="S895" s="2" t="inlineStr">
        <is>
          <t>标准-偏紧标准</t>
        </is>
      </c>
      <c r="T895" s="2" t="inlineStr">
        <is>
          <t>紧凑-标准紧凑</t>
        </is>
      </c>
      <c r="U895" s="2" t="inlineStr">
        <is>
          <t>紧凑-高度紧凑</t>
        </is>
      </c>
      <c r="V895" s="2" t="inlineStr">
        <is>
          <t>紧凑-极度紧凑</t>
        </is>
      </c>
    </row>
    <row r="896">
      <c r="A896" s="1" t="n">
        <v>2025111</v>
      </c>
      <c r="B896" s="3" t="inlineStr">
        <is>
          <t>588</t>
        </is>
      </c>
      <c r="C896" s="2">
        <f>IF(B896="","",LEFT(TEXT(B896,"000"),1)*1)</f>
        <v/>
      </c>
      <c r="D896" s="2">
        <f>IF(B896="","",MID(TEXT(B896,"000"),2,1)*1)</f>
        <v/>
      </c>
      <c r="E896" s="2">
        <f>IF(B896="","",RIGHT(TEXT(B896,"000"),1)*1)</f>
        <v/>
      </c>
      <c r="F896" s="2">
        <f>IF(B896="","",C896+D896+E896)</f>
        <v/>
      </c>
      <c r="G896" s="2">
        <f>IF(B896="","",MOD(F896,10))</f>
        <v/>
      </c>
      <c r="H896" s="2">
        <f>IF(B896="","",MAX(C896,D896,E896)-MIN(C896,D896,E896))</f>
        <v/>
      </c>
      <c r="I896" s="2">
        <f>IF(OR(B896="",H896=0),IF(H896=0,0.1,""),ROUND(F896/H896,2))</f>
        <v/>
      </c>
      <c r="J896" s="2">
        <f>IF(I896=0.1,"极紧凑",IF(I896&gt;3.5,"紧凑",IF(AND(I896&gt;=2,I896&lt;=3.5),"标准",IF(AND(I896&gt;=1,I896&lt;2),"松散",""))))</f>
        <v/>
      </c>
      <c r="K896" s="2">
        <f>IF(I896=0.1,"极紧凑-豹子号",IF(AND(I896&gt;=1,I896&lt;=1.29),"松散-极松散",IF(AND(I896&gt;=1.33,I896&lt;=1.8),"松散-标准松散",IF(AND(I896&gt;=1.83,I896&lt;=1.89),"松散-偏紧松散",IF(AND(I896&gt;=2,I896&lt;=2.5),"标准-偏松标准",IF(AND(I896&gt;=2.57,I896&lt;=3),"标准-核心标准",IF(AND(I896&gt;=3.17,I896&lt;=3.5),"标准-偏紧标准",IF(AND(I896&gt;=3.6,I896&lt;=5),"紧凑-标准紧凑",IF(AND(I896&gt;=5.25,I896&lt;=8),"紧凑-高度紧凑",IF(I896&gt;=8.5,"紧凑-极度紧凑",""))))))))))</f>
        <v/>
      </c>
      <c r="L896" s="2">
        <f>IF(I896=0.1,"极紧凑",IF(AND(I896&gt;=1,I896&lt;=1.89),"松散",IF(AND(I896&gt;=2,I896&lt;=3.5),"标准",IF(I896&gt;=3.6,"紧凑",""))))</f>
        <v/>
      </c>
      <c r="M896" s="2" t="inlineStr">
        <is>
          <t>极紧凑-豹子号</t>
        </is>
      </c>
      <c r="N896" s="2" t="inlineStr">
        <is>
          <t>松散-极松散</t>
        </is>
      </c>
      <c r="O896" s="2" t="inlineStr">
        <is>
          <t>松散-标准松散</t>
        </is>
      </c>
      <c r="P896" s="2" t="inlineStr">
        <is>
          <t>松散-偏紧松散</t>
        </is>
      </c>
      <c r="Q896" s="2" t="inlineStr">
        <is>
          <t>标准-偏松标准</t>
        </is>
      </c>
      <c r="R896" s="2" t="inlineStr">
        <is>
          <t>标准-核心标准</t>
        </is>
      </c>
      <c r="S896" s="2" t="inlineStr">
        <is>
          <t>标准-偏紧标准</t>
        </is>
      </c>
      <c r="T896" s="2" t="inlineStr">
        <is>
          <t>紧凑-标准紧凑</t>
        </is>
      </c>
      <c r="U896" s="2" t="inlineStr">
        <is>
          <t>紧凑-高度紧凑</t>
        </is>
      </c>
      <c r="V896" s="2" t="inlineStr">
        <is>
          <t>紧凑-极度紧凑</t>
        </is>
      </c>
    </row>
    <row r="897">
      <c r="A897" s="1" t="n">
        <v>2025112</v>
      </c>
      <c r="B897" s="3" t="inlineStr">
        <is>
          <t>483</t>
        </is>
      </c>
      <c r="C897" s="2">
        <f>IF(B897="","",LEFT(TEXT(B897,"000"),1)*1)</f>
        <v/>
      </c>
      <c r="D897" s="2">
        <f>IF(B897="","",MID(TEXT(B897,"000"),2,1)*1)</f>
        <v/>
      </c>
      <c r="E897" s="2">
        <f>IF(B897="","",RIGHT(TEXT(B897,"000"),1)*1)</f>
        <v/>
      </c>
      <c r="F897" s="2">
        <f>IF(B897="","",C897+D897+E897)</f>
        <v/>
      </c>
      <c r="G897" s="2">
        <f>IF(B897="","",MOD(F897,10))</f>
        <v/>
      </c>
      <c r="H897" s="2">
        <f>IF(B897="","",MAX(C897,D897,E897)-MIN(C897,D897,E897))</f>
        <v/>
      </c>
      <c r="I897" s="2">
        <f>IF(OR(B897="",H897=0),IF(H897=0,0.1,""),ROUND(F897/H897,2))</f>
        <v/>
      </c>
      <c r="J897" s="2">
        <f>IF(I897=0.1,"极紧凑",IF(I897&gt;3.5,"紧凑",IF(AND(I897&gt;=2,I897&lt;=3.5),"标准",IF(AND(I897&gt;=1,I897&lt;2),"松散",""))))</f>
        <v/>
      </c>
      <c r="K897" s="2">
        <f>IF(I897=0.1,"极紧凑-豹子号",IF(AND(I897&gt;=1,I897&lt;=1.29),"松散-极松散",IF(AND(I897&gt;=1.33,I897&lt;=1.8),"松散-标准松散",IF(AND(I897&gt;=1.83,I897&lt;=1.89),"松散-偏紧松散",IF(AND(I897&gt;=2,I897&lt;=2.5),"标准-偏松标准",IF(AND(I897&gt;=2.57,I897&lt;=3),"标准-核心标准",IF(AND(I897&gt;=3.17,I897&lt;=3.5),"标准-偏紧标准",IF(AND(I897&gt;=3.6,I897&lt;=5),"紧凑-标准紧凑",IF(AND(I897&gt;=5.25,I897&lt;=8),"紧凑-高度紧凑",IF(I897&gt;=8.5,"紧凑-极度紧凑",""))))))))))</f>
        <v/>
      </c>
      <c r="L897" s="2">
        <f>IF(I897=0.1,"极紧凑",IF(AND(I897&gt;=1,I897&lt;=1.89),"松散",IF(AND(I897&gt;=2,I897&lt;=3.5),"标准",IF(I897&gt;=3.6,"紧凑",""))))</f>
        <v/>
      </c>
      <c r="M897" s="2" t="inlineStr">
        <is>
          <t>极紧凑-豹子号</t>
        </is>
      </c>
      <c r="N897" s="2" t="inlineStr">
        <is>
          <t>松散-极松散</t>
        </is>
      </c>
      <c r="O897" s="2" t="inlineStr">
        <is>
          <t>松散-标准松散</t>
        </is>
      </c>
      <c r="P897" s="2" t="inlineStr">
        <is>
          <t>松散-偏紧松散</t>
        </is>
      </c>
      <c r="Q897" s="2" t="inlineStr">
        <is>
          <t>标准-偏松标准</t>
        </is>
      </c>
      <c r="R897" s="2" t="inlineStr">
        <is>
          <t>标准-核心标准</t>
        </is>
      </c>
      <c r="S897" s="2" t="inlineStr">
        <is>
          <t>标准-偏紧标准</t>
        </is>
      </c>
      <c r="T897" s="2" t="inlineStr">
        <is>
          <t>紧凑-标准紧凑</t>
        </is>
      </c>
      <c r="U897" s="2" t="inlineStr">
        <is>
          <t>紧凑-高度紧凑</t>
        </is>
      </c>
      <c r="V897" s="2" t="inlineStr">
        <is>
          <t>紧凑-极度紧凑</t>
        </is>
      </c>
    </row>
    <row r="898">
      <c r="A898" s="1" t="n">
        <v>2025113</v>
      </c>
      <c r="B898" s="3" t="inlineStr">
        <is>
          <t>029</t>
        </is>
      </c>
      <c r="C898" s="2">
        <f>IF(B898="","",LEFT(TEXT(B898,"000"),1)*1)</f>
        <v/>
      </c>
      <c r="D898" s="2">
        <f>IF(B898="","",MID(TEXT(B898,"000"),2,1)*1)</f>
        <v/>
      </c>
      <c r="E898" s="2">
        <f>IF(B898="","",RIGHT(TEXT(B898,"000"),1)*1)</f>
        <v/>
      </c>
      <c r="F898" s="2">
        <f>IF(B898="","",C898+D898+E898)</f>
        <v/>
      </c>
      <c r="G898" s="2">
        <f>IF(B898="","",MOD(F898,10))</f>
        <v/>
      </c>
      <c r="H898" s="2">
        <f>IF(B898="","",MAX(C898,D898,E898)-MIN(C898,D898,E898))</f>
        <v/>
      </c>
      <c r="I898" s="2">
        <f>IF(OR(B898="",H898=0),IF(H898=0,0.1,""),ROUND(F898/H898,2))</f>
        <v/>
      </c>
      <c r="J898" s="2">
        <f>IF(I898=0.1,"极紧凑",IF(I898&gt;3.5,"紧凑",IF(AND(I898&gt;=2,I898&lt;=3.5),"标准",IF(AND(I898&gt;=1,I898&lt;2),"松散",""))))</f>
        <v/>
      </c>
      <c r="K898" s="2">
        <f>IF(I898=0.1,"极紧凑-豹子号",IF(AND(I898&gt;=1,I898&lt;=1.29),"松散-极松散",IF(AND(I898&gt;=1.33,I898&lt;=1.8),"松散-标准松散",IF(AND(I898&gt;=1.83,I898&lt;=1.89),"松散-偏紧松散",IF(AND(I898&gt;=2,I898&lt;=2.5),"标准-偏松标准",IF(AND(I898&gt;=2.57,I898&lt;=3),"标准-核心标准",IF(AND(I898&gt;=3.17,I898&lt;=3.5),"标准-偏紧标准",IF(AND(I898&gt;=3.6,I898&lt;=5),"紧凑-标准紧凑",IF(AND(I898&gt;=5.25,I898&lt;=8),"紧凑-高度紧凑",IF(I898&gt;=8.5,"紧凑-极度紧凑",""))))))))))</f>
        <v/>
      </c>
      <c r="L898" s="2">
        <f>IF(I898=0.1,"极紧凑",IF(AND(I898&gt;=1,I898&lt;=1.89),"松散",IF(AND(I898&gt;=2,I898&lt;=3.5),"标准",IF(I898&gt;=3.6,"紧凑",""))))</f>
        <v/>
      </c>
      <c r="M898" s="2" t="inlineStr">
        <is>
          <t>极紧凑-豹子号</t>
        </is>
      </c>
      <c r="N898" s="2" t="inlineStr">
        <is>
          <t>松散-极松散</t>
        </is>
      </c>
      <c r="O898" s="2" t="inlineStr">
        <is>
          <t>松散-标准松散</t>
        </is>
      </c>
      <c r="P898" s="2" t="inlineStr">
        <is>
          <t>松散-偏紧松散</t>
        </is>
      </c>
      <c r="Q898" s="2" t="inlineStr">
        <is>
          <t>标准-偏松标准</t>
        </is>
      </c>
      <c r="R898" s="2" t="inlineStr">
        <is>
          <t>标准-核心标准</t>
        </is>
      </c>
      <c r="S898" s="2" t="inlineStr">
        <is>
          <t>标准-偏紧标准</t>
        </is>
      </c>
      <c r="T898" s="2" t="inlineStr">
        <is>
          <t>紧凑-标准紧凑</t>
        </is>
      </c>
      <c r="U898" s="2" t="inlineStr">
        <is>
          <t>紧凑-高度紧凑</t>
        </is>
      </c>
      <c r="V898" s="2" t="inlineStr">
        <is>
          <t>紧凑-极度紧凑</t>
        </is>
      </c>
    </row>
    <row r="899">
      <c r="A899" s="1" t="n">
        <v>2025114</v>
      </c>
      <c r="B899" s="3" t="inlineStr">
        <is>
          <t>192</t>
        </is>
      </c>
      <c r="C899" s="2">
        <f>IF(B899="","",LEFT(TEXT(B899,"000"),1)*1)</f>
        <v/>
      </c>
      <c r="D899" s="2">
        <f>IF(B899="","",MID(TEXT(B899,"000"),2,1)*1)</f>
        <v/>
      </c>
      <c r="E899" s="2">
        <f>IF(B899="","",RIGHT(TEXT(B899,"000"),1)*1)</f>
        <v/>
      </c>
      <c r="F899" s="2">
        <f>IF(B899="","",C899+D899+E899)</f>
        <v/>
      </c>
      <c r="G899" s="2">
        <f>IF(B899="","",MOD(F899,10))</f>
        <v/>
      </c>
      <c r="H899" s="2">
        <f>IF(B899="","",MAX(C899,D899,E899)-MIN(C899,D899,E899))</f>
        <v/>
      </c>
      <c r="I899" s="2">
        <f>IF(OR(B899="",H899=0),IF(H899=0,0.1,""),ROUND(F899/H899,2))</f>
        <v/>
      </c>
      <c r="J899" s="2">
        <f>IF(I899=0.1,"极紧凑",IF(I899&gt;3.5,"紧凑",IF(AND(I899&gt;=2,I899&lt;=3.5),"标准",IF(AND(I899&gt;=1,I899&lt;2),"松散",""))))</f>
        <v/>
      </c>
      <c r="K899" s="2">
        <f>IF(I899=0.1,"极紧凑-豹子号",IF(AND(I899&gt;=1,I899&lt;=1.29),"松散-极松散",IF(AND(I899&gt;=1.33,I899&lt;=1.8),"松散-标准松散",IF(AND(I899&gt;=1.83,I899&lt;=1.89),"松散-偏紧松散",IF(AND(I899&gt;=2,I899&lt;=2.5),"标准-偏松标准",IF(AND(I899&gt;=2.57,I899&lt;=3),"标准-核心标准",IF(AND(I899&gt;=3.17,I899&lt;=3.5),"标准-偏紧标准",IF(AND(I899&gt;=3.6,I899&lt;=5),"紧凑-标准紧凑",IF(AND(I899&gt;=5.25,I899&lt;=8),"紧凑-高度紧凑",IF(I899&gt;=8.5,"紧凑-极度紧凑",""))))))))))</f>
        <v/>
      </c>
      <c r="L899" s="2">
        <f>IF(I899=0.1,"极紧凑",IF(AND(I899&gt;=1,I899&lt;=1.89),"松散",IF(AND(I899&gt;=2,I899&lt;=3.5),"标准",IF(I899&gt;=3.6,"紧凑",""))))</f>
        <v/>
      </c>
      <c r="M899" s="2" t="inlineStr">
        <is>
          <t>极紧凑-豹子号</t>
        </is>
      </c>
      <c r="N899" s="2" t="inlineStr">
        <is>
          <t>松散-极松散</t>
        </is>
      </c>
      <c r="O899" s="2" t="inlineStr">
        <is>
          <t>松散-标准松散</t>
        </is>
      </c>
      <c r="P899" s="2" t="inlineStr">
        <is>
          <t>松散-偏紧松散</t>
        </is>
      </c>
      <c r="Q899" s="2" t="inlineStr">
        <is>
          <t>标准-偏松标准</t>
        </is>
      </c>
      <c r="R899" s="2" t="inlineStr">
        <is>
          <t>标准-核心标准</t>
        </is>
      </c>
      <c r="S899" s="2" t="inlineStr">
        <is>
          <t>标准-偏紧标准</t>
        </is>
      </c>
      <c r="T899" s="2" t="inlineStr">
        <is>
          <t>紧凑-标准紧凑</t>
        </is>
      </c>
      <c r="U899" s="2" t="inlineStr">
        <is>
          <t>紧凑-高度紧凑</t>
        </is>
      </c>
      <c r="V899" s="2" t="inlineStr">
        <is>
          <t>紧凑-极度紧凑</t>
        </is>
      </c>
    </row>
    <row r="900">
      <c r="A900" s="1" t="n">
        <v>2025115</v>
      </c>
      <c r="B900" s="3" t="inlineStr">
        <is>
          <t>847</t>
        </is>
      </c>
      <c r="C900" s="2">
        <f>IF(B900="","",LEFT(TEXT(B900,"000"),1)*1)</f>
        <v/>
      </c>
      <c r="D900" s="2">
        <f>IF(B900="","",MID(TEXT(B900,"000"),2,1)*1)</f>
        <v/>
      </c>
      <c r="E900" s="2">
        <f>IF(B900="","",RIGHT(TEXT(B900,"000"),1)*1)</f>
        <v/>
      </c>
      <c r="F900" s="2">
        <f>IF(B900="","",C900+D900+E900)</f>
        <v/>
      </c>
      <c r="G900" s="2">
        <f>IF(B900="","",MOD(F900,10))</f>
        <v/>
      </c>
      <c r="H900" s="2">
        <f>IF(B900="","",MAX(C900,D900,E900)-MIN(C900,D900,E900))</f>
        <v/>
      </c>
      <c r="I900" s="2">
        <f>IF(OR(B900="",H900=0),IF(H900=0,0.1,""),ROUND(F900/H900,2))</f>
        <v/>
      </c>
      <c r="J900" s="2">
        <f>IF(I900=0.1,"极紧凑",IF(I900&gt;3.5,"紧凑",IF(AND(I900&gt;=2,I900&lt;=3.5),"标准",IF(AND(I900&gt;=1,I900&lt;2),"松散",""))))</f>
        <v/>
      </c>
      <c r="K900" s="2">
        <f>IF(I900=0.1,"极紧凑-豹子号",IF(AND(I900&gt;=1,I900&lt;=1.29),"松散-极松散",IF(AND(I900&gt;=1.33,I900&lt;=1.8),"松散-标准松散",IF(AND(I900&gt;=1.83,I900&lt;=1.89),"松散-偏紧松散",IF(AND(I900&gt;=2,I900&lt;=2.5),"标准-偏松标准",IF(AND(I900&gt;=2.57,I900&lt;=3),"标准-核心标准",IF(AND(I900&gt;=3.17,I900&lt;=3.5),"标准-偏紧标准",IF(AND(I900&gt;=3.6,I900&lt;=5),"紧凑-标准紧凑",IF(AND(I900&gt;=5.25,I900&lt;=8),"紧凑-高度紧凑",IF(I900&gt;=8.5,"紧凑-极度紧凑",""))))))))))</f>
        <v/>
      </c>
      <c r="L900" s="2">
        <f>IF(I900=0.1,"极紧凑",IF(AND(I900&gt;=1,I900&lt;=1.89),"松散",IF(AND(I900&gt;=2,I900&lt;=3.5),"标准",IF(I900&gt;=3.6,"紧凑",""))))</f>
        <v/>
      </c>
      <c r="M900" s="2" t="inlineStr">
        <is>
          <t>极紧凑-豹子号</t>
        </is>
      </c>
      <c r="N900" s="2" t="inlineStr">
        <is>
          <t>松散-极松散</t>
        </is>
      </c>
      <c r="O900" s="2" t="inlineStr">
        <is>
          <t>松散-标准松散</t>
        </is>
      </c>
      <c r="P900" s="2" t="inlineStr">
        <is>
          <t>松散-偏紧松散</t>
        </is>
      </c>
      <c r="Q900" s="2" t="inlineStr">
        <is>
          <t>标准-偏松标准</t>
        </is>
      </c>
      <c r="R900" s="2" t="inlineStr">
        <is>
          <t>标准-核心标准</t>
        </is>
      </c>
      <c r="S900" s="2" t="inlineStr">
        <is>
          <t>标准-偏紧标准</t>
        </is>
      </c>
      <c r="T900" s="2" t="inlineStr">
        <is>
          <t>紧凑-标准紧凑</t>
        </is>
      </c>
      <c r="U900" s="2" t="inlineStr">
        <is>
          <t>紧凑-高度紧凑</t>
        </is>
      </c>
      <c r="V900" s="2" t="inlineStr">
        <is>
          <t>紧凑-极度紧凑</t>
        </is>
      </c>
    </row>
    <row r="901">
      <c r="A901" s="1" t="n">
        <v>2025116</v>
      </c>
      <c r="B901" s="3" t="inlineStr">
        <is>
          <t>360</t>
        </is>
      </c>
      <c r="C901" s="2">
        <f>IF(B901="","",LEFT(TEXT(B901,"000"),1)*1)</f>
        <v/>
      </c>
      <c r="D901" s="2">
        <f>IF(B901="","",MID(TEXT(B901,"000"),2,1)*1)</f>
        <v/>
      </c>
      <c r="E901" s="2">
        <f>IF(B901="","",RIGHT(TEXT(B901,"000"),1)*1)</f>
        <v/>
      </c>
      <c r="F901" s="2">
        <f>IF(B901="","",C901+D901+E901)</f>
        <v/>
      </c>
      <c r="G901" s="2">
        <f>IF(B901="","",MOD(F901,10))</f>
        <v/>
      </c>
      <c r="H901" s="2">
        <f>IF(B901="","",MAX(C901,D901,E901)-MIN(C901,D901,E901))</f>
        <v/>
      </c>
      <c r="I901" s="2">
        <f>IF(OR(B901="",H901=0),IF(H901=0,0.1,""),ROUND(F901/H901,2))</f>
        <v/>
      </c>
      <c r="J901" s="2">
        <f>IF(I901=0.1,"极紧凑",IF(I901&gt;3.5,"紧凑",IF(AND(I901&gt;=2,I901&lt;=3.5),"标准",IF(AND(I901&gt;=1,I901&lt;2),"松散",""))))</f>
        <v/>
      </c>
      <c r="K901" s="2">
        <f>IF(I901=0.1,"极紧凑-豹子号",IF(AND(I901&gt;=1,I901&lt;=1.29),"松散-极松散",IF(AND(I901&gt;=1.33,I901&lt;=1.8),"松散-标准松散",IF(AND(I901&gt;=1.83,I901&lt;=1.89),"松散-偏紧松散",IF(AND(I901&gt;=2,I901&lt;=2.5),"标准-偏松标准",IF(AND(I901&gt;=2.57,I901&lt;=3),"标准-核心标准",IF(AND(I901&gt;=3.17,I901&lt;=3.5),"标准-偏紧标准",IF(AND(I901&gt;=3.6,I901&lt;=5),"紧凑-标准紧凑",IF(AND(I901&gt;=5.25,I901&lt;=8),"紧凑-高度紧凑",IF(I901&gt;=8.5,"紧凑-极度紧凑",""))))))))))</f>
        <v/>
      </c>
      <c r="L901" s="2">
        <f>IF(I901=0.1,"极紧凑",IF(AND(I901&gt;=1,I901&lt;=1.89),"松散",IF(AND(I901&gt;=2,I901&lt;=3.5),"标准",IF(I901&gt;=3.6,"紧凑",""))))</f>
        <v/>
      </c>
      <c r="M901" s="2" t="inlineStr">
        <is>
          <t>极紧凑-豹子号</t>
        </is>
      </c>
      <c r="N901" s="2" t="inlineStr">
        <is>
          <t>松散-极松散</t>
        </is>
      </c>
      <c r="O901" s="2" t="inlineStr">
        <is>
          <t>松散-标准松散</t>
        </is>
      </c>
      <c r="P901" s="2" t="inlineStr">
        <is>
          <t>松散-偏紧松散</t>
        </is>
      </c>
      <c r="Q901" s="2" t="inlineStr">
        <is>
          <t>标准-偏松标准</t>
        </is>
      </c>
      <c r="R901" s="2" t="inlineStr">
        <is>
          <t>标准-核心标准</t>
        </is>
      </c>
      <c r="S901" s="2" t="inlineStr">
        <is>
          <t>标准-偏紧标准</t>
        </is>
      </c>
      <c r="T901" s="2" t="inlineStr">
        <is>
          <t>紧凑-标准紧凑</t>
        </is>
      </c>
      <c r="U901" s="2" t="inlineStr">
        <is>
          <t>紧凑-高度紧凑</t>
        </is>
      </c>
      <c r="V901" s="2" t="inlineStr">
        <is>
          <t>紧凑-极度紧凑</t>
        </is>
      </c>
    </row>
    <row r="902">
      <c r="A902" s="1" t="n">
        <v>2025117</v>
      </c>
      <c r="B902" s="3" t="inlineStr">
        <is>
          <t>170</t>
        </is>
      </c>
      <c r="C902" s="2">
        <f>IF(B902="","",LEFT(TEXT(B902,"000"),1)*1)</f>
        <v/>
      </c>
      <c r="D902" s="2">
        <f>IF(B902="","",MID(TEXT(B902,"000"),2,1)*1)</f>
        <v/>
      </c>
      <c r="E902" s="2">
        <f>IF(B902="","",RIGHT(TEXT(B902,"000"),1)*1)</f>
        <v/>
      </c>
      <c r="F902" s="2">
        <f>IF(B902="","",C902+D902+E902)</f>
        <v/>
      </c>
      <c r="G902" s="2">
        <f>IF(B902="","",MOD(F902,10))</f>
        <v/>
      </c>
      <c r="H902" s="2">
        <f>IF(B902="","",MAX(C902,D902,E902)-MIN(C902,D902,E902))</f>
        <v/>
      </c>
      <c r="I902" s="2">
        <f>IF(OR(B902="",H902=0),IF(H902=0,0.1,""),ROUND(F902/H902,2))</f>
        <v/>
      </c>
      <c r="J902" s="2">
        <f>IF(I902=0.1,"极紧凑",IF(I902&gt;3.5,"紧凑",IF(AND(I902&gt;=2,I902&lt;=3.5),"标准",IF(AND(I902&gt;=1,I902&lt;2),"松散",""))))</f>
        <v/>
      </c>
      <c r="K902" s="2">
        <f>IF(I902=0.1,"极紧凑-豹子号",IF(AND(I902&gt;=1,I902&lt;=1.29),"松散-极松散",IF(AND(I902&gt;=1.33,I902&lt;=1.8),"松散-标准松散",IF(AND(I902&gt;=1.83,I902&lt;=1.89),"松散-偏紧松散",IF(AND(I902&gt;=2,I902&lt;=2.5),"标准-偏松标准",IF(AND(I902&gt;=2.57,I902&lt;=3),"标准-核心标准",IF(AND(I902&gt;=3.17,I902&lt;=3.5),"标准-偏紧标准",IF(AND(I902&gt;=3.6,I902&lt;=5),"紧凑-标准紧凑",IF(AND(I902&gt;=5.25,I902&lt;=8),"紧凑-高度紧凑",IF(I902&gt;=8.5,"紧凑-极度紧凑",""))))))))))</f>
        <v/>
      </c>
      <c r="L902" s="2">
        <f>IF(I902=0.1,"极紧凑",IF(AND(I902&gt;=1,I902&lt;=1.89),"松散",IF(AND(I902&gt;=2,I902&lt;=3.5),"标准",IF(I902&gt;=3.6,"紧凑",""))))</f>
        <v/>
      </c>
      <c r="M902" s="2" t="inlineStr">
        <is>
          <t>极紧凑-豹子号</t>
        </is>
      </c>
      <c r="N902" s="2" t="inlineStr">
        <is>
          <t>松散-极松散</t>
        </is>
      </c>
      <c r="O902" s="2" t="inlineStr">
        <is>
          <t>松散-标准松散</t>
        </is>
      </c>
      <c r="P902" s="2" t="inlineStr">
        <is>
          <t>松散-偏紧松散</t>
        </is>
      </c>
      <c r="Q902" s="2" t="inlineStr">
        <is>
          <t>标准-偏松标准</t>
        </is>
      </c>
      <c r="R902" s="2" t="inlineStr">
        <is>
          <t>标准-核心标准</t>
        </is>
      </c>
      <c r="S902" s="2" t="inlineStr">
        <is>
          <t>标准-偏紧标准</t>
        </is>
      </c>
      <c r="T902" s="2" t="inlineStr">
        <is>
          <t>紧凑-标准紧凑</t>
        </is>
      </c>
      <c r="U902" s="2" t="inlineStr">
        <is>
          <t>紧凑-高度紧凑</t>
        </is>
      </c>
      <c r="V902" s="2" t="inlineStr">
        <is>
          <t>紧凑-极度紧凑</t>
        </is>
      </c>
    </row>
    <row r="903">
      <c r="A903" s="1" t="n">
        <v>2025118</v>
      </c>
      <c r="B903" s="3" t="inlineStr">
        <is>
          <t>255</t>
        </is>
      </c>
      <c r="C903" s="2">
        <f>IF(B903="","",LEFT(TEXT(B903,"000"),1)*1)</f>
        <v/>
      </c>
      <c r="D903" s="2">
        <f>IF(B903="","",MID(TEXT(B903,"000"),2,1)*1)</f>
        <v/>
      </c>
      <c r="E903" s="2">
        <f>IF(B903="","",RIGHT(TEXT(B903,"000"),1)*1)</f>
        <v/>
      </c>
      <c r="F903" s="2">
        <f>IF(B903="","",C903+D903+E903)</f>
        <v/>
      </c>
      <c r="G903" s="2">
        <f>IF(B903="","",MOD(F903,10))</f>
        <v/>
      </c>
      <c r="H903" s="2">
        <f>IF(B903="","",MAX(C903,D903,E903)-MIN(C903,D903,E903))</f>
        <v/>
      </c>
      <c r="I903" s="2">
        <f>IF(OR(B903="",H903=0),IF(H903=0,0.1,""),ROUND(F903/H903,2))</f>
        <v/>
      </c>
      <c r="J903" s="2">
        <f>IF(I903=0.1,"极紧凑",IF(I903&gt;3.5,"紧凑",IF(AND(I903&gt;=2,I903&lt;=3.5),"标准",IF(AND(I903&gt;=1,I903&lt;2),"松散",""))))</f>
        <v/>
      </c>
      <c r="K903" s="2">
        <f>IF(I903=0.1,"极紧凑-豹子号",IF(AND(I903&gt;=1,I903&lt;=1.29),"松散-极松散",IF(AND(I903&gt;=1.33,I903&lt;=1.8),"松散-标准松散",IF(AND(I903&gt;=1.83,I903&lt;=1.89),"松散-偏紧松散",IF(AND(I903&gt;=2,I903&lt;=2.5),"标准-偏松标准",IF(AND(I903&gt;=2.57,I903&lt;=3),"标准-核心标准",IF(AND(I903&gt;=3.17,I903&lt;=3.5),"标准-偏紧标准",IF(AND(I903&gt;=3.6,I903&lt;=5),"紧凑-标准紧凑",IF(AND(I903&gt;=5.25,I903&lt;=8),"紧凑-高度紧凑",IF(I903&gt;=8.5,"紧凑-极度紧凑",""))))))))))</f>
        <v/>
      </c>
      <c r="L903" s="2">
        <f>IF(I903=0.1,"极紧凑",IF(AND(I903&gt;=1,I903&lt;=1.89),"松散",IF(AND(I903&gt;=2,I903&lt;=3.5),"标准",IF(I903&gt;=3.6,"紧凑",""))))</f>
        <v/>
      </c>
      <c r="M903" s="2" t="inlineStr">
        <is>
          <t>极紧凑-豹子号</t>
        </is>
      </c>
      <c r="N903" s="2" t="inlineStr">
        <is>
          <t>松散-极松散</t>
        </is>
      </c>
      <c r="O903" s="2" t="inlineStr">
        <is>
          <t>松散-标准松散</t>
        </is>
      </c>
      <c r="P903" s="2" t="inlineStr">
        <is>
          <t>松散-偏紧松散</t>
        </is>
      </c>
      <c r="Q903" s="2" t="inlineStr">
        <is>
          <t>标准-偏松标准</t>
        </is>
      </c>
      <c r="R903" s="2" t="inlineStr">
        <is>
          <t>标准-核心标准</t>
        </is>
      </c>
      <c r="S903" s="2" t="inlineStr">
        <is>
          <t>标准-偏紧标准</t>
        </is>
      </c>
      <c r="T903" s="2" t="inlineStr">
        <is>
          <t>紧凑-标准紧凑</t>
        </is>
      </c>
      <c r="U903" s="2" t="inlineStr">
        <is>
          <t>紧凑-高度紧凑</t>
        </is>
      </c>
      <c r="V903" s="2" t="inlineStr">
        <is>
          <t>紧凑-极度紧凑</t>
        </is>
      </c>
    </row>
    <row r="904">
      <c r="A904" s="1" t="n">
        <v>2025119</v>
      </c>
      <c r="B904" s="3" t="inlineStr">
        <is>
          <t>703</t>
        </is>
      </c>
      <c r="C904" s="2">
        <f>IF(B904="","",LEFT(TEXT(B904,"000"),1)*1)</f>
        <v/>
      </c>
      <c r="D904" s="2">
        <f>IF(B904="","",MID(TEXT(B904,"000"),2,1)*1)</f>
        <v/>
      </c>
      <c r="E904" s="2">
        <f>IF(B904="","",RIGHT(TEXT(B904,"000"),1)*1)</f>
        <v/>
      </c>
      <c r="F904" s="2">
        <f>IF(B904="","",C904+D904+E904)</f>
        <v/>
      </c>
      <c r="G904" s="2">
        <f>IF(B904="","",MOD(F904,10))</f>
        <v/>
      </c>
      <c r="H904" s="2">
        <f>IF(B904="","",MAX(C904,D904,E904)-MIN(C904,D904,E904))</f>
        <v/>
      </c>
      <c r="I904" s="2">
        <f>IF(OR(B904="",H904=0),IF(H904=0,0.1,""),ROUND(F904/H904,2))</f>
        <v/>
      </c>
      <c r="J904" s="2">
        <f>IF(I904=0.1,"极紧凑",IF(I904&gt;3.5,"紧凑",IF(AND(I904&gt;=2,I904&lt;=3.5),"标准",IF(AND(I904&gt;=1,I904&lt;2),"松散",""))))</f>
        <v/>
      </c>
      <c r="K904" s="2">
        <f>IF(I904=0.1,"极紧凑-豹子号",IF(AND(I904&gt;=1,I904&lt;=1.29),"松散-极松散",IF(AND(I904&gt;=1.33,I904&lt;=1.8),"松散-标准松散",IF(AND(I904&gt;=1.83,I904&lt;=1.89),"松散-偏紧松散",IF(AND(I904&gt;=2,I904&lt;=2.5),"标准-偏松标准",IF(AND(I904&gt;=2.57,I904&lt;=3),"标准-核心标准",IF(AND(I904&gt;=3.17,I904&lt;=3.5),"标准-偏紧标准",IF(AND(I904&gt;=3.6,I904&lt;=5),"紧凑-标准紧凑",IF(AND(I904&gt;=5.25,I904&lt;=8),"紧凑-高度紧凑",IF(I904&gt;=8.5,"紧凑-极度紧凑",""))))))))))</f>
        <v/>
      </c>
      <c r="L904" s="2">
        <f>IF(I904=0.1,"极紧凑",IF(AND(I904&gt;=1,I904&lt;=1.89),"松散",IF(AND(I904&gt;=2,I904&lt;=3.5),"标准",IF(I904&gt;=3.6,"紧凑",""))))</f>
        <v/>
      </c>
      <c r="M904" s="2" t="inlineStr">
        <is>
          <t>极紧凑-豹子号</t>
        </is>
      </c>
      <c r="N904" s="2" t="inlineStr">
        <is>
          <t>松散-极松散</t>
        </is>
      </c>
      <c r="O904" s="2" t="inlineStr">
        <is>
          <t>松散-标准松散</t>
        </is>
      </c>
      <c r="P904" s="2" t="inlineStr">
        <is>
          <t>松散-偏紧松散</t>
        </is>
      </c>
      <c r="Q904" s="2" t="inlineStr">
        <is>
          <t>标准-偏松标准</t>
        </is>
      </c>
      <c r="R904" s="2" t="inlineStr">
        <is>
          <t>标准-核心标准</t>
        </is>
      </c>
      <c r="S904" s="2" t="inlineStr">
        <is>
          <t>标准-偏紧标准</t>
        </is>
      </c>
      <c r="T904" s="2" t="inlineStr">
        <is>
          <t>紧凑-标准紧凑</t>
        </is>
      </c>
      <c r="U904" s="2" t="inlineStr">
        <is>
          <t>紧凑-高度紧凑</t>
        </is>
      </c>
      <c r="V904" s="2" t="inlineStr">
        <is>
          <t>紧凑-极度紧凑</t>
        </is>
      </c>
    </row>
    <row r="905">
      <c r="A905" s="1" t="n">
        <v>2025120</v>
      </c>
      <c r="B905" s="3" t="inlineStr">
        <is>
          <t>401</t>
        </is>
      </c>
      <c r="C905" s="2">
        <f>IF(B905="","",LEFT(TEXT(B905,"000"),1)*1)</f>
        <v/>
      </c>
      <c r="D905" s="2">
        <f>IF(B905="","",MID(TEXT(B905,"000"),2,1)*1)</f>
        <v/>
      </c>
      <c r="E905" s="2">
        <f>IF(B905="","",RIGHT(TEXT(B905,"000"),1)*1)</f>
        <v/>
      </c>
      <c r="F905" s="2">
        <f>IF(B905="","",C905+D905+E905)</f>
        <v/>
      </c>
      <c r="G905" s="2">
        <f>IF(B905="","",MOD(F905,10))</f>
        <v/>
      </c>
      <c r="H905" s="2">
        <f>IF(B905="","",MAX(C905,D905,E905)-MIN(C905,D905,E905))</f>
        <v/>
      </c>
      <c r="I905" s="2">
        <f>IF(OR(B905="",H905=0),IF(H905=0,0.1,""),ROUND(F905/H905,2))</f>
        <v/>
      </c>
      <c r="J905" s="2">
        <f>IF(I905=0.1,"极紧凑",IF(I905&gt;3.5,"紧凑",IF(AND(I905&gt;=2,I905&lt;=3.5),"标准",IF(AND(I905&gt;=1,I905&lt;2),"松散",""))))</f>
        <v/>
      </c>
      <c r="K905" s="2">
        <f>IF(I905=0.1,"极紧凑-豹子号",IF(AND(I905&gt;=1,I905&lt;=1.29),"松散-极松散",IF(AND(I905&gt;=1.33,I905&lt;=1.8),"松散-标准松散",IF(AND(I905&gt;=1.83,I905&lt;=1.89),"松散-偏紧松散",IF(AND(I905&gt;=2,I905&lt;=2.5),"标准-偏松标准",IF(AND(I905&gt;=2.57,I905&lt;=3),"标准-核心标准",IF(AND(I905&gt;=3.17,I905&lt;=3.5),"标准-偏紧标准",IF(AND(I905&gt;=3.6,I905&lt;=5),"紧凑-标准紧凑",IF(AND(I905&gt;=5.25,I905&lt;=8),"紧凑-高度紧凑",IF(I905&gt;=8.5,"紧凑-极度紧凑",""))))))))))</f>
        <v/>
      </c>
      <c r="L905" s="2">
        <f>IF(I905=0.1,"极紧凑",IF(AND(I905&gt;=1,I905&lt;=1.89),"松散",IF(AND(I905&gt;=2,I905&lt;=3.5),"标准",IF(I905&gt;=3.6,"紧凑",""))))</f>
        <v/>
      </c>
      <c r="M905" s="2" t="inlineStr">
        <is>
          <t>极紧凑-豹子号</t>
        </is>
      </c>
      <c r="N905" s="2" t="inlineStr">
        <is>
          <t>松散-极松散</t>
        </is>
      </c>
      <c r="O905" s="2" t="inlineStr">
        <is>
          <t>松散-标准松散</t>
        </is>
      </c>
      <c r="P905" s="2" t="inlineStr">
        <is>
          <t>松散-偏紧松散</t>
        </is>
      </c>
      <c r="Q905" s="2" t="inlineStr">
        <is>
          <t>标准-偏松标准</t>
        </is>
      </c>
      <c r="R905" s="2" t="inlineStr">
        <is>
          <t>标准-核心标准</t>
        </is>
      </c>
      <c r="S905" s="2" t="inlineStr">
        <is>
          <t>标准-偏紧标准</t>
        </is>
      </c>
      <c r="T905" s="2" t="inlineStr">
        <is>
          <t>紧凑-标准紧凑</t>
        </is>
      </c>
      <c r="U905" s="2" t="inlineStr">
        <is>
          <t>紧凑-高度紧凑</t>
        </is>
      </c>
      <c r="V905" s="2" t="inlineStr">
        <is>
          <t>紧凑-极度紧凑</t>
        </is>
      </c>
    </row>
    <row r="906">
      <c r="A906" s="1" t="n">
        <v>2025121</v>
      </c>
      <c r="B906" s="3" t="inlineStr">
        <is>
          <t>424</t>
        </is>
      </c>
      <c r="C906" s="2">
        <f>IF(B906="","",LEFT(TEXT(B906,"000"),1)*1)</f>
        <v/>
      </c>
      <c r="D906" s="2">
        <f>IF(B906="","",MID(TEXT(B906,"000"),2,1)*1)</f>
        <v/>
      </c>
      <c r="E906" s="2">
        <f>IF(B906="","",RIGHT(TEXT(B906,"000"),1)*1)</f>
        <v/>
      </c>
      <c r="F906" s="2">
        <f>IF(B906="","",C906+D906+E906)</f>
        <v/>
      </c>
      <c r="G906" s="2">
        <f>IF(B906="","",MOD(F906,10))</f>
        <v/>
      </c>
      <c r="H906" s="2">
        <f>IF(B906="","",MAX(C906,D906,E906)-MIN(C906,D906,E906))</f>
        <v/>
      </c>
      <c r="I906" s="2">
        <f>IF(OR(B906="",H906=0),IF(H906=0,0.1,""),ROUND(F906/H906,2))</f>
        <v/>
      </c>
      <c r="J906" s="2">
        <f>IF(I906=0.1,"极紧凑",IF(I906&gt;3.5,"紧凑",IF(AND(I906&gt;=2,I906&lt;=3.5),"标准",IF(AND(I906&gt;=1,I906&lt;2),"松散",""))))</f>
        <v/>
      </c>
      <c r="K906" s="2">
        <f>IF(I906=0.1,"极紧凑-豹子号",IF(AND(I906&gt;=1,I906&lt;=1.29),"松散-极松散",IF(AND(I906&gt;=1.33,I906&lt;=1.8),"松散-标准松散",IF(AND(I906&gt;=1.83,I906&lt;=1.89),"松散-偏紧松散",IF(AND(I906&gt;=2,I906&lt;=2.5),"标准-偏松标准",IF(AND(I906&gt;=2.57,I906&lt;=3),"标准-核心标准",IF(AND(I906&gt;=3.17,I906&lt;=3.5),"标准-偏紧标准",IF(AND(I906&gt;=3.6,I906&lt;=5),"紧凑-标准紧凑",IF(AND(I906&gt;=5.25,I906&lt;=8),"紧凑-高度紧凑",IF(I906&gt;=8.5,"紧凑-极度紧凑",""))))))))))</f>
        <v/>
      </c>
      <c r="L906" s="2">
        <f>IF(I906=0.1,"极紧凑",IF(AND(I906&gt;=1,I906&lt;=1.89),"松散",IF(AND(I906&gt;=2,I906&lt;=3.5),"标准",IF(I906&gt;=3.6,"紧凑",""))))</f>
        <v/>
      </c>
      <c r="M906" s="2" t="inlineStr">
        <is>
          <t>极紧凑-豹子号</t>
        </is>
      </c>
      <c r="N906" s="2" t="inlineStr">
        <is>
          <t>松散-极松散</t>
        </is>
      </c>
      <c r="O906" s="2" t="inlineStr">
        <is>
          <t>松散-标准松散</t>
        </is>
      </c>
      <c r="P906" s="2" t="inlineStr">
        <is>
          <t>松散-偏紧松散</t>
        </is>
      </c>
      <c r="Q906" s="2" t="inlineStr">
        <is>
          <t>标准-偏松标准</t>
        </is>
      </c>
      <c r="R906" s="2" t="inlineStr">
        <is>
          <t>标准-核心标准</t>
        </is>
      </c>
      <c r="S906" s="2" t="inlineStr">
        <is>
          <t>标准-偏紧标准</t>
        </is>
      </c>
      <c r="T906" s="2" t="inlineStr">
        <is>
          <t>紧凑-标准紧凑</t>
        </is>
      </c>
      <c r="U906" s="2" t="inlineStr">
        <is>
          <t>紧凑-高度紧凑</t>
        </is>
      </c>
      <c r="V906" s="2" t="inlineStr">
        <is>
          <t>紧凑-极度紧凑</t>
        </is>
      </c>
    </row>
    <row r="907">
      <c r="A907" s="1" t="n">
        <v>2025122</v>
      </c>
      <c r="B907" s="3" t="inlineStr">
        <is>
          <t>030</t>
        </is>
      </c>
      <c r="C907" s="2">
        <f>IF(B907="","",LEFT(TEXT(B907,"000"),1)*1)</f>
        <v/>
      </c>
      <c r="D907" s="2">
        <f>IF(B907="","",MID(TEXT(B907,"000"),2,1)*1)</f>
        <v/>
      </c>
      <c r="E907" s="2">
        <f>IF(B907="","",RIGHT(TEXT(B907,"000"),1)*1)</f>
        <v/>
      </c>
      <c r="F907" s="2">
        <f>IF(B907="","",C907+D907+E907)</f>
        <v/>
      </c>
      <c r="G907" s="2">
        <f>IF(B907="","",MOD(F907,10))</f>
        <v/>
      </c>
      <c r="H907" s="2">
        <f>IF(B907="","",MAX(C907,D907,E907)-MIN(C907,D907,E907))</f>
        <v/>
      </c>
      <c r="I907" s="2">
        <f>IF(OR(B907="",H907=0),IF(H907=0,0.1,""),ROUND(F907/H907,2))</f>
        <v/>
      </c>
      <c r="J907" s="2">
        <f>IF(I907=0.1,"极紧凑",IF(I907&gt;3.5,"紧凑",IF(AND(I907&gt;=2,I907&lt;=3.5),"标准",IF(AND(I907&gt;=1,I907&lt;2),"松散",""))))</f>
        <v/>
      </c>
      <c r="K907" s="2">
        <f>IF(I907=0.1,"极紧凑-豹子号",IF(AND(I907&gt;=1,I907&lt;=1.29),"松散-极松散",IF(AND(I907&gt;=1.33,I907&lt;=1.8),"松散-标准松散",IF(AND(I907&gt;=1.83,I907&lt;=1.89),"松散-偏紧松散",IF(AND(I907&gt;=2,I907&lt;=2.5),"标准-偏松标准",IF(AND(I907&gt;=2.57,I907&lt;=3),"标准-核心标准",IF(AND(I907&gt;=3.17,I907&lt;=3.5),"标准-偏紧标准",IF(AND(I907&gt;=3.6,I907&lt;=5),"紧凑-标准紧凑",IF(AND(I907&gt;=5.25,I907&lt;=8),"紧凑-高度紧凑",IF(I907&gt;=8.5,"紧凑-极度紧凑",""))))))))))</f>
        <v/>
      </c>
      <c r="L907" s="2">
        <f>IF(I907=0.1,"极紧凑",IF(AND(I907&gt;=1,I907&lt;=1.89),"松散",IF(AND(I907&gt;=2,I907&lt;=3.5),"标准",IF(I907&gt;=3.6,"紧凑",""))))</f>
        <v/>
      </c>
      <c r="M907" s="2" t="inlineStr">
        <is>
          <t>极紧凑-豹子号</t>
        </is>
      </c>
      <c r="N907" s="2" t="inlineStr">
        <is>
          <t>松散-极松散</t>
        </is>
      </c>
      <c r="O907" s="2" t="inlineStr">
        <is>
          <t>松散-标准松散</t>
        </is>
      </c>
      <c r="P907" s="2" t="inlineStr">
        <is>
          <t>松散-偏紧松散</t>
        </is>
      </c>
      <c r="Q907" s="2" t="inlineStr">
        <is>
          <t>标准-偏松标准</t>
        </is>
      </c>
      <c r="R907" s="2" t="inlineStr">
        <is>
          <t>标准-核心标准</t>
        </is>
      </c>
      <c r="S907" s="2" t="inlineStr">
        <is>
          <t>标准-偏紧标准</t>
        </is>
      </c>
      <c r="T907" s="2" t="inlineStr">
        <is>
          <t>紧凑-标准紧凑</t>
        </is>
      </c>
      <c r="U907" s="2" t="inlineStr">
        <is>
          <t>紧凑-高度紧凑</t>
        </is>
      </c>
      <c r="V907" s="2" t="inlineStr">
        <is>
          <t>紧凑-极度紧凑</t>
        </is>
      </c>
    </row>
    <row r="908">
      <c r="A908" s="1" t="n">
        <v>2025123</v>
      </c>
      <c r="B908" s="3" t="inlineStr">
        <is>
          <t>842</t>
        </is>
      </c>
      <c r="C908" s="2">
        <f>IF(B908="","",LEFT(TEXT(B908,"000"),1)*1)</f>
        <v/>
      </c>
      <c r="D908" s="2">
        <f>IF(B908="","",MID(TEXT(B908,"000"),2,1)*1)</f>
        <v/>
      </c>
      <c r="E908" s="2">
        <f>IF(B908="","",RIGHT(TEXT(B908,"000"),1)*1)</f>
        <v/>
      </c>
      <c r="F908" s="2">
        <f>IF(B908="","",C908+D908+E908)</f>
        <v/>
      </c>
      <c r="G908" s="2">
        <f>IF(B908="","",MOD(F908,10))</f>
        <v/>
      </c>
      <c r="H908" s="2">
        <f>IF(B908="","",MAX(C908,D908,E908)-MIN(C908,D908,E908))</f>
        <v/>
      </c>
      <c r="I908" s="2">
        <f>IF(OR(B908="",H908=0),IF(H908=0,0.1,""),ROUND(F908/H908,2))</f>
        <v/>
      </c>
      <c r="J908" s="2">
        <f>IF(I908=0.1,"极紧凑",IF(I908&gt;3.5,"紧凑",IF(AND(I908&gt;=2,I908&lt;=3.5),"标准",IF(AND(I908&gt;=1,I908&lt;2),"松散",""))))</f>
        <v/>
      </c>
      <c r="K908" s="2">
        <f>IF(I908=0.1,"极紧凑-豹子号",IF(AND(I908&gt;=1,I908&lt;=1.29),"松散-极松散",IF(AND(I908&gt;=1.33,I908&lt;=1.8),"松散-标准松散",IF(AND(I908&gt;=1.83,I908&lt;=1.89),"松散-偏紧松散",IF(AND(I908&gt;=2,I908&lt;=2.5),"标准-偏松标准",IF(AND(I908&gt;=2.57,I908&lt;=3),"标准-核心标准",IF(AND(I908&gt;=3.17,I908&lt;=3.5),"标准-偏紧标准",IF(AND(I908&gt;=3.6,I908&lt;=5),"紧凑-标准紧凑",IF(AND(I908&gt;=5.25,I908&lt;=8),"紧凑-高度紧凑",IF(I908&gt;=8.5,"紧凑-极度紧凑",""))))))))))</f>
        <v/>
      </c>
      <c r="L908" s="2">
        <f>IF(I908=0.1,"极紧凑",IF(AND(I908&gt;=1,I908&lt;=1.89),"松散",IF(AND(I908&gt;=2,I908&lt;=3.5),"标准",IF(I908&gt;=3.6,"紧凑",""))))</f>
        <v/>
      </c>
      <c r="M908" s="2" t="inlineStr">
        <is>
          <t>极紧凑-豹子号</t>
        </is>
      </c>
      <c r="N908" s="2" t="inlineStr">
        <is>
          <t>松散-极松散</t>
        </is>
      </c>
      <c r="O908" s="2" t="inlineStr">
        <is>
          <t>松散-标准松散</t>
        </is>
      </c>
      <c r="P908" s="2" t="inlineStr">
        <is>
          <t>松散-偏紧松散</t>
        </is>
      </c>
      <c r="Q908" s="2" t="inlineStr">
        <is>
          <t>标准-偏松标准</t>
        </is>
      </c>
      <c r="R908" s="2" t="inlineStr">
        <is>
          <t>标准-核心标准</t>
        </is>
      </c>
      <c r="S908" s="2" t="inlineStr">
        <is>
          <t>标准-偏紧标准</t>
        </is>
      </c>
      <c r="T908" s="2" t="inlineStr">
        <is>
          <t>紧凑-标准紧凑</t>
        </is>
      </c>
      <c r="U908" s="2" t="inlineStr">
        <is>
          <t>紧凑-高度紧凑</t>
        </is>
      </c>
      <c r="V908" s="2" t="inlineStr">
        <is>
          <t>紧凑-极度紧凑</t>
        </is>
      </c>
    </row>
    <row r="909">
      <c r="A909" s="1" t="n">
        <v>2025124</v>
      </c>
      <c r="B909" s="3" t="inlineStr">
        <is>
          <t>527</t>
        </is>
      </c>
      <c r="C909" s="2">
        <f>IF(B909="","",LEFT(TEXT(B909,"000"),1)*1)</f>
        <v/>
      </c>
      <c r="D909" s="2">
        <f>IF(B909="","",MID(TEXT(B909,"000"),2,1)*1)</f>
        <v/>
      </c>
      <c r="E909" s="2">
        <f>IF(B909="","",RIGHT(TEXT(B909,"000"),1)*1)</f>
        <v/>
      </c>
      <c r="F909" s="2">
        <f>IF(B909="","",C909+D909+E909)</f>
        <v/>
      </c>
      <c r="G909" s="2">
        <f>IF(B909="","",MOD(F909,10))</f>
        <v/>
      </c>
      <c r="H909" s="2">
        <f>IF(B909="","",MAX(C909,D909,E909)-MIN(C909,D909,E909))</f>
        <v/>
      </c>
      <c r="I909" s="2">
        <f>IF(OR(B909="",H909=0),IF(H909=0,0.1,""),ROUND(F909/H909,2))</f>
        <v/>
      </c>
      <c r="J909" s="2">
        <f>IF(I909=0.1,"极紧凑",IF(I909&gt;3.5,"紧凑",IF(AND(I909&gt;=2,I909&lt;=3.5),"标准",IF(AND(I909&gt;=1,I909&lt;2),"松散",""))))</f>
        <v/>
      </c>
      <c r="K909" s="2">
        <f>IF(I909=0.1,"极紧凑-豹子号",IF(AND(I909&gt;=1,I909&lt;=1.29),"松散-极松散",IF(AND(I909&gt;=1.33,I909&lt;=1.8),"松散-标准松散",IF(AND(I909&gt;=1.83,I909&lt;=1.89),"松散-偏紧松散",IF(AND(I909&gt;=2,I909&lt;=2.5),"标准-偏松标准",IF(AND(I909&gt;=2.57,I909&lt;=3),"标准-核心标准",IF(AND(I909&gt;=3.17,I909&lt;=3.5),"标准-偏紧标准",IF(AND(I909&gt;=3.6,I909&lt;=5),"紧凑-标准紧凑",IF(AND(I909&gt;=5.25,I909&lt;=8),"紧凑-高度紧凑",IF(I909&gt;=8.5,"紧凑-极度紧凑",""))))))))))</f>
        <v/>
      </c>
      <c r="L909" s="2">
        <f>IF(I909=0.1,"极紧凑",IF(AND(I909&gt;=1,I909&lt;=1.89),"松散",IF(AND(I909&gt;=2,I909&lt;=3.5),"标准",IF(I909&gt;=3.6,"紧凑",""))))</f>
        <v/>
      </c>
      <c r="M909" s="2" t="inlineStr">
        <is>
          <t>极紧凑-豹子号</t>
        </is>
      </c>
      <c r="N909" s="2" t="inlineStr">
        <is>
          <t>松散-极松散</t>
        </is>
      </c>
      <c r="O909" s="2" t="inlineStr">
        <is>
          <t>松散-标准松散</t>
        </is>
      </c>
      <c r="P909" s="2" t="inlineStr">
        <is>
          <t>松散-偏紧松散</t>
        </is>
      </c>
      <c r="Q909" s="2" t="inlineStr">
        <is>
          <t>标准-偏松标准</t>
        </is>
      </c>
      <c r="R909" s="2" t="inlineStr">
        <is>
          <t>标准-核心标准</t>
        </is>
      </c>
      <c r="S909" s="2" t="inlineStr">
        <is>
          <t>标准-偏紧标准</t>
        </is>
      </c>
      <c r="T909" s="2" t="inlineStr">
        <is>
          <t>紧凑-标准紧凑</t>
        </is>
      </c>
      <c r="U909" s="2" t="inlineStr">
        <is>
          <t>紧凑-高度紧凑</t>
        </is>
      </c>
      <c r="V909" s="2" t="inlineStr">
        <is>
          <t>紧凑-极度紧凑</t>
        </is>
      </c>
    </row>
    <row r="910">
      <c r="A910" s="1" t="n">
        <v>2025125</v>
      </c>
      <c r="B910" s="3" t="inlineStr">
        <is>
          <t>627</t>
        </is>
      </c>
      <c r="C910" s="2">
        <f>IF(B910="","",LEFT(TEXT(B910,"000"),1)*1)</f>
        <v/>
      </c>
      <c r="D910" s="2">
        <f>IF(B910="","",MID(TEXT(B910,"000"),2,1)*1)</f>
        <v/>
      </c>
      <c r="E910" s="2">
        <f>IF(B910="","",RIGHT(TEXT(B910,"000"),1)*1)</f>
        <v/>
      </c>
      <c r="F910" s="2">
        <f>IF(B910="","",C910+D910+E910)</f>
        <v/>
      </c>
      <c r="G910" s="2">
        <f>IF(B910="","",MOD(F910,10))</f>
        <v/>
      </c>
      <c r="H910" s="2">
        <f>IF(B910="","",MAX(C910,D910,E910)-MIN(C910,D910,E910))</f>
        <v/>
      </c>
      <c r="I910" s="2">
        <f>IF(OR(B910="",H910=0),IF(H910=0,0.1,""),ROUND(F910/H910,2))</f>
        <v/>
      </c>
      <c r="J910" s="2">
        <f>IF(I910=0.1,"极紧凑",IF(I910&gt;3.5,"紧凑",IF(AND(I910&gt;=2,I910&lt;=3.5),"标准",IF(AND(I910&gt;=1,I910&lt;2),"松散",""))))</f>
        <v/>
      </c>
      <c r="K910" s="2">
        <f>IF(I910=0.1,"极紧凑-豹子号",IF(AND(I910&gt;=1,I910&lt;=1.29),"松散-极松散",IF(AND(I910&gt;=1.33,I910&lt;=1.8),"松散-标准松散",IF(AND(I910&gt;=1.83,I910&lt;=1.89),"松散-偏紧松散",IF(AND(I910&gt;=2,I910&lt;=2.5),"标准-偏松标准",IF(AND(I910&gt;=2.57,I910&lt;=3),"标准-核心标准",IF(AND(I910&gt;=3.17,I910&lt;=3.5),"标准-偏紧标准",IF(AND(I910&gt;=3.6,I910&lt;=5),"紧凑-标准紧凑",IF(AND(I910&gt;=5.25,I910&lt;=8),"紧凑-高度紧凑",IF(I910&gt;=8.5,"紧凑-极度紧凑",""))))))))))</f>
        <v/>
      </c>
      <c r="L910" s="2">
        <f>IF(I910=0.1,"极紧凑",IF(AND(I910&gt;=1,I910&lt;=1.89),"松散",IF(AND(I910&gt;=2,I910&lt;=3.5),"标准",IF(I910&gt;=3.6,"紧凑",""))))</f>
        <v/>
      </c>
      <c r="M910" s="2" t="inlineStr">
        <is>
          <t>极紧凑-豹子号</t>
        </is>
      </c>
      <c r="N910" s="2" t="inlineStr">
        <is>
          <t>松散-极松散</t>
        </is>
      </c>
      <c r="O910" s="2" t="inlineStr">
        <is>
          <t>松散-标准松散</t>
        </is>
      </c>
      <c r="P910" s="2" t="inlineStr">
        <is>
          <t>松散-偏紧松散</t>
        </is>
      </c>
      <c r="Q910" s="2" t="inlineStr">
        <is>
          <t>标准-偏松标准</t>
        </is>
      </c>
      <c r="R910" s="2" t="inlineStr">
        <is>
          <t>标准-核心标准</t>
        </is>
      </c>
      <c r="S910" s="2" t="inlineStr">
        <is>
          <t>标准-偏紧标准</t>
        </is>
      </c>
      <c r="T910" s="2" t="inlineStr">
        <is>
          <t>紧凑-标准紧凑</t>
        </is>
      </c>
      <c r="U910" s="2" t="inlineStr">
        <is>
          <t>紧凑-高度紧凑</t>
        </is>
      </c>
      <c r="V910" s="2" t="inlineStr">
        <is>
          <t>紧凑-极度紧凑</t>
        </is>
      </c>
    </row>
    <row r="911">
      <c r="A911" s="1" t="n">
        <v>2025126</v>
      </c>
      <c r="B911" s="3" t="inlineStr">
        <is>
          <t>184</t>
        </is>
      </c>
      <c r="C911" s="2">
        <f>IF(B911="","",LEFT(TEXT(B911,"000"),1)*1)</f>
        <v/>
      </c>
      <c r="D911" s="2">
        <f>IF(B911="","",MID(TEXT(B911,"000"),2,1)*1)</f>
        <v/>
      </c>
      <c r="E911" s="2">
        <f>IF(B911="","",RIGHT(TEXT(B911,"000"),1)*1)</f>
        <v/>
      </c>
      <c r="F911" s="2">
        <f>IF(B911="","",C911+D911+E911)</f>
        <v/>
      </c>
      <c r="G911" s="2">
        <f>IF(B911="","",MOD(F911,10))</f>
        <v/>
      </c>
      <c r="H911" s="2">
        <f>IF(B911="","",MAX(C911,D911,E911)-MIN(C911,D911,E911))</f>
        <v/>
      </c>
      <c r="I911" s="2">
        <f>IF(OR(B911="",H911=0),IF(H911=0,0.1,""),ROUND(F911/H911,2))</f>
        <v/>
      </c>
      <c r="J911" s="2">
        <f>IF(I911=0.1,"极紧凑",IF(I911&gt;3.5,"紧凑",IF(AND(I911&gt;=2,I911&lt;=3.5),"标准",IF(AND(I911&gt;=1,I911&lt;2),"松散",""))))</f>
        <v/>
      </c>
      <c r="K911" s="2">
        <f>IF(I911=0.1,"极紧凑-豹子号",IF(AND(I911&gt;=1,I911&lt;=1.29),"松散-极松散",IF(AND(I911&gt;=1.33,I911&lt;=1.8),"松散-标准松散",IF(AND(I911&gt;=1.83,I911&lt;=1.89),"松散-偏紧松散",IF(AND(I911&gt;=2,I911&lt;=2.5),"标准-偏松标准",IF(AND(I911&gt;=2.57,I911&lt;=3),"标准-核心标准",IF(AND(I911&gt;=3.17,I911&lt;=3.5),"标准-偏紧标准",IF(AND(I911&gt;=3.6,I911&lt;=5),"紧凑-标准紧凑",IF(AND(I911&gt;=5.25,I911&lt;=8),"紧凑-高度紧凑",IF(I911&gt;=8.5,"紧凑-极度紧凑",""))))))))))</f>
        <v/>
      </c>
      <c r="L911" s="2">
        <f>IF(I911=0.1,"极紧凑",IF(AND(I911&gt;=1,I911&lt;=1.89),"松散",IF(AND(I911&gt;=2,I911&lt;=3.5),"标准",IF(I911&gt;=3.6,"紧凑",""))))</f>
        <v/>
      </c>
      <c r="M911" s="2" t="inlineStr">
        <is>
          <t>极紧凑-豹子号</t>
        </is>
      </c>
      <c r="N911" s="2" t="inlineStr">
        <is>
          <t>松散-极松散</t>
        </is>
      </c>
      <c r="O911" s="2" t="inlineStr">
        <is>
          <t>松散-标准松散</t>
        </is>
      </c>
      <c r="P911" s="2" t="inlineStr">
        <is>
          <t>松散-偏紧松散</t>
        </is>
      </c>
      <c r="Q911" s="2" t="inlineStr">
        <is>
          <t>标准-偏松标准</t>
        </is>
      </c>
      <c r="R911" s="2" t="inlineStr">
        <is>
          <t>标准-核心标准</t>
        </is>
      </c>
      <c r="S911" s="2" t="inlineStr">
        <is>
          <t>标准-偏紧标准</t>
        </is>
      </c>
      <c r="T911" s="2" t="inlineStr">
        <is>
          <t>紧凑-标准紧凑</t>
        </is>
      </c>
      <c r="U911" s="2" t="inlineStr">
        <is>
          <t>紧凑-高度紧凑</t>
        </is>
      </c>
      <c r="V911" s="2" t="inlineStr">
        <is>
          <t>紧凑-极度紧凑</t>
        </is>
      </c>
    </row>
    <row r="912">
      <c r="A912" s="1" t="n">
        <v>2025127</v>
      </c>
      <c r="B912" s="3" t="inlineStr">
        <is>
          <t>492</t>
        </is>
      </c>
      <c r="C912" s="2">
        <f>IF(B912="","",LEFT(TEXT(B912,"000"),1)*1)</f>
        <v/>
      </c>
      <c r="D912" s="2">
        <f>IF(B912="","",MID(TEXT(B912,"000"),2,1)*1)</f>
        <v/>
      </c>
      <c r="E912" s="2">
        <f>IF(B912="","",RIGHT(TEXT(B912,"000"),1)*1)</f>
        <v/>
      </c>
      <c r="F912" s="2">
        <f>IF(B912="","",C912+D912+E912)</f>
        <v/>
      </c>
      <c r="G912" s="2">
        <f>IF(B912="","",MOD(F912,10))</f>
        <v/>
      </c>
      <c r="H912" s="2">
        <f>IF(B912="","",MAX(C912,D912,E912)-MIN(C912,D912,E912))</f>
        <v/>
      </c>
      <c r="I912" s="2">
        <f>IF(OR(B912="",H912=0),IF(H912=0,0.1,""),ROUND(F912/H912,2))</f>
        <v/>
      </c>
      <c r="J912" s="2">
        <f>IF(I912=0.1,"极紧凑",IF(I912&gt;3.5,"紧凑",IF(AND(I912&gt;=2,I912&lt;=3.5),"标准",IF(AND(I912&gt;=1,I912&lt;2),"松散",""))))</f>
        <v/>
      </c>
      <c r="K912" s="2">
        <f>IF(I912=0.1,"极紧凑-豹子号",IF(AND(I912&gt;=1,I912&lt;=1.29),"松散-极松散",IF(AND(I912&gt;=1.33,I912&lt;=1.8),"松散-标准松散",IF(AND(I912&gt;=1.83,I912&lt;=1.89),"松散-偏紧松散",IF(AND(I912&gt;=2,I912&lt;=2.5),"标准-偏松标准",IF(AND(I912&gt;=2.57,I912&lt;=3),"标准-核心标准",IF(AND(I912&gt;=3.17,I912&lt;=3.5),"标准-偏紧标准",IF(AND(I912&gt;=3.6,I912&lt;=5),"紧凑-标准紧凑",IF(AND(I912&gt;=5.25,I912&lt;=8),"紧凑-高度紧凑",IF(I912&gt;=8.5,"紧凑-极度紧凑",""))))))))))</f>
        <v/>
      </c>
      <c r="L912" s="2">
        <f>IF(I912=0.1,"极紧凑",IF(AND(I912&gt;=1,I912&lt;=1.89),"松散",IF(AND(I912&gt;=2,I912&lt;=3.5),"标准",IF(I912&gt;=3.6,"紧凑",""))))</f>
        <v/>
      </c>
      <c r="M912" s="2" t="inlineStr">
        <is>
          <t>极紧凑-豹子号</t>
        </is>
      </c>
      <c r="N912" s="2" t="inlineStr">
        <is>
          <t>松散-极松散</t>
        </is>
      </c>
      <c r="O912" s="2" t="inlineStr">
        <is>
          <t>松散-标准松散</t>
        </is>
      </c>
      <c r="P912" s="2" t="inlineStr">
        <is>
          <t>松散-偏紧松散</t>
        </is>
      </c>
      <c r="Q912" s="2" t="inlineStr">
        <is>
          <t>标准-偏松标准</t>
        </is>
      </c>
      <c r="R912" s="2" t="inlineStr">
        <is>
          <t>标准-核心标准</t>
        </is>
      </c>
      <c r="S912" s="2" t="inlineStr">
        <is>
          <t>标准-偏紧标准</t>
        </is>
      </c>
      <c r="T912" s="2" t="inlineStr">
        <is>
          <t>紧凑-标准紧凑</t>
        </is>
      </c>
      <c r="U912" s="2" t="inlineStr">
        <is>
          <t>紧凑-高度紧凑</t>
        </is>
      </c>
      <c r="V912" s="2" t="inlineStr">
        <is>
          <t>紧凑-极度紧凑</t>
        </is>
      </c>
    </row>
    <row r="913">
      <c r="A913" s="1" t="n">
        <v>2025128</v>
      </c>
      <c r="B913" s="3" t="inlineStr">
        <is>
          <t>870</t>
        </is>
      </c>
      <c r="C913" s="2">
        <f>IF(B913="","",LEFT(TEXT(B913,"000"),1)*1)</f>
        <v/>
      </c>
      <c r="D913" s="2">
        <f>IF(B913="","",MID(TEXT(B913,"000"),2,1)*1)</f>
        <v/>
      </c>
      <c r="E913" s="2">
        <f>IF(B913="","",RIGHT(TEXT(B913,"000"),1)*1)</f>
        <v/>
      </c>
      <c r="F913" s="2">
        <f>IF(B913="","",C913+D913+E913)</f>
        <v/>
      </c>
      <c r="G913" s="2">
        <f>IF(B913="","",MOD(F913,10))</f>
        <v/>
      </c>
      <c r="H913" s="2">
        <f>IF(B913="","",MAX(C913,D913,E913)-MIN(C913,D913,E913))</f>
        <v/>
      </c>
      <c r="I913" s="2">
        <f>IF(OR(B913="",H913=0),IF(H913=0,0.1,""),ROUND(F913/H913,2))</f>
        <v/>
      </c>
      <c r="J913" s="2">
        <f>IF(I913=0.1,"极紧凑",IF(I913&gt;3.5,"紧凑",IF(AND(I913&gt;=2,I913&lt;=3.5),"标准",IF(AND(I913&gt;=1,I913&lt;2),"松散",""))))</f>
        <v/>
      </c>
      <c r="K913" s="2">
        <f>IF(I913=0.1,"极紧凑-豹子号",IF(AND(I913&gt;=1,I913&lt;=1.29),"松散-极松散",IF(AND(I913&gt;=1.33,I913&lt;=1.8),"松散-标准松散",IF(AND(I913&gt;=1.83,I913&lt;=1.89),"松散-偏紧松散",IF(AND(I913&gt;=2,I913&lt;=2.5),"标准-偏松标准",IF(AND(I913&gt;=2.57,I913&lt;=3),"标准-核心标准",IF(AND(I913&gt;=3.17,I913&lt;=3.5),"标准-偏紧标准",IF(AND(I913&gt;=3.6,I913&lt;=5),"紧凑-标准紧凑",IF(AND(I913&gt;=5.25,I913&lt;=8),"紧凑-高度紧凑",IF(I913&gt;=8.5,"紧凑-极度紧凑",""))))))))))</f>
        <v/>
      </c>
      <c r="L913" s="2">
        <f>IF(I913=0.1,"极紧凑",IF(AND(I913&gt;=1,I913&lt;=1.89),"松散",IF(AND(I913&gt;=2,I913&lt;=3.5),"标准",IF(I913&gt;=3.6,"紧凑",""))))</f>
        <v/>
      </c>
      <c r="M913" s="2" t="inlineStr">
        <is>
          <t>极紧凑-豹子号</t>
        </is>
      </c>
      <c r="N913" s="2" t="inlineStr">
        <is>
          <t>松散-极松散</t>
        </is>
      </c>
      <c r="O913" s="2" t="inlineStr">
        <is>
          <t>松散-标准松散</t>
        </is>
      </c>
      <c r="P913" s="2" t="inlineStr">
        <is>
          <t>松散-偏紧松散</t>
        </is>
      </c>
      <c r="Q913" s="2" t="inlineStr">
        <is>
          <t>标准-偏松标准</t>
        </is>
      </c>
      <c r="R913" s="2" t="inlineStr">
        <is>
          <t>标准-核心标准</t>
        </is>
      </c>
      <c r="S913" s="2" t="inlineStr">
        <is>
          <t>标准-偏紧标准</t>
        </is>
      </c>
      <c r="T913" s="2" t="inlineStr">
        <is>
          <t>紧凑-标准紧凑</t>
        </is>
      </c>
      <c r="U913" s="2" t="inlineStr">
        <is>
          <t>紧凑-高度紧凑</t>
        </is>
      </c>
      <c r="V913" s="2" t="inlineStr">
        <is>
          <t>紧凑-极度紧凑</t>
        </is>
      </c>
    </row>
    <row r="914">
      <c r="A914" s="1" t="n">
        <v>2025129</v>
      </c>
      <c r="B914" s="3" t="inlineStr">
        <is>
          <t>189</t>
        </is>
      </c>
      <c r="C914" s="2">
        <f>IF(B914="","",LEFT(TEXT(B914,"000"),1)*1)</f>
        <v/>
      </c>
      <c r="D914" s="2">
        <f>IF(B914="","",MID(TEXT(B914,"000"),2,1)*1)</f>
        <v/>
      </c>
      <c r="E914" s="2">
        <f>IF(B914="","",RIGHT(TEXT(B914,"000"),1)*1)</f>
        <v/>
      </c>
      <c r="F914" s="2">
        <f>IF(B914="","",C914+D914+E914)</f>
        <v/>
      </c>
      <c r="G914" s="2">
        <f>IF(B914="","",MOD(F914,10))</f>
        <v/>
      </c>
      <c r="H914" s="2">
        <f>IF(B914="","",MAX(C914,D914,E914)-MIN(C914,D914,E914))</f>
        <v/>
      </c>
      <c r="I914" s="2">
        <f>IF(OR(B914="",H914=0),IF(H914=0,0.1,""),ROUND(F914/H914,2))</f>
        <v/>
      </c>
      <c r="J914" s="2">
        <f>IF(I914=0.1,"极紧凑",IF(I914&gt;3.5,"紧凑",IF(AND(I914&gt;=2,I914&lt;=3.5),"标准",IF(AND(I914&gt;=1,I914&lt;2),"松散",""))))</f>
        <v/>
      </c>
      <c r="K914" s="2">
        <f>IF(I914=0.1,"极紧凑-豹子号",IF(AND(I914&gt;=1,I914&lt;=1.29),"松散-极松散",IF(AND(I914&gt;=1.33,I914&lt;=1.8),"松散-标准松散",IF(AND(I914&gt;=1.83,I914&lt;=1.89),"松散-偏紧松散",IF(AND(I914&gt;=2,I914&lt;=2.5),"标准-偏松标准",IF(AND(I914&gt;=2.57,I914&lt;=3),"标准-核心标准",IF(AND(I914&gt;=3.17,I914&lt;=3.5),"标准-偏紧标准",IF(AND(I914&gt;=3.6,I914&lt;=5),"紧凑-标准紧凑",IF(AND(I914&gt;=5.25,I914&lt;=8),"紧凑-高度紧凑",IF(I914&gt;=8.5,"紧凑-极度紧凑",""))))))))))</f>
        <v/>
      </c>
      <c r="L914" s="2">
        <f>IF(I914=0.1,"极紧凑",IF(AND(I914&gt;=1,I914&lt;=1.89),"松散",IF(AND(I914&gt;=2,I914&lt;=3.5),"标准",IF(I914&gt;=3.6,"紧凑",""))))</f>
        <v/>
      </c>
      <c r="M914" s="2" t="inlineStr">
        <is>
          <t>极紧凑-豹子号</t>
        </is>
      </c>
      <c r="N914" s="2" t="inlineStr">
        <is>
          <t>松散-极松散</t>
        </is>
      </c>
      <c r="O914" s="2" t="inlineStr">
        <is>
          <t>松散-标准松散</t>
        </is>
      </c>
      <c r="P914" s="2" t="inlineStr">
        <is>
          <t>松散-偏紧松散</t>
        </is>
      </c>
      <c r="Q914" s="2" t="inlineStr">
        <is>
          <t>标准-偏松标准</t>
        </is>
      </c>
      <c r="R914" s="2" t="inlineStr">
        <is>
          <t>标准-核心标准</t>
        </is>
      </c>
      <c r="S914" s="2" t="inlineStr">
        <is>
          <t>标准-偏紧标准</t>
        </is>
      </c>
      <c r="T914" s="2" t="inlineStr">
        <is>
          <t>紧凑-标准紧凑</t>
        </is>
      </c>
      <c r="U914" s="2" t="inlineStr">
        <is>
          <t>紧凑-高度紧凑</t>
        </is>
      </c>
      <c r="V914" s="2" t="inlineStr">
        <is>
          <t>紧凑-极度紧凑</t>
        </is>
      </c>
    </row>
    <row r="915">
      <c r="A915" s="1" t="n">
        <v>2025130</v>
      </c>
      <c r="B915" s="3" t="inlineStr">
        <is>
          <t>068</t>
        </is>
      </c>
      <c r="C915" s="2">
        <f>IF(B915="","",LEFT(TEXT(B915,"000"),1)*1)</f>
        <v/>
      </c>
      <c r="D915" s="2">
        <f>IF(B915="","",MID(TEXT(B915,"000"),2,1)*1)</f>
        <v/>
      </c>
      <c r="E915" s="2">
        <f>IF(B915="","",RIGHT(TEXT(B915,"000"),1)*1)</f>
        <v/>
      </c>
      <c r="F915" s="2">
        <f>IF(B915="","",C915+D915+E915)</f>
        <v/>
      </c>
      <c r="G915" s="2">
        <f>IF(B915="","",MOD(F915,10))</f>
        <v/>
      </c>
      <c r="H915" s="2">
        <f>IF(B915="","",MAX(C915,D915,E915)-MIN(C915,D915,E915))</f>
        <v/>
      </c>
      <c r="I915" s="2">
        <f>IF(OR(B915="",H915=0),IF(H915=0,0.1,""),ROUND(F915/H915,2))</f>
        <v/>
      </c>
      <c r="J915" s="2">
        <f>IF(I915=0.1,"极紧凑",IF(I915&gt;3.5,"紧凑",IF(AND(I915&gt;=2,I915&lt;=3.5),"标准",IF(AND(I915&gt;=1,I915&lt;2),"松散",""))))</f>
        <v/>
      </c>
      <c r="K915" s="2">
        <f>IF(I915=0.1,"极紧凑-豹子号",IF(AND(I915&gt;=1,I915&lt;=1.29),"松散-极松散",IF(AND(I915&gt;=1.33,I915&lt;=1.8),"松散-标准松散",IF(AND(I915&gt;=1.83,I915&lt;=1.89),"松散-偏紧松散",IF(AND(I915&gt;=2,I915&lt;=2.5),"标准-偏松标准",IF(AND(I915&gt;=2.57,I915&lt;=3),"标准-核心标准",IF(AND(I915&gt;=3.17,I915&lt;=3.5),"标准-偏紧标准",IF(AND(I915&gt;=3.6,I915&lt;=5),"紧凑-标准紧凑",IF(AND(I915&gt;=5.25,I915&lt;=8),"紧凑-高度紧凑",IF(I915&gt;=8.5,"紧凑-极度紧凑",""))))))))))</f>
        <v/>
      </c>
      <c r="L915" s="2">
        <f>IF(I915=0.1,"极紧凑",IF(AND(I915&gt;=1,I915&lt;=1.89),"松散",IF(AND(I915&gt;=2,I915&lt;=3.5),"标准",IF(I915&gt;=3.6,"紧凑",""))))</f>
        <v/>
      </c>
      <c r="M915" s="2" t="inlineStr">
        <is>
          <t>极紧凑-豹子号</t>
        </is>
      </c>
      <c r="N915" s="2" t="inlineStr">
        <is>
          <t>松散-极松散</t>
        </is>
      </c>
      <c r="O915" s="2" t="inlineStr">
        <is>
          <t>松散-标准松散</t>
        </is>
      </c>
      <c r="P915" s="2" t="inlineStr">
        <is>
          <t>松散-偏紧松散</t>
        </is>
      </c>
      <c r="Q915" s="2" t="inlineStr">
        <is>
          <t>标准-偏松标准</t>
        </is>
      </c>
      <c r="R915" s="2" t="inlineStr">
        <is>
          <t>标准-核心标准</t>
        </is>
      </c>
      <c r="S915" s="2" t="inlineStr">
        <is>
          <t>标准-偏紧标准</t>
        </is>
      </c>
      <c r="T915" s="2" t="inlineStr">
        <is>
          <t>紧凑-标准紧凑</t>
        </is>
      </c>
      <c r="U915" s="2" t="inlineStr">
        <is>
          <t>紧凑-高度紧凑</t>
        </is>
      </c>
      <c r="V915" s="2" t="inlineStr">
        <is>
          <t>紧凑-极度紧凑</t>
        </is>
      </c>
    </row>
    <row r="916">
      <c r="A916" s="1" t="n">
        <v>2025131</v>
      </c>
      <c r="B916" s="3" t="inlineStr">
        <is>
          <t>367</t>
        </is>
      </c>
      <c r="C916" s="2">
        <f>IF(B916="","",LEFT(TEXT(B916,"000"),1)*1)</f>
        <v/>
      </c>
      <c r="D916" s="2">
        <f>IF(B916="","",MID(TEXT(B916,"000"),2,1)*1)</f>
        <v/>
      </c>
      <c r="E916" s="2">
        <f>IF(B916="","",RIGHT(TEXT(B916,"000"),1)*1)</f>
        <v/>
      </c>
      <c r="F916" s="2">
        <f>IF(B916="","",C916+D916+E916)</f>
        <v/>
      </c>
      <c r="G916" s="2">
        <f>IF(B916="","",MOD(F916,10))</f>
        <v/>
      </c>
      <c r="H916" s="2">
        <f>IF(B916="","",MAX(C916,D916,E916)-MIN(C916,D916,E916))</f>
        <v/>
      </c>
      <c r="I916" s="2">
        <f>IF(OR(B916="",H916=0),IF(H916=0,0.1,""),ROUND(F916/H916,2))</f>
        <v/>
      </c>
      <c r="J916" s="2">
        <f>IF(I916=0.1,"极紧凑",IF(I916&gt;3.5,"紧凑",IF(AND(I916&gt;=2,I916&lt;=3.5),"标准",IF(AND(I916&gt;=1,I916&lt;2),"松散",""))))</f>
        <v/>
      </c>
      <c r="K916" s="2">
        <f>IF(I916=0.1,"极紧凑-豹子号",IF(AND(I916&gt;=1,I916&lt;=1.29),"松散-极松散",IF(AND(I916&gt;=1.33,I916&lt;=1.8),"松散-标准松散",IF(AND(I916&gt;=1.83,I916&lt;=1.89),"松散-偏紧松散",IF(AND(I916&gt;=2,I916&lt;=2.5),"标准-偏松标准",IF(AND(I916&gt;=2.57,I916&lt;=3),"标准-核心标准",IF(AND(I916&gt;=3.17,I916&lt;=3.5),"标准-偏紧标准",IF(AND(I916&gt;=3.6,I916&lt;=5),"紧凑-标准紧凑",IF(AND(I916&gt;=5.25,I916&lt;=8),"紧凑-高度紧凑",IF(I916&gt;=8.5,"紧凑-极度紧凑",""))))))))))</f>
        <v/>
      </c>
      <c r="L916" s="2">
        <f>IF(I916=0.1,"极紧凑",IF(AND(I916&gt;=1,I916&lt;=1.89),"松散",IF(AND(I916&gt;=2,I916&lt;=3.5),"标准",IF(I916&gt;=3.6,"紧凑",""))))</f>
        <v/>
      </c>
      <c r="M916" s="2" t="inlineStr">
        <is>
          <t>极紧凑-豹子号</t>
        </is>
      </c>
      <c r="N916" s="2" t="inlineStr">
        <is>
          <t>松散-极松散</t>
        </is>
      </c>
      <c r="O916" s="2" t="inlineStr">
        <is>
          <t>松散-标准松散</t>
        </is>
      </c>
      <c r="P916" s="2" t="inlineStr">
        <is>
          <t>松散-偏紧松散</t>
        </is>
      </c>
      <c r="Q916" s="2" t="inlineStr">
        <is>
          <t>标准-偏松标准</t>
        </is>
      </c>
      <c r="R916" s="2" t="inlineStr">
        <is>
          <t>标准-核心标准</t>
        </is>
      </c>
      <c r="S916" s="2" t="inlineStr">
        <is>
          <t>标准-偏紧标准</t>
        </is>
      </c>
      <c r="T916" s="2" t="inlineStr">
        <is>
          <t>紧凑-标准紧凑</t>
        </is>
      </c>
      <c r="U916" s="2" t="inlineStr">
        <is>
          <t>紧凑-高度紧凑</t>
        </is>
      </c>
      <c r="V916" s="2" t="inlineStr">
        <is>
          <t>紧凑-极度紧凑</t>
        </is>
      </c>
    </row>
    <row r="917">
      <c r="A917" s="1" t="n">
        <v>2025132</v>
      </c>
      <c r="B917" s="3" t="inlineStr">
        <is>
          <t>275</t>
        </is>
      </c>
      <c r="C917" s="2">
        <f>IF(B917="","",LEFT(TEXT(B917,"000"),1)*1)</f>
        <v/>
      </c>
      <c r="D917" s="2">
        <f>IF(B917="","",MID(TEXT(B917,"000"),2,1)*1)</f>
        <v/>
      </c>
      <c r="E917" s="2">
        <f>IF(B917="","",RIGHT(TEXT(B917,"000"),1)*1)</f>
        <v/>
      </c>
      <c r="F917" s="2">
        <f>IF(B917="","",C917+D917+E917)</f>
        <v/>
      </c>
      <c r="G917" s="2">
        <f>IF(B917="","",MOD(F917,10))</f>
        <v/>
      </c>
      <c r="H917" s="2">
        <f>IF(B917="","",MAX(C917,D917,E917)-MIN(C917,D917,E917))</f>
        <v/>
      </c>
      <c r="I917" s="2">
        <f>IF(OR(B917="",H917=0),IF(H917=0,0.1,""),ROUND(F917/H917,2))</f>
        <v/>
      </c>
      <c r="J917" s="2">
        <f>IF(I917=0.1,"极紧凑",IF(I917&gt;3.5,"紧凑",IF(AND(I917&gt;=2,I917&lt;=3.5),"标准",IF(AND(I917&gt;=1,I917&lt;2),"松散",""))))</f>
        <v/>
      </c>
      <c r="K917" s="2">
        <f>IF(I917=0.1,"极紧凑-豹子号",IF(AND(I917&gt;=1,I917&lt;=1.29),"松散-极松散",IF(AND(I917&gt;=1.33,I917&lt;=1.8),"松散-标准松散",IF(AND(I917&gt;=1.83,I917&lt;=1.89),"松散-偏紧松散",IF(AND(I917&gt;=2,I917&lt;=2.5),"标准-偏松标准",IF(AND(I917&gt;=2.57,I917&lt;=3),"标准-核心标准",IF(AND(I917&gt;=3.17,I917&lt;=3.5),"标准-偏紧标准",IF(AND(I917&gt;=3.6,I917&lt;=5),"紧凑-标准紧凑",IF(AND(I917&gt;=5.25,I917&lt;=8),"紧凑-高度紧凑",IF(I917&gt;=8.5,"紧凑-极度紧凑",""))))))))))</f>
        <v/>
      </c>
      <c r="L917" s="2">
        <f>IF(I917=0.1,"极紧凑",IF(AND(I917&gt;=1,I917&lt;=1.89),"松散",IF(AND(I917&gt;=2,I917&lt;=3.5),"标准",IF(I917&gt;=3.6,"紧凑",""))))</f>
        <v/>
      </c>
      <c r="M917" s="2" t="inlineStr">
        <is>
          <t>极紧凑-豹子号</t>
        </is>
      </c>
      <c r="N917" s="2" t="inlineStr">
        <is>
          <t>松散-极松散</t>
        </is>
      </c>
      <c r="O917" s="2" t="inlineStr">
        <is>
          <t>松散-标准松散</t>
        </is>
      </c>
      <c r="P917" s="2" t="inlineStr">
        <is>
          <t>松散-偏紧松散</t>
        </is>
      </c>
      <c r="Q917" s="2" t="inlineStr">
        <is>
          <t>标准-偏松标准</t>
        </is>
      </c>
      <c r="R917" s="2" t="inlineStr">
        <is>
          <t>标准-核心标准</t>
        </is>
      </c>
      <c r="S917" s="2" t="inlineStr">
        <is>
          <t>标准-偏紧标准</t>
        </is>
      </c>
      <c r="T917" s="2" t="inlineStr">
        <is>
          <t>紧凑-标准紧凑</t>
        </is>
      </c>
      <c r="U917" s="2" t="inlineStr">
        <is>
          <t>紧凑-高度紧凑</t>
        </is>
      </c>
      <c r="V917" s="2" t="inlineStr">
        <is>
          <t>紧凑-极度紧凑</t>
        </is>
      </c>
    </row>
    <row r="918">
      <c r="A918" s="1" t="n">
        <v>2025133</v>
      </c>
      <c r="B918" s="3" t="inlineStr">
        <is>
          <t>866</t>
        </is>
      </c>
      <c r="C918" s="2">
        <f>IF(B918="","",LEFT(TEXT(B918,"000"),1)*1)</f>
        <v/>
      </c>
      <c r="D918" s="2">
        <f>IF(B918="","",MID(TEXT(B918,"000"),2,1)*1)</f>
        <v/>
      </c>
      <c r="E918" s="2">
        <f>IF(B918="","",RIGHT(TEXT(B918,"000"),1)*1)</f>
        <v/>
      </c>
      <c r="F918" s="2">
        <f>IF(B918="","",C918+D918+E918)</f>
        <v/>
      </c>
      <c r="G918" s="2">
        <f>IF(B918="","",MOD(F918,10))</f>
        <v/>
      </c>
      <c r="H918" s="2">
        <f>IF(B918="","",MAX(C918,D918,E918)-MIN(C918,D918,E918))</f>
        <v/>
      </c>
      <c r="I918" s="2">
        <f>IF(OR(B918="",H918=0),IF(H918=0,0.1,""),ROUND(F918/H918,2))</f>
        <v/>
      </c>
      <c r="J918" s="2">
        <f>IF(I918=0.1,"极紧凑",IF(I918&gt;3.5,"紧凑",IF(AND(I918&gt;=2,I918&lt;=3.5),"标准",IF(AND(I918&gt;=1,I918&lt;2),"松散",""))))</f>
        <v/>
      </c>
      <c r="K918" s="2">
        <f>IF(I918=0.1,"极紧凑-豹子号",IF(AND(I918&gt;=1,I918&lt;=1.29),"松散-极松散",IF(AND(I918&gt;=1.33,I918&lt;=1.8),"松散-标准松散",IF(AND(I918&gt;=1.83,I918&lt;=1.89),"松散-偏紧松散",IF(AND(I918&gt;=2,I918&lt;=2.5),"标准-偏松标准",IF(AND(I918&gt;=2.57,I918&lt;=3),"标准-核心标准",IF(AND(I918&gt;=3.17,I918&lt;=3.5),"标准-偏紧标准",IF(AND(I918&gt;=3.6,I918&lt;=5),"紧凑-标准紧凑",IF(AND(I918&gt;=5.25,I918&lt;=8),"紧凑-高度紧凑",IF(I918&gt;=8.5,"紧凑-极度紧凑",""))))))))))</f>
        <v/>
      </c>
      <c r="L918" s="2">
        <f>IF(I918=0.1,"极紧凑",IF(AND(I918&gt;=1,I918&lt;=1.89),"松散",IF(AND(I918&gt;=2,I918&lt;=3.5),"标准",IF(I918&gt;=3.6,"紧凑",""))))</f>
        <v/>
      </c>
      <c r="M918" s="2" t="inlineStr">
        <is>
          <t>极紧凑-豹子号</t>
        </is>
      </c>
      <c r="N918" s="2" t="inlineStr">
        <is>
          <t>松散-极松散</t>
        </is>
      </c>
      <c r="O918" s="2" t="inlineStr">
        <is>
          <t>松散-标准松散</t>
        </is>
      </c>
      <c r="P918" s="2" t="inlineStr">
        <is>
          <t>松散-偏紧松散</t>
        </is>
      </c>
      <c r="Q918" s="2" t="inlineStr">
        <is>
          <t>标准-偏松标准</t>
        </is>
      </c>
      <c r="R918" s="2" t="inlineStr">
        <is>
          <t>标准-核心标准</t>
        </is>
      </c>
      <c r="S918" s="2" t="inlineStr">
        <is>
          <t>标准-偏紧标准</t>
        </is>
      </c>
      <c r="T918" s="2" t="inlineStr">
        <is>
          <t>紧凑-标准紧凑</t>
        </is>
      </c>
      <c r="U918" s="2" t="inlineStr">
        <is>
          <t>紧凑-高度紧凑</t>
        </is>
      </c>
      <c r="V918" s="2" t="inlineStr">
        <is>
          <t>紧凑-极度紧凑</t>
        </is>
      </c>
    </row>
    <row r="919">
      <c r="A919" s="1" t="n">
        <v>2025134</v>
      </c>
      <c r="B919" s="3" t="inlineStr">
        <is>
          <t>510</t>
        </is>
      </c>
      <c r="C919" s="2">
        <f>IF(B919="","",LEFT(TEXT(B919,"000"),1)*1)</f>
        <v/>
      </c>
      <c r="D919" s="2">
        <f>IF(B919="","",MID(TEXT(B919,"000"),2,1)*1)</f>
        <v/>
      </c>
      <c r="E919" s="2">
        <f>IF(B919="","",RIGHT(TEXT(B919,"000"),1)*1)</f>
        <v/>
      </c>
      <c r="F919" s="2">
        <f>IF(B919="","",C919+D919+E919)</f>
        <v/>
      </c>
      <c r="G919" s="2">
        <f>IF(B919="","",MOD(F919,10))</f>
        <v/>
      </c>
      <c r="H919" s="2">
        <f>IF(B919="","",MAX(C919,D919,E919)-MIN(C919,D919,E919))</f>
        <v/>
      </c>
      <c r="I919" s="2">
        <f>IF(OR(B919="",H919=0),IF(H919=0,0.1,""),ROUND(F919/H919,2))</f>
        <v/>
      </c>
      <c r="J919" s="2">
        <f>IF(I919=0.1,"极紧凑",IF(I919&gt;3.5,"紧凑",IF(AND(I919&gt;=2,I919&lt;=3.5),"标准",IF(AND(I919&gt;=1,I919&lt;2),"松散",""))))</f>
        <v/>
      </c>
      <c r="K919" s="2">
        <f>IF(I919=0.1,"极紧凑-豹子号",IF(AND(I919&gt;=1,I919&lt;=1.29),"松散-极松散",IF(AND(I919&gt;=1.33,I919&lt;=1.8),"松散-标准松散",IF(AND(I919&gt;=1.83,I919&lt;=1.89),"松散-偏紧松散",IF(AND(I919&gt;=2,I919&lt;=2.5),"标准-偏松标准",IF(AND(I919&gt;=2.57,I919&lt;=3),"标准-核心标准",IF(AND(I919&gt;=3.17,I919&lt;=3.5),"标准-偏紧标准",IF(AND(I919&gt;=3.6,I919&lt;=5),"紧凑-标准紧凑",IF(AND(I919&gt;=5.25,I919&lt;=8),"紧凑-高度紧凑",IF(I919&gt;=8.5,"紧凑-极度紧凑",""))))))))))</f>
        <v/>
      </c>
      <c r="L919" s="2">
        <f>IF(I919=0.1,"极紧凑",IF(AND(I919&gt;=1,I919&lt;=1.89),"松散",IF(AND(I919&gt;=2,I919&lt;=3.5),"标准",IF(I919&gt;=3.6,"紧凑",""))))</f>
        <v/>
      </c>
      <c r="M919" s="2" t="inlineStr">
        <is>
          <t>极紧凑-豹子号</t>
        </is>
      </c>
      <c r="N919" s="2" t="inlineStr">
        <is>
          <t>松散-极松散</t>
        </is>
      </c>
      <c r="O919" s="2" t="inlineStr">
        <is>
          <t>松散-标准松散</t>
        </is>
      </c>
      <c r="P919" s="2" t="inlineStr">
        <is>
          <t>松散-偏紧松散</t>
        </is>
      </c>
      <c r="Q919" s="2" t="inlineStr">
        <is>
          <t>标准-偏松标准</t>
        </is>
      </c>
      <c r="R919" s="2" t="inlineStr">
        <is>
          <t>标准-核心标准</t>
        </is>
      </c>
      <c r="S919" s="2" t="inlineStr">
        <is>
          <t>标准-偏紧标准</t>
        </is>
      </c>
      <c r="T919" s="2" t="inlineStr">
        <is>
          <t>紧凑-标准紧凑</t>
        </is>
      </c>
      <c r="U919" s="2" t="inlineStr">
        <is>
          <t>紧凑-高度紧凑</t>
        </is>
      </c>
      <c r="V919" s="2" t="inlineStr">
        <is>
          <t>紧凑-极度紧凑</t>
        </is>
      </c>
    </row>
    <row r="920">
      <c r="A920" s="1" t="n">
        <v>2025135</v>
      </c>
      <c r="B920" s="3" t="inlineStr">
        <is>
          <t>816</t>
        </is>
      </c>
      <c r="C920" s="2">
        <f>IF(B920="","",LEFT(TEXT(B920,"000"),1)*1)</f>
        <v/>
      </c>
      <c r="D920" s="2">
        <f>IF(B920="","",MID(TEXT(B920,"000"),2,1)*1)</f>
        <v/>
      </c>
      <c r="E920" s="2">
        <f>IF(B920="","",RIGHT(TEXT(B920,"000"),1)*1)</f>
        <v/>
      </c>
      <c r="F920" s="2">
        <f>IF(B920="","",C920+D920+E920)</f>
        <v/>
      </c>
      <c r="G920" s="2">
        <f>IF(B920="","",MOD(F920,10))</f>
        <v/>
      </c>
      <c r="H920" s="2">
        <f>IF(B920="","",MAX(C920,D920,E920)-MIN(C920,D920,E920))</f>
        <v/>
      </c>
      <c r="I920" s="2">
        <f>IF(OR(B920="",H920=0),IF(H920=0,0.1,""),ROUND(F920/H920,2))</f>
        <v/>
      </c>
      <c r="J920" s="2">
        <f>IF(I920=0.1,"极紧凑",IF(I920&gt;3.5,"紧凑",IF(AND(I920&gt;=2,I920&lt;=3.5),"标准",IF(AND(I920&gt;=1,I920&lt;2),"松散",""))))</f>
        <v/>
      </c>
      <c r="K920" s="2">
        <f>IF(I920=0.1,"极紧凑-豹子号",IF(AND(I920&gt;=1,I920&lt;=1.29),"松散-极松散",IF(AND(I920&gt;=1.33,I920&lt;=1.8),"松散-标准松散",IF(AND(I920&gt;=1.83,I920&lt;=1.89),"松散-偏紧松散",IF(AND(I920&gt;=2,I920&lt;=2.5),"标准-偏松标准",IF(AND(I920&gt;=2.57,I920&lt;=3),"标准-核心标准",IF(AND(I920&gt;=3.17,I920&lt;=3.5),"标准-偏紧标准",IF(AND(I920&gt;=3.6,I920&lt;=5),"紧凑-标准紧凑",IF(AND(I920&gt;=5.25,I920&lt;=8),"紧凑-高度紧凑",IF(I920&gt;=8.5,"紧凑-极度紧凑",""))))))))))</f>
        <v/>
      </c>
      <c r="L920" s="2">
        <f>IF(I920=0.1,"极紧凑",IF(AND(I920&gt;=1,I920&lt;=1.89),"松散",IF(AND(I920&gt;=2,I920&lt;=3.5),"标准",IF(I920&gt;=3.6,"紧凑",""))))</f>
        <v/>
      </c>
      <c r="M920" s="2" t="inlineStr">
        <is>
          <t>极紧凑-豹子号</t>
        </is>
      </c>
      <c r="N920" s="2" t="inlineStr">
        <is>
          <t>松散-极松散</t>
        </is>
      </c>
      <c r="O920" s="2" t="inlineStr">
        <is>
          <t>松散-标准松散</t>
        </is>
      </c>
      <c r="P920" s="2" t="inlineStr">
        <is>
          <t>松散-偏紧松散</t>
        </is>
      </c>
      <c r="Q920" s="2" t="inlineStr">
        <is>
          <t>标准-偏松标准</t>
        </is>
      </c>
      <c r="R920" s="2" t="inlineStr">
        <is>
          <t>标准-核心标准</t>
        </is>
      </c>
      <c r="S920" s="2" t="inlineStr">
        <is>
          <t>标准-偏紧标准</t>
        </is>
      </c>
      <c r="T920" s="2" t="inlineStr">
        <is>
          <t>紧凑-标准紧凑</t>
        </is>
      </c>
      <c r="U920" s="2" t="inlineStr">
        <is>
          <t>紧凑-高度紧凑</t>
        </is>
      </c>
      <c r="V920" s="2" t="inlineStr">
        <is>
          <t>紧凑-极度紧凑</t>
        </is>
      </c>
    </row>
    <row r="921">
      <c r="A921" s="1" t="n">
        <v>2025136</v>
      </c>
      <c r="B921" s="3" t="inlineStr">
        <is>
          <t>324</t>
        </is>
      </c>
      <c r="C921" s="2">
        <f>IF(B921="","",LEFT(TEXT(B921,"000"),1)*1)</f>
        <v/>
      </c>
      <c r="D921" s="2">
        <f>IF(B921="","",MID(TEXT(B921,"000"),2,1)*1)</f>
        <v/>
      </c>
      <c r="E921" s="2">
        <f>IF(B921="","",RIGHT(TEXT(B921,"000"),1)*1)</f>
        <v/>
      </c>
      <c r="F921" s="2">
        <f>IF(B921="","",C921+D921+E921)</f>
        <v/>
      </c>
      <c r="G921" s="2">
        <f>IF(B921="","",MOD(F921,10))</f>
        <v/>
      </c>
      <c r="H921" s="2">
        <f>IF(B921="","",MAX(C921,D921,E921)-MIN(C921,D921,E921))</f>
        <v/>
      </c>
      <c r="I921" s="2">
        <f>IF(OR(B921="",H921=0),IF(H921=0,0.1,""),ROUND(F921/H921,2))</f>
        <v/>
      </c>
      <c r="J921" s="2">
        <f>IF(I921=0.1,"极紧凑",IF(I921&gt;3.5,"紧凑",IF(AND(I921&gt;=2,I921&lt;=3.5),"标准",IF(AND(I921&gt;=1,I921&lt;2),"松散",""))))</f>
        <v/>
      </c>
      <c r="K921" s="2">
        <f>IF(I921=0.1,"极紧凑-豹子号",IF(AND(I921&gt;=1,I921&lt;=1.29),"松散-极松散",IF(AND(I921&gt;=1.33,I921&lt;=1.8),"松散-标准松散",IF(AND(I921&gt;=1.83,I921&lt;=1.89),"松散-偏紧松散",IF(AND(I921&gt;=2,I921&lt;=2.5),"标准-偏松标准",IF(AND(I921&gt;=2.57,I921&lt;=3),"标准-核心标准",IF(AND(I921&gt;=3.17,I921&lt;=3.5),"标准-偏紧标准",IF(AND(I921&gt;=3.6,I921&lt;=5),"紧凑-标准紧凑",IF(AND(I921&gt;=5.25,I921&lt;=8),"紧凑-高度紧凑",IF(I921&gt;=8.5,"紧凑-极度紧凑",""))))))))))</f>
        <v/>
      </c>
      <c r="L921" s="2">
        <f>IF(I921=0.1,"极紧凑",IF(AND(I921&gt;=1,I921&lt;=1.89),"松散",IF(AND(I921&gt;=2,I921&lt;=3.5),"标准",IF(I921&gt;=3.6,"紧凑",""))))</f>
        <v/>
      </c>
      <c r="M921" s="2" t="inlineStr">
        <is>
          <t>极紧凑-豹子号</t>
        </is>
      </c>
      <c r="N921" s="2" t="inlineStr">
        <is>
          <t>松散-极松散</t>
        </is>
      </c>
      <c r="O921" s="2" t="inlineStr">
        <is>
          <t>松散-标准松散</t>
        </is>
      </c>
      <c r="P921" s="2" t="inlineStr">
        <is>
          <t>松散-偏紧松散</t>
        </is>
      </c>
      <c r="Q921" s="2" t="inlineStr">
        <is>
          <t>标准-偏松标准</t>
        </is>
      </c>
      <c r="R921" s="2" t="inlineStr">
        <is>
          <t>标准-核心标准</t>
        </is>
      </c>
      <c r="S921" s="2" t="inlineStr">
        <is>
          <t>标准-偏紧标准</t>
        </is>
      </c>
      <c r="T921" s="2" t="inlineStr">
        <is>
          <t>紧凑-标准紧凑</t>
        </is>
      </c>
      <c r="U921" s="2" t="inlineStr">
        <is>
          <t>紧凑-高度紧凑</t>
        </is>
      </c>
      <c r="V921" s="2" t="inlineStr">
        <is>
          <t>紧凑-极度紧凑</t>
        </is>
      </c>
    </row>
    <row r="922">
      <c r="A922" s="1" t="n">
        <v>2025137</v>
      </c>
      <c r="B922" s="3" t="inlineStr">
        <is>
          <t>721</t>
        </is>
      </c>
      <c r="C922" s="2">
        <f>IF(B922="","",LEFT(TEXT(B922,"000"),1)*1)</f>
        <v/>
      </c>
      <c r="D922" s="2">
        <f>IF(B922="","",MID(TEXT(B922,"000"),2,1)*1)</f>
        <v/>
      </c>
      <c r="E922" s="2">
        <f>IF(B922="","",RIGHT(TEXT(B922,"000"),1)*1)</f>
        <v/>
      </c>
      <c r="F922" s="2">
        <f>IF(B922="","",C922+D922+E922)</f>
        <v/>
      </c>
      <c r="G922" s="2">
        <f>IF(B922="","",MOD(F922,10))</f>
        <v/>
      </c>
      <c r="H922" s="2">
        <f>IF(B922="","",MAX(C922,D922,E922)-MIN(C922,D922,E922))</f>
        <v/>
      </c>
      <c r="I922" s="2">
        <f>IF(OR(B922="",H922=0),IF(H922=0,0.1,""),ROUND(F922/H922,2))</f>
        <v/>
      </c>
      <c r="J922" s="2">
        <f>IF(I922=0.1,"极紧凑",IF(I922&gt;3.5,"紧凑",IF(AND(I922&gt;=2,I922&lt;=3.5),"标准",IF(AND(I922&gt;=1,I922&lt;2),"松散",""))))</f>
        <v/>
      </c>
      <c r="K922" s="2">
        <f>IF(I922=0.1,"极紧凑-豹子号",IF(AND(I922&gt;=1,I922&lt;=1.29),"松散-极松散",IF(AND(I922&gt;=1.33,I922&lt;=1.8),"松散-标准松散",IF(AND(I922&gt;=1.83,I922&lt;=1.89),"松散-偏紧松散",IF(AND(I922&gt;=2,I922&lt;=2.5),"标准-偏松标准",IF(AND(I922&gt;=2.57,I922&lt;=3),"标准-核心标准",IF(AND(I922&gt;=3.17,I922&lt;=3.5),"标准-偏紧标准",IF(AND(I922&gt;=3.6,I922&lt;=5),"紧凑-标准紧凑",IF(AND(I922&gt;=5.25,I922&lt;=8),"紧凑-高度紧凑",IF(I922&gt;=8.5,"紧凑-极度紧凑",""))))))))))</f>
        <v/>
      </c>
      <c r="L922" s="2">
        <f>IF(I922=0.1,"极紧凑",IF(AND(I922&gt;=1,I922&lt;=1.89),"松散",IF(AND(I922&gt;=2,I922&lt;=3.5),"标准",IF(I922&gt;=3.6,"紧凑",""))))</f>
        <v/>
      </c>
      <c r="M922" s="2" t="inlineStr">
        <is>
          <t>极紧凑-豹子号</t>
        </is>
      </c>
      <c r="N922" s="2" t="inlineStr">
        <is>
          <t>松散-极松散</t>
        </is>
      </c>
      <c r="O922" s="2" t="inlineStr">
        <is>
          <t>松散-标准松散</t>
        </is>
      </c>
      <c r="P922" s="2" t="inlineStr">
        <is>
          <t>松散-偏紧松散</t>
        </is>
      </c>
      <c r="Q922" s="2" t="inlineStr">
        <is>
          <t>标准-偏松标准</t>
        </is>
      </c>
      <c r="R922" s="2" t="inlineStr">
        <is>
          <t>标准-核心标准</t>
        </is>
      </c>
      <c r="S922" s="2" t="inlineStr">
        <is>
          <t>标准-偏紧标准</t>
        </is>
      </c>
      <c r="T922" s="2" t="inlineStr">
        <is>
          <t>紧凑-标准紧凑</t>
        </is>
      </c>
      <c r="U922" s="2" t="inlineStr">
        <is>
          <t>紧凑-高度紧凑</t>
        </is>
      </c>
      <c r="V922" s="2" t="inlineStr">
        <is>
          <t>紧凑-极度紧凑</t>
        </is>
      </c>
    </row>
    <row r="923">
      <c r="A923" s="1" t="n">
        <v>2025138</v>
      </c>
      <c r="B923" s="3" t="inlineStr">
        <is>
          <t>895</t>
        </is>
      </c>
      <c r="C923" s="2">
        <f>IF(B923="","",LEFT(TEXT(B923,"000"),1)*1)</f>
        <v/>
      </c>
      <c r="D923" s="2">
        <f>IF(B923="","",MID(TEXT(B923,"000"),2,1)*1)</f>
        <v/>
      </c>
      <c r="E923" s="2">
        <f>IF(B923="","",RIGHT(TEXT(B923,"000"),1)*1)</f>
        <v/>
      </c>
      <c r="F923" s="2">
        <f>IF(B923="","",C923+D923+E923)</f>
        <v/>
      </c>
      <c r="G923" s="2">
        <f>IF(B923="","",MOD(F923,10))</f>
        <v/>
      </c>
      <c r="H923" s="2">
        <f>IF(B923="","",MAX(C923,D923,E923)-MIN(C923,D923,E923))</f>
        <v/>
      </c>
      <c r="I923" s="2">
        <f>IF(OR(B923="",H923=0),IF(H923=0,0.1,""),ROUND(F923/H923,2))</f>
        <v/>
      </c>
      <c r="J923" s="2">
        <f>IF(I923=0.1,"极紧凑",IF(I923&gt;3.5,"紧凑",IF(AND(I923&gt;=2,I923&lt;=3.5),"标准",IF(AND(I923&gt;=1,I923&lt;2),"松散",""))))</f>
        <v/>
      </c>
      <c r="K923" s="2">
        <f>IF(I923=0.1,"极紧凑-豹子号",IF(AND(I923&gt;=1,I923&lt;=1.29),"松散-极松散",IF(AND(I923&gt;=1.33,I923&lt;=1.8),"松散-标准松散",IF(AND(I923&gt;=1.83,I923&lt;=1.89),"松散-偏紧松散",IF(AND(I923&gt;=2,I923&lt;=2.5),"标准-偏松标准",IF(AND(I923&gt;=2.57,I923&lt;=3),"标准-核心标准",IF(AND(I923&gt;=3.17,I923&lt;=3.5),"标准-偏紧标准",IF(AND(I923&gt;=3.6,I923&lt;=5),"紧凑-标准紧凑",IF(AND(I923&gt;=5.25,I923&lt;=8),"紧凑-高度紧凑",IF(I923&gt;=8.5,"紧凑-极度紧凑",""))))))))))</f>
        <v/>
      </c>
      <c r="L923" s="2">
        <f>IF(I923=0.1,"极紧凑",IF(AND(I923&gt;=1,I923&lt;=1.89),"松散",IF(AND(I923&gt;=2,I923&lt;=3.5),"标准",IF(I923&gt;=3.6,"紧凑",""))))</f>
        <v/>
      </c>
      <c r="M923" s="2" t="inlineStr">
        <is>
          <t>极紧凑-豹子号</t>
        </is>
      </c>
      <c r="N923" s="2" t="inlineStr">
        <is>
          <t>松散-极松散</t>
        </is>
      </c>
      <c r="O923" s="2" t="inlineStr">
        <is>
          <t>松散-标准松散</t>
        </is>
      </c>
      <c r="P923" s="2" t="inlineStr">
        <is>
          <t>松散-偏紧松散</t>
        </is>
      </c>
      <c r="Q923" s="2" t="inlineStr">
        <is>
          <t>标准-偏松标准</t>
        </is>
      </c>
      <c r="R923" s="2" t="inlineStr">
        <is>
          <t>标准-核心标准</t>
        </is>
      </c>
      <c r="S923" s="2" t="inlineStr">
        <is>
          <t>标准-偏紧标准</t>
        </is>
      </c>
      <c r="T923" s="2" t="inlineStr">
        <is>
          <t>紧凑-标准紧凑</t>
        </is>
      </c>
      <c r="U923" s="2" t="inlineStr">
        <is>
          <t>紧凑-高度紧凑</t>
        </is>
      </c>
      <c r="V923" s="2" t="inlineStr">
        <is>
          <t>紧凑-极度紧凑</t>
        </is>
      </c>
    </row>
    <row r="924">
      <c r="A924" s="1" t="n">
        <v>2025139</v>
      </c>
      <c r="B924" s="3" t="inlineStr">
        <is>
          <t>155</t>
        </is>
      </c>
      <c r="C924" s="2">
        <f>IF(B924="","",LEFT(TEXT(B924,"000"),1)*1)</f>
        <v/>
      </c>
      <c r="D924" s="2">
        <f>IF(B924="","",MID(TEXT(B924,"000"),2,1)*1)</f>
        <v/>
      </c>
      <c r="E924" s="2">
        <f>IF(B924="","",RIGHT(TEXT(B924,"000"),1)*1)</f>
        <v/>
      </c>
      <c r="F924" s="2">
        <f>IF(B924="","",C924+D924+E924)</f>
        <v/>
      </c>
      <c r="G924" s="2">
        <f>IF(B924="","",MOD(F924,10))</f>
        <v/>
      </c>
      <c r="H924" s="2">
        <f>IF(B924="","",MAX(C924,D924,E924)-MIN(C924,D924,E924))</f>
        <v/>
      </c>
      <c r="I924" s="2">
        <f>IF(OR(B924="",H924=0),IF(H924=0,0.1,""),ROUND(F924/H924,2))</f>
        <v/>
      </c>
      <c r="J924" s="2">
        <f>IF(I924=0.1,"极紧凑",IF(I924&gt;3.5,"紧凑",IF(AND(I924&gt;=2,I924&lt;=3.5),"标准",IF(AND(I924&gt;=1,I924&lt;2),"松散",""))))</f>
        <v/>
      </c>
      <c r="K924" s="2">
        <f>IF(I924=0.1,"极紧凑-豹子号",IF(AND(I924&gt;=1,I924&lt;=1.29),"松散-极松散",IF(AND(I924&gt;=1.33,I924&lt;=1.8),"松散-标准松散",IF(AND(I924&gt;=1.83,I924&lt;=1.89),"松散-偏紧松散",IF(AND(I924&gt;=2,I924&lt;=2.5),"标准-偏松标准",IF(AND(I924&gt;=2.57,I924&lt;=3),"标准-核心标准",IF(AND(I924&gt;=3.17,I924&lt;=3.5),"标准-偏紧标准",IF(AND(I924&gt;=3.6,I924&lt;=5),"紧凑-标准紧凑",IF(AND(I924&gt;=5.25,I924&lt;=8),"紧凑-高度紧凑",IF(I924&gt;=8.5,"紧凑-极度紧凑",""))))))))))</f>
        <v/>
      </c>
      <c r="L924" s="2">
        <f>IF(I924=0.1,"极紧凑",IF(AND(I924&gt;=1,I924&lt;=1.89),"松散",IF(AND(I924&gt;=2,I924&lt;=3.5),"标准",IF(I924&gt;=3.6,"紧凑",""))))</f>
        <v/>
      </c>
      <c r="M924" s="2" t="inlineStr">
        <is>
          <t>极紧凑-豹子号</t>
        </is>
      </c>
      <c r="N924" s="2" t="inlineStr">
        <is>
          <t>松散-极松散</t>
        </is>
      </c>
      <c r="O924" s="2" t="inlineStr">
        <is>
          <t>松散-标准松散</t>
        </is>
      </c>
      <c r="P924" s="2" t="inlineStr">
        <is>
          <t>松散-偏紧松散</t>
        </is>
      </c>
      <c r="Q924" s="2" t="inlineStr">
        <is>
          <t>标准-偏松标准</t>
        </is>
      </c>
      <c r="R924" s="2" t="inlineStr">
        <is>
          <t>标准-核心标准</t>
        </is>
      </c>
      <c r="S924" s="2" t="inlineStr">
        <is>
          <t>标准-偏紧标准</t>
        </is>
      </c>
      <c r="T924" s="2" t="inlineStr">
        <is>
          <t>紧凑-标准紧凑</t>
        </is>
      </c>
      <c r="U924" s="2" t="inlineStr">
        <is>
          <t>紧凑-高度紧凑</t>
        </is>
      </c>
      <c r="V924" s="2" t="inlineStr">
        <is>
          <t>紧凑-极度紧凑</t>
        </is>
      </c>
    </row>
    <row r="925">
      <c r="A925" s="1" t="n">
        <v>2025140</v>
      </c>
      <c r="B925" s="3" t="inlineStr">
        <is>
          <t>267</t>
        </is>
      </c>
      <c r="C925" s="2">
        <f>IF(B925="","",LEFT(TEXT(B925,"000"),1)*1)</f>
        <v/>
      </c>
      <c r="D925" s="2">
        <f>IF(B925="","",MID(TEXT(B925,"000"),2,1)*1)</f>
        <v/>
      </c>
      <c r="E925" s="2">
        <f>IF(B925="","",RIGHT(TEXT(B925,"000"),1)*1)</f>
        <v/>
      </c>
      <c r="F925" s="2">
        <f>IF(B925="","",C925+D925+E925)</f>
        <v/>
      </c>
      <c r="G925" s="2">
        <f>IF(B925="","",MOD(F925,10))</f>
        <v/>
      </c>
      <c r="H925" s="2">
        <f>IF(B925="","",MAX(C925,D925,E925)-MIN(C925,D925,E925))</f>
        <v/>
      </c>
      <c r="I925" s="2">
        <f>IF(OR(B925="",H925=0),IF(H925=0,0.1,""),ROUND(F925/H925,2))</f>
        <v/>
      </c>
      <c r="J925" s="2">
        <f>IF(I925=0.1,"极紧凑",IF(I925&gt;3.5,"紧凑",IF(AND(I925&gt;=2,I925&lt;=3.5),"标准",IF(AND(I925&gt;=1,I925&lt;2),"松散",""))))</f>
        <v/>
      </c>
      <c r="K925" s="2">
        <f>IF(I925=0.1,"极紧凑-豹子号",IF(AND(I925&gt;=1,I925&lt;=1.29),"松散-极松散",IF(AND(I925&gt;=1.33,I925&lt;=1.8),"松散-标准松散",IF(AND(I925&gt;=1.83,I925&lt;=1.89),"松散-偏紧松散",IF(AND(I925&gt;=2,I925&lt;=2.5),"标准-偏松标准",IF(AND(I925&gt;=2.57,I925&lt;=3),"标准-核心标准",IF(AND(I925&gt;=3.17,I925&lt;=3.5),"标准-偏紧标准",IF(AND(I925&gt;=3.6,I925&lt;=5),"紧凑-标准紧凑",IF(AND(I925&gt;=5.25,I925&lt;=8),"紧凑-高度紧凑",IF(I925&gt;=8.5,"紧凑-极度紧凑",""))))))))))</f>
        <v/>
      </c>
      <c r="L925" s="2">
        <f>IF(I925=0.1,"极紧凑",IF(AND(I925&gt;=1,I925&lt;=1.89),"松散",IF(AND(I925&gt;=2,I925&lt;=3.5),"标准",IF(I925&gt;=3.6,"紧凑",""))))</f>
        <v/>
      </c>
      <c r="M925" s="2" t="inlineStr">
        <is>
          <t>极紧凑-豹子号</t>
        </is>
      </c>
      <c r="N925" s="2" t="inlineStr">
        <is>
          <t>松散-极松散</t>
        </is>
      </c>
      <c r="O925" s="2" t="inlineStr">
        <is>
          <t>松散-标准松散</t>
        </is>
      </c>
      <c r="P925" s="2" t="inlineStr">
        <is>
          <t>松散-偏紧松散</t>
        </is>
      </c>
      <c r="Q925" s="2" t="inlineStr">
        <is>
          <t>标准-偏松标准</t>
        </is>
      </c>
      <c r="R925" s="2" t="inlineStr">
        <is>
          <t>标准-核心标准</t>
        </is>
      </c>
      <c r="S925" s="2" t="inlineStr">
        <is>
          <t>标准-偏紧标准</t>
        </is>
      </c>
      <c r="T925" s="2" t="inlineStr">
        <is>
          <t>紧凑-标准紧凑</t>
        </is>
      </c>
      <c r="U925" s="2" t="inlineStr">
        <is>
          <t>紧凑-高度紧凑</t>
        </is>
      </c>
      <c r="V925" s="2" t="inlineStr">
        <is>
          <t>紧凑-极度紧凑</t>
        </is>
      </c>
    </row>
    <row r="926">
      <c r="A926" s="1" t="n">
        <v>2025141</v>
      </c>
      <c r="B926" s="3" t="inlineStr">
        <is>
          <t>475</t>
        </is>
      </c>
      <c r="C926" s="2">
        <f>IF(B926="","",LEFT(TEXT(B926,"000"),1)*1)</f>
        <v/>
      </c>
      <c r="D926" s="2">
        <f>IF(B926="","",MID(TEXT(B926,"000"),2,1)*1)</f>
        <v/>
      </c>
      <c r="E926" s="2">
        <f>IF(B926="","",RIGHT(TEXT(B926,"000"),1)*1)</f>
        <v/>
      </c>
      <c r="F926" s="2">
        <f>IF(B926="","",C926+D926+E926)</f>
        <v/>
      </c>
      <c r="G926" s="2">
        <f>IF(B926="","",MOD(F926,10))</f>
        <v/>
      </c>
      <c r="H926" s="2">
        <f>IF(B926="","",MAX(C926,D926,E926)-MIN(C926,D926,E926))</f>
        <v/>
      </c>
      <c r="I926" s="2">
        <f>IF(OR(B926="",H926=0),IF(H926=0,0.1,""),ROUND(F926/H926,2))</f>
        <v/>
      </c>
      <c r="J926" s="2">
        <f>IF(I926=0.1,"极紧凑",IF(I926&gt;3.5,"紧凑",IF(AND(I926&gt;=2,I926&lt;=3.5),"标准",IF(AND(I926&gt;=1,I926&lt;2),"松散",""))))</f>
        <v/>
      </c>
      <c r="K926" s="2">
        <f>IF(I926=0.1,"极紧凑-豹子号",IF(AND(I926&gt;=1,I926&lt;=1.29),"松散-极松散",IF(AND(I926&gt;=1.33,I926&lt;=1.8),"松散-标准松散",IF(AND(I926&gt;=1.83,I926&lt;=1.89),"松散-偏紧松散",IF(AND(I926&gt;=2,I926&lt;=2.5),"标准-偏松标准",IF(AND(I926&gt;=2.57,I926&lt;=3),"标准-核心标准",IF(AND(I926&gt;=3.17,I926&lt;=3.5),"标准-偏紧标准",IF(AND(I926&gt;=3.6,I926&lt;=5),"紧凑-标准紧凑",IF(AND(I926&gt;=5.25,I926&lt;=8),"紧凑-高度紧凑",IF(I926&gt;=8.5,"紧凑-极度紧凑",""))))))))))</f>
        <v/>
      </c>
      <c r="L926" s="2">
        <f>IF(I926=0.1,"极紧凑",IF(AND(I926&gt;=1,I926&lt;=1.89),"松散",IF(AND(I926&gt;=2,I926&lt;=3.5),"标准",IF(I926&gt;=3.6,"紧凑",""))))</f>
        <v/>
      </c>
      <c r="M926" s="2" t="inlineStr">
        <is>
          <t>极紧凑-豹子号</t>
        </is>
      </c>
      <c r="N926" s="2" t="inlineStr">
        <is>
          <t>松散-极松散</t>
        </is>
      </c>
      <c r="O926" s="2" t="inlineStr">
        <is>
          <t>松散-标准松散</t>
        </is>
      </c>
      <c r="P926" s="2" t="inlineStr">
        <is>
          <t>松散-偏紧松散</t>
        </is>
      </c>
      <c r="Q926" s="2" t="inlineStr">
        <is>
          <t>标准-偏松标准</t>
        </is>
      </c>
      <c r="R926" s="2" t="inlineStr">
        <is>
          <t>标准-核心标准</t>
        </is>
      </c>
      <c r="S926" s="2" t="inlineStr">
        <is>
          <t>标准-偏紧标准</t>
        </is>
      </c>
      <c r="T926" s="2" t="inlineStr">
        <is>
          <t>紧凑-标准紧凑</t>
        </is>
      </c>
      <c r="U926" s="2" t="inlineStr">
        <is>
          <t>紧凑-高度紧凑</t>
        </is>
      </c>
      <c r="V926" s="2" t="inlineStr">
        <is>
          <t>紧凑-极度紧凑</t>
        </is>
      </c>
    </row>
    <row r="927">
      <c r="A927" s="1" t="n">
        <v>2025142</v>
      </c>
      <c r="B927" s="3" t="inlineStr">
        <is>
          <t>343</t>
        </is>
      </c>
      <c r="C927" s="2">
        <f>IF(B927="","",LEFT(TEXT(B927,"000"),1)*1)</f>
        <v/>
      </c>
      <c r="D927" s="2">
        <f>IF(B927="","",MID(TEXT(B927,"000"),2,1)*1)</f>
        <v/>
      </c>
      <c r="E927" s="2">
        <f>IF(B927="","",RIGHT(TEXT(B927,"000"),1)*1)</f>
        <v/>
      </c>
      <c r="F927" s="2">
        <f>IF(B927="","",C927+D927+E927)</f>
        <v/>
      </c>
      <c r="G927" s="2">
        <f>IF(B927="","",MOD(F927,10))</f>
        <v/>
      </c>
      <c r="H927" s="2">
        <f>IF(B927="","",MAX(C927,D927,E927)-MIN(C927,D927,E927))</f>
        <v/>
      </c>
      <c r="I927" s="2">
        <f>IF(OR(B927="",H927=0),IF(H927=0,0.1,""),ROUND(F927/H927,2))</f>
        <v/>
      </c>
      <c r="J927" s="2">
        <f>IF(I927=0.1,"极紧凑",IF(I927&gt;3.5,"紧凑",IF(AND(I927&gt;=2,I927&lt;=3.5),"标准",IF(AND(I927&gt;=1,I927&lt;2),"松散",""))))</f>
        <v/>
      </c>
      <c r="K927" s="2">
        <f>IF(I927=0.1,"极紧凑-豹子号",IF(AND(I927&gt;=1,I927&lt;=1.29),"松散-极松散",IF(AND(I927&gt;=1.33,I927&lt;=1.8),"松散-标准松散",IF(AND(I927&gt;=1.83,I927&lt;=1.89),"松散-偏紧松散",IF(AND(I927&gt;=2,I927&lt;=2.5),"标准-偏松标准",IF(AND(I927&gt;=2.57,I927&lt;=3),"标准-核心标准",IF(AND(I927&gt;=3.17,I927&lt;=3.5),"标准-偏紧标准",IF(AND(I927&gt;=3.6,I927&lt;=5),"紧凑-标准紧凑",IF(AND(I927&gt;=5.25,I927&lt;=8),"紧凑-高度紧凑",IF(I927&gt;=8.5,"紧凑-极度紧凑",""))))))))))</f>
        <v/>
      </c>
      <c r="L927" s="2">
        <f>IF(I927=0.1,"极紧凑",IF(AND(I927&gt;=1,I927&lt;=1.89),"松散",IF(AND(I927&gt;=2,I927&lt;=3.5),"标准",IF(I927&gt;=3.6,"紧凑",""))))</f>
        <v/>
      </c>
      <c r="M927" s="2" t="inlineStr">
        <is>
          <t>极紧凑-豹子号</t>
        </is>
      </c>
      <c r="N927" s="2" t="inlineStr">
        <is>
          <t>松散-极松散</t>
        </is>
      </c>
      <c r="O927" s="2" t="inlineStr">
        <is>
          <t>松散-标准松散</t>
        </is>
      </c>
      <c r="P927" s="2" t="inlineStr">
        <is>
          <t>松散-偏紧松散</t>
        </is>
      </c>
      <c r="Q927" s="2" t="inlineStr">
        <is>
          <t>标准-偏松标准</t>
        </is>
      </c>
      <c r="R927" s="2" t="inlineStr">
        <is>
          <t>标准-核心标准</t>
        </is>
      </c>
      <c r="S927" s="2" t="inlineStr">
        <is>
          <t>标准-偏紧标准</t>
        </is>
      </c>
      <c r="T927" s="2" t="inlineStr">
        <is>
          <t>紧凑-标准紧凑</t>
        </is>
      </c>
      <c r="U927" s="2" t="inlineStr">
        <is>
          <t>紧凑-高度紧凑</t>
        </is>
      </c>
      <c r="V927" s="2" t="inlineStr">
        <is>
          <t>紧凑-极度紧凑</t>
        </is>
      </c>
    </row>
    <row r="928">
      <c r="A928" s="1" t="n">
        <v>2025143</v>
      </c>
      <c r="B928" s="3" t="inlineStr">
        <is>
          <t>944</t>
        </is>
      </c>
      <c r="C928" s="2">
        <f>IF(B928="","",LEFT(TEXT(B928,"000"),1)*1)</f>
        <v/>
      </c>
      <c r="D928" s="2">
        <f>IF(B928="","",MID(TEXT(B928,"000"),2,1)*1)</f>
        <v/>
      </c>
      <c r="E928" s="2">
        <f>IF(B928="","",RIGHT(TEXT(B928,"000"),1)*1)</f>
        <v/>
      </c>
      <c r="F928" s="2">
        <f>IF(B928="","",C928+D928+E928)</f>
        <v/>
      </c>
      <c r="G928" s="2">
        <f>IF(B928="","",MOD(F928,10))</f>
        <v/>
      </c>
      <c r="H928" s="2">
        <f>IF(B928="","",MAX(C928,D928,E928)-MIN(C928,D928,E928))</f>
        <v/>
      </c>
      <c r="I928" s="2">
        <f>IF(OR(B928="",H928=0),IF(H928=0,0.1,""),ROUND(F928/H928,2))</f>
        <v/>
      </c>
      <c r="J928" s="2">
        <f>IF(I928=0.1,"极紧凑",IF(I928&gt;3.5,"紧凑",IF(AND(I928&gt;=2,I928&lt;=3.5),"标准",IF(AND(I928&gt;=1,I928&lt;2),"松散",""))))</f>
        <v/>
      </c>
      <c r="K928" s="2">
        <f>IF(I928=0.1,"极紧凑-豹子号",IF(AND(I928&gt;=1,I928&lt;=1.29),"松散-极松散",IF(AND(I928&gt;=1.33,I928&lt;=1.8),"松散-标准松散",IF(AND(I928&gt;=1.83,I928&lt;=1.89),"松散-偏紧松散",IF(AND(I928&gt;=2,I928&lt;=2.5),"标准-偏松标准",IF(AND(I928&gt;=2.57,I928&lt;=3),"标准-核心标准",IF(AND(I928&gt;=3.17,I928&lt;=3.5),"标准-偏紧标准",IF(AND(I928&gt;=3.6,I928&lt;=5),"紧凑-标准紧凑",IF(AND(I928&gt;=5.25,I928&lt;=8),"紧凑-高度紧凑",IF(I928&gt;=8.5,"紧凑-极度紧凑",""))))))))))</f>
        <v/>
      </c>
      <c r="L928" s="2">
        <f>IF(I928=0.1,"极紧凑",IF(AND(I928&gt;=1,I928&lt;=1.89),"松散",IF(AND(I928&gt;=2,I928&lt;=3.5),"标准",IF(I928&gt;=3.6,"紧凑",""))))</f>
        <v/>
      </c>
      <c r="M928" s="2" t="inlineStr">
        <is>
          <t>极紧凑-豹子号</t>
        </is>
      </c>
      <c r="N928" s="2" t="inlineStr">
        <is>
          <t>松散-极松散</t>
        </is>
      </c>
      <c r="O928" s="2" t="inlineStr">
        <is>
          <t>松散-标准松散</t>
        </is>
      </c>
      <c r="P928" s="2" t="inlineStr">
        <is>
          <t>松散-偏紧松散</t>
        </is>
      </c>
      <c r="Q928" s="2" t="inlineStr">
        <is>
          <t>标准-偏松标准</t>
        </is>
      </c>
      <c r="R928" s="2" t="inlineStr">
        <is>
          <t>标准-核心标准</t>
        </is>
      </c>
      <c r="S928" s="2" t="inlineStr">
        <is>
          <t>标准-偏紧标准</t>
        </is>
      </c>
      <c r="T928" s="2" t="inlineStr">
        <is>
          <t>紧凑-标准紧凑</t>
        </is>
      </c>
      <c r="U928" s="2" t="inlineStr">
        <is>
          <t>紧凑-高度紧凑</t>
        </is>
      </c>
      <c r="V928" s="2" t="inlineStr">
        <is>
          <t>紧凑-极度紧凑</t>
        </is>
      </c>
    </row>
    <row r="929">
      <c r="A929" s="1" t="n">
        <v>2025144</v>
      </c>
      <c r="B929" s="3" t="inlineStr">
        <is>
          <t>389</t>
        </is>
      </c>
      <c r="C929" s="2">
        <f>IF(B929="","",LEFT(TEXT(B929,"000"),1)*1)</f>
        <v/>
      </c>
      <c r="D929" s="2">
        <f>IF(B929="","",MID(TEXT(B929,"000"),2,1)*1)</f>
        <v/>
      </c>
      <c r="E929" s="2">
        <f>IF(B929="","",RIGHT(TEXT(B929,"000"),1)*1)</f>
        <v/>
      </c>
      <c r="F929" s="2">
        <f>IF(B929="","",C929+D929+E929)</f>
        <v/>
      </c>
      <c r="G929" s="2">
        <f>IF(B929="","",MOD(F929,10))</f>
        <v/>
      </c>
      <c r="H929" s="2">
        <f>IF(B929="","",MAX(C929,D929,E929)-MIN(C929,D929,E929))</f>
        <v/>
      </c>
      <c r="I929" s="2">
        <f>IF(OR(B929="",H929=0),IF(H929=0,0.1,""),ROUND(F929/H929,2))</f>
        <v/>
      </c>
      <c r="J929" s="2">
        <f>IF(I929=0.1,"极紧凑",IF(I929&gt;3.5,"紧凑",IF(AND(I929&gt;=2,I929&lt;=3.5),"标准",IF(AND(I929&gt;=1,I929&lt;2),"松散",""))))</f>
        <v/>
      </c>
      <c r="K929" s="2">
        <f>IF(I929=0.1,"极紧凑-豹子号",IF(AND(I929&gt;=1,I929&lt;=1.29),"松散-极松散",IF(AND(I929&gt;=1.33,I929&lt;=1.8),"松散-标准松散",IF(AND(I929&gt;=1.83,I929&lt;=1.89),"松散-偏紧松散",IF(AND(I929&gt;=2,I929&lt;=2.5),"标准-偏松标准",IF(AND(I929&gt;=2.57,I929&lt;=3),"标准-核心标准",IF(AND(I929&gt;=3.17,I929&lt;=3.5),"标准-偏紧标准",IF(AND(I929&gt;=3.6,I929&lt;=5),"紧凑-标准紧凑",IF(AND(I929&gt;=5.25,I929&lt;=8),"紧凑-高度紧凑",IF(I929&gt;=8.5,"紧凑-极度紧凑",""))))))))))</f>
        <v/>
      </c>
      <c r="L929" s="2">
        <f>IF(I929=0.1,"极紧凑",IF(AND(I929&gt;=1,I929&lt;=1.89),"松散",IF(AND(I929&gt;=2,I929&lt;=3.5),"标准",IF(I929&gt;=3.6,"紧凑",""))))</f>
        <v/>
      </c>
      <c r="M929" s="2" t="inlineStr">
        <is>
          <t>极紧凑-豹子号</t>
        </is>
      </c>
      <c r="N929" s="2" t="inlineStr">
        <is>
          <t>松散-极松散</t>
        </is>
      </c>
      <c r="O929" s="2" t="inlineStr">
        <is>
          <t>松散-标准松散</t>
        </is>
      </c>
      <c r="P929" s="2" t="inlineStr">
        <is>
          <t>松散-偏紧松散</t>
        </is>
      </c>
      <c r="Q929" s="2" t="inlineStr">
        <is>
          <t>标准-偏松标准</t>
        </is>
      </c>
      <c r="R929" s="2" t="inlineStr">
        <is>
          <t>标准-核心标准</t>
        </is>
      </c>
      <c r="S929" s="2" t="inlineStr">
        <is>
          <t>标准-偏紧标准</t>
        </is>
      </c>
      <c r="T929" s="2" t="inlineStr">
        <is>
          <t>紧凑-标准紧凑</t>
        </is>
      </c>
      <c r="U929" s="2" t="inlineStr">
        <is>
          <t>紧凑-高度紧凑</t>
        </is>
      </c>
      <c r="V929" s="2" t="inlineStr">
        <is>
          <t>紧凑-极度紧凑</t>
        </is>
      </c>
    </row>
    <row r="930">
      <c r="A930" s="1" t="n">
        <v>2025145</v>
      </c>
      <c r="B930" s="3" t="inlineStr">
        <is>
          <t>471</t>
        </is>
      </c>
      <c r="C930" s="2">
        <f>IF(B930="","",LEFT(TEXT(B930,"000"),1)*1)</f>
        <v/>
      </c>
      <c r="D930" s="2">
        <f>IF(B930="","",MID(TEXT(B930,"000"),2,1)*1)</f>
        <v/>
      </c>
      <c r="E930" s="2">
        <f>IF(B930="","",RIGHT(TEXT(B930,"000"),1)*1)</f>
        <v/>
      </c>
      <c r="F930" s="2">
        <f>IF(B930="","",C930+D930+E930)</f>
        <v/>
      </c>
      <c r="G930" s="2">
        <f>IF(B930="","",MOD(F930,10))</f>
        <v/>
      </c>
      <c r="H930" s="2">
        <f>IF(B930="","",MAX(C930,D930,E930)-MIN(C930,D930,E930))</f>
        <v/>
      </c>
      <c r="I930" s="2">
        <f>IF(OR(B930="",H930=0),IF(H930=0,0.1,""),ROUND(F930/H930,2))</f>
        <v/>
      </c>
      <c r="J930" s="2">
        <f>IF(I930=0.1,"极紧凑",IF(I930&gt;3.5,"紧凑",IF(AND(I930&gt;=2,I930&lt;=3.5),"标准",IF(AND(I930&gt;=1,I930&lt;2),"松散",""))))</f>
        <v/>
      </c>
      <c r="K930" s="2">
        <f>IF(I930=0.1,"极紧凑-豹子号",IF(AND(I930&gt;=1,I930&lt;=1.29),"松散-极松散",IF(AND(I930&gt;=1.33,I930&lt;=1.8),"松散-标准松散",IF(AND(I930&gt;=1.83,I930&lt;=1.89),"松散-偏紧松散",IF(AND(I930&gt;=2,I930&lt;=2.5),"标准-偏松标准",IF(AND(I930&gt;=2.57,I930&lt;=3),"标准-核心标准",IF(AND(I930&gt;=3.17,I930&lt;=3.5),"标准-偏紧标准",IF(AND(I930&gt;=3.6,I930&lt;=5),"紧凑-标准紧凑",IF(AND(I930&gt;=5.25,I930&lt;=8),"紧凑-高度紧凑",IF(I930&gt;=8.5,"紧凑-极度紧凑",""))))))))))</f>
        <v/>
      </c>
      <c r="L930" s="2">
        <f>IF(I930=0.1,"极紧凑",IF(AND(I930&gt;=1,I930&lt;=1.89),"松散",IF(AND(I930&gt;=2,I930&lt;=3.5),"标准",IF(I930&gt;=3.6,"紧凑",""))))</f>
        <v/>
      </c>
      <c r="M930" s="2" t="inlineStr">
        <is>
          <t>极紧凑-豹子号</t>
        </is>
      </c>
      <c r="N930" s="2" t="inlineStr">
        <is>
          <t>松散-极松散</t>
        </is>
      </c>
      <c r="O930" s="2" t="inlineStr">
        <is>
          <t>松散-标准松散</t>
        </is>
      </c>
      <c r="P930" s="2" t="inlineStr">
        <is>
          <t>松散-偏紧松散</t>
        </is>
      </c>
      <c r="Q930" s="2" t="inlineStr">
        <is>
          <t>标准-偏松标准</t>
        </is>
      </c>
      <c r="R930" s="2" t="inlineStr">
        <is>
          <t>标准-核心标准</t>
        </is>
      </c>
      <c r="S930" s="2" t="inlineStr">
        <is>
          <t>标准-偏紧标准</t>
        </is>
      </c>
      <c r="T930" s="2" t="inlineStr">
        <is>
          <t>紧凑-标准紧凑</t>
        </is>
      </c>
      <c r="U930" s="2" t="inlineStr">
        <is>
          <t>紧凑-高度紧凑</t>
        </is>
      </c>
      <c r="V930" s="2" t="inlineStr">
        <is>
          <t>紧凑-极度紧凑</t>
        </is>
      </c>
    </row>
    <row r="931">
      <c r="A931" s="1" t="n">
        <v>2025146</v>
      </c>
      <c r="B931" s="3" t="inlineStr">
        <is>
          <t>822</t>
        </is>
      </c>
      <c r="C931" s="2">
        <f>IF(B931="","",LEFT(TEXT(B931,"000"),1)*1)</f>
        <v/>
      </c>
      <c r="D931" s="2">
        <f>IF(B931="","",MID(TEXT(B931,"000"),2,1)*1)</f>
        <v/>
      </c>
      <c r="E931" s="2">
        <f>IF(B931="","",RIGHT(TEXT(B931,"000"),1)*1)</f>
        <v/>
      </c>
      <c r="F931" s="2">
        <f>IF(B931="","",C931+D931+E931)</f>
        <v/>
      </c>
      <c r="G931" s="2">
        <f>IF(B931="","",MOD(F931,10))</f>
        <v/>
      </c>
      <c r="H931" s="2">
        <f>IF(B931="","",MAX(C931,D931,E931)-MIN(C931,D931,E931))</f>
        <v/>
      </c>
      <c r="I931" s="2">
        <f>IF(OR(B931="",H931=0),IF(H931=0,0.1,""),ROUND(F931/H931,2))</f>
        <v/>
      </c>
      <c r="J931" s="2">
        <f>IF(I931=0.1,"极紧凑",IF(I931&gt;3.5,"紧凑",IF(AND(I931&gt;=2,I931&lt;=3.5),"标准",IF(AND(I931&gt;=1,I931&lt;2),"松散",""))))</f>
        <v/>
      </c>
      <c r="K931" s="2">
        <f>IF(I931=0.1,"极紧凑-豹子号",IF(AND(I931&gt;=1,I931&lt;=1.29),"松散-极松散",IF(AND(I931&gt;=1.33,I931&lt;=1.8),"松散-标准松散",IF(AND(I931&gt;=1.83,I931&lt;=1.89),"松散-偏紧松散",IF(AND(I931&gt;=2,I931&lt;=2.5),"标准-偏松标准",IF(AND(I931&gt;=2.57,I931&lt;=3),"标准-核心标准",IF(AND(I931&gt;=3.17,I931&lt;=3.5),"标准-偏紧标准",IF(AND(I931&gt;=3.6,I931&lt;=5),"紧凑-标准紧凑",IF(AND(I931&gt;=5.25,I931&lt;=8),"紧凑-高度紧凑",IF(I931&gt;=8.5,"紧凑-极度紧凑",""))))))))))</f>
        <v/>
      </c>
      <c r="L931" s="2">
        <f>IF(I931=0.1,"极紧凑",IF(AND(I931&gt;=1,I931&lt;=1.89),"松散",IF(AND(I931&gt;=2,I931&lt;=3.5),"标准",IF(I931&gt;=3.6,"紧凑",""))))</f>
        <v/>
      </c>
      <c r="M931" s="2" t="inlineStr">
        <is>
          <t>极紧凑-豹子号</t>
        </is>
      </c>
      <c r="N931" s="2" t="inlineStr">
        <is>
          <t>松散-极松散</t>
        </is>
      </c>
      <c r="O931" s="2" t="inlineStr">
        <is>
          <t>松散-标准松散</t>
        </is>
      </c>
      <c r="P931" s="2" t="inlineStr">
        <is>
          <t>松散-偏紧松散</t>
        </is>
      </c>
      <c r="Q931" s="2" t="inlineStr">
        <is>
          <t>标准-偏松标准</t>
        </is>
      </c>
      <c r="R931" s="2" t="inlineStr">
        <is>
          <t>标准-核心标准</t>
        </is>
      </c>
      <c r="S931" s="2" t="inlineStr">
        <is>
          <t>标准-偏紧标准</t>
        </is>
      </c>
      <c r="T931" s="2" t="inlineStr">
        <is>
          <t>紧凑-标准紧凑</t>
        </is>
      </c>
      <c r="U931" s="2" t="inlineStr">
        <is>
          <t>紧凑-高度紧凑</t>
        </is>
      </c>
      <c r="V931" s="2" t="inlineStr">
        <is>
          <t>紧凑-极度紧凑</t>
        </is>
      </c>
    </row>
    <row r="932">
      <c r="A932" s="1" t="n">
        <v>2025147</v>
      </c>
      <c r="B932" s="3" t="inlineStr">
        <is>
          <t>023</t>
        </is>
      </c>
      <c r="C932" s="2">
        <f>IF(B932="","",LEFT(TEXT(B932,"000"),1)*1)</f>
        <v/>
      </c>
      <c r="D932" s="2">
        <f>IF(B932="","",MID(TEXT(B932,"000"),2,1)*1)</f>
        <v/>
      </c>
      <c r="E932" s="2">
        <f>IF(B932="","",RIGHT(TEXT(B932,"000"),1)*1)</f>
        <v/>
      </c>
      <c r="F932" s="2">
        <f>IF(B932="","",C932+D932+E932)</f>
        <v/>
      </c>
      <c r="G932" s="2">
        <f>IF(B932="","",MOD(F932,10))</f>
        <v/>
      </c>
      <c r="H932" s="2">
        <f>IF(B932="","",MAX(C932,D932,E932)-MIN(C932,D932,E932))</f>
        <v/>
      </c>
      <c r="I932" s="2">
        <f>IF(OR(B932="",H932=0),IF(H932=0,0.1,""),ROUND(F932/H932,2))</f>
        <v/>
      </c>
      <c r="J932" s="2">
        <f>IF(I932=0.1,"极紧凑",IF(I932&gt;3.5,"紧凑",IF(AND(I932&gt;=2,I932&lt;=3.5),"标准",IF(AND(I932&gt;=1,I932&lt;2),"松散",""))))</f>
        <v/>
      </c>
      <c r="K932" s="2">
        <f>IF(I932=0.1,"极紧凑-豹子号",IF(AND(I932&gt;=1,I932&lt;=1.29),"松散-极松散",IF(AND(I932&gt;=1.33,I932&lt;=1.8),"松散-标准松散",IF(AND(I932&gt;=1.83,I932&lt;=1.89),"松散-偏紧松散",IF(AND(I932&gt;=2,I932&lt;=2.5),"标准-偏松标准",IF(AND(I932&gt;=2.57,I932&lt;=3),"标准-核心标准",IF(AND(I932&gt;=3.17,I932&lt;=3.5),"标准-偏紧标准",IF(AND(I932&gt;=3.6,I932&lt;=5),"紧凑-标准紧凑",IF(AND(I932&gt;=5.25,I932&lt;=8),"紧凑-高度紧凑",IF(I932&gt;=8.5,"紧凑-极度紧凑",""))))))))))</f>
        <v/>
      </c>
      <c r="L932" s="2">
        <f>IF(I932=0.1,"极紧凑",IF(AND(I932&gt;=1,I932&lt;=1.89),"松散",IF(AND(I932&gt;=2,I932&lt;=3.5),"标准",IF(I932&gt;=3.6,"紧凑",""))))</f>
        <v/>
      </c>
      <c r="M932" s="2" t="inlineStr">
        <is>
          <t>极紧凑-豹子号</t>
        </is>
      </c>
      <c r="N932" s="2" t="inlineStr">
        <is>
          <t>松散-极松散</t>
        </is>
      </c>
      <c r="O932" s="2" t="inlineStr">
        <is>
          <t>松散-标准松散</t>
        </is>
      </c>
      <c r="P932" s="2" t="inlineStr">
        <is>
          <t>松散-偏紧松散</t>
        </is>
      </c>
      <c r="Q932" s="2" t="inlineStr">
        <is>
          <t>标准-偏松标准</t>
        </is>
      </c>
      <c r="R932" s="2" t="inlineStr">
        <is>
          <t>标准-核心标准</t>
        </is>
      </c>
      <c r="S932" s="2" t="inlineStr">
        <is>
          <t>标准-偏紧标准</t>
        </is>
      </c>
      <c r="T932" s="2" t="inlineStr">
        <is>
          <t>紧凑-标准紧凑</t>
        </is>
      </c>
      <c r="U932" s="2" t="inlineStr">
        <is>
          <t>紧凑-高度紧凑</t>
        </is>
      </c>
      <c r="V932" s="2" t="inlineStr">
        <is>
          <t>紧凑-极度紧凑</t>
        </is>
      </c>
    </row>
    <row r="933">
      <c r="A933" s="1" t="n">
        <v>2025148</v>
      </c>
      <c r="B933" s="3" t="inlineStr">
        <is>
          <t>557</t>
        </is>
      </c>
      <c r="C933" s="2">
        <f>IF(B933="","",LEFT(TEXT(B933,"000"),1)*1)</f>
        <v/>
      </c>
      <c r="D933" s="2">
        <f>IF(B933="","",MID(TEXT(B933,"000"),2,1)*1)</f>
        <v/>
      </c>
      <c r="E933" s="2">
        <f>IF(B933="","",RIGHT(TEXT(B933,"000"),1)*1)</f>
        <v/>
      </c>
      <c r="F933" s="2">
        <f>IF(B933="","",C933+D933+E933)</f>
        <v/>
      </c>
      <c r="G933" s="2">
        <f>IF(B933="","",MOD(F933,10))</f>
        <v/>
      </c>
      <c r="H933" s="2">
        <f>IF(B933="","",MAX(C933,D933,E933)-MIN(C933,D933,E933))</f>
        <v/>
      </c>
      <c r="I933" s="2">
        <f>IF(OR(B933="",H933=0),IF(H933=0,0.1,""),ROUND(F933/H933,2))</f>
        <v/>
      </c>
      <c r="J933" s="2">
        <f>IF(I933=0.1,"极紧凑",IF(I933&gt;3.5,"紧凑",IF(AND(I933&gt;=2,I933&lt;=3.5),"标准",IF(AND(I933&gt;=1,I933&lt;2),"松散",""))))</f>
        <v/>
      </c>
      <c r="K933" s="2">
        <f>IF(I933=0.1,"极紧凑-豹子号",IF(AND(I933&gt;=1,I933&lt;=1.29),"松散-极松散",IF(AND(I933&gt;=1.33,I933&lt;=1.8),"松散-标准松散",IF(AND(I933&gt;=1.83,I933&lt;=1.89),"松散-偏紧松散",IF(AND(I933&gt;=2,I933&lt;=2.5),"标准-偏松标准",IF(AND(I933&gt;=2.57,I933&lt;=3),"标准-核心标准",IF(AND(I933&gt;=3.17,I933&lt;=3.5),"标准-偏紧标准",IF(AND(I933&gt;=3.6,I933&lt;=5),"紧凑-标准紧凑",IF(AND(I933&gt;=5.25,I933&lt;=8),"紧凑-高度紧凑",IF(I933&gt;=8.5,"紧凑-极度紧凑",""))))))))))</f>
        <v/>
      </c>
      <c r="L933" s="2">
        <f>IF(I933=0.1,"极紧凑",IF(AND(I933&gt;=1,I933&lt;=1.89),"松散",IF(AND(I933&gt;=2,I933&lt;=3.5),"标准",IF(I933&gt;=3.6,"紧凑",""))))</f>
        <v/>
      </c>
      <c r="M933" s="2" t="inlineStr">
        <is>
          <t>极紧凑-豹子号</t>
        </is>
      </c>
      <c r="N933" s="2" t="inlineStr">
        <is>
          <t>松散-极松散</t>
        </is>
      </c>
      <c r="O933" s="2" t="inlineStr">
        <is>
          <t>松散-标准松散</t>
        </is>
      </c>
      <c r="P933" s="2" t="inlineStr">
        <is>
          <t>松散-偏紧松散</t>
        </is>
      </c>
      <c r="Q933" s="2" t="inlineStr">
        <is>
          <t>标准-偏松标准</t>
        </is>
      </c>
      <c r="R933" s="2" t="inlineStr">
        <is>
          <t>标准-核心标准</t>
        </is>
      </c>
      <c r="S933" s="2" t="inlineStr">
        <is>
          <t>标准-偏紧标准</t>
        </is>
      </c>
      <c r="T933" s="2" t="inlineStr">
        <is>
          <t>紧凑-标准紧凑</t>
        </is>
      </c>
      <c r="U933" s="2" t="inlineStr">
        <is>
          <t>紧凑-高度紧凑</t>
        </is>
      </c>
      <c r="V933" s="2" t="inlineStr">
        <is>
          <t>紧凑-极度紧凑</t>
        </is>
      </c>
    </row>
    <row r="934">
      <c r="A934" s="1" t="n">
        <v>2025149</v>
      </c>
      <c r="B934" s="3" t="inlineStr">
        <is>
          <t>772</t>
        </is>
      </c>
      <c r="C934" s="2">
        <f>IF(B934="","",LEFT(TEXT(B934,"000"),1)*1)</f>
        <v/>
      </c>
      <c r="D934" s="2">
        <f>IF(B934="","",MID(TEXT(B934,"000"),2,1)*1)</f>
        <v/>
      </c>
      <c r="E934" s="2">
        <f>IF(B934="","",RIGHT(TEXT(B934,"000"),1)*1)</f>
        <v/>
      </c>
      <c r="F934" s="2">
        <f>IF(B934="","",C934+D934+E934)</f>
        <v/>
      </c>
      <c r="G934" s="2">
        <f>IF(B934="","",MOD(F934,10))</f>
        <v/>
      </c>
      <c r="H934" s="2">
        <f>IF(B934="","",MAX(C934,D934,E934)-MIN(C934,D934,E934))</f>
        <v/>
      </c>
      <c r="I934" s="2">
        <f>IF(OR(B934="",H934=0),IF(H934=0,0.1,""),ROUND(F934/H934,2))</f>
        <v/>
      </c>
      <c r="J934" s="2">
        <f>IF(I934=0.1,"极紧凑",IF(I934&gt;3.5,"紧凑",IF(AND(I934&gt;=2,I934&lt;=3.5),"标准",IF(AND(I934&gt;=1,I934&lt;2),"松散",""))))</f>
        <v/>
      </c>
      <c r="K934" s="2">
        <f>IF(I934=0.1,"极紧凑-豹子号",IF(AND(I934&gt;=1,I934&lt;=1.29),"松散-极松散",IF(AND(I934&gt;=1.33,I934&lt;=1.8),"松散-标准松散",IF(AND(I934&gt;=1.83,I934&lt;=1.89),"松散-偏紧松散",IF(AND(I934&gt;=2,I934&lt;=2.5),"标准-偏松标准",IF(AND(I934&gt;=2.57,I934&lt;=3),"标准-核心标准",IF(AND(I934&gt;=3.17,I934&lt;=3.5),"标准-偏紧标准",IF(AND(I934&gt;=3.6,I934&lt;=5),"紧凑-标准紧凑",IF(AND(I934&gt;=5.25,I934&lt;=8),"紧凑-高度紧凑",IF(I934&gt;=8.5,"紧凑-极度紧凑",""))))))))))</f>
        <v/>
      </c>
      <c r="L934" s="2">
        <f>IF(I934=0.1,"极紧凑",IF(AND(I934&gt;=1,I934&lt;=1.89),"松散",IF(AND(I934&gt;=2,I934&lt;=3.5),"标准",IF(I934&gt;=3.6,"紧凑",""))))</f>
        <v/>
      </c>
      <c r="M934" s="2" t="inlineStr">
        <is>
          <t>极紧凑-豹子号</t>
        </is>
      </c>
      <c r="N934" s="2" t="inlineStr">
        <is>
          <t>松散-极松散</t>
        </is>
      </c>
      <c r="O934" s="2" t="inlineStr">
        <is>
          <t>松散-标准松散</t>
        </is>
      </c>
      <c r="P934" s="2" t="inlineStr">
        <is>
          <t>松散-偏紧松散</t>
        </is>
      </c>
      <c r="Q934" s="2" t="inlineStr">
        <is>
          <t>标准-偏松标准</t>
        </is>
      </c>
      <c r="R934" s="2" t="inlineStr">
        <is>
          <t>标准-核心标准</t>
        </is>
      </c>
      <c r="S934" s="2" t="inlineStr">
        <is>
          <t>标准-偏紧标准</t>
        </is>
      </c>
      <c r="T934" s="2" t="inlineStr">
        <is>
          <t>紧凑-标准紧凑</t>
        </is>
      </c>
      <c r="U934" s="2" t="inlineStr">
        <is>
          <t>紧凑-高度紧凑</t>
        </is>
      </c>
      <c r="V934" s="2" t="inlineStr">
        <is>
          <t>紧凑-极度紧凑</t>
        </is>
      </c>
    </row>
    <row r="935">
      <c r="A935" s="1" t="n">
        <v>2025150</v>
      </c>
      <c r="B935" s="3" t="inlineStr">
        <is>
          <t>212</t>
        </is>
      </c>
      <c r="C935" s="2">
        <f>IF(B935="","",LEFT(TEXT(B935,"000"),1)*1)</f>
        <v/>
      </c>
      <c r="D935" s="2">
        <f>IF(B935="","",MID(TEXT(B935,"000"),2,1)*1)</f>
        <v/>
      </c>
      <c r="E935" s="2">
        <f>IF(B935="","",RIGHT(TEXT(B935,"000"),1)*1)</f>
        <v/>
      </c>
      <c r="F935" s="2">
        <f>IF(B935="","",C935+D935+E935)</f>
        <v/>
      </c>
      <c r="G935" s="2">
        <f>IF(B935="","",MOD(F935,10))</f>
        <v/>
      </c>
      <c r="H935" s="2">
        <f>IF(B935="","",MAX(C935,D935,E935)-MIN(C935,D935,E935))</f>
        <v/>
      </c>
      <c r="I935" s="2">
        <f>IF(OR(B935="",H935=0),IF(H935=0,0.1,""),ROUND(F935/H935,2))</f>
        <v/>
      </c>
      <c r="J935" s="2">
        <f>IF(I935=0.1,"极紧凑",IF(I935&gt;3.5,"紧凑",IF(AND(I935&gt;=2,I935&lt;=3.5),"标准",IF(AND(I935&gt;=1,I935&lt;2),"松散",""))))</f>
        <v/>
      </c>
      <c r="K935" s="2">
        <f>IF(I935=0.1,"极紧凑-豹子号",IF(AND(I935&gt;=1,I935&lt;=1.29),"松散-极松散",IF(AND(I935&gt;=1.33,I935&lt;=1.8),"松散-标准松散",IF(AND(I935&gt;=1.83,I935&lt;=1.89),"松散-偏紧松散",IF(AND(I935&gt;=2,I935&lt;=2.5),"标准-偏松标准",IF(AND(I935&gt;=2.57,I935&lt;=3),"标准-核心标准",IF(AND(I935&gt;=3.17,I935&lt;=3.5),"标准-偏紧标准",IF(AND(I935&gt;=3.6,I935&lt;=5),"紧凑-标准紧凑",IF(AND(I935&gt;=5.25,I935&lt;=8),"紧凑-高度紧凑",IF(I935&gt;=8.5,"紧凑-极度紧凑",""))))))))))</f>
        <v/>
      </c>
      <c r="L935" s="2">
        <f>IF(I935=0.1,"极紧凑",IF(AND(I935&gt;=1,I935&lt;=1.89),"松散",IF(AND(I935&gt;=2,I935&lt;=3.5),"标准",IF(I935&gt;=3.6,"紧凑",""))))</f>
        <v/>
      </c>
      <c r="M935" s="2" t="inlineStr">
        <is>
          <t>极紧凑-豹子号</t>
        </is>
      </c>
      <c r="N935" s="2" t="inlineStr">
        <is>
          <t>松散-极松散</t>
        </is>
      </c>
      <c r="O935" s="2" t="inlineStr">
        <is>
          <t>松散-标准松散</t>
        </is>
      </c>
      <c r="P935" s="2" t="inlineStr">
        <is>
          <t>松散-偏紧松散</t>
        </is>
      </c>
      <c r="Q935" s="2" t="inlineStr">
        <is>
          <t>标准-偏松标准</t>
        </is>
      </c>
      <c r="R935" s="2" t="inlineStr">
        <is>
          <t>标准-核心标准</t>
        </is>
      </c>
      <c r="S935" s="2" t="inlineStr">
        <is>
          <t>标准-偏紧标准</t>
        </is>
      </c>
      <c r="T935" s="2" t="inlineStr">
        <is>
          <t>紧凑-标准紧凑</t>
        </is>
      </c>
      <c r="U935" s="2" t="inlineStr">
        <is>
          <t>紧凑-高度紧凑</t>
        </is>
      </c>
      <c r="V935" s="2" t="inlineStr">
        <is>
          <t>紧凑-极度紧凑</t>
        </is>
      </c>
    </row>
    <row r="936">
      <c r="A936" s="1" t="n">
        <v>2025151</v>
      </c>
      <c r="B936" s="3" t="inlineStr">
        <is>
          <t>686</t>
        </is>
      </c>
      <c r="C936" s="2">
        <f>IF(B936="","",LEFT(TEXT(B936,"000"),1)*1)</f>
        <v/>
      </c>
      <c r="D936" s="2">
        <f>IF(B936="","",MID(TEXT(B936,"000"),2,1)*1)</f>
        <v/>
      </c>
      <c r="E936" s="2">
        <f>IF(B936="","",RIGHT(TEXT(B936,"000"),1)*1)</f>
        <v/>
      </c>
      <c r="F936" s="2">
        <f>IF(B936="","",C936+D936+E936)</f>
        <v/>
      </c>
      <c r="G936" s="2">
        <f>IF(B936="","",MOD(F936,10))</f>
        <v/>
      </c>
      <c r="H936" s="2">
        <f>IF(B936="","",MAX(C936,D936,E936)-MIN(C936,D936,E936))</f>
        <v/>
      </c>
      <c r="I936" s="2">
        <f>IF(OR(B936="",H936=0),IF(H936=0,0.1,""),ROUND(F936/H936,2))</f>
        <v/>
      </c>
      <c r="J936" s="2">
        <f>IF(I936=0.1,"极紧凑",IF(I936&gt;3.5,"紧凑",IF(AND(I936&gt;=2,I936&lt;=3.5),"标准",IF(AND(I936&gt;=1,I936&lt;2),"松散",""))))</f>
        <v/>
      </c>
      <c r="K936" s="2">
        <f>IF(I936=0.1,"极紧凑-豹子号",IF(AND(I936&gt;=1,I936&lt;=1.29),"松散-极松散",IF(AND(I936&gt;=1.33,I936&lt;=1.8),"松散-标准松散",IF(AND(I936&gt;=1.83,I936&lt;=1.89),"松散-偏紧松散",IF(AND(I936&gt;=2,I936&lt;=2.5),"标准-偏松标准",IF(AND(I936&gt;=2.57,I936&lt;=3),"标准-核心标准",IF(AND(I936&gt;=3.17,I936&lt;=3.5),"标准-偏紧标准",IF(AND(I936&gt;=3.6,I936&lt;=5),"紧凑-标准紧凑",IF(AND(I936&gt;=5.25,I936&lt;=8),"紧凑-高度紧凑",IF(I936&gt;=8.5,"紧凑-极度紧凑",""))))))))))</f>
        <v/>
      </c>
      <c r="L936" s="2">
        <f>IF(I936=0.1,"极紧凑",IF(AND(I936&gt;=1,I936&lt;=1.89),"松散",IF(AND(I936&gt;=2,I936&lt;=3.5),"标准",IF(I936&gt;=3.6,"紧凑",""))))</f>
        <v/>
      </c>
      <c r="M936" s="2" t="inlineStr">
        <is>
          <t>极紧凑-豹子号</t>
        </is>
      </c>
      <c r="N936" s="2" t="inlineStr">
        <is>
          <t>松散-极松散</t>
        </is>
      </c>
      <c r="O936" s="2" t="inlineStr">
        <is>
          <t>松散-标准松散</t>
        </is>
      </c>
      <c r="P936" s="2" t="inlineStr">
        <is>
          <t>松散-偏紧松散</t>
        </is>
      </c>
      <c r="Q936" s="2" t="inlineStr">
        <is>
          <t>标准-偏松标准</t>
        </is>
      </c>
      <c r="R936" s="2" t="inlineStr">
        <is>
          <t>标准-核心标准</t>
        </is>
      </c>
      <c r="S936" s="2" t="inlineStr">
        <is>
          <t>标准-偏紧标准</t>
        </is>
      </c>
      <c r="T936" s="2" t="inlineStr">
        <is>
          <t>紧凑-标准紧凑</t>
        </is>
      </c>
      <c r="U936" s="2" t="inlineStr">
        <is>
          <t>紧凑-高度紧凑</t>
        </is>
      </c>
      <c r="V936" s="2" t="inlineStr">
        <is>
          <t>紧凑-极度紧凑</t>
        </is>
      </c>
    </row>
    <row r="937">
      <c r="A937" s="1" t="n">
        <v>2025152</v>
      </c>
      <c r="B937" s="3" t="inlineStr">
        <is>
          <t>747</t>
        </is>
      </c>
      <c r="C937" s="2">
        <f>IF(B937="","",LEFT(TEXT(B937,"000"),1)*1)</f>
        <v/>
      </c>
      <c r="D937" s="2">
        <f>IF(B937="","",MID(TEXT(B937,"000"),2,1)*1)</f>
        <v/>
      </c>
      <c r="E937" s="2">
        <f>IF(B937="","",RIGHT(TEXT(B937,"000"),1)*1)</f>
        <v/>
      </c>
      <c r="F937" s="2">
        <f>IF(B937="","",C937+D937+E937)</f>
        <v/>
      </c>
      <c r="G937" s="2">
        <f>IF(B937="","",MOD(F937,10))</f>
        <v/>
      </c>
      <c r="H937" s="2">
        <f>IF(B937="","",MAX(C937,D937,E937)-MIN(C937,D937,E937))</f>
        <v/>
      </c>
      <c r="I937" s="2">
        <f>IF(OR(B937="",H937=0),IF(H937=0,0.1,""),ROUND(F937/H937,2))</f>
        <v/>
      </c>
      <c r="J937" s="2">
        <f>IF(I937=0.1,"极紧凑",IF(I937&gt;3.5,"紧凑",IF(AND(I937&gt;=2,I937&lt;=3.5),"标准",IF(AND(I937&gt;=1,I937&lt;2),"松散",""))))</f>
        <v/>
      </c>
      <c r="K937" s="2">
        <f>IF(I937=0.1,"极紧凑-豹子号",IF(AND(I937&gt;=1,I937&lt;=1.29),"松散-极松散",IF(AND(I937&gt;=1.33,I937&lt;=1.8),"松散-标准松散",IF(AND(I937&gt;=1.83,I937&lt;=1.89),"松散-偏紧松散",IF(AND(I937&gt;=2,I937&lt;=2.5),"标准-偏松标准",IF(AND(I937&gt;=2.57,I937&lt;=3),"标准-核心标准",IF(AND(I937&gt;=3.17,I937&lt;=3.5),"标准-偏紧标准",IF(AND(I937&gt;=3.6,I937&lt;=5),"紧凑-标准紧凑",IF(AND(I937&gt;=5.25,I937&lt;=8),"紧凑-高度紧凑",IF(I937&gt;=8.5,"紧凑-极度紧凑",""))))))))))</f>
        <v/>
      </c>
      <c r="L937" s="2">
        <f>IF(I937=0.1,"极紧凑",IF(AND(I937&gt;=1,I937&lt;=1.89),"松散",IF(AND(I937&gt;=2,I937&lt;=3.5),"标准",IF(I937&gt;=3.6,"紧凑",""))))</f>
        <v/>
      </c>
      <c r="M937" s="2" t="inlineStr">
        <is>
          <t>极紧凑-豹子号</t>
        </is>
      </c>
      <c r="N937" s="2" t="inlineStr">
        <is>
          <t>松散-极松散</t>
        </is>
      </c>
      <c r="O937" s="2" t="inlineStr">
        <is>
          <t>松散-标准松散</t>
        </is>
      </c>
      <c r="P937" s="2" t="inlineStr">
        <is>
          <t>松散-偏紧松散</t>
        </is>
      </c>
      <c r="Q937" s="2" t="inlineStr">
        <is>
          <t>标准-偏松标准</t>
        </is>
      </c>
      <c r="R937" s="2" t="inlineStr">
        <is>
          <t>标准-核心标准</t>
        </is>
      </c>
      <c r="S937" s="2" t="inlineStr">
        <is>
          <t>标准-偏紧标准</t>
        </is>
      </c>
      <c r="T937" s="2" t="inlineStr">
        <is>
          <t>紧凑-标准紧凑</t>
        </is>
      </c>
      <c r="U937" s="2" t="inlineStr">
        <is>
          <t>紧凑-高度紧凑</t>
        </is>
      </c>
      <c r="V937" s="2" t="inlineStr">
        <is>
          <t>紧凑-极度紧凑</t>
        </is>
      </c>
    </row>
    <row r="938">
      <c r="A938" s="1" t="n">
        <v>2025153</v>
      </c>
      <c r="B938" s="3" t="inlineStr">
        <is>
          <t>894</t>
        </is>
      </c>
      <c r="C938" s="2">
        <f>IF(B938="","",LEFT(TEXT(B938,"000"),1)*1)</f>
        <v/>
      </c>
      <c r="D938" s="2">
        <f>IF(B938="","",MID(TEXT(B938,"000"),2,1)*1)</f>
        <v/>
      </c>
      <c r="E938" s="2">
        <f>IF(B938="","",RIGHT(TEXT(B938,"000"),1)*1)</f>
        <v/>
      </c>
      <c r="F938" s="2">
        <f>IF(B938="","",C938+D938+E938)</f>
        <v/>
      </c>
      <c r="G938" s="2">
        <f>IF(B938="","",MOD(F938,10))</f>
        <v/>
      </c>
      <c r="H938" s="2">
        <f>IF(B938="","",MAX(C938,D938,E938)-MIN(C938,D938,E938))</f>
        <v/>
      </c>
      <c r="I938" s="2">
        <f>IF(OR(B938="",H938=0),IF(H938=0,0.1,""),ROUND(F938/H938,2))</f>
        <v/>
      </c>
      <c r="J938" s="2">
        <f>IF(I938=0.1,"极紧凑",IF(I938&gt;3.5,"紧凑",IF(AND(I938&gt;=2,I938&lt;=3.5),"标准",IF(AND(I938&gt;=1,I938&lt;2),"松散",""))))</f>
        <v/>
      </c>
      <c r="K938" s="2">
        <f>IF(I938=0.1,"极紧凑-豹子号",IF(AND(I938&gt;=1,I938&lt;=1.29),"松散-极松散",IF(AND(I938&gt;=1.33,I938&lt;=1.8),"松散-标准松散",IF(AND(I938&gt;=1.83,I938&lt;=1.89),"松散-偏紧松散",IF(AND(I938&gt;=2,I938&lt;=2.5),"标准-偏松标准",IF(AND(I938&gt;=2.57,I938&lt;=3),"标准-核心标准",IF(AND(I938&gt;=3.17,I938&lt;=3.5),"标准-偏紧标准",IF(AND(I938&gt;=3.6,I938&lt;=5),"紧凑-标准紧凑",IF(AND(I938&gt;=5.25,I938&lt;=8),"紧凑-高度紧凑",IF(I938&gt;=8.5,"紧凑-极度紧凑",""))))))))))</f>
        <v/>
      </c>
      <c r="L938" s="2">
        <f>IF(I938=0.1,"极紧凑",IF(AND(I938&gt;=1,I938&lt;=1.89),"松散",IF(AND(I938&gt;=2,I938&lt;=3.5),"标准",IF(I938&gt;=3.6,"紧凑",""))))</f>
        <v/>
      </c>
      <c r="M938" s="2" t="inlineStr">
        <is>
          <t>极紧凑-豹子号</t>
        </is>
      </c>
      <c r="N938" s="2" t="inlineStr">
        <is>
          <t>松散-极松散</t>
        </is>
      </c>
      <c r="O938" s="2" t="inlineStr">
        <is>
          <t>松散-标准松散</t>
        </is>
      </c>
      <c r="P938" s="2" t="inlineStr">
        <is>
          <t>松散-偏紧松散</t>
        </is>
      </c>
      <c r="Q938" s="2" t="inlineStr">
        <is>
          <t>标准-偏松标准</t>
        </is>
      </c>
      <c r="R938" s="2" t="inlineStr">
        <is>
          <t>标准-核心标准</t>
        </is>
      </c>
      <c r="S938" s="2" t="inlineStr">
        <is>
          <t>标准-偏紧标准</t>
        </is>
      </c>
      <c r="T938" s="2" t="inlineStr">
        <is>
          <t>紧凑-标准紧凑</t>
        </is>
      </c>
      <c r="U938" s="2" t="inlineStr">
        <is>
          <t>紧凑-高度紧凑</t>
        </is>
      </c>
      <c r="V938" s="2" t="inlineStr">
        <is>
          <t>紧凑-极度紧凑</t>
        </is>
      </c>
    </row>
    <row r="939">
      <c r="A939" s="1" t="n">
        <v>2025154</v>
      </c>
      <c r="B939" s="3" t="inlineStr">
        <is>
          <t>989</t>
        </is>
      </c>
      <c r="C939" s="2">
        <f>IF(B939="","",LEFT(TEXT(B939,"000"),1)*1)</f>
        <v/>
      </c>
      <c r="D939" s="2">
        <f>IF(B939="","",MID(TEXT(B939,"000"),2,1)*1)</f>
        <v/>
      </c>
      <c r="E939" s="2">
        <f>IF(B939="","",RIGHT(TEXT(B939,"000"),1)*1)</f>
        <v/>
      </c>
      <c r="F939" s="2">
        <f>IF(B939="","",C939+D939+E939)</f>
        <v/>
      </c>
      <c r="G939" s="2">
        <f>IF(B939="","",MOD(F939,10))</f>
        <v/>
      </c>
      <c r="H939" s="2">
        <f>IF(B939="","",MAX(C939,D939,E939)-MIN(C939,D939,E939))</f>
        <v/>
      </c>
      <c r="I939" s="2">
        <f>IF(OR(B939="",H939=0),IF(H939=0,0.1,""),ROUND(F939/H939,2))</f>
        <v/>
      </c>
      <c r="J939" s="2">
        <f>IF(I939=0.1,"极紧凑",IF(I939&gt;3.5,"紧凑",IF(AND(I939&gt;=2,I939&lt;=3.5),"标准",IF(AND(I939&gt;=1,I939&lt;2),"松散",""))))</f>
        <v/>
      </c>
      <c r="K939" s="2">
        <f>IF(I939=0.1,"极紧凑-豹子号",IF(AND(I939&gt;=1,I939&lt;=1.29),"松散-极松散",IF(AND(I939&gt;=1.33,I939&lt;=1.8),"松散-标准松散",IF(AND(I939&gt;=1.83,I939&lt;=1.89),"松散-偏紧松散",IF(AND(I939&gt;=2,I939&lt;=2.5),"标准-偏松标准",IF(AND(I939&gt;=2.57,I939&lt;=3),"标准-核心标准",IF(AND(I939&gt;=3.17,I939&lt;=3.5),"标准-偏紧标准",IF(AND(I939&gt;=3.6,I939&lt;=5),"紧凑-标准紧凑",IF(AND(I939&gt;=5.25,I939&lt;=8),"紧凑-高度紧凑",IF(I939&gt;=8.5,"紧凑-极度紧凑",""))))))))))</f>
        <v/>
      </c>
      <c r="L939" s="2">
        <f>IF(I939=0.1,"极紧凑",IF(AND(I939&gt;=1,I939&lt;=1.89),"松散",IF(AND(I939&gt;=2,I939&lt;=3.5),"标准",IF(I939&gt;=3.6,"紧凑",""))))</f>
        <v/>
      </c>
      <c r="M939" s="2" t="inlineStr">
        <is>
          <t>极紧凑-豹子号</t>
        </is>
      </c>
      <c r="N939" s="2" t="inlineStr">
        <is>
          <t>松散-极松散</t>
        </is>
      </c>
      <c r="O939" s="2" t="inlineStr">
        <is>
          <t>松散-标准松散</t>
        </is>
      </c>
      <c r="P939" s="2" t="inlineStr">
        <is>
          <t>松散-偏紧松散</t>
        </is>
      </c>
      <c r="Q939" s="2" t="inlineStr">
        <is>
          <t>标准-偏松标准</t>
        </is>
      </c>
      <c r="R939" s="2" t="inlineStr">
        <is>
          <t>标准-核心标准</t>
        </is>
      </c>
      <c r="S939" s="2" t="inlineStr">
        <is>
          <t>标准-偏紧标准</t>
        </is>
      </c>
      <c r="T939" s="2" t="inlineStr">
        <is>
          <t>紧凑-标准紧凑</t>
        </is>
      </c>
      <c r="U939" s="2" t="inlineStr">
        <is>
          <t>紧凑-高度紧凑</t>
        </is>
      </c>
      <c r="V939" s="2" t="inlineStr">
        <is>
          <t>紧凑-极度紧凑</t>
        </is>
      </c>
    </row>
    <row r="940">
      <c r="A940" s="1" t="n">
        <v>2025131</v>
      </c>
      <c r="B940" s="3" t="inlineStr">
        <is>
          <t>367</t>
        </is>
      </c>
      <c r="C940" s="2">
        <f>IF(B940="","",LEFT(TEXT(B940,"000"),1)*1)</f>
        <v/>
      </c>
      <c r="D940" s="2">
        <f>IF(B940="","",MID(TEXT(B940,"000"),2,1)*1)</f>
        <v/>
      </c>
      <c r="E940" s="2">
        <f>IF(B940="","",RIGHT(TEXT(B940,"000"),1)*1)</f>
        <v/>
      </c>
      <c r="F940" s="2">
        <f>IF(B940="","",C940+D940+E940)</f>
        <v/>
      </c>
      <c r="G940" s="2">
        <f>IF(B940="","",MOD(F940,10))</f>
        <v/>
      </c>
      <c r="H940" s="2">
        <f>IF(B940="","",MAX(C940,D940,E940)-MIN(C940,D940,E940))</f>
        <v/>
      </c>
      <c r="I940" s="2">
        <f>IF(OR(B940="",H940=0),IF(H940=0,0.1,""),ROUND(F940/H940,2))</f>
        <v/>
      </c>
      <c r="J940" s="2">
        <f>IF(I940=0.1,"极紧凑",IF(I940&gt;3.5,"紧凑",IF(AND(I940&gt;=2,I940&lt;=3.5),"标准",IF(AND(I940&gt;=1,I940&lt;2),"松散",""))))</f>
        <v/>
      </c>
      <c r="K940" s="2">
        <f>IF(I940=0.1,"极紧凑-豹子号",IF(AND(I940&gt;=1,I940&lt;=1.29),"松散-极松散",IF(AND(I940&gt;=1.33,I940&lt;=1.8),"松散-标准松散",IF(AND(I940&gt;=1.83,I940&lt;=1.89),"松散-偏紧松散",IF(AND(I940&gt;=2,I940&lt;=2.5),"标准-偏松标准",IF(AND(I940&gt;=2.57,I940&lt;=3),"标准-核心标准",IF(AND(I940&gt;=3.17,I940&lt;=3.5),"标准-偏紧标准",IF(AND(I940&gt;=3.6,I940&lt;=5),"紧凑-标准紧凑",IF(AND(I940&gt;=5.25,I940&lt;=8),"紧凑-高度紧凑",IF(I940&gt;=8.5,"紧凑-极度紧凑",""))))))))))</f>
        <v/>
      </c>
      <c r="L940" s="2">
        <f>IF(I940=0.1,"极紧凑",IF(AND(I940&gt;=1,I940&lt;=1.89),"松散",IF(AND(I940&gt;=2,I940&lt;=3.5),"标准",IF(I940&gt;=3.6,"紧凑",""))))</f>
        <v/>
      </c>
      <c r="M940" s="2" t="inlineStr">
        <is>
          <t>极紧凑-豹子号</t>
        </is>
      </c>
      <c r="N940" s="2" t="inlineStr">
        <is>
          <t>松散-极松散</t>
        </is>
      </c>
      <c r="O940" s="2" t="inlineStr">
        <is>
          <t>松散-标准松散</t>
        </is>
      </c>
      <c r="P940" s="2" t="inlineStr">
        <is>
          <t>松散-偏紧松散</t>
        </is>
      </c>
      <c r="Q940" s="2" t="inlineStr">
        <is>
          <t>标准-偏松标准</t>
        </is>
      </c>
      <c r="R940" s="2" t="inlineStr">
        <is>
          <t>标准-核心标准</t>
        </is>
      </c>
      <c r="S940" s="2" t="inlineStr">
        <is>
          <t>标准-偏紧标准</t>
        </is>
      </c>
      <c r="T940" s="2" t="inlineStr">
        <is>
          <t>紧凑-标准紧凑</t>
        </is>
      </c>
      <c r="U940" s="2" t="inlineStr">
        <is>
          <t>紧凑-高度紧凑</t>
        </is>
      </c>
      <c r="V940" s="2" t="inlineStr">
        <is>
          <t>紧凑-极度紧凑</t>
        </is>
      </c>
    </row>
    <row r="941">
      <c r="A941" s="1" t="n">
        <v>2025132</v>
      </c>
      <c r="B941" s="3" t="inlineStr">
        <is>
          <t>275</t>
        </is>
      </c>
      <c r="C941" s="2">
        <f>IF(B941="","",LEFT(TEXT(B941,"000"),1)*1)</f>
        <v/>
      </c>
      <c r="D941" s="2">
        <f>IF(B941="","",MID(TEXT(B941,"000"),2,1)*1)</f>
        <v/>
      </c>
      <c r="E941" s="2">
        <f>IF(B941="","",RIGHT(TEXT(B941,"000"),1)*1)</f>
        <v/>
      </c>
      <c r="F941" s="2">
        <f>IF(B941="","",C941+D941+E941)</f>
        <v/>
      </c>
      <c r="G941" s="2">
        <f>IF(B941="","",MOD(F941,10))</f>
        <v/>
      </c>
      <c r="H941" s="2">
        <f>IF(B941="","",MAX(C941,D941,E941)-MIN(C941,D941,E941))</f>
        <v/>
      </c>
      <c r="I941" s="2">
        <f>IF(OR(B941="",H941=0),IF(H941=0,0.1,""),ROUND(F941/H941,2))</f>
        <v/>
      </c>
      <c r="J941" s="2">
        <f>IF(I941=0.1,"极紧凑",IF(I941&gt;3.5,"紧凑",IF(AND(I941&gt;=2,I941&lt;=3.5),"标准",IF(AND(I941&gt;=1,I941&lt;2),"松散",""))))</f>
        <v/>
      </c>
      <c r="K941" s="2">
        <f>IF(I941=0.1,"极紧凑-豹子号",IF(AND(I941&gt;=1,I941&lt;=1.29),"松散-极松散",IF(AND(I941&gt;=1.33,I941&lt;=1.8),"松散-标准松散",IF(AND(I941&gt;=1.83,I941&lt;=1.89),"松散-偏紧松散",IF(AND(I941&gt;=2,I941&lt;=2.5),"标准-偏松标准",IF(AND(I941&gt;=2.57,I941&lt;=3),"标准-核心标准",IF(AND(I941&gt;=3.17,I941&lt;=3.5),"标准-偏紧标准",IF(AND(I941&gt;=3.6,I941&lt;=5),"紧凑-标准紧凑",IF(AND(I941&gt;=5.25,I941&lt;=8),"紧凑-高度紧凑",IF(I941&gt;=8.5,"紧凑-极度紧凑",""))))))))))</f>
        <v/>
      </c>
      <c r="L941" s="2">
        <f>IF(I941=0.1,"极紧凑",IF(AND(I941&gt;=1,I941&lt;=1.89),"松散",IF(AND(I941&gt;=2,I941&lt;=3.5),"标准",IF(I941&gt;=3.6,"紧凑",""))))</f>
        <v/>
      </c>
      <c r="M941" s="2" t="inlineStr">
        <is>
          <t>极紧凑-豹子号</t>
        </is>
      </c>
      <c r="N941" s="2" t="inlineStr">
        <is>
          <t>松散-极松散</t>
        </is>
      </c>
      <c r="O941" s="2" t="inlineStr">
        <is>
          <t>松散-标准松散</t>
        </is>
      </c>
      <c r="P941" s="2" t="inlineStr">
        <is>
          <t>松散-偏紧松散</t>
        </is>
      </c>
      <c r="Q941" s="2" t="inlineStr">
        <is>
          <t>标准-偏松标准</t>
        </is>
      </c>
      <c r="R941" s="2" t="inlineStr">
        <is>
          <t>标准-核心标准</t>
        </is>
      </c>
      <c r="S941" s="2" t="inlineStr">
        <is>
          <t>标准-偏紧标准</t>
        </is>
      </c>
      <c r="T941" s="2" t="inlineStr">
        <is>
          <t>紧凑-标准紧凑</t>
        </is>
      </c>
      <c r="U941" s="2" t="inlineStr">
        <is>
          <t>紧凑-高度紧凑</t>
        </is>
      </c>
      <c r="V941" s="2" t="inlineStr">
        <is>
          <t>紧凑-极度紧凑</t>
        </is>
      </c>
    </row>
    <row r="942">
      <c r="A942" s="1" t="n">
        <v>2025133</v>
      </c>
      <c r="B942" s="3" t="inlineStr">
        <is>
          <t>866</t>
        </is>
      </c>
      <c r="C942" s="2">
        <f>IF(B942="","",LEFT(TEXT(B942,"000"),1)*1)</f>
        <v/>
      </c>
      <c r="D942" s="2">
        <f>IF(B942="","",MID(TEXT(B942,"000"),2,1)*1)</f>
        <v/>
      </c>
      <c r="E942" s="2">
        <f>IF(B942="","",RIGHT(TEXT(B942,"000"),1)*1)</f>
        <v/>
      </c>
      <c r="F942" s="2">
        <f>IF(B942="","",C942+D942+E942)</f>
        <v/>
      </c>
      <c r="G942" s="2">
        <f>IF(B942="","",MOD(F942,10))</f>
        <v/>
      </c>
      <c r="H942" s="2">
        <f>IF(B942="","",MAX(C942,D942,E942)-MIN(C942,D942,E942))</f>
        <v/>
      </c>
      <c r="I942" s="2">
        <f>IF(OR(B942="",H942=0),IF(H942=0,0.1,""),ROUND(F942/H942,2))</f>
        <v/>
      </c>
      <c r="J942" s="2">
        <f>IF(I942=0.1,"极紧凑",IF(I942&gt;3.5,"紧凑",IF(AND(I942&gt;=2,I942&lt;=3.5),"标准",IF(AND(I942&gt;=1,I942&lt;2),"松散",""))))</f>
        <v/>
      </c>
      <c r="K942" s="2">
        <f>IF(I942=0.1,"极紧凑-豹子号",IF(AND(I942&gt;=1,I942&lt;=1.29),"松散-极松散",IF(AND(I942&gt;=1.33,I942&lt;=1.8),"松散-标准松散",IF(AND(I942&gt;=1.83,I942&lt;=1.89),"松散-偏紧松散",IF(AND(I942&gt;=2,I942&lt;=2.5),"标准-偏松标准",IF(AND(I942&gt;=2.57,I942&lt;=3),"标准-核心标准",IF(AND(I942&gt;=3.17,I942&lt;=3.5),"标准-偏紧标准",IF(AND(I942&gt;=3.6,I942&lt;=5),"紧凑-标准紧凑",IF(AND(I942&gt;=5.25,I942&lt;=8),"紧凑-高度紧凑",IF(I942&gt;=8.5,"紧凑-极度紧凑",""))))))))))</f>
        <v/>
      </c>
      <c r="L942" s="2">
        <f>IF(I942=0.1,"极紧凑",IF(AND(I942&gt;=1,I942&lt;=1.89),"松散",IF(AND(I942&gt;=2,I942&lt;=3.5),"标准",IF(I942&gt;=3.6,"紧凑",""))))</f>
        <v/>
      </c>
      <c r="M942" s="2" t="inlineStr">
        <is>
          <t>极紧凑-豹子号</t>
        </is>
      </c>
      <c r="N942" s="2" t="inlineStr">
        <is>
          <t>松散-极松散</t>
        </is>
      </c>
      <c r="O942" s="2" t="inlineStr">
        <is>
          <t>松散-标准松散</t>
        </is>
      </c>
      <c r="P942" s="2" t="inlineStr">
        <is>
          <t>松散-偏紧松散</t>
        </is>
      </c>
      <c r="Q942" s="2" t="inlineStr">
        <is>
          <t>标准-偏松标准</t>
        </is>
      </c>
      <c r="R942" s="2" t="inlineStr">
        <is>
          <t>标准-核心标准</t>
        </is>
      </c>
      <c r="S942" s="2" t="inlineStr">
        <is>
          <t>标准-偏紧标准</t>
        </is>
      </c>
      <c r="T942" s="2" t="inlineStr">
        <is>
          <t>紧凑-标准紧凑</t>
        </is>
      </c>
      <c r="U942" s="2" t="inlineStr">
        <is>
          <t>紧凑-高度紧凑</t>
        </is>
      </c>
      <c r="V942" s="2" t="inlineStr">
        <is>
          <t>紧凑-极度紧凑</t>
        </is>
      </c>
    </row>
    <row r="943">
      <c r="A943" s="1" t="n">
        <v>2025134</v>
      </c>
      <c r="B943" s="3" t="inlineStr">
        <is>
          <t>510</t>
        </is>
      </c>
      <c r="C943" s="2">
        <f>IF(B943="","",LEFT(TEXT(B943,"000"),1)*1)</f>
        <v/>
      </c>
      <c r="D943" s="2">
        <f>IF(B943="","",MID(TEXT(B943,"000"),2,1)*1)</f>
        <v/>
      </c>
      <c r="E943" s="2">
        <f>IF(B943="","",RIGHT(TEXT(B943,"000"),1)*1)</f>
        <v/>
      </c>
      <c r="F943" s="2">
        <f>IF(B943="","",C943+D943+E943)</f>
        <v/>
      </c>
      <c r="G943" s="2">
        <f>IF(B943="","",MOD(F943,10))</f>
        <v/>
      </c>
      <c r="H943" s="2">
        <f>IF(B943="","",MAX(C943,D943,E943)-MIN(C943,D943,E943))</f>
        <v/>
      </c>
      <c r="I943" s="2">
        <f>IF(OR(B943="",H943=0),IF(H943=0,0.1,""),ROUND(F943/H943,2))</f>
        <v/>
      </c>
      <c r="J943" s="2">
        <f>IF(I943=0.1,"极紧凑",IF(I943&gt;3.5,"紧凑",IF(AND(I943&gt;=2,I943&lt;=3.5),"标准",IF(AND(I943&gt;=1,I943&lt;2),"松散",""))))</f>
        <v/>
      </c>
      <c r="K943" s="2">
        <f>IF(I943=0.1,"极紧凑-豹子号",IF(AND(I943&gt;=1,I943&lt;=1.29),"松散-极松散",IF(AND(I943&gt;=1.33,I943&lt;=1.8),"松散-标准松散",IF(AND(I943&gt;=1.83,I943&lt;=1.89),"松散-偏紧松散",IF(AND(I943&gt;=2,I943&lt;=2.5),"标准-偏松标准",IF(AND(I943&gt;=2.57,I943&lt;=3),"标准-核心标准",IF(AND(I943&gt;=3.17,I943&lt;=3.5),"标准-偏紧标准",IF(AND(I943&gt;=3.6,I943&lt;=5),"紧凑-标准紧凑",IF(AND(I943&gt;=5.25,I943&lt;=8),"紧凑-高度紧凑",IF(I943&gt;=8.5,"紧凑-极度紧凑",""))))))))))</f>
        <v/>
      </c>
      <c r="L943" s="2">
        <f>IF(I943=0.1,"极紧凑",IF(AND(I943&gt;=1,I943&lt;=1.89),"松散",IF(AND(I943&gt;=2,I943&lt;=3.5),"标准",IF(I943&gt;=3.6,"紧凑",""))))</f>
        <v/>
      </c>
      <c r="M943" s="2" t="inlineStr">
        <is>
          <t>极紧凑-豹子号</t>
        </is>
      </c>
      <c r="N943" s="2" t="inlineStr">
        <is>
          <t>松散-极松散</t>
        </is>
      </c>
      <c r="O943" s="2" t="inlineStr">
        <is>
          <t>松散-标准松散</t>
        </is>
      </c>
      <c r="P943" s="2" t="inlineStr">
        <is>
          <t>松散-偏紧松散</t>
        </is>
      </c>
      <c r="Q943" s="2" t="inlineStr">
        <is>
          <t>标准-偏松标准</t>
        </is>
      </c>
      <c r="R943" s="2" t="inlineStr">
        <is>
          <t>标准-核心标准</t>
        </is>
      </c>
      <c r="S943" s="2" t="inlineStr">
        <is>
          <t>标准-偏紧标准</t>
        </is>
      </c>
      <c r="T943" s="2" t="inlineStr">
        <is>
          <t>紧凑-标准紧凑</t>
        </is>
      </c>
      <c r="U943" s="2" t="inlineStr">
        <is>
          <t>紧凑-高度紧凑</t>
        </is>
      </c>
      <c r="V943" s="2" t="inlineStr">
        <is>
          <t>紧凑-极度紧凑</t>
        </is>
      </c>
    </row>
    <row r="944">
      <c r="A944" s="1" t="n">
        <v>2025135</v>
      </c>
      <c r="B944" s="3" t="inlineStr">
        <is>
          <t>816</t>
        </is>
      </c>
      <c r="C944" s="2">
        <f>IF(B944="","",LEFT(TEXT(B944,"000"),1)*1)</f>
        <v/>
      </c>
      <c r="D944" s="2">
        <f>IF(B944="","",MID(TEXT(B944,"000"),2,1)*1)</f>
        <v/>
      </c>
      <c r="E944" s="2">
        <f>IF(B944="","",RIGHT(TEXT(B944,"000"),1)*1)</f>
        <v/>
      </c>
      <c r="F944" s="2">
        <f>IF(B944="","",C944+D944+E944)</f>
        <v/>
      </c>
      <c r="G944" s="2">
        <f>IF(B944="","",MOD(F944,10))</f>
        <v/>
      </c>
      <c r="H944" s="2">
        <f>IF(B944="","",MAX(C944,D944,E944)-MIN(C944,D944,E944))</f>
        <v/>
      </c>
      <c r="I944" s="2">
        <f>IF(OR(B944="",H944=0),IF(H944=0,0.1,""),ROUND(F944/H944,2))</f>
        <v/>
      </c>
      <c r="J944" s="2">
        <f>IF(I944=0.1,"极紧凑",IF(I944&gt;3.5,"紧凑",IF(AND(I944&gt;=2,I944&lt;=3.5),"标准",IF(AND(I944&gt;=1,I944&lt;2),"松散",""))))</f>
        <v/>
      </c>
      <c r="K944" s="2">
        <f>IF(I944=0.1,"极紧凑-豹子号",IF(AND(I944&gt;=1,I944&lt;=1.29),"松散-极松散",IF(AND(I944&gt;=1.33,I944&lt;=1.8),"松散-标准松散",IF(AND(I944&gt;=1.83,I944&lt;=1.89),"松散-偏紧松散",IF(AND(I944&gt;=2,I944&lt;=2.5),"标准-偏松标准",IF(AND(I944&gt;=2.57,I944&lt;=3),"标准-核心标准",IF(AND(I944&gt;=3.17,I944&lt;=3.5),"标准-偏紧标准",IF(AND(I944&gt;=3.6,I944&lt;=5),"紧凑-标准紧凑",IF(AND(I944&gt;=5.25,I944&lt;=8),"紧凑-高度紧凑",IF(I944&gt;=8.5,"紧凑-极度紧凑",""))))))))))</f>
        <v/>
      </c>
      <c r="L944" s="2">
        <f>IF(I944=0.1,"极紧凑",IF(AND(I944&gt;=1,I944&lt;=1.89),"松散",IF(AND(I944&gt;=2,I944&lt;=3.5),"标准",IF(I944&gt;=3.6,"紧凑",""))))</f>
        <v/>
      </c>
      <c r="M944" s="2" t="inlineStr">
        <is>
          <t>极紧凑-豹子号</t>
        </is>
      </c>
      <c r="N944" s="2" t="inlineStr">
        <is>
          <t>松散-极松散</t>
        </is>
      </c>
      <c r="O944" s="2" t="inlineStr">
        <is>
          <t>松散-标准松散</t>
        </is>
      </c>
      <c r="P944" s="2" t="inlineStr">
        <is>
          <t>松散-偏紧松散</t>
        </is>
      </c>
      <c r="Q944" s="2" t="inlineStr">
        <is>
          <t>标准-偏松标准</t>
        </is>
      </c>
      <c r="R944" s="2" t="inlineStr">
        <is>
          <t>标准-核心标准</t>
        </is>
      </c>
      <c r="S944" s="2" t="inlineStr">
        <is>
          <t>标准-偏紧标准</t>
        </is>
      </c>
      <c r="T944" s="2" t="inlineStr">
        <is>
          <t>紧凑-标准紧凑</t>
        </is>
      </c>
      <c r="U944" s="2" t="inlineStr">
        <is>
          <t>紧凑-高度紧凑</t>
        </is>
      </c>
      <c r="V944" s="2" t="inlineStr">
        <is>
          <t>紧凑-极度紧凑</t>
        </is>
      </c>
    </row>
    <row r="945">
      <c r="A945" s="1" t="n">
        <v>2025136</v>
      </c>
      <c r="B945" s="3" t="inlineStr">
        <is>
          <t>324</t>
        </is>
      </c>
      <c r="C945" s="2">
        <f>IF(B945="","",LEFT(TEXT(B945,"000"),1)*1)</f>
        <v/>
      </c>
      <c r="D945" s="2">
        <f>IF(B945="","",MID(TEXT(B945,"000"),2,1)*1)</f>
        <v/>
      </c>
      <c r="E945" s="2">
        <f>IF(B945="","",RIGHT(TEXT(B945,"000"),1)*1)</f>
        <v/>
      </c>
      <c r="F945" s="2">
        <f>IF(B945="","",C945+D945+E945)</f>
        <v/>
      </c>
      <c r="G945" s="2">
        <f>IF(B945="","",MOD(F945,10))</f>
        <v/>
      </c>
      <c r="H945" s="2">
        <f>IF(B945="","",MAX(C945,D945,E945)-MIN(C945,D945,E945))</f>
        <v/>
      </c>
      <c r="I945" s="2">
        <f>IF(OR(B945="",H945=0),IF(H945=0,0.1,""),ROUND(F945/H945,2))</f>
        <v/>
      </c>
      <c r="J945" s="2">
        <f>IF(I945=0.1,"极紧凑",IF(I945&gt;3.5,"紧凑",IF(AND(I945&gt;=2,I945&lt;=3.5),"标准",IF(AND(I945&gt;=1,I945&lt;2),"松散",""))))</f>
        <v/>
      </c>
      <c r="K945" s="2">
        <f>IF(I945=0.1,"极紧凑-豹子号",IF(AND(I945&gt;=1,I945&lt;=1.29),"松散-极松散",IF(AND(I945&gt;=1.33,I945&lt;=1.8),"松散-标准松散",IF(AND(I945&gt;=1.83,I945&lt;=1.89),"松散-偏紧松散",IF(AND(I945&gt;=2,I945&lt;=2.5),"标准-偏松标准",IF(AND(I945&gt;=2.57,I945&lt;=3),"标准-核心标准",IF(AND(I945&gt;=3.17,I945&lt;=3.5),"标准-偏紧标准",IF(AND(I945&gt;=3.6,I945&lt;=5),"紧凑-标准紧凑",IF(AND(I945&gt;=5.25,I945&lt;=8),"紧凑-高度紧凑",IF(I945&gt;=8.5,"紧凑-极度紧凑",""))))))))))</f>
        <v/>
      </c>
      <c r="L945" s="2">
        <f>IF(I945=0.1,"极紧凑",IF(AND(I945&gt;=1,I945&lt;=1.89),"松散",IF(AND(I945&gt;=2,I945&lt;=3.5),"标准",IF(I945&gt;=3.6,"紧凑",""))))</f>
        <v/>
      </c>
      <c r="M945" s="2" t="inlineStr">
        <is>
          <t>极紧凑-豹子号</t>
        </is>
      </c>
      <c r="N945" s="2" t="inlineStr">
        <is>
          <t>松散-极松散</t>
        </is>
      </c>
      <c r="O945" s="2" t="inlineStr">
        <is>
          <t>松散-标准松散</t>
        </is>
      </c>
      <c r="P945" s="2" t="inlineStr">
        <is>
          <t>松散-偏紧松散</t>
        </is>
      </c>
      <c r="Q945" s="2" t="inlineStr">
        <is>
          <t>标准-偏松标准</t>
        </is>
      </c>
      <c r="R945" s="2" t="inlineStr">
        <is>
          <t>标准-核心标准</t>
        </is>
      </c>
      <c r="S945" s="2" t="inlineStr">
        <is>
          <t>标准-偏紧标准</t>
        </is>
      </c>
      <c r="T945" s="2" t="inlineStr">
        <is>
          <t>紧凑-标准紧凑</t>
        </is>
      </c>
      <c r="U945" s="2" t="inlineStr">
        <is>
          <t>紧凑-高度紧凑</t>
        </is>
      </c>
      <c r="V945" s="2" t="inlineStr">
        <is>
          <t>紧凑-极度紧凑</t>
        </is>
      </c>
    </row>
    <row r="946">
      <c r="A946" s="1" t="n">
        <v>2025137</v>
      </c>
      <c r="B946" s="3" t="inlineStr">
        <is>
          <t>721</t>
        </is>
      </c>
      <c r="C946" s="2">
        <f>IF(B946="","",LEFT(TEXT(B946,"000"),1)*1)</f>
        <v/>
      </c>
      <c r="D946" s="2">
        <f>IF(B946="","",MID(TEXT(B946,"000"),2,1)*1)</f>
        <v/>
      </c>
      <c r="E946" s="2">
        <f>IF(B946="","",RIGHT(TEXT(B946,"000"),1)*1)</f>
        <v/>
      </c>
      <c r="F946" s="2">
        <f>IF(B946="","",C946+D946+E946)</f>
        <v/>
      </c>
      <c r="G946" s="2">
        <f>IF(B946="","",MOD(F946,10))</f>
        <v/>
      </c>
      <c r="H946" s="2">
        <f>IF(B946="","",MAX(C946,D946,E946)-MIN(C946,D946,E946))</f>
        <v/>
      </c>
      <c r="I946" s="2">
        <f>IF(OR(B946="",H946=0),IF(H946=0,0.1,""),ROUND(F946/H946,2))</f>
        <v/>
      </c>
      <c r="J946" s="2">
        <f>IF(I946=0.1,"极紧凑",IF(I946&gt;3.5,"紧凑",IF(AND(I946&gt;=2,I946&lt;=3.5),"标准",IF(AND(I946&gt;=1,I946&lt;2),"松散",""))))</f>
        <v/>
      </c>
      <c r="K946" s="2">
        <f>IF(I946=0.1,"极紧凑-豹子号",IF(AND(I946&gt;=1,I946&lt;=1.29),"松散-极松散",IF(AND(I946&gt;=1.33,I946&lt;=1.8),"松散-标准松散",IF(AND(I946&gt;=1.83,I946&lt;=1.89),"松散-偏紧松散",IF(AND(I946&gt;=2,I946&lt;=2.5),"标准-偏松标准",IF(AND(I946&gt;=2.57,I946&lt;=3),"标准-核心标准",IF(AND(I946&gt;=3.17,I946&lt;=3.5),"标准-偏紧标准",IF(AND(I946&gt;=3.6,I946&lt;=5),"紧凑-标准紧凑",IF(AND(I946&gt;=5.25,I946&lt;=8),"紧凑-高度紧凑",IF(I946&gt;=8.5,"紧凑-极度紧凑",""))))))))))</f>
        <v/>
      </c>
      <c r="L946" s="2">
        <f>IF(I946=0.1,"极紧凑",IF(AND(I946&gt;=1,I946&lt;=1.89),"松散",IF(AND(I946&gt;=2,I946&lt;=3.5),"标准",IF(I946&gt;=3.6,"紧凑",""))))</f>
        <v/>
      </c>
      <c r="M946" s="2" t="inlineStr">
        <is>
          <t>极紧凑-豹子号</t>
        </is>
      </c>
      <c r="N946" s="2" t="inlineStr">
        <is>
          <t>松散-极松散</t>
        </is>
      </c>
      <c r="O946" s="2" t="inlineStr">
        <is>
          <t>松散-标准松散</t>
        </is>
      </c>
      <c r="P946" s="2" t="inlineStr">
        <is>
          <t>松散-偏紧松散</t>
        </is>
      </c>
      <c r="Q946" s="2" t="inlineStr">
        <is>
          <t>标准-偏松标准</t>
        </is>
      </c>
      <c r="R946" s="2" t="inlineStr">
        <is>
          <t>标准-核心标准</t>
        </is>
      </c>
      <c r="S946" s="2" t="inlineStr">
        <is>
          <t>标准-偏紧标准</t>
        </is>
      </c>
      <c r="T946" s="2" t="inlineStr">
        <is>
          <t>紧凑-标准紧凑</t>
        </is>
      </c>
      <c r="U946" s="2" t="inlineStr">
        <is>
          <t>紧凑-高度紧凑</t>
        </is>
      </c>
      <c r="V946" s="2" t="inlineStr">
        <is>
          <t>紧凑-极度紧凑</t>
        </is>
      </c>
    </row>
    <row r="947">
      <c r="A947" s="1" t="n">
        <v>2025138</v>
      </c>
      <c r="B947" s="3" t="inlineStr">
        <is>
          <t>895</t>
        </is>
      </c>
      <c r="C947" s="2">
        <f>IF(B947="","",LEFT(TEXT(B947,"000"),1)*1)</f>
        <v/>
      </c>
      <c r="D947" s="2">
        <f>IF(B947="","",MID(TEXT(B947,"000"),2,1)*1)</f>
        <v/>
      </c>
      <c r="E947" s="2">
        <f>IF(B947="","",RIGHT(TEXT(B947,"000"),1)*1)</f>
        <v/>
      </c>
      <c r="F947" s="2">
        <f>IF(B947="","",C947+D947+E947)</f>
        <v/>
      </c>
      <c r="G947" s="2">
        <f>IF(B947="","",MOD(F947,10))</f>
        <v/>
      </c>
      <c r="H947" s="2">
        <f>IF(B947="","",MAX(C947,D947,E947)-MIN(C947,D947,E947))</f>
        <v/>
      </c>
      <c r="I947" s="2">
        <f>IF(OR(B947="",H947=0),IF(H947=0,0.1,""),ROUND(F947/H947,2))</f>
        <v/>
      </c>
      <c r="J947" s="2">
        <f>IF(I947=0.1,"极紧凑",IF(I947&gt;3.5,"紧凑",IF(AND(I947&gt;=2,I947&lt;=3.5),"标准",IF(AND(I947&gt;=1,I947&lt;2),"松散",""))))</f>
        <v/>
      </c>
      <c r="K947" s="2">
        <f>IF(I947=0.1,"极紧凑-豹子号",IF(AND(I947&gt;=1,I947&lt;=1.29),"松散-极松散",IF(AND(I947&gt;=1.33,I947&lt;=1.8),"松散-标准松散",IF(AND(I947&gt;=1.83,I947&lt;=1.89),"松散-偏紧松散",IF(AND(I947&gt;=2,I947&lt;=2.5),"标准-偏松标准",IF(AND(I947&gt;=2.57,I947&lt;=3),"标准-核心标准",IF(AND(I947&gt;=3.17,I947&lt;=3.5),"标准-偏紧标准",IF(AND(I947&gt;=3.6,I947&lt;=5),"紧凑-标准紧凑",IF(AND(I947&gt;=5.25,I947&lt;=8),"紧凑-高度紧凑",IF(I947&gt;=8.5,"紧凑-极度紧凑",""))))))))))</f>
        <v/>
      </c>
      <c r="L947" s="2">
        <f>IF(I947=0.1,"极紧凑",IF(AND(I947&gt;=1,I947&lt;=1.89),"松散",IF(AND(I947&gt;=2,I947&lt;=3.5),"标准",IF(I947&gt;=3.6,"紧凑",""))))</f>
        <v/>
      </c>
      <c r="M947" s="2" t="inlineStr">
        <is>
          <t>极紧凑-豹子号</t>
        </is>
      </c>
      <c r="N947" s="2" t="inlineStr">
        <is>
          <t>松散-极松散</t>
        </is>
      </c>
      <c r="O947" s="2" t="inlineStr">
        <is>
          <t>松散-标准松散</t>
        </is>
      </c>
      <c r="P947" s="2" t="inlineStr">
        <is>
          <t>松散-偏紧松散</t>
        </is>
      </c>
      <c r="Q947" s="2" t="inlineStr">
        <is>
          <t>标准-偏松标准</t>
        </is>
      </c>
      <c r="R947" s="2" t="inlineStr">
        <is>
          <t>标准-核心标准</t>
        </is>
      </c>
      <c r="S947" s="2" t="inlineStr">
        <is>
          <t>标准-偏紧标准</t>
        </is>
      </c>
      <c r="T947" s="2" t="inlineStr">
        <is>
          <t>紧凑-标准紧凑</t>
        </is>
      </c>
      <c r="U947" s="2" t="inlineStr">
        <is>
          <t>紧凑-高度紧凑</t>
        </is>
      </c>
      <c r="V947" s="2" t="inlineStr">
        <is>
          <t>紧凑-极度紧凑</t>
        </is>
      </c>
    </row>
    <row r="948">
      <c r="A948" s="1" t="n">
        <v>2025139</v>
      </c>
      <c r="B948" s="3" t="inlineStr">
        <is>
          <t>155</t>
        </is>
      </c>
      <c r="C948" s="2">
        <f>IF(B948="","",LEFT(TEXT(B948,"000"),1)*1)</f>
        <v/>
      </c>
      <c r="D948" s="2">
        <f>IF(B948="","",MID(TEXT(B948,"000"),2,1)*1)</f>
        <v/>
      </c>
      <c r="E948" s="2">
        <f>IF(B948="","",RIGHT(TEXT(B948,"000"),1)*1)</f>
        <v/>
      </c>
      <c r="F948" s="2">
        <f>IF(B948="","",C948+D948+E948)</f>
        <v/>
      </c>
      <c r="G948" s="2">
        <f>IF(B948="","",MOD(F948,10))</f>
        <v/>
      </c>
      <c r="H948" s="2">
        <f>IF(B948="","",MAX(C948,D948,E948)-MIN(C948,D948,E948))</f>
        <v/>
      </c>
      <c r="I948" s="2">
        <f>IF(OR(B948="",H948=0),IF(H948=0,0.1,""),ROUND(F948/H948,2))</f>
        <v/>
      </c>
      <c r="J948" s="2">
        <f>IF(I948=0.1,"极紧凑",IF(I948&gt;3.5,"紧凑",IF(AND(I948&gt;=2,I948&lt;=3.5),"标准",IF(AND(I948&gt;=1,I948&lt;2),"松散",""))))</f>
        <v/>
      </c>
      <c r="K948" s="2">
        <f>IF(I948=0.1,"极紧凑-豹子号",IF(AND(I948&gt;=1,I948&lt;=1.29),"松散-极松散",IF(AND(I948&gt;=1.33,I948&lt;=1.8),"松散-标准松散",IF(AND(I948&gt;=1.83,I948&lt;=1.89),"松散-偏紧松散",IF(AND(I948&gt;=2,I948&lt;=2.5),"标准-偏松标准",IF(AND(I948&gt;=2.57,I948&lt;=3),"标准-核心标准",IF(AND(I948&gt;=3.17,I948&lt;=3.5),"标准-偏紧标准",IF(AND(I948&gt;=3.6,I948&lt;=5),"紧凑-标准紧凑",IF(AND(I948&gt;=5.25,I948&lt;=8),"紧凑-高度紧凑",IF(I948&gt;=8.5,"紧凑-极度紧凑",""))))))))))</f>
        <v/>
      </c>
      <c r="L948" s="2">
        <f>IF(I948=0.1,"极紧凑",IF(AND(I948&gt;=1,I948&lt;=1.89),"松散",IF(AND(I948&gt;=2,I948&lt;=3.5),"标准",IF(I948&gt;=3.6,"紧凑",""))))</f>
        <v/>
      </c>
      <c r="M948" s="2" t="inlineStr">
        <is>
          <t>极紧凑-豹子号</t>
        </is>
      </c>
      <c r="N948" s="2" t="inlineStr">
        <is>
          <t>松散-极松散</t>
        </is>
      </c>
      <c r="O948" s="2" t="inlineStr">
        <is>
          <t>松散-标准松散</t>
        </is>
      </c>
      <c r="P948" s="2" t="inlineStr">
        <is>
          <t>松散-偏紧松散</t>
        </is>
      </c>
      <c r="Q948" s="2" t="inlineStr">
        <is>
          <t>标准-偏松标准</t>
        </is>
      </c>
      <c r="R948" s="2" t="inlineStr">
        <is>
          <t>标准-核心标准</t>
        </is>
      </c>
      <c r="S948" s="2" t="inlineStr">
        <is>
          <t>标准-偏紧标准</t>
        </is>
      </c>
      <c r="T948" s="2" t="inlineStr">
        <is>
          <t>紧凑-标准紧凑</t>
        </is>
      </c>
      <c r="U948" s="2" t="inlineStr">
        <is>
          <t>紧凑-高度紧凑</t>
        </is>
      </c>
      <c r="V948" s="2" t="inlineStr">
        <is>
          <t>紧凑-极度紧凑</t>
        </is>
      </c>
    </row>
    <row r="949">
      <c r="A949" s="1" t="n">
        <v>2025140</v>
      </c>
      <c r="B949" s="3" t="inlineStr">
        <is>
          <t>267</t>
        </is>
      </c>
      <c r="C949" s="2">
        <f>IF(B949="","",LEFT(TEXT(B949,"000"),1)*1)</f>
        <v/>
      </c>
      <c r="D949" s="2">
        <f>IF(B949="","",MID(TEXT(B949,"000"),2,1)*1)</f>
        <v/>
      </c>
      <c r="E949" s="2">
        <f>IF(B949="","",RIGHT(TEXT(B949,"000"),1)*1)</f>
        <v/>
      </c>
      <c r="F949" s="2">
        <f>IF(B949="","",C949+D949+E949)</f>
        <v/>
      </c>
      <c r="G949" s="2">
        <f>IF(B949="","",MOD(F949,10))</f>
        <v/>
      </c>
      <c r="H949" s="2">
        <f>IF(B949="","",MAX(C949,D949,E949)-MIN(C949,D949,E949))</f>
        <v/>
      </c>
      <c r="I949" s="2">
        <f>IF(OR(B949="",H949=0),IF(H949=0,0.1,""),ROUND(F949/H949,2))</f>
        <v/>
      </c>
      <c r="J949" s="2">
        <f>IF(I949=0.1,"极紧凑",IF(I949&gt;3.5,"紧凑",IF(AND(I949&gt;=2,I949&lt;=3.5),"标准",IF(AND(I949&gt;=1,I949&lt;2),"松散",""))))</f>
        <v/>
      </c>
      <c r="K949" s="2">
        <f>IF(I949=0.1,"极紧凑-豹子号",IF(AND(I949&gt;=1,I949&lt;=1.29),"松散-极松散",IF(AND(I949&gt;=1.33,I949&lt;=1.8),"松散-标准松散",IF(AND(I949&gt;=1.83,I949&lt;=1.89),"松散-偏紧松散",IF(AND(I949&gt;=2,I949&lt;=2.5),"标准-偏松标准",IF(AND(I949&gt;=2.57,I949&lt;=3),"标准-核心标准",IF(AND(I949&gt;=3.17,I949&lt;=3.5),"标准-偏紧标准",IF(AND(I949&gt;=3.6,I949&lt;=5),"紧凑-标准紧凑",IF(AND(I949&gt;=5.25,I949&lt;=8),"紧凑-高度紧凑",IF(I949&gt;=8.5,"紧凑-极度紧凑",""))))))))))</f>
        <v/>
      </c>
      <c r="L949" s="2">
        <f>IF(I949=0.1,"极紧凑",IF(AND(I949&gt;=1,I949&lt;=1.89),"松散",IF(AND(I949&gt;=2,I949&lt;=3.5),"标准",IF(I949&gt;=3.6,"紧凑",""))))</f>
        <v/>
      </c>
      <c r="M949" s="2" t="inlineStr">
        <is>
          <t>极紧凑-豹子号</t>
        </is>
      </c>
      <c r="N949" s="2" t="inlineStr">
        <is>
          <t>松散-极松散</t>
        </is>
      </c>
      <c r="O949" s="2" t="inlineStr">
        <is>
          <t>松散-标准松散</t>
        </is>
      </c>
      <c r="P949" s="2" t="inlineStr">
        <is>
          <t>松散-偏紧松散</t>
        </is>
      </c>
      <c r="Q949" s="2" t="inlineStr">
        <is>
          <t>标准-偏松标准</t>
        </is>
      </c>
      <c r="R949" s="2" t="inlineStr">
        <is>
          <t>标准-核心标准</t>
        </is>
      </c>
      <c r="S949" s="2" t="inlineStr">
        <is>
          <t>标准-偏紧标准</t>
        </is>
      </c>
      <c r="T949" s="2" t="inlineStr">
        <is>
          <t>紧凑-标准紧凑</t>
        </is>
      </c>
      <c r="U949" s="2" t="inlineStr">
        <is>
          <t>紧凑-高度紧凑</t>
        </is>
      </c>
      <c r="V949" s="2" t="inlineStr">
        <is>
          <t>紧凑-极度紧凑</t>
        </is>
      </c>
    </row>
    <row r="950">
      <c r="A950" s="1" t="n">
        <v>2025141</v>
      </c>
      <c r="B950" s="3" t="inlineStr">
        <is>
          <t>475</t>
        </is>
      </c>
      <c r="C950" s="2">
        <f>IF(B950="","",LEFT(TEXT(B950,"000"),1)*1)</f>
        <v/>
      </c>
      <c r="D950" s="2">
        <f>IF(B950="","",MID(TEXT(B950,"000"),2,1)*1)</f>
        <v/>
      </c>
      <c r="E950" s="2">
        <f>IF(B950="","",RIGHT(TEXT(B950,"000"),1)*1)</f>
        <v/>
      </c>
      <c r="F950" s="2">
        <f>IF(B950="","",C950+D950+E950)</f>
        <v/>
      </c>
      <c r="G950" s="2">
        <f>IF(B950="","",MOD(F950,10))</f>
        <v/>
      </c>
      <c r="H950" s="2">
        <f>IF(B950="","",MAX(C950,D950,E950)-MIN(C950,D950,E950))</f>
        <v/>
      </c>
      <c r="I950" s="2">
        <f>IF(OR(B950="",H950=0),IF(H950=0,0.1,""),ROUND(F950/H950,2))</f>
        <v/>
      </c>
      <c r="J950" s="2">
        <f>IF(I950=0.1,"极紧凑",IF(I950&gt;3.5,"紧凑",IF(AND(I950&gt;=2,I950&lt;=3.5),"标准",IF(AND(I950&gt;=1,I950&lt;2),"松散",""))))</f>
        <v/>
      </c>
      <c r="K950" s="2">
        <f>IF(I950=0.1,"极紧凑-豹子号",IF(AND(I950&gt;=1,I950&lt;=1.29),"松散-极松散",IF(AND(I950&gt;=1.33,I950&lt;=1.8),"松散-标准松散",IF(AND(I950&gt;=1.83,I950&lt;=1.89),"松散-偏紧松散",IF(AND(I950&gt;=2,I950&lt;=2.5),"标准-偏松标准",IF(AND(I950&gt;=2.57,I950&lt;=3),"标准-核心标准",IF(AND(I950&gt;=3.17,I950&lt;=3.5),"标准-偏紧标准",IF(AND(I950&gt;=3.6,I950&lt;=5),"紧凑-标准紧凑",IF(AND(I950&gt;=5.25,I950&lt;=8),"紧凑-高度紧凑",IF(I950&gt;=8.5,"紧凑-极度紧凑",""))))))))))</f>
        <v/>
      </c>
      <c r="L950" s="2">
        <f>IF(I950=0.1,"极紧凑",IF(AND(I950&gt;=1,I950&lt;=1.89),"松散",IF(AND(I950&gt;=2,I950&lt;=3.5),"标准",IF(I950&gt;=3.6,"紧凑",""))))</f>
        <v/>
      </c>
      <c r="M950" s="2" t="inlineStr">
        <is>
          <t>极紧凑-豹子号</t>
        </is>
      </c>
      <c r="N950" s="2" t="inlineStr">
        <is>
          <t>松散-极松散</t>
        </is>
      </c>
      <c r="O950" s="2" t="inlineStr">
        <is>
          <t>松散-标准松散</t>
        </is>
      </c>
      <c r="P950" s="2" t="inlineStr">
        <is>
          <t>松散-偏紧松散</t>
        </is>
      </c>
      <c r="Q950" s="2" t="inlineStr">
        <is>
          <t>标准-偏松标准</t>
        </is>
      </c>
      <c r="R950" s="2" t="inlineStr">
        <is>
          <t>标准-核心标准</t>
        </is>
      </c>
      <c r="S950" s="2" t="inlineStr">
        <is>
          <t>标准-偏紧标准</t>
        </is>
      </c>
      <c r="T950" s="2" t="inlineStr">
        <is>
          <t>紧凑-标准紧凑</t>
        </is>
      </c>
      <c r="U950" s="2" t="inlineStr">
        <is>
          <t>紧凑-高度紧凑</t>
        </is>
      </c>
      <c r="V950" s="2" t="inlineStr">
        <is>
          <t>紧凑-极度紧凑</t>
        </is>
      </c>
    </row>
    <row r="951">
      <c r="A951" s="1" t="n">
        <v>2025142</v>
      </c>
      <c r="B951" s="3" t="inlineStr">
        <is>
          <t>343</t>
        </is>
      </c>
      <c r="C951" s="2">
        <f>IF(B951="","",LEFT(TEXT(B951,"000"),1)*1)</f>
        <v/>
      </c>
      <c r="D951" s="2">
        <f>IF(B951="","",MID(TEXT(B951,"000"),2,1)*1)</f>
        <v/>
      </c>
      <c r="E951" s="2">
        <f>IF(B951="","",RIGHT(TEXT(B951,"000"),1)*1)</f>
        <v/>
      </c>
      <c r="F951" s="2">
        <f>IF(B951="","",C951+D951+E951)</f>
        <v/>
      </c>
      <c r="G951" s="2">
        <f>IF(B951="","",MOD(F951,10))</f>
        <v/>
      </c>
      <c r="H951" s="2">
        <f>IF(B951="","",MAX(C951,D951,E951)-MIN(C951,D951,E951))</f>
        <v/>
      </c>
      <c r="I951" s="2">
        <f>IF(OR(B951="",H951=0),IF(H951=0,0.1,""),ROUND(F951/H951,2))</f>
        <v/>
      </c>
      <c r="J951" s="2">
        <f>IF(I951=0.1,"极紧凑",IF(I951&gt;3.5,"紧凑",IF(AND(I951&gt;=2,I951&lt;=3.5),"标准",IF(AND(I951&gt;=1,I951&lt;2),"松散",""))))</f>
        <v/>
      </c>
      <c r="K951" s="2">
        <f>IF(I951=0.1,"极紧凑-豹子号",IF(AND(I951&gt;=1,I951&lt;=1.29),"松散-极松散",IF(AND(I951&gt;=1.33,I951&lt;=1.8),"松散-标准松散",IF(AND(I951&gt;=1.83,I951&lt;=1.89),"松散-偏紧松散",IF(AND(I951&gt;=2,I951&lt;=2.5),"标准-偏松标准",IF(AND(I951&gt;=2.57,I951&lt;=3),"标准-核心标准",IF(AND(I951&gt;=3.17,I951&lt;=3.5),"标准-偏紧标准",IF(AND(I951&gt;=3.6,I951&lt;=5),"紧凑-标准紧凑",IF(AND(I951&gt;=5.25,I951&lt;=8),"紧凑-高度紧凑",IF(I951&gt;=8.5,"紧凑-极度紧凑",""))))))))))</f>
        <v/>
      </c>
      <c r="L951" s="2">
        <f>IF(I951=0.1,"极紧凑",IF(AND(I951&gt;=1,I951&lt;=1.89),"松散",IF(AND(I951&gt;=2,I951&lt;=3.5),"标准",IF(I951&gt;=3.6,"紧凑",""))))</f>
        <v/>
      </c>
      <c r="M951" s="2" t="inlineStr">
        <is>
          <t>极紧凑-豹子号</t>
        </is>
      </c>
      <c r="N951" s="2" t="inlineStr">
        <is>
          <t>松散-极松散</t>
        </is>
      </c>
      <c r="O951" s="2" t="inlineStr">
        <is>
          <t>松散-标准松散</t>
        </is>
      </c>
      <c r="P951" s="2" t="inlineStr">
        <is>
          <t>松散-偏紧松散</t>
        </is>
      </c>
      <c r="Q951" s="2" t="inlineStr">
        <is>
          <t>标准-偏松标准</t>
        </is>
      </c>
      <c r="R951" s="2" t="inlineStr">
        <is>
          <t>标准-核心标准</t>
        </is>
      </c>
      <c r="S951" s="2" t="inlineStr">
        <is>
          <t>标准-偏紧标准</t>
        </is>
      </c>
      <c r="T951" s="2" t="inlineStr">
        <is>
          <t>紧凑-标准紧凑</t>
        </is>
      </c>
      <c r="U951" s="2" t="inlineStr">
        <is>
          <t>紧凑-高度紧凑</t>
        </is>
      </c>
      <c r="V951" s="2" t="inlineStr">
        <is>
          <t>紧凑-极度紧凑</t>
        </is>
      </c>
    </row>
    <row r="952">
      <c r="A952" s="1" t="n">
        <v>2025143</v>
      </c>
      <c r="B952" s="3" t="inlineStr">
        <is>
          <t>944</t>
        </is>
      </c>
      <c r="C952" s="2">
        <f>IF(B952="","",LEFT(TEXT(B952,"000"),1)*1)</f>
        <v/>
      </c>
      <c r="D952" s="2">
        <f>IF(B952="","",MID(TEXT(B952,"000"),2,1)*1)</f>
        <v/>
      </c>
      <c r="E952" s="2">
        <f>IF(B952="","",RIGHT(TEXT(B952,"000"),1)*1)</f>
        <v/>
      </c>
      <c r="F952" s="2">
        <f>IF(B952="","",C952+D952+E952)</f>
        <v/>
      </c>
      <c r="G952" s="2">
        <f>IF(B952="","",MOD(F952,10))</f>
        <v/>
      </c>
      <c r="H952" s="2">
        <f>IF(B952="","",MAX(C952,D952,E952)-MIN(C952,D952,E952))</f>
        <v/>
      </c>
      <c r="I952" s="2">
        <f>IF(OR(B952="",H952=0),IF(H952=0,0.1,""),ROUND(F952/H952,2))</f>
        <v/>
      </c>
      <c r="J952" s="2">
        <f>IF(I952=0.1,"极紧凑",IF(I952&gt;3.5,"紧凑",IF(AND(I952&gt;=2,I952&lt;=3.5),"标准",IF(AND(I952&gt;=1,I952&lt;2),"松散",""))))</f>
        <v/>
      </c>
      <c r="K952" s="2">
        <f>IF(I952=0.1,"极紧凑-豹子号",IF(AND(I952&gt;=1,I952&lt;=1.29),"松散-极松散",IF(AND(I952&gt;=1.33,I952&lt;=1.8),"松散-标准松散",IF(AND(I952&gt;=1.83,I952&lt;=1.89),"松散-偏紧松散",IF(AND(I952&gt;=2,I952&lt;=2.5),"标准-偏松标准",IF(AND(I952&gt;=2.57,I952&lt;=3),"标准-核心标准",IF(AND(I952&gt;=3.17,I952&lt;=3.5),"标准-偏紧标准",IF(AND(I952&gt;=3.6,I952&lt;=5),"紧凑-标准紧凑",IF(AND(I952&gt;=5.25,I952&lt;=8),"紧凑-高度紧凑",IF(I952&gt;=8.5,"紧凑-极度紧凑",""))))))))))</f>
        <v/>
      </c>
      <c r="L952" s="2">
        <f>IF(I952=0.1,"极紧凑",IF(AND(I952&gt;=1,I952&lt;=1.89),"松散",IF(AND(I952&gt;=2,I952&lt;=3.5),"标准",IF(I952&gt;=3.6,"紧凑",""))))</f>
        <v/>
      </c>
      <c r="M952" s="2" t="inlineStr">
        <is>
          <t>极紧凑-豹子号</t>
        </is>
      </c>
      <c r="N952" s="2" t="inlineStr">
        <is>
          <t>松散-极松散</t>
        </is>
      </c>
      <c r="O952" s="2" t="inlineStr">
        <is>
          <t>松散-标准松散</t>
        </is>
      </c>
      <c r="P952" s="2" t="inlineStr">
        <is>
          <t>松散-偏紧松散</t>
        </is>
      </c>
      <c r="Q952" s="2" t="inlineStr">
        <is>
          <t>标准-偏松标准</t>
        </is>
      </c>
      <c r="R952" s="2" t="inlineStr">
        <is>
          <t>标准-核心标准</t>
        </is>
      </c>
      <c r="S952" s="2" t="inlineStr">
        <is>
          <t>标准-偏紧标准</t>
        </is>
      </c>
      <c r="T952" s="2" t="inlineStr">
        <is>
          <t>紧凑-标准紧凑</t>
        </is>
      </c>
      <c r="U952" s="2" t="inlineStr">
        <is>
          <t>紧凑-高度紧凑</t>
        </is>
      </c>
      <c r="V952" s="2" t="inlineStr">
        <is>
          <t>紧凑-极度紧凑</t>
        </is>
      </c>
    </row>
    <row r="953">
      <c r="A953" s="1" t="n">
        <v>2025144</v>
      </c>
      <c r="B953" s="3" t="inlineStr">
        <is>
          <t>389</t>
        </is>
      </c>
      <c r="C953" s="2">
        <f>IF(B953="","",LEFT(TEXT(B953,"000"),1)*1)</f>
        <v/>
      </c>
      <c r="D953" s="2">
        <f>IF(B953="","",MID(TEXT(B953,"000"),2,1)*1)</f>
        <v/>
      </c>
      <c r="E953" s="2">
        <f>IF(B953="","",RIGHT(TEXT(B953,"000"),1)*1)</f>
        <v/>
      </c>
      <c r="F953" s="2">
        <f>IF(B953="","",C953+D953+E953)</f>
        <v/>
      </c>
      <c r="G953" s="2">
        <f>IF(B953="","",MOD(F953,10))</f>
        <v/>
      </c>
      <c r="H953" s="2">
        <f>IF(B953="","",MAX(C953,D953,E953)-MIN(C953,D953,E953))</f>
        <v/>
      </c>
      <c r="I953" s="2">
        <f>IF(OR(B953="",H953=0),IF(H953=0,0.1,""),ROUND(F953/H953,2))</f>
        <v/>
      </c>
      <c r="J953" s="2">
        <f>IF(I953=0.1,"极紧凑",IF(I953&gt;3.5,"紧凑",IF(AND(I953&gt;=2,I953&lt;=3.5),"标准",IF(AND(I953&gt;=1,I953&lt;2),"松散",""))))</f>
        <v/>
      </c>
      <c r="K953" s="2">
        <f>IF(I953=0.1,"极紧凑-豹子号",IF(AND(I953&gt;=1,I953&lt;=1.29),"松散-极松散",IF(AND(I953&gt;=1.33,I953&lt;=1.8),"松散-标准松散",IF(AND(I953&gt;=1.83,I953&lt;=1.89),"松散-偏紧松散",IF(AND(I953&gt;=2,I953&lt;=2.5),"标准-偏松标准",IF(AND(I953&gt;=2.57,I953&lt;=3),"标准-核心标准",IF(AND(I953&gt;=3.17,I953&lt;=3.5),"标准-偏紧标准",IF(AND(I953&gt;=3.6,I953&lt;=5),"紧凑-标准紧凑",IF(AND(I953&gt;=5.25,I953&lt;=8),"紧凑-高度紧凑",IF(I953&gt;=8.5,"紧凑-极度紧凑",""))))))))))</f>
        <v/>
      </c>
      <c r="L953" s="2">
        <f>IF(I953=0.1,"极紧凑",IF(AND(I953&gt;=1,I953&lt;=1.89),"松散",IF(AND(I953&gt;=2,I953&lt;=3.5),"标准",IF(I953&gt;=3.6,"紧凑",""))))</f>
        <v/>
      </c>
      <c r="M953" s="2" t="inlineStr">
        <is>
          <t>极紧凑-豹子号</t>
        </is>
      </c>
      <c r="N953" s="2" t="inlineStr">
        <is>
          <t>松散-极松散</t>
        </is>
      </c>
      <c r="O953" s="2" t="inlineStr">
        <is>
          <t>松散-标准松散</t>
        </is>
      </c>
      <c r="P953" s="2" t="inlineStr">
        <is>
          <t>松散-偏紧松散</t>
        </is>
      </c>
      <c r="Q953" s="2" t="inlineStr">
        <is>
          <t>标准-偏松标准</t>
        </is>
      </c>
      <c r="R953" s="2" t="inlineStr">
        <is>
          <t>标准-核心标准</t>
        </is>
      </c>
      <c r="S953" s="2" t="inlineStr">
        <is>
          <t>标准-偏紧标准</t>
        </is>
      </c>
      <c r="T953" s="2" t="inlineStr">
        <is>
          <t>紧凑-标准紧凑</t>
        </is>
      </c>
      <c r="U953" s="2" t="inlineStr">
        <is>
          <t>紧凑-高度紧凑</t>
        </is>
      </c>
      <c r="V953" s="2" t="inlineStr">
        <is>
          <t>紧凑-极度紧凑</t>
        </is>
      </c>
    </row>
    <row r="954">
      <c r="A954" s="1" t="n">
        <v>2025145</v>
      </c>
      <c r="B954" s="3" t="inlineStr">
        <is>
          <t>471</t>
        </is>
      </c>
      <c r="C954" s="2">
        <f>IF(B954="","",LEFT(TEXT(B954,"000"),1)*1)</f>
        <v/>
      </c>
      <c r="D954" s="2">
        <f>IF(B954="","",MID(TEXT(B954,"000"),2,1)*1)</f>
        <v/>
      </c>
      <c r="E954" s="2">
        <f>IF(B954="","",RIGHT(TEXT(B954,"000"),1)*1)</f>
        <v/>
      </c>
      <c r="F954" s="2">
        <f>IF(B954="","",C954+D954+E954)</f>
        <v/>
      </c>
      <c r="G954" s="2">
        <f>IF(B954="","",MOD(F954,10))</f>
        <v/>
      </c>
      <c r="H954" s="2">
        <f>IF(B954="","",MAX(C954,D954,E954)-MIN(C954,D954,E954))</f>
        <v/>
      </c>
      <c r="I954" s="2">
        <f>IF(OR(B954="",H954=0),IF(H954=0,0.1,""),ROUND(F954/H954,2))</f>
        <v/>
      </c>
      <c r="J954" s="2">
        <f>IF(I954=0.1,"极紧凑",IF(I954&gt;3.5,"紧凑",IF(AND(I954&gt;=2,I954&lt;=3.5),"标准",IF(AND(I954&gt;=1,I954&lt;2),"松散",""))))</f>
        <v/>
      </c>
      <c r="K954" s="2">
        <f>IF(I954=0.1,"极紧凑-豹子号",IF(AND(I954&gt;=1,I954&lt;=1.29),"松散-极松散",IF(AND(I954&gt;=1.33,I954&lt;=1.8),"松散-标准松散",IF(AND(I954&gt;=1.83,I954&lt;=1.89),"松散-偏紧松散",IF(AND(I954&gt;=2,I954&lt;=2.5),"标准-偏松标准",IF(AND(I954&gt;=2.57,I954&lt;=3),"标准-核心标准",IF(AND(I954&gt;=3.17,I954&lt;=3.5),"标准-偏紧标准",IF(AND(I954&gt;=3.6,I954&lt;=5),"紧凑-标准紧凑",IF(AND(I954&gt;=5.25,I954&lt;=8),"紧凑-高度紧凑",IF(I954&gt;=8.5,"紧凑-极度紧凑",""))))))))))</f>
        <v/>
      </c>
      <c r="L954" s="2">
        <f>IF(I954=0.1,"极紧凑",IF(AND(I954&gt;=1,I954&lt;=1.89),"松散",IF(AND(I954&gt;=2,I954&lt;=3.5),"标准",IF(I954&gt;=3.6,"紧凑",""))))</f>
        <v/>
      </c>
      <c r="M954" s="2" t="inlineStr">
        <is>
          <t>极紧凑-豹子号</t>
        </is>
      </c>
      <c r="N954" s="2" t="inlineStr">
        <is>
          <t>松散-极松散</t>
        </is>
      </c>
      <c r="O954" s="2" t="inlineStr">
        <is>
          <t>松散-标准松散</t>
        </is>
      </c>
      <c r="P954" s="2" t="inlineStr">
        <is>
          <t>松散-偏紧松散</t>
        </is>
      </c>
      <c r="Q954" s="2" t="inlineStr">
        <is>
          <t>标准-偏松标准</t>
        </is>
      </c>
      <c r="R954" s="2" t="inlineStr">
        <is>
          <t>标准-核心标准</t>
        </is>
      </c>
      <c r="S954" s="2" t="inlineStr">
        <is>
          <t>标准-偏紧标准</t>
        </is>
      </c>
      <c r="T954" s="2" t="inlineStr">
        <is>
          <t>紧凑-标准紧凑</t>
        </is>
      </c>
      <c r="U954" s="2" t="inlineStr">
        <is>
          <t>紧凑-高度紧凑</t>
        </is>
      </c>
      <c r="V954" s="2" t="inlineStr">
        <is>
          <t>紧凑-极度紧凑</t>
        </is>
      </c>
    </row>
    <row r="955">
      <c r="A955" s="1" t="n">
        <v>2025146</v>
      </c>
      <c r="B955" s="3" t="inlineStr">
        <is>
          <t>822</t>
        </is>
      </c>
      <c r="C955" s="2">
        <f>IF(B955="","",LEFT(TEXT(B955,"000"),1)*1)</f>
        <v/>
      </c>
      <c r="D955" s="2">
        <f>IF(B955="","",MID(TEXT(B955,"000"),2,1)*1)</f>
        <v/>
      </c>
      <c r="E955" s="2">
        <f>IF(B955="","",RIGHT(TEXT(B955,"000"),1)*1)</f>
        <v/>
      </c>
      <c r="F955" s="2">
        <f>IF(B955="","",C955+D955+E955)</f>
        <v/>
      </c>
      <c r="G955" s="2">
        <f>IF(B955="","",MOD(F955,10))</f>
        <v/>
      </c>
      <c r="H955" s="2">
        <f>IF(B955="","",MAX(C955,D955,E955)-MIN(C955,D955,E955))</f>
        <v/>
      </c>
      <c r="I955" s="2">
        <f>IF(OR(B955="",H955=0),IF(H955=0,0.1,""),ROUND(F955/H955,2))</f>
        <v/>
      </c>
      <c r="J955" s="2">
        <f>IF(I955=0.1,"极紧凑",IF(I955&gt;3.5,"紧凑",IF(AND(I955&gt;=2,I955&lt;=3.5),"标准",IF(AND(I955&gt;=1,I955&lt;2),"松散",""))))</f>
        <v/>
      </c>
      <c r="K955" s="2">
        <f>IF(I955=0.1,"极紧凑-豹子号",IF(AND(I955&gt;=1,I955&lt;=1.29),"松散-极松散",IF(AND(I955&gt;=1.33,I955&lt;=1.8),"松散-标准松散",IF(AND(I955&gt;=1.83,I955&lt;=1.89),"松散-偏紧松散",IF(AND(I955&gt;=2,I955&lt;=2.5),"标准-偏松标准",IF(AND(I955&gt;=2.57,I955&lt;=3),"标准-核心标准",IF(AND(I955&gt;=3.17,I955&lt;=3.5),"标准-偏紧标准",IF(AND(I955&gt;=3.6,I955&lt;=5),"紧凑-标准紧凑",IF(AND(I955&gt;=5.25,I955&lt;=8),"紧凑-高度紧凑",IF(I955&gt;=8.5,"紧凑-极度紧凑",""))))))))))</f>
        <v/>
      </c>
      <c r="L955" s="2">
        <f>IF(I955=0.1,"极紧凑",IF(AND(I955&gt;=1,I955&lt;=1.89),"松散",IF(AND(I955&gt;=2,I955&lt;=3.5),"标准",IF(I955&gt;=3.6,"紧凑",""))))</f>
        <v/>
      </c>
      <c r="M955" s="2" t="inlineStr">
        <is>
          <t>极紧凑-豹子号</t>
        </is>
      </c>
      <c r="N955" s="2" t="inlineStr">
        <is>
          <t>松散-极松散</t>
        </is>
      </c>
      <c r="O955" s="2" t="inlineStr">
        <is>
          <t>松散-标准松散</t>
        </is>
      </c>
      <c r="P955" s="2" t="inlineStr">
        <is>
          <t>松散-偏紧松散</t>
        </is>
      </c>
      <c r="Q955" s="2" t="inlineStr">
        <is>
          <t>标准-偏松标准</t>
        </is>
      </c>
      <c r="R955" s="2" t="inlineStr">
        <is>
          <t>标准-核心标准</t>
        </is>
      </c>
      <c r="S955" s="2" t="inlineStr">
        <is>
          <t>标准-偏紧标准</t>
        </is>
      </c>
      <c r="T955" s="2" t="inlineStr">
        <is>
          <t>紧凑-标准紧凑</t>
        </is>
      </c>
      <c r="U955" s="2" t="inlineStr">
        <is>
          <t>紧凑-高度紧凑</t>
        </is>
      </c>
      <c r="V955" s="2" t="inlineStr">
        <is>
          <t>紧凑-极度紧凑</t>
        </is>
      </c>
    </row>
    <row r="956">
      <c r="A956" s="1" t="n">
        <v>2025147</v>
      </c>
      <c r="B956" s="3" t="inlineStr">
        <is>
          <t>023</t>
        </is>
      </c>
      <c r="C956" s="2">
        <f>IF(B956="","",LEFT(TEXT(B956,"000"),1)*1)</f>
        <v/>
      </c>
      <c r="D956" s="2">
        <f>IF(B956="","",MID(TEXT(B956,"000"),2,1)*1)</f>
        <v/>
      </c>
      <c r="E956" s="2">
        <f>IF(B956="","",RIGHT(TEXT(B956,"000"),1)*1)</f>
        <v/>
      </c>
      <c r="F956" s="2">
        <f>IF(B956="","",C956+D956+E956)</f>
        <v/>
      </c>
      <c r="G956" s="2">
        <f>IF(B956="","",MOD(F956,10))</f>
        <v/>
      </c>
      <c r="H956" s="2">
        <f>IF(B956="","",MAX(C956,D956,E956)-MIN(C956,D956,E956))</f>
        <v/>
      </c>
      <c r="I956" s="2">
        <f>IF(OR(B956="",H956=0),IF(H956=0,0.1,""),ROUND(F956/H956,2))</f>
        <v/>
      </c>
      <c r="J956" s="2">
        <f>IF(I956=0.1,"极紧凑",IF(I956&gt;3.5,"紧凑",IF(AND(I956&gt;=2,I956&lt;=3.5),"标准",IF(AND(I956&gt;=1,I956&lt;2),"松散",""))))</f>
        <v/>
      </c>
      <c r="K956" s="2">
        <f>IF(I956=0.1,"极紧凑-豹子号",IF(AND(I956&gt;=1,I956&lt;=1.29),"松散-极松散",IF(AND(I956&gt;=1.33,I956&lt;=1.8),"松散-标准松散",IF(AND(I956&gt;=1.83,I956&lt;=1.89),"松散-偏紧松散",IF(AND(I956&gt;=2,I956&lt;=2.5),"标准-偏松标准",IF(AND(I956&gt;=2.57,I956&lt;=3),"标准-核心标准",IF(AND(I956&gt;=3.17,I956&lt;=3.5),"标准-偏紧标准",IF(AND(I956&gt;=3.6,I956&lt;=5),"紧凑-标准紧凑",IF(AND(I956&gt;=5.25,I956&lt;=8),"紧凑-高度紧凑",IF(I956&gt;=8.5,"紧凑-极度紧凑",""))))))))))</f>
        <v/>
      </c>
      <c r="L956" s="2">
        <f>IF(I956=0.1,"极紧凑",IF(AND(I956&gt;=1,I956&lt;=1.89),"松散",IF(AND(I956&gt;=2,I956&lt;=3.5),"标准",IF(I956&gt;=3.6,"紧凑",""))))</f>
        <v/>
      </c>
      <c r="M956" s="2" t="inlineStr">
        <is>
          <t>极紧凑-豹子号</t>
        </is>
      </c>
      <c r="N956" s="2" t="inlineStr">
        <is>
          <t>松散-极松散</t>
        </is>
      </c>
      <c r="O956" s="2" t="inlineStr">
        <is>
          <t>松散-标准松散</t>
        </is>
      </c>
      <c r="P956" s="2" t="inlineStr">
        <is>
          <t>松散-偏紧松散</t>
        </is>
      </c>
      <c r="Q956" s="2" t="inlineStr">
        <is>
          <t>标准-偏松标准</t>
        </is>
      </c>
      <c r="R956" s="2" t="inlineStr">
        <is>
          <t>标准-核心标准</t>
        </is>
      </c>
      <c r="S956" s="2" t="inlineStr">
        <is>
          <t>标准-偏紧标准</t>
        </is>
      </c>
      <c r="T956" s="2" t="inlineStr">
        <is>
          <t>紧凑-标准紧凑</t>
        </is>
      </c>
      <c r="U956" s="2" t="inlineStr">
        <is>
          <t>紧凑-高度紧凑</t>
        </is>
      </c>
      <c r="V956" s="2" t="inlineStr">
        <is>
          <t>紧凑-极度紧凑</t>
        </is>
      </c>
    </row>
    <row r="957">
      <c r="A957" s="1" t="n">
        <v>2025148</v>
      </c>
      <c r="B957" s="3" t="inlineStr">
        <is>
          <t>557</t>
        </is>
      </c>
      <c r="C957" s="2">
        <f>IF(B957="","",LEFT(TEXT(B957,"000"),1)*1)</f>
        <v/>
      </c>
      <c r="D957" s="2">
        <f>IF(B957="","",MID(TEXT(B957,"000"),2,1)*1)</f>
        <v/>
      </c>
      <c r="E957" s="2">
        <f>IF(B957="","",RIGHT(TEXT(B957,"000"),1)*1)</f>
        <v/>
      </c>
      <c r="F957" s="2">
        <f>IF(B957="","",C957+D957+E957)</f>
        <v/>
      </c>
      <c r="G957" s="2">
        <f>IF(B957="","",MOD(F957,10))</f>
        <v/>
      </c>
      <c r="H957" s="2">
        <f>IF(B957="","",MAX(C957,D957,E957)-MIN(C957,D957,E957))</f>
        <v/>
      </c>
      <c r="I957" s="2">
        <f>IF(OR(B957="",H957=0),IF(H957=0,0.1,""),ROUND(F957/H957,2))</f>
        <v/>
      </c>
      <c r="J957" s="2">
        <f>IF(I957=0.1,"极紧凑",IF(I957&gt;3.5,"紧凑",IF(AND(I957&gt;=2,I957&lt;=3.5),"标准",IF(AND(I957&gt;=1,I957&lt;2),"松散",""))))</f>
        <v/>
      </c>
      <c r="K957" s="2">
        <f>IF(I957=0.1,"极紧凑-豹子号",IF(AND(I957&gt;=1,I957&lt;=1.29),"松散-极松散",IF(AND(I957&gt;=1.33,I957&lt;=1.8),"松散-标准松散",IF(AND(I957&gt;=1.83,I957&lt;=1.89),"松散-偏紧松散",IF(AND(I957&gt;=2,I957&lt;=2.5),"标准-偏松标准",IF(AND(I957&gt;=2.57,I957&lt;=3),"标准-核心标准",IF(AND(I957&gt;=3.17,I957&lt;=3.5),"标准-偏紧标准",IF(AND(I957&gt;=3.6,I957&lt;=5),"紧凑-标准紧凑",IF(AND(I957&gt;=5.25,I957&lt;=8),"紧凑-高度紧凑",IF(I957&gt;=8.5,"紧凑-极度紧凑",""))))))))))</f>
        <v/>
      </c>
      <c r="L957" s="2">
        <f>IF(I957=0.1,"极紧凑",IF(AND(I957&gt;=1,I957&lt;=1.89),"松散",IF(AND(I957&gt;=2,I957&lt;=3.5),"标准",IF(I957&gt;=3.6,"紧凑",""))))</f>
        <v/>
      </c>
      <c r="M957" s="2" t="inlineStr">
        <is>
          <t>极紧凑-豹子号</t>
        </is>
      </c>
      <c r="N957" s="2" t="inlineStr">
        <is>
          <t>松散-极松散</t>
        </is>
      </c>
      <c r="O957" s="2" t="inlineStr">
        <is>
          <t>松散-标准松散</t>
        </is>
      </c>
      <c r="P957" s="2" t="inlineStr">
        <is>
          <t>松散-偏紧松散</t>
        </is>
      </c>
      <c r="Q957" s="2" t="inlineStr">
        <is>
          <t>标准-偏松标准</t>
        </is>
      </c>
      <c r="R957" s="2" t="inlineStr">
        <is>
          <t>标准-核心标准</t>
        </is>
      </c>
      <c r="S957" s="2" t="inlineStr">
        <is>
          <t>标准-偏紧标准</t>
        </is>
      </c>
      <c r="T957" s="2" t="inlineStr">
        <is>
          <t>紧凑-标准紧凑</t>
        </is>
      </c>
      <c r="U957" s="2" t="inlineStr">
        <is>
          <t>紧凑-高度紧凑</t>
        </is>
      </c>
      <c r="V957" s="2" t="inlineStr">
        <is>
          <t>紧凑-极度紧凑</t>
        </is>
      </c>
    </row>
    <row r="958">
      <c r="A958" s="1" t="n">
        <v>2025149</v>
      </c>
      <c r="B958" s="3" t="inlineStr">
        <is>
          <t>772</t>
        </is>
      </c>
      <c r="C958" s="2">
        <f>IF(B958="","",LEFT(TEXT(B958,"000"),1)*1)</f>
        <v/>
      </c>
      <c r="D958" s="2">
        <f>IF(B958="","",MID(TEXT(B958,"000"),2,1)*1)</f>
        <v/>
      </c>
      <c r="E958" s="2">
        <f>IF(B958="","",RIGHT(TEXT(B958,"000"),1)*1)</f>
        <v/>
      </c>
      <c r="F958" s="2">
        <f>IF(B958="","",C958+D958+E958)</f>
        <v/>
      </c>
      <c r="G958" s="2">
        <f>IF(B958="","",MOD(F958,10))</f>
        <v/>
      </c>
      <c r="H958" s="2">
        <f>IF(B958="","",MAX(C958,D958,E958)-MIN(C958,D958,E958))</f>
        <v/>
      </c>
      <c r="I958" s="2">
        <f>IF(OR(B958="",H958=0),IF(H958=0,0.1,""),ROUND(F958/H958,2))</f>
        <v/>
      </c>
      <c r="J958" s="2">
        <f>IF(I958=0.1,"极紧凑",IF(I958&gt;3.5,"紧凑",IF(AND(I958&gt;=2,I958&lt;=3.5),"标准",IF(AND(I958&gt;=1,I958&lt;2),"松散",""))))</f>
        <v/>
      </c>
      <c r="K958" s="2">
        <f>IF(I958=0.1,"极紧凑-豹子号",IF(AND(I958&gt;=1,I958&lt;=1.29),"松散-极松散",IF(AND(I958&gt;=1.33,I958&lt;=1.8),"松散-标准松散",IF(AND(I958&gt;=1.83,I958&lt;=1.89),"松散-偏紧松散",IF(AND(I958&gt;=2,I958&lt;=2.5),"标准-偏松标准",IF(AND(I958&gt;=2.57,I958&lt;=3),"标准-核心标准",IF(AND(I958&gt;=3.17,I958&lt;=3.5),"标准-偏紧标准",IF(AND(I958&gt;=3.6,I958&lt;=5),"紧凑-标准紧凑",IF(AND(I958&gt;=5.25,I958&lt;=8),"紧凑-高度紧凑",IF(I958&gt;=8.5,"紧凑-极度紧凑",""))))))))))</f>
        <v/>
      </c>
      <c r="L958" s="2">
        <f>IF(I958=0.1,"极紧凑",IF(AND(I958&gt;=1,I958&lt;=1.89),"松散",IF(AND(I958&gt;=2,I958&lt;=3.5),"标准",IF(I958&gt;=3.6,"紧凑",""))))</f>
        <v/>
      </c>
      <c r="M958" s="2" t="inlineStr">
        <is>
          <t>极紧凑-豹子号</t>
        </is>
      </c>
      <c r="N958" s="2" t="inlineStr">
        <is>
          <t>松散-极松散</t>
        </is>
      </c>
      <c r="O958" s="2" t="inlineStr">
        <is>
          <t>松散-标准松散</t>
        </is>
      </c>
      <c r="P958" s="2" t="inlineStr">
        <is>
          <t>松散-偏紧松散</t>
        </is>
      </c>
      <c r="Q958" s="2" t="inlineStr">
        <is>
          <t>标准-偏松标准</t>
        </is>
      </c>
      <c r="R958" s="2" t="inlineStr">
        <is>
          <t>标准-核心标准</t>
        </is>
      </c>
      <c r="S958" s="2" t="inlineStr">
        <is>
          <t>标准-偏紧标准</t>
        </is>
      </c>
      <c r="T958" s="2" t="inlineStr">
        <is>
          <t>紧凑-标准紧凑</t>
        </is>
      </c>
      <c r="U958" s="2" t="inlineStr">
        <is>
          <t>紧凑-高度紧凑</t>
        </is>
      </c>
      <c r="V958" s="2" t="inlineStr">
        <is>
          <t>紧凑-极度紧凑</t>
        </is>
      </c>
    </row>
    <row r="959">
      <c r="A959" s="1" t="n">
        <v>2025150</v>
      </c>
      <c r="B959" s="3" t="inlineStr">
        <is>
          <t>212</t>
        </is>
      </c>
      <c r="C959" s="2">
        <f>IF(B959="","",LEFT(TEXT(B959,"000"),1)*1)</f>
        <v/>
      </c>
      <c r="D959" s="2">
        <f>IF(B959="","",MID(TEXT(B959,"000"),2,1)*1)</f>
        <v/>
      </c>
      <c r="E959" s="2">
        <f>IF(B959="","",RIGHT(TEXT(B959,"000"),1)*1)</f>
        <v/>
      </c>
      <c r="F959" s="2">
        <f>IF(B959="","",C959+D959+E959)</f>
        <v/>
      </c>
      <c r="G959" s="2">
        <f>IF(B959="","",MOD(F959,10))</f>
        <v/>
      </c>
      <c r="H959" s="2">
        <f>IF(B959="","",MAX(C959,D959,E959)-MIN(C959,D959,E959))</f>
        <v/>
      </c>
      <c r="I959" s="2">
        <f>IF(OR(B959="",H959=0),IF(H959=0,0.1,""),ROUND(F959/H959,2))</f>
        <v/>
      </c>
      <c r="J959" s="2">
        <f>IF(I959=0.1,"极紧凑",IF(I959&gt;3.5,"紧凑",IF(AND(I959&gt;=2,I959&lt;=3.5),"标准",IF(AND(I959&gt;=1,I959&lt;2),"松散",""))))</f>
        <v/>
      </c>
      <c r="K959" s="2">
        <f>IF(I959=0.1,"极紧凑-豹子号",IF(AND(I959&gt;=1,I959&lt;=1.29),"松散-极松散",IF(AND(I959&gt;=1.33,I959&lt;=1.8),"松散-标准松散",IF(AND(I959&gt;=1.83,I959&lt;=1.89),"松散-偏紧松散",IF(AND(I959&gt;=2,I959&lt;=2.5),"标准-偏松标准",IF(AND(I959&gt;=2.57,I959&lt;=3),"标准-核心标准",IF(AND(I959&gt;=3.17,I959&lt;=3.5),"标准-偏紧标准",IF(AND(I959&gt;=3.6,I959&lt;=5),"紧凑-标准紧凑",IF(AND(I959&gt;=5.25,I959&lt;=8),"紧凑-高度紧凑",IF(I959&gt;=8.5,"紧凑-极度紧凑",""))))))))))</f>
        <v/>
      </c>
      <c r="L959" s="2">
        <f>IF(I959=0.1,"极紧凑",IF(AND(I959&gt;=1,I959&lt;=1.89),"松散",IF(AND(I959&gt;=2,I959&lt;=3.5),"标准",IF(I959&gt;=3.6,"紧凑",""))))</f>
        <v/>
      </c>
      <c r="M959" s="2" t="inlineStr">
        <is>
          <t>极紧凑-豹子号</t>
        </is>
      </c>
      <c r="N959" s="2" t="inlineStr">
        <is>
          <t>松散-极松散</t>
        </is>
      </c>
      <c r="O959" s="2" t="inlineStr">
        <is>
          <t>松散-标准松散</t>
        </is>
      </c>
      <c r="P959" s="2" t="inlineStr">
        <is>
          <t>松散-偏紧松散</t>
        </is>
      </c>
      <c r="Q959" s="2" t="inlineStr">
        <is>
          <t>标准-偏松标准</t>
        </is>
      </c>
      <c r="R959" s="2" t="inlineStr">
        <is>
          <t>标准-核心标准</t>
        </is>
      </c>
      <c r="S959" s="2" t="inlineStr">
        <is>
          <t>标准-偏紧标准</t>
        </is>
      </c>
      <c r="T959" s="2" t="inlineStr">
        <is>
          <t>紧凑-标准紧凑</t>
        </is>
      </c>
      <c r="U959" s="2" t="inlineStr">
        <is>
          <t>紧凑-高度紧凑</t>
        </is>
      </c>
      <c r="V959" s="2" t="inlineStr">
        <is>
          <t>紧凑-极度紧凑</t>
        </is>
      </c>
    </row>
    <row r="960">
      <c r="A960" s="1" t="n">
        <v>2025151</v>
      </c>
      <c r="B960" s="3" t="inlineStr">
        <is>
          <t>686</t>
        </is>
      </c>
      <c r="C960" s="2">
        <f>IF(B960="","",LEFT(TEXT(B960,"000"),1)*1)</f>
        <v/>
      </c>
      <c r="D960" s="2">
        <f>IF(B960="","",MID(TEXT(B960,"000"),2,1)*1)</f>
        <v/>
      </c>
      <c r="E960" s="2">
        <f>IF(B960="","",RIGHT(TEXT(B960,"000"),1)*1)</f>
        <v/>
      </c>
      <c r="F960" s="2">
        <f>IF(B960="","",C960+D960+E960)</f>
        <v/>
      </c>
      <c r="G960" s="2">
        <f>IF(B960="","",MOD(F960,10))</f>
        <v/>
      </c>
      <c r="H960" s="2">
        <f>IF(B960="","",MAX(C960,D960,E960)-MIN(C960,D960,E960))</f>
        <v/>
      </c>
      <c r="I960" s="2">
        <f>IF(OR(B960="",H960=0),IF(H960=0,0.1,""),ROUND(F960/H960,2))</f>
        <v/>
      </c>
      <c r="J960" s="2">
        <f>IF(I960=0.1,"极紧凑",IF(I960&gt;3.5,"紧凑",IF(AND(I960&gt;=2,I960&lt;=3.5),"标准",IF(AND(I960&gt;=1,I960&lt;2),"松散",""))))</f>
        <v/>
      </c>
      <c r="K960" s="2">
        <f>IF(I960=0.1,"极紧凑-豹子号",IF(AND(I960&gt;=1,I960&lt;=1.29),"松散-极松散",IF(AND(I960&gt;=1.33,I960&lt;=1.8),"松散-标准松散",IF(AND(I960&gt;=1.83,I960&lt;=1.89),"松散-偏紧松散",IF(AND(I960&gt;=2,I960&lt;=2.5),"标准-偏松标准",IF(AND(I960&gt;=2.57,I960&lt;=3),"标准-核心标准",IF(AND(I960&gt;=3.17,I960&lt;=3.5),"标准-偏紧标准",IF(AND(I960&gt;=3.6,I960&lt;=5),"紧凑-标准紧凑",IF(AND(I960&gt;=5.25,I960&lt;=8),"紧凑-高度紧凑",IF(I960&gt;=8.5,"紧凑-极度紧凑",""))))))))))</f>
        <v/>
      </c>
      <c r="L960" s="2">
        <f>IF(I960=0.1,"极紧凑",IF(AND(I960&gt;=1,I960&lt;=1.89),"松散",IF(AND(I960&gt;=2,I960&lt;=3.5),"标准",IF(I960&gt;=3.6,"紧凑",""))))</f>
        <v/>
      </c>
      <c r="M960" s="2" t="inlineStr">
        <is>
          <t>极紧凑-豹子号</t>
        </is>
      </c>
      <c r="N960" s="2" t="inlineStr">
        <is>
          <t>松散-极松散</t>
        </is>
      </c>
      <c r="O960" s="2" t="inlineStr">
        <is>
          <t>松散-标准松散</t>
        </is>
      </c>
      <c r="P960" s="2" t="inlineStr">
        <is>
          <t>松散-偏紧松散</t>
        </is>
      </c>
      <c r="Q960" s="2" t="inlineStr">
        <is>
          <t>标准-偏松标准</t>
        </is>
      </c>
      <c r="R960" s="2" t="inlineStr">
        <is>
          <t>标准-核心标准</t>
        </is>
      </c>
      <c r="S960" s="2" t="inlineStr">
        <is>
          <t>标准-偏紧标准</t>
        </is>
      </c>
      <c r="T960" s="2" t="inlineStr">
        <is>
          <t>紧凑-标准紧凑</t>
        </is>
      </c>
      <c r="U960" s="2" t="inlineStr">
        <is>
          <t>紧凑-高度紧凑</t>
        </is>
      </c>
      <c r="V960" s="2" t="inlineStr">
        <is>
          <t>紧凑-极度紧凑</t>
        </is>
      </c>
    </row>
    <row r="961">
      <c r="A961" s="1" t="n">
        <v>2025152</v>
      </c>
      <c r="B961" s="3" t="inlineStr">
        <is>
          <t>747</t>
        </is>
      </c>
      <c r="C961" s="2">
        <f>IF(B961="","",LEFT(TEXT(B961,"000"),1)*1)</f>
        <v/>
      </c>
      <c r="D961" s="2">
        <f>IF(B961="","",MID(TEXT(B961,"000"),2,1)*1)</f>
        <v/>
      </c>
      <c r="E961" s="2">
        <f>IF(B961="","",RIGHT(TEXT(B961,"000"),1)*1)</f>
        <v/>
      </c>
      <c r="F961" s="2">
        <f>IF(B961="","",C961+D961+E961)</f>
        <v/>
      </c>
      <c r="G961" s="2">
        <f>IF(B961="","",MOD(F961,10))</f>
        <v/>
      </c>
      <c r="H961" s="2">
        <f>IF(B961="","",MAX(C961,D961,E961)-MIN(C961,D961,E961))</f>
        <v/>
      </c>
      <c r="I961" s="2">
        <f>IF(OR(B961="",H961=0),IF(H961=0,0.1,""),ROUND(F961/H961,2))</f>
        <v/>
      </c>
      <c r="J961" s="2">
        <f>IF(I961=0.1,"极紧凑",IF(I961&gt;3.5,"紧凑",IF(AND(I961&gt;=2,I961&lt;=3.5),"标准",IF(AND(I961&gt;=1,I961&lt;2),"松散",""))))</f>
        <v/>
      </c>
      <c r="K961" s="2">
        <f>IF(I961=0.1,"极紧凑-豹子号",IF(AND(I961&gt;=1,I961&lt;=1.29),"松散-极松散",IF(AND(I961&gt;=1.33,I961&lt;=1.8),"松散-标准松散",IF(AND(I961&gt;=1.83,I961&lt;=1.89),"松散-偏紧松散",IF(AND(I961&gt;=2,I961&lt;=2.5),"标准-偏松标准",IF(AND(I961&gt;=2.57,I961&lt;=3),"标准-核心标准",IF(AND(I961&gt;=3.17,I961&lt;=3.5),"标准-偏紧标准",IF(AND(I961&gt;=3.6,I961&lt;=5),"紧凑-标准紧凑",IF(AND(I961&gt;=5.25,I961&lt;=8),"紧凑-高度紧凑",IF(I961&gt;=8.5,"紧凑-极度紧凑",""))))))))))</f>
        <v/>
      </c>
      <c r="L961" s="2">
        <f>IF(I961=0.1,"极紧凑",IF(AND(I961&gt;=1,I961&lt;=1.89),"松散",IF(AND(I961&gt;=2,I961&lt;=3.5),"标准",IF(I961&gt;=3.6,"紧凑",""))))</f>
        <v/>
      </c>
      <c r="M961" s="2" t="inlineStr">
        <is>
          <t>极紧凑-豹子号</t>
        </is>
      </c>
      <c r="N961" s="2" t="inlineStr">
        <is>
          <t>松散-极松散</t>
        </is>
      </c>
      <c r="O961" s="2" t="inlineStr">
        <is>
          <t>松散-标准松散</t>
        </is>
      </c>
      <c r="P961" s="2" t="inlineStr">
        <is>
          <t>松散-偏紧松散</t>
        </is>
      </c>
      <c r="Q961" s="2" t="inlineStr">
        <is>
          <t>标准-偏松标准</t>
        </is>
      </c>
      <c r="R961" s="2" t="inlineStr">
        <is>
          <t>标准-核心标准</t>
        </is>
      </c>
      <c r="S961" s="2" t="inlineStr">
        <is>
          <t>标准-偏紧标准</t>
        </is>
      </c>
      <c r="T961" s="2" t="inlineStr">
        <is>
          <t>紧凑-标准紧凑</t>
        </is>
      </c>
      <c r="U961" s="2" t="inlineStr">
        <is>
          <t>紧凑-高度紧凑</t>
        </is>
      </c>
      <c r="V961" s="2" t="inlineStr">
        <is>
          <t>紧凑-极度紧凑</t>
        </is>
      </c>
    </row>
    <row r="962">
      <c r="A962" s="1" t="n">
        <v>2025153</v>
      </c>
      <c r="B962" s="3" t="inlineStr">
        <is>
          <t>894</t>
        </is>
      </c>
      <c r="C962" s="2">
        <f>IF(B962="","",LEFT(TEXT(B962,"000"),1)*1)</f>
        <v/>
      </c>
      <c r="D962" s="2">
        <f>IF(B962="","",MID(TEXT(B962,"000"),2,1)*1)</f>
        <v/>
      </c>
      <c r="E962" s="2">
        <f>IF(B962="","",RIGHT(TEXT(B962,"000"),1)*1)</f>
        <v/>
      </c>
      <c r="F962" s="2">
        <f>IF(B962="","",C962+D962+E962)</f>
        <v/>
      </c>
      <c r="G962" s="2">
        <f>IF(B962="","",MOD(F962,10))</f>
        <v/>
      </c>
      <c r="H962" s="2">
        <f>IF(B962="","",MAX(C962,D962,E962)-MIN(C962,D962,E962))</f>
        <v/>
      </c>
      <c r="I962" s="2">
        <f>IF(OR(B962="",H962=0),IF(H962=0,0.1,""),ROUND(F962/H962,2))</f>
        <v/>
      </c>
      <c r="J962" s="2">
        <f>IF(I962=0.1,"极紧凑",IF(I962&gt;3.5,"紧凑",IF(AND(I962&gt;=2,I962&lt;=3.5),"标准",IF(AND(I962&gt;=1,I962&lt;2),"松散",""))))</f>
        <v/>
      </c>
      <c r="K962" s="2">
        <f>IF(I962=0.1,"极紧凑-豹子号",IF(AND(I962&gt;=1,I962&lt;=1.29),"松散-极松散",IF(AND(I962&gt;=1.33,I962&lt;=1.8),"松散-标准松散",IF(AND(I962&gt;=1.83,I962&lt;=1.89),"松散-偏紧松散",IF(AND(I962&gt;=2,I962&lt;=2.5),"标准-偏松标准",IF(AND(I962&gt;=2.57,I962&lt;=3),"标准-核心标准",IF(AND(I962&gt;=3.17,I962&lt;=3.5),"标准-偏紧标准",IF(AND(I962&gt;=3.6,I962&lt;=5),"紧凑-标准紧凑",IF(AND(I962&gt;=5.25,I962&lt;=8),"紧凑-高度紧凑",IF(I962&gt;=8.5,"紧凑-极度紧凑",""))))))))))</f>
        <v/>
      </c>
      <c r="L962" s="2">
        <f>IF(I962=0.1,"极紧凑",IF(AND(I962&gt;=1,I962&lt;=1.89),"松散",IF(AND(I962&gt;=2,I962&lt;=3.5),"标准",IF(I962&gt;=3.6,"紧凑",""))))</f>
        <v/>
      </c>
      <c r="M962" s="2" t="inlineStr">
        <is>
          <t>极紧凑-豹子号</t>
        </is>
      </c>
      <c r="N962" s="2" t="inlineStr">
        <is>
          <t>松散-极松散</t>
        </is>
      </c>
      <c r="O962" s="2" t="inlineStr">
        <is>
          <t>松散-标准松散</t>
        </is>
      </c>
      <c r="P962" s="2" t="inlineStr">
        <is>
          <t>松散-偏紧松散</t>
        </is>
      </c>
      <c r="Q962" s="2" t="inlineStr">
        <is>
          <t>标准-偏松标准</t>
        </is>
      </c>
      <c r="R962" s="2" t="inlineStr">
        <is>
          <t>标准-核心标准</t>
        </is>
      </c>
      <c r="S962" s="2" t="inlineStr">
        <is>
          <t>标准-偏紧标准</t>
        </is>
      </c>
      <c r="T962" s="2" t="inlineStr">
        <is>
          <t>紧凑-标准紧凑</t>
        </is>
      </c>
      <c r="U962" s="2" t="inlineStr">
        <is>
          <t>紧凑-高度紧凑</t>
        </is>
      </c>
      <c r="V962" s="2" t="inlineStr">
        <is>
          <t>紧凑-极度紧凑</t>
        </is>
      </c>
    </row>
    <row r="963">
      <c r="A963" s="1" t="n">
        <v>2025154</v>
      </c>
      <c r="B963" s="3" t="inlineStr">
        <is>
          <t>989</t>
        </is>
      </c>
      <c r="C963" s="2">
        <f>IF(B963="","",LEFT(TEXT(B963,"000"),1)*1)</f>
        <v/>
      </c>
      <c r="D963" s="2">
        <f>IF(B963="","",MID(TEXT(B963,"000"),2,1)*1)</f>
        <v/>
      </c>
      <c r="E963" s="2">
        <f>IF(B963="","",RIGHT(TEXT(B963,"000"),1)*1)</f>
        <v/>
      </c>
      <c r="F963" s="2">
        <f>IF(B963="","",C963+D963+E963)</f>
        <v/>
      </c>
      <c r="G963" s="2">
        <f>IF(B963="","",MOD(F963,10))</f>
        <v/>
      </c>
      <c r="H963" s="2">
        <f>IF(B963="","",MAX(C963,D963,E963)-MIN(C963,D963,E963))</f>
        <v/>
      </c>
      <c r="I963" s="2">
        <f>IF(OR(B963="",H963=0),IF(H963=0,0.1,""),ROUND(F963/H963,2))</f>
        <v/>
      </c>
      <c r="J963" s="2">
        <f>IF(I963=0.1,"极紧凑",IF(I963&gt;3.5,"紧凑",IF(AND(I963&gt;=2,I963&lt;=3.5),"标准",IF(AND(I963&gt;=1,I963&lt;2),"松散",""))))</f>
        <v/>
      </c>
      <c r="K963" s="2">
        <f>IF(I963=0.1,"极紧凑-豹子号",IF(AND(I963&gt;=1,I963&lt;=1.29),"松散-极松散",IF(AND(I963&gt;=1.33,I963&lt;=1.8),"松散-标准松散",IF(AND(I963&gt;=1.83,I963&lt;=1.89),"松散-偏紧松散",IF(AND(I963&gt;=2,I963&lt;=2.5),"标准-偏松标准",IF(AND(I963&gt;=2.57,I963&lt;=3),"标准-核心标准",IF(AND(I963&gt;=3.17,I963&lt;=3.5),"标准-偏紧标准",IF(AND(I963&gt;=3.6,I963&lt;=5),"紧凑-标准紧凑",IF(AND(I963&gt;=5.25,I963&lt;=8),"紧凑-高度紧凑",IF(I963&gt;=8.5,"紧凑-极度紧凑",""))))))))))</f>
        <v/>
      </c>
      <c r="L963" s="2">
        <f>IF(I963=0.1,"极紧凑",IF(AND(I963&gt;=1,I963&lt;=1.89),"松散",IF(AND(I963&gt;=2,I963&lt;=3.5),"标准",IF(I963&gt;=3.6,"紧凑",""))))</f>
        <v/>
      </c>
      <c r="M963" s="2" t="inlineStr">
        <is>
          <t>极紧凑-豹子号</t>
        </is>
      </c>
      <c r="N963" s="2" t="inlineStr">
        <is>
          <t>松散-极松散</t>
        </is>
      </c>
      <c r="O963" s="2" t="inlineStr">
        <is>
          <t>松散-标准松散</t>
        </is>
      </c>
      <c r="P963" s="2" t="inlineStr">
        <is>
          <t>松散-偏紧松散</t>
        </is>
      </c>
      <c r="Q963" s="2" t="inlineStr">
        <is>
          <t>标准-偏松标准</t>
        </is>
      </c>
      <c r="R963" s="2" t="inlineStr">
        <is>
          <t>标准-核心标准</t>
        </is>
      </c>
      <c r="S963" s="2" t="inlineStr">
        <is>
          <t>标准-偏紧标准</t>
        </is>
      </c>
      <c r="T963" s="2" t="inlineStr">
        <is>
          <t>紧凑-标准紧凑</t>
        </is>
      </c>
      <c r="U963" s="2" t="inlineStr">
        <is>
          <t>紧凑-高度紧凑</t>
        </is>
      </c>
      <c r="V963" s="2" t="inlineStr">
        <is>
          <t>紧凑-极度紧凑</t>
        </is>
      </c>
    </row>
    <row r="964">
      <c r="A964" s="1" t="n">
        <v>2025155</v>
      </c>
      <c r="B964" s="3" t="inlineStr">
        <is>
          <t>040</t>
        </is>
      </c>
      <c r="C964" s="2">
        <f>IF(B964="","",LEFT(TEXT(B964,"000"),1)*1)</f>
        <v/>
      </c>
      <c r="D964" s="2">
        <f>IF(B964="","",MID(TEXT(B964,"000"),2,1)*1)</f>
        <v/>
      </c>
      <c r="E964" s="2">
        <f>IF(B964="","",RIGHT(TEXT(B964,"000"),1)*1)</f>
        <v/>
      </c>
      <c r="F964" s="2">
        <f>IF(B964="","",C964+D964+E964)</f>
        <v/>
      </c>
      <c r="G964" s="2">
        <f>IF(B964="","",MOD(F964,10))</f>
        <v/>
      </c>
      <c r="H964" s="2">
        <f>IF(B964="","",MAX(C964,D964,E964)-MIN(C964,D964,E964))</f>
        <v/>
      </c>
      <c r="I964" s="2">
        <f>IF(OR(B964="",H964=0),IF(H964=0,0.1,""),ROUND(F964/H964,2))</f>
        <v/>
      </c>
      <c r="J964" s="2">
        <f>IF(I964=0.1,"极紧凑",IF(I964&gt;3.5,"紧凑",IF(AND(I964&gt;=2,I964&lt;=3.5),"标准",IF(AND(I964&gt;=1,I964&lt;2),"松散",""))))</f>
        <v/>
      </c>
      <c r="K964" s="2">
        <f>IF(I964=0.1,"极紧凑-豹子号",IF(AND(I964&gt;=1,I964&lt;=1.29),"松散-极松散",IF(AND(I964&gt;=1.33,I964&lt;=1.8),"松散-标准松散",IF(AND(I964&gt;=1.83,I964&lt;=1.89),"松散-偏紧松散",IF(AND(I964&gt;=2,I964&lt;=2.5),"标准-偏松标准",IF(AND(I964&gt;=2.57,I964&lt;=3),"标准-核心标准",IF(AND(I964&gt;=3.17,I964&lt;=3.5),"标准-偏紧标准",IF(AND(I964&gt;=3.6,I964&lt;=5),"紧凑-标准紧凑",IF(AND(I964&gt;=5.25,I964&lt;=8),"紧凑-高度紧凑",IF(I964&gt;=8.5,"紧凑-极度紧凑",""))))))))))</f>
        <v/>
      </c>
      <c r="L964" s="2">
        <f>IF(I964=0.1,"极紧凑",IF(AND(I964&gt;=1,I964&lt;=1.89),"松散",IF(AND(I964&gt;=2,I964&lt;=3.5),"标准",IF(I964&gt;=3.6,"紧凑",""))))</f>
        <v/>
      </c>
      <c r="M964" s="2" t="inlineStr">
        <is>
          <t>极紧凑-豹子号</t>
        </is>
      </c>
      <c r="N964" s="2" t="inlineStr">
        <is>
          <t>松散-极松散</t>
        </is>
      </c>
      <c r="O964" s="2" t="inlineStr">
        <is>
          <t>松散-标准松散</t>
        </is>
      </c>
      <c r="P964" s="2" t="inlineStr">
        <is>
          <t>松散-偏紧松散</t>
        </is>
      </c>
      <c r="Q964" s="2" t="inlineStr">
        <is>
          <t>标准-偏松标准</t>
        </is>
      </c>
      <c r="R964" s="2" t="inlineStr">
        <is>
          <t>标准-核心标准</t>
        </is>
      </c>
      <c r="S964" s="2" t="inlineStr">
        <is>
          <t>标准-偏紧标准</t>
        </is>
      </c>
      <c r="T964" s="2" t="inlineStr">
        <is>
          <t>紧凑-标准紧凑</t>
        </is>
      </c>
      <c r="U964" s="2" t="inlineStr">
        <is>
          <t>紧凑-高度紧凑</t>
        </is>
      </c>
      <c r="V964" s="2" t="inlineStr">
        <is>
          <t>紧凑-极度紧凑</t>
        </is>
      </c>
    </row>
    <row r="965">
      <c r="A965" s="1" t="n">
        <v>2025156</v>
      </c>
      <c r="B965" s="3" t="inlineStr">
        <is>
          <t>638</t>
        </is>
      </c>
      <c r="C965" s="2">
        <f>IF(B965="","",LEFT(TEXT(B965,"000"),1)*1)</f>
        <v/>
      </c>
      <c r="D965" s="2">
        <f>IF(B965="","",MID(TEXT(B965,"000"),2,1)*1)</f>
        <v/>
      </c>
      <c r="E965" s="2">
        <f>IF(B965="","",RIGHT(TEXT(B965,"000"),1)*1)</f>
        <v/>
      </c>
      <c r="F965" s="2">
        <f>IF(B965="","",C965+D965+E965)</f>
        <v/>
      </c>
      <c r="G965" s="2">
        <f>IF(B965="","",MOD(F965,10))</f>
        <v/>
      </c>
      <c r="H965" s="2">
        <f>IF(B965="","",MAX(C965,D965,E965)-MIN(C965,D965,E965))</f>
        <v/>
      </c>
      <c r="I965" s="2">
        <f>IF(OR(B965="",H965=0),IF(H965=0,0.1,""),ROUND(F965/H965,2))</f>
        <v/>
      </c>
      <c r="J965" s="2">
        <f>IF(I965=0.1,"极紧凑",IF(I965&gt;3.5,"紧凑",IF(AND(I965&gt;=2,I965&lt;=3.5),"标准",IF(AND(I965&gt;=1,I965&lt;2),"松散",""))))</f>
        <v/>
      </c>
      <c r="K965" s="2">
        <f>IF(I965=0.1,"极紧凑-豹子号",IF(AND(I965&gt;=1,I965&lt;=1.29),"松散-极松散",IF(AND(I965&gt;=1.33,I965&lt;=1.8),"松散-标准松散",IF(AND(I965&gt;=1.83,I965&lt;=1.89),"松散-偏紧松散",IF(AND(I965&gt;=2,I965&lt;=2.5),"标准-偏松标准",IF(AND(I965&gt;=2.57,I965&lt;=3),"标准-核心标准",IF(AND(I965&gt;=3.17,I965&lt;=3.5),"标准-偏紧标准",IF(AND(I965&gt;=3.6,I965&lt;=5),"紧凑-标准紧凑",IF(AND(I965&gt;=5.25,I965&lt;=8),"紧凑-高度紧凑",IF(I965&gt;=8.5,"紧凑-极度紧凑",""))))))))))</f>
        <v/>
      </c>
      <c r="L965" s="2">
        <f>IF(I965=0.1,"极紧凑",IF(AND(I965&gt;=1,I965&lt;=1.89),"松散",IF(AND(I965&gt;=2,I965&lt;=3.5),"标准",IF(I965&gt;=3.6,"紧凑",""))))</f>
        <v/>
      </c>
      <c r="M965" s="2" t="inlineStr">
        <is>
          <t>极紧凑-豹子号</t>
        </is>
      </c>
      <c r="N965" s="2" t="inlineStr">
        <is>
          <t>松散-极松散</t>
        </is>
      </c>
      <c r="O965" s="2" t="inlineStr">
        <is>
          <t>松散-标准松散</t>
        </is>
      </c>
      <c r="P965" s="2" t="inlineStr">
        <is>
          <t>松散-偏紧松散</t>
        </is>
      </c>
      <c r="Q965" s="2" t="inlineStr">
        <is>
          <t>标准-偏松标准</t>
        </is>
      </c>
      <c r="R965" s="2" t="inlineStr">
        <is>
          <t>标准-核心标准</t>
        </is>
      </c>
      <c r="S965" s="2" t="inlineStr">
        <is>
          <t>标准-偏紧标准</t>
        </is>
      </c>
      <c r="T965" s="2" t="inlineStr">
        <is>
          <t>紧凑-标准紧凑</t>
        </is>
      </c>
      <c r="U965" s="2" t="inlineStr">
        <is>
          <t>紧凑-高度紧凑</t>
        </is>
      </c>
      <c r="V965" s="2" t="inlineStr">
        <is>
          <t>紧凑-极度紧凑</t>
        </is>
      </c>
    </row>
    <row r="966">
      <c r="A966" s="1" t="n">
        <v>2025157</v>
      </c>
      <c r="B966" s="3" t="inlineStr">
        <is>
          <t>250</t>
        </is>
      </c>
      <c r="C966" s="2">
        <f>IF(B966="","",LEFT(TEXT(B966,"000"),1)*1)</f>
        <v/>
      </c>
      <c r="D966" s="2">
        <f>IF(B966="","",MID(TEXT(B966,"000"),2,1)*1)</f>
        <v/>
      </c>
      <c r="E966" s="2">
        <f>IF(B966="","",RIGHT(TEXT(B966,"000"),1)*1)</f>
        <v/>
      </c>
      <c r="F966" s="2">
        <f>IF(B966="","",C966+D966+E966)</f>
        <v/>
      </c>
      <c r="G966" s="2">
        <f>IF(B966="","",MOD(F966,10))</f>
        <v/>
      </c>
      <c r="H966" s="2">
        <f>IF(B966="","",MAX(C966,D966,E966)-MIN(C966,D966,E966))</f>
        <v/>
      </c>
      <c r="I966" s="2">
        <f>IF(OR(B966="",H966=0),IF(H966=0,0.1,""),ROUND(F966/H966,2))</f>
        <v/>
      </c>
      <c r="J966" s="2">
        <f>IF(I966=0.1,"极紧凑",IF(I966&gt;3.5,"紧凑",IF(AND(I966&gt;=2,I966&lt;=3.5),"标准",IF(AND(I966&gt;=1,I966&lt;2),"松散",""))))</f>
        <v/>
      </c>
      <c r="K966" s="2">
        <f>IF(I966=0.1,"极紧凑-豹子号",IF(AND(I966&gt;=1,I966&lt;=1.29),"松散-极松散",IF(AND(I966&gt;=1.33,I966&lt;=1.8),"松散-标准松散",IF(AND(I966&gt;=1.83,I966&lt;=1.89),"松散-偏紧松散",IF(AND(I966&gt;=2,I966&lt;=2.5),"标准-偏松标准",IF(AND(I966&gt;=2.57,I966&lt;=3),"标准-核心标准",IF(AND(I966&gt;=3.17,I966&lt;=3.5),"标准-偏紧标准",IF(AND(I966&gt;=3.6,I966&lt;=5),"紧凑-标准紧凑",IF(AND(I966&gt;=5.25,I966&lt;=8),"紧凑-高度紧凑",IF(I966&gt;=8.5,"紧凑-极度紧凑",""))))))))))</f>
        <v/>
      </c>
      <c r="L966" s="2">
        <f>IF(I966=0.1,"极紧凑",IF(AND(I966&gt;=1,I966&lt;=1.89),"松散",IF(AND(I966&gt;=2,I966&lt;=3.5),"标准",IF(I966&gt;=3.6,"紧凑",""))))</f>
        <v/>
      </c>
      <c r="M966" s="2" t="inlineStr">
        <is>
          <t>极紧凑-豹子号</t>
        </is>
      </c>
      <c r="N966" s="2" t="inlineStr">
        <is>
          <t>松散-极松散</t>
        </is>
      </c>
      <c r="O966" s="2" t="inlineStr">
        <is>
          <t>松散-标准松散</t>
        </is>
      </c>
      <c r="P966" s="2" t="inlineStr">
        <is>
          <t>松散-偏紧松散</t>
        </is>
      </c>
      <c r="Q966" s="2" t="inlineStr">
        <is>
          <t>标准-偏松标准</t>
        </is>
      </c>
      <c r="R966" s="2" t="inlineStr">
        <is>
          <t>标准-核心标准</t>
        </is>
      </c>
      <c r="S966" s="2" t="inlineStr">
        <is>
          <t>标准-偏紧标准</t>
        </is>
      </c>
      <c r="T966" s="2" t="inlineStr">
        <is>
          <t>紧凑-标准紧凑</t>
        </is>
      </c>
      <c r="U966" s="2" t="inlineStr">
        <is>
          <t>紧凑-高度紧凑</t>
        </is>
      </c>
      <c r="V966" s="2" t="inlineStr">
        <is>
          <t>紧凑-极度紧凑</t>
        </is>
      </c>
    </row>
    <row r="967">
      <c r="A967" s="1" t="n">
        <v>2025158</v>
      </c>
      <c r="B967" s="3" t="inlineStr">
        <is>
          <t>882</t>
        </is>
      </c>
      <c r="C967" s="2">
        <f>IF(B967="","",LEFT(TEXT(B967,"000"),1)*1)</f>
        <v/>
      </c>
      <c r="D967" s="2">
        <f>IF(B967="","",MID(TEXT(B967,"000"),2,1)*1)</f>
        <v/>
      </c>
      <c r="E967" s="2">
        <f>IF(B967="","",RIGHT(TEXT(B967,"000"),1)*1)</f>
        <v/>
      </c>
      <c r="F967" s="2">
        <f>IF(B967="","",C967+D967+E967)</f>
        <v/>
      </c>
      <c r="G967" s="2">
        <f>IF(B967="","",MOD(F967,10))</f>
        <v/>
      </c>
      <c r="H967" s="2">
        <f>IF(B967="","",MAX(C967,D967,E967)-MIN(C967,D967,E967))</f>
        <v/>
      </c>
      <c r="I967" s="2">
        <f>IF(OR(B967="",H967=0),IF(H967=0,0.1,""),ROUND(F967/H967,2))</f>
        <v/>
      </c>
      <c r="J967" s="2">
        <f>IF(I967=0.1,"极紧凑",IF(I967&gt;3.5,"紧凑",IF(AND(I967&gt;=2,I967&lt;=3.5),"标准",IF(AND(I967&gt;=1,I967&lt;2),"松散",""))))</f>
        <v/>
      </c>
      <c r="K967" s="2">
        <f>IF(I967=0.1,"极紧凑-豹子号",IF(AND(I967&gt;=1,I967&lt;=1.29),"松散-极松散",IF(AND(I967&gt;=1.33,I967&lt;=1.8),"松散-标准松散",IF(AND(I967&gt;=1.83,I967&lt;=1.89),"松散-偏紧松散",IF(AND(I967&gt;=2,I967&lt;=2.5),"标准-偏松标准",IF(AND(I967&gt;=2.57,I967&lt;=3),"标准-核心标准",IF(AND(I967&gt;=3.17,I967&lt;=3.5),"标准-偏紧标准",IF(AND(I967&gt;=3.6,I967&lt;=5),"紧凑-标准紧凑",IF(AND(I967&gt;=5.25,I967&lt;=8),"紧凑-高度紧凑",IF(I967&gt;=8.5,"紧凑-极度紧凑",""))))))))))</f>
        <v/>
      </c>
      <c r="L967" s="2">
        <f>IF(I967=0.1,"极紧凑",IF(AND(I967&gt;=1,I967&lt;=1.89),"松散",IF(AND(I967&gt;=2,I967&lt;=3.5),"标准",IF(I967&gt;=3.6,"紧凑",""))))</f>
        <v/>
      </c>
      <c r="M967" s="2" t="inlineStr">
        <is>
          <t>极紧凑-豹子号</t>
        </is>
      </c>
      <c r="N967" s="2" t="inlineStr">
        <is>
          <t>松散-极松散</t>
        </is>
      </c>
      <c r="O967" s="2" t="inlineStr">
        <is>
          <t>松散-标准松散</t>
        </is>
      </c>
      <c r="P967" s="2" t="inlineStr">
        <is>
          <t>松散-偏紧松散</t>
        </is>
      </c>
      <c r="Q967" s="2" t="inlineStr">
        <is>
          <t>标准-偏松标准</t>
        </is>
      </c>
      <c r="R967" s="2" t="inlineStr">
        <is>
          <t>标准-核心标准</t>
        </is>
      </c>
      <c r="S967" s="2" t="inlineStr">
        <is>
          <t>标准-偏紧标准</t>
        </is>
      </c>
      <c r="T967" s="2" t="inlineStr">
        <is>
          <t>紧凑-标准紧凑</t>
        </is>
      </c>
      <c r="U967" s="2" t="inlineStr">
        <is>
          <t>紧凑-高度紧凑</t>
        </is>
      </c>
      <c r="V967" s="2" t="inlineStr">
        <is>
          <t>紧凑-极度紧凑</t>
        </is>
      </c>
    </row>
    <row r="968">
      <c r="A968" s="1" t="n">
        <v>2025159</v>
      </c>
      <c r="B968" s="3" t="inlineStr">
        <is>
          <t>274</t>
        </is>
      </c>
      <c r="C968" s="2">
        <f>IF(B968="","",LEFT(TEXT(B968,"000"),1)*1)</f>
        <v/>
      </c>
      <c r="D968" s="2">
        <f>IF(B968="","",MID(TEXT(B968,"000"),2,1)*1)</f>
        <v/>
      </c>
      <c r="E968" s="2">
        <f>IF(B968="","",RIGHT(TEXT(B968,"000"),1)*1)</f>
        <v/>
      </c>
      <c r="F968" s="2">
        <f>IF(B968="","",C968+D968+E968)</f>
        <v/>
      </c>
      <c r="G968" s="2">
        <f>IF(B968="","",MOD(F968,10))</f>
        <v/>
      </c>
      <c r="H968" s="2">
        <f>IF(B968="","",MAX(C968,D968,E968)-MIN(C968,D968,E968))</f>
        <v/>
      </c>
      <c r="I968" s="2">
        <f>IF(OR(B968="",H968=0),IF(H968=0,0.1,""),ROUND(F968/H968,2))</f>
        <v/>
      </c>
      <c r="J968" s="2">
        <f>IF(I968=0.1,"极紧凑",IF(I968&gt;3.5,"紧凑",IF(AND(I968&gt;=2,I968&lt;=3.5),"标准",IF(AND(I968&gt;=1,I968&lt;2),"松散",""))))</f>
        <v/>
      </c>
      <c r="K968" s="2">
        <f>IF(I968=0.1,"极紧凑-豹子号",IF(AND(I968&gt;=1,I968&lt;=1.29),"松散-极松散",IF(AND(I968&gt;=1.33,I968&lt;=1.8),"松散-标准松散",IF(AND(I968&gt;=1.83,I968&lt;=1.89),"松散-偏紧松散",IF(AND(I968&gt;=2,I968&lt;=2.5),"标准-偏松标准",IF(AND(I968&gt;=2.57,I968&lt;=3),"标准-核心标准",IF(AND(I968&gt;=3.17,I968&lt;=3.5),"标准-偏紧标准",IF(AND(I968&gt;=3.6,I968&lt;=5),"紧凑-标准紧凑",IF(AND(I968&gt;=5.25,I968&lt;=8),"紧凑-高度紧凑",IF(I968&gt;=8.5,"紧凑-极度紧凑",""))))))))))</f>
        <v/>
      </c>
      <c r="L968" s="2">
        <f>IF(I968=0.1,"极紧凑",IF(AND(I968&gt;=1,I968&lt;=1.89),"松散",IF(AND(I968&gt;=2,I968&lt;=3.5),"标准",IF(I968&gt;=3.6,"紧凑",""))))</f>
        <v/>
      </c>
      <c r="M968" s="2" t="inlineStr">
        <is>
          <t>极紧凑-豹子号</t>
        </is>
      </c>
      <c r="N968" s="2" t="inlineStr">
        <is>
          <t>松散-极松散</t>
        </is>
      </c>
      <c r="O968" s="2" t="inlineStr">
        <is>
          <t>松散-标准松散</t>
        </is>
      </c>
      <c r="P968" s="2" t="inlineStr">
        <is>
          <t>松散-偏紧松散</t>
        </is>
      </c>
      <c r="Q968" s="2" t="inlineStr">
        <is>
          <t>标准-偏松标准</t>
        </is>
      </c>
      <c r="R968" s="2" t="inlineStr">
        <is>
          <t>标准-核心标准</t>
        </is>
      </c>
      <c r="S968" s="2" t="inlineStr">
        <is>
          <t>标准-偏紧标准</t>
        </is>
      </c>
      <c r="T968" s="2" t="inlineStr">
        <is>
          <t>紧凑-标准紧凑</t>
        </is>
      </c>
      <c r="U968" s="2" t="inlineStr">
        <is>
          <t>紧凑-高度紧凑</t>
        </is>
      </c>
      <c r="V968" s="2" t="inlineStr">
        <is>
          <t>紧凑-极度紧凑</t>
        </is>
      </c>
    </row>
    <row r="969">
      <c r="A969" s="1" t="n">
        <v>2025160</v>
      </c>
      <c r="B969" s="3" t="inlineStr">
        <is>
          <t>171</t>
        </is>
      </c>
      <c r="C969" s="2">
        <f>IF(B969="","",LEFT(TEXT(B969,"000"),1)*1)</f>
        <v/>
      </c>
      <c r="D969" s="2">
        <f>IF(B969="","",MID(TEXT(B969,"000"),2,1)*1)</f>
        <v/>
      </c>
      <c r="E969" s="2">
        <f>IF(B969="","",RIGHT(TEXT(B969,"000"),1)*1)</f>
        <v/>
      </c>
      <c r="F969" s="2">
        <f>IF(B969="","",C969+D969+E969)</f>
        <v/>
      </c>
      <c r="G969" s="2">
        <f>IF(B969="","",MOD(F969,10))</f>
        <v/>
      </c>
      <c r="H969" s="2">
        <f>IF(B969="","",MAX(C969,D969,E969)-MIN(C969,D969,E969))</f>
        <v/>
      </c>
      <c r="I969" s="2">
        <f>IF(OR(B969="",H969=0),IF(H969=0,0.1,""),ROUND(F969/H969,2))</f>
        <v/>
      </c>
      <c r="J969" s="2">
        <f>IF(I969=0.1,"极紧凑",IF(I969&gt;3.5,"紧凑",IF(AND(I969&gt;=2,I969&lt;=3.5),"标准",IF(AND(I969&gt;=1,I969&lt;2),"松散",""))))</f>
        <v/>
      </c>
      <c r="K969" s="2">
        <f>IF(I969=0.1,"极紧凑-豹子号",IF(AND(I969&gt;=1,I969&lt;=1.29),"松散-极松散",IF(AND(I969&gt;=1.33,I969&lt;=1.8),"松散-标准松散",IF(AND(I969&gt;=1.83,I969&lt;=1.89),"松散-偏紧松散",IF(AND(I969&gt;=2,I969&lt;=2.5),"标准-偏松标准",IF(AND(I969&gt;=2.57,I969&lt;=3),"标准-核心标准",IF(AND(I969&gt;=3.17,I969&lt;=3.5),"标准-偏紧标准",IF(AND(I969&gt;=3.6,I969&lt;=5),"紧凑-标准紧凑",IF(AND(I969&gt;=5.25,I969&lt;=8),"紧凑-高度紧凑",IF(I969&gt;=8.5,"紧凑-极度紧凑",""))))))))))</f>
        <v/>
      </c>
      <c r="L969" s="2">
        <f>IF(I969=0.1,"极紧凑",IF(AND(I969&gt;=1,I969&lt;=1.89),"松散",IF(AND(I969&gt;=2,I969&lt;=3.5),"标准",IF(I969&gt;=3.6,"紧凑",""))))</f>
        <v/>
      </c>
      <c r="M969" s="2" t="inlineStr">
        <is>
          <t>极紧凑-豹子号</t>
        </is>
      </c>
      <c r="N969" s="2" t="inlineStr">
        <is>
          <t>松散-极松散</t>
        </is>
      </c>
      <c r="O969" s="2" t="inlineStr">
        <is>
          <t>松散-标准松散</t>
        </is>
      </c>
      <c r="P969" s="2" t="inlineStr">
        <is>
          <t>松散-偏紧松散</t>
        </is>
      </c>
      <c r="Q969" s="2" t="inlineStr">
        <is>
          <t>标准-偏松标准</t>
        </is>
      </c>
      <c r="R969" s="2" t="inlineStr">
        <is>
          <t>标准-核心标准</t>
        </is>
      </c>
      <c r="S969" s="2" t="inlineStr">
        <is>
          <t>标准-偏紧标准</t>
        </is>
      </c>
      <c r="T969" s="2" t="inlineStr">
        <is>
          <t>紧凑-标准紧凑</t>
        </is>
      </c>
      <c r="U969" s="2" t="inlineStr">
        <is>
          <t>紧凑-高度紧凑</t>
        </is>
      </c>
      <c r="V969" s="2" t="inlineStr">
        <is>
          <t>紧凑-极度紧凑</t>
        </is>
      </c>
    </row>
    <row r="970">
      <c r="A970" s="1" t="n">
        <v>2025161</v>
      </c>
      <c r="B970" s="3" t="inlineStr">
        <is>
          <t>248</t>
        </is>
      </c>
      <c r="C970" s="2">
        <f>IF(B970="","",LEFT(TEXT(B970,"000"),1)*1)</f>
        <v/>
      </c>
      <c r="D970" s="2">
        <f>IF(B970="","",MID(TEXT(B970,"000"),2,1)*1)</f>
        <v/>
      </c>
      <c r="E970" s="2">
        <f>IF(B970="","",RIGHT(TEXT(B970,"000"),1)*1)</f>
        <v/>
      </c>
      <c r="F970" s="2">
        <f>IF(B970="","",C970+D970+E970)</f>
        <v/>
      </c>
      <c r="G970" s="2">
        <f>IF(B970="","",MOD(F970,10))</f>
        <v/>
      </c>
      <c r="H970" s="2">
        <f>IF(B970="","",MAX(C970,D970,E970)-MIN(C970,D970,E970))</f>
        <v/>
      </c>
      <c r="I970" s="2">
        <f>IF(OR(B970="",H970=0),IF(H970=0,0.1,""),ROUND(F970/H970,2))</f>
        <v/>
      </c>
      <c r="J970" s="2">
        <f>IF(I970=0.1,"极紧凑",IF(I970&gt;3.5,"紧凑",IF(AND(I970&gt;=2,I970&lt;=3.5),"标准",IF(AND(I970&gt;=1,I970&lt;2),"松散",""))))</f>
        <v/>
      </c>
      <c r="K970" s="2">
        <f>IF(I970=0.1,"极紧凑-豹子号",IF(AND(I970&gt;=1,I970&lt;=1.29),"松散-极松散",IF(AND(I970&gt;=1.33,I970&lt;=1.8),"松散-标准松散",IF(AND(I970&gt;=1.83,I970&lt;=1.89),"松散-偏紧松散",IF(AND(I970&gt;=2,I970&lt;=2.5),"标准-偏松标准",IF(AND(I970&gt;=2.57,I970&lt;=3),"标准-核心标准",IF(AND(I970&gt;=3.17,I970&lt;=3.5),"标准-偏紧标准",IF(AND(I970&gt;=3.6,I970&lt;=5),"紧凑-标准紧凑",IF(AND(I970&gt;=5.25,I970&lt;=8),"紧凑-高度紧凑",IF(I970&gt;=8.5,"紧凑-极度紧凑",""))))))))))</f>
        <v/>
      </c>
      <c r="L970" s="2">
        <f>IF(I970=0.1,"极紧凑",IF(AND(I970&gt;=1,I970&lt;=1.89),"松散",IF(AND(I970&gt;=2,I970&lt;=3.5),"标准",IF(I970&gt;=3.6,"紧凑",""))))</f>
        <v/>
      </c>
      <c r="M970" s="2" t="inlineStr">
        <is>
          <t>极紧凑-豹子号</t>
        </is>
      </c>
      <c r="N970" s="2" t="inlineStr">
        <is>
          <t>松散-极松散</t>
        </is>
      </c>
      <c r="O970" s="2" t="inlineStr">
        <is>
          <t>松散-标准松散</t>
        </is>
      </c>
      <c r="P970" s="2" t="inlineStr">
        <is>
          <t>松散-偏紧松散</t>
        </is>
      </c>
      <c r="Q970" s="2" t="inlineStr">
        <is>
          <t>标准-偏松标准</t>
        </is>
      </c>
      <c r="R970" s="2" t="inlineStr">
        <is>
          <t>标准-核心标准</t>
        </is>
      </c>
      <c r="S970" s="2" t="inlineStr">
        <is>
          <t>标准-偏紧标准</t>
        </is>
      </c>
      <c r="T970" s="2" t="inlineStr">
        <is>
          <t>紧凑-标准紧凑</t>
        </is>
      </c>
      <c r="U970" s="2" t="inlineStr">
        <is>
          <t>紧凑-高度紧凑</t>
        </is>
      </c>
      <c r="V970" s="2" t="inlineStr">
        <is>
          <t>紧凑-极度紧凑</t>
        </is>
      </c>
    </row>
    <row r="971">
      <c r="A971" s="1" t="n">
        <v>2025162</v>
      </c>
      <c r="B971" s="3" t="inlineStr">
        <is>
          <t>317</t>
        </is>
      </c>
      <c r="C971" s="2">
        <f>IF(B971="","",LEFT(TEXT(B971,"000"),1)*1)</f>
        <v/>
      </c>
      <c r="D971" s="2">
        <f>IF(B971="","",MID(TEXT(B971,"000"),2,1)*1)</f>
        <v/>
      </c>
      <c r="E971" s="2">
        <f>IF(B971="","",RIGHT(TEXT(B971,"000"),1)*1)</f>
        <v/>
      </c>
      <c r="F971" s="2">
        <f>IF(B971="","",C971+D971+E971)</f>
        <v/>
      </c>
      <c r="G971" s="2">
        <f>IF(B971="","",MOD(F971,10))</f>
        <v/>
      </c>
      <c r="H971" s="2">
        <f>IF(B971="","",MAX(C971,D971,E971)-MIN(C971,D971,E971))</f>
        <v/>
      </c>
      <c r="I971" s="2">
        <f>IF(OR(B971="",H971=0),IF(H971=0,0.1,""),ROUND(F971/H971,2))</f>
        <v/>
      </c>
      <c r="J971" s="2">
        <f>IF(I971=0.1,"极紧凑",IF(I971&gt;3.5,"紧凑",IF(AND(I971&gt;=2,I971&lt;=3.5),"标准",IF(AND(I971&gt;=1,I971&lt;2),"松散",""))))</f>
        <v/>
      </c>
      <c r="K971" s="2">
        <f>IF(I971=0.1,"极紧凑-豹子号",IF(AND(I971&gt;=1,I971&lt;=1.29),"松散-极松散",IF(AND(I971&gt;=1.33,I971&lt;=1.8),"松散-标准松散",IF(AND(I971&gt;=1.83,I971&lt;=1.89),"松散-偏紧松散",IF(AND(I971&gt;=2,I971&lt;=2.5),"标准-偏松标准",IF(AND(I971&gt;=2.57,I971&lt;=3),"标准-核心标准",IF(AND(I971&gt;=3.17,I971&lt;=3.5),"标准-偏紧标准",IF(AND(I971&gt;=3.6,I971&lt;=5),"紧凑-标准紧凑",IF(AND(I971&gt;=5.25,I971&lt;=8),"紧凑-高度紧凑",IF(I971&gt;=8.5,"紧凑-极度紧凑",""))))))))))</f>
        <v/>
      </c>
      <c r="L971" s="2">
        <f>IF(I971=0.1,"极紧凑",IF(AND(I971&gt;=1,I971&lt;=1.89),"松散",IF(AND(I971&gt;=2,I971&lt;=3.5),"标准",IF(I971&gt;=3.6,"紧凑",""))))</f>
        <v/>
      </c>
      <c r="M971" s="2" t="inlineStr">
        <is>
          <t>极紧凑-豹子号</t>
        </is>
      </c>
      <c r="N971" s="2" t="inlineStr">
        <is>
          <t>松散-极松散</t>
        </is>
      </c>
      <c r="O971" s="2" t="inlineStr">
        <is>
          <t>松散-标准松散</t>
        </is>
      </c>
      <c r="P971" s="2" t="inlineStr">
        <is>
          <t>松散-偏紧松散</t>
        </is>
      </c>
      <c r="Q971" s="2" t="inlineStr">
        <is>
          <t>标准-偏松标准</t>
        </is>
      </c>
      <c r="R971" s="2" t="inlineStr">
        <is>
          <t>标准-核心标准</t>
        </is>
      </c>
      <c r="S971" s="2" t="inlineStr">
        <is>
          <t>标准-偏紧标准</t>
        </is>
      </c>
      <c r="T971" s="2" t="inlineStr">
        <is>
          <t>紧凑-标准紧凑</t>
        </is>
      </c>
      <c r="U971" s="2" t="inlineStr">
        <is>
          <t>紧凑-高度紧凑</t>
        </is>
      </c>
      <c r="V971" s="2" t="inlineStr">
        <is>
          <t>紧凑-极度紧凑</t>
        </is>
      </c>
    </row>
    <row r="972">
      <c r="A972" s="1" t="n">
        <v>2025163</v>
      </c>
      <c r="B972" s="3" t="inlineStr">
        <is>
          <t>766</t>
        </is>
      </c>
      <c r="C972" s="2">
        <f>IF(B972="","",LEFT(TEXT(B972,"000"),1)*1)</f>
        <v/>
      </c>
      <c r="D972" s="2">
        <f>IF(B972="","",MID(TEXT(B972,"000"),2,1)*1)</f>
        <v/>
      </c>
      <c r="E972" s="2">
        <f>IF(B972="","",RIGHT(TEXT(B972,"000"),1)*1)</f>
        <v/>
      </c>
      <c r="F972" s="2">
        <f>IF(B972="","",C972+D972+E972)</f>
        <v/>
      </c>
      <c r="G972" s="2">
        <f>IF(B972="","",MOD(F972,10))</f>
        <v/>
      </c>
      <c r="H972" s="2">
        <f>IF(B972="","",MAX(C972,D972,E972)-MIN(C972,D972,E972))</f>
        <v/>
      </c>
      <c r="I972" s="2">
        <f>IF(OR(B972="",H972=0),IF(H972=0,0.1,""),ROUND(F972/H972,2))</f>
        <v/>
      </c>
      <c r="J972" s="2">
        <f>IF(I972=0.1,"极紧凑",IF(I972&gt;3.5,"紧凑",IF(AND(I972&gt;=2,I972&lt;=3.5),"标准",IF(AND(I972&gt;=1,I972&lt;2),"松散",""))))</f>
        <v/>
      </c>
      <c r="K972" s="2">
        <f>IF(I972=0.1,"极紧凑-豹子号",IF(AND(I972&gt;=1,I972&lt;=1.29),"松散-极松散",IF(AND(I972&gt;=1.33,I972&lt;=1.8),"松散-标准松散",IF(AND(I972&gt;=1.83,I972&lt;=1.89),"松散-偏紧松散",IF(AND(I972&gt;=2,I972&lt;=2.5),"标准-偏松标准",IF(AND(I972&gt;=2.57,I972&lt;=3),"标准-核心标准",IF(AND(I972&gt;=3.17,I972&lt;=3.5),"标准-偏紧标准",IF(AND(I972&gt;=3.6,I972&lt;=5),"紧凑-标准紧凑",IF(AND(I972&gt;=5.25,I972&lt;=8),"紧凑-高度紧凑",IF(I972&gt;=8.5,"紧凑-极度紧凑",""))))))))))</f>
        <v/>
      </c>
      <c r="L972" s="2">
        <f>IF(I972=0.1,"极紧凑",IF(AND(I972&gt;=1,I972&lt;=1.89),"松散",IF(AND(I972&gt;=2,I972&lt;=3.5),"标准",IF(I972&gt;=3.6,"紧凑",""))))</f>
        <v/>
      </c>
      <c r="M972" s="2" t="inlineStr">
        <is>
          <t>极紧凑-豹子号</t>
        </is>
      </c>
      <c r="N972" s="2" t="inlineStr">
        <is>
          <t>松散-极松散</t>
        </is>
      </c>
      <c r="O972" s="2" t="inlineStr">
        <is>
          <t>松散-标准松散</t>
        </is>
      </c>
      <c r="P972" s="2" t="inlineStr">
        <is>
          <t>松散-偏紧松散</t>
        </is>
      </c>
      <c r="Q972" s="2" t="inlineStr">
        <is>
          <t>标准-偏松标准</t>
        </is>
      </c>
      <c r="R972" s="2" t="inlineStr">
        <is>
          <t>标准-核心标准</t>
        </is>
      </c>
      <c r="S972" s="2" t="inlineStr">
        <is>
          <t>标准-偏紧标准</t>
        </is>
      </c>
      <c r="T972" s="2" t="inlineStr">
        <is>
          <t>紧凑-标准紧凑</t>
        </is>
      </c>
      <c r="U972" s="2" t="inlineStr">
        <is>
          <t>紧凑-高度紧凑</t>
        </is>
      </c>
      <c r="V972" s="2" t="inlineStr">
        <is>
          <t>紧凑-极度紧凑</t>
        </is>
      </c>
    </row>
    <row r="973">
      <c r="A973" s="1" t="n">
        <v>2025164</v>
      </c>
      <c r="B973" s="3" t="inlineStr">
        <is>
          <t>519</t>
        </is>
      </c>
      <c r="C973" s="2">
        <f>IF(B973="","",LEFT(TEXT(B973,"000"),1)*1)</f>
        <v/>
      </c>
      <c r="D973" s="2">
        <f>IF(B973="","",MID(TEXT(B973,"000"),2,1)*1)</f>
        <v/>
      </c>
      <c r="E973" s="2">
        <f>IF(B973="","",RIGHT(TEXT(B973,"000"),1)*1)</f>
        <v/>
      </c>
      <c r="F973" s="2">
        <f>IF(B973="","",C973+D973+E973)</f>
        <v/>
      </c>
      <c r="G973" s="2">
        <f>IF(B973="","",MOD(F973,10))</f>
        <v/>
      </c>
      <c r="H973" s="2">
        <f>IF(B973="","",MAX(C973,D973,E973)-MIN(C973,D973,E973))</f>
        <v/>
      </c>
      <c r="I973" s="2">
        <f>IF(OR(B973="",H973=0),IF(H973=0,0.1,""),ROUND(F973/H973,2))</f>
        <v/>
      </c>
      <c r="J973" s="2">
        <f>IF(I973=0.1,"极紧凑",IF(I973&gt;3.5,"紧凑",IF(AND(I973&gt;=2,I973&lt;=3.5),"标准",IF(AND(I973&gt;=1,I973&lt;2),"松散",""))))</f>
        <v/>
      </c>
      <c r="K973" s="2">
        <f>IF(I973=0.1,"极紧凑-豹子号",IF(AND(I973&gt;=1,I973&lt;=1.29),"松散-极松散",IF(AND(I973&gt;=1.33,I973&lt;=1.8),"松散-标准松散",IF(AND(I973&gt;=1.83,I973&lt;=1.89),"松散-偏紧松散",IF(AND(I973&gt;=2,I973&lt;=2.5),"标准-偏松标准",IF(AND(I973&gt;=2.57,I973&lt;=3),"标准-核心标准",IF(AND(I973&gt;=3.17,I973&lt;=3.5),"标准-偏紧标准",IF(AND(I973&gt;=3.6,I973&lt;=5),"紧凑-标准紧凑",IF(AND(I973&gt;=5.25,I973&lt;=8),"紧凑-高度紧凑",IF(I973&gt;=8.5,"紧凑-极度紧凑",""))))))))))</f>
        <v/>
      </c>
      <c r="L973" s="2">
        <f>IF(I973=0.1,"极紧凑",IF(AND(I973&gt;=1,I973&lt;=1.89),"松散",IF(AND(I973&gt;=2,I973&lt;=3.5),"标准",IF(I973&gt;=3.6,"紧凑",""))))</f>
        <v/>
      </c>
      <c r="M973" s="2" t="inlineStr">
        <is>
          <t>极紧凑-豹子号</t>
        </is>
      </c>
      <c r="N973" s="2" t="inlineStr">
        <is>
          <t>松散-极松散</t>
        </is>
      </c>
      <c r="O973" s="2" t="inlineStr">
        <is>
          <t>松散-标准松散</t>
        </is>
      </c>
      <c r="P973" s="2" t="inlineStr">
        <is>
          <t>松散-偏紧松散</t>
        </is>
      </c>
      <c r="Q973" s="2" t="inlineStr">
        <is>
          <t>标准-偏松标准</t>
        </is>
      </c>
      <c r="R973" s="2" t="inlineStr">
        <is>
          <t>标准-核心标准</t>
        </is>
      </c>
      <c r="S973" s="2" t="inlineStr">
        <is>
          <t>标准-偏紧标准</t>
        </is>
      </c>
      <c r="T973" s="2" t="inlineStr">
        <is>
          <t>紧凑-标准紧凑</t>
        </is>
      </c>
      <c r="U973" s="2" t="inlineStr">
        <is>
          <t>紧凑-高度紧凑</t>
        </is>
      </c>
      <c r="V973" s="2" t="inlineStr">
        <is>
          <t>紧凑-极度紧凑</t>
        </is>
      </c>
    </row>
    <row r="974">
      <c r="A974" s="1" t="n">
        <v>2025165</v>
      </c>
      <c r="B974" s="3" t="inlineStr">
        <is>
          <t>103</t>
        </is>
      </c>
      <c r="C974" s="2">
        <f>IF(B974="","",LEFT(TEXT(B974,"000"),1)*1)</f>
        <v/>
      </c>
      <c r="D974" s="2">
        <f>IF(B974="","",MID(TEXT(B974,"000"),2,1)*1)</f>
        <v/>
      </c>
      <c r="E974" s="2">
        <f>IF(B974="","",RIGHT(TEXT(B974,"000"),1)*1)</f>
        <v/>
      </c>
      <c r="F974" s="2">
        <f>IF(B974="","",C974+D974+E974)</f>
        <v/>
      </c>
      <c r="G974" s="2">
        <f>IF(B974="","",MOD(F974,10))</f>
        <v/>
      </c>
      <c r="H974" s="2">
        <f>IF(B974="","",MAX(C974,D974,E974)-MIN(C974,D974,E974))</f>
        <v/>
      </c>
      <c r="I974" s="2">
        <f>IF(OR(B974="",H974=0),IF(H974=0,0.1,""),ROUND(F974/H974,2))</f>
        <v/>
      </c>
      <c r="J974" s="2">
        <f>IF(I974=0.1,"极紧凑",IF(I974&gt;3.5,"紧凑",IF(AND(I974&gt;=2,I974&lt;=3.5),"标准",IF(AND(I974&gt;=1,I974&lt;2),"松散",""))))</f>
        <v/>
      </c>
      <c r="K974" s="2">
        <f>IF(I974=0.1,"极紧凑-豹子号",IF(AND(I974&gt;=1,I974&lt;=1.29),"松散-极松散",IF(AND(I974&gt;=1.33,I974&lt;=1.8),"松散-标准松散",IF(AND(I974&gt;=1.83,I974&lt;=1.89),"松散-偏紧松散",IF(AND(I974&gt;=2,I974&lt;=2.5),"标准-偏松标准",IF(AND(I974&gt;=2.57,I974&lt;=3),"标准-核心标准",IF(AND(I974&gt;=3.17,I974&lt;=3.5),"标准-偏紧标准",IF(AND(I974&gt;=3.6,I974&lt;=5),"紧凑-标准紧凑",IF(AND(I974&gt;=5.25,I974&lt;=8),"紧凑-高度紧凑",IF(I974&gt;=8.5,"紧凑-极度紧凑",""))))))))))</f>
        <v/>
      </c>
      <c r="L974" s="2">
        <f>IF(I974=0.1,"极紧凑",IF(AND(I974&gt;=1,I974&lt;=1.89),"松散",IF(AND(I974&gt;=2,I974&lt;=3.5),"标准",IF(I974&gt;=3.6,"紧凑",""))))</f>
        <v/>
      </c>
      <c r="M974" s="2" t="inlineStr">
        <is>
          <t>极紧凑-豹子号</t>
        </is>
      </c>
      <c r="N974" s="2" t="inlineStr">
        <is>
          <t>松散-极松散</t>
        </is>
      </c>
      <c r="O974" s="2" t="inlineStr">
        <is>
          <t>松散-标准松散</t>
        </is>
      </c>
      <c r="P974" s="2" t="inlineStr">
        <is>
          <t>松散-偏紧松散</t>
        </is>
      </c>
      <c r="Q974" s="2" t="inlineStr">
        <is>
          <t>标准-偏松标准</t>
        </is>
      </c>
      <c r="R974" s="2" t="inlineStr">
        <is>
          <t>标准-核心标准</t>
        </is>
      </c>
      <c r="S974" s="2" t="inlineStr">
        <is>
          <t>标准-偏紧标准</t>
        </is>
      </c>
      <c r="T974" s="2" t="inlineStr">
        <is>
          <t>紧凑-标准紧凑</t>
        </is>
      </c>
      <c r="U974" s="2" t="inlineStr">
        <is>
          <t>紧凑-高度紧凑</t>
        </is>
      </c>
      <c r="V974" s="2" t="inlineStr">
        <is>
          <t>紧凑-极度紧凑</t>
        </is>
      </c>
    </row>
    <row r="975">
      <c r="A975" s="1" t="n">
        <v>2025166</v>
      </c>
      <c r="B975" s="3" t="inlineStr">
        <is>
          <t>696</t>
        </is>
      </c>
      <c r="C975" s="2">
        <f>IF(B975="","",LEFT(TEXT(B975,"000"),1)*1)</f>
        <v/>
      </c>
      <c r="D975" s="2">
        <f>IF(B975="","",MID(TEXT(B975,"000"),2,1)*1)</f>
        <v/>
      </c>
      <c r="E975" s="2">
        <f>IF(B975="","",RIGHT(TEXT(B975,"000"),1)*1)</f>
        <v/>
      </c>
      <c r="F975" s="2">
        <f>IF(B975="","",C975+D975+E975)</f>
        <v/>
      </c>
      <c r="G975" s="2">
        <f>IF(B975="","",MOD(F975,10))</f>
        <v/>
      </c>
      <c r="H975" s="2">
        <f>IF(B975="","",MAX(C975,D975,E975)-MIN(C975,D975,E975))</f>
        <v/>
      </c>
      <c r="I975" s="2">
        <f>IF(OR(B975="",H975=0),IF(H975=0,0.1,""),ROUND(F975/H975,2))</f>
        <v/>
      </c>
      <c r="J975" s="2">
        <f>IF(I975=0.1,"极紧凑",IF(I975&gt;3.5,"紧凑",IF(AND(I975&gt;=2,I975&lt;=3.5),"标准",IF(AND(I975&gt;=1,I975&lt;2),"松散",""))))</f>
        <v/>
      </c>
      <c r="K975" s="2">
        <f>IF(I975=0.1,"极紧凑-豹子号",IF(AND(I975&gt;=1,I975&lt;=1.29),"松散-极松散",IF(AND(I975&gt;=1.33,I975&lt;=1.8),"松散-标准松散",IF(AND(I975&gt;=1.83,I975&lt;=1.89),"松散-偏紧松散",IF(AND(I975&gt;=2,I975&lt;=2.5),"标准-偏松标准",IF(AND(I975&gt;=2.57,I975&lt;=3),"标准-核心标准",IF(AND(I975&gt;=3.17,I975&lt;=3.5),"标准-偏紧标准",IF(AND(I975&gt;=3.6,I975&lt;=5),"紧凑-标准紧凑",IF(AND(I975&gt;=5.25,I975&lt;=8),"紧凑-高度紧凑",IF(I975&gt;=8.5,"紧凑-极度紧凑",""))))))))))</f>
        <v/>
      </c>
      <c r="L975" s="2">
        <f>IF(I975=0.1,"极紧凑",IF(AND(I975&gt;=1,I975&lt;=1.89),"松散",IF(AND(I975&gt;=2,I975&lt;=3.5),"标准",IF(I975&gt;=3.6,"紧凑",""))))</f>
        <v/>
      </c>
      <c r="M975" s="2" t="inlineStr">
        <is>
          <t>极紧凑-豹子号</t>
        </is>
      </c>
      <c r="N975" s="2" t="inlineStr">
        <is>
          <t>松散-极松散</t>
        </is>
      </c>
      <c r="O975" s="2" t="inlineStr">
        <is>
          <t>松散-标准松散</t>
        </is>
      </c>
      <c r="P975" s="2" t="inlineStr">
        <is>
          <t>松散-偏紧松散</t>
        </is>
      </c>
      <c r="Q975" s="2" t="inlineStr">
        <is>
          <t>标准-偏松标准</t>
        </is>
      </c>
      <c r="R975" s="2" t="inlineStr">
        <is>
          <t>标准-核心标准</t>
        </is>
      </c>
      <c r="S975" s="2" t="inlineStr">
        <is>
          <t>标准-偏紧标准</t>
        </is>
      </c>
      <c r="T975" s="2" t="inlineStr">
        <is>
          <t>紧凑-标准紧凑</t>
        </is>
      </c>
      <c r="U975" s="2" t="inlineStr">
        <is>
          <t>紧凑-高度紧凑</t>
        </is>
      </c>
      <c r="V975" s="2" t="inlineStr">
        <is>
          <t>紧凑-极度紧凑</t>
        </is>
      </c>
    </row>
    <row r="976">
      <c r="A976" s="1" t="n">
        <v>2025167</v>
      </c>
      <c r="B976" s="3" t="inlineStr">
        <is>
          <t>267</t>
        </is>
      </c>
      <c r="C976" s="2">
        <f>IF(B976="","",LEFT(TEXT(B976,"000"),1)*1)</f>
        <v/>
      </c>
      <c r="D976" s="2">
        <f>IF(B976="","",MID(TEXT(B976,"000"),2,1)*1)</f>
        <v/>
      </c>
      <c r="E976" s="2">
        <f>IF(B976="","",RIGHT(TEXT(B976,"000"),1)*1)</f>
        <v/>
      </c>
      <c r="F976" s="2">
        <f>IF(B976="","",C976+D976+E976)</f>
        <v/>
      </c>
      <c r="G976" s="2">
        <f>IF(B976="","",MOD(F976,10))</f>
        <v/>
      </c>
      <c r="H976" s="2">
        <f>IF(B976="","",MAX(C976,D976,E976)-MIN(C976,D976,E976))</f>
        <v/>
      </c>
      <c r="I976" s="2">
        <f>IF(OR(B976="",H976=0),IF(H976=0,0.1,""),ROUND(F976/H976,2))</f>
        <v/>
      </c>
      <c r="J976" s="2">
        <f>IF(I976=0.1,"极紧凑",IF(I976&gt;3.5,"紧凑",IF(AND(I976&gt;=2,I976&lt;=3.5),"标准",IF(AND(I976&gt;=1,I976&lt;2),"松散",""))))</f>
        <v/>
      </c>
      <c r="K976" s="2">
        <f>IF(I976=0.1,"极紧凑-豹子号",IF(AND(I976&gt;=1,I976&lt;=1.29),"松散-极松散",IF(AND(I976&gt;=1.33,I976&lt;=1.8),"松散-标准松散",IF(AND(I976&gt;=1.83,I976&lt;=1.89),"松散-偏紧松散",IF(AND(I976&gt;=2,I976&lt;=2.5),"标准-偏松标准",IF(AND(I976&gt;=2.57,I976&lt;=3),"标准-核心标准",IF(AND(I976&gt;=3.17,I976&lt;=3.5),"标准-偏紧标准",IF(AND(I976&gt;=3.6,I976&lt;=5),"紧凑-标准紧凑",IF(AND(I976&gt;=5.25,I976&lt;=8),"紧凑-高度紧凑",IF(I976&gt;=8.5,"紧凑-极度紧凑",""))))))))))</f>
        <v/>
      </c>
      <c r="L976" s="2">
        <f>IF(I976=0.1,"极紧凑",IF(AND(I976&gt;=1,I976&lt;=1.89),"松散",IF(AND(I976&gt;=2,I976&lt;=3.5),"标准",IF(I976&gt;=3.6,"紧凑",""))))</f>
        <v/>
      </c>
      <c r="M976" s="2" t="inlineStr">
        <is>
          <t>极紧凑-豹子号</t>
        </is>
      </c>
      <c r="N976" s="2" t="inlineStr">
        <is>
          <t>松散-极松散</t>
        </is>
      </c>
      <c r="O976" s="2" t="inlineStr">
        <is>
          <t>松散-标准松散</t>
        </is>
      </c>
      <c r="P976" s="2" t="inlineStr">
        <is>
          <t>松散-偏紧松散</t>
        </is>
      </c>
      <c r="Q976" s="2" t="inlineStr">
        <is>
          <t>标准-偏松标准</t>
        </is>
      </c>
      <c r="R976" s="2" t="inlineStr">
        <is>
          <t>标准-核心标准</t>
        </is>
      </c>
      <c r="S976" s="2" t="inlineStr">
        <is>
          <t>标准-偏紧标准</t>
        </is>
      </c>
      <c r="T976" s="2" t="inlineStr">
        <is>
          <t>紧凑-标准紧凑</t>
        </is>
      </c>
      <c r="U976" s="2" t="inlineStr">
        <is>
          <t>紧凑-高度紧凑</t>
        </is>
      </c>
      <c r="V976" s="2" t="inlineStr">
        <is>
          <t>紧凑-极度紧凑</t>
        </is>
      </c>
    </row>
    <row r="977">
      <c r="A977" s="1" t="n">
        <v>2025168</v>
      </c>
      <c r="B977" s="3" t="inlineStr">
        <is>
          <t>203</t>
        </is>
      </c>
      <c r="C977" s="2">
        <f>IF(B977="","",LEFT(TEXT(B977,"000"),1)*1)</f>
        <v/>
      </c>
      <c r="D977" s="2">
        <f>IF(B977="","",MID(TEXT(B977,"000"),2,1)*1)</f>
        <v/>
      </c>
      <c r="E977" s="2">
        <f>IF(B977="","",RIGHT(TEXT(B977,"000"),1)*1)</f>
        <v/>
      </c>
      <c r="F977" s="2">
        <f>IF(B977="","",C977+D977+E977)</f>
        <v/>
      </c>
      <c r="G977" s="2">
        <f>IF(B977="","",MOD(F977,10))</f>
        <v/>
      </c>
      <c r="H977" s="2">
        <f>IF(B977="","",MAX(C977,D977,E977)-MIN(C977,D977,E977))</f>
        <v/>
      </c>
      <c r="I977" s="2">
        <f>IF(OR(B977="",H977=0),IF(H977=0,0.1,""),ROUND(F977/H977,2))</f>
        <v/>
      </c>
      <c r="J977" s="2">
        <f>IF(I977=0.1,"极紧凑",IF(I977&gt;3.5,"紧凑",IF(AND(I977&gt;=2,I977&lt;=3.5),"标准",IF(AND(I977&gt;=1,I977&lt;2),"松散",""))))</f>
        <v/>
      </c>
      <c r="K977" s="2">
        <f>IF(I977=0.1,"极紧凑-豹子号",IF(AND(I977&gt;=1,I977&lt;=1.29),"松散-极松散",IF(AND(I977&gt;=1.33,I977&lt;=1.8),"松散-标准松散",IF(AND(I977&gt;=1.83,I977&lt;=1.89),"松散-偏紧松散",IF(AND(I977&gt;=2,I977&lt;=2.5),"标准-偏松标准",IF(AND(I977&gt;=2.57,I977&lt;=3),"标准-核心标准",IF(AND(I977&gt;=3.17,I977&lt;=3.5),"标准-偏紧标准",IF(AND(I977&gt;=3.6,I977&lt;=5),"紧凑-标准紧凑",IF(AND(I977&gt;=5.25,I977&lt;=8),"紧凑-高度紧凑",IF(I977&gt;=8.5,"紧凑-极度紧凑",""))))))))))</f>
        <v/>
      </c>
      <c r="L977" s="2">
        <f>IF(I977=0.1,"极紧凑",IF(AND(I977&gt;=1,I977&lt;=1.89),"松散",IF(AND(I977&gt;=2,I977&lt;=3.5),"标准",IF(I977&gt;=3.6,"紧凑",""))))</f>
        <v/>
      </c>
      <c r="M977" s="2" t="inlineStr">
        <is>
          <t>极紧凑-豹子号</t>
        </is>
      </c>
      <c r="N977" s="2" t="inlineStr">
        <is>
          <t>松散-极松散</t>
        </is>
      </c>
      <c r="O977" s="2" t="inlineStr">
        <is>
          <t>松散-标准松散</t>
        </is>
      </c>
      <c r="P977" s="2" t="inlineStr">
        <is>
          <t>松散-偏紧松散</t>
        </is>
      </c>
      <c r="Q977" s="2" t="inlineStr">
        <is>
          <t>标准-偏松标准</t>
        </is>
      </c>
      <c r="R977" s="2" t="inlineStr">
        <is>
          <t>标准-核心标准</t>
        </is>
      </c>
      <c r="S977" s="2" t="inlineStr">
        <is>
          <t>标准-偏紧标准</t>
        </is>
      </c>
      <c r="T977" s="2" t="inlineStr">
        <is>
          <t>紧凑-标准紧凑</t>
        </is>
      </c>
      <c r="U977" s="2" t="inlineStr">
        <is>
          <t>紧凑-高度紧凑</t>
        </is>
      </c>
      <c r="V977" s="2" t="inlineStr">
        <is>
          <t>紧凑-极度紧凑</t>
        </is>
      </c>
    </row>
    <row r="978">
      <c r="A978" s="1" t="n">
        <v>2025169</v>
      </c>
      <c r="B978" s="3" t="inlineStr">
        <is>
          <t>699</t>
        </is>
      </c>
      <c r="C978" s="2">
        <f>IF(B978="","",LEFT(TEXT(B978,"000"),1)*1)</f>
        <v/>
      </c>
      <c r="D978" s="2">
        <f>IF(B978="","",MID(TEXT(B978,"000"),2,1)*1)</f>
        <v/>
      </c>
      <c r="E978" s="2">
        <f>IF(B978="","",RIGHT(TEXT(B978,"000"),1)*1)</f>
        <v/>
      </c>
      <c r="F978" s="2">
        <f>IF(B978="","",C978+D978+E978)</f>
        <v/>
      </c>
      <c r="G978" s="2">
        <f>IF(B978="","",MOD(F978,10))</f>
        <v/>
      </c>
      <c r="H978" s="2">
        <f>IF(B978="","",MAX(C978,D978,E978)-MIN(C978,D978,E978))</f>
        <v/>
      </c>
      <c r="I978" s="2">
        <f>IF(OR(B978="",H978=0),IF(H978=0,0.1,""),ROUND(F978/H978,2))</f>
        <v/>
      </c>
      <c r="J978" s="2">
        <f>IF(I978=0.1,"极紧凑",IF(I978&gt;3.5,"紧凑",IF(AND(I978&gt;=2,I978&lt;=3.5),"标准",IF(AND(I978&gt;=1,I978&lt;2),"松散",""))))</f>
        <v/>
      </c>
      <c r="K978" s="2">
        <f>IF(I978=0.1,"极紧凑-豹子号",IF(AND(I978&gt;=1,I978&lt;=1.29),"松散-极松散",IF(AND(I978&gt;=1.33,I978&lt;=1.8),"松散-标准松散",IF(AND(I978&gt;=1.83,I978&lt;=1.89),"松散-偏紧松散",IF(AND(I978&gt;=2,I978&lt;=2.5),"标准-偏松标准",IF(AND(I978&gt;=2.57,I978&lt;=3),"标准-核心标准",IF(AND(I978&gt;=3.17,I978&lt;=3.5),"标准-偏紧标准",IF(AND(I978&gt;=3.6,I978&lt;=5),"紧凑-标准紧凑",IF(AND(I978&gt;=5.25,I978&lt;=8),"紧凑-高度紧凑",IF(I978&gt;=8.5,"紧凑-极度紧凑",""))))))))))</f>
        <v/>
      </c>
      <c r="L978" s="2">
        <f>IF(I978=0.1,"极紧凑",IF(AND(I978&gt;=1,I978&lt;=1.89),"松散",IF(AND(I978&gt;=2,I978&lt;=3.5),"标准",IF(I978&gt;=3.6,"紧凑",""))))</f>
        <v/>
      </c>
      <c r="M978" s="2" t="inlineStr">
        <is>
          <t>极紧凑-豹子号</t>
        </is>
      </c>
      <c r="N978" s="2" t="inlineStr">
        <is>
          <t>松散-极松散</t>
        </is>
      </c>
      <c r="O978" s="2" t="inlineStr">
        <is>
          <t>松散-标准松散</t>
        </is>
      </c>
      <c r="P978" s="2" t="inlineStr">
        <is>
          <t>松散-偏紧松散</t>
        </is>
      </c>
      <c r="Q978" s="2" t="inlineStr">
        <is>
          <t>标准-偏松标准</t>
        </is>
      </c>
      <c r="R978" s="2" t="inlineStr">
        <is>
          <t>标准-核心标准</t>
        </is>
      </c>
      <c r="S978" s="2" t="inlineStr">
        <is>
          <t>标准-偏紧标准</t>
        </is>
      </c>
      <c r="T978" s="2" t="inlineStr">
        <is>
          <t>紧凑-标准紧凑</t>
        </is>
      </c>
      <c r="U978" s="2" t="inlineStr">
        <is>
          <t>紧凑-高度紧凑</t>
        </is>
      </c>
      <c r="V978" s="2" t="inlineStr">
        <is>
          <t>紧凑-极度紧凑</t>
        </is>
      </c>
    </row>
    <row r="979">
      <c r="A979" s="1" t="n">
        <v>2025170</v>
      </c>
      <c r="B979" s="3" t="inlineStr">
        <is>
          <t>502</t>
        </is>
      </c>
      <c r="C979" s="2">
        <f>IF(B979="","",LEFT(TEXT(B979,"000"),1)*1)</f>
        <v/>
      </c>
      <c r="D979" s="2">
        <f>IF(B979="","",MID(TEXT(B979,"000"),2,1)*1)</f>
        <v/>
      </c>
      <c r="E979" s="2">
        <f>IF(B979="","",RIGHT(TEXT(B979,"000"),1)*1)</f>
        <v/>
      </c>
      <c r="F979" s="2">
        <f>IF(B979="","",C979+D979+E979)</f>
        <v/>
      </c>
      <c r="G979" s="2">
        <f>IF(B979="","",MOD(F979,10))</f>
        <v/>
      </c>
      <c r="H979" s="2">
        <f>IF(B979="","",MAX(C979,D979,E979)-MIN(C979,D979,E979))</f>
        <v/>
      </c>
      <c r="I979" s="2">
        <f>IF(OR(B979="",H979=0),IF(H979=0,0.1,""),ROUND(F979/H979,2))</f>
        <v/>
      </c>
      <c r="J979" s="2">
        <f>IF(I979=0.1,"极紧凑",IF(I979&gt;3.5,"紧凑",IF(AND(I979&gt;=2,I979&lt;=3.5),"标准",IF(AND(I979&gt;=1,I979&lt;2),"松散",""))))</f>
        <v/>
      </c>
      <c r="K979" s="2">
        <f>IF(I979=0.1,"极紧凑-豹子号",IF(AND(I979&gt;=1,I979&lt;=1.29),"松散-极松散",IF(AND(I979&gt;=1.33,I979&lt;=1.8),"松散-标准松散",IF(AND(I979&gt;=1.83,I979&lt;=1.89),"松散-偏紧松散",IF(AND(I979&gt;=2,I979&lt;=2.5),"标准-偏松标准",IF(AND(I979&gt;=2.57,I979&lt;=3),"标准-核心标准",IF(AND(I979&gt;=3.17,I979&lt;=3.5),"标准-偏紧标准",IF(AND(I979&gt;=3.6,I979&lt;=5),"紧凑-标准紧凑",IF(AND(I979&gt;=5.25,I979&lt;=8),"紧凑-高度紧凑",IF(I979&gt;=8.5,"紧凑-极度紧凑",""))))))))))</f>
        <v/>
      </c>
      <c r="L979" s="2">
        <f>IF(I979=0.1,"极紧凑",IF(AND(I979&gt;=1,I979&lt;=1.89),"松散",IF(AND(I979&gt;=2,I979&lt;=3.5),"标准",IF(I979&gt;=3.6,"紧凑",""))))</f>
        <v/>
      </c>
      <c r="M979" s="2" t="inlineStr">
        <is>
          <t>极紧凑-豹子号</t>
        </is>
      </c>
      <c r="N979" s="2" t="inlineStr">
        <is>
          <t>松散-极松散</t>
        </is>
      </c>
      <c r="O979" s="2" t="inlineStr">
        <is>
          <t>松散-标准松散</t>
        </is>
      </c>
      <c r="P979" s="2" t="inlineStr">
        <is>
          <t>松散-偏紧松散</t>
        </is>
      </c>
      <c r="Q979" s="2" t="inlineStr">
        <is>
          <t>标准-偏松标准</t>
        </is>
      </c>
      <c r="R979" s="2" t="inlineStr">
        <is>
          <t>标准-核心标准</t>
        </is>
      </c>
      <c r="S979" s="2" t="inlineStr">
        <is>
          <t>标准-偏紧标准</t>
        </is>
      </c>
      <c r="T979" s="2" t="inlineStr">
        <is>
          <t>紧凑-标准紧凑</t>
        </is>
      </c>
      <c r="U979" s="2" t="inlineStr">
        <is>
          <t>紧凑-高度紧凑</t>
        </is>
      </c>
      <c r="V979" s="2" t="inlineStr">
        <is>
          <t>紧凑-极度紧凑</t>
        </is>
      </c>
    </row>
    <row r="980">
      <c r="A980" s="1" t="n">
        <v>2025171</v>
      </c>
      <c r="B980" s="3" t="inlineStr">
        <is>
          <t>105</t>
        </is>
      </c>
      <c r="C980" s="2">
        <f>IF(B980="","",LEFT(TEXT(B980,"000"),1)*1)</f>
        <v/>
      </c>
      <c r="D980" s="2">
        <f>IF(B980="","",MID(TEXT(B980,"000"),2,1)*1)</f>
        <v/>
      </c>
      <c r="E980" s="2">
        <f>IF(B980="","",RIGHT(TEXT(B980,"000"),1)*1)</f>
        <v/>
      </c>
      <c r="F980" s="2">
        <f>IF(B980="","",C980+D980+E980)</f>
        <v/>
      </c>
      <c r="G980" s="2">
        <f>IF(B980="","",MOD(F980,10))</f>
        <v/>
      </c>
      <c r="H980" s="2">
        <f>IF(B980="","",MAX(C980,D980,E980)-MIN(C980,D980,E980))</f>
        <v/>
      </c>
      <c r="I980" s="2">
        <f>IF(OR(B980="",H980=0),IF(H980=0,0.1,""),ROUND(F980/H980,2))</f>
        <v/>
      </c>
      <c r="J980" s="2">
        <f>IF(I980=0.1,"极紧凑",IF(I980&gt;3.5,"紧凑",IF(AND(I980&gt;=2,I980&lt;=3.5),"标准",IF(AND(I980&gt;=1,I980&lt;2),"松散",""))))</f>
        <v/>
      </c>
      <c r="K980" s="2">
        <f>IF(I980=0.1,"极紧凑-豹子号",IF(AND(I980&gt;=1,I980&lt;=1.29),"松散-极松散",IF(AND(I980&gt;=1.33,I980&lt;=1.8),"松散-标准松散",IF(AND(I980&gt;=1.83,I980&lt;=1.89),"松散-偏紧松散",IF(AND(I980&gt;=2,I980&lt;=2.5),"标准-偏松标准",IF(AND(I980&gt;=2.57,I980&lt;=3),"标准-核心标准",IF(AND(I980&gt;=3.17,I980&lt;=3.5),"标准-偏紧标准",IF(AND(I980&gt;=3.6,I980&lt;=5),"紧凑-标准紧凑",IF(AND(I980&gt;=5.25,I980&lt;=8),"紧凑-高度紧凑",IF(I980&gt;=8.5,"紧凑-极度紧凑",""))))))))))</f>
        <v/>
      </c>
      <c r="L980" s="2">
        <f>IF(I980=0.1,"极紧凑",IF(AND(I980&gt;=1,I980&lt;=1.89),"松散",IF(AND(I980&gt;=2,I980&lt;=3.5),"标准",IF(I980&gt;=3.6,"紧凑",""))))</f>
        <v/>
      </c>
      <c r="M980" s="2" t="inlineStr">
        <is>
          <t>极紧凑-豹子号</t>
        </is>
      </c>
      <c r="N980" s="2" t="inlineStr">
        <is>
          <t>松散-极松散</t>
        </is>
      </c>
      <c r="O980" s="2" t="inlineStr">
        <is>
          <t>松散-标准松散</t>
        </is>
      </c>
      <c r="P980" s="2" t="inlineStr">
        <is>
          <t>松散-偏紧松散</t>
        </is>
      </c>
      <c r="Q980" s="2" t="inlineStr">
        <is>
          <t>标准-偏松标准</t>
        </is>
      </c>
      <c r="R980" s="2" t="inlineStr">
        <is>
          <t>标准-核心标准</t>
        </is>
      </c>
      <c r="S980" s="2" t="inlineStr">
        <is>
          <t>标准-偏紧标准</t>
        </is>
      </c>
      <c r="T980" s="2" t="inlineStr">
        <is>
          <t>紧凑-标准紧凑</t>
        </is>
      </c>
      <c r="U980" s="2" t="inlineStr">
        <is>
          <t>紧凑-高度紧凑</t>
        </is>
      </c>
      <c r="V980" s="2" t="inlineStr">
        <is>
          <t>紧凑-极度紧凑</t>
        </is>
      </c>
    </row>
    <row r="981">
      <c r="A981" s="1" t="n">
        <v>2025172</v>
      </c>
      <c r="B981" s="3" t="inlineStr">
        <is>
          <t>724</t>
        </is>
      </c>
      <c r="C981" s="2">
        <f>IF(B981="","",LEFT(TEXT(B981,"000"),1)*1)</f>
        <v/>
      </c>
      <c r="D981" s="2">
        <f>IF(B981="","",MID(TEXT(B981,"000"),2,1)*1)</f>
        <v/>
      </c>
      <c r="E981" s="2">
        <f>IF(B981="","",RIGHT(TEXT(B981,"000"),1)*1)</f>
        <v/>
      </c>
      <c r="F981" s="2">
        <f>IF(B981="","",C981+D981+E981)</f>
        <v/>
      </c>
      <c r="G981" s="2">
        <f>IF(B981="","",MOD(F981,10))</f>
        <v/>
      </c>
      <c r="H981" s="2">
        <f>IF(B981="","",MAX(C981,D981,E981)-MIN(C981,D981,E981))</f>
        <v/>
      </c>
      <c r="I981" s="2">
        <f>IF(OR(B981="",H981=0),IF(H981=0,0.1,""),ROUND(F981/H981,2))</f>
        <v/>
      </c>
      <c r="J981" s="2">
        <f>IF(I981=0.1,"极紧凑",IF(I981&gt;3.5,"紧凑",IF(AND(I981&gt;=2,I981&lt;=3.5),"标准",IF(AND(I981&gt;=1,I981&lt;2),"松散",""))))</f>
        <v/>
      </c>
      <c r="K981" s="2">
        <f>IF(I981=0.1,"极紧凑-豹子号",IF(AND(I981&gt;=1,I981&lt;=1.29),"松散-极松散",IF(AND(I981&gt;=1.33,I981&lt;=1.8),"松散-标准松散",IF(AND(I981&gt;=1.83,I981&lt;=1.89),"松散-偏紧松散",IF(AND(I981&gt;=2,I981&lt;=2.5),"标准-偏松标准",IF(AND(I981&gt;=2.57,I981&lt;=3),"标准-核心标准",IF(AND(I981&gt;=3.17,I981&lt;=3.5),"标准-偏紧标准",IF(AND(I981&gt;=3.6,I981&lt;=5),"紧凑-标准紧凑",IF(AND(I981&gt;=5.25,I981&lt;=8),"紧凑-高度紧凑",IF(I981&gt;=8.5,"紧凑-极度紧凑",""))))))))))</f>
        <v/>
      </c>
      <c r="L981" s="2">
        <f>IF(I981=0.1,"极紧凑",IF(AND(I981&gt;=1,I981&lt;=1.89),"松散",IF(AND(I981&gt;=2,I981&lt;=3.5),"标准",IF(I981&gt;=3.6,"紧凑",""))))</f>
        <v/>
      </c>
      <c r="M981" s="2" t="inlineStr">
        <is>
          <t>极紧凑-豹子号</t>
        </is>
      </c>
      <c r="N981" s="2" t="inlineStr">
        <is>
          <t>松散-极松散</t>
        </is>
      </c>
      <c r="O981" s="2" t="inlineStr">
        <is>
          <t>松散-标准松散</t>
        </is>
      </c>
      <c r="P981" s="2" t="inlineStr">
        <is>
          <t>松散-偏紧松散</t>
        </is>
      </c>
      <c r="Q981" s="2" t="inlineStr">
        <is>
          <t>标准-偏松标准</t>
        </is>
      </c>
      <c r="R981" s="2" t="inlineStr">
        <is>
          <t>标准-核心标准</t>
        </is>
      </c>
      <c r="S981" s="2" t="inlineStr">
        <is>
          <t>标准-偏紧标准</t>
        </is>
      </c>
      <c r="T981" s="2" t="inlineStr">
        <is>
          <t>紧凑-标准紧凑</t>
        </is>
      </c>
      <c r="U981" s="2" t="inlineStr">
        <is>
          <t>紧凑-高度紧凑</t>
        </is>
      </c>
      <c r="V981" s="2" t="inlineStr">
        <is>
          <t>紧凑-极度紧凑</t>
        </is>
      </c>
    </row>
    <row r="982">
      <c r="A982" s="1" t="n">
        <v>2025173</v>
      </c>
      <c r="B982" s="3" t="inlineStr">
        <is>
          <t>673</t>
        </is>
      </c>
      <c r="C982" s="2">
        <f>IF(B982="","",LEFT(TEXT(B982,"000"),1)*1)</f>
        <v/>
      </c>
      <c r="D982" s="2">
        <f>IF(B982="","",MID(TEXT(B982,"000"),2,1)*1)</f>
        <v/>
      </c>
      <c r="E982" s="2">
        <f>IF(B982="","",RIGHT(TEXT(B982,"000"),1)*1)</f>
        <v/>
      </c>
      <c r="F982" s="2">
        <f>IF(B982="","",C982+D982+E982)</f>
        <v/>
      </c>
      <c r="G982" s="2">
        <f>IF(B982="","",MOD(F982,10))</f>
        <v/>
      </c>
      <c r="H982" s="2">
        <f>IF(B982="","",MAX(C982,D982,E982)-MIN(C982,D982,E982))</f>
        <v/>
      </c>
      <c r="I982" s="2">
        <f>IF(OR(B982="",H982=0),IF(H982=0,0.1,""),ROUND(F982/H982,2))</f>
        <v/>
      </c>
      <c r="J982" s="2">
        <f>IF(I982=0.1,"极紧凑",IF(I982&gt;3.5,"紧凑",IF(AND(I982&gt;=2,I982&lt;=3.5),"标准",IF(AND(I982&gt;=1,I982&lt;2),"松散",""))))</f>
        <v/>
      </c>
      <c r="K982" s="2">
        <f>IF(I982=0.1,"极紧凑-豹子号",IF(AND(I982&gt;=1,I982&lt;=1.29),"松散-极松散",IF(AND(I982&gt;=1.33,I982&lt;=1.8),"松散-标准松散",IF(AND(I982&gt;=1.83,I982&lt;=1.89),"松散-偏紧松散",IF(AND(I982&gt;=2,I982&lt;=2.5),"标准-偏松标准",IF(AND(I982&gt;=2.57,I982&lt;=3),"标准-核心标准",IF(AND(I982&gt;=3.17,I982&lt;=3.5),"标准-偏紧标准",IF(AND(I982&gt;=3.6,I982&lt;=5),"紧凑-标准紧凑",IF(AND(I982&gt;=5.25,I982&lt;=8),"紧凑-高度紧凑",IF(I982&gt;=8.5,"紧凑-极度紧凑",""))))))))))</f>
        <v/>
      </c>
      <c r="L982" s="2">
        <f>IF(I982=0.1,"极紧凑",IF(AND(I982&gt;=1,I982&lt;=1.89),"松散",IF(AND(I982&gt;=2,I982&lt;=3.5),"标准",IF(I982&gt;=3.6,"紧凑",""))))</f>
        <v/>
      </c>
      <c r="M982" s="2" t="inlineStr">
        <is>
          <t>极紧凑-豹子号</t>
        </is>
      </c>
      <c r="N982" s="2" t="inlineStr">
        <is>
          <t>松散-极松散</t>
        </is>
      </c>
      <c r="O982" s="2" t="inlineStr">
        <is>
          <t>松散-标准松散</t>
        </is>
      </c>
      <c r="P982" s="2" t="inlineStr">
        <is>
          <t>松散-偏紧松散</t>
        </is>
      </c>
      <c r="Q982" s="2" t="inlineStr">
        <is>
          <t>标准-偏松标准</t>
        </is>
      </c>
      <c r="R982" s="2" t="inlineStr">
        <is>
          <t>标准-核心标准</t>
        </is>
      </c>
      <c r="S982" s="2" t="inlineStr">
        <is>
          <t>标准-偏紧标准</t>
        </is>
      </c>
      <c r="T982" s="2" t="inlineStr">
        <is>
          <t>紧凑-标准紧凑</t>
        </is>
      </c>
      <c r="U982" s="2" t="inlineStr">
        <is>
          <t>紧凑-高度紧凑</t>
        </is>
      </c>
      <c r="V982" s="2" t="inlineStr">
        <is>
          <t>紧凑-极度紧凑</t>
        </is>
      </c>
    </row>
    <row r="983">
      <c r="A983" s="1" t="n">
        <v>2025174</v>
      </c>
      <c r="B983" s="3" t="inlineStr">
        <is>
          <t>131</t>
        </is>
      </c>
      <c r="C983" s="2">
        <f>IF(B983="","",LEFT(TEXT(B983,"000"),1)*1)</f>
        <v/>
      </c>
      <c r="D983" s="2">
        <f>IF(B983="","",MID(TEXT(B983,"000"),2,1)*1)</f>
        <v/>
      </c>
      <c r="E983" s="2">
        <f>IF(B983="","",RIGHT(TEXT(B983,"000"),1)*1)</f>
        <v/>
      </c>
      <c r="F983" s="2">
        <f>IF(B983="","",C983+D983+E983)</f>
        <v/>
      </c>
      <c r="G983" s="2">
        <f>IF(B983="","",MOD(F983,10))</f>
        <v/>
      </c>
      <c r="H983" s="2">
        <f>IF(B983="","",MAX(C983,D983,E983)-MIN(C983,D983,E983))</f>
        <v/>
      </c>
      <c r="I983" s="2">
        <f>IF(OR(B983="",H983=0),IF(H983=0,0.1,""),ROUND(F983/H983,2))</f>
        <v/>
      </c>
      <c r="J983" s="2">
        <f>IF(I983=0.1,"极紧凑",IF(I983&gt;3.5,"紧凑",IF(AND(I983&gt;=2,I983&lt;=3.5),"标准",IF(AND(I983&gt;=1,I983&lt;2),"松散",""))))</f>
        <v/>
      </c>
      <c r="K983" s="2">
        <f>IF(I983=0.1,"极紧凑-豹子号",IF(AND(I983&gt;=1,I983&lt;=1.29),"松散-极松散",IF(AND(I983&gt;=1.33,I983&lt;=1.8),"松散-标准松散",IF(AND(I983&gt;=1.83,I983&lt;=1.89),"松散-偏紧松散",IF(AND(I983&gt;=2,I983&lt;=2.5),"标准-偏松标准",IF(AND(I983&gt;=2.57,I983&lt;=3),"标准-核心标准",IF(AND(I983&gt;=3.17,I983&lt;=3.5),"标准-偏紧标准",IF(AND(I983&gt;=3.6,I983&lt;=5),"紧凑-标准紧凑",IF(AND(I983&gt;=5.25,I983&lt;=8),"紧凑-高度紧凑",IF(I983&gt;=8.5,"紧凑-极度紧凑",""))))))))))</f>
        <v/>
      </c>
      <c r="L983" s="2">
        <f>IF(I983=0.1,"极紧凑",IF(AND(I983&gt;=1,I983&lt;=1.89),"松散",IF(AND(I983&gt;=2,I983&lt;=3.5),"标准",IF(I983&gt;=3.6,"紧凑",""))))</f>
        <v/>
      </c>
      <c r="M983" s="2" t="inlineStr">
        <is>
          <t>极紧凑-豹子号</t>
        </is>
      </c>
      <c r="N983" s="2" t="inlineStr">
        <is>
          <t>松散-极松散</t>
        </is>
      </c>
      <c r="O983" s="2" t="inlineStr">
        <is>
          <t>松散-标准松散</t>
        </is>
      </c>
      <c r="P983" s="2" t="inlineStr">
        <is>
          <t>松散-偏紧松散</t>
        </is>
      </c>
      <c r="Q983" s="2" t="inlineStr">
        <is>
          <t>标准-偏松标准</t>
        </is>
      </c>
      <c r="R983" s="2" t="inlineStr">
        <is>
          <t>标准-核心标准</t>
        </is>
      </c>
      <c r="S983" s="2" t="inlineStr">
        <is>
          <t>标准-偏紧标准</t>
        </is>
      </c>
      <c r="T983" s="2" t="inlineStr">
        <is>
          <t>紧凑-标准紧凑</t>
        </is>
      </c>
      <c r="U983" s="2" t="inlineStr">
        <is>
          <t>紧凑-高度紧凑</t>
        </is>
      </c>
      <c r="V983" s="2" t="inlineStr">
        <is>
          <t>紧凑-极度紧凑</t>
        </is>
      </c>
    </row>
    <row r="984">
      <c r="A984" s="1" t="n">
        <v>2025175</v>
      </c>
      <c r="B984" s="3" t="inlineStr">
        <is>
          <t>413</t>
        </is>
      </c>
      <c r="C984" s="2">
        <f>IF(B984="","",LEFT(TEXT(B984,"000"),1)*1)</f>
        <v/>
      </c>
      <c r="D984" s="2">
        <f>IF(B984="","",MID(TEXT(B984,"000"),2,1)*1)</f>
        <v/>
      </c>
      <c r="E984" s="2">
        <f>IF(B984="","",RIGHT(TEXT(B984,"000"),1)*1)</f>
        <v/>
      </c>
      <c r="F984" s="2">
        <f>IF(B984="","",C984+D984+E984)</f>
        <v/>
      </c>
      <c r="G984" s="2">
        <f>IF(B984="","",MOD(F984,10))</f>
        <v/>
      </c>
      <c r="H984" s="2">
        <f>IF(B984="","",MAX(C984,D984,E984)-MIN(C984,D984,E984))</f>
        <v/>
      </c>
      <c r="I984" s="2">
        <f>IF(OR(B984="",H984=0),IF(H984=0,0.1,""),ROUND(F984/H984,2))</f>
        <v/>
      </c>
      <c r="J984" s="2">
        <f>IF(I984=0.1,"极紧凑",IF(I984&gt;3.5,"紧凑",IF(AND(I984&gt;=2,I984&lt;=3.5),"标准",IF(AND(I984&gt;=1,I984&lt;2),"松散",""))))</f>
        <v/>
      </c>
      <c r="K984" s="2">
        <f>IF(I984=0.1,"极紧凑-豹子号",IF(AND(I984&gt;=1,I984&lt;=1.29),"松散-极松散",IF(AND(I984&gt;=1.33,I984&lt;=1.8),"松散-标准松散",IF(AND(I984&gt;=1.83,I984&lt;=1.89),"松散-偏紧松散",IF(AND(I984&gt;=2,I984&lt;=2.5),"标准-偏松标准",IF(AND(I984&gt;=2.57,I984&lt;=3),"标准-核心标准",IF(AND(I984&gt;=3.17,I984&lt;=3.5),"标准-偏紧标准",IF(AND(I984&gt;=3.6,I984&lt;=5),"紧凑-标准紧凑",IF(AND(I984&gt;=5.25,I984&lt;=8),"紧凑-高度紧凑",IF(I984&gt;=8.5,"紧凑-极度紧凑",""))))))))))</f>
        <v/>
      </c>
      <c r="L984" s="2">
        <f>IF(I984=0.1,"极紧凑",IF(AND(I984&gt;=1,I984&lt;=1.89),"松散",IF(AND(I984&gt;=2,I984&lt;=3.5),"标准",IF(I984&gt;=3.6,"紧凑",""))))</f>
        <v/>
      </c>
      <c r="M984" s="2" t="inlineStr">
        <is>
          <t>极紧凑-豹子号</t>
        </is>
      </c>
      <c r="N984" s="2" t="inlineStr">
        <is>
          <t>松散-极松散</t>
        </is>
      </c>
      <c r="O984" s="2" t="inlineStr">
        <is>
          <t>松散-标准松散</t>
        </is>
      </c>
      <c r="P984" s="2" t="inlineStr">
        <is>
          <t>松散-偏紧松散</t>
        </is>
      </c>
      <c r="Q984" s="2" t="inlineStr">
        <is>
          <t>标准-偏松标准</t>
        </is>
      </c>
      <c r="R984" s="2" t="inlineStr">
        <is>
          <t>标准-核心标准</t>
        </is>
      </c>
      <c r="S984" s="2" t="inlineStr">
        <is>
          <t>标准-偏紧标准</t>
        </is>
      </c>
      <c r="T984" s="2" t="inlineStr">
        <is>
          <t>紧凑-标准紧凑</t>
        </is>
      </c>
      <c r="U984" s="2" t="inlineStr">
        <is>
          <t>紧凑-高度紧凑</t>
        </is>
      </c>
      <c r="V984" s="2" t="inlineStr">
        <is>
          <t>紧凑-极度紧凑</t>
        </is>
      </c>
    </row>
    <row r="985">
      <c r="A985" s="1" t="n">
        <v>2025176</v>
      </c>
      <c r="B985" s="3" t="inlineStr">
        <is>
          <t>949</t>
        </is>
      </c>
      <c r="C985" s="2">
        <f>IF(B985="","",LEFT(TEXT(B985,"000"),1)*1)</f>
        <v/>
      </c>
      <c r="D985" s="2">
        <f>IF(B985="","",MID(TEXT(B985,"000"),2,1)*1)</f>
        <v/>
      </c>
      <c r="E985" s="2">
        <f>IF(B985="","",RIGHT(TEXT(B985,"000"),1)*1)</f>
        <v/>
      </c>
      <c r="F985" s="2">
        <f>IF(B985="","",C985+D985+E985)</f>
        <v/>
      </c>
      <c r="G985" s="2">
        <f>IF(B985="","",MOD(F985,10))</f>
        <v/>
      </c>
      <c r="H985" s="2">
        <f>IF(B985="","",MAX(C985,D985,E985)-MIN(C985,D985,E985))</f>
        <v/>
      </c>
      <c r="I985" s="2">
        <f>IF(OR(B985="",H985=0),IF(H985=0,0.1,""),ROUND(F985/H985,2))</f>
        <v/>
      </c>
      <c r="J985" s="2">
        <f>IF(I985=0.1,"极紧凑",IF(I985&gt;3.5,"紧凑",IF(AND(I985&gt;=2,I985&lt;=3.5),"标准",IF(AND(I985&gt;=1,I985&lt;2),"松散",""))))</f>
        <v/>
      </c>
      <c r="K985" s="2">
        <f>IF(I985=0.1,"极紧凑-豹子号",IF(AND(I985&gt;=1,I985&lt;=1.29),"松散-极松散",IF(AND(I985&gt;=1.33,I985&lt;=1.8),"松散-标准松散",IF(AND(I985&gt;=1.83,I985&lt;=1.89),"松散-偏紧松散",IF(AND(I985&gt;=2,I985&lt;=2.5),"标准-偏松标准",IF(AND(I985&gt;=2.57,I985&lt;=3),"标准-核心标准",IF(AND(I985&gt;=3.17,I985&lt;=3.5),"标准-偏紧标准",IF(AND(I985&gt;=3.6,I985&lt;=5),"紧凑-标准紧凑",IF(AND(I985&gt;=5.25,I985&lt;=8),"紧凑-高度紧凑",IF(I985&gt;=8.5,"紧凑-极度紧凑",""))))))))))</f>
        <v/>
      </c>
      <c r="L985" s="2">
        <f>IF(I985=0.1,"极紧凑",IF(AND(I985&gt;=1,I985&lt;=1.89),"松散",IF(AND(I985&gt;=2,I985&lt;=3.5),"标准",IF(I985&gt;=3.6,"紧凑",""))))</f>
        <v/>
      </c>
      <c r="M985" s="2" t="inlineStr">
        <is>
          <t>极紧凑-豹子号</t>
        </is>
      </c>
      <c r="N985" s="2" t="inlineStr">
        <is>
          <t>松散-极松散</t>
        </is>
      </c>
      <c r="O985" s="2" t="inlineStr">
        <is>
          <t>松散-标准松散</t>
        </is>
      </c>
      <c r="P985" s="2" t="inlineStr">
        <is>
          <t>松散-偏紧松散</t>
        </is>
      </c>
      <c r="Q985" s="2" t="inlineStr">
        <is>
          <t>标准-偏松标准</t>
        </is>
      </c>
      <c r="R985" s="2" t="inlineStr">
        <is>
          <t>标准-核心标准</t>
        </is>
      </c>
      <c r="S985" s="2" t="inlineStr">
        <is>
          <t>标准-偏紧标准</t>
        </is>
      </c>
      <c r="T985" s="2" t="inlineStr">
        <is>
          <t>紧凑-标准紧凑</t>
        </is>
      </c>
      <c r="U985" s="2" t="inlineStr">
        <is>
          <t>紧凑-高度紧凑</t>
        </is>
      </c>
      <c r="V985" s="2" t="inlineStr">
        <is>
          <t>紧凑-极度紧凑</t>
        </is>
      </c>
    </row>
    <row r="986">
      <c r="A986" s="1" t="n">
        <v>2025177</v>
      </c>
      <c r="B986" s="3" t="inlineStr">
        <is>
          <t>977</t>
        </is>
      </c>
      <c r="C986" s="2">
        <f>IF(B986="","",LEFT(TEXT(B986,"000"),1)*1)</f>
        <v/>
      </c>
      <c r="D986" s="2">
        <f>IF(B986="","",MID(TEXT(B986,"000"),2,1)*1)</f>
        <v/>
      </c>
      <c r="E986" s="2">
        <f>IF(B986="","",RIGHT(TEXT(B986,"000"),1)*1)</f>
        <v/>
      </c>
      <c r="F986" s="2">
        <f>IF(B986="","",C986+D986+E986)</f>
        <v/>
      </c>
      <c r="G986" s="2">
        <f>IF(B986="","",MOD(F986,10))</f>
        <v/>
      </c>
      <c r="H986" s="2">
        <f>IF(B986="","",MAX(C986,D986,E986)-MIN(C986,D986,E986))</f>
        <v/>
      </c>
      <c r="I986" s="2">
        <f>IF(OR(B986="",H986=0),IF(H986=0,0.1,""),ROUND(F986/H986,2))</f>
        <v/>
      </c>
      <c r="J986" s="2">
        <f>IF(I986=0.1,"极紧凑",IF(I986&gt;3.5,"紧凑",IF(AND(I986&gt;=2,I986&lt;=3.5),"标准",IF(AND(I986&gt;=1,I986&lt;2),"松散",""))))</f>
        <v/>
      </c>
      <c r="K986" s="2">
        <f>IF(I986=0.1,"极紧凑-豹子号",IF(AND(I986&gt;=1,I986&lt;=1.29),"松散-极松散",IF(AND(I986&gt;=1.33,I986&lt;=1.8),"松散-标准松散",IF(AND(I986&gt;=1.83,I986&lt;=1.89),"松散-偏紧松散",IF(AND(I986&gt;=2,I986&lt;=2.5),"标准-偏松标准",IF(AND(I986&gt;=2.57,I986&lt;=3),"标准-核心标准",IF(AND(I986&gt;=3.17,I986&lt;=3.5),"标准-偏紧标准",IF(AND(I986&gt;=3.6,I986&lt;=5),"紧凑-标准紧凑",IF(AND(I986&gt;=5.25,I986&lt;=8),"紧凑-高度紧凑",IF(I986&gt;=8.5,"紧凑-极度紧凑",""))))))))))</f>
        <v/>
      </c>
      <c r="L986" s="2">
        <f>IF(I986=0.1,"极紧凑",IF(AND(I986&gt;=1,I986&lt;=1.89),"松散",IF(AND(I986&gt;=2,I986&lt;=3.5),"标准",IF(I986&gt;=3.6,"紧凑",""))))</f>
        <v/>
      </c>
      <c r="M986" s="2" t="inlineStr">
        <is>
          <t>极紧凑-豹子号</t>
        </is>
      </c>
      <c r="N986" s="2" t="inlineStr">
        <is>
          <t>松散-极松散</t>
        </is>
      </c>
      <c r="O986" s="2" t="inlineStr">
        <is>
          <t>松散-标准松散</t>
        </is>
      </c>
      <c r="P986" s="2" t="inlineStr">
        <is>
          <t>松散-偏紧松散</t>
        </is>
      </c>
      <c r="Q986" s="2" t="inlineStr">
        <is>
          <t>标准-偏松标准</t>
        </is>
      </c>
      <c r="R986" s="2" t="inlineStr">
        <is>
          <t>标准-核心标准</t>
        </is>
      </c>
      <c r="S986" s="2" t="inlineStr">
        <is>
          <t>标准-偏紧标准</t>
        </is>
      </c>
      <c r="T986" s="2" t="inlineStr">
        <is>
          <t>紧凑-标准紧凑</t>
        </is>
      </c>
      <c r="U986" s="2" t="inlineStr">
        <is>
          <t>紧凑-高度紧凑</t>
        </is>
      </c>
      <c r="V986" s="2" t="inlineStr">
        <is>
          <t>紧凑-极度紧凑</t>
        </is>
      </c>
    </row>
    <row r="987">
      <c r="A987" s="1" t="n">
        <v>2025178</v>
      </c>
      <c r="B987" s="3" t="inlineStr">
        <is>
          <t>714</t>
        </is>
      </c>
      <c r="C987" s="2">
        <f>IF(B987="","",LEFT(TEXT(B987,"000"),1)*1)</f>
        <v/>
      </c>
      <c r="D987" s="2">
        <f>IF(B987="","",MID(TEXT(B987,"000"),2,1)*1)</f>
        <v/>
      </c>
      <c r="E987" s="2">
        <f>IF(B987="","",RIGHT(TEXT(B987,"000"),1)*1)</f>
        <v/>
      </c>
      <c r="F987" s="2">
        <f>IF(B987="","",C987+D987+E987)</f>
        <v/>
      </c>
      <c r="G987" s="2">
        <f>IF(B987="","",MOD(F987,10))</f>
        <v/>
      </c>
      <c r="H987" s="2">
        <f>IF(B987="","",MAX(C987,D987,E987)-MIN(C987,D987,E987))</f>
        <v/>
      </c>
      <c r="I987" s="2">
        <f>IF(OR(B987="",H987=0),IF(H987=0,0.1,""),ROUND(F987/H987,2))</f>
        <v/>
      </c>
      <c r="J987" s="2">
        <f>IF(I987=0.1,"极紧凑",IF(I987&gt;3.5,"紧凑",IF(AND(I987&gt;=2,I987&lt;=3.5),"标准",IF(AND(I987&gt;=1,I987&lt;2),"松散",""))))</f>
        <v/>
      </c>
      <c r="K987" s="2">
        <f>IF(I987=0.1,"极紧凑-豹子号",IF(AND(I987&gt;=1,I987&lt;=1.29),"松散-极松散",IF(AND(I987&gt;=1.33,I987&lt;=1.8),"松散-标准松散",IF(AND(I987&gt;=1.83,I987&lt;=1.89),"松散-偏紧松散",IF(AND(I987&gt;=2,I987&lt;=2.5),"标准-偏松标准",IF(AND(I987&gt;=2.57,I987&lt;=3),"标准-核心标准",IF(AND(I987&gt;=3.17,I987&lt;=3.5),"标准-偏紧标准",IF(AND(I987&gt;=3.6,I987&lt;=5),"紧凑-标准紧凑",IF(AND(I987&gt;=5.25,I987&lt;=8),"紧凑-高度紧凑",IF(I987&gt;=8.5,"紧凑-极度紧凑",""))))))))))</f>
        <v/>
      </c>
      <c r="L987" s="2">
        <f>IF(I987=0.1,"极紧凑",IF(AND(I987&gt;=1,I987&lt;=1.89),"松散",IF(AND(I987&gt;=2,I987&lt;=3.5),"标准",IF(I987&gt;=3.6,"紧凑",""))))</f>
        <v/>
      </c>
      <c r="M987" s="2" t="inlineStr">
        <is>
          <t>极紧凑-豹子号</t>
        </is>
      </c>
      <c r="N987" s="2" t="inlineStr">
        <is>
          <t>松散-极松散</t>
        </is>
      </c>
      <c r="O987" s="2" t="inlineStr">
        <is>
          <t>松散-标准松散</t>
        </is>
      </c>
      <c r="P987" s="2" t="inlineStr">
        <is>
          <t>松散-偏紧松散</t>
        </is>
      </c>
      <c r="Q987" s="2" t="inlineStr">
        <is>
          <t>标准-偏松标准</t>
        </is>
      </c>
      <c r="R987" s="2" t="inlineStr">
        <is>
          <t>标准-核心标准</t>
        </is>
      </c>
      <c r="S987" s="2" t="inlineStr">
        <is>
          <t>标准-偏紧标准</t>
        </is>
      </c>
      <c r="T987" s="2" t="inlineStr">
        <is>
          <t>紧凑-标准紧凑</t>
        </is>
      </c>
      <c r="U987" s="2" t="inlineStr">
        <is>
          <t>紧凑-高度紧凑</t>
        </is>
      </c>
      <c r="V987" s="2" t="inlineStr">
        <is>
          <t>紧凑-极度紧凑</t>
        </is>
      </c>
    </row>
    <row r="988">
      <c r="A988" s="1" t="n">
        <v>2025179</v>
      </c>
      <c r="B988" s="3" t="inlineStr">
        <is>
          <t>972</t>
        </is>
      </c>
      <c r="C988" s="2">
        <f>IF(B988="","",LEFT(TEXT(B988,"000"),1)*1)</f>
        <v/>
      </c>
      <c r="D988" s="2">
        <f>IF(B988="","",MID(TEXT(B988,"000"),2,1)*1)</f>
        <v/>
      </c>
      <c r="E988" s="2">
        <f>IF(B988="","",RIGHT(TEXT(B988,"000"),1)*1)</f>
        <v/>
      </c>
      <c r="F988" s="2">
        <f>IF(B988="","",C988+D988+E988)</f>
        <v/>
      </c>
      <c r="G988" s="2">
        <f>IF(B988="","",MOD(F988,10))</f>
        <v/>
      </c>
      <c r="H988" s="2">
        <f>IF(B988="","",MAX(C988,D988,E988)-MIN(C988,D988,E988))</f>
        <v/>
      </c>
      <c r="I988" s="2">
        <f>IF(OR(B988="",H988=0),IF(H988=0,0.1,""),ROUND(F988/H988,2))</f>
        <v/>
      </c>
      <c r="J988" s="2">
        <f>IF(I988=0.1,"极紧凑",IF(I988&gt;3.5,"紧凑",IF(AND(I988&gt;=2,I988&lt;=3.5),"标准",IF(AND(I988&gt;=1,I988&lt;2),"松散",""))))</f>
        <v/>
      </c>
      <c r="K988" s="2">
        <f>IF(I988=0.1,"极紧凑-豹子号",IF(AND(I988&gt;=1,I988&lt;=1.29),"松散-极松散",IF(AND(I988&gt;=1.33,I988&lt;=1.8),"松散-标准松散",IF(AND(I988&gt;=1.83,I988&lt;=1.89),"松散-偏紧松散",IF(AND(I988&gt;=2,I988&lt;=2.5),"标准-偏松标准",IF(AND(I988&gt;=2.57,I988&lt;=3),"标准-核心标准",IF(AND(I988&gt;=3.17,I988&lt;=3.5),"标准-偏紧标准",IF(AND(I988&gt;=3.6,I988&lt;=5),"紧凑-标准紧凑",IF(AND(I988&gt;=5.25,I988&lt;=8),"紧凑-高度紧凑",IF(I988&gt;=8.5,"紧凑-极度紧凑",""))))))))))</f>
        <v/>
      </c>
      <c r="L988" s="2">
        <f>IF(I988=0.1,"极紧凑",IF(AND(I988&gt;=1,I988&lt;=1.89),"松散",IF(AND(I988&gt;=2,I988&lt;=3.5),"标准",IF(I988&gt;=3.6,"紧凑",""))))</f>
        <v/>
      </c>
      <c r="M988" s="2" t="inlineStr">
        <is>
          <t>极紧凑-豹子号</t>
        </is>
      </c>
      <c r="N988" s="2" t="inlineStr">
        <is>
          <t>松散-极松散</t>
        </is>
      </c>
      <c r="O988" s="2" t="inlineStr">
        <is>
          <t>松散-标准松散</t>
        </is>
      </c>
      <c r="P988" s="2" t="inlineStr">
        <is>
          <t>松散-偏紧松散</t>
        </is>
      </c>
      <c r="Q988" s="2" t="inlineStr">
        <is>
          <t>标准-偏松标准</t>
        </is>
      </c>
      <c r="R988" s="2" t="inlineStr">
        <is>
          <t>标准-核心标准</t>
        </is>
      </c>
      <c r="S988" s="2" t="inlineStr">
        <is>
          <t>标准-偏紧标准</t>
        </is>
      </c>
      <c r="T988" s="2" t="inlineStr">
        <is>
          <t>紧凑-标准紧凑</t>
        </is>
      </c>
      <c r="U988" s="2" t="inlineStr">
        <is>
          <t>紧凑-高度紧凑</t>
        </is>
      </c>
      <c r="V988" s="2" t="inlineStr">
        <is>
          <t>紧凑-极度紧凑</t>
        </is>
      </c>
    </row>
    <row r="989">
      <c r="A989" s="1" t="n">
        <v>2025180</v>
      </c>
      <c r="B989" s="3" t="inlineStr">
        <is>
          <t>889</t>
        </is>
      </c>
      <c r="C989" s="2">
        <f>IF(B989="","",LEFT(TEXT(B989,"000"),1)*1)</f>
        <v/>
      </c>
      <c r="D989" s="2">
        <f>IF(B989="","",MID(TEXT(B989,"000"),2,1)*1)</f>
        <v/>
      </c>
      <c r="E989" s="2">
        <f>IF(B989="","",RIGHT(TEXT(B989,"000"),1)*1)</f>
        <v/>
      </c>
      <c r="F989" s="2">
        <f>IF(B989="","",C989+D989+E989)</f>
        <v/>
      </c>
      <c r="G989" s="2">
        <f>IF(B989="","",MOD(F989,10))</f>
        <v/>
      </c>
      <c r="H989" s="2">
        <f>IF(B989="","",MAX(C989,D989,E989)-MIN(C989,D989,E989))</f>
        <v/>
      </c>
      <c r="I989" s="2">
        <f>IF(OR(B989="",H989=0),IF(H989=0,0.1,""),ROUND(F989/H989,2))</f>
        <v/>
      </c>
      <c r="J989" s="2">
        <f>IF(I989=0.1,"极紧凑",IF(I989&gt;3.5,"紧凑",IF(AND(I989&gt;=2,I989&lt;=3.5),"标准",IF(AND(I989&gt;=1,I989&lt;2),"松散",""))))</f>
        <v/>
      </c>
      <c r="K989" s="2">
        <f>IF(I989=0.1,"极紧凑-豹子号",IF(AND(I989&gt;=1,I989&lt;=1.29),"松散-极松散",IF(AND(I989&gt;=1.33,I989&lt;=1.8),"松散-标准松散",IF(AND(I989&gt;=1.83,I989&lt;=1.89),"松散-偏紧松散",IF(AND(I989&gt;=2,I989&lt;=2.5),"标准-偏松标准",IF(AND(I989&gt;=2.57,I989&lt;=3),"标准-核心标准",IF(AND(I989&gt;=3.17,I989&lt;=3.5),"标准-偏紧标准",IF(AND(I989&gt;=3.6,I989&lt;=5),"紧凑-标准紧凑",IF(AND(I989&gt;=5.25,I989&lt;=8),"紧凑-高度紧凑",IF(I989&gt;=8.5,"紧凑-极度紧凑",""))))))))))</f>
        <v/>
      </c>
      <c r="L989" s="2">
        <f>IF(I989=0.1,"极紧凑",IF(AND(I989&gt;=1,I989&lt;=1.89),"松散",IF(AND(I989&gt;=2,I989&lt;=3.5),"标准",IF(I989&gt;=3.6,"紧凑",""))))</f>
        <v/>
      </c>
      <c r="M989" s="2" t="inlineStr">
        <is>
          <t>极紧凑-豹子号</t>
        </is>
      </c>
      <c r="N989" s="2" t="inlineStr">
        <is>
          <t>松散-极松散</t>
        </is>
      </c>
      <c r="O989" s="2" t="inlineStr">
        <is>
          <t>松散-标准松散</t>
        </is>
      </c>
      <c r="P989" s="2" t="inlineStr">
        <is>
          <t>松散-偏紧松散</t>
        </is>
      </c>
      <c r="Q989" s="2" t="inlineStr">
        <is>
          <t>标准-偏松标准</t>
        </is>
      </c>
      <c r="R989" s="2" t="inlineStr">
        <is>
          <t>标准-核心标准</t>
        </is>
      </c>
      <c r="S989" s="2" t="inlineStr">
        <is>
          <t>标准-偏紧标准</t>
        </is>
      </c>
      <c r="T989" s="2" t="inlineStr">
        <is>
          <t>紧凑-标准紧凑</t>
        </is>
      </c>
      <c r="U989" s="2" t="inlineStr">
        <is>
          <t>紧凑-高度紧凑</t>
        </is>
      </c>
      <c r="V989" s="2" t="inlineStr">
        <is>
          <t>紧凑-极度紧凑</t>
        </is>
      </c>
    </row>
    <row r="990">
      <c r="A990" s="1" t="n">
        <v>2025181</v>
      </c>
      <c r="B990" s="3" t="inlineStr">
        <is>
          <t>894</t>
        </is>
      </c>
      <c r="C990" s="2">
        <f>IF(B990="","",LEFT(TEXT(B990,"000"),1)*1)</f>
        <v/>
      </c>
      <c r="D990" s="2">
        <f>IF(B990="","",MID(TEXT(B990,"000"),2,1)*1)</f>
        <v/>
      </c>
      <c r="E990" s="2">
        <f>IF(B990="","",RIGHT(TEXT(B990,"000"),1)*1)</f>
        <v/>
      </c>
      <c r="F990" s="2">
        <f>IF(B990="","",C990+D990+E990)</f>
        <v/>
      </c>
      <c r="G990" s="2">
        <f>IF(B990="","",MOD(F990,10))</f>
        <v/>
      </c>
      <c r="H990" s="2">
        <f>IF(B990="","",MAX(C990,D990,E990)-MIN(C990,D990,E990))</f>
        <v/>
      </c>
      <c r="I990" s="2">
        <f>IF(OR(B990="",H990=0),IF(H990=0,0.1,""),ROUND(F990/H990,2))</f>
        <v/>
      </c>
      <c r="J990" s="2">
        <f>IF(I990=0.1,"极紧凑",IF(I990&gt;3.5,"紧凑",IF(AND(I990&gt;=2,I990&lt;=3.5),"标准",IF(AND(I990&gt;=1,I990&lt;2),"松散",""))))</f>
        <v/>
      </c>
      <c r="K990" s="2">
        <f>IF(I990=0.1,"极紧凑-豹子号",IF(AND(I990&gt;=1,I990&lt;=1.29),"松散-极松散",IF(AND(I990&gt;=1.33,I990&lt;=1.8),"松散-标准松散",IF(AND(I990&gt;=1.83,I990&lt;=1.89),"松散-偏紧松散",IF(AND(I990&gt;=2,I990&lt;=2.5),"标准-偏松标准",IF(AND(I990&gt;=2.57,I990&lt;=3),"标准-核心标准",IF(AND(I990&gt;=3.17,I990&lt;=3.5),"标准-偏紧标准",IF(AND(I990&gt;=3.6,I990&lt;=5),"紧凑-标准紧凑",IF(AND(I990&gt;=5.25,I990&lt;=8),"紧凑-高度紧凑",IF(I990&gt;=8.5,"紧凑-极度紧凑",""))))))))))</f>
        <v/>
      </c>
      <c r="L990" s="2">
        <f>IF(I990=0.1,"极紧凑",IF(AND(I990&gt;=1,I990&lt;=1.89),"松散",IF(AND(I990&gt;=2,I990&lt;=3.5),"标准",IF(I990&gt;=3.6,"紧凑",""))))</f>
        <v/>
      </c>
      <c r="M990" s="2" t="inlineStr">
        <is>
          <t>极紧凑-豹子号</t>
        </is>
      </c>
      <c r="N990" s="2" t="inlineStr">
        <is>
          <t>松散-极松散</t>
        </is>
      </c>
      <c r="O990" s="2" t="inlineStr">
        <is>
          <t>松散-标准松散</t>
        </is>
      </c>
      <c r="P990" s="2" t="inlineStr">
        <is>
          <t>松散-偏紧松散</t>
        </is>
      </c>
      <c r="Q990" s="2" t="inlineStr">
        <is>
          <t>标准-偏松标准</t>
        </is>
      </c>
      <c r="R990" s="2" t="inlineStr">
        <is>
          <t>标准-核心标准</t>
        </is>
      </c>
      <c r="S990" s="2" t="inlineStr">
        <is>
          <t>标准-偏紧标准</t>
        </is>
      </c>
      <c r="T990" s="2" t="inlineStr">
        <is>
          <t>紧凑-标准紧凑</t>
        </is>
      </c>
      <c r="U990" s="2" t="inlineStr">
        <is>
          <t>紧凑-高度紧凑</t>
        </is>
      </c>
      <c r="V990" s="2" t="inlineStr">
        <is>
          <t>紧凑-极度紧凑</t>
        </is>
      </c>
    </row>
    <row r="991">
      <c r="A991" s="1" t="n">
        <v>2025182</v>
      </c>
      <c r="B991" s="3" t="inlineStr">
        <is>
          <t>721</t>
        </is>
      </c>
      <c r="C991" s="2">
        <f>IF(B991="","",LEFT(TEXT(B991,"000"),1)*1)</f>
        <v/>
      </c>
      <c r="D991" s="2">
        <f>IF(B991="","",MID(TEXT(B991,"000"),2,1)*1)</f>
        <v/>
      </c>
      <c r="E991" s="2">
        <f>IF(B991="","",RIGHT(TEXT(B991,"000"),1)*1)</f>
        <v/>
      </c>
      <c r="F991" s="2">
        <f>IF(B991="","",C991+D991+E991)</f>
        <v/>
      </c>
      <c r="G991" s="2">
        <f>IF(B991="","",MOD(F991,10))</f>
        <v/>
      </c>
      <c r="H991" s="2">
        <f>IF(B991="","",MAX(C991,D991,E991)-MIN(C991,D991,E991))</f>
        <v/>
      </c>
      <c r="I991" s="2">
        <f>IF(OR(B991="",H991=0),IF(H991=0,0.1,""),ROUND(F991/H991,2))</f>
        <v/>
      </c>
      <c r="J991" s="2">
        <f>IF(I991=0.1,"极紧凑",IF(I991&gt;3.5,"紧凑",IF(AND(I991&gt;=2,I991&lt;=3.5),"标准",IF(AND(I991&gt;=1,I991&lt;2),"松散",""))))</f>
        <v/>
      </c>
      <c r="K991" s="2">
        <f>IF(I991=0.1,"极紧凑-豹子号",IF(AND(I991&gt;=1,I991&lt;=1.29),"松散-极松散",IF(AND(I991&gt;=1.33,I991&lt;=1.8),"松散-标准松散",IF(AND(I991&gt;=1.83,I991&lt;=1.89),"松散-偏紧松散",IF(AND(I991&gt;=2,I991&lt;=2.5),"标准-偏松标准",IF(AND(I991&gt;=2.57,I991&lt;=3),"标准-核心标准",IF(AND(I991&gt;=3.17,I991&lt;=3.5),"标准-偏紧标准",IF(AND(I991&gt;=3.6,I991&lt;=5),"紧凑-标准紧凑",IF(AND(I991&gt;=5.25,I991&lt;=8),"紧凑-高度紧凑",IF(I991&gt;=8.5,"紧凑-极度紧凑",""))))))))))</f>
        <v/>
      </c>
      <c r="L991" s="2">
        <f>IF(I991=0.1,"极紧凑",IF(AND(I991&gt;=1,I991&lt;=1.89),"松散",IF(AND(I991&gt;=2,I991&lt;=3.5),"标准",IF(I991&gt;=3.6,"紧凑",""))))</f>
        <v/>
      </c>
      <c r="M991" s="2" t="inlineStr">
        <is>
          <t>极紧凑-豹子号</t>
        </is>
      </c>
      <c r="N991" s="2" t="inlineStr">
        <is>
          <t>松散-极松散</t>
        </is>
      </c>
      <c r="O991" s="2" t="inlineStr">
        <is>
          <t>松散-标准松散</t>
        </is>
      </c>
      <c r="P991" s="2" t="inlineStr">
        <is>
          <t>松散-偏紧松散</t>
        </is>
      </c>
      <c r="Q991" s="2" t="inlineStr">
        <is>
          <t>标准-偏松标准</t>
        </is>
      </c>
      <c r="R991" s="2" t="inlineStr">
        <is>
          <t>标准-核心标准</t>
        </is>
      </c>
      <c r="S991" s="2" t="inlineStr">
        <is>
          <t>标准-偏紧标准</t>
        </is>
      </c>
      <c r="T991" s="2" t="inlineStr">
        <is>
          <t>紧凑-标准紧凑</t>
        </is>
      </c>
      <c r="U991" s="2" t="inlineStr">
        <is>
          <t>紧凑-高度紧凑</t>
        </is>
      </c>
      <c r="V991" s="2" t="inlineStr">
        <is>
          <t>紧凑-极度紧凑</t>
        </is>
      </c>
    </row>
    <row r="992">
      <c r="A992" s="1" t="n">
        <v>2025183</v>
      </c>
      <c r="B992" s="3" t="inlineStr">
        <is>
          <t>177</t>
        </is>
      </c>
      <c r="C992" s="2">
        <f>IF(B992="","",LEFT(TEXT(B992,"000"),1)*1)</f>
        <v/>
      </c>
      <c r="D992" s="2">
        <f>IF(B992="","",MID(TEXT(B992,"000"),2,1)*1)</f>
        <v/>
      </c>
      <c r="E992" s="2">
        <f>IF(B992="","",RIGHT(TEXT(B992,"000"),1)*1)</f>
        <v/>
      </c>
      <c r="F992" s="2">
        <f>IF(B992="","",C992+D992+E992)</f>
        <v/>
      </c>
      <c r="G992" s="2">
        <f>IF(B992="","",MOD(F992,10))</f>
        <v/>
      </c>
      <c r="H992" s="2">
        <f>IF(B992="","",MAX(C992,D992,E992)-MIN(C992,D992,E992))</f>
        <v/>
      </c>
      <c r="I992" s="2">
        <f>IF(OR(B992="",H992=0),IF(H992=0,0.1,""),ROUND(F992/H992,2))</f>
        <v/>
      </c>
      <c r="J992" s="2">
        <f>IF(I992=0.1,"极紧凑",IF(I992&gt;3.5,"紧凑",IF(AND(I992&gt;=2,I992&lt;=3.5),"标准",IF(AND(I992&gt;=1,I992&lt;2),"松散",""))))</f>
        <v/>
      </c>
      <c r="K992" s="2">
        <f>IF(I992=0.1,"极紧凑-豹子号",IF(AND(I992&gt;=1,I992&lt;=1.29),"松散-极松散",IF(AND(I992&gt;=1.33,I992&lt;=1.8),"松散-标准松散",IF(AND(I992&gt;=1.83,I992&lt;=1.89),"松散-偏紧松散",IF(AND(I992&gt;=2,I992&lt;=2.5),"标准-偏松标准",IF(AND(I992&gt;=2.57,I992&lt;=3),"标准-核心标准",IF(AND(I992&gt;=3.17,I992&lt;=3.5),"标准-偏紧标准",IF(AND(I992&gt;=3.6,I992&lt;=5),"紧凑-标准紧凑",IF(AND(I992&gt;=5.25,I992&lt;=8),"紧凑-高度紧凑",IF(I992&gt;=8.5,"紧凑-极度紧凑",""))))))))))</f>
        <v/>
      </c>
      <c r="L992" s="2">
        <f>IF(I992=0.1,"极紧凑",IF(AND(I992&gt;=1,I992&lt;=1.89),"松散",IF(AND(I992&gt;=2,I992&lt;=3.5),"标准",IF(I992&gt;=3.6,"紧凑",""))))</f>
        <v/>
      </c>
      <c r="M992" s="2" t="inlineStr">
        <is>
          <t>极紧凑-豹子号</t>
        </is>
      </c>
      <c r="N992" s="2" t="inlineStr">
        <is>
          <t>松散-极松散</t>
        </is>
      </c>
      <c r="O992" s="2" t="inlineStr">
        <is>
          <t>松散-标准松散</t>
        </is>
      </c>
      <c r="P992" s="2" t="inlineStr">
        <is>
          <t>松散-偏紧松散</t>
        </is>
      </c>
      <c r="Q992" s="2" t="inlineStr">
        <is>
          <t>标准-偏松标准</t>
        </is>
      </c>
      <c r="R992" s="2" t="inlineStr">
        <is>
          <t>标准-核心标准</t>
        </is>
      </c>
      <c r="S992" s="2" t="inlineStr">
        <is>
          <t>标准-偏紧标准</t>
        </is>
      </c>
      <c r="T992" s="2" t="inlineStr">
        <is>
          <t>紧凑-标准紧凑</t>
        </is>
      </c>
      <c r="U992" s="2" t="inlineStr">
        <is>
          <t>紧凑-高度紧凑</t>
        </is>
      </c>
      <c r="V992" s="2" t="inlineStr">
        <is>
          <t>紧凑-极度紧凑</t>
        </is>
      </c>
    </row>
    <row r="993">
      <c r="A993" s="1" t="n">
        <v>2025184</v>
      </c>
      <c r="B993" s="3" t="inlineStr">
        <is>
          <t>221</t>
        </is>
      </c>
      <c r="C993" s="2">
        <f>IF(B993="","",LEFT(TEXT(B993,"000"),1)*1)</f>
        <v/>
      </c>
      <c r="D993" s="2">
        <f>IF(B993="","",MID(TEXT(B993,"000"),2,1)*1)</f>
        <v/>
      </c>
      <c r="E993" s="2">
        <f>IF(B993="","",RIGHT(TEXT(B993,"000"),1)*1)</f>
        <v/>
      </c>
      <c r="F993" s="2">
        <f>IF(B993="","",C993+D993+E993)</f>
        <v/>
      </c>
      <c r="G993" s="2">
        <f>IF(B993="","",MOD(F993,10))</f>
        <v/>
      </c>
      <c r="H993" s="2">
        <f>IF(B993="","",MAX(C993,D993,E993)-MIN(C993,D993,E993))</f>
        <v/>
      </c>
      <c r="I993" s="2">
        <f>IF(OR(B993="",H993=0),IF(H993=0,0.1,""),ROUND(F993/H993,2))</f>
        <v/>
      </c>
      <c r="J993" s="2">
        <f>IF(I993=0.1,"极紧凑",IF(I993&gt;3.5,"紧凑",IF(AND(I993&gt;=2,I993&lt;=3.5),"标准",IF(AND(I993&gt;=1,I993&lt;2),"松散",""))))</f>
        <v/>
      </c>
      <c r="K993" s="2">
        <f>IF(I993=0.1,"极紧凑-豹子号",IF(AND(I993&gt;=1,I993&lt;=1.29),"松散-极松散",IF(AND(I993&gt;=1.33,I993&lt;=1.8),"松散-标准松散",IF(AND(I993&gt;=1.83,I993&lt;=1.89),"松散-偏紧松散",IF(AND(I993&gt;=2,I993&lt;=2.5),"标准-偏松标准",IF(AND(I993&gt;=2.57,I993&lt;=3),"标准-核心标准",IF(AND(I993&gt;=3.17,I993&lt;=3.5),"标准-偏紧标准",IF(AND(I993&gt;=3.6,I993&lt;=5),"紧凑-标准紧凑",IF(AND(I993&gt;=5.25,I993&lt;=8),"紧凑-高度紧凑",IF(I993&gt;=8.5,"紧凑-极度紧凑",""))))))))))</f>
        <v/>
      </c>
      <c r="L993" s="2">
        <f>IF(I993=0.1,"极紧凑",IF(AND(I993&gt;=1,I993&lt;=1.89),"松散",IF(AND(I993&gt;=2,I993&lt;=3.5),"标准",IF(I993&gt;=3.6,"紧凑",""))))</f>
        <v/>
      </c>
      <c r="M993" s="2" t="inlineStr">
        <is>
          <t>极紧凑-豹子号</t>
        </is>
      </c>
      <c r="N993" s="2" t="inlineStr">
        <is>
          <t>松散-极松散</t>
        </is>
      </c>
      <c r="O993" s="2" t="inlineStr">
        <is>
          <t>松散-标准松散</t>
        </is>
      </c>
      <c r="P993" s="2" t="inlineStr">
        <is>
          <t>松散-偏紧松散</t>
        </is>
      </c>
      <c r="Q993" s="2" t="inlineStr">
        <is>
          <t>标准-偏松标准</t>
        </is>
      </c>
      <c r="R993" s="2" t="inlineStr">
        <is>
          <t>标准-核心标准</t>
        </is>
      </c>
      <c r="S993" s="2" t="inlineStr">
        <is>
          <t>标准-偏紧标准</t>
        </is>
      </c>
      <c r="T993" s="2" t="inlineStr">
        <is>
          <t>紧凑-标准紧凑</t>
        </is>
      </c>
      <c r="U993" s="2" t="inlineStr">
        <is>
          <t>紧凑-高度紧凑</t>
        </is>
      </c>
      <c r="V993" s="2" t="inlineStr">
        <is>
          <t>紧凑-极度紧凑</t>
        </is>
      </c>
    </row>
    <row r="994">
      <c r="A994" s="1" t="n">
        <v>2025185</v>
      </c>
      <c r="B994" s="3" t="inlineStr">
        <is>
          <t>308</t>
        </is>
      </c>
      <c r="C994" s="2">
        <f>IF(B994="","",LEFT(TEXT(B994,"000"),1)*1)</f>
        <v/>
      </c>
      <c r="D994" s="2">
        <f>IF(B994="","",MID(TEXT(B994,"000"),2,1)*1)</f>
        <v/>
      </c>
      <c r="E994" s="2">
        <f>IF(B994="","",RIGHT(TEXT(B994,"000"),1)*1)</f>
        <v/>
      </c>
      <c r="F994" s="2">
        <f>IF(B994="","",C994+D994+E994)</f>
        <v/>
      </c>
      <c r="G994" s="2">
        <f>IF(B994="","",MOD(F994,10))</f>
        <v/>
      </c>
      <c r="H994" s="2">
        <f>IF(B994="","",MAX(C994,D994,E994)-MIN(C994,D994,E994))</f>
        <v/>
      </c>
      <c r="I994" s="2">
        <f>IF(OR(B994="",H994=0),IF(H994=0,0.1,""),ROUND(F994/H994,2))</f>
        <v/>
      </c>
      <c r="J994" s="2">
        <f>IF(I994=0.1,"极紧凑",IF(I994&gt;3.5,"紧凑",IF(AND(I994&gt;=2,I994&lt;=3.5),"标准",IF(AND(I994&gt;=1,I994&lt;2),"松散",""))))</f>
        <v/>
      </c>
      <c r="K994" s="2">
        <f>IF(I994=0.1,"极紧凑-豹子号",IF(AND(I994&gt;=1,I994&lt;=1.29),"松散-极松散",IF(AND(I994&gt;=1.33,I994&lt;=1.8),"松散-标准松散",IF(AND(I994&gt;=1.83,I994&lt;=1.89),"松散-偏紧松散",IF(AND(I994&gt;=2,I994&lt;=2.5),"标准-偏松标准",IF(AND(I994&gt;=2.57,I994&lt;=3),"标准-核心标准",IF(AND(I994&gt;=3.17,I994&lt;=3.5),"标准-偏紧标准",IF(AND(I994&gt;=3.6,I994&lt;=5),"紧凑-标准紧凑",IF(AND(I994&gt;=5.25,I994&lt;=8),"紧凑-高度紧凑",IF(I994&gt;=8.5,"紧凑-极度紧凑",""))))))))))</f>
        <v/>
      </c>
      <c r="L994" s="2">
        <f>IF(I994=0.1,"极紧凑",IF(AND(I994&gt;=1,I994&lt;=1.89),"松散",IF(AND(I994&gt;=2,I994&lt;=3.5),"标准",IF(I994&gt;=3.6,"紧凑",""))))</f>
        <v/>
      </c>
      <c r="M994" s="2" t="inlineStr">
        <is>
          <t>极紧凑-豹子号</t>
        </is>
      </c>
      <c r="N994" s="2" t="inlineStr">
        <is>
          <t>松散-极松散</t>
        </is>
      </c>
      <c r="O994" s="2" t="inlineStr">
        <is>
          <t>松散-标准松散</t>
        </is>
      </c>
      <c r="P994" s="2" t="inlineStr">
        <is>
          <t>松散-偏紧松散</t>
        </is>
      </c>
      <c r="Q994" s="2" t="inlineStr">
        <is>
          <t>标准-偏松标准</t>
        </is>
      </c>
      <c r="R994" s="2" t="inlineStr">
        <is>
          <t>标准-核心标准</t>
        </is>
      </c>
      <c r="S994" s="2" t="inlineStr">
        <is>
          <t>标准-偏紧标准</t>
        </is>
      </c>
      <c r="T994" s="2" t="inlineStr">
        <is>
          <t>紧凑-标准紧凑</t>
        </is>
      </c>
      <c r="U994" s="2" t="inlineStr">
        <is>
          <t>紧凑-高度紧凑</t>
        </is>
      </c>
      <c r="V994" s="2" t="inlineStr">
        <is>
          <t>紧凑-极度紧凑</t>
        </is>
      </c>
    </row>
    <row r="995">
      <c r="A995" s="1" t="n">
        <v>2025186</v>
      </c>
      <c r="B995" s="3" t="inlineStr">
        <is>
          <t>514</t>
        </is>
      </c>
      <c r="C995" s="2">
        <f>IF(B995="","",LEFT(TEXT(B995,"000"),1)*1)</f>
        <v/>
      </c>
      <c r="D995" s="2">
        <f>IF(B995="","",MID(TEXT(B995,"000"),2,1)*1)</f>
        <v/>
      </c>
      <c r="E995" s="2">
        <f>IF(B995="","",RIGHT(TEXT(B995,"000"),1)*1)</f>
        <v/>
      </c>
      <c r="F995" s="2">
        <f>IF(B995="","",C995+D995+E995)</f>
        <v/>
      </c>
      <c r="G995" s="2">
        <f>IF(B995="","",MOD(F995,10))</f>
        <v/>
      </c>
      <c r="H995" s="2">
        <f>IF(B995="","",MAX(C995,D995,E995)-MIN(C995,D995,E995))</f>
        <v/>
      </c>
      <c r="I995" s="2">
        <f>IF(OR(B995="",H995=0),IF(H995=0,0.1,""),ROUND(F995/H995,2))</f>
        <v/>
      </c>
      <c r="J995" s="2">
        <f>IF(I995=0.1,"极紧凑",IF(I995&gt;3.5,"紧凑",IF(AND(I995&gt;=2,I995&lt;=3.5),"标准",IF(AND(I995&gt;=1,I995&lt;2),"松散",""))))</f>
        <v/>
      </c>
      <c r="K995" s="2">
        <f>IF(I995=0.1,"极紧凑-豹子号",IF(AND(I995&gt;=1,I995&lt;=1.29),"松散-极松散",IF(AND(I995&gt;=1.33,I995&lt;=1.8),"松散-标准松散",IF(AND(I995&gt;=1.83,I995&lt;=1.89),"松散-偏紧松散",IF(AND(I995&gt;=2,I995&lt;=2.5),"标准-偏松标准",IF(AND(I995&gt;=2.57,I995&lt;=3),"标准-核心标准",IF(AND(I995&gt;=3.17,I995&lt;=3.5),"标准-偏紧标准",IF(AND(I995&gt;=3.6,I995&lt;=5),"紧凑-标准紧凑",IF(AND(I995&gt;=5.25,I995&lt;=8),"紧凑-高度紧凑",IF(I995&gt;=8.5,"紧凑-极度紧凑",""))))))))))</f>
        <v/>
      </c>
      <c r="L995" s="2">
        <f>IF(I995=0.1,"极紧凑",IF(AND(I995&gt;=1,I995&lt;=1.89),"松散",IF(AND(I995&gt;=2,I995&lt;=3.5),"标准",IF(I995&gt;=3.6,"紧凑",""))))</f>
        <v/>
      </c>
      <c r="M995" s="2" t="inlineStr">
        <is>
          <t>极紧凑-豹子号</t>
        </is>
      </c>
      <c r="N995" s="2" t="inlineStr">
        <is>
          <t>松散-极松散</t>
        </is>
      </c>
      <c r="O995" s="2" t="inlineStr">
        <is>
          <t>松散-标准松散</t>
        </is>
      </c>
      <c r="P995" s="2" t="inlineStr">
        <is>
          <t>松散-偏紧松散</t>
        </is>
      </c>
      <c r="Q995" s="2" t="inlineStr">
        <is>
          <t>标准-偏松标准</t>
        </is>
      </c>
      <c r="R995" s="2" t="inlineStr">
        <is>
          <t>标准-核心标准</t>
        </is>
      </c>
      <c r="S995" s="2" t="inlineStr">
        <is>
          <t>标准-偏紧标准</t>
        </is>
      </c>
      <c r="T995" s="2" t="inlineStr">
        <is>
          <t>紧凑-标准紧凑</t>
        </is>
      </c>
      <c r="U995" s="2" t="inlineStr">
        <is>
          <t>紧凑-高度紧凑</t>
        </is>
      </c>
      <c r="V995" s="2" t="inlineStr">
        <is>
          <t>紧凑-极度紧凑</t>
        </is>
      </c>
    </row>
    <row r="996">
      <c r="A996" s="1" t="n">
        <v>2025187</v>
      </c>
      <c r="B996" s="3" t="inlineStr">
        <is>
          <t>641</t>
        </is>
      </c>
      <c r="C996" s="2">
        <f>IF(B996="","",LEFT(TEXT(B996,"000"),1)*1)</f>
        <v/>
      </c>
      <c r="D996" s="2">
        <f>IF(B996="","",MID(TEXT(B996,"000"),2,1)*1)</f>
        <v/>
      </c>
      <c r="E996" s="2">
        <f>IF(B996="","",RIGHT(TEXT(B996,"000"),1)*1)</f>
        <v/>
      </c>
      <c r="F996" s="2">
        <f>IF(B996="","",C996+D996+E996)</f>
        <v/>
      </c>
      <c r="G996" s="2">
        <f>IF(B996="","",MOD(F996,10))</f>
        <v/>
      </c>
      <c r="H996" s="2">
        <f>IF(B996="","",MAX(C996,D996,E996)-MIN(C996,D996,E996))</f>
        <v/>
      </c>
      <c r="I996" s="2">
        <f>IF(OR(B996="",H996=0),IF(H996=0,0.1,""),ROUND(F996/H996,2))</f>
        <v/>
      </c>
      <c r="J996" s="2">
        <f>IF(I996=0.1,"极紧凑",IF(I996&gt;3.5,"紧凑",IF(AND(I996&gt;=2,I996&lt;=3.5),"标准",IF(AND(I996&gt;=1,I996&lt;2),"松散",""))))</f>
        <v/>
      </c>
      <c r="K996" s="2">
        <f>IF(I996=0.1,"极紧凑-豹子号",IF(AND(I996&gt;=1,I996&lt;=1.29),"松散-极松散",IF(AND(I996&gt;=1.33,I996&lt;=1.8),"松散-标准松散",IF(AND(I996&gt;=1.83,I996&lt;=1.89),"松散-偏紧松散",IF(AND(I996&gt;=2,I996&lt;=2.5),"标准-偏松标准",IF(AND(I996&gt;=2.57,I996&lt;=3),"标准-核心标准",IF(AND(I996&gt;=3.17,I996&lt;=3.5),"标准-偏紧标准",IF(AND(I996&gt;=3.6,I996&lt;=5),"紧凑-标准紧凑",IF(AND(I996&gt;=5.25,I996&lt;=8),"紧凑-高度紧凑",IF(I996&gt;=8.5,"紧凑-极度紧凑",""))))))))))</f>
        <v/>
      </c>
      <c r="L996" s="2">
        <f>IF(I996=0.1,"极紧凑",IF(AND(I996&gt;=1,I996&lt;=1.89),"松散",IF(AND(I996&gt;=2,I996&lt;=3.5),"标准",IF(I996&gt;=3.6,"紧凑",""))))</f>
        <v/>
      </c>
      <c r="M996" s="2" t="inlineStr">
        <is>
          <t>极紧凑-豹子号</t>
        </is>
      </c>
      <c r="N996" s="2" t="inlineStr">
        <is>
          <t>松散-极松散</t>
        </is>
      </c>
      <c r="O996" s="2" t="inlineStr">
        <is>
          <t>松散-标准松散</t>
        </is>
      </c>
      <c r="P996" s="2" t="inlineStr">
        <is>
          <t>松散-偏紧松散</t>
        </is>
      </c>
      <c r="Q996" s="2" t="inlineStr">
        <is>
          <t>标准-偏松标准</t>
        </is>
      </c>
      <c r="R996" s="2" t="inlineStr">
        <is>
          <t>标准-核心标准</t>
        </is>
      </c>
      <c r="S996" s="2" t="inlineStr">
        <is>
          <t>标准-偏紧标准</t>
        </is>
      </c>
      <c r="T996" s="2" t="inlineStr">
        <is>
          <t>紧凑-标准紧凑</t>
        </is>
      </c>
      <c r="U996" s="2" t="inlineStr">
        <is>
          <t>紧凑-高度紧凑</t>
        </is>
      </c>
      <c r="V996" s="2" t="inlineStr">
        <is>
          <t>紧凑-极度紧凑</t>
        </is>
      </c>
    </row>
    <row r="997">
      <c r="A997" s="1" t="n">
        <v>2025188</v>
      </c>
      <c r="B997" s="3" t="inlineStr">
        <is>
          <t>623</t>
        </is>
      </c>
      <c r="C997" s="2">
        <f>IF(B997="","",LEFT(TEXT(B997,"000"),1)*1)</f>
        <v/>
      </c>
      <c r="D997" s="2">
        <f>IF(B997="","",MID(TEXT(B997,"000"),2,1)*1)</f>
        <v/>
      </c>
      <c r="E997" s="2">
        <f>IF(B997="","",RIGHT(TEXT(B997,"000"),1)*1)</f>
        <v/>
      </c>
      <c r="F997" s="2">
        <f>IF(B997="","",C997+D997+E997)</f>
        <v/>
      </c>
      <c r="G997" s="2">
        <f>IF(B997="","",MOD(F997,10))</f>
        <v/>
      </c>
      <c r="H997" s="2">
        <f>IF(B997="","",MAX(C997,D997,E997)-MIN(C997,D997,E997))</f>
        <v/>
      </c>
      <c r="I997" s="2">
        <f>IF(OR(B997="",H997=0),IF(H997=0,0.1,""),ROUND(F997/H997,2))</f>
        <v/>
      </c>
      <c r="J997" s="2">
        <f>IF(I997=0.1,"极紧凑",IF(I997&gt;3.5,"紧凑",IF(AND(I997&gt;=2,I997&lt;=3.5),"标准",IF(AND(I997&gt;=1,I997&lt;2),"松散",""))))</f>
        <v/>
      </c>
      <c r="K997" s="2">
        <f>IF(I997=0.1,"极紧凑-豹子号",IF(AND(I997&gt;=1,I997&lt;=1.29),"松散-极松散",IF(AND(I997&gt;=1.33,I997&lt;=1.8),"松散-标准松散",IF(AND(I997&gt;=1.83,I997&lt;=1.89),"松散-偏紧松散",IF(AND(I997&gt;=2,I997&lt;=2.5),"标准-偏松标准",IF(AND(I997&gt;=2.57,I997&lt;=3),"标准-核心标准",IF(AND(I997&gt;=3.17,I997&lt;=3.5),"标准-偏紧标准",IF(AND(I997&gt;=3.6,I997&lt;=5),"紧凑-标准紧凑",IF(AND(I997&gt;=5.25,I997&lt;=8),"紧凑-高度紧凑",IF(I997&gt;=8.5,"紧凑-极度紧凑",""))))))))))</f>
        <v/>
      </c>
      <c r="L997" s="2">
        <f>IF(I997=0.1,"极紧凑",IF(AND(I997&gt;=1,I997&lt;=1.89),"松散",IF(AND(I997&gt;=2,I997&lt;=3.5),"标准",IF(I997&gt;=3.6,"紧凑",""))))</f>
        <v/>
      </c>
      <c r="M997" s="2" t="inlineStr">
        <is>
          <t>极紧凑-豹子号</t>
        </is>
      </c>
      <c r="N997" s="2" t="inlineStr">
        <is>
          <t>松散-极松散</t>
        </is>
      </c>
      <c r="O997" s="2" t="inlineStr">
        <is>
          <t>松散-标准松散</t>
        </is>
      </c>
      <c r="P997" s="2" t="inlineStr">
        <is>
          <t>松散-偏紧松散</t>
        </is>
      </c>
      <c r="Q997" s="2" t="inlineStr">
        <is>
          <t>标准-偏松标准</t>
        </is>
      </c>
      <c r="R997" s="2" t="inlineStr">
        <is>
          <t>标准-核心标准</t>
        </is>
      </c>
      <c r="S997" s="2" t="inlineStr">
        <is>
          <t>标准-偏紧标准</t>
        </is>
      </c>
      <c r="T997" s="2" t="inlineStr">
        <is>
          <t>紧凑-标准紧凑</t>
        </is>
      </c>
      <c r="U997" s="2" t="inlineStr">
        <is>
          <t>紧凑-高度紧凑</t>
        </is>
      </c>
      <c r="V997" s="2" t="inlineStr">
        <is>
          <t>紧凑-极度紧凑</t>
        </is>
      </c>
    </row>
    <row r="998">
      <c r="A998" s="1" t="n">
        <v>2025189</v>
      </c>
      <c r="B998" s="3" t="inlineStr">
        <is>
          <t>556</t>
        </is>
      </c>
      <c r="C998" s="2">
        <f>IF(B998="","",LEFT(TEXT(B998,"000"),1)*1)</f>
        <v/>
      </c>
      <c r="D998" s="2">
        <f>IF(B998="","",MID(TEXT(B998,"000"),2,1)*1)</f>
        <v/>
      </c>
      <c r="E998" s="2">
        <f>IF(B998="","",RIGHT(TEXT(B998,"000"),1)*1)</f>
        <v/>
      </c>
      <c r="F998" s="2">
        <f>IF(B998="","",C998+D998+E998)</f>
        <v/>
      </c>
      <c r="G998" s="2">
        <f>IF(B998="","",MOD(F998,10))</f>
        <v/>
      </c>
      <c r="H998" s="2">
        <f>IF(B998="","",MAX(C998,D998,E998)-MIN(C998,D998,E998))</f>
        <v/>
      </c>
      <c r="I998" s="2">
        <f>IF(OR(B998="",H998=0),IF(H998=0,0.1,""),ROUND(F998/H998,2))</f>
        <v/>
      </c>
      <c r="J998" s="2">
        <f>IF(I998=0.1,"极紧凑",IF(I998&gt;3.5,"紧凑",IF(AND(I998&gt;=2,I998&lt;=3.5),"标准",IF(AND(I998&gt;=1,I998&lt;2),"松散",""))))</f>
        <v/>
      </c>
      <c r="K998" s="2">
        <f>IF(I998=0.1,"极紧凑-豹子号",IF(AND(I998&gt;=1,I998&lt;=1.29),"松散-极松散",IF(AND(I998&gt;=1.33,I998&lt;=1.8),"松散-标准松散",IF(AND(I998&gt;=1.83,I998&lt;=1.89),"松散-偏紧松散",IF(AND(I998&gt;=2,I998&lt;=2.5),"标准-偏松标准",IF(AND(I998&gt;=2.57,I998&lt;=3),"标准-核心标准",IF(AND(I998&gt;=3.17,I998&lt;=3.5),"标准-偏紧标准",IF(AND(I998&gt;=3.6,I998&lt;=5),"紧凑-标准紧凑",IF(AND(I998&gt;=5.25,I998&lt;=8),"紧凑-高度紧凑",IF(I998&gt;=8.5,"紧凑-极度紧凑",""))))))))))</f>
        <v/>
      </c>
      <c r="L998" s="2">
        <f>IF(I998=0.1,"极紧凑",IF(AND(I998&gt;=1,I998&lt;=1.89),"松散",IF(AND(I998&gt;=2,I998&lt;=3.5),"标准",IF(I998&gt;=3.6,"紧凑",""))))</f>
        <v/>
      </c>
      <c r="M998" s="2" t="inlineStr">
        <is>
          <t>极紧凑-豹子号</t>
        </is>
      </c>
      <c r="N998" s="2" t="inlineStr">
        <is>
          <t>松散-极松散</t>
        </is>
      </c>
      <c r="O998" s="2" t="inlineStr">
        <is>
          <t>松散-标准松散</t>
        </is>
      </c>
      <c r="P998" s="2" t="inlineStr">
        <is>
          <t>松散-偏紧松散</t>
        </is>
      </c>
      <c r="Q998" s="2" t="inlineStr">
        <is>
          <t>标准-偏松标准</t>
        </is>
      </c>
      <c r="R998" s="2" t="inlineStr">
        <is>
          <t>标准-核心标准</t>
        </is>
      </c>
      <c r="S998" s="2" t="inlineStr">
        <is>
          <t>标准-偏紧标准</t>
        </is>
      </c>
      <c r="T998" s="2" t="inlineStr">
        <is>
          <t>紧凑-标准紧凑</t>
        </is>
      </c>
      <c r="U998" s="2" t="inlineStr">
        <is>
          <t>紧凑-高度紧凑</t>
        </is>
      </c>
      <c r="V998" s="2" t="inlineStr">
        <is>
          <t>紧凑-极度紧凑</t>
        </is>
      </c>
    </row>
    <row r="999">
      <c r="A999" s="1" t="n">
        <v>2025190</v>
      </c>
      <c r="B999" s="3" t="inlineStr">
        <is>
          <t>499</t>
        </is>
      </c>
      <c r="C999" s="2">
        <f>IF(B999="","",LEFT(TEXT(B999,"000"),1)*1)</f>
        <v/>
      </c>
      <c r="D999" s="2">
        <f>IF(B999="","",MID(TEXT(B999,"000"),2,1)*1)</f>
        <v/>
      </c>
      <c r="E999" s="2">
        <f>IF(B999="","",RIGHT(TEXT(B999,"000"),1)*1)</f>
        <v/>
      </c>
      <c r="F999" s="2">
        <f>IF(B999="","",C999+D999+E999)</f>
        <v/>
      </c>
      <c r="G999" s="2">
        <f>IF(B999="","",MOD(F999,10))</f>
        <v/>
      </c>
      <c r="H999" s="2">
        <f>IF(B999="","",MAX(C999,D999,E999)-MIN(C999,D999,E999))</f>
        <v/>
      </c>
      <c r="I999" s="2">
        <f>IF(OR(B999="",H999=0),IF(H999=0,0.1,""),ROUND(F999/H999,2))</f>
        <v/>
      </c>
      <c r="J999" s="2">
        <f>IF(I999=0.1,"极紧凑",IF(I999&gt;3.5,"紧凑",IF(AND(I999&gt;=2,I999&lt;=3.5),"标准",IF(AND(I999&gt;=1,I999&lt;2),"松散",""))))</f>
        <v/>
      </c>
      <c r="K999" s="2">
        <f>IF(I999=0.1,"极紧凑-豹子号",IF(AND(I999&gt;=1,I999&lt;=1.29),"松散-极松散",IF(AND(I999&gt;=1.33,I999&lt;=1.8),"松散-标准松散",IF(AND(I999&gt;=1.83,I999&lt;=1.89),"松散-偏紧松散",IF(AND(I999&gt;=2,I999&lt;=2.5),"标准-偏松标准",IF(AND(I999&gt;=2.57,I999&lt;=3),"标准-核心标准",IF(AND(I999&gt;=3.17,I999&lt;=3.5),"标准-偏紧标准",IF(AND(I999&gt;=3.6,I999&lt;=5),"紧凑-标准紧凑",IF(AND(I999&gt;=5.25,I999&lt;=8),"紧凑-高度紧凑",IF(I999&gt;=8.5,"紧凑-极度紧凑",""))))))))))</f>
        <v/>
      </c>
      <c r="L999" s="2">
        <f>IF(I999=0.1,"极紧凑",IF(AND(I999&gt;=1,I999&lt;=1.89),"松散",IF(AND(I999&gt;=2,I999&lt;=3.5),"标准",IF(I999&gt;=3.6,"紧凑",""))))</f>
        <v/>
      </c>
      <c r="M999" s="2" t="inlineStr">
        <is>
          <t>极紧凑-豹子号</t>
        </is>
      </c>
      <c r="N999" s="2" t="inlineStr">
        <is>
          <t>松散-极松散</t>
        </is>
      </c>
      <c r="O999" s="2" t="inlineStr">
        <is>
          <t>松散-标准松散</t>
        </is>
      </c>
      <c r="P999" s="2" t="inlineStr">
        <is>
          <t>松散-偏紧松散</t>
        </is>
      </c>
      <c r="Q999" s="2" t="inlineStr">
        <is>
          <t>标准-偏松标准</t>
        </is>
      </c>
      <c r="R999" s="2" t="inlineStr">
        <is>
          <t>标准-核心标准</t>
        </is>
      </c>
      <c r="S999" s="2" t="inlineStr">
        <is>
          <t>标准-偏紧标准</t>
        </is>
      </c>
      <c r="T999" s="2" t="inlineStr">
        <is>
          <t>紧凑-标准紧凑</t>
        </is>
      </c>
      <c r="U999" s="2" t="inlineStr">
        <is>
          <t>紧凑-高度紧凑</t>
        </is>
      </c>
      <c r="V999" s="2" t="inlineStr">
        <is>
          <t>紧凑-极度紧凑</t>
        </is>
      </c>
    </row>
    <row r="1000">
      <c r="A1000" s="1" t="n">
        <v>2025191</v>
      </c>
      <c r="B1000" s="3" t="inlineStr">
        <is>
          <t>669</t>
        </is>
      </c>
      <c r="C1000" s="2">
        <f>IF(B1000="","",LEFT(TEXT(B1000,"000"),1)*1)</f>
        <v/>
      </c>
      <c r="D1000" s="2">
        <f>IF(B1000="","",MID(TEXT(B1000,"000"),2,1)*1)</f>
        <v/>
      </c>
      <c r="E1000" s="2">
        <f>IF(B1000="","",RIGHT(TEXT(B1000,"000"),1)*1)</f>
        <v/>
      </c>
      <c r="F1000" s="2">
        <f>IF(B1000="","",C1000+D1000+E1000)</f>
        <v/>
      </c>
      <c r="G1000" s="2">
        <f>IF(B1000="","",MOD(F1000,10))</f>
        <v/>
      </c>
      <c r="H1000" s="2">
        <f>IF(B1000="","",MAX(C1000,D1000,E1000)-MIN(C1000,D1000,E1000))</f>
        <v/>
      </c>
      <c r="I1000" s="2">
        <f>IF(OR(B1000="",H1000=0),IF(H1000=0,0.1,""),ROUND(F1000/H1000,2))</f>
        <v/>
      </c>
      <c r="J1000" s="2">
        <f>IF(I1000=0.1,"极紧凑",IF(I1000&gt;3.5,"紧凑",IF(AND(I1000&gt;=2,I1000&lt;=3.5),"标准",IF(AND(I1000&gt;=1,I1000&lt;2),"松散",""))))</f>
        <v/>
      </c>
      <c r="K1000" s="2">
        <f>IF(I1000=0.1,"极紧凑-豹子号",IF(AND(I1000&gt;=1,I1000&lt;=1.29),"松散-极松散",IF(AND(I1000&gt;=1.33,I1000&lt;=1.8),"松散-标准松散",IF(AND(I1000&gt;=1.83,I1000&lt;=1.89),"松散-偏紧松散",IF(AND(I1000&gt;=2,I1000&lt;=2.5),"标准-偏松标准",IF(AND(I1000&gt;=2.57,I1000&lt;=3),"标准-核心标准",IF(AND(I1000&gt;=3.17,I1000&lt;=3.5),"标准-偏紧标准",IF(AND(I1000&gt;=3.6,I1000&lt;=5),"紧凑-标准紧凑",IF(AND(I1000&gt;=5.25,I1000&lt;=8),"紧凑-高度紧凑",IF(I1000&gt;=8.5,"紧凑-极度紧凑",""))))))))))</f>
        <v/>
      </c>
      <c r="L1000" s="2">
        <f>IF(I1000=0.1,"极紧凑",IF(AND(I1000&gt;=1,I1000&lt;=1.89),"松散",IF(AND(I1000&gt;=2,I1000&lt;=3.5),"标准",IF(I1000&gt;=3.6,"紧凑",""))))</f>
        <v/>
      </c>
      <c r="M1000" s="2" t="inlineStr">
        <is>
          <t>极紧凑-豹子号</t>
        </is>
      </c>
      <c r="N1000" s="2" t="inlineStr">
        <is>
          <t>松散-极松散</t>
        </is>
      </c>
      <c r="O1000" s="2" t="inlineStr">
        <is>
          <t>松散-标准松散</t>
        </is>
      </c>
      <c r="P1000" s="2" t="inlineStr">
        <is>
          <t>松散-偏紧松散</t>
        </is>
      </c>
      <c r="Q1000" s="2" t="inlineStr">
        <is>
          <t>标准-偏松标准</t>
        </is>
      </c>
      <c r="R1000" s="2" t="inlineStr">
        <is>
          <t>标准-核心标准</t>
        </is>
      </c>
      <c r="S1000" s="2" t="inlineStr">
        <is>
          <t>标准-偏紧标准</t>
        </is>
      </c>
      <c r="T1000" s="2" t="inlineStr">
        <is>
          <t>紧凑-标准紧凑</t>
        </is>
      </c>
      <c r="U1000" s="2" t="inlineStr">
        <is>
          <t>紧凑-高度紧凑</t>
        </is>
      </c>
      <c r="V1000" s="2" t="inlineStr">
        <is>
          <t>紧凑-极度紧凑</t>
        </is>
      </c>
    </row>
    <row r="1001">
      <c r="A1001" s="1" t="n">
        <v>2025192</v>
      </c>
      <c r="B1001" s="3" t="inlineStr">
        <is>
          <t>683</t>
        </is>
      </c>
      <c r="C1001" s="2">
        <f>IF(B1001="","",LEFT(TEXT(B1001,"000"),1)*1)</f>
        <v/>
      </c>
      <c r="D1001" s="2">
        <f>IF(B1001="","",MID(TEXT(B1001,"000"),2,1)*1)</f>
        <v/>
      </c>
      <c r="E1001" s="2">
        <f>IF(B1001="","",RIGHT(TEXT(B1001,"000"),1)*1)</f>
        <v/>
      </c>
      <c r="F1001" s="2">
        <f>IF(B1001="","",C1001+D1001+E1001)</f>
        <v/>
      </c>
      <c r="G1001" s="2">
        <f>IF(B1001="","",MOD(F1001,10))</f>
        <v/>
      </c>
      <c r="H1001" s="2">
        <f>IF(B1001="","",MAX(C1001,D1001,E1001)-MIN(C1001,D1001,E1001))</f>
        <v/>
      </c>
      <c r="I1001" s="2">
        <f>IF(OR(B1001="",H1001=0),IF(H1001=0,0.1,""),ROUND(F1001/H1001,2))</f>
        <v/>
      </c>
      <c r="J1001" s="2">
        <f>IF(I1001=0.1,"极紧凑",IF(I1001&gt;3.5,"紧凑",IF(AND(I1001&gt;=2,I1001&lt;=3.5),"标准",IF(AND(I1001&gt;=1,I1001&lt;2),"松散",""))))</f>
        <v/>
      </c>
      <c r="K1001" s="2">
        <f>IF(I1001=0.1,"极紧凑-豹子号",IF(AND(I1001&gt;=1,I1001&lt;=1.29),"松散-极松散",IF(AND(I1001&gt;=1.33,I1001&lt;=1.8),"松散-标准松散",IF(AND(I1001&gt;=1.83,I1001&lt;=1.89),"松散-偏紧松散",IF(AND(I1001&gt;=2,I1001&lt;=2.5),"标准-偏松标准",IF(AND(I1001&gt;=2.57,I1001&lt;=3),"标准-核心标准",IF(AND(I1001&gt;=3.17,I1001&lt;=3.5),"标准-偏紧标准",IF(AND(I1001&gt;=3.6,I1001&lt;=5),"紧凑-标准紧凑",IF(AND(I1001&gt;=5.25,I1001&lt;=8),"紧凑-高度紧凑",IF(I1001&gt;=8.5,"紧凑-极度紧凑",""))))))))))</f>
        <v/>
      </c>
      <c r="L1001" s="2">
        <f>IF(I1001=0.1,"极紧凑",IF(AND(I1001&gt;=1,I1001&lt;=1.89),"松散",IF(AND(I1001&gt;=2,I1001&lt;=3.5),"标准",IF(I1001&gt;=3.6,"紧凑",""))))</f>
        <v/>
      </c>
      <c r="M1001" s="2" t="inlineStr">
        <is>
          <t>极紧凑-豹子号</t>
        </is>
      </c>
      <c r="N1001" s="2" t="inlineStr">
        <is>
          <t>松散-极松散</t>
        </is>
      </c>
      <c r="O1001" s="2" t="inlineStr">
        <is>
          <t>松散-标准松散</t>
        </is>
      </c>
      <c r="P1001" s="2" t="inlineStr">
        <is>
          <t>松散-偏紧松散</t>
        </is>
      </c>
      <c r="Q1001" s="2" t="inlineStr">
        <is>
          <t>标准-偏松标准</t>
        </is>
      </c>
      <c r="R1001" s="2" t="inlineStr">
        <is>
          <t>标准-核心标准</t>
        </is>
      </c>
      <c r="S1001" s="2" t="inlineStr">
        <is>
          <t>标准-偏紧标准</t>
        </is>
      </c>
      <c r="T1001" s="2" t="inlineStr">
        <is>
          <t>紧凑-标准紧凑</t>
        </is>
      </c>
      <c r="U1001" s="2" t="inlineStr">
        <is>
          <t>紧凑-高度紧凑</t>
        </is>
      </c>
      <c r="V1001" s="2" t="inlineStr">
        <is>
          <t>紧凑-极度紧凑</t>
        </is>
      </c>
    </row>
    <row r="1002">
      <c r="A1002" s="1" t="n">
        <v>2025193</v>
      </c>
      <c r="B1002" s="3" t="inlineStr">
        <is>
          <t>265</t>
        </is>
      </c>
      <c r="C1002" s="2">
        <f>IF(B1002="","",LEFT(TEXT(B1002,"000"),1)*1)</f>
        <v/>
      </c>
      <c r="D1002" s="2">
        <f>IF(B1002="","",MID(TEXT(B1002,"000"),2,1)*1)</f>
        <v/>
      </c>
      <c r="E1002" s="2">
        <f>IF(B1002="","",RIGHT(TEXT(B1002,"000"),1)*1)</f>
        <v/>
      </c>
      <c r="F1002" s="2">
        <f>IF(B1002="","",C1002+D1002+E1002)</f>
        <v/>
      </c>
      <c r="G1002" s="2">
        <f>IF(B1002="","",MOD(F1002,10))</f>
        <v/>
      </c>
      <c r="H1002" s="2">
        <f>IF(B1002="","",MAX(C1002,D1002,E1002)-MIN(C1002,D1002,E1002))</f>
        <v/>
      </c>
      <c r="I1002" s="2">
        <f>IF(OR(B1002="",H1002=0),IF(H1002=0,0.1,""),ROUND(F1002/H1002,2))</f>
        <v/>
      </c>
      <c r="J1002" s="2">
        <f>IF(I1002=0.1,"极紧凑",IF(I1002&gt;3.5,"紧凑",IF(AND(I1002&gt;=2,I1002&lt;=3.5),"标准",IF(AND(I1002&gt;=1,I1002&lt;2),"松散",""))))</f>
        <v/>
      </c>
      <c r="K1002" s="2">
        <f>IF(I1002=0.1,"极紧凑-豹子号",IF(AND(I1002&gt;=1,I1002&lt;=1.29),"松散-极松散",IF(AND(I1002&gt;=1.33,I1002&lt;=1.8),"松散-标准松散",IF(AND(I1002&gt;=1.83,I1002&lt;=1.89),"松散-偏紧松散",IF(AND(I1002&gt;=2,I1002&lt;=2.5),"标准-偏松标准",IF(AND(I1002&gt;=2.57,I1002&lt;=3),"标准-核心标准",IF(AND(I1002&gt;=3.17,I1002&lt;=3.5),"标准-偏紧标准",IF(AND(I1002&gt;=3.6,I1002&lt;=5),"紧凑-标准紧凑",IF(AND(I1002&gt;=5.25,I1002&lt;=8),"紧凑-高度紧凑",IF(I1002&gt;=8.5,"紧凑-极度紧凑",""))))))))))</f>
        <v/>
      </c>
      <c r="L1002" s="2">
        <f>IF(I1002=0.1,"极紧凑",IF(AND(I1002&gt;=1,I1002&lt;=1.89),"松散",IF(AND(I1002&gt;=2,I1002&lt;=3.5),"标准",IF(I1002&gt;=3.6,"紧凑",""))))</f>
        <v/>
      </c>
      <c r="M1002" s="2" t="inlineStr">
        <is>
          <t>极紧凑-豹子号</t>
        </is>
      </c>
      <c r="N1002" s="2" t="inlineStr">
        <is>
          <t>松散-极松散</t>
        </is>
      </c>
      <c r="O1002" s="2" t="inlineStr">
        <is>
          <t>松散-标准松散</t>
        </is>
      </c>
      <c r="P1002" s="2" t="inlineStr">
        <is>
          <t>松散-偏紧松散</t>
        </is>
      </c>
      <c r="Q1002" s="2" t="inlineStr">
        <is>
          <t>标准-偏松标准</t>
        </is>
      </c>
      <c r="R1002" s="2" t="inlineStr">
        <is>
          <t>标准-核心标准</t>
        </is>
      </c>
      <c r="S1002" s="2" t="inlineStr">
        <is>
          <t>标准-偏紧标准</t>
        </is>
      </c>
      <c r="T1002" s="2" t="inlineStr">
        <is>
          <t>紧凑-标准紧凑</t>
        </is>
      </c>
      <c r="U1002" s="2" t="inlineStr">
        <is>
          <t>紧凑-高度紧凑</t>
        </is>
      </c>
      <c r="V1002" s="2" t="inlineStr">
        <is>
          <t>紧凑-极度紧凑</t>
        </is>
      </c>
    </row>
    <row r="1003">
      <c r="A1003" s="1" t="n">
        <v>2025194</v>
      </c>
      <c r="B1003" s="3" t="inlineStr">
        <is>
          <t>270</t>
        </is>
      </c>
      <c r="C1003" s="2">
        <f>IF(B1003="","",LEFT(TEXT(B1003,"000"),1)*1)</f>
        <v/>
      </c>
      <c r="D1003" s="2">
        <f>IF(B1003="","",MID(TEXT(B1003,"000"),2,1)*1)</f>
        <v/>
      </c>
      <c r="E1003" s="2">
        <f>IF(B1003="","",RIGHT(TEXT(B1003,"000"),1)*1)</f>
        <v/>
      </c>
      <c r="F1003" s="2">
        <f>IF(B1003="","",C1003+D1003+E1003)</f>
        <v/>
      </c>
      <c r="G1003" s="2">
        <f>IF(B1003="","",MOD(F1003,10))</f>
        <v/>
      </c>
      <c r="H1003" s="2">
        <f>IF(B1003="","",MAX(C1003,D1003,E1003)-MIN(C1003,D1003,E1003))</f>
        <v/>
      </c>
      <c r="I1003" s="2">
        <f>IF(OR(B1003="",H1003=0),IF(H1003=0,0.1,""),ROUND(F1003/H1003,2))</f>
        <v/>
      </c>
      <c r="J1003" s="2">
        <f>IF(I1003=0.1,"极紧凑",IF(I1003&gt;3.5,"紧凑",IF(AND(I1003&gt;=2,I1003&lt;=3.5),"标准",IF(AND(I1003&gt;=1,I1003&lt;2),"松散",""))))</f>
        <v/>
      </c>
      <c r="K1003" s="2">
        <f>IF(I1003=0.1,"极紧凑-豹子号",IF(AND(I1003&gt;=1,I1003&lt;=1.29),"松散-极松散",IF(AND(I1003&gt;=1.33,I1003&lt;=1.8),"松散-标准松散",IF(AND(I1003&gt;=1.83,I1003&lt;=1.89),"松散-偏紧松散",IF(AND(I1003&gt;=2,I1003&lt;=2.5),"标准-偏松标准",IF(AND(I1003&gt;=2.57,I1003&lt;=3),"标准-核心标准",IF(AND(I1003&gt;=3.17,I1003&lt;=3.5),"标准-偏紧标准",IF(AND(I1003&gt;=3.6,I1003&lt;=5),"紧凑-标准紧凑",IF(AND(I1003&gt;=5.25,I1003&lt;=8),"紧凑-高度紧凑",IF(I1003&gt;=8.5,"紧凑-极度紧凑",""))))))))))</f>
        <v/>
      </c>
      <c r="L1003" s="2">
        <f>IF(I1003=0.1,"极紧凑",IF(AND(I1003&gt;=1,I1003&lt;=1.89),"松散",IF(AND(I1003&gt;=2,I1003&lt;=3.5),"标准",IF(I1003&gt;=3.6,"紧凑",""))))</f>
        <v/>
      </c>
      <c r="M1003" s="2" t="inlineStr">
        <is>
          <t>极紧凑-豹子号</t>
        </is>
      </c>
      <c r="N1003" s="2" t="inlineStr">
        <is>
          <t>松散-极松散</t>
        </is>
      </c>
      <c r="O1003" s="2" t="inlineStr">
        <is>
          <t>松散-标准松散</t>
        </is>
      </c>
      <c r="P1003" s="2" t="inlineStr">
        <is>
          <t>松散-偏紧松散</t>
        </is>
      </c>
      <c r="Q1003" s="2" t="inlineStr">
        <is>
          <t>标准-偏松标准</t>
        </is>
      </c>
      <c r="R1003" s="2" t="inlineStr">
        <is>
          <t>标准-核心标准</t>
        </is>
      </c>
      <c r="S1003" s="2" t="inlineStr">
        <is>
          <t>标准-偏紧标准</t>
        </is>
      </c>
      <c r="T1003" s="2" t="inlineStr">
        <is>
          <t>紧凑-标准紧凑</t>
        </is>
      </c>
      <c r="U1003" s="2" t="inlineStr">
        <is>
          <t>紧凑-高度紧凑</t>
        </is>
      </c>
      <c r="V1003" s="2" t="inlineStr">
        <is>
          <t>紧凑-极度紧凑</t>
        </is>
      </c>
    </row>
    <row r="1004">
      <c r="A1004" s="1" t="n">
        <v>2025195</v>
      </c>
      <c r="B1004" s="3" t="inlineStr">
        <is>
          <t>210</t>
        </is>
      </c>
      <c r="C1004" s="2">
        <f>IF(B1004="","",LEFT(TEXT(B1004,"000"),1)*1)</f>
        <v/>
      </c>
      <c r="D1004" s="2">
        <f>IF(B1004="","",MID(TEXT(B1004,"000"),2,1)*1)</f>
        <v/>
      </c>
      <c r="E1004" s="2">
        <f>IF(B1004="","",RIGHT(TEXT(B1004,"000"),1)*1)</f>
        <v/>
      </c>
      <c r="F1004" s="2">
        <f>IF(B1004="","",C1004+D1004+E1004)</f>
        <v/>
      </c>
      <c r="G1004" s="2">
        <f>IF(B1004="","",MOD(F1004,10))</f>
        <v/>
      </c>
      <c r="H1004" s="2">
        <f>IF(B1004="","",MAX(C1004,D1004,E1004)-MIN(C1004,D1004,E1004))</f>
        <v/>
      </c>
      <c r="I1004" s="2">
        <f>IF(OR(B1004="",H1004=0),IF(H1004=0,0.1,""),ROUND(F1004/H1004,2))</f>
        <v/>
      </c>
      <c r="J1004" s="2">
        <f>IF(I1004=0.1,"极紧凑",IF(I1004&gt;3.5,"紧凑",IF(AND(I1004&gt;=2,I1004&lt;=3.5),"标准",IF(AND(I1004&gt;=1,I1004&lt;2),"松散",""))))</f>
        <v/>
      </c>
      <c r="K1004" s="2">
        <f>IF(I1004=0.1,"极紧凑-豹子号",IF(AND(I1004&gt;=1,I1004&lt;=1.29),"松散-极松散",IF(AND(I1004&gt;=1.33,I1004&lt;=1.8),"松散-标准松散",IF(AND(I1004&gt;=1.83,I1004&lt;=1.89),"松散-偏紧松散",IF(AND(I1004&gt;=2,I1004&lt;=2.5),"标准-偏松标准",IF(AND(I1004&gt;=2.57,I1004&lt;=3),"标准-核心标准",IF(AND(I1004&gt;=3.17,I1004&lt;=3.5),"标准-偏紧标准",IF(AND(I1004&gt;=3.6,I1004&lt;=5),"紧凑-标准紧凑",IF(AND(I1004&gt;=5.25,I1004&lt;=8),"紧凑-高度紧凑",IF(I1004&gt;=8.5,"紧凑-极度紧凑",""))))))))))</f>
        <v/>
      </c>
      <c r="L1004" s="2">
        <f>IF(I1004=0.1,"极紧凑",IF(AND(I1004&gt;=1,I1004&lt;=1.89),"松散",IF(AND(I1004&gt;=2,I1004&lt;=3.5),"标准",IF(I1004&gt;=3.6,"紧凑",""))))</f>
        <v/>
      </c>
      <c r="M1004" s="2" t="inlineStr">
        <is>
          <t>极紧凑-豹子号</t>
        </is>
      </c>
      <c r="N1004" s="2" t="inlineStr">
        <is>
          <t>松散-极松散</t>
        </is>
      </c>
      <c r="O1004" s="2" t="inlineStr">
        <is>
          <t>松散-标准松散</t>
        </is>
      </c>
      <c r="P1004" s="2" t="inlineStr">
        <is>
          <t>松散-偏紧松散</t>
        </is>
      </c>
      <c r="Q1004" s="2" t="inlineStr">
        <is>
          <t>标准-偏松标准</t>
        </is>
      </c>
      <c r="R1004" s="2" t="inlineStr">
        <is>
          <t>标准-核心标准</t>
        </is>
      </c>
      <c r="S1004" s="2" t="inlineStr">
        <is>
          <t>标准-偏紧标准</t>
        </is>
      </c>
      <c r="T1004" s="2" t="inlineStr">
        <is>
          <t>紧凑-标准紧凑</t>
        </is>
      </c>
      <c r="U1004" s="2" t="inlineStr">
        <is>
          <t>紧凑-高度紧凑</t>
        </is>
      </c>
      <c r="V1004" s="2" t="inlineStr">
        <is>
          <t>紧凑-极度紧凑</t>
        </is>
      </c>
    </row>
    <row r="1005">
      <c r="A1005" s="1" t="n">
        <v>2025196</v>
      </c>
      <c r="B1005" s="3" t="inlineStr">
        <is>
          <t>941</t>
        </is>
      </c>
      <c r="C1005" s="2">
        <f>IF(B1005="","",LEFT(TEXT(B1005,"000"),1)*1)</f>
        <v/>
      </c>
      <c r="D1005" s="2">
        <f>IF(B1005="","",MID(TEXT(B1005,"000"),2,1)*1)</f>
        <v/>
      </c>
      <c r="E1005" s="2">
        <f>IF(B1005="","",RIGHT(TEXT(B1005,"000"),1)*1)</f>
        <v/>
      </c>
      <c r="F1005" s="2">
        <f>IF(B1005="","",C1005+D1005+E1005)</f>
        <v/>
      </c>
      <c r="G1005" s="2">
        <f>IF(B1005="","",MOD(F1005,10))</f>
        <v/>
      </c>
      <c r="H1005" s="2">
        <f>IF(B1005="","",MAX(C1005,D1005,E1005)-MIN(C1005,D1005,E1005))</f>
        <v/>
      </c>
      <c r="I1005" s="2">
        <f>IF(OR(B1005="",H1005=0),IF(H1005=0,0.1,""),ROUND(F1005/H1005,2))</f>
        <v/>
      </c>
      <c r="J1005" s="2">
        <f>IF(I1005=0.1,"极紧凑",IF(I1005&gt;3.5,"紧凑",IF(AND(I1005&gt;=2,I1005&lt;=3.5),"标准",IF(AND(I1005&gt;=1,I1005&lt;2),"松散",""))))</f>
        <v/>
      </c>
      <c r="K1005" s="2">
        <f>IF(I1005=0.1,"极紧凑-豹子号",IF(AND(I1005&gt;=1,I1005&lt;=1.29),"松散-极松散",IF(AND(I1005&gt;=1.33,I1005&lt;=1.8),"松散-标准松散",IF(AND(I1005&gt;=1.83,I1005&lt;=1.89),"松散-偏紧松散",IF(AND(I1005&gt;=2,I1005&lt;=2.5),"标准-偏松标准",IF(AND(I1005&gt;=2.57,I1005&lt;=3),"标准-核心标准",IF(AND(I1005&gt;=3.17,I1005&lt;=3.5),"标准-偏紧标准",IF(AND(I1005&gt;=3.6,I1005&lt;=5),"紧凑-标准紧凑",IF(AND(I1005&gt;=5.25,I1005&lt;=8),"紧凑-高度紧凑",IF(I1005&gt;=8.5,"紧凑-极度紧凑",""))))))))))</f>
        <v/>
      </c>
      <c r="L1005" s="2">
        <f>IF(I1005=0.1,"极紧凑",IF(AND(I1005&gt;=1,I1005&lt;=1.89),"松散",IF(AND(I1005&gt;=2,I1005&lt;=3.5),"标准",IF(I1005&gt;=3.6,"紧凑",""))))</f>
        <v/>
      </c>
      <c r="M1005" s="2" t="inlineStr">
        <is>
          <t>极紧凑-豹子号</t>
        </is>
      </c>
      <c r="N1005" s="2" t="inlineStr">
        <is>
          <t>松散-极松散</t>
        </is>
      </c>
      <c r="O1005" s="2" t="inlineStr">
        <is>
          <t>松散-标准松散</t>
        </is>
      </c>
      <c r="P1005" s="2" t="inlineStr">
        <is>
          <t>松散-偏紧松散</t>
        </is>
      </c>
      <c r="Q1005" s="2" t="inlineStr">
        <is>
          <t>标准-偏松标准</t>
        </is>
      </c>
      <c r="R1005" s="2" t="inlineStr">
        <is>
          <t>标准-核心标准</t>
        </is>
      </c>
      <c r="S1005" s="2" t="inlineStr">
        <is>
          <t>标准-偏紧标准</t>
        </is>
      </c>
      <c r="T1005" s="2" t="inlineStr">
        <is>
          <t>紧凑-标准紧凑</t>
        </is>
      </c>
      <c r="U1005" s="2" t="inlineStr">
        <is>
          <t>紧凑-高度紧凑</t>
        </is>
      </c>
      <c r="V1005" s="2" t="inlineStr">
        <is>
          <t>紧凑-极度紧凑</t>
        </is>
      </c>
    </row>
    <row r="1006">
      <c r="A1006" s="1" t="n">
        <v>2025197</v>
      </c>
      <c r="B1006" s="3" t="inlineStr">
        <is>
          <t>869</t>
        </is>
      </c>
      <c r="C1006" s="2">
        <f>IF(B1006="","",LEFT(TEXT(B1006,"000"),1)*1)</f>
        <v/>
      </c>
      <c r="D1006" s="2">
        <f>IF(B1006="","",MID(TEXT(B1006,"000"),2,1)*1)</f>
        <v/>
      </c>
      <c r="E1006" s="2">
        <f>IF(B1006="","",RIGHT(TEXT(B1006,"000"),1)*1)</f>
        <v/>
      </c>
      <c r="F1006" s="2">
        <f>IF(B1006="","",C1006+D1006+E1006)</f>
        <v/>
      </c>
      <c r="G1006" s="2">
        <f>IF(B1006="","",MOD(F1006,10))</f>
        <v/>
      </c>
      <c r="H1006" s="2">
        <f>IF(B1006="","",MAX(C1006,D1006,E1006)-MIN(C1006,D1006,E1006))</f>
        <v/>
      </c>
      <c r="I1006" s="2">
        <f>IF(OR(B1006="",H1006=0),IF(H1006=0,0.1,""),ROUND(F1006/H1006,2))</f>
        <v/>
      </c>
      <c r="J1006" s="2">
        <f>IF(I1006=0.1,"极紧凑",IF(I1006&gt;3.5,"紧凑",IF(AND(I1006&gt;=2,I1006&lt;=3.5),"标准",IF(AND(I1006&gt;=1,I1006&lt;2),"松散",""))))</f>
        <v/>
      </c>
      <c r="K1006" s="2">
        <f>IF(I1006=0.1,"极紧凑-豹子号",IF(AND(I1006&gt;=1,I1006&lt;=1.29),"松散-极松散",IF(AND(I1006&gt;=1.33,I1006&lt;=1.8),"松散-标准松散",IF(AND(I1006&gt;=1.83,I1006&lt;=1.89),"松散-偏紧松散",IF(AND(I1006&gt;=2,I1006&lt;=2.5),"标准-偏松标准",IF(AND(I1006&gt;=2.57,I1006&lt;=3),"标准-核心标准",IF(AND(I1006&gt;=3.17,I1006&lt;=3.5),"标准-偏紧标准",IF(AND(I1006&gt;=3.6,I1006&lt;=5),"紧凑-标准紧凑",IF(AND(I1006&gt;=5.25,I1006&lt;=8),"紧凑-高度紧凑",IF(I1006&gt;=8.5,"紧凑-极度紧凑",""))))))))))</f>
        <v/>
      </c>
      <c r="L1006" s="2">
        <f>IF(I1006=0.1,"极紧凑",IF(AND(I1006&gt;=1,I1006&lt;=1.89),"松散",IF(AND(I1006&gt;=2,I1006&lt;=3.5),"标准",IF(I1006&gt;=3.6,"紧凑",""))))</f>
        <v/>
      </c>
      <c r="M1006" s="2" t="inlineStr">
        <is>
          <t>极紧凑-豹子号</t>
        </is>
      </c>
      <c r="N1006" s="2" t="inlineStr">
        <is>
          <t>松散-极松散</t>
        </is>
      </c>
      <c r="O1006" s="2" t="inlineStr">
        <is>
          <t>松散-标准松散</t>
        </is>
      </c>
      <c r="P1006" s="2" t="inlineStr">
        <is>
          <t>松散-偏紧松散</t>
        </is>
      </c>
      <c r="Q1006" s="2" t="inlineStr">
        <is>
          <t>标准-偏松标准</t>
        </is>
      </c>
      <c r="R1006" s="2" t="inlineStr">
        <is>
          <t>标准-核心标准</t>
        </is>
      </c>
      <c r="S1006" s="2" t="inlineStr">
        <is>
          <t>标准-偏紧标准</t>
        </is>
      </c>
      <c r="T1006" s="2" t="inlineStr">
        <is>
          <t>紧凑-标准紧凑</t>
        </is>
      </c>
      <c r="U1006" s="2" t="inlineStr">
        <is>
          <t>紧凑-高度紧凑</t>
        </is>
      </c>
      <c r="V1006" s="2" t="inlineStr">
        <is>
          <t>紧凑-极度紧凑</t>
        </is>
      </c>
    </row>
    <row r="1007">
      <c r="A1007" s="1" t="n">
        <v>2025198</v>
      </c>
      <c r="B1007" s="3" t="inlineStr">
        <is>
          <t>717</t>
        </is>
      </c>
      <c r="C1007" s="2">
        <f>IF(B1007="","",LEFT(TEXT(B1007,"000"),1)*1)</f>
        <v/>
      </c>
      <c r="D1007" s="2">
        <f>IF(B1007="","",MID(TEXT(B1007,"000"),2,1)*1)</f>
        <v/>
      </c>
      <c r="E1007" s="2">
        <f>IF(B1007="","",RIGHT(TEXT(B1007,"000"),1)*1)</f>
        <v/>
      </c>
      <c r="F1007" s="2">
        <f>IF(B1007="","",C1007+D1007+E1007)</f>
        <v/>
      </c>
      <c r="G1007" s="2">
        <f>IF(B1007="","",MOD(F1007,10))</f>
        <v/>
      </c>
      <c r="H1007" s="2">
        <f>IF(B1007="","",MAX(C1007,D1007,E1007)-MIN(C1007,D1007,E1007))</f>
        <v/>
      </c>
      <c r="I1007" s="2">
        <f>IF(OR(B1007="",H1007=0),IF(H1007=0,0.1,""),ROUND(F1007/H1007,2))</f>
        <v/>
      </c>
      <c r="J1007" s="2">
        <f>IF(I1007=0.1,"极紧凑",IF(I1007&gt;3.5,"紧凑",IF(AND(I1007&gt;=2,I1007&lt;=3.5),"标准",IF(AND(I1007&gt;=1,I1007&lt;2),"松散",""))))</f>
        <v/>
      </c>
      <c r="K1007" s="2">
        <f>IF(I1007=0.1,"极紧凑-豹子号",IF(AND(I1007&gt;=1,I1007&lt;=1.29),"松散-极松散",IF(AND(I1007&gt;=1.33,I1007&lt;=1.8),"松散-标准松散",IF(AND(I1007&gt;=1.83,I1007&lt;=1.89),"松散-偏紧松散",IF(AND(I1007&gt;=2,I1007&lt;=2.5),"标准-偏松标准",IF(AND(I1007&gt;=2.57,I1007&lt;=3),"标准-核心标准",IF(AND(I1007&gt;=3.17,I1007&lt;=3.5),"标准-偏紧标准",IF(AND(I1007&gt;=3.6,I1007&lt;=5),"紧凑-标准紧凑",IF(AND(I1007&gt;=5.25,I1007&lt;=8),"紧凑-高度紧凑",IF(I1007&gt;=8.5,"紧凑-极度紧凑",""))))))))))</f>
        <v/>
      </c>
      <c r="L1007" s="2">
        <f>IF(I1007=0.1,"极紧凑",IF(AND(I1007&gt;=1,I1007&lt;=1.89),"松散",IF(AND(I1007&gt;=2,I1007&lt;=3.5),"标准",IF(I1007&gt;=3.6,"紧凑",""))))</f>
        <v/>
      </c>
      <c r="M1007" s="2" t="inlineStr">
        <is>
          <t>极紧凑-豹子号</t>
        </is>
      </c>
      <c r="N1007" s="2" t="inlineStr">
        <is>
          <t>松散-极松散</t>
        </is>
      </c>
      <c r="O1007" s="2" t="inlineStr">
        <is>
          <t>松散-标准松散</t>
        </is>
      </c>
      <c r="P1007" s="2" t="inlineStr">
        <is>
          <t>松散-偏紧松散</t>
        </is>
      </c>
      <c r="Q1007" s="2" t="inlineStr">
        <is>
          <t>标准-偏松标准</t>
        </is>
      </c>
      <c r="R1007" s="2" t="inlineStr">
        <is>
          <t>标准-核心标准</t>
        </is>
      </c>
      <c r="S1007" s="2" t="inlineStr">
        <is>
          <t>标准-偏紧标准</t>
        </is>
      </c>
      <c r="T1007" s="2" t="inlineStr">
        <is>
          <t>紧凑-标准紧凑</t>
        </is>
      </c>
      <c r="U1007" s="2" t="inlineStr">
        <is>
          <t>紧凑-高度紧凑</t>
        </is>
      </c>
      <c r="V1007" s="2" t="inlineStr">
        <is>
          <t>紧凑-极度紧凑</t>
        </is>
      </c>
    </row>
    <row r="1008">
      <c r="A1008" s="1" t="n">
        <v>2025199</v>
      </c>
      <c r="B1008" s="3" t="inlineStr">
        <is>
          <t>485</t>
        </is>
      </c>
      <c r="C1008" s="2">
        <f>IF(B1008="","",LEFT(TEXT(B1008,"000"),1)*1)</f>
        <v/>
      </c>
      <c r="D1008" s="2">
        <f>IF(B1008="","",MID(TEXT(B1008,"000"),2,1)*1)</f>
        <v/>
      </c>
      <c r="E1008" s="2">
        <f>IF(B1008="","",RIGHT(TEXT(B1008,"000"),1)*1)</f>
        <v/>
      </c>
      <c r="F1008" s="2">
        <f>IF(B1008="","",C1008+D1008+E1008)</f>
        <v/>
      </c>
      <c r="G1008" s="2">
        <f>IF(B1008="","",MOD(F1008,10))</f>
        <v/>
      </c>
      <c r="H1008" s="2">
        <f>IF(B1008="","",MAX(C1008,D1008,E1008)-MIN(C1008,D1008,E1008))</f>
        <v/>
      </c>
      <c r="I1008" s="2">
        <f>IF(OR(B1008="",H1008=0),IF(H1008=0,0.1,""),ROUND(F1008/H1008,2))</f>
        <v/>
      </c>
      <c r="J1008" s="2">
        <f>IF(I1008=0.1,"极紧凑",IF(I1008&gt;3.5,"紧凑",IF(AND(I1008&gt;=2,I1008&lt;=3.5),"标准",IF(AND(I1008&gt;=1,I1008&lt;2),"松散",""))))</f>
        <v/>
      </c>
      <c r="K1008" s="2">
        <f>IF(I1008=0.1,"极紧凑-豹子号",IF(AND(I1008&gt;=1,I1008&lt;=1.29),"松散-极松散",IF(AND(I1008&gt;=1.33,I1008&lt;=1.8),"松散-标准松散",IF(AND(I1008&gt;=1.83,I1008&lt;=1.89),"松散-偏紧松散",IF(AND(I1008&gt;=2,I1008&lt;=2.5),"标准-偏松标准",IF(AND(I1008&gt;=2.57,I1008&lt;=3),"标准-核心标准",IF(AND(I1008&gt;=3.17,I1008&lt;=3.5),"标准-偏紧标准",IF(AND(I1008&gt;=3.6,I1008&lt;=5),"紧凑-标准紧凑",IF(AND(I1008&gt;=5.25,I1008&lt;=8),"紧凑-高度紧凑",IF(I1008&gt;=8.5,"紧凑-极度紧凑",""))))))))))</f>
        <v/>
      </c>
      <c r="L1008" s="2">
        <f>IF(I1008=0.1,"极紧凑",IF(AND(I1008&gt;=1,I1008&lt;=1.89),"松散",IF(AND(I1008&gt;=2,I1008&lt;=3.5),"标准",IF(I1008&gt;=3.6,"紧凑",""))))</f>
        <v/>
      </c>
      <c r="M1008" s="2" t="inlineStr">
        <is>
          <t>极紧凑-豹子号</t>
        </is>
      </c>
      <c r="N1008" s="2" t="inlineStr">
        <is>
          <t>松散-极松散</t>
        </is>
      </c>
      <c r="O1008" s="2" t="inlineStr">
        <is>
          <t>松散-标准松散</t>
        </is>
      </c>
      <c r="P1008" s="2" t="inlineStr">
        <is>
          <t>松散-偏紧松散</t>
        </is>
      </c>
      <c r="Q1008" s="2" t="inlineStr">
        <is>
          <t>标准-偏松标准</t>
        </is>
      </c>
      <c r="R1008" s="2" t="inlineStr">
        <is>
          <t>标准-核心标准</t>
        </is>
      </c>
      <c r="S1008" s="2" t="inlineStr">
        <is>
          <t>标准-偏紧标准</t>
        </is>
      </c>
      <c r="T1008" s="2" t="inlineStr">
        <is>
          <t>紧凑-标准紧凑</t>
        </is>
      </c>
      <c r="U1008" s="2" t="inlineStr">
        <is>
          <t>紧凑-高度紧凑</t>
        </is>
      </c>
      <c r="V1008" s="2" t="inlineStr">
        <is>
          <t>紧凑-极度紧凑</t>
        </is>
      </c>
    </row>
    <row r="1009">
      <c r="A1009" s="1" t="n">
        <v>2025200</v>
      </c>
      <c r="B1009" s="3" t="inlineStr">
        <is>
          <t>211</t>
        </is>
      </c>
      <c r="C1009" s="2">
        <f>IF(B1009="","",LEFT(TEXT(B1009,"000"),1)*1)</f>
        <v/>
      </c>
      <c r="D1009" s="2">
        <f>IF(B1009="","",MID(TEXT(B1009,"000"),2,1)*1)</f>
        <v/>
      </c>
      <c r="E1009" s="2">
        <f>IF(B1009="","",RIGHT(TEXT(B1009,"000"),1)*1)</f>
        <v/>
      </c>
      <c r="F1009" s="2">
        <f>IF(B1009="","",C1009+D1009+E1009)</f>
        <v/>
      </c>
      <c r="G1009" s="2">
        <f>IF(B1009="","",MOD(F1009,10))</f>
        <v/>
      </c>
      <c r="H1009" s="2">
        <f>IF(B1009="","",MAX(C1009,D1009,E1009)-MIN(C1009,D1009,E1009))</f>
        <v/>
      </c>
      <c r="I1009" s="2">
        <f>IF(OR(B1009="",H1009=0),IF(H1009=0,0.1,""),ROUND(F1009/H1009,2))</f>
        <v/>
      </c>
      <c r="J1009" s="2">
        <f>IF(I1009=0.1,"极紧凑",IF(I1009&gt;3.5,"紧凑",IF(AND(I1009&gt;=2,I1009&lt;=3.5),"标准",IF(AND(I1009&gt;=1,I1009&lt;2),"松散",""))))</f>
        <v/>
      </c>
      <c r="K1009" s="2">
        <f>IF(I1009=0.1,"极紧凑-豹子号",IF(AND(I1009&gt;=1,I1009&lt;=1.29),"松散-极松散",IF(AND(I1009&gt;=1.33,I1009&lt;=1.8),"松散-标准松散",IF(AND(I1009&gt;=1.83,I1009&lt;=1.89),"松散-偏紧松散",IF(AND(I1009&gt;=2,I1009&lt;=2.5),"标准-偏松标准",IF(AND(I1009&gt;=2.57,I1009&lt;=3),"标准-核心标准",IF(AND(I1009&gt;=3.17,I1009&lt;=3.5),"标准-偏紧标准",IF(AND(I1009&gt;=3.6,I1009&lt;=5),"紧凑-标准紧凑",IF(AND(I1009&gt;=5.25,I1009&lt;=8),"紧凑-高度紧凑",IF(I1009&gt;=8.5,"紧凑-极度紧凑",""))))))))))</f>
        <v/>
      </c>
      <c r="L1009" s="2">
        <f>IF(I1009=0.1,"极紧凑",IF(AND(I1009&gt;=1,I1009&lt;=1.89),"松散",IF(AND(I1009&gt;=2,I1009&lt;=3.5),"标准",IF(I1009&gt;=3.6,"紧凑",""))))</f>
        <v/>
      </c>
      <c r="M1009" s="2" t="inlineStr">
        <is>
          <t>极紧凑-豹子号</t>
        </is>
      </c>
      <c r="N1009" s="2" t="inlineStr">
        <is>
          <t>松散-极松散</t>
        </is>
      </c>
      <c r="O1009" s="2" t="inlineStr">
        <is>
          <t>松散-标准松散</t>
        </is>
      </c>
      <c r="P1009" s="2" t="inlineStr">
        <is>
          <t>松散-偏紧松散</t>
        </is>
      </c>
      <c r="Q1009" s="2" t="inlineStr">
        <is>
          <t>标准-偏松标准</t>
        </is>
      </c>
      <c r="R1009" s="2" t="inlineStr">
        <is>
          <t>标准-核心标准</t>
        </is>
      </c>
      <c r="S1009" s="2" t="inlineStr">
        <is>
          <t>标准-偏紧标准</t>
        </is>
      </c>
      <c r="T1009" s="2" t="inlineStr">
        <is>
          <t>紧凑-标准紧凑</t>
        </is>
      </c>
      <c r="U1009" s="2" t="inlineStr">
        <is>
          <t>紧凑-高度紧凑</t>
        </is>
      </c>
      <c r="V1009" s="2" t="inlineStr">
        <is>
          <t>紧凑-极度紧凑</t>
        </is>
      </c>
    </row>
    <row r="1010">
      <c r="A1010" s="1" t="n">
        <v>2025201</v>
      </c>
      <c r="B1010" s="3" t="inlineStr">
        <is>
          <t>401</t>
        </is>
      </c>
      <c r="C1010" s="2">
        <f>IF(B1010="","",LEFT(TEXT(B1010,"000"),1)*1)</f>
        <v/>
      </c>
      <c r="D1010" s="2">
        <f>IF(B1010="","",MID(TEXT(B1010,"000"),2,1)*1)</f>
        <v/>
      </c>
      <c r="E1010" s="2">
        <f>IF(B1010="","",RIGHT(TEXT(B1010,"000"),1)*1)</f>
        <v/>
      </c>
      <c r="F1010" s="2">
        <f>IF(B1010="","",C1010+D1010+E1010)</f>
        <v/>
      </c>
      <c r="G1010" s="2">
        <f>IF(B1010="","",MOD(F1010,10))</f>
        <v/>
      </c>
      <c r="H1010" s="2">
        <f>IF(B1010="","",MAX(C1010,D1010,E1010)-MIN(C1010,D1010,E1010))</f>
        <v/>
      </c>
      <c r="I1010" s="2">
        <f>IF(OR(B1010="",H1010=0),IF(H1010=0,0.1,""),ROUND(F1010/H1010,2))</f>
        <v/>
      </c>
      <c r="J1010" s="2">
        <f>IF(I1010=0.1,"极紧凑",IF(I1010&gt;3.5,"紧凑",IF(AND(I1010&gt;=2,I1010&lt;=3.5),"标准",IF(AND(I1010&gt;=1,I1010&lt;2),"松散",""))))</f>
        <v/>
      </c>
      <c r="K1010" s="2">
        <f>IF(I1010=0.1,"极紧凑-豹子号",IF(AND(I1010&gt;=1,I1010&lt;=1.29),"松散-极松散",IF(AND(I1010&gt;=1.33,I1010&lt;=1.8),"松散-标准松散",IF(AND(I1010&gt;=1.83,I1010&lt;=1.89),"松散-偏紧松散",IF(AND(I1010&gt;=2,I1010&lt;=2.5),"标准-偏松标准",IF(AND(I1010&gt;=2.57,I1010&lt;=3),"标准-核心标准",IF(AND(I1010&gt;=3.17,I1010&lt;=3.5),"标准-偏紧标准",IF(AND(I1010&gt;=3.6,I1010&lt;=5),"紧凑-标准紧凑",IF(AND(I1010&gt;=5.25,I1010&lt;=8),"紧凑-高度紧凑",IF(I1010&gt;=8.5,"紧凑-极度紧凑",""))))))))))</f>
        <v/>
      </c>
      <c r="L1010" s="2">
        <f>IF(I1010=0.1,"极紧凑",IF(AND(I1010&gt;=1,I1010&lt;=1.89),"松散",IF(AND(I1010&gt;=2,I1010&lt;=3.5),"标准",IF(I1010&gt;=3.6,"紧凑",""))))</f>
        <v/>
      </c>
      <c r="M1010" s="2" t="inlineStr">
        <is>
          <t>极紧凑-豹子号</t>
        </is>
      </c>
      <c r="N1010" s="2" t="inlineStr">
        <is>
          <t>松散-极松散</t>
        </is>
      </c>
      <c r="O1010" s="2" t="inlineStr">
        <is>
          <t>松散-标准松散</t>
        </is>
      </c>
      <c r="P1010" s="2" t="inlineStr">
        <is>
          <t>松散-偏紧松散</t>
        </is>
      </c>
      <c r="Q1010" s="2" t="inlineStr">
        <is>
          <t>标准-偏松标准</t>
        </is>
      </c>
      <c r="R1010" s="2" t="inlineStr">
        <is>
          <t>标准-核心标准</t>
        </is>
      </c>
      <c r="S1010" s="2" t="inlineStr">
        <is>
          <t>标准-偏紧标准</t>
        </is>
      </c>
      <c r="T1010" s="2" t="inlineStr">
        <is>
          <t>紧凑-标准紧凑</t>
        </is>
      </c>
      <c r="U1010" s="2" t="inlineStr">
        <is>
          <t>紧凑-高度紧凑</t>
        </is>
      </c>
      <c r="V1010" s="2" t="inlineStr">
        <is>
          <t>紧凑-极度紧凑</t>
        </is>
      </c>
    </row>
    <row r="1011">
      <c r="A1011" s="1" t="n">
        <v>2025202</v>
      </c>
      <c r="B1011" s="3" t="inlineStr">
        <is>
          <t>253</t>
        </is>
      </c>
      <c r="C1011" s="2">
        <f>IF(B1011="","",LEFT(TEXT(B1011,"000"),1)*1)</f>
        <v/>
      </c>
      <c r="D1011" s="2">
        <f>IF(B1011="","",MID(TEXT(B1011,"000"),2,1)*1)</f>
        <v/>
      </c>
      <c r="E1011" s="2">
        <f>IF(B1011="","",RIGHT(TEXT(B1011,"000"),1)*1)</f>
        <v/>
      </c>
      <c r="F1011" s="2">
        <f>IF(B1011="","",C1011+D1011+E1011)</f>
        <v/>
      </c>
      <c r="G1011" s="2">
        <f>IF(B1011="","",MOD(F1011,10))</f>
        <v/>
      </c>
      <c r="H1011" s="2">
        <f>IF(B1011="","",MAX(C1011,D1011,E1011)-MIN(C1011,D1011,E1011))</f>
        <v/>
      </c>
      <c r="I1011" s="2">
        <f>IF(OR(B1011="",H1011=0),IF(H1011=0,0.1,""),ROUND(F1011/H1011,2))</f>
        <v/>
      </c>
      <c r="J1011" s="2">
        <f>IF(I1011=0.1,"极紧凑",IF(I1011&gt;3.5,"紧凑",IF(AND(I1011&gt;=2,I1011&lt;=3.5),"标准",IF(AND(I1011&gt;=1,I1011&lt;2),"松散",""))))</f>
        <v/>
      </c>
      <c r="K1011" s="2">
        <f>IF(I1011=0.1,"极紧凑-豹子号",IF(AND(I1011&gt;=1,I1011&lt;=1.29),"松散-极松散",IF(AND(I1011&gt;=1.33,I1011&lt;=1.8),"松散-标准松散",IF(AND(I1011&gt;=1.83,I1011&lt;=1.89),"松散-偏紧松散",IF(AND(I1011&gt;=2,I1011&lt;=2.5),"标准-偏松标准",IF(AND(I1011&gt;=2.57,I1011&lt;=3),"标准-核心标准",IF(AND(I1011&gt;=3.17,I1011&lt;=3.5),"标准-偏紧标准",IF(AND(I1011&gt;=3.6,I1011&lt;=5),"紧凑-标准紧凑",IF(AND(I1011&gt;=5.25,I1011&lt;=8),"紧凑-高度紧凑",IF(I1011&gt;=8.5,"紧凑-极度紧凑",""))))))))))</f>
        <v/>
      </c>
      <c r="L1011" s="2">
        <f>IF(I1011=0.1,"极紧凑",IF(AND(I1011&gt;=1,I1011&lt;=1.89),"松散",IF(AND(I1011&gt;=2,I1011&lt;=3.5),"标准",IF(I1011&gt;=3.6,"紧凑",""))))</f>
        <v/>
      </c>
      <c r="M1011" s="2" t="inlineStr">
        <is>
          <t>极紧凑-豹子号</t>
        </is>
      </c>
      <c r="N1011" s="2" t="inlineStr">
        <is>
          <t>松散-极松散</t>
        </is>
      </c>
      <c r="O1011" s="2" t="inlineStr">
        <is>
          <t>松散-标准松散</t>
        </is>
      </c>
      <c r="P1011" s="2" t="inlineStr">
        <is>
          <t>松散-偏紧松散</t>
        </is>
      </c>
      <c r="Q1011" s="2" t="inlineStr">
        <is>
          <t>标准-偏松标准</t>
        </is>
      </c>
      <c r="R1011" s="2" t="inlineStr">
        <is>
          <t>标准-核心标准</t>
        </is>
      </c>
      <c r="S1011" s="2" t="inlineStr">
        <is>
          <t>标准-偏紧标准</t>
        </is>
      </c>
      <c r="T1011" s="2" t="inlineStr">
        <is>
          <t>紧凑-标准紧凑</t>
        </is>
      </c>
      <c r="U1011" s="2" t="inlineStr">
        <is>
          <t>紧凑-高度紧凑</t>
        </is>
      </c>
      <c r="V1011" s="2" t="inlineStr">
        <is>
          <t>紧凑-极度紧凑</t>
        </is>
      </c>
    </row>
    <row r="1012">
      <c r="A1012" s="1" t="n">
        <v>2025203</v>
      </c>
      <c r="B1012" s="3" t="inlineStr">
        <is>
          <t>735</t>
        </is>
      </c>
      <c r="C1012" s="2">
        <f>IF(B1012="","",LEFT(TEXT(B1012,"000"),1)*1)</f>
        <v/>
      </c>
      <c r="D1012" s="2">
        <f>IF(B1012="","",MID(TEXT(B1012,"000"),2,1)*1)</f>
        <v/>
      </c>
      <c r="E1012" s="2">
        <f>IF(B1012="","",RIGHT(TEXT(B1012,"000"),1)*1)</f>
        <v/>
      </c>
      <c r="F1012" s="2">
        <f>IF(B1012="","",C1012+D1012+E1012)</f>
        <v/>
      </c>
      <c r="G1012" s="2">
        <f>IF(B1012="","",MOD(F1012,10))</f>
        <v/>
      </c>
      <c r="H1012" s="2">
        <f>IF(B1012="","",MAX(C1012,D1012,E1012)-MIN(C1012,D1012,E1012))</f>
        <v/>
      </c>
      <c r="I1012" s="2">
        <f>IF(OR(B1012="",H1012=0),IF(H1012=0,0.1,""),ROUND(F1012/H1012,2))</f>
        <v/>
      </c>
      <c r="J1012" s="2">
        <f>IF(I1012=0.1,"极紧凑",IF(I1012&gt;3.5,"紧凑",IF(AND(I1012&gt;=2,I1012&lt;=3.5),"标准",IF(AND(I1012&gt;=1,I1012&lt;2),"松散",""))))</f>
        <v/>
      </c>
      <c r="K1012" s="2">
        <f>IF(I1012=0.1,"极紧凑-豹子号",IF(AND(I1012&gt;=1,I1012&lt;=1.29),"松散-极松散",IF(AND(I1012&gt;=1.33,I1012&lt;=1.8),"松散-标准松散",IF(AND(I1012&gt;=1.83,I1012&lt;=1.89),"松散-偏紧松散",IF(AND(I1012&gt;=2,I1012&lt;=2.5),"标准-偏松标准",IF(AND(I1012&gt;=2.57,I1012&lt;=3),"标准-核心标准",IF(AND(I1012&gt;=3.17,I1012&lt;=3.5),"标准-偏紧标准",IF(AND(I1012&gt;=3.6,I1012&lt;=5),"紧凑-标准紧凑",IF(AND(I1012&gt;=5.25,I1012&lt;=8),"紧凑-高度紧凑",IF(I1012&gt;=8.5,"紧凑-极度紧凑",""))))))))))</f>
        <v/>
      </c>
      <c r="L1012" s="2">
        <f>IF(I1012=0.1,"极紧凑",IF(AND(I1012&gt;=1,I1012&lt;=1.89),"松散",IF(AND(I1012&gt;=2,I1012&lt;=3.5),"标准",IF(I1012&gt;=3.6,"紧凑",""))))</f>
        <v/>
      </c>
      <c r="M1012" s="2" t="inlineStr">
        <is>
          <t>极紧凑-豹子号</t>
        </is>
      </c>
      <c r="N1012" s="2" t="inlineStr">
        <is>
          <t>松散-极松散</t>
        </is>
      </c>
      <c r="O1012" s="2" t="inlineStr">
        <is>
          <t>松散-标准松散</t>
        </is>
      </c>
      <c r="P1012" s="2" t="inlineStr">
        <is>
          <t>松散-偏紧松散</t>
        </is>
      </c>
      <c r="Q1012" s="2" t="inlineStr">
        <is>
          <t>标准-偏松标准</t>
        </is>
      </c>
      <c r="R1012" s="2" t="inlineStr">
        <is>
          <t>标准-核心标准</t>
        </is>
      </c>
      <c r="S1012" s="2" t="inlineStr">
        <is>
          <t>标准-偏紧标准</t>
        </is>
      </c>
      <c r="T1012" s="2" t="inlineStr">
        <is>
          <t>紧凑-标准紧凑</t>
        </is>
      </c>
      <c r="U1012" s="2" t="inlineStr">
        <is>
          <t>紧凑-高度紧凑</t>
        </is>
      </c>
      <c r="V1012" s="2" t="inlineStr">
        <is>
          <t>紧凑-极度紧凑</t>
        </is>
      </c>
    </row>
    <row r="1013">
      <c r="A1013" s="1" t="n">
        <v>2025204</v>
      </c>
      <c r="B1013" s="3" t="inlineStr">
        <is>
          <t>830</t>
        </is>
      </c>
      <c r="C1013" s="2">
        <f>IF(B1013="","",LEFT(TEXT(B1013,"000"),1)*1)</f>
        <v/>
      </c>
      <c r="D1013" s="2">
        <f>IF(B1013="","",MID(TEXT(B1013,"000"),2,1)*1)</f>
        <v/>
      </c>
      <c r="E1013" s="2">
        <f>IF(B1013="","",RIGHT(TEXT(B1013,"000"),1)*1)</f>
        <v/>
      </c>
      <c r="F1013" s="2">
        <f>IF(B1013="","",C1013+D1013+E1013)</f>
        <v/>
      </c>
      <c r="G1013" s="2">
        <f>IF(B1013="","",MOD(F1013,10))</f>
        <v/>
      </c>
      <c r="H1013" s="2">
        <f>IF(B1013="","",MAX(C1013,D1013,E1013)-MIN(C1013,D1013,E1013))</f>
        <v/>
      </c>
      <c r="I1013" s="2">
        <f>IF(OR(B1013="",H1013=0),IF(H1013=0,0.1,""),ROUND(F1013/H1013,2))</f>
        <v/>
      </c>
      <c r="J1013" s="2">
        <f>IF(I1013=0.1,"极紧凑",IF(I1013&gt;3.5,"紧凑",IF(AND(I1013&gt;=2,I1013&lt;=3.5),"标准",IF(AND(I1013&gt;=1,I1013&lt;2),"松散",""))))</f>
        <v/>
      </c>
      <c r="K1013" s="2">
        <f>IF(I1013=0.1,"极紧凑-豹子号",IF(AND(I1013&gt;=1,I1013&lt;=1.29),"松散-极松散",IF(AND(I1013&gt;=1.33,I1013&lt;=1.8),"松散-标准松散",IF(AND(I1013&gt;=1.83,I1013&lt;=1.89),"松散-偏紧松散",IF(AND(I1013&gt;=2,I1013&lt;=2.5),"标准-偏松标准",IF(AND(I1013&gt;=2.57,I1013&lt;=3),"标准-核心标准",IF(AND(I1013&gt;=3.17,I1013&lt;=3.5),"标准-偏紧标准",IF(AND(I1013&gt;=3.6,I1013&lt;=5),"紧凑-标准紧凑",IF(AND(I1013&gt;=5.25,I1013&lt;=8),"紧凑-高度紧凑",IF(I1013&gt;=8.5,"紧凑-极度紧凑",""))))))))))</f>
        <v/>
      </c>
      <c r="L1013" s="2">
        <f>IF(I1013=0.1,"极紧凑",IF(AND(I1013&gt;=1,I1013&lt;=1.89),"松散",IF(AND(I1013&gt;=2,I1013&lt;=3.5),"标准",IF(I1013&gt;=3.6,"紧凑",""))))</f>
        <v/>
      </c>
      <c r="M1013" s="2" t="inlineStr">
        <is>
          <t>极紧凑-豹子号</t>
        </is>
      </c>
      <c r="N1013" s="2" t="inlineStr">
        <is>
          <t>松散-极松散</t>
        </is>
      </c>
      <c r="O1013" s="2" t="inlineStr">
        <is>
          <t>松散-标准松散</t>
        </is>
      </c>
      <c r="P1013" s="2" t="inlineStr">
        <is>
          <t>松散-偏紧松散</t>
        </is>
      </c>
      <c r="Q1013" s="2" t="inlineStr">
        <is>
          <t>标准-偏松标准</t>
        </is>
      </c>
      <c r="R1013" s="2" t="inlineStr">
        <is>
          <t>标准-核心标准</t>
        </is>
      </c>
      <c r="S1013" s="2" t="inlineStr">
        <is>
          <t>标准-偏紧标准</t>
        </is>
      </c>
      <c r="T1013" s="2" t="inlineStr">
        <is>
          <t>紧凑-标准紧凑</t>
        </is>
      </c>
      <c r="U1013" s="2" t="inlineStr">
        <is>
          <t>紧凑-高度紧凑</t>
        </is>
      </c>
      <c r="V1013" s="2" t="inlineStr">
        <is>
          <t>紧凑-极度紧凑</t>
        </is>
      </c>
    </row>
    <row r="1014">
      <c r="A1014" s="1" t="n">
        <v>2025205</v>
      </c>
      <c r="B1014" s="3" t="inlineStr">
        <is>
          <t>783</t>
        </is>
      </c>
      <c r="C1014" s="2">
        <f>IF(B1014="","",LEFT(TEXT(B1014,"000"),1)*1)</f>
        <v/>
      </c>
      <c r="D1014" s="2">
        <f>IF(B1014="","",MID(TEXT(B1014,"000"),2,1)*1)</f>
        <v/>
      </c>
      <c r="E1014" s="2">
        <f>IF(B1014="","",RIGHT(TEXT(B1014,"000"),1)*1)</f>
        <v/>
      </c>
      <c r="F1014" s="2">
        <f>IF(B1014="","",C1014+D1014+E1014)</f>
        <v/>
      </c>
      <c r="G1014" s="2">
        <f>IF(B1014="","",MOD(F1014,10))</f>
        <v/>
      </c>
      <c r="H1014" s="2">
        <f>IF(B1014="","",MAX(C1014,D1014,E1014)-MIN(C1014,D1014,E1014))</f>
        <v/>
      </c>
      <c r="I1014" s="2">
        <f>IF(OR(B1014="",H1014=0),IF(H1014=0,0.1,""),ROUND(F1014/H1014,2))</f>
        <v/>
      </c>
      <c r="J1014" s="2">
        <f>IF(I1014=0.1,"极紧凑",IF(I1014&gt;3.5,"紧凑",IF(AND(I1014&gt;=2,I1014&lt;=3.5),"标准",IF(AND(I1014&gt;=1,I1014&lt;2),"松散",""))))</f>
        <v/>
      </c>
      <c r="K1014" s="2">
        <f>IF(I1014=0.1,"极紧凑-豹子号",IF(AND(I1014&gt;=1,I1014&lt;=1.29),"松散-极松散",IF(AND(I1014&gt;=1.33,I1014&lt;=1.8),"松散-标准松散",IF(AND(I1014&gt;=1.83,I1014&lt;=1.89),"松散-偏紧松散",IF(AND(I1014&gt;=2,I1014&lt;=2.5),"标准-偏松标准",IF(AND(I1014&gt;=2.57,I1014&lt;=3),"标准-核心标准",IF(AND(I1014&gt;=3.17,I1014&lt;=3.5),"标准-偏紧标准",IF(AND(I1014&gt;=3.6,I1014&lt;=5),"紧凑-标准紧凑",IF(AND(I1014&gt;=5.25,I1014&lt;=8),"紧凑-高度紧凑",IF(I1014&gt;=8.5,"紧凑-极度紧凑",""))))))))))</f>
        <v/>
      </c>
      <c r="L1014" s="2">
        <f>IF(I1014=0.1,"极紧凑",IF(AND(I1014&gt;=1,I1014&lt;=1.89),"松散",IF(AND(I1014&gt;=2,I1014&lt;=3.5),"标准",IF(I1014&gt;=3.6,"紧凑",""))))</f>
        <v/>
      </c>
      <c r="M1014" s="2" t="inlineStr">
        <is>
          <t>极紧凑-豹子号</t>
        </is>
      </c>
      <c r="N1014" s="2" t="inlineStr">
        <is>
          <t>松散-极松散</t>
        </is>
      </c>
      <c r="O1014" s="2" t="inlineStr">
        <is>
          <t>松散-标准松散</t>
        </is>
      </c>
      <c r="P1014" s="2" t="inlineStr">
        <is>
          <t>松散-偏紧松散</t>
        </is>
      </c>
      <c r="Q1014" s="2" t="inlineStr">
        <is>
          <t>标准-偏松标准</t>
        </is>
      </c>
      <c r="R1014" s="2" t="inlineStr">
        <is>
          <t>标准-核心标准</t>
        </is>
      </c>
      <c r="S1014" s="2" t="inlineStr">
        <is>
          <t>标准-偏紧标准</t>
        </is>
      </c>
      <c r="T1014" s="2" t="inlineStr">
        <is>
          <t>紧凑-标准紧凑</t>
        </is>
      </c>
      <c r="U1014" s="2" t="inlineStr">
        <is>
          <t>紧凑-高度紧凑</t>
        </is>
      </c>
      <c r="V1014" s="2" t="inlineStr">
        <is>
          <t>紧凑-极度紧凑</t>
        </is>
      </c>
    </row>
    <row r="1015">
      <c r="A1015" s="1" t="n">
        <v>2025206</v>
      </c>
      <c r="B1015" s="3" t="inlineStr">
        <is>
          <t>605</t>
        </is>
      </c>
      <c r="C1015" s="2">
        <f>IF(B1015="","",LEFT(TEXT(B1015,"000"),1)*1)</f>
        <v/>
      </c>
      <c r="D1015" s="2">
        <f>IF(B1015="","",MID(TEXT(B1015,"000"),2,1)*1)</f>
        <v/>
      </c>
      <c r="E1015" s="2">
        <f>IF(B1015="","",RIGHT(TEXT(B1015,"000"),1)*1)</f>
        <v/>
      </c>
      <c r="F1015" s="2">
        <f>IF(B1015="","",C1015+D1015+E1015)</f>
        <v/>
      </c>
      <c r="G1015" s="2">
        <f>IF(B1015="","",MOD(F1015,10))</f>
        <v/>
      </c>
      <c r="H1015" s="2">
        <f>IF(B1015="","",MAX(C1015,D1015,E1015)-MIN(C1015,D1015,E1015))</f>
        <v/>
      </c>
      <c r="I1015" s="2">
        <f>IF(OR(B1015="",H1015=0),IF(H1015=0,0.1,""),ROUND(F1015/H1015,2))</f>
        <v/>
      </c>
      <c r="J1015" s="2">
        <f>IF(I1015=0.1,"极紧凑",IF(I1015&gt;3.5,"紧凑",IF(AND(I1015&gt;=2,I1015&lt;=3.5),"标准",IF(AND(I1015&gt;=1,I1015&lt;2),"松散",""))))</f>
        <v/>
      </c>
      <c r="K1015" s="2">
        <f>IF(I1015=0.1,"极紧凑-豹子号",IF(AND(I1015&gt;=1,I1015&lt;=1.29),"松散-极松散",IF(AND(I1015&gt;=1.33,I1015&lt;=1.8),"松散-标准松散",IF(AND(I1015&gt;=1.83,I1015&lt;=1.89),"松散-偏紧松散",IF(AND(I1015&gt;=2,I1015&lt;=2.5),"标准-偏松标准",IF(AND(I1015&gt;=2.57,I1015&lt;=3),"标准-核心标准",IF(AND(I1015&gt;=3.17,I1015&lt;=3.5),"标准-偏紧标准",IF(AND(I1015&gt;=3.6,I1015&lt;=5),"紧凑-标准紧凑",IF(AND(I1015&gt;=5.25,I1015&lt;=8),"紧凑-高度紧凑",IF(I1015&gt;=8.5,"紧凑-极度紧凑",""))))))))))</f>
        <v/>
      </c>
      <c r="L1015" s="2">
        <f>IF(I1015=0.1,"极紧凑",IF(AND(I1015&gt;=1,I1015&lt;=1.89),"松散",IF(AND(I1015&gt;=2,I1015&lt;=3.5),"标准",IF(I1015&gt;=3.6,"紧凑",""))))</f>
        <v/>
      </c>
      <c r="M1015" s="2" t="inlineStr">
        <is>
          <t>极紧凑-豹子号</t>
        </is>
      </c>
      <c r="N1015" s="2" t="inlineStr">
        <is>
          <t>松散-极松散</t>
        </is>
      </c>
      <c r="O1015" s="2" t="inlineStr">
        <is>
          <t>松散-标准松散</t>
        </is>
      </c>
      <c r="P1015" s="2" t="inlineStr">
        <is>
          <t>松散-偏紧松散</t>
        </is>
      </c>
      <c r="Q1015" s="2" t="inlineStr">
        <is>
          <t>标准-偏松标准</t>
        </is>
      </c>
      <c r="R1015" s="2" t="inlineStr">
        <is>
          <t>标准-核心标准</t>
        </is>
      </c>
      <c r="S1015" s="2" t="inlineStr">
        <is>
          <t>标准-偏紧标准</t>
        </is>
      </c>
      <c r="T1015" s="2" t="inlineStr">
        <is>
          <t>紧凑-标准紧凑</t>
        </is>
      </c>
      <c r="U1015" s="2" t="inlineStr">
        <is>
          <t>紧凑-高度紧凑</t>
        </is>
      </c>
      <c r="V1015" s="2" t="inlineStr">
        <is>
          <t>紧凑-极度紧凑</t>
        </is>
      </c>
    </row>
    <row r="1016">
      <c r="A1016" s="1" t="n">
        <v>2025207</v>
      </c>
      <c r="B1016" s="3" t="inlineStr">
        <is>
          <t>154</t>
        </is>
      </c>
      <c r="C1016" s="2">
        <f>IF(B1016="","",LEFT(TEXT(B1016,"000"),1)*1)</f>
        <v/>
      </c>
      <c r="D1016" s="2">
        <f>IF(B1016="","",MID(TEXT(B1016,"000"),2,1)*1)</f>
        <v/>
      </c>
      <c r="E1016" s="2">
        <f>IF(B1016="","",RIGHT(TEXT(B1016,"000"),1)*1)</f>
        <v/>
      </c>
      <c r="F1016" s="2">
        <f>IF(B1016="","",C1016+D1016+E1016)</f>
        <v/>
      </c>
      <c r="G1016" s="2">
        <f>IF(B1016="","",MOD(F1016,10))</f>
        <v/>
      </c>
      <c r="H1016" s="2">
        <f>IF(B1016="","",MAX(C1016,D1016,E1016)-MIN(C1016,D1016,E1016))</f>
        <v/>
      </c>
      <c r="I1016" s="2">
        <f>IF(OR(B1016="",H1016=0),IF(H1016=0,0.1,""),ROUND(F1016/H1016,2))</f>
        <v/>
      </c>
      <c r="J1016" s="2">
        <f>IF(I1016=0.1,"极紧凑",IF(I1016&gt;3.5,"紧凑",IF(AND(I1016&gt;=2,I1016&lt;=3.5),"标准",IF(AND(I1016&gt;=1,I1016&lt;2),"松散",""))))</f>
        <v/>
      </c>
      <c r="K1016" s="2">
        <f>IF(I1016=0.1,"极紧凑-豹子号",IF(AND(I1016&gt;=1,I1016&lt;=1.29),"松散-极松散",IF(AND(I1016&gt;=1.33,I1016&lt;=1.8),"松散-标准松散",IF(AND(I1016&gt;=1.83,I1016&lt;=1.89),"松散-偏紧松散",IF(AND(I1016&gt;=2,I1016&lt;=2.5),"标准-偏松标准",IF(AND(I1016&gt;=2.57,I1016&lt;=3),"标准-核心标准",IF(AND(I1016&gt;=3.17,I1016&lt;=3.5),"标准-偏紧标准",IF(AND(I1016&gt;=3.6,I1016&lt;=5),"紧凑-标准紧凑",IF(AND(I1016&gt;=5.25,I1016&lt;=8),"紧凑-高度紧凑",IF(I1016&gt;=8.5,"紧凑-极度紧凑",""))))))))))</f>
        <v/>
      </c>
      <c r="L1016" s="2">
        <f>IF(I1016=0.1,"极紧凑",IF(AND(I1016&gt;=1,I1016&lt;=1.89),"松散",IF(AND(I1016&gt;=2,I1016&lt;=3.5),"标准",IF(I1016&gt;=3.6,"紧凑",""))))</f>
        <v/>
      </c>
      <c r="M1016" s="2" t="inlineStr">
        <is>
          <t>极紧凑-豹子号</t>
        </is>
      </c>
      <c r="N1016" s="2" t="inlineStr">
        <is>
          <t>松散-极松散</t>
        </is>
      </c>
      <c r="O1016" s="2" t="inlineStr">
        <is>
          <t>松散-标准松散</t>
        </is>
      </c>
      <c r="P1016" s="2" t="inlineStr">
        <is>
          <t>松散-偏紧松散</t>
        </is>
      </c>
      <c r="Q1016" s="2" t="inlineStr">
        <is>
          <t>标准-偏松标准</t>
        </is>
      </c>
      <c r="R1016" s="2" t="inlineStr">
        <is>
          <t>标准-核心标准</t>
        </is>
      </c>
      <c r="S1016" s="2" t="inlineStr">
        <is>
          <t>标准-偏紧标准</t>
        </is>
      </c>
      <c r="T1016" s="2" t="inlineStr">
        <is>
          <t>紧凑-标准紧凑</t>
        </is>
      </c>
      <c r="U1016" s="2" t="inlineStr">
        <is>
          <t>紧凑-高度紧凑</t>
        </is>
      </c>
      <c r="V1016" s="2" t="inlineStr">
        <is>
          <t>紧凑-极度紧凑</t>
        </is>
      </c>
    </row>
    <row r="1017">
      <c r="A1017" s="1" t="n">
        <v>2025208</v>
      </c>
      <c r="B1017" s="3" t="inlineStr">
        <is>
          <t>309</t>
        </is>
      </c>
      <c r="C1017" s="2">
        <f>IF(B1017="","",LEFT(TEXT(B1017,"000"),1)*1)</f>
        <v/>
      </c>
      <c r="D1017" s="2">
        <f>IF(B1017="","",MID(TEXT(B1017,"000"),2,1)*1)</f>
        <v/>
      </c>
      <c r="E1017" s="2">
        <f>IF(B1017="","",RIGHT(TEXT(B1017,"000"),1)*1)</f>
        <v/>
      </c>
      <c r="F1017" s="2">
        <f>IF(B1017="","",C1017+D1017+E1017)</f>
        <v/>
      </c>
      <c r="G1017" s="2">
        <f>IF(B1017="","",MOD(F1017,10))</f>
        <v/>
      </c>
      <c r="H1017" s="2">
        <f>IF(B1017="","",MAX(C1017,D1017,E1017)-MIN(C1017,D1017,E1017))</f>
        <v/>
      </c>
      <c r="I1017" s="2">
        <f>IF(OR(B1017="",H1017=0),IF(H1017=0,0.1,""),ROUND(F1017/H1017,2))</f>
        <v/>
      </c>
      <c r="J1017" s="2">
        <f>IF(I1017=0.1,"极紧凑",IF(I1017&gt;3.5,"紧凑",IF(AND(I1017&gt;=2,I1017&lt;=3.5),"标准",IF(AND(I1017&gt;=1,I1017&lt;2),"松散",""))))</f>
        <v/>
      </c>
      <c r="K1017" s="2">
        <f>IF(I1017=0.1,"极紧凑-豹子号",IF(AND(I1017&gt;=1,I1017&lt;=1.29),"松散-极松散",IF(AND(I1017&gt;=1.33,I1017&lt;=1.8),"松散-标准松散",IF(AND(I1017&gt;=1.83,I1017&lt;=1.89),"松散-偏紧松散",IF(AND(I1017&gt;=2,I1017&lt;=2.5),"标准-偏松标准",IF(AND(I1017&gt;=2.57,I1017&lt;=3),"标准-核心标准",IF(AND(I1017&gt;=3.17,I1017&lt;=3.5),"标准-偏紧标准",IF(AND(I1017&gt;=3.6,I1017&lt;=5),"紧凑-标准紧凑",IF(AND(I1017&gt;=5.25,I1017&lt;=8),"紧凑-高度紧凑",IF(I1017&gt;=8.5,"紧凑-极度紧凑",""))))))))))</f>
        <v/>
      </c>
      <c r="L1017" s="2">
        <f>IF(I1017=0.1,"极紧凑",IF(AND(I1017&gt;=1,I1017&lt;=1.89),"松散",IF(AND(I1017&gt;=2,I1017&lt;=3.5),"标准",IF(I1017&gt;=3.6,"紧凑",""))))</f>
        <v/>
      </c>
      <c r="M1017" s="2" t="inlineStr">
        <is>
          <t>极紧凑-豹子号</t>
        </is>
      </c>
      <c r="N1017" s="2" t="inlineStr">
        <is>
          <t>松散-极松散</t>
        </is>
      </c>
      <c r="O1017" s="2" t="inlineStr">
        <is>
          <t>松散-标准松散</t>
        </is>
      </c>
      <c r="P1017" s="2" t="inlineStr">
        <is>
          <t>松散-偏紧松散</t>
        </is>
      </c>
      <c r="Q1017" s="2" t="inlineStr">
        <is>
          <t>标准-偏松标准</t>
        </is>
      </c>
      <c r="R1017" s="2" t="inlineStr">
        <is>
          <t>标准-核心标准</t>
        </is>
      </c>
      <c r="S1017" s="2" t="inlineStr">
        <is>
          <t>标准-偏紧标准</t>
        </is>
      </c>
      <c r="T1017" s="2" t="inlineStr">
        <is>
          <t>紧凑-标准紧凑</t>
        </is>
      </c>
      <c r="U1017" s="2" t="inlineStr">
        <is>
          <t>紧凑-高度紧凑</t>
        </is>
      </c>
      <c r="V1017" s="2" t="inlineStr">
        <is>
          <t>紧凑-极度紧凑</t>
        </is>
      </c>
    </row>
    <row r="1018">
      <c r="A1018" s="1" t="n">
        <v>2025209</v>
      </c>
      <c r="B1018" s="3" t="inlineStr">
        <is>
          <t>921</t>
        </is>
      </c>
      <c r="C1018" s="2">
        <f>IF(B1018="","",LEFT(TEXT(B1018,"000"),1)*1)</f>
        <v/>
      </c>
      <c r="D1018" s="2">
        <f>IF(B1018="","",MID(TEXT(B1018,"000"),2,1)*1)</f>
        <v/>
      </c>
      <c r="E1018" s="2">
        <f>IF(B1018="","",RIGHT(TEXT(B1018,"000"),1)*1)</f>
        <v/>
      </c>
      <c r="F1018" s="2">
        <f>IF(B1018="","",C1018+D1018+E1018)</f>
        <v/>
      </c>
      <c r="G1018" s="2">
        <f>IF(B1018="","",MOD(F1018,10))</f>
        <v/>
      </c>
      <c r="H1018" s="2">
        <f>IF(B1018="","",MAX(C1018,D1018,E1018)-MIN(C1018,D1018,E1018))</f>
        <v/>
      </c>
      <c r="I1018" s="2">
        <f>IF(OR(B1018="",H1018=0),IF(H1018=0,0.1,""),ROUND(F1018/H1018,2))</f>
        <v/>
      </c>
      <c r="J1018" s="2">
        <f>IF(I1018=0.1,"极紧凑",IF(I1018&gt;3.5,"紧凑",IF(AND(I1018&gt;=2,I1018&lt;=3.5),"标准",IF(AND(I1018&gt;=1,I1018&lt;2),"松散",""))))</f>
        <v/>
      </c>
      <c r="K1018" s="2">
        <f>IF(I1018=0.1,"极紧凑-豹子号",IF(AND(I1018&gt;=1,I1018&lt;=1.29),"松散-极松散",IF(AND(I1018&gt;=1.33,I1018&lt;=1.8),"松散-标准松散",IF(AND(I1018&gt;=1.83,I1018&lt;=1.89),"松散-偏紧松散",IF(AND(I1018&gt;=2,I1018&lt;=2.5),"标准-偏松标准",IF(AND(I1018&gt;=2.57,I1018&lt;=3),"标准-核心标准",IF(AND(I1018&gt;=3.17,I1018&lt;=3.5),"标准-偏紧标准",IF(AND(I1018&gt;=3.6,I1018&lt;=5),"紧凑-标准紧凑",IF(AND(I1018&gt;=5.25,I1018&lt;=8),"紧凑-高度紧凑",IF(I1018&gt;=8.5,"紧凑-极度紧凑",""))))))))))</f>
        <v/>
      </c>
      <c r="L1018" s="2">
        <f>IF(I1018=0.1,"极紧凑",IF(AND(I1018&gt;=1,I1018&lt;=1.89),"松散",IF(AND(I1018&gt;=2,I1018&lt;=3.5),"标准",IF(I1018&gt;=3.6,"紧凑",""))))</f>
        <v/>
      </c>
      <c r="M1018" s="2" t="inlineStr">
        <is>
          <t>极紧凑-豹子号</t>
        </is>
      </c>
      <c r="N1018" s="2" t="inlineStr">
        <is>
          <t>松散-极松散</t>
        </is>
      </c>
      <c r="O1018" s="2" t="inlineStr">
        <is>
          <t>松散-标准松散</t>
        </is>
      </c>
      <c r="P1018" s="2" t="inlineStr">
        <is>
          <t>松散-偏紧松散</t>
        </is>
      </c>
      <c r="Q1018" s="2" t="inlineStr">
        <is>
          <t>标准-偏松标准</t>
        </is>
      </c>
      <c r="R1018" s="2" t="inlineStr">
        <is>
          <t>标准-核心标准</t>
        </is>
      </c>
      <c r="S1018" s="2" t="inlineStr">
        <is>
          <t>标准-偏紧标准</t>
        </is>
      </c>
      <c r="T1018" s="2" t="inlineStr">
        <is>
          <t>紧凑-标准紧凑</t>
        </is>
      </c>
      <c r="U1018" s="2" t="inlineStr">
        <is>
          <t>紧凑-高度紧凑</t>
        </is>
      </c>
      <c r="V1018" s="2" t="inlineStr">
        <is>
          <t>紧凑-极度紧凑</t>
        </is>
      </c>
    </row>
    <row r="1019">
      <c r="A1019" s="1" t="n">
        <v>2025210</v>
      </c>
      <c r="B1019" s="3" t="inlineStr">
        <is>
          <t>622</t>
        </is>
      </c>
      <c r="C1019" s="2">
        <f>IF(B1019="","",LEFT(TEXT(B1019,"000"),1)*1)</f>
        <v/>
      </c>
      <c r="D1019" s="2">
        <f>IF(B1019="","",MID(TEXT(B1019,"000"),2,1)*1)</f>
        <v/>
      </c>
      <c r="E1019" s="2">
        <f>IF(B1019="","",RIGHT(TEXT(B1019,"000"),1)*1)</f>
        <v/>
      </c>
      <c r="F1019" s="2">
        <f>IF(B1019="","",C1019+D1019+E1019)</f>
        <v/>
      </c>
      <c r="G1019" s="2">
        <f>IF(B1019="","",MOD(F1019,10))</f>
        <v/>
      </c>
      <c r="H1019" s="2">
        <f>IF(B1019="","",MAX(C1019,D1019,E1019)-MIN(C1019,D1019,E1019))</f>
        <v/>
      </c>
      <c r="I1019" s="2">
        <f>IF(OR(B1019="",H1019=0),IF(H1019=0,0.1,""),ROUND(F1019/H1019,2))</f>
        <v/>
      </c>
      <c r="J1019" s="2">
        <f>IF(I1019=0.1,"极紧凑",IF(I1019&gt;3.5,"紧凑",IF(AND(I1019&gt;=2,I1019&lt;=3.5),"标准",IF(AND(I1019&gt;=1,I1019&lt;2),"松散",""))))</f>
        <v/>
      </c>
      <c r="K1019" s="2">
        <f>IF(I1019=0.1,"极紧凑-豹子号",IF(AND(I1019&gt;=1,I1019&lt;=1.29),"松散-极松散",IF(AND(I1019&gt;=1.33,I1019&lt;=1.8),"松散-标准松散",IF(AND(I1019&gt;=1.83,I1019&lt;=1.89),"松散-偏紧松散",IF(AND(I1019&gt;=2,I1019&lt;=2.5),"标准-偏松标准",IF(AND(I1019&gt;=2.57,I1019&lt;=3),"标准-核心标准",IF(AND(I1019&gt;=3.17,I1019&lt;=3.5),"标准-偏紧标准",IF(AND(I1019&gt;=3.6,I1019&lt;=5),"紧凑-标准紧凑",IF(AND(I1019&gt;=5.25,I1019&lt;=8),"紧凑-高度紧凑",IF(I1019&gt;=8.5,"紧凑-极度紧凑",""))))))))))</f>
        <v/>
      </c>
      <c r="L1019" s="2">
        <f>IF(I1019=0.1,"极紧凑",IF(AND(I1019&gt;=1,I1019&lt;=1.89),"松散",IF(AND(I1019&gt;=2,I1019&lt;=3.5),"标准",IF(I1019&gt;=3.6,"紧凑",""))))</f>
        <v/>
      </c>
      <c r="M1019" s="2" t="inlineStr">
        <is>
          <t>极紧凑-豹子号</t>
        </is>
      </c>
      <c r="N1019" s="2" t="inlineStr">
        <is>
          <t>松散-极松散</t>
        </is>
      </c>
      <c r="O1019" s="2" t="inlineStr">
        <is>
          <t>松散-标准松散</t>
        </is>
      </c>
      <c r="P1019" s="2" t="inlineStr">
        <is>
          <t>松散-偏紧松散</t>
        </is>
      </c>
      <c r="Q1019" s="2" t="inlineStr">
        <is>
          <t>标准-偏松标准</t>
        </is>
      </c>
      <c r="R1019" s="2" t="inlineStr">
        <is>
          <t>标准-核心标准</t>
        </is>
      </c>
      <c r="S1019" s="2" t="inlineStr">
        <is>
          <t>标准-偏紧标准</t>
        </is>
      </c>
      <c r="T1019" s="2" t="inlineStr">
        <is>
          <t>紧凑-标准紧凑</t>
        </is>
      </c>
      <c r="U1019" s="2" t="inlineStr">
        <is>
          <t>紧凑-高度紧凑</t>
        </is>
      </c>
      <c r="V1019" s="2" t="inlineStr">
        <is>
          <t>紧凑-极度紧凑</t>
        </is>
      </c>
    </row>
    <row r="1020">
      <c r="A1020" s="1" t="n">
        <v>2025211</v>
      </c>
      <c r="B1020" s="3" t="inlineStr">
        <is>
          <t>050</t>
        </is>
      </c>
      <c r="C1020" s="2">
        <f>IF(B1020="","",LEFT(TEXT(B1020,"000"),1)*1)</f>
        <v/>
      </c>
      <c r="D1020" s="2">
        <f>IF(B1020="","",MID(TEXT(B1020,"000"),2,1)*1)</f>
        <v/>
      </c>
      <c r="E1020" s="2">
        <f>IF(B1020="","",RIGHT(TEXT(B1020,"000"),1)*1)</f>
        <v/>
      </c>
      <c r="F1020" s="2">
        <f>IF(B1020="","",C1020+D1020+E1020)</f>
        <v/>
      </c>
      <c r="G1020" s="2">
        <f>IF(B1020="","",MOD(F1020,10))</f>
        <v/>
      </c>
      <c r="H1020" s="2">
        <f>IF(B1020="","",MAX(C1020,D1020,E1020)-MIN(C1020,D1020,E1020))</f>
        <v/>
      </c>
      <c r="I1020" s="2">
        <f>IF(OR(B1020="",H1020=0),IF(H1020=0,0.1,""),ROUND(F1020/H1020,2))</f>
        <v/>
      </c>
      <c r="J1020" s="2">
        <f>IF(I1020=0.1,"极紧凑",IF(I1020&gt;3.5,"紧凑",IF(AND(I1020&gt;=2,I1020&lt;=3.5),"标准",IF(AND(I1020&gt;=1,I1020&lt;2),"松散",""))))</f>
        <v/>
      </c>
      <c r="K1020" s="2">
        <f>IF(I1020=0.1,"极紧凑-豹子号",IF(AND(I1020&gt;=1,I1020&lt;=1.29),"松散-极松散",IF(AND(I1020&gt;=1.33,I1020&lt;=1.8),"松散-标准松散",IF(AND(I1020&gt;=1.83,I1020&lt;=1.89),"松散-偏紧松散",IF(AND(I1020&gt;=2,I1020&lt;=2.5),"标准-偏松标准",IF(AND(I1020&gt;=2.57,I1020&lt;=3),"标准-核心标准",IF(AND(I1020&gt;=3.17,I1020&lt;=3.5),"标准-偏紧标准",IF(AND(I1020&gt;=3.6,I1020&lt;=5),"紧凑-标准紧凑",IF(AND(I1020&gt;=5.25,I1020&lt;=8),"紧凑-高度紧凑",IF(I1020&gt;=8.5,"紧凑-极度紧凑",""))))))))))</f>
        <v/>
      </c>
      <c r="L1020" s="2">
        <f>IF(I1020=0.1,"极紧凑",IF(AND(I1020&gt;=1,I1020&lt;=1.89),"松散",IF(AND(I1020&gt;=2,I1020&lt;=3.5),"标准",IF(I1020&gt;=3.6,"紧凑",""))))</f>
        <v/>
      </c>
      <c r="M1020" s="2" t="inlineStr">
        <is>
          <t>极紧凑-豹子号</t>
        </is>
      </c>
      <c r="N1020" s="2" t="inlineStr">
        <is>
          <t>松散-极松散</t>
        </is>
      </c>
      <c r="O1020" s="2" t="inlineStr">
        <is>
          <t>松散-标准松散</t>
        </is>
      </c>
      <c r="P1020" s="2" t="inlineStr">
        <is>
          <t>松散-偏紧松散</t>
        </is>
      </c>
      <c r="Q1020" s="2" t="inlineStr">
        <is>
          <t>标准-偏松标准</t>
        </is>
      </c>
      <c r="R1020" s="2" t="inlineStr">
        <is>
          <t>标准-核心标准</t>
        </is>
      </c>
      <c r="S1020" s="2" t="inlineStr">
        <is>
          <t>标准-偏紧标准</t>
        </is>
      </c>
      <c r="T1020" s="2" t="inlineStr">
        <is>
          <t>紧凑-标准紧凑</t>
        </is>
      </c>
      <c r="U1020" s="2" t="inlineStr">
        <is>
          <t>紧凑-高度紧凑</t>
        </is>
      </c>
      <c r="V1020" s="2" t="inlineStr">
        <is>
          <t>紧凑-极度紧凑</t>
        </is>
      </c>
    </row>
    <row r="1021">
      <c r="A1021" s="1" t="n">
        <v>2025212</v>
      </c>
      <c r="B1021" s="3" t="inlineStr">
        <is>
          <t>223</t>
        </is>
      </c>
      <c r="C1021" s="2">
        <f>IF(B1021="","",LEFT(TEXT(B1021,"000"),1)*1)</f>
        <v/>
      </c>
      <c r="D1021" s="2">
        <f>IF(B1021="","",MID(TEXT(B1021,"000"),2,1)*1)</f>
        <v/>
      </c>
      <c r="E1021" s="2">
        <f>IF(B1021="","",RIGHT(TEXT(B1021,"000"),1)*1)</f>
        <v/>
      </c>
      <c r="F1021" s="2">
        <f>IF(B1021="","",C1021+D1021+E1021)</f>
        <v/>
      </c>
      <c r="G1021" s="2">
        <f>IF(B1021="","",MOD(F1021,10))</f>
        <v/>
      </c>
      <c r="H1021" s="2">
        <f>IF(B1021="","",MAX(C1021,D1021,E1021)-MIN(C1021,D1021,E1021))</f>
        <v/>
      </c>
      <c r="I1021" s="2">
        <f>IF(OR(B1021="",H1021=0),IF(H1021=0,0.1,""),ROUND(F1021/H1021,2))</f>
        <v/>
      </c>
      <c r="J1021" s="2">
        <f>IF(I1021=0.1,"极紧凑",IF(I1021&gt;3.5,"紧凑",IF(AND(I1021&gt;=2,I1021&lt;=3.5),"标准",IF(AND(I1021&gt;=1,I1021&lt;2),"松散",""))))</f>
        <v/>
      </c>
      <c r="K1021" s="2">
        <f>IF(I1021=0.1,"极紧凑-豹子号",IF(AND(I1021&gt;=1,I1021&lt;=1.29),"松散-极松散",IF(AND(I1021&gt;=1.33,I1021&lt;=1.8),"松散-标准松散",IF(AND(I1021&gt;=1.83,I1021&lt;=1.89),"松散-偏紧松散",IF(AND(I1021&gt;=2,I1021&lt;=2.5),"标准-偏松标准",IF(AND(I1021&gt;=2.57,I1021&lt;=3),"标准-核心标准",IF(AND(I1021&gt;=3.17,I1021&lt;=3.5),"标准-偏紧标准",IF(AND(I1021&gt;=3.6,I1021&lt;=5),"紧凑-标准紧凑",IF(AND(I1021&gt;=5.25,I1021&lt;=8),"紧凑-高度紧凑",IF(I1021&gt;=8.5,"紧凑-极度紧凑",""))))))))))</f>
        <v/>
      </c>
      <c r="L1021" s="2">
        <f>IF(I1021=0.1,"极紧凑",IF(AND(I1021&gt;=1,I1021&lt;=1.89),"松散",IF(AND(I1021&gt;=2,I1021&lt;=3.5),"标准",IF(I1021&gt;=3.6,"紧凑",""))))</f>
        <v/>
      </c>
      <c r="M1021" s="2" t="inlineStr">
        <is>
          <t>极紧凑-豹子号</t>
        </is>
      </c>
      <c r="N1021" s="2" t="inlineStr">
        <is>
          <t>松散-极松散</t>
        </is>
      </c>
      <c r="O1021" s="2" t="inlineStr">
        <is>
          <t>松散-标准松散</t>
        </is>
      </c>
      <c r="P1021" s="2" t="inlineStr">
        <is>
          <t>松散-偏紧松散</t>
        </is>
      </c>
      <c r="Q1021" s="2" t="inlineStr">
        <is>
          <t>标准-偏松标准</t>
        </is>
      </c>
      <c r="R1021" s="2" t="inlineStr">
        <is>
          <t>标准-核心标准</t>
        </is>
      </c>
      <c r="S1021" s="2" t="inlineStr">
        <is>
          <t>标准-偏紧标准</t>
        </is>
      </c>
      <c r="T1021" s="2" t="inlineStr">
        <is>
          <t>紧凑-标准紧凑</t>
        </is>
      </c>
      <c r="U1021" s="2" t="inlineStr">
        <is>
          <t>紧凑-高度紧凑</t>
        </is>
      </c>
      <c r="V1021" s="2" t="inlineStr">
        <is>
          <t>紧凑-极度紧凑</t>
        </is>
      </c>
    </row>
    <row r="1022">
      <c r="A1022" s="1" t="n">
        <v>2025213</v>
      </c>
      <c r="B1022" s="3" t="inlineStr">
        <is>
          <t>868</t>
        </is>
      </c>
      <c r="C1022" s="2">
        <f>IF(B1022="","",LEFT(TEXT(B1022,"000"),1)*1)</f>
        <v/>
      </c>
      <c r="D1022" s="2">
        <f>IF(B1022="","",MID(TEXT(B1022,"000"),2,1)*1)</f>
        <v/>
      </c>
      <c r="E1022" s="2">
        <f>IF(B1022="","",RIGHT(TEXT(B1022,"000"),1)*1)</f>
        <v/>
      </c>
      <c r="F1022" s="2">
        <f>IF(B1022="","",C1022+D1022+E1022)</f>
        <v/>
      </c>
      <c r="G1022" s="2">
        <f>IF(B1022="","",MOD(F1022,10))</f>
        <v/>
      </c>
      <c r="H1022" s="2">
        <f>IF(B1022="","",MAX(C1022,D1022,E1022)-MIN(C1022,D1022,E1022))</f>
        <v/>
      </c>
      <c r="I1022" s="2">
        <f>IF(OR(B1022="",H1022=0),IF(H1022=0,0.1,""),ROUND(F1022/H1022,2))</f>
        <v/>
      </c>
      <c r="J1022" s="2">
        <f>IF(I1022=0.1,"极紧凑",IF(I1022&gt;3.5,"紧凑",IF(AND(I1022&gt;=2,I1022&lt;=3.5),"标准",IF(AND(I1022&gt;=1,I1022&lt;2),"松散",""))))</f>
        <v/>
      </c>
      <c r="K1022" s="2">
        <f>IF(I1022=0.1,"极紧凑-豹子号",IF(AND(I1022&gt;=1,I1022&lt;=1.29),"松散-极松散",IF(AND(I1022&gt;=1.33,I1022&lt;=1.8),"松散-标准松散",IF(AND(I1022&gt;=1.83,I1022&lt;=1.89),"松散-偏紧松散",IF(AND(I1022&gt;=2,I1022&lt;=2.5),"标准-偏松标准",IF(AND(I1022&gt;=2.57,I1022&lt;=3),"标准-核心标准",IF(AND(I1022&gt;=3.17,I1022&lt;=3.5),"标准-偏紧标准",IF(AND(I1022&gt;=3.6,I1022&lt;=5),"紧凑-标准紧凑",IF(AND(I1022&gt;=5.25,I1022&lt;=8),"紧凑-高度紧凑",IF(I1022&gt;=8.5,"紧凑-极度紧凑",""))))))))))</f>
        <v/>
      </c>
      <c r="L1022" s="2">
        <f>IF(I1022=0.1,"极紧凑",IF(AND(I1022&gt;=1,I1022&lt;=1.89),"松散",IF(AND(I1022&gt;=2,I1022&lt;=3.5),"标准",IF(I1022&gt;=3.6,"紧凑",""))))</f>
        <v/>
      </c>
      <c r="M1022" s="2" t="inlineStr">
        <is>
          <t>极紧凑-豹子号</t>
        </is>
      </c>
      <c r="N1022" s="2" t="inlineStr">
        <is>
          <t>松散-极松散</t>
        </is>
      </c>
      <c r="O1022" s="2" t="inlineStr">
        <is>
          <t>松散-标准松散</t>
        </is>
      </c>
      <c r="P1022" s="2" t="inlineStr">
        <is>
          <t>松散-偏紧松散</t>
        </is>
      </c>
      <c r="Q1022" s="2" t="inlineStr">
        <is>
          <t>标准-偏松标准</t>
        </is>
      </c>
      <c r="R1022" s="2" t="inlineStr">
        <is>
          <t>标准-核心标准</t>
        </is>
      </c>
      <c r="S1022" s="2" t="inlineStr">
        <is>
          <t>标准-偏紧标准</t>
        </is>
      </c>
      <c r="T1022" s="2" t="inlineStr">
        <is>
          <t>紧凑-标准紧凑</t>
        </is>
      </c>
      <c r="U1022" s="2" t="inlineStr">
        <is>
          <t>紧凑-高度紧凑</t>
        </is>
      </c>
      <c r="V1022" s="2" t="inlineStr">
        <is>
          <t>紧凑-极度紧凑</t>
        </is>
      </c>
    </row>
    <row r="1023">
      <c r="A1023" s="1" t="n">
        <v>2025214</v>
      </c>
      <c r="B1023" s="3" t="inlineStr">
        <is>
          <t>176</t>
        </is>
      </c>
      <c r="C1023" s="2">
        <f>IF(B1023="","",LEFT(TEXT(B1023,"000"),1)*1)</f>
        <v/>
      </c>
      <c r="D1023" s="2">
        <f>IF(B1023="","",MID(TEXT(B1023,"000"),2,1)*1)</f>
        <v/>
      </c>
      <c r="E1023" s="2">
        <f>IF(B1023="","",RIGHT(TEXT(B1023,"000"),1)*1)</f>
        <v/>
      </c>
      <c r="F1023" s="2">
        <f>IF(B1023="","",C1023+D1023+E1023)</f>
        <v/>
      </c>
      <c r="G1023" s="2">
        <f>IF(B1023="","",MOD(F1023,10))</f>
        <v/>
      </c>
      <c r="H1023" s="2">
        <f>IF(B1023="","",MAX(C1023,D1023,E1023)-MIN(C1023,D1023,E1023))</f>
        <v/>
      </c>
      <c r="I1023" s="2">
        <f>IF(OR(B1023="",H1023=0),IF(H1023=0,0.1,""),ROUND(F1023/H1023,2))</f>
        <v/>
      </c>
      <c r="J1023" s="2">
        <f>IF(I1023=0.1,"极紧凑",IF(I1023&gt;3.5,"紧凑",IF(AND(I1023&gt;=2,I1023&lt;=3.5),"标准",IF(AND(I1023&gt;=1,I1023&lt;2),"松散",""))))</f>
        <v/>
      </c>
      <c r="K1023" s="2">
        <f>IF(I1023=0.1,"极紧凑-豹子号",IF(AND(I1023&gt;=1,I1023&lt;=1.29),"松散-极松散",IF(AND(I1023&gt;=1.33,I1023&lt;=1.8),"松散-标准松散",IF(AND(I1023&gt;=1.83,I1023&lt;=1.89),"松散-偏紧松散",IF(AND(I1023&gt;=2,I1023&lt;=2.5),"标准-偏松标准",IF(AND(I1023&gt;=2.57,I1023&lt;=3),"标准-核心标准",IF(AND(I1023&gt;=3.17,I1023&lt;=3.5),"标准-偏紧标准",IF(AND(I1023&gt;=3.6,I1023&lt;=5),"紧凑-标准紧凑",IF(AND(I1023&gt;=5.25,I1023&lt;=8),"紧凑-高度紧凑",IF(I1023&gt;=8.5,"紧凑-极度紧凑",""))))))))))</f>
        <v/>
      </c>
      <c r="L1023" s="2">
        <f>IF(I1023=0.1,"极紧凑",IF(AND(I1023&gt;=1,I1023&lt;=1.89),"松散",IF(AND(I1023&gt;=2,I1023&lt;=3.5),"标准",IF(I1023&gt;=3.6,"紧凑",""))))</f>
        <v/>
      </c>
      <c r="M1023" s="2" t="inlineStr">
        <is>
          <t>极紧凑-豹子号</t>
        </is>
      </c>
      <c r="N1023" s="2" t="inlineStr">
        <is>
          <t>松散-极松散</t>
        </is>
      </c>
      <c r="O1023" s="2" t="inlineStr">
        <is>
          <t>松散-标准松散</t>
        </is>
      </c>
      <c r="P1023" s="2" t="inlineStr">
        <is>
          <t>松散-偏紧松散</t>
        </is>
      </c>
      <c r="Q1023" s="2" t="inlineStr">
        <is>
          <t>标准-偏松标准</t>
        </is>
      </c>
      <c r="R1023" s="2" t="inlineStr">
        <is>
          <t>标准-核心标准</t>
        </is>
      </c>
      <c r="S1023" s="2" t="inlineStr">
        <is>
          <t>标准-偏紧标准</t>
        </is>
      </c>
      <c r="T1023" s="2" t="inlineStr">
        <is>
          <t>紧凑-标准紧凑</t>
        </is>
      </c>
      <c r="U1023" s="2" t="inlineStr">
        <is>
          <t>紧凑-高度紧凑</t>
        </is>
      </c>
      <c r="V1023" s="2" t="inlineStr">
        <is>
          <t>紧凑-极度紧凑</t>
        </is>
      </c>
    </row>
    <row r="1024">
      <c r="A1024" s="1" t="n">
        <v>2025215</v>
      </c>
      <c r="B1024" s="3" t="inlineStr">
        <is>
          <t>695</t>
        </is>
      </c>
      <c r="C1024" s="2">
        <f>IF(B1024="","",LEFT(TEXT(B1024,"000"),1)*1)</f>
        <v/>
      </c>
      <c r="D1024" s="2">
        <f>IF(B1024="","",MID(TEXT(B1024,"000"),2,1)*1)</f>
        <v/>
      </c>
      <c r="E1024" s="2">
        <f>IF(B1024="","",RIGHT(TEXT(B1024,"000"),1)*1)</f>
        <v/>
      </c>
      <c r="F1024" s="2">
        <f>IF(B1024="","",C1024+D1024+E1024)</f>
        <v/>
      </c>
      <c r="G1024" s="2">
        <f>IF(B1024="","",MOD(F1024,10))</f>
        <v/>
      </c>
      <c r="H1024" s="2">
        <f>IF(B1024="","",MAX(C1024,D1024,E1024)-MIN(C1024,D1024,E1024))</f>
        <v/>
      </c>
      <c r="I1024" s="2">
        <f>IF(OR(B1024="",H1024=0),IF(H1024=0,0.1,""),ROUND(F1024/H1024,2))</f>
        <v/>
      </c>
      <c r="J1024" s="2">
        <f>IF(I1024=0.1,"极紧凑",IF(I1024&gt;3.5,"紧凑",IF(AND(I1024&gt;=2,I1024&lt;=3.5),"标准",IF(AND(I1024&gt;=1,I1024&lt;2),"松散",""))))</f>
        <v/>
      </c>
      <c r="K1024" s="2">
        <f>IF(I1024=0.1,"极紧凑-豹子号",IF(AND(I1024&gt;=1,I1024&lt;=1.29),"松散-极松散",IF(AND(I1024&gt;=1.33,I1024&lt;=1.8),"松散-标准松散",IF(AND(I1024&gt;=1.83,I1024&lt;=1.89),"松散-偏紧松散",IF(AND(I1024&gt;=2,I1024&lt;=2.5),"标准-偏松标准",IF(AND(I1024&gt;=2.57,I1024&lt;=3),"标准-核心标准",IF(AND(I1024&gt;=3.17,I1024&lt;=3.5),"标准-偏紧标准",IF(AND(I1024&gt;=3.6,I1024&lt;=5),"紧凑-标准紧凑",IF(AND(I1024&gt;=5.25,I1024&lt;=8),"紧凑-高度紧凑",IF(I1024&gt;=8.5,"紧凑-极度紧凑",""))))))))))</f>
        <v/>
      </c>
      <c r="L1024" s="2">
        <f>IF(I1024=0.1,"极紧凑",IF(AND(I1024&gt;=1,I1024&lt;=1.89),"松散",IF(AND(I1024&gt;=2,I1024&lt;=3.5),"标准",IF(I1024&gt;=3.6,"紧凑",""))))</f>
        <v/>
      </c>
      <c r="M1024" s="2" t="inlineStr">
        <is>
          <t>极紧凑-豹子号</t>
        </is>
      </c>
      <c r="N1024" s="2" t="inlineStr">
        <is>
          <t>松散-极松散</t>
        </is>
      </c>
      <c r="O1024" s="2" t="inlineStr">
        <is>
          <t>松散-标准松散</t>
        </is>
      </c>
      <c r="P1024" s="2" t="inlineStr">
        <is>
          <t>松散-偏紧松散</t>
        </is>
      </c>
      <c r="Q1024" s="2" t="inlineStr">
        <is>
          <t>标准-偏松标准</t>
        </is>
      </c>
      <c r="R1024" s="2" t="inlineStr">
        <is>
          <t>标准-核心标准</t>
        </is>
      </c>
      <c r="S1024" s="2" t="inlineStr">
        <is>
          <t>标准-偏紧标准</t>
        </is>
      </c>
      <c r="T1024" s="2" t="inlineStr">
        <is>
          <t>紧凑-标准紧凑</t>
        </is>
      </c>
      <c r="U1024" s="2" t="inlineStr">
        <is>
          <t>紧凑-高度紧凑</t>
        </is>
      </c>
      <c r="V1024" s="2" t="inlineStr">
        <is>
          <t>紧凑-极度紧凑</t>
        </is>
      </c>
    </row>
    <row r="1025">
      <c r="A1025" s="1" t="n">
        <v>2025216</v>
      </c>
      <c r="B1025" s="3" t="inlineStr">
        <is>
          <t>410</t>
        </is>
      </c>
      <c r="C1025" s="2">
        <f>IF(B1025="","",LEFT(TEXT(B1025,"000"),1)*1)</f>
        <v/>
      </c>
      <c r="D1025" s="2">
        <f>IF(B1025="","",MID(TEXT(B1025,"000"),2,1)*1)</f>
        <v/>
      </c>
      <c r="E1025" s="2">
        <f>IF(B1025="","",RIGHT(TEXT(B1025,"000"),1)*1)</f>
        <v/>
      </c>
      <c r="F1025" s="2">
        <f>IF(B1025="","",C1025+D1025+E1025)</f>
        <v/>
      </c>
      <c r="G1025" s="2">
        <f>IF(B1025="","",MOD(F1025,10))</f>
        <v/>
      </c>
      <c r="H1025" s="2">
        <f>IF(B1025="","",MAX(C1025,D1025,E1025)-MIN(C1025,D1025,E1025))</f>
        <v/>
      </c>
      <c r="I1025" s="2">
        <f>IF(OR(B1025="",H1025=0),IF(H1025=0,0.1,""),ROUND(F1025/H1025,2))</f>
        <v/>
      </c>
      <c r="J1025" s="2">
        <f>IF(I1025=0.1,"极紧凑",IF(I1025&gt;3.5,"紧凑",IF(AND(I1025&gt;=2,I1025&lt;=3.5),"标准",IF(AND(I1025&gt;=1,I1025&lt;2),"松散",""))))</f>
        <v/>
      </c>
      <c r="K1025" s="2">
        <f>IF(I1025=0.1,"极紧凑-豹子号",IF(AND(I1025&gt;=1,I1025&lt;=1.29),"松散-极松散",IF(AND(I1025&gt;=1.33,I1025&lt;=1.8),"松散-标准松散",IF(AND(I1025&gt;=1.83,I1025&lt;=1.89),"松散-偏紧松散",IF(AND(I1025&gt;=2,I1025&lt;=2.5),"标准-偏松标准",IF(AND(I1025&gt;=2.57,I1025&lt;=3),"标准-核心标准",IF(AND(I1025&gt;=3.17,I1025&lt;=3.5),"标准-偏紧标准",IF(AND(I1025&gt;=3.6,I1025&lt;=5),"紧凑-标准紧凑",IF(AND(I1025&gt;=5.25,I1025&lt;=8),"紧凑-高度紧凑",IF(I1025&gt;=8.5,"紧凑-极度紧凑",""))))))))))</f>
        <v/>
      </c>
      <c r="L1025" s="2">
        <f>IF(I1025=0.1,"极紧凑",IF(AND(I1025&gt;=1,I1025&lt;=1.89),"松散",IF(AND(I1025&gt;=2,I1025&lt;=3.5),"标准",IF(I1025&gt;=3.6,"紧凑",""))))</f>
        <v/>
      </c>
      <c r="M1025" s="2" t="inlineStr">
        <is>
          <t>极紧凑-豹子号</t>
        </is>
      </c>
      <c r="N1025" s="2" t="inlineStr">
        <is>
          <t>松散-极松散</t>
        </is>
      </c>
      <c r="O1025" s="2" t="inlineStr">
        <is>
          <t>松散-标准松散</t>
        </is>
      </c>
      <c r="P1025" s="2" t="inlineStr">
        <is>
          <t>松散-偏紧松散</t>
        </is>
      </c>
      <c r="Q1025" s="2" t="inlineStr">
        <is>
          <t>标准-偏松标准</t>
        </is>
      </c>
      <c r="R1025" s="2" t="inlineStr">
        <is>
          <t>标准-核心标准</t>
        </is>
      </c>
      <c r="S1025" s="2" t="inlineStr">
        <is>
          <t>标准-偏紧标准</t>
        </is>
      </c>
      <c r="T1025" s="2" t="inlineStr">
        <is>
          <t>紧凑-标准紧凑</t>
        </is>
      </c>
      <c r="U1025" s="2" t="inlineStr">
        <is>
          <t>紧凑-高度紧凑</t>
        </is>
      </c>
      <c r="V1025" s="2" t="inlineStr">
        <is>
          <t>紧凑-极度紧凑</t>
        </is>
      </c>
    </row>
    <row r="1026">
      <c r="A1026" s="1" t="n">
        <v>2025217</v>
      </c>
      <c r="B1026" s="3" t="inlineStr">
        <is>
          <t>242</t>
        </is>
      </c>
      <c r="C1026" s="2">
        <f>IF(B1026="","",LEFT(TEXT(B1026,"000"),1)*1)</f>
        <v/>
      </c>
      <c r="D1026" s="2">
        <f>IF(B1026="","",MID(TEXT(B1026,"000"),2,1)*1)</f>
        <v/>
      </c>
      <c r="E1026" s="2">
        <f>IF(B1026="","",RIGHT(TEXT(B1026,"000"),1)*1)</f>
        <v/>
      </c>
      <c r="F1026" s="2">
        <f>IF(B1026="","",C1026+D1026+E1026)</f>
        <v/>
      </c>
      <c r="G1026" s="2">
        <f>IF(B1026="","",MOD(F1026,10))</f>
        <v/>
      </c>
      <c r="H1026" s="2">
        <f>IF(B1026="","",MAX(C1026,D1026,E1026)-MIN(C1026,D1026,E1026))</f>
        <v/>
      </c>
      <c r="I1026" s="2">
        <f>IF(OR(B1026="",H1026=0),IF(H1026=0,0.1,""),ROUND(F1026/H1026,2))</f>
        <v/>
      </c>
      <c r="J1026" s="2">
        <f>IF(I1026=0.1,"极紧凑",IF(I1026&gt;3.5,"紧凑",IF(AND(I1026&gt;=2,I1026&lt;=3.5),"标准",IF(AND(I1026&gt;=1,I1026&lt;2),"松散",""))))</f>
        <v/>
      </c>
      <c r="K1026" s="2">
        <f>IF(I1026=0.1,"极紧凑-豹子号",IF(AND(I1026&gt;=1,I1026&lt;=1.29),"松散-极松散",IF(AND(I1026&gt;=1.33,I1026&lt;=1.8),"松散-标准松散",IF(AND(I1026&gt;=1.83,I1026&lt;=1.89),"松散-偏紧松散",IF(AND(I1026&gt;=2,I1026&lt;=2.5),"标准-偏松标准",IF(AND(I1026&gt;=2.57,I1026&lt;=3),"标准-核心标准",IF(AND(I1026&gt;=3.17,I1026&lt;=3.5),"标准-偏紧标准",IF(AND(I1026&gt;=3.6,I1026&lt;=5),"紧凑-标准紧凑",IF(AND(I1026&gt;=5.25,I1026&lt;=8),"紧凑-高度紧凑",IF(I1026&gt;=8.5,"紧凑-极度紧凑",""))))))))))</f>
        <v/>
      </c>
      <c r="L1026" s="2">
        <f>IF(I1026=0.1,"极紧凑",IF(AND(I1026&gt;=1,I1026&lt;=1.89),"松散",IF(AND(I1026&gt;=2,I1026&lt;=3.5),"标准",IF(I1026&gt;=3.6,"紧凑",""))))</f>
        <v/>
      </c>
      <c r="M1026" s="2" t="inlineStr">
        <is>
          <t>极紧凑-豹子号</t>
        </is>
      </c>
      <c r="N1026" s="2" t="inlineStr">
        <is>
          <t>松散-极松散</t>
        </is>
      </c>
      <c r="O1026" s="2" t="inlineStr">
        <is>
          <t>松散-标准松散</t>
        </is>
      </c>
      <c r="P1026" s="2" t="inlineStr">
        <is>
          <t>松散-偏紧松散</t>
        </is>
      </c>
      <c r="Q1026" s="2" t="inlineStr">
        <is>
          <t>标准-偏松标准</t>
        </is>
      </c>
      <c r="R1026" s="2" t="inlineStr">
        <is>
          <t>标准-核心标准</t>
        </is>
      </c>
      <c r="S1026" s="2" t="inlineStr">
        <is>
          <t>标准-偏紧标准</t>
        </is>
      </c>
      <c r="T1026" s="2" t="inlineStr">
        <is>
          <t>紧凑-标准紧凑</t>
        </is>
      </c>
      <c r="U1026" s="2" t="inlineStr">
        <is>
          <t>紧凑-高度紧凑</t>
        </is>
      </c>
      <c r="V1026" s="2" t="inlineStr">
        <is>
          <t>紧凑-极度紧凑</t>
        </is>
      </c>
    </row>
    <row r="1027">
      <c r="A1027" s="1" t="n">
        <v>2025218</v>
      </c>
      <c r="B1027" s="3" t="inlineStr">
        <is>
          <t>307</t>
        </is>
      </c>
      <c r="C1027" s="2">
        <f>IF(B1027="","",LEFT(TEXT(B1027,"000"),1)*1)</f>
        <v/>
      </c>
      <c r="D1027" s="2">
        <f>IF(B1027="","",MID(TEXT(B1027,"000"),2,1)*1)</f>
        <v/>
      </c>
      <c r="E1027" s="2">
        <f>IF(B1027="","",RIGHT(TEXT(B1027,"000"),1)*1)</f>
        <v/>
      </c>
      <c r="F1027" s="2">
        <f>IF(B1027="","",C1027+D1027+E1027)</f>
        <v/>
      </c>
      <c r="G1027" s="2">
        <f>IF(B1027="","",MOD(F1027,10))</f>
        <v/>
      </c>
      <c r="H1027" s="2">
        <f>IF(B1027="","",MAX(C1027,D1027,E1027)-MIN(C1027,D1027,E1027))</f>
        <v/>
      </c>
      <c r="I1027" s="2">
        <f>IF(OR(B1027="",H1027=0),IF(H1027=0,0.1,""),ROUND(F1027/H1027,2))</f>
        <v/>
      </c>
      <c r="J1027" s="2">
        <f>IF(I1027=0.1,"极紧凑",IF(I1027&gt;3.5,"紧凑",IF(AND(I1027&gt;=2,I1027&lt;=3.5),"标准",IF(AND(I1027&gt;=1,I1027&lt;2),"松散",""))))</f>
        <v/>
      </c>
      <c r="K1027" s="2">
        <f>IF(I1027=0.1,"极紧凑-豹子号",IF(AND(I1027&gt;=1,I1027&lt;=1.29),"松散-极松散",IF(AND(I1027&gt;=1.33,I1027&lt;=1.8),"松散-标准松散",IF(AND(I1027&gt;=1.83,I1027&lt;=1.89),"松散-偏紧松散",IF(AND(I1027&gt;=2,I1027&lt;=2.5),"标准-偏松标准",IF(AND(I1027&gt;=2.57,I1027&lt;=3),"标准-核心标准",IF(AND(I1027&gt;=3.17,I1027&lt;=3.5),"标准-偏紧标准",IF(AND(I1027&gt;=3.6,I1027&lt;=5),"紧凑-标准紧凑",IF(AND(I1027&gt;=5.25,I1027&lt;=8),"紧凑-高度紧凑",IF(I1027&gt;=8.5,"紧凑-极度紧凑",""))))))))))</f>
        <v/>
      </c>
      <c r="L1027" s="2">
        <f>IF(I1027=0.1,"极紧凑",IF(AND(I1027&gt;=1,I1027&lt;=1.89),"松散",IF(AND(I1027&gt;=2,I1027&lt;=3.5),"标准",IF(I1027&gt;=3.6,"紧凑",""))))</f>
        <v/>
      </c>
      <c r="M1027" s="2" t="inlineStr">
        <is>
          <t>极紧凑-豹子号</t>
        </is>
      </c>
      <c r="N1027" s="2" t="inlineStr">
        <is>
          <t>松散-极松散</t>
        </is>
      </c>
      <c r="O1027" s="2" t="inlineStr">
        <is>
          <t>松散-标准松散</t>
        </is>
      </c>
      <c r="P1027" s="2" t="inlineStr">
        <is>
          <t>松散-偏紧松散</t>
        </is>
      </c>
      <c r="Q1027" s="2" t="inlineStr">
        <is>
          <t>标准-偏松标准</t>
        </is>
      </c>
      <c r="R1027" s="2" t="inlineStr">
        <is>
          <t>标准-核心标准</t>
        </is>
      </c>
      <c r="S1027" s="2" t="inlineStr">
        <is>
          <t>标准-偏紧标准</t>
        </is>
      </c>
      <c r="T1027" s="2" t="inlineStr">
        <is>
          <t>紧凑-标准紧凑</t>
        </is>
      </c>
      <c r="U1027" s="2" t="inlineStr">
        <is>
          <t>紧凑-高度紧凑</t>
        </is>
      </c>
      <c r="V1027" s="2" t="inlineStr">
        <is>
          <t>紧凑-极度紧凑</t>
        </is>
      </c>
    </row>
    <row r="1028">
      <c r="A1028" s="1" t="n">
        <v>2025219</v>
      </c>
      <c r="B1028" s="3" t="inlineStr">
        <is>
          <t>784</t>
        </is>
      </c>
      <c r="C1028" s="2">
        <f>IF(B1028="","",LEFT(TEXT(B1028,"000"),1)*1)</f>
        <v/>
      </c>
      <c r="D1028" s="2">
        <f>IF(B1028="","",MID(TEXT(B1028,"000"),2,1)*1)</f>
        <v/>
      </c>
      <c r="E1028" s="2">
        <f>IF(B1028="","",RIGHT(TEXT(B1028,"000"),1)*1)</f>
        <v/>
      </c>
      <c r="F1028" s="2">
        <f>IF(B1028="","",C1028+D1028+E1028)</f>
        <v/>
      </c>
      <c r="G1028" s="2">
        <f>IF(B1028="","",MOD(F1028,10))</f>
        <v/>
      </c>
      <c r="H1028" s="2">
        <f>IF(B1028="","",MAX(C1028,D1028,E1028)-MIN(C1028,D1028,E1028))</f>
        <v/>
      </c>
      <c r="I1028" s="2">
        <f>IF(OR(B1028="",H1028=0),IF(H1028=0,0.1,""),ROUND(F1028/H1028,2))</f>
        <v/>
      </c>
      <c r="J1028" s="2">
        <f>IF(I1028=0.1,"极紧凑",IF(I1028&gt;3.5,"紧凑",IF(AND(I1028&gt;=2,I1028&lt;=3.5),"标准",IF(AND(I1028&gt;=1,I1028&lt;2),"松散",""))))</f>
        <v/>
      </c>
      <c r="K1028" s="2">
        <f>IF(I1028=0.1,"极紧凑-豹子号",IF(AND(I1028&gt;=1,I1028&lt;=1.29),"松散-极松散",IF(AND(I1028&gt;=1.33,I1028&lt;=1.8),"松散-标准松散",IF(AND(I1028&gt;=1.83,I1028&lt;=1.89),"松散-偏紧松散",IF(AND(I1028&gt;=2,I1028&lt;=2.5),"标准-偏松标准",IF(AND(I1028&gt;=2.57,I1028&lt;=3),"标准-核心标准",IF(AND(I1028&gt;=3.17,I1028&lt;=3.5),"标准-偏紧标准",IF(AND(I1028&gt;=3.6,I1028&lt;=5),"紧凑-标准紧凑",IF(AND(I1028&gt;=5.25,I1028&lt;=8),"紧凑-高度紧凑",IF(I1028&gt;=8.5,"紧凑-极度紧凑",""))))))))))</f>
        <v/>
      </c>
      <c r="L1028" s="2">
        <f>IF(I1028=0.1,"极紧凑",IF(AND(I1028&gt;=1,I1028&lt;=1.89),"松散",IF(AND(I1028&gt;=2,I1028&lt;=3.5),"标准",IF(I1028&gt;=3.6,"紧凑",""))))</f>
        <v/>
      </c>
      <c r="M1028" s="2" t="inlineStr">
        <is>
          <t>极紧凑-豹子号</t>
        </is>
      </c>
      <c r="N1028" s="2" t="inlineStr">
        <is>
          <t>松散-极松散</t>
        </is>
      </c>
      <c r="O1028" s="2" t="inlineStr">
        <is>
          <t>松散-标准松散</t>
        </is>
      </c>
      <c r="P1028" s="2" t="inlineStr">
        <is>
          <t>松散-偏紧松散</t>
        </is>
      </c>
      <c r="Q1028" s="2" t="inlineStr">
        <is>
          <t>标准-偏松标准</t>
        </is>
      </c>
      <c r="R1028" s="2" t="inlineStr">
        <is>
          <t>标准-核心标准</t>
        </is>
      </c>
      <c r="S1028" s="2" t="inlineStr">
        <is>
          <t>标准-偏紧标准</t>
        </is>
      </c>
      <c r="T1028" s="2" t="inlineStr">
        <is>
          <t>紧凑-标准紧凑</t>
        </is>
      </c>
      <c r="U1028" s="2" t="inlineStr">
        <is>
          <t>紧凑-高度紧凑</t>
        </is>
      </c>
      <c r="V1028" s="2" t="inlineStr">
        <is>
          <t>紧凑-极度紧凑</t>
        </is>
      </c>
    </row>
    <row r="1029">
      <c r="A1029" s="1" t="n">
        <v>2025220</v>
      </c>
      <c r="B1029" s="3" t="inlineStr">
        <is>
          <t>353</t>
        </is>
      </c>
      <c r="C1029" s="2">
        <f>IF(B1029="","",LEFT(TEXT(B1029,"000"),1)*1)</f>
        <v/>
      </c>
      <c r="D1029" s="2">
        <f>IF(B1029="","",MID(TEXT(B1029,"000"),2,1)*1)</f>
        <v/>
      </c>
      <c r="E1029" s="2">
        <f>IF(B1029="","",RIGHT(TEXT(B1029,"000"),1)*1)</f>
        <v/>
      </c>
      <c r="F1029" s="2">
        <f>IF(B1029="","",C1029+D1029+E1029)</f>
        <v/>
      </c>
      <c r="G1029" s="2">
        <f>IF(B1029="","",MOD(F1029,10))</f>
        <v/>
      </c>
      <c r="H1029" s="2">
        <f>IF(B1029="","",MAX(C1029,D1029,E1029)-MIN(C1029,D1029,E1029))</f>
        <v/>
      </c>
      <c r="I1029" s="2">
        <f>IF(OR(B1029="",H1029=0),IF(H1029=0,0.1,""),ROUND(F1029/H1029,2))</f>
        <v/>
      </c>
      <c r="J1029" s="2">
        <f>IF(I1029=0.1,"极紧凑",IF(I1029&gt;3.5,"紧凑",IF(AND(I1029&gt;=2,I1029&lt;=3.5),"标准",IF(AND(I1029&gt;=1,I1029&lt;2),"松散",""))))</f>
        <v/>
      </c>
      <c r="K1029" s="2">
        <f>IF(I1029=0.1,"极紧凑-豹子号",IF(AND(I1029&gt;=1,I1029&lt;=1.29),"松散-极松散",IF(AND(I1029&gt;=1.33,I1029&lt;=1.8),"松散-标准松散",IF(AND(I1029&gt;=1.83,I1029&lt;=1.89),"松散-偏紧松散",IF(AND(I1029&gt;=2,I1029&lt;=2.5),"标准-偏松标准",IF(AND(I1029&gt;=2.57,I1029&lt;=3),"标准-核心标准",IF(AND(I1029&gt;=3.17,I1029&lt;=3.5),"标准-偏紧标准",IF(AND(I1029&gt;=3.6,I1029&lt;=5),"紧凑-标准紧凑",IF(AND(I1029&gt;=5.25,I1029&lt;=8),"紧凑-高度紧凑",IF(I1029&gt;=8.5,"紧凑-极度紧凑",""))))))))))</f>
        <v/>
      </c>
      <c r="L1029" s="2">
        <f>IF(I1029=0.1,"极紧凑",IF(AND(I1029&gt;=1,I1029&lt;=1.89),"松散",IF(AND(I1029&gt;=2,I1029&lt;=3.5),"标准",IF(I1029&gt;=3.6,"紧凑",""))))</f>
        <v/>
      </c>
      <c r="M1029" s="2" t="inlineStr">
        <is>
          <t>极紧凑-豹子号</t>
        </is>
      </c>
      <c r="N1029" s="2" t="inlineStr">
        <is>
          <t>松散-极松散</t>
        </is>
      </c>
      <c r="O1029" s="2" t="inlineStr">
        <is>
          <t>松散-标准松散</t>
        </is>
      </c>
      <c r="P1029" s="2" t="inlineStr">
        <is>
          <t>松散-偏紧松散</t>
        </is>
      </c>
      <c r="Q1029" s="2" t="inlineStr">
        <is>
          <t>标准-偏松标准</t>
        </is>
      </c>
      <c r="R1029" s="2" t="inlineStr">
        <is>
          <t>标准-核心标准</t>
        </is>
      </c>
      <c r="S1029" s="2" t="inlineStr">
        <is>
          <t>标准-偏紧标准</t>
        </is>
      </c>
      <c r="T1029" s="2" t="inlineStr">
        <is>
          <t>紧凑-标准紧凑</t>
        </is>
      </c>
      <c r="U1029" s="2" t="inlineStr">
        <is>
          <t>紧凑-高度紧凑</t>
        </is>
      </c>
      <c r="V1029" s="2" t="inlineStr">
        <is>
          <t>紧凑-极度紧凑</t>
        </is>
      </c>
    </row>
    <row r="1030">
      <c r="A1030" s="1" t="n">
        <v>2025221</v>
      </c>
      <c r="B1030" s="3" t="inlineStr">
        <is>
          <t>791</t>
        </is>
      </c>
      <c r="C1030" s="2">
        <f>IF(B1030="","",LEFT(TEXT(B1030,"000"),1)*1)</f>
        <v/>
      </c>
      <c r="D1030" s="2">
        <f>IF(B1030="","",MID(TEXT(B1030,"000"),2,1)*1)</f>
        <v/>
      </c>
      <c r="E1030" s="2">
        <f>IF(B1030="","",RIGHT(TEXT(B1030,"000"),1)*1)</f>
        <v/>
      </c>
      <c r="F1030" s="2">
        <f>IF(B1030="","",C1030+D1030+E1030)</f>
        <v/>
      </c>
      <c r="G1030" s="2">
        <f>IF(B1030="","",MOD(F1030,10))</f>
        <v/>
      </c>
      <c r="H1030" s="2">
        <f>IF(B1030="","",MAX(C1030,D1030,E1030)-MIN(C1030,D1030,E1030))</f>
        <v/>
      </c>
      <c r="I1030" s="2">
        <f>IF(OR(B1030="",H1030=0),IF(H1030=0,0.1,""),ROUND(F1030/H1030,2))</f>
        <v/>
      </c>
      <c r="J1030" s="2">
        <f>IF(I1030=0.1,"极紧凑",IF(I1030&gt;3.5,"紧凑",IF(AND(I1030&gt;=2,I1030&lt;=3.5),"标准",IF(AND(I1030&gt;=1,I1030&lt;2),"松散",""))))</f>
        <v/>
      </c>
      <c r="K1030" s="2">
        <f>IF(I1030=0.1,"极紧凑-豹子号",IF(AND(I1030&gt;=1,I1030&lt;=1.29),"松散-极松散",IF(AND(I1030&gt;=1.33,I1030&lt;=1.8),"松散-标准松散",IF(AND(I1030&gt;=1.83,I1030&lt;=1.89),"松散-偏紧松散",IF(AND(I1030&gt;=2,I1030&lt;=2.5),"标准-偏松标准",IF(AND(I1030&gt;=2.57,I1030&lt;=3),"标准-核心标准",IF(AND(I1030&gt;=3.17,I1030&lt;=3.5),"标准-偏紧标准",IF(AND(I1030&gt;=3.6,I1030&lt;=5),"紧凑-标准紧凑",IF(AND(I1030&gt;=5.25,I1030&lt;=8),"紧凑-高度紧凑",IF(I1030&gt;=8.5,"紧凑-极度紧凑",""))))))))))</f>
        <v/>
      </c>
      <c r="L1030" s="2">
        <f>IF(I1030=0.1,"极紧凑",IF(AND(I1030&gt;=1,I1030&lt;=1.89),"松散",IF(AND(I1030&gt;=2,I1030&lt;=3.5),"标准",IF(I1030&gt;=3.6,"紧凑",""))))</f>
        <v/>
      </c>
      <c r="M1030" s="2" t="inlineStr">
        <is>
          <t>极紧凑-豹子号</t>
        </is>
      </c>
      <c r="N1030" s="2" t="inlineStr">
        <is>
          <t>松散-极松散</t>
        </is>
      </c>
      <c r="O1030" s="2" t="inlineStr">
        <is>
          <t>松散-标准松散</t>
        </is>
      </c>
      <c r="P1030" s="2" t="inlineStr">
        <is>
          <t>松散-偏紧松散</t>
        </is>
      </c>
      <c r="Q1030" s="2" t="inlineStr">
        <is>
          <t>标准-偏松标准</t>
        </is>
      </c>
      <c r="R1030" s="2" t="inlineStr">
        <is>
          <t>标准-核心标准</t>
        </is>
      </c>
      <c r="S1030" s="2" t="inlineStr">
        <is>
          <t>标准-偏紧标准</t>
        </is>
      </c>
      <c r="T1030" s="2" t="inlineStr">
        <is>
          <t>紧凑-标准紧凑</t>
        </is>
      </c>
      <c r="U1030" s="2" t="inlineStr">
        <is>
          <t>紧凑-高度紧凑</t>
        </is>
      </c>
      <c r="V1030" s="2" t="inlineStr">
        <is>
          <t>紧凑-极度紧凑</t>
        </is>
      </c>
    </row>
    <row r="1031">
      <c r="A1031" s="1" t="n">
        <v>2025222</v>
      </c>
      <c r="B1031" s="3" t="inlineStr">
        <is>
          <t>660</t>
        </is>
      </c>
      <c r="C1031" s="2">
        <f>IF(B1031="","",LEFT(TEXT(B1031,"000"),1)*1)</f>
        <v/>
      </c>
      <c r="D1031" s="2">
        <f>IF(B1031="","",MID(TEXT(B1031,"000"),2,1)*1)</f>
        <v/>
      </c>
      <c r="E1031" s="2">
        <f>IF(B1031="","",RIGHT(TEXT(B1031,"000"),1)*1)</f>
        <v/>
      </c>
      <c r="F1031" s="2">
        <f>IF(B1031="","",C1031+D1031+E1031)</f>
        <v/>
      </c>
      <c r="G1031" s="2">
        <f>IF(B1031="","",MOD(F1031,10))</f>
        <v/>
      </c>
      <c r="H1031" s="2">
        <f>IF(B1031="","",MAX(C1031,D1031,E1031)-MIN(C1031,D1031,E1031))</f>
        <v/>
      </c>
      <c r="I1031" s="2">
        <f>IF(OR(B1031="",H1031=0),IF(H1031=0,0.1,""),ROUND(F1031/H1031,2))</f>
        <v/>
      </c>
      <c r="J1031" s="2">
        <f>IF(I1031=0.1,"极紧凑",IF(I1031&gt;3.5,"紧凑",IF(AND(I1031&gt;=2,I1031&lt;=3.5),"标准",IF(AND(I1031&gt;=1,I1031&lt;2),"松散",""))))</f>
        <v/>
      </c>
      <c r="K1031" s="2">
        <f>IF(I1031=0.1,"极紧凑-豹子号",IF(AND(I1031&gt;=1,I1031&lt;=1.29),"松散-极松散",IF(AND(I1031&gt;=1.33,I1031&lt;=1.8),"松散-标准松散",IF(AND(I1031&gt;=1.83,I1031&lt;=1.89),"松散-偏紧松散",IF(AND(I1031&gt;=2,I1031&lt;=2.5),"标准-偏松标准",IF(AND(I1031&gt;=2.57,I1031&lt;=3),"标准-核心标准",IF(AND(I1031&gt;=3.17,I1031&lt;=3.5),"标准-偏紧标准",IF(AND(I1031&gt;=3.6,I1031&lt;=5),"紧凑-标准紧凑",IF(AND(I1031&gt;=5.25,I1031&lt;=8),"紧凑-高度紧凑",IF(I1031&gt;=8.5,"紧凑-极度紧凑",""))))))))))</f>
        <v/>
      </c>
      <c r="L1031" s="2">
        <f>IF(I1031=0.1,"极紧凑",IF(AND(I1031&gt;=1,I1031&lt;=1.89),"松散",IF(AND(I1031&gt;=2,I1031&lt;=3.5),"标准",IF(I1031&gt;=3.6,"紧凑",""))))</f>
        <v/>
      </c>
      <c r="M1031" s="2" t="inlineStr">
        <is>
          <t>极紧凑-豹子号</t>
        </is>
      </c>
      <c r="N1031" s="2" t="inlineStr">
        <is>
          <t>松散-极松散</t>
        </is>
      </c>
      <c r="O1031" s="2" t="inlineStr">
        <is>
          <t>松散-标准松散</t>
        </is>
      </c>
      <c r="P1031" s="2" t="inlineStr">
        <is>
          <t>松散-偏紧松散</t>
        </is>
      </c>
      <c r="Q1031" s="2" t="inlineStr">
        <is>
          <t>标准-偏松标准</t>
        </is>
      </c>
      <c r="R1031" s="2" t="inlineStr">
        <is>
          <t>标准-核心标准</t>
        </is>
      </c>
      <c r="S1031" s="2" t="inlineStr">
        <is>
          <t>标准-偏紧标准</t>
        </is>
      </c>
      <c r="T1031" s="2" t="inlineStr">
        <is>
          <t>紧凑-标准紧凑</t>
        </is>
      </c>
      <c r="U1031" s="2" t="inlineStr">
        <is>
          <t>紧凑-高度紧凑</t>
        </is>
      </c>
      <c r="V1031" s="2" t="inlineStr">
        <is>
          <t>紧凑-极度紧凑</t>
        </is>
      </c>
    </row>
    <row r="1032">
      <c r="A1032" s="1" t="n">
        <v>2025223</v>
      </c>
      <c r="B1032" s="3" t="inlineStr">
        <is>
          <t>795</t>
        </is>
      </c>
      <c r="C1032" s="2">
        <f>IF(B1032="","",LEFT(TEXT(B1032,"000"),1)*1)</f>
        <v/>
      </c>
      <c r="D1032" s="2">
        <f>IF(B1032="","",MID(TEXT(B1032,"000"),2,1)*1)</f>
        <v/>
      </c>
      <c r="E1032" s="2">
        <f>IF(B1032="","",RIGHT(TEXT(B1032,"000"),1)*1)</f>
        <v/>
      </c>
      <c r="F1032" s="2">
        <f>IF(B1032="","",C1032+D1032+E1032)</f>
        <v/>
      </c>
      <c r="G1032" s="2">
        <f>IF(B1032="","",MOD(F1032,10))</f>
        <v/>
      </c>
      <c r="H1032" s="2">
        <f>IF(B1032="","",MAX(C1032,D1032,E1032)-MIN(C1032,D1032,E1032))</f>
        <v/>
      </c>
      <c r="I1032" s="2">
        <f>IF(OR(B1032="",H1032=0),IF(H1032=0,0.1,""),ROUND(F1032/H1032,2))</f>
        <v/>
      </c>
      <c r="J1032" s="2">
        <f>IF(I1032=0.1,"极紧凑",IF(I1032&gt;3.5,"紧凑",IF(AND(I1032&gt;=2,I1032&lt;=3.5),"标准",IF(AND(I1032&gt;=1,I1032&lt;2),"松散",""))))</f>
        <v/>
      </c>
      <c r="K1032" s="2">
        <f>IF(I1032=0.1,"极紧凑-豹子号",IF(AND(I1032&gt;=1,I1032&lt;=1.29),"松散-极松散",IF(AND(I1032&gt;=1.33,I1032&lt;=1.8),"松散-标准松散",IF(AND(I1032&gt;=1.83,I1032&lt;=1.89),"松散-偏紧松散",IF(AND(I1032&gt;=2,I1032&lt;=2.5),"标准-偏松标准",IF(AND(I1032&gt;=2.57,I1032&lt;=3),"标准-核心标准",IF(AND(I1032&gt;=3.17,I1032&lt;=3.5),"标准-偏紧标准",IF(AND(I1032&gt;=3.6,I1032&lt;=5),"紧凑-标准紧凑",IF(AND(I1032&gt;=5.25,I1032&lt;=8),"紧凑-高度紧凑",IF(I1032&gt;=8.5,"紧凑-极度紧凑",""))))))))))</f>
        <v/>
      </c>
      <c r="L1032" s="2">
        <f>IF(I1032=0.1,"极紧凑",IF(AND(I1032&gt;=1,I1032&lt;=1.89),"松散",IF(AND(I1032&gt;=2,I1032&lt;=3.5),"标准",IF(I1032&gt;=3.6,"紧凑",""))))</f>
        <v/>
      </c>
      <c r="M1032" s="2" t="inlineStr">
        <is>
          <t>极紧凑-豹子号</t>
        </is>
      </c>
      <c r="N1032" s="2" t="inlineStr">
        <is>
          <t>松散-极松散</t>
        </is>
      </c>
      <c r="O1032" s="2" t="inlineStr">
        <is>
          <t>松散-标准松散</t>
        </is>
      </c>
      <c r="P1032" s="2" t="inlineStr">
        <is>
          <t>松散-偏紧松散</t>
        </is>
      </c>
      <c r="Q1032" s="2" t="inlineStr">
        <is>
          <t>标准-偏松标准</t>
        </is>
      </c>
      <c r="R1032" s="2" t="inlineStr">
        <is>
          <t>标准-核心标准</t>
        </is>
      </c>
      <c r="S1032" s="2" t="inlineStr">
        <is>
          <t>标准-偏紧标准</t>
        </is>
      </c>
      <c r="T1032" s="2" t="inlineStr">
        <is>
          <t>紧凑-标准紧凑</t>
        </is>
      </c>
      <c r="U1032" s="2" t="inlineStr">
        <is>
          <t>紧凑-高度紧凑</t>
        </is>
      </c>
      <c r="V1032" s="2" t="inlineStr">
        <is>
          <t>紧凑-极度紧凑</t>
        </is>
      </c>
    </row>
    <row r="1033">
      <c r="A1033" s="1" t="n">
        <v>2025224</v>
      </c>
      <c r="B1033" s="3" t="inlineStr">
        <is>
          <t>021</t>
        </is>
      </c>
      <c r="C1033" s="2">
        <f>IF(B1033="","",LEFT(TEXT(B1033,"000"),1)*1)</f>
        <v/>
      </c>
      <c r="D1033" s="2">
        <f>IF(B1033="","",MID(TEXT(B1033,"000"),2,1)*1)</f>
        <v/>
      </c>
      <c r="E1033" s="2">
        <f>IF(B1033="","",RIGHT(TEXT(B1033,"000"),1)*1)</f>
        <v/>
      </c>
      <c r="F1033" s="2">
        <f>IF(B1033="","",C1033+D1033+E1033)</f>
        <v/>
      </c>
      <c r="G1033" s="2">
        <f>IF(B1033="","",MOD(F1033,10))</f>
        <v/>
      </c>
      <c r="H1033" s="2">
        <f>IF(B1033="","",MAX(C1033,D1033,E1033)-MIN(C1033,D1033,E1033))</f>
        <v/>
      </c>
      <c r="I1033" s="2">
        <f>IF(OR(B1033="",H1033=0),IF(H1033=0,0.1,""),ROUND(F1033/H1033,2))</f>
        <v/>
      </c>
      <c r="J1033" s="2">
        <f>IF(I1033=0.1,"极紧凑",IF(I1033&gt;3.5,"紧凑",IF(AND(I1033&gt;=2,I1033&lt;=3.5),"标准",IF(AND(I1033&gt;=1,I1033&lt;2),"松散",""))))</f>
        <v/>
      </c>
      <c r="K1033" s="2">
        <f>IF(I1033=0.1,"极紧凑-豹子号",IF(AND(I1033&gt;=1,I1033&lt;=1.29),"松散-极松散",IF(AND(I1033&gt;=1.33,I1033&lt;=1.8),"松散-标准松散",IF(AND(I1033&gt;=1.83,I1033&lt;=1.89),"松散-偏紧松散",IF(AND(I1033&gt;=2,I1033&lt;=2.5),"标准-偏松标准",IF(AND(I1033&gt;=2.57,I1033&lt;=3),"标准-核心标准",IF(AND(I1033&gt;=3.17,I1033&lt;=3.5),"标准-偏紧标准",IF(AND(I1033&gt;=3.6,I1033&lt;=5),"紧凑-标准紧凑",IF(AND(I1033&gt;=5.25,I1033&lt;=8),"紧凑-高度紧凑",IF(I1033&gt;=8.5,"紧凑-极度紧凑",""))))))))))</f>
        <v/>
      </c>
      <c r="L1033" s="2">
        <f>IF(I1033=0.1,"极紧凑",IF(AND(I1033&gt;=1,I1033&lt;=1.89),"松散",IF(AND(I1033&gt;=2,I1033&lt;=3.5),"标准",IF(I1033&gt;=3.6,"紧凑",""))))</f>
        <v/>
      </c>
      <c r="M1033" s="2" t="inlineStr">
        <is>
          <t>极紧凑-豹子号</t>
        </is>
      </c>
      <c r="N1033" s="2" t="inlineStr">
        <is>
          <t>松散-极松散</t>
        </is>
      </c>
      <c r="O1033" s="2" t="inlineStr">
        <is>
          <t>松散-标准松散</t>
        </is>
      </c>
      <c r="P1033" s="2" t="inlineStr">
        <is>
          <t>松散-偏紧松散</t>
        </is>
      </c>
      <c r="Q1033" s="2" t="inlineStr">
        <is>
          <t>标准-偏松标准</t>
        </is>
      </c>
      <c r="R1033" s="2" t="inlineStr">
        <is>
          <t>标准-核心标准</t>
        </is>
      </c>
      <c r="S1033" s="2" t="inlineStr">
        <is>
          <t>标准-偏紧标准</t>
        </is>
      </c>
      <c r="T1033" s="2" t="inlineStr">
        <is>
          <t>紧凑-标准紧凑</t>
        </is>
      </c>
      <c r="U1033" s="2" t="inlineStr">
        <is>
          <t>紧凑-高度紧凑</t>
        </is>
      </c>
      <c r="V1033" s="2" t="inlineStr">
        <is>
          <t>紧凑-极度紧凑</t>
        </is>
      </c>
    </row>
    <row r="1034">
      <c r="A1034" s="1" t="n">
        <v>2025225</v>
      </c>
      <c r="B1034" s="3" t="inlineStr">
        <is>
          <t>009</t>
        </is>
      </c>
      <c r="C1034" s="2">
        <f>IF(B1034="","",LEFT(TEXT(B1034,"000"),1)*1)</f>
        <v/>
      </c>
      <c r="D1034" s="2">
        <f>IF(B1034="","",MID(TEXT(B1034,"000"),2,1)*1)</f>
        <v/>
      </c>
      <c r="E1034" s="2">
        <f>IF(B1034="","",RIGHT(TEXT(B1034,"000"),1)*1)</f>
        <v/>
      </c>
      <c r="F1034" s="2">
        <f>IF(B1034="","",C1034+D1034+E1034)</f>
        <v/>
      </c>
      <c r="G1034" s="2">
        <f>IF(B1034="","",MOD(F1034,10))</f>
        <v/>
      </c>
      <c r="H1034" s="2">
        <f>IF(B1034="","",MAX(C1034,D1034,E1034)-MIN(C1034,D1034,E1034))</f>
        <v/>
      </c>
      <c r="I1034" s="2">
        <f>IF(OR(B1034="",H1034=0),IF(H1034=0,0.1,""),ROUND(F1034/H1034,2))</f>
        <v/>
      </c>
      <c r="J1034" s="2">
        <f>IF(I1034=0.1,"极紧凑",IF(I1034&gt;3.5,"紧凑",IF(AND(I1034&gt;=2,I1034&lt;=3.5),"标准",IF(AND(I1034&gt;=1,I1034&lt;2),"松散",""))))</f>
        <v/>
      </c>
      <c r="K1034" s="2">
        <f>IF(I1034=0.1,"极紧凑-豹子号",IF(AND(I1034&gt;=1,I1034&lt;=1.29),"松散-极松散",IF(AND(I1034&gt;=1.33,I1034&lt;=1.8),"松散-标准松散",IF(AND(I1034&gt;=1.83,I1034&lt;=1.89),"松散-偏紧松散",IF(AND(I1034&gt;=2,I1034&lt;=2.5),"标准-偏松标准",IF(AND(I1034&gt;=2.57,I1034&lt;=3),"标准-核心标准",IF(AND(I1034&gt;=3.17,I1034&lt;=3.5),"标准-偏紧标准",IF(AND(I1034&gt;=3.6,I1034&lt;=5),"紧凑-标准紧凑",IF(AND(I1034&gt;=5.25,I1034&lt;=8),"紧凑-高度紧凑",IF(I1034&gt;=8.5,"紧凑-极度紧凑",""))))))))))</f>
        <v/>
      </c>
      <c r="L1034" s="2">
        <f>IF(I1034=0.1,"极紧凑",IF(AND(I1034&gt;=1,I1034&lt;=1.89),"松散",IF(AND(I1034&gt;=2,I1034&lt;=3.5),"标准",IF(I1034&gt;=3.6,"紧凑",""))))</f>
        <v/>
      </c>
      <c r="M1034" s="2" t="inlineStr">
        <is>
          <t>极紧凑-豹子号</t>
        </is>
      </c>
      <c r="N1034" s="2" t="inlineStr">
        <is>
          <t>松散-极松散</t>
        </is>
      </c>
      <c r="O1034" s="2" t="inlineStr">
        <is>
          <t>松散-标准松散</t>
        </is>
      </c>
      <c r="P1034" s="2" t="inlineStr">
        <is>
          <t>松散-偏紧松散</t>
        </is>
      </c>
      <c r="Q1034" s="2" t="inlineStr">
        <is>
          <t>标准-偏松标准</t>
        </is>
      </c>
      <c r="R1034" s="2" t="inlineStr">
        <is>
          <t>标准-核心标准</t>
        </is>
      </c>
      <c r="S1034" s="2" t="inlineStr">
        <is>
          <t>标准-偏紧标准</t>
        </is>
      </c>
      <c r="T1034" s="2" t="inlineStr">
        <is>
          <t>紧凑-标准紧凑</t>
        </is>
      </c>
      <c r="U1034" s="2" t="inlineStr">
        <is>
          <t>紧凑-高度紧凑</t>
        </is>
      </c>
      <c r="V1034" s="2" t="inlineStr">
        <is>
          <t>紧凑-极度紧凑</t>
        </is>
      </c>
    </row>
    <row r="1035">
      <c r="A1035" s="1" t="n">
        <v>2025226</v>
      </c>
      <c r="B1035" s="3" t="inlineStr">
        <is>
          <t>373</t>
        </is>
      </c>
      <c r="C1035" s="2">
        <f>IF(B1035="","",LEFT(TEXT(B1035,"000"),1)*1)</f>
        <v/>
      </c>
      <c r="D1035" s="2">
        <f>IF(B1035="","",MID(TEXT(B1035,"000"),2,1)*1)</f>
        <v/>
      </c>
      <c r="E1035" s="2">
        <f>IF(B1035="","",RIGHT(TEXT(B1035,"000"),1)*1)</f>
        <v/>
      </c>
      <c r="F1035" s="2">
        <f>IF(B1035="","",C1035+D1035+E1035)</f>
        <v/>
      </c>
      <c r="G1035" s="2">
        <f>IF(B1035="","",MOD(F1035,10))</f>
        <v/>
      </c>
      <c r="H1035" s="2">
        <f>IF(B1035="","",MAX(C1035,D1035,E1035)-MIN(C1035,D1035,E1035))</f>
        <v/>
      </c>
      <c r="I1035" s="2">
        <f>IF(OR(B1035="",H1035=0),IF(H1035=0,0.1,""),ROUND(F1035/H1035,2))</f>
        <v/>
      </c>
      <c r="J1035" s="2">
        <f>IF(I1035=0.1,"极紧凑",IF(I1035&gt;3.5,"紧凑",IF(AND(I1035&gt;=2,I1035&lt;=3.5),"标准",IF(AND(I1035&gt;=1,I1035&lt;2),"松散",""))))</f>
        <v/>
      </c>
      <c r="K1035" s="2">
        <f>IF(I1035=0.1,"极紧凑-豹子号",IF(AND(I1035&gt;=1,I1035&lt;=1.29),"松散-极松散",IF(AND(I1035&gt;=1.33,I1035&lt;=1.8),"松散-标准松散",IF(AND(I1035&gt;=1.83,I1035&lt;=1.89),"松散-偏紧松散",IF(AND(I1035&gt;=2,I1035&lt;=2.5),"标准-偏松标准",IF(AND(I1035&gt;=2.57,I1035&lt;=3),"标准-核心标准",IF(AND(I1035&gt;=3.17,I1035&lt;=3.5),"标准-偏紧标准",IF(AND(I1035&gt;=3.6,I1035&lt;=5),"紧凑-标准紧凑",IF(AND(I1035&gt;=5.25,I1035&lt;=8),"紧凑-高度紧凑",IF(I1035&gt;=8.5,"紧凑-极度紧凑",""))))))))))</f>
        <v/>
      </c>
      <c r="L1035" s="2">
        <f>IF(I1035=0.1,"极紧凑",IF(AND(I1035&gt;=1,I1035&lt;=1.89),"松散",IF(AND(I1035&gt;=2,I1035&lt;=3.5),"标准",IF(I1035&gt;=3.6,"紧凑",""))))</f>
        <v/>
      </c>
      <c r="M1035" s="2" t="inlineStr">
        <is>
          <t>极紧凑-豹子号</t>
        </is>
      </c>
      <c r="N1035" s="2" t="inlineStr">
        <is>
          <t>松散-极松散</t>
        </is>
      </c>
      <c r="O1035" s="2" t="inlineStr">
        <is>
          <t>松散-标准松散</t>
        </is>
      </c>
      <c r="P1035" s="2" t="inlineStr">
        <is>
          <t>松散-偏紧松散</t>
        </is>
      </c>
      <c r="Q1035" s="2" t="inlineStr">
        <is>
          <t>标准-偏松标准</t>
        </is>
      </c>
      <c r="R1035" s="2" t="inlineStr">
        <is>
          <t>标准-核心标准</t>
        </is>
      </c>
      <c r="S1035" s="2" t="inlineStr">
        <is>
          <t>标准-偏紧标准</t>
        </is>
      </c>
      <c r="T1035" s="2" t="inlineStr">
        <is>
          <t>紧凑-标准紧凑</t>
        </is>
      </c>
      <c r="U1035" s="2" t="inlineStr">
        <is>
          <t>紧凑-高度紧凑</t>
        </is>
      </c>
      <c r="V1035" s="2" t="inlineStr">
        <is>
          <t>紧凑-极度紧凑</t>
        </is>
      </c>
    </row>
    <row r="1036">
      <c r="A1036" s="1" t="n">
        <v>2025227</v>
      </c>
      <c r="B1036" s="3" t="inlineStr">
        <is>
          <t>453</t>
        </is>
      </c>
      <c r="C1036" s="2">
        <f>IF(B1036="","",LEFT(TEXT(B1036,"000"),1)*1)</f>
        <v/>
      </c>
      <c r="D1036" s="2">
        <f>IF(B1036="","",MID(TEXT(B1036,"000"),2,1)*1)</f>
        <v/>
      </c>
      <c r="E1036" s="2">
        <f>IF(B1036="","",RIGHT(TEXT(B1036,"000"),1)*1)</f>
        <v/>
      </c>
      <c r="F1036" s="2">
        <f>IF(B1036="","",C1036+D1036+E1036)</f>
        <v/>
      </c>
      <c r="G1036" s="2">
        <f>IF(B1036="","",MOD(F1036,10))</f>
        <v/>
      </c>
      <c r="H1036" s="2">
        <f>IF(B1036="","",MAX(C1036,D1036,E1036)-MIN(C1036,D1036,E1036))</f>
        <v/>
      </c>
      <c r="I1036" s="2">
        <f>IF(OR(B1036="",H1036=0),IF(H1036=0,0.1,""),ROUND(F1036/H1036,2))</f>
        <v/>
      </c>
      <c r="J1036" s="2">
        <f>IF(I1036=0.1,"极紧凑",IF(I1036&gt;3.5,"紧凑",IF(AND(I1036&gt;=2,I1036&lt;=3.5),"标准",IF(AND(I1036&gt;=1,I1036&lt;2),"松散",""))))</f>
        <v/>
      </c>
      <c r="K1036" s="2">
        <f>IF(I1036=0.1,"极紧凑-豹子号",IF(AND(I1036&gt;=1,I1036&lt;=1.29),"松散-极松散",IF(AND(I1036&gt;=1.33,I1036&lt;=1.8),"松散-标准松散",IF(AND(I1036&gt;=1.83,I1036&lt;=1.89),"松散-偏紧松散",IF(AND(I1036&gt;=2,I1036&lt;=2.5),"标准-偏松标准",IF(AND(I1036&gt;=2.57,I1036&lt;=3),"标准-核心标准",IF(AND(I1036&gt;=3.17,I1036&lt;=3.5),"标准-偏紧标准",IF(AND(I1036&gt;=3.6,I1036&lt;=5),"紧凑-标准紧凑",IF(AND(I1036&gt;=5.25,I1036&lt;=8),"紧凑-高度紧凑",IF(I1036&gt;=8.5,"紧凑-极度紧凑",""))))))))))</f>
        <v/>
      </c>
      <c r="L1036" s="2">
        <f>IF(I1036=0.1,"极紧凑",IF(AND(I1036&gt;=1,I1036&lt;=1.89),"松散",IF(AND(I1036&gt;=2,I1036&lt;=3.5),"标准",IF(I1036&gt;=3.6,"紧凑",""))))</f>
        <v/>
      </c>
      <c r="M1036" s="2" t="inlineStr">
        <is>
          <t>极紧凑-豹子号</t>
        </is>
      </c>
      <c r="N1036" s="2" t="inlineStr">
        <is>
          <t>松散-极松散</t>
        </is>
      </c>
      <c r="O1036" s="2" t="inlineStr">
        <is>
          <t>松散-标准松散</t>
        </is>
      </c>
      <c r="P1036" s="2" t="inlineStr">
        <is>
          <t>松散-偏紧松散</t>
        </is>
      </c>
      <c r="Q1036" s="2" t="inlineStr">
        <is>
          <t>标准-偏松标准</t>
        </is>
      </c>
      <c r="R1036" s="2" t="inlineStr">
        <is>
          <t>标准-核心标准</t>
        </is>
      </c>
      <c r="S1036" s="2" t="inlineStr">
        <is>
          <t>标准-偏紧标准</t>
        </is>
      </c>
      <c r="T1036" s="2" t="inlineStr">
        <is>
          <t>紧凑-标准紧凑</t>
        </is>
      </c>
      <c r="U1036" s="2" t="inlineStr">
        <is>
          <t>紧凑-高度紧凑</t>
        </is>
      </c>
      <c r="V1036" s="2" t="inlineStr">
        <is>
          <t>紧凑-极度紧凑</t>
        </is>
      </c>
    </row>
    <row r="1037">
      <c r="A1037" s="1" t="n">
        <v>2025228</v>
      </c>
      <c r="B1037" s="3" t="inlineStr">
        <is>
          <t>164</t>
        </is>
      </c>
      <c r="C1037" s="2">
        <f>IF(B1037="","",LEFT(TEXT(B1037,"000"),1)*1)</f>
        <v/>
      </c>
      <c r="D1037" s="2">
        <f>IF(B1037="","",MID(TEXT(B1037,"000"),2,1)*1)</f>
        <v/>
      </c>
      <c r="E1037" s="2">
        <f>IF(B1037="","",RIGHT(TEXT(B1037,"000"),1)*1)</f>
        <v/>
      </c>
      <c r="F1037" s="2">
        <f>IF(B1037="","",C1037+D1037+E1037)</f>
        <v/>
      </c>
      <c r="G1037" s="2">
        <f>IF(B1037="","",MOD(F1037,10))</f>
        <v/>
      </c>
      <c r="H1037" s="2">
        <f>IF(B1037="","",MAX(C1037,D1037,E1037)-MIN(C1037,D1037,E1037))</f>
        <v/>
      </c>
      <c r="I1037" s="2">
        <f>IF(OR(B1037="",H1037=0),IF(H1037=0,0.1,""),ROUND(F1037/H1037,2))</f>
        <v/>
      </c>
      <c r="J1037" s="2">
        <f>IF(I1037=0.1,"极紧凑",IF(I1037&gt;3.5,"紧凑",IF(AND(I1037&gt;=2,I1037&lt;=3.5),"标准",IF(AND(I1037&gt;=1,I1037&lt;2),"松散",""))))</f>
        <v/>
      </c>
      <c r="K1037" s="2">
        <f>IF(I1037=0.1,"极紧凑-豹子号",IF(AND(I1037&gt;=1,I1037&lt;=1.29),"松散-极松散",IF(AND(I1037&gt;=1.33,I1037&lt;=1.8),"松散-标准松散",IF(AND(I1037&gt;=1.83,I1037&lt;=1.89),"松散-偏紧松散",IF(AND(I1037&gt;=2,I1037&lt;=2.5),"标准-偏松标准",IF(AND(I1037&gt;=2.57,I1037&lt;=3),"标准-核心标准",IF(AND(I1037&gt;=3.17,I1037&lt;=3.5),"标准-偏紧标准",IF(AND(I1037&gt;=3.6,I1037&lt;=5),"紧凑-标准紧凑",IF(AND(I1037&gt;=5.25,I1037&lt;=8),"紧凑-高度紧凑",IF(I1037&gt;=8.5,"紧凑-极度紧凑",""))))))))))</f>
        <v/>
      </c>
      <c r="L1037" s="2">
        <f>IF(I1037=0.1,"极紧凑",IF(AND(I1037&gt;=1,I1037&lt;=1.89),"松散",IF(AND(I1037&gt;=2,I1037&lt;=3.5),"标准",IF(I1037&gt;=3.6,"紧凑",""))))</f>
        <v/>
      </c>
      <c r="M1037" s="2" t="inlineStr">
        <is>
          <t>极紧凑-豹子号</t>
        </is>
      </c>
      <c r="N1037" s="2" t="inlineStr">
        <is>
          <t>松散-极松散</t>
        </is>
      </c>
      <c r="O1037" s="2" t="inlineStr">
        <is>
          <t>松散-标准松散</t>
        </is>
      </c>
      <c r="P1037" s="2" t="inlineStr">
        <is>
          <t>松散-偏紧松散</t>
        </is>
      </c>
      <c r="Q1037" s="2" t="inlineStr">
        <is>
          <t>标准-偏松标准</t>
        </is>
      </c>
      <c r="R1037" s="2" t="inlineStr">
        <is>
          <t>标准-核心标准</t>
        </is>
      </c>
      <c r="S1037" s="2" t="inlineStr">
        <is>
          <t>标准-偏紧标准</t>
        </is>
      </c>
      <c r="T1037" s="2" t="inlineStr">
        <is>
          <t>紧凑-标准紧凑</t>
        </is>
      </c>
      <c r="U1037" s="2" t="inlineStr">
        <is>
          <t>紧凑-高度紧凑</t>
        </is>
      </c>
      <c r="V1037" s="2" t="inlineStr">
        <is>
          <t>紧凑-极度紧凑</t>
        </is>
      </c>
    </row>
    <row r="1038">
      <c r="A1038" s="1" t="n">
        <v>2025229</v>
      </c>
      <c r="B1038" s="3" t="inlineStr">
        <is>
          <t>123</t>
        </is>
      </c>
      <c r="C1038" s="2">
        <f>IF(B1038="","",LEFT(TEXT(B1038,"000"),1)*1)</f>
        <v/>
      </c>
      <c r="D1038" s="2">
        <f>IF(B1038="","",MID(TEXT(B1038,"000"),2,1)*1)</f>
        <v/>
      </c>
      <c r="E1038" s="2">
        <f>IF(B1038="","",RIGHT(TEXT(B1038,"000"),1)*1)</f>
        <v/>
      </c>
      <c r="F1038" s="2">
        <f>IF(B1038="","",C1038+D1038+E1038)</f>
        <v/>
      </c>
      <c r="G1038" s="2">
        <f>IF(B1038="","",MOD(F1038,10))</f>
        <v/>
      </c>
      <c r="H1038" s="2">
        <f>IF(B1038="","",MAX(C1038,D1038,E1038)-MIN(C1038,D1038,E1038))</f>
        <v/>
      </c>
      <c r="I1038" s="2">
        <f>IF(OR(B1038="",H1038=0),IF(H1038=0,0.1,""),ROUND(F1038/H1038,2))</f>
        <v/>
      </c>
      <c r="J1038" s="2">
        <f>IF(I1038=0.1,"极紧凑",IF(I1038&gt;3.5,"紧凑",IF(AND(I1038&gt;=2,I1038&lt;=3.5),"标准",IF(AND(I1038&gt;=1,I1038&lt;2),"松散",""))))</f>
        <v/>
      </c>
      <c r="K1038" s="2">
        <f>IF(I1038=0.1,"极紧凑-豹子号",IF(AND(I1038&gt;=1,I1038&lt;=1.29),"松散-极松散",IF(AND(I1038&gt;=1.33,I1038&lt;=1.8),"松散-标准松散",IF(AND(I1038&gt;=1.83,I1038&lt;=1.89),"松散-偏紧松散",IF(AND(I1038&gt;=2,I1038&lt;=2.5),"标准-偏松标准",IF(AND(I1038&gt;=2.57,I1038&lt;=3),"标准-核心标准",IF(AND(I1038&gt;=3.17,I1038&lt;=3.5),"标准-偏紧标准",IF(AND(I1038&gt;=3.6,I1038&lt;=5),"紧凑-标准紧凑",IF(AND(I1038&gt;=5.25,I1038&lt;=8),"紧凑-高度紧凑",IF(I1038&gt;=8.5,"紧凑-极度紧凑",""))))))))))</f>
        <v/>
      </c>
      <c r="L1038" s="2">
        <f>IF(I1038=0.1,"极紧凑",IF(AND(I1038&gt;=1,I1038&lt;=1.89),"松散",IF(AND(I1038&gt;=2,I1038&lt;=3.5),"标准",IF(I1038&gt;=3.6,"紧凑",""))))</f>
        <v/>
      </c>
      <c r="M1038" s="2" t="inlineStr">
        <is>
          <t>极紧凑-豹子号</t>
        </is>
      </c>
      <c r="N1038" s="2" t="inlineStr">
        <is>
          <t>松散-极松散</t>
        </is>
      </c>
      <c r="O1038" s="2" t="inlineStr">
        <is>
          <t>松散-标准松散</t>
        </is>
      </c>
      <c r="P1038" s="2" t="inlineStr">
        <is>
          <t>松散-偏紧松散</t>
        </is>
      </c>
      <c r="Q1038" s="2" t="inlineStr">
        <is>
          <t>标准-偏松标准</t>
        </is>
      </c>
      <c r="R1038" s="2" t="inlineStr">
        <is>
          <t>标准-核心标准</t>
        </is>
      </c>
      <c r="S1038" s="2" t="inlineStr">
        <is>
          <t>标准-偏紧标准</t>
        </is>
      </c>
      <c r="T1038" s="2" t="inlineStr">
        <is>
          <t>紧凑-标准紧凑</t>
        </is>
      </c>
      <c r="U1038" s="2" t="inlineStr">
        <is>
          <t>紧凑-高度紧凑</t>
        </is>
      </c>
      <c r="V1038" s="2" t="inlineStr">
        <is>
          <t>紧凑-极度紧凑</t>
        </is>
      </c>
    </row>
    <row r="1039">
      <c r="A1039" s="1" t="n">
        <v>2025230</v>
      </c>
      <c r="B1039" s="3" t="inlineStr">
        <is>
          <t>178</t>
        </is>
      </c>
      <c r="C1039" s="2">
        <f>IF(B1039="","",LEFT(TEXT(B1039,"000"),1)*1)</f>
        <v/>
      </c>
      <c r="D1039" s="2">
        <f>IF(B1039="","",MID(TEXT(B1039,"000"),2,1)*1)</f>
        <v/>
      </c>
      <c r="E1039" s="2">
        <f>IF(B1039="","",RIGHT(TEXT(B1039,"000"),1)*1)</f>
        <v/>
      </c>
      <c r="F1039" s="2">
        <f>IF(B1039="","",C1039+D1039+E1039)</f>
        <v/>
      </c>
      <c r="G1039" s="2">
        <f>IF(B1039="","",MOD(F1039,10))</f>
        <v/>
      </c>
      <c r="H1039" s="2">
        <f>IF(B1039="","",MAX(C1039,D1039,E1039)-MIN(C1039,D1039,E1039))</f>
        <v/>
      </c>
      <c r="I1039" s="2">
        <f>IF(OR(B1039="",H1039=0),IF(H1039=0,0.1,""),ROUND(F1039/H1039,2))</f>
        <v/>
      </c>
      <c r="J1039" s="2">
        <f>IF(I1039=0.1,"极紧凑",IF(I1039&gt;3.5,"紧凑",IF(AND(I1039&gt;=2,I1039&lt;=3.5),"标准",IF(AND(I1039&gt;=1,I1039&lt;2),"松散",""))))</f>
        <v/>
      </c>
      <c r="K1039" s="2">
        <f>IF(I1039=0.1,"极紧凑-豹子号",IF(AND(I1039&gt;=1,I1039&lt;=1.29),"松散-极松散",IF(AND(I1039&gt;=1.33,I1039&lt;=1.8),"松散-标准松散",IF(AND(I1039&gt;=1.83,I1039&lt;=1.89),"松散-偏紧松散",IF(AND(I1039&gt;=2,I1039&lt;=2.5),"标准-偏松标准",IF(AND(I1039&gt;=2.57,I1039&lt;=3),"标准-核心标准",IF(AND(I1039&gt;=3.17,I1039&lt;=3.5),"标准-偏紧标准",IF(AND(I1039&gt;=3.6,I1039&lt;=5),"紧凑-标准紧凑",IF(AND(I1039&gt;=5.25,I1039&lt;=8),"紧凑-高度紧凑",IF(I1039&gt;=8.5,"紧凑-极度紧凑",""))))))))))</f>
        <v/>
      </c>
      <c r="L1039" s="2">
        <f>IF(I1039=0.1,"极紧凑",IF(AND(I1039&gt;=1,I1039&lt;=1.89),"松散",IF(AND(I1039&gt;=2,I1039&lt;=3.5),"标准",IF(I1039&gt;=3.6,"紧凑",""))))</f>
        <v/>
      </c>
      <c r="M1039" s="2" t="inlineStr">
        <is>
          <t>极紧凑-豹子号</t>
        </is>
      </c>
      <c r="N1039" s="2" t="inlineStr">
        <is>
          <t>松散-极松散</t>
        </is>
      </c>
      <c r="O1039" s="2" t="inlineStr">
        <is>
          <t>松散-标准松散</t>
        </is>
      </c>
      <c r="P1039" s="2" t="inlineStr">
        <is>
          <t>松散-偏紧松散</t>
        </is>
      </c>
      <c r="Q1039" s="2" t="inlineStr">
        <is>
          <t>标准-偏松标准</t>
        </is>
      </c>
      <c r="R1039" s="2" t="inlineStr">
        <is>
          <t>标准-核心标准</t>
        </is>
      </c>
      <c r="S1039" s="2" t="inlineStr">
        <is>
          <t>标准-偏紧标准</t>
        </is>
      </c>
      <c r="T1039" s="2" t="inlineStr">
        <is>
          <t>紧凑-标准紧凑</t>
        </is>
      </c>
      <c r="U1039" s="2" t="inlineStr">
        <is>
          <t>紧凑-高度紧凑</t>
        </is>
      </c>
      <c r="V1039" s="2" t="inlineStr">
        <is>
          <t>紧凑-极度紧凑</t>
        </is>
      </c>
    </row>
    <row r="1040">
      <c r="A1040" s="1" t="n">
        <v>2025231</v>
      </c>
      <c r="B1040" s="3" t="inlineStr">
        <is>
          <t>258</t>
        </is>
      </c>
      <c r="C1040" s="2">
        <f>IF(B1040="","",LEFT(TEXT(B1040,"000"),1)*1)</f>
        <v/>
      </c>
      <c r="D1040" s="2">
        <f>IF(B1040="","",MID(TEXT(B1040,"000"),2,1)*1)</f>
        <v/>
      </c>
      <c r="E1040" s="2">
        <f>IF(B1040="","",RIGHT(TEXT(B1040,"000"),1)*1)</f>
        <v/>
      </c>
      <c r="F1040" s="2">
        <f>IF(B1040="","",C1040+D1040+E1040)</f>
        <v/>
      </c>
      <c r="G1040" s="2">
        <f>IF(B1040="","",MOD(F1040,10))</f>
        <v/>
      </c>
      <c r="H1040" s="2">
        <f>IF(B1040="","",MAX(C1040,D1040,E1040)-MIN(C1040,D1040,E1040))</f>
        <v/>
      </c>
      <c r="I1040" s="2">
        <f>IF(OR(B1040="",H1040=0),IF(H1040=0,0.1,""),ROUND(F1040/H1040,2))</f>
        <v/>
      </c>
      <c r="J1040" s="2">
        <f>IF(I1040=0.1,"极紧凑",IF(I1040&gt;3.5,"紧凑",IF(AND(I1040&gt;=2,I1040&lt;=3.5),"标准",IF(AND(I1040&gt;=1,I1040&lt;2),"松散",""))))</f>
        <v/>
      </c>
      <c r="K1040" s="2">
        <f>IF(I1040=0.1,"极紧凑-豹子号",IF(AND(I1040&gt;=1,I1040&lt;=1.29),"松散-极松散",IF(AND(I1040&gt;=1.33,I1040&lt;=1.8),"松散-标准松散",IF(AND(I1040&gt;=1.83,I1040&lt;=1.89),"松散-偏紧松散",IF(AND(I1040&gt;=2,I1040&lt;=2.5),"标准-偏松标准",IF(AND(I1040&gt;=2.57,I1040&lt;=3),"标准-核心标准",IF(AND(I1040&gt;=3.17,I1040&lt;=3.5),"标准-偏紧标准",IF(AND(I1040&gt;=3.6,I1040&lt;=5),"紧凑-标准紧凑",IF(AND(I1040&gt;=5.25,I1040&lt;=8),"紧凑-高度紧凑",IF(I1040&gt;=8.5,"紧凑-极度紧凑",""))))))))))</f>
        <v/>
      </c>
      <c r="L1040" s="2">
        <f>IF(I1040=0.1,"极紧凑",IF(AND(I1040&gt;=1,I1040&lt;=1.89),"松散",IF(AND(I1040&gt;=2,I1040&lt;=3.5),"标准",IF(I1040&gt;=3.6,"紧凑",""))))</f>
        <v/>
      </c>
      <c r="M1040" s="2" t="inlineStr">
        <is>
          <t>极紧凑-豹子号</t>
        </is>
      </c>
      <c r="N1040" s="2" t="inlineStr">
        <is>
          <t>松散-极松散</t>
        </is>
      </c>
      <c r="O1040" s="2" t="inlineStr">
        <is>
          <t>松散-标准松散</t>
        </is>
      </c>
      <c r="P1040" s="2" t="inlineStr">
        <is>
          <t>松散-偏紧松散</t>
        </is>
      </c>
      <c r="Q1040" s="2" t="inlineStr">
        <is>
          <t>标准-偏松标准</t>
        </is>
      </c>
      <c r="R1040" s="2" t="inlineStr">
        <is>
          <t>标准-核心标准</t>
        </is>
      </c>
      <c r="S1040" s="2" t="inlineStr">
        <is>
          <t>标准-偏紧标准</t>
        </is>
      </c>
      <c r="T1040" s="2" t="inlineStr">
        <is>
          <t>紧凑-标准紧凑</t>
        </is>
      </c>
      <c r="U1040" s="2" t="inlineStr">
        <is>
          <t>紧凑-高度紧凑</t>
        </is>
      </c>
      <c r="V1040" s="2" t="inlineStr">
        <is>
          <t>紧凑-极度紧凑</t>
        </is>
      </c>
    </row>
    <row r="1041">
      <c r="A1041" s="1" t="n">
        <v>2025232</v>
      </c>
      <c r="B1041" s="3" t="inlineStr">
        <is>
          <t>397</t>
        </is>
      </c>
      <c r="C1041" s="2">
        <f>IF(B1041="","",LEFT(TEXT(B1041,"000"),1)*1)</f>
        <v/>
      </c>
      <c r="D1041" s="2">
        <f>IF(B1041="","",MID(TEXT(B1041,"000"),2,1)*1)</f>
        <v/>
      </c>
      <c r="E1041" s="2">
        <f>IF(B1041="","",RIGHT(TEXT(B1041,"000"),1)*1)</f>
        <v/>
      </c>
      <c r="F1041" s="2">
        <f>IF(B1041="","",C1041+D1041+E1041)</f>
        <v/>
      </c>
      <c r="G1041" s="2">
        <f>IF(B1041="","",MOD(F1041,10))</f>
        <v/>
      </c>
      <c r="H1041" s="2">
        <f>IF(B1041="","",MAX(C1041,D1041,E1041)-MIN(C1041,D1041,E1041))</f>
        <v/>
      </c>
      <c r="I1041" s="2">
        <f>IF(OR(B1041="",H1041=0),IF(H1041=0,0.1,""),ROUND(F1041/H1041,2))</f>
        <v/>
      </c>
      <c r="J1041" s="2">
        <f>IF(I1041=0.1,"极紧凑",IF(I1041&gt;3.5,"紧凑",IF(AND(I1041&gt;=2,I1041&lt;=3.5),"标准",IF(AND(I1041&gt;=1,I1041&lt;2),"松散",""))))</f>
        <v/>
      </c>
      <c r="K1041" s="2">
        <f>IF(I1041=0.1,"极紧凑-豹子号",IF(AND(I1041&gt;=1,I1041&lt;=1.29),"松散-极松散",IF(AND(I1041&gt;=1.33,I1041&lt;=1.8),"松散-标准松散",IF(AND(I1041&gt;=1.83,I1041&lt;=1.89),"松散-偏紧松散",IF(AND(I1041&gt;=2,I1041&lt;=2.5),"标准-偏松标准",IF(AND(I1041&gt;=2.57,I1041&lt;=3),"标准-核心标准",IF(AND(I1041&gt;=3.17,I1041&lt;=3.5),"标准-偏紧标准",IF(AND(I1041&gt;=3.6,I1041&lt;=5),"紧凑-标准紧凑",IF(AND(I1041&gt;=5.25,I1041&lt;=8),"紧凑-高度紧凑",IF(I1041&gt;=8.5,"紧凑-极度紧凑",""))))))))))</f>
        <v/>
      </c>
      <c r="L1041" s="2">
        <f>IF(I1041=0.1,"极紧凑",IF(AND(I1041&gt;=1,I1041&lt;=1.89),"松散",IF(AND(I1041&gt;=2,I1041&lt;=3.5),"标准",IF(I1041&gt;=3.6,"紧凑",""))))</f>
        <v/>
      </c>
      <c r="M1041" s="2" t="inlineStr">
        <is>
          <t>极紧凑-豹子号</t>
        </is>
      </c>
      <c r="N1041" s="2" t="inlineStr">
        <is>
          <t>松散-极松散</t>
        </is>
      </c>
      <c r="O1041" s="2" t="inlineStr">
        <is>
          <t>松散-标准松散</t>
        </is>
      </c>
      <c r="P1041" s="2" t="inlineStr">
        <is>
          <t>松散-偏紧松散</t>
        </is>
      </c>
      <c r="Q1041" s="2" t="inlineStr">
        <is>
          <t>标准-偏松标准</t>
        </is>
      </c>
      <c r="R1041" s="2" t="inlineStr">
        <is>
          <t>标准-核心标准</t>
        </is>
      </c>
      <c r="S1041" s="2" t="inlineStr">
        <is>
          <t>标准-偏紧标准</t>
        </is>
      </c>
      <c r="T1041" s="2" t="inlineStr">
        <is>
          <t>紧凑-标准紧凑</t>
        </is>
      </c>
      <c r="U1041" s="2" t="inlineStr">
        <is>
          <t>紧凑-高度紧凑</t>
        </is>
      </c>
      <c r="V1041" s="2" t="inlineStr">
        <is>
          <t>紧凑-极度紧凑</t>
        </is>
      </c>
    </row>
    <row r="1042">
      <c r="A1042" s="1" t="n">
        <v>2025233</v>
      </c>
      <c r="B1042" s="3" t="inlineStr">
        <is>
          <t>143</t>
        </is>
      </c>
      <c r="C1042" s="2">
        <f>IF(B1042="","",LEFT(TEXT(B1042,"000"),1)*1)</f>
        <v/>
      </c>
      <c r="D1042" s="2">
        <f>IF(B1042="","",MID(TEXT(B1042,"000"),2,1)*1)</f>
        <v/>
      </c>
      <c r="E1042" s="2">
        <f>IF(B1042="","",RIGHT(TEXT(B1042,"000"),1)*1)</f>
        <v/>
      </c>
      <c r="F1042" s="2">
        <f>IF(B1042="","",C1042+D1042+E1042)</f>
        <v/>
      </c>
      <c r="G1042" s="2">
        <f>IF(B1042="","",MOD(F1042,10))</f>
        <v/>
      </c>
      <c r="H1042" s="2">
        <f>IF(B1042="","",MAX(C1042,D1042,E1042)-MIN(C1042,D1042,E1042))</f>
        <v/>
      </c>
      <c r="I1042" s="2">
        <f>IF(OR(B1042="",H1042=0),IF(H1042=0,0.1,""),ROUND(F1042/H1042,2))</f>
        <v/>
      </c>
      <c r="J1042" s="2">
        <f>IF(I1042=0.1,"极紧凑",IF(I1042&gt;3.5,"紧凑",IF(AND(I1042&gt;=2,I1042&lt;=3.5),"标准",IF(AND(I1042&gt;=1,I1042&lt;2),"松散",""))))</f>
        <v/>
      </c>
      <c r="K1042" s="2">
        <f>IF(I1042=0.1,"极紧凑-豹子号",IF(AND(I1042&gt;=1,I1042&lt;=1.29),"松散-极松散",IF(AND(I1042&gt;=1.33,I1042&lt;=1.8),"松散-标准松散",IF(AND(I1042&gt;=1.83,I1042&lt;=1.89),"松散-偏紧松散",IF(AND(I1042&gt;=2,I1042&lt;=2.5),"标准-偏松标准",IF(AND(I1042&gt;=2.57,I1042&lt;=3),"标准-核心标准",IF(AND(I1042&gt;=3.17,I1042&lt;=3.5),"标准-偏紧标准",IF(AND(I1042&gt;=3.6,I1042&lt;=5),"紧凑-标准紧凑",IF(AND(I1042&gt;=5.25,I1042&lt;=8),"紧凑-高度紧凑",IF(I1042&gt;=8.5,"紧凑-极度紧凑",""))))))))))</f>
        <v/>
      </c>
      <c r="L1042" s="2">
        <f>IF(I1042=0.1,"极紧凑",IF(AND(I1042&gt;=1,I1042&lt;=1.89),"松散",IF(AND(I1042&gt;=2,I1042&lt;=3.5),"标准",IF(I1042&gt;=3.6,"紧凑",""))))</f>
        <v/>
      </c>
      <c r="M1042" s="2" t="inlineStr">
        <is>
          <t>极紧凑-豹子号</t>
        </is>
      </c>
      <c r="N1042" s="2" t="inlineStr">
        <is>
          <t>松散-极松散</t>
        </is>
      </c>
      <c r="O1042" s="2" t="inlineStr">
        <is>
          <t>松散-标准松散</t>
        </is>
      </c>
      <c r="P1042" s="2" t="inlineStr">
        <is>
          <t>松散-偏紧松散</t>
        </is>
      </c>
      <c r="Q1042" s="2" t="inlineStr">
        <is>
          <t>标准-偏松标准</t>
        </is>
      </c>
      <c r="R1042" s="2" t="inlineStr">
        <is>
          <t>标准-核心标准</t>
        </is>
      </c>
      <c r="S1042" s="2" t="inlineStr">
        <is>
          <t>标准-偏紧标准</t>
        </is>
      </c>
      <c r="T1042" s="2" t="inlineStr">
        <is>
          <t>紧凑-标准紧凑</t>
        </is>
      </c>
      <c r="U1042" s="2" t="inlineStr">
        <is>
          <t>紧凑-高度紧凑</t>
        </is>
      </c>
      <c r="V1042" s="2" t="inlineStr">
        <is>
          <t>紧凑-极度紧凑</t>
        </is>
      </c>
    </row>
    <row r="1043">
      <c r="A1043" s="1" t="n">
        <v>2025234</v>
      </c>
      <c r="B1043" s="3" t="inlineStr">
        <is>
          <t>282</t>
        </is>
      </c>
      <c r="C1043" s="2">
        <f>IF(B1043="","",LEFT(TEXT(B1043,"000"),1)*1)</f>
        <v/>
      </c>
      <c r="D1043" s="2">
        <f>IF(B1043="","",MID(TEXT(B1043,"000"),2,1)*1)</f>
        <v/>
      </c>
      <c r="E1043" s="2">
        <f>IF(B1043="","",RIGHT(TEXT(B1043,"000"),1)*1)</f>
        <v/>
      </c>
      <c r="F1043" s="2">
        <f>IF(B1043="","",C1043+D1043+E1043)</f>
        <v/>
      </c>
      <c r="G1043" s="2">
        <f>IF(B1043="","",MOD(F1043,10))</f>
        <v/>
      </c>
      <c r="H1043" s="2">
        <f>IF(B1043="","",MAX(C1043,D1043,E1043)-MIN(C1043,D1043,E1043))</f>
        <v/>
      </c>
      <c r="I1043" s="2">
        <f>IF(OR(B1043="",H1043=0),IF(H1043=0,0.1,""),ROUND(F1043/H1043,2))</f>
        <v/>
      </c>
      <c r="J1043" s="2">
        <f>IF(I1043=0.1,"极紧凑",IF(I1043&gt;3.5,"紧凑",IF(AND(I1043&gt;=2,I1043&lt;=3.5),"标准",IF(AND(I1043&gt;=1,I1043&lt;2),"松散",""))))</f>
        <v/>
      </c>
      <c r="K1043" s="2">
        <f>IF(I1043=0.1,"极紧凑-豹子号",IF(AND(I1043&gt;=1,I1043&lt;=1.29),"松散-极松散",IF(AND(I1043&gt;=1.33,I1043&lt;=1.8),"松散-标准松散",IF(AND(I1043&gt;=1.83,I1043&lt;=1.89),"松散-偏紧松散",IF(AND(I1043&gt;=2,I1043&lt;=2.5),"标准-偏松标准",IF(AND(I1043&gt;=2.57,I1043&lt;=3),"标准-核心标准",IF(AND(I1043&gt;=3.17,I1043&lt;=3.5),"标准-偏紧标准",IF(AND(I1043&gt;=3.6,I1043&lt;=5),"紧凑-标准紧凑",IF(AND(I1043&gt;=5.25,I1043&lt;=8),"紧凑-高度紧凑",IF(I1043&gt;=8.5,"紧凑-极度紧凑",""))))))))))</f>
        <v/>
      </c>
      <c r="L1043" s="2">
        <f>IF(I1043=0.1,"极紧凑",IF(AND(I1043&gt;=1,I1043&lt;=1.89),"松散",IF(AND(I1043&gt;=2,I1043&lt;=3.5),"标准",IF(I1043&gt;=3.6,"紧凑",""))))</f>
        <v/>
      </c>
      <c r="M1043" s="2" t="inlineStr">
        <is>
          <t>极紧凑-豹子号</t>
        </is>
      </c>
      <c r="N1043" s="2" t="inlineStr">
        <is>
          <t>松散-极松散</t>
        </is>
      </c>
      <c r="O1043" s="2" t="inlineStr">
        <is>
          <t>松散-标准松散</t>
        </is>
      </c>
      <c r="P1043" s="2" t="inlineStr">
        <is>
          <t>松散-偏紧松散</t>
        </is>
      </c>
      <c r="Q1043" s="2" t="inlineStr">
        <is>
          <t>标准-偏松标准</t>
        </is>
      </c>
      <c r="R1043" s="2" t="inlineStr">
        <is>
          <t>标准-核心标准</t>
        </is>
      </c>
      <c r="S1043" s="2" t="inlineStr">
        <is>
          <t>标准-偏紧标准</t>
        </is>
      </c>
      <c r="T1043" s="2" t="inlineStr">
        <is>
          <t>紧凑-标准紧凑</t>
        </is>
      </c>
      <c r="U1043" s="2" t="inlineStr">
        <is>
          <t>紧凑-高度紧凑</t>
        </is>
      </c>
      <c r="V1043" s="2" t="inlineStr">
        <is>
          <t>紧凑-极度紧凑</t>
        </is>
      </c>
    </row>
    <row r="1044">
      <c r="A1044" s="1" t="n">
        <v>2025235</v>
      </c>
      <c r="B1044" s="3" t="inlineStr">
        <is>
          <t>321</t>
        </is>
      </c>
      <c r="C1044" s="2">
        <f>IF(B1044="","",LEFT(TEXT(B1044,"000"),1)*1)</f>
        <v/>
      </c>
      <c r="D1044" s="2">
        <f>IF(B1044="","",MID(TEXT(B1044,"000"),2,1)*1)</f>
        <v/>
      </c>
      <c r="E1044" s="2">
        <f>IF(B1044="","",RIGHT(TEXT(B1044,"000"),1)*1)</f>
        <v/>
      </c>
      <c r="F1044" s="2">
        <f>IF(B1044="","",C1044+D1044+E1044)</f>
        <v/>
      </c>
      <c r="G1044" s="2">
        <f>IF(B1044="","",MOD(F1044,10))</f>
        <v/>
      </c>
      <c r="H1044" s="2">
        <f>IF(B1044="","",MAX(C1044,D1044,E1044)-MIN(C1044,D1044,E1044))</f>
        <v/>
      </c>
      <c r="I1044" s="2">
        <f>IF(OR(B1044="",H1044=0),IF(H1044=0,0.1,""),ROUND(F1044/H1044,2))</f>
        <v/>
      </c>
      <c r="J1044" s="2">
        <f>IF(I1044=0.1,"极紧凑",IF(I1044&gt;3.5,"紧凑",IF(AND(I1044&gt;=2,I1044&lt;=3.5),"标准",IF(AND(I1044&gt;=1,I1044&lt;2),"松散",""))))</f>
        <v/>
      </c>
      <c r="K1044" s="2">
        <f>IF(I1044=0.1,"极紧凑-豹子号",IF(AND(I1044&gt;=1,I1044&lt;=1.29),"松散-极松散",IF(AND(I1044&gt;=1.33,I1044&lt;=1.8),"松散-标准松散",IF(AND(I1044&gt;=1.83,I1044&lt;=1.89),"松散-偏紧松散",IF(AND(I1044&gt;=2,I1044&lt;=2.5),"标准-偏松标准",IF(AND(I1044&gt;=2.57,I1044&lt;=3),"标准-核心标准",IF(AND(I1044&gt;=3.17,I1044&lt;=3.5),"标准-偏紧标准",IF(AND(I1044&gt;=3.6,I1044&lt;=5),"紧凑-标准紧凑",IF(AND(I1044&gt;=5.25,I1044&lt;=8),"紧凑-高度紧凑",IF(I1044&gt;=8.5,"紧凑-极度紧凑",""))))))))))</f>
        <v/>
      </c>
      <c r="L1044" s="2">
        <f>IF(I1044=0.1,"极紧凑",IF(AND(I1044&gt;=1,I1044&lt;=1.89),"松散",IF(AND(I1044&gt;=2,I1044&lt;=3.5),"标准",IF(I1044&gt;=3.6,"紧凑",""))))</f>
        <v/>
      </c>
      <c r="M1044" s="2" t="inlineStr">
        <is>
          <t>极紧凑-豹子号</t>
        </is>
      </c>
      <c r="N1044" s="2" t="inlineStr">
        <is>
          <t>松散-极松散</t>
        </is>
      </c>
      <c r="O1044" s="2" t="inlineStr">
        <is>
          <t>松散-标准松散</t>
        </is>
      </c>
      <c r="P1044" s="2" t="inlineStr">
        <is>
          <t>松散-偏紧松散</t>
        </is>
      </c>
      <c r="Q1044" s="2" t="inlineStr">
        <is>
          <t>标准-偏松标准</t>
        </is>
      </c>
      <c r="R1044" s="2" t="inlineStr">
        <is>
          <t>标准-核心标准</t>
        </is>
      </c>
      <c r="S1044" s="2" t="inlineStr">
        <is>
          <t>标准-偏紧标准</t>
        </is>
      </c>
      <c r="T1044" s="2" t="inlineStr">
        <is>
          <t>紧凑-标准紧凑</t>
        </is>
      </c>
      <c r="U1044" s="2" t="inlineStr">
        <is>
          <t>紧凑-高度紧凑</t>
        </is>
      </c>
      <c r="V1044" s="2" t="inlineStr">
        <is>
          <t>紧凑-极度紧凑</t>
        </is>
      </c>
    </row>
    <row r="1045">
      <c r="A1045" s="1" t="n">
        <v>2025236</v>
      </c>
      <c r="B1045" s="3" t="inlineStr">
        <is>
          <t>151</t>
        </is>
      </c>
      <c r="C1045" s="2">
        <f>IF(B1045="","",LEFT(TEXT(B1045,"000"),1)*1)</f>
        <v/>
      </c>
      <c r="D1045" s="2">
        <f>IF(B1045="","",MID(TEXT(B1045,"000"),2,1)*1)</f>
        <v/>
      </c>
      <c r="E1045" s="2">
        <f>IF(B1045="","",RIGHT(TEXT(B1045,"000"),1)*1)</f>
        <v/>
      </c>
      <c r="F1045" s="2">
        <f>IF(B1045="","",C1045+D1045+E1045)</f>
        <v/>
      </c>
      <c r="G1045" s="2">
        <f>IF(B1045="","",MOD(F1045,10))</f>
        <v/>
      </c>
      <c r="H1045" s="2">
        <f>IF(B1045="","",MAX(C1045,D1045,E1045)-MIN(C1045,D1045,E1045))</f>
        <v/>
      </c>
      <c r="I1045" s="2">
        <f>IF(OR(B1045="",H1045=0),IF(H1045=0,0.1,""),ROUND(F1045/H1045,2))</f>
        <v/>
      </c>
      <c r="J1045" s="2">
        <f>IF(I1045=0.1,"极紧凑",IF(I1045&gt;3.5,"紧凑",IF(AND(I1045&gt;=2,I1045&lt;=3.5),"标准",IF(AND(I1045&gt;=1,I1045&lt;2),"松散",""))))</f>
        <v/>
      </c>
      <c r="K1045" s="2">
        <f>IF(I1045=0.1,"极紧凑-豹子号",IF(AND(I1045&gt;=1,I1045&lt;=1.29),"松散-极松散",IF(AND(I1045&gt;=1.33,I1045&lt;=1.8),"松散-标准松散",IF(AND(I1045&gt;=1.83,I1045&lt;=1.89),"松散-偏紧松散",IF(AND(I1045&gt;=2,I1045&lt;=2.5),"标准-偏松标准",IF(AND(I1045&gt;=2.57,I1045&lt;=3),"标准-核心标准",IF(AND(I1045&gt;=3.17,I1045&lt;=3.5),"标准-偏紧标准",IF(AND(I1045&gt;=3.6,I1045&lt;=5),"紧凑-标准紧凑",IF(AND(I1045&gt;=5.25,I1045&lt;=8),"紧凑-高度紧凑",IF(I1045&gt;=8.5,"紧凑-极度紧凑",""))))))))))</f>
        <v/>
      </c>
      <c r="L1045" s="2">
        <f>IF(I1045=0.1,"极紧凑",IF(AND(I1045&gt;=1,I1045&lt;=1.89),"松散",IF(AND(I1045&gt;=2,I1045&lt;=3.5),"标准",IF(I1045&gt;=3.6,"紧凑",""))))</f>
        <v/>
      </c>
      <c r="M1045" s="2" t="inlineStr">
        <is>
          <t>极紧凑-豹子号</t>
        </is>
      </c>
      <c r="N1045" s="2" t="inlineStr">
        <is>
          <t>松散-极松散</t>
        </is>
      </c>
      <c r="O1045" s="2" t="inlineStr">
        <is>
          <t>松散-标准松散</t>
        </is>
      </c>
      <c r="P1045" s="2" t="inlineStr">
        <is>
          <t>松散-偏紧松散</t>
        </is>
      </c>
      <c r="Q1045" s="2" t="inlineStr">
        <is>
          <t>标准-偏松标准</t>
        </is>
      </c>
      <c r="R1045" s="2" t="inlineStr">
        <is>
          <t>标准-核心标准</t>
        </is>
      </c>
      <c r="S1045" s="2" t="inlineStr">
        <is>
          <t>标准-偏紧标准</t>
        </is>
      </c>
      <c r="T1045" s="2" t="inlineStr">
        <is>
          <t>紧凑-标准紧凑</t>
        </is>
      </c>
      <c r="U1045" s="2" t="inlineStr">
        <is>
          <t>紧凑-高度紧凑</t>
        </is>
      </c>
      <c r="V1045" s="2" t="inlineStr">
        <is>
          <t>紧凑-极度紧凑</t>
        </is>
      </c>
    </row>
    <row r="1046">
      <c r="A1046" s="1" t="n">
        <v>2025237</v>
      </c>
      <c r="B1046" s="3" t="inlineStr">
        <is>
          <t>713</t>
        </is>
      </c>
      <c r="C1046" s="2">
        <f>IF(B1046="","",LEFT(TEXT(B1046,"000"),1)*1)</f>
        <v/>
      </c>
      <c r="D1046" s="2">
        <f>IF(B1046="","",MID(TEXT(B1046,"000"),2,1)*1)</f>
        <v/>
      </c>
      <c r="E1046" s="2">
        <f>IF(B1046="","",RIGHT(TEXT(B1046,"000"),1)*1)</f>
        <v/>
      </c>
      <c r="F1046" s="2">
        <f>IF(B1046="","",C1046+D1046+E1046)</f>
        <v/>
      </c>
      <c r="G1046" s="2">
        <f>IF(B1046="","",MOD(F1046,10))</f>
        <v/>
      </c>
      <c r="H1046" s="2">
        <f>IF(B1046="","",MAX(C1046,D1046,E1046)-MIN(C1046,D1046,E1046))</f>
        <v/>
      </c>
      <c r="I1046" s="2">
        <f>IF(OR(B1046="",H1046=0),IF(H1046=0,0.1,""),ROUND(F1046/H1046,2))</f>
        <v/>
      </c>
      <c r="J1046" s="2">
        <f>IF(I1046=0.1,"极紧凑",IF(I1046&gt;3.5,"紧凑",IF(AND(I1046&gt;=2,I1046&lt;=3.5),"标准",IF(AND(I1046&gt;=1,I1046&lt;2),"松散",""))))</f>
        <v/>
      </c>
      <c r="K1046" s="2">
        <f>IF(I1046=0.1,"极紧凑-豹子号",IF(AND(I1046&gt;=1,I1046&lt;=1.29),"松散-极松散",IF(AND(I1046&gt;=1.33,I1046&lt;=1.8),"松散-标准松散",IF(AND(I1046&gt;=1.83,I1046&lt;=1.89),"松散-偏紧松散",IF(AND(I1046&gt;=2,I1046&lt;=2.5),"标准-偏松标准",IF(AND(I1046&gt;=2.57,I1046&lt;=3),"标准-核心标准",IF(AND(I1046&gt;=3.17,I1046&lt;=3.5),"标准-偏紧标准",IF(AND(I1046&gt;=3.6,I1046&lt;=5),"紧凑-标准紧凑",IF(AND(I1046&gt;=5.25,I1046&lt;=8),"紧凑-高度紧凑",IF(I1046&gt;=8.5,"紧凑-极度紧凑",""))))))))))</f>
        <v/>
      </c>
      <c r="L1046" s="2">
        <f>IF(I1046=0.1,"极紧凑",IF(AND(I1046&gt;=1,I1046&lt;=1.89),"松散",IF(AND(I1046&gt;=2,I1046&lt;=3.5),"标准",IF(I1046&gt;=3.6,"紧凑",""))))</f>
        <v/>
      </c>
      <c r="M1046" s="2" t="inlineStr">
        <is>
          <t>极紧凑-豹子号</t>
        </is>
      </c>
      <c r="N1046" s="2" t="inlineStr">
        <is>
          <t>松散-极松散</t>
        </is>
      </c>
      <c r="O1046" s="2" t="inlineStr">
        <is>
          <t>松散-标准松散</t>
        </is>
      </c>
      <c r="P1046" s="2" t="inlineStr">
        <is>
          <t>松散-偏紧松散</t>
        </is>
      </c>
      <c r="Q1046" s="2" t="inlineStr">
        <is>
          <t>标准-偏松标准</t>
        </is>
      </c>
      <c r="R1046" s="2" t="inlineStr">
        <is>
          <t>标准-核心标准</t>
        </is>
      </c>
      <c r="S1046" s="2" t="inlineStr">
        <is>
          <t>标准-偏紧标准</t>
        </is>
      </c>
      <c r="T1046" s="2" t="inlineStr">
        <is>
          <t>紧凑-标准紧凑</t>
        </is>
      </c>
      <c r="U1046" s="2" t="inlineStr">
        <is>
          <t>紧凑-高度紧凑</t>
        </is>
      </c>
      <c r="V1046" s="2" t="inlineStr">
        <is>
          <t>紧凑-极度紧凑</t>
        </is>
      </c>
    </row>
    <row r="1047">
      <c r="A1047" s="1" t="n">
        <v>2025238</v>
      </c>
      <c r="B1047" s="3" t="inlineStr">
        <is>
          <t>754</t>
        </is>
      </c>
      <c r="C1047" s="2">
        <f>IF(B1047="","",LEFT(TEXT(B1047,"000"),1)*1)</f>
        <v/>
      </c>
      <c r="D1047" s="2">
        <f>IF(B1047="","",MID(TEXT(B1047,"000"),2,1)*1)</f>
        <v/>
      </c>
      <c r="E1047" s="2">
        <f>IF(B1047="","",RIGHT(TEXT(B1047,"000"),1)*1)</f>
        <v/>
      </c>
      <c r="F1047" s="2">
        <f>IF(B1047="","",C1047+D1047+E1047)</f>
        <v/>
      </c>
      <c r="G1047" s="2">
        <f>IF(B1047="","",MOD(F1047,10))</f>
        <v/>
      </c>
      <c r="H1047" s="2">
        <f>IF(B1047="","",MAX(C1047,D1047,E1047)-MIN(C1047,D1047,E1047))</f>
        <v/>
      </c>
      <c r="I1047" s="2">
        <f>IF(OR(B1047="",H1047=0),IF(H1047=0,0.1,""),ROUND(F1047/H1047,2))</f>
        <v/>
      </c>
      <c r="J1047" s="2">
        <f>IF(I1047=0.1,"极紧凑",IF(I1047&gt;3.5,"紧凑",IF(AND(I1047&gt;=2,I1047&lt;=3.5),"标准",IF(AND(I1047&gt;=1,I1047&lt;2),"松散",""))))</f>
        <v/>
      </c>
      <c r="K1047" s="2">
        <f>IF(I1047=0.1,"极紧凑-豹子号",IF(AND(I1047&gt;=1,I1047&lt;=1.29),"松散-极松散",IF(AND(I1047&gt;=1.33,I1047&lt;=1.8),"松散-标准松散",IF(AND(I1047&gt;=1.83,I1047&lt;=1.89),"松散-偏紧松散",IF(AND(I1047&gt;=2,I1047&lt;=2.5),"标准-偏松标准",IF(AND(I1047&gt;=2.57,I1047&lt;=3),"标准-核心标准",IF(AND(I1047&gt;=3.17,I1047&lt;=3.5),"标准-偏紧标准",IF(AND(I1047&gt;=3.6,I1047&lt;=5),"紧凑-标准紧凑",IF(AND(I1047&gt;=5.25,I1047&lt;=8),"紧凑-高度紧凑",IF(I1047&gt;=8.5,"紧凑-极度紧凑",""))))))))))</f>
        <v/>
      </c>
      <c r="L1047" s="2">
        <f>IF(I1047=0.1,"极紧凑",IF(AND(I1047&gt;=1,I1047&lt;=1.89),"松散",IF(AND(I1047&gt;=2,I1047&lt;=3.5),"标准",IF(I1047&gt;=3.6,"紧凑",""))))</f>
        <v/>
      </c>
      <c r="M1047" s="2" t="inlineStr">
        <is>
          <t>极紧凑-豹子号</t>
        </is>
      </c>
      <c r="N1047" s="2" t="inlineStr">
        <is>
          <t>松散-极松散</t>
        </is>
      </c>
      <c r="O1047" s="2" t="inlineStr">
        <is>
          <t>松散-标准松散</t>
        </is>
      </c>
      <c r="P1047" s="2" t="inlineStr">
        <is>
          <t>松散-偏紧松散</t>
        </is>
      </c>
      <c r="Q1047" s="2" t="inlineStr">
        <is>
          <t>标准-偏松标准</t>
        </is>
      </c>
      <c r="R1047" s="2" t="inlineStr">
        <is>
          <t>标准-核心标准</t>
        </is>
      </c>
      <c r="S1047" s="2" t="inlineStr">
        <is>
          <t>标准-偏紧标准</t>
        </is>
      </c>
      <c r="T1047" s="2" t="inlineStr">
        <is>
          <t>紧凑-标准紧凑</t>
        </is>
      </c>
      <c r="U1047" s="2" t="inlineStr">
        <is>
          <t>紧凑-高度紧凑</t>
        </is>
      </c>
      <c r="V1047" s="2" t="inlineStr">
        <is>
          <t>紧凑-极度紧凑</t>
        </is>
      </c>
    </row>
    <row r="1048">
      <c r="A1048" s="1" t="n">
        <v>2025239</v>
      </c>
      <c r="B1048" s="3" t="inlineStr">
        <is>
          <t>220</t>
        </is>
      </c>
      <c r="C1048" s="2">
        <f>IF(B1048="","",LEFT(TEXT(B1048,"000"),1)*1)</f>
        <v/>
      </c>
      <c r="D1048" s="2">
        <f>IF(B1048="","",MID(TEXT(B1048,"000"),2,1)*1)</f>
        <v/>
      </c>
      <c r="E1048" s="2">
        <f>IF(B1048="","",RIGHT(TEXT(B1048,"000"),1)*1)</f>
        <v/>
      </c>
      <c r="F1048" s="2">
        <f>IF(B1048="","",C1048+D1048+E1048)</f>
        <v/>
      </c>
      <c r="G1048" s="2">
        <f>IF(B1048="","",MOD(F1048,10))</f>
        <v/>
      </c>
      <c r="H1048" s="2">
        <f>IF(B1048="","",MAX(C1048,D1048,E1048)-MIN(C1048,D1048,E1048))</f>
        <v/>
      </c>
      <c r="I1048" s="2">
        <f>IF(OR(B1048="",H1048=0),IF(H1048=0,0.1,""),ROUND(F1048/H1048,2))</f>
        <v/>
      </c>
      <c r="J1048" s="2">
        <f>IF(I1048=0.1,"极紧凑",IF(I1048&gt;3.5,"紧凑",IF(AND(I1048&gt;=2,I1048&lt;=3.5),"标准",IF(AND(I1048&gt;=1,I1048&lt;2),"松散",""))))</f>
        <v/>
      </c>
      <c r="K1048" s="2">
        <f>IF(I1048=0.1,"极紧凑-豹子号",IF(AND(I1048&gt;=1,I1048&lt;=1.29),"松散-极松散",IF(AND(I1048&gt;=1.33,I1048&lt;=1.8),"松散-标准松散",IF(AND(I1048&gt;=1.83,I1048&lt;=1.89),"松散-偏紧松散",IF(AND(I1048&gt;=2,I1048&lt;=2.5),"标准-偏松标准",IF(AND(I1048&gt;=2.57,I1048&lt;=3),"标准-核心标准",IF(AND(I1048&gt;=3.17,I1048&lt;=3.5),"标准-偏紧标准",IF(AND(I1048&gt;=3.6,I1048&lt;=5),"紧凑-标准紧凑",IF(AND(I1048&gt;=5.25,I1048&lt;=8),"紧凑-高度紧凑",IF(I1048&gt;=8.5,"紧凑-极度紧凑",""))))))))))</f>
        <v/>
      </c>
      <c r="L1048" s="2">
        <f>IF(I1048=0.1,"极紧凑",IF(AND(I1048&gt;=1,I1048&lt;=1.89),"松散",IF(AND(I1048&gt;=2,I1048&lt;=3.5),"标准",IF(I1048&gt;=3.6,"紧凑",""))))</f>
        <v/>
      </c>
      <c r="M1048" s="2" t="inlineStr">
        <is>
          <t>极紧凑-豹子号</t>
        </is>
      </c>
      <c r="N1048" s="2" t="inlineStr">
        <is>
          <t>松散-极松散</t>
        </is>
      </c>
      <c r="O1048" s="2" t="inlineStr">
        <is>
          <t>松散-标准松散</t>
        </is>
      </c>
      <c r="P1048" s="2" t="inlineStr">
        <is>
          <t>松散-偏紧松散</t>
        </is>
      </c>
      <c r="Q1048" s="2" t="inlineStr">
        <is>
          <t>标准-偏松标准</t>
        </is>
      </c>
      <c r="R1048" s="2" t="inlineStr">
        <is>
          <t>标准-核心标准</t>
        </is>
      </c>
      <c r="S1048" s="2" t="inlineStr">
        <is>
          <t>标准-偏紧标准</t>
        </is>
      </c>
      <c r="T1048" s="2" t="inlineStr">
        <is>
          <t>紧凑-标准紧凑</t>
        </is>
      </c>
      <c r="U1048" s="2" t="inlineStr">
        <is>
          <t>紧凑-高度紧凑</t>
        </is>
      </c>
      <c r="V1048" s="2" t="inlineStr">
        <is>
          <t>紧凑-极度紧凑</t>
        </is>
      </c>
    </row>
    <row r="1049">
      <c r="A1049" s="1" t="n">
        <v>2025240</v>
      </c>
      <c r="B1049" s="3" t="inlineStr">
        <is>
          <t>627</t>
        </is>
      </c>
      <c r="C1049" s="2">
        <f>IF(B1049="","",LEFT(TEXT(B1049,"000"),1)*1)</f>
        <v/>
      </c>
      <c r="D1049" s="2">
        <f>IF(B1049="","",MID(TEXT(B1049,"000"),2,1)*1)</f>
        <v/>
      </c>
      <c r="E1049" s="2">
        <f>IF(B1049="","",RIGHT(TEXT(B1049,"000"),1)*1)</f>
        <v/>
      </c>
      <c r="F1049" s="2">
        <f>IF(B1049="","",C1049+D1049+E1049)</f>
        <v/>
      </c>
      <c r="G1049" s="2">
        <f>IF(B1049="","",MOD(F1049,10))</f>
        <v/>
      </c>
      <c r="H1049" s="2">
        <f>IF(B1049="","",MAX(C1049,D1049,E1049)-MIN(C1049,D1049,E1049))</f>
        <v/>
      </c>
      <c r="I1049" s="2">
        <f>IF(OR(B1049="",H1049=0),IF(H1049=0,0.1,""),ROUND(F1049/H1049,2))</f>
        <v/>
      </c>
      <c r="J1049" s="2">
        <f>IF(I1049=0.1,"极紧凑",IF(I1049&gt;3.5,"紧凑",IF(AND(I1049&gt;=2,I1049&lt;=3.5),"标准",IF(AND(I1049&gt;=1,I1049&lt;2),"松散",""))))</f>
        <v/>
      </c>
      <c r="K1049" s="2">
        <f>IF(I1049=0.1,"极紧凑-豹子号",IF(AND(I1049&gt;=1,I1049&lt;=1.29),"松散-极松散",IF(AND(I1049&gt;=1.33,I1049&lt;=1.8),"松散-标准松散",IF(AND(I1049&gt;=1.83,I1049&lt;=1.89),"松散-偏紧松散",IF(AND(I1049&gt;=2,I1049&lt;=2.5),"标准-偏松标准",IF(AND(I1049&gt;=2.57,I1049&lt;=3),"标准-核心标准",IF(AND(I1049&gt;=3.17,I1049&lt;=3.5),"标准-偏紧标准",IF(AND(I1049&gt;=3.6,I1049&lt;=5),"紧凑-标准紧凑",IF(AND(I1049&gt;=5.25,I1049&lt;=8),"紧凑-高度紧凑",IF(I1049&gt;=8.5,"紧凑-极度紧凑",""))))))))))</f>
        <v/>
      </c>
      <c r="L1049" s="2">
        <f>IF(I1049=0.1,"极紧凑",IF(AND(I1049&gt;=1,I1049&lt;=1.89),"松散",IF(AND(I1049&gt;=2,I1049&lt;=3.5),"标准",IF(I1049&gt;=3.6,"紧凑",""))))</f>
        <v/>
      </c>
      <c r="M1049" s="2" t="inlineStr">
        <is>
          <t>极紧凑-豹子号</t>
        </is>
      </c>
      <c r="N1049" s="2" t="inlineStr">
        <is>
          <t>松散-极松散</t>
        </is>
      </c>
      <c r="O1049" s="2" t="inlineStr">
        <is>
          <t>松散-标准松散</t>
        </is>
      </c>
      <c r="P1049" s="2" t="inlineStr">
        <is>
          <t>松散-偏紧松散</t>
        </is>
      </c>
      <c r="Q1049" s="2" t="inlineStr">
        <is>
          <t>标准-偏松标准</t>
        </is>
      </c>
      <c r="R1049" s="2" t="inlineStr">
        <is>
          <t>标准-核心标准</t>
        </is>
      </c>
      <c r="S1049" s="2" t="inlineStr">
        <is>
          <t>标准-偏紧标准</t>
        </is>
      </c>
      <c r="T1049" s="2" t="inlineStr">
        <is>
          <t>紧凑-标准紧凑</t>
        </is>
      </c>
      <c r="U1049" s="2" t="inlineStr">
        <is>
          <t>紧凑-高度紧凑</t>
        </is>
      </c>
      <c r="V1049" s="2" t="inlineStr">
        <is>
          <t>紧凑-极度紧凑</t>
        </is>
      </c>
    </row>
    <row r="1050">
      <c r="A1050" s="1" t="n">
        <v>2025241</v>
      </c>
      <c r="B1050" s="3" t="inlineStr">
        <is>
          <t>286</t>
        </is>
      </c>
      <c r="C1050" s="2">
        <f>IF(B1050="","",LEFT(TEXT(B1050,"000"),1)*1)</f>
        <v/>
      </c>
      <c r="D1050" s="2">
        <f>IF(B1050="","",MID(TEXT(B1050,"000"),2,1)*1)</f>
        <v/>
      </c>
      <c r="E1050" s="2">
        <f>IF(B1050="","",RIGHT(TEXT(B1050,"000"),1)*1)</f>
        <v/>
      </c>
      <c r="F1050" s="2">
        <f>IF(B1050="","",C1050+D1050+E1050)</f>
        <v/>
      </c>
      <c r="G1050" s="2">
        <f>IF(B1050="","",MOD(F1050,10))</f>
        <v/>
      </c>
      <c r="H1050" s="2">
        <f>IF(B1050="","",MAX(C1050,D1050,E1050)-MIN(C1050,D1050,E1050))</f>
        <v/>
      </c>
      <c r="I1050" s="2">
        <f>IF(OR(B1050="",H1050=0),IF(H1050=0,0.1,""),ROUND(F1050/H1050,2))</f>
        <v/>
      </c>
      <c r="J1050" s="2">
        <f>IF(I1050=0.1,"极紧凑",IF(I1050&gt;3.5,"紧凑",IF(AND(I1050&gt;=2,I1050&lt;=3.5),"标准",IF(AND(I1050&gt;=1,I1050&lt;2),"松散",""))))</f>
        <v/>
      </c>
      <c r="K1050" s="2">
        <f>IF(I1050=0.1,"极紧凑-豹子号",IF(AND(I1050&gt;=1,I1050&lt;=1.29),"松散-极松散",IF(AND(I1050&gt;=1.33,I1050&lt;=1.8),"松散-标准松散",IF(AND(I1050&gt;=1.83,I1050&lt;=1.89),"松散-偏紧松散",IF(AND(I1050&gt;=2,I1050&lt;=2.5),"标准-偏松标准",IF(AND(I1050&gt;=2.57,I1050&lt;=3),"标准-核心标准",IF(AND(I1050&gt;=3.17,I1050&lt;=3.5),"标准-偏紧标准",IF(AND(I1050&gt;=3.6,I1050&lt;=5),"紧凑-标准紧凑",IF(AND(I1050&gt;=5.25,I1050&lt;=8),"紧凑-高度紧凑",IF(I1050&gt;=8.5,"紧凑-极度紧凑",""))))))))))</f>
        <v/>
      </c>
      <c r="L1050" s="2">
        <f>IF(I1050=0.1,"极紧凑",IF(AND(I1050&gt;=1,I1050&lt;=1.89),"松散",IF(AND(I1050&gt;=2,I1050&lt;=3.5),"标准",IF(I1050&gt;=3.6,"紧凑",""))))</f>
        <v/>
      </c>
      <c r="M1050" s="2" t="inlineStr">
        <is>
          <t>极紧凑-豹子号</t>
        </is>
      </c>
      <c r="N1050" s="2" t="inlineStr">
        <is>
          <t>松散-极松散</t>
        </is>
      </c>
      <c r="O1050" s="2" t="inlineStr">
        <is>
          <t>松散-标准松散</t>
        </is>
      </c>
      <c r="P1050" s="2" t="inlineStr">
        <is>
          <t>松散-偏紧松散</t>
        </is>
      </c>
      <c r="Q1050" s="2" t="inlineStr">
        <is>
          <t>标准-偏松标准</t>
        </is>
      </c>
      <c r="R1050" s="2" t="inlineStr">
        <is>
          <t>标准-核心标准</t>
        </is>
      </c>
      <c r="S1050" s="2" t="inlineStr">
        <is>
          <t>标准-偏紧标准</t>
        </is>
      </c>
      <c r="T1050" s="2" t="inlineStr">
        <is>
          <t>紧凑-标准紧凑</t>
        </is>
      </c>
      <c r="U1050" s="2" t="inlineStr">
        <is>
          <t>紧凑-高度紧凑</t>
        </is>
      </c>
      <c r="V1050" s="2" t="inlineStr">
        <is>
          <t>紧凑-极度紧凑</t>
        </is>
      </c>
    </row>
    <row r="1051">
      <c r="A1051" s="1" t="n">
        <v>2025242</v>
      </c>
      <c r="B1051" s="3" t="inlineStr">
        <is>
          <t>523</t>
        </is>
      </c>
      <c r="C1051" s="2">
        <f>IF(B1051="","",LEFT(TEXT(B1051,"000"),1)*1)</f>
        <v/>
      </c>
      <c r="D1051" s="2">
        <f>IF(B1051="","",MID(TEXT(B1051,"000"),2,1)*1)</f>
        <v/>
      </c>
      <c r="E1051" s="2">
        <f>IF(B1051="","",RIGHT(TEXT(B1051,"000"),1)*1)</f>
        <v/>
      </c>
      <c r="F1051" s="2">
        <f>IF(B1051="","",C1051+D1051+E1051)</f>
        <v/>
      </c>
      <c r="G1051" s="2">
        <f>IF(B1051="","",MOD(F1051,10))</f>
        <v/>
      </c>
      <c r="H1051" s="2">
        <f>IF(B1051="","",MAX(C1051,D1051,E1051)-MIN(C1051,D1051,E1051))</f>
        <v/>
      </c>
      <c r="I1051" s="2">
        <f>IF(OR(B1051="",H1051=0),IF(H1051=0,0.1,""),ROUND(F1051/H1051,2))</f>
        <v/>
      </c>
      <c r="J1051" s="2">
        <f>IF(I1051=0.1,"极紧凑",IF(I1051&gt;3.5,"紧凑",IF(AND(I1051&gt;=2,I1051&lt;=3.5),"标准",IF(AND(I1051&gt;=1,I1051&lt;2),"松散",""))))</f>
        <v/>
      </c>
      <c r="K1051" s="2">
        <f>IF(I1051=0.1,"极紧凑-豹子号",IF(AND(I1051&gt;=1,I1051&lt;=1.29),"松散-极松散",IF(AND(I1051&gt;=1.33,I1051&lt;=1.8),"松散-标准松散",IF(AND(I1051&gt;=1.83,I1051&lt;=1.89),"松散-偏紧松散",IF(AND(I1051&gt;=2,I1051&lt;=2.5),"标准-偏松标准",IF(AND(I1051&gt;=2.57,I1051&lt;=3),"标准-核心标准",IF(AND(I1051&gt;=3.17,I1051&lt;=3.5),"标准-偏紧标准",IF(AND(I1051&gt;=3.6,I1051&lt;=5),"紧凑-标准紧凑",IF(AND(I1051&gt;=5.25,I1051&lt;=8),"紧凑-高度紧凑",IF(I1051&gt;=8.5,"紧凑-极度紧凑",""))))))))))</f>
        <v/>
      </c>
      <c r="L1051" s="2">
        <f>IF(I1051=0.1,"极紧凑",IF(AND(I1051&gt;=1,I1051&lt;=1.89),"松散",IF(AND(I1051&gt;=2,I1051&lt;=3.5),"标准",IF(I1051&gt;=3.6,"紧凑",""))))</f>
        <v/>
      </c>
      <c r="M1051" s="2" t="inlineStr">
        <is>
          <t>极紧凑-豹子号</t>
        </is>
      </c>
      <c r="N1051" s="2" t="inlineStr">
        <is>
          <t>松散-极松散</t>
        </is>
      </c>
      <c r="O1051" s="2" t="inlineStr">
        <is>
          <t>松散-标准松散</t>
        </is>
      </c>
      <c r="P1051" s="2" t="inlineStr">
        <is>
          <t>松散-偏紧松散</t>
        </is>
      </c>
      <c r="Q1051" s="2" t="inlineStr">
        <is>
          <t>标准-偏松标准</t>
        </is>
      </c>
      <c r="R1051" s="2" t="inlineStr">
        <is>
          <t>标准-核心标准</t>
        </is>
      </c>
      <c r="S1051" s="2" t="inlineStr">
        <is>
          <t>标准-偏紧标准</t>
        </is>
      </c>
      <c r="T1051" s="2" t="inlineStr">
        <is>
          <t>紧凑-标准紧凑</t>
        </is>
      </c>
      <c r="U1051" s="2" t="inlineStr">
        <is>
          <t>紧凑-高度紧凑</t>
        </is>
      </c>
      <c r="V1051" s="2" t="inlineStr">
        <is>
          <t>紧凑-极度紧凑</t>
        </is>
      </c>
    </row>
    <row r="1052">
      <c r="A1052" s="1" t="n">
        <v>2025243</v>
      </c>
      <c r="B1052" s="3" t="inlineStr">
        <is>
          <t>812</t>
        </is>
      </c>
      <c r="C1052" s="2">
        <f>IF(B1052="","",LEFT(TEXT(B1052,"000"),1)*1)</f>
        <v/>
      </c>
      <c r="D1052" s="2">
        <f>IF(B1052="","",MID(TEXT(B1052,"000"),2,1)*1)</f>
        <v/>
      </c>
      <c r="E1052" s="2">
        <f>IF(B1052="","",RIGHT(TEXT(B1052,"000"),1)*1)</f>
        <v/>
      </c>
      <c r="F1052" s="2">
        <f>IF(B1052="","",C1052+D1052+E1052)</f>
        <v/>
      </c>
      <c r="G1052" s="2">
        <f>IF(B1052="","",MOD(F1052,10))</f>
        <v/>
      </c>
      <c r="H1052" s="2">
        <f>IF(B1052="","",MAX(C1052,D1052,E1052)-MIN(C1052,D1052,E1052))</f>
        <v/>
      </c>
      <c r="I1052" s="2">
        <f>IF(OR(B1052="",H1052=0),IF(H1052=0,0.1,""),ROUND(F1052/H1052,2))</f>
        <v/>
      </c>
      <c r="J1052" s="2">
        <f>IF(I1052=0.1,"极紧凑",IF(I1052&gt;3.5,"紧凑",IF(AND(I1052&gt;=2,I1052&lt;=3.5),"标准",IF(AND(I1052&gt;=1,I1052&lt;2),"松散",""))))</f>
        <v/>
      </c>
      <c r="K1052" s="2">
        <f>IF(I1052=0.1,"极紧凑-豹子号",IF(AND(I1052&gt;=1,I1052&lt;=1.29),"松散-极松散",IF(AND(I1052&gt;=1.33,I1052&lt;=1.8),"松散-标准松散",IF(AND(I1052&gt;=1.83,I1052&lt;=1.89),"松散-偏紧松散",IF(AND(I1052&gt;=2,I1052&lt;=2.5),"标准-偏松标准",IF(AND(I1052&gt;=2.57,I1052&lt;=3),"标准-核心标准",IF(AND(I1052&gt;=3.17,I1052&lt;=3.5),"标准-偏紧标准",IF(AND(I1052&gt;=3.6,I1052&lt;=5),"紧凑-标准紧凑",IF(AND(I1052&gt;=5.25,I1052&lt;=8),"紧凑-高度紧凑",IF(I1052&gt;=8.5,"紧凑-极度紧凑",""))))))))))</f>
        <v/>
      </c>
      <c r="L1052" s="2">
        <f>IF(I1052=0.1,"极紧凑",IF(AND(I1052&gt;=1,I1052&lt;=1.89),"松散",IF(AND(I1052&gt;=2,I1052&lt;=3.5),"标准",IF(I1052&gt;=3.6,"紧凑",""))))</f>
        <v/>
      </c>
      <c r="M1052" s="2" t="inlineStr">
        <is>
          <t>极紧凑-豹子号</t>
        </is>
      </c>
      <c r="N1052" s="2" t="inlineStr">
        <is>
          <t>松散-极松散</t>
        </is>
      </c>
      <c r="O1052" s="2" t="inlineStr">
        <is>
          <t>松散-标准松散</t>
        </is>
      </c>
      <c r="P1052" s="2" t="inlineStr">
        <is>
          <t>松散-偏紧松散</t>
        </is>
      </c>
      <c r="Q1052" s="2" t="inlineStr">
        <is>
          <t>标准-偏松标准</t>
        </is>
      </c>
      <c r="R1052" s="2" t="inlineStr">
        <is>
          <t>标准-核心标准</t>
        </is>
      </c>
      <c r="S1052" s="2" t="inlineStr">
        <is>
          <t>标准-偏紧标准</t>
        </is>
      </c>
      <c r="T1052" s="2" t="inlineStr">
        <is>
          <t>紧凑-标准紧凑</t>
        </is>
      </c>
      <c r="U1052" s="2" t="inlineStr">
        <is>
          <t>紧凑-高度紧凑</t>
        </is>
      </c>
      <c r="V1052" s="2" t="inlineStr">
        <is>
          <t>紧凑-极度紧凑</t>
        </is>
      </c>
    </row>
    <row r="1053">
      <c r="A1053" s="1" t="n">
        <v>2025244</v>
      </c>
      <c r="B1053" s="3" t="inlineStr">
        <is>
          <t>758</t>
        </is>
      </c>
      <c r="C1053" s="2">
        <f>IF(B1053="","",LEFT(TEXT(B1053,"000"),1)*1)</f>
        <v/>
      </c>
      <c r="D1053" s="2">
        <f>IF(B1053="","",MID(TEXT(B1053,"000"),2,1)*1)</f>
        <v/>
      </c>
      <c r="E1053" s="2">
        <f>IF(B1053="","",RIGHT(TEXT(B1053,"000"),1)*1)</f>
        <v/>
      </c>
      <c r="F1053" s="2">
        <f>IF(B1053="","",C1053+D1053+E1053)</f>
        <v/>
      </c>
      <c r="G1053" s="2">
        <f>IF(B1053="","",MOD(F1053,10))</f>
        <v/>
      </c>
      <c r="H1053" s="2">
        <f>IF(B1053="","",MAX(C1053,D1053,E1053)-MIN(C1053,D1053,E1053))</f>
        <v/>
      </c>
      <c r="I1053" s="2">
        <f>IF(OR(B1053="",H1053=0),IF(H1053=0,0.1,""),ROUND(F1053/H1053,2))</f>
        <v/>
      </c>
      <c r="J1053" s="2">
        <f>IF(I1053=0.1,"极紧凑",IF(I1053&gt;3.5,"紧凑",IF(AND(I1053&gt;=2,I1053&lt;=3.5),"标准",IF(AND(I1053&gt;=1,I1053&lt;2),"松散",""))))</f>
        <v/>
      </c>
      <c r="K1053" s="2">
        <f>IF(I1053=0.1,"极紧凑-豹子号",IF(AND(I1053&gt;=1,I1053&lt;=1.29),"松散-极松散",IF(AND(I1053&gt;=1.33,I1053&lt;=1.8),"松散-标准松散",IF(AND(I1053&gt;=1.83,I1053&lt;=1.89),"松散-偏紧松散",IF(AND(I1053&gt;=2,I1053&lt;=2.5),"标准-偏松标准",IF(AND(I1053&gt;=2.57,I1053&lt;=3),"标准-核心标准",IF(AND(I1053&gt;=3.17,I1053&lt;=3.5),"标准-偏紧标准",IF(AND(I1053&gt;=3.6,I1053&lt;=5),"紧凑-标准紧凑",IF(AND(I1053&gt;=5.25,I1053&lt;=8),"紧凑-高度紧凑",IF(I1053&gt;=8.5,"紧凑-极度紧凑",""))))))))))</f>
        <v/>
      </c>
      <c r="L1053" s="2">
        <f>IF(I1053=0.1,"极紧凑",IF(AND(I1053&gt;=1,I1053&lt;=1.89),"松散",IF(AND(I1053&gt;=2,I1053&lt;=3.5),"标准",IF(I1053&gt;=3.6,"紧凑",""))))</f>
        <v/>
      </c>
      <c r="M1053" s="2" t="inlineStr">
        <is>
          <t>极紧凑-豹子号</t>
        </is>
      </c>
      <c r="N1053" s="2" t="inlineStr">
        <is>
          <t>松散-极松散</t>
        </is>
      </c>
      <c r="O1053" s="2" t="inlineStr">
        <is>
          <t>松散-标准松散</t>
        </is>
      </c>
      <c r="P1053" s="2" t="inlineStr">
        <is>
          <t>松散-偏紧松散</t>
        </is>
      </c>
      <c r="Q1053" s="2" t="inlineStr">
        <is>
          <t>标准-偏松标准</t>
        </is>
      </c>
      <c r="R1053" s="2" t="inlineStr">
        <is>
          <t>标准-核心标准</t>
        </is>
      </c>
      <c r="S1053" s="2" t="inlineStr">
        <is>
          <t>标准-偏紧标准</t>
        </is>
      </c>
      <c r="T1053" s="2" t="inlineStr">
        <is>
          <t>紧凑-标准紧凑</t>
        </is>
      </c>
      <c r="U1053" s="2" t="inlineStr">
        <is>
          <t>紧凑-高度紧凑</t>
        </is>
      </c>
      <c r="V1053" s="2" t="inlineStr">
        <is>
          <t>紧凑-极度紧凑</t>
        </is>
      </c>
    </row>
    <row r="1054">
      <c r="A1054" s="1" t="n">
        <v>2025245</v>
      </c>
      <c r="B1054" s="3" t="inlineStr">
        <is>
          <t>994</t>
        </is>
      </c>
      <c r="C1054" s="2">
        <f>IF(B1054="","",LEFT(TEXT(B1054,"000"),1)*1)</f>
        <v/>
      </c>
      <c r="D1054" s="2">
        <f>IF(B1054="","",MID(TEXT(B1054,"000"),2,1)*1)</f>
        <v/>
      </c>
      <c r="E1054" s="2">
        <f>IF(B1054="","",RIGHT(TEXT(B1054,"000"),1)*1)</f>
        <v/>
      </c>
      <c r="F1054" s="2">
        <f>IF(B1054="","",C1054+D1054+E1054)</f>
        <v/>
      </c>
      <c r="G1054" s="2">
        <f>IF(B1054="","",MOD(F1054,10))</f>
        <v/>
      </c>
      <c r="H1054" s="2">
        <f>IF(B1054="","",MAX(C1054,D1054,E1054)-MIN(C1054,D1054,E1054))</f>
        <v/>
      </c>
      <c r="I1054" s="2">
        <f>IF(OR(B1054="",H1054=0),IF(H1054=0,0.1,""),ROUND(F1054/H1054,2))</f>
        <v/>
      </c>
      <c r="J1054" s="2">
        <f>IF(I1054=0.1,"极紧凑",IF(I1054&gt;3.5,"紧凑",IF(AND(I1054&gt;=2,I1054&lt;=3.5),"标准",IF(AND(I1054&gt;=1,I1054&lt;2),"松散",""))))</f>
        <v/>
      </c>
      <c r="K1054" s="2">
        <f>IF(I1054=0.1,"极紧凑-豹子号",IF(AND(I1054&gt;=1,I1054&lt;=1.29),"松散-极松散",IF(AND(I1054&gt;=1.33,I1054&lt;=1.8),"松散-标准松散",IF(AND(I1054&gt;=1.83,I1054&lt;=1.89),"松散-偏紧松散",IF(AND(I1054&gt;=2,I1054&lt;=2.5),"标准-偏松标准",IF(AND(I1054&gt;=2.57,I1054&lt;=3),"标准-核心标准",IF(AND(I1054&gt;=3.17,I1054&lt;=3.5),"标准-偏紧标准",IF(AND(I1054&gt;=3.6,I1054&lt;=5),"紧凑-标准紧凑",IF(AND(I1054&gt;=5.25,I1054&lt;=8),"紧凑-高度紧凑",IF(I1054&gt;=8.5,"紧凑-极度紧凑",""))))))))))</f>
        <v/>
      </c>
      <c r="L1054" s="2">
        <f>IF(I1054=0.1,"极紧凑",IF(AND(I1054&gt;=1,I1054&lt;=1.89),"松散",IF(AND(I1054&gt;=2,I1054&lt;=3.5),"标准",IF(I1054&gt;=3.6,"紧凑",""))))</f>
        <v/>
      </c>
      <c r="M1054" s="2" t="inlineStr">
        <is>
          <t>极紧凑-豹子号</t>
        </is>
      </c>
      <c r="N1054" s="2" t="inlineStr">
        <is>
          <t>松散-极松散</t>
        </is>
      </c>
      <c r="O1054" s="2" t="inlineStr">
        <is>
          <t>松散-标准松散</t>
        </is>
      </c>
      <c r="P1054" s="2" t="inlineStr">
        <is>
          <t>松散-偏紧松散</t>
        </is>
      </c>
      <c r="Q1054" s="2" t="inlineStr">
        <is>
          <t>标准-偏松标准</t>
        </is>
      </c>
      <c r="R1054" s="2" t="inlineStr">
        <is>
          <t>标准-核心标准</t>
        </is>
      </c>
      <c r="S1054" s="2" t="inlineStr">
        <is>
          <t>标准-偏紧标准</t>
        </is>
      </c>
      <c r="T1054" s="2" t="inlineStr">
        <is>
          <t>紧凑-标准紧凑</t>
        </is>
      </c>
      <c r="U1054" s="2" t="inlineStr">
        <is>
          <t>紧凑-高度紧凑</t>
        </is>
      </c>
      <c r="V1054" s="2" t="inlineStr">
        <is>
          <t>紧凑-极度紧凑</t>
        </is>
      </c>
    </row>
    <row r="1055">
      <c r="A1055" s="1" t="n">
        <v>2025246</v>
      </c>
      <c r="B1055" s="3" t="inlineStr">
        <is>
          <t>207</t>
        </is>
      </c>
      <c r="C1055" s="2">
        <f>IF(B1055="","",LEFT(TEXT(B1055,"000"),1)*1)</f>
        <v/>
      </c>
      <c r="D1055" s="2">
        <f>IF(B1055="","",MID(TEXT(B1055,"000"),2,1)*1)</f>
        <v/>
      </c>
      <c r="E1055" s="2">
        <f>IF(B1055="","",RIGHT(TEXT(B1055,"000"),1)*1)</f>
        <v/>
      </c>
      <c r="F1055" s="2">
        <f>IF(B1055="","",C1055+D1055+E1055)</f>
        <v/>
      </c>
      <c r="G1055" s="2">
        <f>IF(B1055="","",MOD(F1055,10))</f>
        <v/>
      </c>
      <c r="H1055" s="2">
        <f>IF(B1055="","",MAX(C1055,D1055,E1055)-MIN(C1055,D1055,E1055))</f>
        <v/>
      </c>
      <c r="I1055" s="2">
        <f>IF(OR(B1055="",H1055=0),IF(H1055=0,0.1,""),ROUND(F1055/H1055,2))</f>
        <v/>
      </c>
      <c r="J1055" s="2">
        <f>IF(I1055=0.1,"极紧凑",IF(I1055&gt;3.5,"紧凑",IF(AND(I1055&gt;=2,I1055&lt;=3.5),"标准",IF(AND(I1055&gt;=1,I1055&lt;2),"松散",""))))</f>
        <v/>
      </c>
      <c r="K1055" s="2">
        <f>IF(I1055=0.1,"极紧凑-豹子号",IF(AND(I1055&gt;=1,I1055&lt;=1.29),"松散-极松散",IF(AND(I1055&gt;=1.33,I1055&lt;=1.8),"松散-标准松散",IF(AND(I1055&gt;=1.83,I1055&lt;=1.89),"松散-偏紧松散",IF(AND(I1055&gt;=2,I1055&lt;=2.5),"标准-偏松标准",IF(AND(I1055&gt;=2.57,I1055&lt;=3),"标准-核心标准",IF(AND(I1055&gt;=3.17,I1055&lt;=3.5),"标准-偏紧标准",IF(AND(I1055&gt;=3.6,I1055&lt;=5),"紧凑-标准紧凑",IF(AND(I1055&gt;=5.25,I1055&lt;=8),"紧凑-高度紧凑",IF(I1055&gt;=8.5,"紧凑-极度紧凑",""))))))))))</f>
        <v/>
      </c>
      <c r="L1055" s="2">
        <f>IF(I1055=0.1,"极紧凑",IF(AND(I1055&gt;=1,I1055&lt;=1.89),"松散",IF(AND(I1055&gt;=2,I1055&lt;=3.5),"标准",IF(I1055&gt;=3.6,"紧凑",""))))</f>
        <v/>
      </c>
      <c r="M1055" s="2" t="inlineStr">
        <is>
          <t>极紧凑-豹子号</t>
        </is>
      </c>
      <c r="N1055" s="2" t="inlineStr">
        <is>
          <t>松散-极松散</t>
        </is>
      </c>
      <c r="O1055" s="2" t="inlineStr">
        <is>
          <t>松散-标准松散</t>
        </is>
      </c>
      <c r="P1055" s="2" t="inlineStr">
        <is>
          <t>松散-偏紧松散</t>
        </is>
      </c>
      <c r="Q1055" s="2" t="inlineStr">
        <is>
          <t>标准-偏松标准</t>
        </is>
      </c>
      <c r="R1055" s="2" t="inlineStr">
        <is>
          <t>标准-核心标准</t>
        </is>
      </c>
      <c r="S1055" s="2" t="inlineStr">
        <is>
          <t>标准-偏紧标准</t>
        </is>
      </c>
      <c r="T1055" s="2" t="inlineStr">
        <is>
          <t>紧凑-标准紧凑</t>
        </is>
      </c>
      <c r="U1055" s="2" t="inlineStr">
        <is>
          <t>紧凑-高度紧凑</t>
        </is>
      </c>
      <c r="V1055" s="2" t="inlineStr">
        <is>
          <t>紧凑-极度紧凑</t>
        </is>
      </c>
    </row>
    <row r="1056">
      <c r="A1056" s="1" t="n">
        <v>2025247</v>
      </c>
      <c r="B1056" s="3" t="inlineStr">
        <is>
          <t>364</t>
        </is>
      </c>
      <c r="C1056" s="2">
        <f>IF(B1056="","",LEFT(TEXT(B1056,"000"),1)*1)</f>
        <v/>
      </c>
      <c r="D1056" s="2">
        <f>IF(B1056="","",MID(TEXT(B1056,"000"),2,1)*1)</f>
        <v/>
      </c>
      <c r="E1056" s="2">
        <f>IF(B1056="","",RIGHT(TEXT(B1056,"000"),1)*1)</f>
        <v/>
      </c>
      <c r="F1056" s="2">
        <f>IF(B1056="","",C1056+D1056+E1056)</f>
        <v/>
      </c>
      <c r="G1056" s="2">
        <f>IF(B1056="","",MOD(F1056,10))</f>
        <v/>
      </c>
      <c r="H1056" s="2">
        <f>IF(B1056="","",MAX(C1056,D1056,E1056)-MIN(C1056,D1056,E1056))</f>
        <v/>
      </c>
      <c r="I1056" s="2">
        <f>IF(OR(B1056="",H1056=0),IF(H1056=0,0.1,""),ROUND(F1056/H1056,2))</f>
        <v/>
      </c>
      <c r="J1056" s="2">
        <f>IF(I1056=0.1,"极紧凑",IF(I1056&gt;3.5,"紧凑",IF(AND(I1056&gt;=2,I1056&lt;=3.5),"标准",IF(AND(I1056&gt;=1,I1056&lt;2),"松散",""))))</f>
        <v/>
      </c>
      <c r="K1056" s="2">
        <f>IF(I1056=0.1,"极紧凑-豹子号",IF(AND(I1056&gt;=1,I1056&lt;=1.29),"松散-极松散",IF(AND(I1056&gt;=1.33,I1056&lt;=1.8),"松散-标准松散",IF(AND(I1056&gt;=1.83,I1056&lt;=1.89),"松散-偏紧松散",IF(AND(I1056&gt;=2,I1056&lt;=2.5),"标准-偏松标准",IF(AND(I1056&gt;=2.57,I1056&lt;=3),"标准-核心标准",IF(AND(I1056&gt;=3.17,I1056&lt;=3.5),"标准-偏紧标准",IF(AND(I1056&gt;=3.6,I1056&lt;=5),"紧凑-标准紧凑",IF(AND(I1056&gt;=5.25,I1056&lt;=8),"紧凑-高度紧凑",IF(I1056&gt;=8.5,"紧凑-极度紧凑",""))))))))))</f>
        <v/>
      </c>
      <c r="L1056" s="2">
        <f>IF(I1056=0.1,"极紧凑",IF(AND(I1056&gt;=1,I1056&lt;=1.89),"松散",IF(AND(I1056&gt;=2,I1056&lt;=3.5),"标准",IF(I1056&gt;=3.6,"紧凑",""))))</f>
        <v/>
      </c>
      <c r="M1056" s="2" t="inlineStr">
        <is>
          <t>极紧凑-豹子号</t>
        </is>
      </c>
      <c r="N1056" s="2" t="inlineStr">
        <is>
          <t>松散-极松散</t>
        </is>
      </c>
      <c r="O1056" s="2" t="inlineStr">
        <is>
          <t>松散-标准松散</t>
        </is>
      </c>
      <c r="P1056" s="2" t="inlineStr">
        <is>
          <t>松散-偏紧松散</t>
        </is>
      </c>
      <c r="Q1056" s="2" t="inlineStr">
        <is>
          <t>标准-偏松标准</t>
        </is>
      </c>
      <c r="R1056" s="2" t="inlineStr">
        <is>
          <t>标准-核心标准</t>
        </is>
      </c>
      <c r="S1056" s="2" t="inlineStr">
        <is>
          <t>标准-偏紧标准</t>
        </is>
      </c>
      <c r="T1056" s="2" t="inlineStr">
        <is>
          <t>紧凑-标准紧凑</t>
        </is>
      </c>
      <c r="U1056" s="2" t="inlineStr">
        <is>
          <t>紧凑-高度紧凑</t>
        </is>
      </c>
      <c r="V1056" s="2" t="inlineStr">
        <is>
          <t>紧凑-极度紧凑</t>
        </is>
      </c>
    </row>
    <row r="1057">
      <c r="A1057" s="1" t="n">
        <v>2025248</v>
      </c>
      <c r="B1057" s="3" t="inlineStr">
        <is>
          <t>983</t>
        </is>
      </c>
      <c r="C1057" s="2">
        <f>IF(B1057="","",LEFT(TEXT(B1057,"000"),1)*1)</f>
        <v/>
      </c>
      <c r="D1057" s="2">
        <f>IF(B1057="","",MID(TEXT(B1057,"000"),2,1)*1)</f>
        <v/>
      </c>
      <c r="E1057" s="2">
        <f>IF(B1057="","",RIGHT(TEXT(B1057,"000"),1)*1)</f>
        <v/>
      </c>
      <c r="F1057" s="2">
        <f>IF(B1057="","",C1057+D1057+E1057)</f>
        <v/>
      </c>
      <c r="G1057" s="2">
        <f>IF(B1057="","",MOD(F1057,10))</f>
        <v/>
      </c>
      <c r="H1057" s="2">
        <f>IF(B1057="","",MAX(C1057,D1057,E1057)-MIN(C1057,D1057,E1057))</f>
        <v/>
      </c>
      <c r="I1057" s="2">
        <f>IF(OR(B1057="",H1057=0),IF(H1057=0,0.1,""),ROUND(F1057/H1057,2))</f>
        <v/>
      </c>
      <c r="J1057" s="2">
        <f>IF(I1057=0.1,"极紧凑",IF(I1057&gt;3.5,"紧凑",IF(AND(I1057&gt;=2,I1057&lt;=3.5),"标准",IF(AND(I1057&gt;=1,I1057&lt;2),"松散",""))))</f>
        <v/>
      </c>
      <c r="K1057" s="2">
        <f>IF(I1057=0.1,"极紧凑-豹子号",IF(AND(I1057&gt;=1,I1057&lt;=1.29),"松散-极松散",IF(AND(I1057&gt;=1.33,I1057&lt;=1.8),"松散-标准松散",IF(AND(I1057&gt;=1.83,I1057&lt;=1.89),"松散-偏紧松散",IF(AND(I1057&gt;=2,I1057&lt;=2.5),"标准-偏松标准",IF(AND(I1057&gt;=2.57,I1057&lt;=3),"标准-核心标准",IF(AND(I1057&gt;=3.17,I1057&lt;=3.5),"标准-偏紧标准",IF(AND(I1057&gt;=3.6,I1057&lt;=5),"紧凑-标准紧凑",IF(AND(I1057&gt;=5.25,I1057&lt;=8),"紧凑-高度紧凑",IF(I1057&gt;=8.5,"紧凑-极度紧凑",""))))))))))</f>
        <v/>
      </c>
      <c r="L1057" s="2">
        <f>IF(I1057=0.1,"极紧凑",IF(AND(I1057&gt;=1,I1057&lt;=1.89),"松散",IF(AND(I1057&gt;=2,I1057&lt;=3.5),"标准",IF(I1057&gt;=3.6,"紧凑",""))))</f>
        <v/>
      </c>
      <c r="M1057" s="2" t="inlineStr">
        <is>
          <t>极紧凑-豹子号</t>
        </is>
      </c>
      <c r="N1057" s="2" t="inlineStr">
        <is>
          <t>松散-极松散</t>
        </is>
      </c>
      <c r="O1057" s="2" t="inlineStr">
        <is>
          <t>松散-标准松散</t>
        </is>
      </c>
      <c r="P1057" s="2" t="inlineStr">
        <is>
          <t>松散-偏紧松散</t>
        </is>
      </c>
      <c r="Q1057" s="2" t="inlineStr">
        <is>
          <t>标准-偏松标准</t>
        </is>
      </c>
      <c r="R1057" s="2" t="inlineStr">
        <is>
          <t>标准-核心标准</t>
        </is>
      </c>
      <c r="S1057" s="2" t="inlineStr">
        <is>
          <t>标准-偏紧标准</t>
        </is>
      </c>
      <c r="T1057" s="2" t="inlineStr">
        <is>
          <t>紧凑-标准紧凑</t>
        </is>
      </c>
      <c r="U1057" s="2" t="inlineStr">
        <is>
          <t>紧凑-高度紧凑</t>
        </is>
      </c>
      <c r="V1057" s="2" t="inlineStr">
        <is>
          <t>紧凑-极度紧凑</t>
        </is>
      </c>
    </row>
    <row r="1058">
      <c r="A1058" s="1" t="n">
        <v>2025249</v>
      </c>
      <c r="B1058" s="3" t="inlineStr">
        <is>
          <t>532</t>
        </is>
      </c>
      <c r="C1058" s="2">
        <f>IF(B1058="","",LEFT(TEXT(B1058,"000"),1)*1)</f>
        <v/>
      </c>
      <c r="D1058" s="2">
        <f>IF(B1058="","",MID(TEXT(B1058,"000"),2,1)*1)</f>
        <v/>
      </c>
      <c r="E1058" s="2">
        <f>IF(B1058="","",RIGHT(TEXT(B1058,"000"),1)*1)</f>
        <v/>
      </c>
      <c r="F1058" s="2">
        <f>IF(B1058="","",C1058+D1058+E1058)</f>
        <v/>
      </c>
      <c r="G1058" s="2">
        <f>IF(B1058="","",MOD(F1058,10))</f>
        <v/>
      </c>
      <c r="H1058" s="2">
        <f>IF(B1058="","",MAX(C1058,D1058,E1058)-MIN(C1058,D1058,E1058))</f>
        <v/>
      </c>
      <c r="I1058" s="2">
        <f>IF(OR(B1058="",H1058=0),IF(H1058=0,0.1,""),ROUND(F1058/H1058,2))</f>
        <v/>
      </c>
      <c r="J1058" s="2">
        <f>IF(I1058=0.1,"极紧凑",IF(I1058&gt;3.5,"紧凑",IF(AND(I1058&gt;=2,I1058&lt;=3.5),"标准",IF(AND(I1058&gt;=1,I1058&lt;2),"松散",""))))</f>
        <v/>
      </c>
      <c r="K1058" s="2">
        <f>IF(I1058=0.1,"极紧凑-豹子号",IF(AND(I1058&gt;=1,I1058&lt;=1.29),"松散-极松散",IF(AND(I1058&gt;=1.33,I1058&lt;=1.8),"松散-标准松散",IF(AND(I1058&gt;=1.83,I1058&lt;=1.89),"松散-偏紧松散",IF(AND(I1058&gt;=2,I1058&lt;=2.5),"标准-偏松标准",IF(AND(I1058&gt;=2.57,I1058&lt;=3),"标准-核心标准",IF(AND(I1058&gt;=3.17,I1058&lt;=3.5),"标准-偏紧标准",IF(AND(I1058&gt;=3.6,I1058&lt;=5),"紧凑-标准紧凑",IF(AND(I1058&gt;=5.25,I1058&lt;=8),"紧凑-高度紧凑",IF(I1058&gt;=8.5,"紧凑-极度紧凑",""))))))))))</f>
        <v/>
      </c>
      <c r="L1058" s="2">
        <f>IF(I1058=0.1,"极紧凑",IF(AND(I1058&gt;=1,I1058&lt;=1.89),"松散",IF(AND(I1058&gt;=2,I1058&lt;=3.5),"标准",IF(I1058&gt;=3.6,"紧凑",""))))</f>
        <v/>
      </c>
      <c r="M1058" s="2" t="inlineStr">
        <is>
          <t>极紧凑-豹子号</t>
        </is>
      </c>
      <c r="N1058" s="2" t="inlineStr">
        <is>
          <t>松散-极松散</t>
        </is>
      </c>
      <c r="O1058" s="2" t="inlineStr">
        <is>
          <t>松散-标准松散</t>
        </is>
      </c>
      <c r="P1058" s="2" t="inlineStr">
        <is>
          <t>松散-偏紧松散</t>
        </is>
      </c>
      <c r="Q1058" s="2" t="inlineStr">
        <is>
          <t>标准-偏松标准</t>
        </is>
      </c>
      <c r="R1058" s="2" t="inlineStr">
        <is>
          <t>标准-核心标准</t>
        </is>
      </c>
      <c r="S1058" s="2" t="inlineStr">
        <is>
          <t>标准-偏紧标准</t>
        </is>
      </c>
      <c r="T1058" s="2" t="inlineStr">
        <is>
          <t>紧凑-标准紧凑</t>
        </is>
      </c>
      <c r="U1058" s="2" t="inlineStr">
        <is>
          <t>紧凑-高度紧凑</t>
        </is>
      </c>
      <c r="V1058" s="2" t="inlineStr">
        <is>
          <t>紧凑-极度紧凑</t>
        </is>
      </c>
    </row>
    <row r="1059">
      <c r="A1059" s="1" t="n">
        <v>2025250</v>
      </c>
      <c r="B1059" s="3" t="inlineStr">
        <is>
          <t>178</t>
        </is>
      </c>
      <c r="C1059" s="2">
        <f>IF(B1059="","",LEFT(TEXT(B1059,"000"),1)*1)</f>
        <v/>
      </c>
      <c r="D1059" s="2">
        <f>IF(B1059="","",MID(TEXT(B1059,"000"),2,1)*1)</f>
        <v/>
      </c>
      <c r="E1059" s="2">
        <f>IF(B1059="","",RIGHT(TEXT(B1059,"000"),1)*1)</f>
        <v/>
      </c>
      <c r="F1059" s="2">
        <f>IF(B1059="","",C1059+D1059+E1059)</f>
        <v/>
      </c>
      <c r="G1059" s="2">
        <f>IF(B1059="","",MOD(F1059,10))</f>
        <v/>
      </c>
      <c r="H1059" s="2">
        <f>IF(B1059="","",MAX(C1059,D1059,E1059)-MIN(C1059,D1059,E1059))</f>
        <v/>
      </c>
      <c r="I1059" s="2">
        <f>IF(OR(B1059="",H1059=0),IF(H1059=0,0.1,""),ROUND(F1059/H1059,2))</f>
        <v/>
      </c>
      <c r="J1059" s="2">
        <f>IF(I1059=0.1,"极紧凑",IF(I1059&gt;3.5,"紧凑",IF(AND(I1059&gt;=2,I1059&lt;=3.5),"标准",IF(AND(I1059&gt;=1,I1059&lt;2),"松散",""))))</f>
        <v/>
      </c>
      <c r="K1059" s="2">
        <f>IF(I1059=0.1,"极紧凑-豹子号",IF(AND(I1059&gt;=1,I1059&lt;=1.29),"松散-极松散",IF(AND(I1059&gt;=1.33,I1059&lt;=1.8),"松散-标准松散",IF(AND(I1059&gt;=1.83,I1059&lt;=1.89),"松散-偏紧松散",IF(AND(I1059&gt;=2,I1059&lt;=2.5),"标准-偏松标准",IF(AND(I1059&gt;=2.57,I1059&lt;=3),"标准-核心标准",IF(AND(I1059&gt;=3.17,I1059&lt;=3.5),"标准-偏紧标准",IF(AND(I1059&gt;=3.6,I1059&lt;=5),"紧凑-标准紧凑",IF(AND(I1059&gt;=5.25,I1059&lt;=8),"紧凑-高度紧凑",IF(I1059&gt;=8.5,"紧凑-极度紧凑",""))))))))))</f>
        <v/>
      </c>
      <c r="L1059" s="2">
        <f>IF(I1059=0.1,"极紧凑",IF(AND(I1059&gt;=1,I1059&lt;=1.89),"松散",IF(AND(I1059&gt;=2,I1059&lt;=3.5),"标准",IF(I1059&gt;=3.6,"紧凑",""))))</f>
        <v/>
      </c>
      <c r="M1059" s="2" t="inlineStr">
        <is>
          <t>极紧凑-豹子号</t>
        </is>
      </c>
      <c r="N1059" s="2" t="inlineStr">
        <is>
          <t>松散-极松散</t>
        </is>
      </c>
      <c r="O1059" s="2" t="inlineStr">
        <is>
          <t>松散-标准松散</t>
        </is>
      </c>
      <c r="P1059" s="2" t="inlineStr">
        <is>
          <t>松散-偏紧松散</t>
        </is>
      </c>
      <c r="Q1059" s="2" t="inlineStr">
        <is>
          <t>标准-偏松标准</t>
        </is>
      </c>
      <c r="R1059" s="2" t="inlineStr">
        <is>
          <t>标准-核心标准</t>
        </is>
      </c>
      <c r="S1059" s="2" t="inlineStr">
        <is>
          <t>标准-偏紧标准</t>
        </is>
      </c>
      <c r="T1059" s="2" t="inlineStr">
        <is>
          <t>紧凑-标准紧凑</t>
        </is>
      </c>
      <c r="U1059" s="2" t="inlineStr">
        <is>
          <t>紧凑-高度紧凑</t>
        </is>
      </c>
      <c r="V1059" s="2" t="inlineStr">
        <is>
          <t>紧凑-极度紧凑</t>
        </is>
      </c>
    </row>
    <row r="1060">
      <c r="A1060" s="1" t="n">
        <v>2025251</v>
      </c>
      <c r="B1060" s="3" t="inlineStr">
        <is>
          <t>558</t>
        </is>
      </c>
      <c r="C1060" s="2">
        <f>IF(B1060="","",LEFT(TEXT(B1060,"000"),1)*1)</f>
        <v/>
      </c>
      <c r="D1060" s="2">
        <f>IF(B1060="","",MID(TEXT(B1060,"000"),2,1)*1)</f>
        <v/>
      </c>
      <c r="E1060" s="2">
        <f>IF(B1060="","",RIGHT(TEXT(B1060,"000"),1)*1)</f>
        <v/>
      </c>
      <c r="F1060" s="2">
        <f>IF(B1060="","",C1060+D1060+E1060)</f>
        <v/>
      </c>
      <c r="G1060" s="2">
        <f>IF(B1060="","",MOD(F1060,10))</f>
        <v/>
      </c>
      <c r="H1060" s="2">
        <f>IF(B1060="","",MAX(C1060,D1060,E1060)-MIN(C1060,D1060,E1060))</f>
        <v/>
      </c>
      <c r="I1060" s="2">
        <f>IF(OR(B1060="",H1060=0),IF(H1060=0,0.1,""),ROUND(F1060/H1060,2))</f>
        <v/>
      </c>
      <c r="J1060" s="2">
        <f>IF(I1060=0.1,"极紧凑",IF(I1060&gt;3.5,"紧凑",IF(AND(I1060&gt;=2,I1060&lt;=3.5),"标准",IF(AND(I1060&gt;=1,I1060&lt;2),"松散",""))))</f>
        <v/>
      </c>
      <c r="K1060" s="2">
        <f>IF(I1060=0.1,"极紧凑-豹子号",IF(AND(I1060&gt;=1,I1060&lt;=1.29),"松散-极松散",IF(AND(I1060&gt;=1.33,I1060&lt;=1.8),"松散-标准松散",IF(AND(I1060&gt;=1.83,I1060&lt;=1.89),"松散-偏紧松散",IF(AND(I1060&gt;=2,I1060&lt;=2.5),"标准-偏松标准",IF(AND(I1060&gt;=2.57,I1060&lt;=3),"标准-核心标准",IF(AND(I1060&gt;=3.17,I1060&lt;=3.5),"标准-偏紧标准",IF(AND(I1060&gt;=3.6,I1060&lt;=5),"紧凑-标准紧凑",IF(AND(I1060&gt;=5.25,I1060&lt;=8),"紧凑-高度紧凑",IF(I1060&gt;=8.5,"紧凑-极度紧凑",""))))))))))</f>
        <v/>
      </c>
      <c r="L1060" s="2">
        <f>IF(I1060=0.1,"极紧凑",IF(AND(I1060&gt;=1,I1060&lt;=1.89),"松散",IF(AND(I1060&gt;=2,I1060&lt;=3.5),"标准",IF(I1060&gt;=3.6,"紧凑",""))))</f>
        <v/>
      </c>
      <c r="M1060" s="2" t="inlineStr">
        <is>
          <t>极紧凑-豹子号</t>
        </is>
      </c>
      <c r="N1060" s="2" t="inlineStr">
        <is>
          <t>松散-极松散</t>
        </is>
      </c>
      <c r="O1060" s="2" t="inlineStr">
        <is>
          <t>松散-标准松散</t>
        </is>
      </c>
      <c r="P1060" s="2" t="inlineStr">
        <is>
          <t>松散-偏紧松散</t>
        </is>
      </c>
      <c r="Q1060" s="2" t="inlineStr">
        <is>
          <t>标准-偏松标准</t>
        </is>
      </c>
      <c r="R1060" s="2" t="inlineStr">
        <is>
          <t>标准-核心标准</t>
        </is>
      </c>
      <c r="S1060" s="2" t="inlineStr">
        <is>
          <t>标准-偏紧标准</t>
        </is>
      </c>
      <c r="T1060" s="2" t="inlineStr">
        <is>
          <t>紧凑-标准紧凑</t>
        </is>
      </c>
      <c r="U1060" s="2" t="inlineStr">
        <is>
          <t>紧凑-高度紧凑</t>
        </is>
      </c>
      <c r="V1060" s="2" t="inlineStr">
        <is>
          <t>紧凑-极度紧凑</t>
        </is>
      </c>
    </row>
    <row r="1061">
      <c r="A1061" s="1" t="n">
        <v>2025252</v>
      </c>
      <c r="B1061" s="3" t="inlineStr">
        <is>
          <t>190</t>
        </is>
      </c>
      <c r="C1061" s="2">
        <f>IF(B1061="","",LEFT(TEXT(B1061,"000"),1)*1)</f>
        <v/>
      </c>
      <c r="D1061" s="2">
        <f>IF(B1061="","",MID(TEXT(B1061,"000"),2,1)*1)</f>
        <v/>
      </c>
      <c r="E1061" s="2">
        <f>IF(B1061="","",RIGHT(TEXT(B1061,"000"),1)*1)</f>
        <v/>
      </c>
      <c r="F1061" s="2">
        <f>IF(B1061="","",C1061+D1061+E1061)</f>
        <v/>
      </c>
      <c r="G1061" s="2">
        <f>IF(B1061="","",MOD(F1061,10))</f>
        <v/>
      </c>
      <c r="H1061" s="2">
        <f>IF(B1061="","",MAX(C1061,D1061,E1061)-MIN(C1061,D1061,E1061))</f>
        <v/>
      </c>
      <c r="I1061" s="2">
        <f>IF(OR(B1061="",H1061=0),IF(H1061=0,0.1,""),ROUND(F1061/H1061,2))</f>
        <v/>
      </c>
      <c r="J1061" s="2">
        <f>IF(I1061=0.1,"极紧凑",IF(I1061&gt;3.5,"紧凑",IF(AND(I1061&gt;=2,I1061&lt;=3.5),"标准",IF(AND(I1061&gt;=1,I1061&lt;2),"松散",""))))</f>
        <v/>
      </c>
      <c r="K1061" s="2">
        <f>IF(I1061=0.1,"极紧凑-豹子号",IF(AND(I1061&gt;=1,I1061&lt;=1.29),"松散-极松散",IF(AND(I1061&gt;=1.33,I1061&lt;=1.8),"松散-标准松散",IF(AND(I1061&gt;=1.83,I1061&lt;=1.89),"松散-偏紧松散",IF(AND(I1061&gt;=2,I1061&lt;=2.5),"标准-偏松标准",IF(AND(I1061&gt;=2.57,I1061&lt;=3),"标准-核心标准",IF(AND(I1061&gt;=3.17,I1061&lt;=3.5),"标准-偏紧标准",IF(AND(I1061&gt;=3.6,I1061&lt;=5),"紧凑-标准紧凑",IF(AND(I1061&gt;=5.25,I1061&lt;=8),"紧凑-高度紧凑",IF(I1061&gt;=8.5,"紧凑-极度紧凑",""))))))))))</f>
        <v/>
      </c>
      <c r="L1061" s="2">
        <f>IF(I1061=0.1,"极紧凑",IF(AND(I1061&gt;=1,I1061&lt;=1.89),"松散",IF(AND(I1061&gt;=2,I1061&lt;=3.5),"标准",IF(I1061&gt;=3.6,"紧凑",""))))</f>
        <v/>
      </c>
      <c r="M1061" s="2" t="inlineStr">
        <is>
          <t>极紧凑-豹子号</t>
        </is>
      </c>
      <c r="N1061" s="2" t="inlineStr">
        <is>
          <t>松散-极松散</t>
        </is>
      </c>
      <c r="O1061" s="2" t="inlineStr">
        <is>
          <t>松散-标准松散</t>
        </is>
      </c>
      <c r="P1061" s="2" t="inlineStr">
        <is>
          <t>松散-偏紧松散</t>
        </is>
      </c>
      <c r="Q1061" s="2" t="inlineStr">
        <is>
          <t>标准-偏松标准</t>
        </is>
      </c>
      <c r="R1061" s="2" t="inlineStr">
        <is>
          <t>标准-核心标准</t>
        </is>
      </c>
      <c r="S1061" s="2" t="inlineStr">
        <is>
          <t>标准-偏紧标准</t>
        </is>
      </c>
      <c r="T1061" s="2" t="inlineStr">
        <is>
          <t>紧凑-标准紧凑</t>
        </is>
      </c>
      <c r="U1061" s="2" t="inlineStr">
        <is>
          <t>紧凑-高度紧凑</t>
        </is>
      </c>
      <c r="V1061" s="2" t="inlineStr">
        <is>
          <t>紧凑-极度紧凑</t>
        </is>
      </c>
    </row>
    <row r="1062">
      <c r="A1062" s="1" t="n">
        <v>2025253</v>
      </c>
      <c r="B1062" s="3" t="inlineStr">
        <is>
          <t>693</t>
        </is>
      </c>
      <c r="C1062" s="2">
        <f>IF(B1062="","",LEFT(TEXT(B1062,"000"),1)*1)</f>
        <v/>
      </c>
      <c r="D1062" s="2">
        <f>IF(B1062="","",MID(TEXT(B1062,"000"),2,1)*1)</f>
        <v/>
      </c>
      <c r="E1062" s="2">
        <f>IF(B1062="","",RIGHT(TEXT(B1062,"000"),1)*1)</f>
        <v/>
      </c>
      <c r="F1062" s="2">
        <f>IF(B1062="","",C1062+D1062+E1062)</f>
        <v/>
      </c>
      <c r="G1062" s="2">
        <f>IF(B1062="","",MOD(F1062,10))</f>
        <v/>
      </c>
      <c r="H1062" s="2">
        <f>IF(B1062="","",MAX(C1062,D1062,E1062)-MIN(C1062,D1062,E1062))</f>
        <v/>
      </c>
      <c r="I1062" s="2">
        <f>IF(OR(B1062="",H1062=0),IF(H1062=0,0.1,""),ROUND(F1062/H1062,2))</f>
        <v/>
      </c>
      <c r="J1062" s="2">
        <f>IF(I1062=0.1,"极紧凑",IF(I1062&gt;3.5,"紧凑",IF(AND(I1062&gt;=2,I1062&lt;=3.5),"标准",IF(AND(I1062&gt;=1,I1062&lt;2),"松散",""))))</f>
        <v/>
      </c>
      <c r="K1062" s="2">
        <f>IF(I1062=0.1,"极紧凑-豹子号",IF(AND(I1062&gt;=1,I1062&lt;=1.29),"松散-极松散",IF(AND(I1062&gt;=1.33,I1062&lt;=1.8),"松散-标准松散",IF(AND(I1062&gt;=1.83,I1062&lt;=1.89),"松散-偏紧松散",IF(AND(I1062&gt;=2,I1062&lt;=2.5),"标准-偏松标准",IF(AND(I1062&gt;=2.57,I1062&lt;=3),"标准-核心标准",IF(AND(I1062&gt;=3.17,I1062&lt;=3.5),"标准-偏紧标准",IF(AND(I1062&gt;=3.6,I1062&lt;=5),"紧凑-标准紧凑",IF(AND(I1062&gt;=5.25,I1062&lt;=8),"紧凑-高度紧凑",IF(I1062&gt;=8.5,"紧凑-极度紧凑",""))))))))))</f>
        <v/>
      </c>
      <c r="L1062" s="2">
        <f>IF(I1062=0.1,"极紧凑",IF(AND(I1062&gt;=1,I1062&lt;=1.89),"松散",IF(AND(I1062&gt;=2,I1062&lt;=3.5),"标准",IF(I1062&gt;=3.6,"紧凑",""))))</f>
        <v/>
      </c>
      <c r="M1062" s="2" t="inlineStr">
        <is>
          <t>极紧凑-豹子号</t>
        </is>
      </c>
      <c r="N1062" s="2" t="inlineStr">
        <is>
          <t>松散-极松散</t>
        </is>
      </c>
      <c r="O1062" s="2" t="inlineStr">
        <is>
          <t>松散-标准松散</t>
        </is>
      </c>
      <c r="P1062" s="2" t="inlineStr">
        <is>
          <t>松散-偏紧松散</t>
        </is>
      </c>
      <c r="Q1062" s="2" t="inlineStr">
        <is>
          <t>标准-偏松标准</t>
        </is>
      </c>
      <c r="R1062" s="2" t="inlineStr">
        <is>
          <t>标准-核心标准</t>
        </is>
      </c>
      <c r="S1062" s="2" t="inlineStr">
        <is>
          <t>标准-偏紧标准</t>
        </is>
      </c>
      <c r="T1062" s="2" t="inlineStr">
        <is>
          <t>紧凑-标准紧凑</t>
        </is>
      </c>
      <c r="U1062" s="2" t="inlineStr">
        <is>
          <t>紧凑-高度紧凑</t>
        </is>
      </c>
      <c r="V1062" s="2" t="inlineStr">
        <is>
          <t>紧凑-极度紧凑</t>
        </is>
      </c>
    </row>
    <row r="1063">
      <c r="A1063" s="1" t="n">
        <v>2025254</v>
      </c>
      <c r="B1063" s="3" t="inlineStr">
        <is>
          <t>628</t>
        </is>
      </c>
      <c r="C1063" s="2">
        <f>IF(B1063="","",LEFT(TEXT(B1063,"000"),1)*1)</f>
        <v/>
      </c>
      <c r="D1063" s="2">
        <f>IF(B1063="","",MID(TEXT(B1063,"000"),2,1)*1)</f>
        <v/>
      </c>
      <c r="E1063" s="2">
        <f>IF(B1063="","",RIGHT(TEXT(B1063,"000"),1)*1)</f>
        <v/>
      </c>
      <c r="F1063" s="2">
        <f>IF(B1063="","",C1063+D1063+E1063)</f>
        <v/>
      </c>
      <c r="G1063" s="2">
        <f>IF(B1063="","",MOD(F1063,10))</f>
        <v/>
      </c>
      <c r="H1063" s="2">
        <f>IF(B1063="","",MAX(C1063,D1063,E1063)-MIN(C1063,D1063,E1063))</f>
        <v/>
      </c>
      <c r="I1063" s="2">
        <f>IF(OR(B1063="",H1063=0),IF(H1063=0,0.1,""),ROUND(F1063/H1063,2))</f>
        <v/>
      </c>
      <c r="J1063" s="2">
        <f>IF(I1063=0.1,"极紧凑",IF(I1063&gt;3.5,"紧凑",IF(AND(I1063&gt;=2,I1063&lt;=3.5),"标准",IF(AND(I1063&gt;=1,I1063&lt;2),"松散",""))))</f>
        <v/>
      </c>
      <c r="K1063" s="2">
        <f>IF(I1063=0.1,"极紧凑-豹子号",IF(AND(I1063&gt;=1,I1063&lt;=1.29),"松散-极松散",IF(AND(I1063&gt;=1.33,I1063&lt;=1.8),"松散-标准松散",IF(AND(I1063&gt;=1.83,I1063&lt;=1.89),"松散-偏紧松散",IF(AND(I1063&gt;=2,I1063&lt;=2.5),"标准-偏松标准",IF(AND(I1063&gt;=2.57,I1063&lt;=3),"标准-核心标准",IF(AND(I1063&gt;=3.17,I1063&lt;=3.5),"标准-偏紧标准",IF(AND(I1063&gt;=3.6,I1063&lt;=5),"紧凑-标准紧凑",IF(AND(I1063&gt;=5.25,I1063&lt;=8),"紧凑-高度紧凑",IF(I1063&gt;=8.5,"紧凑-极度紧凑",""))))))))))</f>
        <v/>
      </c>
      <c r="L1063" s="2">
        <f>IF(I1063=0.1,"极紧凑",IF(AND(I1063&gt;=1,I1063&lt;=1.89),"松散",IF(AND(I1063&gt;=2,I1063&lt;=3.5),"标准",IF(I1063&gt;=3.6,"紧凑",""))))</f>
        <v/>
      </c>
      <c r="M1063" s="2" t="inlineStr">
        <is>
          <t>极紧凑-豹子号</t>
        </is>
      </c>
      <c r="N1063" s="2" t="inlineStr">
        <is>
          <t>松散-极松散</t>
        </is>
      </c>
      <c r="O1063" s="2" t="inlineStr">
        <is>
          <t>松散-标准松散</t>
        </is>
      </c>
      <c r="P1063" s="2" t="inlineStr">
        <is>
          <t>松散-偏紧松散</t>
        </is>
      </c>
      <c r="Q1063" s="2" t="inlineStr">
        <is>
          <t>标准-偏松标准</t>
        </is>
      </c>
      <c r="R1063" s="2" t="inlineStr">
        <is>
          <t>标准-核心标准</t>
        </is>
      </c>
      <c r="S1063" s="2" t="inlineStr">
        <is>
          <t>标准-偏紧标准</t>
        </is>
      </c>
      <c r="T1063" s="2" t="inlineStr">
        <is>
          <t>紧凑-标准紧凑</t>
        </is>
      </c>
      <c r="U1063" s="2" t="inlineStr">
        <is>
          <t>紧凑-高度紧凑</t>
        </is>
      </c>
      <c r="V1063" s="2" t="inlineStr">
        <is>
          <t>紧凑-极度紧凑</t>
        </is>
      </c>
    </row>
    <row r="1064">
      <c r="A1064" s="1" t="n">
        <v>2025255</v>
      </c>
      <c r="B1064" s="3" t="inlineStr">
        <is>
          <t>583</t>
        </is>
      </c>
      <c r="C1064" s="2">
        <f>IF(B1064="","",LEFT(TEXT(B1064,"000"),1)*1)</f>
        <v/>
      </c>
      <c r="D1064" s="2">
        <f>IF(B1064="","",MID(TEXT(B1064,"000"),2,1)*1)</f>
        <v/>
      </c>
      <c r="E1064" s="2">
        <f>IF(B1064="","",RIGHT(TEXT(B1064,"000"),1)*1)</f>
        <v/>
      </c>
      <c r="F1064" s="2">
        <f>IF(B1064="","",C1064+D1064+E1064)</f>
        <v/>
      </c>
      <c r="G1064" s="2">
        <f>IF(B1064="","",MOD(F1064,10))</f>
        <v/>
      </c>
      <c r="H1064" s="2">
        <f>IF(B1064="","",MAX(C1064,D1064,E1064)-MIN(C1064,D1064,E1064))</f>
        <v/>
      </c>
      <c r="I1064" s="2">
        <f>IF(OR(B1064="",H1064=0),IF(H1064=0,0.1,""),ROUND(F1064/H1064,2))</f>
        <v/>
      </c>
      <c r="J1064" s="2">
        <f>IF(I1064=0.1,"极紧凑",IF(I1064&gt;3.5,"紧凑",IF(AND(I1064&gt;=2,I1064&lt;=3.5),"标准",IF(AND(I1064&gt;=1,I1064&lt;2),"松散",""))))</f>
        <v/>
      </c>
      <c r="K1064" s="2">
        <f>IF(I1064=0.1,"极紧凑-豹子号",IF(AND(I1064&gt;=1,I1064&lt;=1.29),"松散-极松散",IF(AND(I1064&gt;=1.33,I1064&lt;=1.8),"松散-标准松散",IF(AND(I1064&gt;=1.83,I1064&lt;=1.89),"松散-偏紧松散",IF(AND(I1064&gt;=2,I1064&lt;=2.5),"标准-偏松标准",IF(AND(I1064&gt;=2.57,I1064&lt;=3),"标准-核心标准",IF(AND(I1064&gt;=3.17,I1064&lt;=3.5),"标准-偏紧标准",IF(AND(I1064&gt;=3.6,I1064&lt;=5),"紧凑-标准紧凑",IF(AND(I1064&gt;=5.25,I1064&lt;=8),"紧凑-高度紧凑",IF(I1064&gt;=8.5,"紧凑-极度紧凑",""))))))))))</f>
        <v/>
      </c>
      <c r="L1064" s="2">
        <f>IF(I1064=0.1,"极紧凑",IF(AND(I1064&gt;=1,I1064&lt;=1.89),"松散",IF(AND(I1064&gt;=2,I1064&lt;=3.5),"标准",IF(I1064&gt;=3.6,"紧凑",""))))</f>
        <v/>
      </c>
      <c r="M1064" s="2" t="inlineStr">
        <is>
          <t>极紧凑-豹子号</t>
        </is>
      </c>
      <c r="N1064" s="2" t="inlineStr">
        <is>
          <t>松散-极松散</t>
        </is>
      </c>
      <c r="O1064" s="2" t="inlineStr">
        <is>
          <t>松散-标准松散</t>
        </is>
      </c>
      <c r="P1064" s="2" t="inlineStr">
        <is>
          <t>松散-偏紧松散</t>
        </is>
      </c>
      <c r="Q1064" s="2" t="inlineStr">
        <is>
          <t>标准-偏松标准</t>
        </is>
      </c>
      <c r="R1064" s="2" t="inlineStr">
        <is>
          <t>标准-核心标准</t>
        </is>
      </c>
      <c r="S1064" s="2" t="inlineStr">
        <is>
          <t>标准-偏紧标准</t>
        </is>
      </c>
      <c r="T1064" s="2" t="inlineStr">
        <is>
          <t>紧凑-标准紧凑</t>
        </is>
      </c>
      <c r="U1064" s="2" t="inlineStr">
        <is>
          <t>紧凑-高度紧凑</t>
        </is>
      </c>
      <c r="V1064" s="2" t="inlineStr">
        <is>
          <t>紧凑-极度紧凑</t>
        </is>
      </c>
    </row>
    <row r="1065">
      <c r="A1065" s="1" t="n">
        <v>2025256</v>
      </c>
      <c r="B1065" s="3" t="inlineStr">
        <is>
          <t>797</t>
        </is>
      </c>
      <c r="C1065" s="2">
        <f>IF(B1065="","",LEFT(TEXT(B1065,"000"),1)*1)</f>
        <v/>
      </c>
      <c r="D1065" s="2">
        <f>IF(B1065="","",MID(TEXT(B1065,"000"),2,1)*1)</f>
        <v/>
      </c>
      <c r="E1065" s="2">
        <f>IF(B1065="","",RIGHT(TEXT(B1065,"000"),1)*1)</f>
        <v/>
      </c>
      <c r="F1065" s="2">
        <f>IF(B1065="","",C1065+D1065+E1065)</f>
        <v/>
      </c>
      <c r="G1065" s="2">
        <f>IF(B1065="","",MOD(F1065,10))</f>
        <v/>
      </c>
      <c r="H1065" s="2">
        <f>IF(B1065="","",MAX(C1065,D1065,E1065)-MIN(C1065,D1065,E1065))</f>
        <v/>
      </c>
      <c r="I1065" s="2">
        <f>IF(OR(B1065="",H1065=0),IF(H1065=0,0.1,""),ROUND(F1065/H1065,2))</f>
        <v/>
      </c>
      <c r="J1065" s="2">
        <f>IF(I1065=0.1,"极紧凑",IF(I1065&gt;3.5,"紧凑",IF(AND(I1065&gt;=2,I1065&lt;=3.5),"标准",IF(AND(I1065&gt;=1,I1065&lt;2),"松散",""))))</f>
        <v/>
      </c>
      <c r="K1065" s="2">
        <f>IF(I1065=0.1,"极紧凑-豹子号",IF(AND(I1065&gt;=1,I1065&lt;=1.29),"松散-极松散",IF(AND(I1065&gt;=1.33,I1065&lt;=1.8),"松散-标准松散",IF(AND(I1065&gt;=1.83,I1065&lt;=1.89),"松散-偏紧松散",IF(AND(I1065&gt;=2,I1065&lt;=2.5),"标准-偏松标准",IF(AND(I1065&gt;=2.57,I1065&lt;=3),"标准-核心标准",IF(AND(I1065&gt;=3.17,I1065&lt;=3.5),"标准-偏紧标准",IF(AND(I1065&gt;=3.6,I1065&lt;=5),"紧凑-标准紧凑",IF(AND(I1065&gt;=5.25,I1065&lt;=8),"紧凑-高度紧凑",IF(I1065&gt;=8.5,"紧凑-极度紧凑",""))))))))))</f>
        <v/>
      </c>
      <c r="L1065" s="2">
        <f>IF(I1065=0.1,"极紧凑",IF(AND(I1065&gt;=1,I1065&lt;=1.89),"松散",IF(AND(I1065&gt;=2,I1065&lt;=3.5),"标准",IF(I1065&gt;=3.6,"紧凑",""))))</f>
        <v/>
      </c>
      <c r="M1065" s="2" t="inlineStr">
        <is>
          <t>极紧凑-豹子号</t>
        </is>
      </c>
      <c r="N1065" s="2" t="inlineStr">
        <is>
          <t>松散-极松散</t>
        </is>
      </c>
      <c r="O1065" s="2" t="inlineStr">
        <is>
          <t>松散-标准松散</t>
        </is>
      </c>
      <c r="P1065" s="2" t="inlineStr">
        <is>
          <t>松散-偏紧松散</t>
        </is>
      </c>
      <c r="Q1065" s="2" t="inlineStr">
        <is>
          <t>标准-偏松标准</t>
        </is>
      </c>
      <c r="R1065" s="2" t="inlineStr">
        <is>
          <t>标准-核心标准</t>
        </is>
      </c>
      <c r="S1065" s="2" t="inlineStr">
        <is>
          <t>标准-偏紧标准</t>
        </is>
      </c>
      <c r="T1065" s="2" t="inlineStr">
        <is>
          <t>紧凑-标准紧凑</t>
        </is>
      </c>
      <c r="U1065" s="2" t="inlineStr">
        <is>
          <t>紧凑-高度紧凑</t>
        </is>
      </c>
      <c r="V1065" s="2" t="inlineStr">
        <is>
          <t>紧凑-极度紧凑</t>
        </is>
      </c>
    </row>
    <row r="1066">
      <c r="A1066" s="1" t="n">
        <v>2025257</v>
      </c>
      <c r="B1066" s="3" t="inlineStr">
        <is>
          <t>561</t>
        </is>
      </c>
      <c r="C1066" s="2">
        <f>IF(B1066="","",LEFT(TEXT(B1066,"000"),1)*1)</f>
        <v/>
      </c>
      <c r="D1066" s="2">
        <f>IF(B1066="","",MID(TEXT(B1066,"000"),2,1)*1)</f>
        <v/>
      </c>
      <c r="E1066" s="2">
        <f>IF(B1066="","",RIGHT(TEXT(B1066,"000"),1)*1)</f>
        <v/>
      </c>
      <c r="F1066" s="2">
        <f>IF(B1066="","",C1066+D1066+E1066)</f>
        <v/>
      </c>
      <c r="G1066" s="2">
        <f>IF(B1066="","",MOD(F1066,10))</f>
        <v/>
      </c>
      <c r="H1066" s="2">
        <f>IF(B1066="","",MAX(C1066,D1066,E1066)-MIN(C1066,D1066,E1066))</f>
        <v/>
      </c>
      <c r="I1066" s="2">
        <f>IF(OR(B1066="",H1066=0),IF(H1066=0,0.1,""),ROUND(F1066/H1066,2))</f>
        <v/>
      </c>
      <c r="J1066" s="2">
        <f>IF(I1066=0.1,"极紧凑",IF(I1066&gt;3.5,"紧凑",IF(AND(I1066&gt;=2,I1066&lt;=3.5),"标准",IF(AND(I1066&gt;=1,I1066&lt;2),"松散",""))))</f>
        <v/>
      </c>
      <c r="K1066" s="2">
        <f>IF(I1066=0.1,"极紧凑-豹子号",IF(AND(I1066&gt;=1,I1066&lt;=1.29),"松散-极松散",IF(AND(I1066&gt;=1.33,I1066&lt;=1.8),"松散-标准松散",IF(AND(I1066&gt;=1.83,I1066&lt;=1.89),"松散-偏紧松散",IF(AND(I1066&gt;=2,I1066&lt;=2.5),"标准-偏松标准",IF(AND(I1066&gt;=2.57,I1066&lt;=3),"标准-核心标准",IF(AND(I1066&gt;=3.17,I1066&lt;=3.5),"标准-偏紧标准",IF(AND(I1066&gt;=3.6,I1066&lt;=5),"紧凑-标准紧凑",IF(AND(I1066&gt;=5.25,I1066&lt;=8),"紧凑-高度紧凑",IF(I1066&gt;=8.5,"紧凑-极度紧凑",""))))))))))</f>
        <v/>
      </c>
      <c r="L1066" s="2">
        <f>IF(I1066=0.1,"极紧凑",IF(AND(I1066&gt;=1,I1066&lt;=1.89),"松散",IF(AND(I1066&gt;=2,I1066&lt;=3.5),"标准",IF(I1066&gt;=3.6,"紧凑",""))))</f>
        <v/>
      </c>
      <c r="M1066" s="2" t="inlineStr">
        <is>
          <t>极紧凑-豹子号</t>
        </is>
      </c>
      <c r="N1066" s="2" t="inlineStr">
        <is>
          <t>松散-极松散</t>
        </is>
      </c>
      <c r="O1066" s="2" t="inlineStr">
        <is>
          <t>松散-标准松散</t>
        </is>
      </c>
      <c r="P1066" s="2" t="inlineStr">
        <is>
          <t>松散-偏紧松散</t>
        </is>
      </c>
      <c r="Q1066" s="2" t="inlineStr">
        <is>
          <t>标准-偏松标准</t>
        </is>
      </c>
      <c r="R1066" s="2" t="inlineStr">
        <is>
          <t>标准-核心标准</t>
        </is>
      </c>
      <c r="S1066" s="2" t="inlineStr">
        <is>
          <t>标准-偏紧标准</t>
        </is>
      </c>
      <c r="T1066" s="2" t="inlineStr">
        <is>
          <t>紧凑-标准紧凑</t>
        </is>
      </c>
      <c r="U1066" s="2" t="inlineStr">
        <is>
          <t>紧凑-高度紧凑</t>
        </is>
      </c>
      <c r="V1066" s="2" t="inlineStr">
        <is>
          <t>紧凑-极度紧凑</t>
        </is>
      </c>
    </row>
    <row r="1067">
      <c r="A1067" s="1" t="n">
        <v>2025258</v>
      </c>
      <c r="B1067" s="3" t="inlineStr">
        <is>
          <t>038</t>
        </is>
      </c>
      <c r="C1067" s="2">
        <f>IF(B1067="","",LEFT(TEXT(B1067,"000"),1)*1)</f>
        <v/>
      </c>
      <c r="D1067" s="2">
        <f>IF(B1067="","",MID(TEXT(B1067,"000"),2,1)*1)</f>
        <v/>
      </c>
      <c r="E1067" s="2">
        <f>IF(B1067="","",RIGHT(TEXT(B1067,"000"),1)*1)</f>
        <v/>
      </c>
      <c r="F1067" s="2">
        <f>IF(B1067="","",C1067+D1067+E1067)</f>
        <v/>
      </c>
      <c r="G1067" s="2">
        <f>IF(B1067="","",MOD(F1067,10))</f>
        <v/>
      </c>
      <c r="H1067" s="2">
        <f>IF(B1067="","",MAX(C1067,D1067,E1067)-MIN(C1067,D1067,E1067))</f>
        <v/>
      </c>
      <c r="I1067" s="2">
        <f>IF(OR(B1067="",H1067=0),IF(H1067=0,0.1,""),ROUND(F1067/H1067,2))</f>
        <v/>
      </c>
      <c r="J1067" s="2">
        <f>IF(I1067=0.1,"极紧凑",IF(I1067&gt;3.5,"紧凑",IF(AND(I1067&gt;=2,I1067&lt;=3.5),"标准",IF(AND(I1067&gt;=1,I1067&lt;2),"松散",""))))</f>
        <v/>
      </c>
      <c r="K1067" s="2">
        <f>IF(I1067=0.1,"极紧凑-豹子号",IF(AND(I1067&gt;=1,I1067&lt;=1.29),"松散-极松散",IF(AND(I1067&gt;=1.33,I1067&lt;=1.8),"松散-标准松散",IF(AND(I1067&gt;=1.83,I1067&lt;=1.89),"松散-偏紧松散",IF(AND(I1067&gt;=2,I1067&lt;=2.5),"标准-偏松标准",IF(AND(I1067&gt;=2.57,I1067&lt;=3),"标准-核心标准",IF(AND(I1067&gt;=3.17,I1067&lt;=3.5),"标准-偏紧标准",IF(AND(I1067&gt;=3.6,I1067&lt;=5),"紧凑-标准紧凑",IF(AND(I1067&gt;=5.25,I1067&lt;=8),"紧凑-高度紧凑",IF(I1067&gt;=8.5,"紧凑-极度紧凑",""))))))))))</f>
        <v/>
      </c>
      <c r="L1067" s="2">
        <f>IF(I1067=0.1,"极紧凑",IF(AND(I1067&gt;=1,I1067&lt;=1.89),"松散",IF(AND(I1067&gt;=2,I1067&lt;=3.5),"标准",IF(I1067&gt;=3.6,"紧凑",""))))</f>
        <v/>
      </c>
      <c r="M1067" s="2" t="inlineStr">
        <is>
          <t>极紧凑-豹子号</t>
        </is>
      </c>
      <c r="N1067" s="2" t="inlineStr">
        <is>
          <t>松散-极松散</t>
        </is>
      </c>
      <c r="O1067" s="2" t="inlineStr">
        <is>
          <t>松散-标准松散</t>
        </is>
      </c>
      <c r="P1067" s="2" t="inlineStr">
        <is>
          <t>松散-偏紧松散</t>
        </is>
      </c>
      <c r="Q1067" s="2" t="inlineStr">
        <is>
          <t>标准-偏松标准</t>
        </is>
      </c>
      <c r="R1067" s="2" t="inlineStr">
        <is>
          <t>标准-核心标准</t>
        </is>
      </c>
      <c r="S1067" s="2" t="inlineStr">
        <is>
          <t>标准-偏紧标准</t>
        </is>
      </c>
      <c r="T1067" s="2" t="inlineStr">
        <is>
          <t>紧凑-标准紧凑</t>
        </is>
      </c>
      <c r="U1067" s="2" t="inlineStr">
        <is>
          <t>紧凑-高度紧凑</t>
        </is>
      </c>
      <c r="V1067" s="2" t="inlineStr">
        <is>
          <t>紧凑-极度紧凑</t>
        </is>
      </c>
    </row>
    <row r="1068">
      <c r="A1068" s="1" t="n">
        <v>2025259</v>
      </c>
      <c r="B1068" s="3" t="inlineStr">
        <is>
          <t>420</t>
        </is>
      </c>
      <c r="C1068" s="2">
        <f>IF(B1068="","",LEFT(TEXT(B1068,"000"),1)*1)</f>
        <v/>
      </c>
      <c r="D1068" s="2">
        <f>IF(B1068="","",MID(TEXT(B1068,"000"),2,1)*1)</f>
        <v/>
      </c>
      <c r="E1068" s="2">
        <f>IF(B1068="","",RIGHT(TEXT(B1068,"000"),1)*1)</f>
        <v/>
      </c>
      <c r="F1068" s="2">
        <f>IF(B1068="","",C1068+D1068+E1068)</f>
        <v/>
      </c>
      <c r="G1068" s="2">
        <f>IF(B1068="","",MOD(F1068,10))</f>
        <v/>
      </c>
      <c r="H1068" s="2">
        <f>IF(B1068="","",MAX(C1068,D1068,E1068)-MIN(C1068,D1068,E1068))</f>
        <v/>
      </c>
      <c r="I1068" s="2">
        <f>IF(OR(B1068="",H1068=0),IF(H1068=0,0.1,""),ROUND(F1068/H1068,2))</f>
        <v/>
      </c>
      <c r="J1068" s="2">
        <f>IF(I1068=0.1,"极紧凑",IF(I1068&gt;3.5,"紧凑",IF(AND(I1068&gt;=2,I1068&lt;=3.5),"标准",IF(AND(I1068&gt;=1,I1068&lt;2),"松散",""))))</f>
        <v/>
      </c>
      <c r="K1068" s="2">
        <f>IF(I1068=0.1,"极紧凑-豹子号",IF(AND(I1068&gt;=1,I1068&lt;=1.29),"松散-极松散",IF(AND(I1068&gt;=1.33,I1068&lt;=1.8),"松散-标准松散",IF(AND(I1068&gt;=1.83,I1068&lt;=1.89),"松散-偏紧松散",IF(AND(I1068&gt;=2,I1068&lt;=2.5),"标准-偏松标准",IF(AND(I1068&gt;=2.57,I1068&lt;=3),"标准-核心标准",IF(AND(I1068&gt;=3.17,I1068&lt;=3.5),"标准-偏紧标准",IF(AND(I1068&gt;=3.6,I1068&lt;=5),"紧凑-标准紧凑",IF(AND(I1068&gt;=5.25,I1068&lt;=8),"紧凑-高度紧凑",IF(I1068&gt;=8.5,"紧凑-极度紧凑",""))))))))))</f>
        <v/>
      </c>
      <c r="L1068" s="2">
        <f>IF(I1068=0.1,"极紧凑",IF(AND(I1068&gt;=1,I1068&lt;=1.89),"松散",IF(AND(I1068&gt;=2,I1068&lt;=3.5),"标准",IF(I1068&gt;=3.6,"紧凑",""))))</f>
        <v/>
      </c>
      <c r="M1068" s="2" t="inlineStr">
        <is>
          <t>极紧凑-豹子号</t>
        </is>
      </c>
      <c r="N1068" s="2" t="inlineStr">
        <is>
          <t>松散-极松散</t>
        </is>
      </c>
      <c r="O1068" s="2" t="inlineStr">
        <is>
          <t>松散-标准松散</t>
        </is>
      </c>
      <c r="P1068" s="2" t="inlineStr">
        <is>
          <t>松散-偏紧松散</t>
        </is>
      </c>
      <c r="Q1068" s="2" t="inlineStr">
        <is>
          <t>标准-偏松标准</t>
        </is>
      </c>
      <c r="R1068" s="2" t="inlineStr">
        <is>
          <t>标准-核心标准</t>
        </is>
      </c>
      <c r="S1068" s="2" t="inlineStr">
        <is>
          <t>标准-偏紧标准</t>
        </is>
      </c>
      <c r="T1068" s="2" t="inlineStr">
        <is>
          <t>紧凑-标准紧凑</t>
        </is>
      </c>
      <c r="U1068" s="2" t="inlineStr">
        <is>
          <t>紧凑-高度紧凑</t>
        </is>
      </c>
      <c r="V1068" s="2" t="inlineStr">
        <is>
          <t>紧凑-极度紧凑</t>
        </is>
      </c>
    </row>
    <row r="1069">
      <c r="A1069" s="1" t="n">
        <v>2025260</v>
      </c>
      <c r="B1069" s="3" t="inlineStr">
        <is>
          <t>514</t>
        </is>
      </c>
      <c r="C1069" s="2">
        <f>IF(B1069="","",LEFT(TEXT(B1069,"000"),1)*1)</f>
        <v/>
      </c>
      <c r="D1069" s="2">
        <f>IF(B1069="","",MID(TEXT(B1069,"000"),2,1)*1)</f>
        <v/>
      </c>
      <c r="E1069" s="2">
        <f>IF(B1069="","",RIGHT(TEXT(B1069,"000"),1)*1)</f>
        <v/>
      </c>
      <c r="F1069" s="2">
        <f>IF(B1069="","",C1069+D1069+E1069)</f>
        <v/>
      </c>
      <c r="G1069" s="2">
        <f>IF(B1069="","",MOD(F1069,10))</f>
        <v/>
      </c>
      <c r="H1069" s="2">
        <f>IF(B1069="","",MAX(C1069,D1069,E1069)-MIN(C1069,D1069,E1069))</f>
        <v/>
      </c>
      <c r="I1069" s="2">
        <f>IF(OR(B1069="",H1069=0),IF(H1069=0,0.1,""),ROUND(F1069/H1069,2))</f>
        <v/>
      </c>
      <c r="J1069" s="2">
        <f>IF(I1069=0.1,"极紧凑",IF(I1069&gt;3.5,"紧凑",IF(AND(I1069&gt;=2,I1069&lt;=3.5),"标准",IF(AND(I1069&gt;=1,I1069&lt;2),"松散",""))))</f>
        <v/>
      </c>
      <c r="K1069" s="2">
        <f>IF(I1069=0.1,"极紧凑-豹子号",IF(AND(I1069&gt;=1,I1069&lt;=1.29),"松散-极松散",IF(AND(I1069&gt;=1.33,I1069&lt;=1.8),"松散-标准松散",IF(AND(I1069&gt;=1.83,I1069&lt;=1.89),"松散-偏紧松散",IF(AND(I1069&gt;=2,I1069&lt;=2.5),"标准-偏松标准",IF(AND(I1069&gt;=2.57,I1069&lt;=3),"标准-核心标准",IF(AND(I1069&gt;=3.17,I1069&lt;=3.5),"标准-偏紧标准",IF(AND(I1069&gt;=3.6,I1069&lt;=5),"紧凑-标准紧凑",IF(AND(I1069&gt;=5.25,I1069&lt;=8),"紧凑-高度紧凑",IF(I1069&gt;=8.5,"紧凑-极度紧凑",""))))))))))</f>
        <v/>
      </c>
      <c r="L1069" s="2">
        <f>IF(I1069=0.1,"极紧凑",IF(AND(I1069&gt;=1,I1069&lt;=1.89),"松散",IF(AND(I1069&gt;=2,I1069&lt;=3.5),"标准",IF(I1069&gt;=3.6,"紧凑",""))))</f>
        <v/>
      </c>
      <c r="M1069" s="2" t="inlineStr">
        <is>
          <t>极紧凑-豹子号</t>
        </is>
      </c>
      <c r="N1069" s="2" t="inlineStr">
        <is>
          <t>松散-极松散</t>
        </is>
      </c>
      <c r="O1069" s="2" t="inlineStr">
        <is>
          <t>松散-标准松散</t>
        </is>
      </c>
      <c r="P1069" s="2" t="inlineStr">
        <is>
          <t>松散-偏紧松散</t>
        </is>
      </c>
      <c r="Q1069" s="2" t="inlineStr">
        <is>
          <t>标准-偏松标准</t>
        </is>
      </c>
      <c r="R1069" s="2" t="inlineStr">
        <is>
          <t>标准-核心标准</t>
        </is>
      </c>
      <c r="S1069" s="2" t="inlineStr">
        <is>
          <t>标准-偏紧标准</t>
        </is>
      </c>
      <c r="T1069" s="2" t="inlineStr">
        <is>
          <t>紧凑-标准紧凑</t>
        </is>
      </c>
      <c r="U1069" s="2" t="inlineStr">
        <is>
          <t>紧凑-高度紧凑</t>
        </is>
      </c>
      <c r="V1069" s="2" t="inlineStr">
        <is>
          <t>紧凑-极度紧凑</t>
        </is>
      </c>
    </row>
    <row r="1070">
      <c r="A1070" s="1" t="n">
        <v>2025261</v>
      </c>
      <c r="B1070" s="3" t="inlineStr">
        <is>
          <t>877</t>
        </is>
      </c>
      <c r="C1070" s="2">
        <f>IF(B1070="","",LEFT(TEXT(B1070,"000"),1)*1)</f>
        <v/>
      </c>
      <c r="D1070" s="2">
        <f>IF(B1070="","",MID(TEXT(B1070,"000"),2,1)*1)</f>
        <v/>
      </c>
      <c r="E1070" s="2">
        <f>IF(B1070="","",RIGHT(TEXT(B1070,"000"),1)*1)</f>
        <v/>
      </c>
      <c r="F1070" s="2">
        <f>IF(B1070="","",C1070+D1070+E1070)</f>
        <v/>
      </c>
      <c r="G1070" s="2">
        <f>IF(B1070="","",MOD(F1070,10))</f>
        <v/>
      </c>
      <c r="H1070" s="2">
        <f>IF(B1070="","",MAX(C1070,D1070,E1070)-MIN(C1070,D1070,E1070))</f>
        <v/>
      </c>
      <c r="I1070" s="2">
        <f>IF(OR(B1070="",H1070=0),IF(H1070=0,0.1,""),ROUND(F1070/H1070,2))</f>
        <v/>
      </c>
      <c r="J1070" s="2">
        <f>IF(I1070=0.1,"极紧凑",IF(I1070&gt;3.5,"紧凑",IF(AND(I1070&gt;=2,I1070&lt;=3.5),"标准",IF(AND(I1070&gt;=1,I1070&lt;2),"松散",""))))</f>
        <v/>
      </c>
      <c r="K1070" s="2">
        <f>IF(I1070=0.1,"极紧凑-豹子号",IF(AND(I1070&gt;=1,I1070&lt;=1.29),"松散-极松散",IF(AND(I1070&gt;=1.33,I1070&lt;=1.8),"松散-标准松散",IF(AND(I1070&gt;=1.83,I1070&lt;=1.89),"松散-偏紧松散",IF(AND(I1070&gt;=2,I1070&lt;=2.5),"标准-偏松标准",IF(AND(I1070&gt;=2.57,I1070&lt;=3),"标准-核心标准",IF(AND(I1070&gt;=3.17,I1070&lt;=3.5),"标准-偏紧标准",IF(AND(I1070&gt;=3.6,I1070&lt;=5),"紧凑-标准紧凑",IF(AND(I1070&gt;=5.25,I1070&lt;=8),"紧凑-高度紧凑",IF(I1070&gt;=8.5,"紧凑-极度紧凑",""))))))))))</f>
        <v/>
      </c>
      <c r="L1070" s="2">
        <f>IF(I1070=0.1,"极紧凑",IF(AND(I1070&gt;=1,I1070&lt;=1.89),"松散",IF(AND(I1070&gt;=2,I1070&lt;=3.5),"标准",IF(I1070&gt;=3.6,"紧凑",""))))</f>
        <v/>
      </c>
      <c r="M1070" s="2" t="inlineStr">
        <is>
          <t>极紧凑-豹子号</t>
        </is>
      </c>
      <c r="N1070" s="2" t="inlineStr">
        <is>
          <t>松散-极松散</t>
        </is>
      </c>
      <c r="O1070" s="2" t="inlineStr">
        <is>
          <t>松散-标准松散</t>
        </is>
      </c>
      <c r="P1070" s="2" t="inlineStr">
        <is>
          <t>松散-偏紧松散</t>
        </is>
      </c>
      <c r="Q1070" s="2" t="inlineStr">
        <is>
          <t>标准-偏松标准</t>
        </is>
      </c>
      <c r="R1070" s="2" t="inlineStr">
        <is>
          <t>标准-核心标准</t>
        </is>
      </c>
      <c r="S1070" s="2" t="inlineStr">
        <is>
          <t>标准-偏紧标准</t>
        </is>
      </c>
      <c r="T1070" s="2" t="inlineStr">
        <is>
          <t>紧凑-标准紧凑</t>
        </is>
      </c>
      <c r="U1070" s="2" t="inlineStr">
        <is>
          <t>紧凑-高度紧凑</t>
        </is>
      </c>
      <c r="V1070" s="2" t="inlineStr">
        <is>
          <t>紧凑-极度紧凑</t>
        </is>
      </c>
    </row>
    <row r="1071">
      <c r="A1071" s="1" t="n">
        <v>2025262</v>
      </c>
      <c r="B1071" s="3" t="inlineStr">
        <is>
          <t>512</t>
        </is>
      </c>
      <c r="C1071" s="2">
        <f>IF(B1071="","",LEFT(TEXT(B1071,"000"),1)*1)</f>
        <v/>
      </c>
      <c r="D1071" s="2">
        <f>IF(B1071="","",MID(TEXT(B1071,"000"),2,1)*1)</f>
        <v/>
      </c>
      <c r="E1071" s="2">
        <f>IF(B1071="","",RIGHT(TEXT(B1071,"000"),1)*1)</f>
        <v/>
      </c>
      <c r="F1071" s="2">
        <f>IF(B1071="","",C1071+D1071+E1071)</f>
        <v/>
      </c>
      <c r="G1071" s="2">
        <f>IF(B1071="","",MOD(F1071,10))</f>
        <v/>
      </c>
      <c r="H1071" s="2">
        <f>IF(B1071="","",MAX(C1071,D1071,E1071)-MIN(C1071,D1071,E1071))</f>
        <v/>
      </c>
      <c r="I1071" s="2">
        <f>IF(OR(B1071="",H1071=0),IF(H1071=0,0.1,""),ROUND(F1071/H1071,2))</f>
        <v/>
      </c>
      <c r="J1071" s="2">
        <f>IF(I1071=0.1,"极紧凑",IF(I1071&gt;3.5,"紧凑",IF(AND(I1071&gt;=2,I1071&lt;=3.5),"标准",IF(AND(I1071&gt;=1,I1071&lt;2),"松散",""))))</f>
        <v/>
      </c>
      <c r="K1071" s="2">
        <f>IF(I1071=0.1,"极紧凑-豹子号",IF(AND(I1071&gt;=1,I1071&lt;=1.29),"松散-极松散",IF(AND(I1071&gt;=1.33,I1071&lt;=1.8),"松散-标准松散",IF(AND(I1071&gt;=1.83,I1071&lt;=1.89),"松散-偏紧松散",IF(AND(I1071&gt;=2,I1071&lt;=2.5),"标准-偏松标准",IF(AND(I1071&gt;=2.57,I1071&lt;=3),"标准-核心标准",IF(AND(I1071&gt;=3.17,I1071&lt;=3.5),"标准-偏紧标准",IF(AND(I1071&gt;=3.6,I1071&lt;=5),"紧凑-标准紧凑",IF(AND(I1071&gt;=5.25,I1071&lt;=8),"紧凑-高度紧凑",IF(I1071&gt;=8.5,"紧凑-极度紧凑",""))))))))))</f>
        <v/>
      </c>
      <c r="L1071" s="2">
        <f>IF(I1071=0.1,"极紧凑",IF(AND(I1071&gt;=1,I1071&lt;=1.89),"松散",IF(AND(I1071&gt;=2,I1071&lt;=3.5),"标准",IF(I1071&gt;=3.6,"紧凑",""))))</f>
        <v/>
      </c>
      <c r="M1071" s="2" t="inlineStr">
        <is>
          <t>极紧凑-豹子号</t>
        </is>
      </c>
      <c r="N1071" s="2" t="inlineStr">
        <is>
          <t>松散-极松散</t>
        </is>
      </c>
      <c r="O1071" s="2" t="inlineStr">
        <is>
          <t>松散-标准松散</t>
        </is>
      </c>
      <c r="P1071" s="2" t="inlineStr">
        <is>
          <t>松散-偏紧松散</t>
        </is>
      </c>
      <c r="Q1071" s="2" t="inlineStr">
        <is>
          <t>标准-偏松标准</t>
        </is>
      </c>
      <c r="R1071" s="2" t="inlineStr">
        <is>
          <t>标准-核心标准</t>
        </is>
      </c>
      <c r="S1071" s="2" t="inlineStr">
        <is>
          <t>标准-偏紧标准</t>
        </is>
      </c>
      <c r="T1071" s="2" t="inlineStr">
        <is>
          <t>紧凑-标准紧凑</t>
        </is>
      </c>
      <c r="U1071" s="2" t="inlineStr">
        <is>
          <t>紧凑-高度紧凑</t>
        </is>
      </c>
      <c r="V1071" s="2" t="inlineStr">
        <is>
          <t>紧凑-极度紧凑</t>
        </is>
      </c>
    </row>
    <row r="1072">
      <c r="A1072" s="1" t="n">
        <v>2025263</v>
      </c>
      <c r="B1072" s="3" t="inlineStr">
        <is>
          <t>148</t>
        </is>
      </c>
      <c r="C1072" s="2">
        <f>IF(B1072="","",LEFT(TEXT(B1072,"000"),1)*1)</f>
        <v/>
      </c>
      <c r="D1072" s="2">
        <f>IF(B1072="","",MID(TEXT(B1072,"000"),2,1)*1)</f>
        <v/>
      </c>
      <c r="E1072" s="2">
        <f>IF(B1072="","",RIGHT(TEXT(B1072,"000"),1)*1)</f>
        <v/>
      </c>
      <c r="F1072" s="2">
        <f>IF(B1072="","",C1072+D1072+E1072)</f>
        <v/>
      </c>
      <c r="G1072" s="2">
        <f>IF(B1072="","",MOD(F1072,10))</f>
        <v/>
      </c>
      <c r="H1072" s="2">
        <f>IF(B1072="","",MAX(C1072,D1072,E1072)-MIN(C1072,D1072,E1072))</f>
        <v/>
      </c>
      <c r="I1072" s="2">
        <f>IF(OR(B1072="",H1072=0),IF(H1072=0,0.1,""),ROUND(F1072/H1072,2))</f>
        <v/>
      </c>
      <c r="J1072" s="2">
        <f>IF(I1072=0.1,"极紧凑",IF(I1072&gt;3.5,"紧凑",IF(AND(I1072&gt;=2,I1072&lt;=3.5),"标准",IF(AND(I1072&gt;=1,I1072&lt;2),"松散",""))))</f>
        <v/>
      </c>
      <c r="K1072" s="2">
        <f>IF(I1072=0.1,"极紧凑-豹子号",IF(AND(I1072&gt;=1,I1072&lt;=1.29),"松散-极松散",IF(AND(I1072&gt;=1.33,I1072&lt;=1.8),"松散-标准松散",IF(AND(I1072&gt;=1.83,I1072&lt;=1.89),"松散-偏紧松散",IF(AND(I1072&gt;=2,I1072&lt;=2.5),"标准-偏松标准",IF(AND(I1072&gt;=2.57,I1072&lt;=3),"标准-核心标准",IF(AND(I1072&gt;=3.17,I1072&lt;=3.5),"标准-偏紧标准",IF(AND(I1072&gt;=3.6,I1072&lt;=5),"紧凑-标准紧凑",IF(AND(I1072&gt;=5.25,I1072&lt;=8),"紧凑-高度紧凑",IF(I1072&gt;=8.5,"紧凑-极度紧凑",""))))))))))</f>
        <v/>
      </c>
      <c r="L1072" s="2">
        <f>IF(I1072=0.1,"极紧凑",IF(AND(I1072&gt;=1,I1072&lt;=1.89),"松散",IF(AND(I1072&gt;=2,I1072&lt;=3.5),"标准",IF(I1072&gt;=3.6,"紧凑",""))))</f>
        <v/>
      </c>
      <c r="M1072" s="2" t="inlineStr">
        <is>
          <t>极紧凑-豹子号</t>
        </is>
      </c>
      <c r="N1072" s="2" t="inlineStr">
        <is>
          <t>松散-极松散</t>
        </is>
      </c>
      <c r="O1072" s="2" t="inlineStr">
        <is>
          <t>松散-标准松散</t>
        </is>
      </c>
      <c r="P1072" s="2" t="inlineStr">
        <is>
          <t>松散-偏紧松散</t>
        </is>
      </c>
      <c r="Q1072" s="2" t="inlineStr">
        <is>
          <t>标准-偏松标准</t>
        </is>
      </c>
      <c r="R1072" s="2" t="inlineStr">
        <is>
          <t>标准-核心标准</t>
        </is>
      </c>
      <c r="S1072" s="2" t="inlineStr">
        <is>
          <t>标准-偏紧标准</t>
        </is>
      </c>
      <c r="T1072" s="2" t="inlineStr">
        <is>
          <t>紧凑-标准紧凑</t>
        </is>
      </c>
      <c r="U1072" s="2" t="inlineStr">
        <is>
          <t>紧凑-高度紧凑</t>
        </is>
      </c>
      <c r="V1072" s="2" t="inlineStr">
        <is>
          <t>紧凑-极度紧凑</t>
        </is>
      </c>
    </row>
    <row r="1073">
      <c r="A1073" s="1" t="n">
        <v>2025264</v>
      </c>
      <c r="B1073" s="3" t="inlineStr">
        <is>
          <t>202</t>
        </is>
      </c>
      <c r="C1073" s="2">
        <f>IF(B1073="","",LEFT(TEXT(B1073,"000"),1)*1)</f>
        <v/>
      </c>
      <c r="D1073" s="2">
        <f>IF(B1073="","",MID(TEXT(B1073,"000"),2,1)*1)</f>
        <v/>
      </c>
      <c r="E1073" s="2">
        <f>IF(B1073="","",RIGHT(TEXT(B1073,"000"),1)*1)</f>
        <v/>
      </c>
      <c r="F1073" s="2">
        <f>IF(B1073="","",C1073+D1073+E1073)</f>
        <v/>
      </c>
      <c r="G1073" s="2">
        <f>IF(B1073="","",MOD(F1073,10))</f>
        <v/>
      </c>
      <c r="H1073" s="2">
        <f>IF(B1073="","",MAX(C1073,D1073,E1073)-MIN(C1073,D1073,E1073))</f>
        <v/>
      </c>
      <c r="I1073" s="2">
        <f>IF(OR(B1073="",H1073=0),IF(H1073=0,0.1,""),ROUND(F1073/H1073,2))</f>
        <v/>
      </c>
      <c r="J1073" s="2">
        <f>IF(I1073=0.1,"极紧凑",IF(I1073&gt;3.5,"紧凑",IF(AND(I1073&gt;=2,I1073&lt;=3.5),"标准",IF(AND(I1073&gt;=1,I1073&lt;2),"松散",""))))</f>
        <v/>
      </c>
      <c r="K1073" s="2">
        <f>IF(I1073=0.1,"极紧凑-豹子号",IF(AND(I1073&gt;=1,I1073&lt;=1.29),"松散-极松散",IF(AND(I1073&gt;=1.33,I1073&lt;=1.8),"松散-标准松散",IF(AND(I1073&gt;=1.83,I1073&lt;=1.89),"松散-偏紧松散",IF(AND(I1073&gt;=2,I1073&lt;=2.5),"标准-偏松标准",IF(AND(I1073&gt;=2.57,I1073&lt;=3),"标准-核心标准",IF(AND(I1073&gt;=3.17,I1073&lt;=3.5),"标准-偏紧标准",IF(AND(I1073&gt;=3.6,I1073&lt;=5),"紧凑-标准紧凑",IF(AND(I1073&gt;=5.25,I1073&lt;=8),"紧凑-高度紧凑",IF(I1073&gt;=8.5,"紧凑-极度紧凑",""))))))))))</f>
        <v/>
      </c>
      <c r="L1073" s="2">
        <f>IF(I1073=0.1,"极紧凑",IF(AND(I1073&gt;=1,I1073&lt;=1.89),"松散",IF(AND(I1073&gt;=2,I1073&lt;=3.5),"标准",IF(I1073&gt;=3.6,"紧凑",""))))</f>
        <v/>
      </c>
      <c r="M1073" s="2" t="inlineStr">
        <is>
          <t>极紧凑-豹子号</t>
        </is>
      </c>
      <c r="N1073" s="2" t="inlineStr">
        <is>
          <t>松散-极松散</t>
        </is>
      </c>
      <c r="O1073" s="2" t="inlineStr">
        <is>
          <t>松散-标准松散</t>
        </is>
      </c>
      <c r="P1073" s="2" t="inlineStr">
        <is>
          <t>松散-偏紧松散</t>
        </is>
      </c>
      <c r="Q1073" s="2" t="inlineStr">
        <is>
          <t>标准-偏松标准</t>
        </is>
      </c>
      <c r="R1073" s="2" t="inlineStr">
        <is>
          <t>标准-核心标准</t>
        </is>
      </c>
      <c r="S1073" s="2" t="inlineStr">
        <is>
          <t>标准-偏紧标准</t>
        </is>
      </c>
      <c r="T1073" s="2" t="inlineStr">
        <is>
          <t>紧凑-标准紧凑</t>
        </is>
      </c>
      <c r="U1073" s="2" t="inlineStr">
        <is>
          <t>紧凑-高度紧凑</t>
        </is>
      </c>
      <c r="V1073" s="2" t="inlineStr">
        <is>
          <t>紧凑-极度紧凑</t>
        </is>
      </c>
    </row>
    <row r="1074">
      <c r="A1074" s="1" t="n">
        <v>2025265</v>
      </c>
      <c r="B1074" s="3" t="inlineStr">
        <is>
          <t>281</t>
        </is>
      </c>
      <c r="C1074" s="2">
        <f>IF(B1074="","",LEFT(TEXT(B1074,"000"),1)*1)</f>
        <v/>
      </c>
      <c r="D1074" s="2">
        <f>IF(B1074="","",MID(TEXT(B1074,"000"),2,1)*1)</f>
        <v/>
      </c>
      <c r="E1074" s="2">
        <f>IF(B1074="","",RIGHT(TEXT(B1074,"000"),1)*1)</f>
        <v/>
      </c>
      <c r="F1074" s="2">
        <f>IF(B1074="","",C1074+D1074+E1074)</f>
        <v/>
      </c>
      <c r="G1074" s="2">
        <f>IF(B1074="","",MOD(F1074,10))</f>
        <v/>
      </c>
      <c r="H1074" s="2">
        <f>IF(B1074="","",MAX(C1074,D1074,E1074)-MIN(C1074,D1074,E1074))</f>
        <v/>
      </c>
      <c r="I1074" s="2">
        <f>IF(OR(B1074="",H1074=0),IF(H1074=0,0.1,""),ROUND(F1074/H1074,2))</f>
        <v/>
      </c>
      <c r="J1074" s="2">
        <f>IF(I1074=0.1,"极紧凑",IF(I1074&gt;3.5,"紧凑",IF(AND(I1074&gt;=2,I1074&lt;=3.5),"标准",IF(AND(I1074&gt;=1,I1074&lt;2),"松散",""))))</f>
        <v/>
      </c>
      <c r="K1074" s="2">
        <f>IF(I1074=0.1,"极紧凑-豹子号",IF(AND(I1074&gt;=1,I1074&lt;=1.29),"松散-极松散",IF(AND(I1074&gt;=1.33,I1074&lt;=1.8),"松散-标准松散",IF(AND(I1074&gt;=1.83,I1074&lt;=1.89),"松散-偏紧松散",IF(AND(I1074&gt;=2,I1074&lt;=2.5),"标准-偏松标准",IF(AND(I1074&gt;=2.57,I1074&lt;=3),"标准-核心标准",IF(AND(I1074&gt;=3.17,I1074&lt;=3.5),"标准-偏紧标准",IF(AND(I1074&gt;=3.6,I1074&lt;=5),"紧凑-标准紧凑",IF(AND(I1074&gt;=5.25,I1074&lt;=8),"紧凑-高度紧凑",IF(I1074&gt;=8.5,"紧凑-极度紧凑",""))))))))))</f>
        <v/>
      </c>
      <c r="L1074" s="2">
        <f>IF(I1074=0.1,"极紧凑",IF(AND(I1074&gt;=1,I1074&lt;=1.89),"松散",IF(AND(I1074&gt;=2,I1074&lt;=3.5),"标准",IF(I1074&gt;=3.6,"紧凑",""))))</f>
        <v/>
      </c>
      <c r="M1074" s="2" t="inlineStr">
        <is>
          <t>极紧凑-豹子号</t>
        </is>
      </c>
      <c r="N1074" s="2" t="inlineStr">
        <is>
          <t>松散-极松散</t>
        </is>
      </c>
      <c r="O1074" s="2" t="inlineStr">
        <is>
          <t>松散-标准松散</t>
        </is>
      </c>
      <c r="P1074" s="2" t="inlineStr">
        <is>
          <t>松散-偏紧松散</t>
        </is>
      </c>
      <c r="Q1074" s="2" t="inlineStr">
        <is>
          <t>标准-偏松标准</t>
        </is>
      </c>
      <c r="R1074" s="2" t="inlineStr">
        <is>
          <t>标准-核心标准</t>
        </is>
      </c>
      <c r="S1074" s="2" t="inlineStr">
        <is>
          <t>标准-偏紧标准</t>
        </is>
      </c>
      <c r="T1074" s="2" t="inlineStr">
        <is>
          <t>紧凑-标准紧凑</t>
        </is>
      </c>
      <c r="U1074" s="2" t="inlineStr">
        <is>
          <t>紧凑-高度紧凑</t>
        </is>
      </c>
      <c r="V1074" s="2" t="inlineStr">
        <is>
          <t>紧凑-极度紧凑</t>
        </is>
      </c>
    </row>
    <row r="1075">
      <c r="A1075" s="1" t="n">
        <v>2025266</v>
      </c>
      <c r="B1075" s="3" t="inlineStr">
        <is>
          <t>742</t>
        </is>
      </c>
      <c r="C1075" s="2">
        <f>IF(B1075="","",LEFT(TEXT(B1075,"000"),1)*1)</f>
        <v/>
      </c>
      <c r="D1075" s="2">
        <f>IF(B1075="","",MID(TEXT(B1075,"000"),2,1)*1)</f>
        <v/>
      </c>
      <c r="E1075" s="2">
        <f>IF(B1075="","",RIGHT(TEXT(B1075,"000"),1)*1)</f>
        <v/>
      </c>
      <c r="F1075" s="2">
        <f>IF(B1075="","",C1075+D1075+E1075)</f>
        <v/>
      </c>
      <c r="G1075" s="2">
        <f>IF(B1075="","",MOD(F1075,10))</f>
        <v/>
      </c>
      <c r="H1075" s="2">
        <f>IF(B1075="","",MAX(C1075,D1075,E1075)-MIN(C1075,D1075,E1075))</f>
        <v/>
      </c>
      <c r="I1075" s="2">
        <f>IF(OR(B1075="",H1075=0),IF(H1075=0,0.1,""),ROUND(F1075/H1075,2))</f>
        <v/>
      </c>
      <c r="J1075" s="2">
        <f>IF(I1075=0.1,"极紧凑",IF(I1075&gt;3.5,"紧凑",IF(AND(I1075&gt;=2,I1075&lt;=3.5),"标准",IF(AND(I1075&gt;=1,I1075&lt;2),"松散",""))))</f>
        <v/>
      </c>
      <c r="K1075" s="2">
        <f>IF(I1075=0.1,"极紧凑-豹子号",IF(AND(I1075&gt;=1,I1075&lt;=1.29),"松散-极松散",IF(AND(I1075&gt;=1.33,I1075&lt;=1.8),"松散-标准松散",IF(AND(I1075&gt;=1.83,I1075&lt;=1.89),"松散-偏紧松散",IF(AND(I1075&gt;=2,I1075&lt;=2.5),"标准-偏松标准",IF(AND(I1075&gt;=2.57,I1075&lt;=3),"标准-核心标准",IF(AND(I1075&gt;=3.17,I1075&lt;=3.5),"标准-偏紧标准",IF(AND(I1075&gt;=3.6,I1075&lt;=5),"紧凑-标准紧凑",IF(AND(I1075&gt;=5.25,I1075&lt;=8),"紧凑-高度紧凑",IF(I1075&gt;=8.5,"紧凑-极度紧凑",""))))))))))</f>
        <v/>
      </c>
      <c r="L1075" s="2">
        <f>IF(I1075=0.1,"极紧凑",IF(AND(I1075&gt;=1,I1075&lt;=1.89),"松散",IF(AND(I1075&gt;=2,I1075&lt;=3.5),"标准",IF(I1075&gt;=3.6,"紧凑",""))))</f>
        <v/>
      </c>
      <c r="M1075" s="2" t="inlineStr">
        <is>
          <t>极紧凑-豹子号</t>
        </is>
      </c>
      <c r="N1075" s="2" t="inlineStr">
        <is>
          <t>松散-极松散</t>
        </is>
      </c>
      <c r="O1075" s="2" t="inlineStr">
        <is>
          <t>松散-标准松散</t>
        </is>
      </c>
      <c r="P1075" s="2" t="inlineStr">
        <is>
          <t>松散-偏紧松散</t>
        </is>
      </c>
      <c r="Q1075" s="2" t="inlineStr">
        <is>
          <t>标准-偏松标准</t>
        </is>
      </c>
      <c r="R1075" s="2" t="inlineStr">
        <is>
          <t>标准-核心标准</t>
        </is>
      </c>
      <c r="S1075" s="2" t="inlineStr">
        <is>
          <t>标准-偏紧标准</t>
        </is>
      </c>
      <c r="T1075" s="2" t="inlineStr">
        <is>
          <t>紧凑-标准紧凑</t>
        </is>
      </c>
      <c r="U1075" s="2" t="inlineStr">
        <is>
          <t>紧凑-高度紧凑</t>
        </is>
      </c>
      <c r="V1075" s="2" t="inlineStr">
        <is>
          <t>紧凑-极度紧凑</t>
        </is>
      </c>
    </row>
    <row r="1076">
      <c r="A1076" s="1" t="n">
        <v>2025267</v>
      </c>
      <c r="B1076" s="3" t="inlineStr">
        <is>
          <t>856</t>
        </is>
      </c>
      <c r="C1076" s="2">
        <f>IF(B1076="","",LEFT(TEXT(B1076,"000"),1)*1)</f>
        <v/>
      </c>
      <c r="D1076" s="2">
        <f>IF(B1076="","",MID(TEXT(B1076,"000"),2,1)*1)</f>
        <v/>
      </c>
      <c r="E1076" s="2">
        <f>IF(B1076="","",RIGHT(TEXT(B1076,"000"),1)*1)</f>
        <v/>
      </c>
      <c r="F1076" s="2">
        <f>IF(B1076="","",C1076+D1076+E1076)</f>
        <v/>
      </c>
      <c r="G1076" s="2">
        <f>IF(B1076="","",MOD(F1076,10))</f>
        <v/>
      </c>
      <c r="H1076" s="2">
        <f>IF(B1076="","",MAX(C1076,D1076,E1076)-MIN(C1076,D1076,E1076))</f>
        <v/>
      </c>
      <c r="I1076" s="2">
        <f>IF(OR(B1076="",H1076=0),IF(H1076=0,0.1,""),ROUND(F1076/H1076,2))</f>
        <v/>
      </c>
      <c r="J1076" s="2">
        <f>IF(I1076=0.1,"极紧凑",IF(I1076&gt;3.5,"紧凑",IF(AND(I1076&gt;=2,I1076&lt;=3.5),"标准",IF(AND(I1076&gt;=1,I1076&lt;2),"松散",""))))</f>
        <v/>
      </c>
      <c r="K1076" s="2">
        <f>IF(I1076=0.1,"极紧凑-豹子号",IF(AND(I1076&gt;=1,I1076&lt;=1.29),"松散-极松散",IF(AND(I1076&gt;=1.33,I1076&lt;=1.8),"松散-标准松散",IF(AND(I1076&gt;=1.83,I1076&lt;=1.89),"松散-偏紧松散",IF(AND(I1076&gt;=2,I1076&lt;=2.5),"标准-偏松标准",IF(AND(I1076&gt;=2.57,I1076&lt;=3),"标准-核心标准",IF(AND(I1076&gt;=3.17,I1076&lt;=3.5),"标准-偏紧标准",IF(AND(I1076&gt;=3.6,I1076&lt;=5),"紧凑-标准紧凑",IF(AND(I1076&gt;=5.25,I1076&lt;=8),"紧凑-高度紧凑",IF(I1076&gt;=8.5,"紧凑-极度紧凑",""))))))))))</f>
        <v/>
      </c>
      <c r="L1076" s="2">
        <f>IF(I1076=0.1,"极紧凑",IF(AND(I1076&gt;=1,I1076&lt;=1.89),"松散",IF(AND(I1076&gt;=2,I1076&lt;=3.5),"标准",IF(I1076&gt;=3.6,"紧凑",""))))</f>
        <v/>
      </c>
      <c r="M1076" s="2" t="inlineStr">
        <is>
          <t>极紧凑-豹子号</t>
        </is>
      </c>
      <c r="N1076" s="2" t="inlineStr">
        <is>
          <t>松散-极松散</t>
        </is>
      </c>
      <c r="O1076" s="2" t="inlineStr">
        <is>
          <t>松散-标准松散</t>
        </is>
      </c>
      <c r="P1076" s="2" t="inlineStr">
        <is>
          <t>松散-偏紧松散</t>
        </is>
      </c>
      <c r="Q1076" s="2" t="inlineStr">
        <is>
          <t>标准-偏松标准</t>
        </is>
      </c>
      <c r="R1076" s="2" t="inlineStr">
        <is>
          <t>标准-核心标准</t>
        </is>
      </c>
      <c r="S1076" s="2" t="inlineStr">
        <is>
          <t>标准-偏紧标准</t>
        </is>
      </c>
      <c r="T1076" s="2" t="inlineStr">
        <is>
          <t>紧凑-标准紧凑</t>
        </is>
      </c>
      <c r="U1076" s="2" t="inlineStr">
        <is>
          <t>紧凑-高度紧凑</t>
        </is>
      </c>
      <c r="V1076" s="2" t="inlineStr">
        <is>
          <t>紧凑-极度紧凑</t>
        </is>
      </c>
    </row>
    <row r="1077">
      <c r="A1077" s="1" t="n">
        <v>2025268</v>
      </c>
      <c r="B1077" s="3" t="inlineStr">
        <is>
          <t>321</t>
        </is>
      </c>
      <c r="C1077" s="2">
        <f>IF(B1077="","",LEFT(TEXT(B1077,"000"),1)*1)</f>
        <v/>
      </c>
      <c r="D1077" s="2">
        <f>IF(B1077="","",MID(TEXT(B1077,"000"),2,1)*1)</f>
        <v/>
      </c>
      <c r="E1077" s="2">
        <f>IF(B1077="","",RIGHT(TEXT(B1077,"000"),1)*1)</f>
        <v/>
      </c>
      <c r="F1077" s="2">
        <f>IF(B1077="","",C1077+D1077+E1077)</f>
        <v/>
      </c>
      <c r="G1077" s="2">
        <f>IF(B1077="","",MOD(F1077,10))</f>
        <v/>
      </c>
      <c r="H1077" s="2">
        <f>IF(B1077="","",MAX(C1077,D1077,E1077)-MIN(C1077,D1077,E1077))</f>
        <v/>
      </c>
      <c r="I1077" s="2">
        <f>IF(OR(B1077="",H1077=0),IF(H1077=0,0.1,""),ROUND(F1077/H1077,2))</f>
        <v/>
      </c>
      <c r="J1077" s="2">
        <f>IF(I1077=0.1,"极紧凑",IF(I1077&gt;3.5,"紧凑",IF(AND(I1077&gt;=2,I1077&lt;=3.5),"标准",IF(AND(I1077&gt;=1,I1077&lt;2),"松散",""))))</f>
        <v/>
      </c>
      <c r="K1077" s="2">
        <f>IF(I1077=0.1,"极紧凑-豹子号",IF(AND(I1077&gt;=1,I1077&lt;=1.29),"松散-极松散",IF(AND(I1077&gt;=1.33,I1077&lt;=1.8),"松散-标准松散",IF(AND(I1077&gt;=1.83,I1077&lt;=1.89),"松散-偏紧松散",IF(AND(I1077&gt;=2,I1077&lt;=2.5),"标准-偏松标准",IF(AND(I1077&gt;=2.57,I1077&lt;=3),"标准-核心标准",IF(AND(I1077&gt;=3.17,I1077&lt;=3.5),"标准-偏紧标准",IF(AND(I1077&gt;=3.6,I1077&lt;=5),"紧凑-标准紧凑",IF(AND(I1077&gt;=5.25,I1077&lt;=8),"紧凑-高度紧凑",IF(I1077&gt;=8.5,"紧凑-极度紧凑",""))))))))))</f>
        <v/>
      </c>
      <c r="L1077" s="2">
        <f>IF(I1077=0.1,"极紧凑",IF(AND(I1077&gt;=1,I1077&lt;=1.89),"松散",IF(AND(I1077&gt;=2,I1077&lt;=3.5),"标准",IF(I1077&gt;=3.6,"紧凑",""))))</f>
        <v/>
      </c>
      <c r="M1077" s="2" t="inlineStr">
        <is>
          <t>极紧凑-豹子号</t>
        </is>
      </c>
      <c r="N1077" s="2" t="inlineStr">
        <is>
          <t>松散-极松散</t>
        </is>
      </c>
      <c r="O1077" s="2" t="inlineStr">
        <is>
          <t>松散-标准松散</t>
        </is>
      </c>
      <c r="P1077" s="2" t="inlineStr">
        <is>
          <t>松散-偏紧松散</t>
        </is>
      </c>
      <c r="Q1077" s="2" t="inlineStr">
        <is>
          <t>标准-偏松标准</t>
        </is>
      </c>
      <c r="R1077" s="2" t="inlineStr">
        <is>
          <t>标准-核心标准</t>
        </is>
      </c>
      <c r="S1077" s="2" t="inlineStr">
        <is>
          <t>标准-偏紧标准</t>
        </is>
      </c>
      <c r="T1077" s="2" t="inlineStr">
        <is>
          <t>紧凑-标准紧凑</t>
        </is>
      </c>
      <c r="U1077" s="2" t="inlineStr">
        <is>
          <t>紧凑-高度紧凑</t>
        </is>
      </c>
      <c r="V1077" s="2" t="inlineStr">
        <is>
          <t>紧凑-极度紧凑</t>
        </is>
      </c>
    </row>
    <row r="1078">
      <c r="A1078" s="1" t="n">
        <v>2025269</v>
      </c>
      <c r="B1078" s="3" t="inlineStr">
        <is>
          <t>875</t>
        </is>
      </c>
      <c r="C1078" s="2">
        <f>IF(B1078="","",LEFT(TEXT(B1078,"000"),1)*1)</f>
        <v/>
      </c>
      <c r="D1078" s="2">
        <f>IF(B1078="","",MID(TEXT(B1078,"000"),2,1)*1)</f>
        <v/>
      </c>
      <c r="E1078" s="2">
        <f>IF(B1078="","",RIGHT(TEXT(B1078,"000"),1)*1)</f>
        <v/>
      </c>
      <c r="F1078" s="2">
        <f>IF(B1078="","",C1078+D1078+E1078)</f>
        <v/>
      </c>
      <c r="G1078" s="2">
        <f>IF(B1078="","",MOD(F1078,10))</f>
        <v/>
      </c>
      <c r="H1078" s="2">
        <f>IF(B1078="","",MAX(C1078,D1078,E1078)-MIN(C1078,D1078,E1078))</f>
        <v/>
      </c>
      <c r="I1078" s="2">
        <f>IF(OR(B1078="",H1078=0),IF(H1078=0,0.1,""),ROUND(F1078/H1078,2))</f>
        <v/>
      </c>
      <c r="J1078" s="2">
        <f>IF(I1078=0.1,"极紧凑",IF(I1078&gt;3.5,"紧凑",IF(AND(I1078&gt;=2,I1078&lt;=3.5),"标准",IF(AND(I1078&gt;=1,I1078&lt;2),"松散",""))))</f>
        <v/>
      </c>
      <c r="K1078" s="2">
        <f>IF(I1078=0.1,"极紧凑-豹子号",IF(AND(I1078&gt;=1,I1078&lt;=1.29),"松散-极松散",IF(AND(I1078&gt;=1.33,I1078&lt;=1.8),"松散-标准松散",IF(AND(I1078&gt;=1.83,I1078&lt;=1.89),"松散-偏紧松散",IF(AND(I1078&gt;=2,I1078&lt;=2.5),"标准-偏松标准",IF(AND(I1078&gt;=2.57,I1078&lt;=3),"标准-核心标准",IF(AND(I1078&gt;=3.17,I1078&lt;=3.5),"标准-偏紧标准",IF(AND(I1078&gt;=3.6,I1078&lt;=5),"紧凑-标准紧凑",IF(AND(I1078&gt;=5.25,I1078&lt;=8),"紧凑-高度紧凑",IF(I1078&gt;=8.5,"紧凑-极度紧凑",""))))))))))</f>
        <v/>
      </c>
      <c r="L1078" s="2">
        <f>IF(I1078=0.1,"极紧凑",IF(AND(I1078&gt;=1,I1078&lt;=1.89),"松散",IF(AND(I1078&gt;=2,I1078&lt;=3.5),"标准",IF(I1078&gt;=3.6,"紧凑",""))))</f>
        <v/>
      </c>
      <c r="M1078" s="2" t="inlineStr">
        <is>
          <t>极紧凑-豹子号</t>
        </is>
      </c>
      <c r="N1078" s="2" t="inlineStr">
        <is>
          <t>松散-极松散</t>
        </is>
      </c>
      <c r="O1078" s="2" t="inlineStr">
        <is>
          <t>松散-标准松散</t>
        </is>
      </c>
      <c r="P1078" s="2" t="inlineStr">
        <is>
          <t>松散-偏紧松散</t>
        </is>
      </c>
      <c r="Q1078" s="2" t="inlineStr">
        <is>
          <t>标准-偏松标准</t>
        </is>
      </c>
      <c r="R1078" s="2" t="inlineStr">
        <is>
          <t>标准-核心标准</t>
        </is>
      </c>
      <c r="S1078" s="2" t="inlineStr">
        <is>
          <t>标准-偏紧标准</t>
        </is>
      </c>
      <c r="T1078" s="2" t="inlineStr">
        <is>
          <t>紧凑-标准紧凑</t>
        </is>
      </c>
      <c r="U1078" s="2" t="inlineStr">
        <is>
          <t>紧凑-高度紧凑</t>
        </is>
      </c>
      <c r="V1078" s="2" t="inlineStr">
        <is>
          <t>紧凑-极度紧凑</t>
        </is>
      </c>
    </row>
    <row r="1079">
      <c r="A1079" s="1" t="n">
        <v>2025270</v>
      </c>
      <c r="B1079" s="3" t="inlineStr">
        <is>
          <t>018</t>
        </is>
      </c>
      <c r="C1079" s="2">
        <f>IF(B1079="","",LEFT(TEXT(B1079,"000"),1)*1)</f>
        <v/>
      </c>
      <c r="D1079" s="2">
        <f>IF(B1079="","",MID(TEXT(B1079,"000"),2,1)*1)</f>
        <v/>
      </c>
      <c r="E1079" s="2">
        <f>IF(B1079="","",RIGHT(TEXT(B1079,"000"),1)*1)</f>
        <v/>
      </c>
      <c r="F1079" s="2">
        <f>IF(B1079="","",C1079+D1079+E1079)</f>
        <v/>
      </c>
      <c r="G1079" s="2">
        <f>IF(B1079="","",MOD(F1079,10))</f>
        <v/>
      </c>
      <c r="H1079" s="2">
        <f>IF(B1079="","",MAX(C1079,D1079,E1079)-MIN(C1079,D1079,E1079))</f>
        <v/>
      </c>
      <c r="I1079" s="2">
        <f>IF(OR(B1079="",H1079=0),IF(H1079=0,0.1,""),ROUND(F1079/H1079,2))</f>
        <v/>
      </c>
      <c r="J1079" s="2">
        <f>IF(I1079=0.1,"极紧凑",IF(I1079&gt;3.5,"紧凑",IF(AND(I1079&gt;=2,I1079&lt;=3.5),"标准",IF(AND(I1079&gt;=1,I1079&lt;2),"松散",""))))</f>
        <v/>
      </c>
      <c r="K1079" s="2">
        <f>IF(I1079=0.1,"极紧凑-豹子号",IF(AND(I1079&gt;=1,I1079&lt;=1.29),"松散-极松散",IF(AND(I1079&gt;=1.33,I1079&lt;=1.8),"松散-标准松散",IF(AND(I1079&gt;=1.83,I1079&lt;=1.89),"松散-偏紧松散",IF(AND(I1079&gt;=2,I1079&lt;=2.5),"标准-偏松标准",IF(AND(I1079&gt;=2.57,I1079&lt;=3),"标准-核心标准",IF(AND(I1079&gt;=3.17,I1079&lt;=3.5),"标准-偏紧标准",IF(AND(I1079&gt;=3.6,I1079&lt;=5),"紧凑-标准紧凑",IF(AND(I1079&gt;=5.25,I1079&lt;=8),"紧凑-高度紧凑",IF(I1079&gt;=8.5,"紧凑-极度紧凑",""))))))))))</f>
        <v/>
      </c>
      <c r="L1079" s="2">
        <f>IF(I1079=0.1,"极紧凑",IF(AND(I1079&gt;=1,I1079&lt;=1.89),"松散",IF(AND(I1079&gt;=2,I1079&lt;=3.5),"标准",IF(I1079&gt;=3.6,"紧凑",""))))</f>
        <v/>
      </c>
      <c r="M1079" s="2" t="inlineStr">
        <is>
          <t>极紧凑-豹子号</t>
        </is>
      </c>
      <c r="N1079" s="2" t="inlineStr">
        <is>
          <t>松散-极松散</t>
        </is>
      </c>
      <c r="O1079" s="2" t="inlineStr">
        <is>
          <t>松散-标准松散</t>
        </is>
      </c>
      <c r="P1079" s="2" t="inlineStr">
        <is>
          <t>松散-偏紧松散</t>
        </is>
      </c>
      <c r="Q1079" s="2" t="inlineStr">
        <is>
          <t>标准-偏松标准</t>
        </is>
      </c>
      <c r="R1079" s="2" t="inlineStr">
        <is>
          <t>标准-核心标准</t>
        </is>
      </c>
      <c r="S1079" s="2" t="inlineStr">
        <is>
          <t>标准-偏紧标准</t>
        </is>
      </c>
      <c r="T1079" s="2" t="inlineStr">
        <is>
          <t>紧凑-标准紧凑</t>
        </is>
      </c>
      <c r="U1079" s="2" t="inlineStr">
        <is>
          <t>紧凑-高度紧凑</t>
        </is>
      </c>
      <c r="V1079" s="2" t="inlineStr">
        <is>
          <t>紧凑-极度紧凑</t>
        </is>
      </c>
    </row>
    <row r="1080">
      <c r="A1080" s="1" t="n">
        <v>2025271</v>
      </c>
      <c r="B1080" s="3" t="inlineStr">
        <is>
          <t>898</t>
        </is>
      </c>
      <c r="C1080" s="2">
        <f>IF(B1080="","",LEFT(TEXT(B1080,"000"),1)*1)</f>
        <v/>
      </c>
      <c r="D1080" s="2">
        <f>IF(B1080="","",MID(TEXT(B1080,"000"),2,1)*1)</f>
        <v/>
      </c>
      <c r="E1080" s="2">
        <f>IF(B1080="","",RIGHT(TEXT(B1080,"000"),1)*1)</f>
        <v/>
      </c>
      <c r="F1080" s="2">
        <f>IF(B1080="","",C1080+D1080+E1080)</f>
        <v/>
      </c>
      <c r="G1080" s="2">
        <f>IF(B1080="","",MOD(F1080,10))</f>
        <v/>
      </c>
      <c r="H1080" s="2">
        <f>IF(B1080="","",MAX(C1080,D1080,E1080)-MIN(C1080,D1080,E1080))</f>
        <v/>
      </c>
      <c r="I1080" s="2">
        <f>IF(OR(B1080="",H1080=0),IF(H1080=0,0.1,""),ROUND(F1080/H1080,2))</f>
        <v/>
      </c>
      <c r="J1080" s="2">
        <f>IF(I1080=0.1,"极紧凑",IF(I1080&gt;3.5,"紧凑",IF(AND(I1080&gt;=2,I1080&lt;=3.5),"标准",IF(AND(I1080&gt;=1,I1080&lt;2),"松散",""))))</f>
        <v/>
      </c>
      <c r="K1080" s="2">
        <f>IF(I1080=0.1,"极紧凑-豹子号",IF(AND(I1080&gt;=1,I1080&lt;=1.29),"松散-极松散",IF(AND(I1080&gt;=1.33,I1080&lt;=1.8),"松散-标准松散",IF(AND(I1080&gt;=1.83,I1080&lt;=1.89),"松散-偏紧松散",IF(AND(I1080&gt;=2,I1080&lt;=2.5),"标准-偏松标准",IF(AND(I1080&gt;=2.57,I1080&lt;=3),"标准-核心标准",IF(AND(I1080&gt;=3.17,I1080&lt;=3.5),"标准-偏紧标准",IF(AND(I1080&gt;=3.6,I1080&lt;=5),"紧凑-标准紧凑",IF(AND(I1080&gt;=5.25,I1080&lt;=8),"紧凑-高度紧凑",IF(I1080&gt;=8.5,"紧凑-极度紧凑",""))))))))))</f>
        <v/>
      </c>
      <c r="L1080" s="2">
        <f>IF(I1080=0.1,"极紧凑",IF(AND(I1080&gt;=1,I1080&lt;=1.89),"松散",IF(AND(I1080&gt;=2,I1080&lt;=3.5),"标准",IF(I1080&gt;=3.6,"紧凑",""))))</f>
        <v/>
      </c>
      <c r="M1080" s="2" t="inlineStr">
        <is>
          <t>极紧凑-豹子号</t>
        </is>
      </c>
      <c r="N1080" s="2" t="inlineStr">
        <is>
          <t>松散-极松散</t>
        </is>
      </c>
      <c r="O1080" s="2" t="inlineStr">
        <is>
          <t>松散-标准松散</t>
        </is>
      </c>
      <c r="P1080" s="2" t="inlineStr">
        <is>
          <t>松散-偏紧松散</t>
        </is>
      </c>
      <c r="Q1080" s="2" t="inlineStr">
        <is>
          <t>标准-偏松标准</t>
        </is>
      </c>
      <c r="R1080" s="2" t="inlineStr">
        <is>
          <t>标准-核心标准</t>
        </is>
      </c>
      <c r="S1080" s="2" t="inlineStr">
        <is>
          <t>标准-偏紧标准</t>
        </is>
      </c>
      <c r="T1080" s="2" t="inlineStr">
        <is>
          <t>紧凑-标准紧凑</t>
        </is>
      </c>
      <c r="U1080" s="2" t="inlineStr">
        <is>
          <t>紧凑-高度紧凑</t>
        </is>
      </c>
      <c r="V1080" s="2" t="inlineStr">
        <is>
          <t>紧凑-极度紧凑</t>
        </is>
      </c>
    </row>
    <row r="1081">
      <c r="A1081" s="1" t="n">
        <v>2025272</v>
      </c>
      <c r="B1081" s="3" t="inlineStr">
        <is>
          <t>767</t>
        </is>
      </c>
      <c r="C1081" s="2">
        <f>IF(B1081="","",LEFT(TEXT(B1081,"000"),1)*1)</f>
        <v/>
      </c>
      <c r="D1081" s="2">
        <f>IF(B1081="","",MID(TEXT(B1081,"000"),2,1)*1)</f>
        <v/>
      </c>
      <c r="E1081" s="2">
        <f>IF(B1081="","",RIGHT(TEXT(B1081,"000"),1)*1)</f>
        <v/>
      </c>
      <c r="F1081" s="2">
        <f>IF(B1081="","",C1081+D1081+E1081)</f>
        <v/>
      </c>
      <c r="G1081" s="2">
        <f>IF(B1081="","",MOD(F1081,10))</f>
        <v/>
      </c>
      <c r="H1081" s="2">
        <f>IF(B1081="","",MAX(C1081,D1081,E1081)-MIN(C1081,D1081,E1081))</f>
        <v/>
      </c>
      <c r="I1081" s="2">
        <f>IF(OR(B1081="",H1081=0),IF(H1081=0,0.1,""),ROUND(F1081/H1081,2))</f>
        <v/>
      </c>
      <c r="J1081" s="2">
        <f>IF(I1081=0.1,"极紧凑",IF(I1081&gt;3.5,"紧凑",IF(AND(I1081&gt;=2,I1081&lt;=3.5),"标准",IF(AND(I1081&gt;=1,I1081&lt;2),"松散",""))))</f>
        <v/>
      </c>
      <c r="K1081" s="2">
        <f>IF(I1081=0.1,"极紧凑-豹子号",IF(AND(I1081&gt;=1,I1081&lt;=1.29),"松散-极松散",IF(AND(I1081&gt;=1.33,I1081&lt;=1.8),"松散-标准松散",IF(AND(I1081&gt;=1.83,I1081&lt;=1.89),"松散-偏紧松散",IF(AND(I1081&gt;=2,I1081&lt;=2.5),"标准-偏松标准",IF(AND(I1081&gt;=2.57,I1081&lt;=3),"标准-核心标准",IF(AND(I1081&gt;=3.17,I1081&lt;=3.5),"标准-偏紧标准",IF(AND(I1081&gt;=3.6,I1081&lt;=5),"紧凑-标准紧凑",IF(AND(I1081&gt;=5.25,I1081&lt;=8),"紧凑-高度紧凑",IF(I1081&gt;=8.5,"紧凑-极度紧凑",""))))))))))</f>
        <v/>
      </c>
      <c r="L1081" s="2">
        <f>IF(I1081=0.1,"极紧凑",IF(AND(I1081&gt;=1,I1081&lt;=1.89),"松散",IF(AND(I1081&gt;=2,I1081&lt;=3.5),"标准",IF(I1081&gt;=3.6,"紧凑",""))))</f>
        <v/>
      </c>
      <c r="M1081" s="2" t="inlineStr">
        <is>
          <t>极紧凑-豹子号</t>
        </is>
      </c>
      <c r="N1081" s="2" t="inlineStr">
        <is>
          <t>松散-极松散</t>
        </is>
      </c>
      <c r="O1081" s="2" t="inlineStr">
        <is>
          <t>松散-标准松散</t>
        </is>
      </c>
      <c r="P1081" s="2" t="inlineStr">
        <is>
          <t>松散-偏紧松散</t>
        </is>
      </c>
      <c r="Q1081" s="2" t="inlineStr">
        <is>
          <t>标准-偏松标准</t>
        </is>
      </c>
      <c r="R1081" s="2" t="inlineStr">
        <is>
          <t>标准-核心标准</t>
        </is>
      </c>
      <c r="S1081" s="2" t="inlineStr">
        <is>
          <t>标准-偏紧标准</t>
        </is>
      </c>
      <c r="T1081" s="2" t="inlineStr">
        <is>
          <t>紧凑-标准紧凑</t>
        </is>
      </c>
      <c r="U1081" s="2" t="inlineStr">
        <is>
          <t>紧凑-高度紧凑</t>
        </is>
      </c>
      <c r="V1081" s="2" t="inlineStr">
        <is>
          <t>紧凑-极度紧凑</t>
        </is>
      </c>
    </row>
    <row r="1082">
      <c r="A1082" s="1" t="n">
        <v>2025273</v>
      </c>
      <c r="B1082" s="3" t="inlineStr">
        <is>
          <t>417</t>
        </is>
      </c>
      <c r="C1082" s="2">
        <f>IF(B1082="","",LEFT(TEXT(B1082,"000"),1)*1)</f>
        <v/>
      </c>
      <c r="D1082" s="2">
        <f>IF(B1082="","",MID(TEXT(B1082,"000"),2,1)*1)</f>
        <v/>
      </c>
      <c r="E1082" s="2">
        <f>IF(B1082="","",RIGHT(TEXT(B1082,"000"),1)*1)</f>
        <v/>
      </c>
      <c r="F1082" s="2">
        <f>IF(B1082="","",C1082+D1082+E1082)</f>
        <v/>
      </c>
      <c r="G1082" s="2">
        <f>IF(B1082="","",MOD(F1082,10))</f>
        <v/>
      </c>
      <c r="H1082" s="2">
        <f>IF(B1082="","",MAX(C1082,D1082,E1082)-MIN(C1082,D1082,E1082))</f>
        <v/>
      </c>
      <c r="I1082" s="2">
        <f>IF(OR(B1082="",H1082=0),IF(H1082=0,0.1,""),ROUND(F1082/H1082,2))</f>
        <v/>
      </c>
      <c r="J1082" s="2">
        <f>IF(I1082=0.1,"极紧凑",IF(I1082&gt;3.5,"紧凑",IF(AND(I1082&gt;=2,I1082&lt;=3.5),"标准",IF(AND(I1082&gt;=1,I1082&lt;2),"松散",""))))</f>
        <v/>
      </c>
      <c r="K1082" s="2">
        <f>IF(I1082=0.1,"极紧凑-豹子号",IF(AND(I1082&gt;=1,I1082&lt;=1.29),"松散-极松散",IF(AND(I1082&gt;=1.33,I1082&lt;=1.8),"松散-标准松散",IF(AND(I1082&gt;=1.83,I1082&lt;=1.89),"松散-偏紧松散",IF(AND(I1082&gt;=2,I1082&lt;=2.5),"标准-偏松标准",IF(AND(I1082&gt;=2.57,I1082&lt;=3),"标准-核心标准",IF(AND(I1082&gt;=3.17,I1082&lt;=3.5),"标准-偏紧标准",IF(AND(I1082&gt;=3.6,I1082&lt;=5),"紧凑-标准紧凑",IF(AND(I1082&gt;=5.25,I1082&lt;=8),"紧凑-高度紧凑",IF(I1082&gt;=8.5,"紧凑-极度紧凑",""))))))))))</f>
        <v/>
      </c>
      <c r="L1082" s="2">
        <f>IF(I1082=0.1,"极紧凑",IF(AND(I1082&gt;=1,I1082&lt;=1.89),"松散",IF(AND(I1082&gt;=2,I1082&lt;=3.5),"标准",IF(I1082&gt;=3.6,"紧凑",""))))</f>
        <v/>
      </c>
      <c r="M1082" s="2" t="inlineStr">
        <is>
          <t>极紧凑-豹子号</t>
        </is>
      </c>
      <c r="N1082" s="2" t="inlineStr">
        <is>
          <t>松散-极松散</t>
        </is>
      </c>
      <c r="O1082" s="2" t="inlineStr">
        <is>
          <t>松散-标准松散</t>
        </is>
      </c>
      <c r="P1082" s="2" t="inlineStr">
        <is>
          <t>松散-偏紧松散</t>
        </is>
      </c>
      <c r="Q1082" s="2" t="inlineStr">
        <is>
          <t>标准-偏松标准</t>
        </is>
      </c>
      <c r="R1082" s="2" t="inlineStr">
        <is>
          <t>标准-核心标准</t>
        </is>
      </c>
      <c r="S1082" s="2" t="inlineStr">
        <is>
          <t>标准-偏紧标准</t>
        </is>
      </c>
      <c r="T1082" s="2" t="inlineStr">
        <is>
          <t>紧凑-标准紧凑</t>
        </is>
      </c>
      <c r="U1082" s="2" t="inlineStr">
        <is>
          <t>紧凑-高度紧凑</t>
        </is>
      </c>
      <c r="V1082" s="2" t="inlineStr">
        <is>
          <t>紧凑-极度紧凑</t>
        </is>
      </c>
    </row>
    <row r="1083">
      <c r="A1083" s="1" t="n">
        <v>2025274</v>
      </c>
      <c r="B1083" s="3" t="inlineStr">
        <is>
          <t>787</t>
        </is>
      </c>
      <c r="C1083" s="2">
        <f>IF(B1083="","",LEFT(TEXT(B1083,"000"),1)*1)</f>
        <v/>
      </c>
      <c r="D1083" s="2">
        <f>IF(B1083="","",MID(TEXT(B1083,"000"),2,1)*1)</f>
        <v/>
      </c>
      <c r="E1083" s="2">
        <f>IF(B1083="","",RIGHT(TEXT(B1083,"000"),1)*1)</f>
        <v/>
      </c>
      <c r="F1083" s="2">
        <f>IF(B1083="","",C1083+D1083+E1083)</f>
        <v/>
      </c>
      <c r="G1083" s="2">
        <f>IF(B1083="","",MOD(F1083,10))</f>
        <v/>
      </c>
      <c r="H1083" s="2">
        <f>IF(B1083="","",MAX(C1083,D1083,E1083)-MIN(C1083,D1083,E1083))</f>
        <v/>
      </c>
      <c r="I1083" s="2">
        <f>IF(OR(B1083="",H1083=0),IF(H1083=0,0.1,""),ROUND(F1083/H1083,2))</f>
        <v/>
      </c>
      <c r="J1083" s="2">
        <f>IF(I1083=0.1,"极紧凑",IF(I1083&gt;3.5,"紧凑",IF(AND(I1083&gt;=2,I1083&lt;=3.5),"标准",IF(AND(I1083&gt;=1,I1083&lt;2),"松散",""))))</f>
        <v/>
      </c>
      <c r="K1083" s="2">
        <f>IF(I1083=0.1,"极紧凑-豹子号",IF(AND(I1083&gt;=1,I1083&lt;=1.29),"松散-极松散",IF(AND(I1083&gt;=1.33,I1083&lt;=1.8),"松散-标准松散",IF(AND(I1083&gt;=1.83,I1083&lt;=1.89),"松散-偏紧松散",IF(AND(I1083&gt;=2,I1083&lt;=2.5),"标准-偏松标准",IF(AND(I1083&gt;=2.57,I1083&lt;=3),"标准-核心标准",IF(AND(I1083&gt;=3.17,I1083&lt;=3.5),"标准-偏紧标准",IF(AND(I1083&gt;=3.6,I1083&lt;=5),"紧凑-标准紧凑",IF(AND(I1083&gt;=5.25,I1083&lt;=8),"紧凑-高度紧凑",IF(I1083&gt;=8.5,"紧凑-极度紧凑",""))))))))))</f>
        <v/>
      </c>
      <c r="L1083" s="2">
        <f>IF(I1083=0.1,"极紧凑",IF(AND(I1083&gt;=1,I1083&lt;=1.89),"松散",IF(AND(I1083&gt;=2,I1083&lt;=3.5),"标准",IF(I1083&gt;=3.6,"紧凑",""))))</f>
        <v/>
      </c>
      <c r="M1083" s="2" t="inlineStr">
        <is>
          <t>极紧凑-豹子号</t>
        </is>
      </c>
      <c r="N1083" s="2" t="inlineStr">
        <is>
          <t>松散-极松散</t>
        </is>
      </c>
      <c r="O1083" s="2" t="inlineStr">
        <is>
          <t>松散-标准松散</t>
        </is>
      </c>
      <c r="P1083" s="2" t="inlineStr">
        <is>
          <t>松散-偏紧松散</t>
        </is>
      </c>
      <c r="Q1083" s="2" t="inlineStr">
        <is>
          <t>标准-偏松标准</t>
        </is>
      </c>
      <c r="R1083" s="2" t="inlineStr">
        <is>
          <t>标准-核心标准</t>
        </is>
      </c>
      <c r="S1083" s="2" t="inlineStr">
        <is>
          <t>标准-偏紧标准</t>
        </is>
      </c>
      <c r="T1083" s="2" t="inlineStr">
        <is>
          <t>紧凑-标准紧凑</t>
        </is>
      </c>
      <c r="U1083" s="2" t="inlineStr">
        <is>
          <t>紧凑-高度紧凑</t>
        </is>
      </c>
      <c r="V1083" s="2" t="inlineStr">
        <is>
          <t>紧凑-极度紧凑</t>
        </is>
      </c>
    </row>
    <row r="1084">
      <c r="A1084" s="1" t="n">
        <v>2025275</v>
      </c>
      <c r="B1084" s="3" t="inlineStr">
        <is>
          <t>150</t>
        </is>
      </c>
      <c r="C1084" s="2">
        <f>IF(B1084="","",LEFT(TEXT(B1084,"000"),1)*1)</f>
        <v/>
      </c>
      <c r="D1084" s="2">
        <f>IF(B1084="","",MID(TEXT(B1084,"000"),2,1)*1)</f>
        <v/>
      </c>
      <c r="E1084" s="2">
        <f>IF(B1084="","",RIGHT(TEXT(B1084,"000"),1)*1)</f>
        <v/>
      </c>
      <c r="F1084" s="2">
        <f>IF(B1084="","",C1084+D1084+E1084)</f>
        <v/>
      </c>
      <c r="G1084" s="2">
        <f>IF(B1084="","",MOD(F1084,10))</f>
        <v/>
      </c>
      <c r="H1084" s="2">
        <f>IF(B1084="","",MAX(C1084,D1084,E1084)-MIN(C1084,D1084,E1084))</f>
        <v/>
      </c>
      <c r="I1084" s="2">
        <f>IF(OR(B1084="",H1084=0),IF(H1084=0,0.1,""),ROUND(F1084/H1084,2))</f>
        <v/>
      </c>
      <c r="J1084" s="2">
        <f>IF(I1084=0.1,"极紧凑",IF(I1084&gt;3.5,"紧凑",IF(AND(I1084&gt;=2,I1084&lt;=3.5),"标准",IF(AND(I1084&gt;=1,I1084&lt;2),"松散",""))))</f>
        <v/>
      </c>
      <c r="K1084" s="2">
        <f>IF(I1084=0.1,"极紧凑-豹子号",IF(AND(I1084&gt;=1,I1084&lt;=1.29),"松散-极松散",IF(AND(I1084&gt;=1.33,I1084&lt;=1.8),"松散-标准松散",IF(AND(I1084&gt;=1.83,I1084&lt;=1.89),"松散-偏紧松散",IF(AND(I1084&gt;=2,I1084&lt;=2.5),"标准-偏松标准",IF(AND(I1084&gt;=2.57,I1084&lt;=3),"标准-核心标准",IF(AND(I1084&gt;=3.17,I1084&lt;=3.5),"标准-偏紧标准",IF(AND(I1084&gt;=3.6,I1084&lt;=5),"紧凑-标准紧凑",IF(AND(I1084&gt;=5.25,I1084&lt;=8),"紧凑-高度紧凑",IF(I1084&gt;=8.5,"紧凑-极度紧凑",""))))))))))</f>
        <v/>
      </c>
      <c r="L1084" s="2">
        <f>IF(I1084=0.1,"极紧凑",IF(AND(I1084&gt;=1,I1084&lt;=1.89),"松散",IF(AND(I1084&gt;=2,I1084&lt;=3.5),"标准",IF(I1084&gt;=3.6,"紧凑",""))))</f>
        <v/>
      </c>
      <c r="M1084" s="2" t="inlineStr">
        <is>
          <t>极紧凑-豹子号</t>
        </is>
      </c>
      <c r="N1084" s="2" t="inlineStr">
        <is>
          <t>松散-极松散</t>
        </is>
      </c>
      <c r="O1084" s="2" t="inlineStr">
        <is>
          <t>松散-标准松散</t>
        </is>
      </c>
      <c r="P1084" s="2" t="inlineStr">
        <is>
          <t>松散-偏紧松散</t>
        </is>
      </c>
      <c r="Q1084" s="2" t="inlineStr">
        <is>
          <t>标准-偏松标准</t>
        </is>
      </c>
      <c r="R1084" s="2" t="inlineStr">
        <is>
          <t>标准-核心标准</t>
        </is>
      </c>
      <c r="S1084" s="2" t="inlineStr">
        <is>
          <t>标准-偏紧标准</t>
        </is>
      </c>
      <c r="T1084" s="2" t="inlineStr">
        <is>
          <t>紧凑-标准紧凑</t>
        </is>
      </c>
      <c r="U1084" s="2" t="inlineStr">
        <is>
          <t>紧凑-高度紧凑</t>
        </is>
      </c>
      <c r="V1084" s="2" t="inlineStr">
        <is>
          <t>紧凑-极度紧凑</t>
        </is>
      </c>
    </row>
    <row r="1085">
      <c r="A1085" s="1" t="n">
        <v>2025276</v>
      </c>
      <c r="B1085" s="3" t="inlineStr">
        <is>
          <t>982</t>
        </is>
      </c>
      <c r="C1085" s="2">
        <f>IF(B1085="","",LEFT(TEXT(B1085,"000"),1)*1)</f>
        <v/>
      </c>
      <c r="D1085" s="2">
        <f>IF(B1085="","",MID(TEXT(B1085,"000"),2,1)*1)</f>
        <v/>
      </c>
      <c r="E1085" s="2">
        <f>IF(B1085="","",RIGHT(TEXT(B1085,"000"),1)*1)</f>
        <v/>
      </c>
      <c r="F1085" s="2">
        <f>IF(B1085="","",C1085+D1085+E1085)</f>
        <v/>
      </c>
      <c r="G1085" s="2">
        <f>IF(B1085="","",MOD(F1085,10))</f>
        <v/>
      </c>
      <c r="H1085" s="2">
        <f>IF(B1085="","",MAX(C1085,D1085,E1085)-MIN(C1085,D1085,E1085))</f>
        <v/>
      </c>
      <c r="I1085" s="2">
        <f>IF(OR(B1085="",H1085=0),IF(H1085=0,0.1,""),ROUND(F1085/H1085,2))</f>
        <v/>
      </c>
      <c r="J1085" s="2">
        <f>IF(I1085=0.1,"极紧凑",IF(I1085&gt;3.5,"紧凑",IF(AND(I1085&gt;=2,I1085&lt;=3.5),"标准",IF(AND(I1085&gt;=1,I1085&lt;2),"松散",""))))</f>
        <v/>
      </c>
      <c r="K1085" s="2">
        <f>IF(I1085=0.1,"极紧凑-豹子号",IF(AND(I1085&gt;=1,I1085&lt;=1.29),"松散-极松散",IF(AND(I1085&gt;=1.33,I1085&lt;=1.8),"松散-标准松散",IF(AND(I1085&gt;=1.83,I1085&lt;=1.89),"松散-偏紧松散",IF(AND(I1085&gt;=2,I1085&lt;=2.5),"标准-偏松标准",IF(AND(I1085&gt;=2.57,I1085&lt;=3),"标准-核心标准",IF(AND(I1085&gt;=3.17,I1085&lt;=3.5),"标准-偏紧标准",IF(AND(I1085&gt;=3.6,I1085&lt;=5),"紧凑-标准紧凑",IF(AND(I1085&gt;=5.25,I1085&lt;=8),"紧凑-高度紧凑",IF(I1085&gt;=8.5,"紧凑-极度紧凑",""))))))))))</f>
        <v/>
      </c>
      <c r="L1085" s="2">
        <f>IF(I1085=0.1,"极紧凑",IF(AND(I1085&gt;=1,I1085&lt;=1.89),"松散",IF(AND(I1085&gt;=2,I1085&lt;=3.5),"标准",IF(I1085&gt;=3.6,"紧凑",""))))</f>
        <v/>
      </c>
      <c r="M1085" s="2" t="inlineStr">
        <is>
          <t>极紧凑-豹子号</t>
        </is>
      </c>
      <c r="N1085" s="2" t="inlineStr">
        <is>
          <t>松散-极松散</t>
        </is>
      </c>
      <c r="O1085" s="2" t="inlineStr">
        <is>
          <t>松散-标准松散</t>
        </is>
      </c>
      <c r="P1085" s="2" t="inlineStr">
        <is>
          <t>松散-偏紧松散</t>
        </is>
      </c>
      <c r="Q1085" s="2" t="inlineStr">
        <is>
          <t>标准-偏松标准</t>
        </is>
      </c>
      <c r="R1085" s="2" t="inlineStr">
        <is>
          <t>标准-核心标准</t>
        </is>
      </c>
      <c r="S1085" s="2" t="inlineStr">
        <is>
          <t>标准-偏紧标准</t>
        </is>
      </c>
      <c r="T1085" s="2" t="inlineStr">
        <is>
          <t>紧凑-标准紧凑</t>
        </is>
      </c>
      <c r="U1085" s="2" t="inlineStr">
        <is>
          <t>紧凑-高度紧凑</t>
        </is>
      </c>
      <c r="V1085" s="2" t="inlineStr">
        <is>
          <t>紧凑-极度紧凑</t>
        </is>
      </c>
    </row>
    <row r="1086">
      <c r="A1086" s="1" t="n">
        <v>2025277</v>
      </c>
      <c r="B1086" s="3" t="inlineStr">
        <is>
          <t>432</t>
        </is>
      </c>
      <c r="C1086" s="2">
        <f>IF(B1086="","",LEFT(TEXT(B1086,"000"),1)*1)</f>
        <v/>
      </c>
      <c r="D1086" s="2">
        <f>IF(B1086="","",MID(TEXT(B1086,"000"),2,1)*1)</f>
        <v/>
      </c>
      <c r="E1086" s="2">
        <f>IF(B1086="","",RIGHT(TEXT(B1086,"000"),1)*1)</f>
        <v/>
      </c>
      <c r="F1086" s="2">
        <f>IF(B1086="","",C1086+D1086+E1086)</f>
        <v/>
      </c>
      <c r="G1086" s="2">
        <f>IF(B1086="","",MOD(F1086,10))</f>
        <v/>
      </c>
      <c r="H1086" s="2">
        <f>IF(B1086="","",MAX(C1086,D1086,E1086)-MIN(C1086,D1086,E1086))</f>
        <v/>
      </c>
      <c r="I1086" s="2">
        <f>IF(OR(B1086="",H1086=0),IF(H1086=0,0.1,""),ROUND(F1086/H1086,2))</f>
        <v/>
      </c>
      <c r="J1086" s="2">
        <f>IF(I1086=0.1,"极紧凑",IF(I1086&gt;3.5,"紧凑",IF(AND(I1086&gt;=2,I1086&lt;=3.5),"标准",IF(AND(I1086&gt;=1,I1086&lt;2),"松散",""))))</f>
        <v/>
      </c>
      <c r="K1086" s="2">
        <f>IF(I1086=0.1,"极紧凑-豹子号",IF(AND(I1086&gt;=1,I1086&lt;=1.29),"松散-极松散",IF(AND(I1086&gt;=1.33,I1086&lt;=1.8),"松散-标准松散",IF(AND(I1086&gt;=1.83,I1086&lt;=1.89),"松散-偏紧松散",IF(AND(I1086&gt;=2,I1086&lt;=2.5),"标准-偏松标准",IF(AND(I1086&gt;=2.57,I1086&lt;=3),"标准-核心标准",IF(AND(I1086&gt;=3.17,I1086&lt;=3.5),"标准-偏紧标准",IF(AND(I1086&gt;=3.6,I1086&lt;=5),"紧凑-标准紧凑",IF(AND(I1086&gt;=5.25,I1086&lt;=8),"紧凑-高度紧凑",IF(I1086&gt;=8.5,"紧凑-极度紧凑",""))))))))))</f>
        <v/>
      </c>
      <c r="L1086" s="2">
        <f>IF(I1086=0.1,"极紧凑",IF(AND(I1086&gt;=1,I1086&lt;=1.89),"松散",IF(AND(I1086&gt;=2,I1086&lt;=3.5),"标准",IF(I1086&gt;=3.6,"紧凑",""))))</f>
        <v/>
      </c>
      <c r="M1086" s="2" t="inlineStr">
        <is>
          <t>极紧凑-豹子号</t>
        </is>
      </c>
      <c r="N1086" s="2" t="inlineStr">
        <is>
          <t>松散-极松散</t>
        </is>
      </c>
      <c r="O1086" s="2" t="inlineStr">
        <is>
          <t>松散-标准松散</t>
        </is>
      </c>
      <c r="P1086" s="2" t="inlineStr">
        <is>
          <t>松散-偏紧松散</t>
        </is>
      </c>
      <c r="Q1086" s="2" t="inlineStr">
        <is>
          <t>标准-偏松标准</t>
        </is>
      </c>
      <c r="R1086" s="2" t="inlineStr">
        <is>
          <t>标准-核心标准</t>
        </is>
      </c>
      <c r="S1086" s="2" t="inlineStr">
        <is>
          <t>标准-偏紧标准</t>
        </is>
      </c>
      <c r="T1086" s="2" t="inlineStr">
        <is>
          <t>紧凑-标准紧凑</t>
        </is>
      </c>
      <c r="U1086" s="2" t="inlineStr">
        <is>
          <t>紧凑-高度紧凑</t>
        </is>
      </c>
      <c r="V1086" s="2" t="inlineStr">
        <is>
          <t>紧凑-极度紧凑</t>
        </is>
      </c>
    </row>
    <row r="1087">
      <c r="A1087" s="1" t="n">
        <v>2025278</v>
      </c>
      <c r="B1087" s="3" t="inlineStr">
        <is>
          <t>627</t>
        </is>
      </c>
      <c r="C1087" s="2">
        <f>IF(B1087="","",LEFT(TEXT(B1087,"000"),1)*1)</f>
        <v/>
      </c>
      <c r="D1087" s="2">
        <f>IF(B1087="","",MID(TEXT(B1087,"000"),2,1)*1)</f>
        <v/>
      </c>
      <c r="E1087" s="2">
        <f>IF(B1087="","",RIGHT(TEXT(B1087,"000"),1)*1)</f>
        <v/>
      </c>
      <c r="F1087" s="2">
        <f>IF(B1087="","",C1087+D1087+E1087)</f>
        <v/>
      </c>
      <c r="G1087" s="2">
        <f>IF(B1087="","",MOD(F1087,10))</f>
        <v/>
      </c>
      <c r="H1087" s="2">
        <f>IF(B1087="","",MAX(C1087,D1087,E1087)-MIN(C1087,D1087,E1087))</f>
        <v/>
      </c>
      <c r="I1087" s="2">
        <f>IF(OR(B1087="",H1087=0),IF(H1087=0,0.1,""),ROUND(F1087/H1087,2))</f>
        <v/>
      </c>
      <c r="J1087" s="2">
        <f>IF(I1087=0.1,"极紧凑",IF(I1087&gt;3.5,"紧凑",IF(AND(I1087&gt;=2,I1087&lt;=3.5),"标准",IF(AND(I1087&gt;=1,I1087&lt;2),"松散",""))))</f>
        <v/>
      </c>
      <c r="K1087" s="2">
        <f>IF(I1087=0.1,"极紧凑-豹子号",IF(AND(I1087&gt;=1,I1087&lt;=1.29),"松散-极松散",IF(AND(I1087&gt;=1.33,I1087&lt;=1.8),"松散-标准松散",IF(AND(I1087&gt;=1.83,I1087&lt;=1.89),"松散-偏紧松散",IF(AND(I1087&gt;=2,I1087&lt;=2.5),"标准-偏松标准",IF(AND(I1087&gt;=2.57,I1087&lt;=3),"标准-核心标准",IF(AND(I1087&gt;=3.17,I1087&lt;=3.5),"标准-偏紧标准",IF(AND(I1087&gt;=3.6,I1087&lt;=5),"紧凑-标准紧凑",IF(AND(I1087&gt;=5.25,I1087&lt;=8),"紧凑-高度紧凑",IF(I1087&gt;=8.5,"紧凑-极度紧凑",""))))))))))</f>
        <v/>
      </c>
      <c r="L1087" s="2">
        <f>IF(I1087=0.1,"极紧凑",IF(AND(I1087&gt;=1,I1087&lt;=1.89),"松散",IF(AND(I1087&gt;=2,I1087&lt;=3.5),"标准",IF(I1087&gt;=3.6,"紧凑",""))))</f>
        <v/>
      </c>
      <c r="M1087" s="2" t="inlineStr">
        <is>
          <t>极紧凑-豹子号</t>
        </is>
      </c>
      <c r="N1087" s="2" t="inlineStr">
        <is>
          <t>松散-极松散</t>
        </is>
      </c>
      <c r="O1087" s="2" t="inlineStr">
        <is>
          <t>松散-标准松散</t>
        </is>
      </c>
      <c r="P1087" s="2" t="inlineStr">
        <is>
          <t>松散-偏紧松散</t>
        </is>
      </c>
      <c r="Q1087" s="2" t="inlineStr">
        <is>
          <t>标准-偏松标准</t>
        </is>
      </c>
      <c r="R1087" s="2" t="inlineStr">
        <is>
          <t>标准-核心标准</t>
        </is>
      </c>
      <c r="S1087" s="2" t="inlineStr">
        <is>
          <t>标准-偏紧标准</t>
        </is>
      </c>
      <c r="T1087" s="2" t="inlineStr">
        <is>
          <t>紧凑-标准紧凑</t>
        </is>
      </c>
      <c r="U1087" s="2" t="inlineStr">
        <is>
          <t>紧凑-高度紧凑</t>
        </is>
      </c>
      <c r="V1087" s="2" t="inlineStr">
        <is>
          <t>紧凑-极度紧凑</t>
        </is>
      </c>
    </row>
    <row r="1088">
      <c r="A1088" s="1" t="n">
        <v>2025279</v>
      </c>
      <c r="B1088" s="3" t="inlineStr">
        <is>
          <t>375</t>
        </is>
      </c>
      <c r="C1088" s="2">
        <f>IF(B1088="","",LEFT(TEXT(B1088,"000"),1)*1)</f>
        <v/>
      </c>
      <c r="D1088" s="2">
        <f>IF(B1088="","",MID(TEXT(B1088,"000"),2,1)*1)</f>
        <v/>
      </c>
      <c r="E1088" s="2">
        <f>IF(B1088="","",RIGHT(TEXT(B1088,"000"),1)*1)</f>
        <v/>
      </c>
      <c r="F1088" s="2">
        <f>IF(B1088="","",C1088+D1088+E1088)</f>
        <v/>
      </c>
      <c r="G1088" s="2">
        <f>IF(B1088="","",MOD(F1088,10))</f>
        <v/>
      </c>
      <c r="H1088" s="2">
        <f>IF(B1088="","",MAX(C1088,D1088,E1088)-MIN(C1088,D1088,E1088))</f>
        <v/>
      </c>
      <c r="I1088" s="2">
        <f>IF(OR(B1088="",H1088=0),IF(H1088=0,0.1,""),ROUND(F1088/H1088,2))</f>
        <v/>
      </c>
      <c r="J1088" s="2">
        <f>IF(I1088=0.1,"极紧凑",IF(I1088&gt;3.5,"紧凑",IF(AND(I1088&gt;=2,I1088&lt;=3.5),"标准",IF(AND(I1088&gt;=1,I1088&lt;2),"松散",""))))</f>
        <v/>
      </c>
      <c r="K1088" s="2">
        <f>IF(I1088=0.1,"极紧凑-豹子号",IF(AND(I1088&gt;=1,I1088&lt;=1.29),"松散-极松散",IF(AND(I1088&gt;=1.33,I1088&lt;=1.8),"松散-标准松散",IF(AND(I1088&gt;=1.83,I1088&lt;=1.89),"松散-偏紧松散",IF(AND(I1088&gt;=2,I1088&lt;=2.5),"标准-偏松标准",IF(AND(I1088&gt;=2.57,I1088&lt;=3),"标准-核心标准",IF(AND(I1088&gt;=3.17,I1088&lt;=3.5),"标准-偏紧标准",IF(AND(I1088&gt;=3.6,I1088&lt;=5),"紧凑-标准紧凑",IF(AND(I1088&gt;=5.25,I1088&lt;=8),"紧凑-高度紧凑",IF(I1088&gt;=8.5,"紧凑-极度紧凑",""))))))))))</f>
        <v/>
      </c>
      <c r="L1088" s="2">
        <f>IF(I1088=0.1,"极紧凑",IF(AND(I1088&gt;=1,I1088&lt;=1.89),"松散",IF(AND(I1088&gt;=2,I1088&lt;=3.5),"标准",IF(I1088&gt;=3.6,"紧凑",""))))</f>
        <v/>
      </c>
      <c r="M1088" s="2" t="inlineStr">
        <is>
          <t>极紧凑-豹子号</t>
        </is>
      </c>
      <c r="N1088" s="2" t="inlineStr">
        <is>
          <t>松散-极松散</t>
        </is>
      </c>
      <c r="O1088" s="2" t="inlineStr">
        <is>
          <t>松散-标准松散</t>
        </is>
      </c>
      <c r="P1088" s="2" t="inlineStr">
        <is>
          <t>松散-偏紧松散</t>
        </is>
      </c>
      <c r="Q1088" s="2" t="inlineStr">
        <is>
          <t>标准-偏松标准</t>
        </is>
      </c>
      <c r="R1088" s="2" t="inlineStr">
        <is>
          <t>标准-核心标准</t>
        </is>
      </c>
      <c r="S1088" s="2" t="inlineStr">
        <is>
          <t>标准-偏紧标准</t>
        </is>
      </c>
      <c r="T1088" s="2" t="inlineStr">
        <is>
          <t>紧凑-标准紧凑</t>
        </is>
      </c>
      <c r="U1088" s="2" t="inlineStr">
        <is>
          <t>紧凑-高度紧凑</t>
        </is>
      </c>
      <c r="V1088" s="2" t="inlineStr">
        <is>
          <t>紧凑-极度紧凑</t>
        </is>
      </c>
    </row>
    <row r="1089">
      <c r="A1089" s="1" t="n">
        <v>2025280</v>
      </c>
      <c r="B1089" s="3" t="inlineStr">
        <is>
          <t>539</t>
        </is>
      </c>
      <c r="C1089" s="2">
        <f>IF(B1089="","",LEFT(TEXT(B1089,"000"),1)*1)</f>
        <v/>
      </c>
      <c r="D1089" s="2">
        <f>IF(B1089="","",MID(TEXT(B1089,"000"),2,1)*1)</f>
        <v/>
      </c>
      <c r="E1089" s="2">
        <f>IF(B1089="","",RIGHT(TEXT(B1089,"000"),1)*1)</f>
        <v/>
      </c>
      <c r="F1089" s="2">
        <f>IF(B1089="","",C1089+D1089+E1089)</f>
        <v/>
      </c>
      <c r="G1089" s="2">
        <f>IF(B1089="","",MOD(F1089,10))</f>
        <v/>
      </c>
      <c r="H1089" s="2">
        <f>IF(B1089="","",MAX(C1089,D1089,E1089)-MIN(C1089,D1089,E1089))</f>
        <v/>
      </c>
      <c r="I1089" s="2">
        <f>IF(OR(B1089="",H1089=0),IF(H1089=0,0.1,""),ROUND(F1089/H1089,2))</f>
        <v/>
      </c>
      <c r="J1089" s="2">
        <f>IF(I1089=0.1,"极紧凑",IF(I1089&gt;3.5,"紧凑",IF(AND(I1089&gt;=2,I1089&lt;=3.5),"标准",IF(AND(I1089&gt;=1,I1089&lt;2),"松散",""))))</f>
        <v/>
      </c>
      <c r="K1089" s="2">
        <f>IF(I1089=0.1,"极紧凑-豹子号",IF(AND(I1089&gt;=1,I1089&lt;=1.29),"松散-极松散",IF(AND(I1089&gt;=1.33,I1089&lt;=1.8),"松散-标准松散",IF(AND(I1089&gt;=1.83,I1089&lt;=1.89),"松散-偏紧松散",IF(AND(I1089&gt;=2,I1089&lt;=2.5),"标准-偏松标准",IF(AND(I1089&gt;=2.57,I1089&lt;=3),"标准-核心标准",IF(AND(I1089&gt;=3.17,I1089&lt;=3.5),"标准-偏紧标准",IF(AND(I1089&gt;=3.6,I1089&lt;=5),"紧凑-标准紧凑",IF(AND(I1089&gt;=5.25,I1089&lt;=8),"紧凑-高度紧凑",IF(I1089&gt;=8.5,"紧凑-极度紧凑",""))))))))))</f>
        <v/>
      </c>
      <c r="L1089" s="2">
        <f>IF(I1089=0.1,"极紧凑",IF(AND(I1089&gt;=1,I1089&lt;=1.89),"松散",IF(AND(I1089&gt;=2,I1089&lt;=3.5),"标准",IF(I1089&gt;=3.6,"紧凑",""))))</f>
        <v/>
      </c>
      <c r="M1089" s="2" t="inlineStr">
        <is>
          <t>极紧凑-豹子号</t>
        </is>
      </c>
      <c r="N1089" s="2" t="inlineStr">
        <is>
          <t>松散-极松散</t>
        </is>
      </c>
      <c r="O1089" s="2" t="inlineStr">
        <is>
          <t>松散-标准松散</t>
        </is>
      </c>
      <c r="P1089" s="2" t="inlineStr">
        <is>
          <t>松散-偏紧松散</t>
        </is>
      </c>
      <c r="Q1089" s="2" t="inlineStr">
        <is>
          <t>标准-偏松标准</t>
        </is>
      </c>
      <c r="R1089" s="2" t="inlineStr">
        <is>
          <t>标准-核心标准</t>
        </is>
      </c>
      <c r="S1089" s="2" t="inlineStr">
        <is>
          <t>标准-偏紧标准</t>
        </is>
      </c>
      <c r="T1089" s="2" t="inlineStr">
        <is>
          <t>紧凑-标准紧凑</t>
        </is>
      </c>
      <c r="U1089" s="2" t="inlineStr">
        <is>
          <t>紧凑-高度紧凑</t>
        </is>
      </c>
      <c r="V1089" s="2" t="inlineStr">
        <is>
          <t>紧凑-极度紧凑</t>
        </is>
      </c>
    </row>
    <row r="1090">
      <c r="A1090" s="1" t="n">
        <v>2025281</v>
      </c>
      <c r="B1090" s="3" t="inlineStr">
        <is>
          <t>707</t>
        </is>
      </c>
      <c r="C1090" s="2">
        <f>IF(B1090="","",LEFT(TEXT(B1090,"000"),1)*1)</f>
        <v/>
      </c>
      <c r="D1090" s="2">
        <f>IF(B1090="","",MID(TEXT(B1090,"000"),2,1)*1)</f>
        <v/>
      </c>
      <c r="E1090" s="2">
        <f>IF(B1090="","",RIGHT(TEXT(B1090,"000"),1)*1)</f>
        <v/>
      </c>
      <c r="F1090" s="2">
        <f>IF(B1090="","",C1090+D1090+E1090)</f>
        <v/>
      </c>
      <c r="G1090" s="2">
        <f>IF(B1090="","",MOD(F1090,10))</f>
        <v/>
      </c>
      <c r="H1090" s="2">
        <f>IF(B1090="","",MAX(C1090,D1090,E1090)-MIN(C1090,D1090,E1090))</f>
        <v/>
      </c>
      <c r="I1090" s="2">
        <f>IF(OR(B1090="",H1090=0),IF(H1090=0,0.1,""),ROUND(F1090/H1090,2))</f>
        <v/>
      </c>
      <c r="J1090" s="2">
        <f>IF(I1090=0.1,"极紧凑",IF(I1090&gt;3.5,"紧凑",IF(AND(I1090&gt;=2,I1090&lt;=3.5),"标准",IF(AND(I1090&gt;=1,I1090&lt;2),"松散",""))))</f>
        <v/>
      </c>
      <c r="K1090" s="2">
        <f>IF(I1090=0.1,"极紧凑-豹子号",IF(AND(I1090&gt;=1,I1090&lt;=1.29),"松散-极松散",IF(AND(I1090&gt;=1.33,I1090&lt;=1.8),"松散-标准松散",IF(AND(I1090&gt;=1.83,I1090&lt;=1.89),"松散-偏紧松散",IF(AND(I1090&gt;=2,I1090&lt;=2.5),"标准-偏松标准",IF(AND(I1090&gt;=2.57,I1090&lt;=3),"标准-核心标准",IF(AND(I1090&gt;=3.17,I1090&lt;=3.5),"标准-偏紧标准",IF(AND(I1090&gt;=3.6,I1090&lt;=5),"紧凑-标准紧凑",IF(AND(I1090&gt;=5.25,I1090&lt;=8),"紧凑-高度紧凑",IF(I1090&gt;=8.5,"紧凑-极度紧凑",""))))))))))</f>
        <v/>
      </c>
      <c r="L1090" s="2">
        <f>IF(I1090=0.1,"极紧凑",IF(AND(I1090&gt;=1,I1090&lt;=1.89),"松散",IF(AND(I1090&gt;=2,I1090&lt;=3.5),"标准",IF(I1090&gt;=3.6,"紧凑",""))))</f>
        <v/>
      </c>
      <c r="M1090" s="2" t="inlineStr">
        <is>
          <t>极紧凑-豹子号</t>
        </is>
      </c>
      <c r="N1090" s="2" t="inlineStr">
        <is>
          <t>松散-极松散</t>
        </is>
      </c>
      <c r="O1090" s="2" t="inlineStr">
        <is>
          <t>松散-标准松散</t>
        </is>
      </c>
      <c r="P1090" s="2" t="inlineStr">
        <is>
          <t>松散-偏紧松散</t>
        </is>
      </c>
      <c r="Q1090" s="2" t="inlineStr">
        <is>
          <t>标准-偏松标准</t>
        </is>
      </c>
      <c r="R1090" s="2" t="inlineStr">
        <is>
          <t>标准-核心标准</t>
        </is>
      </c>
      <c r="S1090" s="2" t="inlineStr">
        <is>
          <t>标准-偏紧标准</t>
        </is>
      </c>
      <c r="T1090" s="2" t="inlineStr">
        <is>
          <t>紧凑-标准紧凑</t>
        </is>
      </c>
      <c r="U1090" s="2" t="inlineStr">
        <is>
          <t>紧凑-高度紧凑</t>
        </is>
      </c>
      <c r="V1090" s="2" t="inlineStr">
        <is>
          <t>紧凑-极度紧凑</t>
        </is>
      </c>
    </row>
    <row r="1091">
      <c r="A1091" s="1" t="n">
        <v>2025282</v>
      </c>
      <c r="B1091" s="3" t="inlineStr">
        <is>
          <t>096</t>
        </is>
      </c>
      <c r="C1091" s="2">
        <f>IF(B1091="","",LEFT(TEXT(B1091,"000"),1)*1)</f>
        <v/>
      </c>
      <c r="D1091" s="2">
        <f>IF(B1091="","",MID(TEXT(B1091,"000"),2,1)*1)</f>
        <v/>
      </c>
      <c r="E1091" s="2">
        <f>IF(B1091="","",RIGHT(TEXT(B1091,"000"),1)*1)</f>
        <v/>
      </c>
      <c r="F1091" s="2">
        <f>IF(B1091="","",C1091+D1091+E1091)</f>
        <v/>
      </c>
      <c r="G1091" s="2">
        <f>IF(B1091="","",MOD(F1091,10))</f>
        <v/>
      </c>
      <c r="H1091" s="2">
        <f>IF(B1091="","",MAX(C1091,D1091,E1091)-MIN(C1091,D1091,E1091))</f>
        <v/>
      </c>
      <c r="I1091" s="2">
        <f>IF(OR(B1091="",H1091=0),IF(H1091=0,0.1,""),ROUND(F1091/H1091,2))</f>
        <v/>
      </c>
      <c r="J1091" s="2">
        <f>IF(I1091=0.1,"极紧凑",IF(I1091&gt;3.5,"紧凑",IF(AND(I1091&gt;=2,I1091&lt;=3.5),"标准",IF(AND(I1091&gt;=1,I1091&lt;2),"松散",""))))</f>
        <v/>
      </c>
      <c r="K1091" s="2">
        <f>IF(I1091=0.1,"极紧凑-豹子号",IF(AND(I1091&gt;=1,I1091&lt;=1.29),"松散-极松散",IF(AND(I1091&gt;=1.33,I1091&lt;=1.8),"松散-标准松散",IF(AND(I1091&gt;=1.83,I1091&lt;=1.89),"松散-偏紧松散",IF(AND(I1091&gt;=2,I1091&lt;=2.5),"标准-偏松标准",IF(AND(I1091&gt;=2.57,I1091&lt;=3),"标准-核心标准",IF(AND(I1091&gt;=3.17,I1091&lt;=3.5),"标准-偏紧标准",IF(AND(I1091&gt;=3.6,I1091&lt;=5),"紧凑-标准紧凑",IF(AND(I1091&gt;=5.25,I1091&lt;=8),"紧凑-高度紧凑",IF(I1091&gt;=8.5,"紧凑-极度紧凑",""))))))))))</f>
        <v/>
      </c>
      <c r="L1091" s="2">
        <f>IF(I1091=0.1,"极紧凑",IF(AND(I1091&gt;=1,I1091&lt;=1.89),"松散",IF(AND(I1091&gt;=2,I1091&lt;=3.5),"标准",IF(I1091&gt;=3.6,"紧凑",""))))</f>
        <v/>
      </c>
      <c r="M1091" s="2" t="inlineStr">
        <is>
          <t>极紧凑-豹子号</t>
        </is>
      </c>
      <c r="N1091" s="2" t="inlineStr">
        <is>
          <t>松散-极松散</t>
        </is>
      </c>
      <c r="O1091" s="2" t="inlineStr">
        <is>
          <t>松散-标准松散</t>
        </is>
      </c>
      <c r="P1091" s="2" t="inlineStr">
        <is>
          <t>松散-偏紧松散</t>
        </is>
      </c>
      <c r="Q1091" s="2" t="inlineStr">
        <is>
          <t>标准-偏松标准</t>
        </is>
      </c>
      <c r="R1091" s="2" t="inlineStr">
        <is>
          <t>标准-核心标准</t>
        </is>
      </c>
      <c r="S1091" s="2" t="inlineStr">
        <is>
          <t>标准-偏紧标准</t>
        </is>
      </c>
      <c r="T1091" s="2" t="inlineStr">
        <is>
          <t>紧凑-标准紧凑</t>
        </is>
      </c>
      <c r="U1091" s="2" t="inlineStr">
        <is>
          <t>紧凑-高度紧凑</t>
        </is>
      </c>
      <c r="V1091" s="2" t="inlineStr">
        <is>
          <t>紧凑-极度紧凑</t>
        </is>
      </c>
    </row>
    <row r="1092">
      <c r="A1092" s="1" t="n">
        <v>2025283</v>
      </c>
      <c r="B1092" s="3" t="inlineStr">
        <is>
          <t>057</t>
        </is>
      </c>
      <c r="C1092" s="2">
        <f>IF(B1092="","",LEFT(TEXT(B1092,"000"),1)*1)</f>
        <v/>
      </c>
      <c r="D1092" s="2">
        <f>IF(B1092="","",MID(TEXT(B1092,"000"),2,1)*1)</f>
        <v/>
      </c>
      <c r="E1092" s="2">
        <f>IF(B1092="","",RIGHT(TEXT(B1092,"000"),1)*1)</f>
        <v/>
      </c>
      <c r="F1092" s="2">
        <f>IF(B1092="","",C1092+D1092+E1092)</f>
        <v/>
      </c>
      <c r="G1092" s="2">
        <f>IF(B1092="","",MOD(F1092,10))</f>
        <v/>
      </c>
      <c r="H1092" s="2">
        <f>IF(B1092="","",MAX(C1092,D1092,E1092)-MIN(C1092,D1092,E1092))</f>
        <v/>
      </c>
      <c r="I1092" s="2">
        <f>IF(OR(B1092="",H1092=0),IF(H1092=0,0.1,""),ROUND(F1092/H1092,2))</f>
        <v/>
      </c>
      <c r="J1092" s="2">
        <f>IF(I1092=0.1,"极紧凑",IF(I1092&gt;3.5,"紧凑",IF(AND(I1092&gt;=2,I1092&lt;=3.5),"标准",IF(AND(I1092&gt;=1,I1092&lt;2),"松散",""))))</f>
        <v/>
      </c>
      <c r="K1092" s="2">
        <f>IF(I1092=0.1,"极紧凑-豹子号",IF(AND(I1092&gt;=1,I1092&lt;=1.29),"松散-极松散",IF(AND(I1092&gt;=1.33,I1092&lt;=1.8),"松散-标准松散",IF(AND(I1092&gt;=1.83,I1092&lt;=1.89),"松散-偏紧松散",IF(AND(I1092&gt;=2,I1092&lt;=2.5),"标准-偏松标准",IF(AND(I1092&gt;=2.57,I1092&lt;=3),"标准-核心标准",IF(AND(I1092&gt;=3.17,I1092&lt;=3.5),"标准-偏紧标准",IF(AND(I1092&gt;=3.6,I1092&lt;=5),"紧凑-标准紧凑",IF(AND(I1092&gt;=5.25,I1092&lt;=8),"紧凑-高度紧凑",IF(I1092&gt;=8.5,"紧凑-极度紧凑",""))))))))))</f>
        <v/>
      </c>
      <c r="L1092" s="2">
        <f>IF(I1092=0.1,"极紧凑",IF(AND(I1092&gt;=1,I1092&lt;=1.89),"松散",IF(AND(I1092&gt;=2,I1092&lt;=3.5),"标准",IF(I1092&gt;=3.6,"紧凑",""))))</f>
        <v/>
      </c>
      <c r="M1092" s="2" t="inlineStr">
        <is>
          <t>极紧凑-豹子号</t>
        </is>
      </c>
      <c r="N1092" s="2" t="inlineStr">
        <is>
          <t>松散-极松散</t>
        </is>
      </c>
      <c r="O1092" s="2" t="inlineStr">
        <is>
          <t>松散-标准松散</t>
        </is>
      </c>
      <c r="P1092" s="2" t="inlineStr">
        <is>
          <t>松散-偏紧松散</t>
        </is>
      </c>
      <c r="Q1092" s="2" t="inlineStr">
        <is>
          <t>标准-偏松标准</t>
        </is>
      </c>
      <c r="R1092" s="2" t="inlineStr">
        <is>
          <t>标准-核心标准</t>
        </is>
      </c>
      <c r="S1092" s="2" t="inlineStr">
        <is>
          <t>标准-偏紧标准</t>
        </is>
      </c>
      <c r="T1092" s="2" t="inlineStr">
        <is>
          <t>紧凑-标准紧凑</t>
        </is>
      </c>
      <c r="U1092" s="2" t="inlineStr">
        <is>
          <t>紧凑-高度紧凑</t>
        </is>
      </c>
      <c r="V1092" s="2" t="inlineStr">
        <is>
          <t>紧凑-极度紧凑</t>
        </is>
      </c>
    </row>
    <row r="1093">
      <c r="A1093" s="1" t="n">
        <v>2025284</v>
      </c>
      <c r="B1093" s="3" t="inlineStr">
        <is>
          <t>247</t>
        </is>
      </c>
      <c r="C1093" s="2">
        <f>IF(B1093="","",LEFT(TEXT(B1093,"000"),1)*1)</f>
        <v/>
      </c>
      <c r="D1093" s="2">
        <f>IF(B1093="","",MID(TEXT(B1093,"000"),2,1)*1)</f>
        <v/>
      </c>
      <c r="E1093" s="2">
        <f>IF(B1093="","",RIGHT(TEXT(B1093,"000"),1)*1)</f>
        <v/>
      </c>
      <c r="F1093" s="2">
        <f>IF(B1093="","",C1093+D1093+E1093)</f>
        <v/>
      </c>
      <c r="G1093" s="2">
        <f>IF(B1093="","",MOD(F1093,10))</f>
        <v/>
      </c>
      <c r="H1093" s="2">
        <f>IF(B1093="","",MAX(C1093,D1093,E1093)-MIN(C1093,D1093,E1093))</f>
        <v/>
      </c>
      <c r="I1093" s="2">
        <f>IF(OR(B1093="",H1093=0),IF(H1093=0,0.1,""),ROUND(F1093/H1093,2))</f>
        <v/>
      </c>
      <c r="J1093" s="2">
        <f>IF(I1093=0.1,"极紧凑",IF(I1093&gt;3.5,"紧凑",IF(AND(I1093&gt;=2,I1093&lt;=3.5),"标准",IF(AND(I1093&gt;=1,I1093&lt;2),"松散",""))))</f>
        <v/>
      </c>
      <c r="K1093" s="2">
        <f>IF(I1093=0.1,"极紧凑-豹子号",IF(AND(I1093&gt;=1,I1093&lt;=1.29),"松散-极松散",IF(AND(I1093&gt;=1.33,I1093&lt;=1.8),"松散-标准松散",IF(AND(I1093&gt;=1.83,I1093&lt;=1.89),"松散-偏紧松散",IF(AND(I1093&gt;=2,I1093&lt;=2.5),"标准-偏松标准",IF(AND(I1093&gt;=2.57,I1093&lt;=3),"标准-核心标准",IF(AND(I1093&gt;=3.17,I1093&lt;=3.5),"标准-偏紧标准",IF(AND(I1093&gt;=3.6,I1093&lt;=5),"紧凑-标准紧凑",IF(AND(I1093&gt;=5.25,I1093&lt;=8),"紧凑-高度紧凑",IF(I1093&gt;=8.5,"紧凑-极度紧凑",""))))))))))</f>
        <v/>
      </c>
      <c r="L1093" s="2">
        <f>IF(I1093=0.1,"极紧凑",IF(AND(I1093&gt;=1,I1093&lt;=1.89),"松散",IF(AND(I1093&gt;=2,I1093&lt;=3.5),"标准",IF(I1093&gt;=3.6,"紧凑",""))))</f>
        <v/>
      </c>
      <c r="M1093" s="2" t="inlineStr">
        <is>
          <t>极紧凑-豹子号</t>
        </is>
      </c>
      <c r="N1093" s="2" t="inlineStr">
        <is>
          <t>松散-极松散</t>
        </is>
      </c>
      <c r="O1093" s="2" t="inlineStr">
        <is>
          <t>松散-标准松散</t>
        </is>
      </c>
      <c r="P1093" s="2" t="inlineStr">
        <is>
          <t>松散-偏紧松散</t>
        </is>
      </c>
      <c r="Q1093" s="2" t="inlineStr">
        <is>
          <t>标准-偏松标准</t>
        </is>
      </c>
      <c r="R1093" s="2" t="inlineStr">
        <is>
          <t>标准-核心标准</t>
        </is>
      </c>
      <c r="S1093" s="2" t="inlineStr">
        <is>
          <t>标准-偏紧标准</t>
        </is>
      </c>
      <c r="T1093" s="2" t="inlineStr">
        <is>
          <t>紧凑-标准紧凑</t>
        </is>
      </c>
      <c r="U1093" s="2" t="inlineStr">
        <is>
          <t>紧凑-高度紧凑</t>
        </is>
      </c>
      <c r="V1093" s="2" t="inlineStr">
        <is>
          <t>紧凑-极度紧凑</t>
        </is>
      </c>
    </row>
    <row r="1094">
      <c r="A1094" s="1" t="n">
        <v>2025285</v>
      </c>
      <c r="B1094" s="3" t="inlineStr">
        <is>
          <t>905</t>
        </is>
      </c>
      <c r="C1094" s="2">
        <f>IF(B1094="","",LEFT(TEXT(B1094,"000"),1)*1)</f>
        <v/>
      </c>
      <c r="D1094" s="2">
        <f>IF(B1094="","",MID(TEXT(B1094,"000"),2,1)*1)</f>
        <v/>
      </c>
      <c r="E1094" s="2">
        <f>IF(B1094="","",RIGHT(TEXT(B1094,"000"),1)*1)</f>
        <v/>
      </c>
      <c r="F1094" s="2">
        <f>IF(B1094="","",C1094+D1094+E1094)</f>
        <v/>
      </c>
      <c r="G1094" s="2">
        <f>IF(B1094="","",MOD(F1094,10))</f>
        <v/>
      </c>
      <c r="H1094" s="2">
        <f>IF(B1094="","",MAX(C1094,D1094,E1094)-MIN(C1094,D1094,E1094))</f>
        <v/>
      </c>
      <c r="I1094" s="2">
        <f>IF(OR(B1094="",H1094=0),IF(H1094=0,0.1,""),ROUND(F1094/H1094,2))</f>
        <v/>
      </c>
      <c r="J1094" s="2">
        <f>IF(I1094=0.1,"极紧凑",IF(I1094&gt;3.5,"紧凑",IF(AND(I1094&gt;=2,I1094&lt;=3.5),"标准",IF(AND(I1094&gt;=1,I1094&lt;2),"松散",""))))</f>
        <v/>
      </c>
      <c r="K1094" s="2">
        <f>IF(I1094=0.1,"极紧凑-豹子号",IF(AND(I1094&gt;=1,I1094&lt;=1.29),"松散-极松散",IF(AND(I1094&gt;=1.33,I1094&lt;=1.8),"松散-标准松散",IF(AND(I1094&gt;=1.83,I1094&lt;=1.89),"松散-偏紧松散",IF(AND(I1094&gt;=2,I1094&lt;=2.5),"标准-偏松标准",IF(AND(I1094&gt;=2.57,I1094&lt;=3),"标准-核心标准",IF(AND(I1094&gt;=3.17,I1094&lt;=3.5),"标准-偏紧标准",IF(AND(I1094&gt;=3.6,I1094&lt;=5),"紧凑-标准紧凑",IF(AND(I1094&gt;=5.25,I1094&lt;=8),"紧凑-高度紧凑",IF(I1094&gt;=8.5,"紧凑-极度紧凑",""))))))))))</f>
        <v/>
      </c>
      <c r="L1094" s="2">
        <f>IF(I1094=0.1,"极紧凑",IF(AND(I1094&gt;=1,I1094&lt;=1.89),"松散",IF(AND(I1094&gt;=2,I1094&lt;=3.5),"标准",IF(I1094&gt;=3.6,"紧凑",""))))</f>
        <v/>
      </c>
      <c r="M1094" s="2" t="inlineStr">
        <is>
          <t>极紧凑-豹子号</t>
        </is>
      </c>
      <c r="N1094" s="2" t="inlineStr">
        <is>
          <t>松散-极松散</t>
        </is>
      </c>
      <c r="O1094" s="2" t="inlineStr">
        <is>
          <t>松散-标准松散</t>
        </is>
      </c>
      <c r="P1094" s="2" t="inlineStr">
        <is>
          <t>松散-偏紧松散</t>
        </is>
      </c>
      <c r="Q1094" s="2" t="inlineStr">
        <is>
          <t>标准-偏松标准</t>
        </is>
      </c>
      <c r="R1094" s="2" t="inlineStr">
        <is>
          <t>标准-核心标准</t>
        </is>
      </c>
      <c r="S1094" s="2" t="inlineStr">
        <is>
          <t>标准-偏紧标准</t>
        </is>
      </c>
      <c r="T1094" s="2" t="inlineStr">
        <is>
          <t>紧凑-标准紧凑</t>
        </is>
      </c>
      <c r="U1094" s="2" t="inlineStr">
        <is>
          <t>紧凑-高度紧凑</t>
        </is>
      </c>
      <c r="V1094" s="2" t="inlineStr">
        <is>
          <t>紧凑-极度紧凑</t>
        </is>
      </c>
    </row>
    <row r="1095">
      <c r="A1095" s="1" t="n">
        <v>2025286</v>
      </c>
      <c r="B1095" s="3" t="inlineStr">
        <is>
          <t>641</t>
        </is>
      </c>
      <c r="C1095" s="2">
        <f>IF(B1095="","",LEFT(TEXT(B1095,"000"),1)*1)</f>
        <v/>
      </c>
      <c r="D1095" s="2">
        <f>IF(B1095="","",MID(TEXT(B1095,"000"),2,1)*1)</f>
        <v/>
      </c>
      <c r="E1095" s="2">
        <f>IF(B1095="","",RIGHT(TEXT(B1095,"000"),1)*1)</f>
        <v/>
      </c>
      <c r="F1095" s="2">
        <f>IF(B1095="","",C1095+D1095+E1095)</f>
        <v/>
      </c>
      <c r="G1095" s="2">
        <f>IF(B1095="","",MOD(F1095,10))</f>
        <v/>
      </c>
      <c r="H1095" s="2">
        <f>IF(B1095="","",MAX(C1095,D1095,E1095)-MIN(C1095,D1095,E1095))</f>
        <v/>
      </c>
      <c r="I1095" s="2">
        <f>IF(OR(B1095="",H1095=0),IF(H1095=0,0.1,""),ROUND(F1095/H1095,2))</f>
        <v/>
      </c>
      <c r="J1095" s="2">
        <f>IF(I1095=0.1,"极紧凑",IF(I1095&gt;3.5,"紧凑",IF(AND(I1095&gt;=2,I1095&lt;=3.5),"标准",IF(AND(I1095&gt;=1,I1095&lt;2),"松散",""))))</f>
        <v/>
      </c>
      <c r="K1095" s="2">
        <f>IF(I1095=0.1,"极紧凑-豹子号",IF(AND(I1095&gt;=1,I1095&lt;=1.29),"松散-极松散",IF(AND(I1095&gt;=1.33,I1095&lt;=1.8),"松散-标准松散",IF(AND(I1095&gt;=1.83,I1095&lt;=1.89),"松散-偏紧松散",IF(AND(I1095&gt;=2,I1095&lt;=2.5),"标准-偏松标准",IF(AND(I1095&gt;=2.57,I1095&lt;=3),"标准-核心标准",IF(AND(I1095&gt;=3.17,I1095&lt;=3.5),"标准-偏紧标准",IF(AND(I1095&gt;=3.6,I1095&lt;=5),"紧凑-标准紧凑",IF(AND(I1095&gt;=5.25,I1095&lt;=8),"紧凑-高度紧凑",IF(I1095&gt;=8.5,"紧凑-极度紧凑",""))))))))))</f>
        <v/>
      </c>
      <c r="L1095" s="2">
        <f>IF(I1095=0.1,"极紧凑",IF(AND(I1095&gt;=1,I1095&lt;=1.89),"松散",IF(AND(I1095&gt;=2,I1095&lt;=3.5),"标准",IF(I1095&gt;=3.6,"紧凑",""))))</f>
        <v/>
      </c>
      <c r="M1095" s="2" t="inlineStr">
        <is>
          <t>极紧凑-豹子号</t>
        </is>
      </c>
      <c r="N1095" s="2" t="inlineStr">
        <is>
          <t>松散-极松散</t>
        </is>
      </c>
      <c r="O1095" s="2" t="inlineStr">
        <is>
          <t>松散-标准松散</t>
        </is>
      </c>
      <c r="P1095" s="2" t="inlineStr">
        <is>
          <t>松散-偏紧松散</t>
        </is>
      </c>
      <c r="Q1095" s="2" t="inlineStr">
        <is>
          <t>标准-偏松标准</t>
        </is>
      </c>
      <c r="R1095" s="2" t="inlineStr">
        <is>
          <t>标准-核心标准</t>
        </is>
      </c>
      <c r="S1095" s="2" t="inlineStr">
        <is>
          <t>标准-偏紧标准</t>
        </is>
      </c>
      <c r="T1095" s="2" t="inlineStr">
        <is>
          <t>紧凑-标准紧凑</t>
        </is>
      </c>
      <c r="U1095" s="2" t="inlineStr">
        <is>
          <t>紧凑-高度紧凑</t>
        </is>
      </c>
      <c r="V1095" s="2" t="inlineStr">
        <is>
          <t>紧凑-极度紧凑</t>
        </is>
      </c>
    </row>
    <row r="1096">
      <c r="A1096" s="1" t="n">
        <v>2025287</v>
      </c>
      <c r="B1096" s="3" t="inlineStr">
        <is>
          <t>180</t>
        </is>
      </c>
      <c r="C1096" s="2">
        <f>IF(B1096="","",LEFT(TEXT(B1096,"000"),1)*1)</f>
        <v/>
      </c>
      <c r="D1096" s="2">
        <f>IF(B1096="","",MID(TEXT(B1096,"000"),2,1)*1)</f>
        <v/>
      </c>
      <c r="E1096" s="2">
        <f>IF(B1096="","",RIGHT(TEXT(B1096,"000"),1)*1)</f>
        <v/>
      </c>
      <c r="F1096" s="2">
        <f>IF(B1096="","",C1096+D1096+E1096)</f>
        <v/>
      </c>
      <c r="G1096" s="2">
        <f>IF(B1096="","",MOD(F1096,10))</f>
        <v/>
      </c>
      <c r="H1096" s="2">
        <f>IF(B1096="","",MAX(C1096,D1096,E1096)-MIN(C1096,D1096,E1096))</f>
        <v/>
      </c>
      <c r="I1096" s="2">
        <f>IF(OR(B1096="",H1096=0),IF(H1096=0,0.1,""),ROUND(F1096/H1096,2))</f>
        <v/>
      </c>
      <c r="J1096" s="2">
        <f>IF(I1096=0.1,"极紧凑",IF(I1096&gt;3.5,"紧凑",IF(AND(I1096&gt;=2,I1096&lt;=3.5),"标准",IF(AND(I1096&gt;=1,I1096&lt;2),"松散",""))))</f>
        <v/>
      </c>
      <c r="K1096" s="2">
        <f>IF(I1096=0.1,"极紧凑-豹子号",IF(AND(I1096&gt;=1,I1096&lt;=1.29),"松散-极松散",IF(AND(I1096&gt;=1.33,I1096&lt;=1.8),"松散-标准松散",IF(AND(I1096&gt;=1.83,I1096&lt;=1.89),"松散-偏紧松散",IF(AND(I1096&gt;=2,I1096&lt;=2.5),"标准-偏松标准",IF(AND(I1096&gt;=2.57,I1096&lt;=3),"标准-核心标准",IF(AND(I1096&gt;=3.17,I1096&lt;=3.5),"标准-偏紧标准",IF(AND(I1096&gt;=3.6,I1096&lt;=5),"紧凑-标准紧凑",IF(AND(I1096&gt;=5.25,I1096&lt;=8),"紧凑-高度紧凑",IF(I1096&gt;=8.5,"紧凑-极度紧凑",""))))))))))</f>
        <v/>
      </c>
      <c r="L1096" s="2">
        <f>IF(I1096=0.1,"极紧凑",IF(AND(I1096&gt;=1,I1096&lt;=1.89),"松散",IF(AND(I1096&gt;=2,I1096&lt;=3.5),"标准",IF(I1096&gt;=3.6,"紧凑",""))))</f>
        <v/>
      </c>
      <c r="M1096" s="2" t="inlineStr">
        <is>
          <t>极紧凑-豹子号</t>
        </is>
      </c>
      <c r="N1096" s="2" t="inlineStr">
        <is>
          <t>松散-极松散</t>
        </is>
      </c>
      <c r="O1096" s="2" t="inlineStr">
        <is>
          <t>松散-标准松散</t>
        </is>
      </c>
      <c r="P1096" s="2" t="inlineStr">
        <is>
          <t>松散-偏紧松散</t>
        </is>
      </c>
      <c r="Q1096" s="2" t="inlineStr">
        <is>
          <t>标准-偏松标准</t>
        </is>
      </c>
      <c r="R1096" s="2" t="inlineStr">
        <is>
          <t>标准-核心标准</t>
        </is>
      </c>
      <c r="S1096" s="2" t="inlineStr">
        <is>
          <t>标准-偏紧标准</t>
        </is>
      </c>
      <c r="T1096" s="2" t="inlineStr">
        <is>
          <t>紧凑-标准紧凑</t>
        </is>
      </c>
      <c r="U1096" s="2" t="inlineStr">
        <is>
          <t>紧凑-高度紧凑</t>
        </is>
      </c>
      <c r="V1096" s="2" t="inlineStr">
        <is>
          <t>紧凑-极度紧凑</t>
        </is>
      </c>
    </row>
    <row r="1097">
      <c r="A1097" s="1" t="n">
        <v>2025288</v>
      </c>
      <c r="B1097" s="3" t="inlineStr">
        <is>
          <t>504</t>
        </is>
      </c>
      <c r="C1097" s="2">
        <f>IF(B1097="","",LEFT(TEXT(B1097,"000"),1)*1)</f>
        <v/>
      </c>
      <c r="D1097" s="2">
        <f>IF(B1097="","",MID(TEXT(B1097,"000"),2,1)*1)</f>
        <v/>
      </c>
      <c r="E1097" s="2">
        <f>IF(B1097="","",RIGHT(TEXT(B1097,"000"),1)*1)</f>
        <v/>
      </c>
      <c r="F1097" s="2">
        <f>IF(B1097="","",C1097+D1097+E1097)</f>
        <v/>
      </c>
      <c r="G1097" s="2">
        <f>IF(B1097="","",MOD(F1097,10))</f>
        <v/>
      </c>
      <c r="H1097" s="2">
        <f>IF(B1097="","",MAX(C1097,D1097,E1097)-MIN(C1097,D1097,E1097))</f>
        <v/>
      </c>
      <c r="I1097" s="2">
        <f>IF(OR(B1097="",H1097=0),IF(H1097=0,0.1,""),ROUND(F1097/H1097,2))</f>
        <v/>
      </c>
      <c r="J1097" s="2">
        <f>IF(I1097=0.1,"极紧凑",IF(I1097&gt;3.5,"紧凑",IF(AND(I1097&gt;=2,I1097&lt;=3.5),"标准",IF(AND(I1097&gt;=1,I1097&lt;2),"松散",""))))</f>
        <v/>
      </c>
      <c r="K1097" s="2">
        <f>IF(I1097=0.1,"极紧凑-豹子号",IF(AND(I1097&gt;=1,I1097&lt;=1.29),"松散-极松散",IF(AND(I1097&gt;=1.33,I1097&lt;=1.8),"松散-标准松散",IF(AND(I1097&gt;=1.83,I1097&lt;=1.89),"松散-偏紧松散",IF(AND(I1097&gt;=2,I1097&lt;=2.5),"标准-偏松标准",IF(AND(I1097&gt;=2.57,I1097&lt;=3),"标准-核心标准",IF(AND(I1097&gt;=3.17,I1097&lt;=3.5),"标准-偏紧标准",IF(AND(I1097&gt;=3.6,I1097&lt;=5),"紧凑-标准紧凑",IF(AND(I1097&gt;=5.25,I1097&lt;=8),"紧凑-高度紧凑",IF(I1097&gt;=8.5,"紧凑-极度紧凑",""))))))))))</f>
        <v/>
      </c>
      <c r="L1097" s="2">
        <f>IF(I1097=0.1,"极紧凑",IF(AND(I1097&gt;=1,I1097&lt;=1.89),"松散",IF(AND(I1097&gt;=2,I1097&lt;=3.5),"标准",IF(I1097&gt;=3.6,"紧凑",""))))</f>
        <v/>
      </c>
      <c r="M1097" s="2" t="inlineStr">
        <is>
          <t>极紧凑-豹子号</t>
        </is>
      </c>
      <c r="N1097" s="2" t="inlineStr">
        <is>
          <t>松散-极松散</t>
        </is>
      </c>
      <c r="O1097" s="2" t="inlineStr">
        <is>
          <t>松散-标准松散</t>
        </is>
      </c>
      <c r="P1097" s="2" t="inlineStr">
        <is>
          <t>松散-偏紧松散</t>
        </is>
      </c>
      <c r="Q1097" s="2" t="inlineStr">
        <is>
          <t>标准-偏松标准</t>
        </is>
      </c>
      <c r="R1097" s="2" t="inlineStr">
        <is>
          <t>标准-核心标准</t>
        </is>
      </c>
      <c r="S1097" s="2" t="inlineStr">
        <is>
          <t>标准-偏紧标准</t>
        </is>
      </c>
      <c r="T1097" s="2" t="inlineStr">
        <is>
          <t>紧凑-标准紧凑</t>
        </is>
      </c>
      <c r="U1097" s="2" t="inlineStr">
        <is>
          <t>紧凑-高度紧凑</t>
        </is>
      </c>
      <c r="V1097" s="2" t="inlineStr">
        <is>
          <t>紧凑-极度紧凑</t>
        </is>
      </c>
    </row>
    <row r="1098">
      <c r="A1098" s="1" t="n">
        <v>2025289</v>
      </c>
      <c r="B1098" s="3" t="inlineStr">
        <is>
          <t>685</t>
        </is>
      </c>
      <c r="C1098" s="2">
        <f>IF(B1098="","",LEFT(TEXT(B1098,"000"),1)*1)</f>
        <v/>
      </c>
      <c r="D1098" s="2">
        <f>IF(B1098="","",MID(TEXT(B1098,"000"),2,1)*1)</f>
        <v/>
      </c>
      <c r="E1098" s="2">
        <f>IF(B1098="","",RIGHT(TEXT(B1098,"000"),1)*1)</f>
        <v/>
      </c>
      <c r="F1098" s="2">
        <f>IF(B1098="","",C1098+D1098+E1098)</f>
        <v/>
      </c>
      <c r="G1098" s="2">
        <f>IF(B1098="","",MOD(F1098,10))</f>
        <v/>
      </c>
      <c r="H1098" s="2">
        <f>IF(B1098="","",MAX(C1098,D1098,E1098)-MIN(C1098,D1098,E1098))</f>
        <v/>
      </c>
      <c r="I1098" s="2">
        <f>IF(OR(B1098="",H1098=0),IF(H1098=0,0.1,""),ROUND(F1098/H1098,2))</f>
        <v/>
      </c>
      <c r="J1098" s="2">
        <f>IF(I1098=0.1,"极紧凑",IF(I1098&gt;3.5,"紧凑",IF(AND(I1098&gt;=2,I1098&lt;=3.5),"标准",IF(AND(I1098&gt;=1,I1098&lt;2),"松散",""))))</f>
        <v/>
      </c>
      <c r="K1098" s="2">
        <f>IF(I1098=0.1,"极紧凑-豹子号",IF(AND(I1098&gt;=1,I1098&lt;=1.29),"松散-极松散",IF(AND(I1098&gt;=1.33,I1098&lt;=1.8),"松散-标准松散",IF(AND(I1098&gt;=1.83,I1098&lt;=1.89),"松散-偏紧松散",IF(AND(I1098&gt;=2,I1098&lt;=2.5),"标准-偏松标准",IF(AND(I1098&gt;=2.57,I1098&lt;=3),"标准-核心标准",IF(AND(I1098&gt;=3.17,I1098&lt;=3.5),"标准-偏紧标准",IF(AND(I1098&gt;=3.6,I1098&lt;=5),"紧凑-标准紧凑",IF(AND(I1098&gt;=5.25,I1098&lt;=8),"紧凑-高度紧凑",IF(I1098&gt;=8.5,"紧凑-极度紧凑",""))))))))))</f>
        <v/>
      </c>
      <c r="L1098" s="2">
        <f>IF(I1098=0.1,"极紧凑",IF(AND(I1098&gt;=1,I1098&lt;=1.89),"松散",IF(AND(I1098&gt;=2,I1098&lt;=3.5),"标准",IF(I1098&gt;=3.6,"紧凑",""))))</f>
        <v/>
      </c>
      <c r="M1098" s="2" t="inlineStr">
        <is>
          <t>极紧凑-豹子号</t>
        </is>
      </c>
      <c r="N1098" s="2" t="inlineStr">
        <is>
          <t>松散-极松散</t>
        </is>
      </c>
      <c r="O1098" s="2" t="inlineStr">
        <is>
          <t>松散-标准松散</t>
        </is>
      </c>
      <c r="P1098" s="2" t="inlineStr">
        <is>
          <t>松散-偏紧松散</t>
        </is>
      </c>
      <c r="Q1098" s="2" t="inlineStr">
        <is>
          <t>标准-偏松标准</t>
        </is>
      </c>
      <c r="R1098" s="2" t="inlineStr">
        <is>
          <t>标准-核心标准</t>
        </is>
      </c>
      <c r="S1098" s="2" t="inlineStr">
        <is>
          <t>标准-偏紧标准</t>
        </is>
      </c>
      <c r="T1098" s="2" t="inlineStr">
        <is>
          <t>紧凑-标准紧凑</t>
        </is>
      </c>
      <c r="U1098" s="2" t="inlineStr">
        <is>
          <t>紧凑-高度紧凑</t>
        </is>
      </c>
      <c r="V1098" s="2" t="inlineStr">
        <is>
          <t>紧凑-极度紧凑</t>
        </is>
      </c>
    </row>
    <row r="1099">
      <c r="A1099" s="1" t="n">
        <v>2025290</v>
      </c>
      <c r="B1099" s="3" t="inlineStr">
        <is>
          <t>125</t>
        </is>
      </c>
      <c r="C1099" s="2">
        <f>IF(B1099="","",LEFT(TEXT(B1099,"000"),1)*1)</f>
        <v/>
      </c>
      <c r="D1099" s="2">
        <f>IF(B1099="","",MID(TEXT(B1099,"000"),2,1)*1)</f>
        <v/>
      </c>
      <c r="E1099" s="2">
        <f>IF(B1099="","",RIGHT(TEXT(B1099,"000"),1)*1)</f>
        <v/>
      </c>
      <c r="F1099" s="2">
        <f>IF(B1099="","",C1099+D1099+E1099)</f>
        <v/>
      </c>
      <c r="G1099" s="2">
        <f>IF(B1099="","",MOD(F1099,10))</f>
        <v/>
      </c>
      <c r="H1099" s="2">
        <f>IF(B1099="","",MAX(C1099,D1099,E1099)-MIN(C1099,D1099,E1099))</f>
        <v/>
      </c>
      <c r="I1099" s="2">
        <f>IF(OR(B1099="",H1099=0),IF(H1099=0,0.1,""),ROUND(F1099/H1099,2))</f>
        <v/>
      </c>
      <c r="J1099" s="2">
        <f>IF(I1099=0.1,"极紧凑",IF(I1099&gt;3.5,"紧凑",IF(AND(I1099&gt;=2,I1099&lt;=3.5),"标准",IF(AND(I1099&gt;=1,I1099&lt;2),"松散",""))))</f>
        <v/>
      </c>
      <c r="K1099" s="2">
        <f>IF(I1099=0.1,"极紧凑-豹子号",IF(AND(I1099&gt;=1,I1099&lt;=1.29),"松散-极松散",IF(AND(I1099&gt;=1.33,I1099&lt;=1.8),"松散-标准松散",IF(AND(I1099&gt;=1.83,I1099&lt;=1.89),"松散-偏紧松散",IF(AND(I1099&gt;=2,I1099&lt;=2.5),"标准-偏松标准",IF(AND(I1099&gt;=2.57,I1099&lt;=3),"标准-核心标准",IF(AND(I1099&gt;=3.17,I1099&lt;=3.5),"标准-偏紧标准",IF(AND(I1099&gt;=3.6,I1099&lt;=5),"紧凑-标准紧凑",IF(AND(I1099&gt;=5.25,I1099&lt;=8),"紧凑-高度紧凑",IF(I1099&gt;=8.5,"紧凑-极度紧凑",""))))))))))</f>
        <v/>
      </c>
      <c r="L1099" s="2">
        <f>IF(I1099=0.1,"极紧凑",IF(AND(I1099&gt;=1,I1099&lt;=1.89),"松散",IF(AND(I1099&gt;=2,I1099&lt;=3.5),"标准",IF(I1099&gt;=3.6,"紧凑",""))))</f>
        <v/>
      </c>
      <c r="M1099" s="2" t="inlineStr">
        <is>
          <t>极紧凑-豹子号</t>
        </is>
      </c>
      <c r="N1099" s="2" t="inlineStr">
        <is>
          <t>松散-极松散</t>
        </is>
      </c>
      <c r="O1099" s="2" t="inlineStr">
        <is>
          <t>松散-标准松散</t>
        </is>
      </c>
      <c r="P1099" s="2" t="inlineStr">
        <is>
          <t>松散-偏紧松散</t>
        </is>
      </c>
      <c r="Q1099" s="2" t="inlineStr">
        <is>
          <t>标准-偏松标准</t>
        </is>
      </c>
      <c r="R1099" s="2" t="inlineStr">
        <is>
          <t>标准-核心标准</t>
        </is>
      </c>
      <c r="S1099" s="2" t="inlineStr">
        <is>
          <t>标准-偏紧标准</t>
        </is>
      </c>
      <c r="T1099" s="2" t="inlineStr">
        <is>
          <t>紧凑-标准紧凑</t>
        </is>
      </c>
      <c r="U1099" s="2" t="inlineStr">
        <is>
          <t>紧凑-高度紧凑</t>
        </is>
      </c>
      <c r="V1099" s="2" t="inlineStr">
        <is>
          <t>紧凑-极度紧凑</t>
        </is>
      </c>
    </row>
    <row r="1100">
      <c r="A1100" s="1" t="n">
        <v>2025291</v>
      </c>
      <c r="B1100" s="3" t="inlineStr">
        <is>
          <t>948</t>
        </is>
      </c>
      <c r="C1100" s="2">
        <f>IF(B1100="","",LEFT(TEXT(B1100,"000"),1)*1)</f>
        <v/>
      </c>
      <c r="D1100" s="2">
        <f>IF(B1100="","",MID(TEXT(B1100,"000"),2,1)*1)</f>
        <v/>
      </c>
      <c r="E1100" s="2">
        <f>IF(B1100="","",RIGHT(TEXT(B1100,"000"),1)*1)</f>
        <v/>
      </c>
      <c r="F1100" s="2">
        <f>IF(B1100="","",C1100+D1100+E1100)</f>
        <v/>
      </c>
      <c r="G1100" s="2">
        <f>IF(B1100="","",MOD(F1100,10))</f>
        <v/>
      </c>
      <c r="H1100" s="2">
        <f>IF(B1100="","",MAX(C1100,D1100,E1100)-MIN(C1100,D1100,E1100))</f>
        <v/>
      </c>
      <c r="I1100" s="2">
        <f>IF(OR(B1100="",H1100=0),IF(H1100=0,0.1,""),ROUND(F1100/H1100,2))</f>
        <v/>
      </c>
      <c r="J1100" s="2">
        <f>IF(I1100=0.1,"极紧凑",IF(I1100&gt;3.5,"紧凑",IF(AND(I1100&gt;=2,I1100&lt;=3.5),"标准",IF(AND(I1100&gt;=1,I1100&lt;2),"松散",""))))</f>
        <v/>
      </c>
      <c r="K1100" s="2">
        <f>IF(I1100=0.1,"极紧凑-豹子号",IF(AND(I1100&gt;=1,I1100&lt;=1.29),"松散-极松散",IF(AND(I1100&gt;=1.33,I1100&lt;=1.8),"松散-标准松散",IF(AND(I1100&gt;=1.83,I1100&lt;=1.89),"松散-偏紧松散",IF(AND(I1100&gt;=2,I1100&lt;=2.5),"标准-偏松标准",IF(AND(I1100&gt;=2.57,I1100&lt;=3),"标准-核心标准",IF(AND(I1100&gt;=3.17,I1100&lt;=3.5),"标准-偏紧标准",IF(AND(I1100&gt;=3.6,I1100&lt;=5),"紧凑-标准紧凑",IF(AND(I1100&gt;=5.25,I1100&lt;=8),"紧凑-高度紧凑",IF(I1100&gt;=8.5,"紧凑-极度紧凑",""))))))))))</f>
        <v/>
      </c>
      <c r="L1100" s="2">
        <f>IF(I1100=0.1,"极紧凑",IF(AND(I1100&gt;=1,I1100&lt;=1.89),"松散",IF(AND(I1100&gt;=2,I1100&lt;=3.5),"标准",IF(I1100&gt;=3.6,"紧凑",""))))</f>
        <v/>
      </c>
      <c r="M1100" s="2" t="inlineStr">
        <is>
          <t>极紧凑-豹子号</t>
        </is>
      </c>
      <c r="N1100" s="2" t="inlineStr">
        <is>
          <t>松散-极松散</t>
        </is>
      </c>
      <c r="O1100" s="2" t="inlineStr">
        <is>
          <t>松散-标准松散</t>
        </is>
      </c>
      <c r="P1100" s="2" t="inlineStr">
        <is>
          <t>松散-偏紧松散</t>
        </is>
      </c>
      <c r="Q1100" s="2" t="inlineStr">
        <is>
          <t>标准-偏松标准</t>
        </is>
      </c>
      <c r="R1100" s="2" t="inlineStr">
        <is>
          <t>标准-核心标准</t>
        </is>
      </c>
      <c r="S1100" s="2" t="inlineStr">
        <is>
          <t>标准-偏紧标准</t>
        </is>
      </c>
      <c r="T1100" s="2" t="inlineStr">
        <is>
          <t>紧凑-标准紧凑</t>
        </is>
      </c>
      <c r="U1100" s="2" t="inlineStr">
        <is>
          <t>紧凑-高度紧凑</t>
        </is>
      </c>
      <c r="V1100" s="2" t="inlineStr">
        <is>
          <t>紧凑-极度紧凑</t>
        </is>
      </c>
    </row>
    <row r="1101">
      <c r="A1101" s="1" t="n">
        <v>2025292</v>
      </c>
      <c r="B1101" s="3" t="inlineStr">
        <is>
          <t>673</t>
        </is>
      </c>
      <c r="C1101" s="2">
        <f>IF(B1101="","",LEFT(TEXT(B1101,"000"),1)*1)</f>
        <v/>
      </c>
      <c r="D1101" s="2">
        <f>IF(B1101="","",MID(TEXT(B1101,"000"),2,1)*1)</f>
        <v/>
      </c>
      <c r="E1101" s="2">
        <f>IF(B1101="","",RIGHT(TEXT(B1101,"000"),1)*1)</f>
        <v/>
      </c>
      <c r="F1101" s="2">
        <f>IF(B1101="","",C1101+D1101+E1101)</f>
        <v/>
      </c>
      <c r="G1101" s="2">
        <f>IF(B1101="","",MOD(F1101,10))</f>
        <v/>
      </c>
      <c r="H1101" s="2">
        <f>IF(B1101="","",MAX(C1101,D1101,E1101)-MIN(C1101,D1101,E1101))</f>
        <v/>
      </c>
      <c r="I1101" s="2">
        <f>IF(OR(B1101="",H1101=0),IF(H1101=0,0.1,""),ROUND(F1101/H1101,2))</f>
        <v/>
      </c>
      <c r="J1101" s="2">
        <f>IF(I1101=0.1,"极紧凑",IF(I1101&gt;3.5,"紧凑",IF(AND(I1101&gt;=2,I1101&lt;=3.5),"标准",IF(AND(I1101&gt;=1,I1101&lt;2),"松散",""))))</f>
        <v/>
      </c>
      <c r="K1101" s="2">
        <f>IF(I1101=0.1,"极紧凑-豹子号",IF(AND(I1101&gt;=1,I1101&lt;=1.29),"松散-极松散",IF(AND(I1101&gt;=1.33,I1101&lt;=1.8),"松散-标准松散",IF(AND(I1101&gt;=1.83,I1101&lt;=1.89),"松散-偏紧松散",IF(AND(I1101&gt;=2,I1101&lt;=2.5),"标准-偏松标准",IF(AND(I1101&gt;=2.57,I1101&lt;=3),"标准-核心标准",IF(AND(I1101&gt;=3.17,I1101&lt;=3.5),"标准-偏紧标准",IF(AND(I1101&gt;=3.6,I1101&lt;=5),"紧凑-标准紧凑",IF(AND(I1101&gt;=5.25,I1101&lt;=8),"紧凑-高度紧凑",IF(I1101&gt;=8.5,"紧凑-极度紧凑",""))))))))))</f>
        <v/>
      </c>
      <c r="L1101" s="2">
        <f>IF(I1101=0.1,"极紧凑",IF(AND(I1101&gt;=1,I1101&lt;=1.89),"松散",IF(AND(I1101&gt;=2,I1101&lt;=3.5),"标准",IF(I1101&gt;=3.6,"紧凑",""))))</f>
        <v/>
      </c>
      <c r="M1101" s="2" t="inlineStr">
        <is>
          <t>极紧凑-豹子号</t>
        </is>
      </c>
      <c r="N1101" s="2" t="inlineStr">
        <is>
          <t>松散-极松散</t>
        </is>
      </c>
      <c r="O1101" s="2" t="inlineStr">
        <is>
          <t>松散-标准松散</t>
        </is>
      </c>
      <c r="P1101" s="2" t="inlineStr">
        <is>
          <t>松散-偏紧松散</t>
        </is>
      </c>
      <c r="Q1101" s="2" t="inlineStr">
        <is>
          <t>标准-偏松标准</t>
        </is>
      </c>
      <c r="R1101" s="2" t="inlineStr">
        <is>
          <t>标准-核心标准</t>
        </is>
      </c>
      <c r="S1101" s="2" t="inlineStr">
        <is>
          <t>标准-偏紧标准</t>
        </is>
      </c>
      <c r="T1101" s="2" t="inlineStr">
        <is>
          <t>紧凑-标准紧凑</t>
        </is>
      </c>
      <c r="U1101" s="2" t="inlineStr">
        <is>
          <t>紧凑-高度紧凑</t>
        </is>
      </c>
      <c r="V1101" s="2" t="inlineStr">
        <is>
          <t>紧凑-极度紧凑</t>
        </is>
      </c>
    </row>
    <row r="1102">
      <c r="A1102" s="1" t="n">
        <v>2025293</v>
      </c>
      <c r="B1102" s="3" t="inlineStr">
        <is>
          <t>094</t>
        </is>
      </c>
      <c r="C1102" s="2">
        <f>IF(B1102="","",LEFT(TEXT(B1102,"000"),1)*1)</f>
        <v/>
      </c>
      <c r="D1102" s="2">
        <f>IF(B1102="","",MID(TEXT(B1102,"000"),2,1)*1)</f>
        <v/>
      </c>
      <c r="E1102" s="2">
        <f>IF(B1102="","",RIGHT(TEXT(B1102,"000"),1)*1)</f>
        <v/>
      </c>
      <c r="F1102" s="2">
        <f>IF(B1102="","",C1102+D1102+E1102)</f>
        <v/>
      </c>
      <c r="G1102" s="2">
        <f>IF(B1102="","",MOD(F1102,10))</f>
        <v/>
      </c>
      <c r="H1102" s="2">
        <f>IF(B1102="","",MAX(C1102,D1102,E1102)-MIN(C1102,D1102,E1102))</f>
        <v/>
      </c>
      <c r="I1102" s="2">
        <f>IF(OR(B1102="",H1102=0),IF(H1102=0,0.1,""),ROUND(F1102/H1102,2))</f>
        <v/>
      </c>
      <c r="J1102" s="2">
        <f>IF(I1102=0.1,"极紧凑",IF(I1102&gt;3.5,"紧凑",IF(AND(I1102&gt;=2,I1102&lt;=3.5),"标准",IF(AND(I1102&gt;=1,I1102&lt;2),"松散",""))))</f>
        <v/>
      </c>
      <c r="K1102" s="2">
        <f>IF(I1102=0.1,"极紧凑-豹子号",IF(AND(I1102&gt;=1,I1102&lt;=1.29),"松散-极松散",IF(AND(I1102&gt;=1.33,I1102&lt;=1.8),"松散-标准松散",IF(AND(I1102&gt;=1.83,I1102&lt;=1.89),"松散-偏紧松散",IF(AND(I1102&gt;=2,I1102&lt;=2.5),"标准-偏松标准",IF(AND(I1102&gt;=2.57,I1102&lt;=3),"标准-核心标准",IF(AND(I1102&gt;=3.17,I1102&lt;=3.5),"标准-偏紧标准",IF(AND(I1102&gt;=3.6,I1102&lt;=5),"紧凑-标准紧凑",IF(AND(I1102&gt;=5.25,I1102&lt;=8),"紧凑-高度紧凑",IF(I1102&gt;=8.5,"紧凑-极度紧凑",""))))))))))</f>
        <v/>
      </c>
      <c r="L1102" s="2">
        <f>IF(I1102=0.1,"极紧凑",IF(AND(I1102&gt;=1,I1102&lt;=1.89),"松散",IF(AND(I1102&gt;=2,I1102&lt;=3.5),"标准",IF(I1102&gt;=3.6,"紧凑",""))))</f>
        <v/>
      </c>
      <c r="M1102" s="2" t="inlineStr">
        <is>
          <t>极紧凑-豹子号</t>
        </is>
      </c>
      <c r="N1102" s="2" t="inlineStr">
        <is>
          <t>松散-极松散</t>
        </is>
      </c>
      <c r="O1102" s="2" t="inlineStr">
        <is>
          <t>松散-标准松散</t>
        </is>
      </c>
      <c r="P1102" s="2" t="inlineStr">
        <is>
          <t>松散-偏紧松散</t>
        </is>
      </c>
      <c r="Q1102" s="2" t="inlineStr">
        <is>
          <t>标准-偏松标准</t>
        </is>
      </c>
      <c r="R1102" s="2" t="inlineStr">
        <is>
          <t>标准-核心标准</t>
        </is>
      </c>
      <c r="S1102" s="2" t="inlineStr">
        <is>
          <t>标准-偏紧标准</t>
        </is>
      </c>
      <c r="T1102" s="2" t="inlineStr">
        <is>
          <t>紧凑-标准紧凑</t>
        </is>
      </c>
      <c r="U1102" s="2" t="inlineStr">
        <is>
          <t>紧凑-高度紧凑</t>
        </is>
      </c>
      <c r="V1102" s="2" t="inlineStr">
        <is>
          <t>紧凑-极度紧凑</t>
        </is>
      </c>
    </row>
    <row r="1103">
      <c r="A1103" s="1" t="n">
        <v>2025294</v>
      </c>
      <c r="B1103" s="3" t="inlineStr">
        <is>
          <t>994</t>
        </is>
      </c>
      <c r="C1103" s="2">
        <f>IF(B1103="","",LEFT(TEXT(B1103,"000"),1)*1)</f>
        <v/>
      </c>
      <c r="D1103" s="2">
        <f>IF(B1103="","",MID(TEXT(B1103,"000"),2,1)*1)</f>
        <v/>
      </c>
      <c r="E1103" s="2">
        <f>IF(B1103="","",RIGHT(TEXT(B1103,"000"),1)*1)</f>
        <v/>
      </c>
      <c r="F1103" s="2">
        <f>IF(B1103="","",C1103+D1103+E1103)</f>
        <v/>
      </c>
      <c r="G1103" s="2">
        <f>IF(B1103="","",MOD(F1103,10))</f>
        <v/>
      </c>
      <c r="H1103" s="2">
        <f>IF(B1103="","",MAX(C1103,D1103,E1103)-MIN(C1103,D1103,E1103))</f>
        <v/>
      </c>
      <c r="I1103" s="2">
        <f>IF(OR(B1103="",H1103=0),IF(H1103=0,0.1,""),ROUND(F1103/H1103,2))</f>
        <v/>
      </c>
      <c r="J1103" s="2">
        <f>IF(I1103=0.1,"极紧凑",IF(I1103&gt;3.5,"紧凑",IF(AND(I1103&gt;=2,I1103&lt;=3.5),"标准",IF(AND(I1103&gt;=1,I1103&lt;2),"松散",""))))</f>
        <v/>
      </c>
      <c r="K1103" s="2">
        <f>IF(I1103=0.1,"极紧凑-豹子号",IF(AND(I1103&gt;=1,I1103&lt;=1.29),"松散-极松散",IF(AND(I1103&gt;=1.33,I1103&lt;=1.8),"松散-标准松散",IF(AND(I1103&gt;=1.83,I1103&lt;=1.89),"松散-偏紧松散",IF(AND(I1103&gt;=2,I1103&lt;=2.5),"标准-偏松标准",IF(AND(I1103&gt;=2.57,I1103&lt;=3),"标准-核心标准",IF(AND(I1103&gt;=3.17,I1103&lt;=3.5),"标准-偏紧标准",IF(AND(I1103&gt;=3.6,I1103&lt;=5),"紧凑-标准紧凑",IF(AND(I1103&gt;=5.25,I1103&lt;=8),"紧凑-高度紧凑",IF(I1103&gt;=8.5,"紧凑-极度紧凑",""))))))))))</f>
        <v/>
      </c>
      <c r="L1103" s="2">
        <f>IF(I1103=0.1,"极紧凑",IF(AND(I1103&gt;=1,I1103&lt;=1.89),"松散",IF(AND(I1103&gt;=2,I1103&lt;=3.5),"标准",IF(I1103&gt;=3.6,"紧凑",""))))</f>
        <v/>
      </c>
      <c r="M1103" s="2" t="inlineStr">
        <is>
          <t>极紧凑-豹子号</t>
        </is>
      </c>
      <c r="N1103" s="2" t="inlineStr">
        <is>
          <t>松散-极松散</t>
        </is>
      </c>
      <c r="O1103" s="2" t="inlineStr">
        <is>
          <t>松散-标准松散</t>
        </is>
      </c>
      <c r="P1103" s="2" t="inlineStr">
        <is>
          <t>松散-偏紧松散</t>
        </is>
      </c>
      <c r="Q1103" s="2" t="inlineStr">
        <is>
          <t>标准-偏松标准</t>
        </is>
      </c>
      <c r="R1103" s="2" t="inlineStr">
        <is>
          <t>标准-核心标准</t>
        </is>
      </c>
      <c r="S1103" s="2" t="inlineStr">
        <is>
          <t>标准-偏紧标准</t>
        </is>
      </c>
      <c r="T1103" s="2" t="inlineStr">
        <is>
          <t>紧凑-标准紧凑</t>
        </is>
      </c>
      <c r="U1103" s="2" t="inlineStr">
        <is>
          <t>紧凑-高度紧凑</t>
        </is>
      </c>
      <c r="V1103" s="2" t="inlineStr">
        <is>
          <t>紧凑-极度紧凑</t>
        </is>
      </c>
    </row>
    <row r="1104">
      <c r="A1104" s="1" t="n">
        <v>2025295</v>
      </c>
      <c r="B1104" s="3" t="inlineStr">
        <is>
          <t>124</t>
        </is>
      </c>
      <c r="C1104" s="2">
        <f>IF(B1104="","",LEFT(TEXT(B1104,"000"),1)*1)</f>
        <v/>
      </c>
      <c r="D1104" s="2">
        <f>IF(B1104="","",MID(TEXT(B1104,"000"),2,1)*1)</f>
        <v/>
      </c>
      <c r="E1104" s="2">
        <f>IF(B1104="","",RIGHT(TEXT(B1104,"000"),1)*1)</f>
        <v/>
      </c>
      <c r="F1104" s="2">
        <f>IF(B1104="","",C1104+D1104+E1104)</f>
        <v/>
      </c>
      <c r="G1104" s="2">
        <f>IF(B1104="","",MOD(F1104,10))</f>
        <v/>
      </c>
      <c r="H1104" s="2">
        <f>IF(B1104="","",MAX(C1104,D1104,E1104)-MIN(C1104,D1104,E1104))</f>
        <v/>
      </c>
      <c r="I1104" s="2">
        <f>IF(OR(B1104="",H1104=0),IF(H1104=0,0.1,""),ROUND(F1104/H1104,2))</f>
        <v/>
      </c>
      <c r="J1104" s="2">
        <f>IF(I1104=0.1,"极紧凑",IF(I1104&gt;3.5,"紧凑",IF(AND(I1104&gt;=2,I1104&lt;=3.5),"标准",IF(AND(I1104&gt;=1,I1104&lt;2),"松散",""))))</f>
        <v/>
      </c>
      <c r="K1104" s="2">
        <f>IF(I1104=0.1,"极紧凑-豹子号",IF(AND(I1104&gt;=1,I1104&lt;=1.29),"松散-极松散",IF(AND(I1104&gt;=1.33,I1104&lt;=1.8),"松散-标准松散",IF(AND(I1104&gt;=1.83,I1104&lt;=1.89),"松散-偏紧松散",IF(AND(I1104&gt;=2,I1104&lt;=2.5),"标准-偏松标准",IF(AND(I1104&gt;=2.57,I1104&lt;=3),"标准-核心标准",IF(AND(I1104&gt;=3.17,I1104&lt;=3.5),"标准-偏紧标准",IF(AND(I1104&gt;=3.6,I1104&lt;=5),"紧凑-标准紧凑",IF(AND(I1104&gt;=5.25,I1104&lt;=8),"紧凑-高度紧凑",IF(I1104&gt;=8.5,"紧凑-极度紧凑",""))))))))))</f>
        <v/>
      </c>
      <c r="L1104" s="2">
        <f>IF(I1104=0.1,"极紧凑",IF(AND(I1104&gt;=1,I1104&lt;=1.89),"松散",IF(AND(I1104&gt;=2,I1104&lt;=3.5),"标准",IF(I1104&gt;=3.6,"紧凑",""))))</f>
        <v/>
      </c>
      <c r="M1104" s="2" t="inlineStr">
        <is>
          <t>极紧凑-豹子号</t>
        </is>
      </c>
      <c r="N1104" s="2" t="inlineStr">
        <is>
          <t>松散-极松散</t>
        </is>
      </c>
      <c r="O1104" s="2" t="inlineStr">
        <is>
          <t>松散-标准松散</t>
        </is>
      </c>
      <c r="P1104" s="2" t="inlineStr">
        <is>
          <t>松散-偏紧松散</t>
        </is>
      </c>
      <c r="Q1104" s="2" t="inlineStr">
        <is>
          <t>标准-偏松标准</t>
        </is>
      </c>
      <c r="R1104" s="2" t="inlineStr">
        <is>
          <t>标准-核心标准</t>
        </is>
      </c>
      <c r="S1104" s="2" t="inlineStr">
        <is>
          <t>标准-偏紧标准</t>
        </is>
      </c>
      <c r="T1104" s="2" t="inlineStr">
        <is>
          <t>紧凑-标准紧凑</t>
        </is>
      </c>
      <c r="U1104" s="2" t="inlineStr">
        <is>
          <t>紧凑-高度紧凑</t>
        </is>
      </c>
      <c r="V1104" s="2" t="inlineStr">
        <is>
          <t>紧凑-极度紧凑</t>
        </is>
      </c>
    </row>
    <row r="1105">
      <c r="A1105" s="1" t="n">
        <v>2025296</v>
      </c>
      <c r="B1105" s="3" t="inlineStr">
        <is>
          <t>052</t>
        </is>
      </c>
      <c r="C1105" s="2">
        <f>IF(B1105="","",LEFT(TEXT(B1105,"000"),1)*1)</f>
        <v/>
      </c>
      <c r="D1105" s="2">
        <f>IF(B1105="","",MID(TEXT(B1105,"000"),2,1)*1)</f>
        <v/>
      </c>
      <c r="E1105" s="2">
        <f>IF(B1105="","",RIGHT(TEXT(B1105,"000"),1)*1)</f>
        <v/>
      </c>
      <c r="F1105" s="2">
        <f>IF(B1105="","",C1105+D1105+E1105)</f>
        <v/>
      </c>
      <c r="G1105" s="2">
        <f>IF(B1105="","",MOD(F1105,10))</f>
        <v/>
      </c>
      <c r="H1105" s="2">
        <f>IF(B1105="","",MAX(C1105,D1105,E1105)-MIN(C1105,D1105,E1105))</f>
        <v/>
      </c>
      <c r="I1105" s="2">
        <f>IF(OR(B1105="",H1105=0),IF(H1105=0,0.1,""),ROUND(F1105/H1105,2))</f>
        <v/>
      </c>
      <c r="J1105" s="2">
        <f>IF(I1105=0.1,"极紧凑",IF(I1105&gt;3.5,"紧凑",IF(AND(I1105&gt;=2,I1105&lt;=3.5),"标准",IF(AND(I1105&gt;=1,I1105&lt;2),"松散",""))))</f>
        <v/>
      </c>
      <c r="K1105" s="2">
        <f>IF(I1105=0.1,"极紧凑-豹子号",IF(AND(I1105&gt;=1,I1105&lt;=1.29),"松散-极松散",IF(AND(I1105&gt;=1.33,I1105&lt;=1.8),"松散-标准松散",IF(AND(I1105&gt;=1.83,I1105&lt;=1.89),"松散-偏紧松散",IF(AND(I1105&gt;=2,I1105&lt;=2.5),"标准-偏松标准",IF(AND(I1105&gt;=2.57,I1105&lt;=3),"标准-核心标准",IF(AND(I1105&gt;=3.17,I1105&lt;=3.5),"标准-偏紧标准",IF(AND(I1105&gt;=3.6,I1105&lt;=5),"紧凑-标准紧凑",IF(AND(I1105&gt;=5.25,I1105&lt;=8),"紧凑-高度紧凑",IF(I1105&gt;=8.5,"紧凑-极度紧凑",""))))))))))</f>
        <v/>
      </c>
      <c r="L1105" s="2">
        <f>IF(I1105=0.1,"极紧凑",IF(AND(I1105&gt;=1,I1105&lt;=1.89),"松散",IF(AND(I1105&gt;=2,I1105&lt;=3.5),"标准",IF(I1105&gt;=3.6,"紧凑",""))))</f>
        <v/>
      </c>
      <c r="M1105" s="2" t="inlineStr">
        <is>
          <t>极紧凑-豹子号</t>
        </is>
      </c>
      <c r="N1105" s="2" t="inlineStr">
        <is>
          <t>松散-极松散</t>
        </is>
      </c>
      <c r="O1105" s="2" t="inlineStr">
        <is>
          <t>松散-标准松散</t>
        </is>
      </c>
      <c r="P1105" s="2" t="inlineStr">
        <is>
          <t>松散-偏紧松散</t>
        </is>
      </c>
      <c r="Q1105" s="2" t="inlineStr">
        <is>
          <t>标准-偏松标准</t>
        </is>
      </c>
      <c r="R1105" s="2" t="inlineStr">
        <is>
          <t>标准-核心标准</t>
        </is>
      </c>
      <c r="S1105" s="2" t="inlineStr">
        <is>
          <t>标准-偏紧标准</t>
        </is>
      </c>
      <c r="T1105" s="2" t="inlineStr">
        <is>
          <t>紧凑-标准紧凑</t>
        </is>
      </c>
      <c r="U1105" s="2" t="inlineStr">
        <is>
          <t>紧凑-高度紧凑</t>
        </is>
      </c>
      <c r="V1105" s="2" t="inlineStr">
        <is>
          <t>紧凑-极度紧凑</t>
        </is>
      </c>
    </row>
    <row r="1106">
      <c r="A1106" s="1" t="n">
        <v>2025297</v>
      </c>
      <c r="B1106" s="3" t="inlineStr">
        <is>
          <t>453</t>
        </is>
      </c>
      <c r="C1106" s="2">
        <f>IF(B1106="","",LEFT(TEXT(B1106,"000"),1)*1)</f>
        <v/>
      </c>
      <c r="D1106" s="2">
        <f>IF(B1106="","",MID(TEXT(B1106,"000"),2,1)*1)</f>
        <v/>
      </c>
      <c r="E1106" s="2">
        <f>IF(B1106="","",RIGHT(TEXT(B1106,"000"),1)*1)</f>
        <v/>
      </c>
      <c r="F1106" s="2">
        <f>IF(B1106="","",C1106+D1106+E1106)</f>
        <v/>
      </c>
      <c r="G1106" s="2">
        <f>IF(B1106="","",MOD(F1106,10))</f>
        <v/>
      </c>
      <c r="H1106" s="2">
        <f>IF(B1106="","",MAX(C1106,D1106,E1106)-MIN(C1106,D1106,E1106))</f>
        <v/>
      </c>
      <c r="I1106" s="2">
        <f>IF(OR(B1106="",H1106=0),IF(H1106=0,0.1,""),ROUND(F1106/H1106,2))</f>
        <v/>
      </c>
      <c r="J1106" s="2">
        <f>IF(I1106=0.1,"极紧凑",IF(I1106&gt;3.5,"紧凑",IF(AND(I1106&gt;=2,I1106&lt;=3.5),"标准",IF(AND(I1106&gt;=1,I1106&lt;2),"松散",""))))</f>
        <v/>
      </c>
      <c r="K1106" s="2">
        <f>IF(I1106=0.1,"极紧凑-豹子号",IF(AND(I1106&gt;=1,I1106&lt;=1.29),"松散-极松散",IF(AND(I1106&gt;=1.33,I1106&lt;=1.8),"松散-标准松散",IF(AND(I1106&gt;=1.83,I1106&lt;=1.89),"松散-偏紧松散",IF(AND(I1106&gt;=2,I1106&lt;=2.5),"标准-偏松标准",IF(AND(I1106&gt;=2.57,I1106&lt;=3),"标准-核心标准",IF(AND(I1106&gt;=3.17,I1106&lt;=3.5),"标准-偏紧标准",IF(AND(I1106&gt;=3.6,I1106&lt;=5),"紧凑-标准紧凑",IF(AND(I1106&gt;=5.25,I1106&lt;=8),"紧凑-高度紧凑",IF(I1106&gt;=8.5,"紧凑-极度紧凑",""))))))))))</f>
        <v/>
      </c>
      <c r="L1106" s="2">
        <f>IF(I1106=0.1,"极紧凑",IF(AND(I1106&gt;=1,I1106&lt;=1.89),"松散",IF(AND(I1106&gt;=2,I1106&lt;=3.5),"标准",IF(I1106&gt;=3.6,"紧凑",""))))</f>
        <v/>
      </c>
      <c r="M1106" s="2" t="inlineStr">
        <is>
          <t>极紧凑-豹子号</t>
        </is>
      </c>
      <c r="N1106" s="2" t="inlineStr">
        <is>
          <t>松散-极松散</t>
        </is>
      </c>
      <c r="O1106" s="2" t="inlineStr">
        <is>
          <t>松散-标准松散</t>
        </is>
      </c>
      <c r="P1106" s="2" t="inlineStr">
        <is>
          <t>松散-偏紧松散</t>
        </is>
      </c>
      <c r="Q1106" s="2" t="inlineStr">
        <is>
          <t>标准-偏松标准</t>
        </is>
      </c>
      <c r="R1106" s="2" t="inlineStr">
        <is>
          <t>标准-核心标准</t>
        </is>
      </c>
      <c r="S1106" s="2" t="inlineStr">
        <is>
          <t>标准-偏紧标准</t>
        </is>
      </c>
      <c r="T1106" s="2" t="inlineStr">
        <is>
          <t>紧凑-标准紧凑</t>
        </is>
      </c>
      <c r="U1106" s="2" t="inlineStr">
        <is>
          <t>紧凑-高度紧凑</t>
        </is>
      </c>
      <c r="V1106" s="2" t="inlineStr">
        <is>
          <t>紧凑-极度紧凑</t>
        </is>
      </c>
    </row>
    <row r="1107">
      <c r="A1107" s="1" t="n">
        <v>2025298</v>
      </c>
      <c r="B1107" s="3" t="inlineStr">
        <is>
          <t>141</t>
        </is>
      </c>
      <c r="C1107" s="2">
        <f>IF(B1107="","",LEFT(TEXT(B1107,"000"),1)*1)</f>
        <v/>
      </c>
      <c r="D1107" s="2">
        <f>IF(B1107="","",MID(TEXT(B1107,"000"),2,1)*1)</f>
        <v/>
      </c>
      <c r="E1107" s="2">
        <f>IF(B1107="","",RIGHT(TEXT(B1107,"000"),1)*1)</f>
        <v/>
      </c>
      <c r="F1107" s="2">
        <f>IF(B1107="","",C1107+D1107+E1107)</f>
        <v/>
      </c>
      <c r="G1107" s="2">
        <f>IF(B1107="","",MOD(F1107,10))</f>
        <v/>
      </c>
      <c r="H1107" s="2">
        <f>IF(B1107="","",MAX(C1107,D1107,E1107)-MIN(C1107,D1107,E1107))</f>
        <v/>
      </c>
      <c r="I1107" s="2">
        <f>IF(OR(B1107="",H1107=0),IF(H1107=0,0.1,""),ROUND(F1107/H1107,2))</f>
        <v/>
      </c>
      <c r="J1107" s="2">
        <f>IF(I1107=0.1,"极紧凑",IF(I1107&gt;3.5,"紧凑",IF(AND(I1107&gt;=2,I1107&lt;=3.5),"标准",IF(AND(I1107&gt;=1,I1107&lt;2),"松散",""))))</f>
        <v/>
      </c>
      <c r="K1107" s="2">
        <f>IF(I1107=0.1,"极紧凑-豹子号",IF(AND(I1107&gt;=1,I1107&lt;=1.29),"松散-极松散",IF(AND(I1107&gt;=1.33,I1107&lt;=1.8),"松散-标准松散",IF(AND(I1107&gt;=1.83,I1107&lt;=1.89),"松散-偏紧松散",IF(AND(I1107&gt;=2,I1107&lt;=2.5),"标准-偏松标准",IF(AND(I1107&gt;=2.57,I1107&lt;=3),"标准-核心标准",IF(AND(I1107&gt;=3.17,I1107&lt;=3.5),"标准-偏紧标准",IF(AND(I1107&gt;=3.6,I1107&lt;=5),"紧凑-标准紧凑",IF(AND(I1107&gt;=5.25,I1107&lt;=8),"紧凑-高度紧凑",IF(I1107&gt;=8.5,"紧凑-极度紧凑",""))))))))))</f>
        <v/>
      </c>
      <c r="L1107" s="2">
        <f>IF(I1107=0.1,"极紧凑",IF(AND(I1107&gt;=1,I1107&lt;=1.89),"松散",IF(AND(I1107&gt;=2,I1107&lt;=3.5),"标准",IF(I1107&gt;=3.6,"紧凑",""))))</f>
        <v/>
      </c>
      <c r="M1107" s="2" t="inlineStr">
        <is>
          <t>极紧凑-豹子号</t>
        </is>
      </c>
      <c r="N1107" s="2" t="inlineStr">
        <is>
          <t>松散-极松散</t>
        </is>
      </c>
      <c r="O1107" s="2" t="inlineStr">
        <is>
          <t>松散-标准松散</t>
        </is>
      </c>
      <c r="P1107" s="2" t="inlineStr">
        <is>
          <t>松散-偏紧松散</t>
        </is>
      </c>
      <c r="Q1107" s="2" t="inlineStr">
        <is>
          <t>标准-偏松标准</t>
        </is>
      </c>
      <c r="R1107" s="2" t="inlineStr">
        <is>
          <t>标准-核心标准</t>
        </is>
      </c>
      <c r="S1107" s="2" t="inlineStr">
        <is>
          <t>标准-偏紧标准</t>
        </is>
      </c>
      <c r="T1107" s="2" t="inlineStr">
        <is>
          <t>紧凑-标准紧凑</t>
        </is>
      </c>
      <c r="U1107" s="2" t="inlineStr">
        <is>
          <t>紧凑-高度紧凑</t>
        </is>
      </c>
      <c r="V1107" s="2" t="inlineStr">
        <is>
          <t>紧凑-极度紧凑</t>
        </is>
      </c>
    </row>
    <row r="1108">
      <c r="A1108" s="1" t="n">
        <v>2025299</v>
      </c>
      <c r="B1108" s="3" t="inlineStr">
        <is>
          <t>300</t>
        </is>
      </c>
      <c r="C1108" s="2">
        <f>IF(B1108="","",LEFT(TEXT(B1108,"000"),1)*1)</f>
        <v/>
      </c>
      <c r="D1108" s="2">
        <f>IF(B1108="","",MID(TEXT(B1108,"000"),2,1)*1)</f>
        <v/>
      </c>
      <c r="E1108" s="2">
        <f>IF(B1108="","",RIGHT(TEXT(B1108,"000"),1)*1)</f>
        <v/>
      </c>
      <c r="F1108" s="2">
        <f>IF(B1108="","",C1108+D1108+E1108)</f>
        <v/>
      </c>
      <c r="G1108" s="2">
        <f>IF(B1108="","",MOD(F1108,10))</f>
        <v/>
      </c>
      <c r="H1108" s="2">
        <f>IF(B1108="","",MAX(C1108,D1108,E1108)-MIN(C1108,D1108,E1108))</f>
        <v/>
      </c>
      <c r="I1108" s="2">
        <f>IF(OR(B1108="",H1108=0),IF(H1108=0,0.1,""),ROUND(F1108/H1108,2))</f>
        <v/>
      </c>
      <c r="J1108" s="2">
        <f>IF(I1108=0.1,"极紧凑",IF(I1108&gt;3.5,"紧凑",IF(AND(I1108&gt;=2,I1108&lt;=3.5),"标准",IF(AND(I1108&gt;=1,I1108&lt;2),"松散",""))))</f>
        <v/>
      </c>
      <c r="K1108" s="2">
        <f>IF(I1108=0.1,"极紧凑-豹子号",IF(AND(I1108&gt;=1,I1108&lt;=1.29),"松散-极松散",IF(AND(I1108&gt;=1.33,I1108&lt;=1.8),"松散-标准松散",IF(AND(I1108&gt;=1.83,I1108&lt;=1.89),"松散-偏紧松散",IF(AND(I1108&gt;=2,I1108&lt;=2.5),"标准-偏松标准",IF(AND(I1108&gt;=2.57,I1108&lt;=3),"标准-核心标准",IF(AND(I1108&gt;=3.17,I1108&lt;=3.5),"标准-偏紧标准",IF(AND(I1108&gt;=3.6,I1108&lt;=5),"紧凑-标准紧凑",IF(AND(I1108&gt;=5.25,I1108&lt;=8),"紧凑-高度紧凑",IF(I1108&gt;=8.5,"紧凑-极度紧凑",""))))))))))</f>
        <v/>
      </c>
      <c r="L1108" s="2">
        <f>IF(I1108=0.1,"极紧凑",IF(AND(I1108&gt;=1,I1108&lt;=1.89),"松散",IF(AND(I1108&gt;=2,I1108&lt;=3.5),"标准",IF(I1108&gt;=3.6,"紧凑",""))))</f>
        <v/>
      </c>
      <c r="M1108" s="2" t="inlineStr">
        <is>
          <t>极紧凑-豹子号</t>
        </is>
      </c>
      <c r="N1108" s="2" t="inlineStr">
        <is>
          <t>松散-极松散</t>
        </is>
      </c>
      <c r="O1108" s="2" t="inlineStr">
        <is>
          <t>松散-标准松散</t>
        </is>
      </c>
      <c r="P1108" s="2" t="inlineStr">
        <is>
          <t>松散-偏紧松散</t>
        </is>
      </c>
      <c r="Q1108" s="2" t="inlineStr">
        <is>
          <t>标准-偏松标准</t>
        </is>
      </c>
      <c r="R1108" s="2" t="inlineStr">
        <is>
          <t>标准-核心标准</t>
        </is>
      </c>
      <c r="S1108" s="2" t="inlineStr">
        <is>
          <t>标准-偏紧标准</t>
        </is>
      </c>
      <c r="T1108" s="2" t="inlineStr">
        <is>
          <t>紧凑-标准紧凑</t>
        </is>
      </c>
      <c r="U1108" s="2" t="inlineStr">
        <is>
          <t>紧凑-高度紧凑</t>
        </is>
      </c>
      <c r="V1108" s="2" t="inlineStr">
        <is>
          <t>紧凑-极度紧凑</t>
        </is>
      </c>
    </row>
    <row r="1109">
      <c r="A1109" s="1" t="n">
        <v>2025300</v>
      </c>
      <c r="B1109" s="3" t="inlineStr">
        <is>
          <t>843</t>
        </is>
      </c>
      <c r="C1109" s="2">
        <f>IF(B1109="","",LEFT(TEXT(B1109,"000"),1)*1)</f>
        <v/>
      </c>
      <c r="D1109" s="2">
        <f>IF(B1109="","",MID(TEXT(B1109,"000"),2,1)*1)</f>
        <v/>
      </c>
      <c r="E1109" s="2">
        <f>IF(B1109="","",RIGHT(TEXT(B1109,"000"),1)*1)</f>
        <v/>
      </c>
      <c r="F1109" s="2">
        <f>IF(B1109="","",C1109+D1109+E1109)</f>
        <v/>
      </c>
      <c r="G1109" s="2">
        <f>IF(B1109="","",MOD(F1109,10))</f>
        <v/>
      </c>
      <c r="H1109" s="2">
        <f>IF(B1109="","",MAX(C1109,D1109,E1109)-MIN(C1109,D1109,E1109))</f>
        <v/>
      </c>
      <c r="I1109" s="2">
        <f>IF(OR(B1109="",H1109=0),IF(H1109=0,0.1,""),ROUND(F1109/H1109,2))</f>
        <v/>
      </c>
      <c r="J1109" s="2">
        <f>IF(I1109=0.1,"极紧凑",IF(I1109&gt;3.5,"紧凑",IF(AND(I1109&gt;=2,I1109&lt;=3.5),"标准",IF(AND(I1109&gt;=1,I1109&lt;2),"松散",""))))</f>
        <v/>
      </c>
      <c r="K1109" s="2">
        <f>IF(I1109=0.1,"极紧凑-豹子号",IF(AND(I1109&gt;=1,I1109&lt;=1.29),"松散-极松散",IF(AND(I1109&gt;=1.33,I1109&lt;=1.8),"松散-标准松散",IF(AND(I1109&gt;=1.83,I1109&lt;=1.89),"松散-偏紧松散",IF(AND(I1109&gt;=2,I1109&lt;=2.5),"标准-偏松标准",IF(AND(I1109&gt;=2.57,I1109&lt;=3),"标准-核心标准",IF(AND(I1109&gt;=3.17,I1109&lt;=3.5),"标准-偏紧标准",IF(AND(I1109&gt;=3.6,I1109&lt;=5),"紧凑-标准紧凑",IF(AND(I1109&gt;=5.25,I1109&lt;=8),"紧凑-高度紧凑",IF(I1109&gt;=8.5,"紧凑-极度紧凑",""))))))))))</f>
        <v/>
      </c>
      <c r="L1109" s="2">
        <f>IF(I1109=0.1,"极紧凑",IF(AND(I1109&gt;=1,I1109&lt;=1.89),"松散",IF(AND(I1109&gt;=2,I1109&lt;=3.5),"标准",IF(I1109&gt;=3.6,"紧凑",""))))</f>
        <v/>
      </c>
      <c r="M1109" s="2" t="inlineStr">
        <is>
          <t>极紧凑-豹子号</t>
        </is>
      </c>
      <c r="N1109" s="2" t="inlineStr">
        <is>
          <t>松散-极松散</t>
        </is>
      </c>
      <c r="O1109" s="2" t="inlineStr">
        <is>
          <t>松散-标准松散</t>
        </is>
      </c>
      <c r="P1109" s="2" t="inlineStr">
        <is>
          <t>松散-偏紧松散</t>
        </is>
      </c>
      <c r="Q1109" s="2" t="inlineStr">
        <is>
          <t>标准-偏松标准</t>
        </is>
      </c>
      <c r="R1109" s="2" t="inlineStr">
        <is>
          <t>标准-核心标准</t>
        </is>
      </c>
      <c r="S1109" s="2" t="inlineStr">
        <is>
          <t>标准-偏紧标准</t>
        </is>
      </c>
      <c r="T1109" s="2" t="inlineStr">
        <is>
          <t>紧凑-标准紧凑</t>
        </is>
      </c>
      <c r="U1109" s="2" t="inlineStr">
        <is>
          <t>紧凑-高度紧凑</t>
        </is>
      </c>
      <c r="V1109" s="2" t="inlineStr">
        <is>
          <t>紧凑-极度紧凑</t>
        </is>
      </c>
    </row>
    <row r="1110">
      <c r="A1110" s="1" t="n">
        <v>2025301</v>
      </c>
      <c r="B1110" s="3" t="inlineStr">
        <is>
          <t>582</t>
        </is>
      </c>
      <c r="C1110" s="2">
        <f>IF(B1110="","",LEFT(TEXT(B1110,"000"),1)*1)</f>
        <v/>
      </c>
      <c r="D1110" s="2">
        <f>IF(B1110="","",MID(TEXT(B1110,"000"),2,1)*1)</f>
        <v/>
      </c>
      <c r="E1110" s="2">
        <f>IF(B1110="","",RIGHT(TEXT(B1110,"000"),1)*1)</f>
        <v/>
      </c>
      <c r="F1110" s="2">
        <f>IF(B1110="","",C1110+D1110+E1110)</f>
        <v/>
      </c>
      <c r="G1110" s="2">
        <f>IF(B1110="","",MOD(F1110,10))</f>
        <v/>
      </c>
      <c r="H1110" s="2">
        <f>IF(B1110="","",MAX(C1110,D1110,E1110)-MIN(C1110,D1110,E1110))</f>
        <v/>
      </c>
      <c r="I1110" s="2">
        <f>IF(OR(B1110="",H1110=0),IF(H1110=0,0.1,""),ROUND(F1110/H1110,2))</f>
        <v/>
      </c>
      <c r="J1110" s="2">
        <f>IF(I1110=0.1,"极紧凑",IF(I1110&gt;3.5,"紧凑",IF(AND(I1110&gt;=2,I1110&lt;=3.5),"标准",IF(AND(I1110&gt;=1,I1110&lt;2),"松散",""))))</f>
        <v/>
      </c>
      <c r="K1110" s="2">
        <f>IF(I1110=0.1,"极紧凑-豹子号",IF(AND(I1110&gt;=1,I1110&lt;=1.29),"松散-极松散",IF(AND(I1110&gt;=1.33,I1110&lt;=1.8),"松散-标准松散",IF(AND(I1110&gt;=1.83,I1110&lt;=1.89),"松散-偏紧松散",IF(AND(I1110&gt;=2,I1110&lt;=2.5),"标准-偏松标准",IF(AND(I1110&gt;=2.57,I1110&lt;=3),"标准-核心标准",IF(AND(I1110&gt;=3.17,I1110&lt;=3.5),"标准-偏紧标准",IF(AND(I1110&gt;=3.6,I1110&lt;=5),"紧凑-标准紧凑",IF(AND(I1110&gt;=5.25,I1110&lt;=8),"紧凑-高度紧凑",IF(I1110&gt;=8.5,"紧凑-极度紧凑",""))))))))))</f>
        <v/>
      </c>
      <c r="L1110" s="2">
        <f>IF(I1110=0.1,"极紧凑",IF(AND(I1110&gt;=1,I1110&lt;=1.89),"松散",IF(AND(I1110&gt;=2,I1110&lt;=3.5),"标准",IF(I1110&gt;=3.6,"紧凑",""))))</f>
        <v/>
      </c>
      <c r="M1110" s="2" t="inlineStr">
        <is>
          <t>极紧凑-豹子号</t>
        </is>
      </c>
      <c r="N1110" s="2" t="inlineStr">
        <is>
          <t>松散-极松散</t>
        </is>
      </c>
      <c r="O1110" s="2" t="inlineStr">
        <is>
          <t>松散-标准松散</t>
        </is>
      </c>
      <c r="P1110" s="2" t="inlineStr">
        <is>
          <t>松散-偏紧松散</t>
        </is>
      </c>
      <c r="Q1110" s="2" t="inlineStr">
        <is>
          <t>标准-偏松标准</t>
        </is>
      </c>
      <c r="R1110" s="2" t="inlineStr">
        <is>
          <t>标准-核心标准</t>
        </is>
      </c>
      <c r="S1110" s="2" t="inlineStr">
        <is>
          <t>标准-偏紧标准</t>
        </is>
      </c>
      <c r="T1110" s="2" t="inlineStr">
        <is>
          <t>紧凑-标准紧凑</t>
        </is>
      </c>
      <c r="U1110" s="2" t="inlineStr">
        <is>
          <t>紧凑-高度紧凑</t>
        </is>
      </c>
      <c r="V1110" s="2" t="inlineStr">
        <is>
          <t>紧凑-极度紧凑</t>
        </is>
      </c>
    </row>
    <row r="1111">
      <c r="A1111" s="1" t="n">
        <v>2025302</v>
      </c>
      <c r="B1111" s="3" t="inlineStr">
        <is>
          <t>016</t>
        </is>
      </c>
      <c r="C1111" s="2">
        <f>IF(B1111="","",LEFT(TEXT(B1111,"000"),1)*1)</f>
        <v/>
      </c>
      <c r="D1111" s="2">
        <f>IF(B1111="","",MID(TEXT(B1111,"000"),2,1)*1)</f>
        <v/>
      </c>
      <c r="E1111" s="2">
        <f>IF(B1111="","",RIGHT(TEXT(B1111,"000"),1)*1)</f>
        <v/>
      </c>
      <c r="F1111" s="2">
        <f>IF(B1111="","",C1111+D1111+E1111)</f>
        <v/>
      </c>
      <c r="G1111" s="2">
        <f>IF(B1111="","",MOD(F1111,10))</f>
        <v/>
      </c>
      <c r="H1111" s="2">
        <f>IF(B1111="","",MAX(C1111,D1111,E1111)-MIN(C1111,D1111,E1111))</f>
        <v/>
      </c>
      <c r="I1111" s="2">
        <f>IF(OR(B1111="",H1111=0),IF(H1111=0,0.1,""),ROUND(F1111/H1111,2))</f>
        <v/>
      </c>
      <c r="J1111" s="2">
        <f>IF(I1111=0.1,"极紧凑",IF(I1111&gt;3.5,"紧凑",IF(AND(I1111&gt;=2,I1111&lt;=3.5),"标准",IF(AND(I1111&gt;=1,I1111&lt;2),"松散",""))))</f>
        <v/>
      </c>
      <c r="K1111" s="2">
        <f>IF(I1111=0.1,"极紧凑-豹子号",IF(AND(I1111&gt;=1,I1111&lt;=1.29),"松散-极松散",IF(AND(I1111&gt;=1.33,I1111&lt;=1.8),"松散-标准松散",IF(AND(I1111&gt;=1.83,I1111&lt;=1.89),"松散-偏紧松散",IF(AND(I1111&gt;=2,I1111&lt;=2.5),"标准-偏松标准",IF(AND(I1111&gt;=2.57,I1111&lt;=3),"标准-核心标准",IF(AND(I1111&gt;=3.17,I1111&lt;=3.5),"标准-偏紧标准",IF(AND(I1111&gt;=3.6,I1111&lt;=5),"紧凑-标准紧凑",IF(AND(I1111&gt;=5.25,I1111&lt;=8),"紧凑-高度紧凑",IF(I1111&gt;=8.5,"紧凑-极度紧凑",""))))))))))</f>
        <v/>
      </c>
      <c r="L1111" s="2">
        <f>IF(I1111=0.1,"极紧凑",IF(AND(I1111&gt;=1,I1111&lt;=1.89),"松散",IF(AND(I1111&gt;=2,I1111&lt;=3.5),"标准",IF(I1111&gt;=3.6,"紧凑",""))))</f>
        <v/>
      </c>
      <c r="M1111" s="2" t="inlineStr">
        <is>
          <t>极紧凑-豹子号</t>
        </is>
      </c>
      <c r="N1111" s="2" t="inlineStr">
        <is>
          <t>松散-极松散</t>
        </is>
      </c>
      <c r="O1111" s="2" t="inlineStr">
        <is>
          <t>松散-标准松散</t>
        </is>
      </c>
      <c r="P1111" s="2" t="inlineStr">
        <is>
          <t>松散-偏紧松散</t>
        </is>
      </c>
      <c r="Q1111" s="2" t="inlineStr">
        <is>
          <t>标准-偏松标准</t>
        </is>
      </c>
      <c r="R1111" s="2" t="inlineStr">
        <is>
          <t>标准-核心标准</t>
        </is>
      </c>
      <c r="S1111" s="2" t="inlineStr">
        <is>
          <t>标准-偏紧标准</t>
        </is>
      </c>
      <c r="T1111" s="2" t="inlineStr">
        <is>
          <t>紧凑-标准紧凑</t>
        </is>
      </c>
      <c r="U1111" s="2" t="inlineStr">
        <is>
          <t>紧凑-高度紧凑</t>
        </is>
      </c>
      <c r="V1111" s="2" t="inlineStr">
        <is>
          <t>紧凑-极度紧凑</t>
        </is>
      </c>
    </row>
    <row r="1112">
      <c r="A1112" s="1" t="n">
        <v>2025303</v>
      </c>
      <c r="B1112" s="3" t="inlineStr">
        <is>
          <t>943</t>
        </is>
      </c>
      <c r="C1112" s="2">
        <f>IF(B1112="","",LEFT(TEXT(B1112,"000"),1)*1)</f>
        <v/>
      </c>
      <c r="D1112" s="2">
        <f>IF(B1112="","",MID(TEXT(B1112,"000"),2,1)*1)</f>
        <v/>
      </c>
      <c r="E1112" s="2">
        <f>IF(B1112="","",RIGHT(TEXT(B1112,"000"),1)*1)</f>
        <v/>
      </c>
      <c r="F1112" s="2">
        <f>IF(B1112="","",C1112+D1112+E1112)</f>
        <v/>
      </c>
      <c r="G1112" s="2">
        <f>IF(B1112="","",MOD(F1112,10))</f>
        <v/>
      </c>
      <c r="H1112" s="2">
        <f>IF(B1112="","",MAX(C1112,D1112,E1112)-MIN(C1112,D1112,E1112))</f>
        <v/>
      </c>
      <c r="I1112" s="2">
        <f>IF(OR(B1112="",H1112=0),IF(H1112=0,0.1,""),ROUND(F1112/H1112,2))</f>
        <v/>
      </c>
      <c r="J1112" s="2">
        <f>IF(I1112=0.1,"极紧凑",IF(I1112&gt;3.5,"紧凑",IF(AND(I1112&gt;=2,I1112&lt;=3.5),"标准",IF(AND(I1112&gt;=1,I1112&lt;2),"松散",""))))</f>
        <v/>
      </c>
      <c r="K1112" s="2">
        <f>IF(I1112=0.1,"极紧凑-豹子号",IF(AND(I1112&gt;=1,I1112&lt;=1.29),"松散-极松散",IF(AND(I1112&gt;=1.33,I1112&lt;=1.8),"松散-标准松散",IF(AND(I1112&gt;=1.83,I1112&lt;=1.89),"松散-偏紧松散",IF(AND(I1112&gt;=2,I1112&lt;=2.5),"标准-偏松标准",IF(AND(I1112&gt;=2.57,I1112&lt;=3),"标准-核心标准",IF(AND(I1112&gt;=3.17,I1112&lt;=3.5),"标准-偏紧标准",IF(AND(I1112&gt;=3.6,I1112&lt;=5),"紧凑-标准紧凑",IF(AND(I1112&gt;=5.25,I1112&lt;=8),"紧凑-高度紧凑",IF(I1112&gt;=8.5,"紧凑-极度紧凑",""))))))))))</f>
        <v/>
      </c>
      <c r="L1112" s="2">
        <f>IF(I1112=0.1,"极紧凑",IF(AND(I1112&gt;=1,I1112&lt;=1.89),"松散",IF(AND(I1112&gt;=2,I1112&lt;=3.5),"标准",IF(I1112&gt;=3.6,"紧凑",""))))</f>
        <v/>
      </c>
      <c r="M1112" s="2" t="inlineStr">
        <is>
          <t>极紧凑-豹子号</t>
        </is>
      </c>
      <c r="N1112" s="2" t="inlineStr">
        <is>
          <t>松散-极松散</t>
        </is>
      </c>
      <c r="O1112" s="2" t="inlineStr">
        <is>
          <t>松散-标准松散</t>
        </is>
      </c>
      <c r="P1112" s="2" t="inlineStr">
        <is>
          <t>松散-偏紧松散</t>
        </is>
      </c>
      <c r="Q1112" s="2" t="inlineStr">
        <is>
          <t>标准-偏松标准</t>
        </is>
      </c>
      <c r="R1112" s="2" t="inlineStr">
        <is>
          <t>标准-核心标准</t>
        </is>
      </c>
      <c r="S1112" s="2" t="inlineStr">
        <is>
          <t>标准-偏紧标准</t>
        </is>
      </c>
      <c r="T1112" s="2" t="inlineStr">
        <is>
          <t>紧凑-标准紧凑</t>
        </is>
      </c>
      <c r="U1112" s="2" t="inlineStr">
        <is>
          <t>紧凑-高度紧凑</t>
        </is>
      </c>
      <c r="V1112" s="2" t="inlineStr">
        <is>
          <t>紧凑-极度紧凑</t>
        </is>
      </c>
    </row>
    <row r="1113">
      <c r="A1113" s="1" t="n">
        <v>2025304</v>
      </c>
      <c r="B1113" s="3" t="inlineStr">
        <is>
          <t>079</t>
        </is>
      </c>
      <c r="C1113" s="2">
        <f>IF(B1113="","",LEFT(TEXT(B1113,"000"),1)*1)</f>
        <v/>
      </c>
      <c r="D1113" s="2">
        <f>IF(B1113="","",MID(TEXT(B1113,"000"),2,1)*1)</f>
        <v/>
      </c>
      <c r="E1113" s="2">
        <f>IF(B1113="","",RIGHT(TEXT(B1113,"000"),1)*1)</f>
        <v/>
      </c>
      <c r="F1113" s="2">
        <f>IF(B1113="","",C1113+D1113+E1113)</f>
        <v/>
      </c>
      <c r="G1113" s="2">
        <f>IF(B1113="","",MOD(F1113,10))</f>
        <v/>
      </c>
      <c r="H1113" s="2">
        <f>IF(B1113="","",MAX(C1113,D1113,E1113)-MIN(C1113,D1113,E1113))</f>
        <v/>
      </c>
      <c r="I1113" s="2">
        <f>IF(OR(B1113="",H1113=0),IF(H1113=0,0.1,""),ROUND(F1113/H1113,2))</f>
        <v/>
      </c>
      <c r="J1113" s="2">
        <f>IF(I1113=0.1,"极紧凑",IF(I1113&gt;3.5,"紧凑",IF(AND(I1113&gt;=2,I1113&lt;=3.5),"标准",IF(AND(I1113&gt;=1,I1113&lt;2),"松散",""))))</f>
        <v/>
      </c>
      <c r="K1113" s="2">
        <f>IF(I1113=0.1,"极紧凑-豹子号",IF(AND(I1113&gt;=1,I1113&lt;=1.29),"松散-极松散",IF(AND(I1113&gt;=1.33,I1113&lt;=1.8),"松散-标准松散",IF(AND(I1113&gt;=1.83,I1113&lt;=1.89),"松散-偏紧松散",IF(AND(I1113&gt;=2,I1113&lt;=2.5),"标准-偏松标准",IF(AND(I1113&gt;=2.57,I1113&lt;=3),"标准-核心标准",IF(AND(I1113&gt;=3.17,I1113&lt;=3.5),"标准-偏紧标准",IF(AND(I1113&gt;=3.6,I1113&lt;=5),"紧凑-标准紧凑",IF(AND(I1113&gt;=5.25,I1113&lt;=8),"紧凑-高度紧凑",IF(I1113&gt;=8.5,"紧凑-极度紧凑",""))))))))))</f>
        <v/>
      </c>
      <c r="L1113" s="2">
        <f>IF(I1113=0.1,"极紧凑",IF(AND(I1113&gt;=1,I1113&lt;=1.89),"松散",IF(AND(I1113&gt;=2,I1113&lt;=3.5),"标准",IF(I1113&gt;=3.6,"紧凑",""))))</f>
        <v/>
      </c>
      <c r="M1113" s="2" t="inlineStr">
        <is>
          <t>极紧凑-豹子号</t>
        </is>
      </c>
      <c r="N1113" s="2" t="inlineStr">
        <is>
          <t>松散-极松散</t>
        </is>
      </c>
      <c r="O1113" s="2" t="inlineStr">
        <is>
          <t>松散-标准松散</t>
        </is>
      </c>
      <c r="P1113" s="2" t="inlineStr">
        <is>
          <t>松散-偏紧松散</t>
        </is>
      </c>
      <c r="Q1113" s="2" t="inlineStr">
        <is>
          <t>标准-偏松标准</t>
        </is>
      </c>
      <c r="R1113" s="2" t="inlineStr">
        <is>
          <t>标准-核心标准</t>
        </is>
      </c>
      <c r="S1113" s="2" t="inlineStr">
        <is>
          <t>标准-偏紧标准</t>
        </is>
      </c>
      <c r="T1113" s="2" t="inlineStr">
        <is>
          <t>紧凑-标准紧凑</t>
        </is>
      </c>
      <c r="U1113" s="2" t="inlineStr">
        <is>
          <t>紧凑-高度紧凑</t>
        </is>
      </c>
      <c r="V1113" s="2" t="inlineStr">
        <is>
          <t>紧凑-极度紧凑</t>
        </is>
      </c>
    </row>
    <row r="1114">
      <c r="A1114" s="1" t="n">
        <v>2025305</v>
      </c>
      <c r="B1114" s="3" t="inlineStr">
        <is>
          <t>497</t>
        </is>
      </c>
      <c r="C1114" s="2">
        <f>IF(B1114="","",LEFT(TEXT(B1114,"000"),1)*1)</f>
        <v/>
      </c>
      <c r="D1114" s="2">
        <f>IF(B1114="","",MID(TEXT(B1114,"000"),2,1)*1)</f>
        <v/>
      </c>
      <c r="E1114" s="2">
        <f>IF(B1114="","",RIGHT(TEXT(B1114,"000"),1)*1)</f>
        <v/>
      </c>
      <c r="F1114" s="2">
        <f>IF(B1114="","",C1114+D1114+E1114)</f>
        <v/>
      </c>
      <c r="G1114" s="2">
        <f>IF(B1114="","",MOD(F1114,10))</f>
        <v/>
      </c>
      <c r="H1114" s="2">
        <f>IF(B1114="","",MAX(C1114,D1114,E1114)-MIN(C1114,D1114,E1114))</f>
        <v/>
      </c>
      <c r="I1114" s="2">
        <f>IF(OR(B1114="",H1114=0),IF(H1114=0,0.1,""),ROUND(F1114/H1114,2))</f>
        <v/>
      </c>
      <c r="J1114" s="2">
        <f>IF(I1114=0.1,"极紧凑",IF(I1114&gt;3.5,"紧凑",IF(AND(I1114&gt;=2,I1114&lt;=3.5),"标准",IF(AND(I1114&gt;=1,I1114&lt;2),"松散",""))))</f>
        <v/>
      </c>
      <c r="K1114" s="2">
        <f>IF(I1114=0.1,"极紧凑-豹子号",IF(AND(I1114&gt;=1,I1114&lt;=1.29),"松散-极松散",IF(AND(I1114&gt;=1.33,I1114&lt;=1.8),"松散-标准松散",IF(AND(I1114&gt;=1.83,I1114&lt;=1.89),"松散-偏紧松散",IF(AND(I1114&gt;=2,I1114&lt;=2.5),"标准-偏松标准",IF(AND(I1114&gt;=2.57,I1114&lt;=3),"标准-核心标准",IF(AND(I1114&gt;=3.17,I1114&lt;=3.5),"标准-偏紧标准",IF(AND(I1114&gt;=3.6,I1114&lt;=5),"紧凑-标准紧凑",IF(AND(I1114&gt;=5.25,I1114&lt;=8),"紧凑-高度紧凑",IF(I1114&gt;=8.5,"紧凑-极度紧凑",""))))))))))</f>
        <v/>
      </c>
      <c r="L1114" s="2">
        <f>IF(I1114=0.1,"极紧凑",IF(AND(I1114&gt;=1,I1114&lt;=1.89),"松散",IF(AND(I1114&gt;=2,I1114&lt;=3.5),"标准",IF(I1114&gt;=3.6,"紧凑",""))))</f>
        <v/>
      </c>
      <c r="M1114" s="2" t="inlineStr">
        <is>
          <t>极紧凑-豹子号</t>
        </is>
      </c>
      <c r="N1114" s="2" t="inlineStr">
        <is>
          <t>松散-极松散</t>
        </is>
      </c>
      <c r="O1114" s="2" t="inlineStr">
        <is>
          <t>松散-标准松散</t>
        </is>
      </c>
      <c r="P1114" s="2" t="inlineStr">
        <is>
          <t>松散-偏紧松散</t>
        </is>
      </c>
      <c r="Q1114" s="2" t="inlineStr">
        <is>
          <t>标准-偏松标准</t>
        </is>
      </c>
      <c r="R1114" s="2" t="inlineStr">
        <is>
          <t>标准-核心标准</t>
        </is>
      </c>
      <c r="S1114" s="2" t="inlineStr">
        <is>
          <t>标准-偏紧标准</t>
        </is>
      </c>
      <c r="T1114" s="2" t="inlineStr">
        <is>
          <t>紧凑-标准紧凑</t>
        </is>
      </c>
      <c r="U1114" s="2" t="inlineStr">
        <is>
          <t>紧凑-高度紧凑</t>
        </is>
      </c>
      <c r="V1114" s="2" t="inlineStr">
        <is>
          <t>紧凑-极度紧凑</t>
        </is>
      </c>
    </row>
    <row r="1115">
      <c r="A1115" s="1" t="n">
        <v>2025306</v>
      </c>
      <c r="B1115" s="3" t="inlineStr">
        <is>
          <t>178</t>
        </is>
      </c>
      <c r="C1115" s="2">
        <f>IF(B1115="","",LEFT(TEXT(B1115,"000"),1)*1)</f>
        <v/>
      </c>
      <c r="D1115" s="2">
        <f>IF(B1115="","",MID(TEXT(B1115,"000"),2,1)*1)</f>
        <v/>
      </c>
      <c r="E1115" s="2">
        <f>IF(B1115="","",RIGHT(TEXT(B1115,"000"),1)*1)</f>
        <v/>
      </c>
      <c r="F1115" s="2">
        <f>IF(B1115="","",C1115+D1115+E1115)</f>
        <v/>
      </c>
      <c r="G1115" s="2">
        <f>IF(B1115="","",MOD(F1115,10))</f>
        <v/>
      </c>
      <c r="H1115" s="2">
        <f>IF(B1115="","",MAX(C1115,D1115,E1115)-MIN(C1115,D1115,E1115))</f>
        <v/>
      </c>
      <c r="I1115" s="2">
        <f>IF(OR(B1115="",H1115=0),IF(H1115=0,0.1,""),ROUND(F1115/H1115,2))</f>
        <v/>
      </c>
      <c r="J1115" s="2">
        <f>IF(I1115=0.1,"极紧凑",IF(I1115&gt;3.5,"紧凑",IF(AND(I1115&gt;=2,I1115&lt;=3.5),"标准",IF(AND(I1115&gt;=1,I1115&lt;2),"松散",""))))</f>
        <v/>
      </c>
      <c r="K1115" s="2">
        <f>IF(I1115=0.1,"极紧凑-豹子号",IF(AND(I1115&gt;=1,I1115&lt;=1.29),"松散-极松散",IF(AND(I1115&gt;=1.33,I1115&lt;=1.8),"松散-标准松散",IF(AND(I1115&gt;=1.83,I1115&lt;=1.89),"松散-偏紧松散",IF(AND(I1115&gt;=2,I1115&lt;=2.5),"标准-偏松标准",IF(AND(I1115&gt;=2.57,I1115&lt;=3),"标准-核心标准",IF(AND(I1115&gt;=3.17,I1115&lt;=3.5),"标准-偏紧标准",IF(AND(I1115&gt;=3.6,I1115&lt;=5),"紧凑-标准紧凑",IF(AND(I1115&gt;=5.25,I1115&lt;=8),"紧凑-高度紧凑",IF(I1115&gt;=8.5,"紧凑-极度紧凑",""))))))))))</f>
        <v/>
      </c>
      <c r="L1115" s="2">
        <f>IF(I1115=0.1,"极紧凑",IF(AND(I1115&gt;=1,I1115&lt;=1.89),"松散",IF(AND(I1115&gt;=2,I1115&lt;=3.5),"标准",IF(I1115&gt;=3.6,"紧凑",""))))</f>
        <v/>
      </c>
      <c r="M1115" s="2" t="inlineStr">
        <is>
          <t>极紧凑-豹子号</t>
        </is>
      </c>
      <c r="N1115" s="2" t="inlineStr">
        <is>
          <t>松散-极松散</t>
        </is>
      </c>
      <c r="O1115" s="2" t="inlineStr">
        <is>
          <t>松散-标准松散</t>
        </is>
      </c>
      <c r="P1115" s="2" t="inlineStr">
        <is>
          <t>松散-偏紧松散</t>
        </is>
      </c>
      <c r="Q1115" s="2" t="inlineStr">
        <is>
          <t>标准-偏松标准</t>
        </is>
      </c>
      <c r="R1115" s="2" t="inlineStr">
        <is>
          <t>标准-核心标准</t>
        </is>
      </c>
      <c r="S1115" s="2" t="inlineStr">
        <is>
          <t>标准-偏紧标准</t>
        </is>
      </c>
      <c r="T1115" s="2" t="inlineStr">
        <is>
          <t>紧凑-标准紧凑</t>
        </is>
      </c>
      <c r="U1115" s="2" t="inlineStr">
        <is>
          <t>紧凑-高度紧凑</t>
        </is>
      </c>
      <c r="V1115" s="2" t="inlineStr">
        <is>
          <t>紧凑-极度紧凑</t>
        </is>
      </c>
    </row>
    <row r="1116">
      <c r="A1116" s="1" t="n">
        <v>2025307</v>
      </c>
      <c r="B1116" s="3" t="inlineStr">
        <is>
          <t>618</t>
        </is>
      </c>
      <c r="C1116" s="2">
        <f>IF(B1116="","",LEFT(TEXT(B1116,"000"),1)*1)</f>
        <v/>
      </c>
      <c r="D1116" s="2">
        <f>IF(B1116="","",MID(TEXT(B1116,"000"),2,1)*1)</f>
        <v/>
      </c>
      <c r="E1116" s="2">
        <f>IF(B1116="","",RIGHT(TEXT(B1116,"000"),1)*1)</f>
        <v/>
      </c>
      <c r="F1116" s="2">
        <f>IF(B1116="","",C1116+D1116+E1116)</f>
        <v/>
      </c>
      <c r="G1116" s="2">
        <f>IF(B1116="","",MOD(F1116,10))</f>
        <v/>
      </c>
      <c r="H1116" s="2">
        <f>IF(B1116="","",MAX(C1116,D1116,E1116)-MIN(C1116,D1116,E1116))</f>
        <v/>
      </c>
      <c r="I1116" s="2">
        <f>IF(OR(B1116="",H1116=0),IF(H1116=0,0.1,""),ROUND(F1116/H1116,2))</f>
        <v/>
      </c>
      <c r="J1116" s="2">
        <f>IF(I1116=0.1,"极紧凑",IF(I1116&gt;3.5,"紧凑",IF(AND(I1116&gt;=2,I1116&lt;=3.5),"标准",IF(AND(I1116&gt;=1,I1116&lt;2),"松散",""))))</f>
        <v/>
      </c>
      <c r="K1116" s="2">
        <f>IF(I1116=0.1,"极紧凑-豹子号",IF(AND(I1116&gt;=1,I1116&lt;=1.29),"松散-极松散",IF(AND(I1116&gt;=1.33,I1116&lt;=1.8),"松散-标准松散",IF(AND(I1116&gt;=1.83,I1116&lt;=1.89),"松散-偏紧松散",IF(AND(I1116&gt;=2,I1116&lt;=2.5),"标准-偏松标准",IF(AND(I1116&gt;=2.57,I1116&lt;=3),"标准-核心标准",IF(AND(I1116&gt;=3.17,I1116&lt;=3.5),"标准-偏紧标准",IF(AND(I1116&gt;=3.6,I1116&lt;=5),"紧凑-标准紧凑",IF(AND(I1116&gt;=5.25,I1116&lt;=8),"紧凑-高度紧凑",IF(I1116&gt;=8.5,"紧凑-极度紧凑",""))))))))))</f>
        <v/>
      </c>
      <c r="L1116" s="2">
        <f>IF(I1116=0.1,"极紧凑",IF(AND(I1116&gt;=1,I1116&lt;=1.89),"松散",IF(AND(I1116&gt;=2,I1116&lt;=3.5),"标准",IF(I1116&gt;=3.6,"紧凑",""))))</f>
        <v/>
      </c>
      <c r="M1116" s="2" t="inlineStr">
        <is>
          <t>极紧凑-豹子号</t>
        </is>
      </c>
      <c r="N1116" s="2" t="inlineStr">
        <is>
          <t>松散-极松散</t>
        </is>
      </c>
      <c r="O1116" s="2" t="inlineStr">
        <is>
          <t>松散-标准松散</t>
        </is>
      </c>
      <c r="P1116" s="2" t="inlineStr">
        <is>
          <t>松散-偏紧松散</t>
        </is>
      </c>
      <c r="Q1116" s="2" t="inlineStr">
        <is>
          <t>标准-偏松标准</t>
        </is>
      </c>
      <c r="R1116" s="2" t="inlineStr">
        <is>
          <t>标准-核心标准</t>
        </is>
      </c>
      <c r="S1116" s="2" t="inlineStr">
        <is>
          <t>标准-偏紧标准</t>
        </is>
      </c>
      <c r="T1116" s="2" t="inlineStr">
        <is>
          <t>紧凑-标准紧凑</t>
        </is>
      </c>
      <c r="U1116" s="2" t="inlineStr">
        <is>
          <t>紧凑-高度紧凑</t>
        </is>
      </c>
      <c r="V1116" s="2" t="inlineStr">
        <is>
          <t>紧凑-极度紧凑</t>
        </is>
      </c>
    </row>
    <row r="1117">
      <c r="A1117" s="1" t="n">
        <v>2025308</v>
      </c>
      <c r="B1117" s="3" t="inlineStr">
        <is>
          <t>234</t>
        </is>
      </c>
      <c r="C1117" s="2">
        <f>IF(B1117="","",LEFT(TEXT(B1117,"000"),1)*1)</f>
        <v/>
      </c>
      <c r="D1117" s="2">
        <f>IF(B1117="","",MID(TEXT(B1117,"000"),2,1)*1)</f>
        <v/>
      </c>
      <c r="E1117" s="2">
        <f>IF(B1117="","",RIGHT(TEXT(B1117,"000"),1)*1)</f>
        <v/>
      </c>
      <c r="F1117" s="2">
        <f>IF(B1117="","",C1117+D1117+E1117)</f>
        <v/>
      </c>
      <c r="G1117" s="2">
        <f>IF(B1117="","",MOD(F1117,10))</f>
        <v/>
      </c>
      <c r="H1117" s="2">
        <f>IF(B1117="","",MAX(C1117,D1117,E1117)-MIN(C1117,D1117,E1117))</f>
        <v/>
      </c>
      <c r="I1117" s="2">
        <f>IF(OR(B1117="",H1117=0),IF(H1117=0,0.1,""),ROUND(F1117/H1117,2))</f>
        <v/>
      </c>
      <c r="J1117" s="2">
        <f>IF(I1117=0.1,"极紧凑",IF(I1117&gt;3.5,"紧凑",IF(AND(I1117&gt;=2,I1117&lt;=3.5),"标准",IF(AND(I1117&gt;=1,I1117&lt;2),"松散",""))))</f>
        <v/>
      </c>
      <c r="K1117" s="2">
        <f>IF(I1117=0.1,"极紧凑-豹子号",IF(AND(I1117&gt;=1,I1117&lt;=1.29),"松散-极松散",IF(AND(I1117&gt;=1.33,I1117&lt;=1.8),"松散-标准松散",IF(AND(I1117&gt;=1.83,I1117&lt;=1.89),"松散-偏紧松散",IF(AND(I1117&gt;=2,I1117&lt;=2.5),"标准-偏松标准",IF(AND(I1117&gt;=2.57,I1117&lt;=3),"标准-核心标准",IF(AND(I1117&gt;=3.17,I1117&lt;=3.5),"标准-偏紧标准",IF(AND(I1117&gt;=3.6,I1117&lt;=5),"紧凑-标准紧凑",IF(AND(I1117&gt;=5.25,I1117&lt;=8),"紧凑-高度紧凑",IF(I1117&gt;=8.5,"紧凑-极度紧凑",""))))))))))</f>
        <v/>
      </c>
      <c r="L1117" s="2">
        <f>IF(I1117=0.1,"极紧凑",IF(AND(I1117&gt;=1,I1117&lt;=1.89),"松散",IF(AND(I1117&gt;=2,I1117&lt;=3.5),"标准",IF(I1117&gt;=3.6,"紧凑",""))))</f>
        <v/>
      </c>
      <c r="M1117" s="2" t="inlineStr">
        <is>
          <t>极紧凑-豹子号</t>
        </is>
      </c>
      <c r="N1117" s="2" t="inlineStr">
        <is>
          <t>松散-极松散</t>
        </is>
      </c>
      <c r="O1117" s="2" t="inlineStr">
        <is>
          <t>松散-标准松散</t>
        </is>
      </c>
      <c r="P1117" s="2" t="inlineStr">
        <is>
          <t>松散-偏紧松散</t>
        </is>
      </c>
      <c r="Q1117" s="2" t="inlineStr">
        <is>
          <t>标准-偏松标准</t>
        </is>
      </c>
      <c r="R1117" s="2" t="inlineStr">
        <is>
          <t>标准-核心标准</t>
        </is>
      </c>
      <c r="S1117" s="2" t="inlineStr">
        <is>
          <t>标准-偏紧标准</t>
        </is>
      </c>
      <c r="T1117" s="2" t="inlineStr">
        <is>
          <t>紧凑-标准紧凑</t>
        </is>
      </c>
      <c r="U1117" s="2" t="inlineStr">
        <is>
          <t>紧凑-高度紧凑</t>
        </is>
      </c>
      <c r="V1117" s="2" t="inlineStr">
        <is>
          <t>紧凑-极度紧凑</t>
        </is>
      </c>
    </row>
    <row r="1118">
      <c r="A1118" s="1" t="n">
        <v>2025309</v>
      </c>
      <c r="B1118" s="3" t="inlineStr">
        <is>
          <t>527</t>
        </is>
      </c>
      <c r="C1118" s="2">
        <f>IF(B1118="","",LEFT(TEXT(B1118,"000"),1)*1)</f>
        <v/>
      </c>
      <c r="D1118" s="2">
        <f>IF(B1118="","",MID(TEXT(B1118,"000"),2,1)*1)</f>
        <v/>
      </c>
      <c r="E1118" s="2">
        <f>IF(B1118="","",RIGHT(TEXT(B1118,"000"),1)*1)</f>
        <v/>
      </c>
      <c r="F1118" s="2">
        <f>IF(B1118="","",C1118+D1118+E1118)</f>
        <v/>
      </c>
      <c r="G1118" s="2">
        <f>IF(B1118="","",MOD(F1118,10))</f>
        <v/>
      </c>
      <c r="H1118" s="2">
        <f>IF(B1118="","",MAX(C1118,D1118,E1118)-MIN(C1118,D1118,E1118))</f>
        <v/>
      </c>
      <c r="I1118" s="2">
        <f>IF(OR(B1118="",H1118=0),IF(H1118=0,0.1,""),ROUND(F1118/H1118,2))</f>
        <v/>
      </c>
      <c r="J1118" s="2">
        <f>IF(I1118=0.1,"极紧凑",IF(I1118&gt;3.5,"紧凑",IF(AND(I1118&gt;=2,I1118&lt;=3.5),"标准",IF(AND(I1118&gt;=1,I1118&lt;2),"松散",""))))</f>
        <v/>
      </c>
      <c r="K1118" s="2">
        <f>IF(I1118=0.1,"极紧凑-豹子号",IF(AND(I1118&gt;=1,I1118&lt;=1.29),"松散-极松散",IF(AND(I1118&gt;=1.33,I1118&lt;=1.8),"松散-标准松散",IF(AND(I1118&gt;=1.83,I1118&lt;=1.89),"松散-偏紧松散",IF(AND(I1118&gt;=2,I1118&lt;=2.5),"标准-偏松标准",IF(AND(I1118&gt;=2.57,I1118&lt;=3),"标准-核心标准",IF(AND(I1118&gt;=3.17,I1118&lt;=3.5),"标准-偏紧标准",IF(AND(I1118&gt;=3.6,I1118&lt;=5),"紧凑-标准紧凑",IF(AND(I1118&gt;=5.25,I1118&lt;=8),"紧凑-高度紧凑",IF(I1118&gt;=8.5,"紧凑-极度紧凑",""))))))))))</f>
        <v/>
      </c>
      <c r="L1118" s="2">
        <f>IF(I1118=0.1,"极紧凑",IF(AND(I1118&gt;=1,I1118&lt;=1.89),"松散",IF(AND(I1118&gt;=2,I1118&lt;=3.5),"标准",IF(I1118&gt;=3.6,"紧凑",""))))</f>
        <v/>
      </c>
      <c r="M1118" s="2" t="inlineStr">
        <is>
          <t>极紧凑-豹子号</t>
        </is>
      </c>
      <c r="N1118" s="2" t="inlineStr">
        <is>
          <t>松散-极松散</t>
        </is>
      </c>
      <c r="O1118" s="2" t="inlineStr">
        <is>
          <t>松散-标准松散</t>
        </is>
      </c>
      <c r="P1118" s="2" t="inlineStr">
        <is>
          <t>松散-偏紧松散</t>
        </is>
      </c>
      <c r="Q1118" s="2" t="inlineStr">
        <is>
          <t>标准-偏松标准</t>
        </is>
      </c>
      <c r="R1118" s="2" t="inlineStr">
        <is>
          <t>标准-核心标准</t>
        </is>
      </c>
      <c r="S1118" s="2" t="inlineStr">
        <is>
          <t>标准-偏紧标准</t>
        </is>
      </c>
      <c r="T1118" s="2" t="inlineStr">
        <is>
          <t>紧凑-标准紧凑</t>
        </is>
      </c>
      <c r="U1118" s="2" t="inlineStr">
        <is>
          <t>紧凑-高度紧凑</t>
        </is>
      </c>
      <c r="V1118" s="2" t="inlineStr">
        <is>
          <t>紧凑-极度紧凑</t>
        </is>
      </c>
    </row>
    <row r="1119">
      <c r="A1119" s="1" t="n">
        <v>2025310</v>
      </c>
      <c r="B1119" s="3" t="inlineStr">
        <is>
          <t>016</t>
        </is>
      </c>
      <c r="C1119" s="2">
        <f>IF(B1119="","",LEFT(TEXT(B1119,"000"),1)*1)</f>
        <v/>
      </c>
      <c r="D1119" s="2">
        <f>IF(B1119="","",MID(TEXT(B1119,"000"),2,1)*1)</f>
        <v/>
      </c>
      <c r="E1119" s="2">
        <f>IF(B1119="","",RIGHT(TEXT(B1119,"000"),1)*1)</f>
        <v/>
      </c>
      <c r="F1119" s="2">
        <f>IF(B1119="","",C1119+D1119+E1119)</f>
        <v/>
      </c>
      <c r="G1119" s="2">
        <f>IF(B1119="","",MOD(F1119,10))</f>
        <v/>
      </c>
      <c r="H1119" s="2">
        <f>IF(B1119="","",MAX(C1119,D1119,E1119)-MIN(C1119,D1119,E1119))</f>
        <v/>
      </c>
      <c r="I1119" s="2">
        <f>IF(OR(B1119="",H1119=0),IF(H1119=0,0.1,""),ROUND(F1119/H1119,2))</f>
        <v/>
      </c>
      <c r="J1119" s="2">
        <f>IF(I1119=0.1,"极紧凑",IF(I1119&gt;3.5,"紧凑",IF(AND(I1119&gt;=2,I1119&lt;=3.5),"标准",IF(AND(I1119&gt;=1,I1119&lt;2),"松散",""))))</f>
        <v/>
      </c>
      <c r="K1119" s="2">
        <f>IF(I1119=0.1,"极紧凑-豹子号",IF(AND(I1119&gt;=1,I1119&lt;=1.29),"松散-极松散",IF(AND(I1119&gt;=1.33,I1119&lt;=1.8),"松散-标准松散",IF(AND(I1119&gt;=1.83,I1119&lt;=1.89),"松散-偏紧松散",IF(AND(I1119&gt;=2,I1119&lt;=2.5),"标准-偏松标准",IF(AND(I1119&gt;=2.57,I1119&lt;=3),"标准-核心标准",IF(AND(I1119&gt;=3.17,I1119&lt;=3.5),"标准-偏紧标准",IF(AND(I1119&gt;=3.6,I1119&lt;=5),"紧凑-标准紧凑",IF(AND(I1119&gt;=5.25,I1119&lt;=8),"紧凑-高度紧凑",IF(I1119&gt;=8.5,"紧凑-极度紧凑",""))))))))))</f>
        <v/>
      </c>
      <c r="L1119" s="2">
        <f>IF(I1119=0.1,"极紧凑",IF(AND(I1119&gt;=1,I1119&lt;=1.89),"松散",IF(AND(I1119&gt;=2,I1119&lt;=3.5),"标准",IF(I1119&gt;=3.6,"紧凑",""))))</f>
        <v/>
      </c>
      <c r="M1119" s="2" t="inlineStr">
        <is>
          <t>极紧凑-豹子号</t>
        </is>
      </c>
      <c r="N1119" s="2" t="inlineStr">
        <is>
          <t>松散-极松散</t>
        </is>
      </c>
      <c r="O1119" s="2" t="inlineStr">
        <is>
          <t>松散-标准松散</t>
        </is>
      </c>
      <c r="P1119" s="2" t="inlineStr">
        <is>
          <t>松散-偏紧松散</t>
        </is>
      </c>
      <c r="Q1119" s="2" t="inlineStr">
        <is>
          <t>标准-偏松标准</t>
        </is>
      </c>
      <c r="R1119" s="2" t="inlineStr">
        <is>
          <t>标准-核心标准</t>
        </is>
      </c>
      <c r="S1119" s="2" t="inlineStr">
        <is>
          <t>标准-偏紧标准</t>
        </is>
      </c>
      <c r="T1119" s="2" t="inlineStr">
        <is>
          <t>紧凑-标准紧凑</t>
        </is>
      </c>
      <c r="U1119" s="2" t="inlineStr">
        <is>
          <t>紧凑-高度紧凑</t>
        </is>
      </c>
      <c r="V1119" s="2" t="inlineStr">
        <is>
          <t>紧凑-极度紧凑</t>
        </is>
      </c>
    </row>
    <row r="1120">
      <c r="A1120" s="1" t="n">
        <v>2025311</v>
      </c>
      <c r="B1120" s="3" t="inlineStr">
        <is>
          <t>114</t>
        </is>
      </c>
      <c r="C1120" s="2">
        <f>IF(B1120="","",LEFT(TEXT(B1120,"000"),1)*1)</f>
        <v/>
      </c>
      <c r="D1120" s="2">
        <f>IF(B1120="","",MID(TEXT(B1120,"000"),2,1)*1)</f>
        <v/>
      </c>
      <c r="E1120" s="2">
        <f>IF(B1120="","",RIGHT(TEXT(B1120,"000"),1)*1)</f>
        <v/>
      </c>
      <c r="F1120" s="2">
        <f>IF(B1120="","",C1120+D1120+E1120)</f>
        <v/>
      </c>
      <c r="G1120" s="2">
        <f>IF(B1120="","",MOD(F1120,10))</f>
        <v/>
      </c>
      <c r="H1120" s="2">
        <f>IF(B1120="","",MAX(C1120,D1120,E1120)-MIN(C1120,D1120,E1120))</f>
        <v/>
      </c>
      <c r="I1120" s="2">
        <f>IF(OR(B1120="",H1120=0),IF(H1120=0,0.1,""),ROUND(F1120/H1120,2))</f>
        <v/>
      </c>
      <c r="J1120" s="2">
        <f>IF(I1120=0.1,"极紧凑",IF(I1120&gt;3.5,"紧凑",IF(AND(I1120&gt;=2,I1120&lt;=3.5),"标准",IF(AND(I1120&gt;=1,I1120&lt;2),"松散",""))))</f>
        <v/>
      </c>
      <c r="K1120" s="2">
        <f>IF(I1120=0.1,"极紧凑-豹子号",IF(AND(I1120&gt;=1,I1120&lt;=1.29),"松散-极松散",IF(AND(I1120&gt;=1.33,I1120&lt;=1.8),"松散-标准松散",IF(AND(I1120&gt;=1.83,I1120&lt;=1.89),"松散-偏紧松散",IF(AND(I1120&gt;=2,I1120&lt;=2.5),"标准-偏松标准",IF(AND(I1120&gt;=2.57,I1120&lt;=3),"标准-核心标准",IF(AND(I1120&gt;=3.17,I1120&lt;=3.5),"标准-偏紧标准",IF(AND(I1120&gt;=3.6,I1120&lt;=5),"紧凑-标准紧凑",IF(AND(I1120&gt;=5.25,I1120&lt;=8),"紧凑-高度紧凑",IF(I1120&gt;=8.5,"紧凑-极度紧凑",""))))))))))</f>
        <v/>
      </c>
      <c r="L1120" s="2">
        <f>IF(I1120=0.1,"极紧凑",IF(AND(I1120&gt;=1,I1120&lt;=1.89),"松散",IF(AND(I1120&gt;=2,I1120&lt;=3.5),"标准",IF(I1120&gt;=3.6,"紧凑",""))))</f>
        <v/>
      </c>
      <c r="M1120" s="2" t="inlineStr">
        <is>
          <t>极紧凑-豹子号</t>
        </is>
      </c>
      <c r="N1120" s="2" t="inlineStr">
        <is>
          <t>松散-极松散</t>
        </is>
      </c>
      <c r="O1120" s="2" t="inlineStr">
        <is>
          <t>松散-标准松散</t>
        </is>
      </c>
      <c r="P1120" s="2" t="inlineStr">
        <is>
          <t>松散-偏紧松散</t>
        </is>
      </c>
      <c r="Q1120" s="2" t="inlineStr">
        <is>
          <t>标准-偏松标准</t>
        </is>
      </c>
      <c r="R1120" s="2" t="inlineStr">
        <is>
          <t>标准-核心标准</t>
        </is>
      </c>
      <c r="S1120" s="2" t="inlineStr">
        <is>
          <t>标准-偏紧标准</t>
        </is>
      </c>
      <c r="T1120" s="2" t="inlineStr">
        <is>
          <t>紧凑-标准紧凑</t>
        </is>
      </c>
      <c r="U1120" s="2" t="inlineStr">
        <is>
          <t>紧凑-高度紧凑</t>
        </is>
      </c>
      <c r="V1120" s="2" t="inlineStr">
        <is>
          <t>紧凑-极度紧凑</t>
        </is>
      </c>
    </row>
    <row r="1121">
      <c r="A1121" s="1" t="n">
        <v>2025312</v>
      </c>
      <c r="B1121" s="3" t="inlineStr">
        <is>
          <t>109</t>
        </is>
      </c>
      <c r="C1121" s="2">
        <f>IF(B1121="","",LEFT(TEXT(B1121,"000"),1)*1)</f>
        <v/>
      </c>
      <c r="D1121" s="2">
        <f>IF(B1121="","",MID(TEXT(B1121,"000"),2,1)*1)</f>
        <v/>
      </c>
      <c r="E1121" s="2">
        <f>IF(B1121="","",RIGHT(TEXT(B1121,"000"),1)*1)</f>
        <v/>
      </c>
      <c r="F1121" s="2">
        <f>IF(B1121="","",C1121+D1121+E1121)</f>
        <v/>
      </c>
      <c r="G1121" s="2">
        <f>IF(B1121="","",MOD(F1121,10))</f>
        <v/>
      </c>
      <c r="H1121" s="2">
        <f>IF(B1121="","",MAX(C1121,D1121,E1121)-MIN(C1121,D1121,E1121))</f>
        <v/>
      </c>
      <c r="I1121" s="2">
        <f>IF(OR(B1121="",H1121=0),IF(H1121=0,0.1,""),ROUND(F1121/H1121,2))</f>
        <v/>
      </c>
      <c r="J1121" s="2">
        <f>IF(I1121=0.1,"极紧凑",IF(I1121&gt;3.5,"紧凑",IF(AND(I1121&gt;=2,I1121&lt;=3.5),"标准",IF(AND(I1121&gt;=1,I1121&lt;2),"松散",""))))</f>
        <v/>
      </c>
      <c r="K1121" s="2">
        <f>IF(I1121=0.1,"极紧凑-豹子号",IF(AND(I1121&gt;=1,I1121&lt;=1.29),"松散-极松散",IF(AND(I1121&gt;=1.33,I1121&lt;=1.8),"松散-标准松散",IF(AND(I1121&gt;=1.83,I1121&lt;=1.89),"松散-偏紧松散",IF(AND(I1121&gt;=2,I1121&lt;=2.5),"标准-偏松标准",IF(AND(I1121&gt;=2.57,I1121&lt;=3),"标准-核心标准",IF(AND(I1121&gt;=3.17,I1121&lt;=3.5),"标准-偏紧标准",IF(AND(I1121&gt;=3.6,I1121&lt;=5),"紧凑-标准紧凑",IF(AND(I1121&gt;=5.25,I1121&lt;=8),"紧凑-高度紧凑",IF(I1121&gt;=8.5,"紧凑-极度紧凑",""))))))))))</f>
        <v/>
      </c>
      <c r="L1121" s="2">
        <f>IF(I1121=0.1,"极紧凑",IF(AND(I1121&gt;=1,I1121&lt;=1.89),"松散",IF(AND(I1121&gt;=2,I1121&lt;=3.5),"标准",IF(I1121&gt;=3.6,"紧凑",""))))</f>
        <v/>
      </c>
      <c r="M1121" s="2" t="inlineStr">
        <is>
          <t>极紧凑-豹子号</t>
        </is>
      </c>
      <c r="N1121" s="2" t="inlineStr">
        <is>
          <t>松散-极松散</t>
        </is>
      </c>
      <c r="O1121" s="2" t="inlineStr">
        <is>
          <t>松散-标准松散</t>
        </is>
      </c>
      <c r="P1121" s="2" t="inlineStr">
        <is>
          <t>松散-偏紧松散</t>
        </is>
      </c>
      <c r="Q1121" s="2" t="inlineStr">
        <is>
          <t>标准-偏松标准</t>
        </is>
      </c>
      <c r="R1121" s="2" t="inlineStr">
        <is>
          <t>标准-核心标准</t>
        </is>
      </c>
      <c r="S1121" s="2" t="inlineStr">
        <is>
          <t>标准-偏紧标准</t>
        </is>
      </c>
      <c r="T1121" s="2" t="inlineStr">
        <is>
          <t>紧凑-标准紧凑</t>
        </is>
      </c>
      <c r="U1121" s="2" t="inlineStr">
        <is>
          <t>紧凑-高度紧凑</t>
        </is>
      </c>
      <c r="V1121" s="2" t="inlineStr">
        <is>
          <t>紧凑-极度紧凑</t>
        </is>
      </c>
    </row>
    <row r="1122">
      <c r="A1122" s="1" t="n">
        <v>2025313</v>
      </c>
      <c r="B1122" s="3" t="inlineStr">
        <is>
          <t>445</t>
        </is>
      </c>
      <c r="C1122" s="2">
        <f>IF(B1122="","",LEFT(TEXT(B1122,"000"),1)*1)</f>
        <v/>
      </c>
      <c r="D1122" s="2">
        <f>IF(B1122="","",MID(TEXT(B1122,"000"),2,1)*1)</f>
        <v/>
      </c>
      <c r="E1122" s="2">
        <f>IF(B1122="","",RIGHT(TEXT(B1122,"000"),1)*1)</f>
        <v/>
      </c>
      <c r="F1122" s="2">
        <f>IF(B1122="","",C1122+D1122+E1122)</f>
        <v/>
      </c>
      <c r="G1122" s="2">
        <f>IF(B1122="","",MOD(F1122,10))</f>
        <v/>
      </c>
      <c r="H1122" s="2">
        <f>IF(B1122="","",MAX(C1122,D1122,E1122)-MIN(C1122,D1122,E1122))</f>
        <v/>
      </c>
      <c r="I1122" s="2">
        <f>IF(OR(B1122="",H1122=0),IF(H1122=0,0.1,""),ROUND(F1122/H1122,2))</f>
        <v/>
      </c>
      <c r="J1122" s="2">
        <f>IF(I1122=0.1,"极紧凑",IF(I1122&gt;3.5,"紧凑",IF(AND(I1122&gt;=2,I1122&lt;=3.5),"标准",IF(AND(I1122&gt;=1,I1122&lt;2),"松散",""))))</f>
        <v/>
      </c>
      <c r="K1122" s="2">
        <f>IF(I1122=0.1,"极紧凑-豹子号",IF(AND(I1122&gt;=1,I1122&lt;=1.29),"松散-极松散",IF(AND(I1122&gt;=1.33,I1122&lt;=1.8),"松散-标准松散",IF(AND(I1122&gt;=1.83,I1122&lt;=1.89),"松散-偏紧松散",IF(AND(I1122&gt;=2,I1122&lt;=2.5),"标准-偏松标准",IF(AND(I1122&gt;=2.57,I1122&lt;=3),"标准-核心标准",IF(AND(I1122&gt;=3.17,I1122&lt;=3.5),"标准-偏紧标准",IF(AND(I1122&gt;=3.6,I1122&lt;=5),"紧凑-标准紧凑",IF(AND(I1122&gt;=5.25,I1122&lt;=8),"紧凑-高度紧凑",IF(I1122&gt;=8.5,"紧凑-极度紧凑",""))))))))))</f>
        <v/>
      </c>
      <c r="L1122" s="2">
        <f>IF(I1122=0.1,"极紧凑",IF(AND(I1122&gt;=1,I1122&lt;=1.89),"松散",IF(AND(I1122&gt;=2,I1122&lt;=3.5),"标准",IF(I1122&gt;=3.6,"紧凑",""))))</f>
        <v/>
      </c>
      <c r="M1122" s="2" t="inlineStr">
        <is>
          <t>极紧凑-豹子号</t>
        </is>
      </c>
      <c r="N1122" s="2" t="inlineStr">
        <is>
          <t>松散-极松散</t>
        </is>
      </c>
      <c r="O1122" s="2" t="inlineStr">
        <is>
          <t>松散-标准松散</t>
        </is>
      </c>
      <c r="P1122" s="2" t="inlineStr">
        <is>
          <t>松散-偏紧松散</t>
        </is>
      </c>
      <c r="Q1122" s="2" t="inlineStr">
        <is>
          <t>标准-偏松标准</t>
        </is>
      </c>
      <c r="R1122" s="2" t="inlineStr">
        <is>
          <t>标准-核心标准</t>
        </is>
      </c>
      <c r="S1122" s="2" t="inlineStr">
        <is>
          <t>标准-偏紧标准</t>
        </is>
      </c>
      <c r="T1122" s="2" t="inlineStr">
        <is>
          <t>紧凑-标准紧凑</t>
        </is>
      </c>
      <c r="U1122" s="2" t="inlineStr">
        <is>
          <t>紧凑-高度紧凑</t>
        </is>
      </c>
      <c r="V1122" s="2" t="inlineStr">
        <is>
          <t>紧凑-极度紧凑</t>
        </is>
      </c>
    </row>
    <row r="1123">
      <c r="A1123" s="1" t="n">
        <v>2025314</v>
      </c>
      <c r="B1123" s="3" t="inlineStr">
        <is>
          <t>802</t>
        </is>
      </c>
      <c r="C1123" s="2">
        <f>IF(B1123="","",LEFT(TEXT(B1123,"000"),1)*1)</f>
        <v/>
      </c>
      <c r="D1123" s="2">
        <f>IF(B1123="","",MID(TEXT(B1123,"000"),2,1)*1)</f>
        <v/>
      </c>
      <c r="E1123" s="2">
        <f>IF(B1123="","",RIGHT(TEXT(B1123,"000"),1)*1)</f>
        <v/>
      </c>
      <c r="F1123" s="2">
        <f>IF(B1123="","",C1123+D1123+E1123)</f>
        <v/>
      </c>
      <c r="G1123" s="2">
        <f>IF(B1123="","",MOD(F1123,10))</f>
        <v/>
      </c>
      <c r="H1123" s="2">
        <f>IF(B1123="","",MAX(C1123,D1123,E1123)-MIN(C1123,D1123,E1123))</f>
        <v/>
      </c>
      <c r="I1123" s="2">
        <f>IF(OR(B1123="",H1123=0),IF(H1123=0,0.1,""),ROUND(F1123/H1123,2))</f>
        <v/>
      </c>
      <c r="J1123" s="2">
        <f>IF(I1123=0.1,"极紧凑",IF(I1123&gt;3.5,"紧凑",IF(AND(I1123&gt;=2,I1123&lt;=3.5),"标准",IF(AND(I1123&gt;=1,I1123&lt;2),"松散",""))))</f>
        <v/>
      </c>
      <c r="K1123" s="2">
        <f>IF(I1123=0.1,"极紧凑-豹子号",IF(AND(I1123&gt;=1,I1123&lt;=1.29),"松散-极松散",IF(AND(I1123&gt;=1.33,I1123&lt;=1.8),"松散-标准松散",IF(AND(I1123&gt;=1.83,I1123&lt;=1.89),"松散-偏紧松散",IF(AND(I1123&gt;=2,I1123&lt;=2.5),"标准-偏松标准",IF(AND(I1123&gt;=2.57,I1123&lt;=3),"标准-核心标准",IF(AND(I1123&gt;=3.17,I1123&lt;=3.5),"标准-偏紧标准",IF(AND(I1123&gt;=3.6,I1123&lt;=5),"紧凑-标准紧凑",IF(AND(I1123&gt;=5.25,I1123&lt;=8),"紧凑-高度紧凑",IF(I1123&gt;=8.5,"紧凑-极度紧凑",""))))))))))</f>
        <v/>
      </c>
      <c r="L1123" s="2">
        <f>IF(I1123=0.1,"极紧凑",IF(AND(I1123&gt;=1,I1123&lt;=1.89),"松散",IF(AND(I1123&gt;=2,I1123&lt;=3.5),"标准",IF(I1123&gt;=3.6,"紧凑",""))))</f>
        <v/>
      </c>
      <c r="M1123" s="2" t="inlineStr">
        <is>
          <t>极紧凑-豹子号</t>
        </is>
      </c>
      <c r="N1123" s="2" t="inlineStr">
        <is>
          <t>松散-极松散</t>
        </is>
      </c>
      <c r="O1123" s="2" t="inlineStr">
        <is>
          <t>松散-标准松散</t>
        </is>
      </c>
      <c r="P1123" s="2" t="inlineStr">
        <is>
          <t>松散-偏紧松散</t>
        </is>
      </c>
      <c r="Q1123" s="2" t="inlineStr">
        <is>
          <t>标准-偏松标准</t>
        </is>
      </c>
      <c r="R1123" s="2" t="inlineStr">
        <is>
          <t>标准-核心标准</t>
        </is>
      </c>
      <c r="S1123" s="2" t="inlineStr">
        <is>
          <t>标准-偏紧标准</t>
        </is>
      </c>
      <c r="T1123" s="2" t="inlineStr">
        <is>
          <t>紧凑-标准紧凑</t>
        </is>
      </c>
      <c r="U1123" s="2" t="inlineStr">
        <is>
          <t>紧凑-高度紧凑</t>
        </is>
      </c>
      <c r="V1123" s="2" t="inlineStr">
        <is>
          <t>紧凑-极度紧凑</t>
        </is>
      </c>
    </row>
    <row r="1124">
      <c r="A1124" s="1" t="n">
        <v>2025315</v>
      </c>
      <c r="B1124" s="3" t="inlineStr">
        <is>
          <t>973</t>
        </is>
      </c>
      <c r="C1124" s="2">
        <f>IF(B1124="","",LEFT(TEXT(B1124,"000"),1)*1)</f>
        <v/>
      </c>
      <c r="D1124" s="2">
        <f>IF(B1124="","",MID(TEXT(B1124,"000"),2,1)*1)</f>
        <v/>
      </c>
      <c r="E1124" s="2">
        <f>IF(B1124="","",RIGHT(TEXT(B1124,"000"),1)*1)</f>
        <v/>
      </c>
      <c r="F1124" s="2">
        <f>IF(B1124="","",C1124+D1124+E1124)</f>
        <v/>
      </c>
      <c r="G1124" s="2">
        <f>IF(B1124="","",MOD(F1124,10))</f>
        <v/>
      </c>
      <c r="H1124" s="2">
        <f>IF(B1124="","",MAX(C1124,D1124,E1124)-MIN(C1124,D1124,E1124))</f>
        <v/>
      </c>
      <c r="I1124" s="2">
        <f>IF(OR(B1124="",H1124=0),IF(H1124=0,0.1,""),ROUND(F1124/H1124,2))</f>
        <v/>
      </c>
      <c r="J1124" s="2">
        <f>IF(I1124=0.1,"极紧凑",IF(I1124&gt;3.5,"紧凑",IF(AND(I1124&gt;=2,I1124&lt;=3.5),"标准",IF(AND(I1124&gt;=1,I1124&lt;2),"松散",""))))</f>
        <v/>
      </c>
      <c r="K1124" s="2">
        <f>IF(I1124=0.1,"极紧凑-豹子号",IF(AND(I1124&gt;=1,I1124&lt;=1.29),"松散-极松散",IF(AND(I1124&gt;=1.33,I1124&lt;=1.8),"松散-标准松散",IF(AND(I1124&gt;=1.83,I1124&lt;=1.89),"松散-偏紧松散",IF(AND(I1124&gt;=2,I1124&lt;=2.5),"标准-偏松标准",IF(AND(I1124&gt;=2.57,I1124&lt;=3),"标准-核心标准",IF(AND(I1124&gt;=3.17,I1124&lt;=3.5),"标准-偏紧标准",IF(AND(I1124&gt;=3.6,I1124&lt;=5),"紧凑-标准紧凑",IF(AND(I1124&gt;=5.25,I1124&lt;=8),"紧凑-高度紧凑",IF(I1124&gt;=8.5,"紧凑-极度紧凑",""))))))))))</f>
        <v/>
      </c>
      <c r="L1124" s="2">
        <f>IF(I1124=0.1,"极紧凑",IF(AND(I1124&gt;=1,I1124&lt;=1.89),"松散",IF(AND(I1124&gt;=2,I1124&lt;=3.5),"标准",IF(I1124&gt;=3.6,"紧凑",""))))</f>
        <v/>
      </c>
      <c r="M1124" s="2" t="inlineStr">
        <is>
          <t>极紧凑-豹子号</t>
        </is>
      </c>
      <c r="N1124" s="2" t="inlineStr">
        <is>
          <t>松散-极松散</t>
        </is>
      </c>
      <c r="O1124" s="2" t="inlineStr">
        <is>
          <t>松散-标准松散</t>
        </is>
      </c>
      <c r="P1124" s="2" t="inlineStr">
        <is>
          <t>松散-偏紧松散</t>
        </is>
      </c>
      <c r="Q1124" s="2" t="inlineStr">
        <is>
          <t>标准-偏松标准</t>
        </is>
      </c>
      <c r="R1124" s="2" t="inlineStr">
        <is>
          <t>标准-核心标准</t>
        </is>
      </c>
      <c r="S1124" s="2" t="inlineStr">
        <is>
          <t>标准-偏紧标准</t>
        </is>
      </c>
      <c r="T1124" s="2" t="inlineStr">
        <is>
          <t>紧凑-标准紧凑</t>
        </is>
      </c>
      <c r="U1124" s="2" t="inlineStr">
        <is>
          <t>紧凑-高度紧凑</t>
        </is>
      </c>
      <c r="V1124" s="2" t="inlineStr">
        <is>
          <t>紧凑-极度紧凑</t>
        </is>
      </c>
    </row>
    <row r="1125">
      <c r="A1125" s="1" t="n">
        <v>2025316</v>
      </c>
      <c r="B1125" s="3" t="inlineStr">
        <is>
          <t>918</t>
        </is>
      </c>
      <c r="C1125" s="2">
        <f>IF(B1125="","",LEFT(TEXT(B1125,"000"),1)*1)</f>
        <v/>
      </c>
      <c r="D1125" s="2">
        <f>IF(B1125="","",MID(TEXT(B1125,"000"),2,1)*1)</f>
        <v/>
      </c>
      <c r="E1125" s="2">
        <f>IF(B1125="","",RIGHT(TEXT(B1125,"000"),1)*1)</f>
        <v/>
      </c>
      <c r="F1125" s="2">
        <f>IF(B1125="","",C1125+D1125+E1125)</f>
        <v/>
      </c>
      <c r="G1125" s="2">
        <f>IF(B1125="","",MOD(F1125,10))</f>
        <v/>
      </c>
      <c r="H1125" s="2">
        <f>IF(B1125="","",MAX(C1125,D1125,E1125)-MIN(C1125,D1125,E1125))</f>
        <v/>
      </c>
      <c r="I1125" s="2">
        <f>IF(OR(B1125="",H1125=0),IF(H1125=0,0.1,""),ROUND(F1125/H1125,2))</f>
        <v/>
      </c>
      <c r="J1125" s="2">
        <f>IF(I1125=0.1,"极紧凑",IF(I1125&gt;3.5,"紧凑",IF(AND(I1125&gt;=2,I1125&lt;=3.5),"标准",IF(AND(I1125&gt;=1,I1125&lt;2),"松散",""))))</f>
        <v/>
      </c>
      <c r="K1125" s="2">
        <f>IF(I1125=0.1,"极紧凑-豹子号",IF(AND(I1125&gt;=1,I1125&lt;=1.29),"松散-极松散",IF(AND(I1125&gt;=1.33,I1125&lt;=1.8),"松散-标准松散",IF(AND(I1125&gt;=1.83,I1125&lt;=1.89),"松散-偏紧松散",IF(AND(I1125&gt;=2,I1125&lt;=2.5),"标准-偏松标准",IF(AND(I1125&gt;=2.57,I1125&lt;=3),"标准-核心标准",IF(AND(I1125&gt;=3.17,I1125&lt;=3.5),"标准-偏紧标准",IF(AND(I1125&gt;=3.6,I1125&lt;=5),"紧凑-标准紧凑",IF(AND(I1125&gt;=5.25,I1125&lt;=8),"紧凑-高度紧凑",IF(I1125&gt;=8.5,"紧凑-极度紧凑",""))))))))))</f>
        <v/>
      </c>
      <c r="L1125" s="2">
        <f>IF(I1125=0.1,"极紧凑",IF(AND(I1125&gt;=1,I1125&lt;=1.89),"松散",IF(AND(I1125&gt;=2,I1125&lt;=3.5),"标准",IF(I1125&gt;=3.6,"紧凑",""))))</f>
        <v/>
      </c>
      <c r="M1125" s="2" t="inlineStr">
        <is>
          <t>极紧凑-豹子号</t>
        </is>
      </c>
      <c r="N1125" s="2" t="inlineStr">
        <is>
          <t>松散-极松散</t>
        </is>
      </c>
      <c r="O1125" s="2" t="inlineStr">
        <is>
          <t>松散-标准松散</t>
        </is>
      </c>
      <c r="P1125" s="2" t="inlineStr">
        <is>
          <t>松散-偏紧松散</t>
        </is>
      </c>
      <c r="Q1125" s="2" t="inlineStr">
        <is>
          <t>标准-偏松标准</t>
        </is>
      </c>
      <c r="R1125" s="2" t="inlineStr">
        <is>
          <t>标准-核心标准</t>
        </is>
      </c>
      <c r="S1125" s="2" t="inlineStr">
        <is>
          <t>标准-偏紧标准</t>
        </is>
      </c>
      <c r="T1125" s="2" t="inlineStr">
        <is>
          <t>紧凑-标准紧凑</t>
        </is>
      </c>
      <c r="U1125" s="2" t="inlineStr">
        <is>
          <t>紧凑-高度紧凑</t>
        </is>
      </c>
      <c r="V1125" s="2" t="inlineStr">
        <is>
          <t>紧凑-极度紧凑</t>
        </is>
      </c>
    </row>
    <row r="1126">
      <c r="A1126" s="1" t="n">
        <v>2025317</v>
      </c>
      <c r="B1126" s="3" t="inlineStr">
        <is>
          <t>756</t>
        </is>
      </c>
      <c r="C1126" s="2">
        <f>IF(B1126="","",LEFT(TEXT(B1126,"000"),1)*1)</f>
        <v/>
      </c>
      <c r="D1126" s="2">
        <f>IF(B1126="","",MID(TEXT(B1126,"000"),2,1)*1)</f>
        <v/>
      </c>
      <c r="E1126" s="2">
        <f>IF(B1126="","",RIGHT(TEXT(B1126,"000"),1)*1)</f>
        <v/>
      </c>
      <c r="F1126" s="2">
        <f>IF(B1126="","",C1126+D1126+E1126)</f>
        <v/>
      </c>
      <c r="G1126" s="2">
        <f>IF(B1126="","",MOD(F1126,10))</f>
        <v/>
      </c>
      <c r="H1126" s="2">
        <f>IF(B1126="","",MAX(C1126,D1126,E1126)-MIN(C1126,D1126,E1126))</f>
        <v/>
      </c>
      <c r="I1126" s="2">
        <f>IF(OR(B1126="",H1126=0),IF(H1126=0,0.1,""),ROUND(F1126/H1126,2))</f>
        <v/>
      </c>
      <c r="J1126" s="2">
        <f>IF(I1126=0.1,"极紧凑",IF(I1126&gt;3.5,"紧凑",IF(AND(I1126&gt;=2,I1126&lt;=3.5),"标准",IF(AND(I1126&gt;=1,I1126&lt;2),"松散",""))))</f>
        <v/>
      </c>
      <c r="K1126" s="2">
        <f>IF(I1126=0.1,"极紧凑-豹子号",IF(AND(I1126&gt;=1,I1126&lt;=1.29),"松散-极松散",IF(AND(I1126&gt;=1.33,I1126&lt;=1.8),"松散-标准松散",IF(AND(I1126&gt;=1.83,I1126&lt;=1.89),"松散-偏紧松散",IF(AND(I1126&gt;=2,I1126&lt;=2.5),"标准-偏松标准",IF(AND(I1126&gt;=2.57,I1126&lt;=3),"标准-核心标准",IF(AND(I1126&gt;=3.17,I1126&lt;=3.5),"标准-偏紧标准",IF(AND(I1126&gt;=3.6,I1126&lt;=5),"紧凑-标准紧凑",IF(AND(I1126&gt;=5.25,I1126&lt;=8),"紧凑-高度紧凑",IF(I1126&gt;=8.5,"紧凑-极度紧凑",""))))))))))</f>
        <v/>
      </c>
      <c r="L1126" s="2">
        <f>IF(I1126=0.1,"极紧凑",IF(AND(I1126&gt;=1,I1126&lt;=1.89),"松散",IF(AND(I1126&gt;=2,I1126&lt;=3.5),"标准",IF(I1126&gt;=3.6,"紧凑",""))))</f>
        <v/>
      </c>
      <c r="M1126" s="2" t="inlineStr">
        <is>
          <t>极紧凑-豹子号</t>
        </is>
      </c>
      <c r="N1126" s="2" t="inlineStr">
        <is>
          <t>松散-极松散</t>
        </is>
      </c>
      <c r="O1126" s="2" t="inlineStr">
        <is>
          <t>松散-标准松散</t>
        </is>
      </c>
      <c r="P1126" s="2" t="inlineStr">
        <is>
          <t>松散-偏紧松散</t>
        </is>
      </c>
      <c r="Q1126" s="2" t="inlineStr">
        <is>
          <t>标准-偏松标准</t>
        </is>
      </c>
      <c r="R1126" s="2" t="inlineStr">
        <is>
          <t>标准-核心标准</t>
        </is>
      </c>
      <c r="S1126" s="2" t="inlineStr">
        <is>
          <t>标准-偏紧标准</t>
        </is>
      </c>
      <c r="T1126" s="2" t="inlineStr">
        <is>
          <t>紧凑-标准紧凑</t>
        </is>
      </c>
      <c r="U1126" s="2" t="inlineStr">
        <is>
          <t>紧凑-高度紧凑</t>
        </is>
      </c>
      <c r="V1126" s="2" t="inlineStr">
        <is>
          <t>紧凑-极度紧凑</t>
        </is>
      </c>
    </row>
    <row r="1127">
      <c r="A1127" s="1" t="n">
        <v>2025318</v>
      </c>
      <c r="B1127" s="3" t="inlineStr">
        <is>
          <t>438</t>
        </is>
      </c>
      <c r="C1127" s="2">
        <f>IF(B1127="","",LEFT(TEXT(B1127,"000"),1)*1)</f>
        <v/>
      </c>
      <c r="D1127" s="2">
        <f>IF(B1127="","",MID(TEXT(B1127,"000"),2,1)*1)</f>
        <v/>
      </c>
      <c r="E1127" s="2">
        <f>IF(B1127="","",RIGHT(TEXT(B1127,"000"),1)*1)</f>
        <v/>
      </c>
      <c r="F1127" s="2">
        <f>IF(B1127="","",C1127+D1127+E1127)</f>
        <v/>
      </c>
      <c r="G1127" s="2">
        <f>IF(B1127="","",MOD(F1127,10))</f>
        <v/>
      </c>
      <c r="H1127" s="2">
        <f>IF(B1127="","",MAX(C1127,D1127,E1127)-MIN(C1127,D1127,E1127))</f>
        <v/>
      </c>
      <c r="I1127" s="2">
        <f>IF(OR(B1127="",H1127=0),IF(H1127=0,0.1,""),ROUND(F1127/H1127,2))</f>
        <v/>
      </c>
      <c r="J1127" s="2">
        <f>IF(I1127=0.1,"极紧凑",IF(I1127&gt;3.5,"紧凑",IF(AND(I1127&gt;=2,I1127&lt;=3.5),"标准",IF(AND(I1127&gt;=1,I1127&lt;2),"松散",""))))</f>
        <v/>
      </c>
      <c r="K1127" s="2">
        <f>IF(I1127=0.1,"极紧凑-豹子号",IF(AND(I1127&gt;=1,I1127&lt;=1.29),"松散-极松散",IF(AND(I1127&gt;=1.33,I1127&lt;=1.8),"松散-标准松散",IF(AND(I1127&gt;=1.83,I1127&lt;=1.89),"松散-偏紧松散",IF(AND(I1127&gt;=2,I1127&lt;=2.5),"标准-偏松标准",IF(AND(I1127&gt;=2.57,I1127&lt;=3),"标准-核心标准",IF(AND(I1127&gt;=3.17,I1127&lt;=3.5),"标准-偏紧标准",IF(AND(I1127&gt;=3.6,I1127&lt;=5),"紧凑-标准紧凑",IF(AND(I1127&gt;=5.25,I1127&lt;=8),"紧凑-高度紧凑",IF(I1127&gt;=8.5,"紧凑-极度紧凑",""))))))))))</f>
        <v/>
      </c>
      <c r="L1127" s="2">
        <f>IF(I1127=0.1,"极紧凑",IF(AND(I1127&gt;=1,I1127&lt;=1.89),"松散",IF(AND(I1127&gt;=2,I1127&lt;=3.5),"标准",IF(I1127&gt;=3.6,"紧凑",""))))</f>
        <v/>
      </c>
      <c r="M1127" s="2" t="inlineStr">
        <is>
          <t>极紧凑-豹子号</t>
        </is>
      </c>
      <c r="N1127" s="2" t="inlineStr">
        <is>
          <t>松散-极松散</t>
        </is>
      </c>
      <c r="O1127" s="2" t="inlineStr">
        <is>
          <t>松散-标准松散</t>
        </is>
      </c>
      <c r="P1127" s="2" t="inlineStr">
        <is>
          <t>松散-偏紧松散</t>
        </is>
      </c>
      <c r="Q1127" s="2" t="inlineStr">
        <is>
          <t>标准-偏松标准</t>
        </is>
      </c>
      <c r="R1127" s="2" t="inlineStr">
        <is>
          <t>标准-核心标准</t>
        </is>
      </c>
      <c r="S1127" s="2" t="inlineStr">
        <is>
          <t>标准-偏紧标准</t>
        </is>
      </c>
      <c r="T1127" s="2" t="inlineStr">
        <is>
          <t>紧凑-标准紧凑</t>
        </is>
      </c>
      <c r="U1127" s="2" t="inlineStr">
        <is>
          <t>紧凑-高度紧凑</t>
        </is>
      </c>
      <c r="V1127" s="2" t="inlineStr">
        <is>
          <t>紧凑-极度紧凑</t>
        </is>
      </c>
    </row>
    <row r="1128">
      <c r="A1128" s="1" t="n">
        <v>2025319</v>
      </c>
      <c r="B1128" s="3" t="inlineStr">
        <is>
          <t>865</t>
        </is>
      </c>
      <c r="C1128" s="2">
        <f>IF(B1128="","",LEFT(TEXT(B1128,"000"),1)*1)</f>
        <v/>
      </c>
      <c r="D1128" s="2">
        <f>IF(B1128="","",MID(TEXT(B1128,"000"),2,1)*1)</f>
        <v/>
      </c>
      <c r="E1128" s="2">
        <f>IF(B1128="","",RIGHT(TEXT(B1128,"000"),1)*1)</f>
        <v/>
      </c>
      <c r="F1128" s="2">
        <f>IF(B1128="","",C1128+D1128+E1128)</f>
        <v/>
      </c>
      <c r="G1128" s="2">
        <f>IF(B1128="","",MOD(F1128,10))</f>
        <v/>
      </c>
      <c r="H1128" s="2">
        <f>IF(B1128="","",MAX(C1128,D1128,E1128)-MIN(C1128,D1128,E1128))</f>
        <v/>
      </c>
      <c r="I1128" s="2">
        <f>IF(OR(B1128="",H1128=0),IF(H1128=0,0.1,""),ROUND(F1128/H1128,2))</f>
        <v/>
      </c>
      <c r="J1128" s="2">
        <f>IF(I1128=0.1,"极紧凑",IF(I1128&gt;3.5,"紧凑",IF(AND(I1128&gt;=2,I1128&lt;=3.5),"标准",IF(AND(I1128&gt;=1,I1128&lt;2),"松散",""))))</f>
        <v/>
      </c>
      <c r="K1128" s="2">
        <f>IF(I1128=0.1,"极紧凑-豹子号",IF(AND(I1128&gt;=1,I1128&lt;=1.29),"松散-极松散",IF(AND(I1128&gt;=1.33,I1128&lt;=1.8),"松散-标准松散",IF(AND(I1128&gt;=1.83,I1128&lt;=1.89),"松散-偏紧松散",IF(AND(I1128&gt;=2,I1128&lt;=2.5),"标准-偏松标准",IF(AND(I1128&gt;=2.57,I1128&lt;=3),"标准-核心标准",IF(AND(I1128&gt;=3.17,I1128&lt;=3.5),"标准-偏紧标准",IF(AND(I1128&gt;=3.6,I1128&lt;=5),"紧凑-标准紧凑",IF(AND(I1128&gt;=5.25,I1128&lt;=8),"紧凑-高度紧凑",IF(I1128&gt;=8.5,"紧凑-极度紧凑",""))))))))))</f>
        <v/>
      </c>
      <c r="L1128" s="2">
        <f>IF(I1128=0.1,"极紧凑",IF(AND(I1128&gt;=1,I1128&lt;=1.89),"松散",IF(AND(I1128&gt;=2,I1128&lt;=3.5),"标准",IF(I1128&gt;=3.6,"紧凑",""))))</f>
        <v/>
      </c>
      <c r="M1128" s="2" t="inlineStr">
        <is>
          <t>极紧凑-豹子号</t>
        </is>
      </c>
      <c r="N1128" s="2" t="inlineStr">
        <is>
          <t>松散-极松散</t>
        </is>
      </c>
      <c r="O1128" s="2" t="inlineStr">
        <is>
          <t>松散-标准松散</t>
        </is>
      </c>
      <c r="P1128" s="2" t="inlineStr">
        <is>
          <t>松散-偏紧松散</t>
        </is>
      </c>
      <c r="Q1128" s="2" t="inlineStr">
        <is>
          <t>标准-偏松标准</t>
        </is>
      </c>
      <c r="R1128" s="2" t="inlineStr">
        <is>
          <t>标准-核心标准</t>
        </is>
      </c>
      <c r="S1128" s="2" t="inlineStr">
        <is>
          <t>标准-偏紧标准</t>
        </is>
      </c>
      <c r="T1128" s="2" t="inlineStr">
        <is>
          <t>紧凑-标准紧凑</t>
        </is>
      </c>
      <c r="U1128" s="2" t="inlineStr">
        <is>
          <t>紧凑-高度紧凑</t>
        </is>
      </c>
      <c r="V1128" s="2" t="inlineStr">
        <is>
          <t>紧凑-极度紧凑</t>
        </is>
      </c>
    </row>
    <row r="1129">
      <c r="A1129" s="1" t="n">
        <v>2025320</v>
      </c>
      <c r="B1129" s="3" t="inlineStr">
        <is>
          <t>725</t>
        </is>
      </c>
      <c r="C1129" s="2">
        <f>IF(B1129="","",LEFT(TEXT(B1129,"000"),1)*1)</f>
        <v/>
      </c>
      <c r="D1129" s="2">
        <f>IF(B1129="","",MID(TEXT(B1129,"000"),2,1)*1)</f>
        <v/>
      </c>
      <c r="E1129" s="2">
        <f>IF(B1129="","",RIGHT(TEXT(B1129,"000"),1)*1)</f>
        <v/>
      </c>
      <c r="F1129" s="2">
        <f>IF(B1129="","",C1129+D1129+E1129)</f>
        <v/>
      </c>
      <c r="G1129" s="2">
        <f>IF(B1129="","",MOD(F1129,10))</f>
        <v/>
      </c>
      <c r="H1129" s="2">
        <f>IF(B1129="","",MAX(C1129,D1129,E1129)-MIN(C1129,D1129,E1129))</f>
        <v/>
      </c>
      <c r="I1129" s="2">
        <f>IF(OR(B1129="",H1129=0),IF(H1129=0,0.1,""),ROUND(F1129/H1129,2))</f>
        <v/>
      </c>
      <c r="J1129" s="2">
        <f>IF(I1129=0.1,"极紧凑",IF(I1129&gt;3.5,"紧凑",IF(AND(I1129&gt;=2,I1129&lt;=3.5),"标准",IF(AND(I1129&gt;=1,I1129&lt;2),"松散",""))))</f>
        <v/>
      </c>
      <c r="K1129" s="2">
        <f>IF(I1129=0.1,"极紧凑-豹子号",IF(AND(I1129&gt;=1,I1129&lt;=1.29),"松散-极松散",IF(AND(I1129&gt;=1.33,I1129&lt;=1.8),"松散-标准松散",IF(AND(I1129&gt;=1.83,I1129&lt;=1.89),"松散-偏紧松散",IF(AND(I1129&gt;=2,I1129&lt;=2.5),"标准-偏松标准",IF(AND(I1129&gt;=2.57,I1129&lt;=3),"标准-核心标准",IF(AND(I1129&gt;=3.17,I1129&lt;=3.5),"标准-偏紧标准",IF(AND(I1129&gt;=3.6,I1129&lt;=5),"紧凑-标准紧凑",IF(AND(I1129&gt;=5.25,I1129&lt;=8),"紧凑-高度紧凑",IF(I1129&gt;=8.5,"紧凑-极度紧凑",""))))))))))</f>
        <v/>
      </c>
      <c r="L1129" s="2">
        <f>IF(I1129=0.1,"极紧凑",IF(AND(I1129&gt;=1,I1129&lt;=1.89),"松散",IF(AND(I1129&gt;=2,I1129&lt;=3.5),"标准",IF(I1129&gt;=3.6,"紧凑",""))))</f>
        <v/>
      </c>
      <c r="M1129" s="2" t="inlineStr">
        <is>
          <t>极紧凑-豹子号</t>
        </is>
      </c>
      <c r="N1129" s="2" t="inlineStr">
        <is>
          <t>松散-极松散</t>
        </is>
      </c>
      <c r="O1129" s="2" t="inlineStr">
        <is>
          <t>松散-标准松散</t>
        </is>
      </c>
      <c r="P1129" s="2" t="inlineStr">
        <is>
          <t>松散-偏紧松散</t>
        </is>
      </c>
      <c r="Q1129" s="2" t="inlineStr">
        <is>
          <t>标准-偏松标准</t>
        </is>
      </c>
      <c r="R1129" s="2" t="inlineStr">
        <is>
          <t>标准-核心标准</t>
        </is>
      </c>
      <c r="S1129" s="2" t="inlineStr">
        <is>
          <t>标准-偏紧标准</t>
        </is>
      </c>
      <c r="T1129" s="2" t="inlineStr">
        <is>
          <t>紧凑-标准紧凑</t>
        </is>
      </c>
      <c r="U1129" s="2" t="inlineStr">
        <is>
          <t>紧凑-高度紧凑</t>
        </is>
      </c>
      <c r="V1129" s="2" t="inlineStr">
        <is>
          <t>紧凑-极度紧凑</t>
        </is>
      </c>
    </row>
    <row r="1130">
      <c r="A1130" s="1" t="n">
        <v>2025321</v>
      </c>
      <c r="B1130" s="3" t="inlineStr">
        <is>
          <t>568</t>
        </is>
      </c>
      <c r="C1130" s="2">
        <f>IF(B1130="","",LEFT(TEXT(B1130,"000"),1)*1)</f>
        <v/>
      </c>
      <c r="D1130" s="2">
        <f>IF(B1130="","",MID(TEXT(B1130,"000"),2,1)*1)</f>
        <v/>
      </c>
      <c r="E1130" s="2">
        <f>IF(B1130="","",RIGHT(TEXT(B1130,"000"),1)*1)</f>
        <v/>
      </c>
      <c r="F1130" s="2">
        <f>IF(B1130="","",C1130+D1130+E1130)</f>
        <v/>
      </c>
      <c r="G1130" s="2">
        <f>IF(B1130="","",MOD(F1130,10))</f>
        <v/>
      </c>
      <c r="H1130" s="2">
        <f>IF(B1130="","",MAX(C1130,D1130,E1130)-MIN(C1130,D1130,E1130))</f>
        <v/>
      </c>
      <c r="I1130" s="2">
        <f>IF(OR(B1130="",H1130=0),IF(H1130=0,0.1,""),ROUND(F1130/H1130,2))</f>
        <v/>
      </c>
      <c r="J1130" s="2">
        <f>IF(I1130=0.1,"极紧凑",IF(I1130&gt;3.5,"紧凑",IF(AND(I1130&gt;=2,I1130&lt;=3.5),"标准",IF(AND(I1130&gt;=1,I1130&lt;2),"松散",""))))</f>
        <v/>
      </c>
      <c r="K1130" s="2">
        <f>IF(I1130=0.1,"极紧凑-豹子号",IF(AND(I1130&gt;=1,I1130&lt;=1.29),"松散-极松散",IF(AND(I1130&gt;=1.33,I1130&lt;=1.8),"松散-标准松散",IF(AND(I1130&gt;=1.83,I1130&lt;=1.89),"松散-偏紧松散",IF(AND(I1130&gt;=2,I1130&lt;=2.5),"标准-偏松标准",IF(AND(I1130&gt;=2.57,I1130&lt;=3),"标准-核心标准",IF(AND(I1130&gt;=3.17,I1130&lt;=3.5),"标准-偏紧标准",IF(AND(I1130&gt;=3.6,I1130&lt;=5),"紧凑-标准紧凑",IF(AND(I1130&gt;=5.25,I1130&lt;=8),"紧凑-高度紧凑",IF(I1130&gt;=8.5,"紧凑-极度紧凑",""))))))))))</f>
        <v/>
      </c>
      <c r="L1130" s="2">
        <f>IF(I1130=0.1,"极紧凑",IF(AND(I1130&gt;=1,I1130&lt;=1.89),"松散",IF(AND(I1130&gt;=2,I1130&lt;=3.5),"标准",IF(I1130&gt;=3.6,"紧凑",""))))</f>
        <v/>
      </c>
      <c r="M1130" s="2" t="inlineStr">
        <is>
          <t>极紧凑-豹子号</t>
        </is>
      </c>
      <c r="N1130" s="2" t="inlineStr">
        <is>
          <t>松散-极松散</t>
        </is>
      </c>
      <c r="O1130" s="2" t="inlineStr">
        <is>
          <t>松散-标准松散</t>
        </is>
      </c>
      <c r="P1130" s="2" t="inlineStr">
        <is>
          <t>松散-偏紧松散</t>
        </is>
      </c>
      <c r="Q1130" s="2" t="inlineStr">
        <is>
          <t>标准-偏松标准</t>
        </is>
      </c>
      <c r="R1130" s="2" t="inlineStr">
        <is>
          <t>标准-核心标准</t>
        </is>
      </c>
      <c r="S1130" s="2" t="inlineStr">
        <is>
          <t>标准-偏紧标准</t>
        </is>
      </c>
      <c r="T1130" s="2" t="inlineStr">
        <is>
          <t>紧凑-标准紧凑</t>
        </is>
      </c>
      <c r="U1130" s="2" t="inlineStr">
        <is>
          <t>紧凑-高度紧凑</t>
        </is>
      </c>
      <c r="V1130" s="2" t="inlineStr">
        <is>
          <t>紧凑-极度紧凑</t>
        </is>
      </c>
    </row>
    <row r="1131">
      <c r="A1131" s="1" t="n">
        <v>2025322</v>
      </c>
      <c r="B1131" s="3" t="inlineStr">
        <is>
          <t>148</t>
        </is>
      </c>
      <c r="C1131" s="2">
        <f>IF(B1131="","",LEFT(TEXT(B1131,"000"),1)*1)</f>
        <v/>
      </c>
      <c r="D1131" s="2">
        <f>IF(B1131="","",MID(TEXT(B1131,"000"),2,1)*1)</f>
        <v/>
      </c>
      <c r="E1131" s="2">
        <f>IF(B1131="","",RIGHT(TEXT(B1131,"000"),1)*1)</f>
        <v/>
      </c>
      <c r="F1131" s="2">
        <f>IF(B1131="","",C1131+D1131+E1131)</f>
        <v/>
      </c>
      <c r="G1131" s="2">
        <f>IF(B1131="","",MOD(F1131,10))</f>
        <v/>
      </c>
      <c r="H1131" s="2">
        <f>IF(B1131="","",MAX(C1131,D1131,E1131)-MIN(C1131,D1131,E1131))</f>
        <v/>
      </c>
      <c r="I1131" s="2">
        <f>IF(OR(B1131="",H1131=0),IF(H1131=0,0.1,""),ROUND(F1131/H1131,2))</f>
        <v/>
      </c>
      <c r="J1131" s="2">
        <f>IF(I1131=0.1,"极紧凑",IF(I1131&gt;3.5,"紧凑",IF(AND(I1131&gt;=2,I1131&lt;=3.5),"标准",IF(AND(I1131&gt;=1,I1131&lt;2),"松散",""))))</f>
        <v/>
      </c>
      <c r="K1131" s="2">
        <f>IF(I1131=0.1,"极紧凑-豹子号",IF(AND(I1131&gt;=1,I1131&lt;=1.29),"松散-极松散",IF(AND(I1131&gt;=1.33,I1131&lt;=1.8),"松散-标准松散",IF(AND(I1131&gt;=1.83,I1131&lt;=1.89),"松散-偏紧松散",IF(AND(I1131&gt;=2,I1131&lt;=2.5),"标准-偏松标准",IF(AND(I1131&gt;=2.57,I1131&lt;=3),"标准-核心标准",IF(AND(I1131&gt;=3.17,I1131&lt;=3.5),"标准-偏紧标准",IF(AND(I1131&gt;=3.6,I1131&lt;=5),"紧凑-标准紧凑",IF(AND(I1131&gt;=5.25,I1131&lt;=8),"紧凑-高度紧凑",IF(I1131&gt;=8.5,"紧凑-极度紧凑",""))))))))))</f>
        <v/>
      </c>
      <c r="L1131" s="2">
        <f>IF(I1131=0.1,"极紧凑",IF(AND(I1131&gt;=1,I1131&lt;=1.89),"松散",IF(AND(I1131&gt;=2,I1131&lt;=3.5),"标准",IF(I1131&gt;=3.6,"紧凑",""))))</f>
        <v/>
      </c>
      <c r="M1131" s="2" t="inlineStr">
        <is>
          <t>极紧凑-豹子号</t>
        </is>
      </c>
      <c r="N1131" s="2" t="inlineStr">
        <is>
          <t>松散-极松散</t>
        </is>
      </c>
      <c r="O1131" s="2" t="inlineStr">
        <is>
          <t>松散-标准松散</t>
        </is>
      </c>
      <c r="P1131" s="2" t="inlineStr">
        <is>
          <t>松散-偏紧松散</t>
        </is>
      </c>
      <c r="Q1131" s="2" t="inlineStr">
        <is>
          <t>标准-偏松标准</t>
        </is>
      </c>
      <c r="R1131" s="2" t="inlineStr">
        <is>
          <t>标准-核心标准</t>
        </is>
      </c>
      <c r="S1131" s="2" t="inlineStr">
        <is>
          <t>标准-偏紧标准</t>
        </is>
      </c>
      <c r="T1131" s="2" t="inlineStr">
        <is>
          <t>紧凑-标准紧凑</t>
        </is>
      </c>
      <c r="U1131" s="2" t="inlineStr">
        <is>
          <t>紧凑-高度紧凑</t>
        </is>
      </c>
      <c r="V1131" s="2" t="inlineStr">
        <is>
          <t>紧凑-极度紧凑</t>
        </is>
      </c>
    </row>
    <row r="1132">
      <c r="A1132" s="1" t="n">
        <v>2025323</v>
      </c>
      <c r="B1132" s="3" t="inlineStr">
        <is>
          <t>687</t>
        </is>
      </c>
      <c r="C1132" s="2">
        <f>IF(B1132="","",LEFT(TEXT(B1132,"000"),1)*1)</f>
        <v/>
      </c>
      <c r="D1132" s="2">
        <f>IF(B1132="","",MID(TEXT(B1132,"000"),2,1)*1)</f>
        <v/>
      </c>
      <c r="E1132" s="2">
        <f>IF(B1132="","",RIGHT(TEXT(B1132,"000"),1)*1)</f>
        <v/>
      </c>
      <c r="F1132" s="2">
        <f>IF(B1132="","",C1132+D1132+E1132)</f>
        <v/>
      </c>
      <c r="G1132" s="2">
        <f>IF(B1132="","",MOD(F1132,10))</f>
        <v/>
      </c>
      <c r="H1132" s="2">
        <f>IF(B1132="","",MAX(C1132,D1132,E1132)-MIN(C1132,D1132,E1132))</f>
        <v/>
      </c>
      <c r="I1132" s="2">
        <f>IF(OR(B1132="",H1132=0),IF(H1132=0,0.1,""),ROUND(F1132/H1132,2))</f>
        <v/>
      </c>
      <c r="J1132" s="2">
        <f>IF(I1132=0.1,"极紧凑",IF(I1132&gt;3.5,"紧凑",IF(AND(I1132&gt;=2,I1132&lt;=3.5),"标准",IF(AND(I1132&gt;=1,I1132&lt;2),"松散",""))))</f>
        <v/>
      </c>
      <c r="K1132" s="2">
        <f>IF(I1132=0.1,"极紧凑-豹子号",IF(AND(I1132&gt;=1,I1132&lt;=1.29),"松散-极松散",IF(AND(I1132&gt;=1.33,I1132&lt;=1.8),"松散-标准松散",IF(AND(I1132&gt;=1.83,I1132&lt;=1.89),"松散-偏紧松散",IF(AND(I1132&gt;=2,I1132&lt;=2.5),"标准-偏松标准",IF(AND(I1132&gt;=2.57,I1132&lt;=3),"标准-核心标准",IF(AND(I1132&gt;=3.17,I1132&lt;=3.5),"标准-偏紧标准",IF(AND(I1132&gt;=3.6,I1132&lt;=5),"紧凑-标准紧凑",IF(AND(I1132&gt;=5.25,I1132&lt;=8),"紧凑-高度紧凑",IF(I1132&gt;=8.5,"紧凑-极度紧凑",""))))))))))</f>
        <v/>
      </c>
      <c r="L1132" s="2">
        <f>IF(I1132=0.1,"极紧凑",IF(AND(I1132&gt;=1,I1132&lt;=1.89),"松散",IF(AND(I1132&gt;=2,I1132&lt;=3.5),"标准",IF(I1132&gt;=3.6,"紧凑",""))))</f>
        <v/>
      </c>
      <c r="M1132" s="2" t="inlineStr">
        <is>
          <t>极紧凑-豹子号</t>
        </is>
      </c>
      <c r="N1132" s="2" t="inlineStr">
        <is>
          <t>松散-极松散</t>
        </is>
      </c>
      <c r="O1132" s="2" t="inlineStr">
        <is>
          <t>松散-标准松散</t>
        </is>
      </c>
      <c r="P1132" s="2" t="inlineStr">
        <is>
          <t>松散-偏紧松散</t>
        </is>
      </c>
      <c r="Q1132" s="2" t="inlineStr">
        <is>
          <t>标准-偏松标准</t>
        </is>
      </c>
      <c r="R1132" s="2" t="inlineStr">
        <is>
          <t>标准-核心标准</t>
        </is>
      </c>
      <c r="S1132" s="2" t="inlineStr">
        <is>
          <t>标准-偏紧标准</t>
        </is>
      </c>
      <c r="T1132" s="2" t="inlineStr">
        <is>
          <t>紧凑-标准紧凑</t>
        </is>
      </c>
      <c r="U1132" s="2" t="inlineStr">
        <is>
          <t>紧凑-高度紧凑</t>
        </is>
      </c>
      <c r="V1132" s="2" t="inlineStr">
        <is>
          <t>紧凑-极度紧凑</t>
        </is>
      </c>
    </row>
    <row r="1133">
      <c r="A1133" s="1" t="n">
        <v>2025324</v>
      </c>
      <c r="B1133" s="3" t="inlineStr">
        <is>
          <t>513</t>
        </is>
      </c>
      <c r="C1133" s="2">
        <f>IF(B1133="","",LEFT(TEXT(B1133,"000"),1)*1)</f>
        <v/>
      </c>
      <c r="D1133" s="2">
        <f>IF(B1133="","",MID(TEXT(B1133,"000"),2,1)*1)</f>
        <v/>
      </c>
      <c r="E1133" s="2">
        <f>IF(B1133="","",RIGHT(TEXT(B1133,"000"),1)*1)</f>
        <v/>
      </c>
      <c r="F1133" s="2">
        <f>IF(B1133="","",C1133+D1133+E1133)</f>
        <v/>
      </c>
      <c r="G1133" s="2">
        <f>IF(B1133="","",MOD(F1133,10))</f>
        <v/>
      </c>
      <c r="H1133" s="2">
        <f>IF(B1133="","",MAX(C1133,D1133,E1133)-MIN(C1133,D1133,E1133))</f>
        <v/>
      </c>
      <c r="I1133" s="2">
        <f>IF(OR(B1133="",H1133=0),IF(H1133=0,0.1,""),ROUND(F1133/H1133,2))</f>
        <v/>
      </c>
      <c r="J1133" s="2">
        <f>IF(I1133=0.1,"极紧凑",IF(I1133&gt;3.5,"紧凑",IF(AND(I1133&gt;=2,I1133&lt;=3.5),"标准",IF(AND(I1133&gt;=1,I1133&lt;2),"松散",""))))</f>
        <v/>
      </c>
      <c r="K1133" s="2">
        <f>IF(I1133=0.1,"极紧凑-豹子号",IF(AND(I1133&gt;=1,I1133&lt;=1.29),"松散-极松散",IF(AND(I1133&gt;=1.33,I1133&lt;=1.8),"松散-标准松散",IF(AND(I1133&gt;=1.83,I1133&lt;=1.89),"松散-偏紧松散",IF(AND(I1133&gt;=2,I1133&lt;=2.5),"标准-偏松标准",IF(AND(I1133&gt;=2.57,I1133&lt;=3),"标准-核心标准",IF(AND(I1133&gt;=3.17,I1133&lt;=3.5),"标准-偏紧标准",IF(AND(I1133&gt;=3.6,I1133&lt;=5),"紧凑-标准紧凑",IF(AND(I1133&gt;=5.25,I1133&lt;=8),"紧凑-高度紧凑",IF(I1133&gt;=8.5,"紧凑-极度紧凑",""))))))))))</f>
        <v/>
      </c>
      <c r="L1133" s="2">
        <f>IF(I1133=0.1,"极紧凑",IF(AND(I1133&gt;=1,I1133&lt;=1.89),"松散",IF(AND(I1133&gt;=2,I1133&lt;=3.5),"标准",IF(I1133&gt;=3.6,"紧凑",""))))</f>
        <v/>
      </c>
      <c r="M1133" s="2" t="inlineStr">
        <is>
          <t>极紧凑-豹子号</t>
        </is>
      </c>
      <c r="N1133" s="2" t="inlineStr">
        <is>
          <t>松散-极松散</t>
        </is>
      </c>
      <c r="O1133" s="2" t="inlineStr">
        <is>
          <t>松散-标准松散</t>
        </is>
      </c>
      <c r="P1133" s="2" t="inlineStr">
        <is>
          <t>松散-偏紧松散</t>
        </is>
      </c>
      <c r="Q1133" s="2" t="inlineStr">
        <is>
          <t>标准-偏松标准</t>
        </is>
      </c>
      <c r="R1133" s="2" t="inlineStr">
        <is>
          <t>标准-核心标准</t>
        </is>
      </c>
      <c r="S1133" s="2" t="inlineStr">
        <is>
          <t>标准-偏紧标准</t>
        </is>
      </c>
      <c r="T1133" s="2" t="inlineStr">
        <is>
          <t>紧凑-标准紧凑</t>
        </is>
      </c>
      <c r="U1133" s="2" t="inlineStr">
        <is>
          <t>紧凑-高度紧凑</t>
        </is>
      </c>
      <c r="V1133" s="2" t="inlineStr">
        <is>
          <t>紧凑-极度紧凑</t>
        </is>
      </c>
    </row>
    <row r="1134">
      <c r="A1134" s="1" t="n">
        <v>2025325</v>
      </c>
      <c r="B1134" s="3" t="inlineStr">
        <is>
          <t>836</t>
        </is>
      </c>
      <c r="C1134" s="2">
        <f>IF(B1134="","",LEFT(TEXT(B1134,"000"),1)*1)</f>
        <v/>
      </c>
      <c r="D1134" s="2">
        <f>IF(B1134="","",MID(TEXT(B1134,"000"),2,1)*1)</f>
        <v/>
      </c>
      <c r="E1134" s="2">
        <f>IF(B1134="","",RIGHT(TEXT(B1134,"000"),1)*1)</f>
        <v/>
      </c>
      <c r="F1134" s="2">
        <f>IF(B1134="","",C1134+D1134+E1134)</f>
        <v/>
      </c>
      <c r="G1134" s="2">
        <f>IF(B1134="","",MOD(F1134,10))</f>
        <v/>
      </c>
      <c r="H1134" s="2">
        <f>IF(B1134="","",MAX(C1134,D1134,E1134)-MIN(C1134,D1134,E1134))</f>
        <v/>
      </c>
      <c r="I1134" s="2">
        <f>IF(OR(B1134="",H1134=0),IF(H1134=0,0.1,""),ROUND(F1134/H1134,2))</f>
        <v/>
      </c>
      <c r="J1134" s="2">
        <f>IF(I1134=0.1,"极紧凑",IF(I1134&gt;3.5,"紧凑",IF(AND(I1134&gt;=2,I1134&lt;=3.5),"标准",IF(AND(I1134&gt;=1,I1134&lt;2),"松散",""))))</f>
        <v/>
      </c>
      <c r="K1134" s="2">
        <f>IF(I1134=0.1,"极紧凑-豹子号",IF(AND(I1134&gt;=1,I1134&lt;=1.29),"松散-极松散",IF(AND(I1134&gt;=1.33,I1134&lt;=1.8),"松散-标准松散",IF(AND(I1134&gt;=1.83,I1134&lt;=1.89),"松散-偏紧松散",IF(AND(I1134&gt;=2,I1134&lt;=2.5),"标准-偏松标准",IF(AND(I1134&gt;=2.57,I1134&lt;=3),"标准-核心标准",IF(AND(I1134&gt;=3.17,I1134&lt;=3.5),"标准-偏紧标准",IF(AND(I1134&gt;=3.6,I1134&lt;=5),"紧凑-标准紧凑",IF(AND(I1134&gt;=5.25,I1134&lt;=8),"紧凑-高度紧凑",IF(I1134&gt;=8.5,"紧凑-极度紧凑",""))))))))))</f>
        <v/>
      </c>
      <c r="L1134" s="2">
        <f>IF(I1134=0.1,"极紧凑",IF(AND(I1134&gt;=1,I1134&lt;=1.89),"松散",IF(AND(I1134&gt;=2,I1134&lt;=3.5),"标准",IF(I1134&gt;=3.6,"紧凑",""))))</f>
        <v/>
      </c>
      <c r="M1134" s="2" t="inlineStr">
        <is>
          <t>极紧凑-豹子号</t>
        </is>
      </c>
      <c r="N1134" s="2" t="inlineStr">
        <is>
          <t>松散-极松散</t>
        </is>
      </c>
      <c r="O1134" s="2" t="inlineStr">
        <is>
          <t>松散-标准松散</t>
        </is>
      </c>
      <c r="P1134" s="2" t="inlineStr">
        <is>
          <t>松散-偏紧松散</t>
        </is>
      </c>
      <c r="Q1134" s="2" t="inlineStr">
        <is>
          <t>标准-偏松标准</t>
        </is>
      </c>
      <c r="R1134" s="2" t="inlineStr">
        <is>
          <t>标准-核心标准</t>
        </is>
      </c>
      <c r="S1134" s="2" t="inlineStr">
        <is>
          <t>标准-偏紧标准</t>
        </is>
      </c>
      <c r="T1134" s="2" t="inlineStr">
        <is>
          <t>紧凑-标准紧凑</t>
        </is>
      </c>
      <c r="U1134" s="2" t="inlineStr">
        <is>
          <t>紧凑-高度紧凑</t>
        </is>
      </c>
      <c r="V1134" s="2" t="inlineStr">
        <is>
          <t>紧凑-极度紧凑</t>
        </is>
      </c>
    </row>
    <row r="1135">
      <c r="A1135" s="1" t="n">
        <v>2025326</v>
      </c>
      <c r="B1135" s="3" t="inlineStr">
        <is>
          <t>045</t>
        </is>
      </c>
      <c r="C1135" s="2">
        <f>IF(B1135="","",LEFT(TEXT(B1135,"000"),1)*1)</f>
        <v/>
      </c>
      <c r="D1135" s="2">
        <f>IF(B1135="","",MID(TEXT(B1135,"000"),2,1)*1)</f>
        <v/>
      </c>
      <c r="E1135" s="2">
        <f>IF(B1135="","",RIGHT(TEXT(B1135,"000"),1)*1)</f>
        <v/>
      </c>
      <c r="F1135" s="2">
        <f>IF(B1135="","",C1135+D1135+E1135)</f>
        <v/>
      </c>
      <c r="G1135" s="2">
        <f>IF(B1135="","",MOD(F1135,10))</f>
        <v/>
      </c>
      <c r="H1135" s="2">
        <f>IF(B1135="","",MAX(C1135,D1135,E1135)-MIN(C1135,D1135,E1135))</f>
        <v/>
      </c>
      <c r="I1135" s="2">
        <f>IF(OR(B1135="",H1135=0),IF(H1135=0,0.1,""),ROUND(F1135/H1135,2))</f>
        <v/>
      </c>
      <c r="J1135" s="2">
        <f>IF(I1135=0.1,"极紧凑",IF(I1135&gt;3.5,"紧凑",IF(AND(I1135&gt;=2,I1135&lt;=3.5),"标准",IF(AND(I1135&gt;=1,I1135&lt;2),"松散",""))))</f>
        <v/>
      </c>
      <c r="K1135" s="2">
        <f>IF(I1135=0.1,"极紧凑-豹子号",IF(AND(I1135&gt;=1,I1135&lt;=1.29),"松散-极松散",IF(AND(I1135&gt;=1.33,I1135&lt;=1.8),"松散-标准松散",IF(AND(I1135&gt;=1.83,I1135&lt;=1.89),"松散-偏紧松散",IF(AND(I1135&gt;=2,I1135&lt;=2.5),"标准-偏松标准",IF(AND(I1135&gt;=2.57,I1135&lt;=3),"标准-核心标准",IF(AND(I1135&gt;=3.17,I1135&lt;=3.5),"标准-偏紧标准",IF(AND(I1135&gt;=3.6,I1135&lt;=5),"紧凑-标准紧凑",IF(AND(I1135&gt;=5.25,I1135&lt;=8),"紧凑-高度紧凑",IF(I1135&gt;=8.5,"紧凑-极度紧凑",""))))))))))</f>
        <v/>
      </c>
      <c r="L1135" s="2">
        <f>IF(I1135=0.1,"极紧凑",IF(AND(I1135&gt;=1,I1135&lt;=1.89),"松散",IF(AND(I1135&gt;=2,I1135&lt;=3.5),"标准",IF(I1135&gt;=3.6,"紧凑",""))))</f>
        <v/>
      </c>
      <c r="M1135" s="2" t="inlineStr">
        <is>
          <t>极紧凑-豹子号</t>
        </is>
      </c>
      <c r="N1135" s="2" t="inlineStr">
        <is>
          <t>松散-极松散</t>
        </is>
      </c>
      <c r="O1135" s="2" t="inlineStr">
        <is>
          <t>松散-标准松散</t>
        </is>
      </c>
      <c r="P1135" s="2" t="inlineStr">
        <is>
          <t>松散-偏紧松散</t>
        </is>
      </c>
      <c r="Q1135" s="2" t="inlineStr">
        <is>
          <t>标准-偏松标准</t>
        </is>
      </c>
      <c r="R1135" s="2" t="inlineStr">
        <is>
          <t>标准-核心标准</t>
        </is>
      </c>
      <c r="S1135" s="2" t="inlineStr">
        <is>
          <t>标准-偏紧标准</t>
        </is>
      </c>
      <c r="T1135" s="2" t="inlineStr">
        <is>
          <t>紧凑-标准紧凑</t>
        </is>
      </c>
      <c r="U1135" s="2" t="inlineStr">
        <is>
          <t>紧凑-高度紧凑</t>
        </is>
      </c>
      <c r="V1135" s="2" t="inlineStr">
        <is>
          <t>紧凑-极度紧凑</t>
        </is>
      </c>
    </row>
    <row r="1136">
      <c r="A1136" s="1" t="n">
        <v>2025327</v>
      </c>
      <c r="B1136" s="3" t="inlineStr">
        <is>
          <t>829</t>
        </is>
      </c>
      <c r="C1136" s="2">
        <f>IF(B1136="","",LEFT(TEXT(B1136,"000"),1)*1)</f>
        <v/>
      </c>
      <c r="D1136" s="2">
        <f>IF(B1136="","",MID(TEXT(B1136,"000"),2,1)*1)</f>
        <v/>
      </c>
      <c r="E1136" s="2">
        <f>IF(B1136="","",RIGHT(TEXT(B1136,"000"),1)*1)</f>
        <v/>
      </c>
      <c r="F1136" s="2">
        <f>IF(B1136="","",C1136+D1136+E1136)</f>
        <v/>
      </c>
      <c r="G1136" s="2">
        <f>IF(B1136="","",MOD(F1136,10))</f>
        <v/>
      </c>
      <c r="H1136" s="2">
        <f>IF(B1136="","",MAX(C1136,D1136,E1136)-MIN(C1136,D1136,E1136))</f>
        <v/>
      </c>
      <c r="I1136" s="2">
        <f>IF(OR(B1136="",H1136=0),IF(H1136=0,0.1,""),ROUND(F1136/H1136,2))</f>
        <v/>
      </c>
      <c r="J1136" s="2">
        <f>IF(I1136=0.1,"极紧凑",IF(I1136&gt;3.5,"紧凑",IF(AND(I1136&gt;=2,I1136&lt;=3.5),"标准",IF(AND(I1136&gt;=1,I1136&lt;2),"松散",""))))</f>
        <v/>
      </c>
      <c r="K1136" s="2">
        <f>IF(I1136=0.1,"极紧凑-豹子号",IF(AND(I1136&gt;=1,I1136&lt;=1.29),"松散-极松散",IF(AND(I1136&gt;=1.33,I1136&lt;=1.8),"松散-标准松散",IF(AND(I1136&gt;=1.83,I1136&lt;=1.89),"松散-偏紧松散",IF(AND(I1136&gt;=2,I1136&lt;=2.5),"标准-偏松标准",IF(AND(I1136&gt;=2.57,I1136&lt;=3),"标准-核心标准",IF(AND(I1136&gt;=3.17,I1136&lt;=3.5),"标准-偏紧标准",IF(AND(I1136&gt;=3.6,I1136&lt;=5),"紧凑-标准紧凑",IF(AND(I1136&gt;=5.25,I1136&lt;=8),"紧凑-高度紧凑",IF(I1136&gt;=8.5,"紧凑-极度紧凑",""))))))))))</f>
        <v/>
      </c>
      <c r="L1136" s="2">
        <f>IF(I1136=0.1,"极紧凑",IF(AND(I1136&gt;=1,I1136&lt;=1.89),"松散",IF(AND(I1136&gt;=2,I1136&lt;=3.5),"标准",IF(I1136&gt;=3.6,"紧凑",""))))</f>
        <v/>
      </c>
      <c r="M1136" s="2" t="inlineStr">
        <is>
          <t>极紧凑-豹子号</t>
        </is>
      </c>
      <c r="N1136" s="2" t="inlineStr">
        <is>
          <t>松散-极松散</t>
        </is>
      </c>
      <c r="O1136" s="2" t="inlineStr">
        <is>
          <t>松散-标准松散</t>
        </is>
      </c>
      <c r="P1136" s="2" t="inlineStr">
        <is>
          <t>松散-偏紧松散</t>
        </is>
      </c>
      <c r="Q1136" s="2" t="inlineStr">
        <is>
          <t>标准-偏松标准</t>
        </is>
      </c>
      <c r="R1136" s="2" t="inlineStr">
        <is>
          <t>标准-核心标准</t>
        </is>
      </c>
      <c r="S1136" s="2" t="inlineStr">
        <is>
          <t>标准-偏紧标准</t>
        </is>
      </c>
      <c r="T1136" s="2" t="inlineStr">
        <is>
          <t>紧凑-标准紧凑</t>
        </is>
      </c>
      <c r="U1136" s="2" t="inlineStr">
        <is>
          <t>紧凑-高度紧凑</t>
        </is>
      </c>
      <c r="V1136" s="2" t="inlineStr">
        <is>
          <t>紧凑-极度紧凑</t>
        </is>
      </c>
    </row>
    <row r="1137">
      <c r="A1137" s="1" t="n">
        <v>2025328</v>
      </c>
      <c r="B1137" s="3" t="inlineStr">
        <is>
          <t>825</t>
        </is>
      </c>
      <c r="C1137" s="2">
        <f>IF(B1137="","",LEFT(TEXT(B1137,"000"),1)*1)</f>
        <v/>
      </c>
      <c r="D1137" s="2">
        <f>IF(B1137="","",MID(TEXT(B1137,"000"),2,1)*1)</f>
        <v/>
      </c>
      <c r="E1137" s="2">
        <f>IF(B1137="","",RIGHT(TEXT(B1137,"000"),1)*1)</f>
        <v/>
      </c>
      <c r="F1137" s="2">
        <f>IF(B1137="","",C1137+D1137+E1137)</f>
        <v/>
      </c>
      <c r="G1137" s="2">
        <f>IF(B1137="","",MOD(F1137,10))</f>
        <v/>
      </c>
      <c r="H1137" s="2">
        <f>IF(B1137="","",MAX(C1137,D1137,E1137)-MIN(C1137,D1137,E1137))</f>
        <v/>
      </c>
      <c r="I1137" s="2">
        <f>IF(OR(B1137="",H1137=0),IF(H1137=0,0.1,""),ROUND(F1137/H1137,2))</f>
        <v/>
      </c>
      <c r="J1137" s="2">
        <f>IF(I1137=0.1,"极紧凑",IF(I1137&gt;3.5,"紧凑",IF(AND(I1137&gt;=2,I1137&lt;=3.5),"标准",IF(AND(I1137&gt;=1,I1137&lt;2),"松散",""))))</f>
        <v/>
      </c>
      <c r="K1137" s="2">
        <f>IF(I1137=0.1,"极紧凑-豹子号",IF(AND(I1137&gt;=1,I1137&lt;=1.29),"松散-极松散",IF(AND(I1137&gt;=1.33,I1137&lt;=1.8),"松散-标准松散",IF(AND(I1137&gt;=1.83,I1137&lt;=1.89),"松散-偏紧松散",IF(AND(I1137&gt;=2,I1137&lt;=2.5),"标准-偏松标准",IF(AND(I1137&gt;=2.57,I1137&lt;=3),"标准-核心标准",IF(AND(I1137&gt;=3.17,I1137&lt;=3.5),"标准-偏紧标准",IF(AND(I1137&gt;=3.6,I1137&lt;=5),"紧凑-标准紧凑",IF(AND(I1137&gt;=5.25,I1137&lt;=8),"紧凑-高度紧凑",IF(I1137&gt;=8.5,"紧凑-极度紧凑",""))))))))))</f>
        <v/>
      </c>
      <c r="L1137" s="2">
        <f>IF(I1137=0.1,"极紧凑",IF(AND(I1137&gt;=1,I1137&lt;=1.89),"松散",IF(AND(I1137&gt;=2,I1137&lt;=3.5),"标准",IF(I1137&gt;=3.6,"紧凑",""))))</f>
        <v/>
      </c>
      <c r="M1137" s="2" t="inlineStr">
        <is>
          <t>极紧凑-豹子号</t>
        </is>
      </c>
      <c r="N1137" s="2" t="inlineStr">
        <is>
          <t>松散-极松散</t>
        </is>
      </c>
      <c r="O1137" s="2" t="inlineStr">
        <is>
          <t>松散-标准松散</t>
        </is>
      </c>
      <c r="P1137" s="2" t="inlineStr">
        <is>
          <t>松散-偏紧松散</t>
        </is>
      </c>
      <c r="Q1137" s="2" t="inlineStr">
        <is>
          <t>标准-偏松标准</t>
        </is>
      </c>
      <c r="R1137" s="2" t="inlineStr">
        <is>
          <t>标准-核心标准</t>
        </is>
      </c>
      <c r="S1137" s="2" t="inlineStr">
        <is>
          <t>标准-偏紧标准</t>
        </is>
      </c>
      <c r="T1137" s="2" t="inlineStr">
        <is>
          <t>紧凑-标准紧凑</t>
        </is>
      </c>
      <c r="U1137" s="2" t="inlineStr">
        <is>
          <t>紧凑-高度紧凑</t>
        </is>
      </c>
      <c r="V1137" s="2" t="inlineStr">
        <is>
          <t>紧凑-极度紧凑</t>
        </is>
      </c>
    </row>
    <row r="1138">
      <c r="A1138" s="1" t="n">
        <v>2025329</v>
      </c>
      <c r="B1138" s="3" t="inlineStr">
        <is>
          <t>370</t>
        </is>
      </c>
      <c r="C1138" s="2">
        <f>IF(B1138="","",LEFT(TEXT(B1138,"000"),1)*1)</f>
        <v/>
      </c>
      <c r="D1138" s="2">
        <f>IF(B1138="","",MID(TEXT(B1138,"000"),2,1)*1)</f>
        <v/>
      </c>
      <c r="E1138" s="2">
        <f>IF(B1138="","",RIGHT(TEXT(B1138,"000"),1)*1)</f>
        <v/>
      </c>
      <c r="F1138" s="2">
        <f>IF(B1138="","",C1138+D1138+E1138)</f>
        <v/>
      </c>
      <c r="G1138" s="2">
        <f>IF(B1138="","",MOD(F1138,10))</f>
        <v/>
      </c>
      <c r="H1138" s="2">
        <f>IF(B1138="","",MAX(C1138,D1138,E1138)-MIN(C1138,D1138,E1138))</f>
        <v/>
      </c>
      <c r="I1138" s="2">
        <f>IF(OR(B1138="",H1138=0),IF(H1138=0,0.1,""),ROUND(F1138/H1138,2))</f>
        <v/>
      </c>
      <c r="J1138" s="2">
        <f>IF(I1138=0.1,"极紧凑",IF(I1138&gt;3.5,"紧凑",IF(AND(I1138&gt;=2,I1138&lt;=3.5),"标准",IF(AND(I1138&gt;=1,I1138&lt;2),"松散",""))))</f>
        <v/>
      </c>
      <c r="K1138" s="2">
        <f>IF(I1138=0.1,"极紧凑-豹子号",IF(AND(I1138&gt;=1,I1138&lt;=1.29),"松散-极松散",IF(AND(I1138&gt;=1.33,I1138&lt;=1.8),"松散-标准松散",IF(AND(I1138&gt;=1.83,I1138&lt;=1.89),"松散-偏紧松散",IF(AND(I1138&gt;=2,I1138&lt;=2.5),"标准-偏松标准",IF(AND(I1138&gt;=2.57,I1138&lt;=3),"标准-核心标准",IF(AND(I1138&gt;=3.17,I1138&lt;=3.5),"标准-偏紧标准",IF(AND(I1138&gt;=3.6,I1138&lt;=5),"紧凑-标准紧凑",IF(AND(I1138&gt;=5.25,I1138&lt;=8),"紧凑-高度紧凑",IF(I1138&gt;=8.5,"紧凑-极度紧凑",""))))))))))</f>
        <v/>
      </c>
      <c r="L1138" s="2">
        <f>IF(I1138=0.1,"极紧凑",IF(AND(I1138&gt;=1,I1138&lt;=1.89),"松散",IF(AND(I1138&gt;=2,I1138&lt;=3.5),"标准",IF(I1138&gt;=3.6,"紧凑",""))))</f>
        <v/>
      </c>
      <c r="M1138" s="2" t="inlineStr">
        <is>
          <t>极紧凑-豹子号</t>
        </is>
      </c>
      <c r="N1138" s="2" t="inlineStr">
        <is>
          <t>松散-极松散</t>
        </is>
      </c>
      <c r="O1138" s="2" t="inlineStr">
        <is>
          <t>松散-标准松散</t>
        </is>
      </c>
      <c r="P1138" s="2" t="inlineStr">
        <is>
          <t>松散-偏紧松散</t>
        </is>
      </c>
      <c r="Q1138" s="2" t="inlineStr">
        <is>
          <t>标准-偏松标准</t>
        </is>
      </c>
      <c r="R1138" s="2" t="inlineStr">
        <is>
          <t>标准-核心标准</t>
        </is>
      </c>
      <c r="S1138" s="2" t="inlineStr">
        <is>
          <t>标准-偏紧标准</t>
        </is>
      </c>
      <c r="T1138" s="2" t="inlineStr">
        <is>
          <t>紧凑-标准紧凑</t>
        </is>
      </c>
      <c r="U1138" s="2" t="inlineStr">
        <is>
          <t>紧凑-高度紧凑</t>
        </is>
      </c>
      <c r="V1138" s="2" t="inlineStr">
        <is>
          <t>紧凑-极度紧凑</t>
        </is>
      </c>
    </row>
    <row r="1139">
      <c r="A1139" s="1" t="n">
        <v>2025330</v>
      </c>
      <c r="B1139" s="3" t="inlineStr">
        <is>
          <t>594</t>
        </is>
      </c>
      <c r="C1139" s="2">
        <f>IF(B1139="","",LEFT(TEXT(B1139,"000"),1)*1)</f>
        <v/>
      </c>
      <c r="D1139" s="2">
        <f>IF(B1139="","",MID(TEXT(B1139,"000"),2,1)*1)</f>
        <v/>
      </c>
      <c r="E1139" s="2">
        <f>IF(B1139="","",RIGHT(TEXT(B1139,"000"),1)*1)</f>
        <v/>
      </c>
      <c r="F1139" s="2">
        <f>IF(B1139="","",C1139+D1139+E1139)</f>
        <v/>
      </c>
      <c r="G1139" s="2">
        <f>IF(B1139="","",MOD(F1139,10))</f>
        <v/>
      </c>
      <c r="H1139" s="2">
        <f>IF(B1139="","",MAX(C1139,D1139,E1139)-MIN(C1139,D1139,E1139))</f>
        <v/>
      </c>
      <c r="I1139" s="2">
        <f>IF(OR(B1139="",H1139=0),IF(H1139=0,0.1,""),ROUND(F1139/H1139,2))</f>
        <v/>
      </c>
      <c r="J1139" s="2">
        <f>IF(I1139=0.1,"极紧凑",IF(I1139&gt;3.5,"紧凑",IF(AND(I1139&gt;=2,I1139&lt;=3.5),"标准",IF(AND(I1139&gt;=1,I1139&lt;2),"松散",""))))</f>
        <v/>
      </c>
      <c r="K1139" s="2">
        <f>IF(I1139=0.1,"极紧凑-豹子号",IF(AND(I1139&gt;=1,I1139&lt;=1.29),"松散-极松散",IF(AND(I1139&gt;=1.33,I1139&lt;=1.8),"松散-标准松散",IF(AND(I1139&gt;=1.83,I1139&lt;=1.89),"松散-偏紧松散",IF(AND(I1139&gt;=2,I1139&lt;=2.5),"标准-偏松标准",IF(AND(I1139&gt;=2.57,I1139&lt;=3),"标准-核心标准",IF(AND(I1139&gt;=3.17,I1139&lt;=3.5),"标准-偏紧标准",IF(AND(I1139&gt;=3.6,I1139&lt;=5),"紧凑-标准紧凑",IF(AND(I1139&gt;=5.25,I1139&lt;=8),"紧凑-高度紧凑",IF(I1139&gt;=8.5,"紧凑-极度紧凑",""))))))))))</f>
        <v/>
      </c>
      <c r="L1139" s="2">
        <f>IF(I1139=0.1,"极紧凑",IF(AND(I1139&gt;=1,I1139&lt;=1.89),"松散",IF(AND(I1139&gt;=2,I1139&lt;=3.5),"标准",IF(I1139&gt;=3.6,"紧凑",""))))</f>
        <v/>
      </c>
      <c r="M1139" s="2" t="inlineStr">
        <is>
          <t>极紧凑-豹子号</t>
        </is>
      </c>
      <c r="N1139" s="2" t="inlineStr">
        <is>
          <t>松散-极松散</t>
        </is>
      </c>
      <c r="O1139" s="2" t="inlineStr">
        <is>
          <t>松散-标准松散</t>
        </is>
      </c>
      <c r="P1139" s="2" t="inlineStr">
        <is>
          <t>松散-偏紧松散</t>
        </is>
      </c>
      <c r="Q1139" s="2" t="inlineStr">
        <is>
          <t>标准-偏松标准</t>
        </is>
      </c>
      <c r="R1139" s="2" t="inlineStr">
        <is>
          <t>标准-核心标准</t>
        </is>
      </c>
      <c r="S1139" s="2" t="inlineStr">
        <is>
          <t>标准-偏紧标准</t>
        </is>
      </c>
      <c r="T1139" s="2" t="inlineStr">
        <is>
          <t>紧凑-标准紧凑</t>
        </is>
      </c>
      <c r="U1139" s="2" t="inlineStr">
        <is>
          <t>紧凑-高度紧凑</t>
        </is>
      </c>
      <c r="V1139" s="2" t="inlineStr">
        <is>
          <t>紧凑-极度紧凑</t>
        </is>
      </c>
    </row>
    <row r="1140">
      <c r="A1140" s="1" t="n">
        <v>2025331</v>
      </c>
      <c r="B1140" s="3" t="inlineStr">
        <is>
          <t>980</t>
        </is>
      </c>
      <c r="C1140" s="2">
        <f>IF(B1140="","",LEFT(TEXT(B1140,"000"),1)*1)</f>
        <v/>
      </c>
      <c r="D1140" s="2">
        <f>IF(B1140="","",MID(TEXT(B1140,"000"),2,1)*1)</f>
        <v/>
      </c>
      <c r="E1140" s="2">
        <f>IF(B1140="","",RIGHT(TEXT(B1140,"000"),1)*1)</f>
        <v/>
      </c>
      <c r="F1140" s="2">
        <f>IF(B1140="","",C1140+D1140+E1140)</f>
        <v/>
      </c>
      <c r="G1140" s="2">
        <f>IF(B1140="","",MOD(F1140,10))</f>
        <v/>
      </c>
      <c r="H1140" s="2">
        <f>IF(B1140="","",MAX(C1140,D1140,E1140)-MIN(C1140,D1140,E1140))</f>
        <v/>
      </c>
      <c r="I1140" s="2">
        <f>IF(OR(B1140="",H1140=0),IF(H1140=0,0.1,""),ROUND(F1140/H1140,2))</f>
        <v/>
      </c>
      <c r="J1140" s="2">
        <f>IF(I1140=0.1,"极紧凑",IF(I1140&gt;3.5,"紧凑",IF(AND(I1140&gt;=2,I1140&lt;=3.5),"标准",IF(AND(I1140&gt;=1,I1140&lt;2),"松散",""))))</f>
        <v/>
      </c>
      <c r="K1140" s="2">
        <f>IF(I1140=0.1,"极紧凑-豹子号",IF(AND(I1140&gt;=1,I1140&lt;=1.29),"松散-极松散",IF(AND(I1140&gt;=1.33,I1140&lt;=1.8),"松散-标准松散",IF(AND(I1140&gt;=1.83,I1140&lt;=1.89),"松散-偏紧松散",IF(AND(I1140&gt;=2,I1140&lt;=2.5),"标准-偏松标准",IF(AND(I1140&gt;=2.57,I1140&lt;=3),"标准-核心标准",IF(AND(I1140&gt;=3.17,I1140&lt;=3.5),"标准-偏紧标准",IF(AND(I1140&gt;=3.6,I1140&lt;=5),"紧凑-标准紧凑",IF(AND(I1140&gt;=5.25,I1140&lt;=8),"紧凑-高度紧凑",IF(I1140&gt;=8.5,"紧凑-极度紧凑",""))))))))))</f>
        <v/>
      </c>
      <c r="L1140" s="2">
        <f>IF(I1140=0.1,"极紧凑",IF(AND(I1140&gt;=1,I1140&lt;=1.89),"松散",IF(AND(I1140&gt;=2,I1140&lt;=3.5),"标准",IF(I1140&gt;=3.6,"紧凑",""))))</f>
        <v/>
      </c>
      <c r="M1140" s="2" t="inlineStr">
        <is>
          <t>极紧凑-豹子号</t>
        </is>
      </c>
      <c r="N1140" s="2" t="inlineStr">
        <is>
          <t>松散-极松散</t>
        </is>
      </c>
      <c r="O1140" s="2" t="inlineStr">
        <is>
          <t>松散-标准松散</t>
        </is>
      </c>
      <c r="P1140" s="2" t="inlineStr">
        <is>
          <t>松散-偏紧松散</t>
        </is>
      </c>
      <c r="Q1140" s="2" t="inlineStr">
        <is>
          <t>标准-偏松标准</t>
        </is>
      </c>
      <c r="R1140" s="2" t="inlineStr">
        <is>
          <t>标准-核心标准</t>
        </is>
      </c>
      <c r="S1140" s="2" t="inlineStr">
        <is>
          <t>标准-偏紧标准</t>
        </is>
      </c>
      <c r="T1140" s="2" t="inlineStr">
        <is>
          <t>紧凑-标准紧凑</t>
        </is>
      </c>
      <c r="U1140" s="2" t="inlineStr">
        <is>
          <t>紧凑-高度紧凑</t>
        </is>
      </c>
      <c r="V1140" s="2" t="inlineStr">
        <is>
          <t>紧凑-极度紧凑</t>
        </is>
      </c>
    </row>
    <row r="1141">
      <c r="A1141" s="1" t="n">
        <v>2025332</v>
      </c>
      <c r="B1141" s="3" t="inlineStr">
        <is>
          <t>939</t>
        </is>
      </c>
      <c r="C1141" s="2">
        <f>IF(B1141="","",LEFT(TEXT(B1141,"000"),1)*1)</f>
        <v/>
      </c>
      <c r="D1141" s="2">
        <f>IF(B1141="","",MID(TEXT(B1141,"000"),2,1)*1)</f>
        <v/>
      </c>
      <c r="E1141" s="2">
        <f>IF(B1141="","",RIGHT(TEXT(B1141,"000"),1)*1)</f>
        <v/>
      </c>
      <c r="F1141" s="2">
        <f>IF(B1141="","",C1141+D1141+E1141)</f>
        <v/>
      </c>
      <c r="G1141" s="2">
        <f>IF(B1141="","",MOD(F1141,10))</f>
        <v/>
      </c>
      <c r="H1141" s="2">
        <f>IF(B1141="","",MAX(C1141,D1141,E1141)-MIN(C1141,D1141,E1141))</f>
        <v/>
      </c>
      <c r="I1141" s="2">
        <f>IF(OR(B1141="",H1141=0),IF(H1141=0,0.1,""),ROUND(F1141/H1141,2))</f>
        <v/>
      </c>
      <c r="J1141" s="2">
        <f>IF(I1141=0.1,"极紧凑",IF(I1141&gt;3.5,"紧凑",IF(AND(I1141&gt;=2,I1141&lt;=3.5),"标准",IF(AND(I1141&gt;=1,I1141&lt;2),"松散",""))))</f>
        <v/>
      </c>
      <c r="K1141" s="2">
        <f>IF(I1141=0.1,"极紧凑-豹子号",IF(AND(I1141&gt;=1,I1141&lt;=1.29),"松散-极松散",IF(AND(I1141&gt;=1.33,I1141&lt;=1.8),"松散-标准松散",IF(AND(I1141&gt;=1.83,I1141&lt;=1.89),"松散-偏紧松散",IF(AND(I1141&gt;=2,I1141&lt;=2.5),"标准-偏松标准",IF(AND(I1141&gt;=2.57,I1141&lt;=3),"标准-核心标准",IF(AND(I1141&gt;=3.17,I1141&lt;=3.5),"标准-偏紧标准",IF(AND(I1141&gt;=3.6,I1141&lt;=5),"紧凑-标准紧凑",IF(AND(I1141&gt;=5.25,I1141&lt;=8),"紧凑-高度紧凑",IF(I1141&gt;=8.5,"紧凑-极度紧凑",""))))))))))</f>
        <v/>
      </c>
      <c r="L1141" s="2">
        <f>IF(I1141=0.1,"极紧凑",IF(AND(I1141&gt;=1,I1141&lt;=1.89),"松散",IF(AND(I1141&gt;=2,I1141&lt;=3.5),"标准",IF(I1141&gt;=3.6,"紧凑",""))))</f>
        <v/>
      </c>
      <c r="M1141" s="2" t="inlineStr">
        <is>
          <t>极紧凑-豹子号</t>
        </is>
      </c>
      <c r="N1141" s="2" t="inlineStr">
        <is>
          <t>松散-极松散</t>
        </is>
      </c>
      <c r="O1141" s="2" t="inlineStr">
        <is>
          <t>松散-标准松散</t>
        </is>
      </c>
      <c r="P1141" s="2" t="inlineStr">
        <is>
          <t>松散-偏紧松散</t>
        </is>
      </c>
      <c r="Q1141" s="2" t="inlineStr">
        <is>
          <t>标准-偏松标准</t>
        </is>
      </c>
      <c r="R1141" s="2" t="inlineStr">
        <is>
          <t>标准-核心标准</t>
        </is>
      </c>
      <c r="S1141" s="2" t="inlineStr">
        <is>
          <t>标准-偏紧标准</t>
        </is>
      </c>
      <c r="T1141" s="2" t="inlineStr">
        <is>
          <t>紧凑-标准紧凑</t>
        </is>
      </c>
      <c r="U1141" s="2" t="inlineStr">
        <is>
          <t>紧凑-高度紧凑</t>
        </is>
      </c>
      <c r="V1141" s="2" t="inlineStr">
        <is>
          <t>紧凑-极度紧凑</t>
        </is>
      </c>
    </row>
  </sheetData>
  <conditionalFormatting sqref="M1134">
    <cfRule type="expression" priority="51" dxfId="0">
      <formula>$I1134=0.1</formula>
    </cfRule>
  </conditionalFormatting>
  <conditionalFormatting sqref="N1134">
    <cfRule type="expression" priority="52" dxfId="0">
      <formula>AND($I1134&gt;=1,$I1134&lt;=1.29)</formula>
    </cfRule>
  </conditionalFormatting>
  <conditionalFormatting sqref="O1134">
    <cfRule type="expression" priority="53" dxfId="0">
      <formula>AND($I1134&gt;=1.33,$I1134&lt;=1.8)</formula>
    </cfRule>
  </conditionalFormatting>
  <conditionalFormatting sqref="P1134">
    <cfRule type="expression" priority="54" dxfId="0">
      <formula>AND($I1134&gt;=1.83,$I1134&lt;=1.89)</formula>
    </cfRule>
  </conditionalFormatting>
  <conditionalFormatting sqref="Q1134">
    <cfRule type="expression" priority="55" dxfId="0">
      <formula>AND($I1134&gt;=2,$I1134&lt;=2.5)</formula>
    </cfRule>
  </conditionalFormatting>
  <conditionalFormatting sqref="R1134">
    <cfRule type="expression" priority="56" dxfId="0">
      <formula>AND($I1134&gt;=2.57,$I1134&lt;=3)</formula>
    </cfRule>
  </conditionalFormatting>
  <conditionalFormatting sqref="S1134">
    <cfRule type="expression" priority="57" dxfId="0">
      <formula>AND($I1134&gt;=3.17,$I1134&lt;=3.5)</formula>
    </cfRule>
  </conditionalFormatting>
  <conditionalFormatting sqref="T1134">
    <cfRule type="expression" priority="58" dxfId="0">
      <formula>AND($I1134&gt;=3.6,$I1134&lt;=5)</formula>
    </cfRule>
  </conditionalFormatting>
  <conditionalFormatting sqref="U1134">
    <cfRule type="expression" priority="59" dxfId="0">
      <formula>AND($I1134&gt;=5.25,$I1134&lt;=8)</formula>
    </cfRule>
  </conditionalFormatting>
  <conditionalFormatting sqref="V1134">
    <cfRule type="expression" priority="60" dxfId="0">
      <formula>AND($I1134&gt;=8.5,$I1134&lt;=26)</formula>
    </cfRule>
  </conditionalFormatting>
  <conditionalFormatting sqref="M1135">
    <cfRule type="expression" priority="41" dxfId="0">
      <formula>$I1135=0.1</formula>
    </cfRule>
  </conditionalFormatting>
  <conditionalFormatting sqref="N1135">
    <cfRule type="expression" priority="42" dxfId="0">
      <formula>AND($I1135&gt;=1,$I1135&lt;=1.29)</formula>
    </cfRule>
  </conditionalFormatting>
  <conditionalFormatting sqref="O1135">
    <cfRule type="expression" priority="43" dxfId="0">
      <formula>AND($I1135&gt;=1.33,$I1135&lt;=1.8)</formula>
    </cfRule>
  </conditionalFormatting>
  <conditionalFormatting sqref="P1135">
    <cfRule type="expression" priority="44" dxfId="0">
      <formula>AND($I1135&gt;=1.83,$I1135&lt;=1.89)</formula>
    </cfRule>
  </conditionalFormatting>
  <conditionalFormatting sqref="Q1135">
    <cfRule type="expression" priority="45" dxfId="0">
      <formula>AND($I1135&gt;=2,$I1135&lt;=2.5)</formula>
    </cfRule>
  </conditionalFormatting>
  <conditionalFormatting sqref="R1135">
    <cfRule type="expression" priority="46" dxfId="0">
      <formula>AND($I1135&gt;=2.57,$I1135&lt;=3)</formula>
    </cfRule>
  </conditionalFormatting>
  <conditionalFormatting sqref="S1135">
    <cfRule type="expression" priority="47" dxfId="0">
      <formula>AND($I1135&gt;=3.17,$I1135&lt;=3.5)</formula>
    </cfRule>
  </conditionalFormatting>
  <conditionalFormatting sqref="T1135">
    <cfRule type="expression" priority="48" dxfId="0">
      <formula>AND($I1135&gt;=3.6,$I1135&lt;=5)</formula>
    </cfRule>
  </conditionalFormatting>
  <conditionalFormatting sqref="U1135">
    <cfRule type="expression" priority="49" dxfId="0">
      <formula>AND($I1135&gt;=5.25,$I1135&lt;=8)</formula>
    </cfRule>
  </conditionalFormatting>
  <conditionalFormatting sqref="V1135">
    <cfRule type="expression" priority="50" dxfId="0">
      <formula>AND($I1135&gt;=8.5,$I1135&lt;=26)</formula>
    </cfRule>
  </conditionalFormatting>
  <conditionalFormatting sqref="M1136">
    <cfRule type="expression" priority="31" dxfId="0">
      <formula>$I1136=0.1</formula>
    </cfRule>
  </conditionalFormatting>
  <conditionalFormatting sqref="N1136">
    <cfRule type="expression" priority="32" dxfId="0">
      <formula>AND($I1136&gt;=1,$I1136&lt;=1.29)</formula>
    </cfRule>
  </conditionalFormatting>
  <conditionalFormatting sqref="O1136">
    <cfRule type="expression" priority="33" dxfId="0">
      <formula>AND($I1136&gt;=1.33,$I1136&lt;=1.8)</formula>
    </cfRule>
  </conditionalFormatting>
  <conditionalFormatting sqref="P1136">
    <cfRule type="expression" priority="34" dxfId="0">
      <formula>AND($I1136&gt;=1.83,$I1136&lt;=1.89)</formula>
    </cfRule>
  </conditionalFormatting>
  <conditionalFormatting sqref="Q1136">
    <cfRule type="expression" priority="35" dxfId="0">
      <formula>AND($I1136&gt;=2,$I1136&lt;=2.5)</formula>
    </cfRule>
  </conditionalFormatting>
  <conditionalFormatting sqref="R1136">
    <cfRule type="expression" priority="36" dxfId="0">
      <formula>AND($I1136&gt;=2.57,$I1136&lt;=3)</formula>
    </cfRule>
  </conditionalFormatting>
  <conditionalFormatting sqref="S1136">
    <cfRule type="expression" priority="37" dxfId="0">
      <formula>AND($I1136&gt;=3.17,$I1136&lt;=3.5)</formula>
    </cfRule>
  </conditionalFormatting>
  <conditionalFormatting sqref="T1136">
    <cfRule type="expression" priority="38" dxfId="0">
      <formula>AND($I1136&gt;=3.6,$I1136&lt;=5)</formula>
    </cfRule>
  </conditionalFormatting>
  <conditionalFormatting sqref="U1136">
    <cfRule type="expression" priority="39" dxfId="0">
      <formula>AND($I1136&gt;=5.25,$I1136&lt;=8)</formula>
    </cfRule>
  </conditionalFormatting>
  <conditionalFormatting sqref="V1136">
    <cfRule type="expression" priority="40" dxfId="0">
      <formula>AND($I1136&gt;=8.5,$I1136&lt;=26)</formula>
    </cfRule>
  </conditionalFormatting>
  <conditionalFormatting sqref="M1137">
    <cfRule type="expression" priority="21" dxfId="0">
      <formula>$I1137=0.1</formula>
    </cfRule>
  </conditionalFormatting>
  <conditionalFormatting sqref="N1137">
    <cfRule type="expression" priority="22" dxfId="0">
      <formula>AND($I1137&gt;=1,$I1137&lt;=1.29)</formula>
    </cfRule>
  </conditionalFormatting>
  <conditionalFormatting sqref="O1137">
    <cfRule type="expression" priority="23" dxfId="0">
      <formula>AND($I1137&gt;=1.33,$I1137&lt;=1.8)</formula>
    </cfRule>
  </conditionalFormatting>
  <conditionalFormatting sqref="P1137">
    <cfRule type="expression" priority="24" dxfId="0">
      <formula>AND($I1137&gt;=1.83,$I1137&lt;=1.89)</formula>
    </cfRule>
  </conditionalFormatting>
  <conditionalFormatting sqref="Q1137">
    <cfRule type="expression" priority="25" dxfId="0">
      <formula>AND($I1137&gt;=2,$I1137&lt;=2.5)</formula>
    </cfRule>
  </conditionalFormatting>
  <conditionalFormatting sqref="R1137">
    <cfRule type="expression" priority="26" dxfId="0">
      <formula>AND($I1137&gt;=2.57,$I1137&lt;=3)</formula>
    </cfRule>
  </conditionalFormatting>
  <conditionalFormatting sqref="S1137">
    <cfRule type="expression" priority="27" dxfId="0">
      <formula>AND($I1137&gt;=3.17,$I1137&lt;=3.5)</formula>
    </cfRule>
  </conditionalFormatting>
  <conditionalFormatting sqref="T1137">
    <cfRule type="expression" priority="28" dxfId="0">
      <formula>AND($I1137&gt;=3.6,$I1137&lt;=5)</formula>
    </cfRule>
  </conditionalFormatting>
  <conditionalFormatting sqref="U1137">
    <cfRule type="expression" priority="29" dxfId="0">
      <formula>AND($I1137&gt;=5.25,$I1137&lt;=8)</formula>
    </cfRule>
  </conditionalFormatting>
  <conditionalFormatting sqref="V1137">
    <cfRule type="expression" priority="30" dxfId="0">
      <formula>AND($I1137&gt;=8.5,$I1137&lt;=26)</formula>
    </cfRule>
  </conditionalFormatting>
  <conditionalFormatting sqref="M1139">
    <cfRule type="expression" priority="1" dxfId="0">
      <formula>$I1139=0.1</formula>
    </cfRule>
  </conditionalFormatting>
  <conditionalFormatting sqref="N1139">
    <cfRule type="expression" priority="2" dxfId="0">
      <formula>AND($I1139&gt;=1,$I1139&lt;=1.29)</formula>
    </cfRule>
  </conditionalFormatting>
  <conditionalFormatting sqref="O1139">
    <cfRule type="expression" priority="3" dxfId="0">
      <formula>AND($I1139&gt;=1.33,$I1139&lt;=1.8)</formula>
    </cfRule>
  </conditionalFormatting>
  <conditionalFormatting sqref="P1139">
    <cfRule type="expression" priority="4" dxfId="0">
      <formula>AND($I1139&gt;=1.83,$I1139&lt;=1.89)</formula>
    </cfRule>
  </conditionalFormatting>
  <conditionalFormatting sqref="Q1139">
    <cfRule type="expression" priority="5" dxfId="0">
      <formula>AND($I1139&gt;=2,$I1139&lt;=2.5)</formula>
    </cfRule>
  </conditionalFormatting>
  <conditionalFormatting sqref="R1139">
    <cfRule type="expression" priority="6" dxfId="0">
      <formula>AND($I1139&gt;=2.57,$I1139&lt;=3)</formula>
    </cfRule>
  </conditionalFormatting>
  <conditionalFormatting sqref="S1139">
    <cfRule type="expression" priority="7" dxfId="0">
      <formula>AND($I1139&gt;=3.17,$I1139&lt;=3.5)</formula>
    </cfRule>
  </conditionalFormatting>
  <conditionalFormatting sqref="T1139">
    <cfRule type="expression" priority="8" dxfId="0">
      <formula>AND($I1139&gt;=3.6,$I1139&lt;=5)</formula>
    </cfRule>
  </conditionalFormatting>
  <conditionalFormatting sqref="U1139">
    <cfRule type="expression" priority="9" dxfId="0">
      <formula>AND($I1139&gt;=5.25,$I1139&lt;=8)</formula>
    </cfRule>
  </conditionalFormatting>
  <conditionalFormatting sqref="V1139">
    <cfRule type="expression" priority="10" dxfId="0">
      <formula>AND($I1139&gt;=8.5,$I1139&lt;=26)</formula>
    </cfRule>
  </conditionalFormatting>
  <conditionalFormatting sqref="M1140">
    <cfRule type="expression" priority="11" dxfId="0">
      <formula>$I1140=0.1</formula>
    </cfRule>
  </conditionalFormatting>
  <conditionalFormatting sqref="N1140">
    <cfRule type="expression" priority="12" dxfId="0">
      <formula>AND($I1140&gt;=1,$I1140&lt;=1.29)</formula>
    </cfRule>
  </conditionalFormatting>
  <conditionalFormatting sqref="O1140">
    <cfRule type="expression" priority="13" dxfId="0">
      <formula>AND($I1140&gt;=1.33,$I1140&lt;=1.8)</formula>
    </cfRule>
  </conditionalFormatting>
  <conditionalFormatting sqref="P1140">
    <cfRule type="expression" priority="14" dxfId="0">
      <formula>AND($I1140&gt;=1.83,$I1140&lt;=1.89)</formula>
    </cfRule>
  </conditionalFormatting>
  <conditionalFormatting sqref="Q1140">
    <cfRule type="expression" priority="15" dxfId="0">
      <formula>AND($I1140&gt;=2,$I1140&lt;=2.5)</formula>
    </cfRule>
  </conditionalFormatting>
  <conditionalFormatting sqref="R1140">
    <cfRule type="expression" priority="16" dxfId="0">
      <formula>AND($I1140&gt;=2.57,$I1140&lt;=3)</formula>
    </cfRule>
  </conditionalFormatting>
  <conditionalFormatting sqref="S1140">
    <cfRule type="expression" priority="17" dxfId="0">
      <formula>AND($I1140&gt;=3.17,$I1140&lt;=3.5)</formula>
    </cfRule>
  </conditionalFormatting>
  <conditionalFormatting sqref="T1140">
    <cfRule type="expression" priority="18" dxfId="0">
      <formula>AND($I1140&gt;=3.6,$I1140&lt;=5)</formula>
    </cfRule>
  </conditionalFormatting>
  <conditionalFormatting sqref="U1140">
    <cfRule type="expression" priority="19" dxfId="0">
      <formula>AND($I1140&gt;=5.25,$I1140&lt;=8)</formula>
    </cfRule>
  </conditionalFormatting>
  <conditionalFormatting sqref="V1140">
    <cfRule type="expression" priority="20" dxfId="0">
      <formula>AND($I1140&gt;=8.5,$I1140&lt;=26)</formula>
    </cfRule>
  </conditionalFormatting>
  <conditionalFormatting sqref="M2:M1133 M1138 M1141">
    <cfRule type="expression" priority="61" dxfId="0">
      <formula>$I2=0.1</formula>
    </cfRule>
  </conditionalFormatting>
  <conditionalFormatting sqref="N2:N1133 N1138 N1141">
    <cfRule type="expression" priority="62" dxfId="0">
      <formula>AND($I2&gt;=1,$I2&lt;=1.29)</formula>
    </cfRule>
  </conditionalFormatting>
  <conditionalFormatting sqref="O2:O1133 O1138 O1141">
    <cfRule type="expression" priority="63" dxfId="0">
      <formula>AND($I2&gt;=1.33,$I2&lt;=1.8)</formula>
    </cfRule>
  </conditionalFormatting>
  <conditionalFormatting sqref="P2:P1133 P1138 P1141">
    <cfRule type="expression" priority="64" dxfId="0">
      <formula>AND($I2&gt;=1.83,$I2&lt;=1.89)</formula>
    </cfRule>
  </conditionalFormatting>
  <conditionalFormatting sqref="Q2:Q1133 Q1138 Q1141">
    <cfRule type="expression" priority="65" dxfId="0">
      <formula>AND($I2&gt;=2,$I2&lt;=2.5)</formula>
    </cfRule>
  </conditionalFormatting>
  <conditionalFormatting sqref="R2:R1133 R1138 R1141">
    <cfRule type="expression" priority="66" dxfId="0">
      <formula>AND($I2&gt;=2.57,$I2&lt;=3)</formula>
    </cfRule>
  </conditionalFormatting>
  <conditionalFormatting sqref="S2:S1133 S1138 S1141">
    <cfRule type="expression" priority="67" dxfId="0">
      <formula>AND($I2&gt;=3.17,$I2&lt;=3.5)</formula>
    </cfRule>
  </conditionalFormatting>
  <conditionalFormatting sqref="T2:T1133 T1138 T1141">
    <cfRule type="expression" priority="68" dxfId="0">
      <formula>AND($I2&gt;=3.6,$I2&lt;=5)</formula>
    </cfRule>
  </conditionalFormatting>
  <conditionalFormatting sqref="U2:U1133 U1138 U1141">
    <cfRule type="expression" priority="69" dxfId="0">
      <formula>AND($I2&gt;=5.25,$I2&lt;=8)</formula>
    </cfRule>
  </conditionalFormatting>
  <conditionalFormatting sqref="V2:V1133 V1138 V1141">
    <cfRule type="expression" priority="70" dxfId="0">
      <formula>AND($I2&gt;=8.5,$I2&lt;=26)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期号</t>
        </is>
      </c>
      <c r="B1" t="inlineStr">
        <is>
          <t>号码1</t>
        </is>
      </c>
      <c r="C1" t="inlineStr">
        <is>
          <t>号码2</t>
        </is>
      </c>
      <c r="D1" t="inlineStr">
        <is>
          <t>号码3</t>
        </is>
      </c>
      <c r="E1" t="inlineStr">
        <is>
          <t>号码4</t>
        </is>
      </c>
      <c r="F1" t="inlineStr">
        <is>
          <t>号码5</t>
        </is>
      </c>
      <c r="G1" t="inlineStr">
        <is>
          <t>号码6</t>
        </is>
      </c>
      <c r="H1" t="inlineStr">
        <is>
          <t>生成时间戳</t>
        </is>
      </c>
    </row>
    <row r="2">
      <c r="A2" t="inlineStr">
        <is>
          <t>推荐_20260209</t>
        </is>
      </c>
      <c r="B2" t="n">
        <v>0</v>
      </c>
      <c r="C2" t="n">
        <v>1</v>
      </c>
      <c r="D2" t="n">
        <v>5</v>
      </c>
      <c r="E2" t="n">
        <v>7</v>
      </c>
      <c r="F2" t="n">
        <v>8</v>
      </c>
      <c r="G2" t="n">
        <v>9</v>
      </c>
      <c r="H2" t="inlineStr">
        <is>
          <t>2026-02-09 01:26:56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2025-12-06T17:00:00Z</dcterms:created>
  <dcterms:modified xmlns:dcterms="http://purl.org/dc/terms/" xmlns:xsi="http://www.w3.org/2001/XMLSchema-instance" xsi:type="dcterms:W3CDTF">2026-02-08T17:27:13Z</dcterms:modified>
  <cp:lastModifiedBy>何正龙</cp:lastModifiedBy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{"ContentProducer":"00191310104MAC2G6EG4100000003","ContentPropagator":"00191310104MAC2G6EG4100000003","Label":"1","ProduceID":"u-331e50-5f46b169-5ca2-4672-a3ed-b2511bc4b641","PropagateID":"u-331e50-5f46b169-5ca2-4672-a3ed-b2511bc4b641","ReservedCode1":"","ReservedCode2":""}</vt:lpwstr>
  </property>
  <property name="ICV" fmtid="{D5CDD505-2E9C-101B-9397-08002B2CF9AE}" pid="3">
    <vt:lpwstr xmlns:vt="http://schemas.openxmlformats.org/officeDocument/2006/docPropsVTypes">5AFDCD2A9069423FB1415EBDE1842145_13</vt:lpwstr>
  </property>
  <property name="KSOProductBuildVer" fmtid="{D5CDD505-2E9C-101B-9397-08002B2CF9AE}" pid="4">
    <vt:lpwstr xmlns:vt="http://schemas.openxmlformats.org/officeDocument/2006/docPropsVTypes">2052-12.1.0.24034</vt:lpwstr>
  </property>
  <property name="CalculationRule" fmtid="{D5CDD505-2E9C-101B-9397-08002B2CF9AE}" pid="5">
    <vt:i4 xmlns:vt="http://schemas.openxmlformats.org/officeDocument/2006/docPropsVTypes">0</vt:i4>
  </property>
  <property name="ContentTypeId" fmtid="{D5CDD505-2E9C-101B-9397-08002B2CF9AE}" pid="6">
    <vt:lpwstr xmlns:vt="http://schemas.openxmlformats.org/officeDocument/2006/docPropsVTypes">0x01010028C7B6C620067247A35EF62A3E68EE62</vt:lpwstr>
  </property>
</Properties>
</file>
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900" windowHeight="8655" activeTab="1"/>
  </bookViews>
  <sheets>
    <sheet name="动供分解给四高炉" sheetId="16" r:id="rId1"/>
    <sheet name="动供分给六高炉" sheetId="17" r:id="rId2"/>
    <sheet name="一月" sheetId="1" r:id="rId3"/>
    <sheet name="二月" sheetId="2" r:id="rId4"/>
    <sheet name="三月" sheetId="3" r:id="rId5"/>
    <sheet name="四月" sheetId="4" r:id="rId6"/>
    <sheet name="五月" sheetId="5" r:id="rId7"/>
    <sheet name="六月" sheetId="6" r:id="rId8"/>
    <sheet name="七月" sheetId="7" r:id="rId9"/>
    <sheet name="八月" sheetId="8" r:id="rId10"/>
    <sheet name="九月" sheetId="9" r:id="rId11"/>
    <sheet name="十月" sheetId="10" r:id="rId12"/>
    <sheet name="十一月" sheetId="11" r:id="rId13"/>
    <sheet name="十二月" sheetId="12" r:id="rId14"/>
    <sheet name="合计" sheetId="13" r:id="rId15"/>
    <sheet name="Sheet2" sheetId="15" r:id="rId16"/>
    <sheet name="汇总报告" sheetId="19" r:id="rId17"/>
  </sheets>
  <definedNames>
    <definedName name="_xlnm._FilterDatabase" localSheetId="16" hidden="1">汇总报告!$A$1:$A$48</definedName>
    <definedName name="_xlnm._FilterDatabase" localSheetId="1" hidden="1">动供分给六高炉!#REF!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4" authorId="0">
      <text>
        <r>
          <rPr>
            <sz val="9"/>
            <rFont val="宋体"/>
            <charset val="134"/>
          </rPr>
          <t>工序报表没加入动供的量</t>
        </r>
      </text>
    </comment>
    <comment ref="F5" authorId="0">
      <text>
        <r>
          <rPr>
            <sz val="9"/>
            <rFont val="宋体"/>
            <charset val="134"/>
          </rPr>
          <t>工序上加的是1987000
加的是累计，串行了</t>
        </r>
      </text>
    </comment>
    <comment ref="G6" authorId="0">
      <text>
        <r>
          <rPr>
            <sz val="9"/>
            <rFont val="宋体"/>
            <charset val="134"/>
          </rPr>
          <t xml:space="preserve">工序报表没加入动供的量
</t>
        </r>
      </text>
    </comment>
    <comment ref="H6" authorId="0">
      <text>
        <r>
          <rPr>
            <sz val="9"/>
            <rFont val="宋体"/>
            <charset val="134"/>
          </rPr>
          <t xml:space="preserve">工序报表没加入动供的量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G5" authorId="0">
      <text>
        <r>
          <rPr>
            <sz val="9"/>
            <rFont val="宋体"/>
            <charset val="134"/>
          </rPr>
          <t xml:space="preserve">工序报表没加入动供的量
</t>
        </r>
      </text>
    </comment>
    <comment ref="H5" authorId="0">
      <text>
        <r>
          <rPr>
            <sz val="14"/>
            <rFont val="宋体"/>
            <charset val="134"/>
          </rPr>
          <t>工序报表没加入动供的量</t>
        </r>
      </text>
    </comment>
  </commentList>
</comments>
</file>

<file path=xl/sharedStrings.xml><?xml version="1.0" encoding="utf-8"?>
<sst xmlns="http://schemas.openxmlformats.org/spreadsheetml/2006/main" count="1728" uniqueCount="78">
  <si>
    <t>查找值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</si>
  <si>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</si>
  <si>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</si>
  <si>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</si>
  <si>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</si>
  <si>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</si>
  <si>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</si>
  <si>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</si>
  <si>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</si>
  <si>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</si>
  <si>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</si>
  <si>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</si>
  <si>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</si>
  <si>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蒸汽</t>
  </si>
  <si>
    <t>自用环水</t>
  </si>
  <si>
    <t>脱盐水（补水）</t>
  </si>
  <si>
    <t>低压氮气</t>
  </si>
  <si>
    <t>中压氮气</t>
  </si>
  <si>
    <t>澄清水（净水）</t>
  </si>
  <si>
    <t>月份</t>
  </si>
  <si>
    <t>项目</t>
  </si>
  <si>
    <t>单位</t>
  </si>
  <si>
    <t>一号净化站</t>
  </si>
  <si>
    <t>三号净化站</t>
  </si>
  <si>
    <t>四号净化站</t>
  </si>
  <si>
    <t>五号净化站</t>
  </si>
  <si>
    <t>六号净化站</t>
  </si>
  <si>
    <t>19泵站</t>
  </si>
  <si>
    <t>21泵站</t>
  </si>
  <si>
    <t>30泵站</t>
  </si>
  <si>
    <t>27泵站</t>
  </si>
  <si>
    <t>3BF泵站</t>
  </si>
  <si>
    <t>7#电鼓</t>
  </si>
  <si>
    <t>8#电鼓</t>
  </si>
  <si>
    <t>9#电鼓</t>
  </si>
  <si>
    <t>月用量</t>
  </si>
  <si>
    <t>当月小时
用量</t>
  </si>
  <si>
    <t>总量
吨标煤</t>
  </si>
  <si>
    <t>单耗（铁）
千克标煤/吨</t>
  </si>
  <si>
    <t>单耗（电）
千克标煤/吨</t>
  </si>
  <si>
    <t>单耗（水）
千克标煤/吨</t>
  </si>
  <si>
    <t>单耗（风）
千克标煤/吨</t>
  </si>
  <si>
    <t>自耗电</t>
  </si>
  <si>
    <t>kw.h</t>
  </si>
  <si>
    <t>GJ</t>
  </si>
  <si>
    <t>m3</t>
  </si>
  <si>
    <t>环水</t>
  </si>
  <si>
    <t>t</t>
  </si>
  <si>
    <t>回用水（补水）</t>
  </si>
  <si>
    <t>湿空气</t>
  </si>
  <si>
    <t>km3</t>
  </si>
  <si>
    <t>干空气</t>
  </si>
  <si>
    <t>TRT发电量
供水量、供风量</t>
  </si>
  <si>
    <t>供水量</t>
  </si>
  <si>
    <t>送风量</t>
  </si>
  <si>
    <t>铁产量</t>
  </si>
  <si>
    <t>天数</t>
  </si>
  <si>
    <t>折标煤系数</t>
  </si>
  <si>
    <t>电力</t>
  </si>
  <si>
    <t>Kwh</t>
  </si>
  <si>
    <t>万吨/万Kwh</t>
  </si>
  <si>
    <t>低压蒸汽</t>
  </si>
  <si>
    <t>吨/吉焦</t>
  </si>
  <si>
    <t>澄清循环水</t>
  </si>
  <si>
    <t>吨</t>
  </si>
  <si>
    <t>万吨/万吨</t>
  </si>
  <si>
    <t>除盐水</t>
  </si>
  <si>
    <t>生活水</t>
  </si>
  <si>
    <t>回用水</t>
  </si>
  <si>
    <t>净水</t>
  </si>
  <si>
    <t>压缩空气</t>
  </si>
  <si>
    <t>m^3</t>
  </si>
  <si>
    <t>万吨/万m^3</t>
  </si>
  <si>
    <t>无油无水压缩空气</t>
  </si>
  <si>
    <t>A12</t>
  </si>
  <si>
    <t>A11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</si>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</sst>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_ "/>
    <numFmt numFmtId="179" formatCode="0.000_ "/>
    <numFmt numFmtId="180" formatCode="0.00000_ "/>
    <numFmt numFmtId="181" formatCode="0.00000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1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/>
    <xf numFmtId="176" fontId="0" fillId="0" borderId="1" xfId="0" applyNumberFormat="1" applyBorder="1">
      <alignment vertical="center"/>
    </xf>
    <xf numFmtId="176" fontId="0" fillId="3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7" Type="http://schemas.openxmlformats.org/officeDocument/2006/relationships/worksheet" Target="worksheets/sheet17.xml"/><Relationship Id="rId12" Type="http://schemas.openxmlformats.org/officeDocument/2006/relationships/worksheet" Target="worksheets/sheet12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M6"/>
  <sheetViews>
    <sheetView workbookViewId="0">
      <pane xSplit="1" topLeftCell="B1" activePane="topRight" state="frozen"/>
      <selection/>
      <selection pane="topRight" activeCell="I32" sqref="I32"/>
    </sheetView>
  </sheetViews>
  <sheetFormatPr defaultColWidth="9" defaultRowHeight="13.5" outlineLevelRow="5"/>
  <cols>
    <col min="1" max="1" width="14.5044247787611" customWidth="1"/>
    <col min="2" max="2" width="12.6283185840708" customWidth="1"/>
    <col min="7" max="12" width="12.6283185840708"/>
  </cols>
  <sheetData>
    <row r="1" spans="1:13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>
      <c r="A2" s="23" t="s">
        <v>13</v>
      </c>
      <c r="B2" s="23">
        <v>210</v>
      </c>
      <c r="C2" s="23">
        <v>40</v>
      </c>
      <c r="D2" s="23">
        <v>30</v>
      </c>
      <c r="E2" s="25">
        <v>0</v>
      </c>
      <c r="F2" s="25">
        <v>240</v>
      </c>
      <c r="G2" s="25">
        <v>392.16</v>
      </c>
      <c r="H2" s="25">
        <v>333.2144</v>
      </c>
      <c r="I2" s="25">
        <v>425.2048</v>
      </c>
      <c r="J2" s="25">
        <v>479.2864</v>
      </c>
      <c r="K2" s="25">
        <v>539.9952</v>
      </c>
      <c r="L2" s="25">
        <v>799</v>
      </c>
      <c r="M2" s="25">
        <v>1293</v>
      </c>
    </row>
    <row r="3" spans="1:13">
      <c r="A3" s="2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>
      <c r="A4" s="23" t="s">
        <v>15</v>
      </c>
      <c r="B4" s="23">
        <v>77</v>
      </c>
      <c r="C4" s="23">
        <v>130</v>
      </c>
      <c r="D4" s="23">
        <v>271</v>
      </c>
      <c r="E4" s="25">
        <v>88</v>
      </c>
      <c r="F4" s="25">
        <v>137</v>
      </c>
      <c r="G4" s="25">
        <v>121</v>
      </c>
      <c r="H4" s="26">
        <v>50</v>
      </c>
      <c r="I4" s="25">
        <v>171</v>
      </c>
      <c r="J4" s="25">
        <v>33</v>
      </c>
      <c r="K4" s="25">
        <v>45</v>
      </c>
      <c r="L4" s="25">
        <v>35</v>
      </c>
      <c r="M4" s="25">
        <v>0</v>
      </c>
    </row>
    <row r="5" spans="1:13">
      <c r="A5" s="23" t="s">
        <v>16</v>
      </c>
      <c r="B5" s="23">
        <v>491000</v>
      </c>
      <c r="C5" s="23">
        <v>465000</v>
      </c>
      <c r="D5" s="23">
        <v>520000</v>
      </c>
      <c r="E5" s="25">
        <v>511000</v>
      </c>
      <c r="F5" s="26">
        <v>536000</v>
      </c>
      <c r="G5" s="25">
        <v>507000</v>
      </c>
      <c r="H5" s="25">
        <v>514000</v>
      </c>
      <c r="I5" s="25">
        <v>519000</v>
      </c>
      <c r="J5" s="25">
        <v>520000</v>
      </c>
      <c r="K5" s="25">
        <v>537000</v>
      </c>
      <c r="L5" s="25">
        <v>509000</v>
      </c>
      <c r="M5" s="25">
        <v>534000</v>
      </c>
    </row>
    <row r="6" spans="1:13">
      <c r="A6" s="23" t="s">
        <v>17</v>
      </c>
      <c r="B6" s="23">
        <v>0</v>
      </c>
      <c r="C6" s="23">
        <v>0</v>
      </c>
      <c r="D6" s="23">
        <v>0</v>
      </c>
      <c r="E6" s="25">
        <v>0</v>
      </c>
      <c r="F6" s="23">
        <v>0</v>
      </c>
      <c r="G6" s="26">
        <v>82666.6666666667</v>
      </c>
      <c r="H6" s="26">
        <v>85333.3333333333</v>
      </c>
      <c r="I6" s="25">
        <v>85333.3333333333</v>
      </c>
      <c r="J6" s="25">
        <v>82666.6666666667</v>
      </c>
      <c r="K6" s="25">
        <v>85333.3333333333</v>
      </c>
      <c r="L6" s="25">
        <v>82666.6666666667</v>
      </c>
      <c r="M6" s="25">
        <v>85333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M20"/>
  <sheetViews>
    <sheetView tabSelected="1" topLeftCell="A6" workbookViewId="0">
      <pane xSplit="1" topLeftCell="B1" activePane="topRight" state="frozen"/>
      <selection/>
      <selection pane="topRight" activeCell="I22" sqref="I22"/>
    </sheetView>
  </sheetViews>
  <sheetFormatPr defaultColWidth="9" defaultRowHeight="13.5"/>
  <cols>
    <col min="1" max="1" width="15" customWidth="1"/>
    <col min="2" max="2" width="12.6283185840708"/>
    <col min="4" max="4" width="15.6283185840708" customWidth="1"/>
    <col min="6" max="6" width="9.3716814159292"/>
    <col min="7" max="8" width="12.6283185840708"/>
    <col min="9" max="9" width="21.0884955752212" customWidth="1"/>
    <col min="10" max="12" width="12.6283185840708"/>
    <col min="13" max="13" width="9.3716814159292"/>
  </cols>
  <sheetData>
    <row r="1" spans="1:13">
      <c r="A1" s="19"/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spans="1:13">
      <c r="A2" s="19" t="s">
        <v>15</v>
      </c>
      <c r="B2" s="19">
        <v>251</v>
      </c>
      <c r="C2" s="19">
        <v>366</v>
      </c>
      <c r="D2" s="19">
        <v>605</v>
      </c>
      <c r="E2" s="20">
        <v>1190</v>
      </c>
      <c r="F2" s="20">
        <v>435</v>
      </c>
      <c r="G2" s="20">
        <v>894</v>
      </c>
      <c r="H2" s="20">
        <v>501</v>
      </c>
      <c r="I2" s="20">
        <v>387</v>
      </c>
      <c r="J2" s="20">
        <v>480</v>
      </c>
      <c r="K2" s="20">
        <v>522</v>
      </c>
      <c r="L2" s="20">
        <v>1317</v>
      </c>
      <c r="M2" s="20">
        <v>536</v>
      </c>
    </row>
    <row r="3" spans="1:13">
      <c r="A3" s="19" t="s">
        <v>18</v>
      </c>
      <c r="B3" s="19">
        <v>50817</v>
      </c>
      <c r="C3" s="19">
        <v>27826</v>
      </c>
      <c r="D3" s="19">
        <v>29159</v>
      </c>
      <c r="E3" s="20">
        <v>29231</v>
      </c>
      <c r="F3" s="20">
        <v>33877</v>
      </c>
      <c r="G3" s="20">
        <v>42360</v>
      </c>
      <c r="H3" s="20">
        <v>48444</v>
      </c>
      <c r="I3" s="20">
        <v>49300</v>
      </c>
      <c r="J3" s="20">
        <v>34706</v>
      </c>
      <c r="K3" s="20">
        <v>44633</v>
      </c>
      <c r="L3" s="20">
        <v>28212</v>
      </c>
      <c r="M3" s="20">
        <v>26334</v>
      </c>
    </row>
    <row r="4" spans="1:13">
      <c r="A4" s="19" t="s">
        <v>16</v>
      </c>
      <c r="B4" s="19">
        <v>1039000</v>
      </c>
      <c r="C4" s="19">
        <v>967000</v>
      </c>
      <c r="D4" s="19">
        <v>1016000</v>
      </c>
      <c r="E4" s="20">
        <v>971000</v>
      </c>
      <c r="F4" s="20">
        <v>1002000</v>
      </c>
      <c r="G4" s="20">
        <v>970000</v>
      </c>
      <c r="H4" s="20">
        <v>1017000</v>
      </c>
      <c r="I4" s="20">
        <v>1026000</v>
      </c>
      <c r="J4" s="20">
        <v>986000</v>
      </c>
      <c r="K4" s="20">
        <v>1037000</v>
      </c>
      <c r="L4" s="20">
        <v>1003000</v>
      </c>
      <c r="M4" s="20">
        <v>1063000</v>
      </c>
    </row>
    <row r="5" spans="1:13">
      <c r="A5" s="19" t="s">
        <v>17</v>
      </c>
      <c r="B5" s="19">
        <v>0</v>
      </c>
      <c r="C5" s="19">
        <v>0</v>
      </c>
      <c r="D5" s="19">
        <v>0</v>
      </c>
      <c r="E5" s="20">
        <v>0</v>
      </c>
      <c r="F5" s="20">
        <v>0</v>
      </c>
      <c r="G5" s="21">
        <v>82666.6666666667</v>
      </c>
      <c r="H5" s="21">
        <v>85333.3333333333</v>
      </c>
      <c r="I5" s="20">
        <v>85333.3333333333</v>
      </c>
      <c r="J5" s="20">
        <v>82666.6666666667</v>
      </c>
      <c r="K5" s="20">
        <v>85333.3333333333</v>
      </c>
      <c r="L5" s="20">
        <v>82666.6666666667</v>
      </c>
      <c r="M5" s="20">
        <v>85333</v>
      </c>
    </row>
    <row r="8" spans="3:10">
      <c r="C8" t="s">
        <v>19</v>
      </c>
      <c r="D8" s="22" t="s">
        <v>15</v>
      </c>
      <c r="E8" s="22" t="s">
        <v>18</v>
      </c>
      <c r="F8" s="22"/>
      <c r="G8" s="22" t="s">
        <v>16</v>
      </c>
      <c r="H8" s="22" t="s">
        <v>17</v>
      </c>
      <c r="J8" s="22"/>
    </row>
    <row r="9" spans="3:8">
      <c r="C9" t="s">
        <v>1</v>
      </c>
      <c r="D9" s="22">
        <v>251</v>
      </c>
      <c r="E9" s="22">
        <v>50817</v>
      </c>
      <c r="F9" s="22"/>
      <c r="G9" s="22">
        <v>1039000</v>
      </c>
      <c r="H9" s="22">
        <v>0</v>
      </c>
    </row>
    <row r="10" spans="3:8">
      <c r="C10" t="s">
        <v>2</v>
      </c>
      <c r="D10" s="22">
        <v>366</v>
      </c>
      <c r="E10" s="22">
        <v>27826</v>
      </c>
      <c r="F10" s="22"/>
      <c r="G10" s="22">
        <v>967000</v>
      </c>
      <c r="H10" s="22">
        <v>0</v>
      </c>
    </row>
    <row r="11" spans="3:8">
      <c r="C11" t="s">
        <v>3</v>
      </c>
      <c r="D11" s="22">
        <v>605</v>
      </c>
      <c r="E11" s="22">
        <v>29159</v>
      </c>
      <c r="F11" s="22"/>
      <c r="G11" s="22">
        <v>1016000</v>
      </c>
      <c r="H11" s="22">
        <v>0</v>
      </c>
    </row>
    <row r="12" spans="3:8">
      <c r="C12" t="s">
        <v>4</v>
      </c>
      <c r="D12" s="22">
        <v>1190</v>
      </c>
      <c r="E12" s="22">
        <v>29231</v>
      </c>
      <c r="F12" s="22"/>
      <c r="G12" s="22">
        <v>971000</v>
      </c>
      <c r="H12" s="22">
        <v>0</v>
      </c>
    </row>
    <row r="13" spans="3:8">
      <c r="C13" t="s">
        <v>5</v>
      </c>
      <c r="D13" s="22">
        <v>435</v>
      </c>
      <c r="E13" s="22">
        <v>33877</v>
      </c>
      <c r="F13" s="22"/>
      <c r="G13" s="22">
        <v>1002000</v>
      </c>
      <c r="H13" s="22">
        <v>0</v>
      </c>
    </row>
    <row r="14" spans="3:8">
      <c r="C14" t="s">
        <v>6</v>
      </c>
      <c r="D14" s="22">
        <v>894</v>
      </c>
      <c r="E14" s="22">
        <v>42360</v>
      </c>
      <c r="F14" s="22"/>
      <c r="G14" s="22">
        <v>970000</v>
      </c>
      <c r="H14" s="22">
        <v>82666.6666666667</v>
      </c>
    </row>
    <row r="15" spans="3:8">
      <c r="C15" t="s">
        <v>7</v>
      </c>
      <c r="D15" s="22">
        <v>501</v>
      </c>
      <c r="E15" s="22">
        <v>48444</v>
      </c>
      <c r="F15" s="22"/>
      <c r="G15" s="22">
        <v>1017000</v>
      </c>
      <c r="H15" s="22">
        <v>85333.3333333333</v>
      </c>
    </row>
    <row r="16" spans="3:8">
      <c r="C16" t="s">
        <v>8</v>
      </c>
      <c r="D16" s="22">
        <v>387</v>
      </c>
      <c r="E16" s="22">
        <v>49300</v>
      </c>
      <c r="F16" s="22"/>
      <c r="G16" s="22">
        <v>1026000</v>
      </c>
      <c r="H16" s="22">
        <v>85333.3333333333</v>
      </c>
    </row>
    <row r="17" spans="3:8">
      <c r="C17" t="s">
        <v>9</v>
      </c>
      <c r="D17" s="22">
        <v>480</v>
      </c>
      <c r="E17" s="22">
        <v>34706</v>
      </c>
      <c r="F17" s="22"/>
      <c r="G17" s="22">
        <v>986000</v>
      </c>
      <c r="H17" s="22">
        <v>82666.6666666667</v>
      </c>
    </row>
    <row r="18" spans="3:8">
      <c r="C18" t="s">
        <v>10</v>
      </c>
      <c r="D18" s="22">
        <v>522</v>
      </c>
      <c r="E18" s="22">
        <v>44633</v>
      </c>
      <c r="F18" s="22"/>
      <c r="G18" s="22">
        <v>1037000</v>
      </c>
      <c r="H18" s="22">
        <v>85333.3333333333</v>
      </c>
    </row>
    <row r="19" spans="3:8">
      <c r="C19" t="s">
        <v>11</v>
      </c>
      <c r="D19" s="22">
        <v>1317</v>
      </c>
      <c r="E19" s="22">
        <v>28212</v>
      </c>
      <c r="F19" s="22"/>
      <c r="G19" s="22">
        <v>1003000</v>
      </c>
      <c r="H19" s="22">
        <v>82666.6666666667</v>
      </c>
    </row>
    <row r="20" spans="3:8">
      <c r="C20" t="s">
        <v>12</v>
      </c>
      <c r="D20" s="22">
        <v>536</v>
      </c>
      <c r="E20" s="22">
        <v>26334</v>
      </c>
      <c r="F20" s="22"/>
      <c r="G20" s="22">
        <v>1063000</v>
      </c>
      <c r="H20" s="22">
        <v>85333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O32"/>
  <sheetViews>
    <sheetView zoomScale="85" zoomScaleNormal="85" workbookViewId="0">
      <selection activeCell="M24" sqref="M24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3" width="11.5044247787611" style="2" customWidth="1"/>
    <col min="4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0" width="9" style="1"/>
    <col min="16381" max="16384" width="9" style="18"/>
  </cols>
  <sheetData>
    <row r="1" s="1" customFormat="1" spans="1:6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8520</v>
      </c>
      <c r="D4" s="6">
        <v>11.4516129032258</v>
      </c>
      <c r="E4" s="7">
        <v>1.047108</v>
      </c>
      <c r="F4" s="7">
        <v>0.00726437394666169</v>
      </c>
      <c r="G4" s="8">
        <v>0.000160211144771872</v>
      </c>
      <c r="H4" s="6">
        <v>7885</v>
      </c>
      <c r="I4" s="6">
        <v>10.5981182795699</v>
      </c>
      <c r="J4" s="7">
        <v>0.9690665</v>
      </c>
      <c r="K4" s="7">
        <v>0.00618911263539751</v>
      </c>
      <c r="L4" s="8">
        <v>0.000139558527031309</v>
      </c>
      <c r="M4" s="6">
        <v>3495</v>
      </c>
      <c r="N4" s="6">
        <v>4.69758064516129</v>
      </c>
      <c r="O4" s="7">
        <v>0.4295355</v>
      </c>
      <c r="P4" s="13">
        <v>0.00202352417428664</v>
      </c>
      <c r="Q4" s="14">
        <v>4.30508449094955e-5</v>
      </c>
      <c r="R4" s="6">
        <v>12132</v>
      </c>
      <c r="S4" s="6">
        <v>16.3064516129032</v>
      </c>
      <c r="T4" s="7">
        <v>1.4910228</v>
      </c>
      <c r="U4" s="7" t="e">
        <v>#DIV/0!</v>
      </c>
      <c r="V4" s="8" t="e">
        <v>#DIV/0!</v>
      </c>
      <c r="W4" s="6">
        <v>24578</v>
      </c>
      <c r="X4" s="6">
        <v>33.0349462365591</v>
      </c>
      <c r="Y4" s="7">
        <v>3.0206362</v>
      </c>
      <c r="Z4" s="7">
        <v>0.0177150945388008</v>
      </c>
      <c r="AA4" s="8">
        <v>0.000381465706888931</v>
      </c>
      <c r="AB4" s="6">
        <v>1525500</v>
      </c>
      <c r="AC4" s="6">
        <v>2050.40322580645</v>
      </c>
      <c r="AD4" s="7">
        <v>187.48395</v>
      </c>
      <c r="AE4" s="7">
        <v>0.883229221137131</v>
      </c>
      <c r="AF4" s="8">
        <v>0.0309359086753199</v>
      </c>
      <c r="AG4" s="6">
        <v>62890.2</v>
      </c>
      <c r="AH4" s="6">
        <v>84.5298387096774</v>
      </c>
      <c r="AI4" s="7">
        <v>7.72920558</v>
      </c>
      <c r="AJ4" s="7" t="e">
        <v>#DIV/0!</v>
      </c>
      <c r="AK4" s="8">
        <v>0.0214831440880538</v>
      </c>
      <c r="AL4" s="6">
        <v>1729120</v>
      </c>
      <c r="AM4" s="6">
        <v>2324.08602150538</v>
      </c>
      <c r="AN4" s="7">
        <v>212.508848</v>
      </c>
      <c r="AO4" s="7">
        <v>1.24629848925589</v>
      </c>
      <c r="AP4" s="8">
        <v>0.0382048474809132</v>
      </c>
      <c r="AQ4" s="6">
        <v>20520</v>
      </c>
      <c r="AR4" s="6">
        <v>27.5806451612903</v>
      </c>
      <c r="AS4" s="7">
        <v>2.521908</v>
      </c>
      <c r="AT4" s="7">
        <v>0.0147902083137844</v>
      </c>
      <c r="AU4" s="8">
        <v>0.000453388700789037</v>
      </c>
      <c r="AV4" s="6">
        <v>2033449.8</v>
      </c>
      <c r="AW4" s="6">
        <v>2733.1314516129</v>
      </c>
      <c r="AX4" s="7">
        <v>249.91098042</v>
      </c>
      <c r="AY4" s="7"/>
      <c r="AZ4" s="8"/>
      <c r="BA4" s="6">
        <v>16472788</v>
      </c>
      <c r="BB4" s="6">
        <v>22140.8440860215</v>
      </c>
      <c r="BC4" s="7">
        <v>2024.5056452</v>
      </c>
      <c r="BD4" s="7">
        <v>12.9298592708972</v>
      </c>
      <c r="BE4" s="8">
        <v>10.531300661163</v>
      </c>
      <c r="BF4" s="6">
        <v>17677842</v>
      </c>
      <c r="BG4" s="6">
        <v>23760.5403225806</v>
      </c>
      <c r="BH4" s="7">
        <v>2172.6067818</v>
      </c>
      <c r="BI4" s="7">
        <v>12.741664996012</v>
      </c>
      <c r="BJ4" s="8">
        <v>10.7547337402358</v>
      </c>
      <c r="BK4" s="6">
        <v>19070720</v>
      </c>
      <c r="BL4" s="6">
        <v>0</v>
      </c>
      <c r="BM4" s="7">
        <v>2343.791488</v>
      </c>
      <c r="BN4" s="7">
        <v>11.0415058486557</v>
      </c>
      <c r="BO4" s="8">
        <v>11.9098726993709</v>
      </c>
    </row>
    <row r="5" s="1" customFormat="1" ht="30" customHeight="1" spans="1:67">
      <c r="A5" s="5" t="s">
        <v>13</v>
      </c>
      <c r="B5" s="5" t="s">
        <v>44</v>
      </c>
      <c r="C5" s="6">
        <v>120</v>
      </c>
      <c r="D5" s="6">
        <v>0.161290322580645</v>
      </c>
      <c r="E5" s="7">
        <v>4.092</v>
      </c>
      <c r="F5" s="7">
        <v>0.028388493058729</v>
      </c>
      <c r="G5" s="8">
        <v>0.000626090149637382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210</v>
      </c>
      <c r="N5" s="6">
        <v>0.282258064516129</v>
      </c>
      <c r="O5" s="7">
        <v>7.161</v>
      </c>
      <c r="P5" s="7">
        <v>0.0337351781449185</v>
      </c>
      <c r="Q5" s="8">
        <v>0.000717722051837152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220</v>
      </c>
      <c r="X5" s="6">
        <v>0.295698924731183</v>
      </c>
      <c r="Y5" s="7">
        <v>7.502</v>
      </c>
      <c r="Z5" s="7">
        <v>0.0439969034437459</v>
      </c>
      <c r="AA5" s="8">
        <v>0.000947401654353729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840000</v>
      </c>
      <c r="D6" s="6">
        <v>1129.03225806452</v>
      </c>
      <c r="E6" s="7">
        <v>14.196</v>
      </c>
      <c r="F6" s="7">
        <v>0.0984855932213385</v>
      </c>
      <c r="G6" s="8">
        <v>0.00217203708803819</v>
      </c>
      <c r="H6" s="6">
        <v>393000</v>
      </c>
      <c r="I6" s="6">
        <v>528.225806451613</v>
      </c>
      <c r="J6" s="7">
        <v>6.6417</v>
      </c>
      <c r="K6" s="7">
        <v>0.0424183782955242</v>
      </c>
      <c r="L6" s="8">
        <v>0.00095649356260261</v>
      </c>
      <c r="M6" s="6">
        <v>491000</v>
      </c>
      <c r="N6" s="6">
        <v>659.94623655914</v>
      </c>
      <c r="O6" s="7">
        <v>8.2979</v>
      </c>
      <c r="P6" s="7">
        <v>0.0390910675504426</v>
      </c>
      <c r="Q6" s="8">
        <v>0.000831669573235512</v>
      </c>
      <c r="R6" s="6">
        <v>1000</v>
      </c>
      <c r="S6" s="6">
        <v>1.34408602150538</v>
      </c>
      <c r="T6" s="7">
        <v>0.0169</v>
      </c>
      <c r="U6" s="7" t="e">
        <v>#DIV/0!</v>
      </c>
      <c r="V6" s="8" t="e">
        <v>#DIV/0!</v>
      </c>
      <c r="W6" s="6">
        <v>1039000</v>
      </c>
      <c r="X6" s="6">
        <v>1396.50537634409</v>
      </c>
      <c r="Y6" s="7">
        <v>17.5591</v>
      </c>
      <c r="Z6" s="7">
        <v>0.102978675987614</v>
      </c>
      <c r="AA6" s="8">
        <v>0.00221747805771295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275705</v>
      </c>
      <c r="D8" s="6">
        <v>370.57123655914</v>
      </c>
      <c r="E8" s="7">
        <v>13.0959875</v>
      </c>
      <c r="F8" s="7">
        <v>0.090854191163478</v>
      </c>
      <c r="G8" s="8">
        <v>0.002003731371829</v>
      </c>
      <c r="H8" s="6"/>
      <c r="I8" s="6"/>
      <c r="J8" s="7"/>
      <c r="K8" s="7"/>
      <c r="L8" s="8"/>
      <c r="M8" s="6">
        <v>328718</v>
      </c>
      <c r="N8" s="6">
        <v>441.825268817204</v>
      </c>
      <c r="O8" s="7">
        <v>15.614105</v>
      </c>
      <c r="P8" s="7">
        <v>0.0735574101031229</v>
      </c>
      <c r="Q8" s="8">
        <v>0.00156494728085473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359780</v>
      </c>
      <c r="X9" s="6">
        <v>0</v>
      </c>
      <c r="Y9" s="7">
        <v>17.08955</v>
      </c>
      <c r="Z9" s="7">
        <v>0.100224910856714</v>
      </c>
      <c r="AA9" s="8">
        <v>0.00215818021089853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36811</v>
      </c>
      <c r="AR10" s="6">
        <v>49.4771505376344</v>
      </c>
      <c r="AS10" s="7">
        <v>1.7485225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24405</v>
      </c>
      <c r="AH11" s="6">
        <v>32.8024193548387</v>
      </c>
      <c r="AI11" s="7">
        <v>1.010367</v>
      </c>
      <c r="AJ11" s="7" t="e">
        <v>#DIV/0!</v>
      </c>
      <c r="AK11" s="8">
        <v>0.00280829117794208</v>
      </c>
      <c r="AL11" s="5">
        <v>26412</v>
      </c>
      <c r="AM11" s="6">
        <v>35.5</v>
      </c>
      <c r="AN11" s="7">
        <v>1.0934568</v>
      </c>
      <c r="AO11" s="7">
        <v>0.00641278502392793</v>
      </c>
      <c r="AP11" s="8">
        <v>0.000196581698428705</v>
      </c>
      <c r="AQ11" s="5"/>
      <c r="AR11" s="6"/>
      <c r="AS11" s="7"/>
      <c r="AT11" s="9"/>
      <c r="AU11" s="9"/>
      <c r="AV11" s="5">
        <v>119797</v>
      </c>
      <c r="AW11" s="6">
        <v>161.01747311828</v>
      </c>
      <c r="AX11" s="7">
        <v>4.9595958</v>
      </c>
      <c r="AY11" s="7">
        <v>0.0316753257204169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77</v>
      </c>
      <c r="AC12" s="6">
        <v>0.103494623655914</v>
      </c>
      <c r="AD12" s="7">
        <v>0.0031878</v>
      </c>
      <c r="AE12" s="8">
        <v>1.50175954322541e-5</v>
      </c>
      <c r="AF12" s="8">
        <v>5.26004970959833e-7</v>
      </c>
      <c r="AG12" s="5"/>
      <c r="AH12" s="6"/>
      <c r="AI12" s="7"/>
      <c r="AJ12" s="9"/>
      <c r="AK12" s="9"/>
      <c r="AL12" s="5">
        <v>251</v>
      </c>
      <c r="AM12" s="6">
        <v>0.337365591397849</v>
      </c>
      <c r="AN12" s="7">
        <v>0.0103914</v>
      </c>
      <c r="AO12" s="7">
        <v>6.0942338369147e-5</v>
      </c>
      <c r="AP12" s="8">
        <v>6.0942338369147e-5</v>
      </c>
      <c r="AQ12" s="5"/>
      <c r="AR12" s="6"/>
      <c r="AS12" s="7"/>
      <c r="AT12" s="9"/>
      <c r="AU12" s="9"/>
      <c r="AV12" s="5">
        <v>230</v>
      </c>
      <c r="AW12" s="6">
        <v>0.309139784946237</v>
      </c>
      <c r="AX12" s="7">
        <v>0.009522</v>
      </c>
      <c r="AY12" s="7">
        <v>6.08139178418148e-5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>
        <v>89</v>
      </c>
      <c r="AM13" s="6">
        <v>0.119623655913978</v>
      </c>
      <c r="AN13" s="7">
        <v>0.0013528</v>
      </c>
      <c r="AO13" s="7">
        <v>7.93375246316975e-6</v>
      </c>
      <c r="AP13" s="7">
        <v>7.93375246316975e-6</v>
      </c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>
        <v>78</v>
      </c>
      <c r="AM14" s="6">
        <v>0.104838709677419</v>
      </c>
      <c r="AN14" s="7">
        <v>0.0011856</v>
      </c>
      <c r="AO14" s="7">
        <v>6.95317631603641e-6</v>
      </c>
      <c r="AP14" s="7">
        <v>6.95317631603641e-6</v>
      </c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6535800</v>
      </c>
      <c r="D15" s="6">
        <v>8784.67741935484</v>
      </c>
      <c r="E15" s="7"/>
      <c r="F15" s="5"/>
      <c r="G15" s="5"/>
      <c r="H15" s="5">
        <v>6943800</v>
      </c>
      <c r="I15" s="6">
        <v>9333.06451612903</v>
      </c>
      <c r="J15" s="7"/>
      <c r="K15" s="5"/>
      <c r="L15" s="5"/>
      <c r="M15" s="5">
        <v>9977400</v>
      </c>
      <c r="N15" s="6">
        <v>13410.4838709677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7918500</v>
      </c>
      <c r="X15" s="6">
        <v>10643.1451612903</v>
      </c>
      <c r="Y15" s="7"/>
      <c r="Z15" s="5"/>
      <c r="AA15" s="5"/>
      <c r="AB15" s="5">
        <v>6060399</v>
      </c>
      <c r="AC15" s="15" t="s">
        <v>53</v>
      </c>
      <c r="AD15" s="7"/>
      <c r="AE15" s="5"/>
      <c r="AF15" s="5"/>
      <c r="AG15" s="5">
        <v>359780</v>
      </c>
      <c r="AH15" s="15" t="s">
        <v>53</v>
      </c>
      <c r="AI15" s="7"/>
      <c r="AJ15" s="5"/>
      <c r="AK15" s="5"/>
      <c r="AL15" s="5">
        <v>5562353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192237</v>
      </c>
      <c r="BB15" s="15" t="s">
        <v>54</v>
      </c>
      <c r="BC15" s="7"/>
      <c r="BD15" s="5"/>
      <c r="BE15" s="5"/>
      <c r="BF15" s="5">
        <v>202014</v>
      </c>
      <c r="BG15" s="15" t="s">
        <v>54</v>
      </c>
      <c r="BH15" s="7"/>
      <c r="BI15" s="5"/>
      <c r="BJ15" s="5"/>
      <c r="BK15" s="5">
        <v>196794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144142.91</v>
      </c>
      <c r="D16" s="5"/>
      <c r="E16" s="7"/>
      <c r="F16" s="5"/>
      <c r="G16" s="5"/>
      <c r="H16" s="5">
        <v>156576</v>
      </c>
      <c r="I16" s="5"/>
      <c r="J16" s="7"/>
      <c r="K16" s="5"/>
      <c r="L16" s="5"/>
      <c r="M16" s="5">
        <v>212271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170512</v>
      </c>
      <c r="X16" s="5"/>
      <c r="Y16" s="7"/>
      <c r="Z16" s="5"/>
      <c r="AA16" s="5"/>
      <c r="AB16" s="5">
        <v>212271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170512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156576</v>
      </c>
      <c r="AW16" s="5"/>
      <c r="AX16" s="7"/>
      <c r="AY16" s="5"/>
      <c r="AZ16" s="5"/>
      <c r="BA16" s="5">
        <v>156576</v>
      </c>
      <c r="BB16" s="5"/>
      <c r="BC16" s="7"/>
      <c r="BD16" s="5"/>
      <c r="BE16" s="5"/>
      <c r="BF16" s="5">
        <v>170512</v>
      </c>
      <c r="BG16" s="5"/>
      <c r="BH16" s="7"/>
      <c r="BI16" s="5"/>
      <c r="BJ16" s="5"/>
      <c r="BK16" s="5">
        <v>212271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>C4+H4+M4+R4+W4+AB4+AG4+AL4+AQ4+AV4+BA4+BF4+BK4</f>
        <v>58649440</v>
      </c>
    </row>
    <row r="21" spans="3:3">
      <c r="C21" s="2">
        <f t="shared" ref="C21:C32" si="0">C5+H5+M5+R5+W5+AB5+AG5+AL5+AQ5+AV5+BA5+BF5+BK5</f>
        <v>550</v>
      </c>
    </row>
    <row r="22" spans="3:3">
      <c r="C22" s="2">
        <f t="shared" si="0"/>
        <v>2764000</v>
      </c>
    </row>
    <row r="23" spans="3:3">
      <c r="C23" s="2">
        <f t="shared" si="0"/>
        <v>0</v>
      </c>
    </row>
    <row r="24" spans="3:3">
      <c r="C24" s="2">
        <f t="shared" si="0"/>
        <v>604423</v>
      </c>
    </row>
    <row r="25" spans="3:3">
      <c r="C25" s="2">
        <f t="shared" si="0"/>
        <v>359780</v>
      </c>
    </row>
    <row r="26" spans="3:3">
      <c r="C26" s="2">
        <f t="shared" si="0"/>
        <v>36811</v>
      </c>
    </row>
    <row r="27" spans="3:3">
      <c r="C27" s="2">
        <f t="shared" si="0"/>
        <v>170614</v>
      </c>
    </row>
    <row r="28" spans="3:3">
      <c r="C28" s="2">
        <f t="shared" si="0"/>
        <v>558</v>
      </c>
    </row>
    <row r="29" spans="3:3">
      <c r="C29" s="2">
        <f t="shared" si="0"/>
        <v>89</v>
      </c>
    </row>
    <row r="30" spans="3:3">
      <c r="C30" s="2">
        <f t="shared" si="0"/>
        <v>78</v>
      </c>
    </row>
    <row r="31" spans="3:3">
      <c r="C31" s="2">
        <f t="shared" si="0"/>
        <v>43949077</v>
      </c>
    </row>
    <row r="32" spans="3:3">
      <c r="C32" s="2">
        <f t="shared" si="0"/>
        <v>1762219.91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5517.367511</v>
      </c>
      <c r="D4" s="6">
        <v>8.21036831994048</v>
      </c>
      <c r="E4" s="7">
        <v>0.6780844671019</v>
      </c>
      <c r="F4" s="7">
        <v>0.00501337819009944</v>
      </c>
      <c r="G4" s="8">
        <v>0.000113599113283728</v>
      </c>
      <c r="H4" s="6">
        <v>5106.038741</v>
      </c>
      <c r="I4" s="6">
        <v>7.5982719360119</v>
      </c>
      <c r="J4" s="7">
        <v>0.6275321612689</v>
      </c>
      <c r="K4" s="7">
        <v>0.00431402306869298</v>
      </c>
      <c r="L4" s="8">
        <v>9.7506473362892e-5</v>
      </c>
      <c r="M4" s="6">
        <v>2263.601722</v>
      </c>
      <c r="N4" s="6">
        <v>3.36845494345238</v>
      </c>
      <c r="O4" s="7">
        <v>0.2781966516338</v>
      </c>
      <c r="P4" s="13">
        <v>0.0014238237530327</v>
      </c>
      <c r="Q4" s="14">
        <v>2.99696907799323e-5</v>
      </c>
      <c r="R4" s="6">
        <v>7856.638205</v>
      </c>
      <c r="S4" s="6">
        <v>11.6914259002976</v>
      </c>
      <c r="T4" s="7">
        <v>0.9655808353945</v>
      </c>
      <c r="U4" s="7" t="e">
        <v>#DIV/0!</v>
      </c>
      <c r="V4" s="8" t="e">
        <v>#DIV/0!</v>
      </c>
      <c r="W4" s="6">
        <v>15916.35382</v>
      </c>
      <c r="X4" s="6">
        <v>23.685050327381</v>
      </c>
      <c r="Y4" s="7">
        <v>1.956119884478</v>
      </c>
      <c r="Z4" s="7">
        <v>0.0120264115072548</v>
      </c>
      <c r="AA4" s="8">
        <v>0.000255051813609492</v>
      </c>
      <c r="AB4" s="6">
        <v>1960539.99990725</v>
      </c>
      <c r="AC4" s="6">
        <v>2917.47023795722</v>
      </c>
      <c r="AD4" s="7">
        <v>240.950365988601</v>
      </c>
      <c r="AE4" s="7">
        <v>1.23319548377631</v>
      </c>
      <c r="AF4" s="8">
        <v>0.0422554995617677</v>
      </c>
      <c r="AG4" s="6">
        <v>76828.7999972175</v>
      </c>
      <c r="AH4" s="6">
        <v>114.328571424431</v>
      </c>
      <c r="AI4" s="7">
        <v>9.44225951965803</v>
      </c>
      <c r="AJ4" s="7" t="e">
        <v>#DIV/0!</v>
      </c>
      <c r="AK4" s="8">
        <v>0.0279980534138422</v>
      </c>
      <c r="AL4" s="6">
        <v>2115139.99990725</v>
      </c>
      <c r="AM4" s="6">
        <v>3147.52976176674</v>
      </c>
      <c r="AN4" s="7">
        <v>259.950705988601</v>
      </c>
      <c r="AO4" s="7">
        <v>1.59820171893737</v>
      </c>
      <c r="AP4" s="8">
        <v>0.0504210873795558</v>
      </c>
      <c r="AQ4" s="6">
        <v>497739.99990725</v>
      </c>
      <c r="AR4" s="6">
        <v>740.684523671502</v>
      </c>
      <c r="AS4" s="7">
        <v>61.172245988601</v>
      </c>
      <c r="AT4" s="7">
        <v>0.376092799280679</v>
      </c>
      <c r="AU4" s="8">
        <v>0.0118652155548683</v>
      </c>
      <c r="AV4" s="6">
        <v>2484131.19991003</v>
      </c>
      <c r="AW4" s="6">
        <v>3696.62380938993</v>
      </c>
      <c r="AX4" s="7">
        <v>305.299724468943</v>
      </c>
      <c r="AY4" s="7"/>
      <c r="AZ4" s="8"/>
      <c r="BA4" s="6">
        <v>13591050</v>
      </c>
      <c r="BB4" s="6">
        <v>20224.7767857143</v>
      </c>
      <c r="BC4" s="7">
        <v>1670.340045</v>
      </c>
      <c r="BD4" s="7">
        <v>11.4828943143265</v>
      </c>
      <c r="BE4" s="8">
        <v>9.35151774467156</v>
      </c>
      <c r="BF4" s="6">
        <v>14780700</v>
      </c>
      <c r="BG4" s="6">
        <v>21995.0892857143</v>
      </c>
      <c r="BH4" s="7">
        <v>1816.54803</v>
      </c>
      <c r="BI4" s="7">
        <v>11.1683104419251</v>
      </c>
      <c r="BJ4" s="8">
        <v>9.72221911209826</v>
      </c>
      <c r="BK4" s="6">
        <v>15813600</v>
      </c>
      <c r="BL4" s="6">
        <v>0</v>
      </c>
      <c r="BM4" s="7">
        <v>1943.49144</v>
      </c>
      <c r="BN4" s="7">
        <v>9.94688203411691</v>
      </c>
      <c r="BO4" s="8">
        <v>10.5662435438799</v>
      </c>
    </row>
    <row r="5" s="1" customFormat="1" ht="30" customHeight="1" spans="1:67">
      <c r="A5" s="5" t="s">
        <v>13</v>
      </c>
      <c r="B5" s="5" t="s">
        <v>44</v>
      </c>
      <c r="C5" s="6">
        <v>20</v>
      </c>
      <c r="D5" s="6">
        <v>0.0297619047619048</v>
      </c>
      <c r="E5" s="7">
        <v>0.682</v>
      </c>
      <c r="F5" s="7">
        <v>0.00504232745554693</v>
      </c>
      <c r="G5" s="8">
        <v>0.000114255080330368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40</v>
      </c>
      <c r="N5" s="6">
        <v>0.0595238095238095</v>
      </c>
      <c r="O5" s="7">
        <v>1.364</v>
      </c>
      <c r="P5" s="7">
        <v>0.00698101716081418</v>
      </c>
      <c r="Q5" s="8">
        <v>0.000146941589640833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40</v>
      </c>
      <c r="X5" s="6">
        <v>0.0595238095238095</v>
      </c>
      <c r="Y5" s="7">
        <v>1.364</v>
      </c>
      <c r="Z5" s="7">
        <v>0.00838600201657526</v>
      </c>
      <c r="AA5" s="8">
        <v>0.000177847317295782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776000</v>
      </c>
      <c r="D6" s="6">
        <v>1154.7619047619</v>
      </c>
      <c r="E6" s="7">
        <v>13.1144</v>
      </c>
      <c r="F6" s="7">
        <v>0.0969605559868397</v>
      </c>
      <c r="G6" s="8">
        <v>0.00219704813120906</v>
      </c>
      <c r="H6" s="6">
        <v>346000</v>
      </c>
      <c r="I6" s="6">
        <v>514.880952380952</v>
      </c>
      <c r="J6" s="7">
        <v>5.8474</v>
      </c>
      <c r="K6" s="7">
        <v>0.0401984472650255</v>
      </c>
      <c r="L6" s="8">
        <v>0.000908573914664844</v>
      </c>
      <c r="M6" s="6">
        <v>465000</v>
      </c>
      <c r="N6" s="6">
        <v>691.964285714286</v>
      </c>
      <c r="O6" s="7">
        <v>7.8585</v>
      </c>
      <c r="P6" s="7">
        <v>0.0402201784151453</v>
      </c>
      <c r="Q6" s="8">
        <v>0.000846583931226165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967000</v>
      </c>
      <c r="X6" s="6">
        <v>1438.9880952381</v>
      </c>
      <c r="Y6" s="7">
        <v>16.3423</v>
      </c>
      <c r="Z6" s="7">
        <v>0.100474018149177</v>
      </c>
      <c r="AA6" s="8">
        <v>0.00213081687202556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233466</v>
      </c>
      <c r="D8" s="6">
        <v>347.419642857143</v>
      </c>
      <c r="E8" s="7">
        <v>11.089635</v>
      </c>
      <c r="F8" s="7">
        <v>0.0819905733614284</v>
      </c>
      <c r="G8" s="8">
        <v>0.00185784037794642</v>
      </c>
      <c r="H8" s="6"/>
      <c r="I8" s="6"/>
      <c r="J8" s="7"/>
      <c r="K8" s="7"/>
      <c r="L8" s="8"/>
      <c r="M8" s="6">
        <v>312099</v>
      </c>
      <c r="N8" s="6">
        <v>464.433035714286</v>
      </c>
      <c r="O8" s="7">
        <v>14.8247025</v>
      </c>
      <c r="P8" s="7">
        <v>0.0758735355985813</v>
      </c>
      <c r="Q8" s="8">
        <v>0.00159704204640941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337247</v>
      </c>
      <c r="X9" s="6">
        <v>0</v>
      </c>
      <c r="Y9" s="7">
        <v>16.0192325</v>
      </c>
      <c r="Z9" s="7">
        <v>0.0984877683643607</v>
      </c>
      <c r="AA9" s="8">
        <v>0.00208869320033901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34800</v>
      </c>
      <c r="AR10" s="6">
        <v>51.7857142857143</v>
      </c>
      <c r="AS10" s="7">
        <v>1.653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23185</v>
      </c>
      <c r="AH11" s="6">
        <v>34.5014880952381</v>
      </c>
      <c r="AI11" s="7">
        <v>0.959859</v>
      </c>
      <c r="AJ11" s="7" t="e">
        <v>#DIV/0!</v>
      </c>
      <c r="AK11" s="8">
        <v>0.00284616023270778</v>
      </c>
      <c r="AL11" s="5">
        <v>4641</v>
      </c>
      <c r="AM11" s="6">
        <v>6.90625</v>
      </c>
      <c r="AN11" s="7">
        <v>0.1921374</v>
      </c>
      <c r="AO11" s="7">
        <v>0.00118127904975039</v>
      </c>
      <c r="AP11" s="8">
        <v>3.72677450420368e-5</v>
      </c>
      <c r="AQ11" s="5"/>
      <c r="AR11" s="6"/>
      <c r="AS11" s="7"/>
      <c r="AT11" s="9"/>
      <c r="AU11" s="9"/>
      <c r="AV11" s="5">
        <v>102129</v>
      </c>
      <c r="AW11" s="6">
        <v>151.977678571429</v>
      </c>
      <c r="AX11" s="7">
        <v>4.2281406</v>
      </c>
      <c r="AY11" s="7">
        <v>0.0290667111773118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130</v>
      </c>
      <c r="AC12" s="6">
        <v>0.193452380952381</v>
      </c>
      <c r="AD12" s="7">
        <v>0.005382</v>
      </c>
      <c r="AE12" s="9">
        <v>2.75453331081392e-5</v>
      </c>
      <c r="AF12" s="9">
        <v>9.43842096725401e-7</v>
      </c>
      <c r="AG12" s="5"/>
      <c r="AH12" s="6"/>
      <c r="AI12" s="7"/>
      <c r="AJ12" s="9"/>
      <c r="AK12" s="9"/>
      <c r="AL12" s="5">
        <v>366</v>
      </c>
      <c r="AM12" s="6">
        <v>0.544642857142857</v>
      </c>
      <c r="AN12" s="7">
        <v>0.0151524</v>
      </c>
      <c r="AO12" s="7">
        <v>9.31583995278263e-5</v>
      </c>
      <c r="AP12" s="8">
        <v>9.31583995278263e-5</v>
      </c>
      <c r="AQ12" s="5"/>
      <c r="AR12" s="6"/>
      <c r="AS12" s="7"/>
      <c r="AT12" s="9"/>
      <c r="AU12" s="9"/>
      <c r="AV12" s="5">
        <v>1256</v>
      </c>
      <c r="AW12" s="6">
        <v>1.86904761904762</v>
      </c>
      <c r="AX12" s="7">
        <v>0.0519984</v>
      </c>
      <c r="AY12" s="7">
        <v>0.000357467411202535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5969100</v>
      </c>
      <c r="D15" s="6">
        <v>8882.58928571429</v>
      </c>
      <c r="E15" s="7"/>
      <c r="F15" s="5"/>
      <c r="G15" s="5"/>
      <c r="H15" s="5">
        <v>6435800</v>
      </c>
      <c r="I15" s="6">
        <v>9577.08333333333</v>
      </c>
      <c r="J15" s="7"/>
      <c r="K15" s="5"/>
      <c r="L15" s="5"/>
      <c r="M15" s="5">
        <v>9282600</v>
      </c>
      <c r="N15" s="6">
        <v>13813.3928571429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7669500</v>
      </c>
      <c r="X15" s="6">
        <v>11412.9464285714</v>
      </c>
      <c r="Y15" s="7"/>
      <c r="Z15" s="5"/>
      <c r="AA15" s="5"/>
      <c r="AB15" s="5">
        <v>5702225</v>
      </c>
      <c r="AC15" s="15" t="s">
        <v>53</v>
      </c>
      <c r="AD15" s="7"/>
      <c r="AE15" s="5"/>
      <c r="AF15" s="5"/>
      <c r="AG15" s="5">
        <v>337247</v>
      </c>
      <c r="AH15" s="15" t="s">
        <v>53</v>
      </c>
      <c r="AI15" s="7"/>
      <c r="AJ15" s="5"/>
      <c r="AK15" s="5"/>
      <c r="AL15" s="5">
        <v>5155595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178617</v>
      </c>
      <c r="BB15" s="15" t="s">
        <v>54</v>
      </c>
      <c r="BC15" s="7"/>
      <c r="BD15" s="5"/>
      <c r="BE15" s="5"/>
      <c r="BF15" s="5">
        <v>186845</v>
      </c>
      <c r="BG15" s="15" t="s">
        <v>54</v>
      </c>
      <c r="BH15" s="7"/>
      <c r="BI15" s="5"/>
      <c r="BJ15" s="5"/>
      <c r="BK15" s="5">
        <v>183934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135255</v>
      </c>
      <c r="D16" s="5"/>
      <c r="E16" s="7"/>
      <c r="F16" s="5"/>
      <c r="G16" s="5"/>
      <c r="H16" s="5">
        <v>145463.33</v>
      </c>
      <c r="I16" s="5"/>
      <c r="J16" s="7"/>
      <c r="K16" s="5"/>
      <c r="L16" s="5"/>
      <c r="M16" s="5">
        <v>195387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162652</v>
      </c>
      <c r="X16" s="5"/>
      <c r="Y16" s="7"/>
      <c r="Z16" s="5"/>
      <c r="AA16" s="5"/>
      <c r="AB16" s="5">
        <v>195387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162652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145463.33</v>
      </c>
      <c r="AW16" s="5"/>
      <c r="AX16" s="7"/>
      <c r="AY16" s="5"/>
      <c r="AZ16" s="5"/>
      <c r="BA16" s="5">
        <v>145463.33</v>
      </c>
      <c r="BB16" s="5"/>
      <c r="BC16" s="7"/>
      <c r="BD16" s="5"/>
      <c r="BE16" s="5"/>
      <c r="BF16" s="5">
        <v>162652</v>
      </c>
      <c r="BG16" s="5"/>
      <c r="BH16" s="7"/>
      <c r="BI16" s="5"/>
      <c r="BJ16" s="5"/>
      <c r="BK16" s="5">
        <v>195387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51356389.999628</v>
      </c>
    </row>
    <row r="21" spans="3:3">
      <c r="C21" s="2">
        <f t="shared" si="0"/>
        <v>100</v>
      </c>
    </row>
    <row r="22" spans="3:3">
      <c r="C22" s="2">
        <f t="shared" si="0"/>
        <v>2554000</v>
      </c>
    </row>
    <row r="23" spans="3:3">
      <c r="C23" s="2">
        <f t="shared" si="0"/>
        <v>0</v>
      </c>
    </row>
    <row r="24" spans="3:3">
      <c r="C24" s="2">
        <f t="shared" si="0"/>
        <v>545565</v>
      </c>
    </row>
    <row r="25" spans="3:3">
      <c r="C25" s="2">
        <f t="shared" si="0"/>
        <v>337247</v>
      </c>
    </row>
    <row r="26" spans="3:3">
      <c r="C26" s="2">
        <f t="shared" si="0"/>
        <v>34800</v>
      </c>
    </row>
    <row r="27" spans="3:3">
      <c r="C27" s="2">
        <f t="shared" si="0"/>
        <v>129955</v>
      </c>
    </row>
    <row r="28" spans="3:3">
      <c r="C28" s="2">
        <f t="shared" si="0"/>
        <v>1752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41101463</v>
      </c>
    </row>
    <row r="32" spans="3:3">
      <c r="C32" s="2">
        <f t="shared" si="0"/>
        <v>1645761.99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11325.202</v>
      </c>
      <c r="D4" s="6">
        <v>15.2220456989247</v>
      </c>
      <c r="E4" s="7">
        <v>1.3918673258</v>
      </c>
      <c r="F4" s="7">
        <v>0.00975077956436902</v>
      </c>
      <c r="G4" s="8">
        <v>0.000235235904916426</v>
      </c>
      <c r="H4" s="6">
        <v>10480.88967</v>
      </c>
      <c r="I4" s="6">
        <v>14.0872172983871</v>
      </c>
      <c r="J4" s="7">
        <v>1.288101340443</v>
      </c>
      <c r="K4" s="7">
        <v>0.00883768441000748</v>
      </c>
      <c r="L4" s="8">
        <v>0.000195285224445573</v>
      </c>
      <c r="M4" s="6">
        <v>4646.372874</v>
      </c>
      <c r="N4" s="6">
        <v>6.24512483064516</v>
      </c>
      <c r="O4" s="7">
        <v>0.5710392262146</v>
      </c>
      <c r="P4" s="13">
        <v>0.0029676708565357</v>
      </c>
      <c r="Q4" s="14">
        <v>5.71954353179687e-5</v>
      </c>
      <c r="R4" s="6">
        <v>16126.89648</v>
      </c>
      <c r="S4" s="6">
        <v>21.6759361290323</v>
      </c>
      <c r="T4" s="7">
        <v>1.981995577392</v>
      </c>
      <c r="U4" s="7" t="e">
        <v>#DIV/0!</v>
      </c>
      <c r="V4" s="8" t="e">
        <v>#DIV/0!</v>
      </c>
      <c r="W4" s="6">
        <v>32670.63898</v>
      </c>
      <c r="X4" s="6">
        <v>43.9121491666667</v>
      </c>
      <c r="Y4" s="7">
        <v>4.015221530642</v>
      </c>
      <c r="Z4" s="7">
        <v>0.0244676912100449</v>
      </c>
      <c r="AA4" s="8">
        <v>0.000520254674990541</v>
      </c>
      <c r="AB4" s="6">
        <v>1592800</v>
      </c>
      <c r="AC4" s="6">
        <v>2140.86021505376</v>
      </c>
      <c r="AD4" s="7">
        <v>195.75512</v>
      </c>
      <c r="AE4" s="7">
        <v>1.01733250181894</v>
      </c>
      <c r="AF4" s="8">
        <v>0.0319768407152301</v>
      </c>
      <c r="AG4" s="6">
        <v>63987.6</v>
      </c>
      <c r="AH4" s="6">
        <v>86.0048387096774</v>
      </c>
      <c r="AI4" s="7">
        <v>7.86407604</v>
      </c>
      <c r="AJ4" s="7" t="e">
        <v>#DIV/0!</v>
      </c>
      <c r="AK4" s="8">
        <v>0.0223904222079863</v>
      </c>
      <c r="AL4" s="6">
        <v>1759360</v>
      </c>
      <c r="AM4" s="6">
        <v>2364.7311827957</v>
      </c>
      <c r="AN4" s="7">
        <v>216.225344</v>
      </c>
      <c r="AO4" s="7">
        <v>1.3176196900727</v>
      </c>
      <c r="AP4" s="8">
        <v>0.0393455043840894</v>
      </c>
      <c r="AQ4" s="6">
        <v>12240</v>
      </c>
      <c r="AR4" s="6">
        <v>16.4516129032258</v>
      </c>
      <c r="AS4" s="7">
        <v>1.504296</v>
      </c>
      <c r="AT4" s="7">
        <v>0.00916677940074222</v>
      </c>
      <c r="AU4" s="8">
        <v>0.000273729636720884</v>
      </c>
      <c r="AV4" s="6">
        <v>2068932.4</v>
      </c>
      <c r="AW4" s="6">
        <v>2780.82311827957</v>
      </c>
      <c r="AX4" s="7">
        <v>254.27179196</v>
      </c>
      <c r="AY4" s="7"/>
      <c r="AZ4" s="8"/>
      <c r="BA4" s="6">
        <v>14277450</v>
      </c>
      <c r="BB4" s="6">
        <v>19190.1209677419</v>
      </c>
      <c r="BC4" s="7">
        <v>1754.698605</v>
      </c>
      <c r="BD4" s="7">
        <v>12.039015890114</v>
      </c>
      <c r="BE4" s="8">
        <v>9.6211130880579</v>
      </c>
      <c r="BF4" s="6">
        <v>15472050</v>
      </c>
      <c r="BG4" s="6">
        <v>20795.7661290323</v>
      </c>
      <c r="BH4" s="7">
        <v>1901.514945</v>
      </c>
      <c r="BI4" s="7">
        <v>11.5873259172593</v>
      </c>
      <c r="BJ4" s="8">
        <v>9.79940088330482</v>
      </c>
      <c r="BK4" s="6">
        <v>17046150</v>
      </c>
      <c r="BL4" s="6">
        <v>0</v>
      </c>
      <c r="BM4" s="7">
        <v>2094.971835</v>
      </c>
      <c r="BN4" s="7">
        <v>10.887495244777</v>
      </c>
      <c r="BO4" s="8">
        <v>10.9339197977067</v>
      </c>
    </row>
    <row r="5" s="1" customFormat="1" ht="30" customHeight="1" spans="1:67">
      <c r="A5" s="5" t="s">
        <v>13</v>
      </c>
      <c r="B5" s="5" t="s">
        <v>44</v>
      </c>
      <c r="C5" s="6">
        <v>27</v>
      </c>
      <c r="D5" s="6">
        <v>0.0362903225806452</v>
      </c>
      <c r="E5" s="7">
        <v>0.9207</v>
      </c>
      <c r="F5" s="7">
        <v>0.00644999891764437</v>
      </c>
      <c r="G5" s="8">
        <v>0.000155605131065254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30</v>
      </c>
      <c r="N5" s="6">
        <v>0.0403225806451613</v>
      </c>
      <c r="O5" s="7">
        <v>1.023</v>
      </c>
      <c r="P5" s="7">
        <v>0.00531649516682257</v>
      </c>
      <c r="Q5" s="8">
        <v>0.000102463942307692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801000</v>
      </c>
      <c r="D6" s="6">
        <v>1076.61290322581</v>
      </c>
      <c r="E6" s="7">
        <v>13.5369</v>
      </c>
      <c r="F6" s="7">
        <v>0.0948332685437819</v>
      </c>
      <c r="G6" s="8">
        <v>0.00228783653602393</v>
      </c>
      <c r="H6" s="6">
        <v>355000</v>
      </c>
      <c r="I6" s="6">
        <v>477.150537634409</v>
      </c>
      <c r="J6" s="7">
        <v>5.9995</v>
      </c>
      <c r="K6" s="7">
        <v>0.0411626678376135</v>
      </c>
      <c r="L6" s="8">
        <v>0.00090956640388114</v>
      </c>
      <c r="M6" s="6">
        <v>520000</v>
      </c>
      <c r="N6" s="6">
        <v>698.924731182796</v>
      </c>
      <c r="O6" s="7">
        <v>8.788</v>
      </c>
      <c r="P6" s="7">
        <v>0.0456709281779441</v>
      </c>
      <c r="Q6" s="8">
        <v>0.000880208333333333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1016000</v>
      </c>
      <c r="X6" s="6">
        <v>1365.59139784946</v>
      </c>
      <c r="Y6" s="7">
        <v>17.1704</v>
      </c>
      <c r="Z6" s="7">
        <v>0.104631847071656</v>
      </c>
      <c r="AA6" s="8">
        <v>0.00222477908212185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276318</v>
      </c>
      <c r="D8" s="6">
        <v>371.395161290323</v>
      </c>
      <c r="E8" s="7">
        <v>13.125105</v>
      </c>
      <c r="F8" s="7">
        <v>0.0919484229868238</v>
      </c>
      <c r="G8" s="8">
        <v>0.00221824012574152</v>
      </c>
      <c r="H8" s="6"/>
      <c r="I8" s="6"/>
      <c r="J8" s="7"/>
      <c r="K8" s="7"/>
      <c r="L8" s="8"/>
      <c r="M8" s="6">
        <v>328503</v>
      </c>
      <c r="N8" s="6">
        <v>441.536290322581</v>
      </c>
      <c r="O8" s="7">
        <v>15.6038925</v>
      </c>
      <c r="P8" s="7">
        <v>0.0810928827564702</v>
      </c>
      <c r="Q8" s="8">
        <v>0.00156288987379808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351225</v>
      </c>
      <c r="X9" s="6">
        <v>0</v>
      </c>
      <c r="Y9" s="7">
        <v>16.6831875</v>
      </c>
      <c r="Z9" s="7">
        <v>0.101662903786037</v>
      </c>
      <c r="AA9" s="8">
        <v>0.00216165066469719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37200</v>
      </c>
      <c r="AR10" s="6">
        <v>50</v>
      </c>
      <c r="AS10" s="7">
        <v>1.767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56</v>
      </c>
      <c r="AC11" s="6">
        <v>0.0752688172043011</v>
      </c>
      <c r="AD11" s="7">
        <v>0.0023184</v>
      </c>
      <c r="AE11" s="7">
        <v>1.20486435921422e-5</v>
      </c>
      <c r="AF11" s="8">
        <v>3.78713504475334e-7</v>
      </c>
      <c r="AG11" s="5">
        <v>24737</v>
      </c>
      <c r="AH11" s="6">
        <v>33.2486559139785</v>
      </c>
      <c r="AI11" s="7">
        <v>1.0241118</v>
      </c>
      <c r="AJ11" s="7" t="e">
        <v>#DIV/0!</v>
      </c>
      <c r="AK11" s="8">
        <v>0.00291582831518258</v>
      </c>
      <c r="AL11" s="5">
        <v>4422</v>
      </c>
      <c r="AM11" s="6">
        <v>5.94354838709677</v>
      </c>
      <c r="AN11" s="7">
        <v>0.1830708</v>
      </c>
      <c r="AO11" s="7">
        <v>0.00111558472422808</v>
      </c>
      <c r="AP11" s="8">
        <v>3.33125286367853e-5</v>
      </c>
      <c r="AQ11" s="5"/>
      <c r="AR11" s="6"/>
      <c r="AS11" s="7"/>
      <c r="AT11" s="9"/>
      <c r="AU11" s="9"/>
      <c r="AV11" s="5">
        <v>91474</v>
      </c>
      <c r="AW11" s="6">
        <v>122.948924731183</v>
      </c>
      <c r="AX11" s="7">
        <v>3.7870236</v>
      </c>
      <c r="AY11" s="7">
        <v>0.0259828309925832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271</v>
      </c>
      <c r="AC12" s="6">
        <v>0.364247311827957</v>
      </c>
      <c r="AD12" s="7">
        <v>0.0112194</v>
      </c>
      <c r="AE12" s="9">
        <v>5.83068288119738e-5</v>
      </c>
      <c r="AF12" s="9">
        <v>1.83270285201456e-6</v>
      </c>
      <c r="AG12" s="5"/>
      <c r="AH12" s="6"/>
      <c r="AI12" s="7"/>
      <c r="AJ12" s="9"/>
      <c r="AK12" s="9"/>
      <c r="AL12" s="5">
        <v>605</v>
      </c>
      <c r="AM12" s="6">
        <v>0.813172043010753</v>
      </c>
      <c r="AN12" s="7">
        <v>0.025047</v>
      </c>
      <c r="AO12" s="7">
        <v>0.000152629750827224</v>
      </c>
      <c r="AP12" s="8">
        <v>0.000152629750827224</v>
      </c>
      <c r="AQ12" s="5"/>
      <c r="AR12" s="6"/>
      <c r="AS12" s="7"/>
      <c r="AT12" s="9"/>
      <c r="AU12" s="9"/>
      <c r="AV12" s="5">
        <v>46</v>
      </c>
      <c r="AW12" s="6">
        <v>0.0618279569892473</v>
      </c>
      <c r="AX12" s="7">
        <v>0.0019044</v>
      </c>
      <c r="AY12" s="7">
        <v>1.30661196149598e-5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5916900</v>
      </c>
      <c r="D15" s="6">
        <v>7952.82258064516</v>
      </c>
      <c r="E15" s="7"/>
      <c r="F15" s="5"/>
      <c r="G15" s="5"/>
      <c r="H15" s="5">
        <v>6596000</v>
      </c>
      <c r="I15" s="6">
        <v>8865.59139784946</v>
      </c>
      <c r="J15" s="7"/>
      <c r="K15" s="5"/>
      <c r="L15" s="5"/>
      <c r="M15" s="5">
        <v>9984000</v>
      </c>
      <c r="N15" s="6">
        <v>13419.3548387097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7717800</v>
      </c>
      <c r="X15" s="6">
        <v>10373.3870967742</v>
      </c>
      <c r="Y15" s="7"/>
      <c r="Z15" s="5"/>
      <c r="AA15" s="5"/>
      <c r="AB15" s="5">
        <v>6121778</v>
      </c>
      <c r="AC15" s="15" t="s">
        <v>53</v>
      </c>
      <c r="AD15" s="7"/>
      <c r="AE15" s="5"/>
      <c r="AF15" s="5"/>
      <c r="AG15" s="5">
        <v>351225</v>
      </c>
      <c r="AH15" s="15" t="s">
        <v>53</v>
      </c>
      <c r="AI15" s="7"/>
      <c r="AJ15" s="5"/>
      <c r="AK15" s="5"/>
      <c r="AL15" s="5">
        <v>5495554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182380</v>
      </c>
      <c r="BB15" s="15" t="s">
        <v>54</v>
      </c>
      <c r="BC15" s="7"/>
      <c r="BD15" s="5"/>
      <c r="BE15" s="5"/>
      <c r="BF15" s="5">
        <v>194044</v>
      </c>
      <c r="BG15" s="15" t="s">
        <v>54</v>
      </c>
      <c r="BH15" s="7"/>
      <c r="BI15" s="5"/>
      <c r="BJ15" s="5"/>
      <c r="BK15" s="5">
        <v>191603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142744.21</v>
      </c>
      <c r="D16" s="5"/>
      <c r="E16" s="7"/>
      <c r="F16" s="5"/>
      <c r="G16" s="5"/>
      <c r="H16" s="5">
        <v>145751</v>
      </c>
      <c r="I16" s="5"/>
      <c r="J16" s="7"/>
      <c r="K16" s="5"/>
      <c r="L16" s="5"/>
      <c r="M16" s="5">
        <v>192420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164103</v>
      </c>
      <c r="X16" s="5"/>
      <c r="Y16" s="7"/>
      <c r="Z16" s="5"/>
      <c r="AA16" s="5"/>
      <c r="AB16" s="5">
        <v>192420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164103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145751</v>
      </c>
      <c r="AW16" s="5"/>
      <c r="AX16" s="7"/>
      <c r="AY16" s="5"/>
      <c r="AZ16" s="5"/>
      <c r="BA16" s="5">
        <v>145751</v>
      </c>
      <c r="BB16" s="5"/>
      <c r="BC16" s="7"/>
      <c r="BD16" s="5"/>
      <c r="BE16" s="5"/>
      <c r="BF16" s="5">
        <v>164103</v>
      </c>
      <c r="BG16" s="5"/>
      <c r="BH16" s="7"/>
      <c r="BI16" s="5"/>
      <c r="BJ16" s="5"/>
      <c r="BK16" s="5">
        <v>192420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52368220.000004</v>
      </c>
    </row>
    <row r="21" spans="3:3">
      <c r="C21" s="2">
        <f t="shared" si="0"/>
        <v>57</v>
      </c>
    </row>
    <row r="22" spans="3:3">
      <c r="C22" s="2">
        <f t="shared" si="0"/>
        <v>2692000</v>
      </c>
    </row>
    <row r="23" spans="3:3">
      <c r="C23" s="2">
        <f t="shared" si="0"/>
        <v>0</v>
      </c>
    </row>
    <row r="24" spans="3:3">
      <c r="C24" s="2">
        <f t="shared" si="0"/>
        <v>604821</v>
      </c>
    </row>
    <row r="25" spans="3:3">
      <c r="C25" s="2">
        <f t="shared" si="0"/>
        <v>351225</v>
      </c>
    </row>
    <row r="26" spans="3:3">
      <c r="C26" s="2">
        <f t="shared" si="0"/>
        <v>37200</v>
      </c>
    </row>
    <row r="27" spans="3:3">
      <c r="C27" s="2">
        <f t="shared" si="0"/>
        <v>120689</v>
      </c>
    </row>
    <row r="28" spans="3:3">
      <c r="C28" s="2">
        <f t="shared" si="0"/>
        <v>922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42751284</v>
      </c>
    </row>
    <row r="32" spans="3:3">
      <c r="C32" s="2">
        <f t="shared" si="0"/>
        <v>1649566.21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3" width="12.6283185840708" style="2" customWidth="1"/>
    <col min="4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10492.93134</v>
      </c>
      <c r="D4" s="6">
        <v>14.57351575</v>
      </c>
      <c r="E4" s="7">
        <v>1.289581261686</v>
      </c>
      <c r="F4" s="7">
        <v>0.00934425005569242</v>
      </c>
      <c r="G4" s="8">
        <v>0.000270556659467523</v>
      </c>
      <c r="H4" s="6">
        <v>9710.666149</v>
      </c>
      <c r="I4" s="6">
        <v>13.4870363180556</v>
      </c>
      <c r="J4" s="7">
        <v>1.1934408697121</v>
      </c>
      <c r="K4" s="7">
        <v>0.00801074553438113</v>
      </c>
      <c r="L4" s="8">
        <v>0.00018632374784739</v>
      </c>
      <c r="M4" s="6">
        <v>4304.918496</v>
      </c>
      <c r="N4" s="6">
        <v>5.97905346666667</v>
      </c>
      <c r="O4" s="7">
        <v>0.5290744831584</v>
      </c>
      <c r="P4" s="13">
        <v>0.00268454489217691</v>
      </c>
      <c r="Q4" s="14">
        <v>5.84858264418651e-5</v>
      </c>
      <c r="R4" s="6">
        <v>14942</v>
      </c>
      <c r="S4" s="6">
        <v>0</v>
      </c>
      <c r="T4" s="7">
        <v>0</v>
      </c>
      <c r="U4" s="7" t="e">
        <v>#DIV/0!</v>
      </c>
      <c r="V4" s="8" t="e">
        <v>#DIV/0!</v>
      </c>
      <c r="W4" s="6">
        <v>30269.72691</v>
      </c>
      <c r="X4" s="6">
        <v>42.041287375</v>
      </c>
      <c r="Y4" s="7">
        <v>3.720149437239</v>
      </c>
      <c r="Z4" s="7">
        <v>0.0207679908738339</v>
      </c>
      <c r="AA4" s="8">
        <v>0.000428801069336077</v>
      </c>
      <c r="AB4" s="6">
        <v>1535800</v>
      </c>
      <c r="AC4" s="6">
        <v>2133.05555555556</v>
      </c>
      <c r="AD4" s="7">
        <v>188.74982</v>
      </c>
      <c r="AE4" s="7">
        <v>0.957724065911166</v>
      </c>
      <c r="AF4" s="8">
        <v>0.0327381863599837</v>
      </c>
      <c r="AG4" s="6">
        <v>67016.4</v>
      </c>
      <c r="AH4" s="6">
        <v>93.0783333333333</v>
      </c>
      <c r="AI4" s="7">
        <v>8.23631556</v>
      </c>
      <c r="AJ4" s="7" t="e">
        <v>#DIV/0!</v>
      </c>
      <c r="AK4" s="8">
        <v>0.0239811895215884</v>
      </c>
      <c r="AL4" s="6">
        <v>1777840</v>
      </c>
      <c r="AM4" s="6">
        <v>2469.22222222222</v>
      </c>
      <c r="AN4" s="7">
        <v>218.496536</v>
      </c>
      <c r="AO4" s="7">
        <v>1.21977198555231</v>
      </c>
      <c r="AP4" s="8">
        <v>0.0406983872007224</v>
      </c>
      <c r="AQ4" s="6">
        <v>7560</v>
      </c>
      <c r="AR4" s="6">
        <v>10.5</v>
      </c>
      <c r="AS4" s="7">
        <v>0.929124</v>
      </c>
      <c r="AT4" s="7">
        <v>0.00518689882710226</v>
      </c>
      <c r="AU4" s="8">
        <v>0.00017306383433687</v>
      </c>
      <c r="AV4" s="6">
        <v>2166863.6</v>
      </c>
      <c r="AW4" s="6">
        <v>3009.53277777778</v>
      </c>
      <c r="AX4" s="7">
        <v>266.30753644</v>
      </c>
      <c r="AY4" s="7"/>
      <c r="AZ4" s="8"/>
      <c r="BA4" s="6">
        <v>14128950</v>
      </c>
      <c r="BB4" s="6">
        <v>19623.5416666667</v>
      </c>
      <c r="BC4" s="7">
        <v>1736.447955</v>
      </c>
      <c r="BD4" s="7">
        <v>11.6555776278695</v>
      </c>
      <c r="BE4" s="8">
        <v>9.7633337175436</v>
      </c>
      <c r="BF4" s="6">
        <v>15788850</v>
      </c>
      <c r="BG4" s="6">
        <v>21928.9583333333</v>
      </c>
      <c r="BH4" s="7">
        <v>1940.449665</v>
      </c>
      <c r="BI4" s="7">
        <v>10.8326941198801</v>
      </c>
      <c r="BJ4" s="8">
        <v>10.3360001757778</v>
      </c>
      <c r="BK4" s="6">
        <v>16318500</v>
      </c>
      <c r="BL4" s="6">
        <v>0</v>
      </c>
      <c r="BM4" s="7">
        <v>2005.54365</v>
      </c>
      <c r="BN4" s="7">
        <v>10.1762079499748</v>
      </c>
      <c r="BO4" s="8">
        <v>10.7769304552489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>
        <v>0</v>
      </c>
      <c r="G5" s="8">
        <v>0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0</v>
      </c>
      <c r="N5" s="6">
        <v>0</v>
      </c>
      <c r="O5" s="7">
        <v>0</v>
      </c>
      <c r="P5" s="7">
        <v>0</v>
      </c>
      <c r="Q5" s="8">
        <v>0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802000</v>
      </c>
      <c r="D6" s="6">
        <v>1113.88888888889</v>
      </c>
      <c r="E6" s="7">
        <v>13.5538</v>
      </c>
      <c r="F6" s="7">
        <v>0.0982102486812359</v>
      </c>
      <c r="G6" s="8">
        <v>0.00284361362873447</v>
      </c>
      <c r="H6" s="6">
        <v>316000</v>
      </c>
      <c r="I6" s="6">
        <v>438.888888888889</v>
      </c>
      <c r="J6" s="7">
        <v>5.3404</v>
      </c>
      <c r="K6" s="7">
        <v>0.0358464223385689</v>
      </c>
      <c r="L6" s="8">
        <v>0.000833760069943171</v>
      </c>
      <c r="M6" s="6">
        <v>511000</v>
      </c>
      <c r="N6" s="6">
        <v>709.722222222222</v>
      </c>
      <c r="O6" s="7">
        <v>8.6359</v>
      </c>
      <c r="P6" s="7">
        <v>0.0438188987984319</v>
      </c>
      <c r="Q6" s="8">
        <v>0.000954643938891468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971000</v>
      </c>
      <c r="X6" s="6">
        <v>1348.61111111111</v>
      </c>
      <c r="Y6" s="7">
        <v>16.4099</v>
      </c>
      <c r="Z6" s="7">
        <v>0.0916093988131458</v>
      </c>
      <c r="AA6" s="8">
        <v>0.00189147849741231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312887</v>
      </c>
      <c r="D8" s="6">
        <v>434.565277777778</v>
      </c>
      <c r="E8" s="7">
        <v>14.8621325</v>
      </c>
      <c r="F8" s="7">
        <v>0.107690369398875</v>
      </c>
      <c r="G8" s="8">
        <v>0.00311810433450822</v>
      </c>
      <c r="H8" s="6"/>
      <c r="I8" s="6"/>
      <c r="J8" s="7"/>
      <c r="K8" s="7"/>
      <c r="L8" s="8"/>
      <c r="M8" s="6">
        <v>373003</v>
      </c>
      <c r="N8" s="6">
        <v>518.059722222222</v>
      </c>
      <c r="O8" s="7">
        <v>17.7176425</v>
      </c>
      <c r="P8" s="7">
        <v>0.089900020108419</v>
      </c>
      <c r="Q8" s="8">
        <v>0.0019585729367027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343449</v>
      </c>
      <c r="X9" s="6">
        <v>0</v>
      </c>
      <c r="Y9" s="7">
        <v>16.3138275</v>
      </c>
      <c r="Z9" s="7">
        <v>0.0910730674541811</v>
      </c>
      <c r="AA9" s="8">
        <v>0.00188040475120163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36000</v>
      </c>
      <c r="AR10" s="6">
        <v>50</v>
      </c>
      <c r="AS10" s="7">
        <v>1.71</v>
      </c>
      <c r="AT10" s="7" t="e">
        <v>#DIV/0!</v>
      </c>
      <c r="AU10" s="8">
        <v>22.2077922077922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28463</v>
      </c>
      <c r="AH11" s="6">
        <v>39.5319444444444</v>
      </c>
      <c r="AI11" s="7">
        <v>1.1783682</v>
      </c>
      <c r="AJ11" s="7" t="e">
        <v>#DIV/0!</v>
      </c>
      <c r="AK11" s="8">
        <v>0.00343098451298446</v>
      </c>
      <c r="AL11" s="5">
        <v>768</v>
      </c>
      <c r="AM11" s="6">
        <v>1.06666666666667</v>
      </c>
      <c r="AN11" s="7">
        <v>0.0317952</v>
      </c>
      <c r="AO11" s="7">
        <v>0.000177498897442625</v>
      </c>
      <c r="AP11" s="8">
        <v>5.92235183410143e-6</v>
      </c>
      <c r="AQ11" s="5"/>
      <c r="AR11" s="6"/>
      <c r="AS11" s="7"/>
      <c r="AT11" s="9"/>
      <c r="AU11" s="9"/>
      <c r="AV11" s="5">
        <v>135955</v>
      </c>
      <c r="AW11" s="6">
        <v>188.826388888889</v>
      </c>
      <c r="AX11" s="7">
        <v>5.628537</v>
      </c>
      <c r="AY11" s="7">
        <v>0.0377804873137334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88</v>
      </c>
      <c r="AC12" s="6">
        <v>0.122222222222222</v>
      </c>
      <c r="AD12" s="7">
        <v>0.0036432</v>
      </c>
      <c r="AE12" s="9">
        <v>1.84857411621773e-5</v>
      </c>
      <c r="AF12" s="9">
        <v>6.31903969745204e-7</v>
      </c>
      <c r="AG12" s="5"/>
      <c r="AH12" s="6"/>
      <c r="AI12" s="7"/>
      <c r="AJ12" s="9"/>
      <c r="AK12" s="9"/>
      <c r="AL12" s="5">
        <v>1190</v>
      </c>
      <c r="AM12" s="6">
        <v>1.65277777777778</v>
      </c>
      <c r="AN12" s="7">
        <v>0.049266</v>
      </c>
      <c r="AO12" s="7">
        <v>0.000275030843693651</v>
      </c>
      <c r="AP12" s="8">
        <v>0.000275030843693651</v>
      </c>
      <c r="AQ12" s="5"/>
      <c r="AR12" s="6"/>
      <c r="AS12" s="7"/>
      <c r="AT12" s="9"/>
      <c r="AU12" s="9"/>
      <c r="AV12" s="5">
        <v>2180</v>
      </c>
      <c r="AW12" s="6">
        <v>3.02777777777778</v>
      </c>
      <c r="AX12" s="7">
        <v>0.090252</v>
      </c>
      <c r="AY12" s="7">
        <v>0.000605799436165928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4766400</v>
      </c>
      <c r="D15" s="6">
        <v>6620</v>
      </c>
      <c r="E15" s="7"/>
      <c r="F15" s="5"/>
      <c r="G15" s="5"/>
      <c r="H15" s="5">
        <v>6405200</v>
      </c>
      <c r="I15" s="6">
        <v>8896.11111111111</v>
      </c>
      <c r="J15" s="7"/>
      <c r="K15" s="5"/>
      <c r="L15" s="5"/>
      <c r="M15" s="5">
        <v>9046200</v>
      </c>
      <c r="N15" s="6">
        <v>12564.1666666667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8675700</v>
      </c>
      <c r="X15" s="6">
        <v>12049.5833333333</v>
      </c>
      <c r="Y15" s="7"/>
      <c r="Z15" s="5"/>
      <c r="AA15" s="5"/>
      <c r="AB15" s="5">
        <v>5765433</v>
      </c>
      <c r="AC15" s="15" t="s">
        <v>53</v>
      </c>
      <c r="AD15" s="7"/>
      <c r="AE15" s="5"/>
      <c r="AF15" s="5"/>
      <c r="AG15" s="5">
        <v>343449</v>
      </c>
      <c r="AH15" s="15" t="s">
        <v>53</v>
      </c>
      <c r="AI15" s="7"/>
      <c r="AJ15" s="5"/>
      <c r="AK15" s="5"/>
      <c r="AL15" s="5">
        <v>5368678</v>
      </c>
      <c r="AM15" s="15" t="s">
        <v>53</v>
      </c>
      <c r="AN15" s="7"/>
      <c r="AO15" s="5"/>
      <c r="AP15" s="5"/>
      <c r="AQ15" s="5">
        <v>77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177854</v>
      </c>
      <c r="BB15" s="15" t="s">
        <v>54</v>
      </c>
      <c r="BC15" s="7"/>
      <c r="BD15" s="5"/>
      <c r="BE15" s="5"/>
      <c r="BF15" s="5">
        <v>187737</v>
      </c>
      <c r="BG15" s="15" t="s">
        <v>54</v>
      </c>
      <c r="BH15" s="7"/>
      <c r="BI15" s="5"/>
      <c r="BJ15" s="5"/>
      <c r="BK15" s="5">
        <v>186096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138008</v>
      </c>
      <c r="D16" s="5"/>
      <c r="E16" s="7"/>
      <c r="F16" s="5"/>
      <c r="G16" s="5"/>
      <c r="H16" s="5">
        <v>148980</v>
      </c>
      <c r="I16" s="5"/>
      <c r="J16" s="7"/>
      <c r="K16" s="5"/>
      <c r="L16" s="5"/>
      <c r="M16" s="5">
        <v>197081.63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179129</v>
      </c>
      <c r="X16" s="5"/>
      <c r="Y16" s="7"/>
      <c r="Z16" s="5"/>
      <c r="AA16" s="5"/>
      <c r="AB16" s="5">
        <v>197081.63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179129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148980</v>
      </c>
      <c r="AW16" s="5"/>
      <c r="AX16" s="7"/>
      <c r="AY16" s="5"/>
      <c r="AZ16" s="5"/>
      <c r="BA16" s="5">
        <v>148980</v>
      </c>
      <c r="BB16" s="5"/>
      <c r="BC16" s="7"/>
      <c r="BD16" s="5"/>
      <c r="BE16" s="5"/>
      <c r="BF16" s="5">
        <v>179129</v>
      </c>
      <c r="BG16" s="5"/>
      <c r="BH16" s="7"/>
      <c r="BI16" s="5"/>
      <c r="BJ16" s="5"/>
      <c r="BK16" s="5">
        <v>197081.63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>
        <f>C4+H4+M4+R4+W4+AB4+AG4+AL4+AQ4+AV4+BA4+BF4+BK4</f>
        <v>51861100.242895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17">
        <f t="shared" ref="C20:C32" si="0">C4+H4+M4+R4+W4+AB4+AG4+AL4+AQ4+AV4+BA4+BF4+BK4</f>
        <v>51861100.242895</v>
      </c>
    </row>
    <row r="21" spans="3:3">
      <c r="C21" s="2">
        <f t="shared" si="0"/>
        <v>0</v>
      </c>
    </row>
    <row r="22" spans="3:3">
      <c r="C22" s="2">
        <f t="shared" si="0"/>
        <v>2600000</v>
      </c>
    </row>
    <row r="23" spans="3:3">
      <c r="C23" s="2">
        <f t="shared" si="0"/>
        <v>0</v>
      </c>
    </row>
    <row r="24" spans="3:3">
      <c r="C24" s="2">
        <f t="shared" si="0"/>
        <v>685890</v>
      </c>
    </row>
    <row r="25" spans="3:3">
      <c r="C25" s="2">
        <f t="shared" si="0"/>
        <v>343449</v>
      </c>
    </row>
    <row r="26" spans="3:3">
      <c r="C26" s="2">
        <f t="shared" si="0"/>
        <v>36000</v>
      </c>
    </row>
    <row r="27" spans="3:3">
      <c r="C27" s="2">
        <f t="shared" si="0"/>
        <v>165186</v>
      </c>
    </row>
    <row r="28" spans="3:3">
      <c r="C28" s="2">
        <f t="shared" si="0"/>
        <v>3458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40922824</v>
      </c>
    </row>
    <row r="32" spans="3:3">
      <c r="C32" s="2">
        <f t="shared" si="0"/>
        <v>1713579.89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5425.561887</v>
      </c>
      <c r="D4" s="6">
        <v>7.29242189112903</v>
      </c>
      <c r="E4" s="7">
        <v>0.6668015559123</v>
      </c>
      <c r="F4" s="7">
        <v>0.00453283867348227</v>
      </c>
      <c r="G4" s="8">
        <v>0.0001241577395286</v>
      </c>
      <c r="H4" s="6">
        <v>5021.077376</v>
      </c>
      <c r="I4" s="6">
        <v>6.7487599139785</v>
      </c>
      <c r="J4" s="7">
        <v>0.6170904095104</v>
      </c>
      <c r="K4" s="7">
        <v>0.00381346077722888</v>
      </c>
      <c r="L4" s="8">
        <v>8.97533830046834e-5</v>
      </c>
      <c r="M4" s="6">
        <v>2225.936772</v>
      </c>
      <c r="N4" s="6">
        <v>2.9918505</v>
      </c>
      <c r="O4" s="7">
        <v>0.2735676292788</v>
      </c>
      <c r="P4" s="13">
        <v>0.00135116610778998</v>
      </c>
      <c r="Q4" s="14">
        <v>2.74848422929652e-5</v>
      </c>
      <c r="R4" s="6">
        <v>7725.908546</v>
      </c>
      <c r="S4" s="6">
        <v>10.3842856801075</v>
      </c>
      <c r="T4" s="7">
        <v>0.9495141603034</v>
      </c>
      <c r="U4" s="7" t="e">
        <v>#DIV/0!</v>
      </c>
      <c r="V4" s="8" t="e">
        <v>#DIV/0!</v>
      </c>
      <c r="W4" s="6">
        <v>15651.51542</v>
      </c>
      <c r="X4" s="6">
        <v>21.0369830913979</v>
      </c>
      <c r="Y4" s="7">
        <v>1.923571245118</v>
      </c>
      <c r="Z4" s="7">
        <v>0.0102169256617678</v>
      </c>
      <c r="AA4" s="8">
        <v>0.000221604484357273</v>
      </c>
      <c r="AB4" s="6">
        <v>1608000</v>
      </c>
      <c r="AC4" s="6">
        <v>2161.29032258065</v>
      </c>
      <c r="AD4" s="7">
        <v>197.6232</v>
      </c>
      <c r="AE4" s="7">
        <v>0.976072244574199</v>
      </c>
      <c r="AF4" s="8">
        <v>0.0331078710753937</v>
      </c>
      <c r="AG4" s="6">
        <v>69619.2</v>
      </c>
      <c r="AH4" s="6">
        <v>93.5741935483871</v>
      </c>
      <c r="AI4" s="7">
        <v>8.55619968</v>
      </c>
      <c r="AJ4" s="7" t="e">
        <v>#DIV/0!</v>
      </c>
      <c r="AK4" s="8">
        <v>0.0249125770638435</v>
      </c>
      <c r="AL4" s="6">
        <v>1873120</v>
      </c>
      <c r="AM4" s="6">
        <v>2517.63440860215</v>
      </c>
      <c r="AN4" s="7">
        <v>230.206448</v>
      </c>
      <c r="AO4" s="7">
        <v>1.22272682753236</v>
      </c>
      <c r="AP4" s="8">
        <v>0.0415766778347429</v>
      </c>
      <c r="AQ4" s="6">
        <v>489480</v>
      </c>
      <c r="AR4" s="6">
        <v>657.903225806452</v>
      </c>
      <c r="AS4" s="7">
        <v>60.157092</v>
      </c>
      <c r="AT4" s="7">
        <v>0.319520547290371</v>
      </c>
      <c r="AU4" s="8">
        <v>0.0108647349163695</v>
      </c>
      <c r="AV4" s="6">
        <v>2251020.8</v>
      </c>
      <c r="AW4" s="6">
        <v>3025.56559139785</v>
      </c>
      <c r="AX4" s="7">
        <v>276.65045632</v>
      </c>
      <c r="AY4" s="7"/>
      <c r="AZ4" s="8"/>
      <c r="BA4" s="6">
        <v>14940750</v>
      </c>
      <c r="BB4" s="6">
        <v>20081.6532258065</v>
      </c>
      <c r="BC4" s="7">
        <v>1836.218175</v>
      </c>
      <c r="BD4" s="7">
        <v>11.3473583139186</v>
      </c>
      <c r="BE4" s="8">
        <v>10.0348016230839</v>
      </c>
      <c r="BF4" s="6">
        <v>16663350</v>
      </c>
      <c r="BG4" s="6">
        <v>22396.9758064516</v>
      </c>
      <c r="BH4" s="7">
        <v>2047.925715</v>
      </c>
      <c r="BI4" s="7">
        <v>10.8774264764464</v>
      </c>
      <c r="BJ4" s="8">
        <v>10.6168450807179</v>
      </c>
      <c r="BK4" s="6">
        <v>17259000</v>
      </c>
      <c r="BL4" s="6">
        <v>0</v>
      </c>
      <c r="BM4" s="7">
        <v>2121.1311</v>
      </c>
      <c r="BN4" s="7">
        <v>10.4763873564093</v>
      </c>
      <c r="BO4" s="8">
        <v>11.3764680958332</v>
      </c>
    </row>
    <row r="5" s="1" customFormat="1" ht="30" customHeight="1" spans="1:67">
      <c r="A5" s="5" t="s">
        <v>13</v>
      </c>
      <c r="B5" s="5" t="s">
        <v>44</v>
      </c>
      <c r="C5" s="6">
        <v>247</v>
      </c>
      <c r="D5" s="6">
        <v>0.331989247311828</v>
      </c>
      <c r="E5" s="7">
        <v>8.4227</v>
      </c>
      <c r="F5" s="7">
        <v>0.0572565255084085</v>
      </c>
      <c r="G5" s="8">
        <v>0.00156829776933676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240</v>
      </c>
      <c r="N5" s="6">
        <v>0.32258064516129</v>
      </c>
      <c r="O5" s="7">
        <v>8.184</v>
      </c>
      <c r="P5" s="7">
        <v>0.0404212422913668</v>
      </c>
      <c r="Q5" s="8">
        <v>0.000822231599252517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829000</v>
      </c>
      <c r="D6" s="6">
        <v>1114.24731182796</v>
      </c>
      <c r="E6" s="7">
        <v>14.0101</v>
      </c>
      <c r="F6" s="7">
        <v>0.0952390145707854</v>
      </c>
      <c r="G6" s="8">
        <v>0.00260866569843221</v>
      </c>
      <c r="H6" s="6">
        <v>332000</v>
      </c>
      <c r="I6" s="6">
        <v>446.236559139785</v>
      </c>
      <c r="J6" s="7">
        <v>5.6108</v>
      </c>
      <c r="K6" s="7">
        <v>0.0346733078315896</v>
      </c>
      <c r="L6" s="8">
        <v>0.000816068883264974</v>
      </c>
      <c r="M6" s="6">
        <v>536000</v>
      </c>
      <c r="N6" s="6">
        <v>720.430107526882</v>
      </c>
      <c r="O6" s="7">
        <v>9.0584</v>
      </c>
      <c r="P6" s="7">
        <v>0.044739953711158</v>
      </c>
      <c r="Q6" s="8">
        <v>0.000910080977354472</v>
      </c>
      <c r="R6" s="6">
        <v>8000</v>
      </c>
      <c r="S6" s="6">
        <v>10.752688172043</v>
      </c>
      <c r="T6" s="7">
        <v>0.1352</v>
      </c>
      <c r="U6" s="7" t="e">
        <v>#DIV/0!</v>
      </c>
      <c r="V6" s="8" t="e">
        <v>#DIV/0!</v>
      </c>
      <c r="W6" s="6">
        <v>1002000</v>
      </c>
      <c r="X6" s="6">
        <v>1346.77419354839</v>
      </c>
      <c r="Y6" s="7">
        <v>16.9338</v>
      </c>
      <c r="Z6" s="7">
        <v>0.0899427958337096</v>
      </c>
      <c r="AA6" s="8">
        <v>0.0019508536669662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457265</v>
      </c>
      <c r="D8" s="6">
        <v>614.603494623656</v>
      </c>
      <c r="E8" s="7">
        <v>21.7200875</v>
      </c>
      <c r="F8" s="7">
        <v>0.147650604199202</v>
      </c>
      <c r="G8" s="8">
        <v>0.00404425715934905</v>
      </c>
      <c r="H8" s="6"/>
      <c r="I8" s="6"/>
      <c r="J8" s="7"/>
      <c r="K8" s="7"/>
      <c r="L8" s="8"/>
      <c r="M8" s="6">
        <v>389930</v>
      </c>
      <c r="N8" s="6">
        <v>524.099462365591</v>
      </c>
      <c r="O8" s="7">
        <v>18.521675</v>
      </c>
      <c r="P8" s="7">
        <v>0.0914796081154633</v>
      </c>
      <c r="Q8" s="8">
        <v>0.0018608390097856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351338</v>
      </c>
      <c r="X9" s="6">
        <v>0</v>
      </c>
      <c r="Y9" s="7">
        <v>16.688555</v>
      </c>
      <c r="Z9" s="7">
        <v>0.0886401926989</v>
      </c>
      <c r="AA9" s="8">
        <v>0.0019226002857077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37200</v>
      </c>
      <c r="AR10" s="6">
        <v>50</v>
      </c>
      <c r="AS10" s="7">
        <v>1.767</v>
      </c>
      <c r="AT10" s="7" t="e">
        <v>#DIV/0!</v>
      </c>
      <c r="AU10" s="8">
        <v>0.000919784581974304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31272</v>
      </c>
      <c r="AH11" s="6">
        <v>42.0322580645161</v>
      </c>
      <c r="AI11" s="7">
        <v>1.2946608</v>
      </c>
      <c r="AJ11" s="7" t="e">
        <v>#DIV/0!</v>
      </c>
      <c r="AK11" s="8">
        <v>0.00376958675087131</v>
      </c>
      <c r="AL11" s="5">
        <v>2605</v>
      </c>
      <c r="AM11" s="6">
        <v>3.50134408602151</v>
      </c>
      <c r="AN11" s="7">
        <v>0.107847</v>
      </c>
      <c r="AO11" s="7">
        <v>0.000572822444004185</v>
      </c>
      <c r="AP11" s="8">
        <v>1.94778209446311e-5</v>
      </c>
      <c r="AQ11" s="5"/>
      <c r="AR11" s="6"/>
      <c r="AS11" s="7"/>
      <c r="AT11" s="9"/>
      <c r="AU11" s="9"/>
      <c r="AV11" s="5">
        <v>138453</v>
      </c>
      <c r="AW11" s="6">
        <v>186.092741935484</v>
      </c>
      <c r="AX11" s="7">
        <v>5.7319542</v>
      </c>
      <c r="AY11" s="7">
        <v>0.0354220097763551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137</v>
      </c>
      <c r="AC12" s="6">
        <v>0.184139784946237</v>
      </c>
      <c r="AD12" s="7">
        <v>0.0056718</v>
      </c>
      <c r="AE12" s="9">
        <v>2.80133433563263e-5</v>
      </c>
      <c r="AF12" s="9">
        <v>9.50198272092638e-7</v>
      </c>
      <c r="AG12" s="5"/>
      <c r="AH12" s="6"/>
      <c r="AI12" s="7"/>
      <c r="AJ12" s="9"/>
      <c r="AK12" s="9"/>
      <c r="AL12" s="5">
        <v>435</v>
      </c>
      <c r="AM12" s="6">
        <v>0.584677419354839</v>
      </c>
      <c r="AN12" s="7">
        <v>0.018009</v>
      </c>
      <c r="AO12" s="7">
        <v>9.56536518778582e-5</v>
      </c>
      <c r="AP12" s="8">
        <v>9.56536518778582e-5</v>
      </c>
      <c r="AQ12" s="5"/>
      <c r="AR12" s="6"/>
      <c r="AS12" s="7"/>
      <c r="AT12" s="9"/>
      <c r="AU12" s="9"/>
      <c r="AV12" s="5">
        <v>136</v>
      </c>
      <c r="AW12" s="6">
        <v>0.182795698924731</v>
      </c>
      <c r="AX12" s="7">
        <v>0.0056304</v>
      </c>
      <c r="AY12" s="7">
        <v>3.47944308146757e-5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5370600</v>
      </c>
      <c r="D15" s="6">
        <v>7218.54838709677</v>
      </c>
      <c r="E15" s="7"/>
      <c r="F15" s="5"/>
      <c r="G15" s="5"/>
      <c r="H15" s="5">
        <v>6875400</v>
      </c>
      <c r="I15" s="6">
        <v>9241.12903225806</v>
      </c>
      <c r="J15" s="7"/>
      <c r="K15" s="5"/>
      <c r="L15" s="5"/>
      <c r="M15" s="5">
        <v>9953400</v>
      </c>
      <c r="N15" s="6">
        <v>13378.2258064516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8680200</v>
      </c>
      <c r="X15" s="6">
        <v>11666.935483871</v>
      </c>
      <c r="Y15" s="7"/>
      <c r="Z15" s="5"/>
      <c r="AA15" s="5"/>
      <c r="AB15" s="5">
        <v>5969070</v>
      </c>
      <c r="AC15" s="15" t="s">
        <v>53</v>
      </c>
      <c r="AD15" s="7"/>
      <c r="AE15" s="5"/>
      <c r="AF15" s="5"/>
      <c r="AG15" s="5">
        <v>343449</v>
      </c>
      <c r="AH15" s="15" t="s">
        <v>53</v>
      </c>
      <c r="AI15" s="7"/>
      <c r="AJ15" s="5"/>
      <c r="AK15" s="5"/>
      <c r="AL15" s="5">
        <v>5536913</v>
      </c>
      <c r="AM15" s="15" t="s">
        <v>53</v>
      </c>
      <c r="AN15" s="7"/>
      <c r="AO15" s="5"/>
      <c r="AP15" s="5"/>
      <c r="AQ15" s="5">
        <v>1921102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182985</v>
      </c>
      <c r="BB15" s="15" t="s">
        <v>54</v>
      </c>
      <c r="BC15" s="7"/>
      <c r="BD15" s="5"/>
      <c r="BE15" s="5"/>
      <c r="BF15" s="5">
        <v>192894</v>
      </c>
      <c r="BG15" s="15" t="s">
        <v>54</v>
      </c>
      <c r="BH15" s="7"/>
      <c r="BI15" s="5"/>
      <c r="BJ15" s="5"/>
      <c r="BK15" s="5">
        <v>186449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147104.63</v>
      </c>
      <c r="D16" s="5"/>
      <c r="E16" s="7"/>
      <c r="F16" s="5"/>
      <c r="G16" s="5"/>
      <c r="H16" s="5">
        <v>161819</v>
      </c>
      <c r="I16" s="5"/>
      <c r="J16" s="7"/>
      <c r="K16" s="5"/>
      <c r="L16" s="5"/>
      <c r="M16" s="5">
        <v>202467.8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188273</v>
      </c>
      <c r="X16" s="5"/>
      <c r="Y16" s="7"/>
      <c r="Z16" s="5"/>
      <c r="AA16" s="5"/>
      <c r="AB16" s="5">
        <v>202467.8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188273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161819</v>
      </c>
      <c r="AW16" s="5"/>
      <c r="AX16" s="7"/>
      <c r="AY16" s="5"/>
      <c r="AZ16" s="5"/>
      <c r="BA16" s="5">
        <v>161819</v>
      </c>
      <c r="BB16" s="5"/>
      <c r="BC16" s="7"/>
      <c r="BD16" s="5"/>
      <c r="BE16" s="5"/>
      <c r="BF16" s="5">
        <v>188273</v>
      </c>
      <c r="BG16" s="5"/>
      <c r="BH16" s="7"/>
      <c r="BI16" s="5"/>
      <c r="BJ16" s="5"/>
      <c r="BK16" s="5">
        <v>202467.8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55190390.000001</v>
      </c>
    </row>
    <row r="21" spans="3:3">
      <c r="C21" s="2">
        <f t="shared" si="0"/>
        <v>487</v>
      </c>
    </row>
    <row r="22" spans="3:3">
      <c r="C22" s="2">
        <f t="shared" si="0"/>
        <v>2707000</v>
      </c>
    </row>
    <row r="23" spans="3:3">
      <c r="C23" s="2">
        <f t="shared" si="0"/>
        <v>0</v>
      </c>
    </row>
    <row r="24" spans="3:3">
      <c r="C24" s="2">
        <f t="shared" si="0"/>
        <v>847195</v>
      </c>
    </row>
    <row r="25" spans="3:3">
      <c r="C25" s="2">
        <f t="shared" si="0"/>
        <v>351338</v>
      </c>
    </row>
    <row r="26" spans="3:3">
      <c r="C26" s="2">
        <f t="shared" si="0"/>
        <v>37200</v>
      </c>
    </row>
    <row r="27" spans="3:3">
      <c r="C27" s="2">
        <f t="shared" si="0"/>
        <v>172330</v>
      </c>
    </row>
    <row r="28" spans="3:3">
      <c r="C28" s="2">
        <f t="shared" si="0"/>
        <v>708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45212462</v>
      </c>
    </row>
    <row r="32" spans="3:3">
      <c r="C32" s="2">
        <f t="shared" si="0"/>
        <v>1804784.03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5457.167102</v>
      </c>
      <c r="D4" s="6">
        <v>7.33490201881721</v>
      </c>
      <c r="E4" s="7">
        <v>0.6706858368358</v>
      </c>
      <c r="F4" s="7">
        <v>0.00496269749160423</v>
      </c>
      <c r="G4" s="8">
        <v>0.000107688798464322</v>
      </c>
      <c r="H4" s="6">
        <v>5050.326371</v>
      </c>
      <c r="I4" s="6">
        <v>6.78807307930108</v>
      </c>
      <c r="J4" s="7">
        <v>0.6206851109959</v>
      </c>
      <c r="K4" s="7">
        <v>0.00405440698545225</v>
      </c>
      <c r="L4" s="8">
        <v>9.02867237360574e-5</v>
      </c>
      <c r="M4" s="6">
        <v>2238.903394</v>
      </c>
      <c r="N4" s="6">
        <v>3.00927875537634</v>
      </c>
      <c r="O4" s="7">
        <v>0.2751612271226</v>
      </c>
      <c r="P4" s="13">
        <v>0.00137686632268146</v>
      </c>
      <c r="Q4" s="14">
        <v>2.56202259890689e-5</v>
      </c>
      <c r="R4" s="6">
        <v>7770.913838</v>
      </c>
      <c r="S4" s="6">
        <v>10.4447766639785</v>
      </c>
      <c r="T4" s="7">
        <v>0.9550453106902</v>
      </c>
      <c r="U4" s="7">
        <v>0.0980237412183311</v>
      </c>
      <c r="V4" s="8" t="e">
        <v>#DIV/0!</v>
      </c>
      <c r="W4" s="6">
        <v>15742.6893</v>
      </c>
      <c r="X4" s="6">
        <v>21.1595286290323</v>
      </c>
      <c r="Y4" s="7">
        <v>1.93477651497</v>
      </c>
      <c r="Z4" s="7">
        <v>0.0110099386272691</v>
      </c>
      <c r="AA4" s="8">
        <v>0.000230026573809609</v>
      </c>
      <c r="AB4" s="6">
        <v>1679400</v>
      </c>
      <c r="AC4" s="6">
        <v>2257.25806451613</v>
      </c>
      <c r="AD4" s="7">
        <v>206.39826</v>
      </c>
      <c r="AE4" s="7">
        <v>1.03278654564014</v>
      </c>
      <c r="AF4" s="8">
        <v>0.0348598248279035</v>
      </c>
      <c r="AG4" s="6">
        <v>65810.4</v>
      </c>
      <c r="AH4" s="6">
        <v>88.4548387096774</v>
      </c>
      <c r="AI4" s="7">
        <v>8.08809816</v>
      </c>
      <c r="AJ4" s="7" t="e">
        <v>#DIV/0!</v>
      </c>
      <c r="AK4" s="8">
        <v>0.0233126712399839</v>
      </c>
      <c r="AL4" s="6">
        <v>1890960</v>
      </c>
      <c r="AM4" s="6">
        <v>2541.61290322581</v>
      </c>
      <c r="AN4" s="7">
        <v>232.398984</v>
      </c>
      <c r="AO4" s="7">
        <v>1.32247757355033</v>
      </c>
      <c r="AP4" s="8">
        <v>0.0436421821186457</v>
      </c>
      <c r="AQ4" s="6">
        <v>861120</v>
      </c>
      <c r="AR4" s="6">
        <v>1157.41935483871</v>
      </c>
      <c r="AS4" s="7">
        <v>105.831648</v>
      </c>
      <c r="AT4" s="7">
        <v>0.602240072839014</v>
      </c>
      <c r="AU4" s="8">
        <v>0.0198741146645133</v>
      </c>
      <c r="AV4" s="6">
        <v>2127869.6</v>
      </c>
      <c r="AW4" s="6">
        <v>2860.03978494624</v>
      </c>
      <c r="AX4" s="7">
        <v>261.51517384</v>
      </c>
      <c r="AY4" s="7"/>
      <c r="AZ4" s="8"/>
      <c r="BA4" s="6">
        <v>14582700</v>
      </c>
      <c r="BB4" s="6">
        <v>19600.4032258065</v>
      </c>
      <c r="BC4" s="7">
        <v>1792.21383</v>
      </c>
      <c r="BD4" s="7">
        <v>11.7070059246582</v>
      </c>
      <c r="BE4" s="8">
        <v>10.1554518410227</v>
      </c>
      <c r="BF4" s="6">
        <v>16335000</v>
      </c>
      <c r="BG4" s="6">
        <v>21955.6451612903</v>
      </c>
      <c r="BH4" s="7">
        <v>2007.5715</v>
      </c>
      <c r="BI4" s="7">
        <v>11.424181983725</v>
      </c>
      <c r="BJ4" s="8">
        <v>10.7853930954453</v>
      </c>
      <c r="BK4" s="6">
        <v>18285300</v>
      </c>
      <c r="BL4" s="6">
        <v>0</v>
      </c>
      <c r="BM4" s="7">
        <v>2247.26337</v>
      </c>
      <c r="BN4" s="7">
        <v>11.2449754811205</v>
      </c>
      <c r="BO4" s="8">
        <v>11.6955423191619</v>
      </c>
    </row>
    <row r="5" s="1" customFormat="1" ht="30" customHeight="1" spans="1:67">
      <c r="A5" s="5" t="s">
        <v>13</v>
      </c>
      <c r="B5" s="5" t="s">
        <v>44</v>
      </c>
      <c r="C5" s="6">
        <v>452.96</v>
      </c>
      <c r="D5" s="6">
        <v>0.608817204301075</v>
      </c>
      <c r="E5" s="7">
        <v>15.445936</v>
      </c>
      <c r="F5" s="7">
        <v>0.114291227923225</v>
      </c>
      <c r="G5" s="8">
        <v>0.00248007964033398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392.16</v>
      </c>
      <c r="N5" s="6">
        <v>0.527096774193548</v>
      </c>
      <c r="O5" s="7">
        <v>13.372656</v>
      </c>
      <c r="P5" s="7">
        <v>0.0669148043993875</v>
      </c>
      <c r="Q5" s="8">
        <v>0.00124512625698324</v>
      </c>
      <c r="R5" s="6">
        <v>453</v>
      </c>
      <c r="S5" s="6">
        <v>0.608870967741935</v>
      </c>
      <c r="T5" s="7">
        <v>15.4473</v>
      </c>
      <c r="U5" s="7">
        <v>1.58547675254029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783000</v>
      </c>
      <c r="D6" s="6">
        <v>1052.41935483871</v>
      </c>
      <c r="E6" s="7">
        <v>13.2327</v>
      </c>
      <c r="F6" s="7">
        <v>0.097914527921109</v>
      </c>
      <c r="G6" s="8">
        <v>0.00212471098265896</v>
      </c>
      <c r="H6" s="6">
        <v>328000</v>
      </c>
      <c r="I6" s="6">
        <v>440.860215053763</v>
      </c>
      <c r="J6" s="7">
        <v>5.5432</v>
      </c>
      <c r="K6" s="7">
        <v>0.036209002606327</v>
      </c>
      <c r="L6" s="8">
        <v>0.000806330550141099</v>
      </c>
      <c r="M6" s="6">
        <v>507000</v>
      </c>
      <c r="N6" s="6">
        <v>681.451612903226</v>
      </c>
      <c r="O6" s="7">
        <v>8.5683</v>
      </c>
      <c r="P6" s="7">
        <v>0.042874513375299</v>
      </c>
      <c r="Q6" s="8">
        <v>0.000797793296089386</v>
      </c>
      <c r="R6" s="6">
        <v>30000</v>
      </c>
      <c r="S6" s="6">
        <v>40.3225806451613</v>
      </c>
      <c r="T6" s="7">
        <v>0.507</v>
      </c>
      <c r="U6" s="7">
        <v>0.0520373601560094</v>
      </c>
      <c r="V6" s="8" t="e">
        <v>#DIV/0!</v>
      </c>
      <c r="W6" s="6">
        <v>970000</v>
      </c>
      <c r="X6" s="6">
        <v>1346.77419354839</v>
      </c>
      <c r="Y6" s="7">
        <v>16.9338</v>
      </c>
      <c r="Z6" s="7">
        <v>0.0963626017185455</v>
      </c>
      <c r="AA6" s="8">
        <v>0.00201326818133181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</v>
      </c>
      <c r="BB7" s="6">
        <v>111.111111111111</v>
      </c>
      <c r="BC7" s="7">
        <v>1.39706666666667</v>
      </c>
      <c r="BD7" s="7">
        <v>0.00912584618533446</v>
      </c>
      <c r="BE7" s="8">
        <v>0.00791637862320894</v>
      </c>
      <c r="BF7" s="6">
        <v>82666.6666666667</v>
      </c>
      <c r="BG7" s="6">
        <v>111.111111111111</v>
      </c>
      <c r="BH7" s="7">
        <v>1.39706666666667</v>
      </c>
      <c r="BI7" s="7">
        <v>0.00795007492554867</v>
      </c>
      <c r="BJ7" s="8">
        <v>0.00750554248281741</v>
      </c>
      <c r="BK7" s="6">
        <v>82666.6666666667</v>
      </c>
      <c r="BL7" s="6">
        <v>111.111111111111</v>
      </c>
      <c r="BM7" s="7">
        <v>1.39706666666667</v>
      </c>
      <c r="BN7" s="7">
        <v>0.00699071618479563</v>
      </c>
      <c r="BO7" s="8">
        <v>0.0072708221656683</v>
      </c>
    </row>
    <row r="8" s="1" customFormat="1" ht="30" customHeight="1" spans="1:67">
      <c r="A8" s="5" t="s">
        <v>46</v>
      </c>
      <c r="B8" s="5" t="s">
        <v>47</v>
      </c>
      <c r="C8" s="6">
        <v>457159</v>
      </c>
      <c r="D8" s="6">
        <v>614.461021505376</v>
      </c>
      <c r="E8" s="7">
        <v>21.7150525</v>
      </c>
      <c r="F8" s="7">
        <v>0.160679159530526</v>
      </c>
      <c r="G8" s="8">
        <v>0.00348668151894669</v>
      </c>
      <c r="H8" s="6"/>
      <c r="I8" s="6"/>
      <c r="J8" s="7"/>
      <c r="K8" s="7"/>
      <c r="L8" s="8"/>
      <c r="M8" s="6">
        <v>384652</v>
      </c>
      <c r="N8" s="6">
        <v>517.005376344086</v>
      </c>
      <c r="O8" s="7">
        <v>18.27097</v>
      </c>
      <c r="P8" s="7">
        <v>0.0914252474405292</v>
      </c>
      <c r="Q8" s="8">
        <v>0.00170120763500931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>
        <v>0</v>
      </c>
      <c r="BB8" s="6">
        <v>0</v>
      </c>
      <c r="BC8" s="7">
        <v>0</v>
      </c>
      <c r="BD8" s="7">
        <v>0</v>
      </c>
      <c r="BE8" s="8">
        <v>0</v>
      </c>
      <c r="BF8" s="6">
        <v>0</v>
      </c>
      <c r="BG8" s="6">
        <v>0</v>
      </c>
      <c r="BH8" s="7">
        <v>0</v>
      </c>
      <c r="BI8" s="7">
        <v>0</v>
      </c>
      <c r="BJ8" s="8">
        <v>0</v>
      </c>
      <c r="BK8" s="6">
        <v>0</v>
      </c>
      <c r="BL8" s="6">
        <v>0</v>
      </c>
      <c r="BM8" s="7">
        <v>0</v>
      </c>
      <c r="BN8" s="7">
        <v>0</v>
      </c>
      <c r="BO8" s="8">
        <v>0</v>
      </c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539</v>
      </c>
      <c r="S9" s="6">
        <v>0</v>
      </c>
      <c r="T9" s="7">
        <v>0.0256025</v>
      </c>
      <c r="U9" s="7">
        <v>0.00262778405008724</v>
      </c>
      <c r="V9" s="8" t="e">
        <v>#DIV/0!</v>
      </c>
      <c r="W9" s="5">
        <v>346940</v>
      </c>
      <c r="X9" s="6">
        <v>0</v>
      </c>
      <c r="Y9" s="7">
        <v>16.47965</v>
      </c>
      <c r="Z9" s="7">
        <v>0.0937782393444489</v>
      </c>
      <c r="AA9" s="8">
        <v>0.00195927405452319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5"/>
      <c r="BB9" s="6"/>
      <c r="BC9" s="7"/>
      <c r="BD9" s="9"/>
      <c r="BE9" s="9"/>
      <c r="BF9" s="5"/>
      <c r="BG9" s="6"/>
      <c r="BH9" s="7"/>
      <c r="BI9" s="9"/>
      <c r="BJ9" s="9"/>
      <c r="BK9" s="5"/>
      <c r="BL9" s="6"/>
      <c r="BM9" s="7"/>
      <c r="BN9" s="9"/>
      <c r="BO9" s="9"/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36000</v>
      </c>
      <c r="AR10" s="6">
        <v>48.3870967741936</v>
      </c>
      <c r="AS10" s="7">
        <v>1.71</v>
      </c>
      <c r="AT10" s="7">
        <v>0.175510623011393</v>
      </c>
      <c r="AU10" s="8">
        <v>0.000578777939151146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38903</v>
      </c>
      <c r="AH11" s="6">
        <v>52.2889784946237</v>
      </c>
      <c r="AI11" s="7">
        <v>1.6105842</v>
      </c>
      <c r="AJ11" s="7" t="e">
        <v>#DIV/0!</v>
      </c>
      <c r="AK11" s="8">
        <v>0.00464225572145039</v>
      </c>
      <c r="AL11" s="5">
        <v>3457</v>
      </c>
      <c r="AM11" s="6">
        <v>4.64650537634409</v>
      </c>
      <c r="AN11" s="7">
        <v>0.1431198</v>
      </c>
      <c r="AO11" s="7">
        <v>0.000814430091617823</v>
      </c>
      <c r="AP11" s="8">
        <v>2.68764530243563e-5</v>
      </c>
      <c r="AQ11" s="5"/>
      <c r="AR11" s="6"/>
      <c r="AS11" s="7"/>
      <c r="AT11" s="9"/>
      <c r="AU11" s="9"/>
      <c r="AV11" s="5">
        <v>193623</v>
      </c>
      <c r="AW11" s="6">
        <v>260.245967741935</v>
      </c>
      <c r="AX11" s="7">
        <v>8.0159922</v>
      </c>
      <c r="AY11" s="7">
        <v>0.0523616471464312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121</v>
      </c>
      <c r="AC12" s="6">
        <v>0.162634408602151</v>
      </c>
      <c r="AD12" s="7">
        <v>0.0050094</v>
      </c>
      <c r="AE12" s="9">
        <v>2.50663010518099e-5</v>
      </c>
      <c r="AF12" s="9">
        <v>8.46067241520833e-7</v>
      </c>
      <c r="AG12" s="5"/>
      <c r="AH12" s="6"/>
      <c r="AI12" s="7"/>
      <c r="AJ12" s="9"/>
      <c r="AK12" s="9"/>
      <c r="AL12" s="5">
        <v>894</v>
      </c>
      <c r="AM12" s="6">
        <v>1.20161290322581</v>
      </c>
      <c r="AN12" s="7">
        <v>0.0370116</v>
      </c>
      <c r="AO12" s="7">
        <v>0.000210616286348375</v>
      </c>
      <c r="AP12" s="8">
        <v>0.000210616286348375</v>
      </c>
      <c r="AQ12" s="5"/>
      <c r="AR12" s="6"/>
      <c r="AS12" s="7"/>
      <c r="AT12" s="9"/>
      <c r="AU12" s="9"/>
      <c r="AV12" s="5">
        <v>964</v>
      </c>
      <c r="AW12" s="6">
        <v>1.29569892473118</v>
      </c>
      <c r="AX12" s="7">
        <v>0.0399096</v>
      </c>
      <c r="AY12" s="7">
        <v>0.000260695412472483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6228000</v>
      </c>
      <c r="D15" s="6">
        <v>8370.96774193548</v>
      </c>
      <c r="E15" s="7"/>
      <c r="F15" s="5"/>
      <c r="G15" s="5"/>
      <c r="H15" s="5">
        <v>6874600</v>
      </c>
      <c r="I15" s="6">
        <v>9240.05376344086</v>
      </c>
      <c r="J15" s="7"/>
      <c r="K15" s="5"/>
      <c r="L15" s="5"/>
      <c r="M15" s="5">
        <v>10740000</v>
      </c>
      <c r="N15" s="6">
        <v>14435.4838709677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8411100</v>
      </c>
      <c r="X15" s="6">
        <v>11305.2419354839</v>
      </c>
      <c r="Y15" s="7"/>
      <c r="Z15" s="5"/>
      <c r="AA15" s="5"/>
      <c r="AB15" s="5">
        <v>5920806</v>
      </c>
      <c r="AC15" s="15" t="s">
        <v>53</v>
      </c>
      <c r="AD15" s="7"/>
      <c r="AE15" s="5"/>
      <c r="AF15" s="5"/>
      <c r="AG15" s="5">
        <v>346940</v>
      </c>
      <c r="AH15" s="15" t="s">
        <v>53</v>
      </c>
      <c r="AI15" s="7"/>
      <c r="AJ15" s="5"/>
      <c r="AK15" s="5"/>
      <c r="AL15" s="5">
        <v>5325100</v>
      </c>
      <c r="AM15" s="15" t="s">
        <v>53</v>
      </c>
      <c r="AN15" s="7"/>
      <c r="AO15" s="5"/>
      <c r="AP15" s="5"/>
      <c r="AQ15" s="5">
        <v>2954501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176478</v>
      </c>
      <c r="BB15" s="15" t="s">
        <v>54</v>
      </c>
      <c r="BC15" s="7"/>
      <c r="BD15" s="5"/>
      <c r="BE15" s="5"/>
      <c r="BF15" s="5">
        <v>186138</v>
      </c>
      <c r="BG15" s="15" t="s">
        <v>54</v>
      </c>
      <c r="BH15" s="7"/>
      <c r="BI15" s="5"/>
      <c r="BJ15" s="5"/>
      <c r="BK15" s="5">
        <v>192147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135145.42</v>
      </c>
      <c r="D16" s="5"/>
      <c r="E16" s="7"/>
      <c r="F16" s="5"/>
      <c r="G16" s="5"/>
      <c r="H16" s="5">
        <v>153089</v>
      </c>
      <c r="I16" s="5"/>
      <c r="J16" s="7"/>
      <c r="K16" s="5"/>
      <c r="L16" s="5"/>
      <c r="M16" s="5">
        <v>199846</v>
      </c>
      <c r="N16" s="5"/>
      <c r="O16" s="7"/>
      <c r="P16" s="5"/>
      <c r="Q16" s="5"/>
      <c r="R16" s="5">
        <v>9743</v>
      </c>
      <c r="S16" s="5"/>
      <c r="T16" s="7"/>
      <c r="U16" s="5"/>
      <c r="V16" s="5"/>
      <c r="W16" s="5">
        <v>175730</v>
      </c>
      <c r="X16" s="5"/>
      <c r="Y16" s="7"/>
      <c r="Z16" s="5"/>
      <c r="AA16" s="5"/>
      <c r="AB16" s="5">
        <v>199846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175730</v>
      </c>
      <c r="AM16" s="5"/>
      <c r="AN16" s="7"/>
      <c r="AO16" s="5"/>
      <c r="AP16" s="5"/>
      <c r="AQ16" s="5">
        <v>9743</v>
      </c>
      <c r="AR16" s="5"/>
      <c r="AS16" s="7"/>
      <c r="AT16" s="5"/>
      <c r="AU16" s="5"/>
      <c r="AV16" s="5">
        <v>153089</v>
      </c>
      <c r="AW16" s="5"/>
      <c r="AX16" s="7"/>
      <c r="AY16" s="5"/>
      <c r="AZ16" s="5"/>
      <c r="BA16" s="5">
        <v>153089</v>
      </c>
      <c r="BB16" s="5"/>
      <c r="BC16" s="7"/>
      <c r="BD16" s="5"/>
      <c r="BE16" s="5"/>
      <c r="BF16" s="5">
        <v>175730</v>
      </c>
      <c r="BG16" s="5"/>
      <c r="BH16" s="7"/>
      <c r="BI16" s="5"/>
      <c r="BJ16" s="5"/>
      <c r="BK16" s="5">
        <v>199846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55864420.000005</v>
      </c>
    </row>
    <row r="21" spans="3:3">
      <c r="C21" s="17">
        <f t="shared" si="0"/>
        <v>1298.12</v>
      </c>
    </row>
    <row r="22" spans="3:3">
      <c r="C22" s="2">
        <f t="shared" si="0"/>
        <v>2618000</v>
      </c>
    </row>
    <row r="23" spans="3:3">
      <c r="C23" s="2">
        <f t="shared" si="0"/>
        <v>248000</v>
      </c>
    </row>
    <row r="24" spans="3:3">
      <c r="C24" s="2">
        <f t="shared" si="0"/>
        <v>841811</v>
      </c>
    </row>
    <row r="25" spans="3:3">
      <c r="C25" s="2">
        <f t="shared" si="0"/>
        <v>347479</v>
      </c>
    </row>
    <row r="26" spans="3:3">
      <c r="C26" s="2">
        <f t="shared" si="0"/>
        <v>36000</v>
      </c>
    </row>
    <row r="27" spans="3:3">
      <c r="C27" s="2">
        <f t="shared" si="0"/>
        <v>235983</v>
      </c>
    </row>
    <row r="28" spans="3:3">
      <c r="C28" s="2">
        <f t="shared" si="0"/>
        <v>1979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47355810</v>
      </c>
    </row>
    <row r="32" spans="3:3">
      <c r="C32" s="2">
        <f t="shared" si="0"/>
        <v>1740626.42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12283.8935149248</v>
      </c>
      <c r="D4" s="6">
        <v>16.510609563071</v>
      </c>
      <c r="E4" s="7">
        <v>1.50969051298426</v>
      </c>
      <c r="F4" s="7">
        <v>0.0115278759030469</v>
      </c>
      <c r="G4" s="8">
        <v>0.000269669455546194</v>
      </c>
      <c r="H4" s="6">
        <v>11368.1091666079</v>
      </c>
      <c r="I4" s="6">
        <v>15.2797166217848</v>
      </c>
      <c r="J4" s="7">
        <v>1.39714061657611</v>
      </c>
      <c r="K4" s="7">
        <v>0.030586059602358</v>
      </c>
      <c r="L4" s="8">
        <v>0.000378895866078025</v>
      </c>
      <c r="M4" s="6">
        <v>5039.69374073813</v>
      </c>
      <c r="N4" s="6">
        <v>6.77378190959426</v>
      </c>
      <c r="O4" s="7">
        <v>0.619378360736716</v>
      </c>
      <c r="P4" s="13">
        <v>0.00320037596036188</v>
      </c>
      <c r="Q4" s="14">
        <v>5.71403336596107e-5</v>
      </c>
      <c r="R4" s="6">
        <v>17492.0570178534</v>
      </c>
      <c r="S4" s="6">
        <v>23.5108293250718</v>
      </c>
      <c r="T4" s="7">
        <v>2.14977380749418</v>
      </c>
      <c r="U4" s="7">
        <v>0.0176252863999982</v>
      </c>
      <c r="V4" s="8">
        <v>0.000449292302184874</v>
      </c>
      <c r="W4" s="6">
        <v>35436.2465598758</v>
      </c>
      <c r="X4" s="6">
        <v>47.629363655747</v>
      </c>
      <c r="Y4" s="7">
        <v>4.35511470220874</v>
      </c>
      <c r="Z4" s="7">
        <v>0.0235120564393736</v>
      </c>
      <c r="AA4" s="8">
        <v>0.000494012421131234</v>
      </c>
      <c r="AB4" s="6">
        <v>1723800</v>
      </c>
      <c r="AC4" s="6">
        <v>2316.93548387097</v>
      </c>
      <c r="AD4" s="7">
        <v>211.85502</v>
      </c>
      <c r="AE4" s="7">
        <v>1.09467129636806</v>
      </c>
      <c r="AF4" s="8">
        <v>0.0343489953582531</v>
      </c>
      <c r="AG4" s="6">
        <v>79460</v>
      </c>
      <c r="AH4" s="6">
        <v>106.801075268817</v>
      </c>
      <c r="AI4" s="7">
        <v>9.765634</v>
      </c>
      <c r="AJ4" s="7" t="e">
        <v>#DIV/0!</v>
      </c>
      <c r="AK4" s="8">
        <v>0.0270902645047644</v>
      </c>
      <c r="AL4" s="6">
        <v>2066800</v>
      </c>
      <c r="AM4" s="6">
        <v>2777.95698924731</v>
      </c>
      <c r="AN4" s="7">
        <v>254.00972</v>
      </c>
      <c r="AO4" s="7">
        <v>1.37132803178768</v>
      </c>
      <c r="AP4" s="8">
        <v>0.0452981305427899</v>
      </c>
      <c r="AQ4" s="6">
        <v>2209440</v>
      </c>
      <c r="AR4" s="6">
        <v>2969.67741935484</v>
      </c>
      <c r="AS4" s="7">
        <v>271.540176</v>
      </c>
      <c r="AT4" s="7">
        <v>1.4659701018739</v>
      </c>
      <c r="AU4" s="8">
        <v>0.0484243765949593</v>
      </c>
      <c r="AV4" s="6">
        <v>1465800</v>
      </c>
      <c r="AW4" s="6">
        <v>1970.16129032258</v>
      </c>
      <c r="AX4" s="7">
        <v>180.14682</v>
      </c>
      <c r="AY4" s="7"/>
      <c r="AZ4" s="8"/>
      <c r="BA4" s="6">
        <v>8286300</v>
      </c>
      <c r="BB4" s="6">
        <v>11137.5</v>
      </c>
      <c r="BC4" s="7">
        <v>1018.38627</v>
      </c>
      <c r="BD4" s="7">
        <v>22.2944081525427</v>
      </c>
      <c r="BE4" s="8">
        <v>11.0262697055002</v>
      </c>
      <c r="BF4" s="6">
        <v>17212800</v>
      </c>
      <c r="BG4" s="6">
        <v>23135.4838709677</v>
      </c>
      <c r="BH4" s="7">
        <v>2115.45312</v>
      </c>
      <c r="BI4" s="7">
        <v>11.420744699804</v>
      </c>
      <c r="BJ4" s="8">
        <v>11.4996527468226</v>
      </c>
      <c r="BK4" s="6">
        <v>18486600</v>
      </c>
      <c r="BL4" s="6">
        <v>0</v>
      </c>
      <c r="BM4" s="7">
        <v>2272.00314</v>
      </c>
      <c r="BN4" s="7">
        <v>11.7396161894871</v>
      </c>
      <c r="BO4" s="8">
        <v>11.705925807615</v>
      </c>
    </row>
    <row r="5" s="1" customFormat="1" ht="30" customHeight="1" spans="1:67">
      <c r="A5" s="5" t="s">
        <v>13</v>
      </c>
      <c r="B5" s="5" t="s">
        <v>44</v>
      </c>
      <c r="C5" s="6">
        <v>292.5392</v>
      </c>
      <c r="D5" s="6">
        <v>0.393197849462366</v>
      </c>
      <c r="E5" s="7">
        <v>9.97558672</v>
      </c>
      <c r="F5" s="7">
        <v>0.0761727816258996</v>
      </c>
      <c r="G5" s="8">
        <v>0.00178189570405302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333.2144</v>
      </c>
      <c r="N5" s="6">
        <v>0.447868817204301</v>
      </c>
      <c r="O5" s="7">
        <v>11.36261104</v>
      </c>
      <c r="P5" s="7">
        <v>0.0587114912702226</v>
      </c>
      <c r="Q5" s="8">
        <v>0.00104825003136647</v>
      </c>
      <c r="R5" s="6">
        <v>0</v>
      </c>
      <c r="S5" s="6">
        <v>0</v>
      </c>
      <c r="T5" s="7">
        <v>0</v>
      </c>
      <c r="U5" s="7">
        <v>0</v>
      </c>
      <c r="V5" s="8">
        <v>0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831000</v>
      </c>
      <c r="D6" s="6">
        <v>1116.93548387097</v>
      </c>
      <c r="E6" s="7">
        <v>14.0439</v>
      </c>
      <c r="F6" s="7">
        <v>0.107238096154406</v>
      </c>
      <c r="G6" s="8">
        <v>0.00250860082525052</v>
      </c>
      <c r="H6" s="6">
        <v>233000</v>
      </c>
      <c r="I6" s="6">
        <v>313.172043010753</v>
      </c>
      <c r="J6" s="7">
        <v>3.9377</v>
      </c>
      <c r="K6" s="7">
        <v>0.086203726001007</v>
      </c>
      <c r="L6" s="8">
        <v>0.00106787980691002</v>
      </c>
      <c r="M6" s="6">
        <v>514000</v>
      </c>
      <c r="N6" s="6">
        <v>690.860215053763</v>
      </c>
      <c r="O6" s="7">
        <v>8.6866</v>
      </c>
      <c r="P6" s="7">
        <v>0.0448843349712969</v>
      </c>
      <c r="Q6" s="8">
        <v>0.000801376434554781</v>
      </c>
      <c r="R6" s="6">
        <v>101000</v>
      </c>
      <c r="S6" s="6">
        <v>135.752688172043</v>
      </c>
      <c r="T6" s="7">
        <v>1.7069</v>
      </c>
      <c r="U6" s="7">
        <v>0.0139943101228981</v>
      </c>
      <c r="V6" s="8">
        <v>0.000356733823775288</v>
      </c>
      <c r="W6" s="6">
        <v>1017000</v>
      </c>
      <c r="X6" s="6">
        <v>1366.93548387097</v>
      </c>
      <c r="Y6" s="7">
        <v>17.1873</v>
      </c>
      <c r="Z6" s="7">
        <v>0.0927894660123415</v>
      </c>
      <c r="AA6" s="8">
        <v>0.00194960185122167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85333.3333333333</v>
      </c>
      <c r="BB7" s="6">
        <v>114.695340501792</v>
      </c>
      <c r="BC7" s="7">
        <v>1.44213333333333</v>
      </c>
      <c r="BD7" s="7">
        <v>0.0315710355597393</v>
      </c>
      <c r="BE7" s="8">
        <v>0.0156142630287282</v>
      </c>
      <c r="BF7" s="6">
        <v>85333.3333333333</v>
      </c>
      <c r="BG7" s="6">
        <v>114.695340501792</v>
      </c>
      <c r="BH7" s="7">
        <v>1.44213333333333</v>
      </c>
      <c r="BI7" s="7">
        <v>0.00778567790860682</v>
      </c>
      <c r="BJ7" s="8">
        <v>0.00783947060379724</v>
      </c>
      <c r="BK7" s="6">
        <v>85333.3333333333</v>
      </c>
      <c r="BL7" s="6">
        <v>114.695340501792</v>
      </c>
      <c r="BM7" s="7">
        <v>1.44213333333333</v>
      </c>
      <c r="BN7" s="7">
        <v>0.00745161462558494</v>
      </c>
      <c r="BO7" s="8">
        <v>0.0074302299620451</v>
      </c>
    </row>
    <row r="8" s="1" customFormat="1" ht="30" customHeight="1" spans="1:67">
      <c r="A8" s="5" t="s">
        <v>46</v>
      </c>
      <c r="B8" s="5" t="s">
        <v>47</v>
      </c>
      <c r="C8" s="6">
        <v>459910</v>
      </c>
      <c r="D8" s="6">
        <v>618.158602150538</v>
      </c>
      <c r="E8" s="7">
        <v>21.845725</v>
      </c>
      <c r="F8" s="7">
        <v>0.166812207300871</v>
      </c>
      <c r="G8" s="8">
        <v>0.00390220691995784</v>
      </c>
      <c r="H8" s="6"/>
      <c r="I8" s="6"/>
      <c r="J8" s="7"/>
      <c r="K8" s="7"/>
      <c r="L8" s="8"/>
      <c r="M8" s="6">
        <v>392217</v>
      </c>
      <c r="N8" s="6">
        <v>527.173387096774</v>
      </c>
      <c r="O8" s="7">
        <v>18.6303075</v>
      </c>
      <c r="P8" s="7">
        <v>0.0962642417572197</v>
      </c>
      <c r="Q8" s="8">
        <v>0.00171872647514668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371728</v>
      </c>
      <c r="S9" s="6">
        <v>0</v>
      </c>
      <c r="T9" s="7">
        <v>17.65708</v>
      </c>
      <c r="U9" s="7">
        <v>0.144764575185905</v>
      </c>
      <c r="V9" s="8">
        <v>0.00369024410633673</v>
      </c>
      <c r="W9" s="5">
        <v>360485</v>
      </c>
      <c r="X9" s="6">
        <v>0</v>
      </c>
      <c r="Y9" s="7">
        <v>17.1230375</v>
      </c>
      <c r="Z9" s="7">
        <v>0.0924425305972607</v>
      </c>
      <c r="AA9" s="8">
        <v>0.00194231238231357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104160</v>
      </c>
      <c r="AR10" s="6">
        <v>140</v>
      </c>
      <c r="AS10" s="7">
        <v>4.9476</v>
      </c>
      <c r="AT10" s="7">
        <v>0.040563740561281</v>
      </c>
      <c r="AU10" s="8">
        <v>0.000793672691666276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47217</v>
      </c>
      <c r="AH11" s="6">
        <v>63.4637096774194</v>
      </c>
      <c r="AI11" s="7">
        <v>1.9547838</v>
      </c>
      <c r="AJ11" s="7" t="e">
        <v>#DIV/0!</v>
      </c>
      <c r="AK11" s="8">
        <v>0.00542264948610899</v>
      </c>
      <c r="AL11" s="5">
        <v>1227</v>
      </c>
      <c r="AM11" s="6">
        <v>1.6491935483871</v>
      </c>
      <c r="AN11" s="7">
        <v>0.0507978</v>
      </c>
      <c r="AO11" s="7">
        <v>0.000274243234050824</v>
      </c>
      <c r="AP11" s="8">
        <v>9.05888709962176e-6</v>
      </c>
      <c r="AQ11" s="5"/>
      <c r="AR11" s="6"/>
      <c r="AS11" s="7"/>
      <c r="AT11" s="9"/>
      <c r="AU11" s="9"/>
      <c r="AV11" s="5">
        <v>113875</v>
      </c>
      <c r="AW11" s="6">
        <v>153.057795698925</v>
      </c>
      <c r="AX11" s="7">
        <v>4.714425</v>
      </c>
      <c r="AY11" s="7">
        <v>0.103207710326408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50</v>
      </c>
      <c r="AC12" s="6">
        <v>0.0672043010752688</v>
      </c>
      <c r="AD12" s="7">
        <v>0.00207</v>
      </c>
      <c r="AE12" s="9">
        <v>1.06958503201004e-5</v>
      </c>
      <c r="AF12" s="9">
        <v>3.35618294018163e-7</v>
      </c>
      <c r="AG12" s="5"/>
      <c r="AH12" s="6"/>
      <c r="AI12" s="7"/>
      <c r="AJ12" s="9"/>
      <c r="AK12" s="9"/>
      <c r="AL12" s="5">
        <v>501</v>
      </c>
      <c r="AM12" s="6">
        <v>0.673387096774194</v>
      </c>
      <c r="AN12" s="7">
        <v>0.0207414</v>
      </c>
      <c r="AO12" s="7">
        <v>0.000111977066226131</v>
      </c>
      <c r="AP12" s="8">
        <v>0.000111977066226131</v>
      </c>
      <c r="AQ12" s="5"/>
      <c r="AR12" s="6"/>
      <c r="AS12" s="7"/>
      <c r="AT12" s="9"/>
      <c r="AU12" s="9"/>
      <c r="AV12" s="5">
        <v>4980</v>
      </c>
      <c r="AW12" s="6">
        <v>6.69354838709677</v>
      </c>
      <c r="AX12" s="7">
        <v>0.206172</v>
      </c>
      <c r="AY12" s="7">
        <v>0.00451349635499901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5598300</v>
      </c>
      <c r="D15" s="6">
        <v>7524.59677419355</v>
      </c>
      <c r="E15" s="7"/>
      <c r="F15" s="5"/>
      <c r="G15" s="5"/>
      <c r="H15" s="5">
        <v>3687400</v>
      </c>
      <c r="I15" s="6">
        <v>4956.18279569892</v>
      </c>
      <c r="J15" s="7"/>
      <c r="K15" s="5"/>
      <c r="L15" s="5"/>
      <c r="M15" s="5">
        <v>10839600</v>
      </c>
      <c r="N15" s="6">
        <v>14569.3548387097</v>
      </c>
      <c r="O15" s="7"/>
      <c r="P15" s="5"/>
      <c r="Q15" s="5"/>
      <c r="R15" s="5">
        <v>4784800</v>
      </c>
      <c r="S15" s="6">
        <v>6431.18279569892</v>
      </c>
      <c r="T15" s="7"/>
      <c r="U15" s="5"/>
      <c r="V15" s="5"/>
      <c r="W15" s="5">
        <v>8815800</v>
      </c>
      <c r="X15" s="6">
        <v>11849.1935483871</v>
      </c>
      <c r="Y15" s="7"/>
      <c r="Z15" s="5"/>
      <c r="AA15" s="5"/>
      <c r="AB15" s="5">
        <v>6167721</v>
      </c>
      <c r="AC15" s="15" t="s">
        <v>53</v>
      </c>
      <c r="AD15" s="7"/>
      <c r="AE15" s="5"/>
      <c r="AF15" s="5"/>
      <c r="AG15" s="5">
        <v>360485</v>
      </c>
      <c r="AH15" s="15" t="s">
        <v>53</v>
      </c>
      <c r="AI15" s="7"/>
      <c r="AJ15" s="5"/>
      <c r="AK15" s="5"/>
      <c r="AL15" s="5">
        <v>5607510</v>
      </c>
      <c r="AM15" s="15" t="s">
        <v>53</v>
      </c>
      <c r="AN15" s="7"/>
      <c r="AO15" s="5"/>
      <c r="AP15" s="5"/>
      <c r="AQ15" s="5">
        <v>6233804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92360</v>
      </c>
      <c r="BB15" s="15" t="s">
        <v>54</v>
      </c>
      <c r="BC15" s="7"/>
      <c r="BD15" s="5"/>
      <c r="BE15" s="5"/>
      <c r="BF15" s="5">
        <v>183958</v>
      </c>
      <c r="BG15" s="15" t="s">
        <v>54</v>
      </c>
      <c r="BH15" s="7"/>
      <c r="BI15" s="5"/>
      <c r="BJ15" s="5"/>
      <c r="BK15" s="5">
        <v>194090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130959.99</v>
      </c>
      <c r="D16" s="5"/>
      <c r="E16" s="7"/>
      <c r="F16" s="5"/>
      <c r="G16" s="5"/>
      <c r="H16" s="5">
        <v>45679</v>
      </c>
      <c r="I16" s="5"/>
      <c r="J16" s="7"/>
      <c r="K16" s="5"/>
      <c r="L16" s="5"/>
      <c r="M16" s="5">
        <v>193533</v>
      </c>
      <c r="N16" s="5"/>
      <c r="O16" s="7"/>
      <c r="P16" s="5"/>
      <c r="Q16" s="5"/>
      <c r="R16" s="5">
        <v>121971</v>
      </c>
      <c r="S16" s="5"/>
      <c r="T16" s="7"/>
      <c r="U16" s="5"/>
      <c r="V16" s="5"/>
      <c r="W16" s="5">
        <v>185229</v>
      </c>
      <c r="X16" s="5"/>
      <c r="Y16" s="7"/>
      <c r="Z16" s="5"/>
      <c r="AA16" s="5"/>
      <c r="AB16" s="5">
        <v>193533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185229</v>
      </c>
      <c r="AM16" s="5"/>
      <c r="AN16" s="7"/>
      <c r="AO16" s="5"/>
      <c r="AP16" s="5"/>
      <c r="AQ16" s="5">
        <v>121971</v>
      </c>
      <c r="AR16" s="5"/>
      <c r="AS16" s="7"/>
      <c r="AT16" s="5"/>
      <c r="AU16" s="5"/>
      <c r="AV16" s="5">
        <v>45679</v>
      </c>
      <c r="AW16" s="5"/>
      <c r="AX16" s="7"/>
      <c r="AY16" s="5"/>
      <c r="AZ16" s="5"/>
      <c r="BA16" s="5">
        <v>45679</v>
      </c>
      <c r="BB16" s="5"/>
      <c r="BC16" s="7"/>
      <c r="BD16" s="5"/>
      <c r="BE16" s="5"/>
      <c r="BF16" s="5">
        <v>185229</v>
      </c>
      <c r="BG16" s="5"/>
      <c r="BH16" s="7"/>
      <c r="BI16" s="5"/>
      <c r="BJ16" s="5"/>
      <c r="BK16" s="5">
        <v>193533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51612620</v>
      </c>
    </row>
    <row r="21" spans="3:3">
      <c r="C21" s="17">
        <f t="shared" si="0"/>
        <v>625.7536</v>
      </c>
    </row>
    <row r="22" spans="3:3">
      <c r="C22" s="2">
        <f t="shared" si="0"/>
        <v>2696000</v>
      </c>
    </row>
    <row r="23" spans="3:3">
      <c r="C23" s="2">
        <f t="shared" si="0"/>
        <v>256000</v>
      </c>
    </row>
    <row r="24" spans="3:3">
      <c r="C24" s="2">
        <f t="shared" si="0"/>
        <v>852127</v>
      </c>
    </row>
    <row r="25" spans="3:3">
      <c r="C25" s="2">
        <f t="shared" si="0"/>
        <v>732213</v>
      </c>
    </row>
    <row r="26" spans="3:3">
      <c r="C26" s="2">
        <f t="shared" si="0"/>
        <v>104160</v>
      </c>
    </row>
    <row r="27" spans="3:3">
      <c r="C27" s="2">
        <f t="shared" si="0"/>
        <v>162319</v>
      </c>
    </row>
    <row r="28" spans="3:3">
      <c r="C28" s="2">
        <f t="shared" si="0"/>
        <v>5531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52565828</v>
      </c>
    </row>
    <row r="32" spans="3:3">
      <c r="C32" s="2">
        <f t="shared" si="0"/>
        <v>1648224.99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11973.861407099</v>
      </c>
      <c r="D4" s="6">
        <v>16.0938997407245</v>
      </c>
      <c r="E4" s="7">
        <v>1.47158756693247</v>
      </c>
      <c r="F4" s="7">
        <v>0.0110152595638985</v>
      </c>
      <c r="G4" s="8">
        <v>0.000246633409913766</v>
      </c>
      <c r="H4" s="6">
        <v>11081.1904593889</v>
      </c>
      <c r="I4" s="6">
        <v>14.8940731981034</v>
      </c>
      <c r="J4" s="7">
        <v>1.3618783074589</v>
      </c>
      <c r="K4" s="7" t="e">
        <v>#DIV/0!</v>
      </c>
      <c r="L4" s="8" t="e">
        <v>#DIV/0!</v>
      </c>
      <c r="M4" s="6">
        <v>4912.49735375062</v>
      </c>
      <c r="N4" s="6">
        <v>6.60281902385836</v>
      </c>
      <c r="O4" s="7">
        <v>0.603745924775951</v>
      </c>
      <c r="P4" s="13">
        <v>0.00335617078077679</v>
      </c>
      <c r="Q4" s="14">
        <v>5.9977541155148e-5</v>
      </c>
      <c r="R4" s="6">
        <v>17050.5765295321</v>
      </c>
      <c r="S4" s="6">
        <v>22.9174415719517</v>
      </c>
      <c r="T4" s="7">
        <v>2.09551585547949</v>
      </c>
      <c r="U4" s="7">
        <v>0.0159749405011687</v>
      </c>
      <c r="V4" s="8">
        <v>0.000353125249482575</v>
      </c>
      <c r="W4" s="6">
        <v>34541.8742502293</v>
      </c>
      <c r="X4" s="6">
        <v>46.4272503363297</v>
      </c>
      <c r="Y4" s="7">
        <v>4.24519634535318</v>
      </c>
      <c r="Z4" s="7">
        <v>0.0228210596940839</v>
      </c>
      <c r="AA4" s="8">
        <v>0.000481069334846527</v>
      </c>
      <c r="AB4" s="6">
        <v>1732200</v>
      </c>
      <c r="AC4" s="6">
        <v>2328.22580645161</v>
      </c>
      <c r="AD4" s="7">
        <v>212.88738</v>
      </c>
      <c r="AE4" s="7">
        <v>1.18342232225794</v>
      </c>
      <c r="AF4" s="8">
        <v>0.0347014479788917</v>
      </c>
      <c r="AG4" s="6">
        <v>79120</v>
      </c>
      <c r="AH4" s="6">
        <v>106.344086021505</v>
      </c>
      <c r="AI4" s="7">
        <v>9.723848</v>
      </c>
      <c r="AJ4" s="7" t="e">
        <v>#DIV/0!</v>
      </c>
      <c r="AK4" s="8">
        <v>0.0274293677099054</v>
      </c>
      <c r="AL4" s="6">
        <v>2063360</v>
      </c>
      <c r="AM4" s="6">
        <v>2773.33333333333</v>
      </c>
      <c r="AN4" s="7">
        <v>253.586944</v>
      </c>
      <c r="AO4" s="7">
        <v>1.36321675509754</v>
      </c>
      <c r="AP4" s="8">
        <v>0.0451665788580318</v>
      </c>
      <c r="AQ4" s="6">
        <v>2460000</v>
      </c>
      <c r="AR4" s="6">
        <v>3306.45161290323</v>
      </c>
      <c r="AS4" s="7">
        <v>302.334</v>
      </c>
      <c r="AT4" s="7">
        <v>1.62526811489025</v>
      </c>
      <c r="AU4" s="8">
        <v>0.0538489570364639</v>
      </c>
      <c r="AV4" s="6">
        <v>13440</v>
      </c>
      <c r="AW4" s="6">
        <v>18.0645161290323</v>
      </c>
      <c r="AX4" s="7">
        <v>1.651776</v>
      </c>
      <c r="AY4" s="7"/>
      <c r="AZ4" s="8"/>
      <c r="BA4" s="6">
        <v>13237950</v>
      </c>
      <c r="BB4" s="6">
        <v>17792.9435483871</v>
      </c>
      <c r="BC4" s="7">
        <v>1626.944055</v>
      </c>
      <c r="BD4" s="7">
        <v>12.4028336074832</v>
      </c>
      <c r="BE4" s="8">
        <v>10.0248569236741</v>
      </c>
      <c r="BF4" s="6">
        <v>9942900</v>
      </c>
      <c r="BG4" s="6">
        <v>13364.1129032258</v>
      </c>
      <c r="BH4" s="7">
        <v>1221.98241</v>
      </c>
      <c r="BI4" s="7">
        <v>6.5690562355863</v>
      </c>
      <c r="BJ4" s="8">
        <v>10.1116468485465</v>
      </c>
      <c r="BK4" s="6">
        <v>17268900</v>
      </c>
      <c r="BL4" s="6">
        <v>0</v>
      </c>
      <c r="BM4" s="7">
        <v>2122.34781</v>
      </c>
      <c r="BN4" s="7">
        <v>11.7979458150561</v>
      </c>
      <c r="BO4" s="8">
        <v>11.462979940372</v>
      </c>
    </row>
    <row r="5" s="1" customFormat="1" ht="30" customHeight="1" spans="1:67">
      <c r="A5" s="5" t="s">
        <v>13</v>
      </c>
      <c r="B5" s="5" t="s">
        <v>44</v>
      </c>
      <c r="C5" s="6">
        <v>283</v>
      </c>
      <c r="D5" s="6">
        <v>0.380376344086022</v>
      </c>
      <c r="E5" s="7">
        <v>9.6503</v>
      </c>
      <c r="F5" s="7">
        <v>0.0722352932017998</v>
      </c>
      <c r="G5" s="8">
        <v>0.00161735967955486</v>
      </c>
      <c r="H5" s="6">
        <v>0</v>
      </c>
      <c r="I5" s="6">
        <v>0</v>
      </c>
      <c r="J5" s="7">
        <v>0</v>
      </c>
      <c r="K5" s="7" t="e">
        <v>#DIV/0!</v>
      </c>
      <c r="L5" s="8" t="e">
        <v>#DIV/0!</v>
      </c>
      <c r="M5" s="6">
        <v>425.2048</v>
      </c>
      <c r="N5" s="6">
        <v>0.571511827956989</v>
      </c>
      <c r="O5" s="7">
        <v>14.49948368</v>
      </c>
      <c r="P5" s="7">
        <v>0.0806013613776764</v>
      </c>
      <c r="Q5" s="8">
        <v>0.00144041283503209</v>
      </c>
      <c r="R5" s="6">
        <v>0</v>
      </c>
      <c r="S5" s="6">
        <v>0</v>
      </c>
      <c r="T5" s="7">
        <v>0</v>
      </c>
      <c r="U5" s="7">
        <v>0</v>
      </c>
      <c r="V5" s="8">
        <v>0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850000</v>
      </c>
      <c r="D6" s="6">
        <v>1142.47311827957</v>
      </c>
      <c r="E6" s="7">
        <v>14.365</v>
      </c>
      <c r="F6" s="7">
        <v>0.107526189532331</v>
      </c>
      <c r="G6" s="8">
        <v>0.00240752844956173</v>
      </c>
      <c r="H6" s="6">
        <v>8000</v>
      </c>
      <c r="I6" s="6">
        <v>10.752688172043</v>
      </c>
      <c r="J6" s="7">
        <v>0.1352</v>
      </c>
      <c r="K6" s="7" t="e">
        <v>#DIV/0!</v>
      </c>
      <c r="L6" s="8" t="e">
        <v>#DIV/0!</v>
      </c>
      <c r="M6" s="6">
        <v>519000</v>
      </c>
      <c r="N6" s="6">
        <v>697.58064516129</v>
      </c>
      <c r="O6" s="7">
        <v>8.7711</v>
      </c>
      <c r="P6" s="7">
        <v>0.048757777613481</v>
      </c>
      <c r="Q6" s="8">
        <v>0.000871341717827979</v>
      </c>
      <c r="R6" s="6">
        <v>113000</v>
      </c>
      <c r="S6" s="6">
        <v>151.881720430108</v>
      </c>
      <c r="T6" s="7">
        <v>1.9097</v>
      </c>
      <c r="U6" s="7">
        <v>0.0145583932449421</v>
      </c>
      <c r="V6" s="8">
        <v>0.000321812544235112</v>
      </c>
      <c r="W6" s="6">
        <v>1026000</v>
      </c>
      <c r="X6" s="6">
        <v>1379.03225806452</v>
      </c>
      <c r="Y6" s="7">
        <v>17.3394</v>
      </c>
      <c r="Z6" s="7">
        <v>0.0932120567032754</v>
      </c>
      <c r="AA6" s="8">
        <v>0.00196491585925548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 t="e">
        <v>#DIV/0!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85333.3333333333</v>
      </c>
      <c r="BB7" s="6">
        <v>114.695340501792</v>
      </c>
      <c r="BC7" s="7">
        <v>1.44213333333333</v>
      </c>
      <c r="BD7" s="7">
        <v>0.0109939488811362</v>
      </c>
      <c r="BE7" s="8">
        <v>0.00888609555263898</v>
      </c>
      <c r="BF7" s="6">
        <v>85333.3333333333</v>
      </c>
      <c r="BG7" s="6">
        <v>114.695340501792</v>
      </c>
      <c r="BH7" s="7">
        <v>1.44213333333333</v>
      </c>
      <c r="BI7" s="7">
        <v>0.00775252973230621</v>
      </c>
      <c r="BJ7" s="8">
        <v>0.0119333493312591</v>
      </c>
      <c r="BK7" s="6">
        <v>85333.3333333333</v>
      </c>
      <c r="BL7" s="6">
        <v>114.695340501792</v>
      </c>
      <c r="BM7" s="7">
        <v>1.44213333333333</v>
      </c>
      <c r="BN7" s="7">
        <v>0.00801669304370658</v>
      </c>
      <c r="BO7" s="8">
        <v>0.00778908404807685</v>
      </c>
    </row>
    <row r="8" s="1" customFormat="1" ht="30" customHeight="1" spans="1:67">
      <c r="A8" s="5" t="s">
        <v>46</v>
      </c>
      <c r="B8" s="5" t="s">
        <v>47</v>
      </c>
      <c r="C8" s="6">
        <v>448074</v>
      </c>
      <c r="D8" s="6">
        <v>602.25</v>
      </c>
      <c r="E8" s="7">
        <v>21.283515</v>
      </c>
      <c r="F8" s="7">
        <v>0.159313280042061</v>
      </c>
      <c r="G8" s="8">
        <v>0.00356704962542109</v>
      </c>
      <c r="H8" s="6"/>
      <c r="I8" s="6"/>
      <c r="J8" s="7"/>
      <c r="K8" s="7"/>
      <c r="L8" s="8"/>
      <c r="M8" s="6">
        <v>378565</v>
      </c>
      <c r="N8" s="6">
        <v>508.823924731183</v>
      </c>
      <c r="O8" s="7">
        <v>17.9818375</v>
      </c>
      <c r="P8" s="7">
        <v>0.0999594616304402</v>
      </c>
      <c r="Q8" s="8">
        <v>0.00178635805964515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 t="e">
        <v>#DIV/0!</v>
      </c>
      <c r="L9" s="8" t="e">
        <v>#DIV/0!</v>
      </c>
      <c r="M9" s="5"/>
      <c r="N9" s="6"/>
      <c r="O9" s="7"/>
      <c r="P9" s="9"/>
      <c r="Q9" s="9"/>
      <c r="R9" s="5">
        <v>438360</v>
      </c>
      <c r="S9" s="6">
        <v>0</v>
      </c>
      <c r="T9" s="7">
        <v>20.8221</v>
      </c>
      <c r="U9" s="7">
        <v>0.158735047382055</v>
      </c>
      <c r="V9" s="8">
        <v>0.00350883017087392</v>
      </c>
      <c r="W9" s="5">
        <v>354505</v>
      </c>
      <c r="X9" s="6">
        <v>0</v>
      </c>
      <c r="Y9" s="7">
        <v>16.8389875</v>
      </c>
      <c r="Z9" s="7">
        <v>0.0905219706377237</v>
      </c>
      <c r="AA9" s="8">
        <v>0.00190820868037849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54344</v>
      </c>
      <c r="AR10" s="6">
        <v>73.0430107526882</v>
      </c>
      <c r="AS10" s="7">
        <v>2.58134</v>
      </c>
      <c r="AT10" s="7">
        <v>0.019678568790333</v>
      </c>
      <c r="AU10" s="8">
        <v>0.000414098675973168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43979</v>
      </c>
      <c r="AH11" s="6">
        <v>59.1115591397849</v>
      </c>
      <c r="AI11" s="7">
        <v>1.8207306</v>
      </c>
      <c r="AJ11" s="7" t="e">
        <v>#DIV/0!</v>
      </c>
      <c r="AK11" s="8">
        <v>0.00513598002849043</v>
      </c>
      <c r="AL11" s="5">
        <v>5321</v>
      </c>
      <c r="AM11" s="6">
        <v>7.15188172043011</v>
      </c>
      <c r="AN11" s="7">
        <v>0.2202894</v>
      </c>
      <c r="AO11" s="7">
        <v>0.00118421791088103</v>
      </c>
      <c r="AP11" s="8">
        <v>3.92359259500698e-5</v>
      </c>
      <c r="AQ11" s="5"/>
      <c r="AR11" s="6"/>
      <c r="AS11" s="7"/>
      <c r="AT11" s="9"/>
      <c r="AU11" s="9"/>
      <c r="AV11" s="5">
        <v>56218</v>
      </c>
      <c r="AW11" s="6">
        <v>75.5618279569892</v>
      </c>
      <c r="AX11" s="7">
        <v>2.3274252</v>
      </c>
      <c r="AY11" s="7" t="e">
        <v>#DIV/0!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171</v>
      </c>
      <c r="AC12" s="6">
        <v>0.229838709677419</v>
      </c>
      <c r="AD12" s="7">
        <v>0.0070794</v>
      </c>
      <c r="AE12" s="9">
        <v>3.93537653016016e-5</v>
      </c>
      <c r="AF12" s="9">
        <v>1.15396897092616e-6</v>
      </c>
      <c r="AG12" s="5"/>
      <c r="AH12" s="6"/>
      <c r="AI12" s="7"/>
      <c r="AJ12" s="9"/>
      <c r="AK12" s="9"/>
      <c r="AL12" s="5">
        <v>387</v>
      </c>
      <c r="AM12" s="6">
        <v>0.520161290322581</v>
      </c>
      <c r="AN12" s="7">
        <v>0.0160218</v>
      </c>
      <c r="AO12" s="7">
        <v>8.61289854371281e-5</v>
      </c>
      <c r="AP12" s="8">
        <v>8.61289854371281e-5</v>
      </c>
      <c r="AQ12" s="5"/>
      <c r="AR12" s="6"/>
      <c r="AS12" s="7"/>
      <c r="AT12" s="9"/>
      <c r="AU12" s="9"/>
      <c r="AV12" s="5">
        <v>0</v>
      </c>
      <c r="AW12" s="6">
        <v>0</v>
      </c>
      <c r="AX12" s="7">
        <v>0</v>
      </c>
      <c r="AY12" s="7" t="e">
        <v>#DIV/0!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5966700</v>
      </c>
      <c r="D15" s="6">
        <v>8019.75806451613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10066200</v>
      </c>
      <c r="N15" s="6">
        <v>13529.8387096774</v>
      </c>
      <c r="O15" s="7"/>
      <c r="P15" s="5"/>
      <c r="Q15" s="5"/>
      <c r="R15" s="5">
        <v>5934200</v>
      </c>
      <c r="S15" s="6">
        <v>7976.0752688172</v>
      </c>
      <c r="T15" s="7"/>
      <c r="U15" s="5"/>
      <c r="V15" s="5"/>
      <c r="W15" s="5">
        <v>8824500</v>
      </c>
      <c r="X15" s="6">
        <v>11860.8870967742</v>
      </c>
      <c r="Y15" s="7"/>
      <c r="Z15" s="5"/>
      <c r="AA15" s="5"/>
      <c r="AB15" s="5">
        <v>6134827</v>
      </c>
      <c r="AC15" s="15" t="s">
        <v>53</v>
      </c>
      <c r="AD15" s="7"/>
      <c r="AE15" s="5"/>
      <c r="AF15" s="5"/>
      <c r="AG15" s="5">
        <v>354505</v>
      </c>
      <c r="AH15" s="15" t="s">
        <v>53</v>
      </c>
      <c r="AI15" s="7"/>
      <c r="AJ15" s="5"/>
      <c r="AK15" s="5"/>
      <c r="AL15" s="5">
        <v>5614482</v>
      </c>
      <c r="AM15" s="15" t="s">
        <v>53</v>
      </c>
      <c r="AN15" s="7"/>
      <c r="AO15" s="5"/>
      <c r="AP15" s="5"/>
      <c r="AQ15" s="5">
        <v>6233635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162291</v>
      </c>
      <c r="BB15" s="15" t="s">
        <v>54</v>
      </c>
      <c r="BC15" s="7"/>
      <c r="BD15" s="5"/>
      <c r="BE15" s="5"/>
      <c r="BF15" s="5">
        <v>120849</v>
      </c>
      <c r="BG15" s="15" t="s">
        <v>54</v>
      </c>
      <c r="BH15" s="7"/>
      <c r="BI15" s="5"/>
      <c r="BJ15" s="5"/>
      <c r="BK15" s="5">
        <v>185148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133595.36</v>
      </c>
      <c r="D16" s="5"/>
      <c r="E16" s="7"/>
      <c r="F16" s="5"/>
      <c r="G16" s="5"/>
      <c r="H16" s="5">
        <v>0</v>
      </c>
      <c r="I16" s="5"/>
      <c r="J16" s="7"/>
      <c r="K16" s="5"/>
      <c r="L16" s="5"/>
      <c r="M16" s="5">
        <v>179891.3</v>
      </c>
      <c r="N16" s="5"/>
      <c r="O16" s="7"/>
      <c r="P16" s="5"/>
      <c r="Q16" s="5"/>
      <c r="R16" s="5">
        <v>131175.19</v>
      </c>
      <c r="S16" s="5"/>
      <c r="T16" s="7"/>
      <c r="U16" s="5"/>
      <c r="V16" s="5"/>
      <c r="W16" s="5">
        <v>186021</v>
      </c>
      <c r="X16" s="5"/>
      <c r="Y16" s="7"/>
      <c r="Z16" s="5"/>
      <c r="AA16" s="5"/>
      <c r="AB16" s="5">
        <v>179891.3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186021</v>
      </c>
      <c r="AM16" s="5"/>
      <c r="AN16" s="7"/>
      <c r="AO16" s="5"/>
      <c r="AP16" s="5"/>
      <c r="AQ16" s="5">
        <v>131175.19</v>
      </c>
      <c r="AR16" s="5"/>
      <c r="AS16" s="7"/>
      <c r="AT16" s="5"/>
      <c r="AU16" s="5"/>
      <c r="AV16" s="5">
        <v>0</v>
      </c>
      <c r="AW16" s="5"/>
      <c r="AX16" s="7"/>
      <c r="AY16" s="5"/>
      <c r="AZ16" s="5"/>
      <c r="BA16" s="5">
        <v>131175.19</v>
      </c>
      <c r="BB16" s="5"/>
      <c r="BC16" s="7"/>
      <c r="BD16" s="5"/>
      <c r="BE16" s="5"/>
      <c r="BF16" s="5">
        <v>186021</v>
      </c>
      <c r="BG16" s="5"/>
      <c r="BH16" s="7"/>
      <c r="BI16" s="5"/>
      <c r="BJ16" s="5"/>
      <c r="BK16" s="5">
        <v>179891.3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46877430</v>
      </c>
    </row>
    <row r="21" spans="3:3">
      <c r="C21" s="17">
        <f t="shared" si="0"/>
        <v>708.2048</v>
      </c>
    </row>
    <row r="22" spans="3:3">
      <c r="C22" s="2">
        <f t="shared" si="0"/>
        <v>2516000</v>
      </c>
    </row>
    <row r="23" spans="3:3">
      <c r="C23" s="2">
        <f t="shared" si="0"/>
        <v>256000</v>
      </c>
    </row>
    <row r="24" spans="3:3">
      <c r="C24" s="2">
        <f t="shared" si="0"/>
        <v>826639</v>
      </c>
    </row>
    <row r="25" spans="3:3">
      <c r="C25" s="2">
        <f t="shared" si="0"/>
        <v>792865</v>
      </c>
    </row>
    <row r="26" spans="3:3">
      <c r="C26" s="2">
        <f t="shared" si="0"/>
        <v>54344</v>
      </c>
    </row>
    <row r="27" spans="3:3">
      <c r="C27" s="2">
        <f t="shared" si="0"/>
        <v>105518</v>
      </c>
    </row>
    <row r="28" spans="3:3">
      <c r="C28" s="2">
        <f t="shared" si="0"/>
        <v>558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49597337</v>
      </c>
    </row>
    <row r="32" spans="3:3">
      <c r="C32" s="2">
        <f t="shared" si="0"/>
        <v>1624857.83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6602.47988850469</v>
      </c>
      <c r="D4" s="6">
        <v>9.17011095625652</v>
      </c>
      <c r="E4" s="7">
        <v>0.811444778297226</v>
      </c>
      <c r="F4" s="7">
        <v>0.0557417786991619</v>
      </c>
      <c r="G4" s="8">
        <v>0.000532234539090402</v>
      </c>
      <c r="H4" s="6">
        <v>6110.25421635735</v>
      </c>
      <c r="I4" s="6">
        <v>8.48646418938521</v>
      </c>
      <c r="J4" s="7">
        <v>0.750950243190318</v>
      </c>
      <c r="K4" s="7" t="e">
        <v>#DIV/0!</v>
      </c>
      <c r="L4" s="8" t="e">
        <v>#DIV/0!</v>
      </c>
      <c r="M4" s="6">
        <v>2708.78907628255</v>
      </c>
      <c r="N4" s="6">
        <v>3.76220705039243</v>
      </c>
      <c r="O4" s="7">
        <v>0.332910177475125</v>
      </c>
      <c r="P4" s="13">
        <v>0.0016555253769021</v>
      </c>
      <c r="Q4" s="14">
        <v>3.22944121874091e-5</v>
      </c>
      <c r="R4" s="6">
        <v>9401.81991390869</v>
      </c>
      <c r="S4" s="6">
        <v>13.0580832137621</v>
      </c>
      <c r="T4" s="7">
        <v>1.15548366741938</v>
      </c>
      <c r="U4" s="7">
        <v>0.0091655573508601</v>
      </c>
      <c r="V4" s="8">
        <v>0.000201514417059536</v>
      </c>
      <c r="W4" s="6">
        <v>19046.6569049467</v>
      </c>
      <c r="X4" s="6">
        <v>26.4536901457593</v>
      </c>
      <c r="Y4" s="7">
        <v>2.34083413361795</v>
      </c>
      <c r="Z4" s="7">
        <v>0.013200073632521</v>
      </c>
      <c r="AA4" s="8">
        <v>0.000298511054186968</v>
      </c>
      <c r="AB4" s="6">
        <v>1648600</v>
      </c>
      <c r="AC4" s="6">
        <v>2289.72222222222</v>
      </c>
      <c r="AD4" s="7">
        <v>202.61294</v>
      </c>
      <c r="AE4" s="7">
        <v>1.00757167114185</v>
      </c>
      <c r="AF4" s="8">
        <v>0.0343516680857442</v>
      </c>
      <c r="AG4" s="6">
        <v>64940</v>
      </c>
      <c r="AH4" s="6">
        <v>90.1944444444444</v>
      </c>
      <c r="AI4" s="7">
        <v>7.981126</v>
      </c>
      <c r="AJ4" s="7" t="e">
        <v>#DIV/0!</v>
      </c>
      <c r="AK4" s="8">
        <v>0.0232736779179121</v>
      </c>
      <c r="AL4" s="6">
        <v>1995920</v>
      </c>
      <c r="AM4" s="6">
        <v>2772.11111111111</v>
      </c>
      <c r="AN4" s="7">
        <v>245.298568</v>
      </c>
      <c r="AO4" s="7">
        <v>1.38325014705225</v>
      </c>
      <c r="AP4" s="8">
        <v>0.0451404815687559</v>
      </c>
      <c r="AQ4" s="6">
        <v>2545320</v>
      </c>
      <c r="AR4" s="6">
        <v>3535.16666666667</v>
      </c>
      <c r="AS4" s="7">
        <v>312.819828</v>
      </c>
      <c r="AT4" s="7">
        <v>1.76400570378323</v>
      </c>
      <c r="AU4" s="8">
        <v>0.057565919749582</v>
      </c>
      <c r="AV4" s="6">
        <v>84600</v>
      </c>
      <c r="AW4" s="6">
        <v>117.5</v>
      </c>
      <c r="AX4" s="7">
        <v>10.39734</v>
      </c>
      <c r="AY4" s="7"/>
      <c r="AZ4" s="8"/>
      <c r="BA4" s="6">
        <v>13817100</v>
      </c>
      <c r="BB4" s="6">
        <v>19190.4166666667</v>
      </c>
      <c r="BC4" s="7">
        <v>1698.12159</v>
      </c>
      <c r="BD4" s="7">
        <v>13.4698838769737</v>
      </c>
      <c r="BE4" s="8">
        <v>9.80060594342835</v>
      </c>
      <c r="BF4" s="6">
        <v>16150200</v>
      </c>
      <c r="BG4" s="6">
        <v>22430.8333333333</v>
      </c>
      <c r="BH4" s="7">
        <v>1984.85958</v>
      </c>
      <c r="BI4" s="7">
        <v>11.1927164039256</v>
      </c>
      <c r="BJ4" s="8">
        <v>10.7214946334718</v>
      </c>
      <c r="BK4" s="6">
        <v>16912500</v>
      </c>
      <c r="BL4" s="6">
        <v>0</v>
      </c>
      <c r="BM4" s="7">
        <v>2078.54625</v>
      </c>
      <c r="BN4" s="7">
        <v>10.3363798909296</v>
      </c>
      <c r="BO4" s="8">
        <v>11.4219017029437</v>
      </c>
    </row>
    <row r="5" s="1" customFormat="1" ht="30" customHeight="1" spans="1:67">
      <c r="A5" s="5" t="s">
        <v>13</v>
      </c>
      <c r="B5" s="5" t="s">
        <v>44</v>
      </c>
      <c r="C5" s="6">
        <v>187</v>
      </c>
      <c r="D5" s="6">
        <v>0.2584</v>
      </c>
      <c r="E5" s="7">
        <v>6.3442368</v>
      </c>
      <c r="F5" s="7">
        <v>0.43581406052396</v>
      </c>
      <c r="G5" s="8">
        <v>0.00416124675324675</v>
      </c>
      <c r="H5" s="6">
        <v>0</v>
      </c>
      <c r="I5" s="6">
        <v>0</v>
      </c>
      <c r="J5" s="7">
        <v>0</v>
      </c>
      <c r="K5" s="7" t="e">
        <v>#DIV/0!</v>
      </c>
      <c r="L5" s="8" t="e">
        <v>#DIV/0!</v>
      </c>
      <c r="M5" s="6">
        <v>479.2864</v>
      </c>
      <c r="N5" s="6">
        <v>0.665675555555556</v>
      </c>
      <c r="O5" s="7">
        <v>16.34366624</v>
      </c>
      <c r="P5" s="7">
        <v>0.0812752389162384</v>
      </c>
      <c r="Q5" s="8">
        <v>0.00158543994722853</v>
      </c>
      <c r="R5" s="6">
        <v>674.3024</v>
      </c>
      <c r="S5" s="6">
        <v>0.936531111111111</v>
      </c>
      <c r="T5" s="7">
        <v>22.99371184</v>
      </c>
      <c r="U5" s="7">
        <v>0.182391314149298</v>
      </c>
      <c r="V5" s="8">
        <v>0.00401006484827346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472000</v>
      </c>
      <c r="D6" s="6">
        <v>655.555555555556</v>
      </c>
      <c r="E6" s="7">
        <v>7.9768</v>
      </c>
      <c r="F6" s="7">
        <v>0.547962143844872</v>
      </c>
      <c r="G6" s="8">
        <v>0.00523206086842451</v>
      </c>
      <c r="H6" s="6">
        <v>46000</v>
      </c>
      <c r="I6" s="6">
        <v>63.8888888888889</v>
      </c>
      <c r="J6" s="7">
        <v>0.7774</v>
      </c>
      <c r="K6" s="7" t="e">
        <v>#DIV/0!</v>
      </c>
      <c r="L6" s="8" t="e">
        <v>#DIV/0!</v>
      </c>
      <c r="M6" s="6">
        <v>520000</v>
      </c>
      <c r="N6" s="6">
        <v>722.222222222222</v>
      </c>
      <c r="O6" s="7">
        <v>8.788</v>
      </c>
      <c r="P6" s="7">
        <v>0.0437017489899441</v>
      </c>
      <c r="Q6" s="8">
        <v>0.000852492093979784</v>
      </c>
      <c r="R6" s="6">
        <v>116000</v>
      </c>
      <c r="S6" s="6">
        <v>161.111111111111</v>
      </c>
      <c r="T6" s="7">
        <v>1.9604</v>
      </c>
      <c r="U6" s="7">
        <v>0.0155503354458966</v>
      </c>
      <c r="V6" s="8">
        <v>0.000341890477851413</v>
      </c>
      <c r="W6" s="6">
        <v>986000</v>
      </c>
      <c r="X6" s="6">
        <v>1425</v>
      </c>
      <c r="Y6" s="7">
        <v>17.3394</v>
      </c>
      <c r="Z6" s="7">
        <v>0.0977776910617666</v>
      </c>
      <c r="AA6" s="8">
        <v>0.0022111786984965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 t="e">
        <v>#DIV/0!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</v>
      </c>
      <c r="BB7" s="6">
        <v>114.814814814815</v>
      </c>
      <c r="BC7" s="7">
        <v>1.39706666666667</v>
      </c>
      <c r="BD7" s="7">
        <v>0.0110818482487999</v>
      </c>
      <c r="BE7" s="8">
        <v>0.00806308568086633</v>
      </c>
      <c r="BF7" s="6">
        <v>82666.6666666667</v>
      </c>
      <c r="BG7" s="6">
        <v>114.814814814815</v>
      </c>
      <c r="BH7" s="7">
        <v>1.39706666666667</v>
      </c>
      <c r="BI7" s="7">
        <v>0.00787812455598379</v>
      </c>
      <c r="BJ7" s="8">
        <v>0.00754644959280646</v>
      </c>
      <c r="BK7" s="6">
        <v>82666.6666666667</v>
      </c>
      <c r="BL7" s="6">
        <v>114.814814814815</v>
      </c>
      <c r="BM7" s="7">
        <v>1.39706666666667</v>
      </c>
      <c r="BN7" s="7">
        <v>0.00694745753173472</v>
      </c>
      <c r="BO7" s="8">
        <v>0.00767707629268579</v>
      </c>
    </row>
    <row r="8" s="1" customFormat="1" ht="30" customHeight="1" spans="1:67">
      <c r="A8" s="5" t="s">
        <v>46</v>
      </c>
      <c r="B8" s="5" t="s">
        <v>47</v>
      </c>
      <c r="C8" s="6">
        <v>121121</v>
      </c>
      <c r="D8" s="6">
        <v>168.223611111111</v>
      </c>
      <c r="E8" s="7">
        <v>5.7532475</v>
      </c>
      <c r="F8" s="7">
        <v>0.395216356705715</v>
      </c>
      <c r="G8" s="8">
        <v>0.00377361111111111</v>
      </c>
      <c r="H8" s="6"/>
      <c r="I8" s="6"/>
      <c r="J8" s="7"/>
      <c r="K8" s="7"/>
      <c r="L8" s="8"/>
      <c r="M8" s="6">
        <v>341975</v>
      </c>
      <c r="N8" s="6">
        <v>474.965277777778</v>
      </c>
      <c r="O8" s="7">
        <v>16.2438125</v>
      </c>
      <c r="P8" s="7">
        <v>0.0807786773457801</v>
      </c>
      <c r="Q8" s="8">
        <v>0.00157575349708011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 t="e">
        <v>#DIV/0!</v>
      </c>
      <c r="L9" s="8" t="e">
        <v>#DIV/0!</v>
      </c>
      <c r="M9" s="5"/>
      <c r="N9" s="6"/>
      <c r="O9" s="7"/>
      <c r="P9" s="9"/>
      <c r="Q9" s="9"/>
      <c r="R9" s="5">
        <v>411833</v>
      </c>
      <c r="S9" s="6">
        <v>0</v>
      </c>
      <c r="T9" s="7">
        <v>19.5620675</v>
      </c>
      <c r="U9" s="7">
        <v>0.155170736400873</v>
      </c>
      <c r="V9" s="8">
        <v>0.00341159182071852</v>
      </c>
      <c r="W9" s="5">
        <v>342925</v>
      </c>
      <c r="X9" s="6">
        <v>0</v>
      </c>
      <c r="Y9" s="7">
        <v>16.2889375</v>
      </c>
      <c r="Z9" s="7">
        <v>0.0918540836822165</v>
      </c>
      <c r="AA9" s="8">
        <v>0.00207722018184832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101546</v>
      </c>
      <c r="AR10" s="6">
        <v>141.036111111111</v>
      </c>
      <c r="AS10" s="7">
        <v>4.823435</v>
      </c>
      <c r="AT10" s="7">
        <v>0.038260575521056</v>
      </c>
      <c r="AU10" s="8">
        <v>0.000798365839710608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33512</v>
      </c>
      <c r="AH11" s="6">
        <v>46.5444444444444</v>
      </c>
      <c r="AI11" s="7">
        <v>1.3873968</v>
      </c>
      <c r="AJ11" s="7" t="e">
        <v>#DIV/0!</v>
      </c>
      <c r="AK11" s="8">
        <v>0.00404577327403951</v>
      </c>
      <c r="AL11" s="5">
        <v>1194</v>
      </c>
      <c r="AM11" s="6">
        <v>1.65833333333333</v>
      </c>
      <c r="AN11" s="7">
        <v>0.0494316</v>
      </c>
      <c r="AO11" s="7">
        <v>0.0002787471142882</v>
      </c>
      <c r="AP11" s="8">
        <v>9.09653181796852e-6</v>
      </c>
      <c r="AQ11" s="5"/>
      <c r="AR11" s="6"/>
      <c r="AS11" s="7"/>
      <c r="AT11" s="9"/>
      <c r="AU11" s="9"/>
      <c r="AV11" s="5">
        <v>56040</v>
      </c>
      <c r="AW11" s="6">
        <v>77.8333333333333</v>
      </c>
      <c r="AX11" s="7">
        <v>2.320056</v>
      </c>
      <c r="AY11" s="7" t="e">
        <v>#DIV/0!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33</v>
      </c>
      <c r="AC12" s="6">
        <v>0.0458333333333333</v>
      </c>
      <c r="AD12" s="7">
        <v>0.0013662</v>
      </c>
      <c r="AE12" s="9">
        <v>6.7939610229929e-6</v>
      </c>
      <c r="AF12" s="9">
        <v>2.31630067352775e-7</v>
      </c>
      <c r="AG12" s="5"/>
      <c r="AH12" s="6"/>
      <c r="AI12" s="7"/>
      <c r="AJ12" s="9"/>
      <c r="AK12" s="9"/>
      <c r="AL12" s="5">
        <v>480</v>
      </c>
      <c r="AM12" s="6">
        <v>0.666666666666667</v>
      </c>
      <c r="AN12" s="7">
        <v>0.019872</v>
      </c>
      <c r="AO12" s="7">
        <v>0.000112059141422392</v>
      </c>
      <c r="AP12" s="8">
        <v>0.000112059141422392</v>
      </c>
      <c r="AQ12" s="5"/>
      <c r="AR12" s="6"/>
      <c r="AS12" s="7"/>
      <c r="AT12" s="9"/>
      <c r="AU12" s="9"/>
      <c r="AV12" s="5">
        <v>0</v>
      </c>
      <c r="AW12" s="6">
        <v>0</v>
      </c>
      <c r="AX12" s="7">
        <v>0</v>
      </c>
      <c r="AY12" s="7" t="e">
        <v>#DIV/0!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1524600</v>
      </c>
      <c r="D15" s="6">
        <v>2117.5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10308600</v>
      </c>
      <c r="N15" s="6">
        <v>14317.5</v>
      </c>
      <c r="O15" s="7"/>
      <c r="P15" s="5"/>
      <c r="Q15" s="5"/>
      <c r="R15" s="5">
        <v>5734000</v>
      </c>
      <c r="S15" s="6">
        <v>7963.88888888889</v>
      </c>
      <c r="T15" s="7"/>
      <c r="U15" s="5"/>
      <c r="V15" s="5"/>
      <c r="W15" s="5">
        <v>7841700</v>
      </c>
      <c r="X15" s="6">
        <v>10891.25</v>
      </c>
      <c r="Y15" s="7"/>
      <c r="Z15" s="5"/>
      <c r="AA15" s="5"/>
      <c r="AB15" s="5">
        <v>5898198</v>
      </c>
      <c r="AC15" s="15" t="s">
        <v>53</v>
      </c>
      <c r="AD15" s="7"/>
      <c r="AE15" s="5"/>
      <c r="AF15" s="5"/>
      <c r="AG15" s="5">
        <v>342925</v>
      </c>
      <c r="AH15" s="15" t="s">
        <v>53</v>
      </c>
      <c r="AI15" s="7"/>
      <c r="AJ15" s="5"/>
      <c r="AK15" s="5"/>
      <c r="AL15" s="5">
        <v>5434115</v>
      </c>
      <c r="AM15" s="15" t="s">
        <v>53</v>
      </c>
      <c r="AN15" s="7"/>
      <c r="AO15" s="5"/>
      <c r="AP15" s="5"/>
      <c r="AQ15" s="5">
        <v>6041635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173267</v>
      </c>
      <c r="BB15" s="15" t="s">
        <v>54</v>
      </c>
      <c r="BC15" s="7"/>
      <c r="BD15" s="5"/>
      <c r="BE15" s="5"/>
      <c r="BF15" s="5">
        <v>185129</v>
      </c>
      <c r="BG15" s="15" t="s">
        <v>54</v>
      </c>
      <c r="BH15" s="7"/>
      <c r="BI15" s="5"/>
      <c r="BJ15" s="5"/>
      <c r="BK15" s="5">
        <v>181979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14557.21</v>
      </c>
      <c r="D16" s="5"/>
      <c r="E16" s="7"/>
      <c r="F16" s="5"/>
      <c r="G16" s="5"/>
      <c r="H16" s="5">
        <v>0</v>
      </c>
      <c r="I16" s="5"/>
      <c r="J16" s="7"/>
      <c r="K16" s="5"/>
      <c r="L16" s="5"/>
      <c r="M16" s="5">
        <v>201090.35</v>
      </c>
      <c r="N16" s="5"/>
      <c r="O16" s="7"/>
      <c r="P16" s="5"/>
      <c r="Q16" s="5"/>
      <c r="R16" s="5">
        <v>126068.02</v>
      </c>
      <c r="S16" s="5"/>
      <c r="T16" s="7"/>
      <c r="U16" s="5"/>
      <c r="V16" s="5"/>
      <c r="W16" s="5">
        <v>177334.93</v>
      </c>
      <c r="X16" s="5"/>
      <c r="Y16" s="7"/>
      <c r="Z16" s="5"/>
      <c r="AA16" s="5"/>
      <c r="AB16" s="5">
        <v>201090.35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177334.93</v>
      </c>
      <c r="AM16" s="5"/>
      <c r="AN16" s="7"/>
      <c r="AO16" s="5"/>
      <c r="AP16" s="5"/>
      <c r="AQ16" s="5">
        <v>126068.02</v>
      </c>
      <c r="AR16" s="5"/>
      <c r="AS16" s="7"/>
      <c r="AT16" s="5"/>
      <c r="AU16" s="5"/>
      <c r="AV16" s="5">
        <v>0</v>
      </c>
      <c r="AW16" s="5"/>
      <c r="AX16" s="7"/>
      <c r="AY16" s="5"/>
      <c r="AZ16" s="5"/>
      <c r="BA16" s="5">
        <v>126068.02</v>
      </c>
      <c r="BB16" s="5"/>
      <c r="BC16" s="7"/>
      <c r="BD16" s="5"/>
      <c r="BE16" s="5"/>
      <c r="BF16" s="5">
        <v>177334.93</v>
      </c>
      <c r="BG16" s="5"/>
      <c r="BH16" s="7"/>
      <c r="BI16" s="5"/>
      <c r="BJ16" s="5"/>
      <c r="BK16" s="5">
        <v>201090.35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53263050</v>
      </c>
    </row>
    <row r="21" spans="3:3">
      <c r="C21" s="17">
        <f t="shared" si="0"/>
        <v>1340.5888</v>
      </c>
    </row>
    <row r="22" spans="3:3">
      <c r="C22" s="2">
        <f t="shared" si="0"/>
        <v>2140000</v>
      </c>
    </row>
    <row r="23" spans="3:3">
      <c r="C23" s="2">
        <f t="shared" si="0"/>
        <v>248000</v>
      </c>
    </row>
    <row r="24" spans="3:3">
      <c r="C24" s="2">
        <f t="shared" si="0"/>
        <v>463096</v>
      </c>
    </row>
    <row r="25" spans="3:3">
      <c r="C25" s="2">
        <f t="shared" si="0"/>
        <v>754758</v>
      </c>
    </row>
    <row r="26" spans="3:3">
      <c r="C26" s="2">
        <f t="shared" si="0"/>
        <v>101546</v>
      </c>
    </row>
    <row r="27" spans="3:3">
      <c r="C27" s="2">
        <f t="shared" si="0"/>
        <v>90746</v>
      </c>
    </row>
    <row r="28" spans="3:3">
      <c r="C28" s="2">
        <f t="shared" si="0"/>
        <v>513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43666148</v>
      </c>
    </row>
    <row r="32" spans="3:3">
      <c r="C32" s="2">
        <f t="shared" si="0"/>
        <v>1528037.11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O32"/>
  <sheetViews>
    <sheetView topLeftCell="A5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3913.026604</v>
      </c>
      <c r="D4" s="6">
        <v>5.25944436021505</v>
      </c>
      <c r="E4" s="7">
        <v>0.4809109696316</v>
      </c>
      <c r="F4" s="7" t="e">
        <v>#DIV/0!</v>
      </c>
      <c r="G4" s="8" t="e">
        <v>#DIV/0!</v>
      </c>
      <c r="H4" s="6">
        <v>3621.304072</v>
      </c>
      <c r="I4" s="6">
        <v>4.8673441827957</v>
      </c>
      <c r="J4" s="7">
        <v>0.4450582704488</v>
      </c>
      <c r="K4" s="7">
        <v>0.0460485930581057</v>
      </c>
      <c r="L4" s="8" t="e">
        <v>#DIV/0!</v>
      </c>
      <c r="M4" s="6">
        <v>1605.391292</v>
      </c>
      <c r="N4" s="6">
        <v>2.15778399462366</v>
      </c>
      <c r="O4" s="7">
        <v>0.1973025897868</v>
      </c>
      <c r="P4" s="13">
        <v>0.000961598742865292</v>
      </c>
      <c r="Q4" s="14">
        <v>2.28090205760329e-5</v>
      </c>
      <c r="R4" s="6">
        <v>5572.083833</v>
      </c>
      <c r="S4" s="6">
        <v>7.4893599905914</v>
      </c>
      <c r="T4" s="7">
        <v>0.6848091030757</v>
      </c>
      <c r="U4" s="7">
        <v>0.0055182190110408</v>
      </c>
      <c r="V4" s="8">
        <v>0.000119076526356408</v>
      </c>
      <c r="W4" s="6">
        <v>11288.1942</v>
      </c>
      <c r="X4" s="6">
        <v>15.1723040322581</v>
      </c>
      <c r="Y4" s="7">
        <v>1.38731906718</v>
      </c>
      <c r="Z4" s="7">
        <v>0.00758946543927592</v>
      </c>
      <c r="AA4" s="8">
        <v>0.000177724707555726</v>
      </c>
      <c r="AB4" s="6">
        <v>1661800</v>
      </c>
      <c r="AC4" s="6">
        <v>2233.60215053763</v>
      </c>
      <c r="AD4" s="7">
        <v>204.23522</v>
      </c>
      <c r="AE4" s="7">
        <v>0.0338389276400954</v>
      </c>
      <c r="AF4" s="8">
        <v>0.0338389276400954</v>
      </c>
      <c r="AG4" s="6">
        <v>15680</v>
      </c>
      <c r="AH4" s="6">
        <v>21.0752688172043</v>
      </c>
      <c r="AI4" s="7">
        <v>1.927072</v>
      </c>
      <c r="AJ4" s="7" t="e">
        <v>#DIV/0!</v>
      </c>
      <c r="AK4" s="8">
        <v>0.00560792005447657</v>
      </c>
      <c r="AL4" s="6">
        <v>2077920</v>
      </c>
      <c r="AM4" s="6">
        <v>2792.90322580645</v>
      </c>
      <c r="AN4" s="7">
        <v>255.376368</v>
      </c>
      <c r="AO4" s="7">
        <v>1.39706154466941</v>
      </c>
      <c r="AP4" s="8">
        <v>0.0450188594296179</v>
      </c>
      <c r="AQ4" s="6">
        <v>2461680</v>
      </c>
      <c r="AR4" s="6">
        <v>3308.70967741935</v>
      </c>
      <c r="AS4" s="7">
        <v>302.540472</v>
      </c>
      <c r="AT4" s="7">
        <v>1.65507741553177</v>
      </c>
      <c r="AU4" s="8">
        <v>0.053333153288241</v>
      </c>
      <c r="AV4" s="6">
        <v>767880</v>
      </c>
      <c r="AW4" s="6">
        <v>1032.09677419355</v>
      </c>
      <c r="AX4" s="7">
        <v>94.372452</v>
      </c>
      <c r="AY4" s="7"/>
      <c r="AZ4" s="8"/>
      <c r="BA4" s="6">
        <v>10913100</v>
      </c>
      <c r="BB4" s="6">
        <v>14668.1451612903</v>
      </c>
      <c r="BC4" s="7">
        <v>1341.21999</v>
      </c>
      <c r="BD4" s="7">
        <v>10.807604065958</v>
      </c>
      <c r="BE4" s="8">
        <v>9.96248887667407</v>
      </c>
      <c r="BF4" s="6">
        <v>16707900</v>
      </c>
      <c r="BG4" s="6">
        <v>22456.8548387097</v>
      </c>
      <c r="BH4" s="7">
        <v>2053.40091</v>
      </c>
      <c r="BI4" s="7">
        <v>11.2333316885068</v>
      </c>
      <c r="BJ4" s="8">
        <v>10.5861778110017</v>
      </c>
      <c r="BK4" s="6">
        <v>17527950</v>
      </c>
      <c r="BL4" s="6">
        <v>0</v>
      </c>
      <c r="BM4" s="7">
        <v>2154.185055</v>
      </c>
      <c r="BN4" s="7">
        <v>10.4989075056013</v>
      </c>
      <c r="BO4" s="8">
        <v>11.2246246013881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0</v>
      </c>
      <c r="I5" s="6">
        <v>0</v>
      </c>
      <c r="J5" s="7">
        <v>0</v>
      </c>
      <c r="K5" s="7">
        <v>0</v>
      </c>
      <c r="L5" s="8" t="e">
        <v>#DIV/0!</v>
      </c>
      <c r="M5" s="6">
        <v>539.9952</v>
      </c>
      <c r="N5" s="6">
        <v>0.7258</v>
      </c>
      <c r="O5" s="7">
        <v>18.41383632</v>
      </c>
      <c r="P5" s="7">
        <v>0.0897439910736735</v>
      </c>
      <c r="Q5" s="8">
        <v>0.00212871798571131</v>
      </c>
      <c r="R5" s="6">
        <v>2263.0368</v>
      </c>
      <c r="S5" s="6">
        <v>3.04171612903226</v>
      </c>
      <c r="T5" s="7">
        <v>77.16955488</v>
      </c>
      <c r="U5" s="7">
        <v>0.62183534491553</v>
      </c>
      <c r="V5" s="8">
        <v>0.0134184585080856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13000</v>
      </c>
      <c r="D6" s="6">
        <v>17.4731182795699</v>
      </c>
      <c r="E6" s="7">
        <v>0.2197</v>
      </c>
      <c r="F6" s="7" t="e">
        <v>#DIV/0!</v>
      </c>
      <c r="G6" s="8" t="e">
        <v>#DIV/0!</v>
      </c>
      <c r="H6" s="6">
        <v>62000</v>
      </c>
      <c r="I6" s="6">
        <v>83.3333333333333</v>
      </c>
      <c r="J6" s="7">
        <v>1.0478</v>
      </c>
      <c r="K6" s="7">
        <v>0.108412131646555</v>
      </c>
      <c r="L6" s="8" t="e">
        <v>#DIV/0!</v>
      </c>
      <c r="M6" s="6">
        <v>537000</v>
      </c>
      <c r="N6" s="6">
        <v>721.774193548387</v>
      </c>
      <c r="O6" s="7">
        <v>9.0753</v>
      </c>
      <c r="P6" s="7">
        <v>0.0442305247009445</v>
      </c>
      <c r="Q6" s="8">
        <v>0.00104914337240757</v>
      </c>
      <c r="R6" s="6">
        <v>118000</v>
      </c>
      <c r="S6" s="6">
        <v>158.602150537634</v>
      </c>
      <c r="T6" s="7">
        <v>1.9942</v>
      </c>
      <c r="U6" s="7">
        <v>0.0160693429780549</v>
      </c>
      <c r="V6" s="8">
        <v>0.000346757085724222</v>
      </c>
      <c r="W6" s="6">
        <v>1037000</v>
      </c>
      <c r="X6" s="6">
        <v>1393.81720430108</v>
      </c>
      <c r="Y6" s="7">
        <v>17.5253</v>
      </c>
      <c r="Z6" s="7">
        <v>0.0958738777614487</v>
      </c>
      <c r="AA6" s="8">
        <v>0.00224510632846528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85333.3333333333</v>
      </c>
      <c r="BB7" s="6">
        <v>114.695340501792</v>
      </c>
      <c r="BC7" s="7">
        <v>1.44213333333333</v>
      </c>
      <c r="BD7" s="7">
        <v>0.0116207678033391</v>
      </c>
      <c r="BE7" s="8">
        <v>0.0107120661779088</v>
      </c>
      <c r="BF7" s="6">
        <v>85333.3333333333</v>
      </c>
      <c r="BG7" s="6">
        <v>114.695340501792</v>
      </c>
      <c r="BH7" s="7">
        <v>1.44213333333333</v>
      </c>
      <c r="BI7" s="7">
        <v>0.00788933227480902</v>
      </c>
      <c r="BJ7" s="8">
        <v>0.00743482669141276</v>
      </c>
      <c r="BK7" s="6">
        <v>85333.3333333333</v>
      </c>
      <c r="BL7" s="6">
        <v>114.695340501792</v>
      </c>
      <c r="BM7" s="7">
        <v>1.44213333333333</v>
      </c>
      <c r="BN7" s="7">
        <v>0.00702856258438349</v>
      </c>
      <c r="BO7" s="8">
        <v>0.00751439866052509</v>
      </c>
    </row>
    <row r="8" s="1" customFormat="1" ht="30" customHeight="1" spans="1:67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344848</v>
      </c>
      <c r="N8" s="6">
        <v>463.505376344086</v>
      </c>
      <c r="O8" s="7">
        <v>16.38028</v>
      </c>
      <c r="P8" s="7">
        <v>0.0798329949586667</v>
      </c>
      <c r="Q8" s="8">
        <v>0.00189363020508196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 t="e">
        <v>#DIV/0!</v>
      </c>
      <c r="M9" s="5"/>
      <c r="N9" s="6"/>
      <c r="O9" s="7"/>
      <c r="P9" s="9"/>
      <c r="Q9" s="9"/>
      <c r="R9" s="5">
        <v>416079</v>
      </c>
      <c r="S9" s="6">
        <v>0</v>
      </c>
      <c r="T9" s="7">
        <v>19.7637525</v>
      </c>
      <c r="U9" s="7">
        <v>0.159257104330503</v>
      </c>
      <c r="V9" s="8">
        <v>0.00343657668231612</v>
      </c>
      <c r="W9" s="5">
        <v>343634</v>
      </c>
      <c r="X9" s="6">
        <v>0</v>
      </c>
      <c r="Y9" s="7">
        <v>16.322615</v>
      </c>
      <c r="Z9" s="7">
        <v>0.0892944711506901</v>
      </c>
      <c r="AA9" s="8">
        <v>0.00209103446067128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60012</v>
      </c>
      <c r="AR10" s="6">
        <v>80.6612903225806</v>
      </c>
      <c r="AS10" s="7">
        <v>2.85057</v>
      </c>
      <c r="AT10" s="7">
        <v>0.0229700065254006</v>
      </c>
      <c r="AU10" s="8">
        <v>0.000462970271558163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39450</v>
      </c>
      <c r="AH11" s="6">
        <v>53.0241935483871</v>
      </c>
      <c r="AI11" s="7">
        <v>1.63323</v>
      </c>
      <c r="AJ11" s="7" t="e">
        <v>#DIV/0!</v>
      </c>
      <c r="AK11" s="8">
        <v>0.00475281840562925</v>
      </c>
      <c r="AL11" s="5">
        <v>5183</v>
      </c>
      <c r="AM11" s="6">
        <v>6.96639784946237</v>
      </c>
      <c r="AN11" s="7">
        <v>0.2145762</v>
      </c>
      <c r="AO11" s="7">
        <v>0.00117386021176905</v>
      </c>
      <c r="AP11" s="8">
        <v>3.78264279517891e-5</v>
      </c>
      <c r="AQ11" s="5"/>
      <c r="AR11" s="6"/>
      <c r="AS11" s="7"/>
      <c r="AT11" s="9"/>
      <c r="AU11" s="9"/>
      <c r="AV11" s="5">
        <v>91467</v>
      </c>
      <c r="AW11" s="6">
        <v>122.939516129032</v>
      </c>
      <c r="AX11" s="7">
        <v>3.7867338</v>
      </c>
      <c r="AY11" s="7">
        <v>0.391799850387534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45</v>
      </c>
      <c r="AC12" s="6">
        <v>0.0604838709677419</v>
      </c>
      <c r="AD12" s="7">
        <v>0.001863</v>
      </c>
      <c r="AE12" s="9">
        <v>3.08673118150228e-7</v>
      </c>
      <c r="AF12" s="9">
        <v>3.08673118150228e-7</v>
      </c>
      <c r="AG12" s="5"/>
      <c r="AH12" s="6"/>
      <c r="AI12" s="7"/>
      <c r="AJ12" s="9"/>
      <c r="AK12" s="9"/>
      <c r="AL12" s="5">
        <v>522</v>
      </c>
      <c r="AM12" s="6">
        <v>0.701612903225806</v>
      </c>
      <c r="AN12" s="7">
        <v>0.0216108</v>
      </c>
      <c r="AO12" s="7">
        <v>0.000118224007436513</v>
      </c>
      <c r="AP12" s="8">
        <v>0.000118224007436513</v>
      </c>
      <c r="AQ12" s="5"/>
      <c r="AR12" s="6"/>
      <c r="AS12" s="7"/>
      <c r="AT12" s="9"/>
      <c r="AU12" s="9"/>
      <c r="AV12" s="5">
        <v>5800</v>
      </c>
      <c r="AW12" s="6">
        <v>7.79569892473118</v>
      </c>
      <c r="AX12" s="7">
        <v>0.24012</v>
      </c>
      <c r="AY12" s="7">
        <v>0.0248443606136387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8650200</v>
      </c>
      <c r="N15" s="6">
        <v>11626.6129032258</v>
      </c>
      <c r="O15" s="7"/>
      <c r="P15" s="5"/>
      <c r="Q15" s="5"/>
      <c r="R15" s="5">
        <v>5751000</v>
      </c>
      <c r="S15" s="6">
        <v>7729.83870967742</v>
      </c>
      <c r="T15" s="7"/>
      <c r="U15" s="5"/>
      <c r="V15" s="5"/>
      <c r="W15" s="5">
        <v>7806000</v>
      </c>
      <c r="X15" s="6">
        <v>10491.935483871</v>
      </c>
      <c r="Y15" s="7"/>
      <c r="Z15" s="5"/>
      <c r="AA15" s="5"/>
      <c r="AB15" s="5">
        <v>6035511</v>
      </c>
      <c r="AC15" s="15" t="s">
        <v>53</v>
      </c>
      <c r="AD15" s="7"/>
      <c r="AE15" s="5"/>
      <c r="AF15" s="5"/>
      <c r="AG15" s="5">
        <v>343634</v>
      </c>
      <c r="AH15" s="15" t="s">
        <v>53</v>
      </c>
      <c r="AI15" s="7"/>
      <c r="AJ15" s="5"/>
      <c r="AK15" s="5"/>
      <c r="AL15" s="5">
        <v>5672653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134627</v>
      </c>
      <c r="BB15" s="15" t="s">
        <v>54</v>
      </c>
      <c r="BC15" s="7"/>
      <c r="BD15" s="5"/>
      <c r="BE15" s="5"/>
      <c r="BF15" s="5">
        <v>193970</v>
      </c>
      <c r="BG15" s="15" t="s">
        <v>54</v>
      </c>
      <c r="BH15" s="7"/>
      <c r="BI15" s="5"/>
      <c r="BJ15" s="5"/>
      <c r="BK15" s="5">
        <v>191916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9664.97</v>
      </c>
      <c r="I16" s="5"/>
      <c r="J16" s="7"/>
      <c r="K16" s="5"/>
      <c r="L16" s="5"/>
      <c r="M16" s="5">
        <v>205181.83</v>
      </c>
      <c r="N16" s="5"/>
      <c r="O16" s="7"/>
      <c r="P16" s="5"/>
      <c r="Q16" s="5"/>
      <c r="R16" s="5">
        <v>124099.66</v>
      </c>
      <c r="S16" s="5"/>
      <c r="T16" s="7"/>
      <c r="U16" s="5"/>
      <c r="V16" s="5"/>
      <c r="W16" s="5">
        <v>182795.36</v>
      </c>
      <c r="X16" s="5"/>
      <c r="Y16" s="7"/>
      <c r="Z16" s="5"/>
      <c r="AA16" s="5"/>
      <c r="AB16" s="5">
        <v>6035511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182795.36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9664.97</v>
      </c>
      <c r="AW16" s="5"/>
      <c r="AX16" s="7"/>
      <c r="AY16" s="5"/>
      <c r="AZ16" s="5"/>
      <c r="BA16" s="5">
        <v>124099.66</v>
      </c>
      <c r="BB16" s="5"/>
      <c r="BC16" s="7"/>
      <c r="BD16" s="5"/>
      <c r="BE16" s="5"/>
      <c r="BF16" s="5">
        <v>182795.36</v>
      </c>
      <c r="BG16" s="5"/>
      <c r="BH16" s="7"/>
      <c r="BI16" s="5"/>
      <c r="BJ16" s="5"/>
      <c r="BK16" s="5">
        <v>205181.83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52159910.000001</v>
      </c>
    </row>
    <row r="21" spans="3:3">
      <c r="C21" s="17">
        <f t="shared" si="0"/>
        <v>2803.032</v>
      </c>
    </row>
    <row r="22" spans="3:3">
      <c r="C22" s="2">
        <f t="shared" si="0"/>
        <v>1767000</v>
      </c>
    </row>
    <row r="23" spans="3:3">
      <c r="C23" s="2">
        <f t="shared" si="0"/>
        <v>256000</v>
      </c>
    </row>
    <row r="24" spans="3:3">
      <c r="C24" s="2">
        <f t="shared" si="0"/>
        <v>344848</v>
      </c>
    </row>
    <row r="25" spans="3:3">
      <c r="C25" s="2">
        <f t="shared" si="0"/>
        <v>759713</v>
      </c>
    </row>
    <row r="26" spans="3:3">
      <c r="C26" s="2">
        <f t="shared" si="0"/>
        <v>60012</v>
      </c>
    </row>
    <row r="27" spans="3:3">
      <c r="C27" s="2">
        <f t="shared" si="0"/>
        <v>136100</v>
      </c>
    </row>
    <row r="28" spans="3:3">
      <c r="C28" s="2">
        <f t="shared" si="0"/>
        <v>6367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40936645</v>
      </c>
    </row>
    <row r="32" spans="3:3">
      <c r="C32" s="2">
        <f t="shared" si="0"/>
        <v>7385889.66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5180.245219</v>
      </c>
      <c r="D4" s="6">
        <v>7.19478502638889</v>
      </c>
      <c r="E4" s="7">
        <v>0.6366521374151</v>
      </c>
      <c r="F4" s="7" t="e">
        <v>#DIV/0!</v>
      </c>
      <c r="G4" s="8" t="e">
        <v>#DIV/0!</v>
      </c>
      <c r="H4" s="6">
        <v>4794.049467</v>
      </c>
      <c r="I4" s="6">
        <v>6.6584020375</v>
      </c>
      <c r="J4" s="7">
        <v>0.5891886794943</v>
      </c>
      <c r="K4" s="7">
        <v>0.00370089044490683</v>
      </c>
      <c r="L4" s="8">
        <v>0.000107125214453509</v>
      </c>
      <c r="M4" s="6">
        <v>2125.291087</v>
      </c>
      <c r="N4" s="6">
        <v>2.95179317638889</v>
      </c>
      <c r="O4" s="7">
        <v>0.2611982745923</v>
      </c>
      <c r="P4" s="13">
        <v>0.00130464875892369</v>
      </c>
      <c r="Q4" s="14">
        <v>3.13751681191952e-5</v>
      </c>
      <c r="R4" s="6">
        <v>7376.581751</v>
      </c>
      <c r="S4" s="6">
        <v>10.2452524319444</v>
      </c>
      <c r="T4" s="7">
        <v>0.9065818971979</v>
      </c>
      <c r="U4" s="7">
        <v>0.00754935572879718</v>
      </c>
      <c r="V4" s="8">
        <v>0.00016448615596159</v>
      </c>
      <c r="W4" s="6">
        <v>14943.83247</v>
      </c>
      <c r="X4" s="6">
        <v>20.755322875</v>
      </c>
      <c r="Y4" s="7">
        <v>1.836597010563</v>
      </c>
      <c r="Z4" s="7">
        <v>0.0104264408211832</v>
      </c>
      <c r="AA4" s="8">
        <v>0.000241508147666969</v>
      </c>
      <c r="AB4" s="6">
        <v>1559200</v>
      </c>
      <c r="AC4" s="6">
        <v>2165.55555555556</v>
      </c>
      <c r="AD4" s="7">
        <v>191.62568</v>
      </c>
      <c r="AE4" s="7">
        <v>0.957143403723228</v>
      </c>
      <c r="AF4" s="8">
        <v>0.0330092532381683</v>
      </c>
      <c r="AG4" s="6">
        <v>67000</v>
      </c>
      <c r="AH4" s="6">
        <v>93.0555555555556</v>
      </c>
      <c r="AI4" s="7">
        <v>8.2343</v>
      </c>
      <c r="AJ4" s="7" t="e">
        <v>#DIV/0!</v>
      </c>
      <c r="AK4" s="8">
        <v>0.0243881706576629</v>
      </c>
      <c r="AL4" s="6">
        <v>2252720</v>
      </c>
      <c r="AM4" s="6">
        <v>3128.77777777778</v>
      </c>
      <c r="AN4" s="7">
        <v>276.859288</v>
      </c>
      <c r="AO4" s="7">
        <v>1.57174217616853</v>
      </c>
      <c r="AP4" s="8">
        <v>0.0496059941596433</v>
      </c>
      <c r="AQ4" s="6">
        <v>2382840</v>
      </c>
      <c r="AR4" s="6">
        <v>3309.5</v>
      </c>
      <c r="AS4" s="7">
        <v>292.851036</v>
      </c>
      <c r="AT4" s="7">
        <v>2.35980530486546</v>
      </c>
      <c r="AU4" s="8">
        <v>0.0475628816913843</v>
      </c>
      <c r="AV4" s="6">
        <v>1918920</v>
      </c>
      <c r="AW4" s="6">
        <v>2665.16666666667</v>
      </c>
      <c r="AX4" s="7">
        <v>235.835268</v>
      </c>
      <c r="AY4" s="7">
        <v>1.48135991116185</v>
      </c>
      <c r="AZ4" s="8" t="e">
        <v>#DIV/0!</v>
      </c>
      <c r="BA4" s="6">
        <v>13305600</v>
      </c>
      <c r="BB4" s="6">
        <v>18480</v>
      </c>
      <c r="BC4" s="7">
        <v>1635.25824</v>
      </c>
      <c r="BD4" s="7">
        <v>10.2716019604544</v>
      </c>
      <c r="BE4" s="8">
        <v>9.07468501664817</v>
      </c>
      <c r="BF4" s="6">
        <v>15980250</v>
      </c>
      <c r="BG4" s="6">
        <v>22194.7916666667</v>
      </c>
      <c r="BH4" s="7">
        <v>1963.972725</v>
      </c>
      <c r="BI4" s="7">
        <v>11.1495582720965</v>
      </c>
      <c r="BJ4" s="8">
        <v>10.4170192537195</v>
      </c>
      <c r="BK4" s="6">
        <v>17087400</v>
      </c>
      <c r="BL4" s="6">
        <v>0</v>
      </c>
      <c r="BM4" s="7">
        <v>2100.04146</v>
      </c>
      <c r="BN4" s="7">
        <v>10.4894126454466</v>
      </c>
      <c r="BO4" s="8">
        <v>11.109038134988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0.5168</v>
      </c>
      <c r="I5" s="6">
        <v>0.000717777777777778</v>
      </c>
      <c r="J5" s="7">
        <v>0.01762288</v>
      </c>
      <c r="K5" s="7">
        <v>0.000110695182160863</v>
      </c>
      <c r="L5" s="8">
        <v>3.20416e-6</v>
      </c>
      <c r="M5" s="6">
        <v>799</v>
      </c>
      <c r="N5" s="6">
        <v>1.10972222222222</v>
      </c>
      <c r="O5" s="7">
        <v>27.2459</v>
      </c>
      <c r="P5" s="7">
        <v>0.136089450346648</v>
      </c>
      <c r="Q5" s="8">
        <v>0.00327278078078078</v>
      </c>
      <c r="R5" s="6">
        <v>1417.4304</v>
      </c>
      <c r="S5" s="6">
        <v>1.96865333333333</v>
      </c>
      <c r="T5" s="7">
        <v>48.33437664</v>
      </c>
      <c r="U5" s="7">
        <v>0.402493590830406</v>
      </c>
      <c r="V5" s="8">
        <v>0.00876957265403875</v>
      </c>
      <c r="W5" s="6">
        <v>577</v>
      </c>
      <c r="X5" s="6">
        <v>0.801388888888889</v>
      </c>
      <c r="Y5" s="7">
        <v>19.6757</v>
      </c>
      <c r="Z5" s="7">
        <v>0.111699801581658</v>
      </c>
      <c r="AA5" s="8">
        <v>0.00258730784909332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0</v>
      </c>
      <c r="D6" s="6">
        <v>0</v>
      </c>
      <c r="E6" s="7">
        <v>0</v>
      </c>
      <c r="F6" s="7" t="e">
        <v>#DIV/0!</v>
      </c>
      <c r="G6" s="8" t="e">
        <v>#DIV/0!</v>
      </c>
      <c r="H6" s="6">
        <v>350000</v>
      </c>
      <c r="I6" s="6">
        <v>486.111111111111</v>
      </c>
      <c r="J6" s="7">
        <v>5.915</v>
      </c>
      <c r="K6" s="7">
        <v>0.0371540861925805</v>
      </c>
      <c r="L6" s="8">
        <v>0.00107545454545455</v>
      </c>
      <c r="M6" s="6">
        <v>509000</v>
      </c>
      <c r="N6" s="6">
        <v>706.944444444444</v>
      </c>
      <c r="O6" s="7">
        <v>8.6021</v>
      </c>
      <c r="P6" s="7">
        <v>0.0429662833977554</v>
      </c>
      <c r="Q6" s="8">
        <v>0.00103328528528529</v>
      </c>
      <c r="R6" s="6">
        <v>146000</v>
      </c>
      <c r="S6" s="6">
        <v>202.777777777778</v>
      </c>
      <c r="T6" s="7">
        <v>2.4674</v>
      </c>
      <c r="U6" s="7">
        <v>0.020546715506683</v>
      </c>
      <c r="V6" s="8">
        <v>0.000447673996661586</v>
      </c>
      <c r="W6" s="6">
        <v>1003000</v>
      </c>
      <c r="X6" s="6">
        <v>1393.05555555556</v>
      </c>
      <c r="Y6" s="7">
        <v>16.9507</v>
      </c>
      <c r="Z6" s="7">
        <v>0.0962298584889085</v>
      </c>
      <c r="AA6" s="8">
        <v>0.00222897681696845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</v>
      </c>
      <c r="BB7" s="6">
        <v>114.814814814815</v>
      </c>
      <c r="BC7" s="7">
        <v>1.39706666666667</v>
      </c>
      <c r="BD7" s="7">
        <v>0.0087754413102476</v>
      </c>
      <c r="BE7" s="8">
        <v>0.0077528671846097</v>
      </c>
      <c r="BF7" s="6">
        <v>82666.6666666667</v>
      </c>
      <c r="BG7" s="6">
        <v>114.814814814815</v>
      </c>
      <c r="BH7" s="7">
        <v>1.39706666666667</v>
      </c>
      <c r="BI7" s="7">
        <v>0.00793120801104995</v>
      </c>
      <c r="BJ7" s="8">
        <v>0.0074101183688263</v>
      </c>
      <c r="BK7" s="6">
        <v>82666.6666666667</v>
      </c>
      <c r="BL7" s="6">
        <v>114.814814814815</v>
      </c>
      <c r="BM7" s="7">
        <v>1.39706666666667</v>
      </c>
      <c r="BN7" s="7">
        <v>0.00697815211698974</v>
      </c>
      <c r="BO7" s="8">
        <v>0.00739036212986033</v>
      </c>
    </row>
    <row r="8" s="1" customFormat="1" ht="30" customHeight="1" spans="1:67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322229</v>
      </c>
      <c r="N8" s="6">
        <v>447.540277777778</v>
      </c>
      <c r="O8" s="7">
        <v>15.3058775</v>
      </c>
      <c r="P8" s="7">
        <v>0.0764507120722065</v>
      </c>
      <c r="Q8" s="8">
        <v>0.00183854384384384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414083</v>
      </c>
      <c r="S9" s="6">
        <v>0</v>
      </c>
      <c r="T9" s="7">
        <v>19.6689425</v>
      </c>
      <c r="U9" s="7">
        <v>0.163788670610686</v>
      </c>
      <c r="V9" s="8">
        <v>0.00356864476739967</v>
      </c>
      <c r="W9" s="5">
        <v>337635</v>
      </c>
      <c r="X9" s="6">
        <v>0</v>
      </c>
      <c r="Y9" s="7">
        <v>16.0376625</v>
      </c>
      <c r="Z9" s="7">
        <v>0.091046505033295</v>
      </c>
      <c r="AA9" s="8">
        <v>0.00210891455284232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63454</v>
      </c>
      <c r="AR10" s="6">
        <v>83.35</v>
      </c>
      <c r="AS10" s="7">
        <v>2.85057</v>
      </c>
      <c r="AT10" s="7">
        <v>0.0229700065254006</v>
      </c>
      <c r="AU10" s="8">
        <v>0.000462970271558163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27882</v>
      </c>
      <c r="AH11" s="6">
        <v>38.725</v>
      </c>
      <c r="AI11" s="7">
        <v>1.1543148</v>
      </c>
      <c r="AJ11" s="7" t="e">
        <v>#DIV/0!</v>
      </c>
      <c r="AK11" s="8">
        <v>0.00341882447021191</v>
      </c>
      <c r="AL11" s="5">
        <v>330</v>
      </c>
      <c r="AM11" s="6">
        <v>0.458333333333333</v>
      </c>
      <c r="AN11" s="7">
        <v>0.013662</v>
      </c>
      <c r="AO11" s="7">
        <v>7.75597660672106e-5</v>
      </c>
      <c r="AP11" s="8">
        <v>2.44787558728767e-6</v>
      </c>
      <c r="AQ11" s="5"/>
      <c r="AR11" s="6"/>
      <c r="AS11" s="7"/>
      <c r="AT11" s="9"/>
      <c r="AU11" s="9"/>
      <c r="AV11" s="5">
        <v>106326</v>
      </c>
      <c r="AW11" s="6">
        <v>147.675</v>
      </c>
      <c r="AX11" s="7">
        <v>4.4018964</v>
      </c>
      <c r="AY11" s="7">
        <v>0.0276497782343888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35</v>
      </c>
      <c r="AC12" s="6">
        <v>0.0486111111111111</v>
      </c>
      <c r="AD12" s="7">
        <v>0.001449</v>
      </c>
      <c r="AE12" s="7">
        <v>7.23755183540618e-6</v>
      </c>
      <c r="AF12" s="7">
        <v>2.49603330524937e-7</v>
      </c>
      <c r="AG12" s="5"/>
      <c r="AH12" s="6"/>
      <c r="AI12" s="7"/>
      <c r="AJ12" s="9"/>
      <c r="AK12" s="9"/>
      <c r="AL12" s="5">
        <v>1317</v>
      </c>
      <c r="AM12" s="6">
        <v>1.82916666666667</v>
      </c>
      <c r="AN12" s="7">
        <v>0.0545238</v>
      </c>
      <c r="AO12" s="7">
        <v>0.000309533975486413</v>
      </c>
      <c r="AP12" s="8">
        <v>0.000309533975486413</v>
      </c>
      <c r="AQ12" s="5"/>
      <c r="AR12" s="6"/>
      <c r="AS12" s="7"/>
      <c r="AT12" s="9"/>
      <c r="AU12" s="9"/>
      <c r="AV12" s="5">
        <v>240</v>
      </c>
      <c r="AW12" s="6">
        <v>0.333333333333333</v>
      </c>
      <c r="AX12" s="7">
        <v>0.009936</v>
      </c>
      <c r="AY12" s="7">
        <v>6.24113272036315e-5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5500000</v>
      </c>
      <c r="I15" s="6">
        <v>7638.88888888889</v>
      </c>
      <c r="J15" s="7"/>
      <c r="K15" s="5"/>
      <c r="L15" s="5"/>
      <c r="M15" s="5">
        <v>8325000</v>
      </c>
      <c r="N15" s="6">
        <v>11562.5</v>
      </c>
      <c r="O15" s="7"/>
      <c r="P15" s="5"/>
      <c r="Q15" s="5"/>
      <c r="R15" s="5">
        <v>5511600</v>
      </c>
      <c r="S15" s="6">
        <v>7655</v>
      </c>
      <c r="T15" s="7"/>
      <c r="U15" s="5"/>
      <c r="V15" s="5"/>
      <c r="W15" s="5">
        <v>7604700</v>
      </c>
      <c r="X15" s="6">
        <v>10562.0833333333</v>
      </c>
      <c r="Y15" s="7"/>
      <c r="Z15" s="5"/>
      <c r="AA15" s="5"/>
      <c r="AB15" s="5">
        <v>5805211</v>
      </c>
      <c r="AC15" s="15" t="s">
        <v>53</v>
      </c>
      <c r="AD15" s="7"/>
      <c r="AE15" s="5"/>
      <c r="AF15" s="5"/>
      <c r="AG15" s="5">
        <v>337635</v>
      </c>
      <c r="AH15" s="15" t="s">
        <v>53</v>
      </c>
      <c r="AI15" s="7"/>
      <c r="AJ15" s="5"/>
      <c r="AK15" s="5"/>
      <c r="AL15" s="5">
        <v>5581166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180200</v>
      </c>
      <c r="BB15" s="15" t="s">
        <v>54</v>
      </c>
      <c r="BC15" s="7"/>
      <c r="BD15" s="5"/>
      <c r="BE15" s="5"/>
      <c r="BF15" s="5">
        <v>188535</v>
      </c>
      <c r="BG15" s="15" t="s">
        <v>54</v>
      </c>
      <c r="BH15" s="7"/>
      <c r="BI15" s="5"/>
      <c r="BJ15" s="5"/>
      <c r="BK15" s="5">
        <v>189039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159201.87</v>
      </c>
      <c r="I16" s="5"/>
      <c r="J16" s="7"/>
      <c r="K16" s="5"/>
      <c r="L16" s="5"/>
      <c r="M16" s="5">
        <v>200205.82</v>
      </c>
      <c r="N16" s="5"/>
      <c r="O16" s="7"/>
      <c r="P16" s="5"/>
      <c r="Q16" s="5"/>
      <c r="R16" s="5">
        <v>120087.32</v>
      </c>
      <c r="S16" s="5"/>
      <c r="T16" s="7"/>
      <c r="U16" s="5"/>
      <c r="V16" s="5"/>
      <c r="W16" s="5">
        <v>176148.03</v>
      </c>
      <c r="X16" s="5"/>
      <c r="Y16" s="7"/>
      <c r="Z16" s="5"/>
      <c r="AA16" s="5"/>
      <c r="AB16" s="5">
        <v>200205.82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176148.03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159201.87</v>
      </c>
      <c r="AW16" s="5"/>
      <c r="AX16" s="7"/>
      <c r="AY16" s="5"/>
      <c r="AZ16" s="5"/>
      <c r="BA16" s="5">
        <v>159201.87</v>
      </c>
      <c r="BB16" s="5"/>
      <c r="BC16" s="7"/>
      <c r="BD16" s="5"/>
      <c r="BE16" s="5"/>
      <c r="BF16" s="5">
        <v>176148.03</v>
      </c>
      <c r="BG16" s="5"/>
      <c r="BH16" s="7"/>
      <c r="BI16" s="5"/>
      <c r="BJ16" s="5"/>
      <c r="BK16" s="5">
        <v>200205.82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54588349.999994</v>
      </c>
    </row>
    <row r="21" spans="3:3">
      <c r="C21" s="17">
        <f t="shared" si="0"/>
        <v>2793.9472</v>
      </c>
    </row>
    <row r="22" spans="3:3">
      <c r="C22" s="2">
        <f t="shared" si="0"/>
        <v>2008000</v>
      </c>
    </row>
    <row r="23" spans="3:3">
      <c r="C23" s="2">
        <f t="shared" si="0"/>
        <v>248000</v>
      </c>
    </row>
    <row r="24" spans="3:3">
      <c r="C24" s="2">
        <f t="shared" si="0"/>
        <v>322229</v>
      </c>
    </row>
    <row r="25" spans="3:3">
      <c r="C25" s="2">
        <f t="shared" si="0"/>
        <v>751718</v>
      </c>
    </row>
    <row r="26" spans="3:3">
      <c r="C26" s="2">
        <f t="shared" si="0"/>
        <v>63454</v>
      </c>
    </row>
    <row r="27" spans="3:3">
      <c r="C27" s="2">
        <f t="shared" si="0"/>
        <v>134538</v>
      </c>
    </row>
    <row r="28" spans="3:3">
      <c r="C28" s="2">
        <f t="shared" si="0"/>
        <v>1592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45380220</v>
      </c>
    </row>
    <row r="32" spans="3:3">
      <c r="C32" s="2">
        <f t="shared" si="0"/>
        <v>1850854.14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5526.397573</v>
      </c>
      <c r="D4" s="6">
        <v>7.67555218472222</v>
      </c>
      <c r="E4" s="7">
        <v>0.6791942617217</v>
      </c>
      <c r="F4" s="7" t="e">
        <v>#DIV/0!</v>
      </c>
      <c r="G4" s="8" t="e">
        <v>#DIV/0!</v>
      </c>
      <c r="H4" s="6">
        <v>5114.395597</v>
      </c>
      <c r="I4" s="6">
        <v>7.10332721805556</v>
      </c>
      <c r="J4" s="7">
        <v>0.6285592188713</v>
      </c>
      <c r="K4" s="7">
        <v>0.00366887733224668</v>
      </c>
      <c r="L4" s="8">
        <v>9.19887631891263e-5</v>
      </c>
      <c r="M4" s="6">
        <v>2267.306471</v>
      </c>
      <c r="N4" s="6">
        <v>3.14903676527778</v>
      </c>
      <c r="O4" s="7">
        <v>0.2786519652859</v>
      </c>
      <c r="P4" s="13">
        <v>0.00127867283866534</v>
      </c>
      <c r="Q4" s="14">
        <v>2.50253228873352e-5</v>
      </c>
      <c r="R4" s="6">
        <v>7869.49686</v>
      </c>
      <c r="S4" s="6">
        <v>10.92985675</v>
      </c>
      <c r="T4" s="7">
        <v>0.967161164094</v>
      </c>
      <c r="U4" s="7">
        <v>0.00799638498033068</v>
      </c>
      <c r="V4" s="8">
        <v>0.00017371240105144</v>
      </c>
      <c r="W4" s="6">
        <v>15942.4035</v>
      </c>
      <c r="X4" s="6">
        <v>22.1422270833333</v>
      </c>
      <c r="Y4" s="7">
        <v>1.95932139015</v>
      </c>
      <c r="Z4" s="7">
        <v>0.0104623034402784</v>
      </c>
      <c r="AA4" s="8">
        <v>0.000246837420178389</v>
      </c>
      <c r="AB4" s="6">
        <v>1595200</v>
      </c>
      <c r="AC4" s="6">
        <v>2215.55555555556</v>
      </c>
      <c r="AD4" s="7">
        <v>196.05008</v>
      </c>
      <c r="AE4" s="7">
        <v>0.899630878457876</v>
      </c>
      <c r="AF4" s="8">
        <v>0.0328708138142871</v>
      </c>
      <c r="AG4" s="6">
        <v>35380</v>
      </c>
      <c r="AH4" s="6">
        <v>49.1388888888889</v>
      </c>
      <c r="AI4" s="7">
        <v>4.348202</v>
      </c>
      <c r="AJ4" s="7" t="e">
        <v>#DIV/0!</v>
      </c>
      <c r="AK4" s="8">
        <v>0.0124039069921352</v>
      </c>
      <c r="AL4" s="6">
        <v>2191280</v>
      </c>
      <c r="AM4" s="6">
        <v>3043.44444444444</v>
      </c>
      <c r="AN4" s="7">
        <v>269.308312</v>
      </c>
      <c r="AO4" s="7">
        <v>1.43804140213947</v>
      </c>
      <c r="AP4" s="8">
        <v>0.0472488378951705</v>
      </c>
      <c r="AQ4" s="6">
        <v>2506800</v>
      </c>
      <c r="AR4" s="6">
        <v>3481.66666666667</v>
      </c>
      <c r="AS4" s="7">
        <v>308.08572</v>
      </c>
      <c r="AT4" s="7">
        <v>2.48256699494584</v>
      </c>
      <c r="AU4" s="8">
        <v>0.0500371958771727</v>
      </c>
      <c r="AV4" s="6">
        <v>2011800</v>
      </c>
      <c r="AW4" s="6">
        <v>2794.16666666667</v>
      </c>
      <c r="AX4" s="7">
        <v>247.25022</v>
      </c>
      <c r="AY4" s="7">
        <v>1.44319055439189</v>
      </c>
      <c r="AZ4" s="8" t="e">
        <v>#DIV/0!</v>
      </c>
      <c r="BA4" s="6">
        <v>14793900</v>
      </c>
      <c r="BB4" s="6">
        <v>20547.0833333333</v>
      </c>
      <c r="BC4" s="7">
        <v>1818.17031</v>
      </c>
      <c r="BD4" s="7">
        <v>10.6125940663178</v>
      </c>
      <c r="BE4" s="8">
        <v>9.49540320348445</v>
      </c>
      <c r="BF4" s="6">
        <v>16290450</v>
      </c>
      <c r="BG4" s="6">
        <v>22625.625</v>
      </c>
      <c r="BH4" s="7">
        <v>2002.096305</v>
      </c>
      <c r="BI4" s="7">
        <v>10.6907111640151</v>
      </c>
      <c r="BJ4" s="8">
        <v>10.0226088817469</v>
      </c>
      <c r="BK4" s="6">
        <v>17801850</v>
      </c>
      <c r="BL4" s="6">
        <v>0</v>
      </c>
      <c r="BM4" s="7">
        <v>2187.847365</v>
      </c>
      <c r="BN4" s="7">
        <v>10.0395523781816</v>
      </c>
      <c r="BO4" s="8">
        <v>11.0043274216994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1149</v>
      </c>
      <c r="I5" s="6">
        <v>2</v>
      </c>
      <c r="J5" s="7">
        <v>39.19</v>
      </c>
      <c r="K5" s="7">
        <v>0.25</v>
      </c>
      <c r="L5" s="8">
        <v>0.0057</v>
      </c>
      <c r="M5" s="6">
        <v>1293</v>
      </c>
      <c r="N5" s="6">
        <v>2</v>
      </c>
      <c r="O5" s="7">
        <v>44.09</v>
      </c>
      <c r="P5" s="7">
        <v>0.22</v>
      </c>
      <c r="Q5" s="8">
        <v>0.004</v>
      </c>
      <c r="R5" s="6">
        <v>1053</v>
      </c>
      <c r="S5" s="6">
        <v>1</v>
      </c>
      <c r="T5" s="7">
        <v>35.91</v>
      </c>
      <c r="U5" s="7">
        <v>0.3</v>
      </c>
      <c r="V5" s="8">
        <v>0.0064</v>
      </c>
      <c r="W5" s="6">
        <v>1343</v>
      </c>
      <c r="X5" s="6">
        <v>2</v>
      </c>
      <c r="Y5" s="7">
        <v>45.79</v>
      </c>
      <c r="Z5" s="7">
        <v>0.26</v>
      </c>
      <c r="AA5" s="8">
        <v>0.0058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0</v>
      </c>
      <c r="D6" s="6">
        <v>0</v>
      </c>
      <c r="E6" s="7">
        <v>0</v>
      </c>
      <c r="F6" s="7" t="e">
        <v>#DIV/0!</v>
      </c>
      <c r="G6" s="8" t="e">
        <v>#DIV/0!</v>
      </c>
      <c r="H6" s="6">
        <v>360000</v>
      </c>
      <c r="I6" s="6">
        <v>500</v>
      </c>
      <c r="J6" s="7">
        <v>6.08</v>
      </c>
      <c r="K6" s="7">
        <v>0.04</v>
      </c>
      <c r="L6" s="8">
        <v>0.0009</v>
      </c>
      <c r="M6" s="6">
        <v>534000</v>
      </c>
      <c r="N6" s="6">
        <v>742</v>
      </c>
      <c r="O6" s="7">
        <v>9.02</v>
      </c>
      <c r="P6" s="7">
        <v>0.05</v>
      </c>
      <c r="Q6" s="8">
        <v>0.0008</v>
      </c>
      <c r="R6" s="6">
        <v>166000</v>
      </c>
      <c r="S6" s="6">
        <v>231</v>
      </c>
      <c r="T6" s="7">
        <v>2.81</v>
      </c>
      <c r="U6" s="7">
        <v>0.02</v>
      </c>
      <c r="V6" s="8">
        <v>0.0005</v>
      </c>
      <c r="W6" s="6">
        <v>1063000</v>
      </c>
      <c r="X6" s="6">
        <v>1476</v>
      </c>
      <c r="Y6" s="7">
        <v>17.96</v>
      </c>
      <c r="Z6" s="7">
        <v>0.1</v>
      </c>
      <c r="AA6" s="8">
        <v>0.0023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85334</v>
      </c>
      <c r="BB7" s="6">
        <v>119</v>
      </c>
      <c r="BC7" s="7">
        <v>1.44</v>
      </c>
      <c r="BD7" s="7">
        <v>0.01</v>
      </c>
      <c r="BE7" s="8">
        <v>0.0075</v>
      </c>
      <c r="BF7" s="6">
        <v>85333</v>
      </c>
      <c r="BG7" s="6">
        <v>119</v>
      </c>
      <c r="BH7" s="7">
        <v>1.44</v>
      </c>
      <c r="BI7" s="7">
        <v>0.01</v>
      </c>
      <c r="BJ7" s="8">
        <v>0.0072</v>
      </c>
      <c r="BK7" s="6">
        <v>85333</v>
      </c>
      <c r="BL7" s="6">
        <v>119</v>
      </c>
      <c r="BM7" s="7">
        <v>1.44</v>
      </c>
      <c r="BN7" s="7">
        <v>0.01</v>
      </c>
      <c r="BO7" s="8">
        <v>0.0073</v>
      </c>
    </row>
    <row r="8" s="1" customFormat="1" ht="30" customHeight="1" spans="1:67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339241</v>
      </c>
      <c r="N8" s="6">
        <v>471</v>
      </c>
      <c r="O8" s="7">
        <v>16.11</v>
      </c>
      <c r="P8" s="7">
        <v>0.08</v>
      </c>
      <c r="Q8" s="8">
        <v>0.0014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438436</v>
      </c>
      <c r="S9" s="6">
        <v>0</v>
      </c>
      <c r="T9" s="7">
        <v>20.83</v>
      </c>
      <c r="U9" s="7">
        <v>0.17</v>
      </c>
      <c r="V9" s="8">
        <v>0.0037</v>
      </c>
      <c r="W9" s="5">
        <v>350551</v>
      </c>
      <c r="X9" s="6">
        <v>0</v>
      </c>
      <c r="Y9" s="7">
        <v>16.65</v>
      </c>
      <c r="Z9" s="7">
        <v>0.09</v>
      </c>
      <c r="AA9" s="8">
        <v>0.0021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49677</v>
      </c>
      <c r="AR10" s="6">
        <v>69</v>
      </c>
      <c r="AS10" s="7">
        <v>2.36</v>
      </c>
      <c r="AT10" s="7">
        <v>0.02</v>
      </c>
      <c r="AU10" s="8">
        <v>0.0004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26257</v>
      </c>
      <c r="AH11" s="6">
        <v>36</v>
      </c>
      <c r="AI11" s="7">
        <v>1.09</v>
      </c>
      <c r="AJ11" s="7" t="e">
        <v>#DIV/0!</v>
      </c>
      <c r="AK11" s="8">
        <v>0.0031</v>
      </c>
      <c r="AL11" s="5">
        <v>77</v>
      </c>
      <c r="AM11" s="6">
        <v>0</v>
      </c>
      <c r="AN11" s="7">
        <v>0</v>
      </c>
      <c r="AO11" s="7">
        <v>0</v>
      </c>
      <c r="AP11" s="8">
        <v>0</v>
      </c>
      <c r="AQ11" s="5"/>
      <c r="AR11" s="6"/>
      <c r="AS11" s="7"/>
      <c r="AT11" s="9"/>
      <c r="AU11" s="9"/>
      <c r="AV11" s="5">
        <v>104071</v>
      </c>
      <c r="AW11" s="6">
        <v>145</v>
      </c>
      <c r="AX11" s="7">
        <v>4.31</v>
      </c>
      <c r="AY11" s="7">
        <v>0.03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0</v>
      </c>
      <c r="AC12" s="6">
        <v>0</v>
      </c>
      <c r="AD12" s="7">
        <v>0</v>
      </c>
      <c r="AE12" s="9">
        <v>0</v>
      </c>
      <c r="AF12" s="9">
        <v>0</v>
      </c>
      <c r="AG12" s="5"/>
      <c r="AH12" s="6"/>
      <c r="AI12" s="7"/>
      <c r="AJ12" s="9"/>
      <c r="AK12" s="9"/>
      <c r="AL12" s="5">
        <v>536</v>
      </c>
      <c r="AM12" s="6">
        <v>1</v>
      </c>
      <c r="AN12" s="7">
        <v>0.02</v>
      </c>
      <c r="AO12" s="7">
        <v>0</v>
      </c>
      <c r="AP12" s="8">
        <v>0.0001</v>
      </c>
      <c r="AQ12" s="5"/>
      <c r="AR12" s="6"/>
      <c r="AS12" s="7"/>
      <c r="AT12" s="9"/>
      <c r="AU12" s="9"/>
      <c r="AV12" s="5">
        <v>90</v>
      </c>
      <c r="AW12" s="6">
        <v>0</v>
      </c>
      <c r="AX12" s="7">
        <v>0</v>
      </c>
      <c r="AY12" s="7">
        <v>0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6833000</v>
      </c>
      <c r="I15" s="6">
        <v>9490</v>
      </c>
      <c r="J15" s="7"/>
      <c r="K15" s="5"/>
      <c r="L15" s="5"/>
      <c r="M15" s="5">
        <v>11134800</v>
      </c>
      <c r="N15" s="6">
        <v>15465</v>
      </c>
      <c r="O15" s="7"/>
      <c r="P15" s="5"/>
      <c r="Q15" s="5"/>
      <c r="R15" s="5">
        <v>5567600</v>
      </c>
      <c r="S15" s="6">
        <v>7733</v>
      </c>
      <c r="T15" s="7"/>
      <c r="U15" s="5"/>
      <c r="V15" s="5"/>
      <c r="W15" s="5">
        <v>7937700</v>
      </c>
      <c r="X15" s="6">
        <v>11025</v>
      </c>
      <c r="Y15" s="7"/>
      <c r="Z15" s="5"/>
      <c r="AA15" s="5"/>
      <c r="AB15" s="5">
        <v>5964260</v>
      </c>
      <c r="AC15" s="15" t="s">
        <v>53</v>
      </c>
      <c r="AD15" s="7"/>
      <c r="AE15" s="5"/>
      <c r="AF15" s="5"/>
      <c r="AG15" s="5">
        <v>350551</v>
      </c>
      <c r="AH15" s="15" t="s">
        <v>53</v>
      </c>
      <c r="AI15" s="7"/>
      <c r="AJ15" s="5"/>
      <c r="AK15" s="5"/>
      <c r="AL15" s="5">
        <v>5699787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191479</v>
      </c>
      <c r="BB15" s="15" t="s">
        <v>54</v>
      </c>
      <c r="BC15" s="7"/>
      <c r="BD15" s="5"/>
      <c r="BE15" s="5"/>
      <c r="BF15" s="5">
        <v>199758</v>
      </c>
      <c r="BG15" s="15" t="s">
        <v>54</v>
      </c>
      <c r="BH15" s="7"/>
      <c r="BI15" s="5"/>
      <c r="BJ15" s="5"/>
      <c r="BK15" s="5">
        <v>198817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159201.87</v>
      </c>
      <c r="I16" s="5"/>
      <c r="J16" s="7"/>
      <c r="K16" s="5"/>
      <c r="L16" s="5"/>
      <c r="M16" s="5">
        <v>200205.82</v>
      </c>
      <c r="N16" s="5"/>
      <c r="O16" s="7"/>
      <c r="P16" s="5"/>
      <c r="Q16" s="5"/>
      <c r="R16" s="5">
        <v>120087.32</v>
      </c>
      <c r="S16" s="5"/>
      <c r="T16" s="7"/>
      <c r="U16" s="5"/>
      <c r="V16" s="5"/>
      <c r="W16" s="5">
        <v>176148.03</v>
      </c>
      <c r="X16" s="5"/>
      <c r="Y16" s="7"/>
      <c r="Z16" s="5"/>
      <c r="AA16" s="5"/>
      <c r="AB16" s="5">
        <v>200205.82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176148.03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159201.87</v>
      </c>
      <c r="AW16" s="5"/>
      <c r="AX16" s="7"/>
      <c r="AY16" s="5"/>
      <c r="AZ16" s="5"/>
      <c r="BA16" s="5">
        <v>159201.87</v>
      </c>
      <c r="BB16" s="5"/>
      <c r="BC16" s="7"/>
      <c r="BD16" s="5"/>
      <c r="BE16" s="5"/>
      <c r="BF16" s="5">
        <v>176148.03</v>
      </c>
      <c r="BG16" s="5"/>
      <c r="BH16" s="7"/>
      <c r="BI16" s="5"/>
      <c r="BJ16" s="5"/>
      <c r="BK16" s="5">
        <v>200205.82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57263380.000001</v>
      </c>
    </row>
    <row r="21" spans="3:3">
      <c r="C21" s="2">
        <f t="shared" si="0"/>
        <v>4838</v>
      </c>
    </row>
    <row r="22" spans="3:3">
      <c r="C22" s="2">
        <f t="shared" si="0"/>
        <v>2123000</v>
      </c>
    </row>
    <row r="23" spans="3:3">
      <c r="C23" s="2">
        <f t="shared" si="0"/>
        <v>256000</v>
      </c>
    </row>
    <row r="24" spans="3:3">
      <c r="C24" s="2">
        <f t="shared" si="0"/>
        <v>339241</v>
      </c>
    </row>
    <row r="25" spans="3:3">
      <c r="C25" s="2">
        <f t="shared" si="0"/>
        <v>788987</v>
      </c>
    </row>
    <row r="26" spans="3:3">
      <c r="C26" s="2">
        <f t="shared" si="0"/>
        <v>49677</v>
      </c>
    </row>
    <row r="27" spans="3:3">
      <c r="C27" s="2">
        <f t="shared" si="0"/>
        <v>130405</v>
      </c>
    </row>
    <row r="28" spans="3:3">
      <c r="C28" s="2">
        <f t="shared" si="0"/>
        <v>626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50234886</v>
      </c>
    </row>
    <row r="32" spans="3:3">
      <c r="C32" s="2">
        <f t="shared" si="0"/>
        <v>1850854.14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O31"/>
  <sheetViews>
    <sheetView zoomScale="115" zoomScaleNormal="115" workbookViewId="0">
      <pane xSplit="1" topLeftCell="BG1" activePane="topRight" state="frozen"/>
      <selection/>
      <selection pane="topRight" activeCell="BO9" sqref="BO9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3" width="12.6283185840708" style="2" customWidth="1"/>
    <col min="4" max="5" width="9.6283185840708" style="2" customWidth="1"/>
    <col min="6" max="7" width="12.3716814159292" style="2" customWidth="1"/>
    <col min="8" max="8" width="12.6283185840708" style="2" customWidth="1"/>
    <col min="9" max="9" width="9.12389380530973" style="2" customWidth="1"/>
    <col min="10" max="10" width="9.6283185840708" style="2" customWidth="1"/>
    <col min="11" max="12" width="12.3716814159292" style="2" customWidth="1"/>
    <col min="13" max="13" width="11.5044247787611" style="2" customWidth="1"/>
    <col min="14" max="15" width="9.6283185840708" style="2" customWidth="1"/>
    <col min="16" max="17" width="12.3716814159292" style="2" customWidth="1"/>
    <col min="18" max="18" width="11.5044247787611" style="2" customWidth="1"/>
    <col min="19" max="20" width="9.6283185840708" style="2" customWidth="1"/>
    <col min="21" max="22" width="12.3716814159292" style="2" customWidth="1"/>
    <col min="23" max="23" width="12.6283185840708" style="2" customWidth="1"/>
    <col min="24" max="25" width="9.6283185840708" style="2" customWidth="1"/>
    <col min="26" max="27" width="12.3716814159292" style="2" customWidth="1"/>
    <col min="28" max="28" width="12.6283185840708" style="2" customWidth="1"/>
    <col min="29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38" width="12.6283185840708" style="2" customWidth="1"/>
    <col min="39" max="40" width="9.6283185840708" style="2" customWidth="1"/>
    <col min="41" max="42" width="12.3716814159292" style="2" customWidth="1"/>
    <col min="43" max="43" width="11.5044247787611" style="2" customWidth="1"/>
    <col min="44" max="45" width="9.6283185840708" style="2" customWidth="1"/>
    <col min="46" max="47" width="12.3716814159292" style="2" customWidth="1"/>
    <col min="48" max="48" width="12.6283185840708" style="2" customWidth="1"/>
    <col min="49" max="50" width="9.6283185840708" style="2" customWidth="1"/>
    <col min="51" max="52" width="12.3716814159292" style="2" customWidth="1"/>
    <col min="53" max="53" width="11.5044247787611" style="2" customWidth="1"/>
    <col min="54" max="55" width="9.6283185840708" style="2" customWidth="1"/>
    <col min="56" max="57" width="12.3716814159292" style="2" customWidth="1"/>
    <col min="58" max="58" width="11.5044247787611" style="2" customWidth="1"/>
    <col min="59" max="60" width="9.6283185840708" style="2" customWidth="1"/>
    <col min="61" max="62" width="12.3716814159292" style="2" customWidth="1"/>
    <col min="63" max="63" width="11.5044247787611" style="2" customWidth="1"/>
    <col min="64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f>一月!C4+二月!C4+三月!C4+四月!C4+五月!C4+六月!C4+七月!C4+八月!C4+九月!C4+十月!C4+十一月!C4+十二月!C4</f>
        <v>92218.1340465285</v>
      </c>
      <c r="D4" s="6">
        <f>一月!D4+二月!D4+三月!D4+四月!D4+五月!D4+六月!D4+七月!D4+八月!D4+九月!D4+十月!D4+十一月!D4</f>
        <v>118.313716228693</v>
      </c>
      <c r="E4" s="6">
        <f>C4*$C$21</f>
        <v>11.3336086743184</v>
      </c>
      <c r="F4" s="7">
        <f>E4/$C$16*1000</f>
        <v>0.010105644252757</v>
      </c>
      <c r="G4" s="8">
        <f>E4/$C$15*1000</f>
        <v>0.000236726417907745</v>
      </c>
      <c r="H4" s="6">
        <f>一月!H4+二月!H4+三月!H4+四月!H4+五月!H4+六月!H4+七月!H4+八月!H4+九月!H4+十月!H4+十一月!H4+十二月!H4</f>
        <v>85343.3012853542</v>
      </c>
      <c r="I4" s="6">
        <f>一月!I4+二月!I4+三月!I4+四月!I4+五月!I4+六月!I4+七月!I4+八月!I4+九月!I4+十月!I4+十一月!I4</f>
        <v>109.493477054873</v>
      </c>
      <c r="J4" s="6">
        <f>一月!J4+二月!J4+三月!J4+四月!J4+五月!J4+六月!J4+七月!J4+八月!J4+九月!J4+十月!J4+十一月!J4</f>
        <v>9.86013250909873</v>
      </c>
      <c r="K4" s="7">
        <f>J4/$H$16*1000</f>
        <v>0.0076707116568906</v>
      </c>
      <c r="L4" s="8">
        <f>J4/$H$15*1000</f>
        <v>0.000175599675680996</v>
      </c>
      <c r="M4" s="6">
        <f>一月!M4+二月!M4+三月!M4+四月!M4+五月!M4+六月!M4+七月!M4+八月!M4+九月!M4+十月!M4+十一月!M4+十二月!M4</f>
        <v>37833.7022787713</v>
      </c>
      <c r="N4" s="6">
        <f>一月!N4+二月!N4+三月!N4+四月!N4+五月!N4+六月!N4+七月!N4+八月!N4+九月!N4+十月!N4+十一月!N4</f>
        <v>48.5397282961594</v>
      </c>
      <c r="O4" s="6">
        <f>一月!O4+二月!O4+三月!O4+四月!O4+五月!O4+六月!O4+七月!O4+八月!O4+九月!O4+十月!O4+十一月!O4</f>
        <v>4.37111004477509</v>
      </c>
      <c r="P4" s="13">
        <f>O4/$M$16*1000</f>
        <v>0.00183692382586135</v>
      </c>
      <c r="Q4" s="14">
        <f>O4/$M$15*1000</f>
        <v>3.69468678768561e-5</v>
      </c>
      <c r="R4" s="6">
        <f>一月!R4+二月!R4+三月!R4+四月!R4+五月!R4+六月!R4+七月!R4+八月!R4+九月!R4+十月!R4+十一月!R4+十二月!R4</f>
        <v>131316.972974294</v>
      </c>
      <c r="S4" s="6">
        <f>一月!S4+二月!S4+三月!S4+四月!S4+五月!S4+六月!S4+七月!S4+八月!S4+九月!S4+十月!S4+十一月!S4</f>
        <v>147.72384251964</v>
      </c>
      <c r="T4" s="6">
        <f>一月!T4+二月!T4+三月!T4+四月!T4+五月!T4+六月!T4+七月!T4+八月!T4+九月!T4+十月!T4+十一月!T4</f>
        <v>13.3353230144468</v>
      </c>
      <c r="U4" s="7">
        <f>T4/$R$16*1000</f>
        <v>0.0177041491724725</v>
      </c>
      <c r="V4" s="8">
        <f>T4/$R$15*1000</f>
        <v>0.000400662286512317</v>
      </c>
      <c r="W4" s="6">
        <f>一月!W4+二月!W4+三月!W4+四月!W4+五月!W4+六月!W4+七月!W4+八月!W4+九月!W4+十月!W4+十一月!W4+十二月!W4</f>
        <v>266028.132315052</v>
      </c>
      <c r="X4" s="6">
        <f>一月!X4+二月!X4+三月!X4+四月!X4+五月!X4+六月!X4+七月!X4+八月!X4+九月!X4+十月!X4+十一月!X4</f>
        <v>341.307875871131</v>
      </c>
      <c r="Y4" s="6">
        <f>一月!Y4+二月!Y4+三月!Y4+四月!Y4+五月!Y4+六月!Y4+七月!Y4+八月!Y4+九月!Y4+十月!Y4+十一月!Y4</f>
        <v>30.7355360713699</v>
      </c>
      <c r="Z4" s="7">
        <f>Y4/$W$16*1000</f>
        <v>0.0144700780371892</v>
      </c>
      <c r="AA4" s="8">
        <f>Y4/$W$15*1000</f>
        <v>0.000313938012969646</v>
      </c>
      <c r="AB4" s="6">
        <f>一月!AB4+二月!AB4+三月!AB4+四月!AB4+五月!AB4+六月!AB4+七月!AB4+八月!AB4+九月!AB4+十月!AB4+十一月!AB4+十二月!AB4</f>
        <v>19822839.9999072</v>
      </c>
      <c r="AC4" s="6">
        <f>一月!AC4+二月!AC4+三月!AC4+四月!AC4+五月!AC4+六月!AC4+七月!AC4+八月!AC4+九月!AC4+十月!AC4+十一月!AC4</f>
        <v>24994.3788401078</v>
      </c>
      <c r="AD4" s="6">
        <f>一月!AD4+二月!AD4+三月!AD4+四月!AD4+五月!AD4+六月!AD4+七月!AD4+八月!AD4+九月!AD4+十月!AD4+十一月!AD4</f>
        <v>2240.1769559886</v>
      </c>
      <c r="AE4" s="7">
        <f>AD4/$AB$16*1000</f>
        <v>0.272862523404956</v>
      </c>
      <c r="AF4" s="8">
        <f>AD4/$AB$15*1000</f>
        <v>0.0313112476113062</v>
      </c>
      <c r="AG4" s="6">
        <f>一月!AG4+二月!AG4+三月!AG4+四月!AG4+五月!AG4+六月!AG4+七月!AG4+八月!AG4+九月!AG4+十月!AG4+十一月!AG4+十二月!AG4</f>
        <v>747732.599997218</v>
      </c>
      <c r="AH4" s="6">
        <f>一月!AH4+二月!AH4+三月!AH4+四月!AH4+五月!AH4+六月!AH4+七月!AH4+八月!AH4+九月!AH4+十月!AH4+十一月!AH4</f>
        <v>977.44104454271</v>
      </c>
      <c r="AI4" s="6">
        <f>一月!AI4+二月!AI4+三月!AI4+四月!AI4+五月!AI4+六月!AI4+七月!AI4+八月!AI4+九月!AI4+十月!AI4+十一月!AI4</f>
        <v>87.548134539658</v>
      </c>
      <c r="AJ4" s="7"/>
      <c r="AK4" s="7">
        <f>AI4/$AG$15*1000</f>
        <v>0.0209855721511947</v>
      </c>
      <c r="AL4" s="6">
        <f>一月!AL4+二月!AL4+三月!AL4+四月!AL4+五月!AL4+六月!AL4+七月!AL4+八月!AL4+九月!AL4+十月!AL4+十一月!AL4+十二月!AL4</f>
        <v>23793539.9999072</v>
      </c>
      <c r="AM4" s="6">
        <f>一月!AM4+二月!AM4+三月!AM4+四月!AM4+五月!AM4+六月!AM4+七月!AM4+八月!AM4+九月!AM4+十月!AM4+十一月!AM4</f>
        <v>29609.898937394</v>
      </c>
      <c r="AN4" s="6">
        <f>一月!AN4+二月!AN4+三月!AN4+四月!AN4+五月!AN4+六月!AN4+七月!AN4+八月!AN4+九月!AN4+十月!AN4+十一月!AN4</f>
        <v>2654.9177539886</v>
      </c>
      <c r="AO4" s="7">
        <f>AN4/$AL$16*1000</f>
        <v>1.24991693632177</v>
      </c>
      <c r="AP4" s="8">
        <f>AN4/$AL$15*1000</f>
        <v>0.0401931984762355</v>
      </c>
      <c r="AQ4" s="6">
        <f>一月!AQ4+二月!AQ4+三月!AQ4+四月!AQ4+五月!AQ4+六月!AQ4+七月!AQ4+八月!AQ4+九月!AQ4+十月!AQ4+十一月!AQ4+十二月!AQ4</f>
        <v>16454739.9999072</v>
      </c>
      <c r="AR4" s="6">
        <f>一月!AR4+二月!AR4+三月!AR4+四月!AR4+五月!AR4+六月!AR4+七月!AR4+八月!AR4+九月!AR4+十月!AR4+十一月!AR4</f>
        <v>19040.0447387253</v>
      </c>
      <c r="AS4" s="6">
        <f>一月!AS4+二月!AS4+三月!AS4+四月!AS4+五月!AS4+六月!AS4+七月!AS4+八月!AS4+九月!AS4+十月!AS4+十一月!AS4</f>
        <v>1714.2018259886</v>
      </c>
      <c r="AT4" s="7">
        <f>AS4/$AQ$16*1000</f>
        <v>2.25180674851209</v>
      </c>
      <c r="AU4" s="7">
        <f>AS4/$AQ$15*1000</f>
        <v>0.040954592819957</v>
      </c>
      <c r="AV4" s="6">
        <f>一月!AV4+二月!AV4+三月!AV4+四月!AV4+五月!AV4+六月!AV4+七月!AV4+八月!AV4+九月!AV4+十月!AV4+十一月!AV4+十二月!AV4</f>
        <v>19394707.39991</v>
      </c>
      <c r="AW4" s="6">
        <f>一月!AW4+二月!AW4+三月!AW4+四月!AW4+五月!AW4+六月!AW4+七月!AW4+八月!AW4+九月!AW4+十月!AW4+十一月!AW4</f>
        <v>23908.7057807161</v>
      </c>
      <c r="AX4" s="6">
        <f>一月!AX4+二月!AX4+三月!AX4+四月!AX4+五月!AX4+六月!AX4+七月!AX4+八月!AX4+九月!AX4+十月!AX4+十一月!AX4</f>
        <v>2136.35931944894</v>
      </c>
      <c r="AY4" s="7">
        <f>AX4/$AV$16*1000</f>
        <v>1.66198540637075</v>
      </c>
      <c r="AZ4" s="7"/>
      <c r="BA4" s="6">
        <f>一月!BA4+二月!BA4+三月!BA4+四月!BA4+五月!BA4+六月!BA4+七月!BA4+八月!BA4+九月!BA4+十月!BA4+十一月!BA4+十二月!BA4</f>
        <v>162347638</v>
      </c>
      <c r="BB4" s="6">
        <f>一月!BB4+二月!BB4+三月!BB4+四月!BB4+五月!BB4+六月!BB4+七月!BB4+八月!BB4+九月!BB4+十月!BB4+十一月!BB4</f>
        <v>202130.345334101</v>
      </c>
      <c r="BC4" s="6">
        <f>一月!BC4+二月!BC4+三月!BC4+四月!BC4+五月!BC4+六月!BC4+七月!BC4+八月!BC4+九月!BC4+十月!BC4+十一月!BC4</f>
        <v>18134.3544002</v>
      </c>
      <c r="BD4" s="7">
        <f>BC4/$BA$16*1000</f>
        <v>10.9434018968056</v>
      </c>
      <c r="BE4" s="7">
        <f>BC4/$BA$15*1000</f>
        <v>8.95623187771481</v>
      </c>
      <c r="BF4" s="6">
        <f>一月!BF4+二月!BF4+三月!BF4+四月!BF4+五月!BF4+六月!BF4+七月!BF4+八月!BF4+九月!BF4+十月!BF4+十一月!BF4+十二月!BF4</f>
        <v>189002292</v>
      </c>
      <c r="BG4" s="6">
        <f>一月!BG4+二月!BG4+三月!BG4+四月!BG4+五月!BG4+六月!BG4+七月!BG4+八月!BG4+九月!BG4+十月!BG4+十一月!BG4</f>
        <v>236415.051651306</v>
      </c>
      <c r="BH4" s="6">
        <f>一月!BH4+二月!BH4+三月!BH4+四月!BH4+五月!BH4+六月!BH4+七月!BH4+八月!BH4+九月!BH4+十月!BH4+十一月!BH4</f>
        <v>21226.2853818</v>
      </c>
      <c r="BI4" s="7">
        <f>BH4/$BF$16*1000</f>
        <v>9.99318850990856</v>
      </c>
      <c r="BJ4" s="7">
        <f>BH4/$BF$15*1000</f>
        <v>9.55333832693257</v>
      </c>
      <c r="BK4" s="6">
        <f>一月!BK4+二月!BK4+三月!BK4+四月!BK4+五月!BK4+六月!BK4+七月!BK4+八月!BK4+九月!BK4+十月!BK4+十一月!BK4+十二月!BK4</f>
        <v>208878470</v>
      </c>
      <c r="BL4" s="6">
        <f>一月!BL4+二月!BL4+三月!BL4+四月!BL4+五月!BL4+六月!BL4+七月!BL4+八月!BL4+九月!BL4+十月!BL4+十一月!BL4</f>
        <v>0</v>
      </c>
      <c r="BM4" s="6">
        <f>一月!BM4+二月!BM4+三月!BM4+四月!BM4+五月!BM4+六月!BM4+七月!BM4+八月!BM4+九月!BM4+十月!BM4+十一月!BM4</f>
        <v>23483.316598</v>
      </c>
      <c r="BN4" s="7">
        <f>BM4/$BK$16*1000</f>
        <v>9.86867485083669</v>
      </c>
      <c r="BO4" s="7">
        <f>BM4/$BK$15*1000</f>
        <v>10.3086887154238</v>
      </c>
    </row>
    <row r="5" s="1" customFormat="1" ht="30" customHeight="1" spans="1:67">
      <c r="A5" s="5" t="s">
        <v>13</v>
      </c>
      <c r="B5" s="5" t="s">
        <v>44</v>
      </c>
      <c r="C5" s="6">
        <f>一月!C5+二月!C5+三月!C5+四月!C5+五月!C5+六月!C5+七月!C5+八月!C5+九月!C5+十月!C5+十一月!C5+十二月!C5</f>
        <v>1629.4992</v>
      </c>
      <c r="D5" s="6">
        <f>一月!D5+二月!D5+三月!D5+四月!D5+五月!D5+六月!D5+七月!D5+八月!D5+九月!D5+十月!D5+十一月!D5</f>
        <v>2.20012319508449</v>
      </c>
      <c r="E5" s="6">
        <f>C5*$C$22</f>
        <v>55.56592272</v>
      </c>
      <c r="F5" s="7">
        <f>E5/$C$16*1000</f>
        <v>0.0495455122653846</v>
      </c>
      <c r="G5" s="8">
        <f>E5/$C$15*1000</f>
        <v>0.00116061196581197</v>
      </c>
      <c r="H5" s="6">
        <f>一月!H5+二月!H5+三月!H5+四月!H5+五月!H5+六月!H5+七月!H5+八月!H5+九月!H5+十月!H5+十一月!H5+十二月!H5</f>
        <v>1149.5168</v>
      </c>
      <c r="I5" s="6">
        <f>一月!I5+二月!I5+三月!I5+四月!I5+五月!I5+六月!I5+七月!I5+八月!I5+九月!I5+十月!I5+十一月!I5</f>
        <v>0.000717777777777778</v>
      </c>
      <c r="J5" s="6">
        <f>一月!J5+二月!J5+三月!J5+四月!J5+五月!J5+六月!J5+七月!J5+八月!J5+九月!J5+十月!J5+十一月!J5</f>
        <v>0.01762288</v>
      </c>
      <c r="K5" s="7">
        <f>J5/$H$16*1000</f>
        <v>1.37097580503348e-5</v>
      </c>
      <c r="L5" s="8">
        <f>J5/$H$15*1000</f>
        <v>3.13846899086752e-7</v>
      </c>
      <c r="M5" s="6">
        <f>一月!M5+二月!M5+三月!M5+四月!M5+五月!M5+六月!M5+七月!M5+八月!M5+九月!M5+十月!M5+十一月!M5+十二月!M5</f>
        <v>4781.8608</v>
      </c>
      <c r="N5" s="6">
        <f>一月!N5+二月!N5+三月!N5+四月!N5+五月!N5+六月!N5+七月!N5+八月!N5+九月!N5+十月!N5+十一月!N5</f>
        <v>4.752360296979</v>
      </c>
      <c r="O5" s="6">
        <f>一月!O5+二月!O5+三月!O5+四月!O5+五月!O5+六月!O5+七月!O5+八月!O5+九月!O5+十月!O5+十一月!O5</f>
        <v>118.97015328</v>
      </c>
      <c r="P5" s="7">
        <f>O5/$M$16*1000</f>
        <v>0.0499962496683503</v>
      </c>
      <c r="Q5" s="13">
        <f>O5/$M$15*1000</f>
        <v>0.00100559685972208</v>
      </c>
      <c r="R5" s="6">
        <f>一月!R5+二月!R5+三月!R5+四月!R5+五月!R5+六月!R5+七月!R5+八月!R5+九月!R5+十月!R5+十一月!R5+十二月!R5</f>
        <v>5860.7696</v>
      </c>
      <c r="S5" s="6">
        <f>一月!S5+二月!S5+三月!S5+四月!S5+五月!S5+六月!S5+七月!S5+八月!S5+九月!S5+十月!S5+十一月!S5</f>
        <v>6.55577154121864</v>
      </c>
      <c r="T5" s="6">
        <f>一月!T5+二月!T5+三月!T5+四月!T5+五月!T5+六月!T5+七月!T5+八月!T5+九月!T5+十月!T5+十一月!T5</f>
        <v>163.94494336</v>
      </c>
      <c r="U5" s="7">
        <f>T5/$R$16*1000</f>
        <v>0.217655450128474</v>
      </c>
      <c r="V5" s="8">
        <f>T5/$R$15*1000</f>
        <v>0.00492575663878473</v>
      </c>
      <c r="W5" s="6">
        <f>一月!W5+二月!W5+三月!W5+四月!W5+五月!W5+六月!W5+七月!W5+八月!W5+九月!W5+十月!W5+十一月!W5+十二月!W5</f>
        <v>2180</v>
      </c>
      <c r="X5" s="6">
        <f>一月!X5+二月!X5+三月!X5+四月!X5+五月!X5+六月!X5+七月!X5+八月!X5+九月!X5+十月!X5+十一月!X5</f>
        <v>1.15661162314388</v>
      </c>
      <c r="Y5" s="6">
        <f>一月!Y5+二月!Y5+三月!Y5+四月!Y5+五月!Y5+六月!Y5+七月!Y5+八月!Y5+九月!Y5+十月!Y5+十一月!Y5</f>
        <v>28.5417</v>
      </c>
      <c r="Z5" s="7">
        <f>Y5/$W$16*1000</f>
        <v>0.01343723517153</v>
      </c>
      <c r="AA5" s="8">
        <f>Y5/$W$15*1000</f>
        <v>0.000291529796778859</v>
      </c>
      <c r="AB5" s="6"/>
      <c r="AC5" s="6"/>
      <c r="AD5" s="6"/>
      <c r="AE5" s="7"/>
      <c r="AF5" s="8"/>
      <c r="AG5" s="6"/>
      <c r="AH5" s="6"/>
      <c r="AI5" s="6"/>
      <c r="AJ5" s="7"/>
      <c r="AK5" s="13"/>
      <c r="AL5" s="6"/>
      <c r="AM5" s="6"/>
      <c r="AN5" s="6"/>
      <c r="AO5" s="7"/>
      <c r="AP5" s="8"/>
      <c r="AQ5" s="6"/>
      <c r="AR5" s="6"/>
      <c r="AS5" s="6"/>
      <c r="AT5" s="7"/>
      <c r="AU5" s="8"/>
      <c r="AV5" s="6"/>
      <c r="AW5" s="6"/>
      <c r="AX5" s="6"/>
      <c r="AY5" s="7"/>
      <c r="AZ5" s="8"/>
      <c r="BA5" s="6">
        <f>一月!BA5+二月!BA5+三月!BA5+四月!BA5+五月!BA5+六月!BA5+七月!BA5+八月!BA5+九月!BA5+十月!BA5+十一月!BA5+十二月!BA5</f>
        <v>0</v>
      </c>
      <c r="BB5" s="6">
        <f>一月!BB5+二月!BB5+三月!BB5+四月!BB5+五月!BB5+六月!BB5+七月!BB5+八月!BB5+九月!BB5+十月!BB5+十一月!BB5</f>
        <v>0</v>
      </c>
      <c r="BC5" s="6">
        <f>一月!BC5+二月!BC5+三月!BC5+四月!BC5+五月!BC5+六月!BC5+七月!BC5+八月!BC5+九月!BC5+十月!BC5+十一月!BC5</f>
        <v>0</v>
      </c>
      <c r="BD5" s="7">
        <f>BC5/$BA$16*1000</f>
        <v>0</v>
      </c>
      <c r="BE5" s="7">
        <f>BC5/$BA$15*1000</f>
        <v>0</v>
      </c>
      <c r="BF5" s="6">
        <f>一月!BF5+二月!BF5+三月!BF5+四月!BF5+五月!BF5+六月!BF5+七月!BF5+八月!BF5+九月!BF5+十月!BF5+十一月!BF5+十二月!BF5</f>
        <v>0</v>
      </c>
      <c r="BG5" s="6">
        <f>一月!BG5+二月!BG5+三月!BG5+四月!BG5+五月!BG5+六月!BG5+七月!BG5+八月!BG5+九月!BG5+十月!BG5+十一月!BG5</f>
        <v>0</v>
      </c>
      <c r="BH5" s="6">
        <f>一月!BH5+二月!BH5+三月!BH5+四月!BH5+五月!BH5+六月!BH5+七月!BH5+八月!BH5+九月!BH5+十月!BH5+十一月!BH5</f>
        <v>0</v>
      </c>
      <c r="BI5" s="7">
        <f>BH5/$BF$16*1000</f>
        <v>0</v>
      </c>
      <c r="BJ5" s="7">
        <f>BH5/$BF$15*1000</f>
        <v>0</v>
      </c>
      <c r="BK5" s="6">
        <f>一月!BK5+二月!BK5+三月!BK5+四月!BK5+五月!BK5+六月!BK5+七月!BK5+八月!BK5+九月!BK5+十月!BK5+十一月!BK5+十二月!BK5</f>
        <v>0</v>
      </c>
      <c r="BL5" s="6">
        <f>一月!BL5+二月!BL5+三月!BL5+四月!BL5+五月!BL5+六月!BL5+七月!BL5+八月!BL5+九月!BL5+十月!BL5+十一月!BL5</f>
        <v>0</v>
      </c>
      <c r="BM5" s="6">
        <f>一月!BM5+二月!BM5+三月!BM5+四月!BM5+五月!BM5+六月!BM5+七月!BM5+八月!BM5+九月!BM5+十月!BM5+十一月!BM5</f>
        <v>0</v>
      </c>
      <c r="BN5" s="7">
        <f>BM5/$BK$16*1000</f>
        <v>0</v>
      </c>
      <c r="BO5" s="7">
        <f>BM5/$BK$15*1000</f>
        <v>0</v>
      </c>
    </row>
    <row r="6" s="1" customFormat="1" ht="30" customHeight="1" spans="1:67">
      <c r="A6" s="5" t="s">
        <v>16</v>
      </c>
      <c r="B6" s="5" t="s">
        <v>45</v>
      </c>
      <c r="C6" s="6">
        <f>一月!C6+二月!C6+三月!C6+四月!C6+五月!C6+六月!C6+七月!C6+八月!C6+九月!C6+十月!C6+十一月!C6+十二月!C6</f>
        <v>6997000</v>
      </c>
      <c r="D6" s="6">
        <f>一月!D6+二月!D6+三月!D6+四月!D6+五月!D6+六月!D6+七月!D6+八月!D6+九月!D6+十月!D6+十一月!D6</f>
        <v>9573.39989759346</v>
      </c>
      <c r="E6" s="6">
        <f>C6*$C$30</f>
        <v>118.2493</v>
      </c>
      <c r="F6" s="7">
        <f>E6/$C$16*1000</f>
        <v>0.10543732303422</v>
      </c>
      <c r="G6" s="8">
        <f>E6/$C$15*1000</f>
        <v>0.00246988704246769</v>
      </c>
      <c r="H6" s="6">
        <f>一月!H6+二月!H6+三月!H6+四月!H6+五月!H6+六月!H6+七月!H6+八月!H6+九月!H6+十月!H6+十一月!H6+十二月!H6</f>
        <v>3129000</v>
      </c>
      <c r="I6" s="6">
        <f>一月!I6+二月!I6+三月!I6+四月!I6+五月!I6+六月!I6+七月!I6+八月!I6+九月!I6+十月!I6+十一月!I6</f>
        <v>3803.50102406554</v>
      </c>
      <c r="J6" s="6">
        <f>一月!J6+二月!J6+三月!J6+四月!J6+五月!J6+六月!J6+七月!J6+八月!J6+九月!J6+十月!J6+十一月!J6</f>
        <v>46.7961</v>
      </c>
      <c r="K6" s="7">
        <f>J6/$H$16*1000</f>
        <v>0.0364051283728467</v>
      </c>
      <c r="L6" s="8">
        <f>J6/$H$15*1000</f>
        <v>0.000833394477767172</v>
      </c>
      <c r="M6" s="6">
        <f>一月!M6+二月!M6+三月!M6+四月!M6+五月!M6+六月!M6+七月!M6+八月!M6+九月!M6+十月!M6+十一月!M6+十二月!M6</f>
        <v>6163000</v>
      </c>
      <c r="N6" s="6">
        <f>一月!N6+二月!N6+三月!N6+四月!N6+五月!N6+六月!N6+七月!N6+八月!N6+九月!N6+十月!N6+十一月!N6</f>
        <v>7701.82091653866</v>
      </c>
      <c r="O6" s="6">
        <f>一月!O6+二月!O6+三月!O6+四月!O6+五月!O6+六月!O6+七月!O6+八月!O6+九月!O6+十月!O6+十一月!O6</f>
        <v>95.1301</v>
      </c>
      <c r="P6" s="7">
        <f>O6/$M$16*1000</f>
        <v>0.0399776590972476</v>
      </c>
      <c r="Q6" s="8">
        <f>O6/$M$15*1000</f>
        <v>0.000804088480914224</v>
      </c>
      <c r="R6" s="6">
        <f>一月!R6+二月!R6+三月!R6+四月!R6+五月!R6+六月!R6+七月!R6+八月!R6+九月!R6+十月!R6+十一月!R6+十二月!R6</f>
        <v>799000</v>
      </c>
      <c r="S6" s="6">
        <f>一月!S6+二月!S6+三月!S6+四月!S6+五月!S6+六月!S6+七月!S6+八月!S6+九月!S6+十月!S6+十一月!S6</f>
        <v>862.544802867384</v>
      </c>
      <c r="T6" s="6">
        <f>一月!T6+二月!T6+三月!T6+四月!T6+五月!T6+六月!T6+七月!T6+八月!T6+九月!T6+十月!T6+十一月!T6</f>
        <v>10.6977</v>
      </c>
      <c r="U6" s="7">
        <f>T6/$R$16*1000</f>
        <v>0.0142024063756972</v>
      </c>
      <c r="V6" s="8">
        <f>T6/$R$15*1000</f>
        <v>0.000321414407268532</v>
      </c>
      <c r="W6" s="6">
        <f>一月!W6+二月!W6+三月!W6+四月!W6+五月!W6+六月!W6+七月!W6+八月!W6+九月!W6+十月!W6+十一月!W6+十二月!W6</f>
        <v>12097000</v>
      </c>
      <c r="X6" s="6">
        <f>一月!X6+二月!X6+三月!X6+四月!X6+五月!X6+六月!X6+七月!X6+八月!X6+九月!X6+十月!X6+十一月!X6</f>
        <v>15201.0848694317</v>
      </c>
      <c r="Y6" s="6">
        <f>一月!Y6+二月!Y6+三月!Y6+四月!Y6+五月!Y6+六月!Y6+七月!Y6+八月!Y6+九月!Y6+十月!Y6+十一月!Y6</f>
        <v>187.6914</v>
      </c>
      <c r="Z6" s="7">
        <f>Y6/$W$16*1000</f>
        <v>0.0883638144004637</v>
      </c>
      <c r="AA6" s="13">
        <f>Y6/$W$15*1000</f>
        <v>0.00191711200451058</v>
      </c>
      <c r="AB6" s="6"/>
      <c r="AC6" s="6"/>
      <c r="AD6" s="6"/>
      <c r="AE6" s="7"/>
      <c r="AF6" s="8"/>
      <c r="AG6" s="6"/>
      <c r="AH6" s="6"/>
      <c r="AI6" s="6"/>
      <c r="AJ6" s="7"/>
      <c r="AK6" s="13"/>
      <c r="AL6" s="6"/>
      <c r="AM6" s="6"/>
      <c r="AN6" s="6"/>
      <c r="AO6" s="7"/>
      <c r="AP6" s="8"/>
      <c r="AQ6" s="6"/>
      <c r="AR6" s="6"/>
      <c r="AS6" s="6"/>
      <c r="AT6" s="7"/>
      <c r="AU6" s="8"/>
      <c r="AV6" s="6"/>
      <c r="AW6" s="6"/>
      <c r="AX6" s="6"/>
      <c r="AY6" s="7"/>
      <c r="AZ6" s="8"/>
      <c r="BA6" s="6"/>
      <c r="BB6" s="6"/>
      <c r="BC6" s="6"/>
      <c r="BD6" s="7"/>
      <c r="BE6" s="7"/>
      <c r="BF6" s="6"/>
      <c r="BG6" s="6"/>
      <c r="BH6" s="6"/>
      <c r="BI6" s="7"/>
      <c r="BJ6" s="7"/>
      <c r="BK6" s="6"/>
      <c r="BL6" s="6"/>
      <c r="BM6" s="6"/>
      <c r="BN6" s="7"/>
      <c r="BO6" s="7"/>
    </row>
    <row r="7" s="1" customFormat="1" ht="30" customHeight="1" spans="1:67">
      <c r="A7" s="5" t="s">
        <v>17</v>
      </c>
      <c r="B7" s="5" t="s">
        <v>45</v>
      </c>
      <c r="C7" s="6">
        <f>一月!C7+二月!C7+三月!C7+四月!C7+五月!C7+六月!C7+七月!C7+八月!C7+九月!C7+十月!C7+十一月!C7+十二月!C7</f>
        <v>0</v>
      </c>
      <c r="D7" s="6">
        <f>一月!D7+二月!D7+三月!D7+四月!D7+五月!D7+六月!D7+七月!D7+八月!D7+九月!D7+十月!D7+十一月!D7</f>
        <v>0</v>
      </c>
      <c r="E7" s="6">
        <f>C7*$C$31</f>
        <v>0</v>
      </c>
      <c r="F7" s="7">
        <f>E7/$C$16*1000</f>
        <v>0</v>
      </c>
      <c r="G7" s="8">
        <f>E7/$C$15*1000</f>
        <v>0</v>
      </c>
      <c r="H7" s="6">
        <f>一月!H7+二月!H7+三月!H7+四月!H7+五月!H7+六月!H7+七月!H7+八月!H7+九月!H7+十月!H7+十一月!H7+十二月!H7</f>
        <v>0</v>
      </c>
      <c r="I7" s="6">
        <f>一月!I7+二月!I7+三月!I7+四月!I7+五月!I7+六月!I7+七月!I7+八月!I7+九月!I7+十月!I7+十一月!I7</f>
        <v>0</v>
      </c>
      <c r="J7" s="6">
        <f>一月!J7+二月!J7+三月!J7+四月!J7+五月!J7+六月!J7+七月!J7+八月!J7+九月!J7+十月!J7+十一月!J7</f>
        <v>0</v>
      </c>
      <c r="K7" s="7">
        <f>J7/$H$16*1000</f>
        <v>0</v>
      </c>
      <c r="L7" s="8">
        <f>J7/$H$15*1000</f>
        <v>0</v>
      </c>
      <c r="M7" s="6">
        <f>一月!M7+二月!M7+三月!M7+四月!M7+五月!M7+六月!M7+七月!M7+八月!M7+九月!M7+十月!M7+十一月!M7+十二月!M7</f>
        <v>0</v>
      </c>
      <c r="N7" s="6">
        <f>一月!N7+二月!N7+三月!N7+四月!N7+五月!N7+六月!N7+七月!N7+八月!N7+九月!N7+十月!N7+十一月!N7</f>
        <v>0</v>
      </c>
      <c r="O7" s="6">
        <f>一月!O7+二月!O7+三月!O7+四月!O7+五月!O7+六月!O7+七月!O7+八月!O7+九月!O7+十月!O7+十一月!O7</f>
        <v>0</v>
      </c>
      <c r="P7" s="7">
        <f>O7/$M$16*1000</f>
        <v>0</v>
      </c>
      <c r="Q7" s="8">
        <f>O7/$M$15*1000</f>
        <v>0</v>
      </c>
      <c r="R7" s="6">
        <f>一月!R7+二月!R7+三月!R7+四月!R7+五月!R7+六月!R7+七月!R7+八月!R7+九月!R7+十月!R7+十一月!R7+十二月!R7</f>
        <v>0</v>
      </c>
      <c r="S7" s="6">
        <f>一月!S7+二月!S7+三月!S7+四月!S7+五月!S7+六月!S7+七月!S7+八月!S7+九月!S7+十月!S7+十一月!S7</f>
        <v>0</v>
      </c>
      <c r="T7" s="6">
        <f>一月!T7+二月!T7+三月!T7+四月!T7+五月!T7+六月!T7+七月!T7+八月!T7+九月!T7+十月!T7+十一月!T7</f>
        <v>0</v>
      </c>
      <c r="U7" s="7">
        <f>T7/$R$16*1000</f>
        <v>0</v>
      </c>
      <c r="V7" s="8">
        <f>T7/$R$15*1000</f>
        <v>0</v>
      </c>
      <c r="W7" s="6">
        <f>一月!W7+二月!W7+三月!W7+四月!W7+五月!W7+六月!W7+七月!W7+八月!W7+九月!W7+十月!W7+十一月!W7+十二月!W7</f>
        <v>0</v>
      </c>
      <c r="X7" s="6">
        <f>一月!X7+二月!X7+三月!X7+四月!X7+五月!X7+六月!X7+七月!X7+八月!X7+九月!X7+十月!X7+十一月!X7</f>
        <v>0</v>
      </c>
      <c r="Y7" s="6">
        <f>一月!Y7+二月!Y7+三月!Y7+四月!Y7+五月!Y7+六月!Y7+七月!Y7+八月!Y7+九月!Y7+十月!Y7+十一月!Y7</f>
        <v>0</v>
      </c>
      <c r="Z7" s="7">
        <f>Y7/$W$16*1000</f>
        <v>0</v>
      </c>
      <c r="AA7" s="8">
        <f>Y7/$W$15*1000</f>
        <v>0</v>
      </c>
      <c r="AB7" s="6"/>
      <c r="AC7" s="6"/>
      <c r="AD7" s="6"/>
      <c r="AE7" s="7"/>
      <c r="AF7" s="8"/>
      <c r="AG7" s="6"/>
      <c r="AH7" s="6"/>
      <c r="AI7" s="6"/>
      <c r="AJ7" s="7"/>
      <c r="AK7" s="13"/>
      <c r="AL7" s="6"/>
      <c r="AM7" s="6"/>
      <c r="AN7" s="6"/>
      <c r="AO7" s="7"/>
      <c r="AP7" s="8"/>
      <c r="AQ7" s="6"/>
      <c r="AR7" s="6"/>
      <c r="AS7" s="6"/>
      <c r="AT7" s="7"/>
      <c r="AU7" s="8"/>
      <c r="AV7" s="6"/>
      <c r="AW7" s="6"/>
      <c r="AX7" s="6"/>
      <c r="AY7" s="7"/>
      <c r="AZ7" s="8"/>
      <c r="BA7" s="6">
        <f>一月!BA7+二月!BA7+三月!BA7+四月!BA7+五月!BA7+六月!BA7+七月!BA7+八月!BA7+九月!BA7+十月!BA7+十一月!BA7+十二月!BA7</f>
        <v>589334</v>
      </c>
      <c r="BB7" s="6">
        <f>一月!BB7+二月!BB7+三月!BB7+四月!BB7+五月!BB7+六月!BB7+七月!BB7+八月!BB7+九月!BB7+十月!BB7+十一月!BB7</f>
        <v>684.826762246117</v>
      </c>
      <c r="BC7" s="6">
        <f>一月!BC7+二月!BC7+三月!BC7+四月!BC7+五月!BC7+六月!BC7+七月!BC7+八月!BC7+九月!BC7+十月!BC7+十一月!BC7</f>
        <v>8.5176</v>
      </c>
      <c r="BD7" s="7">
        <f>BC7/$BA$16*1000</f>
        <v>0.00514005174593936</v>
      </c>
      <c r="BE7" s="13">
        <f>BC7/$BA$15*1000</f>
        <v>0.00420668963218135</v>
      </c>
      <c r="BF7" s="6">
        <f>一月!BF7+二月!BF7+三月!BF7+四月!BF7+五月!BF7+六月!BF7+七月!BF7+八月!BF7+九月!BF7+十月!BF7+十一月!BF7+十二月!BF7</f>
        <v>589333</v>
      </c>
      <c r="BG7" s="6">
        <f>一月!BG7+二月!BG7+三月!BG7+四月!BG7+五月!BG7+六月!BG7+七月!BG7+八月!BG7+九月!BG7+十月!BG7+十一月!BG7</f>
        <v>684.826762246117</v>
      </c>
      <c r="BH7" s="6">
        <f>一月!BH7+二月!BH7+三月!BH7+四月!BH7+五月!BH7+六月!BH7+七月!BH7+八月!BH7+九月!BH7+十月!BH7+十一月!BH7</f>
        <v>8.5176</v>
      </c>
      <c r="BI7" s="13">
        <f>BH7/$BF$16*1000</f>
        <v>0.00401002723373255</v>
      </c>
      <c r="BJ7" s="13">
        <f>BH7/$BF$15*1000</f>
        <v>0.00383352588876672</v>
      </c>
      <c r="BK7" s="6">
        <f>一月!BK7+二月!BK7+三月!BK7+四月!BK7+五月!BK7+六月!BK7+七月!BK7+八月!BK7+九月!BK7+十月!BK7+十一月!BK7+十二月!BK7</f>
        <v>589333</v>
      </c>
      <c r="BL7" s="6">
        <f>一月!BL7+二月!BL7+三月!BL7+四月!BL7+五月!BL7+六月!BL7+七月!BL7+八月!BL7+九月!BL7+十月!BL7+十一月!BL7</f>
        <v>684.826762246117</v>
      </c>
      <c r="BM7" s="6">
        <f>一月!BM7+二月!BM7+三月!BM7+四月!BM7+五月!BM7+六月!BM7+七月!BM7+八月!BM7+九月!BM7+十月!BM7+十一月!BM7</f>
        <v>8.5176</v>
      </c>
      <c r="BN7" s="13">
        <f>BM7/$BK$16*1000</f>
        <v>0.00357945286640838</v>
      </c>
      <c r="BO7" s="13">
        <f>BM7/$BK$15*1000</f>
        <v>0.00373904966260055</v>
      </c>
    </row>
    <row r="8" s="1" customFormat="1" ht="30" customHeight="1" spans="1:67">
      <c r="A8" s="5" t="s">
        <v>46</v>
      </c>
      <c r="B8" s="5" t="s">
        <v>47</v>
      </c>
      <c r="C8" s="6">
        <f>一月!C8+二月!C8+三月!C8+四月!C8+五月!C8+六月!C8+七月!C8+八月!C8+九月!C8+十月!C8+十一月!C8+十二月!C8</f>
        <v>3041905</v>
      </c>
      <c r="D8" s="6">
        <f>一月!D8+二月!D8+三月!D8+四月!D8+五月!D8+六月!D8+七月!D8+八月!D8+九月!D8+十月!D8+十一月!D8</f>
        <v>4141.64804787506</v>
      </c>
      <c r="E8" s="6">
        <f>C8*$C$23</f>
        <v>144.4904875</v>
      </c>
      <c r="F8" s="7">
        <f>E8/$C$16*1000</f>
        <v>0.128835352140854</v>
      </c>
      <c r="G8" s="8">
        <f>E8/$C$15*1000</f>
        <v>0.00301798981335272</v>
      </c>
      <c r="H8" s="6"/>
      <c r="I8" s="6"/>
      <c r="J8" s="6"/>
      <c r="K8" s="7"/>
      <c r="L8" s="8"/>
      <c r="M8" s="6">
        <f>一月!M8+二月!M8+三月!M8+四月!M8+五月!M8+六月!M8+七月!M8+八月!M8+九月!M8+十月!M8+十一月!M8+十二月!M8</f>
        <v>4235980</v>
      </c>
      <c r="N8" s="6">
        <f>一月!N8+二月!N8+三月!N8+四月!N8+五月!N8+六月!N8+七月!N8+八月!N8+九月!N8+十月!N8+十一月!N8</f>
        <v>5328.96739951357</v>
      </c>
      <c r="O8" s="6">
        <f>一月!O8+二月!O8+三月!O8+四月!O8+五月!O8+六月!O8+七月!O8+八月!O8+九月!O8+十月!O8+十一月!O8</f>
        <v>185.0951025</v>
      </c>
      <c r="P8" s="7">
        <f>O8/$M$16*1000</f>
        <v>0.0777847275290902</v>
      </c>
      <c r="Q8" s="13">
        <f>O8/$M$15*1000</f>
        <v>0.00156451890404706</v>
      </c>
      <c r="R8" s="6"/>
      <c r="S8" s="6"/>
      <c r="T8" s="6"/>
      <c r="U8" s="7"/>
      <c r="V8" s="8"/>
      <c r="W8" s="6"/>
      <c r="X8" s="6"/>
      <c r="Y8" s="6"/>
      <c r="Z8" s="7"/>
      <c r="AA8" s="8"/>
      <c r="AB8" s="6"/>
      <c r="AC8" s="6"/>
      <c r="AD8" s="6"/>
      <c r="AE8" s="7"/>
      <c r="AF8" s="8"/>
      <c r="AG8" s="6"/>
      <c r="AH8" s="6"/>
      <c r="AI8" s="6"/>
      <c r="AJ8" s="7"/>
      <c r="AK8" s="13"/>
      <c r="AL8" s="6"/>
      <c r="AM8" s="6"/>
      <c r="AN8" s="6"/>
      <c r="AO8" s="7"/>
      <c r="AP8" s="8"/>
      <c r="AQ8" s="6"/>
      <c r="AR8" s="6"/>
      <c r="AS8" s="6"/>
      <c r="AT8" s="7"/>
      <c r="AU8" s="8"/>
      <c r="AV8" s="6"/>
      <c r="AW8" s="6"/>
      <c r="AX8" s="6"/>
      <c r="AY8" s="7"/>
      <c r="AZ8" s="8"/>
      <c r="BA8" s="6"/>
      <c r="BB8" s="6"/>
      <c r="BC8" s="6"/>
      <c r="BD8" s="7"/>
      <c r="BE8" s="7"/>
      <c r="BF8" s="6"/>
      <c r="BG8" s="6"/>
      <c r="BH8" s="6"/>
      <c r="BI8" s="7"/>
      <c r="BJ8" s="7"/>
      <c r="BK8" s="6"/>
      <c r="BL8" s="6"/>
      <c r="BM8" s="6"/>
      <c r="BN8" s="7"/>
      <c r="BO8" s="7"/>
    </row>
    <row r="9" s="1" customFormat="1" ht="30" customHeight="1" spans="1:67">
      <c r="A9" s="5" t="s">
        <v>14</v>
      </c>
      <c r="B9" s="5" t="s">
        <v>47</v>
      </c>
      <c r="C9" s="6"/>
      <c r="D9" s="6"/>
      <c r="E9" s="7"/>
      <c r="F9" s="9"/>
      <c r="G9" s="9"/>
      <c r="H9" s="6">
        <f>一月!H9+二月!H9+三月!H9+四月!H9+五月!H9+六月!H9+七月!H9+八月!H9+九月!H9+十月!H9+十一月!H9+十二月!H9</f>
        <v>0</v>
      </c>
      <c r="I9" s="6">
        <f>一月!I9+二月!I9+三月!I9+四月!I9+五月!I9+六月!I9+七月!I9+八月!I9+九月!I9+十月!I9+十一月!I9</f>
        <v>0</v>
      </c>
      <c r="J9" s="6">
        <f>一月!J9+二月!J9+三月!J9+四月!J9+五月!J9+六月!J9+七月!J9+八月!J9+九月!J9+十月!J9+十一月!J9</f>
        <v>0</v>
      </c>
      <c r="K9" s="7">
        <f>J9/$H$16*1000</f>
        <v>0</v>
      </c>
      <c r="L9" s="8">
        <f>J9/$H$15*1000</f>
        <v>0</v>
      </c>
      <c r="M9" s="6"/>
      <c r="N9" s="6"/>
      <c r="O9" s="7"/>
      <c r="P9" s="9"/>
      <c r="Q9" s="9"/>
      <c r="R9" s="6">
        <f>一月!R9+二月!R9+三月!R9+四月!R9+五月!R9+六月!R9+七月!R9+八月!R9+九月!R9+十月!R9+十一月!R9+十二月!R9</f>
        <v>2491058</v>
      </c>
      <c r="S9" s="6">
        <f>一月!S9+二月!S9+三月!S9+四月!S9+五月!S9+六月!S9+七月!S9+八月!S9+九月!S9+十月!S9+十一月!S9</f>
        <v>0</v>
      </c>
      <c r="T9" s="6">
        <f>一月!T9+二月!T9+三月!T9+四月!T9+五月!T9+六月!T9+七月!T9+八月!T9+九月!T9+十月!T9+十一月!T9</f>
        <v>97.499545</v>
      </c>
      <c r="U9" s="7">
        <f>T9/$R$16*1000</f>
        <v>0.129441670596069</v>
      </c>
      <c r="V9" s="8">
        <f>T9/$R$15*1000</f>
        <v>0.00292939215580233</v>
      </c>
      <c r="W9" s="6">
        <f>一月!W9+二月!W9+三月!W9+四月!W9+五月!W9+六月!W9+七月!W9+八月!W9+九月!W9+十月!W9+十一月!W9+十二月!W9</f>
        <v>4179714</v>
      </c>
      <c r="X9" s="6">
        <f>一月!X9+二月!X9+三月!X9+四月!X9+五月!X9+六月!X9+七月!X9+八月!X9+九月!X9+十月!X9+十一月!X9</f>
        <v>0</v>
      </c>
      <c r="Y9" s="6">
        <f>一月!Y9+二月!Y9+三月!Y9+四月!Y9+五月!Y9+六月!Y9+七月!Y9+八月!Y9+九月!Y9+十月!Y9+十一月!Y9</f>
        <v>181.8852425</v>
      </c>
      <c r="Z9" s="7">
        <f>Y9/$W$16*1000</f>
        <v>0.0856303155629578</v>
      </c>
      <c r="AA9" s="13">
        <f>Y9/$W$15*1000</f>
        <v>0.00185780692050924</v>
      </c>
      <c r="AB9" s="6"/>
      <c r="AC9" s="6"/>
      <c r="AD9" s="6"/>
      <c r="AE9" s="7"/>
      <c r="AF9" s="8"/>
      <c r="AG9" s="6"/>
      <c r="AH9" s="6"/>
      <c r="AI9" s="6"/>
      <c r="AJ9" s="9"/>
      <c r="AK9" s="13"/>
      <c r="AL9" s="6"/>
      <c r="AM9" s="6"/>
      <c r="AN9" s="6"/>
      <c r="AO9" s="7"/>
      <c r="AP9" s="8"/>
      <c r="AQ9" s="6"/>
      <c r="AR9" s="6"/>
      <c r="AS9" s="6"/>
      <c r="AT9" s="7"/>
      <c r="AU9" s="8"/>
      <c r="AV9" s="6"/>
      <c r="AW9" s="6"/>
      <c r="AX9" s="6"/>
      <c r="AY9" s="7"/>
      <c r="AZ9" s="9"/>
      <c r="BA9" s="6">
        <f>一月!BA9+二月!BA9+三月!BA9+四月!BA9+五月!BA9+六月!BA9+七月!BA9+八月!BA9+九月!BA9+十月!BA9+十一月!BA9+十二月!BA9</f>
        <v>0</v>
      </c>
      <c r="BB9" s="6">
        <f>一月!BB9+二月!BB9+三月!BB9+四月!BB9+五月!BB9+六月!BB9+七月!BB9+八月!BB9+九月!BB9+十月!BB9+十一月!BB9</f>
        <v>0</v>
      </c>
      <c r="BC9" s="6">
        <f>一月!BC9+二月!BC9+三月!BC9+四月!BC9+五月!BC9+六月!BC9+七月!BC9+八月!BC9+九月!BC9+十月!BC9+十一月!BC9</f>
        <v>0</v>
      </c>
      <c r="BD9" s="7">
        <f>BC9/$BA$16*1000</f>
        <v>0</v>
      </c>
      <c r="BE9" s="7">
        <f>BC9/$BA$15*1000</f>
        <v>0</v>
      </c>
      <c r="BF9" s="6">
        <f>一月!BF9+二月!BF9+三月!BF9+四月!BF9+五月!BF9+六月!BF9+七月!BF9+八月!BF9+九月!BF9+十月!BF9+十一月!BF9+十二月!BF9</f>
        <v>0</v>
      </c>
      <c r="BG9" s="6">
        <f>一月!BG9+二月!BG9+三月!BG9+四月!BG9+五月!BG9+六月!BG9+七月!BG9+八月!BG9+九月!BG9+十月!BG9+十一月!BG9</f>
        <v>0</v>
      </c>
      <c r="BH9" s="6">
        <f>一月!BH9+二月!BH9+三月!BH9+四月!BH9+五月!BH9+六月!BH9+七月!BH9+八月!BH9+九月!BH9+十月!BH9+十一月!BH9</f>
        <v>0</v>
      </c>
      <c r="BI9" s="7">
        <f>BH9/$BF$16*1000</f>
        <v>0</v>
      </c>
      <c r="BJ9" s="7">
        <f>BH9/$BF$15*1000</f>
        <v>0</v>
      </c>
      <c r="BK9" s="6">
        <f>一月!BK9+二月!BK9+三月!BK9+四月!BK9+五月!BK9+六月!BK9+七月!BK9+八月!BK9+九月!BK9+十月!BK9+十一月!BK9+十二月!BK9</f>
        <v>0</v>
      </c>
      <c r="BL9" s="6">
        <f>一月!BL9+二月!BL9+三月!BL9+四月!BL9+五月!BL9+六月!BL9+七月!BL9+八月!BL9+九月!BL9+十月!BL9+十一月!BL9</f>
        <v>0</v>
      </c>
      <c r="BM9" s="6">
        <f>一月!BM9+二月!BM9+三月!BM9+四月!BM9+五月!BM9+六月!BM9+七月!BM9+八月!BM9+九月!BM9+十月!BM9+十一月!BM9</f>
        <v>0</v>
      </c>
      <c r="BN9" s="7">
        <f>BM9/$BK$16*1000</f>
        <v>0</v>
      </c>
      <c r="BO9" s="7">
        <f>BM9/$BK$15*1000</f>
        <v>0</v>
      </c>
    </row>
    <row r="10" s="1" customFormat="1" ht="30" customHeight="1" spans="1:67">
      <c r="A10" s="5" t="s">
        <v>48</v>
      </c>
      <c r="B10" s="5" t="s">
        <v>47</v>
      </c>
      <c r="C10" s="6"/>
      <c r="D10" s="6"/>
      <c r="E10" s="7"/>
      <c r="F10" s="9"/>
      <c r="G10" s="9"/>
      <c r="H10" s="6"/>
      <c r="I10" s="6"/>
      <c r="J10" s="7"/>
      <c r="K10" s="9"/>
      <c r="L10" s="9"/>
      <c r="M10" s="6"/>
      <c r="N10" s="6"/>
      <c r="O10" s="7"/>
      <c r="P10" s="9"/>
      <c r="Q10" s="9"/>
      <c r="R10" s="6"/>
      <c r="S10" s="6"/>
      <c r="T10" s="7"/>
      <c r="U10" s="9"/>
      <c r="V10" s="9"/>
      <c r="W10" s="6"/>
      <c r="X10" s="6"/>
      <c r="Y10" s="7"/>
      <c r="Z10" s="9"/>
      <c r="AA10" s="9"/>
      <c r="AB10" s="6"/>
      <c r="AC10" s="6"/>
      <c r="AD10" s="6"/>
      <c r="AE10" s="7"/>
      <c r="AF10" s="8"/>
      <c r="AG10" s="6"/>
      <c r="AH10" s="6"/>
      <c r="AI10" s="6"/>
      <c r="AJ10" s="9"/>
      <c r="AK10" s="13"/>
      <c r="AL10" s="6"/>
      <c r="AM10" s="6"/>
      <c r="AN10" s="6"/>
      <c r="AO10" s="7"/>
      <c r="AP10" s="8"/>
      <c r="AQ10" s="6">
        <f>一月!AQ10+二月!AQ10+三月!AQ10+四月!AQ10+五月!AQ10+六月!AQ10+七月!AQ10+八月!AQ10+九月!AQ10+十月!AQ10+十一月!AQ10+十二月!AQ10</f>
        <v>651204</v>
      </c>
      <c r="AR10" s="6">
        <f>一月!AR10+二月!AR10+三月!AR10+四月!AR10+五月!AR10+六月!AR10+七月!AR10+八月!AR10+九月!AR10+十月!AR10+十一月!AR10</f>
        <v>817.740373783922</v>
      </c>
      <c r="AS10" s="6">
        <f>一月!AS10+二月!AS10+三月!AS10+四月!AS10+五月!AS10+六月!AS10+七月!AS10+八月!AS10+九月!AS10+十月!AS10+十一月!AS10</f>
        <v>28.4090375</v>
      </c>
      <c r="AT10" s="7">
        <f>AS10/$AQ$16*1000</f>
        <v>0.0373186292252021</v>
      </c>
      <c r="AU10" s="8">
        <f>AS10/$AQ$15*1000</f>
        <v>0.000678730208765468</v>
      </c>
      <c r="AV10" s="6"/>
      <c r="AW10" s="6"/>
      <c r="AX10" s="6"/>
      <c r="AY10" s="7"/>
      <c r="AZ10" s="9"/>
      <c r="BA10" s="6"/>
      <c r="BB10" s="6"/>
      <c r="BC10" s="7"/>
      <c r="BD10" s="9"/>
      <c r="BE10" s="9"/>
      <c r="BF10" s="6"/>
      <c r="BG10" s="6"/>
      <c r="BH10" s="7"/>
      <c r="BI10" s="9"/>
      <c r="BJ10" s="9"/>
      <c r="BK10" s="6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6"/>
      <c r="D11" s="6"/>
      <c r="E11" s="7"/>
      <c r="F11" s="9"/>
      <c r="G11" s="9"/>
      <c r="H11" s="6"/>
      <c r="I11" s="6"/>
      <c r="J11" s="7"/>
      <c r="K11" s="9"/>
      <c r="L11" s="9"/>
      <c r="M11" s="6"/>
      <c r="N11" s="6"/>
      <c r="O11" s="7"/>
      <c r="P11" s="9"/>
      <c r="Q11" s="9"/>
      <c r="R11" s="6"/>
      <c r="S11" s="6"/>
      <c r="T11" s="7"/>
      <c r="U11" s="9"/>
      <c r="V11" s="9"/>
      <c r="W11" s="6"/>
      <c r="X11" s="6"/>
      <c r="Y11" s="7"/>
      <c r="Z11" s="9"/>
      <c r="AA11" s="9"/>
      <c r="AB11" s="6">
        <f>一月!AB11+二月!AB11+三月!AB11+四月!AB11+五月!AB11+六月!AB11+七月!AB11+八月!AB11+九月!AB11+十月!AB11+十一月!AB11+十二月!AB11</f>
        <v>56</v>
      </c>
      <c r="AC11" s="6">
        <f>一月!AC11+二月!AC11+三月!AC11+四月!AC11+五月!AC11+六月!AC11+七月!AC11+八月!AC11+九月!AC11+十月!AC11+十一月!AC11</f>
        <v>0.0752688172043011</v>
      </c>
      <c r="AD11" s="6">
        <f>一月!AD11+二月!AD11+三月!AD11+四月!AD11+五月!AD11+六月!AD11+七月!AD11+八月!AD11+九月!AD11+十月!AD11+十一月!AD11</f>
        <v>0.0023184</v>
      </c>
      <c r="AE11" s="7">
        <f>AD11/$AB$16*1000</f>
        <v>2.82390403387968e-7</v>
      </c>
      <c r="AF11" s="8">
        <f>AD11/$AB$15*1000</f>
        <v>3.24045813738036e-8</v>
      </c>
      <c r="AG11" s="6">
        <f>一月!AG11+二月!AG11+三月!AG11+四月!AG11+五月!AG11+六月!AG11+七月!AG11+八月!AG11+九月!AG11+十月!AG11+十一月!AG11+十二月!AG11</f>
        <v>389262</v>
      </c>
      <c r="AH11" s="6">
        <f>一月!AH11+二月!AH11+三月!AH11+四月!AH11+五月!AH11+六月!AH11+七月!AH11+八月!AH11+九月!AH11+十月!AH11+十一月!AH11</f>
        <v>495.274651177675</v>
      </c>
      <c r="AI11" s="6">
        <f>一月!AI11+二月!AI11+三月!AI11+四月!AI11+五月!AI11+六月!AI11+七月!AI11+八月!AI11+九月!AI11+十月!AI11+十一月!AI11</f>
        <v>15.028407</v>
      </c>
      <c r="AJ11" s="7"/>
      <c r="AK11" s="13">
        <f>AI11/$AG$15*1000</f>
        <v>0.00360235796084447</v>
      </c>
      <c r="AL11" s="6">
        <f>一月!AL11+二月!AL11+三月!AL11+四月!AL11+五月!AL11+六月!AL11+七月!AL11+八月!AL11+九月!AL11+十月!AL11+十一月!AL11+十二月!AL11</f>
        <v>55637</v>
      </c>
      <c r="AM11" s="6">
        <f>一月!AM11+二月!AM11+三月!AM11+四月!AM11+五月!AM11+六月!AM11+七月!AM11+八月!AM11+九月!AM11+十月!AM11+十一月!AM11</f>
        <v>75.4484543010753</v>
      </c>
      <c r="AN11" s="6">
        <f>一月!AN11+二月!AN11+三月!AN11+四月!AN11+五月!AN11+六月!AN11+七月!AN11+八月!AN11+九月!AN11+十月!AN11+十一月!AN11</f>
        <v>2.300184</v>
      </c>
      <c r="AO11" s="13">
        <f>AN11/$AL$16*1000</f>
        <v>0.00108291073572319</v>
      </c>
      <c r="AP11" s="14">
        <f>AN11/$AL$15*1000</f>
        <v>3.48228309163125e-5</v>
      </c>
      <c r="AQ11" s="6"/>
      <c r="AR11" s="6"/>
      <c r="AS11" s="7"/>
      <c r="AT11" s="9"/>
      <c r="AU11" s="9"/>
      <c r="AV11" s="6">
        <f>一月!AV11+二月!AV11+三月!AV11+四月!AV11+五月!AV11+六月!AV11+七月!AV11+八月!AV11+九月!AV11+十月!AV11+十一月!AV11+十二月!AV11</f>
        <v>1309428</v>
      </c>
      <c r="AW11" s="6">
        <f>一月!AW11+二月!AW11+三月!AW11+四月!AW11+五月!AW11+六月!AW11+七月!AW11+八月!AW11+九月!AW11+十月!AW11+十一月!AW11</f>
        <v>1648.17664810548</v>
      </c>
      <c r="AX11" s="6">
        <f>一月!AX11+二月!AX11+三月!AX11+四月!AX11+五月!AX11+六月!AX11+七月!AX11+八月!AX11+九月!AX11+十月!AX11+十一月!AX11</f>
        <v>49.9017798</v>
      </c>
      <c r="AY11" s="7">
        <f>AX11/$AV$16*1000</f>
        <v>0.0388211987676864</v>
      </c>
      <c r="AZ11" s="8"/>
      <c r="BA11" s="6"/>
      <c r="BB11" s="6"/>
      <c r="BC11" s="7"/>
      <c r="BD11" s="9"/>
      <c r="BE11" s="9"/>
      <c r="BF11" s="6"/>
      <c r="BG11" s="6"/>
      <c r="BH11" s="7"/>
      <c r="BI11" s="9"/>
      <c r="BJ11" s="9"/>
      <c r="BK11" s="6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6"/>
      <c r="D12" s="6"/>
      <c r="E12" s="7"/>
      <c r="F12" s="9"/>
      <c r="G12" s="9"/>
      <c r="H12" s="6"/>
      <c r="I12" s="6"/>
      <c r="J12" s="7"/>
      <c r="K12" s="9"/>
      <c r="L12" s="9"/>
      <c r="M12" s="6"/>
      <c r="N12" s="6"/>
      <c r="O12" s="7"/>
      <c r="P12" s="9"/>
      <c r="Q12" s="9"/>
      <c r="R12" s="6"/>
      <c r="S12" s="6"/>
      <c r="T12" s="7"/>
      <c r="U12" s="9"/>
      <c r="V12" s="9"/>
      <c r="W12" s="6"/>
      <c r="X12" s="6"/>
      <c r="Y12" s="7"/>
      <c r="Z12" s="9"/>
      <c r="AA12" s="9"/>
      <c r="AB12" s="6">
        <f>一月!AB12+二月!AB12+三月!AB12+四月!AB12+五月!AB12+六月!AB12+七月!AB12+八月!AB12+九月!AB12+十月!AB12+十一月!AB12+十二月!AB12</f>
        <v>1158</v>
      </c>
      <c r="AC12" s="6"/>
      <c r="AD12" s="7"/>
      <c r="AE12" s="9"/>
      <c r="AF12" s="9"/>
      <c r="AG12" s="6"/>
      <c r="AH12" s="6"/>
      <c r="AI12" s="7"/>
      <c r="AJ12" s="9"/>
      <c r="AK12" s="9"/>
      <c r="AL12" s="6">
        <f>一月!AL12+二月!AL12+三月!AL12+四月!AL12+五月!AL12+六月!AL12+七月!AL12+八月!AL12+九月!AL12+十月!AL12+十一月!AL12+十二月!AL12</f>
        <v>7484</v>
      </c>
      <c r="AM12" s="6">
        <f>一月!AM12+二月!AM12+三月!AM12+四月!AM12+五月!AM12+六月!AM12+七月!AM12+八月!AM12+九月!AM12+十月!AM12+十一月!AM12</f>
        <v>9.5252432155658</v>
      </c>
      <c r="AN12" s="6">
        <f>一月!AN12+二月!AN12+三月!AN12+四月!AN12+五月!AN12+六月!AN12+七月!AN12+八月!AN12+九月!AN12+十月!AN12+十一月!AN12</f>
        <v>0.2876472</v>
      </c>
      <c r="AO12" s="8">
        <f>AN12/$AL$16*1000</f>
        <v>0.000135422314467328</v>
      </c>
      <c r="AP12" s="16">
        <f>AN12/$AL$15*1000</f>
        <v>4.35473414698595e-6</v>
      </c>
      <c r="AQ12" s="6"/>
      <c r="AR12" s="6"/>
      <c r="AS12" s="7"/>
      <c r="AT12" s="9"/>
      <c r="AU12" s="9"/>
      <c r="AV12" s="6">
        <f>一月!AV12+二月!AV12+三月!AV12+四月!AV12+五月!AV12+六月!AV12+七月!AV12+八月!AV12+九月!AV12+十月!AV12+十一月!AV12+十二月!AV12</f>
        <v>15922</v>
      </c>
      <c r="AW12" s="6">
        <f>一月!AW12+二月!AW12+三月!AW12+四月!AW12+五月!AW12+六月!AW12+七月!AW12+八月!AW12+九月!AW12+十月!AW12+十一月!AW12</f>
        <v>21.5688684075781</v>
      </c>
      <c r="AX12" s="6">
        <f>一月!AX12+二月!AX12+三月!AX12+四月!AX12+五月!AX12+六月!AX12+七月!AX12+八月!AX12+九月!AX12+十月!AX12+十一月!AX12</f>
        <v>0.6554448</v>
      </c>
      <c r="AY12" s="8">
        <f>AX12/$AV$16*1000</f>
        <v>0.000509904716104864</v>
      </c>
      <c r="AZ12" s="8"/>
      <c r="BA12" s="6"/>
      <c r="BB12" s="6"/>
      <c r="BC12" s="7"/>
      <c r="BD12" s="9"/>
      <c r="BE12" s="9"/>
      <c r="BF12" s="6"/>
      <c r="BG12" s="6"/>
      <c r="BH12" s="7"/>
      <c r="BI12" s="9"/>
      <c r="BJ12" s="9"/>
      <c r="BK12" s="6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6"/>
      <c r="D13" s="6"/>
      <c r="E13" s="7"/>
      <c r="F13" s="9"/>
      <c r="G13" s="9"/>
      <c r="H13" s="6"/>
      <c r="I13" s="6"/>
      <c r="J13" s="7"/>
      <c r="K13" s="9"/>
      <c r="L13" s="9"/>
      <c r="M13" s="6"/>
      <c r="N13" s="6"/>
      <c r="O13" s="7"/>
      <c r="P13" s="9"/>
      <c r="Q13" s="9"/>
      <c r="R13" s="6"/>
      <c r="S13" s="6"/>
      <c r="T13" s="7"/>
      <c r="U13" s="9"/>
      <c r="V13" s="9"/>
      <c r="W13" s="6"/>
      <c r="X13" s="6"/>
      <c r="Y13" s="7"/>
      <c r="Z13" s="9"/>
      <c r="AA13" s="9"/>
      <c r="AB13" s="6"/>
      <c r="AC13" s="6"/>
      <c r="AD13" s="7"/>
      <c r="AE13" s="9"/>
      <c r="AF13" s="9"/>
      <c r="AG13" s="6"/>
      <c r="AH13" s="6"/>
      <c r="AI13" s="7"/>
      <c r="AJ13" s="9"/>
      <c r="AK13" s="9"/>
      <c r="AL13" s="6"/>
      <c r="AM13" s="6"/>
      <c r="AN13" s="7"/>
      <c r="AO13" s="9"/>
      <c r="AP13" s="9"/>
      <c r="AQ13" s="6"/>
      <c r="AR13" s="6"/>
      <c r="AS13" s="7"/>
      <c r="AT13" s="9"/>
      <c r="AU13" s="9"/>
      <c r="AV13" s="6"/>
      <c r="AW13" s="6"/>
      <c r="AX13" s="7"/>
      <c r="AY13" s="9"/>
      <c r="AZ13" s="9"/>
      <c r="BA13" s="6"/>
      <c r="BB13" s="6"/>
      <c r="BC13" s="7"/>
      <c r="BD13" s="9"/>
      <c r="BE13" s="9"/>
      <c r="BF13" s="6"/>
      <c r="BG13" s="6"/>
      <c r="BH13" s="7"/>
      <c r="BI13" s="9"/>
      <c r="BJ13" s="9"/>
      <c r="BK13" s="6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6"/>
      <c r="D14" s="6"/>
      <c r="E14" s="7"/>
      <c r="F14" s="9"/>
      <c r="G14" s="9"/>
      <c r="H14" s="6"/>
      <c r="I14" s="6"/>
      <c r="J14" s="7"/>
      <c r="K14" s="9"/>
      <c r="L14" s="9"/>
      <c r="M14" s="6"/>
      <c r="N14" s="6"/>
      <c r="O14" s="7"/>
      <c r="P14" s="9"/>
      <c r="Q14" s="9"/>
      <c r="R14" s="6"/>
      <c r="S14" s="6"/>
      <c r="T14" s="7"/>
      <c r="U14" s="9"/>
      <c r="V14" s="9"/>
      <c r="W14" s="6"/>
      <c r="X14" s="6"/>
      <c r="Y14" s="7"/>
      <c r="Z14" s="9"/>
      <c r="AA14" s="9"/>
      <c r="AB14" s="6"/>
      <c r="AC14" s="6"/>
      <c r="AD14" s="7"/>
      <c r="AE14" s="9"/>
      <c r="AF14" s="9"/>
      <c r="AG14" s="6"/>
      <c r="AH14" s="6"/>
      <c r="AI14" s="7"/>
      <c r="AJ14" s="9"/>
      <c r="AK14" s="9"/>
      <c r="AL14" s="6"/>
      <c r="AM14" s="6"/>
      <c r="AN14" s="7"/>
      <c r="AO14" s="9"/>
      <c r="AP14" s="9"/>
      <c r="AQ14" s="6"/>
      <c r="AR14" s="6"/>
      <c r="AS14" s="7"/>
      <c r="AT14" s="9"/>
      <c r="AU14" s="9"/>
      <c r="AV14" s="6"/>
      <c r="AW14" s="6"/>
      <c r="AX14" s="7"/>
      <c r="AY14" s="9"/>
      <c r="AZ14" s="9"/>
      <c r="BA14" s="6"/>
      <c r="BB14" s="6"/>
      <c r="BC14" s="7"/>
      <c r="BD14" s="9"/>
      <c r="BE14" s="9"/>
      <c r="BF14" s="6"/>
      <c r="BG14" s="6"/>
      <c r="BH14" s="7"/>
      <c r="BI14" s="9"/>
      <c r="BJ14" s="9"/>
      <c r="BK14" s="6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6">
        <f>一月!C15+二月!C15+三月!C15+四月!C15+五月!C15+六月!C15+七月!C15+八月!C15+九月!C15+十月!C15+十一月!C15+十二月!C15</f>
        <v>47876400</v>
      </c>
      <c r="D15" s="6">
        <f>一月!D15+二月!D15+三月!D15+四月!D15+五月!D15+六月!D15+七月!D15+八月!D15+九月!D15+十月!D15+十一月!D15</f>
        <v>65491.4602534562</v>
      </c>
      <c r="E15" s="7"/>
      <c r="F15" s="5"/>
      <c r="G15" s="5"/>
      <c r="H15" s="6">
        <f>一月!H15+二月!H15+三月!H15+四月!H15+五月!H15+六月!H15+七月!H15+八月!H15+九月!H15+十月!H15+十一月!H15+十二月!H15</f>
        <v>56151200</v>
      </c>
      <c r="I15" s="6">
        <f>一月!I15+二月!I15+三月!I15+四月!I15+五月!I15+六月!I15+七月!I15+八月!I15+九月!I15+十月!I15+十一月!I15</f>
        <v>67748.1048387097</v>
      </c>
      <c r="J15" s="7"/>
      <c r="K15" s="5"/>
      <c r="L15" s="5"/>
      <c r="M15" s="6">
        <f>一月!M15+二月!M15+三月!M15+四月!M15+五月!M15+六月!M15+七月!M15+八月!M15+九月!M15+十月!M15+十一月!M15+十二月!M15</f>
        <v>118308000</v>
      </c>
      <c r="N15" s="6">
        <f>一月!N15+二月!N15+三月!N15+四月!N15+五月!N15+六月!N15+七月!N15+八月!N15+九月!N15+十月!N15+十一月!N15</f>
        <v>146626.914362519</v>
      </c>
      <c r="O15" s="7"/>
      <c r="P15" s="5"/>
      <c r="Q15" s="5"/>
      <c r="R15" s="6">
        <f>一月!R15+二月!R15+三月!R15+四月!R15+五月!R15+六月!R15+七月!R15+八月!R15+九月!R15+十月!R15+十一月!R15+十二月!R15</f>
        <v>33283200</v>
      </c>
      <c r="S15" s="6">
        <f>一月!S15+二月!S15+三月!S15+四月!S15+五月!S15+六月!S15+七月!S15+八月!S15+九月!S15+十月!S15+十一月!S15</f>
        <v>37755.9856630824</v>
      </c>
      <c r="T15" s="7"/>
      <c r="U15" s="5"/>
      <c r="V15" s="5"/>
      <c r="W15" s="6">
        <f>一月!W15+二月!W15+三月!W15+四月!W15+五月!W15+六月!W15+七月!W15+八月!W15+九月!W15+十月!W15+十一月!W15+十二月!W15</f>
        <v>97903200</v>
      </c>
      <c r="X15" s="6">
        <f>一月!X15+二月!X15+三月!X15+四月!X15+五月!X15+六月!X15+七月!X15+八月!X15+九月!X15+十月!X15+十一月!X15</f>
        <v>123106.58890169</v>
      </c>
      <c r="Y15" s="7"/>
      <c r="Z15" s="5"/>
      <c r="AA15" s="5"/>
      <c r="AB15" s="6">
        <f>一月!AB15+二月!AB15+三月!AB15+四月!AB15+五月!AB15+六月!AB15+七月!AB15+八月!AB15+九月!AB15+十月!AB15+十一月!AB15+十二月!AB15</f>
        <v>71545439</v>
      </c>
      <c r="AC15" s="15" t="s">
        <v>53</v>
      </c>
      <c r="AD15" s="7"/>
      <c r="AE15" s="5"/>
      <c r="AF15" s="5"/>
      <c r="AG15" s="6">
        <f>一月!AG15+二月!AG15+三月!AG15+四月!AG15+五月!AG15+六月!AG15+七月!AG15+八月!AG15+九月!AG15+十月!AG15+十一月!AG15+十二月!AG15</f>
        <v>4171825</v>
      </c>
      <c r="AH15" s="15" t="s">
        <v>53</v>
      </c>
      <c r="AI15" s="7"/>
      <c r="AJ15" s="5"/>
      <c r="AK15" s="5"/>
      <c r="AL15" s="6">
        <f>一月!AL15+二月!AL15+三月!AL15+四月!AL15+五月!AL15+六月!AL15+七月!AL15+八月!AL15+九月!AL15+十月!AL15+十一月!AL15+十二月!AL15</f>
        <v>66053906</v>
      </c>
      <c r="AM15" s="15" t="s">
        <v>53</v>
      </c>
      <c r="AN15" s="7"/>
      <c r="AO15" s="5"/>
      <c r="AP15" s="5"/>
      <c r="AQ15" s="6">
        <f>一月!AQ15+二月!AQ15+三月!AQ15+四月!AQ15+五月!AQ15+六月!AQ15+七月!AQ15+八月!AQ15+九月!AQ15+十月!AQ15+十一月!AQ15+十二月!AQ15</f>
        <v>41856156</v>
      </c>
      <c r="AR15" s="15" t="s">
        <v>53</v>
      </c>
      <c r="AS15" s="7"/>
      <c r="AT15" s="5"/>
      <c r="AU15" s="5"/>
      <c r="AV15" s="6">
        <f>一月!AV15+二月!AV15+三月!AV15+四月!AV15+五月!AV15+六月!AV15+七月!AV15+八月!AV15+九月!AV15+十月!AV15+十一月!AV15+十二月!AV15</f>
        <v>0</v>
      </c>
      <c r="AW15" s="15" t="s">
        <v>53</v>
      </c>
      <c r="AX15" s="7"/>
      <c r="AY15" s="5"/>
      <c r="AZ15" s="5"/>
      <c r="BA15" s="6">
        <f>一月!BA15+二月!BA15+三月!BA15+四月!BA15+五月!BA15+六月!BA15+七月!BA15+八月!BA15+九月!BA15+十月!BA15+十一月!BA15+十二月!BA15</f>
        <v>2024775</v>
      </c>
      <c r="BB15" s="15" t="s">
        <v>54</v>
      </c>
      <c r="BC15" s="7"/>
      <c r="BD15" s="5"/>
      <c r="BE15" s="5"/>
      <c r="BF15" s="6">
        <f>一月!BF15+二月!BF15+三月!BF15+四月!BF15+五月!BF15+六月!BF15+七月!BF15+八月!BF15+九月!BF15+十月!BF15+十一月!BF15+十二月!BF15</f>
        <v>2221871</v>
      </c>
      <c r="BG15" s="15" t="s">
        <v>54</v>
      </c>
      <c r="BH15" s="7"/>
      <c r="BI15" s="5"/>
      <c r="BJ15" s="5"/>
      <c r="BK15" s="6">
        <f>一月!BK15+二月!BK15+三月!BK15+四月!BK15+五月!BK15+六月!BK15+七月!BK15+八月!BK15+九月!BK15+十月!BK15+十一月!BK15+十二月!BK15</f>
        <v>2278012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6">
        <f>一月!C16+二月!C16+三月!C16+四月!C16+五月!C16+六月!C16+七月!C16+八月!C16+九月!C16+十月!C16+十一月!C16+十二月!C16</f>
        <v>1121512.73</v>
      </c>
      <c r="D16" s="5"/>
      <c r="E16" s="7">
        <f>SUM(E4:E15)</f>
        <v>329.639318894318</v>
      </c>
      <c r="F16" s="7">
        <f t="shared" ref="E16:L16" si="0">SUM(F4:F15)</f>
        <v>0.293923831693215</v>
      </c>
      <c r="G16" s="7">
        <f t="shared" si="0"/>
        <v>0.00688521523954012</v>
      </c>
      <c r="H16" s="6">
        <f>一月!H16+二月!H16+三月!H16+四月!H16+五月!H16+六月!H16+七月!H16+八月!H16+九月!H16+十月!H16+十一月!H16+十二月!H16</f>
        <v>1285426.04</v>
      </c>
      <c r="I16" s="5"/>
      <c r="J16" s="7">
        <f>SUM(J4:J15)</f>
        <v>56.6738553890987</v>
      </c>
      <c r="K16" s="7">
        <f t="shared" si="0"/>
        <v>0.0440895497877877</v>
      </c>
      <c r="L16" s="7">
        <f t="shared" si="0"/>
        <v>0.00100930800034725</v>
      </c>
      <c r="M16" s="6">
        <f>一月!M16+二月!M16+三月!M16+四月!M16+五月!M16+六月!M16+七月!M16+八月!M16+九月!M16+十月!M16+十一月!M16+十二月!M16</f>
        <v>2379581.55</v>
      </c>
      <c r="N16" s="5"/>
      <c r="O16" s="7">
        <f t="shared" ref="O16:Q16" si="1">SUM(O4:O15)</f>
        <v>403.566465824775</v>
      </c>
      <c r="P16" s="7">
        <f t="shared" si="1"/>
        <v>0.169595560120549</v>
      </c>
      <c r="Q16" s="7">
        <f t="shared" si="1"/>
        <v>0.00341115111256022</v>
      </c>
      <c r="R16" s="6">
        <f>一月!R16+二月!R16+三月!R16+四月!R16+五月!R16+六月!R16+七月!R16+八月!R16+九月!R16+十月!R16+十一月!R16+十二月!R16</f>
        <v>753231.51</v>
      </c>
      <c r="S16" s="5"/>
      <c r="T16" s="7">
        <f t="shared" ref="T16:V16" si="2">SUM(T4:T15)</f>
        <v>285.477511374447</v>
      </c>
      <c r="U16" s="7">
        <f t="shared" si="2"/>
        <v>0.379003676272713</v>
      </c>
      <c r="V16" s="7">
        <f t="shared" si="2"/>
        <v>0.00857722548836791</v>
      </c>
      <c r="W16" s="6">
        <f>一月!W16+二月!W16+三月!W16+四月!W16+五月!W16+六月!W16+七月!W16+八月!W16+九月!W16+十月!W16+十一月!W16+十二月!W16</f>
        <v>2124075.35</v>
      </c>
      <c r="X16" s="5"/>
      <c r="Y16" s="7">
        <f t="shared" ref="Y16:AA16" si="3">SUM(Y4:Y15)</f>
        <v>428.85387857137</v>
      </c>
      <c r="Z16" s="7">
        <f t="shared" si="3"/>
        <v>0.201901443172141</v>
      </c>
      <c r="AA16" s="7">
        <f t="shared" si="3"/>
        <v>0.00438038673476832</v>
      </c>
      <c r="AB16" s="6">
        <f>一月!AB16+二月!AB16+三月!AB16+四月!AB16+五月!AB16+六月!AB16+七月!AB16+八月!AB16+九月!AB16+十月!AB16+十一月!AB16+十二月!AB16</f>
        <v>8209910.72</v>
      </c>
      <c r="AC16" s="5"/>
      <c r="AD16" s="7">
        <f t="shared" ref="AD16:AF16" si="4">SUM(AD4:AD15)</f>
        <v>2240.1792743886</v>
      </c>
      <c r="AE16" s="7">
        <f t="shared" si="4"/>
        <v>0.27286280579536</v>
      </c>
      <c r="AF16" s="7">
        <f t="shared" si="4"/>
        <v>0.0313112800158875</v>
      </c>
      <c r="AG16" s="5"/>
      <c r="AH16" s="5"/>
      <c r="AI16" s="7">
        <f t="shared" ref="AI16:AK16" si="5">SUM(AI4:AI15)</f>
        <v>102.576541539658</v>
      </c>
      <c r="AJ16" s="7">
        <f t="shared" si="5"/>
        <v>0</v>
      </c>
      <c r="AK16" s="7">
        <f t="shared" si="5"/>
        <v>0.0245879301120392</v>
      </c>
      <c r="AL16" s="6">
        <f>一月!AL16+二月!AL16+三月!AL16+四月!AL16+五月!AL16+六月!AL16+七月!AL16+八月!AL16+九月!AL16+十月!AL16+十一月!AL16+十二月!AL16</f>
        <v>2124075.35</v>
      </c>
      <c r="AM16" s="5"/>
      <c r="AN16" s="7">
        <f t="shared" ref="AN16:AP16" si="6">SUM(AN4:AN15)</f>
        <v>2657.5055851886</v>
      </c>
      <c r="AO16" s="7">
        <f t="shared" si="6"/>
        <v>1.25113526937197</v>
      </c>
      <c r="AP16" s="7">
        <f t="shared" si="6"/>
        <v>0.0402323760412988</v>
      </c>
      <c r="AQ16" s="6">
        <f>一月!AQ16+二月!AQ16+三月!AQ16+四月!AQ16+五月!AQ16+六月!AQ16+七月!AQ16+八月!AQ16+九月!AQ16+十月!AQ16+十一月!AQ16+十二月!AQ16</f>
        <v>761256.19</v>
      </c>
      <c r="AR16" s="5"/>
      <c r="AS16" s="7">
        <f t="shared" ref="AS16:AU16" si="7">SUM(AS4:AS15)</f>
        <v>1742.6108634886</v>
      </c>
      <c r="AT16" s="7">
        <f t="shared" si="7"/>
        <v>2.28912537773729</v>
      </c>
      <c r="AU16" s="7">
        <f t="shared" si="7"/>
        <v>0.0416333230287225</v>
      </c>
      <c r="AV16" s="6">
        <f>一月!AV16+二月!AV16+三月!AV16+四月!AV16+五月!AV16+六月!AV16+七月!AV16+八月!AV16+九月!AV16+十月!AV16+十一月!AV16+十二月!AV16</f>
        <v>1285426.04</v>
      </c>
      <c r="AW16" s="5"/>
      <c r="AX16" s="7">
        <f t="shared" ref="AX16:AZ16" si="8">SUM(AX4:AX15)</f>
        <v>2186.91654404894</v>
      </c>
      <c r="AY16" s="7">
        <f t="shared" si="8"/>
        <v>1.70131650985454</v>
      </c>
      <c r="AZ16" s="7">
        <f t="shared" si="8"/>
        <v>0</v>
      </c>
      <c r="BA16" s="6">
        <f>一月!BA16+二月!BA16+三月!BA16+四月!BA16+五月!BA16+六月!BA16+七月!BA16+八月!BA16+九月!BA16+十月!BA16+十一月!BA16+十二月!BA16</f>
        <v>1657103.94</v>
      </c>
      <c r="BB16" s="5"/>
      <c r="BC16" s="7">
        <f t="shared" ref="BC16:BE16" si="9">SUM(BC4:BC15)</f>
        <v>18142.8720002</v>
      </c>
      <c r="BD16" s="7">
        <f t="shared" si="9"/>
        <v>10.9485419485515</v>
      </c>
      <c r="BE16" s="7">
        <f t="shared" si="9"/>
        <v>8.96043856734699</v>
      </c>
      <c r="BF16" s="6">
        <f>一月!BF16+二月!BF16+三月!BF16+四月!BF16+五月!BF16+六月!BF16+七月!BF16+八月!BF16+九月!BF16+十月!BF16+十一月!BF16+十二月!BF16</f>
        <v>2124075.35</v>
      </c>
      <c r="BG16" s="5"/>
      <c r="BH16" s="7">
        <f t="shared" ref="BH16:BJ16" si="10">SUM(BH4:BH15)</f>
        <v>21234.8029818</v>
      </c>
      <c r="BI16" s="7">
        <f t="shared" si="10"/>
        <v>9.99719853714229</v>
      </c>
      <c r="BJ16" s="7">
        <f t="shared" si="10"/>
        <v>9.55717185282134</v>
      </c>
      <c r="BK16" s="6">
        <f>一月!BK16+二月!BK16+三月!BK16+四月!BK16+五月!BK16+六月!BK16+七月!BK16+八月!BK16+九月!BK16+十月!BK16+十一月!BK16+十二月!BK16</f>
        <v>2379581.55</v>
      </c>
      <c r="BL16" s="5"/>
      <c r="BM16" s="7">
        <f t="shared" ref="BM16:BO16" si="11">SUM(BM4:BM15)</f>
        <v>23491.834198</v>
      </c>
      <c r="BN16" s="7">
        <f t="shared" si="11"/>
        <v>9.8722543037031</v>
      </c>
      <c r="BO16" s="7">
        <f t="shared" si="11"/>
        <v>10.3124277650864</v>
      </c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 t="s">
        <v>21</v>
      </c>
      <c r="AV19" s="2" t="s">
        <v>57</v>
      </c>
      <c r="AW19" s="2" t="s">
        <v>21</v>
      </c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4">
      <c r="A20" s="2" t="s">
        <v>20</v>
      </c>
      <c r="B20" s="2" t="s">
        <v>21</v>
      </c>
      <c r="C20" s="2" t="s">
        <v>57</v>
      </c>
      <c r="D20" s="2" t="s">
        <v>21</v>
      </c>
    </row>
    <row r="21" spans="1:4">
      <c r="A21" s="11" t="s">
        <v>58</v>
      </c>
      <c r="B21" s="11" t="s">
        <v>59</v>
      </c>
      <c r="C21" s="12">
        <v>0.0001229</v>
      </c>
      <c r="D21" s="11" t="s">
        <v>60</v>
      </c>
    </row>
    <row r="22" spans="1:4">
      <c r="A22" s="11" t="s">
        <v>61</v>
      </c>
      <c r="B22" s="11" t="s">
        <v>44</v>
      </c>
      <c r="C22" s="12">
        <v>0.0341</v>
      </c>
      <c r="D22" s="11" t="s">
        <v>62</v>
      </c>
    </row>
    <row r="23" spans="1:4">
      <c r="A23" s="11" t="s">
        <v>63</v>
      </c>
      <c r="B23" s="11" t="s">
        <v>64</v>
      </c>
      <c r="C23" s="12">
        <v>4.75e-5</v>
      </c>
      <c r="D23" s="11" t="s">
        <v>65</v>
      </c>
    </row>
    <row r="24" spans="1:4">
      <c r="A24" s="11" t="s">
        <v>66</v>
      </c>
      <c r="B24" s="11" t="s">
        <v>64</v>
      </c>
      <c r="C24" s="12">
        <v>4.14e-5</v>
      </c>
      <c r="D24" s="11" t="s">
        <v>65</v>
      </c>
    </row>
    <row r="25" spans="1:4">
      <c r="A25" s="11" t="s">
        <v>67</v>
      </c>
      <c r="B25" s="11" t="s">
        <v>64</v>
      </c>
      <c r="C25" s="12">
        <v>4.14e-5</v>
      </c>
      <c r="D25" s="11" t="s">
        <v>65</v>
      </c>
    </row>
    <row r="26" spans="1:4">
      <c r="A26" s="11" t="s">
        <v>68</v>
      </c>
      <c r="B26" s="11" t="s">
        <v>64</v>
      </c>
      <c r="C26" s="12">
        <v>4.75e-5</v>
      </c>
      <c r="D26" s="11" t="s">
        <v>65</v>
      </c>
    </row>
    <row r="27" spans="1:4">
      <c r="A27" s="11" t="s">
        <v>69</v>
      </c>
      <c r="B27" s="11" t="s">
        <v>64</v>
      </c>
      <c r="C27" s="12">
        <v>4.14e-5</v>
      </c>
      <c r="D27" s="11" t="s">
        <v>65</v>
      </c>
    </row>
    <row r="28" spans="1:4">
      <c r="A28" s="11" t="s">
        <v>70</v>
      </c>
      <c r="B28" s="11" t="s">
        <v>71</v>
      </c>
      <c r="C28" s="12">
        <v>1.52e-5</v>
      </c>
      <c r="D28" s="11" t="s">
        <v>72</v>
      </c>
    </row>
    <row r="29" spans="1:4">
      <c r="A29" s="11" t="s">
        <v>73</v>
      </c>
      <c r="B29" s="11" t="s">
        <v>71</v>
      </c>
      <c r="C29" s="12">
        <v>1.52e-5</v>
      </c>
      <c r="D29" s="11" t="s">
        <v>72</v>
      </c>
    </row>
    <row r="30" spans="1:4">
      <c r="A30" s="11" t="s">
        <v>16</v>
      </c>
      <c r="B30" s="11" t="s">
        <v>71</v>
      </c>
      <c r="C30" s="12">
        <v>1.69e-5</v>
      </c>
      <c r="D30" s="11" t="s">
        <v>72</v>
      </c>
    </row>
    <row r="31" spans="1:4">
      <c r="A31" s="11" t="s">
        <v>17</v>
      </c>
      <c r="B31" s="11" t="s">
        <v>71</v>
      </c>
      <c r="C31" s="12">
        <v>1.69e-5</v>
      </c>
      <c r="D31" s="11" t="s">
        <v>72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I13" sqref="I13"/>
    </sheetView>
  </sheetViews>
  <sheetFormatPr defaultColWidth="9" defaultRowHeight="13.5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8"/>
  <dimension ref="A1:E48"/>
  <sheetViews>
    <sheetView workbookViewId="0">
      <selection activeCell="B73" sqref="B73"/>
    </sheetView>
  </sheetViews>
  <sheetFormatPr defaultColWidth="9" defaultRowHeight="13.5" outlineLevelCol="4"/>
  <cols>
    <col min="1" max="1" width="15" customWidth="1"/>
  </cols>
  <sheetData>
    <row r="1" spans="1:5">
      <c r="A1" t="s">
        <v>15</v>
      </c>
      <c r="B1">
        <v>37</v>
      </c>
      <c r="C1" t="s">
        <v>1</v>
      </c>
      <c r="D1" t="s">
        <v>74</v>
      </c>
      <c r="E1">
        <v>251</v>
      </c>
    </row>
    <row r="2" spans="1:5">
      <c r="A2" t="s">
        <v>18</v>
      </c>
      <c r="B2">
        <v>37</v>
      </c>
      <c r="C2" t="s">
        <v>1</v>
      </c>
      <c r="D2" t="s">
        <v>75</v>
      </c>
      <c r="E2">
        <v>26412</v>
      </c>
    </row>
    <row r="3" hidden="1" spans="1:5">
      <c r="A3" t="s">
        <v>16</v>
      </c>
      <c r="B3">
        <v>22</v>
      </c>
      <c r="C3" t="s">
        <v>1</v>
      </c>
      <c r="D3" t="s">
        <v>76</v>
      </c>
      <c r="E3">
        <v>1039000</v>
      </c>
    </row>
    <row r="4" hidden="1" spans="1:5">
      <c r="A4" t="s">
        <v>17</v>
      </c>
      <c r="B4">
        <v>57</v>
      </c>
      <c r="C4" t="s">
        <v>1</v>
      </c>
      <c r="D4" t="s">
        <v>77</v>
      </c>
      <c r="E4">
        <v>0</v>
      </c>
    </row>
    <row r="5" hidden="1" spans="1:5">
      <c r="A5" t="s">
        <v>15</v>
      </c>
      <c r="B5">
        <v>37</v>
      </c>
      <c r="C5" t="s">
        <v>2</v>
      </c>
      <c r="D5" t="s">
        <v>74</v>
      </c>
      <c r="E5">
        <v>366</v>
      </c>
    </row>
    <row r="6" spans="1:5">
      <c r="A6" t="s">
        <v>18</v>
      </c>
      <c r="B6">
        <v>37</v>
      </c>
      <c r="C6" t="s">
        <v>2</v>
      </c>
      <c r="D6" t="s">
        <v>75</v>
      </c>
      <c r="E6">
        <v>4641</v>
      </c>
    </row>
    <row r="7" hidden="1" spans="1:5">
      <c r="A7" t="s">
        <v>16</v>
      </c>
      <c r="B7">
        <v>22</v>
      </c>
      <c r="C7" t="s">
        <v>2</v>
      </c>
      <c r="D7" t="s">
        <v>76</v>
      </c>
      <c r="E7">
        <v>967000</v>
      </c>
    </row>
    <row r="8" hidden="1" spans="1:5">
      <c r="A8" t="s">
        <v>17</v>
      </c>
      <c r="B8">
        <v>57</v>
      </c>
      <c r="C8" t="s">
        <v>2</v>
      </c>
      <c r="D8" t="s">
        <v>77</v>
      </c>
      <c r="E8">
        <v>0</v>
      </c>
    </row>
    <row r="9" hidden="1" spans="1:5">
      <c r="A9" t="s">
        <v>15</v>
      </c>
      <c r="B9">
        <v>37</v>
      </c>
      <c r="C9" t="s">
        <v>3</v>
      </c>
      <c r="D9" t="s">
        <v>74</v>
      </c>
      <c r="E9">
        <v>605</v>
      </c>
    </row>
    <row r="10" spans="1:5">
      <c r="A10" t="s">
        <v>18</v>
      </c>
      <c r="B10">
        <v>37</v>
      </c>
      <c r="C10" t="s">
        <v>3</v>
      </c>
      <c r="D10" t="s">
        <v>75</v>
      </c>
      <c r="E10">
        <v>4422</v>
      </c>
    </row>
    <row r="11" hidden="1" spans="1:5">
      <c r="A11" t="s">
        <v>16</v>
      </c>
      <c r="B11">
        <v>22</v>
      </c>
      <c r="C11" t="s">
        <v>3</v>
      </c>
      <c r="D11" t="s">
        <v>76</v>
      </c>
      <c r="E11">
        <v>1016000</v>
      </c>
    </row>
    <row r="12" hidden="1" spans="1:5">
      <c r="A12" t="s">
        <v>17</v>
      </c>
      <c r="B12">
        <v>57</v>
      </c>
      <c r="C12" t="s">
        <v>3</v>
      </c>
      <c r="D12" t="s">
        <v>77</v>
      </c>
      <c r="E12">
        <v>0</v>
      </c>
    </row>
    <row r="13" hidden="1" spans="1:5">
      <c r="A13" t="s">
        <v>15</v>
      </c>
      <c r="B13">
        <v>37</v>
      </c>
      <c r="C13" t="s">
        <v>4</v>
      </c>
      <c r="D13" t="s">
        <v>74</v>
      </c>
      <c r="E13">
        <v>1190</v>
      </c>
    </row>
    <row r="14" spans="1:5">
      <c r="A14" t="s">
        <v>18</v>
      </c>
      <c r="B14">
        <v>37</v>
      </c>
      <c r="C14" t="s">
        <v>4</v>
      </c>
      <c r="D14" t="s">
        <v>75</v>
      </c>
      <c r="E14">
        <v>768</v>
      </c>
    </row>
    <row r="15" hidden="1" spans="1:5">
      <c r="A15" t="s">
        <v>16</v>
      </c>
      <c r="B15">
        <v>22</v>
      </c>
      <c r="C15" t="s">
        <v>4</v>
      </c>
      <c r="D15" t="s">
        <v>76</v>
      </c>
      <c r="E15">
        <v>971000</v>
      </c>
    </row>
    <row r="16" hidden="1" spans="1:5">
      <c r="A16" t="s">
        <v>17</v>
      </c>
      <c r="B16">
        <v>57</v>
      </c>
      <c r="C16" t="s">
        <v>4</v>
      </c>
      <c r="D16" t="s">
        <v>77</v>
      </c>
      <c r="E16">
        <v>0</v>
      </c>
    </row>
    <row r="17" hidden="1" spans="1:5">
      <c r="A17" t="s">
        <v>15</v>
      </c>
      <c r="B17">
        <v>37</v>
      </c>
      <c r="C17" t="s">
        <v>5</v>
      </c>
      <c r="D17" t="s">
        <v>74</v>
      </c>
      <c r="E17">
        <v>435</v>
      </c>
    </row>
    <row r="18" spans="1:5">
      <c r="A18" t="s">
        <v>18</v>
      </c>
      <c r="B18">
        <v>37</v>
      </c>
      <c r="C18" t="s">
        <v>5</v>
      </c>
      <c r="D18" t="s">
        <v>75</v>
      </c>
      <c r="E18">
        <v>2605</v>
      </c>
    </row>
    <row r="19" hidden="1" spans="1:5">
      <c r="A19" t="s">
        <v>16</v>
      </c>
      <c r="B19">
        <v>22</v>
      </c>
      <c r="C19" t="s">
        <v>5</v>
      </c>
      <c r="D19" t="s">
        <v>76</v>
      </c>
      <c r="E19">
        <v>1002000</v>
      </c>
    </row>
    <row r="20" hidden="1" spans="1:5">
      <c r="A20" t="s">
        <v>17</v>
      </c>
      <c r="B20">
        <v>57</v>
      </c>
      <c r="C20" t="s">
        <v>5</v>
      </c>
      <c r="D20" t="s">
        <v>77</v>
      </c>
      <c r="E20">
        <v>0</v>
      </c>
    </row>
    <row r="21" hidden="1" spans="1:5">
      <c r="A21" t="s">
        <v>15</v>
      </c>
      <c r="B21">
        <v>37</v>
      </c>
      <c r="C21" t="s">
        <v>6</v>
      </c>
      <c r="D21" t="s">
        <v>74</v>
      </c>
      <c r="E21">
        <v>894</v>
      </c>
    </row>
    <row r="22" spans="1:5">
      <c r="A22" t="s">
        <v>18</v>
      </c>
      <c r="B22">
        <v>37</v>
      </c>
      <c r="C22" t="s">
        <v>6</v>
      </c>
      <c r="D22" t="s">
        <v>75</v>
      </c>
      <c r="E22">
        <v>3457</v>
      </c>
    </row>
    <row r="23" hidden="1" spans="1:5">
      <c r="A23" t="s">
        <v>16</v>
      </c>
      <c r="B23">
        <v>22</v>
      </c>
      <c r="C23" t="s">
        <v>6</v>
      </c>
      <c r="D23" t="s">
        <v>76</v>
      </c>
      <c r="E23">
        <v>970000</v>
      </c>
    </row>
    <row r="24" hidden="1" spans="1:5">
      <c r="A24" t="s">
        <v>17</v>
      </c>
      <c r="B24">
        <v>57</v>
      </c>
      <c r="C24" t="s">
        <v>6</v>
      </c>
      <c r="D24" t="s">
        <v>77</v>
      </c>
      <c r="E24">
        <v>82666.6666666667</v>
      </c>
    </row>
    <row r="25" hidden="1" spans="1:5">
      <c r="A25" t="s">
        <v>15</v>
      </c>
      <c r="B25">
        <v>37</v>
      </c>
      <c r="C25" t="s">
        <v>7</v>
      </c>
      <c r="D25" t="s">
        <v>74</v>
      </c>
      <c r="E25">
        <v>501</v>
      </c>
    </row>
    <row r="26" spans="1:5">
      <c r="A26" t="s">
        <v>18</v>
      </c>
      <c r="B26">
        <v>37</v>
      </c>
      <c r="C26" t="s">
        <v>7</v>
      </c>
      <c r="D26" t="s">
        <v>75</v>
      </c>
      <c r="E26">
        <v>1227</v>
      </c>
    </row>
    <row r="27" hidden="1" spans="1:5">
      <c r="A27" t="s">
        <v>16</v>
      </c>
      <c r="B27">
        <v>22</v>
      </c>
      <c r="C27" t="s">
        <v>7</v>
      </c>
      <c r="D27" t="s">
        <v>76</v>
      </c>
      <c r="E27">
        <v>1017000</v>
      </c>
    </row>
    <row r="28" hidden="1" spans="1:5">
      <c r="A28" t="s">
        <v>17</v>
      </c>
      <c r="B28">
        <v>57</v>
      </c>
      <c r="C28" t="s">
        <v>7</v>
      </c>
      <c r="D28" t="s">
        <v>77</v>
      </c>
      <c r="E28">
        <v>85333.3333333333</v>
      </c>
    </row>
    <row r="29" hidden="1" spans="1:5">
      <c r="A29" t="s">
        <v>15</v>
      </c>
      <c r="B29">
        <v>37</v>
      </c>
      <c r="C29" t="s">
        <v>8</v>
      </c>
      <c r="D29" t="s">
        <v>74</v>
      </c>
      <c r="E29">
        <v>387</v>
      </c>
    </row>
    <row r="30" spans="1:5">
      <c r="A30" t="s">
        <v>18</v>
      </c>
      <c r="B30">
        <v>37</v>
      </c>
      <c r="C30" t="s">
        <v>8</v>
      </c>
      <c r="D30" t="s">
        <v>75</v>
      </c>
      <c r="E30">
        <v>5321</v>
      </c>
    </row>
    <row r="31" hidden="1" spans="1:5">
      <c r="A31" t="s">
        <v>16</v>
      </c>
      <c r="B31">
        <v>22</v>
      </c>
      <c r="C31" t="s">
        <v>8</v>
      </c>
      <c r="D31" t="s">
        <v>76</v>
      </c>
      <c r="E31">
        <v>1026000</v>
      </c>
    </row>
    <row r="32" hidden="1" spans="1:5">
      <c r="A32" t="s">
        <v>17</v>
      </c>
      <c r="B32">
        <v>57</v>
      </c>
      <c r="C32" t="s">
        <v>8</v>
      </c>
      <c r="D32" t="s">
        <v>77</v>
      </c>
      <c r="E32">
        <v>85333.3333333333</v>
      </c>
    </row>
    <row r="33" hidden="1" spans="1:5">
      <c r="A33" t="s">
        <v>15</v>
      </c>
      <c r="B33">
        <v>37</v>
      </c>
      <c r="C33" t="s">
        <v>9</v>
      </c>
      <c r="D33" t="s">
        <v>74</v>
      </c>
      <c r="E33">
        <v>480</v>
      </c>
    </row>
    <row r="34" spans="1:5">
      <c r="A34" t="s">
        <v>18</v>
      </c>
      <c r="B34">
        <v>37</v>
      </c>
      <c r="C34" t="s">
        <v>9</v>
      </c>
      <c r="D34" t="s">
        <v>75</v>
      </c>
      <c r="E34">
        <v>1194</v>
      </c>
    </row>
    <row r="35" hidden="1" spans="1:5">
      <c r="A35" t="s">
        <v>16</v>
      </c>
      <c r="B35">
        <v>22</v>
      </c>
      <c r="C35" t="s">
        <v>9</v>
      </c>
      <c r="D35" t="s">
        <v>76</v>
      </c>
      <c r="E35">
        <v>986000</v>
      </c>
    </row>
    <row r="36" hidden="1" spans="1:5">
      <c r="A36" t="s">
        <v>17</v>
      </c>
      <c r="B36">
        <v>57</v>
      </c>
      <c r="C36" t="s">
        <v>9</v>
      </c>
      <c r="D36" t="s">
        <v>77</v>
      </c>
      <c r="E36">
        <v>82666.6666666667</v>
      </c>
    </row>
    <row r="37" hidden="1" spans="1:5">
      <c r="A37" t="s">
        <v>15</v>
      </c>
      <c r="B37">
        <v>37</v>
      </c>
      <c r="C37" t="s">
        <v>10</v>
      </c>
      <c r="D37" t="s">
        <v>74</v>
      </c>
      <c r="E37">
        <v>522</v>
      </c>
    </row>
    <row r="38" spans="1:5">
      <c r="A38" t="s">
        <v>18</v>
      </c>
      <c r="B38">
        <v>37</v>
      </c>
      <c r="C38" t="s">
        <v>10</v>
      </c>
      <c r="D38" t="s">
        <v>75</v>
      </c>
      <c r="E38">
        <v>5183</v>
      </c>
    </row>
    <row r="39" hidden="1" spans="1:5">
      <c r="A39" t="s">
        <v>16</v>
      </c>
      <c r="B39">
        <v>22</v>
      </c>
      <c r="C39" t="s">
        <v>10</v>
      </c>
      <c r="D39" t="s">
        <v>76</v>
      </c>
      <c r="E39">
        <v>1037000</v>
      </c>
    </row>
    <row r="40" hidden="1" spans="1:5">
      <c r="A40" t="s">
        <v>17</v>
      </c>
      <c r="B40">
        <v>57</v>
      </c>
      <c r="C40" t="s">
        <v>10</v>
      </c>
      <c r="D40" t="s">
        <v>77</v>
      </c>
      <c r="E40">
        <v>85333.3333333333</v>
      </c>
    </row>
    <row r="41" hidden="1" spans="1:5">
      <c r="A41" t="s">
        <v>15</v>
      </c>
      <c r="B41">
        <v>37</v>
      </c>
      <c r="C41" t="s">
        <v>11</v>
      </c>
      <c r="D41" t="s">
        <v>74</v>
      </c>
      <c r="E41">
        <v>1317</v>
      </c>
    </row>
    <row r="42" spans="1:5">
      <c r="A42" t="s">
        <v>18</v>
      </c>
      <c r="B42">
        <v>37</v>
      </c>
      <c r="C42" t="s">
        <v>11</v>
      </c>
      <c r="D42" t="s">
        <v>75</v>
      </c>
      <c r="E42">
        <v>330</v>
      </c>
    </row>
    <row r="43" hidden="1" spans="1:5">
      <c r="A43" t="s">
        <v>16</v>
      </c>
      <c r="B43">
        <v>22</v>
      </c>
      <c r="C43" t="s">
        <v>11</v>
      </c>
      <c r="D43" t="s">
        <v>76</v>
      </c>
      <c r="E43">
        <v>1003000</v>
      </c>
    </row>
    <row r="44" hidden="1" spans="1:5">
      <c r="A44" t="s">
        <v>17</v>
      </c>
      <c r="B44">
        <v>57</v>
      </c>
      <c r="C44" t="s">
        <v>11</v>
      </c>
      <c r="D44" t="s">
        <v>77</v>
      </c>
      <c r="E44">
        <v>82666.6666666667</v>
      </c>
    </row>
    <row r="45" hidden="1" spans="1:5">
      <c r="A45" t="s">
        <v>15</v>
      </c>
      <c r="B45">
        <v>37</v>
      </c>
      <c r="C45" t="s">
        <v>12</v>
      </c>
      <c r="D45" t="s">
        <v>74</v>
      </c>
      <c r="E45">
        <v>536</v>
      </c>
    </row>
    <row r="46" spans="1:5">
      <c r="A46" t="s">
        <v>18</v>
      </c>
      <c r="B46">
        <v>37</v>
      </c>
      <c r="C46" t="s">
        <v>12</v>
      </c>
      <c r="D46" t="s">
        <v>75</v>
      </c>
      <c r="E46">
        <v>77</v>
      </c>
    </row>
    <row r="47" hidden="1" spans="1:5">
      <c r="A47" t="s">
        <v>16</v>
      </c>
      <c r="B47">
        <v>22</v>
      </c>
      <c r="C47" t="s">
        <v>12</v>
      </c>
      <c r="D47" t="s">
        <v>76</v>
      </c>
      <c r="E47">
        <v>1063000</v>
      </c>
    </row>
    <row r="48" hidden="1" spans="1:5">
      <c r="A48" t="s">
        <v>17</v>
      </c>
      <c r="B48">
        <v>57</v>
      </c>
      <c r="C48" t="s">
        <v>12</v>
      </c>
      <c r="D48" t="s">
        <v>77</v>
      </c>
      <c r="E48">
        <v>85333</v>
      </c>
    </row>
  </sheetData>
  <autoFilter xmlns:etc="http://www.wps.cn/officeDocument/2017/etCustomData" ref="A1:A48" etc:filterBottomFollowUsedRange="0">
    <filterColumn colId="0">
      <customFilters>
        <customFilter operator="equal" val="澄清水（净水）"/>
      </customFilters>
    </filterColumn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2463F6-33CF-4294-9310-3AED73ECC204}"/>
</file>

<file path=customXml/itemProps2.xml><?xml version="1.0" encoding="utf-8"?>
<ds:datastoreItem xmlns:ds="http://schemas.openxmlformats.org/officeDocument/2006/customXml" ds:itemID="{F2806307-237C-4849-BF4C-527391BFC758}"/>
</file>

<file path=customXml/itemProps3.xml><?xml version="1.0" encoding="utf-8"?>
<ds:datastoreItem xmlns:ds="http://schemas.openxmlformats.org/officeDocument/2006/customXml" ds:itemID="{18E247A3-3B6F-40AF-9EF5-E23B69840C7D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动供分解给四高炉</vt:lpstr>
      <vt:lpstr>动供分给六高炉</vt:lpstr>
      <vt:lpstr>一月</vt:lpstr>
      <vt:lpstr>二月</vt:lpstr>
      <vt:lpstr>三月</vt:lpstr>
      <vt:lpstr>四月</vt:lpstr>
      <vt:lpstr>五月</vt:lpstr>
      <vt:lpstr>六月</vt:lpstr>
      <vt:lpstr>七月</vt:lpstr>
      <vt:lpstr>八月</vt:lpstr>
      <vt:lpstr>九月</vt:lpstr>
      <vt:lpstr>十月</vt:lpstr>
      <vt:lpstr>十一月</vt:lpstr>
      <vt:lpstr>十二月</vt:lpstr>
      <vt:lpstr>合计</vt:lpstr>
      <vt:lpstr>Sheet2</vt:lpstr>
      <vt:lpstr>汇总报告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wgz56</cp:lastModifiedBy>
  <dcterms:created xsi:type="dcterms:W3CDTF">2024-12-11T07:05:00Z</dcterms:created>
  <dcterms:modified xsi:type="dcterms:W3CDTF">2025-03-27T14:24:59Z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1E9E10DE74804A66AC8D8299EE982500</vt:lpwstr>
  </property>
  <property fmtid="{D5CDD505-2E9C-101B-9397-08002B2CF9AE}" pid="3" name="KSOProductBuildVer">
    <vt:lpwstr>2052-12.1.0.19770</vt:lpwstr>
  </property>
  <property fmtid="{D5CDD505-2E9C-101B-9397-08002B2CF9AE}" pid="4" name="ContentTypeId">
    <vt:lpwstr>0x01010028C7B6C620067247A35EF62A3E68EE62</vt:lpwstr>
  </property>
</Properties>
</file>
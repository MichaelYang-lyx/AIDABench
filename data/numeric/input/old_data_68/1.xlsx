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henyanbing/files/26/0205/wps1.2/数值统计/input/DLG_225/"/>
    </mc:Choice>
  </mc:AlternateContent>
  <xr:revisionPtr revIDLastSave="0" documentId="13_ncr:1_{1BA85DF5-4111-184E-ABF7-11F30BA9268B}" xr6:coauthVersionLast="47" xr6:coauthVersionMax="47" xr10:uidLastSave="{00000000-0000-0000-0000-000000000000}"/>
  <bookViews>
    <workbookView xWindow="1080" yWindow="500" windowWidth="34760" windowHeight="21900" xr2:uid="{00000000-000D-0000-FFFF-FFFF00000000}"/>
  </bookViews>
  <sheets>
    <sheet name="总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9" i="1"/>
  <c r="I8" i="1"/>
  <c r="L5" i="1"/>
  <c r="K5" i="1"/>
  <c r="J5" i="1"/>
  <c r="I5" i="1"/>
</calcChain>
</file>

<file path=xl/sharedStrings.xml><?xml version="1.0" encoding="utf-8"?>
<sst xmlns="http://schemas.openxmlformats.org/spreadsheetml/2006/main" count="126" uniqueCount="99">
  <si>
    <t>直播复盘表</t>
  </si>
  <si>
    <t>直播日期</t>
  </si>
  <si>
    <t>2024年8月1日</t>
  </si>
  <si>
    <t>直播总时长</t>
  </si>
  <si>
    <t>场景复盘（每日第一场运营填写）</t>
  </si>
  <si>
    <t>复盘维度</t>
  </si>
  <si>
    <t>直播环境</t>
  </si>
  <si>
    <t>直播地点</t>
  </si>
  <si>
    <t>场景构图</t>
  </si>
  <si>
    <t>场货配置</t>
  </si>
  <si>
    <t>关键内容信息</t>
  </si>
  <si>
    <t>框架复盘</t>
  </si>
  <si>
    <t>夏日泼水氛围</t>
  </si>
  <si>
    <t>140半价日历票+99夜场票+二销产品（双份雪糕、爆米花桶+常饮杯、双份畅饮杯）</t>
  </si>
  <si>
    <t>——</t>
  </si>
  <si>
    <t>主播复盘</t>
  </si>
  <si>
    <t>主播</t>
  </si>
  <si>
    <t>运营</t>
  </si>
  <si>
    <t>时间段</t>
  </si>
  <si>
    <t>GMV（元）</t>
  </si>
  <si>
    <t>直播要点</t>
  </si>
  <si>
    <t>截图</t>
  </si>
  <si>
    <t>8:00-9:30</t>
  </si>
  <si>
    <t>6567</t>
  </si>
  <si>
    <t>1.重复回答
2.方特旅游不要说下载，看公屏即可，</t>
  </si>
  <si>
    <t>9:30-11:30</t>
  </si>
  <si>
    <t>32873</t>
  </si>
  <si>
    <t>1、遇到事情淡定处理，事情处理完后，在线人数上升
2、暂无大场</t>
  </si>
  <si>
    <t>11:30-13:30</t>
  </si>
  <si>
    <t>27385</t>
  </si>
  <si>
    <t>应变能力稍微差点</t>
  </si>
  <si>
    <t>13:30-15:00</t>
  </si>
  <si>
    <t>29616</t>
  </si>
  <si>
    <t>1.讲解耐心且仔细2.话术有循环</t>
  </si>
  <si>
    <t>15:00-17:00</t>
  </si>
  <si>
    <t>31040</t>
  </si>
  <si>
    <t>1、眼睛盯住摄像头，不要乱飘
2、后半段有点萎靡</t>
  </si>
  <si>
    <t>17:00-19：00</t>
  </si>
  <si>
    <t>20494</t>
  </si>
  <si>
    <t>1.不要直接说在方特旅游拍年卡 属于站外引流-1
2.讲解耐心
3.活动基本清楚
4.需加强促单-1</t>
  </si>
  <si>
    <t>19:00-21:10</t>
  </si>
  <si>
    <t>39746</t>
  </si>
  <si>
    <t>1.讲解耐心2.优惠券利用的很好3.暂无大场</t>
  </si>
  <si>
    <t>21：10-22:10</t>
  </si>
  <si>
    <t>17209</t>
  </si>
  <si>
    <t>22：10-23:00</t>
  </si>
  <si>
    <t>21712</t>
  </si>
  <si>
    <t>1.话术有循环2.讲解耐心3.暂无大场</t>
  </si>
  <si>
    <t>23:00-23:30</t>
  </si>
  <si>
    <t>12228</t>
  </si>
  <si>
    <t>23:30-24:00</t>
  </si>
  <si>
    <t>8352</t>
  </si>
  <si>
    <t>1.有固定人设2.讲解耐心，激情3.暂无大场</t>
  </si>
  <si>
    <t>总GMV（元）</t>
  </si>
  <si>
    <t>247222</t>
  </si>
  <si>
    <t>流量复盘（每日最后一场运营填写）</t>
  </si>
  <si>
    <t>复盘内容</t>
  </si>
  <si>
    <t>数据值</t>
  </si>
  <si>
    <t>转化漏斗
(一）</t>
  </si>
  <si>
    <t>曝光-进入率</t>
  </si>
  <si>
    <t>0.0845</t>
  </si>
  <si>
    <t>曝光人数</t>
  </si>
  <si>
    <t>40149</t>
  </si>
  <si>
    <t>进入-曝光率</t>
  </si>
  <si>
    <t>0.8659</t>
  </si>
  <si>
    <t>直播进入人数</t>
  </si>
  <si>
    <t>3392</t>
  </si>
  <si>
    <t>曝光-点击率</t>
  </si>
  <si>
    <t>0.2148</t>
  </si>
  <si>
    <t>商品曝光人数</t>
  </si>
  <si>
    <t>2937</t>
  </si>
  <si>
    <t>点击-成交率</t>
  </si>
  <si>
    <t>0.29</t>
  </si>
  <si>
    <t>商品点击人数</t>
  </si>
  <si>
    <t>631</t>
  </si>
  <si>
    <t>转化漏斗
(二）</t>
  </si>
  <si>
    <t>产品分析（每日最后一场运营填写）</t>
  </si>
  <si>
    <t>产品名称</t>
  </si>
  <si>
    <t>售卖金额</t>
  </si>
  <si>
    <t>订单数</t>
  </si>
  <si>
    <t>曝光转化率</t>
  </si>
  <si>
    <t>A店定播</t>
    <phoneticPr fontId="0" type="noConversion"/>
  </si>
  <si>
    <t>A店</t>
    <phoneticPr fontId="0" type="noConversion"/>
  </si>
  <si>
    <t>主播1</t>
    <phoneticPr fontId="0" type="noConversion"/>
  </si>
  <si>
    <t>主播2</t>
    <phoneticPr fontId="0" type="noConversion"/>
  </si>
  <si>
    <t>主播3</t>
  </si>
  <si>
    <t>主播4</t>
  </si>
  <si>
    <t>主播5</t>
  </si>
  <si>
    <t>主播6</t>
  </si>
  <si>
    <t>主播7</t>
    <phoneticPr fontId="0" type="noConversion"/>
  </si>
  <si>
    <t>主播8</t>
    <phoneticPr fontId="0" type="noConversion"/>
  </si>
  <si>
    <t>运营1</t>
    <phoneticPr fontId="0" type="noConversion"/>
  </si>
  <si>
    <t>运营2</t>
    <phoneticPr fontId="0" type="noConversion"/>
  </si>
  <si>
    <t>运营3</t>
  </si>
  <si>
    <t>运营4</t>
  </si>
  <si>
    <t>运营5</t>
  </si>
  <si>
    <t>运营6</t>
    <phoneticPr fontId="0" type="noConversion"/>
  </si>
  <si>
    <t>运营7</t>
    <phoneticPr fontId="0" type="noConversion"/>
  </si>
  <si>
    <t>运营8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</si>
</sst>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宋体"/>
      <family val="2"/>
      <scheme val="minor"/>
    </font>
    <font>
      <sz val="11"/>
      <color rgb="FF000000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5"/>
  <sheetViews>
    <sheetView tabSelected="1" workbookViewId="0">
      <selection activeCell="M19" sqref="M19"/>
    </sheetView>
  </sheetViews>
  <sheetFormatPr baseColWidth="10" defaultColWidth="8.83203125" defaultRowHeight="14"/>
  <sheetData>
    <row r="1" spans="1:12">
      <c r="A1" t="s">
        <v>0</v>
      </c>
    </row>
    <row r="2" spans="1:12">
      <c r="A2" t="s">
        <v>1</v>
      </c>
      <c r="B2" t="s">
        <v>2</v>
      </c>
      <c r="E2" t="s">
        <v>3</v>
      </c>
    </row>
    <row r="3" spans="1:12">
      <c r="A3" t="s">
        <v>4</v>
      </c>
    </row>
    <row r="4" spans="1:12">
      <c r="A4" t="s">
        <v>5</v>
      </c>
      <c r="B4" t="s">
        <v>6</v>
      </c>
      <c r="C4" t="s">
        <v>7</v>
      </c>
      <c r="D4" t="s">
        <v>8</v>
      </c>
      <c r="E4" t="s">
        <v>9</v>
      </c>
      <c r="G4" t="s">
        <v>10</v>
      </c>
    </row>
    <row r="5" spans="1:12">
      <c r="A5" t="s">
        <v>11</v>
      </c>
      <c r="B5" t="s">
        <v>81</v>
      </c>
      <c r="C5" t="s">
        <v>82</v>
      </c>
      <c r="D5" t="s">
        <v>12</v>
      </c>
      <c r="E5" t="s">
        <v>13</v>
      </c>
      <c r="G5" t="s">
        <v>14</v>
      </c>
      <c r="I5" t="e">
        <f ca="1">DISPIMG("ID_86AE6E45A5C446E89D78DEEDB1892DAA",1)</f>
        <v>#NAME?</v>
      </c>
      <c r="J5" t="e">
        <f ca="1">DISPIMG("ID_267DC5A18E1B48A2AF0D871E14B124BE",1)</f>
        <v>#NAME?</v>
      </c>
      <c r="K5" t="e">
        <f ca="1">DISPIMG("ID_E4D2067B691D49F0AE5C01E0EAA9D9B2",1)</f>
        <v>#NAME?</v>
      </c>
      <c r="L5" t="e">
        <f ca="1">DISPIMG("ID_39DB826CAE264758937EEA262F9878DA",1)</f>
        <v>#NAME?</v>
      </c>
    </row>
    <row r="6" spans="1:12">
      <c r="A6" t="s">
        <v>15</v>
      </c>
    </row>
    <row r="7" spans="1:12">
      <c r="A7" t="s">
        <v>5</v>
      </c>
      <c r="B7" t="s">
        <v>16</v>
      </c>
      <c r="C7" t="s">
        <v>17</v>
      </c>
      <c r="D7" t="s">
        <v>18</v>
      </c>
      <c r="E7" t="s">
        <v>19</v>
      </c>
      <c r="F7" t="s">
        <v>20</v>
      </c>
      <c r="G7" t="s">
        <v>21</v>
      </c>
    </row>
    <row r="8" spans="1:12">
      <c r="B8" t="s">
        <v>83</v>
      </c>
      <c r="C8" t="s">
        <v>92</v>
      </c>
      <c r="D8" t="s">
        <v>22</v>
      </c>
      <c r="E8" t="s">
        <v>23</v>
      </c>
      <c r="F8" t="s">
        <v>24</v>
      </c>
      <c r="I8" t="e">
        <f ca="1">DISPIMG("ID_C0DC1BDA1BC34F78946598E857BD72FA",1)</f>
        <v>#NAME?</v>
      </c>
    </row>
    <row r="9" spans="1:12">
      <c r="B9" t="s">
        <v>89</v>
      </c>
      <c r="C9" t="s">
        <v>93</v>
      </c>
      <c r="D9" t="s">
        <v>25</v>
      </c>
      <c r="E9" t="s">
        <v>26</v>
      </c>
      <c r="F9" t="s">
        <v>27</v>
      </c>
      <c r="I9" t="e">
        <f ca="1">DISPIMG("ID_884E4C3846444E27B1595F99EB22B1A8",1)</f>
        <v>#NAME?</v>
      </c>
    </row>
    <row r="10" spans="1:12">
      <c r="B10" t="s">
        <v>85</v>
      </c>
      <c r="C10" t="s">
        <v>94</v>
      </c>
      <c r="D10" t="s">
        <v>28</v>
      </c>
      <c r="E10" t="s">
        <v>29</v>
      </c>
      <c r="F10" t="s">
        <v>30</v>
      </c>
    </row>
    <row r="11" spans="1:12">
      <c r="B11" t="s">
        <v>86</v>
      </c>
      <c r="C11" t="s">
        <v>95</v>
      </c>
      <c r="D11" t="s">
        <v>31</v>
      </c>
      <c r="E11" t="s">
        <v>32</v>
      </c>
      <c r="F11" t="s">
        <v>33</v>
      </c>
    </row>
    <row r="12" spans="1:12">
      <c r="B12" t="s">
        <v>87</v>
      </c>
      <c r="C12" t="s">
        <v>97</v>
      </c>
      <c r="D12" t="s">
        <v>34</v>
      </c>
      <c r="E12" t="s">
        <v>35</v>
      </c>
      <c r="F12" t="s">
        <v>36</v>
      </c>
    </row>
    <row r="13" spans="1:12">
      <c r="B13" t="s">
        <v>88</v>
      </c>
      <c r="C13" t="s">
        <v>91</v>
      </c>
      <c r="D13" t="s">
        <v>37</v>
      </c>
      <c r="E13" t="s">
        <v>38</v>
      </c>
      <c r="F13" t="s">
        <v>39</v>
      </c>
    </row>
    <row r="14" spans="1:12">
      <c r="B14" t="s">
        <v>84</v>
      </c>
      <c r="C14" t="s">
        <v>91</v>
      </c>
      <c r="D14" t="s">
        <v>40</v>
      </c>
      <c r="E14" t="s">
        <v>41</v>
      </c>
      <c r="F14" t="s">
        <v>42</v>
      </c>
    </row>
    <row r="15" spans="1:12">
      <c r="B15" t="s">
        <v>89</v>
      </c>
      <c r="C15" s="1" t="s">
        <v>98</v>
      </c>
      <c r="D15" t="s">
        <v>43</v>
      </c>
      <c r="E15" t="s">
        <v>44</v>
      </c>
    </row>
    <row r="16" spans="1:12">
      <c r="B16" t="s">
        <v>84</v>
      </c>
      <c r="C16" t="s">
        <v>96</v>
      </c>
      <c r="D16" t="s">
        <v>45</v>
      </c>
      <c r="E16" t="s">
        <v>46</v>
      </c>
      <c r="F16" t="s">
        <v>47</v>
      </c>
    </row>
    <row r="17" spans="1:9">
      <c r="B17" t="s">
        <v>90</v>
      </c>
      <c r="C17" t="s">
        <v>91</v>
      </c>
      <c r="D17" t="s">
        <v>48</v>
      </c>
      <c r="E17" t="s">
        <v>49</v>
      </c>
    </row>
    <row r="18" spans="1:9">
      <c r="B18" t="s">
        <v>90</v>
      </c>
      <c r="C18" t="s">
        <v>96</v>
      </c>
      <c r="D18" t="s">
        <v>50</v>
      </c>
      <c r="E18" t="s">
        <v>51</v>
      </c>
      <c r="F18" t="s">
        <v>52</v>
      </c>
    </row>
    <row r="19" spans="1:9">
      <c r="B19" t="s">
        <v>53</v>
      </c>
      <c r="E19" t="s">
        <v>54</v>
      </c>
    </row>
    <row r="20" spans="1:9">
      <c r="A20" t="s">
        <v>55</v>
      </c>
    </row>
    <row r="21" spans="1:9">
      <c r="A21" t="s">
        <v>5</v>
      </c>
      <c r="B21" t="s">
        <v>56</v>
      </c>
      <c r="C21" t="s">
        <v>57</v>
      </c>
      <c r="E21" t="s">
        <v>56</v>
      </c>
      <c r="G21" t="s">
        <v>57</v>
      </c>
      <c r="I21" t="e">
        <f ca="1">DISPIMG("ID_0DFA553183EF442BAEEFDD1756143A7E",1)</f>
        <v>#NAME?</v>
      </c>
    </row>
    <row r="22" spans="1:9">
      <c r="A22" t="s">
        <v>58</v>
      </c>
      <c r="B22" t="s">
        <v>59</v>
      </c>
      <c r="C22" t="s">
        <v>60</v>
      </c>
      <c r="E22" t="s">
        <v>61</v>
      </c>
      <c r="G22" t="s">
        <v>62</v>
      </c>
    </row>
    <row r="23" spans="1:9">
      <c r="B23" t="s">
        <v>63</v>
      </c>
      <c r="C23" t="s">
        <v>64</v>
      </c>
      <c r="E23" t="s">
        <v>65</v>
      </c>
      <c r="G23" t="s">
        <v>66</v>
      </c>
    </row>
    <row r="24" spans="1:9">
      <c r="B24" t="s">
        <v>67</v>
      </c>
      <c r="C24" t="s">
        <v>68</v>
      </c>
      <c r="E24" t="s">
        <v>69</v>
      </c>
      <c r="G24" t="s">
        <v>70</v>
      </c>
    </row>
    <row r="25" spans="1:9">
      <c r="B25" t="s">
        <v>71</v>
      </c>
      <c r="C25" t="s">
        <v>72</v>
      </c>
      <c r="E25" t="s">
        <v>73</v>
      </c>
      <c r="G25" t="s">
        <v>74</v>
      </c>
    </row>
    <row r="26" spans="1:9">
      <c r="A26" t="s">
        <v>75</v>
      </c>
      <c r="B26" t="s">
        <v>59</v>
      </c>
      <c r="E26" t="s">
        <v>61</v>
      </c>
    </row>
    <row r="27" spans="1:9">
      <c r="B27" t="s">
        <v>63</v>
      </c>
      <c r="E27" t="s">
        <v>65</v>
      </c>
    </row>
    <row r="28" spans="1:9">
      <c r="B28" t="s">
        <v>67</v>
      </c>
      <c r="E28" t="s">
        <v>69</v>
      </c>
    </row>
    <row r="29" spans="1:9">
      <c r="B29" t="s">
        <v>71</v>
      </c>
      <c r="E29" t="s">
        <v>73</v>
      </c>
    </row>
    <row r="30" spans="1:9">
      <c r="A30" t="s">
        <v>75</v>
      </c>
      <c r="B30" t="s">
        <v>59</v>
      </c>
      <c r="E30" t="s">
        <v>61</v>
      </c>
    </row>
    <row r="31" spans="1:9">
      <c r="B31" t="s">
        <v>63</v>
      </c>
      <c r="E31" t="s">
        <v>65</v>
      </c>
    </row>
    <row r="32" spans="1:9">
      <c r="B32" t="s">
        <v>67</v>
      </c>
      <c r="E32" t="s">
        <v>69</v>
      </c>
    </row>
    <row r="33" spans="1:7">
      <c r="B33" t="s">
        <v>71</v>
      </c>
      <c r="E33" t="s">
        <v>73</v>
      </c>
    </row>
    <row r="34" spans="1:7">
      <c r="A34" t="s">
        <v>76</v>
      </c>
    </row>
    <row r="35" spans="1:7">
      <c r="A35" t="s">
        <v>77</v>
      </c>
      <c r="C35" t="s">
        <v>78</v>
      </c>
      <c r="E35" t="s">
        <v>79</v>
      </c>
      <c r="G35" t="s">
        <v>80</v>
      </c>
    </row>
  </sheetData>
  <phoneticPr fontId="0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E452720-C341-4119-9150-EE86420E98CA}"/>
</file>

<file path=customXml/itemProps2.xml><?xml version="1.0" encoding="utf-8"?>
<ds:datastoreItem xmlns:ds="http://schemas.openxmlformats.org/officeDocument/2006/customXml" ds:itemID="{363A7BE5-2DCE-4435-ADE9-69FEEA0EBB3E}"/>
</file>

<file path=customXml/itemProps3.xml><?xml version="1.0" encoding="utf-8"?>
<ds:datastoreItem xmlns:ds="http://schemas.openxmlformats.org/officeDocument/2006/customXml" ds:itemID="{446087B0-79EB-4B9B-8E59-6451FF48F3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陈妍冰</cp:lastModifiedBy>
  <dcterms:created xsi:type="dcterms:W3CDTF">2024-09-09T06:48:46Z</dcterms:created>
  <dcterms:modified xsi:type="dcterms:W3CDTF">2026-02-07T12:59:40Z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
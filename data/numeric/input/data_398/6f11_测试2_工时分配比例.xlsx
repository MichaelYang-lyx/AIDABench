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201"/>
  <workbookPr/>
  <mc:AlternateContent xmlns:mc="http://schemas.openxmlformats.org/markup-compatibility/2006">
    <mc:Choice Requires="x15">
      <x15ac:absPath xmlns:x15ac="http://schemas.microsoft.com/office/spreadsheetml/2010/11/ac" url="/Users/xuyuning/Desktop/lab/数据编辑/input/data_398/"/>
    </mc:Choice>
  </mc:AlternateContent>
  <xr:revisionPtr revIDLastSave="0" documentId="8_{86AA48A2-A635-5F42-9333-B44C43902973}" xr6:coauthVersionLast="47" xr6:coauthVersionMax="47" xr10:uidLastSave="{00000000-0000-0000-0000-000000000000}"/>
  <bookViews>
    <workbookView xWindow="29160" yWindow="1540" windowWidth="23940" windowHeight="145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0" i="1" l="1"/>
  <c r="H40" i="1"/>
  <c r="G40" i="1"/>
  <c r="F40" i="1"/>
  <c r="D40" i="1"/>
  <c r="C40" i="1"/>
  <c r="E35" i="1"/>
  <c r="E40" i="1" s="1"/>
  <c r="J34" i="1"/>
  <c r="I34" i="1"/>
  <c r="J33" i="1"/>
  <c r="J32" i="1"/>
  <c r="J31" i="1"/>
  <c r="J30" i="1"/>
  <c r="J29" i="1"/>
  <c r="J28" i="1"/>
  <c r="J27" i="1"/>
  <c r="J26" i="1"/>
  <c r="J24" i="1"/>
  <c r="J23" i="1"/>
  <c r="J22" i="1"/>
  <c r="J21" i="1"/>
  <c r="J20" i="1"/>
  <c r="J19" i="1"/>
  <c r="J18" i="1"/>
  <c r="J35" i="1" l="1"/>
  <c r="J40" i="1" s="1"/>
</calcChain>
</file>

<file path=xl/sharedStrings.xml><?xml version="1.0" encoding="utf-8"?>
<sst xmlns="http://schemas.openxmlformats.org/spreadsheetml/2006/main" count="161" uniqueCount="32">
  <si>
    <t>序号</t>
  </si>
  <si>
    <t>月份</t>
  </si>
  <si>
    <t>法定工作日</t>
  </si>
  <si>
    <t>实际工作日</t>
  </si>
  <si>
    <t>智慧能源管理系统项目技术服务合同</t>
  </si>
  <si>
    <t>综合数智能源运营服务平台接入及远程运维服务项目合同</t>
  </si>
  <si>
    <t>天津公司本部绩效考核系统</t>
  </si>
  <si>
    <t>信息化运维服务项目1</t>
  </si>
  <si>
    <t>基于配置模型驱动的低(零)代码开发技术研究</t>
  </si>
  <si>
    <t>基于组态化在线监测及能源管理平台研发</t>
  </si>
  <si>
    <t>CIM展厅零碳数据链路闭环(CIM系统扩展升级)建设项目</t>
  </si>
  <si>
    <t>工时总和</t>
  </si>
  <si>
    <t>智慧能源管理系统项目技术服务合同_比例</t>
  </si>
  <si>
    <t>综合数智能源运营服务平台接入及远程运维服务项目合同_比例</t>
  </si>
  <si>
    <t>天津公司本部绩效考核系统_比例</t>
  </si>
  <si>
    <t>信息化运维服务项目1_比例</t>
  </si>
  <si>
    <t>基于配置模型驱动的低(零)代码开发技术研究_比例</t>
  </si>
  <si>
    <t>基于组态化在线监测及能源管理平台研发_比例</t>
  </si>
  <si>
    <t>CIM展厅零碳数据链路闭环(CIM系统扩展升级)建设项目_比例</t>
  </si>
  <si>
    <t>1月</t>
  </si>
  <si>
    <t/>
  </si>
  <si>
    <t>工资</t>
  </si>
  <si>
    <t>养老</t>
  </si>
  <si>
    <t>医疗</t>
  </si>
  <si>
    <t>工伤</t>
  </si>
  <si>
    <t>失业</t>
  </si>
  <si>
    <t>公积金</t>
  </si>
  <si>
    <t>劳务派遣</t>
  </si>
  <si>
    <t>合计</t>
  </si>
  <si>
    <t>正式员工</t>
  </si>
  <si>
    <t>管理</t>
  </si>
  <si>
    <t>研发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</si>
</sst>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8" formatCode="_ * #,##0.00_ ;_ * \-#,##0.00_ ;_ * &quot;-&quot;??_ ;_ @_ "/>
  </numFmts>
  <fonts count="8">
    <font>
      <sz val="11"/>
      <color theme="1"/>
      <name val="宋体"/>
      <charset val="134"/>
      <scheme val="minor"/>
    </font>
    <font>
      <b/>
      <sz val="11"/>
      <name val="宋体"/>
      <family val="3"/>
      <charset val="134"/>
      <scheme val="minor"/>
    </font>
    <font>
      <b/>
      <sz val="11"/>
      <color theme="1"/>
      <name val="仿宋"/>
      <family val="3"/>
      <charset val="134"/>
    </font>
    <font>
      <sz val="11"/>
      <color theme="1"/>
      <name val="仿宋"/>
      <family val="3"/>
      <charset val="134"/>
    </font>
    <font>
      <sz val="11"/>
      <color rgb="FFFF0000"/>
      <name val="仿宋"/>
      <family val="3"/>
      <charset val="134"/>
    </font>
    <font>
      <sz val="11"/>
      <color rgb="FFC00000"/>
      <name val="仿宋"/>
      <family val="3"/>
      <charset val="134"/>
    </font>
    <font>
      <b/>
      <sz val="11"/>
      <color rgb="FFFF0000"/>
      <name val="仿宋"/>
      <family val="3"/>
      <charset val="134"/>
    </font>
    <font>
      <sz val="9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79989013336588644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top" wrapText="1"/>
    </xf>
    <xf numFmtId="0" fontId="1" fillId="2" borderId="1" xfId="0" applyFont="1" applyFill="1" applyBorder="1" applyAlignment="1">
      <alignment horizontal="center" vertical="top" wrapText="1"/>
    </xf>
    <xf numFmtId="0" fontId="0" fillId="2" borderId="0" xfId="0" applyFill="1"/>
    <xf numFmtId="0" fontId="2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178" fontId="3" fillId="0" borderId="1" xfId="0" applyNumberFormat="1" applyFont="1" applyBorder="1" applyAlignment="1">
      <alignment vertical="center"/>
    </xf>
    <xf numFmtId="178" fontId="3" fillId="0" borderId="2" xfId="0" applyNumberFormat="1" applyFont="1" applyBorder="1" applyAlignment="1">
      <alignment vertical="center"/>
    </xf>
    <xf numFmtId="178" fontId="4" fillId="0" borderId="1" xfId="0" applyNumberFormat="1" applyFont="1" applyBorder="1" applyAlignment="1">
      <alignment vertical="center"/>
    </xf>
    <xf numFmtId="178" fontId="4" fillId="2" borderId="1" xfId="0" applyNumberFormat="1" applyFont="1" applyFill="1" applyBorder="1" applyAlignment="1">
      <alignment vertical="center"/>
    </xf>
    <xf numFmtId="178" fontId="5" fillId="3" borderId="1" xfId="0" applyNumberFormat="1" applyFont="1" applyFill="1" applyBorder="1" applyAlignment="1">
      <alignment vertical="center"/>
    </xf>
    <xf numFmtId="178" fontId="2" fillId="2" borderId="1" xfId="0" applyNumberFormat="1" applyFont="1" applyFill="1" applyBorder="1" applyAlignment="1">
      <alignment vertical="center"/>
    </xf>
    <xf numFmtId="178" fontId="6" fillId="2" borderId="1" xfId="0" applyNumberFormat="1" applyFont="1" applyFill="1" applyBorder="1" applyAlignment="1">
      <alignment vertical="center"/>
    </xf>
    <xf numFmtId="178" fontId="6" fillId="2" borderId="2" xfId="0" applyNumberFormat="1" applyFont="1" applyFill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40"/>
  <sheetViews>
    <sheetView tabSelected="1" workbookViewId="0">
      <selection activeCell="C1" sqref="C1:C1048576"/>
    </sheetView>
  </sheetViews>
  <sheetFormatPr baseColWidth="10" defaultColWidth="9" defaultRowHeight="14"/>
  <cols>
    <col min="3" max="4" width="15.1640625" customWidth="1"/>
    <col min="5" max="5" width="25.33203125" customWidth="1"/>
    <col min="6" max="6" width="10.33203125" customWidth="1"/>
    <col min="7" max="7" width="12.83203125" customWidth="1"/>
    <col min="8" max="8" width="14" customWidth="1"/>
    <col min="9" max="10" width="15.1640625" customWidth="1"/>
  </cols>
  <sheetData>
    <row r="1" spans="1:19" s="1" customFormat="1" ht="12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</row>
    <row r="2" spans="1:19">
      <c r="A2">
        <v>1</v>
      </c>
      <c r="B2" t="s">
        <v>19</v>
      </c>
      <c r="C2">
        <v>21</v>
      </c>
      <c r="D2">
        <v>21</v>
      </c>
      <c r="E2">
        <v>4</v>
      </c>
      <c r="F2">
        <v>2</v>
      </c>
      <c r="G2">
        <v>2</v>
      </c>
      <c r="H2" t="s">
        <v>20</v>
      </c>
      <c r="I2">
        <v>7</v>
      </c>
      <c r="J2">
        <v>6</v>
      </c>
      <c r="K2" t="s">
        <v>20</v>
      </c>
      <c r="L2">
        <v>21</v>
      </c>
      <c r="M2" s="4">
        <v>19.05</v>
      </c>
      <c r="N2" s="4">
        <v>9.52</v>
      </c>
      <c r="O2" s="4">
        <v>9.52</v>
      </c>
      <c r="P2" s="4" t="s">
        <v>20</v>
      </c>
      <c r="Q2" s="4">
        <v>33.33</v>
      </c>
      <c r="R2" s="4">
        <v>28.57</v>
      </c>
      <c r="S2" s="4" t="s">
        <v>20</v>
      </c>
    </row>
    <row r="3" spans="1:19">
      <c r="A3">
        <v>2</v>
      </c>
      <c r="B3" t="s">
        <v>20</v>
      </c>
      <c r="C3">
        <v>21</v>
      </c>
      <c r="D3">
        <v>21</v>
      </c>
      <c r="E3" t="s">
        <v>20</v>
      </c>
      <c r="F3">
        <v>1</v>
      </c>
      <c r="G3">
        <v>1</v>
      </c>
      <c r="H3" t="s">
        <v>20</v>
      </c>
      <c r="I3">
        <v>9</v>
      </c>
      <c r="J3">
        <v>10</v>
      </c>
      <c r="K3" t="s">
        <v>20</v>
      </c>
      <c r="L3">
        <v>21</v>
      </c>
      <c r="M3" s="4" t="s">
        <v>20</v>
      </c>
      <c r="N3" s="4">
        <v>4.76</v>
      </c>
      <c r="O3" s="4">
        <v>4.76</v>
      </c>
      <c r="P3" s="4" t="s">
        <v>20</v>
      </c>
      <c r="Q3" s="4">
        <v>42.86</v>
      </c>
      <c r="R3" s="4">
        <v>47.62</v>
      </c>
      <c r="S3" s="4" t="s">
        <v>20</v>
      </c>
    </row>
    <row r="4" spans="1:19">
      <c r="A4">
        <v>3</v>
      </c>
      <c r="B4" t="s">
        <v>20</v>
      </c>
      <c r="C4">
        <v>21</v>
      </c>
      <c r="D4">
        <v>21</v>
      </c>
      <c r="E4" t="s">
        <v>20</v>
      </c>
      <c r="F4" t="s">
        <v>20</v>
      </c>
      <c r="G4">
        <v>5</v>
      </c>
      <c r="H4">
        <v>16</v>
      </c>
      <c r="I4" t="s">
        <v>20</v>
      </c>
      <c r="J4" t="s">
        <v>20</v>
      </c>
      <c r="K4" t="s">
        <v>20</v>
      </c>
      <c r="L4">
        <v>21</v>
      </c>
      <c r="M4" s="4" t="s">
        <v>20</v>
      </c>
      <c r="N4" s="4" t="s">
        <v>20</v>
      </c>
      <c r="O4" s="4">
        <v>23.81</v>
      </c>
      <c r="P4" s="4">
        <v>76.19</v>
      </c>
      <c r="Q4" s="4" t="s">
        <v>20</v>
      </c>
      <c r="R4" s="4" t="s">
        <v>20</v>
      </c>
      <c r="S4" s="4" t="s">
        <v>20</v>
      </c>
    </row>
    <row r="5" spans="1:19">
      <c r="A5">
        <v>4</v>
      </c>
      <c r="B5" t="s">
        <v>20</v>
      </c>
      <c r="C5">
        <v>21</v>
      </c>
      <c r="D5">
        <v>21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>
        <v>15</v>
      </c>
      <c r="K5">
        <v>6</v>
      </c>
      <c r="L5">
        <v>21</v>
      </c>
      <c r="M5" s="4" t="s">
        <v>20</v>
      </c>
      <c r="N5" s="4" t="s">
        <v>20</v>
      </c>
      <c r="O5" s="4" t="s">
        <v>20</v>
      </c>
      <c r="P5" s="4" t="s">
        <v>20</v>
      </c>
      <c r="Q5" s="4" t="s">
        <v>20</v>
      </c>
      <c r="R5" s="4">
        <v>71.430000000000007</v>
      </c>
      <c r="S5" s="4">
        <v>28.57</v>
      </c>
    </row>
    <row r="6" spans="1:19">
      <c r="A6">
        <v>5</v>
      </c>
      <c r="B6" t="s">
        <v>20</v>
      </c>
      <c r="C6">
        <v>21</v>
      </c>
      <c r="D6">
        <v>21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>
        <v>17</v>
      </c>
      <c r="K6">
        <v>4</v>
      </c>
      <c r="L6">
        <v>21</v>
      </c>
      <c r="M6" s="4" t="s">
        <v>20</v>
      </c>
      <c r="N6" s="4" t="s">
        <v>20</v>
      </c>
      <c r="O6" s="4" t="s">
        <v>20</v>
      </c>
      <c r="P6" s="4" t="s">
        <v>20</v>
      </c>
      <c r="Q6" s="4" t="s">
        <v>20</v>
      </c>
      <c r="R6" s="4">
        <v>80.95</v>
      </c>
      <c r="S6" s="4">
        <v>19.05</v>
      </c>
    </row>
    <row r="7" spans="1:19">
      <c r="A7">
        <v>7</v>
      </c>
      <c r="B7" t="s">
        <v>20</v>
      </c>
      <c r="C7">
        <v>21</v>
      </c>
      <c r="D7">
        <v>21</v>
      </c>
      <c r="E7" t="s">
        <v>20</v>
      </c>
      <c r="F7" t="s">
        <v>20</v>
      </c>
      <c r="G7" t="s">
        <v>20</v>
      </c>
      <c r="H7">
        <v>1</v>
      </c>
      <c r="I7">
        <v>20</v>
      </c>
      <c r="J7" t="s">
        <v>20</v>
      </c>
      <c r="K7" t="s">
        <v>20</v>
      </c>
      <c r="L7">
        <v>21</v>
      </c>
      <c r="M7" s="4" t="s">
        <v>20</v>
      </c>
      <c r="N7" s="4" t="s">
        <v>20</v>
      </c>
      <c r="O7" s="4" t="s">
        <v>20</v>
      </c>
      <c r="P7" s="4">
        <v>4.76</v>
      </c>
      <c r="Q7" s="4">
        <v>95.24</v>
      </c>
      <c r="R7" s="4" t="s">
        <v>20</v>
      </c>
      <c r="S7" s="4" t="s">
        <v>20</v>
      </c>
    </row>
    <row r="8" spans="1:19">
      <c r="A8">
        <v>8</v>
      </c>
      <c r="B8" t="s">
        <v>20</v>
      </c>
      <c r="C8">
        <v>21</v>
      </c>
      <c r="D8">
        <v>21</v>
      </c>
      <c r="E8" t="s">
        <v>20</v>
      </c>
      <c r="F8">
        <v>2</v>
      </c>
      <c r="G8" t="s">
        <v>20</v>
      </c>
      <c r="H8" t="s">
        <v>20</v>
      </c>
      <c r="I8">
        <v>19</v>
      </c>
      <c r="J8" t="s">
        <v>20</v>
      </c>
      <c r="K8" t="s">
        <v>20</v>
      </c>
      <c r="L8">
        <v>21</v>
      </c>
      <c r="M8" s="4" t="s">
        <v>20</v>
      </c>
      <c r="N8" s="4">
        <v>9.52</v>
      </c>
      <c r="O8" s="4" t="s">
        <v>20</v>
      </c>
      <c r="P8" s="4" t="s">
        <v>20</v>
      </c>
      <c r="Q8" s="4">
        <v>90.48</v>
      </c>
      <c r="R8" s="4" t="s">
        <v>20</v>
      </c>
      <c r="S8" s="4" t="s">
        <v>20</v>
      </c>
    </row>
    <row r="9" spans="1:19">
      <c r="A9">
        <v>9</v>
      </c>
      <c r="B9" t="s">
        <v>20</v>
      </c>
      <c r="C9">
        <v>21</v>
      </c>
      <c r="D9">
        <v>21</v>
      </c>
      <c r="E9">
        <v>10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>
        <v>11</v>
      </c>
      <c r="L9">
        <v>21</v>
      </c>
      <c r="M9" s="4">
        <v>47.62</v>
      </c>
      <c r="N9" s="4" t="s">
        <v>20</v>
      </c>
      <c r="O9" s="4" t="s">
        <v>20</v>
      </c>
      <c r="P9" s="4" t="s">
        <v>20</v>
      </c>
      <c r="Q9" s="4" t="s">
        <v>20</v>
      </c>
      <c r="R9" s="4" t="s">
        <v>20</v>
      </c>
      <c r="S9" s="4">
        <v>52.38</v>
      </c>
    </row>
    <row r="10" spans="1:19">
      <c r="A10">
        <v>10</v>
      </c>
      <c r="B10" t="s">
        <v>20</v>
      </c>
      <c r="C10">
        <v>21</v>
      </c>
      <c r="D10">
        <v>21</v>
      </c>
      <c r="E10" t="s">
        <v>20</v>
      </c>
      <c r="F10">
        <v>5</v>
      </c>
      <c r="G10" t="s">
        <v>20</v>
      </c>
      <c r="H10" t="s">
        <v>20</v>
      </c>
      <c r="I10" t="s">
        <v>20</v>
      </c>
      <c r="J10">
        <v>16</v>
      </c>
      <c r="K10" t="s">
        <v>20</v>
      </c>
      <c r="L10">
        <v>21</v>
      </c>
      <c r="M10" s="4" t="s">
        <v>20</v>
      </c>
      <c r="N10" s="4">
        <v>23.81</v>
      </c>
      <c r="O10" s="4" t="s">
        <v>20</v>
      </c>
      <c r="P10" s="4" t="s">
        <v>20</v>
      </c>
      <c r="Q10" s="4" t="s">
        <v>20</v>
      </c>
      <c r="R10" s="4">
        <v>76.19</v>
      </c>
      <c r="S10" s="4" t="s">
        <v>20</v>
      </c>
    </row>
    <row r="16" spans="1:19">
      <c r="A16" s="5"/>
      <c r="B16" s="5"/>
      <c r="C16" s="16" t="s">
        <v>19</v>
      </c>
      <c r="D16" s="16"/>
      <c r="E16" s="16"/>
      <c r="F16" s="16"/>
      <c r="G16" s="16"/>
      <c r="H16" s="16"/>
      <c r="I16" s="16"/>
      <c r="J16" s="17"/>
    </row>
    <row r="17" spans="1:10">
      <c r="A17" s="6"/>
      <c r="B17" s="6"/>
      <c r="C17" s="6" t="s">
        <v>21</v>
      </c>
      <c r="D17" s="6" t="s">
        <v>22</v>
      </c>
      <c r="E17" s="6" t="s">
        <v>23</v>
      </c>
      <c r="F17" s="6" t="s">
        <v>24</v>
      </c>
      <c r="G17" s="6" t="s">
        <v>25</v>
      </c>
      <c r="H17" s="6" t="s">
        <v>26</v>
      </c>
      <c r="I17" s="6" t="s">
        <v>27</v>
      </c>
      <c r="J17" s="7" t="s">
        <v>28</v>
      </c>
    </row>
    <row r="18" spans="1:10">
      <c r="A18" s="8" t="s">
        <v>29</v>
      </c>
      <c r="B18" s="8" t="s">
        <v>30</v>
      </c>
      <c r="C18" s="8">
        <v>32333</v>
      </c>
      <c r="D18" s="8">
        <v>4010.4</v>
      </c>
      <c r="E18" s="8">
        <v>2631.83</v>
      </c>
      <c r="F18" s="8">
        <v>50.13</v>
      </c>
      <c r="G18" s="8">
        <v>125.33</v>
      </c>
      <c r="H18" s="8">
        <v>3303</v>
      </c>
      <c r="I18" s="8"/>
      <c r="J18" s="9">
        <f t="shared" ref="J18:J24" si="0">SUM(C18:I18)</f>
        <v>42453.69</v>
      </c>
    </row>
    <row r="19" spans="1:10">
      <c r="A19" s="8" t="s">
        <v>29</v>
      </c>
      <c r="B19" s="8" t="s">
        <v>31</v>
      </c>
      <c r="C19" s="8">
        <v>30783</v>
      </c>
      <c r="D19" s="8">
        <v>4010.4</v>
      </c>
      <c r="E19" s="8">
        <v>2631.83</v>
      </c>
      <c r="F19" s="8">
        <v>50.13</v>
      </c>
      <c r="G19" s="8">
        <v>125.33</v>
      </c>
      <c r="H19" s="8">
        <v>3294</v>
      </c>
      <c r="I19" s="8"/>
      <c r="J19" s="9">
        <f t="shared" si="0"/>
        <v>40894.69</v>
      </c>
    </row>
    <row r="20" spans="1:10">
      <c r="A20" s="8" t="s">
        <v>29</v>
      </c>
      <c r="B20" s="8" t="s">
        <v>31</v>
      </c>
      <c r="C20" s="8">
        <v>21643</v>
      </c>
      <c r="D20" s="8">
        <v>3465.6</v>
      </c>
      <c r="E20" s="8">
        <v>2274.3000000000002</v>
      </c>
      <c r="F20" s="8">
        <v>43.32</v>
      </c>
      <c r="G20" s="8">
        <v>108.3</v>
      </c>
      <c r="H20" s="8">
        <v>2701</v>
      </c>
      <c r="I20" s="8"/>
      <c r="J20" s="9">
        <f t="shared" si="0"/>
        <v>30235.519999999997</v>
      </c>
    </row>
    <row r="21" spans="1:10">
      <c r="A21" s="8" t="s">
        <v>29</v>
      </c>
      <c r="B21" s="8" t="s">
        <v>31</v>
      </c>
      <c r="C21" s="8">
        <v>22492</v>
      </c>
      <c r="D21" s="8">
        <v>3601.44</v>
      </c>
      <c r="E21" s="8">
        <v>2363.4499999999998</v>
      </c>
      <c r="F21" s="8">
        <v>45.02</v>
      </c>
      <c r="G21" s="8">
        <v>112.55</v>
      </c>
      <c r="H21" s="8">
        <v>2599</v>
      </c>
      <c r="I21" s="8"/>
      <c r="J21" s="9">
        <f t="shared" si="0"/>
        <v>31213.46</v>
      </c>
    </row>
    <row r="22" spans="1:10">
      <c r="A22" s="8" t="s">
        <v>29</v>
      </c>
      <c r="B22" s="8" t="s">
        <v>30</v>
      </c>
      <c r="C22" s="8">
        <v>12500</v>
      </c>
      <c r="D22" s="8">
        <v>3002.72</v>
      </c>
      <c r="E22" s="8">
        <v>1970.54</v>
      </c>
      <c r="F22" s="8">
        <v>37.53</v>
      </c>
      <c r="G22" s="8">
        <v>93.84</v>
      </c>
      <c r="H22" s="8">
        <v>2888</v>
      </c>
      <c r="I22" s="8"/>
      <c r="J22" s="9">
        <f t="shared" si="0"/>
        <v>20492.629999999997</v>
      </c>
    </row>
    <row r="23" spans="1:10">
      <c r="A23" s="8" t="s">
        <v>29</v>
      </c>
      <c r="B23" s="8" t="s">
        <v>31</v>
      </c>
      <c r="C23" s="8">
        <v>23741</v>
      </c>
      <c r="D23" s="8">
        <v>3801.28</v>
      </c>
      <c r="E23" s="8">
        <v>2494.59</v>
      </c>
      <c r="F23" s="8">
        <v>47.52</v>
      </c>
      <c r="G23" s="8">
        <v>118.79</v>
      </c>
      <c r="H23" s="8">
        <v>2851</v>
      </c>
      <c r="I23" s="8"/>
      <c r="J23" s="9">
        <f t="shared" si="0"/>
        <v>33054.18</v>
      </c>
    </row>
    <row r="24" spans="1:10">
      <c r="A24" s="8" t="s">
        <v>27</v>
      </c>
      <c r="B24" s="8" t="s">
        <v>31</v>
      </c>
      <c r="C24" s="8"/>
      <c r="D24" s="8"/>
      <c r="E24" s="8">
        <v>0</v>
      </c>
      <c r="F24" s="8"/>
      <c r="G24" s="8"/>
      <c r="H24" s="8"/>
      <c r="I24" s="10">
        <v>33591.42</v>
      </c>
      <c r="J24" s="9">
        <f t="shared" si="0"/>
        <v>33591.42</v>
      </c>
    </row>
    <row r="25" spans="1:10">
      <c r="A25" s="8" t="s">
        <v>29</v>
      </c>
      <c r="B25" s="8" t="s">
        <v>31</v>
      </c>
      <c r="C25" s="8"/>
      <c r="D25" s="8"/>
      <c r="E25" s="8"/>
      <c r="F25" s="8"/>
      <c r="G25" s="8"/>
      <c r="H25" s="8"/>
      <c r="I25" s="10"/>
      <c r="J25" s="9"/>
    </row>
    <row r="26" spans="1:10">
      <c r="A26" s="8" t="s">
        <v>29</v>
      </c>
      <c r="B26" s="8" t="s">
        <v>31</v>
      </c>
      <c r="C26" s="8">
        <v>18988</v>
      </c>
      <c r="D26" s="8">
        <v>3040.8</v>
      </c>
      <c r="E26" s="8">
        <v>1995.53</v>
      </c>
      <c r="F26" s="8">
        <v>38.01</v>
      </c>
      <c r="G26" s="8">
        <v>95.03</v>
      </c>
      <c r="H26" s="8">
        <v>2279</v>
      </c>
      <c r="I26" s="10"/>
      <c r="J26" s="9">
        <f t="shared" ref="J26:J35" si="1">SUM(C26:I26)</f>
        <v>26436.369999999995</v>
      </c>
    </row>
    <row r="27" spans="1:10">
      <c r="A27" s="8" t="s">
        <v>29</v>
      </c>
      <c r="B27" s="8" t="s">
        <v>30</v>
      </c>
      <c r="C27" s="8">
        <v>10583</v>
      </c>
      <c r="D27" s="8">
        <v>1696</v>
      </c>
      <c r="E27" s="8">
        <v>1113</v>
      </c>
      <c r="F27" s="8">
        <v>21.2</v>
      </c>
      <c r="G27" s="8">
        <v>53</v>
      </c>
      <c r="H27" s="8">
        <v>1272</v>
      </c>
      <c r="I27" s="10"/>
      <c r="J27" s="9">
        <f t="shared" si="1"/>
        <v>14738.2</v>
      </c>
    </row>
    <row r="28" spans="1:10">
      <c r="A28" s="8" t="s">
        <v>27</v>
      </c>
      <c r="B28" s="8" t="s">
        <v>30</v>
      </c>
      <c r="C28" s="8"/>
      <c r="D28" s="8"/>
      <c r="E28" s="8">
        <v>0</v>
      </c>
      <c r="F28" s="8"/>
      <c r="G28" s="8"/>
      <c r="H28" s="8"/>
      <c r="I28" s="11">
        <v>13372.97</v>
      </c>
      <c r="J28" s="9">
        <f t="shared" si="1"/>
        <v>13372.97</v>
      </c>
    </row>
    <row r="29" spans="1:10">
      <c r="A29" s="8" t="s">
        <v>29</v>
      </c>
      <c r="B29" s="8" t="s">
        <v>31</v>
      </c>
      <c r="C29" s="8">
        <v>25000</v>
      </c>
      <c r="D29" s="8">
        <v>4010.4</v>
      </c>
      <c r="E29" s="8">
        <v>2631.83</v>
      </c>
      <c r="F29" s="8">
        <v>50.13</v>
      </c>
      <c r="G29" s="8">
        <v>125.33</v>
      </c>
      <c r="H29" s="8">
        <v>3000</v>
      </c>
      <c r="I29" s="10"/>
      <c r="J29" s="9">
        <f t="shared" si="1"/>
        <v>34817.69</v>
      </c>
    </row>
    <row r="30" spans="1:10">
      <c r="A30" s="8" t="s">
        <v>29</v>
      </c>
      <c r="B30" s="8" t="s">
        <v>31</v>
      </c>
      <c r="C30" s="8">
        <v>23000</v>
      </c>
      <c r="D30" s="8">
        <v>3710.88</v>
      </c>
      <c r="E30" s="8">
        <v>2435.27</v>
      </c>
      <c r="F30" s="8">
        <v>46.39</v>
      </c>
      <c r="G30" s="8">
        <v>115.97</v>
      </c>
      <c r="H30" s="8">
        <v>2783</v>
      </c>
      <c r="I30" s="10"/>
      <c r="J30" s="9">
        <f t="shared" si="1"/>
        <v>32091.510000000002</v>
      </c>
    </row>
    <row r="31" spans="1:10">
      <c r="A31" s="8" t="s">
        <v>27</v>
      </c>
      <c r="B31" s="8" t="s">
        <v>30</v>
      </c>
      <c r="C31" s="8"/>
      <c r="D31" s="8"/>
      <c r="E31" s="8">
        <v>0</v>
      </c>
      <c r="F31" s="8"/>
      <c r="G31" s="8"/>
      <c r="H31" s="8"/>
      <c r="I31" s="10">
        <v>10690.63</v>
      </c>
      <c r="J31" s="9">
        <f t="shared" si="1"/>
        <v>10690.63</v>
      </c>
    </row>
    <row r="32" spans="1:10">
      <c r="A32" s="8" t="s">
        <v>29</v>
      </c>
      <c r="B32" s="8" t="s">
        <v>30</v>
      </c>
      <c r="C32" s="8">
        <v>9400</v>
      </c>
      <c r="D32" s="8">
        <v>1360</v>
      </c>
      <c r="E32" s="8">
        <v>892.5</v>
      </c>
      <c r="F32" s="8">
        <v>17</v>
      </c>
      <c r="G32" s="8">
        <v>42.5</v>
      </c>
      <c r="H32" s="8">
        <v>1020</v>
      </c>
      <c r="I32" s="10"/>
      <c r="J32" s="9">
        <f t="shared" si="1"/>
        <v>12732</v>
      </c>
    </row>
    <row r="33" spans="1:10">
      <c r="A33" s="8" t="s">
        <v>27</v>
      </c>
      <c r="B33" s="8" t="s">
        <v>30</v>
      </c>
      <c r="C33" s="8"/>
      <c r="D33" s="8"/>
      <c r="E33" s="8"/>
      <c r="F33" s="8"/>
      <c r="G33" s="8"/>
      <c r="H33" s="8"/>
      <c r="I33" s="10">
        <v>42591.66</v>
      </c>
      <c r="J33" s="9">
        <f t="shared" si="1"/>
        <v>42591.66</v>
      </c>
    </row>
    <row r="34" spans="1:10">
      <c r="A34" s="8" t="s">
        <v>27</v>
      </c>
      <c r="B34" s="8" t="s">
        <v>30</v>
      </c>
      <c r="C34" s="8"/>
      <c r="D34" s="8"/>
      <c r="E34" s="8"/>
      <c r="F34" s="8"/>
      <c r="G34" s="8"/>
      <c r="H34" s="8"/>
      <c r="I34" s="12">
        <f>8558.66+31.58</f>
        <v>8590.24</v>
      </c>
      <c r="J34" s="9">
        <f t="shared" si="1"/>
        <v>8590.24</v>
      </c>
    </row>
    <row r="35" spans="1:10">
      <c r="A35" s="8" t="s">
        <v>29</v>
      </c>
      <c r="B35" s="8" t="s">
        <v>31</v>
      </c>
      <c r="C35" s="8">
        <v>21200</v>
      </c>
      <c r="D35" s="8">
        <v>4010.4</v>
      </c>
      <c r="E35" s="8">
        <f>2255.85+125.33+250.65</f>
        <v>2631.83</v>
      </c>
      <c r="F35" s="8">
        <v>137.86000000000001</v>
      </c>
      <c r="G35" s="8">
        <v>125.33</v>
      </c>
      <c r="H35" s="8">
        <v>2539</v>
      </c>
      <c r="I35" s="10"/>
      <c r="J35" s="9">
        <f t="shared" si="1"/>
        <v>30644.420000000006</v>
      </c>
    </row>
    <row r="36" spans="1:10">
      <c r="A36" s="8" t="s">
        <v>29</v>
      </c>
      <c r="B36" s="8" t="s">
        <v>31</v>
      </c>
      <c r="C36" s="8"/>
      <c r="D36" s="8"/>
      <c r="E36" s="8"/>
      <c r="F36" s="8"/>
      <c r="G36" s="8"/>
      <c r="H36" s="8"/>
      <c r="I36" s="10"/>
      <c r="J36" s="9"/>
    </row>
    <row r="37" spans="1:10">
      <c r="A37" s="8" t="s">
        <v>29</v>
      </c>
      <c r="B37" s="8" t="s">
        <v>31</v>
      </c>
      <c r="C37" s="8"/>
      <c r="D37" s="8"/>
      <c r="E37" s="8"/>
      <c r="F37" s="8"/>
      <c r="G37" s="8"/>
      <c r="H37" s="8"/>
      <c r="I37" s="10"/>
      <c r="J37" s="9"/>
    </row>
    <row r="38" spans="1:10">
      <c r="A38" s="8" t="s">
        <v>29</v>
      </c>
      <c r="B38" s="8" t="s">
        <v>31</v>
      </c>
      <c r="C38" s="8"/>
      <c r="D38" s="8"/>
      <c r="E38" s="8"/>
      <c r="F38" s="8"/>
      <c r="G38" s="8"/>
      <c r="H38" s="8"/>
      <c r="I38" s="10"/>
      <c r="J38" s="9"/>
    </row>
    <row r="39" spans="1:10">
      <c r="A39" s="8" t="s">
        <v>27</v>
      </c>
      <c r="B39" s="8" t="s">
        <v>30</v>
      </c>
      <c r="C39" s="8"/>
      <c r="D39" s="8"/>
      <c r="E39" s="8"/>
      <c r="F39" s="8"/>
      <c r="G39" s="8"/>
      <c r="H39" s="8"/>
      <c r="I39" s="10"/>
      <c r="J39" s="9"/>
    </row>
    <row r="40" spans="1:10">
      <c r="A40" s="13"/>
      <c r="B40" s="13"/>
      <c r="C40" s="13">
        <f t="shared" ref="C40:J40" si="2">SUM(C18:C35)</f>
        <v>251663</v>
      </c>
      <c r="D40" s="13">
        <f t="shared" si="2"/>
        <v>39720.32</v>
      </c>
      <c r="E40" s="13">
        <f t="shared" si="2"/>
        <v>26066.5</v>
      </c>
      <c r="F40" s="13">
        <f t="shared" si="2"/>
        <v>584.24</v>
      </c>
      <c r="G40" s="13">
        <f t="shared" si="2"/>
        <v>1241.3</v>
      </c>
      <c r="H40" s="13">
        <f t="shared" si="2"/>
        <v>30529</v>
      </c>
      <c r="I40" s="14">
        <f t="shared" si="2"/>
        <v>108836.92</v>
      </c>
      <c r="J40" s="15">
        <f t="shared" si="2"/>
        <v>458641.27999999997</v>
      </c>
    </row>
  </sheetData>
  <mergeCells count="1">
    <mergeCell ref="C16:J16"/>
  </mergeCells>
  <phoneticPr fontId="7" type="noConversion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AA62DA9-6D77-4708-8F69-E6D712543F22}"/>
</file>

<file path=customXml/itemProps2.xml><?xml version="1.0" encoding="utf-8"?>
<ds:datastoreItem xmlns:ds="http://schemas.openxmlformats.org/officeDocument/2006/customXml" ds:itemID="{0ED9AD37-767C-41FF-81A4-7FABBB1AA39A}"/>
</file>

<file path=customXml/itemProps3.xml><?xml version="1.0" encoding="utf-8"?>
<ds:datastoreItem xmlns:ds="http://schemas.openxmlformats.org/officeDocument/2006/customXml" ds:itemID="{83098B51-E96A-458F-B5A5-A0A33B062D1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许裕苧</cp:lastModifiedBy>
  <dcterms:created xsi:type="dcterms:W3CDTF">2025-11-23T04:56:00Z</dcterms:created>
  <dcterms:modified xsi:type="dcterms:W3CDTF">2026-02-05T10:18:19Z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E130A840BD4D44718D4A2777839A501C_12</vt:lpwstr>
  </property>
  <property fmtid="{D5CDD505-2E9C-101B-9397-08002B2CF9AE}" pid="3" name="KSOProductBuildVer">
    <vt:lpwstr>2052-12.1.0.23542</vt:lpwstr>
  </property>
  <property fmtid="{D5CDD505-2E9C-101B-9397-08002B2CF9AE}" pid="4" name="ContentTypeId">
    <vt:lpwstr>0x01010028C7B6C620067247A35EF62A3E68EE62</vt:lpwstr>
  </property>
</Properties>
</file>